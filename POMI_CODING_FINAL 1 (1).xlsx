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10"/>
  <workbookPr/>
  <xr:revisionPtr revIDLastSave="0" documentId="8_{62323370-C602-460C-9DE9-7B37D267574D}" xr6:coauthVersionLast="47" xr6:coauthVersionMax="47" xr10:uidLastSave="{00000000-0000-0000-0000-000000000000}"/>
  <bookViews>
    <workbookView xWindow="-30880" yWindow="640" windowWidth="27560" windowHeight="30920" firstSheet="4" activeTab="4" xr2:uid="{00000000-000D-0000-FFFF-FFFF00000000}"/>
  </bookViews>
  <sheets>
    <sheet name="HOW TO USE" sheetId="1" r:id="rId1"/>
    <sheet name="POMI" sheetId="2" r:id="rId2"/>
    <sheet name="CODING" sheetId="3" r:id="rId3"/>
    <sheet name="BQ Coding Tool" sheetId="4" r:id="rId4"/>
    <sheet name="NRM" sheetId="5" r:id="rId5"/>
    <sheet name="LOOKUP_DATA" sheetId="6" state="hidden" r:id="rId6"/>
  </sheets>
  <definedNames>
    <definedName name="__123Graph_A" hidden="1">#REF!</definedName>
    <definedName name="__123Graph_ACHART1" hidden="1">#REF!</definedName>
    <definedName name="__123Graph_ACURRENT" hidden="1">#REF!</definedName>
    <definedName name="__123Graph_X" hidden="1">#REF!</definedName>
    <definedName name="__123Graph_XCHART1" hidden="1">#REF!</definedName>
    <definedName name="__123Graph_XCURRENT" hidden="1">#REF!</definedName>
    <definedName name="__IntlFixup" hidden="1">TRUE</definedName>
    <definedName name="_1__123Graph_ACHART_12" hidden="1">#REF!</definedName>
    <definedName name="_10__123Graph_ACHART_18" hidden="1">#REF!</definedName>
    <definedName name="_10__123Graph_BCHART_16" hidden="1">#REF!</definedName>
    <definedName name="_11__123Graph_BCHART_17" hidden="1">#REF!</definedName>
    <definedName name="_12__123Graph_ACHART_19" hidden="1">#REF!</definedName>
    <definedName name="_12__123Graph_BCHART_22" hidden="1">#REF!</definedName>
    <definedName name="_13__123Graph_CCHART_15" hidden="1">#REF!</definedName>
    <definedName name="_14__123Graph_ACHART_21" hidden="1">#REF!</definedName>
    <definedName name="_14__123Graph_CCHART_16" hidden="1">#REF!</definedName>
    <definedName name="_15__123Graph_CCHART_17" hidden="1">#REF!</definedName>
    <definedName name="_16__123Graph_ASEG_PIE" hidden="1">#REF!</definedName>
    <definedName name="_16__123Graph_CCHART_22" hidden="1">#REF!</definedName>
    <definedName name="_17__123Graph_CSEG_PIE" hidden="1">#REF!</definedName>
    <definedName name="_18__123Graph_BCHART_15" hidden="1">#REF!</definedName>
    <definedName name="_18__123Graph_DCHART_15" hidden="1">#REF!</definedName>
    <definedName name="_19__123Graph_DCHART_16" hidden="1">#REF!</definedName>
    <definedName name="_2__123Graph_ACHART_12" hidden="1">#REF!</definedName>
    <definedName name="_2__123Graph_ACHART_15" hidden="1">#REF!</definedName>
    <definedName name="_20__123Graph_BCHART_16" hidden="1">#REF!</definedName>
    <definedName name="_20__123Graph_DCHART_17" hidden="1">#REF!</definedName>
    <definedName name="_21__123Graph_DCHART_22" hidden="1">#REF!</definedName>
    <definedName name="_22__123Graph_BCHART_17" hidden="1">#REF!</definedName>
    <definedName name="_22__123Graph_ECHART_15" hidden="1">#REF!</definedName>
    <definedName name="_23__123Graph_ECHART_16" hidden="1">#REF!</definedName>
    <definedName name="_24__123Graph_BCHART_22" hidden="1">#REF!</definedName>
    <definedName name="_24__123Graph_ECHART_17" hidden="1">#REF!</definedName>
    <definedName name="_25__123Graph_ECHART_22" hidden="1">#REF!</definedName>
    <definedName name="_26__123Graph_CCHART_15" hidden="1">#REF!</definedName>
    <definedName name="_26__123Graph_FCHART_15" hidden="1">#REF!</definedName>
    <definedName name="_27__123Graph_FCHART_16" hidden="1">#REF!</definedName>
    <definedName name="_28__123Graph_CCHART_16" hidden="1">#REF!</definedName>
    <definedName name="_28__123Graph_FCHART_17" hidden="1">#REF!</definedName>
    <definedName name="_29__123Graph_FCHART_22" hidden="1">#REF!</definedName>
    <definedName name="_3__123Graph_ACHART_16" hidden="1">#REF!</definedName>
    <definedName name="_30__123Graph_CCHART_17" hidden="1">#REF!</definedName>
    <definedName name="_30__123Graph_XCHART_15" hidden="1">#REF!</definedName>
    <definedName name="_31__123Graph_XCHART_16" hidden="1">#REF!</definedName>
    <definedName name="_32__123Graph_CCHART_22" hidden="1">#REF!</definedName>
    <definedName name="_32__123Graph_XCHART_17" hidden="1">#REF!</definedName>
    <definedName name="_321" hidden="1">#REF!</definedName>
    <definedName name="_33__123Graph_XCHART_18" hidden="1">#REF!</definedName>
    <definedName name="_34__123Graph_CSEG_PIE" hidden="1">#REF!</definedName>
    <definedName name="_34__123Graph_XCHART_19" hidden="1">#REF!</definedName>
    <definedName name="_35__123Graph_XCHART_22" hidden="1">#REF!</definedName>
    <definedName name="_36__123Graph_DCHART_15" hidden="1">#REF!</definedName>
    <definedName name="_36__123Graph_XSEG_PIE" hidden="1">#REF!</definedName>
    <definedName name="_38__123Graph_DCHART_16" hidden="1">#REF!</definedName>
    <definedName name="_4__123Graph_ACHART_15" hidden="1">#REF!</definedName>
    <definedName name="_4__123Graph_ACHART_17" hidden="1">#REF!</definedName>
    <definedName name="_40__123Graph_DCHART_17" hidden="1">#REF!</definedName>
    <definedName name="_42__123Graph_DCHART_22" hidden="1">#REF!</definedName>
    <definedName name="_44__123Graph_ECHART_15" hidden="1">#REF!</definedName>
    <definedName name="_46__123Graph_ECHART_16" hidden="1">#REF!</definedName>
    <definedName name="_48__123Graph_ECHART_17" hidden="1">#REF!</definedName>
    <definedName name="_5__123Graph_ACHART_18" hidden="1">#REF!</definedName>
    <definedName name="_50__123Graph_ECHART_22" hidden="1">#REF!</definedName>
    <definedName name="_52__123Graph_FCHART_15" hidden="1">#REF!</definedName>
    <definedName name="_54__123Graph_FCHART_16" hidden="1">#REF!</definedName>
    <definedName name="_56__123Graph_FCHART_17" hidden="1">#REF!</definedName>
    <definedName name="_58__123Graph_FCHART_22" hidden="1">#REF!</definedName>
    <definedName name="_6__123Graph_ACHART_16" hidden="1">#REF!</definedName>
    <definedName name="_6__123Graph_ACHART_19" hidden="1">#REF!</definedName>
    <definedName name="_60__123Graph_XCHART_15" hidden="1">#REF!</definedName>
    <definedName name="_62__123Graph_XCHART_16" hidden="1">#REF!</definedName>
    <definedName name="_64__123Graph_XCHART_17" hidden="1">#REF!</definedName>
    <definedName name="_66__123Graph_XCHART_18" hidden="1">#REF!</definedName>
    <definedName name="_68__123Graph_XCHART_19" hidden="1">#REF!</definedName>
    <definedName name="_7__123Graph_ACHART_21" hidden="1">#REF!</definedName>
    <definedName name="_70__123Graph_XCHART_22" hidden="1">#REF!</definedName>
    <definedName name="_72__123Graph_XSEG_PIE" hidden="1">#REF!</definedName>
    <definedName name="_8__123Graph_ACHART_17" hidden="1">#REF!</definedName>
    <definedName name="_8__123Graph_ASEG_PIE" hidden="1">#REF!</definedName>
    <definedName name="_9__123Graph_BCHART_15" hidden="1">#REF!</definedName>
    <definedName name="_Fill" hidden="1">#REF!</definedName>
    <definedName name="_xlnm._FilterDatabase" localSheetId="1" hidden="1">POMI!$B$3:$C$126</definedName>
    <definedName name="_xlnm._FilterDatabase" localSheetId="2" hidden="1">CODING!$B$2:$F$613</definedName>
    <definedName name="_Key1" hidden="1">#REF!</definedName>
    <definedName name="_Key2" hidden="1">#REF!</definedName>
    <definedName name="_Order1" hidden="1">255</definedName>
    <definedName name="_Order2" hidden="1">255</definedName>
    <definedName name="_Sort" hidden="1">#REF!</definedName>
    <definedName name="AccessDatabase" hidden="1">"C:\AA-MEDIUM PROJECTS\Khaleej Times - GO 14017\Submittals Status.mdb"</definedName>
    <definedName name="b" hidden="1">{"'Break down'!$A$4"}</definedName>
    <definedName name="BS" hidden="1">#REF!</definedName>
    <definedName name="dad" hidden="1">#REF!</definedName>
    <definedName name="def" hidden="1">#REF!</definedName>
    <definedName name="Ele" hidden="1">{"'Break down'!$A$4"}</definedName>
    <definedName name="ELEC" hidden="1">#REF!</definedName>
    <definedName name="eth" hidden="1">#REF!</definedName>
    <definedName name="ghj" hidden="1">#REF!</definedName>
    <definedName name="HTML_CodePage" hidden="1">9</definedName>
    <definedName name="HTML_Control" hidden="1">{"'Break down'!$A$4"}</definedName>
    <definedName name="HTML_Description" hidden="1">""</definedName>
    <definedName name="HTML_Email" hidden="1">""</definedName>
    <definedName name="HTML_Header" hidden="1">"Break down"</definedName>
    <definedName name="HTML_LastUpdate" hidden="1">"6/7/98"</definedName>
    <definedName name="HTML_LineAfter" hidden="1">FALSE</definedName>
    <definedName name="HTML_LineBefore" hidden="1">FALSE</definedName>
    <definedName name="HTML_Name" hidden="1">"PAUL MATHEW"</definedName>
    <definedName name="HTML_OBDlg2" hidden="1">TRUE</definedName>
    <definedName name="HTML_OBDlg4" hidden="1">TRUE</definedName>
    <definedName name="HTML_OS" hidden="1">0</definedName>
    <definedName name="HTML_PathFile" hidden="1">"C:\WINDOWS\MSAPPS\MyHTML.htm"</definedName>
    <definedName name="HTML_Title" hidden="1">"Break_down"</definedName>
    <definedName name="Scaffolding" hidden="1">{"'Break down'!$A$4"}</definedName>
    <definedName name="stop" hidden="1">#REF!</definedName>
    <definedName name="SUM" hidden="1">{"'Sheet1 (2)'!$A$1:$C$61"}</definedName>
    <definedName name="temp" hidden="1">{"'Break down'!$A$4"}</definedName>
    <definedName name="tmp" hidden="1">{"'Break down'!$A$4"}</definedName>
    <definedName name="ubaid" hidden="1">{#N/A,#N/A,FALSE,"VCR"}</definedName>
    <definedName name="Ubaide" hidden="1">{#N/A,#N/A,FALSE,"VCR"}</definedName>
    <definedName name="wrn.Chandana." hidden="1">{#N/A,#N/A,FALSE,"VCR"}</definedName>
    <definedName name="wrn.ON_COSTS." hidden="1">{#N/A,#N/A,FALSE,"Summary";#N/A,#N/A,FALSE,"Plant";#N/A,#N/A,FALSE,"Staff";#N/A,#N/A,FALSE,"Prelim";#N/A,#N/A,FALSE,"Others"}</definedName>
    <definedName name="wrn.PRINT._.REPORT." hidden="1">{#N/A,#N/A,FALSE,"summary";#N/A,#N/A,FALSE,"preliminy";#N/A,#N/A,FALSE,"bill 3";#N/A,#N/A,FALSE,"bill 4"}</definedName>
    <definedName name="xls." hidden="1">{"'Break down'!$A$4"}</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Q208" i="4" l="1"/>
  <c r="O208" i="4"/>
  <c r="Q207" i="4"/>
  <c r="O207" i="4"/>
  <c r="Q206" i="4"/>
  <c r="O206" i="4"/>
  <c r="Q205" i="4"/>
  <c r="O205" i="4"/>
  <c r="Q204" i="4"/>
  <c r="O204" i="4"/>
  <c r="Q203" i="4"/>
  <c r="O203" i="4"/>
  <c r="Q202" i="4"/>
  <c r="O202" i="4"/>
  <c r="Q201" i="4"/>
  <c r="O201" i="4"/>
  <c r="Q200" i="4"/>
  <c r="O200" i="4"/>
  <c r="Q199" i="4"/>
  <c r="O199" i="4"/>
  <c r="Q198" i="4"/>
  <c r="O198" i="4"/>
  <c r="Q197" i="4"/>
  <c r="O197" i="4"/>
  <c r="Q196" i="4"/>
  <c r="O196" i="4"/>
  <c r="Q195" i="4"/>
  <c r="O195" i="4"/>
  <c r="Q194" i="4"/>
  <c r="O194" i="4"/>
  <c r="Q193" i="4"/>
  <c r="O193" i="4"/>
  <c r="Q192" i="4"/>
  <c r="O192" i="4"/>
  <c r="Q191" i="4"/>
  <c r="O191" i="4"/>
  <c r="Q190" i="4"/>
  <c r="O190" i="4"/>
  <c r="Q189" i="4"/>
  <c r="O189" i="4"/>
  <c r="Q188" i="4"/>
  <c r="O188" i="4"/>
  <c r="Q187" i="4"/>
  <c r="O187" i="4"/>
  <c r="Q186" i="4"/>
  <c r="O186" i="4"/>
  <c r="Q185" i="4"/>
  <c r="O185" i="4"/>
  <c r="Q184" i="4"/>
  <c r="O184" i="4"/>
  <c r="Q183" i="4"/>
  <c r="O183" i="4"/>
  <c r="Q182" i="4"/>
  <c r="O182" i="4"/>
  <c r="Q181" i="4"/>
  <c r="O181" i="4"/>
  <c r="Q180" i="4"/>
  <c r="O180" i="4"/>
  <c r="Q179" i="4"/>
  <c r="O179" i="4"/>
  <c r="Q178" i="4"/>
  <c r="O178" i="4"/>
  <c r="Q177" i="4"/>
  <c r="O177" i="4"/>
  <c r="Q176" i="4"/>
  <c r="O176" i="4"/>
  <c r="Q175" i="4"/>
  <c r="O175" i="4"/>
  <c r="Q174" i="4"/>
  <c r="O174" i="4"/>
  <c r="Q173" i="4"/>
  <c r="O173" i="4"/>
  <c r="Q172" i="4"/>
  <c r="O172" i="4"/>
  <c r="Q171" i="4"/>
  <c r="O171" i="4"/>
  <c r="Q170" i="4"/>
  <c r="O170" i="4"/>
  <c r="Q169" i="4"/>
  <c r="O169" i="4"/>
  <c r="Q168" i="4"/>
  <c r="O168" i="4"/>
  <c r="Q167" i="4"/>
  <c r="O167" i="4"/>
  <c r="Q166" i="4"/>
  <c r="O166" i="4"/>
  <c r="Q165" i="4"/>
  <c r="O165" i="4"/>
  <c r="Q164" i="4"/>
  <c r="O164" i="4"/>
  <c r="Q163" i="4"/>
  <c r="O163" i="4"/>
  <c r="Q162" i="4"/>
  <c r="O162" i="4"/>
  <c r="Q161" i="4"/>
  <c r="O161" i="4"/>
  <c r="Q160" i="4"/>
  <c r="O160" i="4"/>
  <c r="Q159" i="4"/>
  <c r="O159" i="4"/>
  <c r="Q158" i="4"/>
  <c r="O158" i="4"/>
  <c r="Q157" i="4"/>
  <c r="O157" i="4"/>
  <c r="Q156" i="4"/>
  <c r="O156" i="4"/>
  <c r="Q155" i="4"/>
  <c r="O155" i="4"/>
  <c r="Q154" i="4"/>
  <c r="O154" i="4"/>
  <c r="Q153" i="4"/>
  <c r="O153" i="4"/>
  <c r="Q152" i="4"/>
  <c r="O152" i="4"/>
  <c r="Q151" i="4"/>
  <c r="O151" i="4"/>
  <c r="Q150" i="4"/>
  <c r="O150" i="4"/>
  <c r="Q149" i="4"/>
  <c r="O149" i="4"/>
  <c r="Q148" i="4"/>
  <c r="O148" i="4"/>
  <c r="Q147" i="4"/>
  <c r="O147" i="4"/>
  <c r="Q146" i="4"/>
  <c r="O146" i="4"/>
  <c r="Q145" i="4"/>
  <c r="O145" i="4"/>
  <c r="Q144" i="4"/>
  <c r="O144" i="4"/>
  <c r="Q143" i="4"/>
  <c r="O143" i="4"/>
  <c r="Q142" i="4"/>
  <c r="O142" i="4"/>
  <c r="Q141" i="4"/>
  <c r="O141" i="4"/>
  <c r="Q140" i="4"/>
  <c r="O140" i="4"/>
  <c r="Q139" i="4"/>
  <c r="O139" i="4"/>
  <c r="Q138" i="4"/>
  <c r="O138" i="4"/>
  <c r="Q137" i="4"/>
  <c r="O137" i="4"/>
  <c r="Q136" i="4"/>
  <c r="O136" i="4"/>
  <c r="Q135" i="4"/>
  <c r="O135" i="4"/>
  <c r="Q134" i="4"/>
  <c r="O134" i="4"/>
  <c r="Q133" i="4"/>
  <c r="O133" i="4"/>
  <c r="Q132" i="4"/>
  <c r="O132" i="4"/>
  <c r="Q131" i="4"/>
  <c r="O131" i="4"/>
  <c r="Q130" i="4"/>
  <c r="O130" i="4"/>
  <c r="Q129" i="4"/>
  <c r="O129" i="4"/>
  <c r="Q128" i="4"/>
  <c r="O128" i="4"/>
  <c r="Q127" i="4"/>
  <c r="O127" i="4"/>
  <c r="Q126" i="4"/>
  <c r="O126" i="4"/>
  <c r="Q125" i="4"/>
  <c r="O125" i="4"/>
  <c r="Q124" i="4"/>
  <c r="O124" i="4"/>
  <c r="Q123" i="4"/>
  <c r="O123" i="4"/>
  <c r="Q122" i="4"/>
  <c r="O122" i="4"/>
  <c r="Q121" i="4"/>
  <c r="O121" i="4"/>
  <c r="Q120" i="4"/>
  <c r="O120" i="4"/>
  <c r="Q119" i="4"/>
  <c r="O119" i="4"/>
  <c r="Q118" i="4"/>
  <c r="O118" i="4"/>
  <c r="Q117" i="4"/>
  <c r="O117" i="4"/>
  <c r="Q116" i="4"/>
  <c r="O116" i="4"/>
  <c r="Q115" i="4"/>
  <c r="O115" i="4"/>
  <c r="Q114" i="4"/>
  <c r="O114" i="4"/>
  <c r="Q113" i="4"/>
  <c r="O113" i="4"/>
  <c r="Q112" i="4"/>
  <c r="O112" i="4"/>
  <c r="Q111" i="4"/>
  <c r="O111" i="4"/>
  <c r="Q110" i="4"/>
  <c r="O110" i="4"/>
  <c r="Q109" i="4"/>
  <c r="O109" i="4"/>
  <c r="Q108" i="4"/>
  <c r="O108" i="4"/>
  <c r="Q107" i="4"/>
  <c r="O107" i="4"/>
  <c r="Q106" i="4"/>
  <c r="O106" i="4"/>
  <c r="Q105" i="4"/>
  <c r="O105" i="4"/>
  <c r="Q104" i="4"/>
  <c r="O104" i="4"/>
  <c r="Q103" i="4"/>
  <c r="O103" i="4"/>
  <c r="Q102" i="4"/>
  <c r="O102" i="4"/>
  <c r="Q101" i="4"/>
  <c r="O101" i="4"/>
  <c r="Q100" i="4"/>
  <c r="O100" i="4"/>
  <c r="Q99" i="4"/>
  <c r="O99" i="4"/>
  <c r="Q98" i="4"/>
  <c r="O98" i="4"/>
  <c r="Q97" i="4"/>
  <c r="O97" i="4"/>
  <c r="Q96" i="4"/>
  <c r="O96" i="4"/>
  <c r="Q95" i="4"/>
  <c r="O95" i="4"/>
  <c r="Q94" i="4"/>
  <c r="O94" i="4"/>
  <c r="Q93" i="4"/>
  <c r="O93" i="4"/>
  <c r="Q92" i="4"/>
  <c r="O92" i="4"/>
  <c r="Q91" i="4"/>
  <c r="O91" i="4"/>
  <c r="Q90" i="4"/>
  <c r="O90" i="4"/>
  <c r="Q89" i="4"/>
  <c r="O89" i="4"/>
  <c r="Q88" i="4"/>
  <c r="O88" i="4"/>
  <c r="Q87" i="4"/>
  <c r="O87" i="4"/>
  <c r="Q86" i="4"/>
  <c r="O86" i="4"/>
  <c r="Q85" i="4"/>
  <c r="O85" i="4"/>
  <c r="Q84" i="4"/>
  <c r="O84" i="4"/>
  <c r="Q83" i="4"/>
  <c r="O83" i="4"/>
  <c r="Q82" i="4"/>
  <c r="O82" i="4"/>
  <c r="Q81" i="4"/>
  <c r="O81" i="4"/>
  <c r="Q80" i="4"/>
  <c r="O80" i="4"/>
  <c r="Q79" i="4"/>
  <c r="O79" i="4"/>
  <c r="Q78" i="4"/>
  <c r="O78" i="4"/>
  <c r="Q77" i="4"/>
  <c r="O77" i="4"/>
  <c r="Q76" i="4"/>
  <c r="O76" i="4"/>
  <c r="Q75" i="4"/>
  <c r="O75" i="4"/>
  <c r="Q74" i="4"/>
  <c r="O74" i="4"/>
  <c r="Q73" i="4"/>
  <c r="O73" i="4"/>
  <c r="Q72" i="4"/>
  <c r="O72" i="4"/>
  <c r="Q71" i="4"/>
  <c r="O71" i="4"/>
  <c r="Q70" i="4"/>
  <c r="O70" i="4"/>
  <c r="Q69" i="4"/>
  <c r="O69" i="4"/>
  <c r="Q68" i="4"/>
  <c r="O68" i="4"/>
  <c r="Q67" i="4"/>
  <c r="O67" i="4"/>
  <c r="Q66" i="4"/>
  <c r="O66" i="4"/>
  <c r="Q65" i="4"/>
  <c r="O65" i="4"/>
  <c r="Q64" i="4"/>
  <c r="O64" i="4"/>
  <c r="Q63" i="4"/>
  <c r="O63" i="4"/>
  <c r="Q62" i="4"/>
  <c r="O62" i="4"/>
  <c r="Q61" i="4"/>
  <c r="O61" i="4"/>
  <c r="Q60" i="4"/>
  <c r="O60" i="4"/>
  <c r="Q59" i="4"/>
  <c r="O59" i="4"/>
  <c r="Q58" i="4"/>
  <c r="O58" i="4"/>
  <c r="Q57" i="4"/>
  <c r="O57" i="4"/>
  <c r="Q56" i="4"/>
  <c r="O56" i="4"/>
  <c r="Q55" i="4"/>
  <c r="O55" i="4"/>
  <c r="Q54" i="4"/>
  <c r="O54" i="4"/>
  <c r="Q53" i="4"/>
  <c r="O53" i="4"/>
  <c r="Q52" i="4"/>
  <c r="O52" i="4"/>
  <c r="Q51" i="4"/>
  <c r="O51" i="4"/>
  <c r="Q50" i="4"/>
  <c r="O50" i="4"/>
  <c r="Q49" i="4"/>
  <c r="O49" i="4"/>
  <c r="Q48" i="4"/>
  <c r="O48" i="4"/>
  <c r="Q47" i="4"/>
  <c r="O47" i="4"/>
  <c r="Q46" i="4"/>
  <c r="O46" i="4"/>
  <c r="Q45" i="4"/>
  <c r="O45" i="4"/>
  <c r="Q44" i="4"/>
  <c r="O44" i="4"/>
  <c r="Q43" i="4"/>
  <c r="O43" i="4"/>
  <c r="Q42" i="4"/>
  <c r="O42" i="4"/>
  <c r="Q41" i="4"/>
  <c r="O41" i="4"/>
  <c r="Q40" i="4"/>
  <c r="O40" i="4"/>
  <c r="Q39" i="4"/>
  <c r="O39" i="4"/>
  <c r="Q38" i="4"/>
  <c r="O38" i="4"/>
  <c r="Q37" i="4"/>
  <c r="O37" i="4"/>
  <c r="Q36" i="4"/>
  <c r="O36" i="4"/>
  <c r="Q35" i="4"/>
  <c r="O35" i="4"/>
  <c r="Q34" i="4"/>
  <c r="O34" i="4"/>
  <c r="Q33" i="4"/>
  <c r="O33" i="4"/>
  <c r="Q32" i="4"/>
  <c r="O32" i="4"/>
  <c r="Q31" i="4"/>
  <c r="O31" i="4"/>
  <c r="Q30" i="4"/>
  <c r="O30" i="4"/>
  <c r="Q29" i="4"/>
  <c r="O29" i="4"/>
  <c r="Q28" i="4"/>
  <c r="O28" i="4"/>
  <c r="Q27" i="4"/>
  <c r="O27" i="4"/>
  <c r="Q26" i="4"/>
  <c r="O26" i="4"/>
  <c r="Q25" i="4"/>
  <c r="O25" i="4"/>
  <c r="Q24" i="4"/>
  <c r="O24" i="4"/>
  <c r="Q23" i="4"/>
  <c r="O23" i="4"/>
  <c r="Q22" i="4"/>
  <c r="O22" i="4"/>
  <c r="Q21" i="4"/>
  <c r="O21" i="4"/>
  <c r="Q20" i="4"/>
  <c r="O20" i="4"/>
  <c r="Q19" i="4"/>
  <c r="O19" i="4"/>
  <c r="Q18" i="4"/>
  <c r="O18" i="4"/>
  <c r="Q17" i="4"/>
  <c r="O17" i="4"/>
  <c r="Q16" i="4"/>
  <c r="O16" i="4"/>
  <c r="Q15" i="4"/>
  <c r="O15" i="4"/>
  <c r="Q14" i="4"/>
  <c r="O14" i="4"/>
  <c r="Q13" i="4"/>
  <c r="O13" i="4"/>
  <c r="Q12" i="4"/>
  <c r="O12" i="4"/>
  <c r="O209" i="4" s="1"/>
</calcChain>
</file>

<file path=xl/sharedStrings.xml><?xml version="1.0" encoding="utf-8"?>
<sst xmlns="http://schemas.openxmlformats.org/spreadsheetml/2006/main" count="5359" uniqueCount="1570">
  <si>
    <t>POMI BQ CODING TOOL  ·  Instructions &amp; Quick Start Guide</t>
  </si>
  <si>
    <t>STEP 1 — Open the 'BQ Coding Tool' tab</t>
  </si>
  <si>
    <t xml:space="preserve">  •  This is the main working sheet.</t>
  </si>
  <si>
    <t xml:space="preserve">  •  It has 200 rows ready for BQ item descriptions.</t>
  </si>
  <si>
    <t xml:space="preserve">  •  Columns F–P are auto-filled by the coder script — do not type in them directly.</t>
  </si>
  <si>
    <t>STEP 2 — Fill in Project Info (rows 5–6)</t>
  </si>
  <si>
    <t xml:space="preserve">  •  Enter Country, City, Asset, Project Name, Contract Type, Base Date and Currency.</t>
  </si>
  <si>
    <t xml:space="preserve">  •  These are for your records only — they don't affect the coding.</t>
  </si>
  <si>
    <t>STEP 3 — Paste BQ Descriptions into Column E</t>
  </si>
  <si>
    <t xml:space="preserve">  •  Paste one BQ item description per row, starting at row 9.</t>
  </si>
  <si>
    <t xml:space="preserve">  •  You can paste up to 200 items at once.</t>
  </si>
  <si>
    <t xml:space="preserve">  •  Do not paste anything into Columns F–P — these are output columns.</t>
  </si>
  <si>
    <t xml:space="preserve">  •  Optionally fill: Col B = BQ Reference, Col C = Trade, Col D = Item Type.</t>
  </si>
  <si>
    <t xml:space="preserve">  •  Optionally fill: Col L = Unit, Col M = Quantity, Col N = Rate.</t>
  </si>
  <si>
    <t>STEP 4 — Run the Auto-Coder Script</t>
  </si>
  <si>
    <t xml:space="preserve">  •  Open a terminal / command prompt in the same folder as this Excel file.</t>
  </si>
  <si>
    <t xml:space="preserve">  •  Run:  python pomi_auto_coder.py POMI_CODING_FINAL.xlsx</t>
  </si>
  <si>
    <t xml:space="preserve">  •  The script will print results showing each code and confidence %.</t>
  </si>
  <si>
    <t xml:space="preserve">  •  Items with confidence &lt;85% are flagged ⚠ REVIEW in Column Q.</t>
  </si>
  <si>
    <t xml:space="preserve">  •  When done, reopen the Excel file — all codes will be filled in.</t>
  </si>
  <si>
    <t>STEP 5 — Review Flagged Items</t>
  </si>
  <si>
    <t xml:space="preserve">  •  Filter Column Q for '⚠ REVIEW' to find low-confidence codes.</t>
  </si>
  <si>
    <t xml:space="preserve">  •  Check the suggested code in Column G against the CODING reference tab.</t>
  </si>
  <si>
    <t xml:space="preserve">  •  If you want to override: type the correct code in Column R (Override Code).</t>
  </si>
  <si>
    <t xml:space="preserve">  •  The original AI suggestion remains in Col G for comparison.</t>
  </si>
  <si>
    <t>STEP 6 — Complete Quantities and Rates</t>
  </si>
  <si>
    <t xml:space="preserve">  •  Enter Quantity in Column M and Rate in Column N.</t>
  </si>
  <si>
    <t xml:space="preserve">  •  Column O (Amount) calculates automatically.</t>
  </si>
  <si>
    <t xml:space="preserve">  •  The total sum appears at the bottom of Column O (row 209).</t>
  </si>
  <si>
    <t>UNDERSTANDING CONFIDENCE SCORES</t>
  </si>
  <si>
    <t xml:space="preserve">  •  95–99%  →  Exact or near-exact match. Code is reliable.</t>
  </si>
  <si>
    <t xml:space="preserve">  •  85–94%  →  Good match. Verify once before accepting.</t>
  </si>
  <si>
    <t xml:space="preserve">  •  70–84%  →  Partial match. ⚠ Review carefully — check CODING tab.</t>
  </si>
  <si>
    <t xml:space="preserve">  •  Below 70%  →  Weak match. ⚠ Manual coding recommended.</t>
  </si>
  <si>
    <t xml:space="preserve">  •  General rule: Accept ≥85% automatically; review &lt;85% manually.</t>
  </si>
  <si>
    <t>TABS IN THIS WORKBOOK</t>
  </si>
  <si>
    <t xml:space="preserve">  •  HOW TO USE   — this instructions tab</t>
  </si>
  <si>
    <t xml:space="preserve">  •  BQ Coding Tool  — main input/output sheet (paste descriptions here)</t>
  </si>
  <si>
    <t xml:space="preserve">  •  CODING   — full POMI coding rulebook (617 entries, Sections A–R)</t>
  </si>
  <si>
    <t xml:space="preserve">  •  NRM   — NRM code reference with full POMI clause mappings</t>
  </si>
  <si>
    <t xml:space="preserve">  •  POMI   — high-level POMI section index</t>
  </si>
  <si>
    <t xml:space="preserve">  •  LOOKUP_DATA  — hidden reference table used by the coder script</t>
  </si>
  <si>
    <t>POMI Section</t>
  </si>
  <si>
    <t>POMI Sub Section</t>
  </si>
  <si>
    <t>A</t>
  </si>
  <si>
    <t>GENERAL REQUIREMENTS</t>
  </si>
  <si>
    <t>Conditions of contract</t>
  </si>
  <si>
    <t>Specification</t>
  </si>
  <si>
    <t>Restrictions</t>
  </si>
  <si>
    <t>Contractor's administrative arrangements</t>
  </si>
  <si>
    <t>Constructional plant</t>
  </si>
  <si>
    <t>Employer's facilities</t>
  </si>
  <si>
    <t>Contractor's facilities</t>
  </si>
  <si>
    <t>Temporary works</t>
  </si>
  <si>
    <t>Sundry items</t>
  </si>
  <si>
    <t>B</t>
  </si>
  <si>
    <t>SITE WORK</t>
  </si>
  <si>
    <t xml:space="preserve">Site exploration generally </t>
  </si>
  <si>
    <t xml:space="preserve">Trial holes </t>
  </si>
  <si>
    <t xml:space="preserve">Boreholes (including pumping test wells) </t>
  </si>
  <si>
    <t xml:space="preserve">Site preparation </t>
  </si>
  <si>
    <t xml:space="preserve">Demolitions and alterations </t>
  </si>
  <si>
    <t xml:space="preserve">Shoring </t>
  </si>
  <si>
    <t xml:space="preserve">Underpinning </t>
  </si>
  <si>
    <t xml:space="preserve">Earthworks generally </t>
  </si>
  <si>
    <t xml:space="preserve">Excavation </t>
  </si>
  <si>
    <t xml:space="preserve">Dredging </t>
  </si>
  <si>
    <t xml:space="preserve">Disposal </t>
  </si>
  <si>
    <t xml:space="preserve">Filling </t>
  </si>
  <si>
    <t xml:space="preserve">Piling generally </t>
  </si>
  <si>
    <t xml:space="preserve">Driven piling </t>
  </si>
  <si>
    <t xml:space="preserve">Bored piling </t>
  </si>
  <si>
    <t xml:space="preserve">Sheet piling </t>
  </si>
  <si>
    <t xml:space="preserve">Performance designed piling </t>
  </si>
  <si>
    <t xml:space="preserve">Testing piling </t>
  </si>
  <si>
    <t xml:space="preserve">Underground drainage </t>
  </si>
  <si>
    <t xml:space="preserve">Paving and surfacing </t>
  </si>
  <si>
    <t xml:space="preserve">Fencing </t>
  </si>
  <si>
    <t xml:space="preserve">Landscaping </t>
  </si>
  <si>
    <t xml:space="preserve">Railway work </t>
  </si>
  <si>
    <t xml:space="preserve">Tunnel excavation </t>
  </si>
  <si>
    <t xml:space="preserve">Tunnel linings </t>
  </si>
  <si>
    <t xml:space="preserve">Tunnel support and stabilisation </t>
  </si>
  <si>
    <t>C</t>
  </si>
  <si>
    <t>CONCRETE WORK</t>
  </si>
  <si>
    <t xml:space="preserve">Generally </t>
  </si>
  <si>
    <t xml:space="preserve">Poured concrete </t>
  </si>
  <si>
    <t xml:space="preserve">Reinforcement </t>
  </si>
  <si>
    <t xml:space="preserve">Shuttering </t>
  </si>
  <si>
    <t xml:space="preserve">Precast concrete </t>
  </si>
  <si>
    <t xml:space="preserve">Prestressed concrete </t>
  </si>
  <si>
    <t xml:space="preserve">Sundries </t>
  </si>
  <si>
    <t>D</t>
  </si>
  <si>
    <t>MASONRY</t>
  </si>
  <si>
    <t xml:space="preserve">Walls and piers </t>
  </si>
  <si>
    <t xml:space="preserve">Sills, etc </t>
  </si>
  <si>
    <t>E</t>
  </si>
  <si>
    <t>METALWORK</t>
  </si>
  <si>
    <t xml:space="preserve">Structural metalwork </t>
  </si>
  <si>
    <t xml:space="preserve">Non structural metalwork </t>
  </si>
  <si>
    <t>F</t>
  </si>
  <si>
    <t>WOODWORK</t>
  </si>
  <si>
    <t xml:space="preserve">Structural timbers </t>
  </si>
  <si>
    <t xml:space="preserve">Boarding and flooring </t>
  </si>
  <si>
    <t xml:space="preserve">Grounds and battens </t>
  </si>
  <si>
    <t xml:space="preserve">Framework </t>
  </si>
  <si>
    <t xml:space="preserve">Finishings and fittings </t>
  </si>
  <si>
    <t xml:space="preserve">Composlte items </t>
  </si>
  <si>
    <t xml:space="preserve">Sundry items </t>
  </si>
  <si>
    <t xml:space="preserve">Metalwork </t>
  </si>
  <si>
    <t xml:space="preserve">Ironmongery </t>
  </si>
  <si>
    <t>G</t>
  </si>
  <si>
    <t>THERMAL AND MOISTURE PROTECTION</t>
  </si>
  <si>
    <t xml:space="preserve">Coverings and linings </t>
  </si>
  <si>
    <t xml:space="preserve">Damp-proof courses </t>
  </si>
  <si>
    <t xml:space="preserve">Insulation </t>
  </si>
  <si>
    <t>H</t>
  </si>
  <si>
    <t>DOORS AND WINDOWS</t>
  </si>
  <si>
    <t xml:space="preserve">Doors </t>
  </si>
  <si>
    <t xml:space="preserve">Windows </t>
  </si>
  <si>
    <t xml:space="preserve">Screens </t>
  </si>
  <si>
    <t xml:space="preserve">Glass </t>
  </si>
  <si>
    <t xml:space="preserve">Patent glazing </t>
  </si>
  <si>
    <t>4196 4999 1537 8608</t>
  </si>
  <si>
    <t>J</t>
  </si>
  <si>
    <t>FINISHES</t>
  </si>
  <si>
    <t xml:space="preserve">Backgrounds </t>
  </si>
  <si>
    <t xml:space="preserve">Finishings </t>
  </si>
  <si>
    <t xml:space="preserve">Suspended ceilings </t>
  </si>
  <si>
    <t xml:space="preserve">Decorations </t>
  </si>
  <si>
    <t xml:space="preserve">Signwriting </t>
  </si>
  <si>
    <t>K</t>
  </si>
  <si>
    <t>ACCESSORIES</t>
  </si>
  <si>
    <t xml:space="preserve">Partitions </t>
  </si>
  <si>
    <t>L</t>
  </si>
  <si>
    <t>EQUIPMENT</t>
  </si>
  <si>
    <t>M</t>
  </si>
  <si>
    <t>FURNISHINGS</t>
  </si>
  <si>
    <t xml:space="preserve">Curtain track </t>
  </si>
  <si>
    <t>N</t>
  </si>
  <si>
    <t>SPECIAL CONSTRUCTION</t>
  </si>
  <si>
    <t xml:space="preserve">Enclosures </t>
  </si>
  <si>
    <t xml:space="preserve">Installations </t>
  </si>
  <si>
    <t>P</t>
  </si>
  <si>
    <t>CONVEYING SYSTEMS</t>
  </si>
  <si>
    <t xml:space="preserve">Work incidental to conveying systems </t>
  </si>
  <si>
    <t>Q</t>
  </si>
  <si>
    <t>MECHANICAL ENGINEERING INSTALLATIONS</t>
  </si>
  <si>
    <t xml:space="preserve">Pipework and gutterwork </t>
  </si>
  <si>
    <t xml:space="preserve">Ductwork </t>
  </si>
  <si>
    <t xml:space="preserve">Equipment </t>
  </si>
  <si>
    <t xml:space="preserve">Automatic controls </t>
  </si>
  <si>
    <t xml:space="preserve">Connections to supply mains </t>
  </si>
  <si>
    <t xml:space="preserve">Insulation, including linings and protective coverings </t>
  </si>
  <si>
    <t xml:space="preserve">Work incidental to mechanical engineering installations </t>
  </si>
  <si>
    <t>R</t>
  </si>
  <si>
    <t>ELECTRICAL ENGINEERING INSTALLATIONS</t>
  </si>
  <si>
    <t xml:space="preserve">Main circuits </t>
  </si>
  <si>
    <t xml:space="preserve">Sub-main circuits </t>
  </si>
  <si>
    <t xml:space="preserve">Final sub-circuits and auxiliary installations </t>
  </si>
  <si>
    <t xml:space="preserve">Accessories </t>
  </si>
  <si>
    <t xml:space="preserve">Control gear </t>
  </si>
  <si>
    <t xml:space="preserve">Work incidental to electrical engineering installations </t>
  </si>
  <si>
    <t>Sub Scetion L1</t>
  </si>
  <si>
    <t>Sub Scetion L2</t>
  </si>
  <si>
    <t>Sub Scetion L3</t>
  </si>
  <si>
    <t>POMI CODING STRUCTURE</t>
  </si>
  <si>
    <t>SECTION A - GENERAL REQUIREMENTS</t>
  </si>
  <si>
    <t>A schedule of the clause headings shall be set out in the bills of quantities.</t>
  </si>
  <si>
    <t>Where there is an appendix to the conditions of contract requiring insertions to be made, a schedule of the insertions shall be set out in the bills of quantities.</t>
  </si>
  <si>
    <t>Where the specification contains clauses related to any of the following General Requirements, the bills of quantities shall make reference to the appropriate clauses.</t>
  </si>
  <si>
    <t>Particulars shall be given of any restrictions, which shall include:</t>
  </si>
  <si>
    <t>1.    Access to and possession or use of the site</t>
  </si>
  <si>
    <t>2.    Limitations of working space</t>
  </si>
  <si>
    <t>3.    Limitations of working hours</t>
  </si>
  <si>
    <t>4.    The maintenance of existing services on, under or over the site</t>
  </si>
  <si>
    <t>5.    The execution or completion of the work in any specific order, sections or phases</t>
  </si>
  <si>
    <t>6.    Items of a like nature.</t>
  </si>
  <si>
    <t>An item shall be given for contractor's administrative arrangements, which shall include:</t>
  </si>
  <si>
    <t>1.    Site administration</t>
  </si>
  <si>
    <t>2.    Supervision</t>
  </si>
  <si>
    <t>3.    Security</t>
  </si>
  <si>
    <t>4.    Safety, health and welfare of workpeople</t>
  </si>
  <si>
    <t>5.    Transport of workpeople.</t>
  </si>
  <si>
    <t>An item shall be given for constructional plant, which shall include:</t>
  </si>
  <si>
    <t>1.    Small plant and tools</t>
  </si>
  <si>
    <t>2.    Scaffolding</t>
  </si>
  <si>
    <t>3.    Cranes and lifting plant</t>
  </si>
  <si>
    <t>4.    Site transport</t>
  </si>
  <si>
    <t>5.    Plant required for specific trades.</t>
  </si>
  <si>
    <t>Particulars shall be given of any facilities required for the employer or the employer's representatives, which shall include:</t>
  </si>
  <si>
    <t>1.    Temporary accommodation (for example, offices, laboratories, living accommodation), including heating, cooling, lighting, furnishing, attendance or related facilities</t>
  </si>
  <si>
    <t>2.    Telephones, including costs of calls; alternatively, the cost of calls may be given as a sum</t>
  </si>
  <si>
    <t>3.    Vehicles</t>
  </si>
  <si>
    <t>4.    Attendance of staff (for example, drivers, laboratory assistants)</t>
  </si>
  <si>
    <t>5.    Equipment (for example, surveyor laboratory equipment)</t>
  </si>
  <si>
    <t>6.    Special requirements for programmes or progress charts</t>
  </si>
  <si>
    <t>7.    Any other facilities (for example, progress photographs, signboards).</t>
  </si>
  <si>
    <t>An item shall be given for facilities required by the contractor, which shall include:</t>
  </si>
  <si>
    <t>1.    Accommodation and buildings, including offices, laboratories, compounds, stores, messrooms and living accommodation</t>
  </si>
  <si>
    <t>2.    Temporary fencing, including hoardings, screens, roofs and guardrails</t>
  </si>
  <si>
    <t>3.    Temporary roads, including hardstandings and crossings</t>
  </si>
  <si>
    <t>4.    Water for the works; particulars shall be given if water will be supplied to the contractor</t>
  </si>
  <si>
    <t>5.    Lighting and power for the works; particulars shall be given if current will be supplied to the contractor</t>
  </si>
  <si>
    <t>6.    Temporary telephones.</t>
  </si>
  <si>
    <t>Particulars shall be given where the nature or extent of the facilities is not at the discretion of the contractor.</t>
  </si>
  <si>
    <t>An item shall be given for temporary works, which shall include:</t>
  </si>
  <si>
    <t>1.    Traffic diversion</t>
  </si>
  <si>
    <t>2.    Access roads</t>
  </si>
  <si>
    <t>3.    Bridges</t>
  </si>
  <si>
    <t>4.    Cofferdams</t>
  </si>
  <si>
    <t>5.    Pumping</t>
  </si>
  <si>
    <t>6.    De-watering</t>
  </si>
  <si>
    <t>7.    Compressed air for tunnelling.</t>
  </si>
  <si>
    <t>Particulars shall be given where the nature or extent of the temporary works is not at the discretion of the contractor.</t>
  </si>
  <si>
    <t>An item shall be given for sundry items, which shall include:</t>
  </si>
  <si>
    <t>1.    Testing of materials</t>
  </si>
  <si>
    <t>2.    Testing of the works</t>
  </si>
  <si>
    <t>3.    Protecting the works from inclement weather</t>
  </si>
  <si>
    <t>4.    Removing rubbish, protective casings and coverings and cleaning the works at completion</t>
  </si>
  <si>
    <t>5.    Traffic regulations</t>
  </si>
  <si>
    <t>6.    Maintenance of public and private roads '</t>
  </si>
  <si>
    <t>7.    Drying the works</t>
  </si>
  <si>
    <t>8.    Control of noise and pollution</t>
  </si>
  <si>
    <t>9.    All statutory obligations</t>
  </si>
  <si>
    <t>Particulars shall be given where the nature or extent of the sundry items is not at the discretion of the contractor.</t>
  </si>
  <si>
    <t>SECTION B - SITE WORK</t>
  </si>
  <si>
    <t>B1 Site exploration generally</t>
  </si>
  <si>
    <t>B1.1 Keeping records of site observations, site tests and laboratory tests shall be given as an item.</t>
  </si>
  <si>
    <t>B1.2 Samples, site observations, site tests, a oratory tests an analyses shall be given as an item,</t>
  </si>
  <si>
    <t>B1.3 Providing reports shall be given as an item.</t>
  </si>
  <si>
    <t>B2 Trial holes</t>
  </si>
  <si>
    <t>B2.1 Excavating trial holes shall be measured by depth, taken along the centre line, stating the number and the maximum depth below commencing level.</t>
  </si>
  <si>
    <t>B2.2 Earthwork support which is not at the discretion of the contractor shall be measured by depth.</t>
  </si>
  <si>
    <t>B3 Boreholes (including pumping test wells)</t>
  </si>
  <si>
    <t>B3.1 Driving boreholes shall be measured by depth, taken along the centre line, stating the number and the maximum depth below commencing level; raking boreholes shall be so described.</t>
  </si>
  <si>
    <t>B3.2 Lining which is not at the discretion of the contractor shall be measured by depth.</t>
  </si>
  <si>
    <t>B3.3 Cap pings shall be enumerated.</t>
  </si>
  <si>
    <t>B4 Site preparation</t>
  </si>
  <si>
    <t>B4.1 Removing isolated trees shall be enumerated.</t>
  </si>
  <si>
    <t>B4.2 Removing hedges shall be measured by length.</t>
  </si>
  <si>
    <t>B4.3 Site clearance, which shall include removing vegetation, undergrowth, bushes, hedges, trees or the like, shall be measured by area.</t>
  </si>
  <si>
    <t>B5 Demolitions and alterations</t>
  </si>
  <si>
    <t>B5.1 The location of each item shall be given. Unless otherwise stated, old materials shall be understood to become the property of the contractor and shall be cleared away; old materials required to remain the property of the employer shall be so described.</t>
  </si>
  <si>
    <t>B5.2 Removing individual fittings, fixtures, engineering installations or the like from an existing structure shall each be given as an item.</t>
  </si>
  <si>
    <t>B5.3 Demolishing individual structures (or part thereof) shall each be given as an item; alternatively, demolishing all structures on a site may be given as an item.</t>
  </si>
  <si>
    <t>B5.4 Cutting openings in existing structures and alterations to existing structures shall each be given as an item; making good all work damaged shall be understood to be included.</t>
  </si>
  <si>
    <t>B5.5 Temporary screens and roofs shall be given as an item.</t>
  </si>
  <si>
    <t>B6 Shoring</t>
  </si>
  <si>
    <t>B6.1 Shoring incidental to demolitions and alterations, together with clearing away and making good all work damaged, shall be understood to be included.</t>
  </si>
  <si>
    <t>B6.2 Shoring (other than that incidental to demolitions and alterations) shall be given as an item, stating the location; clearing away and making good all work damaged shall be understood to be included.</t>
  </si>
  <si>
    <t>B6.3 Particulars shall be given where the design of the shoring is not at the discretion of the contractor.</t>
  </si>
  <si>
    <t>B6.4 Shoring which is required by the specification to be left in position shall be so described.</t>
  </si>
  <si>
    <t>B7 Underpinning</t>
  </si>
  <si>
    <t>B7.1 Work in underpinning shall be given under an appropriate heading, stating the location.</t>
  </si>
  <si>
    <t>B7.2 Unless otherwise stated, work shall be measured in accordance with the appropriate sections of this document.</t>
  </si>
  <si>
    <t>B7.3 Temporary support shall be given as an item; particulars shall be given where the design of the temporary support is not at the discretion of the contractor.</t>
  </si>
  <si>
    <t>B7.4 Excavation shall be measured by volume, taken to the outside line of the projecting foundations or to the outside line of the new foundations (whichever is the greater), classified as follows:</t>
  </si>
  <si>
    <t>1. Excavation in preliminary trenches down to the base of the existing foundations</t>
  </si>
  <si>
    <t>2. Excavation below the base of the existing foundations.</t>
  </si>
  <si>
    <t>B7.5 Cutting away projecting foundations shall be measured by length.</t>
  </si>
  <si>
    <t>B8 Earthworks generally</t>
  </si>
  <si>
    <t>B8.1 Any information available concerning the nature of the ground and strata shall be provided with the bills of quantities.</t>
  </si>
  <si>
    <t>B8.2 The quantities for excavation, dredging or tunnelling shall be understood to be the bulk before excavation, and no allowance shall be made for any working space or subsequent variation in bulk; existing voids shall be deducted.</t>
  </si>
  <si>
    <t>B8.3 Multiple handling of materials and transporting about the site shall be understood to be included; multiple handling which is required by the specification shall be so described in the item of disposal.</t>
  </si>
  <si>
    <t>B8.4 Earthwork support shall be given as an item.</t>
  </si>
  <si>
    <t>B8.5 Excavation in rock shall be so described; alternatively, it may be measured as extra over excavation (that is, the volume of rock shall be measured bur no deduction shall be made from the volume of excavation in which the rock occurs).</t>
  </si>
  <si>
    <t>B8.6 For the purposes of measurement rock is defined as any material met with which is of such size or position that. in the opinion of the employer's representative. It can only be removed by means of wedges, special plant or explosives.</t>
  </si>
  <si>
    <t>B9 Excavation</t>
  </si>
  <si>
    <t>B9.1 Unless otherwise stated, excavation shall be measured by volume as the void which is to be occupied by the permanent construction, or vertically above any part of the permanent construction, classified as follows:</t>
  </si>
  <si>
    <t>1. Oversite excavation to remove top soil, stating the average depth</t>
  </si>
  <si>
    <t>2. Excavation to reduce levels</t>
  </si>
  <si>
    <t>3. Excavation in cuttings</t>
  </si>
  <si>
    <t>4. Basement excavation</t>
  </si>
  <si>
    <t>5. Trench excavation to receive foundations, which shall include pile caps and ground beams</t>
  </si>
  <si>
    <t>6. Pit excavation to receive foundation bases, stating the number</t>
  </si>
  <si>
    <t>7. Excavation for diaphragm walls, stating the width of the permanent construction and the type of support fluid.</t>
  </si>
  <si>
    <t>B9.2 Excavation of trenches for service pipes, drain pipes, cables or the like shall each be measured by length, stating the average depth; disposal and filling shall be understood to be included.</t>
  </si>
  <si>
    <t>B9.3 For excavation in tunnelling see clause B24.</t>
  </si>
  <si>
    <t>B10 Dredging</t>
  </si>
  <si>
    <t>B10.1 Dredging shall be measured by volume, stating the location and limits; unless otherwise stated, measurement shall be understood to be taken from soundings.</t>
  </si>
  <si>
    <t>B11 Disposal</t>
  </si>
  <si>
    <t>B11.1 Disposal of material arising from excavation, dredging or tunnelling shall be measured by volume as equal to the volume of excavation, dredging or tunnelling and each shall be classified as follows:</t>
  </si>
  <si>
    <t>1. Backfilled into excavation</t>
  </si>
  <si>
    <t>2. Backfilled in making up levels</t>
  </si>
  <si>
    <t>3. Backfilled oversite to make up levels, giving details of special contouring, embankments or the like</t>
  </si>
  <si>
    <t>4. Removed, which shall include providing a suitable tip.</t>
  </si>
  <si>
    <t>B12 Filling</t>
  </si>
  <si>
    <t>B12.1 Filling material (other than that arising from excavation, dredging or tunnelling) shall be measured by volume as equal to the void to be filled, classified as follows:</t>
  </si>
  <si>
    <t>1. Filled into excavation</t>
  </si>
  <si>
    <t>2. Filled in making up levels</t>
  </si>
  <si>
    <t>3. Filled oversite to make up levels, giving details of special contouring, embankments or the like.</t>
  </si>
  <si>
    <t>B13 Piling generally</t>
  </si>
  <si>
    <t>B13.1 For the purposes of measurement, driven piling shall include timber, precast concrete or metal piles.</t>
  </si>
  <si>
    <t>B13.2 Other piling systems (for example, preformed casing with concrete filling) shall be measured in accordance with the principles for driven piling or bored piling as may be appropriate.</t>
  </si>
  <si>
    <t>B13.3 Unless otherwise stated, reinforcement shall be measured in accordance with Section C.</t>
  </si>
  <si>
    <t>B14 Driven piling</t>
  </si>
  <si>
    <t>B14.1 Supplying piles shall be measured by length, stating the number; reinforcement shall be given separately.</t>
  </si>
  <si>
    <t>B14.2 Heads and shoes shall be enumerated.</t>
  </si>
  <si>
    <t>B14.3 Driving piles shall be measured by length, taken from the pile point in contact with the ground when pitched to the pile point when driven, stating the number; driving piles on rake shall be so described.</t>
  </si>
  <si>
    <t>B14.4 Cutting off tops of piles and connections for lengthening piles shall be enumerated.</t>
  </si>
  <si>
    <t>B15 Bored piling</t>
  </si>
  <si>
    <t>B15.1 Boring for piles shall be measured by length, taken from the formation level of the ground to the bottom of the pile hole, stating the number; the measurement shall include for blind boring when the pile top is to be below the formation level of the ground.</t>
  </si>
  <si>
    <t>B15.2 Boring through rock shall be measured by length as extra over boring for piles (that is, the length of boring through rock shall be measured but no deduction shall be made from the total length of boring).</t>
  </si>
  <si>
    <t>B15.3 Linings for piles shall be measured by length.</t>
  </si>
  <si>
    <t>B15.4 Disposal of material arising from boring shall be measured in accordance with clause B11.</t>
  </si>
  <si>
    <t>B15.5 Concrete filling shall be measured by volume.</t>
  </si>
  <si>
    <t>B15.6 Cutting off tops of piles and forming enlarged bases shall be enumerated.</t>
  </si>
  <si>
    <t>B16 Sheet piling</t>
  </si>
  <si>
    <t>B16.1 The measurements for sheet piling shall be taken along the centre line.</t>
  </si>
  <si>
    <t>B16.2 Supplying sheet piling shall be measured by area, taken as the area when in final position.</t>
  </si>
  <si>
    <t>B16.3 Corner piles or the like shall be measured by length.</t>
  </si>
  <si>
    <t>B16.4 Driving sheet piling shall be measured by area, taken from the formation level of the ground to the bottom edge of the sheet piling when driven; strutting and waling and withdrawing sheet piling shall be understood to be included.</t>
  </si>
  <si>
    <t>B16.5 Cutting sheet piling shall be measured by length.</t>
  </si>
  <si>
    <t>B16.6 Sheet piling which is required by the specification to be left in position shall be so described.</t>
  </si>
  <si>
    <t>B17 Performance designed piling</t>
  </si>
  <si>
    <t>B17.1 Performance designed piles shall be enumerated; reinforcement and disposal of material arising from boring shall be understood to be included.</t>
  </si>
  <si>
    <t>B17.2 Details shall be given when the pile top is to be below the formation level of the ground.</t>
  </si>
  <si>
    <t>B18 Testing piling</t>
  </si>
  <si>
    <t>B18.1 Testing piling, which shall include trial piles and testing working piles, shall be given as an item.</t>
  </si>
  <si>
    <t>B19 Underground drainage</t>
  </si>
  <si>
    <t>B19.1 Drain pipes shall be measured by length, taken along the centre line over all fittings; drain pipes within inspection chambers or the like shall be so described and shall be understood to drainage include fixings and supports.</t>
  </si>
  <si>
    <t>B19.2 Drain fittings in the length (for example, bends, junctions) shall be enumerated, grouped together for each size of pipe and described as 'fittings'.</t>
  </si>
  <si>
    <t>B19.3 Drain accessories (for example, gullies, traps) shall be enumerated; concrete surrounds and additional excavation shall be understood to be included.</t>
  </si>
  <si>
    <t>B19.4 Concrete beds and coverings for drain pipes shall each be measured by length, stating the diameter of the pipe; surrounds to vertical pipes shall be so described and shall be understood to include formwork.</t>
  </si>
  <si>
    <t>B19.5 Inspection chambers or the like shall be enumerated; alternatively, they may be measured in accordance \\'ith the relevant sections of this document and given under an appropriate heading.</t>
  </si>
  <si>
    <t>B19.6 Connections to existing drains shall be enumerated, subject to clause GP8. B20 Paving and surfacing</t>
  </si>
  <si>
    <t>B20 Paving and surfacing</t>
  </si>
  <si>
    <t>B20.1 Paving and surfacing shall be measured by area.</t>
  </si>
  <si>
    <t>B20.2 Expansion joints and water stops shall be measured by length.</t>
  </si>
  <si>
    <t>B20.3 Channels, curbs, edgings or the like shall be measured by length; curved work shall be so described.</t>
  </si>
  <si>
    <t>B21 Fencing</t>
  </si>
  <si>
    <t>B21.1 Fencing, which shall include posts and supports in the length, shall be measured by length; excavating pits, disposal and filling shall be understood to be included.</t>
  </si>
  <si>
    <t>B21.2 Special posts (for example, gate posts, straining posts) shall be enumerated; excavating pits, disposal and filling shall be understood to be included.</t>
  </si>
  <si>
    <t>B21.3 Gates, barriers or the like shall be enumerated.</t>
  </si>
  <si>
    <t>B21.4 Finishes shall be measured in accordance with Section J.</t>
  </si>
  <si>
    <t>B22 Landscaping</t>
  </si>
  <si>
    <t>B22.1 Cultivating and fertilising ground shall be measured by area.</t>
  </si>
  <si>
    <t>B22.2 Soiling, seeding and turfing shall be measured by area.</t>
  </si>
  <si>
    <t>B22.3 Hedges shall be measured by length.</t>
  </si>
  <si>
    <t>B22.4 Trees and shrubs shall be enumerated.</t>
  </si>
  <si>
    <t>B23 Railway work</t>
  </si>
  <si>
    <t>B23.1 Track, guard rails and conductor rails shall each be measured by length, taken along the centre line over all fittings; curved work shall be so described.</t>
  </si>
  <si>
    <t>B23.2 Sleepers and chairs shall be enumerated.</t>
  </si>
  <si>
    <t>B23.3 Switches and crossings shall be enumerated, classified as follows: 1. Switches and turnouts 2. Diamond crossings 3. Single slip crossings 4. Double slip crossings 5. Other switches and crossings.</t>
  </si>
  <si>
    <t>1. Switches and turnouts</t>
  </si>
  <si>
    <t>2. Diamond crossings</t>
  </si>
  <si>
    <t>3. Single slip crossings</t>
  </si>
  <si>
    <t>4. Double slip crossings</t>
  </si>
  <si>
    <t>5. Other switches and crossings.</t>
  </si>
  <si>
    <t>B23.4 Ballast shall be measured by volume, without deduction for track, classified as follows: 1. Bottom ballast, placed before the track is laid 2. Top ballast, placed after the track is laid.</t>
  </si>
  <si>
    <t>1. Bottom ballast, placed before the track is laid</t>
  </si>
  <si>
    <t>2. Top ballast, placed after the track is laid.</t>
  </si>
  <si>
    <t>B23.5 Concrete track foundations shall be measured by length, except that overwidth foundations for switches and crossings shall be measured by area; reinforcement and shuttering shall be understood to be included.</t>
  </si>
  <si>
    <t>B23.6 Bitumen filler to complete rail assemblies shall be measured by length.</t>
  </si>
  <si>
    <t>B23.7 Buffer stops, wheel stops or the like shall be enumerated.</t>
  </si>
  <si>
    <t>B23.8 Signalling installations shall be measured in accordance with Section L or Section R.</t>
  </si>
  <si>
    <t>B24 Tunnel excavation</t>
  </si>
  <si>
    <t>B24.1 Excavation shall be measured by volume as the void which is to be occupied, including the volume of permanent linings, grouped as may be appropriate to identify different lengths and classified as follows: 1. Straight tunnels 2. Straight shafts 3. Curved tunnels 4. Curved shafts 5. Tapered tunnels 6. Tapered shafts 7. Other cavities, which shall include transitions, breakaways and intersections between shafts and tunnels.</t>
  </si>
  <si>
    <t>1. Straight tunnels</t>
  </si>
  <si>
    <t>2. Straight shafts</t>
  </si>
  <si>
    <t>3. Curved tunnels</t>
  </si>
  <si>
    <t>4. Curved shafts</t>
  </si>
  <si>
    <t>5. Tapered tunnels</t>
  </si>
  <si>
    <t>6. Tapered shafts</t>
  </si>
  <si>
    <t>7. Other cavities, which shall include transitions, breakaways and intersections between shafts and tunnels.</t>
  </si>
  <si>
    <t>B24.2 Forward probing shall be measured by length, stating the number of probes.</t>
  </si>
  <si>
    <t>B24.3 For disposal see clause B11.</t>
  </si>
  <si>
    <t>B25 Tunnel linings</t>
  </si>
  <si>
    <t>B25.1 Poured concrete linings shall be measured by area, stating whether spray or cast concrete, classified as follows: 1. lining</t>
  </si>
  <si>
    <t>1. lining</t>
  </si>
  <si>
    <t>2. Secondary lining.</t>
  </si>
  <si>
    <t>B25.2 Preformed segmental tunnel linings shall be enumerated.</t>
  </si>
  <si>
    <t>B26 Tunnel support and stabilisation</t>
  </si>
  <si>
    <t>B26.1 Timber supports shall be measured by volume.</t>
  </si>
  <si>
    <t>B26.2 Sprayed concrete supports and reinforcement shall be measured by area.</t>
  </si>
  <si>
    <t>B26.3 Rock bolts shall be measured by length.</t>
  </si>
  <si>
    <t>B26.4 Face packers shall be enumerated.</t>
  </si>
  <si>
    <t>B26.5 Metal arch supports shall be measured by weight.</t>
  </si>
  <si>
    <t>B26.6 Injection of grout materials shall be measured by weight.</t>
  </si>
  <si>
    <t>SECTION C - CONCRETE WORK</t>
  </si>
  <si>
    <t>C1 Generally</t>
  </si>
  <si>
    <t>C1.1 Reinforced poured concrete and plain poured concrete shall each be so described.</t>
  </si>
  <si>
    <t>C1.2 Poured concrete required by the specification to be placed, compacted, cured or otherwise treated in a particular manner shall be so described.</t>
  </si>
  <si>
    <t>C1.3 No deduction shall be made for voids less than 1.00 m3, nor for the volume of any reinforcement or structural metal enclosed in the concrete, except that voids caused by boxed or tubular structural metalwork shall always be deducted.</t>
  </si>
  <si>
    <t>C1.4 Unless otherwise described, horizontal surfaces of concrete shall be understood to be tamped.</t>
  </si>
  <si>
    <t>C2 Poured concrete</t>
  </si>
  <si>
    <t>C2.1 Unless otherwise stated, poured concrete shall be measured by volume, classified as follows:</t>
  </si>
  <si>
    <t>1. Foundations, which shall include combined or isolated bases</t>
  </si>
  <si>
    <t>2. Pile caps, which shall include ground beams</t>
  </si>
  <si>
    <t>3. Blinding</t>
  </si>
  <si>
    <t>4. Beds, which shall include roads and footpaths, stating the thickness</t>
  </si>
  <si>
    <t>5. Suspended slabs, which shall include floors, landings, roofs or the like, stating the thickness</t>
  </si>
  <si>
    <t>6. Walls, which shall include attached columns, stating the thickness</t>
  </si>
  <si>
    <t>7. Columns, which shall include casing to metal stancheons</t>
  </si>
  <si>
    <t>8. Beams (measured below the slab), which shall include lintels and casing to metal beams</t>
  </si>
  <si>
    <t>9. Staircases, which shall include steps and strings</t>
  </si>
  <si>
    <t>10. Diaphragm walls</t>
  </si>
  <si>
    <t>11. Other classifications (for example, tunnel linings, bridge abutments) as may be appropriate.</t>
  </si>
  <si>
    <t>C2.2 Poured concrete suspended slabs of special construction, including floors, landings, roofs or the like, shall be measured by area; coffered and troughed slabs shall be so described, giving details of solid margins or the like.</t>
  </si>
  <si>
    <t>C2.3 Where an item is required to be measured by volume and the thickness stated, then items of differing thickness may be grouped together, provided that the range of the different thicknesses is stated.</t>
  </si>
  <si>
    <t>C3 Reinforcement</t>
  </si>
  <si>
    <t>C3.1 The weight of bar reinforcement shall be the net weight without addition for rolling margin, supports, spacers or tying wire.</t>
  </si>
  <si>
    <t>C3.2 Bar reinforcement shall be measured by weight, stating the diameter; bars of differing diameters shall be given seperately.</t>
  </si>
  <si>
    <t>C3.3 Fabric reinforcement shall be measured by area, without addition for laps.</t>
  </si>
  <si>
    <t>C3.4 Reinforcement shall be given as an item where the detailed design work is the responsibility of the contractor.</t>
  </si>
  <si>
    <t>C4 Shuttering</t>
  </si>
  <si>
    <t>C4.1 Unless otherwise stated, shuttering shall be measured by area, taken as the net area in contact with the finished face of concrete, classified as follows:</t>
  </si>
  <si>
    <t>1. Soffits; shuttering to soffits of special construction shall be so described</t>
  </si>
  <si>
    <t>2. Sloping soffits, which shall include soffits of staircases</t>
  </si>
  <si>
    <t>3. Sloping upper surfaces, which shall include surfaces more than 15° from horizontal</t>
  </si>
  <si>
    <t>4. Sides of foundations, which shall include bases, pile caps and ground beams</t>
  </si>
  <si>
    <t>5. Sides of walls, which shall include attached columns</t>
  </si>
  <si>
    <t>6. Returns to walls, which shall include ends, projections and reveals of openings or recesses</t>
  </si>
  <si>
    <t>7. Sides and soffits of beams, which shall include lintels and breaks in soffits; isolated beams shall be so described.</t>
  </si>
  <si>
    <t>8. Sides and soffits of sloping beams, which shall include lintels and breaks in soffits; isolated beams shall be so described.</t>
  </si>
  <si>
    <t>9. Sides of columns</t>
  </si>
  <si>
    <t>10. Staircases, which shall include treads, risers and strings but exclude soffits</t>
  </si>
  <si>
    <t>11. Other classifications (for example, tunnel linings, bridges, bridge abutments) as may be appropriate.</t>
  </si>
  <si>
    <t>C4.2 Shuttering to edges, which shall include face of curb or upstand or break in upper surface of floor, shall be measured by length; items of differing height may be grouped together, provided that the range of different heights is stated.</t>
  </si>
  <si>
    <t>C4.3 Grooves, which shall include throats, rebates, chamfers or the like, 2500 mm2 sectional area or over shall be measured by length; grooves less than 2500 mm2 sectional area shall be understood to be included.</t>
  </si>
  <si>
    <t>C4.4 Shuttering may be enumerated where it is more appropriate to do so (for example, decorative features).</t>
  </si>
  <si>
    <t>C4.5 Shuttering which is required by the specification to be left in position shall be so described.</t>
  </si>
  <si>
    <t>C4.6 Shuttering to curved, conical and spherical surfaces shall each be so described.</t>
  </si>
  <si>
    <t>C4.7 Shuttering to provide a special finish shall be so described.</t>
  </si>
  <si>
    <t>C4.8 Unless otherwise stated, if the volume of concrete has not been deducted, shuttering to the faces of a void shall be understood to be included.</t>
  </si>
  <si>
    <t>C5 Precast concrete</t>
  </si>
  <si>
    <t>C5.1 Moulds for precast units shall be understood to be included.</t>
  </si>
  <si>
    <t>C5.2 Reinforcement shall be measured in accordance with clause C3 and given under an appropriate heading; alternatively, it may be described in the item.</t>
  </si>
  <si>
    <t>C5.3 Floor slabs, partition slabs or the like shall be measured by area.</t>
  </si>
  <si>
    <t>C5.4 Lintels, sills, duct covers or the like shall be measured by length; alternatively, duct covers may be measured by area.</t>
  </si>
  <si>
    <t>C5.5 Structural units (for example, beams, stanchions, tunnel rings) shall be enumerated.</t>
  </si>
  <si>
    <t>C5.6 Padstones, cappings or the like shall be enumerated.</t>
  </si>
  <si>
    <t>C6 Prestressed concrete</t>
  </si>
  <si>
    <t>C6.1 Prestressed concrete work shall be given under an appropriate heading.</t>
  </si>
  <si>
    <t>C6.2 Prestressed concrete shall be measured by volume, classified in accordance with clause C2.</t>
  </si>
  <si>
    <t>C6.3 Reinforcement shall be measured in accordance with clause C3; supporting steel wires or cables shall be measured by weight.</t>
  </si>
  <si>
    <t>C6.4 Shuttering shall be measured in accordance with clause C4, stating whether to pre-tensioned or post-tensioned members.</t>
  </si>
  <si>
    <t>C7 Sundries</t>
  </si>
  <si>
    <t>C7.1 Surfaces finished to falls or cross-falls shall be measured by area.</t>
  </si>
  <si>
    <t>C7.2 Surface finishes shall be measured by area, except that tamped finishes shall be understood to be included.</t>
  </si>
  <si>
    <t>C7.3 Expansion material or the like shall be measured by area.</t>
  </si>
  <si>
    <t>C7.4 Designed joints, water stops, cast-in channels or the like shall be measured by length.</t>
  </si>
  <si>
    <t>C7.5 Forming sinkings, channels or the like shall be measured by length and, where appropriate, the item may include additional excavation, hardcore, shuttering and concrete; alternatively, they may be enumerated.</t>
  </si>
  <si>
    <t>C7.6 Fixings, ties, inserts or the like shall be enumerated; alternatively, they may be measured by area.</t>
  </si>
  <si>
    <t>C7.7 Mortices, holes or the like shall be understood to be included.</t>
  </si>
  <si>
    <t>SECTION D - MASONRY</t>
  </si>
  <si>
    <t>D1 Generally</t>
  </si>
  <si>
    <t>D1.1 Sloping, battering and curved work shall each be so described.</t>
  </si>
  <si>
    <t>D1.2 Reinforced masonry shall be so described.</t>
  </si>
  <si>
    <t>D2 Walls and piers</t>
  </si>
  <si>
    <t>D2.1 Walls and piers shall be measured by area, classified as follows:</t>
  </si>
  <si>
    <t>1. Walls; integral piers shall be measured as walls of combined pier and wall thickness</t>
  </si>
  <si>
    <t>2. Walls built against other construction</t>
  </si>
  <si>
    <t>3. Cavity walls measured as a composite item, including skins and cavity; alternatively, the skins and cavity may each be measured by area. Closing cavity walls at ends or around openings shall be understood to be included</t>
  </si>
  <si>
    <t>4. Isolated piers.</t>
  </si>
  <si>
    <t>D2.2 Faced or fair faced work shall each be so described; alternatively, it may be measured as extra over walls, stating whether faced or fair faced on one or both sides (that is, the area of faced or fair faced work shall be measured but no deduction shall be made from the area of walling on which the faced or fair faced work occurs).</t>
  </si>
  <si>
    <t>D3 Sills, etc.</t>
  </si>
  <si>
    <t>D3.1 Sills, copings, oversailing or receding courses or the like shall be measured by length.</t>
  </si>
  <si>
    <t>D3.2 Arches shall be measured by length.</t>
  </si>
  <si>
    <t>D4 Reinforcement</t>
  </si>
  <si>
    <t>D4.1 Reinforcement shall be measured in accordance with clause C3; alternatively, fabric reinforcement may be measured by length.</t>
  </si>
  <si>
    <t>D5 Sundries</t>
  </si>
  <si>
    <t>D5.1 Concrete filling to cavities shall be measured by area.</t>
  </si>
  <si>
    <t>D5.2 Expansion joints or the like shall be measured by length.</t>
  </si>
  <si>
    <t>D5.3 Air bricks or the like shall be enumerated.</t>
  </si>
  <si>
    <t>SECTION E - METALWORK</t>
  </si>
  <si>
    <t>E1 Generally</t>
  </si>
  <si>
    <t>E1.1 The weight of metalwork shall be the net weight, without addition for rolling margin or welding material and without deduction for holes, splay cuts, notches or the like.</t>
  </si>
  <si>
    <t>E1.2 Welded, riveted or bolted work shall each be so described.</t>
  </si>
  <si>
    <t>E2 Structural metalwork</t>
  </si>
  <si>
    <t>E2.1 Unless otherwise stated, structural metalwork shall be measured by weight, classified as follows:</t>
  </si>
  <si>
    <t>1. Grillages</t>
  </si>
  <si>
    <t>2. Beams</t>
  </si>
  <si>
    <t>3. Stanchions</t>
  </si>
  <si>
    <t>4. Portal frames, stating the number</t>
  </si>
  <si>
    <t>5. Roof trusses, stating the number</t>
  </si>
  <si>
    <t>6. Support steelwork, which shall include sheeting rails, braces, struts or the like</t>
  </si>
  <si>
    <t>7. Other classifications, as may be appropriate.</t>
  </si>
  <si>
    <t>E2.2 Fittings (for example, caps, brackets) shall be given as an item.</t>
  </si>
  <si>
    <t>E2.3 Fixings (for example, bolts, distance pieces, rivets) shall be given as an item.</t>
  </si>
  <si>
    <t>E2.4 Wedging and grouting bases or the like shall be enumerated.</t>
  </si>
  <si>
    <t>E2.5 Holding down bolts or the like shall be enumerated; temporary boxes and grouting shall be understood to be included.</t>
  </si>
  <si>
    <t>E2.6 Protective treatment shall be given as an item.</t>
  </si>
  <si>
    <t>E3 Non-structural metalwork</t>
  </si>
  <si>
    <t>E3.1 Floor plates, duct covers, sheet metal coverings and linings or the like shall be measured by area.</t>
  </si>
  <si>
    <t>E3.2 Bearers, balustrades, handrails (except where included with a staircase), frames or the like shall be measured by length.</t>
  </si>
  <si>
    <t>E3.3 Matwell frames, cat ladders, gates, staircases or the like shall be enumerated.</t>
  </si>
  <si>
    <t>SECTION F - WOODWORK</t>
  </si>
  <si>
    <t>F1 Generally</t>
  </si>
  <si>
    <t>F1.1 Timber which is sawn (that is, not milled) and timber which is finished (that is, milled) shall each be so described</t>
  </si>
  <si>
    <t>F1.2 Descriptions of timber members shall state whether the sizes are basic (that is, before machining) or finished (that is, milled, within permitted deviations).</t>
  </si>
  <si>
    <t>F2 Structural timbers</t>
  </si>
  <si>
    <t>F2.1 Structural timbers shall be measured by length, classified as follows:</t>
  </si>
  <si>
    <t>1. Floors and flat roofs</t>
  </si>
  <si>
    <t>2. Pitched roofs</t>
  </si>
  <si>
    <t>3. Walls</t>
  </si>
  <si>
    <t>4. Kerbs, bearers or the like</t>
  </si>
  <si>
    <t>5. Cleats, sprockets or the like.</t>
  </si>
  <si>
    <t>F2.2 Strutting and bridging between joists shall be measured by length, taken overall the joists.</t>
  </si>
  <si>
    <t>F3 Boarding and flooring</t>
  </si>
  <si>
    <t>F3.1 Unless otherwise stated, boarding and flooring shall be measured by area, without addition for joints or laps, classified as follows:</t>
  </si>
  <si>
    <t>1. Floors, which shall include landings</t>
  </si>
  <si>
    <t>2. Walls, which shall include returns, reveals of openings or recesses and attached and unattached columns</t>
  </si>
  <si>
    <t>3. Ceilings, which shall include attached and unattached beams and soffits of staircases</t>
  </si>
  <si>
    <t>4. Roofs, which shall include tops and cheeks of dormers and sides and bottoms of gutters, stating whether flat, sloping or vertical; firring pieces and bearers shall be understood to be included.</t>
  </si>
  <si>
    <t>F3.2 Eaves and verge boards, which shall include fascias, barge boards or the like, shall be measured by length.</t>
  </si>
  <si>
    <t>F3.3 Fillets and rolls shall be measured by length.</t>
  </si>
  <si>
    <t>F4 Grounds and battens</t>
  </si>
  <si>
    <t>F4.1 Open-spaced grounds and battens shall be measured by area, taken overall.</t>
  </si>
  <si>
    <t>F4.2 Individual grounds and battens shall be measured by length.</t>
  </si>
  <si>
    <t>F5 Framework</t>
  </si>
  <si>
    <t>F5.1 Framework shall be measured by area, taken overall; alternatively, it may be measured by length.</t>
  </si>
  <si>
    <t>F6 Finishings and fittings</t>
  </si>
  <si>
    <t>F6.1 Finishings shall be measured by length, classified as follows: 1. Cover fillets, which shall include architraves, skirtings or the like 2. Beads, which shall include stops or the like 3. Edgings, which shall include window boards, nosings or the like.</t>
  </si>
  <si>
    <t>1. Cover fillets, which shall include architraves, skirtings or the like</t>
  </si>
  <si>
    <t>2. Beads, which shall include stops or the like</t>
  </si>
  <si>
    <t>3. Edgings, which shall include window boards, nosings or the like.</t>
  </si>
  <si>
    <t>F6.2 Unless otherwise stated, fittings shall be measured by length, classified as follows: 1. Work tops, which shall include seats or the like 2. Handrails or balustrades.</t>
  </si>
  <si>
    <t>1. Work tops, which shall include seats or the like</t>
  </si>
  <si>
    <t>2. Handrails or balustrades.</t>
  </si>
  <si>
    <t>F6.3 Shelving shall be measured by area; alternatively, it may be measured by length.</t>
  </si>
  <si>
    <t>F6.4 Backboards or the like shall be enumerated.</t>
  </si>
  <si>
    <t>F6.5 Built-up members shall be so described.</t>
  </si>
  <si>
    <t>F6.6 Plastic coverings or the like shall be described with the item on which they occur, stating whether on one or more faces; alternatively, they may be measured separately by area.</t>
  </si>
  <si>
    <t>F6.7 Sheet linings shall be measured by area, classified as follows: 1. Walls, which shall include returns, reveals of openings or recesses and attached and unattached columns 2. Ceilings, which shall include attached and unattached beams and soffits of staircases.</t>
  </si>
  <si>
    <t>1. Walls, which shall include returns, reveals of openings or recesses and attached and unattached columns</t>
  </si>
  <si>
    <t>2. Ceilings, which shall include attached and unattached beams and soffits of staircases.</t>
  </si>
  <si>
    <t>F7 Composite items</t>
  </si>
  <si>
    <t>F7.1 Unless otherwise stated, composite items (which shall mean items which might be fabricated off-site whether or not they are fabricated off-site) shall be enumerated; all metal work or the like shall be understood to be included.</t>
  </si>
  <si>
    <t>F7.2 Any associated work (for example, decorations) shall be measured in accordance with the relevant sections of this document.</t>
  </si>
  <si>
    <t>F8 Sundry items</t>
  </si>
  <si>
    <t>F8.1 Finished surfaces on sawn items shall be measured by length.</t>
  </si>
  <si>
    <t>F9 Metalwork</t>
  </si>
  <si>
    <t>F9.1 Metalwork items associated with woodwork shall be enumerated; alternatively, waterbars or the like may be measured by length.</t>
  </si>
  <si>
    <t>F10 Ironmongery</t>
  </si>
  <si>
    <t>F10.1 Units or sets of ironmongery shall be enumerated.</t>
  </si>
  <si>
    <t>SECTION G - THERMAL AND MOISTURE PROTECTION</t>
  </si>
  <si>
    <t>G1 Generally</t>
  </si>
  <si>
    <t>G1.1 Work shall be measured flat without addition for laps or seams.</t>
  </si>
  <si>
    <t>G1.2 Curved, spherical and conical work shall each be so described.</t>
  </si>
  <si>
    <t>G2 Coverings and linings</t>
  </si>
  <si>
    <t>G2.l Unless otherwise stated, roofing, tanking, waterproof coverings, linings or the like shall be measured by area,classified as follows:</t>
  </si>
  <si>
    <t>1. Flat coverings</t>
  </si>
  <si>
    <t>2. Sloping coverings</t>
  </si>
  <si>
    <t>3. Vertical coverings.</t>
  </si>
  <si>
    <t>G2.2 Eaves, ridges, skirtings, fascias, flashings, aprons or the like shall be measured by length; alternatively, skirtings, fascias or the like to composite roofing may be measured by area.</t>
  </si>
  <si>
    <t>G2.3 Roof lights, ventilators, soaker collars, special roofing sheets or the like shall be enumerated; alternatively, special roofing sheets may be measured as extra over roofing (that is, the special roofing sheets shall be measured but no deduction shall be made from the roofing in which the special sheeting occurs).</t>
  </si>
  <si>
    <t>G3 Damp-proof courses</t>
  </si>
  <si>
    <t>G3.1 Damp-proof courses shall be measured by length; alternatively, they may be measured by area.</t>
  </si>
  <si>
    <t>G4 Insulation</t>
  </si>
  <si>
    <t>G4.1 Insulation shall be measured by area; alternatively, it may be described with items of composite roofing.</t>
  </si>
  <si>
    <t>SECTION H - DOORS AND WINDOWS</t>
  </si>
  <si>
    <t>H1 Doors</t>
  </si>
  <si>
    <t>H1.1 Doors shall be enumerated.</t>
  </si>
  <si>
    <t>H1.2 Jambs, heads, sills, mullions, transomes or the like shall be measured by length; alternatively, frame and lining sets may be enumerated.</t>
  </si>
  <si>
    <t>H2 Windows</t>
  </si>
  <si>
    <t>H2.1 Windows, skylights or the like, together with their frames, shall be enumerated; sub-frames of a different material shall be separately enumeraled or may be measured by length.</t>
  </si>
  <si>
    <t>H3 Screens</t>
  </si>
  <si>
    <t>H3.1 Screens, borrowed lights, curtain walling or the like shall be measured by area; alternatively, they may be enumerated.</t>
  </si>
  <si>
    <t>H3.2 Doors and frames within a screen shall be enumerated.</t>
  </si>
  <si>
    <t>H4 Ironmongery</t>
  </si>
  <si>
    <t>H4.1 Units or sets of ironmongery shall be enumerated.</t>
  </si>
  <si>
    <t>H5 Glass</t>
  </si>
  <si>
    <t>H5.1 Unless otherwise stated, glass shall be measured by area; panes of irregular shape shall be measured as the smallest rectangle from which such irregular shape can be cut.</t>
  </si>
  <si>
    <t>H5.2 Sealed factory-glazed units shall be enumerated.</t>
  </si>
  <si>
    <t>H5.3 Glass louvres shall be enumerated; alternatively, they may be measured by length, stating the number.</t>
  </si>
  <si>
    <t>H5.4 Glass panes of special shape or with decorative treatment shall be enumerated.</t>
  </si>
  <si>
    <t>H6 Patent glazing</t>
  </si>
  <si>
    <t>H6.1 Patent glazing shall be measured by area, classified as follows:</t>
  </si>
  <si>
    <t>1. Roofs</t>
  </si>
  <si>
    <t>2. Skylights, which shall include lantern lights</t>
  </si>
  <si>
    <t>3. Vertical surfaces.</t>
  </si>
  <si>
    <t>H6.2 Opening portions shall be enumerated.</t>
  </si>
  <si>
    <t>SECTION J - FINISHES</t>
  </si>
  <si>
    <t>J1 Generally</t>
  </si>
  <si>
    <t>J1.1 Work shall be measured flat without addition for laps or seams; finishes on corrugated or ornamental surfaces shall each be so described.</t>
  </si>
  <si>
    <t>J1.2 Curved, spherical and conical work shall each be so described.</t>
  </si>
  <si>
    <t>J1.3 Internal and external work shall each be so described.</t>
  </si>
  <si>
    <t>J2 Backgrounds</t>
  </si>
  <si>
    <t>J2.1 Backgrounds shall be measured by area; backgrounds for floor, wall or ceiling finishes shall each be so described.</t>
  </si>
  <si>
    <t>J2.2 Poured backgrounds (for example, screeds) shall each be given separately, stating the surface finish.</t>
  </si>
  <si>
    <t>J2.3 Pre-formed backgrounds (for example, plasterboard, expanded metal lathing) shall each be given separately.</t>
  </si>
  <si>
    <t>J3 Finishings</t>
  </si>
  <si>
    <t>J3.1 Unless otherwise stated, finishing shall be measured by area, classified as follows:</t>
  </si>
  <si>
    <t>4. Staircases, which shall include treads, risers and edges of landings but exclude soffits.</t>
  </si>
  <si>
    <t>J3.2 Skirtings, bands, strings, coverings to kerbs, mouldings, coves, channels or the like shall be measured by length.</t>
  </si>
  <si>
    <t>J4 Sundries</t>
  </si>
  <si>
    <t>J4.1 Non-slip inserts, dividing strips, metal angle beads, lathing at junction of differing backgrounds or the like shall be measured by length; alternatively, they may be described with the items in which they occur.</t>
  </si>
  <si>
    <t>J5 Suspended ceilings</t>
  </si>
  <si>
    <t>J5.1 Suspended ceilings shall be measured by area, classified as follows:</t>
  </si>
  <si>
    <t>1. Ceilings stating the drop</t>
  </si>
  <si>
    <t>2. Sides and soffits of beams or upstands.</t>
  </si>
  <si>
    <t>J6 Decorations</t>
  </si>
  <si>
    <t>J6.1 Decorations on different surfaces shall each be given separately.</t>
  </si>
  <si>
    <t>J6.2 Details shall be given of any special method of application (for example, spraying).</t>
  </si>
  <si>
    <t>J6.3 Unless otherwise stated, decorations shall be measured by area, classified as follows:</t>
  </si>
  <si>
    <t>4. Staircases, which shall include treads, risers, strings and edges of landings but exclude soffits</t>
  </si>
  <si>
    <t>5. Cornices</t>
  </si>
  <si>
    <t>6. General surfaces, which shall include doors, close-type fencing or the like; glazed general surfaces (measured flat over glass) shall be so described</t>
  </si>
  <si>
    <t>7. Isolated general surfaces, which shall include door frames, linings, sub-frames of a differing material to the window, skirtings, rails, architraves, bars, posts, balusters or the like</t>
  </si>
  <si>
    <t>8. Windows (measured flat over glass, frames, mullions, transomes and architraves), which shall include glazed partitions or the like, but exclude sub-frames of a differing material to the window; edges of sashes shall be understood to be included</t>
  </si>
  <si>
    <t>9. Radiators, measured over the area of heating surface</t>
  </si>
  <si>
    <t>10. Gutters, measured inside and out</t>
  </si>
  <si>
    <t>11. Large pipes (that is, pipes with an internal diameter exceeding 60mm), including trunking or the like, unless measured as incidental work; hangers, supports or the like (except common supports to services) shall be understood to be included</t>
  </si>
  <si>
    <t>12. Structural metalwork, which shall include roof trusses.</t>
  </si>
  <si>
    <t>J6.4 Decoration on small pipes (that is, pipes with an internal diameter of 60mm or less) unless measured as incidental work, shall be measured by length; hangers, supports or the like (except common supports to services) shall be understood to be included.</t>
  </si>
  <si>
    <t>J6.5 Decoration on gratings, rainwater heads or the like shall each be enumerated separately, irrespective of size.</t>
  </si>
  <si>
    <t>J7 Signwriting</t>
  </si>
  <si>
    <t>J7.1 Signwriting letters or the like shall be enumerated.</t>
  </si>
  <si>
    <t>SECTION K - ACCESSORIES</t>
  </si>
  <si>
    <t>K1 Generally</t>
  </si>
  <si>
    <t>K1.1 For the purposes of identification, accessories to be measured in accordance with the principles in this section shall be defined as those being specially manufactured or proprietary items not included in other sections.</t>
  </si>
  <si>
    <t>K1.2 Unless otherwise stated, accessories shall be enumerated.</t>
  </si>
  <si>
    <t>K2 Partitions</t>
  </si>
  <si>
    <t>K2.1 Partitions shall be measured by length, taken over all doors and glazed units.</t>
  </si>
  <si>
    <t>K2.2 Doors and glazed units shall be enumerated, stating the partition in which they occur.</t>
  </si>
  <si>
    <t>K2.3 Cubicles or the like shall be enumerated.</t>
  </si>
  <si>
    <t>SECTION L - EQUIPMENT</t>
  </si>
  <si>
    <t>L1 Generally</t>
  </si>
  <si>
    <t>L1.1 For the purposes of identification, equipment to be measured in accordance with the principles in this section shall be defined as specialist equipment related solely to the function of a building or department (for example. food preparation or service equipment, laboratory equipment, stage equipment).</t>
  </si>
  <si>
    <t>L1.2 Each category of equipment shall be given as an item; alternatively, individual items of equipment may be enumerated.</t>
  </si>
  <si>
    <t>SECTION M - FURNISHINGS</t>
  </si>
  <si>
    <t>M1 Generally</t>
  </si>
  <si>
    <t>M1.1 For the purposes of identification, furnishings to be measured in accordance with the principles in this section shall be defined as loose furniture, fittings or the like related to the occupation and use of a building or department (for example, rugs, curtains, artwork, ashtrays, furnishing accessories).</t>
  </si>
  <si>
    <t>M1.2 Each category of furnishing shall be given as an item; alternatively, individual items of furnishing may be enumerated or measured by length, as may be appropriate.</t>
  </si>
  <si>
    <t>M2 Curtain track</t>
  </si>
  <si>
    <t>M2.1 Curtain track shall be measured by length; hooks, gliders, stops or the like shall be understood to be included.</t>
  </si>
  <si>
    <t>SECTION N - SPECIAL CONSTRUCTION</t>
  </si>
  <si>
    <t>N1 Generally</t>
  </si>
  <si>
    <t>N1.1 For the purposes of identification, special construction to be measured in accordance with the principles in this section shall be defined as either enclosures of a specialist construction (for example. air supported or geodetic structures, prefabricated buildings) or installations of a specialist nature (for example, radiation protection).</t>
  </si>
  <si>
    <t>N2 Enclosures</t>
  </si>
  <si>
    <t>N2.1 Enclosures shall be enumerated; work within the enclosure, not being part of the enclosure construction, shall be measured in accordance with the relevant sections of this document.</t>
  </si>
  <si>
    <t>N3 Installations</t>
  </si>
  <si>
    <t>N3.1 Installations shall each be given as an item; alternatively, they may be measured in accordance with the relevant sections of this document.</t>
  </si>
  <si>
    <t>SECTION P - CONVEYING SYSTEMS</t>
  </si>
  <si>
    <t>P1 Generally</t>
  </si>
  <si>
    <t>P1.1 Lifts, hoists, conveyors, escalators or the like shall be enumerated.</t>
  </si>
  <si>
    <t>P2 Sundries</t>
  </si>
  <si>
    <t>P2.1 An item shall be given for each of the following: 1. Supports, which shall include fixings, anchors, insulating blocks and anti-vibration devices</t>
  </si>
  <si>
    <t>1. Supports, which shall include fixings, anchors, insulating blocks and anti-vibration devices</t>
  </si>
  <si>
    <t>2. Identification, which shall include plates, discs,labels, charts and colour coding</t>
  </si>
  <si>
    <t>3. Testing and commissioning, which shall include operating completed installations and providing fuel and power</t>
  </si>
  <si>
    <t>4. Tools and spares, which shall include loose keys and consumable stores</t>
  </si>
  <si>
    <t>5. Documents, which shall include drawings, operating instructions and maintenance manuals.</t>
  </si>
  <si>
    <t>P3 Work incidental to conveying systems</t>
  </si>
  <si>
    <t>P3.1 An item shall be given for incidental work, which shall include:</t>
  </si>
  <si>
    <t>1. Co-ordination with other engineering installations</t>
  </si>
  <si>
    <t>2. Cutting or forming holes, mortices, chases or the like and making good finishings</t>
  </si>
  <si>
    <t>3. Building in or cutting and pinning brackets or the like and making good finishings.</t>
  </si>
  <si>
    <t>P3.2 Protective painting and decorative painting shall each be given as an item for each system and shall include:</t>
  </si>
  <si>
    <t>1. Removing protective coating or wrapping</t>
  </si>
  <si>
    <t>2. Cleaning and polishing exposed surfaces.</t>
  </si>
  <si>
    <t>P3.3 Other incidental work shall be measured in accordance with the relevant sections of this document and grouped under an appropriate heading.</t>
  </si>
  <si>
    <t>SECTION Q - MECHANICAL ENGINEERING INSTALLATIONS</t>
  </si>
  <si>
    <t>Q1 Generally</t>
  </si>
  <si>
    <t>Q1.1 Installations shall be classified by function and given separately under an appropriate heading.</t>
  </si>
  <si>
    <t>Q1.2 Installations shall be measured in accordance with the relevant clauses in this section; alternatively, they may be enumerated on a locational basis (for example, cold water installation to ground floor).</t>
  </si>
  <si>
    <t>Q2 Pipework and gutterwork</t>
  </si>
  <si>
    <t>Q2.1 Pipes and gutters shall be measured by length, taken along the centre line over all fittings.</t>
  </si>
  <si>
    <t>Q2.2 Fittings to small pipes (that is, pipes with an internal diameter of 60mm or less) shall be understood to be included. Fittings (except joints in the running length) to large pipes (that is, pipes with an internal diameterexceeding 60mm) and to gutters shall be enumerated, grouped together for each size of pipe or gutter and described as 'fittings'.</t>
  </si>
  <si>
    <t>Q2.3 Valves, traps, expansion compensators or the like shall be enumerated; sleeve~, cover-plates or the like shall be understood to be included.</t>
  </si>
  <si>
    <t>Q3 Ductwork</t>
  </si>
  <si>
    <t>Q3.1 Rectangular ductwork shall be measured by weight, based upon the area calculated as the length, taken along the centre line over all fittings, times the net girth of nominal dimensions. Blank ends shall be added to the area for weighting but no deduction shall be made for intersections or openings; extra weight for seams, stiffeners, supports, fixings or the like shall be understood to be included.</t>
  </si>
  <si>
    <t>Q3.2 Circular, oval and flexible ductwork shall be measured by length, taken along the centre line over all fittings.</t>
  </si>
  <si>
    <t>Q3.3 Fittings to rectangular ductwork shall be understood to be included; fittings to circular and oval ductwork (excluding test holes and covers) shall be enumerated, grouped together for each size of duct and described as 'fittings'.</t>
  </si>
  <si>
    <t>Q3.4 Dampers, grilles, flexible connectors or the like shall be enumerated.</t>
  </si>
  <si>
    <t>Q4 Equipment</t>
  </si>
  <si>
    <t>Q4.1 Sanitary fittings, tanks, fans, pumps, hoods, air-handling units or the like shall be enumerated.</t>
  </si>
  <si>
    <t>Q4.2 Continuous convectors or the like shall be measured by length.</t>
  </si>
  <si>
    <t>Q4.3 Heated or ventilated ceilings or the like shall be measured by area.</t>
  </si>
  <si>
    <t>Q5 Automatic controls</t>
  </si>
  <si>
    <t>Q5.1 Sensing or activating devices (for example, thermostats, humidistats, motorised valves), control panels, air compressors and receivers or the like shall be enumerated.</t>
  </si>
  <si>
    <t>Q5.2 Wiring, pneumatic tubing, isolators, starters, relays or the like associated with automatic controls shall be understood to be included.</t>
  </si>
  <si>
    <t>Q5.3 Alternatively, automatic control systems shall be given as an item for each installation but equipment common to more than one system shall be enumerated.</t>
  </si>
  <si>
    <t>Q6 Connections to supply mains</t>
  </si>
  <si>
    <t>Q6.1 Connections to supply mains shall be enumerated, subject to clause GP8.</t>
  </si>
  <si>
    <t>Q7 Insulation, including linings and protective coverings</t>
  </si>
  <si>
    <t>Q7.1 Insulation to pipework shall be measured by length, taken along the centre line over all fittings.</t>
  </si>
  <si>
    <t>Q7.2 Insulation to rectangular ductwork shall be measured by area, calculated as described In clause Q3; additional insulation to flanges or the like shall be understood to be included.</t>
  </si>
  <si>
    <t>Q7.3 Insulation to circular, oval and flexible ductwork shall be measured by length, taken along the centre line over all fittings.</t>
  </si>
  <si>
    <t>Q7.4 Insulation boxes around accessories shall be enumerated.</t>
  </si>
  <si>
    <t>Q7.5 Insulation to equipment shall be enumerated.</t>
  </si>
  <si>
    <t>Q8 Sundries</t>
  </si>
  <si>
    <t>Q8.1 Sundries shall be measured in accordance with clause P2.</t>
  </si>
  <si>
    <t>Q9 Work incidental to mechanical engineering installations</t>
  </si>
  <si>
    <t>Q9.1 Work incidental to mechanical engineering installations shall be measured in accordance electrical engineering with clause P3.</t>
  </si>
  <si>
    <t>SECTION R - ELECTRICAL ENGINEERING INSTALLATIONS</t>
  </si>
  <si>
    <t>R1 Generally</t>
  </si>
  <si>
    <t>R1.1 Installations and auxiliary installations shall be classified by function and given separately under an appropriate heading.</t>
  </si>
  <si>
    <t>R1.2 Installations shall be measured in accordance with the relevant clauses in this section; alternatively, they may be enumerated on a locational basis (for example, lighting installation to ground floor).</t>
  </si>
  <si>
    <t>R1.3 The references herein to 'cable' shall be understood to Include tape, bus-bar trunking or the like.</t>
  </si>
  <si>
    <t>R1.4 The references herein to 'conduit' shall be understood to include trunking, cable tray, ducting or the like.</t>
  </si>
  <si>
    <t>R2 Main circuits</t>
  </si>
  <si>
    <t>R2.1 For the purposes of measurement, 'main' is defined as the ‘incoming supply to the main distribution board within a building or complex'.</t>
  </si>
  <si>
    <t>R2.2 Cable shall be measured by length.</t>
  </si>
  <si>
    <t>R2.3 Conduit shall be measured by length.</t>
  </si>
  <si>
    <t>R3 Sub-main circuits</t>
  </si>
  <si>
    <t>R3.1 For the purposes of measurement, 'sub-main' is defined as the 'supply from the main distribution board to a sub-main distribution board'.</t>
  </si>
  <si>
    <t>R3.2 Cable and conduit to individual sub-main circuits shall be enumerated and separately identified as may be appropriate; alternatively, sub-main circuits may be measured in accordance with clause R2.</t>
  </si>
  <si>
    <t>R4 Final sub-circuits and auxiliary installations</t>
  </si>
  <si>
    <t>R4.1 Cable and conduit to termination points shall be enumerated, classified as follows: 1. Lighting points 2. Lighting switch points, stating whether one-way, two-way or intermediate 3. General purpose socket outlets; multi-gang socket outlets or the like shall count as one point 4. Equipment points, stating type of equipment or the electrical rating; contactors, starters or the like shall be measured separately as equipment points 5. Auxiliary installation points (for example, bell push, telephone outlet).</t>
  </si>
  <si>
    <t>1. Lighting points</t>
  </si>
  <si>
    <t>2. Lighting switch points, stating whether one-way, two-way or intermediate</t>
  </si>
  <si>
    <t>3. General purpose socket outlets; multi-gang socket outlets or the like shall count as one point</t>
  </si>
  <si>
    <t>4. Equipment points, stating type of equipment or the electrical rating; contactors, starters or the like shall be measured separately as equipment points</t>
  </si>
  <si>
    <t>5. Auxiliary installation points (for example, bell push, telephone outlet).</t>
  </si>
  <si>
    <t>R5 Accessories</t>
  </si>
  <si>
    <t>R5.1 Ceiling roses and pendants, lighting switches, socket outlets, bell pushes or the like shall be enumerated.</t>
  </si>
  <si>
    <t>R6 Control gear</t>
  </si>
  <si>
    <t>R6.1 Switchgear, distribution gear, contactors, starters, composite switchboards or the like shall be enumerated.</t>
  </si>
  <si>
    <t>R7 Equipment</t>
  </si>
  <si>
    <t>R7.1 Transformers, generators, standby power cubicles, luminaries, external lighting columns, clocks, loudspeakers, bells or the like shall be enumerated.</t>
  </si>
  <si>
    <t>R7.2 Controls, which shall include accessories and interconnecting cables. shall be measured in accordance with the relevant clauses in this section; alternatively, they may be. included with the items of equipment.</t>
  </si>
  <si>
    <t>R8 Connections to supply mains</t>
  </si>
  <si>
    <t>R8.1 Connections to supply mains shall be enumerated, subject to clause GP8.</t>
  </si>
  <si>
    <t>R9 Sundries</t>
  </si>
  <si>
    <t>R9.1 Sundries shall be measured in accordance with clause P2.</t>
  </si>
  <si>
    <t>R10 Work incidental to electrical engineering installations</t>
  </si>
  <si>
    <t>R10.1 Work incidental to electrical engineering installations shall be measured in accordance with clause P3.</t>
  </si>
  <si>
    <t>POMI BQ CODING TOOL  ·  Paste descriptions in Column E → Codes auto-fill</t>
  </si>
  <si>
    <t>HOW TO USE:  (1) Enter project details in the orange PROJECT INFO section below  │  (2) Paste BQ item descriptions into Column E (one per row, start row 9)  │  (3) All POMI codes, NRM codes, measurement methods and confidence scores auto-fill  │  (4) Review flagged items (red = &lt;85% confidence) and confirm/override</t>
  </si>
  <si>
    <t>PROJECT INFORMATION</t>
  </si>
  <si>
    <t>Country</t>
  </si>
  <si>
    <t>City</t>
  </si>
  <si>
    <t>Asset / Building</t>
  </si>
  <si>
    <t>Project Name</t>
  </si>
  <si>
    <t>Contract Type</t>
  </si>
  <si>
    <t>Base Date</t>
  </si>
  <si>
    <t>Currency</t>
  </si>
  <si>
    <t>#</t>
  </si>
  <si>
    <t>BQ Ref</t>
  </si>
  <si>
    <t>Trade</t>
  </si>
  <si>
    <t>Item Type</t>
  </si>
  <si>
    <t>BQ DESCRIPTION  ← PASTE HERE</t>
  </si>
  <si>
    <t>POMI
Section</t>
  </si>
  <si>
    <t>POMI Code</t>
  </si>
  <si>
    <t>POMI Sub-Section Name</t>
  </si>
  <si>
    <t>NRM
Code</t>
  </si>
  <si>
    <t>NRM Description</t>
  </si>
  <si>
    <t>Measurement
Method</t>
  </si>
  <si>
    <t>Unit</t>
  </si>
  <si>
    <t>Qty</t>
  </si>
  <si>
    <t>Rate</t>
  </si>
  <si>
    <t>Amount</t>
  </si>
  <si>
    <t>Confidence
%</t>
  </si>
  <si>
    <t>Flag</t>
  </si>
  <si>
    <t>Override
Code</t>
  </si>
  <si>
    <t>Notes</t>
  </si>
  <si>
    <t>1.01</t>
  </si>
  <si>
    <t>CON</t>
  </si>
  <si>
    <t>Measured Work</t>
  </si>
  <si>
    <t>Reinforced concrete suspended slab 200mm thick including formwork and reinforcement</t>
  </si>
  <si>
    <t>C030000</t>
  </si>
  <si>
    <t>2.01</t>
  </si>
  <si>
    <t>Frame / Concrete Work</t>
  </si>
  <si>
    <t>Volume (m³), Weight (t), Area (m²), Length (m), Enumerated (nr)</t>
  </si>
  <si>
    <t>m³</t>
  </si>
  <si>
    <t>✓</t>
  </si>
  <si>
    <t>1.02</t>
  </si>
  <si>
    <t>FIN</t>
  </si>
  <si>
    <t>Ceramic wall tiles 150x150mm fixed with adhesive to fair faced background</t>
  </si>
  <si>
    <t>J020000</t>
  </si>
  <si>
    <t>3.01</t>
  </si>
  <si>
    <t>Internal Finishes</t>
  </si>
  <si>
    <t>Area (m²), Length (m)</t>
  </si>
  <si>
    <t>m²</t>
  </si>
  <si>
    <t>1.03</t>
  </si>
  <si>
    <t>EXT</t>
  </si>
  <si>
    <t>Excavation to reduce levels not exceeding 2m deep</t>
  </si>
  <si>
    <t>B090000</t>
  </si>
  <si>
    <t>8.01</t>
  </si>
  <si>
    <t>Site Works, Drainage, External Services &amp; Landscaping</t>
  </si>
  <si>
    <t>Volume (m³), Length (m), Area (m²), Enumerated (nr), Item</t>
  </si>
  <si>
    <t>TOTAL</t>
  </si>
  <si>
    <t>LEGEND</t>
  </si>
  <si>
    <t>⚠ REVIEW</t>
  </si>
  <si>
    <t>Confidence &lt;85% — check and confirm or override in Column R</t>
  </si>
  <si>
    <t>✓ OK</t>
  </si>
  <si>
    <t>Confidence ≥85% — code accepted</t>
  </si>
  <si>
    <t>Yellow</t>
  </si>
  <si>
    <t>Input cells — paste your data here</t>
  </si>
  <si>
    <t>Blue-grey</t>
  </si>
  <si>
    <t>Auto-filled by coder — do not edit directly (use Override column R)</t>
  </si>
  <si>
    <t>NRM GROUP</t>
  </si>
  <si>
    <t>NRM CODE</t>
  </si>
  <si>
    <t>NRM DESCRIPTION</t>
  </si>
  <si>
    <t>POMI CLAUSES (Full Clause Level)</t>
  </si>
  <si>
    <t>MEASUREMENT METHOD</t>
  </si>
  <si>
    <t>Substructure</t>
  </si>
  <si>
    <t>• B8.1 Earthworks generally - ground information
• B8.2 Quantities for excavation (bulk before excavation)
• B8.4 Earthwork support (item)
• B8.5 Excavation in rock (volume)
• B9.1 Excavation by volume - oversite, reduce levels, cuttings, basement, trench, pit, diaphragm walls
• B9.2 Trench excavation for service pipes (length)
• B11.1 Disposal - backfilled into excavation / making up levels / removed (volume)
• B12.1 Filling material - into excavation / making up levels (volume)
• B13.1 Piling generally - driven piling definitions
• B13.2 Other piling systems
• B14.1 Supplying driven piles (length)
• B14.2 Heads and shoes (enumerated)
• B14.3 Driving piles (length)
• B14.4 Cutting off tops of piles (enumerated)
• B15.1 Boring for piles (length)
• B15.2 Boring through rock extra over (length)
• B15.3 Linings for piles (length)
• B15.4 Disposal from boring (volume)
• B15.5 Concrete filling to piles (volume)
• B15.6 Cutting off tops / enlarged bases (enumerated)
• B16.1-B16.6 Sheet piling - supply (area), drive (area), cut (length)
• B17.1 Performance designed piles (enumerated)
• B18.1 Testing piling (item)
• B7.1-B7.5 Underpinning - excavation (volume), cutting projecting foundations (length)
• C2.1 Poured concrete - foundations, pile caps, blinding, beds (volume)
• C3.1-C3.4 Reinforcement - bar (weight), fabric (area)
• C4.1 Shuttering - sides of foundations, pile caps, ground beams (area)</t>
  </si>
  <si>
    <t>Superstructure</t>
  </si>
  <si>
    <t>Frame</t>
  </si>
  <si>
    <t>• C2.1 Poured concrete - walls, columns, beams, suspended slabs, staircases (volume)
• C2.2 Suspended slabs special construction (area)
• C3.1-C3.4 Reinforcement - bar (weight), fabric (area)
• C4.1 Shuttering - soffits, sides of walls, columns, beams (area)
• C5.1-C5.6 Precast concrete - floor slabs (area), structural units beams/stanchions (enumerated)
• C6.1-C6.4 Prestressed concrete (volume)
• E2.1 Structural metalwork - grillages, beams, stanchions, portal frames, roof trusses (weight)
• E2.2 Fittings - caps, brackets (item)
• E2.3 Fixings - bolts, rivets (item)
• E2.4 Wedging and grouting bases (enumerated)
• E2.5 Holding down bolts (enumerated)
• E2.6 Protective treatment (item)
• F2.1 Structural timbers - floors, pitched roofs, walls (length)
• F2.2 Strutting and bridging between joists (length)</t>
  </si>
  <si>
    <t>Volume (m³), Weight (t), Area (m²), Length (m), Enumerated (nr), Item</t>
  </si>
  <si>
    <t>2.02</t>
  </si>
  <si>
    <t>Upper Floors</t>
  </si>
  <si>
    <t>• C2.1 Poured concrete - suspended slabs stating thickness (volume)
• C2.2 Suspended slabs special construction - coffered, troughed (area)
• C3.1-C3.4 Reinforcement - bar (weight), fabric (area)
• C4.1 Shuttering - soffits, sloping soffits of staircases (area)
• C5.3 Precast floor slabs, partition slabs (area)
• C5.5 Precast structural units - beams (enumerated)
• F3.1 Boarding and flooring - floors incl. landings (area)</t>
  </si>
  <si>
    <t>Volume (m³), Area (m²), Weight (t), Length (m)</t>
  </si>
  <si>
    <t>2.03</t>
  </si>
  <si>
    <t>Roof</t>
  </si>
  <si>
    <t>• C2.1 Poured concrete - suspended slabs / roofs (volume)
• C3.1-C3.4 Reinforcement (weight / area)
• C4.1 Shuttering - soffits, sloping upper surfaces &gt;15° (area)
• E2.1 Structural metalwork - roof trusses (weight)
• F2.1 Structural timbers - pitched roofs, flat roofs (length)
• F3.1 Boarding - roofs incl. tops and cheeks of dormers, gutters (area)
• F3.2 Eaves and verge boards, fascias, barge boards (length)
• G2.1 Roofing / waterproof coverings - flat, sloping, vertical (area)
• G2.2 Eaves, ridges, skirtings, fascias, flashings, aprons (length)
• G2.3 Roof lights, ventilators, soaker collars (enumerated)
• G4.1 Insulation (area)</t>
  </si>
  <si>
    <t>Area (m²), Length (m), Volume (m³), Weight (t), Enumerated (nr)</t>
  </si>
  <si>
    <t>2.04</t>
  </si>
  <si>
    <t>Stairs and Ramps</t>
  </si>
  <si>
    <t>• C2.1 Poured concrete - staircases incl. steps and strings (volume)
• C3.1-C3.4 Reinforcement (weight / area)
• C4.1 Shuttering - staircases, sloping soffits (area)
• C5.5 Precast structural units - stair units (enumerated)
• E3.3 Metalwork - staircases (enumerated)
• F2.1 Structural timbers (length)
• J3.1 Finishings - staircases, treads, risers, edges of landings (area)
• J6.3 Decorations - staircases (area)</t>
  </si>
  <si>
    <t>Volume (m³), Area (m²), Enumerated (nr), Length (m)</t>
  </si>
  <si>
    <t>Building External Envelope</t>
  </si>
  <si>
    <t>2.05</t>
  </si>
  <si>
    <t>External Walls</t>
  </si>
  <si>
    <t>• C2.1 Poured concrete - walls incl. attached columns (volume)
• C3.1-C3.4 Reinforcement (weight / area)
• C4.1 Shuttering - sides of walls, returns, reveals (area)
• D2.1 Masonry walls and piers - walls, cavity walls (area)
• D2.2 Faced or fair-faced work (area extra over)
• D3.1 Sills, copings, oversailing courses (length)
• D5.1 Concrete filling to cavities (area)
• D5.2 Expansion joints (length)
• G2.1 External waterproof coverings - vertical (area)
• G3.1 Damp-proof courses (length / area)
• G4.1 Insulation (area)
• J2.1-J2.3 Backgrounds - external walls (area)
• J3.1 Finishings - external walls (area)</t>
  </si>
  <si>
    <t>Area (m²), Volume (m³), Length (m), Weight (t)</t>
  </si>
  <si>
    <t>2.06</t>
  </si>
  <si>
    <t>Windows and External Doors</t>
  </si>
  <si>
    <t>• H1.1 Doors (enumerated)
• H1.2 Jambs, heads, sills, mullions, transomes (length)
• H2.1 Windows, skylights and frames (enumerated)
• H3.1 Screens, curtain walling (area / enumerated)
• H4.1 Ironmongery - units or sets (enumerated)
• H5.1 Glass (area)
• H5.2 Sealed factory-glazed units (enumerated)
• H6.1 Patent glazing - roofs, skylights, vertical surfaces (area)
• H6.2 Opening portions (enumerated)
• J6.3 Decorations - windows measured flat over glass (area)</t>
  </si>
  <si>
    <t>Enumerated (nr), Area (m²), Length (m)</t>
  </si>
  <si>
    <t>Internal Walls and Doors</t>
  </si>
  <si>
    <t>2.07</t>
  </si>
  <si>
    <t>Internal Walls and Partitions</t>
  </si>
  <si>
    <t>• C2.1 Poured concrete - internal walls (volume)
• C3.1-C3.4 Reinforcement (weight / area)
• C4.1 Shuttering - sides of walls (area)
• D2.1 Masonry internal walls (area)
• D5.2 Expansion joints (length)
• D5.3 Air bricks (enumerated)
• K2.1 Partitions taken over all doors and glazed units (length)
• K2.3 Cubicles (enumerated)
• J3.1 Finishings - walls incl. returns, reveals, columns (area)
• J6.3 Decorations - walls (area)</t>
  </si>
  <si>
    <t>Area (m²), Length (m), Volume (m³), Enumerated (nr)</t>
  </si>
  <si>
    <t>2.08</t>
  </si>
  <si>
    <t>Internal Doors</t>
  </si>
  <si>
    <t>• H1.1 Doors (enumerated)
• H1.2 Jambs, heads, sills, mullions, transomes (length)
• H3.2 Doors and frames within a screen (enumerated)
• H4.1 Ironmongery - units or sets (enumerated)
• K2.2 Doors and glazed units in partitions (enumerated)
• J6.3 Decorations - doors, general surfaces (area)</t>
  </si>
  <si>
    <t>Enumerated (nr), Length (m), Area (m²)</t>
  </si>
  <si>
    <t>Wall Finishes</t>
  </si>
  <si>
    <t>• J2.1 Backgrounds - walls (area)
• J2.2 Poured backgrounds / screeds - walls (area)
• J2.3 Pre-formed backgrounds - plasterboard, EML (area)
• J3.1 Finishings - walls incl. returns, reveals, attached / unattached columns (area)
• J3.2 Skirtings, bands, strings, mouldings, coves, channels (length)
• J4.1 Non-slip inserts, angle beads, lathing at junctions (length)
• J6.1-J6.3 Decorations - walls (area)</t>
  </si>
  <si>
    <t>3.02</t>
  </si>
  <si>
    <t>Floor Finishes</t>
  </si>
  <si>
    <t>• J2.1 Backgrounds - floors (area)
• J2.2 Poured backgrounds / screeds - floors (area)
• J3.1 Finishings - floors incl. landings (area)
• J3.2 Skirtings, coverings to kerbs (length)
• J4.1 Dividing strips, non-slip inserts (length)
• J6.3 Decorations - floors (area)
• C7.1 Concrete surfaces to falls / cross-falls (area)
• C7.2 Concrete surface finishes (area)</t>
  </si>
  <si>
    <t>3.03</t>
  </si>
  <si>
    <t>Ceiling Finishes</t>
  </si>
  <si>
    <t>• J2.1 Backgrounds - ceilings (area)
• J2.3 Pre-formed backgrounds - plasterboard, EML (area)
• J3.1 Finishings - ceilings incl. attached / unattached beams, soffits of staircases (area)
• J5.1 Suspended ceilings - stating drop; sides and soffits of beams / upstands (area)
• J6.3 Decorations - ceilings (area)
• F3.1 Boarding - ceilings incl. attached / unattached beams, soffits (area)</t>
  </si>
  <si>
    <t>Area (m²)</t>
  </si>
  <si>
    <t>FF&amp;E</t>
  </si>
  <si>
    <t>4.01</t>
  </si>
  <si>
    <t>Furniture, Fittings and Equipment</t>
  </si>
  <si>
    <t>• M1.1 Furnishings - loose furniture, rugs, curtains, artwork (item / enumerated)
• M1.2 Each category of furnishing (item / enumerated / length)
• M2.1 Curtain track (length)
• L1.1 Equipment - specialist function e.g. food prep, lab, stage (item / enumerated)
• L1.2 Each category of equipment (item / enumerated)
• K1.1 Accessories - specially manufactured / proprietary items (enumerated)
• K1.2 Accessories generally (enumerated)
• F6.1 Finishings - cover fillets, architraves, skirtings, beads, edgings, window boards (length)
• F6.2 Fittings - worktops, handrails, balustrades (length)
• F6.3 Shelving (area / length)
• F6.4 Backboards (enumerated)
• F7.1 Composite / fabricated items (enumerated)
• F10.1 Ironmongery - units or sets (enumerated)</t>
  </si>
  <si>
    <t>Enumerated (nr), Length (m), Area (m²), Item</t>
  </si>
  <si>
    <t>Sanitary Fittings</t>
  </si>
  <si>
    <t>5.01</t>
  </si>
  <si>
    <t>Sanitary Appliances and Fittings</t>
  </si>
  <si>
    <t>• Q4.1 Sanitary fittings, tanks, fans, pumps, hoods, air-handling units (enumerated)
• Q2.1 Connection pipework (length)
• Q2.3 Valves, traps (enumerated)
• B19.1 Underground drain pipes (length)
• B19.3 Drain accessories - gullies, traps (enumerated)
• B19.5 Inspection chambers (enumerated)</t>
  </si>
  <si>
    <t>Enumerated (nr), Length (m)</t>
  </si>
  <si>
    <t>Services Equipment</t>
  </si>
  <si>
    <t>5.02</t>
  </si>
  <si>
    <t>• Q4.1 Mechanical equipment - tanks, pumps, fans, air-handling units (enumerated)
• R7.1 Electrical equipment - transformers, generators, luminaires (enumerated)
• L1.1 Specialist function equipment (item / enumerated)
• Q5.1 Automatic controls - thermostats, motorised valves (enumerated)</t>
  </si>
  <si>
    <t>Enumerated (nr), Item</t>
  </si>
  <si>
    <t>Mechanical</t>
  </si>
  <si>
    <t>5.03</t>
  </si>
  <si>
    <t>Disposal Installations</t>
  </si>
  <si>
    <t>• Q2.1 Disposal pipework (length)
• Q2.2 Fittings to large pipes &gt;60mm dia. (enumerated)
• Q2.3 Valves, traps, expansion compensators (enumerated)
• Q7.1 Insulation to pipework (length)
• Q8.1 Sundries per clause P2 (item)
• Q9.1 Incidental work per clause P3 (item)
• B19.1-B19.6 Underground drainage - pipes (length), fittings (enumerated), accessories (enumerated), chambers (enumerated)</t>
  </si>
  <si>
    <t>Length (m), Enumerated (nr), Item</t>
  </si>
  <si>
    <t>5.04</t>
  </si>
  <si>
    <t>Water Installations</t>
  </si>
  <si>
    <t>• Q2.1 Water supply pipework (length)
• Q2.2 Fittings to large pipes &gt;60mm dia. (enumerated)
• Q2.3 Valves, traps, expansion compensators (enumerated)
• Q4.1 Tanks, pumps (enumerated)
• Q6.1 Connections to supply mains (enumerated)
• Q7.1 Insulation to pipework (length)
• Q8.1 Sundries per clause P2 (item)
• Q9.1 Incidental work per clause P3 (item)</t>
  </si>
  <si>
    <t>5.05</t>
  </si>
  <si>
    <t>Heat Source</t>
  </si>
  <si>
    <t>• Q4.1 Boilers, heat exchangers, pumps (enumerated)
• Q2.1 Heating flow and return pipework (length)
• Q2.3 Valves, expansion compensators (enumerated)
• Q5.1 Automatic controls - thermostats, motorised valves (enumerated)
• Q6.1 Connections to supply mains (enumerated)
• Q7.1 Insulation to pipework (length)
• Q8.1 Sundries per clause P2 (item)</t>
  </si>
  <si>
    <t>5.06</t>
  </si>
  <si>
    <t>Space Heating and Air Treatment</t>
  </si>
  <si>
    <t>• Q2.1 Heating / cooling circuit pipework (length)
• Q2.3 Valves, expansion compensators (enumerated)
• Q3.1 Rectangular ductwork (weight)
• Q3.2 Circular / oval / flexible ductwork (length)
• Q3.4 Dampers, grilles, flexible connectors (enumerated)
• Q4.1 Fans, pumps, air-handling units, hoods (enumerated)
• Q4.2 Continuous convectors (length)
• Q4.3 Heated / ventilated ceilings (area)
• Q5.1 Automatic controls (enumerated)
• Q7.1 Insulation to pipework (length)
• Q7.2 Insulation to rectangular ductwork (area)
• Q7.3 Insulation to circular / oval ductwork (length)
• Q8.1 Sundries per clause P2 (item)
• Q9.1 Incidental work per clause P3 (item)</t>
  </si>
  <si>
    <t>Length (m), Weight (t), Area (m²), Enumerated (nr), Item</t>
  </si>
  <si>
    <t>5.07</t>
  </si>
  <si>
    <t>Ventilation</t>
  </si>
  <si>
    <t>• Q3.1 Rectangular ductwork (weight)
• Q3.2 Circular / oval / flexible ductwork (length)
• Q3.3 Fittings to circular / oval ductwork (enumerated)
• Q3.4 Dampers, grilles, flexible connectors (enumerated)
• Q4.1 Fans, air-handling units (enumerated)
• Q5.1 Automatic controls (enumerated)
• Q7.2 Insulation to rectangular ductwork (area)
• Q7.3 Insulation to circular ductwork (length)
• Q8.1 Sundries per clause P2 (item)
• Q9.1 Incidental work per clause P3 (item)</t>
  </si>
  <si>
    <t>Electrical</t>
  </si>
  <si>
    <t>5.08</t>
  </si>
  <si>
    <t>Electrical Installations</t>
  </si>
  <si>
    <t>• R2.2 Main circuit cable (length)
• R2.3 Main circuit conduit (length)
• R3.2 Sub-main cable and conduit (enumerated / length)
• R4.1 Final sub-circuits to lighting points, sockets, equipment points, auxiliary points (enumerated)
• R5.1 Accessories - ceiling roses, switches, socket outlets, bell pushes (enumerated)
• R6.1 Control gear - switchgear, distribution boards, contactors, starters (enumerated)
• R7.1 Equipment - transformers, generators, luminaires, external columns, clocks, loudspeakers (enumerated)
• R7.2 Controls incl. accessories and interconnecting cables (per relevant R clauses)
• R8.1 Connections to supply mains (enumerated)
• R9.1 Sundries per clause P2 (item)
• R10.1 Incidental work per clause P3 (item)</t>
  </si>
  <si>
    <t>5.09</t>
  </si>
  <si>
    <t>Fuel Installations</t>
  </si>
  <si>
    <t>• Q2.1 Fuel supply pipework (length)
• Q2.3 Valves (enumerated)
• Q4.1 Storage tanks (enumerated)
• Q6.1 Connections to supply mains (enumerated)
• Q7.1 Insulation to pipework (length)
• Q8.1 Sundries per clause P2 (item)
• Q9.1 Incidental work per clause P3 (item)</t>
  </si>
  <si>
    <t>Conveying Systems</t>
  </si>
  <si>
    <t>5.10</t>
  </si>
  <si>
    <t>Lift and Conveyor Installations</t>
  </si>
  <si>
    <t>• P1.1 Lifts, hoists, conveyors, escalators (enumerated)
• P2.1 Sundries - supports, identification, testing and commissioning, tools, documents (item)
• P3.1 Incidental work - coordination, holes, mortices, chases, brackets (item)
• P3.2 Protective and decorative painting (item)
• P3.3 Other incidental work per relevant sections</t>
  </si>
  <si>
    <t>5.11</t>
  </si>
  <si>
    <t>Fire and Lightning Protection</t>
  </si>
  <si>
    <t>• R4.1 Final sub-circuits - fire alarm detection points (enumerated)
• R5.1 Accessories - detection devices, call points, sounders (enumerated)
• R6.1 Control gear - fire alarm panels (enumerated)
• R7.1 Equipment - sounders, beacons, sprinkler control (enumerated)
• R9.1 Sundries per clause P2 (item)
• R10.1 Incidental work per clause P3 (item)
• Q2.1 Sprinkler / suppression pipework (length)
• Q2.3 Valves, sprinkler heads (enumerated)</t>
  </si>
  <si>
    <t>Enumerated (nr), Length (m), Item</t>
  </si>
  <si>
    <t>5.12</t>
  </si>
  <si>
    <t>Communication, Security and Control Systems</t>
  </si>
  <si>
    <t>• R4.1 Auxiliary installation points - telephone, data, security, AV (enumerated)
• R5.1 Accessories - data sockets, outlets (enumerated)
• R6.1 Control gear - CCTV panels, access control (enumerated)
• R7.1 Equipment - cameras, speakers, door entry units (enumerated)
• R9.1 Sundries per clause P2 (item)
• R10.1 Incidental work per clause P3 (item)</t>
  </si>
  <si>
    <t>5.13</t>
  </si>
  <si>
    <t>Specialist Installations</t>
  </si>
  <si>
    <t>• N1.1 Special construction - enclosures or specialist installations (general)
• N2.1 Enclosures e.g. air-supported, geodetic, prefabricated (enumerated)
• N3.1 Installations e.g. radiation protection (item)
• Q4.1 Specialist mechanical equipment (enumerated)
• R7.1 Specialist electrical equipment (enumerated)</t>
  </si>
  <si>
    <t>5.14</t>
  </si>
  <si>
    <t>Builder's Work in Connection with Services</t>
  </si>
  <si>
    <t>• P3.1 Incidental work - coordination, holes, mortices, chases, brackets (item)
• P3.2 Protective and decorative painting (item)
• Q9.1 Incidental work to mechanical installations per clause P3 (item)
• R10.1 Incidental work to electrical installations per clause P3 (item)
• C7.6 Fixings, ties, inserts (enumerated / area)
• D5.3 Air bricks (enumerated)</t>
  </si>
  <si>
    <t>Item, Enumerated (nr)</t>
  </si>
  <si>
    <t>Prefabricated Buildings</t>
  </si>
  <si>
    <t>6.01</t>
  </si>
  <si>
    <t>Prefabricated Buildings and Building Units</t>
  </si>
  <si>
    <t>• N1.1 Special construction - prefabricated buildings (general)
• N2.1 Prefabricated enclosures (enumerated)
• N3.1 Specialist installations (item)</t>
  </si>
  <si>
    <t>Work to Existing Buildings</t>
  </si>
  <si>
    <t>7.01</t>
  </si>
  <si>
    <t>Minor Demolition and Alteration Works</t>
  </si>
  <si>
    <t>• B4.1 Removing isolated trees (enumerated)
• B4.2 Removing hedges (length)
• B4.3 Site clearance - vegetation, undergrowth, trees (area)
• B5.1 Demolitions - location and disposal rules (general)
• B5.2 Removing individual fittings, fixtures, engineering installations (item)
• B5.3 Demolishing individual structures or part thereof (item)
• B5.4 Cutting openings / alterations to existing structures (item)
• B5.5 Temporary screens and roofs (item)
• B6.1 Shoring incidental to demolitions (included)
• B6.2 Shoring - other, stating location (item)</t>
  </si>
  <si>
    <t>Item, Enumerated (nr), Area (m²), Length (m)</t>
  </si>
  <si>
    <t>External Works</t>
  </si>
  <si>
    <t>Site Works, Drainage, External Services and Landscaping</t>
  </si>
  <si>
    <t>• B1.1 Keeping records of site observations and tests (item)
• B1.2 Samples, site tests, analyses (item)
• B1.3 Providing reports (item)
• B4.1 Removing isolated trees (enumerated)
• B4.2 Removing hedges (length)
• B4.3 Site clearance (area)
• B9.1 Excavation - oversite, reduce levels, trenches (volume)
• B11.1 Disposal - backfill or remove (volume)
• B12.1 Filling material (volume)
• B19.1 Underground drain pipes (length)
• B19.2 Drain fittings (enumerated)
• B19.3 Drain accessories - gullies, traps (enumerated)
• B19.4 Concrete beds / coverings for drains (length)
• B19.5 Inspection chambers (enumerated)
• B19.6 Connections to existing drains (enumerated)
• B20.1 Paving and surfacing (area)
• B20.2 Expansion joints and water stops (length)
• B20.3 Channels, curbs, edgings (length)
• B21.1 Fencing incl. posts (length)
• B21.2 Special posts - gate posts, straining posts (enumerated)
• B21.3 Gates, barriers (enumerated)
• B22.1 Cultivating and fertilising (area)
• B22.2 Soiling, seeding and turfing (area)
• B22.3 Hedges (length)
• B22.4 Trees and shrubs (enumerated)
• Q2.1 External services pipework (length)
• Q6.1 Connections to supply mains (enumerated)
• R2.2-R2.3 External cable and conduit (length)
• R8.1 External connections to supply mains (enumerated)</t>
  </si>
  <si>
    <t>Area (m²), Volume (m³), Length (m), Enumerated (nr), Item</t>
  </si>
  <si>
    <t>General Requirements</t>
  </si>
  <si>
    <t>9.01</t>
  </si>
  <si>
    <t>Preliminaries / General Requirements</t>
  </si>
  <si>
    <t>• A1.1-A1.2 Conditions of contract - clause headings schedule, appendix insertions schedule (item)
• A2.1 Specification - cross-reference to relevant specification clauses (item)
• A3.1 Restrictions - access, working space, working hours, services maintenance, order of works (item)
• A4.1 Contractor's admin - site admin, supervision, security, safety and welfare, transport (item)
• A5.1 Constructional plant - small plant and tools, scaffolding, cranes, site transport (item)
• A6.1 Employer's facilities - accommodation, telephones, vehicles, staff attendance, equipment (item)
• A7.1 Contractor's facilities - accommodation, fencing, roads, water, power, telephones (item)
• A7.2 Contractor's facilities - non-discretionary particulars (item)
• A8.1 Temporary works - traffic diversion, access roads, bridges, cofferdams, pumping, de-watering (item)
• A8.2 Temporary works - non-discretionary particulars (item)
• A9.1 Sundry items - testing, protecting works, rubbish removal, traffic, roads, drying, noise, statutory obligations (item)
• A9.2 Sundry items - non-discretionary particulars (item)</t>
  </si>
  <si>
    <t>Item</t>
  </si>
  <si>
    <t>Section</t>
  </si>
  <si>
    <t>L1</t>
  </si>
  <si>
    <t>L2</t>
  </si>
  <si>
    <t>L3</t>
  </si>
  <si>
    <t>FullCode</t>
  </si>
  <si>
    <t>Description</t>
  </si>
  <si>
    <t>NRM_Code</t>
  </si>
  <si>
    <t>NRM_Desc</t>
  </si>
  <si>
    <t>Measurement</t>
  </si>
  <si>
    <t>A000000</t>
  </si>
  <si>
    <t>A010000</t>
  </si>
  <si>
    <t>A010100</t>
  </si>
  <si>
    <t>A010200</t>
  </si>
  <si>
    <t>A020000</t>
  </si>
  <si>
    <t>A020100</t>
  </si>
  <si>
    <t>A030000</t>
  </si>
  <si>
    <t>A030100</t>
  </si>
  <si>
    <t>A030101</t>
  </si>
  <si>
    <t>A030102</t>
  </si>
  <si>
    <t>A030103</t>
  </si>
  <si>
    <t>A030104</t>
  </si>
  <si>
    <t>A030105</t>
  </si>
  <si>
    <t>A030106</t>
  </si>
  <si>
    <t>A040000</t>
  </si>
  <si>
    <t>A040100</t>
  </si>
  <si>
    <t>A040101</t>
  </si>
  <si>
    <t>A040102</t>
  </si>
  <si>
    <t>A040103</t>
  </si>
  <si>
    <t>A040104</t>
  </si>
  <si>
    <t>A040105</t>
  </si>
  <si>
    <t>A050000</t>
  </si>
  <si>
    <t>A050100</t>
  </si>
  <si>
    <t>A050101</t>
  </si>
  <si>
    <t>A050102</t>
  </si>
  <si>
    <t>A050103</t>
  </si>
  <si>
    <t>A050104</t>
  </si>
  <si>
    <t>A050105</t>
  </si>
  <si>
    <t>A060000</t>
  </si>
  <si>
    <t>A060100</t>
  </si>
  <si>
    <t>A060101</t>
  </si>
  <si>
    <t>A060102</t>
  </si>
  <si>
    <t>A060103</t>
  </si>
  <si>
    <t>A060104</t>
  </si>
  <si>
    <t>A060105</t>
  </si>
  <si>
    <t>A060106</t>
  </si>
  <si>
    <t>A060107</t>
  </si>
  <si>
    <t>A070000</t>
  </si>
  <si>
    <t>A070100</t>
  </si>
  <si>
    <t>A070101</t>
  </si>
  <si>
    <t>A070102</t>
  </si>
  <si>
    <t>A070103</t>
  </si>
  <si>
    <t>A070104</t>
  </si>
  <si>
    <t>A070105</t>
  </si>
  <si>
    <t>A070106</t>
  </si>
  <si>
    <t>A070200</t>
  </si>
  <si>
    <t>A080000</t>
  </si>
  <si>
    <t>A080100</t>
  </si>
  <si>
    <t>A080101</t>
  </si>
  <si>
    <t>A080102</t>
  </si>
  <si>
    <t>A080103</t>
  </si>
  <si>
    <t>A080104</t>
  </si>
  <si>
    <t>A080105</t>
  </si>
  <si>
    <t>A080106</t>
  </si>
  <si>
    <t>A080107</t>
  </si>
  <si>
    <t>A080200</t>
  </si>
  <si>
    <t>A090000</t>
  </si>
  <si>
    <t>A090100</t>
  </si>
  <si>
    <t>A090101</t>
  </si>
  <si>
    <t>A090102</t>
  </si>
  <si>
    <t>A090103</t>
  </si>
  <si>
    <t>A090104</t>
  </si>
  <si>
    <t>A090105</t>
  </si>
  <si>
    <t>A090106</t>
  </si>
  <si>
    <t>A090107</t>
  </si>
  <si>
    <t>A090108</t>
  </si>
  <si>
    <t>A090109</t>
  </si>
  <si>
    <t>A090200</t>
  </si>
  <si>
    <t>B000000</t>
  </si>
  <si>
    <t>B010000</t>
  </si>
  <si>
    <t>B010100</t>
  </si>
  <si>
    <t>B010200</t>
  </si>
  <si>
    <t>B010300</t>
  </si>
  <si>
    <t>B020000</t>
  </si>
  <si>
    <t>B020100</t>
  </si>
  <si>
    <t>B020200</t>
  </si>
  <si>
    <t>B030000</t>
  </si>
  <si>
    <t>B030100</t>
  </si>
  <si>
    <t>B030200</t>
  </si>
  <si>
    <t>B030300</t>
  </si>
  <si>
    <t>B040000</t>
  </si>
  <si>
    <t>B040100</t>
  </si>
  <si>
    <t>B040200</t>
  </si>
  <si>
    <t>B040300</t>
  </si>
  <si>
    <t>B050000</t>
  </si>
  <si>
    <t>B050100</t>
  </si>
  <si>
    <t>B050200</t>
  </si>
  <si>
    <t>B050300</t>
  </si>
  <si>
    <t>B050400</t>
  </si>
  <si>
    <t>B050500</t>
  </si>
  <si>
    <t>B060000</t>
  </si>
  <si>
    <t>B060100</t>
  </si>
  <si>
    <t>B060200</t>
  </si>
  <si>
    <t>B060300</t>
  </si>
  <si>
    <t>B060400</t>
  </si>
  <si>
    <t>B070000</t>
  </si>
  <si>
    <t>B070100</t>
  </si>
  <si>
    <t>B070200</t>
  </si>
  <si>
    <t>B070300</t>
  </si>
  <si>
    <t>B070400</t>
  </si>
  <si>
    <t>B070401</t>
  </si>
  <si>
    <t>B070402</t>
  </si>
  <si>
    <t>B070500</t>
  </si>
  <si>
    <t>B080000</t>
  </si>
  <si>
    <t>B080100</t>
  </si>
  <si>
    <t>B080200</t>
  </si>
  <si>
    <t>B080300</t>
  </si>
  <si>
    <t>B080400</t>
  </si>
  <si>
    <t>B080500</t>
  </si>
  <si>
    <t>B080600</t>
  </si>
  <si>
    <t>B090100</t>
  </si>
  <si>
    <t>B090101</t>
  </si>
  <si>
    <t>B090102</t>
  </si>
  <si>
    <t>B090103</t>
  </si>
  <si>
    <t>B090104</t>
  </si>
  <si>
    <t>B090105</t>
  </si>
  <si>
    <t>B090106</t>
  </si>
  <si>
    <t>B090107</t>
  </si>
  <si>
    <t>B090200</t>
  </si>
  <si>
    <t>B090300</t>
  </si>
  <si>
    <t>B100000</t>
  </si>
  <si>
    <t>B100100</t>
  </si>
  <si>
    <t>B110000</t>
  </si>
  <si>
    <t>B110100</t>
  </si>
  <si>
    <t>B110101</t>
  </si>
  <si>
    <t>B110102</t>
  </si>
  <si>
    <t>B110103</t>
  </si>
  <si>
    <t>B110104</t>
  </si>
  <si>
    <t>B120000</t>
  </si>
  <si>
    <t>B120100</t>
  </si>
  <si>
    <t>B120101</t>
  </si>
  <si>
    <t>B120102</t>
  </si>
  <si>
    <t>B120103</t>
  </si>
  <si>
    <t>B130000</t>
  </si>
  <si>
    <t>B130100</t>
  </si>
  <si>
    <t>B130200</t>
  </si>
  <si>
    <t>B13.2 Other piling systems (for example, preformed casing with concrete filling) shall be measured in accordance</t>
  </si>
  <si>
    <t>with the principles for driven piling or bored piling as may be appropriate.</t>
  </si>
  <si>
    <t>B130300</t>
  </si>
  <si>
    <t>B140000</t>
  </si>
  <si>
    <t>B140100</t>
  </si>
  <si>
    <t>B140200</t>
  </si>
  <si>
    <t>B140300</t>
  </si>
  <si>
    <t>B14.3 Driving piles shall be measured by length, taken from the pile point in contact with the ground when pitched</t>
  </si>
  <si>
    <t>to the pile point when driven, stating the number; driving piles on rake shall be so described.</t>
  </si>
  <si>
    <t>B140400</t>
  </si>
  <si>
    <t>B150000</t>
  </si>
  <si>
    <t>B150100</t>
  </si>
  <si>
    <t>B150200</t>
  </si>
  <si>
    <t>B15.2 Boring through rock shall be measured by length as extra over boring for piles (that is, the length of boring</t>
  </si>
  <si>
    <t>through rock shall be measured but no deduction shall be made from the total length of boring).</t>
  </si>
  <si>
    <t>B150300</t>
  </si>
  <si>
    <t>B150400</t>
  </si>
  <si>
    <t>B150500</t>
  </si>
  <si>
    <t>B150600</t>
  </si>
  <si>
    <t>B160000</t>
  </si>
  <si>
    <t>B160100</t>
  </si>
  <si>
    <t>B160200</t>
  </si>
  <si>
    <t>B160300</t>
  </si>
  <si>
    <t>B160400</t>
  </si>
  <si>
    <t>B160500</t>
  </si>
  <si>
    <t>B160600</t>
  </si>
  <si>
    <t>B170000</t>
  </si>
  <si>
    <t>B170100</t>
  </si>
  <si>
    <t>B17.1 Performance designed piles shall be enumerated; reinforcement and disposal of material arising from boring</t>
  </si>
  <si>
    <t>shall be understood to be included.</t>
  </si>
  <si>
    <t>B170200</t>
  </si>
  <si>
    <t>B180000</t>
  </si>
  <si>
    <t>B180100</t>
  </si>
  <si>
    <t>B190000</t>
  </si>
  <si>
    <t>B190100</t>
  </si>
  <si>
    <t>B190200</t>
  </si>
  <si>
    <t>B19.2 Drain fittings in the length (for example, bends, junctions) shall be enumerated, grouped together for each</t>
  </si>
  <si>
    <t>size of pipe and described as 'fittings'.</t>
  </si>
  <si>
    <t>B190300</t>
  </si>
  <si>
    <t>B19.3 Drain accessories (for example, gullies, traps) shall be enumerated; concrete surrounds and additional</t>
  </si>
  <si>
    <t>excavation shall be understood to be included.</t>
  </si>
  <si>
    <t>B190400</t>
  </si>
  <si>
    <t>B19.4 Concrete beds and coverings for drain pipes shall each be measured by length, stating the diameter of the</t>
  </si>
  <si>
    <t>pipe; surrounds to vertical pipes shall be so described and shall be understood to include formwork.</t>
  </si>
  <si>
    <t>B190500</t>
  </si>
  <si>
    <t>B19.5 Inspection chambers or the like shall be enumerated; alternatively, they may be measured in accordance \\'ith</t>
  </si>
  <si>
    <t>the relevant sections of this document and given under an appropriate heading.</t>
  </si>
  <si>
    <t>B190600</t>
  </si>
  <si>
    <t>B19.6 Connections to existing drains shall be enumerated, subject to clause GP8.</t>
  </si>
  <si>
    <t>B200000</t>
  </si>
  <si>
    <t>B200100</t>
  </si>
  <si>
    <t>B200200</t>
  </si>
  <si>
    <t>B200300</t>
  </si>
  <si>
    <t>B210000</t>
  </si>
  <si>
    <t>B210100</t>
  </si>
  <si>
    <t>B21.1 Fencing, which shall include posts and supports in the length, shall be measured by length; excavating pits,</t>
  </si>
  <si>
    <t>disposal and filling shall be understood to be included.</t>
  </si>
  <si>
    <t>B210200</t>
  </si>
  <si>
    <t>B21.2 Special posts (for example, gate posts, straining posts) shall be enumerated; excavating pits, disposal and</t>
  </si>
  <si>
    <t>filling shall be understood to be included.</t>
  </si>
  <si>
    <t>B210300</t>
  </si>
  <si>
    <t>B210400</t>
  </si>
  <si>
    <t>B220000</t>
  </si>
  <si>
    <t>B220100</t>
  </si>
  <si>
    <t>B220200</t>
  </si>
  <si>
    <t>B220300</t>
  </si>
  <si>
    <t>B220400</t>
  </si>
  <si>
    <t>B230000</t>
  </si>
  <si>
    <t>B230100</t>
  </si>
  <si>
    <t>B23.1 Track, guard rails and conductor rails shall each be measured by length, taken along the centre line over all</t>
  </si>
  <si>
    <t>fittings; curved work shall be so described.</t>
  </si>
  <si>
    <t>B230200</t>
  </si>
  <si>
    <t>B230300</t>
  </si>
  <si>
    <t>B23.3 Switches and crossings shall be enumerated, classified as follows:</t>
  </si>
  <si>
    <t>B230301</t>
  </si>
  <si>
    <t>B230302</t>
  </si>
  <si>
    <t>B230303</t>
  </si>
  <si>
    <t>B230304</t>
  </si>
  <si>
    <t>B230305</t>
  </si>
  <si>
    <t>B230400</t>
  </si>
  <si>
    <t>B23.4 Ballast shall be measured by volume, without deduction for track, classified as follows:</t>
  </si>
  <si>
    <t>B230401</t>
  </si>
  <si>
    <t>B230402</t>
  </si>
  <si>
    <t>B230500</t>
  </si>
  <si>
    <t>B23.5 Concrete track foundations shall be measured by length, except that overwidth foundations for switches and</t>
  </si>
  <si>
    <t>crossings shall be measured by area; reinforcement and shuttering shall be understood to be included.</t>
  </si>
  <si>
    <t>B230600</t>
  </si>
  <si>
    <t>B230700</t>
  </si>
  <si>
    <t>B230800</t>
  </si>
  <si>
    <t>B240000</t>
  </si>
  <si>
    <t>B240100</t>
  </si>
  <si>
    <t>B24.1 Excavation shall be measured by volume as the void which is to be occupied, including the volume of</t>
  </si>
  <si>
    <t>permanent linings, grouped as may be appropriate to identify different lengths and classified as follows:</t>
  </si>
  <si>
    <t>B240101</t>
  </si>
  <si>
    <t>B240102</t>
  </si>
  <si>
    <t>B240103</t>
  </si>
  <si>
    <t>B240104</t>
  </si>
  <si>
    <t>B240105</t>
  </si>
  <si>
    <t>B240106</t>
  </si>
  <si>
    <t>B240107</t>
  </si>
  <si>
    <t>B240200</t>
  </si>
  <si>
    <t>B240300</t>
  </si>
  <si>
    <t>B250000</t>
  </si>
  <si>
    <t>B250100</t>
  </si>
  <si>
    <t>B25.1 Poured concrete linings shall be measured by area, stating whether spray or cast concrete, classified as follows:</t>
  </si>
  <si>
    <t>B250101</t>
  </si>
  <si>
    <t>B250102</t>
  </si>
  <si>
    <t>B250200</t>
  </si>
  <si>
    <t>B260000</t>
  </si>
  <si>
    <t>B260100</t>
  </si>
  <si>
    <t>B260200</t>
  </si>
  <si>
    <t>B260300</t>
  </si>
  <si>
    <t>B260400</t>
  </si>
  <si>
    <t>B260500</t>
  </si>
  <si>
    <t>B260600</t>
  </si>
  <si>
    <t>C000000</t>
  </si>
  <si>
    <t>C010000</t>
  </si>
  <si>
    <t>C010100</t>
  </si>
  <si>
    <t>C010200</t>
  </si>
  <si>
    <t>C010300</t>
  </si>
  <si>
    <t>C010400</t>
  </si>
  <si>
    <t>C020000</t>
  </si>
  <si>
    <t>C020100</t>
  </si>
  <si>
    <t>C020101</t>
  </si>
  <si>
    <t>C020102</t>
  </si>
  <si>
    <t>C020103</t>
  </si>
  <si>
    <t>C020104</t>
  </si>
  <si>
    <t>C020105</t>
  </si>
  <si>
    <t>C020106</t>
  </si>
  <si>
    <t>C020107</t>
  </si>
  <si>
    <t>C020108</t>
  </si>
  <si>
    <t>C020109</t>
  </si>
  <si>
    <t>C020110</t>
  </si>
  <si>
    <t>C020111</t>
  </si>
  <si>
    <t>C020200</t>
  </si>
  <si>
    <t>C020300</t>
  </si>
  <si>
    <t>C030100</t>
  </si>
  <si>
    <t>C030200</t>
  </si>
  <si>
    <t>C030300</t>
  </si>
  <si>
    <t>C030400</t>
  </si>
  <si>
    <t>C040000</t>
  </si>
  <si>
    <t>C040100</t>
  </si>
  <si>
    <t>C040101</t>
  </si>
  <si>
    <t>C040102</t>
  </si>
  <si>
    <t>C040103</t>
  </si>
  <si>
    <t>C040104</t>
  </si>
  <si>
    <t>C040105</t>
  </si>
  <si>
    <t>C040106</t>
  </si>
  <si>
    <t>C040107</t>
  </si>
  <si>
    <t>C040108</t>
  </si>
  <si>
    <t>C040109</t>
  </si>
  <si>
    <t>C040110</t>
  </si>
  <si>
    <t>C040111</t>
  </si>
  <si>
    <t>C040200</t>
  </si>
  <si>
    <t>C040300</t>
  </si>
  <si>
    <t>C040400</t>
  </si>
  <si>
    <t>C040500</t>
  </si>
  <si>
    <t>C040600</t>
  </si>
  <si>
    <t>C040700</t>
  </si>
  <si>
    <t>C040800</t>
  </si>
  <si>
    <t>C050000</t>
  </si>
  <si>
    <t>C050100</t>
  </si>
  <si>
    <t>C050200</t>
  </si>
  <si>
    <t>C050300</t>
  </si>
  <si>
    <t>C050400</t>
  </si>
  <si>
    <t>C050500</t>
  </si>
  <si>
    <t>C050600</t>
  </si>
  <si>
    <t>C060000</t>
  </si>
  <si>
    <t>C060100</t>
  </si>
  <si>
    <t>C060200</t>
  </si>
  <si>
    <t>C060300</t>
  </si>
  <si>
    <t>C060400</t>
  </si>
  <si>
    <t>C070000</t>
  </si>
  <si>
    <t>C070100</t>
  </si>
  <si>
    <t>C070200</t>
  </si>
  <si>
    <t>C070300</t>
  </si>
  <si>
    <t>C070400</t>
  </si>
  <si>
    <t>C070500</t>
  </si>
  <si>
    <t>C070600</t>
  </si>
  <si>
    <t>C070700</t>
  </si>
  <si>
    <t>D000000</t>
  </si>
  <si>
    <t>External Walls / Masonry</t>
  </si>
  <si>
    <t>Area (m²), Length (m), Volume (m³)</t>
  </si>
  <si>
    <t>D010000</t>
  </si>
  <si>
    <t>D010100</t>
  </si>
  <si>
    <t>D010200</t>
  </si>
  <si>
    <t>D020000</t>
  </si>
  <si>
    <t>D020100</t>
  </si>
  <si>
    <t>D020101</t>
  </si>
  <si>
    <t>D020102</t>
  </si>
  <si>
    <t>D020103</t>
  </si>
  <si>
    <t>D020104</t>
  </si>
  <si>
    <t>D020200</t>
  </si>
  <si>
    <t>D030000</t>
  </si>
  <si>
    <t>D030100</t>
  </si>
  <si>
    <t>D030200</t>
  </si>
  <si>
    <t>D040000</t>
  </si>
  <si>
    <t>D040100</t>
  </si>
  <si>
    <t>D050000</t>
  </si>
  <si>
    <t>D050100</t>
  </si>
  <si>
    <t>D050200</t>
  </si>
  <si>
    <t>D050300</t>
  </si>
  <si>
    <t>E000000</t>
  </si>
  <si>
    <t>Frame / Structural Metalwork</t>
  </si>
  <si>
    <t>Weight (t), Enumerated (nr), Item</t>
  </si>
  <si>
    <t>E010000</t>
  </si>
  <si>
    <t>E010100</t>
  </si>
  <si>
    <t>E1.1 The weight of metalwork shall be the net weight, without addition for rolling margin or welding material and</t>
  </si>
  <si>
    <t>without deduction for holes, splay cuts, notches or the like.</t>
  </si>
  <si>
    <t>E010200</t>
  </si>
  <si>
    <t>E020000</t>
  </si>
  <si>
    <t>E020100</t>
  </si>
  <si>
    <t>E020101</t>
  </si>
  <si>
    <t>E020102</t>
  </si>
  <si>
    <t>E020103</t>
  </si>
  <si>
    <t>E020104</t>
  </si>
  <si>
    <t>E020105</t>
  </si>
  <si>
    <t>E020106</t>
  </si>
  <si>
    <t>E020107</t>
  </si>
  <si>
    <t>E020200</t>
  </si>
  <si>
    <t>E020300</t>
  </si>
  <si>
    <t>E020400</t>
  </si>
  <si>
    <t>E020500</t>
  </si>
  <si>
    <t>E2.5 Holding down bolts or the like shall be enumerated; temporary boxes and grouting shall be understood to be</t>
  </si>
  <si>
    <t>included.</t>
  </si>
  <si>
    <t>E020600</t>
  </si>
  <si>
    <t>E030000</t>
  </si>
  <si>
    <t>E030100</t>
  </si>
  <si>
    <t>E030200</t>
  </si>
  <si>
    <t>E3.2 Bearers, balustrades, handrails (except where included with a staircase), frames or the like shall be measured</t>
  </si>
  <si>
    <t>by length.</t>
  </si>
  <si>
    <t>E030300</t>
  </si>
  <si>
    <t>F000000</t>
  </si>
  <si>
    <t>Frame / Woodwork</t>
  </si>
  <si>
    <t>Length (m), Area (m²), Enumerated (nr)</t>
  </si>
  <si>
    <t>F010000</t>
  </si>
  <si>
    <t>F010100</t>
  </si>
  <si>
    <t>F010200</t>
  </si>
  <si>
    <t>F020000</t>
  </si>
  <si>
    <t>F020100</t>
  </si>
  <si>
    <t>F020101</t>
  </si>
  <si>
    <t>F020102</t>
  </si>
  <si>
    <t>F020103</t>
  </si>
  <si>
    <t>F020104</t>
  </si>
  <si>
    <t>F020105</t>
  </si>
  <si>
    <t>F020200</t>
  </si>
  <si>
    <t>F030000</t>
  </si>
  <si>
    <t>F030100</t>
  </si>
  <si>
    <t>F030101</t>
  </si>
  <si>
    <t>F030102</t>
  </si>
  <si>
    <t>F030103</t>
  </si>
  <si>
    <t>F030104</t>
  </si>
  <si>
    <t>F030200</t>
  </si>
  <si>
    <t>F030300</t>
  </si>
  <si>
    <t>F040000</t>
  </si>
  <si>
    <t>F040100</t>
  </si>
  <si>
    <t>F040200</t>
  </si>
  <si>
    <t>F050000</t>
  </si>
  <si>
    <t>F050100</t>
  </si>
  <si>
    <t>F060000</t>
  </si>
  <si>
    <t>F060100</t>
  </si>
  <si>
    <t>F6.1 Finishings shall be measured by length, classified as follows:</t>
  </si>
  <si>
    <t>F060101</t>
  </si>
  <si>
    <t>F060102</t>
  </si>
  <si>
    <t>F060103</t>
  </si>
  <si>
    <t>F060200</t>
  </si>
  <si>
    <t>F6.2 Unless otherwise stated, fittings shall be measured by length, classified as follows:</t>
  </si>
  <si>
    <t>F060201</t>
  </si>
  <si>
    <t>F060202</t>
  </si>
  <si>
    <t>F060300</t>
  </si>
  <si>
    <t>F060400</t>
  </si>
  <si>
    <t>F060500</t>
  </si>
  <si>
    <t>F060600</t>
  </si>
  <si>
    <t>F6.7 Sheet linings shall be measured by area, classified as follows:</t>
  </si>
  <si>
    <t>F060601</t>
  </si>
  <si>
    <t>F060602</t>
  </si>
  <si>
    <t>F070000</t>
  </si>
  <si>
    <t>F070100</t>
  </si>
  <si>
    <t>F070200</t>
  </si>
  <si>
    <t>F080000</t>
  </si>
  <si>
    <t>F080100</t>
  </si>
  <si>
    <t>F090000</t>
  </si>
  <si>
    <t>F090100</t>
  </si>
  <si>
    <t>F100000</t>
  </si>
  <si>
    <t>F100100</t>
  </si>
  <si>
    <t>G000000</t>
  </si>
  <si>
    <t>Roof / Thermal &amp; Moisture Protection</t>
  </si>
  <si>
    <t>Area (m²), Length (m), Enumerated (nr)</t>
  </si>
  <si>
    <t>G010000</t>
  </si>
  <si>
    <t>G010100</t>
  </si>
  <si>
    <t>G010200</t>
  </si>
  <si>
    <t>G020000</t>
  </si>
  <si>
    <t>G020100</t>
  </si>
  <si>
    <t>G020101</t>
  </si>
  <si>
    <t>G020102</t>
  </si>
  <si>
    <t>G020103</t>
  </si>
  <si>
    <t>G020200</t>
  </si>
  <si>
    <t>G020300</t>
  </si>
  <si>
    <t>G030000</t>
  </si>
  <si>
    <t>G030100</t>
  </si>
  <si>
    <t>G040000</t>
  </si>
  <si>
    <t>G040100</t>
  </si>
  <si>
    <t>H000000</t>
  </si>
  <si>
    <t>H010000</t>
  </si>
  <si>
    <t>H010100</t>
  </si>
  <si>
    <t>H010200</t>
  </si>
  <si>
    <t>H020000</t>
  </si>
  <si>
    <t>H020100</t>
  </si>
  <si>
    <t>H030000</t>
  </si>
  <si>
    <t>H030100</t>
  </si>
  <si>
    <t>H030200</t>
  </si>
  <si>
    <t>H040000</t>
  </si>
  <si>
    <t>H040100</t>
  </si>
  <si>
    <t>H050000</t>
  </si>
  <si>
    <t>H050100</t>
  </si>
  <si>
    <t>H050200</t>
  </si>
  <si>
    <t>H050300</t>
  </si>
  <si>
    <t>H050400</t>
  </si>
  <si>
    <t>H060000</t>
  </si>
  <si>
    <t>H060100</t>
  </si>
  <si>
    <t>H060101</t>
  </si>
  <si>
    <t>H060102</t>
  </si>
  <si>
    <t>H060103</t>
  </si>
  <si>
    <t>H060200</t>
  </si>
  <si>
    <t>J000000</t>
  </si>
  <si>
    <t>J010000</t>
  </si>
  <si>
    <t>J010100</t>
  </si>
  <si>
    <t>J010200</t>
  </si>
  <si>
    <t>J010300</t>
  </si>
  <si>
    <t>J020100</t>
  </si>
  <si>
    <t>J020200</t>
  </si>
  <si>
    <t>J020300</t>
  </si>
  <si>
    <t>J030000</t>
  </si>
  <si>
    <t>J030100</t>
  </si>
  <si>
    <t>J030101</t>
  </si>
  <si>
    <t>J030102</t>
  </si>
  <si>
    <t>J030103</t>
  </si>
  <si>
    <t>J030104</t>
  </si>
  <si>
    <t>J030200</t>
  </si>
  <si>
    <t>J040000</t>
  </si>
  <si>
    <t>J040100</t>
  </si>
  <si>
    <t>J050000</t>
  </si>
  <si>
    <t>J050100</t>
  </si>
  <si>
    <t>J050101</t>
  </si>
  <si>
    <t>J050102</t>
  </si>
  <si>
    <t>J060000</t>
  </si>
  <si>
    <t>J060100</t>
  </si>
  <si>
    <t>J060200</t>
  </si>
  <si>
    <t>J060300</t>
  </si>
  <si>
    <t>J060301</t>
  </si>
  <si>
    <t>J060302</t>
  </si>
  <si>
    <t>J060303</t>
  </si>
  <si>
    <t>J060304</t>
  </si>
  <si>
    <t>J060305</t>
  </si>
  <si>
    <t>J060306</t>
  </si>
  <si>
    <t>J060307</t>
  </si>
  <si>
    <t>J060308</t>
  </si>
  <si>
    <t>J060309</t>
  </si>
  <si>
    <t>J060310</t>
  </si>
  <si>
    <t>J060311</t>
  </si>
  <si>
    <t>J060312</t>
  </si>
  <si>
    <t>J060400</t>
  </si>
  <si>
    <t>J060500</t>
  </si>
  <si>
    <t>J070000</t>
  </si>
  <si>
    <t>J070100</t>
  </si>
  <si>
    <t>K000000</t>
  </si>
  <si>
    <t>K010000</t>
  </si>
  <si>
    <t>K010100</t>
  </si>
  <si>
    <t>K010200</t>
  </si>
  <si>
    <t>K020000</t>
  </si>
  <si>
    <t>K020100</t>
  </si>
  <si>
    <t>K020200</t>
  </si>
  <si>
    <t>K020300</t>
  </si>
  <si>
    <t>L000000</t>
  </si>
  <si>
    <t>Equipment</t>
  </si>
  <si>
    <t>L010000</t>
  </si>
  <si>
    <t>L010100</t>
  </si>
  <si>
    <t>L010200</t>
  </si>
  <si>
    <t>M000000</t>
  </si>
  <si>
    <t>Furnishings</t>
  </si>
  <si>
    <t>M010000</t>
  </si>
  <si>
    <t>M010100</t>
  </si>
  <si>
    <t>M010200</t>
  </si>
  <si>
    <t>M020000</t>
  </si>
  <si>
    <t>M020100</t>
  </si>
  <si>
    <t>N000000</t>
  </si>
  <si>
    <t>N010000</t>
  </si>
  <si>
    <t>N010100</t>
  </si>
  <si>
    <t>N1.1 For the purposes of identification, special construction to be measured in accordance with the principles in</t>
  </si>
  <si>
    <t>this section shall be defined as either enclosures of a specialist construction (for example. air supported or</t>
  </si>
  <si>
    <t>geodetic structures, prefabricated buildings) or installations of a specialist nature (for example, radiation</t>
  </si>
  <si>
    <t>protection).</t>
  </si>
  <si>
    <t>N020000</t>
  </si>
  <si>
    <t>N020100</t>
  </si>
  <si>
    <t>N2.1 Enclosures shall be enumerated; work within the enclosure, not being part of the enclosure construction, shall</t>
  </si>
  <si>
    <t>be measured in accordance with the relevant sections of this document.</t>
  </si>
  <si>
    <t>N030000</t>
  </si>
  <si>
    <t>N030100</t>
  </si>
  <si>
    <t>N3.1 Installations shall each be given as an item; alternatively, they may be measured in accordance with the</t>
  </si>
  <si>
    <t>relevant sections of this document.</t>
  </si>
  <si>
    <t>P000000</t>
  </si>
  <si>
    <t>P010000</t>
  </si>
  <si>
    <t>P010100</t>
  </si>
  <si>
    <t>P020000</t>
  </si>
  <si>
    <t>P020100</t>
  </si>
  <si>
    <t>P2.1 An item shall be given for each of the following:</t>
  </si>
  <si>
    <t>P020101</t>
  </si>
  <si>
    <t>P020102</t>
  </si>
  <si>
    <t>P020103</t>
  </si>
  <si>
    <t>P020104</t>
  </si>
  <si>
    <t>P020105</t>
  </si>
  <si>
    <t>P030000</t>
  </si>
  <si>
    <t>P030100</t>
  </si>
  <si>
    <t>P030101</t>
  </si>
  <si>
    <t>P030102</t>
  </si>
  <si>
    <t>P030103</t>
  </si>
  <si>
    <t>P030200</t>
  </si>
  <si>
    <t>P030201</t>
  </si>
  <si>
    <t>P030202</t>
  </si>
  <si>
    <t>P030300</t>
  </si>
  <si>
    <t>Q000000</t>
  </si>
  <si>
    <t>Mechanical Engineering Installations</t>
  </si>
  <si>
    <t>Q010000</t>
  </si>
  <si>
    <t>Q010100</t>
  </si>
  <si>
    <t>Q010200</t>
  </si>
  <si>
    <t>Q020000</t>
  </si>
  <si>
    <t>Q020100</t>
  </si>
  <si>
    <t>Q020200</t>
  </si>
  <si>
    <t>Q020300</t>
  </si>
  <si>
    <t>Q030000</t>
  </si>
  <si>
    <t>Q030100</t>
  </si>
  <si>
    <t>Q3.1 Rectangular ductwork shall be measured by weight, based upon the area calculated as the length, taken along</t>
  </si>
  <si>
    <t>the centre line over all fittings, times the net girth of nominal dimensions. Blank ends shall be added to the</t>
  </si>
  <si>
    <t>area for weighting but no deduction shall be made for intersections or openings; extra weight for seams,</t>
  </si>
  <si>
    <t>stiffeners, supports, fixings or the like shall be understood to be included.</t>
  </si>
  <si>
    <t>Q030200</t>
  </si>
  <si>
    <t>Q030300</t>
  </si>
  <si>
    <t>Q3.3 Fittings to rectangular ductwork shall be understood to be included; fittings to circular and oval ductwork</t>
  </si>
  <si>
    <t>(excluding test holes and covers) shall be enumerated, grouped together for each size of duct and described as</t>
  </si>
  <si>
    <t>'fittings'.</t>
  </si>
  <si>
    <t>Q030400</t>
  </si>
  <si>
    <t>Q040000</t>
  </si>
  <si>
    <t>Q040100</t>
  </si>
  <si>
    <t>Q040200</t>
  </si>
  <si>
    <t>Q040300</t>
  </si>
  <si>
    <t>Q050000</t>
  </si>
  <si>
    <t>Q050100</t>
  </si>
  <si>
    <t>Q050200</t>
  </si>
  <si>
    <t>Q050300</t>
  </si>
  <si>
    <t>Q060000</t>
  </si>
  <si>
    <t>Q060100</t>
  </si>
  <si>
    <t>Q070000</t>
  </si>
  <si>
    <t>Q070100</t>
  </si>
  <si>
    <t>Q070200</t>
  </si>
  <si>
    <t>Q7.2 Insulation to rectangular ductwork shall be measured by area, calculated as described In clause Q3; additional</t>
  </si>
  <si>
    <t>insulation to flanges or the like shall be understood to be included.</t>
  </si>
  <si>
    <t>Q070300</t>
  </si>
  <si>
    <t>Q7.3 Insulation to circular, oval and flexible ductwork shall be measured by length, taken along the centre line over</t>
  </si>
  <si>
    <t>all fittings.</t>
  </si>
  <si>
    <t>Q070400</t>
  </si>
  <si>
    <t>Q070500</t>
  </si>
  <si>
    <t>Q080000</t>
  </si>
  <si>
    <t>Q080100</t>
  </si>
  <si>
    <t>Q090000</t>
  </si>
  <si>
    <t>Q090100</t>
  </si>
  <si>
    <t>R000000</t>
  </si>
  <si>
    <t>Electrical Engineering Installations</t>
  </si>
  <si>
    <t>R010000</t>
  </si>
  <si>
    <t>R010100</t>
  </si>
  <si>
    <t>R1.1 Installations and auxiliary installations shall be classified by function and given separately under an</t>
  </si>
  <si>
    <t>appropriate heading.</t>
  </si>
  <si>
    <t>R010200</t>
  </si>
  <si>
    <t>R1.2 Installations shall be measured in accordance with the relevant clauses in this section; alternatively, they may</t>
  </si>
  <si>
    <t>be enumerated on a locational basis (for example, lighting installation to ground floor).</t>
  </si>
  <si>
    <t>R010300</t>
  </si>
  <si>
    <t>R010400</t>
  </si>
  <si>
    <t>R020000</t>
  </si>
  <si>
    <t>R020100</t>
  </si>
  <si>
    <t>R2.1 For the purposes of measurement, 'main' is defined as the ‘incoming supply to the main distribution board</t>
  </si>
  <si>
    <t>within a building or complex'.</t>
  </si>
  <si>
    <t>R020200</t>
  </si>
  <si>
    <t>R020300</t>
  </si>
  <si>
    <t>R030000</t>
  </si>
  <si>
    <t>R030100</t>
  </si>
  <si>
    <t>R3.1 For the purposes of measurement, 'sub-main' is defined as the 'supply from the main distribution board to a</t>
  </si>
  <si>
    <t>sub-main distribution board'.</t>
  </si>
  <si>
    <t>R030200</t>
  </si>
  <si>
    <t>R3.2 Cable and conduit to individual sub-main circuits shall be enumerated and separately identified as may be</t>
  </si>
  <si>
    <t>appropriate; alternatively, sub-main circuits may be measured in accordance with clause R2.</t>
  </si>
  <si>
    <t>R040000</t>
  </si>
  <si>
    <t>R040100</t>
  </si>
  <si>
    <t>R4.1 Cable and conduit to termination points shall be enumerated, classified as follows:</t>
  </si>
  <si>
    <t>R040101</t>
  </si>
  <si>
    <t>R040102</t>
  </si>
  <si>
    <t>R040103</t>
  </si>
  <si>
    <t>R040104</t>
  </si>
  <si>
    <t>4. Equipment points, stating type of equipment or the electrical rating; contactors, starters or the like shall be</t>
  </si>
  <si>
    <t>measured separately as equipment points</t>
  </si>
  <si>
    <t>R040105</t>
  </si>
  <si>
    <t>R050000</t>
  </si>
  <si>
    <t>R050100</t>
  </si>
  <si>
    <t>R060000</t>
  </si>
  <si>
    <t>R060100</t>
  </si>
  <si>
    <t>R070000</t>
  </si>
  <si>
    <t>R070100</t>
  </si>
  <si>
    <t>R7.1 Transformers, generators, standby power cubicles, luminaries, external lighting columns, clocks,</t>
  </si>
  <si>
    <t>loudspeakers, bells or the like shall be enumerated.</t>
  </si>
  <si>
    <t>R070200</t>
  </si>
  <si>
    <t>R7.2 Controls, which shall include accessories and interconnecting cables. shall be measured in accordance with</t>
  </si>
  <si>
    <t>the relevant clauses in this section; alternatively, they may be. included with the items of equipment.</t>
  </si>
  <si>
    <t>R080000</t>
  </si>
  <si>
    <t>R080100</t>
  </si>
  <si>
    <t>R090000</t>
  </si>
  <si>
    <t>R090100</t>
  </si>
  <si>
    <t>R100000</t>
  </si>
  <si>
    <t>R100100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</si>
</sst>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4" formatCode="_(&quot;$&quot;* #,##0.00_);_(&quot;$&quot;* \(#,##0.00\);_(&quot;$&quot;* &quot;-&quot;??_);_(@_)"/>
    <numFmt numFmtId="43" formatCode="_(* #,##0.00_);_(* \(#,##0.00\);_(* &quot;-&quot;??_);_(@_)"/>
    <numFmt numFmtId="164" formatCode="00"/>
  </numFmts>
  <fonts count="26">
    <font>
      <sz val="12"/>
      <color theme="1"/>
      <name val="Aptos Narrow"/>
      <family val="2"/>
      <scheme val="minor"/>
    </font>
    <font>
      <sz val="12"/>
      <color theme="1"/>
      <name val="Arial"/>
      <family val="2"/>
    </font>
    <font>
      <sz val="11"/>
      <color theme="1"/>
      <name val="Aptos Narrow"/>
      <family val="2"/>
      <scheme val="minor"/>
    </font>
    <font>
      <b/>
      <sz val="11"/>
      <color theme="0"/>
      <name val="Aptos Narrow"/>
      <family val="2"/>
      <scheme val="minor"/>
    </font>
    <font>
      <b/>
      <sz val="12"/>
      <color theme="1"/>
      <name val="Arial"/>
      <family val="2"/>
    </font>
    <font>
      <b/>
      <sz val="12"/>
      <color rgb="FFFF0000"/>
      <name val="Arial"/>
      <family val="2"/>
    </font>
    <font>
      <sz val="12"/>
      <name val="Aptos Narrow"/>
    </font>
    <font>
      <b/>
      <sz val="12"/>
      <name val="Aptos Narrow"/>
    </font>
    <font>
      <b/>
      <sz val="11"/>
      <color rgb="FFFFFFFF"/>
      <name val="Arial"/>
      <family val="2"/>
    </font>
    <font>
      <b/>
      <sz val="11"/>
      <name val="Arial"/>
      <family val="2"/>
    </font>
    <font>
      <sz val="10"/>
      <name val="Arial"/>
      <family val="2"/>
    </font>
    <font>
      <b/>
      <sz val="10"/>
      <color rgb="FF1F497D"/>
      <name val="Arial"/>
      <family val="2"/>
    </font>
    <font>
      <b/>
      <sz val="14"/>
      <color rgb="FFFFFFFF"/>
      <name val="Arial"/>
      <family val="2"/>
    </font>
    <font>
      <sz val="10"/>
      <color rgb="FF1F3864"/>
      <name val="Arial"/>
      <family val="2"/>
    </font>
    <font>
      <b/>
      <sz val="10"/>
      <color rgb="FF1F3864"/>
      <name val="Arial"/>
      <family val="2"/>
    </font>
    <font>
      <b/>
      <sz val="10"/>
      <color rgb="FFFFFFFF"/>
      <name val="Arial"/>
      <family val="2"/>
    </font>
    <font>
      <sz val="9"/>
      <color rgb="FF808080"/>
      <name val="Arial"/>
      <family val="2"/>
    </font>
    <font>
      <b/>
      <sz val="10"/>
      <name val="Arial"/>
      <family val="2"/>
    </font>
    <font>
      <sz val="10"/>
      <color rgb="FF000000"/>
      <name val="Arial"/>
      <family val="2"/>
    </font>
    <font>
      <i/>
      <sz val="10"/>
      <color rgb="FF595959"/>
      <name val="Arial"/>
      <family val="2"/>
    </font>
    <font>
      <b/>
      <i/>
      <sz val="10"/>
      <color rgb="FF1F497D"/>
      <name val="Arial"/>
      <family val="2"/>
    </font>
    <font>
      <b/>
      <sz val="10"/>
      <color rgb="FF375623"/>
      <name val="Arial"/>
      <family val="2"/>
    </font>
    <font>
      <sz val="10"/>
      <color rgb="FF375623"/>
      <name val="Arial"/>
      <family val="2"/>
    </font>
    <font>
      <b/>
      <sz val="16"/>
      <color rgb="FFFFFFFF"/>
      <name val="Arial"/>
      <family val="2"/>
    </font>
    <font>
      <b/>
      <sz val="11"/>
      <color rgb="FF1F3864"/>
      <name val="Arial"/>
      <family val="2"/>
    </font>
    <font>
      <sz val="12"/>
      <color rgb="FF000000"/>
      <name val="Arial"/>
      <family val="2"/>
    </font>
  </fonts>
  <fills count="18">
    <fill>
      <patternFill patternType="none"/>
    </fill>
    <fill>
      <patternFill patternType="gray125"/>
    </fill>
    <fill>
      <patternFill patternType="solid">
        <fgColor theme="4"/>
        <bgColor theme="4"/>
      </patternFill>
    </fill>
    <fill>
      <patternFill patternType="solid">
        <fgColor theme="7" tint="0.79998168889431442"/>
        <bgColor indexed="64"/>
      </patternFill>
    </fill>
    <fill>
      <patternFill patternType="solid">
        <fgColor rgb="FFFFFF00"/>
      </patternFill>
    </fill>
    <fill>
      <patternFill patternType="solid">
        <fgColor rgb="FF92D050"/>
      </patternFill>
    </fill>
    <fill>
      <patternFill patternType="solid">
        <fgColor rgb="FF203864"/>
      </patternFill>
    </fill>
    <fill>
      <patternFill patternType="solid">
        <fgColor rgb="FF1F3864"/>
      </patternFill>
    </fill>
    <fill>
      <patternFill patternType="solid">
        <fgColor rgb="FFBDD7EE"/>
      </patternFill>
    </fill>
    <fill>
      <patternFill patternType="solid">
        <fgColor rgb="FFFFC000"/>
      </patternFill>
    </fill>
    <fill>
      <patternFill patternType="solid">
        <fgColor rgb="FFF2F2F2"/>
      </patternFill>
    </fill>
    <fill>
      <patternFill patternType="solid">
        <fgColor rgb="FFFFF0CC"/>
      </patternFill>
    </fill>
    <fill>
      <patternFill patternType="solid">
        <fgColor rgb="FFF0F4FA"/>
      </patternFill>
    </fill>
    <fill>
      <patternFill patternType="solid">
        <fgColor rgb="FFFFFFFF"/>
      </patternFill>
    </fill>
    <fill>
      <patternFill patternType="solid">
        <fgColor rgb="FFC6EFCE"/>
      </patternFill>
    </fill>
    <fill>
      <patternFill patternType="solid">
        <fgColor rgb="FFFFC7CE"/>
      </patternFill>
    </fill>
    <fill>
      <patternFill patternType="solid">
        <fgColor theme="5" tint="0.39997558519241921"/>
        <bgColor indexed="64"/>
      </patternFill>
    </fill>
    <fill>
      <patternFill patternType="solid">
        <fgColor rgb="FFF1A983"/>
        <bgColor rgb="FF000000"/>
      </patternFill>
    </fill>
  </fills>
  <borders count="9">
    <border>
      <left/>
      <right/>
      <top/>
      <bottom/>
      <diagonal/>
    </border>
    <border>
      <left/>
      <right/>
      <top style="thin">
        <color theme="4"/>
      </top>
      <bottom/>
      <diagonal/>
    </border>
    <border>
      <left style="thin">
        <color auto="1"/>
      </left>
      <right style="thin">
        <color auto="1"/>
      </right>
      <top style="thin">
        <color auto="1"/>
      </top>
      <bottom style="thin">
        <color auto="1"/>
      </bottom>
      <diagonal/>
    </border>
    <border>
      <left style="thin">
        <color rgb="FF000000"/>
      </left>
      <right style="thin">
        <color rgb="FF000000"/>
      </right>
      <top style="thin">
        <color rgb="FF000000"/>
      </top>
      <bottom style="thin">
        <color rgb="FF000000"/>
      </bottom>
      <diagonal/>
    </border>
    <border>
      <left style="thin">
        <color rgb="FFB8B8B8"/>
      </left>
      <right style="thin">
        <color rgb="FFB8B8B8"/>
      </right>
      <top style="thin">
        <color rgb="FFB8B8B8"/>
      </top>
      <bottom style="thin">
        <color rgb="FFB8B8B8"/>
      </bottom>
      <diagonal/>
    </border>
    <border>
      <left/>
      <right style="thin">
        <color rgb="FFB8B8B8"/>
      </right>
      <top style="thin">
        <color rgb="FFB8B8B8"/>
      </top>
      <bottom style="thin">
        <color rgb="FFB8B8B8"/>
      </bottom>
      <diagonal/>
    </border>
    <border>
      <left style="thin">
        <color rgb="FFB8B8B8"/>
      </left>
      <right style="thin">
        <color rgb="FFB8B8B8"/>
      </right>
      <top style="thin">
        <color rgb="FFB8B8B8"/>
      </top>
      <bottom style="medium">
        <color rgb="FF1F3864"/>
      </bottom>
      <diagonal/>
    </border>
    <border>
      <left style="medium">
        <color rgb="FFFF9900"/>
      </left>
      <right style="thin">
        <color rgb="FFB8B8B8"/>
      </right>
      <top style="thin">
        <color rgb="FFB8B8B8"/>
      </top>
      <bottom style="thin">
        <color rgb="FFB8B8B8"/>
      </bottom>
      <diagonal/>
    </border>
    <border>
      <left/>
      <right/>
      <top style="thin">
        <color rgb="FFB8B8B8"/>
      </top>
      <bottom style="thin">
        <color rgb="FFB8B8B8"/>
      </bottom>
      <diagonal/>
    </border>
  </borders>
  <cellStyleXfs count="4">
    <xf numFmtId="0" fontId="0" fillId="0" borderId="0"/>
    <xf numFmtId="44" fontId="2" fillId="0" borderId="0"/>
    <xf numFmtId="0" fontId="2" fillId="0" borderId="0"/>
    <xf numFmtId="43" fontId="2" fillId="0" borderId="0"/>
  </cellStyleXfs>
  <cellXfs count="83">
    <xf numFmtId="0" fontId="0" fillId="0" borderId="0" xfId="0"/>
    <xf numFmtId="0" fontId="1" fillId="0" borderId="0" xfId="0" applyFont="1"/>
    <xf numFmtId="3" fontId="3" fillId="2" borderId="1" xfId="1" applyNumberFormat="1" applyFont="1" applyFill="1" applyBorder="1" applyAlignment="1">
      <alignment horizontal="center" vertical="center" wrapText="1"/>
    </xf>
    <xf numFmtId="0" fontId="2" fillId="0" borderId="0" xfId="2"/>
    <xf numFmtId="0" fontId="1" fillId="0" borderId="0" xfId="2" applyFont="1"/>
    <xf numFmtId="0" fontId="1" fillId="0" borderId="0" xfId="0" applyFont="1" applyAlignment="1">
      <alignment textRotation="90"/>
    </xf>
    <xf numFmtId="0" fontId="1" fillId="0" borderId="0" xfId="0" applyFont="1" applyAlignment="1">
      <alignment vertical="top" wrapText="1"/>
    </xf>
    <xf numFmtId="0" fontId="1" fillId="0" borderId="0" xfId="0" applyFont="1" applyAlignment="1">
      <alignment vertical="top"/>
    </xf>
    <xf numFmtId="0" fontId="1" fillId="0" borderId="0" xfId="0" applyFont="1" applyAlignment="1">
      <alignment horizontal="center" vertical="top"/>
    </xf>
    <xf numFmtId="164" fontId="1" fillId="0" borderId="0" xfId="0" applyNumberFormat="1" applyFont="1" applyAlignment="1">
      <alignment horizontal="center" vertical="top"/>
    </xf>
    <xf numFmtId="17" fontId="2" fillId="0" borderId="0" xfId="2" applyNumberFormat="1"/>
    <xf numFmtId="43" fontId="0" fillId="0" borderId="2" xfId="3" applyFont="1" applyBorder="1" applyAlignment="1">
      <alignment horizontal="right"/>
    </xf>
    <xf numFmtId="0" fontId="4" fillId="0" borderId="0" xfId="0" applyFont="1" applyAlignment="1">
      <alignment vertical="center"/>
    </xf>
    <xf numFmtId="0" fontId="1" fillId="0" borderId="0" xfId="0" applyFont="1" applyAlignment="1">
      <alignment vertical="center"/>
    </xf>
    <xf numFmtId="0" fontId="1" fillId="0" borderId="0" xfId="0" applyFont="1" applyAlignment="1">
      <alignment horizontal="center" vertical="center"/>
    </xf>
    <xf numFmtId="164" fontId="1" fillId="0" borderId="0" xfId="0" applyNumberFormat="1" applyFont="1" applyAlignment="1">
      <alignment horizontal="center" vertical="center"/>
    </xf>
    <xf numFmtId="0" fontId="1" fillId="0" borderId="0" xfId="0" applyFont="1" applyAlignment="1">
      <alignment vertical="center" wrapText="1"/>
    </xf>
    <xf numFmtId="0" fontId="5" fillId="0" borderId="0" xfId="0" applyFont="1" applyAlignment="1">
      <alignment textRotation="90"/>
    </xf>
    <xf numFmtId="0" fontId="5" fillId="0" borderId="0" xfId="0" applyFont="1" applyAlignment="1">
      <alignment horizontal="left" vertical="center" wrapText="1"/>
    </xf>
    <xf numFmtId="0" fontId="6" fillId="0" borderId="0" xfId="0" applyFont="1" applyAlignment="1">
      <alignment horizontal="center"/>
    </xf>
    <xf numFmtId="164" fontId="6" fillId="0" borderId="0" xfId="0" applyNumberFormat="1" applyFont="1" applyAlignment="1">
      <alignment horizontal="center"/>
    </xf>
    <xf numFmtId="0" fontId="6" fillId="4" borderId="0" xfId="0" applyFont="1" applyFill="1" applyAlignment="1">
      <alignment wrapText="1"/>
    </xf>
    <xf numFmtId="0" fontId="7" fillId="5" borderId="0" xfId="0" applyFont="1" applyFill="1" applyAlignment="1">
      <alignment wrapText="1"/>
    </xf>
    <xf numFmtId="0" fontId="6" fillId="0" borderId="0" xfId="0" applyFont="1" applyAlignment="1">
      <alignment wrapText="1"/>
    </xf>
    <xf numFmtId="0" fontId="6" fillId="3" borderId="0" xfId="0" applyFont="1" applyFill="1" applyAlignment="1">
      <alignment horizontal="center"/>
    </xf>
    <xf numFmtId="164" fontId="6" fillId="3" borderId="0" xfId="0" applyNumberFormat="1" applyFont="1" applyFill="1" applyAlignment="1">
      <alignment horizontal="center"/>
    </xf>
    <xf numFmtId="0" fontId="8" fillId="6" borderId="3" xfId="0" applyFont="1" applyFill="1" applyBorder="1" applyAlignment="1">
      <alignment horizontal="center" vertical="top" wrapText="1"/>
    </xf>
    <xf numFmtId="0" fontId="9" fillId="5" borderId="3" xfId="0" applyFont="1" applyFill="1" applyBorder="1" applyAlignment="1">
      <alignment horizontal="center" vertical="top" wrapText="1"/>
    </xf>
    <xf numFmtId="0" fontId="9" fillId="0" borderId="3" xfId="0" applyFont="1" applyBorder="1" applyAlignment="1">
      <alignment horizontal="center" vertical="top" wrapText="1"/>
    </xf>
    <xf numFmtId="0" fontId="9" fillId="4" borderId="3" xfId="0" applyFont="1" applyFill="1" applyBorder="1" applyAlignment="1">
      <alignment vertical="top" wrapText="1"/>
    </xf>
    <xf numFmtId="0" fontId="10" fillId="0" borderId="3" xfId="0" applyFont="1" applyBorder="1" applyAlignment="1">
      <alignment vertical="top" wrapText="1"/>
    </xf>
    <xf numFmtId="0" fontId="11" fillId="0" borderId="3" xfId="0" applyFont="1" applyBorder="1" applyAlignment="1">
      <alignment vertical="top" wrapText="1"/>
    </xf>
    <xf numFmtId="43" fontId="9" fillId="5" borderId="3" xfId="3" applyFont="1" applyFill="1" applyBorder="1" applyAlignment="1">
      <alignment horizontal="center" vertical="top" wrapText="1"/>
    </xf>
    <xf numFmtId="43" fontId="0" fillId="0" borderId="3" xfId="3" applyFont="1" applyBorder="1" applyAlignment="1">
      <alignment horizontal="center" vertical="top" wrapText="1"/>
    </xf>
    <xf numFmtId="0" fontId="0" fillId="0" borderId="3" xfId="0" applyBorder="1" applyAlignment="1">
      <alignment horizontal="center" vertical="top" wrapText="1"/>
    </xf>
    <xf numFmtId="0" fontId="15" fillId="6" borderId="6" xfId="0" applyFont="1" applyFill="1" applyBorder="1" applyAlignment="1">
      <alignment horizontal="center" vertical="center" wrapText="1"/>
    </xf>
    <xf numFmtId="0" fontId="16" fillId="10" borderId="4" xfId="0" applyFont="1" applyFill="1" applyBorder="1" applyAlignment="1">
      <alignment horizontal="center" vertical="center" wrapText="1"/>
    </xf>
    <xf numFmtId="0" fontId="19" fillId="4" borderId="4" xfId="0" applyFont="1" applyFill="1" applyBorder="1" applyAlignment="1">
      <alignment horizontal="left" vertical="center" wrapText="1"/>
    </xf>
    <xf numFmtId="0" fontId="19" fillId="10" borderId="4" xfId="0" applyFont="1" applyFill="1" applyBorder="1" applyAlignment="1">
      <alignment horizontal="left" vertical="center" wrapText="1"/>
    </xf>
    <xf numFmtId="0" fontId="20" fillId="11" borderId="7" xfId="0" applyFont="1" applyFill="1" applyBorder="1" applyAlignment="1">
      <alignment horizontal="left" vertical="center" wrapText="1"/>
    </xf>
    <xf numFmtId="0" fontId="19" fillId="12" borderId="4" xfId="0" applyFont="1" applyFill="1" applyBorder="1" applyAlignment="1">
      <alignment horizontal="left" vertical="center" wrapText="1"/>
    </xf>
    <xf numFmtId="4" fontId="19" fillId="12" borderId="4" xfId="0" applyNumberFormat="1" applyFont="1" applyFill="1" applyBorder="1" applyAlignment="1">
      <alignment horizontal="left" vertical="center" wrapText="1"/>
    </xf>
    <xf numFmtId="0" fontId="21" fillId="12" borderId="4" xfId="0" applyFont="1" applyFill="1" applyBorder="1" applyAlignment="1">
      <alignment horizontal="left" vertical="center" wrapText="1"/>
    </xf>
    <xf numFmtId="0" fontId="19" fillId="0" borderId="0" xfId="0" applyFont="1" applyAlignment="1">
      <alignment horizontal="left" vertical="center" wrapText="1"/>
    </xf>
    <xf numFmtId="0" fontId="16" fillId="13" borderId="4" xfId="0" applyFont="1" applyFill="1" applyBorder="1" applyAlignment="1">
      <alignment horizontal="center" vertical="center" wrapText="1"/>
    </xf>
    <xf numFmtId="0" fontId="19" fillId="13" borderId="4" xfId="0" applyFont="1" applyFill="1" applyBorder="1" applyAlignment="1">
      <alignment horizontal="left" vertical="center" wrapText="1"/>
    </xf>
    <xf numFmtId="0" fontId="10" fillId="13" borderId="4" xfId="0" applyFont="1" applyFill="1" applyBorder="1" applyAlignment="1">
      <alignment horizontal="left" vertical="center" wrapText="1"/>
    </xf>
    <xf numFmtId="0" fontId="18" fillId="13" borderId="7" xfId="0" applyFont="1" applyFill="1" applyBorder="1" applyAlignment="1">
      <alignment horizontal="left" vertical="center" wrapText="1"/>
    </xf>
    <xf numFmtId="0" fontId="10" fillId="12" borderId="4" xfId="0" applyFont="1" applyFill="1" applyBorder="1" applyAlignment="1">
      <alignment horizontal="center" vertical="center" wrapText="1"/>
    </xf>
    <xf numFmtId="4" fontId="10" fillId="12" borderId="4" xfId="0" applyNumberFormat="1" applyFont="1" applyFill="1" applyBorder="1" applyAlignment="1">
      <alignment horizontal="center" vertical="center" wrapText="1"/>
    </xf>
    <xf numFmtId="0" fontId="17" fillId="12" borderId="4" xfId="0" applyFont="1" applyFill="1" applyBorder="1" applyAlignment="1">
      <alignment horizontal="center" vertical="center" wrapText="1"/>
    </xf>
    <xf numFmtId="0" fontId="10" fillId="10" borderId="4" xfId="0" applyFont="1" applyFill="1" applyBorder="1" applyAlignment="1">
      <alignment horizontal="left" vertical="center" wrapText="1"/>
    </xf>
    <xf numFmtId="0" fontId="18" fillId="10" borderId="7" xfId="0" applyFont="1" applyFill="1" applyBorder="1" applyAlignment="1">
      <alignment horizontal="left" vertical="center" wrapText="1"/>
    </xf>
    <xf numFmtId="4" fontId="8" fillId="6" borderId="0" xfId="0" applyNumberFormat="1" applyFont="1" applyFill="1" applyAlignment="1">
      <alignment horizontal="center" vertical="center" wrapText="1"/>
    </xf>
    <xf numFmtId="0" fontId="21" fillId="14" borderId="4" xfId="0" applyFont="1" applyFill="1" applyBorder="1" applyAlignment="1">
      <alignment horizontal="left" vertical="top" wrapText="1"/>
    </xf>
    <xf numFmtId="0" fontId="22" fillId="14" borderId="4" xfId="0" applyFont="1" applyFill="1" applyBorder="1" applyAlignment="1">
      <alignment horizontal="left" vertical="top" wrapText="1"/>
    </xf>
    <xf numFmtId="0" fontId="22" fillId="14" borderId="4" xfId="0" applyFont="1" applyFill="1" applyBorder="1" applyAlignment="1">
      <alignment horizontal="center" vertical="top" wrapText="1"/>
    </xf>
    <xf numFmtId="0" fontId="7" fillId="0" borderId="0" xfId="0" applyFont="1"/>
    <xf numFmtId="0" fontId="1" fillId="16" borderId="0" xfId="0" applyFont="1" applyFill="1" applyAlignment="1">
      <alignment vertical="center"/>
    </xf>
    <xf numFmtId="0" fontId="25" fillId="17" borderId="0" xfId="0" applyFont="1" applyFill="1" applyAlignment="1">
      <alignment vertical="center"/>
    </xf>
    <xf numFmtId="0" fontId="18" fillId="10" borderId="0" xfId="0" applyFont="1" applyFill="1" applyAlignment="1">
      <alignment horizontal="left" vertical="top" wrapText="1"/>
    </xf>
    <xf numFmtId="0" fontId="24" fillId="5" borderId="0" xfId="0" applyFont="1" applyFill="1" applyAlignment="1">
      <alignment horizontal="left" vertical="center" wrapText="1"/>
    </xf>
    <xf numFmtId="0" fontId="24" fillId="9" borderId="0" xfId="0" applyFont="1" applyFill="1" applyAlignment="1">
      <alignment horizontal="left" vertical="center" wrapText="1"/>
    </xf>
    <xf numFmtId="0" fontId="24" fillId="14" borderId="0" xfId="0" applyFont="1" applyFill="1" applyAlignment="1">
      <alignment horizontal="left" vertical="center" wrapText="1"/>
    </xf>
    <xf numFmtId="0" fontId="24" fillId="15" borderId="0" xfId="0" applyFont="1" applyFill="1" applyAlignment="1">
      <alignment horizontal="left" vertical="center" wrapText="1"/>
    </xf>
    <xf numFmtId="0" fontId="24" fillId="8" borderId="0" xfId="0" applyFont="1" applyFill="1" applyAlignment="1">
      <alignment horizontal="left" vertical="center" wrapText="1"/>
    </xf>
    <xf numFmtId="0" fontId="23" fillId="7" borderId="0" xfId="0" applyFont="1" applyFill="1" applyAlignment="1">
      <alignment horizontal="center" vertical="center" wrapText="1"/>
    </xf>
    <xf numFmtId="0" fontId="24" fillId="12" borderId="0" xfId="0" applyFont="1" applyFill="1" applyAlignment="1">
      <alignment horizontal="left" vertical="center" wrapText="1"/>
    </xf>
    <xf numFmtId="0" fontId="10" fillId="13" borderId="4" xfId="0" applyFont="1" applyFill="1" applyBorder="1" applyAlignment="1">
      <alignment horizontal="left" vertical="center" wrapText="1"/>
    </xf>
    <xf numFmtId="0" fontId="17" fillId="15" borderId="4" xfId="0" applyFont="1" applyFill="1" applyBorder="1" applyAlignment="1">
      <alignment horizontal="center" vertical="center" wrapText="1"/>
    </xf>
    <xf numFmtId="0" fontId="10" fillId="4" borderId="4" xfId="0" applyFont="1" applyFill="1" applyBorder="1" applyAlignment="1">
      <alignment horizontal="left" vertical="center" wrapText="1"/>
    </xf>
    <xf numFmtId="0" fontId="17" fillId="4" borderId="4" xfId="0" applyFont="1" applyFill="1" applyBorder="1" applyAlignment="1">
      <alignment horizontal="center" vertical="center" wrapText="1"/>
    </xf>
    <xf numFmtId="0" fontId="17" fillId="14" borderId="4" xfId="0" applyFont="1" applyFill="1" applyBorder="1" applyAlignment="1">
      <alignment horizontal="center" vertical="center" wrapText="1"/>
    </xf>
    <xf numFmtId="0" fontId="17" fillId="12" borderId="4" xfId="0" applyFont="1" applyFill="1" applyBorder="1" applyAlignment="1">
      <alignment horizontal="center" vertical="center" wrapText="1"/>
    </xf>
    <xf numFmtId="0" fontId="12" fillId="7" borderId="0" xfId="0" applyFont="1" applyFill="1" applyAlignment="1">
      <alignment horizontal="center" vertical="center" wrapText="1"/>
    </xf>
    <xf numFmtId="0" fontId="14" fillId="10" borderId="4" xfId="0" applyFont="1" applyFill="1" applyBorder="1" applyAlignment="1">
      <alignment horizontal="left" vertical="center" wrapText="1"/>
    </xf>
    <xf numFmtId="0" fontId="8" fillId="6" borderId="0" xfId="0" applyFont="1" applyFill="1" applyAlignment="1">
      <alignment horizontal="right" vertical="center" wrapText="1"/>
    </xf>
    <xf numFmtId="0" fontId="13" fillId="8" borderId="0" xfId="0" applyFont="1" applyFill="1" applyAlignment="1">
      <alignment horizontal="left" vertical="center" wrapText="1"/>
    </xf>
    <xf numFmtId="0" fontId="8" fillId="9" borderId="0" xfId="0" applyFont="1" applyFill="1" applyAlignment="1">
      <alignment horizontal="left" vertical="center" wrapText="1"/>
    </xf>
    <xf numFmtId="0" fontId="15" fillId="6" borderId="0" xfId="0" applyFont="1" applyFill="1" applyAlignment="1">
      <alignment horizontal="center" vertical="center" wrapText="1"/>
    </xf>
    <xf numFmtId="0" fontId="0" fillId="0" borderId="0" xfId="0" applyAlignment="1"/>
    <xf numFmtId="0" fontId="0" fillId="0" borderId="5" xfId="0" applyBorder="1" applyAlignment="1"/>
    <xf numFmtId="0" fontId="0" fillId="0" borderId="8" xfId="0" applyBorder="1" applyAlignment="1"/>
  </cellXfs>
  <cellStyles count="4">
    <cellStyle name="Comma 2" xfId="3" xr:uid="{00000000-0005-0000-0000-000003000000}"/>
    <cellStyle name="Currency 3" xfId="1" xr:uid="{00000000-0005-0000-0000-000001000000}"/>
    <cellStyle name="Normal" xfId="0" builtinId="0"/>
    <cellStyle name="Normal 2" xfId="2" xr:uid="{00000000-0005-0000-0000-000002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571500</xdr:colOff>
      <xdr:row>2</xdr:row>
      <xdr:rowOff>161925</xdr:rowOff>
    </xdr:from>
    <xdr:to>
      <xdr:col>9</xdr:col>
      <xdr:colOff>781050</xdr:colOff>
      <xdr:row>33</xdr:row>
      <xdr:rowOff>1076325</xdr:rowOff>
    </xdr:to>
    <xdr:pic>
      <xdr:nvPicPr>
        <xdr:cNvPr id="2" name="Picture 1">
          <a:extLst>
            <a:ext uri="{FF2B5EF4-FFF2-40B4-BE49-F238E27FC236}">
              <a16:creationId xmlns:a16="http://schemas.microsoft.com/office/drawing/2014/main" id="{00000000-0008-0000-0400-000002000000}"/>
            </a:ext>
          </a:extLst>
        </xdr:cNvPr>
        <xdr:cNvPicPr>
          <a:picLocks noChangeAspect="1"/>
        </xdr:cNvPicPr>
      </xdr:nvPicPr>
      <xdr:blipFill>
        <a:blip xmlns:r="http://schemas.openxmlformats.org/officeDocument/2006/relationships" r:embed="rId1"/>
        <a:stretch>
          <a:fillRect/>
        </a:stretch>
      </xdr:blipFill>
      <xdr:spPr>
        <a:xfrm>
          <a:off x="1409700" y="561975"/>
          <a:ext cx="6915150" cy="55454550"/>
        </a:xfrm>
        <a:prstGeom prst="rect">
          <a:avLst/>
        </a:prstGeom>
        <a:ln>
          <a:prstDash val="solid"/>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5.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50"/>
  <sheetViews>
    <sheetView workbookViewId="0"/>
  </sheetViews>
  <sheetFormatPr defaultColWidth="8.875" defaultRowHeight="15.95"/>
  <cols>
    <col min="1" max="1" width="4" customWidth="1"/>
    <col min="2" max="2" width="60" customWidth="1"/>
    <col min="3" max="3" width="50" customWidth="1"/>
  </cols>
  <sheetData>
    <row r="1" spans="1:3" ht="39.950000000000003" customHeight="1">
      <c r="A1" s="66" t="s">
        <v>0</v>
      </c>
      <c r="B1" s="80"/>
      <c r="C1" s="80"/>
    </row>
    <row r="3" spans="1:3" ht="21.95" customHeight="1">
      <c r="A3" s="62" t="s">
        <v>1</v>
      </c>
      <c r="B3" s="80"/>
      <c r="C3" s="80"/>
    </row>
    <row r="4" spans="1:3" ht="15.95" customHeight="1">
      <c r="B4" s="60" t="s">
        <v>2</v>
      </c>
      <c r="C4" s="80"/>
    </row>
    <row r="5" spans="1:3" ht="15.95" customHeight="1">
      <c r="B5" s="60" t="s">
        <v>3</v>
      </c>
      <c r="C5" s="80"/>
    </row>
    <row r="6" spans="1:3" ht="15.95" customHeight="1">
      <c r="B6" s="60" t="s">
        <v>4</v>
      </c>
      <c r="C6" s="80"/>
    </row>
    <row r="8" spans="1:3" ht="21.95" customHeight="1">
      <c r="A8" s="65" t="s">
        <v>5</v>
      </c>
      <c r="B8" s="80"/>
      <c r="C8" s="80"/>
    </row>
    <row r="9" spans="1:3" ht="15.95" customHeight="1">
      <c r="B9" s="60" t="s">
        <v>6</v>
      </c>
      <c r="C9" s="80"/>
    </row>
    <row r="10" spans="1:3" ht="15.95" customHeight="1">
      <c r="B10" s="60" t="s">
        <v>7</v>
      </c>
      <c r="C10" s="80"/>
    </row>
    <row r="12" spans="1:3" ht="21.95" customHeight="1">
      <c r="A12" s="63" t="s">
        <v>8</v>
      </c>
      <c r="B12" s="80"/>
      <c r="C12" s="80"/>
    </row>
    <row r="13" spans="1:3" ht="15.95" customHeight="1">
      <c r="B13" s="60" t="s">
        <v>9</v>
      </c>
      <c r="C13" s="80"/>
    </row>
    <row r="14" spans="1:3" ht="15.95" customHeight="1">
      <c r="B14" s="60" t="s">
        <v>10</v>
      </c>
      <c r="C14" s="80"/>
    </row>
    <row r="15" spans="1:3" ht="15.95" customHeight="1">
      <c r="B15" s="60" t="s">
        <v>11</v>
      </c>
      <c r="C15" s="80"/>
    </row>
    <row r="16" spans="1:3" ht="15.95" customHeight="1">
      <c r="B16" s="60" t="s">
        <v>12</v>
      </c>
      <c r="C16" s="80"/>
    </row>
    <row r="17" spans="1:3" ht="15.95" customHeight="1">
      <c r="B17" s="60" t="s">
        <v>13</v>
      </c>
      <c r="C17" s="80"/>
    </row>
    <row r="19" spans="1:3" ht="21.95" customHeight="1">
      <c r="A19" s="62" t="s">
        <v>14</v>
      </c>
      <c r="B19" s="80"/>
      <c r="C19" s="80"/>
    </row>
    <row r="20" spans="1:3" ht="15.95" customHeight="1">
      <c r="B20" s="60" t="s">
        <v>15</v>
      </c>
      <c r="C20" s="80"/>
    </row>
    <row r="21" spans="1:3" ht="15.95" customHeight="1">
      <c r="B21" s="60" t="s">
        <v>16</v>
      </c>
      <c r="C21" s="80"/>
    </row>
    <row r="22" spans="1:3" ht="15.95" customHeight="1">
      <c r="B22" s="60" t="s">
        <v>17</v>
      </c>
      <c r="C22" s="80"/>
    </row>
    <row r="23" spans="1:3" ht="15.95" customHeight="1">
      <c r="B23" s="60" t="s">
        <v>18</v>
      </c>
      <c r="C23" s="80"/>
    </row>
    <row r="24" spans="1:3" ht="15.95" customHeight="1">
      <c r="B24" s="60" t="s">
        <v>19</v>
      </c>
      <c r="C24" s="80"/>
    </row>
    <row r="26" spans="1:3" ht="21.95" customHeight="1">
      <c r="A26" s="64" t="s">
        <v>20</v>
      </c>
      <c r="B26" s="80"/>
      <c r="C26" s="80"/>
    </row>
    <row r="27" spans="1:3" ht="15.95" customHeight="1">
      <c r="B27" s="60" t="s">
        <v>21</v>
      </c>
      <c r="C27" s="80"/>
    </row>
    <row r="28" spans="1:3" ht="15.95" customHeight="1">
      <c r="B28" s="60" t="s">
        <v>22</v>
      </c>
      <c r="C28" s="80"/>
    </row>
    <row r="29" spans="1:3" ht="15.95" customHeight="1">
      <c r="B29" s="60" t="s">
        <v>23</v>
      </c>
      <c r="C29" s="80"/>
    </row>
    <row r="30" spans="1:3" ht="15.95" customHeight="1">
      <c r="B30" s="60" t="s">
        <v>24</v>
      </c>
      <c r="C30" s="80"/>
    </row>
    <row r="32" spans="1:3" ht="21.95" customHeight="1">
      <c r="A32" s="67" t="s">
        <v>25</v>
      </c>
      <c r="B32" s="80"/>
      <c r="C32" s="80"/>
    </row>
    <row r="33" spans="1:3" ht="15.95" customHeight="1">
      <c r="B33" s="60" t="s">
        <v>26</v>
      </c>
      <c r="C33" s="80"/>
    </row>
    <row r="34" spans="1:3" ht="15.95" customHeight="1">
      <c r="B34" s="60" t="s">
        <v>27</v>
      </c>
      <c r="C34" s="80"/>
    </row>
    <row r="35" spans="1:3" ht="15.95" customHeight="1">
      <c r="B35" s="60" t="s">
        <v>28</v>
      </c>
      <c r="C35" s="80"/>
    </row>
    <row r="37" spans="1:3" ht="21.95" customHeight="1">
      <c r="A37" s="61" t="s">
        <v>29</v>
      </c>
      <c r="B37" s="80"/>
      <c r="C37" s="80"/>
    </row>
    <row r="38" spans="1:3" ht="15.95" customHeight="1">
      <c r="B38" s="60" t="s">
        <v>30</v>
      </c>
      <c r="C38" s="80"/>
    </row>
    <row r="39" spans="1:3" ht="15.95" customHeight="1">
      <c r="B39" s="60" t="s">
        <v>31</v>
      </c>
      <c r="C39" s="80"/>
    </row>
    <row r="40" spans="1:3" ht="15.95" customHeight="1">
      <c r="B40" s="60" t="s">
        <v>32</v>
      </c>
      <c r="C40" s="80"/>
    </row>
    <row r="41" spans="1:3" ht="15.95" customHeight="1">
      <c r="B41" s="60" t="s">
        <v>33</v>
      </c>
      <c r="C41" s="80"/>
    </row>
    <row r="42" spans="1:3" ht="15.95" customHeight="1">
      <c r="B42" s="60" t="s">
        <v>34</v>
      </c>
      <c r="C42" s="80"/>
    </row>
    <row r="44" spans="1:3" ht="21.95" customHeight="1">
      <c r="A44" s="65" t="s">
        <v>35</v>
      </c>
      <c r="B44" s="80"/>
      <c r="C44" s="80"/>
    </row>
    <row r="45" spans="1:3" ht="15.95" customHeight="1">
      <c r="B45" s="60" t="s">
        <v>36</v>
      </c>
      <c r="C45" s="80"/>
    </row>
    <row r="46" spans="1:3" ht="15.95" customHeight="1">
      <c r="B46" s="60" t="s">
        <v>37</v>
      </c>
      <c r="C46" s="80"/>
    </row>
    <row r="47" spans="1:3" ht="15.95" customHeight="1">
      <c r="B47" s="60" t="s">
        <v>38</v>
      </c>
      <c r="C47" s="80"/>
    </row>
    <row r="48" spans="1:3" ht="15.95" customHeight="1">
      <c r="B48" s="60" t="s">
        <v>39</v>
      </c>
      <c r="C48" s="80"/>
    </row>
    <row r="49" spans="2:3" ht="15.95" customHeight="1">
      <c r="B49" s="60" t="s">
        <v>40</v>
      </c>
      <c r="C49" s="80"/>
    </row>
    <row r="50" spans="2:3" ht="15.95" customHeight="1">
      <c r="B50" s="60" t="s">
        <v>41</v>
      </c>
      <c r="C50" s="80"/>
    </row>
  </sheetData>
  <mergeCells count="42">
    <mergeCell ref="A1:C1"/>
    <mergeCell ref="B5:C5"/>
    <mergeCell ref="B20:C20"/>
    <mergeCell ref="B45:C45"/>
    <mergeCell ref="B50:C50"/>
    <mergeCell ref="B41:C41"/>
    <mergeCell ref="B35:C35"/>
    <mergeCell ref="B4:C4"/>
    <mergeCell ref="B49:C49"/>
    <mergeCell ref="B6:C6"/>
    <mergeCell ref="B24:C24"/>
    <mergeCell ref="B30:C30"/>
    <mergeCell ref="B15:C15"/>
    <mergeCell ref="B33:C33"/>
    <mergeCell ref="B48:C48"/>
    <mergeCell ref="A32:C32"/>
    <mergeCell ref="A3:C3"/>
    <mergeCell ref="B27:C27"/>
    <mergeCell ref="A12:C12"/>
    <mergeCell ref="A26:C26"/>
    <mergeCell ref="B39:C39"/>
    <mergeCell ref="B21:C21"/>
    <mergeCell ref="B9:C9"/>
    <mergeCell ref="B34:C34"/>
    <mergeCell ref="B10:C10"/>
    <mergeCell ref="B28:C28"/>
    <mergeCell ref="A8:C8"/>
    <mergeCell ref="B23:C23"/>
    <mergeCell ref="B14:C14"/>
    <mergeCell ref="B17:C17"/>
    <mergeCell ref="B13:C13"/>
    <mergeCell ref="B38:C38"/>
    <mergeCell ref="B47:C47"/>
    <mergeCell ref="B16:C16"/>
    <mergeCell ref="A37:C37"/>
    <mergeCell ref="B46:C46"/>
    <mergeCell ref="B22:C22"/>
    <mergeCell ref="A44:C44"/>
    <mergeCell ref="B40:C40"/>
    <mergeCell ref="B42:C42"/>
    <mergeCell ref="A19:C19"/>
    <mergeCell ref="B29:C29"/>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3:D145"/>
  <sheetViews>
    <sheetView zoomScale="150" zoomScaleNormal="150" workbookViewId="0">
      <pane ySplit="3" topLeftCell="A116" activePane="bottomLeft" state="frozen"/>
      <selection pane="bottomLeft" activeCell="E12" sqref="E12"/>
    </sheetView>
  </sheetViews>
  <sheetFormatPr defaultColWidth="10.875" defaultRowHeight="15"/>
  <cols>
    <col min="1" max="1" width="2.5" style="3" bestFit="1" customWidth="1"/>
    <col min="2" max="2" width="49.375" style="3" bestFit="1" customWidth="1"/>
    <col min="3" max="3" width="60.875" style="3" customWidth="1"/>
    <col min="4" max="6" width="10.875" style="3" customWidth="1"/>
    <col min="7" max="16384" width="10.875" style="3"/>
  </cols>
  <sheetData>
    <row r="3" spans="1:3" ht="24.95" customHeight="1">
      <c r="B3" s="2" t="s">
        <v>42</v>
      </c>
      <c r="C3" s="2" t="s">
        <v>43</v>
      </c>
    </row>
    <row r="5" spans="1:3" ht="15.95" customHeight="1">
      <c r="A5" s="3" t="s">
        <v>44</v>
      </c>
      <c r="B5" s="4" t="s">
        <v>45</v>
      </c>
      <c r="C5" s="4" t="s">
        <v>46</v>
      </c>
    </row>
    <row r="6" spans="1:3" ht="15.95" customHeight="1">
      <c r="A6" s="3" t="s">
        <v>44</v>
      </c>
      <c r="B6" s="4" t="s">
        <v>45</v>
      </c>
      <c r="C6" s="4" t="s">
        <v>47</v>
      </c>
    </row>
    <row r="7" spans="1:3" ht="15.95" customHeight="1">
      <c r="A7" s="3" t="s">
        <v>44</v>
      </c>
      <c r="B7" s="4" t="s">
        <v>45</v>
      </c>
      <c r="C7" s="4" t="s">
        <v>48</v>
      </c>
    </row>
    <row r="8" spans="1:3" ht="15.95" customHeight="1">
      <c r="A8" s="3" t="s">
        <v>44</v>
      </c>
      <c r="B8" s="4" t="s">
        <v>45</v>
      </c>
      <c r="C8" s="4" t="s">
        <v>49</v>
      </c>
    </row>
    <row r="9" spans="1:3" ht="15.95" customHeight="1">
      <c r="A9" s="3" t="s">
        <v>44</v>
      </c>
      <c r="B9" s="4" t="s">
        <v>45</v>
      </c>
      <c r="C9" s="4" t="s">
        <v>50</v>
      </c>
    </row>
    <row r="10" spans="1:3" ht="15.95" customHeight="1">
      <c r="A10" s="3" t="s">
        <v>44</v>
      </c>
      <c r="B10" s="4" t="s">
        <v>45</v>
      </c>
      <c r="C10" s="4" t="s">
        <v>51</v>
      </c>
    </row>
    <row r="11" spans="1:3" ht="15.95" customHeight="1">
      <c r="A11" s="3" t="s">
        <v>44</v>
      </c>
      <c r="B11" s="4" t="s">
        <v>45</v>
      </c>
      <c r="C11" s="4" t="s">
        <v>52</v>
      </c>
    </row>
    <row r="12" spans="1:3" ht="15.95" customHeight="1">
      <c r="A12" s="3" t="s">
        <v>44</v>
      </c>
      <c r="B12" s="4" t="s">
        <v>45</v>
      </c>
      <c r="C12" s="4" t="s">
        <v>53</v>
      </c>
    </row>
    <row r="13" spans="1:3" ht="15.95" customHeight="1">
      <c r="A13" s="3" t="s">
        <v>44</v>
      </c>
      <c r="B13" s="4" t="s">
        <v>45</v>
      </c>
      <c r="C13" s="4" t="s">
        <v>54</v>
      </c>
    </row>
    <row r="15" spans="1:3" ht="15.95" customHeight="1">
      <c r="A15" s="3" t="s">
        <v>55</v>
      </c>
      <c r="B15" s="4" t="s">
        <v>56</v>
      </c>
      <c r="C15" s="4" t="s">
        <v>57</v>
      </c>
    </row>
    <row r="16" spans="1:3" ht="15.95" customHeight="1">
      <c r="A16" s="3" t="s">
        <v>55</v>
      </c>
      <c r="B16" s="4" t="s">
        <v>56</v>
      </c>
      <c r="C16" s="4" t="s">
        <v>58</v>
      </c>
    </row>
    <row r="17" spans="1:3" ht="15.95" customHeight="1">
      <c r="A17" s="3" t="s">
        <v>55</v>
      </c>
      <c r="B17" s="4" t="s">
        <v>56</v>
      </c>
      <c r="C17" s="4" t="s">
        <v>59</v>
      </c>
    </row>
    <row r="18" spans="1:3" ht="15.95" customHeight="1">
      <c r="A18" s="3" t="s">
        <v>55</v>
      </c>
      <c r="B18" s="4" t="s">
        <v>56</v>
      </c>
      <c r="C18" s="4" t="s">
        <v>60</v>
      </c>
    </row>
    <row r="19" spans="1:3" ht="15.95" customHeight="1">
      <c r="A19" s="3" t="s">
        <v>55</v>
      </c>
      <c r="B19" s="4" t="s">
        <v>56</v>
      </c>
      <c r="C19" s="4" t="s">
        <v>61</v>
      </c>
    </row>
    <row r="20" spans="1:3" ht="15.95" customHeight="1">
      <c r="A20" s="3" t="s">
        <v>55</v>
      </c>
      <c r="B20" s="4" t="s">
        <v>56</v>
      </c>
      <c r="C20" s="4" t="s">
        <v>62</v>
      </c>
    </row>
    <row r="21" spans="1:3" ht="15.95" customHeight="1">
      <c r="A21" s="3" t="s">
        <v>55</v>
      </c>
      <c r="B21" s="4" t="s">
        <v>56</v>
      </c>
      <c r="C21" s="4" t="s">
        <v>63</v>
      </c>
    </row>
    <row r="22" spans="1:3" ht="15.95" customHeight="1">
      <c r="A22" s="3" t="s">
        <v>55</v>
      </c>
      <c r="B22" s="4" t="s">
        <v>56</v>
      </c>
      <c r="C22" s="4" t="s">
        <v>64</v>
      </c>
    </row>
    <row r="23" spans="1:3" ht="15.95" customHeight="1">
      <c r="A23" s="3" t="s">
        <v>55</v>
      </c>
      <c r="B23" s="4" t="s">
        <v>56</v>
      </c>
      <c r="C23" s="4" t="s">
        <v>65</v>
      </c>
    </row>
    <row r="24" spans="1:3" ht="15.95" customHeight="1">
      <c r="A24" s="3" t="s">
        <v>55</v>
      </c>
      <c r="B24" s="4" t="s">
        <v>56</v>
      </c>
      <c r="C24" s="4" t="s">
        <v>66</v>
      </c>
    </row>
    <row r="25" spans="1:3" ht="15.95" customHeight="1">
      <c r="A25" s="3" t="s">
        <v>55</v>
      </c>
      <c r="B25" s="4" t="s">
        <v>56</v>
      </c>
      <c r="C25" s="4" t="s">
        <v>67</v>
      </c>
    </row>
    <row r="26" spans="1:3" ht="15.95" customHeight="1">
      <c r="A26" s="3" t="s">
        <v>55</v>
      </c>
      <c r="B26" s="4" t="s">
        <v>56</v>
      </c>
      <c r="C26" s="4" t="s">
        <v>68</v>
      </c>
    </row>
    <row r="27" spans="1:3" ht="15.95" customHeight="1">
      <c r="A27" s="3" t="s">
        <v>55</v>
      </c>
      <c r="B27" s="4" t="s">
        <v>56</v>
      </c>
      <c r="C27" s="4" t="s">
        <v>69</v>
      </c>
    </row>
    <row r="28" spans="1:3" ht="15.95" customHeight="1">
      <c r="A28" s="3" t="s">
        <v>55</v>
      </c>
      <c r="B28" s="4" t="s">
        <v>56</v>
      </c>
      <c r="C28" s="4" t="s">
        <v>70</v>
      </c>
    </row>
    <row r="29" spans="1:3" ht="15.95" customHeight="1">
      <c r="A29" s="3" t="s">
        <v>55</v>
      </c>
      <c r="B29" s="4" t="s">
        <v>56</v>
      </c>
      <c r="C29" s="4" t="s">
        <v>71</v>
      </c>
    </row>
    <row r="30" spans="1:3" ht="15.95" customHeight="1">
      <c r="A30" s="3" t="s">
        <v>55</v>
      </c>
      <c r="B30" s="4" t="s">
        <v>56</v>
      </c>
      <c r="C30" s="4" t="s">
        <v>72</v>
      </c>
    </row>
    <row r="31" spans="1:3" ht="15.95" customHeight="1">
      <c r="A31" s="3" t="s">
        <v>55</v>
      </c>
      <c r="B31" s="4" t="s">
        <v>56</v>
      </c>
      <c r="C31" s="4" t="s">
        <v>73</v>
      </c>
    </row>
    <row r="32" spans="1:3" ht="15.95" customHeight="1">
      <c r="A32" s="3" t="s">
        <v>55</v>
      </c>
      <c r="B32" s="4" t="s">
        <v>56</v>
      </c>
      <c r="C32" s="4" t="s">
        <v>74</v>
      </c>
    </row>
    <row r="33" spans="1:3" ht="15.95" customHeight="1">
      <c r="A33" s="3" t="s">
        <v>55</v>
      </c>
      <c r="B33" s="4" t="s">
        <v>56</v>
      </c>
      <c r="C33" s="4" t="s">
        <v>75</v>
      </c>
    </row>
    <row r="34" spans="1:3" ht="15.95" customHeight="1">
      <c r="A34" s="3" t="s">
        <v>55</v>
      </c>
      <c r="B34" s="4" t="s">
        <v>56</v>
      </c>
      <c r="C34" s="4" t="s">
        <v>76</v>
      </c>
    </row>
    <row r="35" spans="1:3" ht="15.95" customHeight="1">
      <c r="A35" s="3" t="s">
        <v>55</v>
      </c>
      <c r="B35" s="4" t="s">
        <v>56</v>
      </c>
      <c r="C35" s="4" t="s">
        <v>77</v>
      </c>
    </row>
    <row r="36" spans="1:3" ht="15.95" customHeight="1">
      <c r="A36" s="3" t="s">
        <v>55</v>
      </c>
      <c r="B36" s="4" t="s">
        <v>56</v>
      </c>
      <c r="C36" s="4" t="s">
        <v>78</v>
      </c>
    </row>
    <row r="37" spans="1:3" ht="15.95" customHeight="1">
      <c r="A37" s="3" t="s">
        <v>55</v>
      </c>
      <c r="B37" s="4" t="s">
        <v>56</v>
      </c>
      <c r="C37" s="4" t="s">
        <v>79</v>
      </c>
    </row>
    <row r="38" spans="1:3" ht="15.95" customHeight="1">
      <c r="A38" s="3" t="s">
        <v>55</v>
      </c>
      <c r="B38" s="4" t="s">
        <v>56</v>
      </c>
      <c r="C38" s="4" t="s">
        <v>80</v>
      </c>
    </row>
    <row r="39" spans="1:3" ht="15.95" customHeight="1">
      <c r="A39" s="3" t="s">
        <v>55</v>
      </c>
      <c r="B39" s="4" t="s">
        <v>56</v>
      </c>
      <c r="C39" s="4" t="s">
        <v>81</v>
      </c>
    </row>
    <row r="40" spans="1:3" ht="15.95" customHeight="1">
      <c r="A40" s="3" t="s">
        <v>55</v>
      </c>
      <c r="B40" s="4" t="s">
        <v>56</v>
      </c>
      <c r="C40" s="4" t="s">
        <v>82</v>
      </c>
    </row>
    <row r="41" spans="1:3" ht="15.95" customHeight="1">
      <c r="C41" s="4"/>
    </row>
    <row r="42" spans="1:3" ht="15.95" customHeight="1">
      <c r="A42" s="3" t="s">
        <v>83</v>
      </c>
      <c r="B42" s="4" t="s">
        <v>84</v>
      </c>
      <c r="C42" s="4" t="s">
        <v>85</v>
      </c>
    </row>
    <row r="43" spans="1:3" ht="15.95" customHeight="1">
      <c r="A43" s="3" t="s">
        <v>83</v>
      </c>
      <c r="B43" s="4" t="s">
        <v>84</v>
      </c>
      <c r="C43" s="4" t="s">
        <v>86</v>
      </c>
    </row>
    <row r="44" spans="1:3" ht="15.95" customHeight="1">
      <c r="A44" s="3" t="s">
        <v>83</v>
      </c>
      <c r="B44" s="4" t="s">
        <v>84</v>
      </c>
      <c r="C44" s="4" t="s">
        <v>87</v>
      </c>
    </row>
    <row r="45" spans="1:3" ht="15.95" customHeight="1">
      <c r="A45" s="3" t="s">
        <v>83</v>
      </c>
      <c r="B45" s="4" t="s">
        <v>84</v>
      </c>
      <c r="C45" s="4" t="s">
        <v>88</v>
      </c>
    </row>
    <row r="46" spans="1:3" ht="15.95" customHeight="1">
      <c r="A46" s="3" t="s">
        <v>83</v>
      </c>
      <c r="B46" s="4" t="s">
        <v>84</v>
      </c>
      <c r="C46" s="4" t="s">
        <v>89</v>
      </c>
    </row>
    <row r="47" spans="1:3" ht="15.95" customHeight="1">
      <c r="A47" s="3" t="s">
        <v>83</v>
      </c>
      <c r="B47" s="4" t="s">
        <v>84</v>
      </c>
      <c r="C47" s="4" t="s">
        <v>90</v>
      </c>
    </row>
    <row r="48" spans="1:3" ht="15.95" customHeight="1">
      <c r="A48" s="3" t="s">
        <v>83</v>
      </c>
      <c r="B48" s="4" t="s">
        <v>84</v>
      </c>
      <c r="C48" s="4" t="s">
        <v>91</v>
      </c>
    </row>
    <row r="49" spans="1:3" ht="15.95" customHeight="1">
      <c r="B49" s="4"/>
      <c r="C49" s="4"/>
    </row>
    <row r="50" spans="1:3" ht="15.95" customHeight="1">
      <c r="A50" s="3" t="s">
        <v>92</v>
      </c>
      <c r="B50" s="4" t="s">
        <v>93</v>
      </c>
      <c r="C50" s="4" t="s">
        <v>85</v>
      </c>
    </row>
    <row r="51" spans="1:3" ht="15.95" customHeight="1">
      <c r="A51" s="3" t="s">
        <v>92</v>
      </c>
      <c r="B51" s="4" t="s">
        <v>93</v>
      </c>
      <c r="C51" s="4" t="s">
        <v>94</v>
      </c>
    </row>
    <row r="52" spans="1:3" ht="15.95" customHeight="1">
      <c r="A52" s="3" t="s">
        <v>92</v>
      </c>
      <c r="B52" s="4" t="s">
        <v>93</v>
      </c>
      <c r="C52" s="4" t="s">
        <v>95</v>
      </c>
    </row>
    <row r="53" spans="1:3" ht="15.95" customHeight="1">
      <c r="A53" s="3" t="s">
        <v>92</v>
      </c>
      <c r="B53" s="4" t="s">
        <v>93</v>
      </c>
      <c r="C53" s="4" t="s">
        <v>87</v>
      </c>
    </row>
    <row r="54" spans="1:3" ht="15.95" customHeight="1">
      <c r="A54" s="3" t="s">
        <v>92</v>
      </c>
      <c r="B54" s="4" t="s">
        <v>93</v>
      </c>
      <c r="C54" s="4" t="s">
        <v>91</v>
      </c>
    </row>
    <row r="55" spans="1:3" ht="15.95" customHeight="1">
      <c r="B55" s="4"/>
      <c r="C55" s="4"/>
    </row>
    <row r="56" spans="1:3" ht="15.95" customHeight="1">
      <c r="A56" s="3" t="s">
        <v>96</v>
      </c>
      <c r="B56" s="4" t="s">
        <v>97</v>
      </c>
      <c r="C56" s="4" t="s">
        <v>85</v>
      </c>
    </row>
    <row r="57" spans="1:3" ht="15.95" customHeight="1">
      <c r="A57" s="3" t="s">
        <v>96</v>
      </c>
      <c r="B57" s="4" t="s">
        <v>97</v>
      </c>
      <c r="C57" s="4" t="s">
        <v>98</v>
      </c>
    </row>
    <row r="58" spans="1:3" ht="15.95" customHeight="1">
      <c r="A58" s="3" t="s">
        <v>96</v>
      </c>
      <c r="B58" s="4" t="s">
        <v>97</v>
      </c>
      <c r="C58" s="4" t="s">
        <v>99</v>
      </c>
    </row>
    <row r="59" spans="1:3" ht="15.95" customHeight="1">
      <c r="B59" s="4"/>
      <c r="C59" s="4"/>
    </row>
    <row r="60" spans="1:3" ht="15.95" customHeight="1">
      <c r="A60" s="3" t="s">
        <v>100</v>
      </c>
      <c r="B60" s="4" t="s">
        <v>101</v>
      </c>
      <c r="C60" s="4" t="s">
        <v>85</v>
      </c>
    </row>
    <row r="61" spans="1:3" ht="15.95" customHeight="1">
      <c r="A61" s="3" t="s">
        <v>100</v>
      </c>
      <c r="B61" s="4" t="s">
        <v>101</v>
      </c>
      <c r="C61" s="4" t="s">
        <v>102</v>
      </c>
    </row>
    <row r="62" spans="1:3" ht="15.95" customHeight="1">
      <c r="A62" s="3" t="s">
        <v>100</v>
      </c>
      <c r="B62" s="4" t="s">
        <v>101</v>
      </c>
      <c r="C62" s="4" t="s">
        <v>103</v>
      </c>
    </row>
    <row r="63" spans="1:3" ht="15.95" customHeight="1">
      <c r="A63" s="3" t="s">
        <v>100</v>
      </c>
      <c r="B63" s="4" t="s">
        <v>101</v>
      </c>
      <c r="C63" s="4" t="s">
        <v>104</v>
      </c>
    </row>
    <row r="64" spans="1:3" ht="15.95" customHeight="1">
      <c r="A64" s="3" t="s">
        <v>100</v>
      </c>
      <c r="B64" s="4" t="s">
        <v>101</v>
      </c>
      <c r="C64" s="4" t="s">
        <v>105</v>
      </c>
    </row>
    <row r="65" spans="1:3" ht="15.95" customHeight="1">
      <c r="A65" s="3" t="s">
        <v>100</v>
      </c>
      <c r="B65" s="4" t="s">
        <v>101</v>
      </c>
      <c r="C65" s="4" t="s">
        <v>106</v>
      </c>
    </row>
    <row r="66" spans="1:3" ht="15.95" customHeight="1">
      <c r="A66" s="3" t="s">
        <v>100</v>
      </c>
      <c r="B66" s="4" t="s">
        <v>101</v>
      </c>
      <c r="C66" s="4" t="s">
        <v>107</v>
      </c>
    </row>
    <row r="67" spans="1:3" ht="15.95" customHeight="1">
      <c r="A67" s="3" t="s">
        <v>100</v>
      </c>
      <c r="B67" s="4" t="s">
        <v>101</v>
      </c>
      <c r="C67" s="4" t="s">
        <v>108</v>
      </c>
    </row>
    <row r="68" spans="1:3" ht="15.95" customHeight="1">
      <c r="A68" s="3" t="s">
        <v>100</v>
      </c>
      <c r="B68" s="4" t="s">
        <v>101</v>
      </c>
      <c r="C68" s="4" t="s">
        <v>109</v>
      </c>
    </row>
    <row r="69" spans="1:3" ht="15.95" customHeight="1">
      <c r="A69" s="3" t="s">
        <v>100</v>
      </c>
      <c r="B69" s="4" t="s">
        <v>101</v>
      </c>
      <c r="C69" s="4" t="s">
        <v>110</v>
      </c>
    </row>
    <row r="70" spans="1:3" ht="15.95" customHeight="1">
      <c r="B70" s="4"/>
      <c r="C70" s="4"/>
    </row>
    <row r="71" spans="1:3" ht="15.95" customHeight="1">
      <c r="A71" s="3" t="s">
        <v>111</v>
      </c>
      <c r="B71" s="4" t="s">
        <v>112</v>
      </c>
      <c r="C71" s="4" t="s">
        <v>85</v>
      </c>
    </row>
    <row r="72" spans="1:3" ht="15.95" customHeight="1">
      <c r="A72" s="3" t="s">
        <v>111</v>
      </c>
      <c r="B72" s="4" t="s">
        <v>112</v>
      </c>
      <c r="C72" s="4" t="s">
        <v>113</v>
      </c>
    </row>
    <row r="73" spans="1:3" ht="15.95" customHeight="1">
      <c r="A73" s="3" t="s">
        <v>111</v>
      </c>
      <c r="B73" s="4" t="s">
        <v>112</v>
      </c>
      <c r="C73" s="4" t="s">
        <v>114</v>
      </c>
    </row>
    <row r="74" spans="1:3" ht="15.95" customHeight="1">
      <c r="A74" s="3" t="s">
        <v>111</v>
      </c>
      <c r="B74" s="4" t="s">
        <v>112</v>
      </c>
      <c r="C74" s="4" t="s">
        <v>115</v>
      </c>
    </row>
    <row r="75" spans="1:3" ht="15.95" customHeight="1">
      <c r="B75" s="4"/>
      <c r="C75" s="4"/>
    </row>
    <row r="76" spans="1:3" ht="15.95" customHeight="1">
      <c r="A76" s="3" t="s">
        <v>116</v>
      </c>
      <c r="B76" s="4" t="s">
        <v>117</v>
      </c>
      <c r="C76" s="4" t="s">
        <v>118</v>
      </c>
    </row>
    <row r="77" spans="1:3" ht="15.95" customHeight="1">
      <c r="A77" s="3" t="s">
        <v>116</v>
      </c>
      <c r="B77" s="4" t="s">
        <v>117</v>
      </c>
      <c r="C77" s="4" t="s">
        <v>119</v>
      </c>
    </row>
    <row r="78" spans="1:3" ht="15.95" customHeight="1">
      <c r="A78" s="3" t="s">
        <v>116</v>
      </c>
      <c r="B78" s="4" t="s">
        <v>117</v>
      </c>
      <c r="C78" s="4" t="s">
        <v>120</v>
      </c>
    </row>
    <row r="79" spans="1:3" ht="15.95" customHeight="1">
      <c r="A79" s="3" t="s">
        <v>116</v>
      </c>
      <c r="B79" s="4" t="s">
        <v>117</v>
      </c>
      <c r="C79" s="4" t="s">
        <v>110</v>
      </c>
    </row>
    <row r="80" spans="1:3" ht="15.95" customHeight="1">
      <c r="A80" s="3" t="s">
        <v>116</v>
      </c>
      <c r="B80" s="4" t="s">
        <v>117</v>
      </c>
      <c r="C80" s="4" t="s">
        <v>121</v>
      </c>
    </row>
    <row r="81" spans="1:4" ht="15.95" customHeight="1">
      <c r="A81" s="3" t="s">
        <v>116</v>
      </c>
      <c r="B81" s="4" t="s">
        <v>117</v>
      </c>
      <c r="C81" s="4" t="s">
        <v>122</v>
      </c>
      <c r="D81" s="3" t="s">
        <v>123</v>
      </c>
    </row>
    <row r="82" spans="1:4" ht="15.95" customHeight="1">
      <c r="B82" s="4"/>
      <c r="C82" s="4"/>
      <c r="D82" s="10">
        <v>46844</v>
      </c>
    </row>
    <row r="83" spans="1:4" ht="15.95" customHeight="1">
      <c r="A83" s="3" t="s">
        <v>124</v>
      </c>
      <c r="B83" s="4" t="s">
        <v>125</v>
      </c>
      <c r="C83" s="4" t="s">
        <v>85</v>
      </c>
      <c r="D83" s="3">
        <v>99</v>
      </c>
    </row>
    <row r="84" spans="1:4" ht="15.95" customHeight="1">
      <c r="A84" s="3" t="s">
        <v>124</v>
      </c>
      <c r="B84" s="4" t="s">
        <v>125</v>
      </c>
      <c r="C84" s="4" t="s">
        <v>126</v>
      </c>
    </row>
    <row r="85" spans="1:4" ht="15.95" customHeight="1">
      <c r="A85" s="3" t="s">
        <v>124</v>
      </c>
      <c r="B85" s="4" t="s">
        <v>125</v>
      </c>
      <c r="C85" s="4" t="s">
        <v>127</v>
      </c>
    </row>
    <row r="86" spans="1:4" ht="15.95" customHeight="1">
      <c r="A86" s="3" t="s">
        <v>124</v>
      </c>
      <c r="B86" s="4" t="s">
        <v>125</v>
      </c>
      <c r="C86" s="4" t="s">
        <v>91</v>
      </c>
    </row>
    <row r="87" spans="1:4" ht="15.95" customHeight="1">
      <c r="A87" s="3" t="s">
        <v>124</v>
      </c>
      <c r="B87" s="4" t="s">
        <v>125</v>
      </c>
      <c r="C87" s="4" t="s">
        <v>128</v>
      </c>
    </row>
    <row r="88" spans="1:4" ht="15.95" customHeight="1">
      <c r="A88" s="3" t="s">
        <v>124</v>
      </c>
      <c r="B88" s="4" t="s">
        <v>125</v>
      </c>
      <c r="C88" s="4" t="s">
        <v>129</v>
      </c>
    </row>
    <row r="89" spans="1:4" ht="15.95" customHeight="1">
      <c r="A89" s="3" t="s">
        <v>124</v>
      </c>
      <c r="B89" s="4" t="s">
        <v>125</v>
      </c>
      <c r="C89" s="4" t="s">
        <v>130</v>
      </c>
    </row>
    <row r="90" spans="1:4" ht="15.95" customHeight="1">
      <c r="B90" s="4"/>
      <c r="C90" s="4"/>
    </row>
    <row r="91" spans="1:4" ht="15.95" customHeight="1">
      <c r="A91" s="3" t="s">
        <v>131</v>
      </c>
      <c r="B91" s="4" t="s">
        <v>132</v>
      </c>
      <c r="C91" s="4" t="s">
        <v>85</v>
      </c>
    </row>
    <row r="92" spans="1:4" ht="15.95" customHeight="1">
      <c r="A92" s="3" t="s">
        <v>131</v>
      </c>
      <c r="B92" s="4" t="s">
        <v>132</v>
      </c>
      <c r="C92" s="4" t="s">
        <v>133</v>
      </c>
    </row>
    <row r="93" spans="1:4" ht="15.95" customHeight="1">
      <c r="B93" s="4"/>
      <c r="C93" s="4"/>
    </row>
    <row r="94" spans="1:4" ht="15.95" customHeight="1">
      <c r="A94" s="3" t="s">
        <v>134</v>
      </c>
      <c r="B94" s="4" t="s">
        <v>135</v>
      </c>
      <c r="C94" s="4" t="s">
        <v>85</v>
      </c>
    </row>
    <row r="95" spans="1:4" ht="15.95" customHeight="1">
      <c r="B95" s="4"/>
      <c r="C95" s="4"/>
    </row>
    <row r="96" spans="1:4" ht="15.95" customHeight="1">
      <c r="A96" s="3" t="s">
        <v>136</v>
      </c>
      <c r="B96" s="4" t="s">
        <v>137</v>
      </c>
      <c r="C96" s="4" t="s">
        <v>85</v>
      </c>
    </row>
    <row r="97" spans="1:3" ht="15.95" customHeight="1">
      <c r="A97" s="3" t="s">
        <v>136</v>
      </c>
      <c r="B97" s="4" t="s">
        <v>137</v>
      </c>
      <c r="C97" s="4" t="s">
        <v>138</v>
      </c>
    </row>
    <row r="98" spans="1:3" ht="15.95" customHeight="1">
      <c r="B98" s="4"/>
      <c r="C98" s="4"/>
    </row>
    <row r="99" spans="1:3" ht="15.95" customHeight="1">
      <c r="A99" s="3" t="s">
        <v>139</v>
      </c>
      <c r="B99" s="4" t="s">
        <v>140</v>
      </c>
      <c r="C99" s="4" t="s">
        <v>85</v>
      </c>
    </row>
    <row r="100" spans="1:3" ht="15.95" customHeight="1">
      <c r="A100" s="3" t="s">
        <v>139</v>
      </c>
      <c r="B100" s="4" t="s">
        <v>140</v>
      </c>
      <c r="C100" s="4" t="s">
        <v>141</v>
      </c>
    </row>
    <row r="101" spans="1:3" ht="15.95" customHeight="1">
      <c r="A101" s="3" t="s">
        <v>139</v>
      </c>
      <c r="B101" s="4" t="s">
        <v>140</v>
      </c>
      <c r="C101" s="4" t="s">
        <v>142</v>
      </c>
    </row>
    <row r="102" spans="1:3" ht="15.95" customHeight="1">
      <c r="B102" s="4"/>
      <c r="C102" s="4"/>
    </row>
    <row r="103" spans="1:3" ht="15.95" customHeight="1">
      <c r="A103" s="3" t="s">
        <v>143</v>
      </c>
      <c r="B103" s="4" t="s">
        <v>144</v>
      </c>
      <c r="C103" s="4" t="s">
        <v>85</v>
      </c>
    </row>
    <row r="104" spans="1:3" ht="15.95" customHeight="1">
      <c r="A104" s="3" t="s">
        <v>143</v>
      </c>
      <c r="B104" s="4" t="s">
        <v>144</v>
      </c>
      <c r="C104" s="4" t="s">
        <v>91</v>
      </c>
    </row>
    <row r="105" spans="1:3" ht="15.95" customHeight="1">
      <c r="A105" s="3" t="s">
        <v>143</v>
      </c>
      <c r="B105" s="4" t="s">
        <v>144</v>
      </c>
      <c r="C105" s="4" t="s">
        <v>145</v>
      </c>
    </row>
    <row r="106" spans="1:3" ht="15.95" customHeight="1">
      <c r="B106" s="4"/>
      <c r="C106" s="4"/>
    </row>
    <row r="107" spans="1:3" ht="15.95" customHeight="1">
      <c r="A107" s="3" t="s">
        <v>146</v>
      </c>
      <c r="B107" s="4" t="s">
        <v>147</v>
      </c>
      <c r="C107" s="4" t="s">
        <v>85</v>
      </c>
    </row>
    <row r="108" spans="1:3" ht="15.95" customHeight="1">
      <c r="A108" s="3" t="s">
        <v>146</v>
      </c>
      <c r="B108" s="4" t="s">
        <v>147</v>
      </c>
      <c r="C108" s="4" t="s">
        <v>148</v>
      </c>
    </row>
    <row r="109" spans="1:3" ht="15.95" customHeight="1">
      <c r="A109" s="3" t="s">
        <v>146</v>
      </c>
      <c r="B109" s="4" t="s">
        <v>147</v>
      </c>
      <c r="C109" s="4" t="s">
        <v>149</v>
      </c>
    </row>
    <row r="110" spans="1:3" ht="15.95" customHeight="1">
      <c r="A110" s="3" t="s">
        <v>146</v>
      </c>
      <c r="B110" s="4" t="s">
        <v>147</v>
      </c>
      <c r="C110" s="4" t="s">
        <v>150</v>
      </c>
    </row>
    <row r="111" spans="1:3" ht="15.95" customHeight="1">
      <c r="A111" s="3" t="s">
        <v>146</v>
      </c>
      <c r="B111" s="4" t="s">
        <v>147</v>
      </c>
      <c r="C111" s="4" t="s">
        <v>151</v>
      </c>
    </row>
    <row r="112" spans="1:3" ht="15.95" customHeight="1">
      <c r="A112" s="3" t="s">
        <v>146</v>
      </c>
      <c r="B112" s="4" t="s">
        <v>147</v>
      </c>
      <c r="C112" s="4" t="s">
        <v>152</v>
      </c>
    </row>
    <row r="113" spans="1:3" ht="15.95" customHeight="1">
      <c r="A113" s="3" t="s">
        <v>146</v>
      </c>
      <c r="B113" s="4" t="s">
        <v>147</v>
      </c>
      <c r="C113" s="4" t="s">
        <v>153</v>
      </c>
    </row>
    <row r="114" spans="1:3" ht="15.95" customHeight="1">
      <c r="A114" s="3" t="s">
        <v>146</v>
      </c>
      <c r="B114" s="4" t="s">
        <v>147</v>
      </c>
      <c r="C114" s="4" t="s">
        <v>91</v>
      </c>
    </row>
    <row r="115" spans="1:3" ht="15.95" customHeight="1">
      <c r="A115" s="3" t="s">
        <v>146</v>
      </c>
      <c r="B115" s="4" t="s">
        <v>147</v>
      </c>
      <c r="C115" s="4" t="s">
        <v>154</v>
      </c>
    </row>
    <row r="116" spans="1:3" ht="15.95" customHeight="1">
      <c r="B116" s="4"/>
      <c r="C116" s="4"/>
    </row>
    <row r="117" spans="1:3" ht="15.95" customHeight="1">
      <c r="A117" s="3" t="s">
        <v>155</v>
      </c>
      <c r="B117" s="4" t="s">
        <v>156</v>
      </c>
      <c r="C117" s="4" t="s">
        <v>85</v>
      </c>
    </row>
    <row r="118" spans="1:3" ht="15.95" customHeight="1">
      <c r="A118" s="3" t="s">
        <v>155</v>
      </c>
      <c r="B118" s="4" t="s">
        <v>156</v>
      </c>
      <c r="C118" s="4" t="s">
        <v>157</v>
      </c>
    </row>
    <row r="119" spans="1:3" ht="15.95" customHeight="1">
      <c r="A119" s="3" t="s">
        <v>155</v>
      </c>
      <c r="B119" s="4" t="s">
        <v>156</v>
      </c>
      <c r="C119" s="4" t="s">
        <v>158</v>
      </c>
    </row>
    <row r="120" spans="1:3" ht="15.95" customHeight="1">
      <c r="A120" s="3" t="s">
        <v>155</v>
      </c>
      <c r="B120" s="4" t="s">
        <v>156</v>
      </c>
      <c r="C120" s="4" t="s">
        <v>159</v>
      </c>
    </row>
    <row r="121" spans="1:3" ht="15.95" customHeight="1">
      <c r="A121" s="3" t="s">
        <v>155</v>
      </c>
      <c r="B121" s="4" t="s">
        <v>156</v>
      </c>
      <c r="C121" s="4" t="s">
        <v>160</v>
      </c>
    </row>
    <row r="122" spans="1:3" ht="15.95" customHeight="1">
      <c r="A122" s="3" t="s">
        <v>155</v>
      </c>
      <c r="B122" s="4" t="s">
        <v>156</v>
      </c>
      <c r="C122" s="4" t="s">
        <v>161</v>
      </c>
    </row>
    <row r="123" spans="1:3" ht="15.95" customHeight="1">
      <c r="A123" s="3" t="s">
        <v>155</v>
      </c>
      <c r="B123" s="4" t="s">
        <v>156</v>
      </c>
      <c r="C123" s="4" t="s">
        <v>150</v>
      </c>
    </row>
    <row r="124" spans="1:3" ht="15.95" customHeight="1">
      <c r="A124" s="3" t="s">
        <v>155</v>
      </c>
      <c r="B124" s="4" t="s">
        <v>156</v>
      </c>
      <c r="C124" s="4" t="s">
        <v>152</v>
      </c>
    </row>
    <row r="125" spans="1:3" ht="15.95" customHeight="1">
      <c r="A125" s="3" t="s">
        <v>155</v>
      </c>
      <c r="B125" s="4" t="s">
        <v>156</v>
      </c>
      <c r="C125" s="4" t="s">
        <v>91</v>
      </c>
    </row>
    <row r="126" spans="1:3" ht="15.95" customHeight="1">
      <c r="A126" s="3" t="s">
        <v>155</v>
      </c>
      <c r="B126" s="4" t="s">
        <v>156</v>
      </c>
      <c r="C126" s="4" t="s">
        <v>162</v>
      </c>
    </row>
    <row r="127" spans="1:3" ht="15.95" customHeight="1">
      <c r="C127" s="4"/>
    </row>
    <row r="128" spans="1:3" ht="15.95" customHeight="1">
      <c r="C128" s="4"/>
    </row>
    <row r="129" spans="3:3" ht="15.95" customHeight="1">
      <c r="C129" s="4"/>
    </row>
    <row r="130" spans="3:3" ht="15.95" customHeight="1">
      <c r="C130" s="4"/>
    </row>
    <row r="131" spans="3:3" ht="15.95" customHeight="1">
      <c r="C131" s="4"/>
    </row>
    <row r="132" spans="3:3" ht="15.95" customHeight="1">
      <c r="C132" s="4"/>
    </row>
    <row r="133" spans="3:3" ht="15.95" customHeight="1">
      <c r="C133" s="4"/>
    </row>
    <row r="134" spans="3:3" ht="15.95" customHeight="1">
      <c r="C134" s="4"/>
    </row>
    <row r="135" spans="3:3" ht="15.95" customHeight="1">
      <c r="C135" s="4"/>
    </row>
    <row r="136" spans="3:3" ht="15.95" customHeight="1">
      <c r="C136" s="4"/>
    </row>
    <row r="137" spans="3:3" ht="15.95" customHeight="1">
      <c r="C137" s="4"/>
    </row>
    <row r="138" spans="3:3" ht="15.95" customHeight="1">
      <c r="C138" s="4"/>
    </row>
    <row r="139" spans="3:3" ht="15.95" customHeight="1">
      <c r="C139" s="4"/>
    </row>
    <row r="140" spans="3:3" ht="15.95" customHeight="1">
      <c r="C140" s="4"/>
    </row>
    <row r="141" spans="3:3" ht="15.95" customHeight="1">
      <c r="C141" s="4"/>
    </row>
    <row r="142" spans="3:3" ht="15.95" customHeight="1">
      <c r="C142" s="4"/>
    </row>
    <row r="143" spans="3:3" ht="15.95" customHeight="1">
      <c r="C143" s="4"/>
    </row>
    <row r="144" spans="3:3" ht="15.95" customHeight="1">
      <c r="C144" s="4"/>
    </row>
    <row r="145" spans="3:3" ht="15.95" customHeight="1">
      <c r="C145" s="4"/>
    </row>
  </sheetData>
  <autoFilter ref="B3:C126" xr:uid="{00000000-0009-0000-0000-000001000000}"/>
  <pageMargins left="0.7" right="0.7" top="0.75" bottom="0.75" header="0.3" footer="0.3"/>
  <pageSetup paperSize="9" orientation="portrait" horizontalDpi="0" verticalDpi="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617"/>
  <sheetViews>
    <sheetView zoomScale="120" zoomScaleNormal="120" workbookViewId="0">
      <pane xSplit="5" ySplit="2" topLeftCell="F604" activePane="bottomRight" state="frozen"/>
      <selection pane="bottomRight" activeCell="A529" sqref="A529"/>
      <selection pane="bottomLeft" activeCell="A2" sqref="A2"/>
      <selection pane="topRight" activeCell="E1" sqref="E1"/>
    </sheetView>
  </sheetViews>
  <sheetFormatPr defaultColWidth="10.875" defaultRowHeight="15.95"/>
  <cols>
    <col min="1" max="1" width="44.5" style="7" customWidth="1"/>
    <col min="2" max="2" width="4" style="8" customWidth="1"/>
    <col min="3" max="5" width="4" style="9" customWidth="1"/>
    <col min="6" max="6" width="241.125" style="6" customWidth="1"/>
    <col min="7" max="9" width="10.875" style="7" customWidth="1"/>
    <col min="10" max="16384" width="10.875" style="7"/>
  </cols>
  <sheetData>
    <row r="1" spans="1:6" s="1" customFormat="1" ht="93" customHeight="1">
      <c r="A1" s="5"/>
      <c r="B1" s="17" t="s">
        <v>42</v>
      </c>
      <c r="C1" s="17" t="s">
        <v>163</v>
      </c>
      <c r="D1" s="17" t="s">
        <v>164</v>
      </c>
      <c r="E1" s="17" t="s">
        <v>165</v>
      </c>
      <c r="F1" s="18" t="s">
        <v>166</v>
      </c>
    </row>
    <row r="2" spans="1:6" ht="21.95" customHeight="1"/>
    <row r="4" spans="1:6" s="13" customFormat="1" ht="17.100000000000001" customHeight="1">
      <c r="B4" s="19" t="s">
        <v>44</v>
      </c>
      <c r="C4" s="20">
        <v>0</v>
      </c>
      <c r="D4" s="20">
        <v>0</v>
      </c>
      <c r="E4" s="20">
        <v>0</v>
      </c>
      <c r="F4" s="21" t="s">
        <v>167</v>
      </c>
    </row>
    <row r="5" spans="1:6" s="13" customFormat="1" ht="17.100000000000001" customHeight="1">
      <c r="B5" s="19" t="s">
        <v>44</v>
      </c>
      <c r="C5" s="20">
        <v>1</v>
      </c>
      <c r="D5" s="20">
        <v>0</v>
      </c>
      <c r="E5" s="20">
        <v>0</v>
      </c>
      <c r="F5" s="22" t="s">
        <v>46</v>
      </c>
    </row>
    <row r="6" spans="1:6" s="13" customFormat="1" ht="17.100000000000001" customHeight="1">
      <c r="B6" s="19" t="s">
        <v>44</v>
      </c>
      <c r="C6" s="20">
        <v>1</v>
      </c>
      <c r="D6" s="20">
        <v>1</v>
      </c>
      <c r="E6" s="20">
        <v>0</v>
      </c>
      <c r="F6" s="23" t="s">
        <v>168</v>
      </c>
    </row>
    <row r="7" spans="1:6" s="13" customFormat="1" ht="17.100000000000001" customHeight="1">
      <c r="B7" s="19" t="s">
        <v>44</v>
      </c>
      <c r="C7" s="20">
        <v>1</v>
      </c>
      <c r="D7" s="20">
        <v>2</v>
      </c>
      <c r="E7" s="20">
        <v>0</v>
      </c>
      <c r="F7" s="23" t="s">
        <v>169</v>
      </c>
    </row>
    <row r="8" spans="1:6" s="13" customFormat="1" ht="17.100000000000001" customHeight="1">
      <c r="B8" s="19" t="s">
        <v>44</v>
      </c>
      <c r="C8" s="20">
        <v>2</v>
      </c>
      <c r="D8" s="20">
        <v>0</v>
      </c>
      <c r="E8" s="20">
        <v>0</v>
      </c>
      <c r="F8" s="22" t="s">
        <v>47</v>
      </c>
    </row>
    <row r="9" spans="1:6" s="13" customFormat="1" ht="17.100000000000001" customHeight="1">
      <c r="B9" s="19" t="s">
        <v>44</v>
      </c>
      <c r="C9" s="20">
        <v>2</v>
      </c>
      <c r="D9" s="20">
        <v>1</v>
      </c>
      <c r="E9" s="20">
        <v>0</v>
      </c>
      <c r="F9" s="23" t="s">
        <v>170</v>
      </c>
    </row>
    <row r="10" spans="1:6" s="13" customFormat="1" ht="17.100000000000001" customHeight="1">
      <c r="B10" s="19" t="s">
        <v>44</v>
      </c>
      <c r="C10" s="20">
        <v>3</v>
      </c>
      <c r="D10" s="20">
        <v>0</v>
      </c>
      <c r="E10" s="20">
        <v>0</v>
      </c>
      <c r="F10" s="22" t="s">
        <v>48</v>
      </c>
    </row>
    <row r="11" spans="1:6" s="13" customFormat="1" ht="17.100000000000001" customHeight="1">
      <c r="B11" s="19" t="s">
        <v>44</v>
      </c>
      <c r="C11" s="20">
        <v>3</v>
      </c>
      <c r="D11" s="20">
        <v>1</v>
      </c>
      <c r="E11" s="20">
        <v>0</v>
      </c>
      <c r="F11" s="23" t="s">
        <v>171</v>
      </c>
    </row>
    <row r="12" spans="1:6" s="13" customFormat="1" ht="17.100000000000001" customHeight="1">
      <c r="B12" s="19" t="s">
        <v>44</v>
      </c>
      <c r="C12" s="20">
        <v>3</v>
      </c>
      <c r="D12" s="20">
        <v>1</v>
      </c>
      <c r="E12" s="20">
        <v>1</v>
      </c>
      <c r="F12" s="23" t="s">
        <v>172</v>
      </c>
    </row>
    <row r="13" spans="1:6" s="13" customFormat="1" ht="17.100000000000001" customHeight="1">
      <c r="B13" s="19" t="s">
        <v>44</v>
      </c>
      <c r="C13" s="20">
        <v>3</v>
      </c>
      <c r="D13" s="20">
        <v>1</v>
      </c>
      <c r="E13" s="20">
        <v>2</v>
      </c>
      <c r="F13" s="23" t="s">
        <v>173</v>
      </c>
    </row>
    <row r="14" spans="1:6" s="13" customFormat="1" ht="17.100000000000001" customHeight="1">
      <c r="B14" s="19" t="s">
        <v>44</v>
      </c>
      <c r="C14" s="20">
        <v>3</v>
      </c>
      <c r="D14" s="20">
        <v>1</v>
      </c>
      <c r="E14" s="20">
        <v>3</v>
      </c>
      <c r="F14" s="23" t="s">
        <v>174</v>
      </c>
    </row>
    <row r="15" spans="1:6" s="13" customFormat="1" ht="17.100000000000001" customHeight="1">
      <c r="B15" s="19" t="s">
        <v>44</v>
      </c>
      <c r="C15" s="20">
        <v>3</v>
      </c>
      <c r="D15" s="20">
        <v>1</v>
      </c>
      <c r="E15" s="20">
        <v>4</v>
      </c>
      <c r="F15" s="23" t="s">
        <v>175</v>
      </c>
    </row>
    <row r="16" spans="1:6" s="13" customFormat="1" ht="17.100000000000001" customHeight="1">
      <c r="B16" s="19" t="s">
        <v>44</v>
      </c>
      <c r="C16" s="20">
        <v>3</v>
      </c>
      <c r="D16" s="20">
        <v>1</v>
      </c>
      <c r="E16" s="20">
        <v>5</v>
      </c>
      <c r="F16" s="23" t="s">
        <v>176</v>
      </c>
    </row>
    <row r="17" spans="2:6" s="13" customFormat="1" ht="17.100000000000001" customHeight="1">
      <c r="B17" s="19" t="s">
        <v>44</v>
      </c>
      <c r="C17" s="20">
        <v>3</v>
      </c>
      <c r="D17" s="20">
        <v>1</v>
      </c>
      <c r="E17" s="20">
        <v>6</v>
      </c>
      <c r="F17" s="23" t="s">
        <v>177</v>
      </c>
    </row>
    <row r="18" spans="2:6" s="13" customFormat="1" ht="17.100000000000001" customHeight="1">
      <c r="B18" s="19" t="s">
        <v>44</v>
      </c>
      <c r="C18" s="20">
        <v>4</v>
      </c>
      <c r="D18" s="20">
        <v>0</v>
      </c>
      <c r="E18" s="20">
        <v>0</v>
      </c>
      <c r="F18" s="22" t="s">
        <v>49</v>
      </c>
    </row>
    <row r="19" spans="2:6" s="13" customFormat="1" ht="17.100000000000001" customHeight="1">
      <c r="B19" s="19" t="s">
        <v>44</v>
      </c>
      <c r="C19" s="20">
        <v>4</v>
      </c>
      <c r="D19" s="20">
        <v>1</v>
      </c>
      <c r="E19" s="20">
        <v>0</v>
      </c>
      <c r="F19" s="23" t="s">
        <v>178</v>
      </c>
    </row>
    <row r="20" spans="2:6" s="13" customFormat="1" ht="17.100000000000001" customHeight="1">
      <c r="B20" s="19" t="s">
        <v>44</v>
      </c>
      <c r="C20" s="20">
        <v>4</v>
      </c>
      <c r="D20" s="20">
        <v>1</v>
      </c>
      <c r="E20" s="20">
        <v>1</v>
      </c>
      <c r="F20" s="23" t="s">
        <v>179</v>
      </c>
    </row>
    <row r="21" spans="2:6" s="13" customFormat="1" ht="17.100000000000001" customHeight="1">
      <c r="B21" s="19" t="s">
        <v>44</v>
      </c>
      <c r="C21" s="20">
        <v>4</v>
      </c>
      <c r="D21" s="20">
        <v>1</v>
      </c>
      <c r="E21" s="20">
        <v>2</v>
      </c>
      <c r="F21" s="23" t="s">
        <v>180</v>
      </c>
    </row>
    <row r="22" spans="2:6" s="13" customFormat="1" ht="17.100000000000001" customHeight="1">
      <c r="B22" s="19" t="s">
        <v>44</v>
      </c>
      <c r="C22" s="20">
        <v>4</v>
      </c>
      <c r="D22" s="20">
        <v>1</v>
      </c>
      <c r="E22" s="20">
        <v>3</v>
      </c>
      <c r="F22" s="23" t="s">
        <v>181</v>
      </c>
    </row>
    <row r="23" spans="2:6" s="13" customFormat="1" ht="17.100000000000001" customHeight="1">
      <c r="B23" s="19" t="s">
        <v>44</v>
      </c>
      <c r="C23" s="20">
        <v>4</v>
      </c>
      <c r="D23" s="20">
        <v>1</v>
      </c>
      <c r="E23" s="20">
        <v>4</v>
      </c>
      <c r="F23" s="23" t="s">
        <v>182</v>
      </c>
    </row>
    <row r="24" spans="2:6" s="13" customFormat="1" ht="17.100000000000001" customHeight="1">
      <c r="B24" s="19" t="s">
        <v>44</v>
      </c>
      <c r="C24" s="20">
        <v>4</v>
      </c>
      <c r="D24" s="20">
        <v>1</v>
      </c>
      <c r="E24" s="20">
        <v>5</v>
      </c>
      <c r="F24" s="23" t="s">
        <v>183</v>
      </c>
    </row>
    <row r="25" spans="2:6" s="13" customFormat="1" ht="17.100000000000001" customHeight="1">
      <c r="B25" s="19" t="s">
        <v>44</v>
      </c>
      <c r="C25" s="20">
        <v>5</v>
      </c>
      <c r="D25" s="20">
        <v>0</v>
      </c>
      <c r="E25" s="20">
        <v>0</v>
      </c>
      <c r="F25" s="22" t="s">
        <v>50</v>
      </c>
    </row>
    <row r="26" spans="2:6" s="13" customFormat="1" ht="17.100000000000001" customHeight="1">
      <c r="B26" s="19" t="s">
        <v>44</v>
      </c>
      <c r="C26" s="20">
        <v>5</v>
      </c>
      <c r="D26" s="20">
        <v>1</v>
      </c>
      <c r="E26" s="20">
        <v>0</v>
      </c>
      <c r="F26" s="23" t="s">
        <v>184</v>
      </c>
    </row>
    <row r="27" spans="2:6" s="13" customFormat="1" ht="17.100000000000001" customHeight="1">
      <c r="B27" s="19" t="s">
        <v>44</v>
      </c>
      <c r="C27" s="20">
        <v>5</v>
      </c>
      <c r="D27" s="20">
        <v>1</v>
      </c>
      <c r="E27" s="20">
        <v>1</v>
      </c>
      <c r="F27" s="23" t="s">
        <v>185</v>
      </c>
    </row>
    <row r="28" spans="2:6" s="13" customFormat="1" ht="17.100000000000001" customHeight="1">
      <c r="B28" s="19" t="s">
        <v>44</v>
      </c>
      <c r="C28" s="20">
        <v>5</v>
      </c>
      <c r="D28" s="20">
        <v>1</v>
      </c>
      <c r="E28" s="20">
        <v>2</v>
      </c>
      <c r="F28" s="23" t="s">
        <v>186</v>
      </c>
    </row>
    <row r="29" spans="2:6" s="13" customFormat="1" ht="17.100000000000001" customHeight="1">
      <c r="B29" s="19" t="s">
        <v>44</v>
      </c>
      <c r="C29" s="20">
        <v>5</v>
      </c>
      <c r="D29" s="20">
        <v>1</v>
      </c>
      <c r="E29" s="20">
        <v>3</v>
      </c>
      <c r="F29" s="23" t="s">
        <v>187</v>
      </c>
    </row>
    <row r="30" spans="2:6" s="13" customFormat="1" ht="17.100000000000001" customHeight="1">
      <c r="B30" s="19" t="s">
        <v>44</v>
      </c>
      <c r="C30" s="20">
        <v>5</v>
      </c>
      <c r="D30" s="20">
        <v>1</v>
      </c>
      <c r="E30" s="20">
        <v>4</v>
      </c>
      <c r="F30" s="23" t="s">
        <v>188</v>
      </c>
    </row>
    <row r="31" spans="2:6" s="13" customFormat="1" ht="17.100000000000001" customHeight="1">
      <c r="B31" s="19" t="s">
        <v>44</v>
      </c>
      <c r="C31" s="20">
        <v>5</v>
      </c>
      <c r="D31" s="20">
        <v>1</v>
      </c>
      <c r="E31" s="20">
        <v>5</v>
      </c>
      <c r="F31" s="23" t="s">
        <v>189</v>
      </c>
    </row>
    <row r="32" spans="2:6" s="13" customFormat="1" ht="17.100000000000001" customHeight="1">
      <c r="B32" s="19" t="s">
        <v>44</v>
      </c>
      <c r="C32" s="20">
        <v>6</v>
      </c>
      <c r="D32" s="20">
        <v>0</v>
      </c>
      <c r="E32" s="20">
        <v>0</v>
      </c>
      <c r="F32" s="22" t="s">
        <v>51</v>
      </c>
    </row>
    <row r="33" spans="2:6" s="13" customFormat="1" ht="17.100000000000001" customHeight="1">
      <c r="B33" s="19" t="s">
        <v>44</v>
      </c>
      <c r="C33" s="20">
        <v>6</v>
      </c>
      <c r="D33" s="20">
        <v>1</v>
      </c>
      <c r="E33" s="20">
        <v>0</v>
      </c>
      <c r="F33" s="23" t="s">
        <v>190</v>
      </c>
    </row>
    <row r="34" spans="2:6" s="13" customFormat="1" ht="17.100000000000001" customHeight="1">
      <c r="B34" s="19" t="s">
        <v>44</v>
      </c>
      <c r="C34" s="20">
        <v>6</v>
      </c>
      <c r="D34" s="20">
        <v>1</v>
      </c>
      <c r="E34" s="20">
        <v>1</v>
      </c>
      <c r="F34" s="23" t="s">
        <v>191</v>
      </c>
    </row>
    <row r="35" spans="2:6" s="13" customFormat="1" ht="17.100000000000001" customHeight="1">
      <c r="B35" s="19" t="s">
        <v>44</v>
      </c>
      <c r="C35" s="20">
        <v>6</v>
      </c>
      <c r="D35" s="20">
        <v>1</v>
      </c>
      <c r="E35" s="20">
        <v>2</v>
      </c>
      <c r="F35" s="23" t="s">
        <v>192</v>
      </c>
    </row>
    <row r="36" spans="2:6" s="13" customFormat="1" ht="17.100000000000001" customHeight="1">
      <c r="B36" s="19" t="s">
        <v>44</v>
      </c>
      <c r="C36" s="20">
        <v>6</v>
      </c>
      <c r="D36" s="20">
        <v>1</v>
      </c>
      <c r="E36" s="20">
        <v>3</v>
      </c>
      <c r="F36" s="23" t="s">
        <v>193</v>
      </c>
    </row>
    <row r="37" spans="2:6" s="13" customFormat="1" ht="17.100000000000001" customHeight="1">
      <c r="B37" s="19" t="s">
        <v>44</v>
      </c>
      <c r="C37" s="20">
        <v>6</v>
      </c>
      <c r="D37" s="20">
        <v>1</v>
      </c>
      <c r="E37" s="20">
        <v>4</v>
      </c>
      <c r="F37" s="23" t="s">
        <v>194</v>
      </c>
    </row>
    <row r="38" spans="2:6" s="13" customFormat="1" ht="17.100000000000001" customHeight="1">
      <c r="B38" s="19" t="s">
        <v>44</v>
      </c>
      <c r="C38" s="20">
        <v>6</v>
      </c>
      <c r="D38" s="20">
        <v>1</v>
      </c>
      <c r="E38" s="20">
        <v>5</v>
      </c>
      <c r="F38" s="23" t="s">
        <v>195</v>
      </c>
    </row>
    <row r="39" spans="2:6" s="13" customFormat="1" ht="17.100000000000001" customHeight="1">
      <c r="B39" s="19" t="s">
        <v>44</v>
      </c>
      <c r="C39" s="20">
        <v>6</v>
      </c>
      <c r="D39" s="20">
        <v>1</v>
      </c>
      <c r="E39" s="20">
        <v>6</v>
      </c>
      <c r="F39" s="23" t="s">
        <v>196</v>
      </c>
    </row>
    <row r="40" spans="2:6" s="13" customFormat="1" ht="17.100000000000001" customHeight="1">
      <c r="B40" s="19" t="s">
        <v>44</v>
      </c>
      <c r="C40" s="20">
        <v>6</v>
      </c>
      <c r="D40" s="20">
        <v>1</v>
      </c>
      <c r="E40" s="20">
        <v>7</v>
      </c>
      <c r="F40" s="23" t="s">
        <v>197</v>
      </c>
    </row>
    <row r="41" spans="2:6" s="13" customFormat="1" ht="17.100000000000001" customHeight="1">
      <c r="B41" s="19" t="s">
        <v>44</v>
      </c>
      <c r="C41" s="20">
        <v>7</v>
      </c>
      <c r="D41" s="20">
        <v>0</v>
      </c>
      <c r="E41" s="20">
        <v>0</v>
      </c>
      <c r="F41" s="22" t="s">
        <v>52</v>
      </c>
    </row>
    <row r="42" spans="2:6" s="13" customFormat="1" ht="17.100000000000001" customHeight="1">
      <c r="B42" s="19" t="s">
        <v>44</v>
      </c>
      <c r="C42" s="20">
        <v>7</v>
      </c>
      <c r="D42" s="20">
        <v>1</v>
      </c>
      <c r="E42" s="20">
        <v>0</v>
      </c>
      <c r="F42" s="23" t="s">
        <v>198</v>
      </c>
    </row>
    <row r="43" spans="2:6" s="13" customFormat="1" ht="17.100000000000001" customHeight="1">
      <c r="B43" s="19" t="s">
        <v>44</v>
      </c>
      <c r="C43" s="20">
        <v>7</v>
      </c>
      <c r="D43" s="20">
        <v>1</v>
      </c>
      <c r="E43" s="20">
        <v>1</v>
      </c>
      <c r="F43" s="23" t="s">
        <v>199</v>
      </c>
    </row>
    <row r="44" spans="2:6" s="13" customFormat="1" ht="17.100000000000001" customHeight="1">
      <c r="B44" s="19" t="s">
        <v>44</v>
      </c>
      <c r="C44" s="20">
        <v>7</v>
      </c>
      <c r="D44" s="20">
        <v>1</v>
      </c>
      <c r="E44" s="20">
        <v>2</v>
      </c>
      <c r="F44" s="23" t="s">
        <v>200</v>
      </c>
    </row>
    <row r="45" spans="2:6" s="13" customFormat="1" ht="17.100000000000001" customHeight="1">
      <c r="B45" s="19" t="s">
        <v>44</v>
      </c>
      <c r="C45" s="20">
        <v>7</v>
      </c>
      <c r="D45" s="20">
        <v>1</v>
      </c>
      <c r="E45" s="20">
        <v>3</v>
      </c>
      <c r="F45" s="23" t="s">
        <v>201</v>
      </c>
    </row>
    <row r="46" spans="2:6" s="13" customFormat="1" ht="17.100000000000001" customHeight="1">
      <c r="B46" s="19" t="s">
        <v>44</v>
      </c>
      <c r="C46" s="20">
        <v>7</v>
      </c>
      <c r="D46" s="20">
        <v>1</v>
      </c>
      <c r="E46" s="20">
        <v>4</v>
      </c>
      <c r="F46" s="23" t="s">
        <v>202</v>
      </c>
    </row>
    <row r="47" spans="2:6" s="13" customFormat="1" ht="17.100000000000001" customHeight="1">
      <c r="B47" s="19" t="s">
        <v>44</v>
      </c>
      <c r="C47" s="20">
        <v>7</v>
      </c>
      <c r="D47" s="20">
        <v>1</v>
      </c>
      <c r="E47" s="20">
        <v>5</v>
      </c>
      <c r="F47" s="23" t="s">
        <v>203</v>
      </c>
    </row>
    <row r="48" spans="2:6" s="13" customFormat="1" ht="17.100000000000001" customHeight="1">
      <c r="B48" s="19" t="s">
        <v>44</v>
      </c>
      <c r="C48" s="20">
        <v>7</v>
      </c>
      <c r="D48" s="20">
        <v>1</v>
      </c>
      <c r="E48" s="20">
        <v>6</v>
      </c>
      <c r="F48" s="23" t="s">
        <v>204</v>
      </c>
    </row>
    <row r="49" spans="2:6" s="13" customFormat="1" ht="17.100000000000001" customHeight="1">
      <c r="B49" s="19" t="s">
        <v>44</v>
      </c>
      <c r="C49" s="20">
        <v>7</v>
      </c>
      <c r="D49" s="20">
        <v>2</v>
      </c>
      <c r="E49" s="20">
        <v>0</v>
      </c>
      <c r="F49" s="23" t="s">
        <v>205</v>
      </c>
    </row>
    <row r="50" spans="2:6" s="13" customFormat="1" ht="17.100000000000001" customHeight="1">
      <c r="B50" s="19" t="s">
        <v>44</v>
      </c>
      <c r="C50" s="20">
        <v>8</v>
      </c>
      <c r="D50" s="20">
        <v>0</v>
      </c>
      <c r="E50" s="20">
        <v>0</v>
      </c>
      <c r="F50" s="22" t="s">
        <v>53</v>
      </c>
    </row>
    <row r="51" spans="2:6" s="13" customFormat="1" ht="17.100000000000001" customHeight="1">
      <c r="B51" s="19" t="s">
        <v>44</v>
      </c>
      <c r="C51" s="20">
        <v>8</v>
      </c>
      <c r="D51" s="20">
        <v>1</v>
      </c>
      <c r="E51" s="20">
        <v>0</v>
      </c>
      <c r="F51" s="23" t="s">
        <v>206</v>
      </c>
    </row>
    <row r="52" spans="2:6" s="13" customFormat="1" ht="17.100000000000001" customHeight="1">
      <c r="B52" s="19" t="s">
        <v>44</v>
      </c>
      <c r="C52" s="20">
        <v>8</v>
      </c>
      <c r="D52" s="20">
        <v>1</v>
      </c>
      <c r="E52" s="20">
        <v>1</v>
      </c>
      <c r="F52" s="23" t="s">
        <v>207</v>
      </c>
    </row>
    <row r="53" spans="2:6" s="13" customFormat="1" ht="17.100000000000001" customHeight="1">
      <c r="B53" s="19" t="s">
        <v>44</v>
      </c>
      <c r="C53" s="20">
        <v>8</v>
      </c>
      <c r="D53" s="20">
        <v>1</v>
      </c>
      <c r="E53" s="20">
        <v>2</v>
      </c>
      <c r="F53" s="23" t="s">
        <v>208</v>
      </c>
    </row>
    <row r="54" spans="2:6" s="13" customFormat="1" ht="17.100000000000001" customHeight="1">
      <c r="B54" s="19" t="s">
        <v>44</v>
      </c>
      <c r="C54" s="20">
        <v>8</v>
      </c>
      <c r="D54" s="20">
        <v>1</v>
      </c>
      <c r="E54" s="20">
        <v>3</v>
      </c>
      <c r="F54" s="23" t="s">
        <v>209</v>
      </c>
    </row>
    <row r="55" spans="2:6" s="13" customFormat="1" ht="17.100000000000001" customHeight="1">
      <c r="B55" s="19" t="s">
        <v>44</v>
      </c>
      <c r="C55" s="20">
        <v>8</v>
      </c>
      <c r="D55" s="20">
        <v>1</v>
      </c>
      <c r="E55" s="20">
        <v>4</v>
      </c>
      <c r="F55" s="23" t="s">
        <v>210</v>
      </c>
    </row>
    <row r="56" spans="2:6" s="13" customFormat="1" ht="17.100000000000001" customHeight="1">
      <c r="B56" s="19" t="s">
        <v>44</v>
      </c>
      <c r="C56" s="20">
        <v>8</v>
      </c>
      <c r="D56" s="20">
        <v>1</v>
      </c>
      <c r="E56" s="20">
        <v>5</v>
      </c>
      <c r="F56" s="23" t="s">
        <v>211</v>
      </c>
    </row>
    <row r="57" spans="2:6" s="13" customFormat="1" ht="17.100000000000001" customHeight="1">
      <c r="B57" s="19" t="s">
        <v>44</v>
      </c>
      <c r="C57" s="20">
        <v>8</v>
      </c>
      <c r="D57" s="20">
        <v>1</v>
      </c>
      <c r="E57" s="20">
        <v>6</v>
      </c>
      <c r="F57" s="23" t="s">
        <v>212</v>
      </c>
    </row>
    <row r="58" spans="2:6" s="13" customFormat="1" ht="17.100000000000001" customHeight="1">
      <c r="B58" s="19" t="s">
        <v>44</v>
      </c>
      <c r="C58" s="20">
        <v>8</v>
      </c>
      <c r="D58" s="20">
        <v>1</v>
      </c>
      <c r="E58" s="20">
        <v>7</v>
      </c>
      <c r="F58" s="23" t="s">
        <v>213</v>
      </c>
    </row>
    <row r="59" spans="2:6" s="13" customFormat="1" ht="17.100000000000001" customHeight="1">
      <c r="B59" s="19" t="s">
        <v>44</v>
      </c>
      <c r="C59" s="20">
        <v>8</v>
      </c>
      <c r="D59" s="20">
        <v>2</v>
      </c>
      <c r="E59" s="20">
        <v>0</v>
      </c>
      <c r="F59" s="23" t="s">
        <v>214</v>
      </c>
    </row>
    <row r="60" spans="2:6" s="13" customFormat="1" ht="17.100000000000001" customHeight="1">
      <c r="B60" s="19" t="s">
        <v>44</v>
      </c>
      <c r="C60" s="20">
        <v>9</v>
      </c>
      <c r="D60" s="20">
        <v>0</v>
      </c>
      <c r="E60" s="20">
        <v>0</v>
      </c>
      <c r="F60" s="22" t="s">
        <v>54</v>
      </c>
    </row>
    <row r="61" spans="2:6" s="13" customFormat="1" ht="17.100000000000001" customHeight="1">
      <c r="B61" s="19" t="s">
        <v>44</v>
      </c>
      <c r="C61" s="20">
        <v>9</v>
      </c>
      <c r="D61" s="20">
        <v>1</v>
      </c>
      <c r="E61" s="20">
        <v>0</v>
      </c>
      <c r="F61" s="23" t="s">
        <v>215</v>
      </c>
    </row>
    <row r="62" spans="2:6" s="13" customFormat="1" ht="17.100000000000001" customHeight="1">
      <c r="B62" s="19" t="s">
        <v>44</v>
      </c>
      <c r="C62" s="20">
        <v>9</v>
      </c>
      <c r="D62" s="20">
        <v>1</v>
      </c>
      <c r="E62" s="20">
        <v>1</v>
      </c>
      <c r="F62" s="23" t="s">
        <v>216</v>
      </c>
    </row>
    <row r="63" spans="2:6" s="13" customFormat="1" ht="17.100000000000001" customHeight="1">
      <c r="B63" s="19" t="s">
        <v>44</v>
      </c>
      <c r="C63" s="20">
        <v>9</v>
      </c>
      <c r="D63" s="20">
        <v>1</v>
      </c>
      <c r="E63" s="20">
        <v>2</v>
      </c>
      <c r="F63" s="23" t="s">
        <v>217</v>
      </c>
    </row>
    <row r="64" spans="2:6" s="13" customFormat="1" ht="17.100000000000001" customHeight="1">
      <c r="B64" s="19" t="s">
        <v>44</v>
      </c>
      <c r="C64" s="20">
        <v>9</v>
      </c>
      <c r="D64" s="20">
        <v>1</v>
      </c>
      <c r="E64" s="20">
        <v>3</v>
      </c>
      <c r="F64" s="23" t="s">
        <v>218</v>
      </c>
    </row>
    <row r="65" spans="2:6" s="13" customFormat="1" ht="17.100000000000001" customHeight="1">
      <c r="B65" s="19" t="s">
        <v>44</v>
      </c>
      <c r="C65" s="20">
        <v>9</v>
      </c>
      <c r="D65" s="20">
        <v>1</v>
      </c>
      <c r="E65" s="20">
        <v>4</v>
      </c>
      <c r="F65" s="23" t="s">
        <v>219</v>
      </c>
    </row>
    <row r="66" spans="2:6" s="13" customFormat="1" ht="17.100000000000001" customHeight="1">
      <c r="B66" s="19" t="s">
        <v>44</v>
      </c>
      <c r="C66" s="20">
        <v>9</v>
      </c>
      <c r="D66" s="20">
        <v>1</v>
      </c>
      <c r="E66" s="20">
        <v>5</v>
      </c>
      <c r="F66" s="23" t="s">
        <v>220</v>
      </c>
    </row>
    <row r="67" spans="2:6" s="13" customFormat="1" ht="17.100000000000001" customHeight="1">
      <c r="B67" s="19" t="s">
        <v>44</v>
      </c>
      <c r="C67" s="20">
        <v>9</v>
      </c>
      <c r="D67" s="20">
        <v>1</v>
      </c>
      <c r="E67" s="20">
        <v>6</v>
      </c>
      <c r="F67" s="23" t="s">
        <v>221</v>
      </c>
    </row>
    <row r="68" spans="2:6" s="13" customFormat="1" ht="17.100000000000001" customHeight="1">
      <c r="B68" s="19" t="s">
        <v>44</v>
      </c>
      <c r="C68" s="20">
        <v>9</v>
      </c>
      <c r="D68" s="20">
        <v>1</v>
      </c>
      <c r="E68" s="20">
        <v>7</v>
      </c>
      <c r="F68" s="23" t="s">
        <v>222</v>
      </c>
    </row>
    <row r="69" spans="2:6" s="13" customFormat="1" ht="17.100000000000001" customHeight="1">
      <c r="B69" s="19" t="s">
        <v>44</v>
      </c>
      <c r="C69" s="20">
        <v>9</v>
      </c>
      <c r="D69" s="20">
        <v>1</v>
      </c>
      <c r="E69" s="20">
        <v>8</v>
      </c>
      <c r="F69" s="23" t="s">
        <v>223</v>
      </c>
    </row>
    <row r="70" spans="2:6" s="13" customFormat="1" ht="17.100000000000001" customHeight="1">
      <c r="B70" s="19" t="s">
        <v>44</v>
      </c>
      <c r="C70" s="20">
        <v>9</v>
      </c>
      <c r="D70" s="20">
        <v>1</v>
      </c>
      <c r="E70" s="20">
        <v>9</v>
      </c>
      <c r="F70" s="23" t="s">
        <v>224</v>
      </c>
    </row>
    <row r="71" spans="2:6" s="13" customFormat="1" ht="17.100000000000001" customHeight="1">
      <c r="B71" s="19" t="s">
        <v>44</v>
      </c>
      <c r="C71" s="20">
        <v>9</v>
      </c>
      <c r="D71" s="20">
        <v>2</v>
      </c>
      <c r="E71" s="20">
        <v>0</v>
      </c>
      <c r="F71" s="23" t="s">
        <v>225</v>
      </c>
    </row>
    <row r="72" spans="2:6" s="13" customFormat="1" ht="17.100000000000001" customHeight="1">
      <c r="B72" s="19" t="s">
        <v>55</v>
      </c>
      <c r="C72" s="20">
        <v>0</v>
      </c>
      <c r="D72" s="20">
        <v>0</v>
      </c>
      <c r="E72" s="20">
        <v>0</v>
      </c>
      <c r="F72" s="21" t="s">
        <v>226</v>
      </c>
    </row>
    <row r="73" spans="2:6" s="13" customFormat="1" ht="17.100000000000001" customHeight="1">
      <c r="B73" s="19" t="s">
        <v>55</v>
      </c>
      <c r="C73" s="20">
        <v>1</v>
      </c>
      <c r="D73" s="20">
        <v>0</v>
      </c>
      <c r="E73" s="20">
        <v>0</v>
      </c>
      <c r="F73" s="22" t="s">
        <v>227</v>
      </c>
    </row>
    <row r="74" spans="2:6" s="13" customFormat="1" ht="17.100000000000001" customHeight="1">
      <c r="B74" s="19" t="s">
        <v>55</v>
      </c>
      <c r="C74" s="20">
        <v>1</v>
      </c>
      <c r="D74" s="20">
        <v>1</v>
      </c>
      <c r="E74" s="20">
        <v>0</v>
      </c>
      <c r="F74" s="23" t="s">
        <v>228</v>
      </c>
    </row>
    <row r="75" spans="2:6" s="13" customFormat="1" ht="17.100000000000001" customHeight="1">
      <c r="B75" s="19" t="s">
        <v>55</v>
      </c>
      <c r="C75" s="20">
        <v>1</v>
      </c>
      <c r="D75" s="20">
        <v>2</v>
      </c>
      <c r="E75" s="20">
        <v>0</v>
      </c>
      <c r="F75" s="23" t="s">
        <v>229</v>
      </c>
    </row>
    <row r="76" spans="2:6" s="13" customFormat="1" ht="17.100000000000001" customHeight="1">
      <c r="B76" s="19" t="s">
        <v>55</v>
      </c>
      <c r="C76" s="20">
        <v>1</v>
      </c>
      <c r="D76" s="20">
        <v>3</v>
      </c>
      <c r="E76" s="20">
        <v>0</v>
      </c>
      <c r="F76" s="23" t="s">
        <v>230</v>
      </c>
    </row>
    <row r="77" spans="2:6" s="13" customFormat="1" ht="17.100000000000001" customHeight="1">
      <c r="B77" s="19" t="s">
        <v>55</v>
      </c>
      <c r="C77" s="20">
        <v>2</v>
      </c>
      <c r="D77" s="20">
        <v>0</v>
      </c>
      <c r="E77" s="20">
        <v>0</v>
      </c>
      <c r="F77" s="22" t="s">
        <v>231</v>
      </c>
    </row>
    <row r="78" spans="2:6" s="13" customFormat="1" ht="17.100000000000001" customHeight="1">
      <c r="B78" s="19" t="s">
        <v>55</v>
      </c>
      <c r="C78" s="20">
        <v>2</v>
      </c>
      <c r="D78" s="20">
        <v>1</v>
      </c>
      <c r="E78" s="20">
        <v>0</v>
      </c>
      <c r="F78" s="23" t="s">
        <v>232</v>
      </c>
    </row>
    <row r="79" spans="2:6" s="13" customFormat="1" ht="17.100000000000001" customHeight="1">
      <c r="B79" s="19" t="s">
        <v>55</v>
      </c>
      <c r="C79" s="20">
        <v>2</v>
      </c>
      <c r="D79" s="20">
        <v>2</v>
      </c>
      <c r="E79" s="20">
        <v>0</v>
      </c>
      <c r="F79" s="23" t="s">
        <v>233</v>
      </c>
    </row>
    <row r="80" spans="2:6" s="13" customFormat="1" ht="17.100000000000001" customHeight="1">
      <c r="B80" s="19" t="s">
        <v>55</v>
      </c>
      <c r="C80" s="20">
        <v>3</v>
      </c>
      <c r="D80" s="20">
        <v>0</v>
      </c>
      <c r="E80" s="20">
        <v>0</v>
      </c>
      <c r="F80" s="22" t="s">
        <v>234</v>
      </c>
    </row>
    <row r="81" spans="2:6" s="13" customFormat="1" ht="17.100000000000001" customHeight="1">
      <c r="B81" s="19" t="s">
        <v>55</v>
      </c>
      <c r="C81" s="20">
        <v>3</v>
      </c>
      <c r="D81" s="20">
        <v>1</v>
      </c>
      <c r="E81" s="20">
        <v>0</v>
      </c>
      <c r="F81" s="23" t="s">
        <v>235</v>
      </c>
    </row>
    <row r="82" spans="2:6" s="13" customFormat="1" ht="17.100000000000001" customHeight="1">
      <c r="B82" s="19" t="s">
        <v>55</v>
      </c>
      <c r="C82" s="20">
        <v>3</v>
      </c>
      <c r="D82" s="20">
        <v>2</v>
      </c>
      <c r="E82" s="20">
        <v>0</v>
      </c>
      <c r="F82" s="23" t="s">
        <v>236</v>
      </c>
    </row>
    <row r="83" spans="2:6" s="13" customFormat="1" ht="17.100000000000001" customHeight="1">
      <c r="B83" s="19" t="s">
        <v>55</v>
      </c>
      <c r="C83" s="20">
        <v>3</v>
      </c>
      <c r="D83" s="20">
        <v>3</v>
      </c>
      <c r="E83" s="20">
        <v>0</v>
      </c>
      <c r="F83" s="23" t="s">
        <v>237</v>
      </c>
    </row>
    <row r="84" spans="2:6" s="13" customFormat="1" ht="17.100000000000001" customHeight="1">
      <c r="B84" s="19" t="s">
        <v>55</v>
      </c>
      <c r="C84" s="20">
        <v>4</v>
      </c>
      <c r="D84" s="20">
        <v>0</v>
      </c>
      <c r="E84" s="20">
        <v>0</v>
      </c>
      <c r="F84" s="22" t="s">
        <v>238</v>
      </c>
    </row>
    <row r="85" spans="2:6" s="13" customFormat="1" ht="17.100000000000001" customHeight="1">
      <c r="B85" s="19" t="s">
        <v>55</v>
      </c>
      <c r="C85" s="20">
        <v>4</v>
      </c>
      <c r="D85" s="20">
        <v>1</v>
      </c>
      <c r="E85" s="20">
        <v>0</v>
      </c>
      <c r="F85" s="23" t="s">
        <v>239</v>
      </c>
    </row>
    <row r="86" spans="2:6" s="13" customFormat="1" ht="17.100000000000001" customHeight="1">
      <c r="B86" s="19" t="s">
        <v>55</v>
      </c>
      <c r="C86" s="20">
        <v>4</v>
      </c>
      <c r="D86" s="20">
        <v>2</v>
      </c>
      <c r="E86" s="20">
        <v>0</v>
      </c>
      <c r="F86" s="23" t="s">
        <v>240</v>
      </c>
    </row>
    <row r="87" spans="2:6" s="13" customFormat="1" ht="17.100000000000001" customHeight="1">
      <c r="B87" s="19" t="s">
        <v>55</v>
      </c>
      <c r="C87" s="20">
        <v>4</v>
      </c>
      <c r="D87" s="20">
        <v>3</v>
      </c>
      <c r="E87" s="20">
        <v>0</v>
      </c>
      <c r="F87" s="23" t="s">
        <v>241</v>
      </c>
    </row>
    <row r="88" spans="2:6" s="13" customFormat="1" ht="17.100000000000001" customHeight="1">
      <c r="B88" s="19" t="s">
        <v>55</v>
      </c>
      <c r="C88" s="20">
        <v>5</v>
      </c>
      <c r="D88" s="20">
        <v>0</v>
      </c>
      <c r="E88" s="20">
        <v>0</v>
      </c>
      <c r="F88" s="22" t="s">
        <v>242</v>
      </c>
    </row>
    <row r="89" spans="2:6" s="13" customFormat="1" ht="17.100000000000001" customHeight="1">
      <c r="B89" s="19" t="s">
        <v>55</v>
      </c>
      <c r="C89" s="20">
        <v>5</v>
      </c>
      <c r="D89" s="20">
        <v>1</v>
      </c>
      <c r="E89" s="20">
        <v>0</v>
      </c>
      <c r="F89" s="23" t="s">
        <v>243</v>
      </c>
    </row>
    <row r="90" spans="2:6" s="13" customFormat="1" ht="17.100000000000001" customHeight="1">
      <c r="B90" s="19" t="s">
        <v>55</v>
      </c>
      <c r="C90" s="20">
        <v>5</v>
      </c>
      <c r="D90" s="20">
        <v>2</v>
      </c>
      <c r="E90" s="20">
        <v>0</v>
      </c>
      <c r="F90" s="23" t="s">
        <v>244</v>
      </c>
    </row>
    <row r="91" spans="2:6" s="13" customFormat="1" ht="17.100000000000001" customHeight="1">
      <c r="B91" s="19" t="s">
        <v>55</v>
      </c>
      <c r="C91" s="20">
        <v>5</v>
      </c>
      <c r="D91" s="20">
        <v>3</v>
      </c>
      <c r="E91" s="20">
        <v>0</v>
      </c>
      <c r="F91" s="23" t="s">
        <v>245</v>
      </c>
    </row>
    <row r="92" spans="2:6" s="13" customFormat="1" ht="17.100000000000001" customHeight="1">
      <c r="B92" s="19" t="s">
        <v>55</v>
      </c>
      <c r="C92" s="20">
        <v>5</v>
      </c>
      <c r="D92" s="20">
        <v>4</v>
      </c>
      <c r="E92" s="20">
        <v>0</v>
      </c>
      <c r="F92" s="23" t="s">
        <v>246</v>
      </c>
    </row>
    <row r="93" spans="2:6" s="13" customFormat="1" ht="17.100000000000001" customHeight="1">
      <c r="B93" s="19" t="s">
        <v>55</v>
      </c>
      <c r="C93" s="20">
        <v>5</v>
      </c>
      <c r="D93" s="20">
        <v>5</v>
      </c>
      <c r="E93" s="20">
        <v>0</v>
      </c>
      <c r="F93" s="23" t="s">
        <v>247</v>
      </c>
    </row>
    <row r="94" spans="2:6" s="13" customFormat="1" ht="17.100000000000001" customHeight="1">
      <c r="B94" s="19" t="s">
        <v>55</v>
      </c>
      <c r="C94" s="20">
        <v>6</v>
      </c>
      <c r="D94" s="20">
        <v>0</v>
      </c>
      <c r="E94" s="20">
        <v>0</v>
      </c>
      <c r="F94" s="22" t="s">
        <v>248</v>
      </c>
    </row>
    <row r="95" spans="2:6" s="13" customFormat="1" ht="17.100000000000001" customHeight="1">
      <c r="B95" s="19" t="s">
        <v>55</v>
      </c>
      <c r="C95" s="20">
        <v>6</v>
      </c>
      <c r="D95" s="20">
        <v>1</v>
      </c>
      <c r="E95" s="20">
        <v>0</v>
      </c>
      <c r="F95" s="23" t="s">
        <v>249</v>
      </c>
    </row>
    <row r="96" spans="2:6" s="13" customFormat="1" ht="17.100000000000001" customHeight="1">
      <c r="B96" s="19" t="s">
        <v>55</v>
      </c>
      <c r="C96" s="20">
        <v>6</v>
      </c>
      <c r="D96" s="20">
        <v>2</v>
      </c>
      <c r="E96" s="20">
        <v>0</v>
      </c>
      <c r="F96" s="23" t="s">
        <v>250</v>
      </c>
    </row>
    <row r="97" spans="2:6" s="13" customFormat="1" ht="17.100000000000001" customHeight="1">
      <c r="B97" s="19" t="s">
        <v>55</v>
      </c>
      <c r="C97" s="20">
        <v>6</v>
      </c>
      <c r="D97" s="20">
        <v>3</v>
      </c>
      <c r="E97" s="20">
        <v>0</v>
      </c>
      <c r="F97" s="23" t="s">
        <v>251</v>
      </c>
    </row>
    <row r="98" spans="2:6" s="13" customFormat="1" ht="17.100000000000001" customHeight="1">
      <c r="B98" s="19" t="s">
        <v>55</v>
      </c>
      <c r="C98" s="20">
        <v>6</v>
      </c>
      <c r="D98" s="20">
        <v>4</v>
      </c>
      <c r="E98" s="20">
        <v>0</v>
      </c>
      <c r="F98" s="23" t="s">
        <v>252</v>
      </c>
    </row>
    <row r="99" spans="2:6" s="13" customFormat="1" ht="17.100000000000001" customHeight="1">
      <c r="B99" s="19" t="s">
        <v>55</v>
      </c>
      <c r="C99" s="20">
        <v>7</v>
      </c>
      <c r="D99" s="20">
        <v>0</v>
      </c>
      <c r="E99" s="20">
        <v>0</v>
      </c>
      <c r="F99" s="22" t="s">
        <v>253</v>
      </c>
    </row>
    <row r="100" spans="2:6" s="13" customFormat="1" ht="17.100000000000001" customHeight="1">
      <c r="B100" s="19" t="s">
        <v>55</v>
      </c>
      <c r="C100" s="20">
        <v>7</v>
      </c>
      <c r="D100" s="20">
        <v>1</v>
      </c>
      <c r="E100" s="20">
        <v>0</v>
      </c>
      <c r="F100" s="23" t="s">
        <v>254</v>
      </c>
    </row>
    <row r="101" spans="2:6" s="13" customFormat="1" ht="17.100000000000001" customHeight="1">
      <c r="B101" s="19" t="s">
        <v>55</v>
      </c>
      <c r="C101" s="20">
        <v>7</v>
      </c>
      <c r="D101" s="20">
        <v>2</v>
      </c>
      <c r="E101" s="20">
        <v>0</v>
      </c>
      <c r="F101" s="23" t="s">
        <v>255</v>
      </c>
    </row>
    <row r="102" spans="2:6" s="13" customFormat="1" ht="17.100000000000001" customHeight="1">
      <c r="B102" s="19" t="s">
        <v>55</v>
      </c>
      <c r="C102" s="20">
        <v>7</v>
      </c>
      <c r="D102" s="20">
        <v>3</v>
      </c>
      <c r="E102" s="20">
        <v>0</v>
      </c>
      <c r="F102" s="23" t="s">
        <v>256</v>
      </c>
    </row>
    <row r="103" spans="2:6" s="13" customFormat="1" ht="17.100000000000001" customHeight="1">
      <c r="B103" s="19" t="s">
        <v>55</v>
      </c>
      <c r="C103" s="20">
        <v>7</v>
      </c>
      <c r="D103" s="20">
        <v>4</v>
      </c>
      <c r="E103" s="20">
        <v>0</v>
      </c>
      <c r="F103" s="23" t="s">
        <v>257</v>
      </c>
    </row>
    <row r="104" spans="2:6" s="13" customFormat="1" ht="17.100000000000001" customHeight="1">
      <c r="B104" s="19" t="s">
        <v>55</v>
      </c>
      <c r="C104" s="20">
        <v>7</v>
      </c>
      <c r="D104" s="20">
        <v>4</v>
      </c>
      <c r="E104" s="20">
        <v>1</v>
      </c>
      <c r="F104" s="23" t="s">
        <v>258</v>
      </c>
    </row>
    <row r="105" spans="2:6" s="13" customFormat="1" ht="17.100000000000001" customHeight="1">
      <c r="B105" s="19" t="s">
        <v>55</v>
      </c>
      <c r="C105" s="20">
        <v>7</v>
      </c>
      <c r="D105" s="20">
        <v>4</v>
      </c>
      <c r="E105" s="20">
        <v>2</v>
      </c>
      <c r="F105" s="23" t="s">
        <v>259</v>
      </c>
    </row>
    <row r="106" spans="2:6" s="13" customFormat="1" ht="17.100000000000001" customHeight="1">
      <c r="B106" s="19" t="s">
        <v>55</v>
      </c>
      <c r="C106" s="20">
        <v>7</v>
      </c>
      <c r="D106" s="20">
        <v>5</v>
      </c>
      <c r="E106" s="20">
        <v>0</v>
      </c>
      <c r="F106" s="23" t="s">
        <v>260</v>
      </c>
    </row>
    <row r="107" spans="2:6" s="13" customFormat="1" ht="17.100000000000001" customHeight="1">
      <c r="B107" s="19" t="s">
        <v>55</v>
      </c>
      <c r="C107" s="20">
        <v>8</v>
      </c>
      <c r="D107" s="20">
        <v>0</v>
      </c>
      <c r="E107" s="20">
        <v>0</v>
      </c>
      <c r="F107" s="22" t="s">
        <v>261</v>
      </c>
    </row>
    <row r="108" spans="2:6" s="13" customFormat="1" ht="17.100000000000001" customHeight="1">
      <c r="B108" s="19" t="s">
        <v>55</v>
      </c>
      <c r="C108" s="20">
        <v>8</v>
      </c>
      <c r="D108" s="20">
        <v>1</v>
      </c>
      <c r="E108" s="20">
        <v>0</v>
      </c>
      <c r="F108" s="23" t="s">
        <v>262</v>
      </c>
    </row>
    <row r="109" spans="2:6" s="13" customFormat="1" ht="17.100000000000001" customHeight="1">
      <c r="B109" s="19" t="s">
        <v>55</v>
      </c>
      <c r="C109" s="20">
        <v>8</v>
      </c>
      <c r="D109" s="20">
        <v>2</v>
      </c>
      <c r="E109" s="20">
        <v>0</v>
      </c>
      <c r="F109" s="23" t="s">
        <v>263</v>
      </c>
    </row>
    <row r="110" spans="2:6" s="13" customFormat="1" ht="17.100000000000001" customHeight="1">
      <c r="B110" s="19" t="s">
        <v>55</v>
      </c>
      <c r="C110" s="20">
        <v>8</v>
      </c>
      <c r="D110" s="20">
        <v>3</v>
      </c>
      <c r="E110" s="20">
        <v>0</v>
      </c>
      <c r="F110" s="23" t="s">
        <v>264</v>
      </c>
    </row>
    <row r="111" spans="2:6" s="13" customFormat="1" ht="17.100000000000001" customHeight="1">
      <c r="B111" s="19" t="s">
        <v>55</v>
      </c>
      <c r="C111" s="20">
        <v>8</v>
      </c>
      <c r="D111" s="20">
        <v>4</v>
      </c>
      <c r="E111" s="20">
        <v>0</v>
      </c>
      <c r="F111" s="23" t="s">
        <v>265</v>
      </c>
    </row>
    <row r="112" spans="2:6" s="13" customFormat="1" ht="17.100000000000001" customHeight="1">
      <c r="B112" s="19" t="s">
        <v>55</v>
      </c>
      <c r="C112" s="20">
        <v>8</v>
      </c>
      <c r="D112" s="20">
        <v>5</v>
      </c>
      <c r="E112" s="20">
        <v>0</v>
      </c>
      <c r="F112" s="23" t="s">
        <v>266</v>
      </c>
    </row>
    <row r="113" spans="2:6" s="13" customFormat="1" ht="17.100000000000001" customHeight="1">
      <c r="B113" s="19" t="s">
        <v>55</v>
      </c>
      <c r="C113" s="20">
        <v>8</v>
      </c>
      <c r="D113" s="20">
        <v>6</v>
      </c>
      <c r="E113" s="20">
        <v>0</v>
      </c>
      <c r="F113" s="23" t="s">
        <v>267</v>
      </c>
    </row>
    <row r="114" spans="2:6" s="13" customFormat="1" ht="17.100000000000001" customHeight="1">
      <c r="B114" s="19" t="s">
        <v>55</v>
      </c>
      <c r="C114" s="20">
        <v>9</v>
      </c>
      <c r="D114" s="20">
        <v>0</v>
      </c>
      <c r="E114" s="20">
        <v>0</v>
      </c>
      <c r="F114" s="22" t="s">
        <v>268</v>
      </c>
    </row>
    <row r="115" spans="2:6" s="13" customFormat="1" ht="17.100000000000001" customHeight="1">
      <c r="B115" s="19" t="s">
        <v>55</v>
      </c>
      <c r="C115" s="20">
        <v>9</v>
      </c>
      <c r="D115" s="20">
        <v>1</v>
      </c>
      <c r="E115" s="20">
        <v>0</v>
      </c>
      <c r="F115" s="23" t="s">
        <v>269</v>
      </c>
    </row>
    <row r="116" spans="2:6" s="13" customFormat="1" ht="17.100000000000001" customHeight="1">
      <c r="B116" s="19" t="s">
        <v>55</v>
      </c>
      <c r="C116" s="20">
        <v>9</v>
      </c>
      <c r="D116" s="20">
        <v>1</v>
      </c>
      <c r="E116" s="20">
        <v>1</v>
      </c>
      <c r="F116" s="23" t="s">
        <v>270</v>
      </c>
    </row>
    <row r="117" spans="2:6" s="13" customFormat="1" ht="17.100000000000001" customHeight="1">
      <c r="B117" s="19" t="s">
        <v>55</v>
      </c>
      <c r="C117" s="20">
        <v>9</v>
      </c>
      <c r="D117" s="20">
        <v>1</v>
      </c>
      <c r="E117" s="20">
        <v>2</v>
      </c>
      <c r="F117" s="23" t="s">
        <v>271</v>
      </c>
    </row>
    <row r="118" spans="2:6" s="13" customFormat="1" ht="17.100000000000001" customHeight="1">
      <c r="B118" s="19" t="s">
        <v>55</v>
      </c>
      <c r="C118" s="20">
        <v>9</v>
      </c>
      <c r="D118" s="20">
        <v>1</v>
      </c>
      <c r="E118" s="20">
        <v>3</v>
      </c>
      <c r="F118" s="23" t="s">
        <v>272</v>
      </c>
    </row>
    <row r="119" spans="2:6" s="13" customFormat="1" ht="17.100000000000001" customHeight="1">
      <c r="B119" s="19" t="s">
        <v>55</v>
      </c>
      <c r="C119" s="20">
        <v>9</v>
      </c>
      <c r="D119" s="20">
        <v>1</v>
      </c>
      <c r="E119" s="20">
        <v>4</v>
      </c>
      <c r="F119" s="23" t="s">
        <v>273</v>
      </c>
    </row>
    <row r="120" spans="2:6" s="13" customFormat="1" ht="17.100000000000001" customHeight="1">
      <c r="B120" s="19" t="s">
        <v>55</v>
      </c>
      <c r="C120" s="20">
        <v>9</v>
      </c>
      <c r="D120" s="20">
        <v>1</v>
      </c>
      <c r="E120" s="20">
        <v>5</v>
      </c>
      <c r="F120" s="23" t="s">
        <v>274</v>
      </c>
    </row>
    <row r="121" spans="2:6" s="13" customFormat="1" ht="17.100000000000001" customHeight="1">
      <c r="B121" s="19" t="s">
        <v>55</v>
      </c>
      <c r="C121" s="20">
        <v>9</v>
      </c>
      <c r="D121" s="20">
        <v>1</v>
      </c>
      <c r="E121" s="20">
        <v>6</v>
      </c>
      <c r="F121" s="23" t="s">
        <v>275</v>
      </c>
    </row>
    <row r="122" spans="2:6" s="13" customFormat="1" ht="17.100000000000001" customHeight="1">
      <c r="B122" s="19" t="s">
        <v>55</v>
      </c>
      <c r="C122" s="20">
        <v>9</v>
      </c>
      <c r="D122" s="20">
        <v>1</v>
      </c>
      <c r="E122" s="20">
        <v>7</v>
      </c>
      <c r="F122" s="23" t="s">
        <v>276</v>
      </c>
    </row>
    <row r="123" spans="2:6" s="13" customFormat="1" ht="17.100000000000001" customHeight="1">
      <c r="B123" s="19" t="s">
        <v>55</v>
      </c>
      <c r="C123" s="20">
        <v>9</v>
      </c>
      <c r="D123" s="20">
        <v>2</v>
      </c>
      <c r="E123" s="20">
        <v>0</v>
      </c>
      <c r="F123" s="23" t="s">
        <v>277</v>
      </c>
    </row>
    <row r="124" spans="2:6" s="13" customFormat="1" ht="17.100000000000001" customHeight="1">
      <c r="B124" s="19" t="s">
        <v>55</v>
      </c>
      <c r="C124" s="20">
        <v>9</v>
      </c>
      <c r="D124" s="20">
        <v>3</v>
      </c>
      <c r="E124" s="20">
        <v>0</v>
      </c>
      <c r="F124" s="23" t="s">
        <v>278</v>
      </c>
    </row>
    <row r="125" spans="2:6" s="13" customFormat="1" ht="17.100000000000001" customHeight="1">
      <c r="B125" s="19" t="s">
        <v>55</v>
      </c>
      <c r="C125" s="20">
        <v>10</v>
      </c>
      <c r="D125" s="20">
        <v>0</v>
      </c>
      <c r="E125" s="20">
        <v>0</v>
      </c>
      <c r="F125" s="22" t="s">
        <v>279</v>
      </c>
    </row>
    <row r="126" spans="2:6" s="13" customFormat="1" ht="17.100000000000001" customHeight="1">
      <c r="B126" s="19" t="s">
        <v>55</v>
      </c>
      <c r="C126" s="20">
        <v>10</v>
      </c>
      <c r="D126" s="20">
        <v>1</v>
      </c>
      <c r="E126" s="20">
        <v>0</v>
      </c>
      <c r="F126" s="23" t="s">
        <v>280</v>
      </c>
    </row>
    <row r="127" spans="2:6" s="13" customFormat="1" ht="17.100000000000001" customHeight="1">
      <c r="B127" s="19" t="s">
        <v>55</v>
      </c>
      <c r="C127" s="20">
        <v>11</v>
      </c>
      <c r="D127" s="20">
        <v>0</v>
      </c>
      <c r="E127" s="20">
        <v>0</v>
      </c>
      <c r="F127" s="22" t="s">
        <v>281</v>
      </c>
    </row>
    <row r="128" spans="2:6" s="13" customFormat="1" ht="17.100000000000001" customHeight="1">
      <c r="B128" s="19" t="s">
        <v>55</v>
      </c>
      <c r="C128" s="20">
        <v>11</v>
      </c>
      <c r="D128" s="20">
        <v>1</v>
      </c>
      <c r="E128" s="20">
        <v>0</v>
      </c>
      <c r="F128" s="23" t="s">
        <v>282</v>
      </c>
    </row>
    <row r="129" spans="2:6" s="13" customFormat="1" ht="17.100000000000001" customHeight="1">
      <c r="B129" s="19" t="s">
        <v>55</v>
      </c>
      <c r="C129" s="20">
        <v>11</v>
      </c>
      <c r="D129" s="20">
        <v>1</v>
      </c>
      <c r="E129" s="20">
        <v>1</v>
      </c>
      <c r="F129" s="23" t="s">
        <v>283</v>
      </c>
    </row>
    <row r="130" spans="2:6" s="13" customFormat="1" ht="17.100000000000001" customHeight="1">
      <c r="B130" s="19" t="s">
        <v>55</v>
      </c>
      <c r="C130" s="20">
        <v>11</v>
      </c>
      <c r="D130" s="20">
        <v>1</v>
      </c>
      <c r="E130" s="20">
        <v>2</v>
      </c>
      <c r="F130" s="23" t="s">
        <v>284</v>
      </c>
    </row>
    <row r="131" spans="2:6" s="13" customFormat="1" ht="17.100000000000001" customHeight="1">
      <c r="B131" s="19" t="s">
        <v>55</v>
      </c>
      <c r="C131" s="20">
        <v>11</v>
      </c>
      <c r="D131" s="20">
        <v>1</v>
      </c>
      <c r="E131" s="20">
        <v>3</v>
      </c>
      <c r="F131" s="23" t="s">
        <v>285</v>
      </c>
    </row>
    <row r="132" spans="2:6" s="13" customFormat="1" ht="17.100000000000001" customHeight="1">
      <c r="B132" s="19" t="s">
        <v>55</v>
      </c>
      <c r="C132" s="20">
        <v>11</v>
      </c>
      <c r="D132" s="20">
        <v>1</v>
      </c>
      <c r="E132" s="20">
        <v>4</v>
      </c>
      <c r="F132" s="23" t="s">
        <v>286</v>
      </c>
    </row>
    <row r="133" spans="2:6" s="13" customFormat="1" ht="17.100000000000001" customHeight="1">
      <c r="B133" s="19" t="s">
        <v>55</v>
      </c>
      <c r="C133" s="20">
        <v>12</v>
      </c>
      <c r="D133" s="20">
        <v>0</v>
      </c>
      <c r="E133" s="20">
        <v>0</v>
      </c>
      <c r="F133" s="22" t="s">
        <v>287</v>
      </c>
    </row>
    <row r="134" spans="2:6" s="13" customFormat="1" ht="17.100000000000001" customHeight="1">
      <c r="B134" s="19" t="s">
        <v>55</v>
      </c>
      <c r="C134" s="20">
        <v>12</v>
      </c>
      <c r="D134" s="20">
        <v>1</v>
      </c>
      <c r="E134" s="20">
        <v>0</v>
      </c>
      <c r="F134" s="23" t="s">
        <v>288</v>
      </c>
    </row>
    <row r="135" spans="2:6" s="13" customFormat="1" ht="17.100000000000001" customHeight="1">
      <c r="B135" s="19" t="s">
        <v>55</v>
      </c>
      <c r="C135" s="20">
        <v>12</v>
      </c>
      <c r="D135" s="20">
        <v>1</v>
      </c>
      <c r="E135" s="20">
        <v>1</v>
      </c>
      <c r="F135" s="23" t="s">
        <v>289</v>
      </c>
    </row>
    <row r="136" spans="2:6" s="13" customFormat="1" ht="17.100000000000001" customHeight="1">
      <c r="B136" s="19" t="s">
        <v>55</v>
      </c>
      <c r="C136" s="20">
        <v>12</v>
      </c>
      <c r="D136" s="20">
        <v>1</v>
      </c>
      <c r="E136" s="20">
        <v>2</v>
      </c>
      <c r="F136" s="23" t="s">
        <v>290</v>
      </c>
    </row>
    <row r="137" spans="2:6" s="13" customFormat="1" ht="17.100000000000001" customHeight="1">
      <c r="B137" s="19" t="s">
        <v>55</v>
      </c>
      <c r="C137" s="20">
        <v>12</v>
      </c>
      <c r="D137" s="20">
        <v>1</v>
      </c>
      <c r="E137" s="20">
        <v>3</v>
      </c>
      <c r="F137" s="23" t="s">
        <v>291</v>
      </c>
    </row>
    <row r="138" spans="2:6" s="13" customFormat="1" ht="17.100000000000001" customHeight="1">
      <c r="B138" s="19" t="s">
        <v>55</v>
      </c>
      <c r="C138" s="20">
        <v>13</v>
      </c>
      <c r="D138" s="20">
        <v>0</v>
      </c>
      <c r="E138" s="20">
        <v>0</v>
      </c>
      <c r="F138" s="22" t="s">
        <v>292</v>
      </c>
    </row>
    <row r="139" spans="2:6" s="13" customFormat="1" ht="17.100000000000001" customHeight="1">
      <c r="B139" s="19" t="s">
        <v>55</v>
      </c>
      <c r="C139" s="20">
        <v>13</v>
      </c>
      <c r="D139" s="20">
        <v>1</v>
      </c>
      <c r="E139" s="20">
        <v>0</v>
      </c>
      <c r="F139" s="23" t="s">
        <v>293</v>
      </c>
    </row>
    <row r="140" spans="2:6" s="13" customFormat="1" ht="17.100000000000001" customHeight="1">
      <c r="B140" s="19" t="s">
        <v>55</v>
      </c>
      <c r="C140" s="20">
        <v>13</v>
      </c>
      <c r="D140" s="20">
        <v>2</v>
      </c>
      <c r="E140" s="20">
        <v>0</v>
      </c>
      <c r="F140" s="23" t="s">
        <v>294</v>
      </c>
    </row>
    <row r="141" spans="2:6" s="13" customFormat="1" ht="17.100000000000001" customHeight="1">
      <c r="B141" s="19" t="s">
        <v>55</v>
      </c>
      <c r="C141" s="20">
        <v>13</v>
      </c>
      <c r="D141" s="20">
        <v>3</v>
      </c>
      <c r="E141" s="20">
        <v>0</v>
      </c>
      <c r="F141" s="23" t="s">
        <v>295</v>
      </c>
    </row>
    <row r="142" spans="2:6" s="13" customFormat="1" ht="17.100000000000001" customHeight="1">
      <c r="B142" s="19" t="s">
        <v>55</v>
      </c>
      <c r="C142" s="20">
        <v>14</v>
      </c>
      <c r="D142" s="20">
        <v>0</v>
      </c>
      <c r="E142" s="20">
        <v>0</v>
      </c>
      <c r="F142" s="22" t="s">
        <v>296</v>
      </c>
    </row>
    <row r="143" spans="2:6" s="13" customFormat="1" ht="17.100000000000001" customHeight="1">
      <c r="B143" s="19" t="s">
        <v>55</v>
      </c>
      <c r="C143" s="20">
        <v>14</v>
      </c>
      <c r="D143" s="20">
        <v>1</v>
      </c>
      <c r="E143" s="20">
        <v>0</v>
      </c>
      <c r="F143" s="23" t="s">
        <v>297</v>
      </c>
    </row>
    <row r="144" spans="2:6" s="13" customFormat="1" ht="17.100000000000001" customHeight="1">
      <c r="B144" s="19" t="s">
        <v>55</v>
      </c>
      <c r="C144" s="20">
        <v>14</v>
      </c>
      <c r="D144" s="20">
        <v>2</v>
      </c>
      <c r="E144" s="20">
        <v>0</v>
      </c>
      <c r="F144" s="23" t="s">
        <v>298</v>
      </c>
    </row>
    <row r="145" spans="2:6" s="13" customFormat="1" ht="17.100000000000001" customHeight="1">
      <c r="B145" s="19" t="s">
        <v>55</v>
      </c>
      <c r="C145" s="20">
        <v>14</v>
      </c>
      <c r="D145" s="20">
        <v>3</v>
      </c>
      <c r="E145" s="20">
        <v>0</v>
      </c>
      <c r="F145" s="23" t="s">
        <v>299</v>
      </c>
    </row>
    <row r="146" spans="2:6" s="13" customFormat="1" ht="17.100000000000001" customHeight="1">
      <c r="B146" s="19" t="s">
        <v>55</v>
      </c>
      <c r="C146" s="20">
        <v>14</v>
      </c>
      <c r="D146" s="20">
        <v>4</v>
      </c>
      <c r="E146" s="20">
        <v>0</v>
      </c>
      <c r="F146" s="23" t="s">
        <v>300</v>
      </c>
    </row>
    <row r="147" spans="2:6" s="13" customFormat="1" ht="17.100000000000001" customHeight="1">
      <c r="B147" s="19" t="s">
        <v>55</v>
      </c>
      <c r="C147" s="20">
        <v>15</v>
      </c>
      <c r="D147" s="20">
        <v>0</v>
      </c>
      <c r="E147" s="20">
        <v>0</v>
      </c>
      <c r="F147" s="22" t="s">
        <v>301</v>
      </c>
    </row>
    <row r="148" spans="2:6" s="13" customFormat="1" ht="17.100000000000001" customHeight="1">
      <c r="B148" s="19" t="s">
        <v>55</v>
      </c>
      <c r="C148" s="20">
        <v>15</v>
      </c>
      <c r="D148" s="20">
        <v>1</v>
      </c>
      <c r="E148" s="20">
        <v>0</v>
      </c>
      <c r="F148" s="23" t="s">
        <v>302</v>
      </c>
    </row>
    <row r="149" spans="2:6" s="13" customFormat="1" ht="17.100000000000001" customHeight="1">
      <c r="B149" s="19" t="s">
        <v>55</v>
      </c>
      <c r="C149" s="20">
        <v>15</v>
      </c>
      <c r="D149" s="20">
        <v>2</v>
      </c>
      <c r="E149" s="20">
        <v>0</v>
      </c>
      <c r="F149" s="23" t="s">
        <v>303</v>
      </c>
    </row>
    <row r="150" spans="2:6" s="13" customFormat="1" ht="17.100000000000001" customHeight="1">
      <c r="B150" s="19" t="s">
        <v>55</v>
      </c>
      <c r="C150" s="20">
        <v>15</v>
      </c>
      <c r="D150" s="20">
        <v>3</v>
      </c>
      <c r="E150" s="20">
        <v>0</v>
      </c>
      <c r="F150" s="23" t="s">
        <v>304</v>
      </c>
    </row>
    <row r="151" spans="2:6" s="13" customFormat="1" ht="17.100000000000001" customHeight="1">
      <c r="B151" s="19" t="s">
        <v>55</v>
      </c>
      <c r="C151" s="20">
        <v>15</v>
      </c>
      <c r="D151" s="20">
        <v>4</v>
      </c>
      <c r="E151" s="20">
        <v>0</v>
      </c>
      <c r="F151" s="23" t="s">
        <v>305</v>
      </c>
    </row>
    <row r="152" spans="2:6" s="13" customFormat="1" ht="17.100000000000001" customHeight="1">
      <c r="B152" s="19" t="s">
        <v>55</v>
      </c>
      <c r="C152" s="20">
        <v>15</v>
      </c>
      <c r="D152" s="20">
        <v>5</v>
      </c>
      <c r="E152" s="20">
        <v>0</v>
      </c>
      <c r="F152" s="23" t="s">
        <v>306</v>
      </c>
    </row>
    <row r="153" spans="2:6" s="13" customFormat="1" ht="17.100000000000001" customHeight="1">
      <c r="B153" s="19" t="s">
        <v>55</v>
      </c>
      <c r="C153" s="20">
        <v>15</v>
      </c>
      <c r="D153" s="20">
        <v>6</v>
      </c>
      <c r="E153" s="20">
        <v>0</v>
      </c>
      <c r="F153" s="23" t="s">
        <v>307</v>
      </c>
    </row>
    <row r="154" spans="2:6" s="13" customFormat="1" ht="17.100000000000001" customHeight="1">
      <c r="B154" s="19" t="s">
        <v>55</v>
      </c>
      <c r="C154" s="20">
        <v>16</v>
      </c>
      <c r="D154" s="20">
        <v>0</v>
      </c>
      <c r="E154" s="20">
        <v>0</v>
      </c>
      <c r="F154" s="22" t="s">
        <v>308</v>
      </c>
    </row>
    <row r="155" spans="2:6" s="13" customFormat="1" ht="17.100000000000001" customHeight="1">
      <c r="B155" s="19" t="s">
        <v>55</v>
      </c>
      <c r="C155" s="20">
        <v>16</v>
      </c>
      <c r="D155" s="20">
        <v>1</v>
      </c>
      <c r="E155" s="20">
        <v>0</v>
      </c>
      <c r="F155" s="23" t="s">
        <v>309</v>
      </c>
    </row>
    <row r="156" spans="2:6" s="13" customFormat="1" ht="17.100000000000001" customHeight="1">
      <c r="B156" s="19" t="s">
        <v>55</v>
      </c>
      <c r="C156" s="20">
        <v>16</v>
      </c>
      <c r="D156" s="20">
        <v>2</v>
      </c>
      <c r="E156" s="20">
        <v>0</v>
      </c>
      <c r="F156" s="23" t="s">
        <v>310</v>
      </c>
    </row>
    <row r="157" spans="2:6" s="13" customFormat="1" ht="17.100000000000001" customHeight="1">
      <c r="B157" s="19" t="s">
        <v>55</v>
      </c>
      <c r="C157" s="20">
        <v>16</v>
      </c>
      <c r="D157" s="20">
        <v>3</v>
      </c>
      <c r="E157" s="20">
        <v>0</v>
      </c>
      <c r="F157" s="23" t="s">
        <v>311</v>
      </c>
    </row>
    <row r="158" spans="2:6" s="13" customFormat="1" ht="17.100000000000001" customHeight="1">
      <c r="B158" s="19" t="s">
        <v>55</v>
      </c>
      <c r="C158" s="20">
        <v>16</v>
      </c>
      <c r="D158" s="20">
        <v>4</v>
      </c>
      <c r="E158" s="20">
        <v>0</v>
      </c>
      <c r="F158" s="23" t="s">
        <v>312</v>
      </c>
    </row>
    <row r="159" spans="2:6" s="13" customFormat="1" ht="17.100000000000001" customHeight="1">
      <c r="B159" s="19" t="s">
        <v>55</v>
      </c>
      <c r="C159" s="20">
        <v>16</v>
      </c>
      <c r="D159" s="20">
        <v>5</v>
      </c>
      <c r="E159" s="20">
        <v>0</v>
      </c>
      <c r="F159" s="23" t="s">
        <v>313</v>
      </c>
    </row>
    <row r="160" spans="2:6" s="13" customFormat="1" ht="17.100000000000001" customHeight="1">
      <c r="B160" s="19" t="s">
        <v>55</v>
      </c>
      <c r="C160" s="20">
        <v>16</v>
      </c>
      <c r="D160" s="20">
        <v>6</v>
      </c>
      <c r="E160" s="20">
        <v>0</v>
      </c>
      <c r="F160" s="23" t="s">
        <v>314</v>
      </c>
    </row>
    <row r="161" spans="1:6" s="13" customFormat="1" ht="17.100000000000001" customHeight="1">
      <c r="B161" s="19" t="s">
        <v>55</v>
      </c>
      <c r="C161" s="20">
        <v>17</v>
      </c>
      <c r="D161" s="20">
        <v>0</v>
      </c>
      <c r="E161" s="20">
        <v>0</v>
      </c>
      <c r="F161" s="22" t="s">
        <v>315</v>
      </c>
    </row>
    <row r="162" spans="1:6" s="13" customFormat="1" ht="17.100000000000001" customHeight="1">
      <c r="B162" s="19" t="s">
        <v>55</v>
      </c>
      <c r="C162" s="20">
        <v>17</v>
      </c>
      <c r="D162" s="20">
        <v>1</v>
      </c>
      <c r="E162" s="20">
        <v>0</v>
      </c>
      <c r="F162" s="23" t="s">
        <v>316</v>
      </c>
    </row>
    <row r="163" spans="1:6" s="13" customFormat="1" ht="17.100000000000001" customHeight="1">
      <c r="B163" s="19" t="s">
        <v>55</v>
      </c>
      <c r="C163" s="20">
        <v>17</v>
      </c>
      <c r="D163" s="20">
        <v>2</v>
      </c>
      <c r="E163" s="20">
        <v>0</v>
      </c>
      <c r="F163" s="23" t="s">
        <v>317</v>
      </c>
    </row>
    <row r="164" spans="1:6" s="13" customFormat="1" ht="17.100000000000001" customHeight="1">
      <c r="B164" s="19" t="s">
        <v>55</v>
      </c>
      <c r="C164" s="20">
        <v>18</v>
      </c>
      <c r="D164" s="20">
        <v>0</v>
      </c>
      <c r="E164" s="20">
        <v>0</v>
      </c>
      <c r="F164" s="22" t="s">
        <v>318</v>
      </c>
    </row>
    <row r="165" spans="1:6" s="13" customFormat="1" ht="17.100000000000001" customHeight="1">
      <c r="B165" s="19" t="s">
        <v>55</v>
      </c>
      <c r="C165" s="20">
        <v>18</v>
      </c>
      <c r="D165" s="20">
        <v>1</v>
      </c>
      <c r="E165" s="20">
        <v>0</v>
      </c>
      <c r="F165" s="23" t="s">
        <v>319</v>
      </c>
    </row>
    <row r="166" spans="1:6" s="13" customFormat="1" ht="17.100000000000001" customHeight="1">
      <c r="B166" s="19" t="s">
        <v>55</v>
      </c>
      <c r="C166" s="20">
        <v>19</v>
      </c>
      <c r="D166" s="20">
        <v>0</v>
      </c>
      <c r="E166" s="20">
        <v>0</v>
      </c>
      <c r="F166" s="22" t="s">
        <v>320</v>
      </c>
    </row>
    <row r="167" spans="1:6" s="13" customFormat="1" ht="17.100000000000001" customHeight="1">
      <c r="B167" s="19" t="s">
        <v>55</v>
      </c>
      <c r="C167" s="20">
        <v>19</v>
      </c>
      <c r="D167" s="20">
        <v>1</v>
      </c>
      <c r="E167" s="20">
        <v>0</v>
      </c>
      <c r="F167" s="23" t="s">
        <v>321</v>
      </c>
    </row>
    <row r="168" spans="1:6" s="13" customFormat="1" ht="17.100000000000001" customHeight="1">
      <c r="B168" s="19" t="s">
        <v>55</v>
      </c>
      <c r="C168" s="20">
        <v>19</v>
      </c>
      <c r="D168" s="20">
        <v>2</v>
      </c>
      <c r="E168" s="20">
        <v>0</v>
      </c>
      <c r="F168" s="23" t="s">
        <v>322</v>
      </c>
    </row>
    <row r="169" spans="1:6" s="13" customFormat="1" ht="17.100000000000001" customHeight="1">
      <c r="B169" s="19" t="s">
        <v>55</v>
      </c>
      <c r="C169" s="20">
        <v>19</v>
      </c>
      <c r="D169" s="20">
        <v>3</v>
      </c>
      <c r="E169" s="20">
        <v>0</v>
      </c>
      <c r="F169" s="23" t="s">
        <v>323</v>
      </c>
    </row>
    <row r="170" spans="1:6" s="13" customFormat="1" ht="17.100000000000001" customHeight="1">
      <c r="B170" s="19" t="s">
        <v>55</v>
      </c>
      <c r="C170" s="20">
        <v>19</v>
      </c>
      <c r="D170" s="20">
        <v>4</v>
      </c>
      <c r="E170" s="20">
        <v>0</v>
      </c>
      <c r="F170" s="23" t="s">
        <v>324</v>
      </c>
    </row>
    <row r="171" spans="1:6" s="13" customFormat="1" ht="17.100000000000001" customHeight="1">
      <c r="B171" s="19" t="s">
        <v>55</v>
      </c>
      <c r="C171" s="20">
        <v>19</v>
      </c>
      <c r="D171" s="20">
        <v>5</v>
      </c>
      <c r="E171" s="20">
        <v>0</v>
      </c>
      <c r="F171" s="23" t="s">
        <v>325</v>
      </c>
    </row>
    <row r="172" spans="1:6" s="13" customFormat="1" ht="17.100000000000001" customHeight="1">
      <c r="B172" s="19" t="s">
        <v>55</v>
      </c>
      <c r="C172" s="20">
        <v>19</v>
      </c>
      <c r="D172" s="20">
        <v>6</v>
      </c>
      <c r="E172" s="20">
        <v>0</v>
      </c>
      <c r="F172" s="23" t="s">
        <v>326</v>
      </c>
    </row>
    <row r="173" spans="1:6" s="13" customFormat="1" ht="17.100000000000001" customHeight="1">
      <c r="B173" t="s">
        <v>55</v>
      </c>
      <c r="C173">
        <v>20</v>
      </c>
      <c r="D173">
        <v>0</v>
      </c>
      <c r="E173">
        <v>0</v>
      </c>
      <c r="F173" t="s">
        <v>327</v>
      </c>
    </row>
    <row r="174" spans="1:6" s="13" customFormat="1" ht="17.100000000000001" customHeight="1">
      <c r="A174" s="58"/>
      <c r="B174" s="19" t="s">
        <v>55</v>
      </c>
      <c r="C174" s="20">
        <v>20</v>
      </c>
      <c r="D174" s="20">
        <v>1</v>
      </c>
      <c r="E174" s="20">
        <v>0</v>
      </c>
      <c r="F174" s="23" t="s">
        <v>328</v>
      </c>
    </row>
    <row r="175" spans="1:6" s="13" customFormat="1" ht="17.100000000000001" customHeight="1">
      <c r="B175" s="19" t="s">
        <v>55</v>
      </c>
      <c r="C175" s="20">
        <v>20</v>
      </c>
      <c r="D175" s="20">
        <v>2</v>
      </c>
      <c r="E175" s="20">
        <v>0</v>
      </c>
      <c r="F175" s="23" t="s">
        <v>329</v>
      </c>
    </row>
    <row r="176" spans="1:6" s="13" customFormat="1" ht="17.100000000000001" customHeight="1">
      <c r="B176" s="19" t="s">
        <v>55</v>
      </c>
      <c r="C176" s="20">
        <v>20</v>
      </c>
      <c r="D176" s="20">
        <v>3</v>
      </c>
      <c r="E176" s="20">
        <v>0</v>
      </c>
      <c r="F176" s="23" t="s">
        <v>330</v>
      </c>
    </row>
    <row r="177" spans="1:6" s="13" customFormat="1" ht="17.100000000000001" customHeight="1">
      <c r="B177" s="19" t="s">
        <v>55</v>
      </c>
      <c r="C177" s="20">
        <v>21</v>
      </c>
      <c r="D177" s="20">
        <v>0</v>
      </c>
      <c r="E177" s="20">
        <v>0</v>
      </c>
      <c r="F177" s="22" t="s">
        <v>331</v>
      </c>
    </row>
    <row r="178" spans="1:6" s="13" customFormat="1" ht="17.100000000000001" customHeight="1">
      <c r="B178" s="19" t="s">
        <v>55</v>
      </c>
      <c r="C178" s="20">
        <v>21</v>
      </c>
      <c r="D178" s="20">
        <v>1</v>
      </c>
      <c r="E178" s="20">
        <v>0</v>
      </c>
      <c r="F178" s="23" t="s">
        <v>332</v>
      </c>
    </row>
    <row r="179" spans="1:6" s="13" customFormat="1" ht="17.100000000000001" customHeight="1">
      <c r="B179" s="19" t="s">
        <v>55</v>
      </c>
      <c r="C179" s="20">
        <v>21</v>
      </c>
      <c r="D179" s="20">
        <v>2</v>
      </c>
      <c r="E179" s="20">
        <v>0</v>
      </c>
      <c r="F179" s="23" t="s">
        <v>333</v>
      </c>
    </row>
    <row r="180" spans="1:6" s="13" customFormat="1" ht="17.100000000000001" customHeight="1">
      <c r="B180" s="19" t="s">
        <v>55</v>
      </c>
      <c r="C180" s="20">
        <v>21</v>
      </c>
      <c r="D180" s="20">
        <v>3</v>
      </c>
      <c r="E180" s="20">
        <v>0</v>
      </c>
      <c r="F180" s="23" t="s">
        <v>334</v>
      </c>
    </row>
    <row r="181" spans="1:6" s="13" customFormat="1" ht="17.100000000000001" customHeight="1">
      <c r="B181" s="19" t="s">
        <v>55</v>
      </c>
      <c r="C181" s="20">
        <v>21</v>
      </c>
      <c r="D181" s="20">
        <v>4</v>
      </c>
      <c r="E181" s="20">
        <v>0</v>
      </c>
      <c r="F181" s="23" t="s">
        <v>335</v>
      </c>
    </row>
    <row r="182" spans="1:6" s="13" customFormat="1" ht="17.100000000000001" customHeight="1">
      <c r="B182" s="19" t="s">
        <v>55</v>
      </c>
      <c r="C182" s="20">
        <v>22</v>
      </c>
      <c r="D182" s="20">
        <v>0</v>
      </c>
      <c r="E182" s="20">
        <v>0</v>
      </c>
      <c r="F182" s="22" t="s">
        <v>336</v>
      </c>
    </row>
    <row r="183" spans="1:6" s="13" customFormat="1" ht="17.100000000000001" customHeight="1">
      <c r="B183" s="19" t="s">
        <v>55</v>
      </c>
      <c r="C183" s="20">
        <v>22</v>
      </c>
      <c r="D183" s="20">
        <v>1</v>
      </c>
      <c r="E183" s="20">
        <v>0</v>
      </c>
      <c r="F183" s="23" t="s">
        <v>337</v>
      </c>
    </row>
    <row r="184" spans="1:6" s="13" customFormat="1" ht="17.100000000000001" customHeight="1">
      <c r="B184" s="19" t="s">
        <v>55</v>
      </c>
      <c r="C184" s="20">
        <v>22</v>
      </c>
      <c r="D184" s="20">
        <v>2</v>
      </c>
      <c r="E184" s="20">
        <v>0</v>
      </c>
      <c r="F184" s="23" t="s">
        <v>338</v>
      </c>
    </row>
    <row r="185" spans="1:6" s="13" customFormat="1" ht="17.100000000000001" customHeight="1">
      <c r="B185" s="19" t="s">
        <v>55</v>
      </c>
      <c r="C185" s="20">
        <v>22</v>
      </c>
      <c r="D185" s="20">
        <v>3</v>
      </c>
      <c r="E185" s="20">
        <v>0</v>
      </c>
      <c r="F185" s="23" t="s">
        <v>339</v>
      </c>
    </row>
    <row r="186" spans="1:6" s="13" customFormat="1" ht="17.100000000000001" customHeight="1">
      <c r="B186" s="19" t="s">
        <v>55</v>
      </c>
      <c r="C186" s="20">
        <v>22</v>
      </c>
      <c r="D186" s="20">
        <v>4</v>
      </c>
      <c r="E186" s="20">
        <v>0</v>
      </c>
      <c r="F186" s="23" t="s">
        <v>340</v>
      </c>
    </row>
    <row r="187" spans="1:6" s="13" customFormat="1" ht="17.100000000000001" customHeight="1">
      <c r="B187" s="19" t="s">
        <v>55</v>
      </c>
      <c r="C187" s="20">
        <v>23</v>
      </c>
      <c r="D187" s="20">
        <v>0</v>
      </c>
      <c r="E187" s="20">
        <v>0</v>
      </c>
      <c r="F187" s="22" t="s">
        <v>341</v>
      </c>
    </row>
    <row r="188" spans="1:6" s="13" customFormat="1" ht="17.100000000000001" customHeight="1">
      <c r="B188" s="19" t="s">
        <v>55</v>
      </c>
      <c r="C188" s="20">
        <v>23</v>
      </c>
      <c r="D188" s="20">
        <v>1</v>
      </c>
      <c r="E188" s="20">
        <v>0</v>
      </c>
      <c r="F188" s="23" t="s">
        <v>342</v>
      </c>
    </row>
    <row r="189" spans="1:6" s="13" customFormat="1" ht="17.100000000000001" customHeight="1">
      <c r="B189" s="19" t="s">
        <v>55</v>
      </c>
      <c r="C189" s="20">
        <v>23</v>
      </c>
      <c r="D189" s="20">
        <v>2</v>
      </c>
      <c r="E189" s="20">
        <v>0</v>
      </c>
      <c r="F189" s="23" t="s">
        <v>343</v>
      </c>
    </row>
    <row r="190" spans="1:6" s="13" customFormat="1" ht="17.100000000000001" customHeight="1">
      <c r="A190" s="58"/>
      <c r="B190" s="19" t="s">
        <v>55</v>
      </c>
      <c r="C190" s="20">
        <v>23</v>
      </c>
      <c r="D190" s="20">
        <v>3</v>
      </c>
      <c r="E190" s="20">
        <v>0</v>
      </c>
      <c r="F190" s="23" t="s">
        <v>344</v>
      </c>
    </row>
    <row r="191" spans="1:6" s="13" customFormat="1" ht="17.100000000000001" customHeight="1">
      <c r="B191" t="s">
        <v>55</v>
      </c>
      <c r="C191">
        <v>23</v>
      </c>
      <c r="D191">
        <v>3</v>
      </c>
      <c r="E191">
        <v>1</v>
      </c>
      <c r="F191" t="s">
        <v>345</v>
      </c>
    </row>
    <row r="192" spans="1:6" s="13" customFormat="1" ht="17.100000000000001" customHeight="1">
      <c r="B192" t="s">
        <v>55</v>
      </c>
      <c r="C192">
        <v>23</v>
      </c>
      <c r="D192">
        <v>3</v>
      </c>
      <c r="E192">
        <v>2</v>
      </c>
      <c r="F192" t="s">
        <v>346</v>
      </c>
    </row>
    <row r="193" spans="1:6" s="13" customFormat="1" ht="17.100000000000001" customHeight="1">
      <c r="B193" t="s">
        <v>55</v>
      </c>
      <c r="C193">
        <v>23</v>
      </c>
      <c r="D193">
        <v>3</v>
      </c>
      <c r="E193">
        <v>3</v>
      </c>
      <c r="F193" t="s">
        <v>347</v>
      </c>
    </row>
    <row r="194" spans="1:6" s="13" customFormat="1" ht="17.100000000000001" customHeight="1">
      <c r="B194" t="s">
        <v>55</v>
      </c>
      <c r="C194">
        <v>23</v>
      </c>
      <c r="D194">
        <v>3</v>
      </c>
      <c r="E194">
        <v>4</v>
      </c>
      <c r="F194" t="s">
        <v>348</v>
      </c>
    </row>
    <row r="195" spans="1:6" s="13" customFormat="1" ht="17.100000000000001" customHeight="1">
      <c r="B195" t="s">
        <v>55</v>
      </c>
      <c r="C195">
        <v>23</v>
      </c>
      <c r="D195">
        <v>3</v>
      </c>
      <c r="E195">
        <v>5</v>
      </c>
      <c r="F195" t="s">
        <v>349</v>
      </c>
    </row>
    <row r="196" spans="1:6" s="13" customFormat="1" ht="33.950000000000003" customHeight="1">
      <c r="A196" s="58"/>
      <c r="B196" s="19" t="s">
        <v>55</v>
      </c>
      <c r="C196" s="20">
        <v>23</v>
      </c>
      <c r="D196" s="20">
        <v>4</v>
      </c>
      <c r="E196" s="20">
        <v>0</v>
      </c>
      <c r="F196" s="23" t="s">
        <v>350</v>
      </c>
    </row>
    <row r="197" spans="1:6" s="13" customFormat="1" ht="17.100000000000001" customHeight="1">
      <c r="B197" t="s">
        <v>55</v>
      </c>
      <c r="C197">
        <v>23</v>
      </c>
      <c r="D197">
        <v>4</v>
      </c>
      <c r="E197">
        <v>1</v>
      </c>
      <c r="F197" t="s">
        <v>351</v>
      </c>
    </row>
    <row r="198" spans="1:6" s="13" customFormat="1" ht="17.100000000000001" customHeight="1">
      <c r="B198" t="s">
        <v>55</v>
      </c>
      <c r="C198">
        <v>23</v>
      </c>
      <c r="D198">
        <v>4</v>
      </c>
      <c r="E198">
        <v>2</v>
      </c>
      <c r="F198" t="s">
        <v>352</v>
      </c>
    </row>
    <row r="199" spans="1:6" s="13" customFormat="1" ht="17.100000000000001" customHeight="1">
      <c r="B199" s="19" t="s">
        <v>55</v>
      </c>
      <c r="C199" s="20">
        <v>23</v>
      </c>
      <c r="D199" s="20">
        <v>5</v>
      </c>
      <c r="E199" s="20">
        <v>0</v>
      </c>
      <c r="F199" s="23" t="s">
        <v>353</v>
      </c>
    </row>
    <row r="200" spans="1:6" s="13" customFormat="1" ht="17.100000000000001" customHeight="1">
      <c r="B200" s="19" t="s">
        <v>55</v>
      </c>
      <c r="C200" s="20">
        <v>23</v>
      </c>
      <c r="D200" s="20">
        <v>6</v>
      </c>
      <c r="E200" s="20">
        <v>0</v>
      </c>
      <c r="F200" s="23" t="s">
        <v>354</v>
      </c>
    </row>
    <row r="201" spans="1:6" s="13" customFormat="1" ht="17.100000000000001" customHeight="1">
      <c r="B201" s="19" t="s">
        <v>55</v>
      </c>
      <c r="C201" s="20">
        <v>23</v>
      </c>
      <c r="D201" s="20">
        <v>7</v>
      </c>
      <c r="E201" s="20">
        <v>0</v>
      </c>
      <c r="F201" s="23" t="s">
        <v>355</v>
      </c>
    </row>
    <row r="202" spans="1:6" s="13" customFormat="1" ht="17.100000000000001" customHeight="1">
      <c r="B202" s="19" t="s">
        <v>55</v>
      </c>
      <c r="C202" s="20">
        <v>23</v>
      </c>
      <c r="D202" s="20">
        <v>8</v>
      </c>
      <c r="E202" s="20">
        <v>0</v>
      </c>
      <c r="F202" s="23" t="s">
        <v>356</v>
      </c>
    </row>
    <row r="203" spans="1:6" s="13" customFormat="1" ht="17.100000000000001" customHeight="1">
      <c r="B203" s="19" t="s">
        <v>55</v>
      </c>
      <c r="C203" s="20">
        <v>24</v>
      </c>
      <c r="D203" s="20">
        <v>0</v>
      </c>
      <c r="E203" s="20">
        <v>0</v>
      </c>
      <c r="F203" s="22" t="s">
        <v>357</v>
      </c>
    </row>
    <row r="204" spans="1:6" s="13" customFormat="1" ht="17.100000000000001" customHeight="1">
      <c r="A204" s="58"/>
      <c r="B204" s="19" t="s">
        <v>55</v>
      </c>
      <c r="C204" s="20">
        <v>24</v>
      </c>
      <c r="D204" s="20">
        <v>1</v>
      </c>
      <c r="E204" s="20">
        <v>0</v>
      </c>
      <c r="F204" s="23" t="s">
        <v>358</v>
      </c>
    </row>
    <row r="205" spans="1:6" s="13" customFormat="1" ht="17.100000000000001" customHeight="1">
      <c r="B205" t="s">
        <v>55</v>
      </c>
      <c r="C205">
        <v>24</v>
      </c>
      <c r="D205">
        <v>1</v>
      </c>
      <c r="E205">
        <v>1</v>
      </c>
      <c r="F205" t="s">
        <v>359</v>
      </c>
    </row>
    <row r="206" spans="1:6" s="13" customFormat="1" ht="17.100000000000001" customHeight="1">
      <c r="B206" t="s">
        <v>55</v>
      </c>
      <c r="C206">
        <v>24</v>
      </c>
      <c r="D206">
        <v>1</v>
      </c>
      <c r="E206">
        <v>2</v>
      </c>
      <c r="F206" t="s">
        <v>360</v>
      </c>
    </row>
    <row r="207" spans="1:6" s="13" customFormat="1" ht="17.100000000000001" customHeight="1">
      <c r="B207" t="s">
        <v>55</v>
      </c>
      <c r="C207">
        <v>24</v>
      </c>
      <c r="D207">
        <v>1</v>
      </c>
      <c r="E207">
        <v>3</v>
      </c>
      <c r="F207" t="s">
        <v>361</v>
      </c>
    </row>
    <row r="208" spans="1:6" s="13" customFormat="1" ht="17.100000000000001" customHeight="1">
      <c r="B208" t="s">
        <v>55</v>
      </c>
      <c r="C208">
        <v>24</v>
      </c>
      <c r="D208">
        <v>1</v>
      </c>
      <c r="E208">
        <v>4</v>
      </c>
      <c r="F208" t="s">
        <v>362</v>
      </c>
    </row>
    <row r="209" spans="1:6" s="13" customFormat="1" ht="17.100000000000001" customHeight="1">
      <c r="B209" t="s">
        <v>55</v>
      </c>
      <c r="C209">
        <v>24</v>
      </c>
      <c r="D209">
        <v>1</v>
      </c>
      <c r="E209">
        <v>5</v>
      </c>
      <c r="F209" t="s">
        <v>363</v>
      </c>
    </row>
    <row r="210" spans="1:6" s="13" customFormat="1" ht="17.100000000000001" customHeight="1">
      <c r="B210" t="s">
        <v>55</v>
      </c>
      <c r="C210">
        <v>24</v>
      </c>
      <c r="D210">
        <v>1</v>
      </c>
      <c r="E210">
        <v>6</v>
      </c>
      <c r="F210" t="s">
        <v>364</v>
      </c>
    </row>
    <row r="211" spans="1:6" s="13" customFormat="1" ht="17.100000000000001" customHeight="1">
      <c r="B211" t="s">
        <v>55</v>
      </c>
      <c r="C211">
        <v>24</v>
      </c>
      <c r="D211">
        <v>1</v>
      </c>
      <c r="E211">
        <v>7</v>
      </c>
      <c r="F211" t="s">
        <v>365</v>
      </c>
    </row>
    <row r="212" spans="1:6" s="13" customFormat="1" ht="17.100000000000001" customHeight="1">
      <c r="B212" s="19" t="s">
        <v>55</v>
      </c>
      <c r="C212" s="20">
        <v>24</v>
      </c>
      <c r="D212" s="20">
        <v>2</v>
      </c>
      <c r="E212" s="20">
        <v>0</v>
      </c>
      <c r="F212" s="23" t="s">
        <v>366</v>
      </c>
    </row>
    <row r="213" spans="1:6" s="13" customFormat="1" ht="17.100000000000001" customHeight="1">
      <c r="B213" s="19" t="s">
        <v>55</v>
      </c>
      <c r="C213" s="20">
        <v>24</v>
      </c>
      <c r="D213" s="20">
        <v>3</v>
      </c>
      <c r="E213" s="20">
        <v>0</v>
      </c>
      <c r="F213" s="23" t="s">
        <v>367</v>
      </c>
    </row>
    <row r="214" spans="1:6" s="13" customFormat="1" ht="17.100000000000001" customHeight="1">
      <c r="B214" s="19" t="s">
        <v>55</v>
      </c>
      <c r="C214" s="20">
        <v>25</v>
      </c>
      <c r="D214" s="20">
        <v>0</v>
      </c>
      <c r="E214" s="20">
        <v>0</v>
      </c>
      <c r="F214" s="22" t="s">
        <v>368</v>
      </c>
    </row>
    <row r="215" spans="1:6" s="13" customFormat="1" ht="17.100000000000001" customHeight="1">
      <c r="B215" s="19" t="s">
        <v>55</v>
      </c>
      <c r="C215" s="20">
        <v>25</v>
      </c>
      <c r="D215" s="20">
        <v>1</v>
      </c>
      <c r="E215" s="20">
        <v>0</v>
      </c>
      <c r="F215" s="23" t="s">
        <v>369</v>
      </c>
    </row>
    <row r="216" spans="1:6" s="13" customFormat="1" ht="17.100000000000001" customHeight="1">
      <c r="B216" t="s">
        <v>55</v>
      </c>
      <c r="C216">
        <v>25</v>
      </c>
      <c r="D216">
        <v>1</v>
      </c>
      <c r="E216">
        <v>1</v>
      </c>
      <c r="F216" t="s">
        <v>370</v>
      </c>
    </row>
    <row r="217" spans="1:6" s="13" customFormat="1" ht="17.100000000000001" customHeight="1">
      <c r="A217" s="59"/>
      <c r="B217" s="19" t="s">
        <v>55</v>
      </c>
      <c r="C217" s="20">
        <v>25</v>
      </c>
      <c r="D217" s="20">
        <v>1</v>
      </c>
      <c r="E217" s="20">
        <v>2</v>
      </c>
      <c r="F217" s="23" t="s">
        <v>371</v>
      </c>
    </row>
    <row r="218" spans="1:6" s="13" customFormat="1" ht="17.100000000000001" customHeight="1">
      <c r="B218" s="19" t="s">
        <v>55</v>
      </c>
      <c r="C218" s="20">
        <v>25</v>
      </c>
      <c r="D218" s="20">
        <v>2</v>
      </c>
      <c r="E218" s="20">
        <v>0</v>
      </c>
      <c r="F218" s="23" t="s">
        <v>372</v>
      </c>
    </row>
    <row r="219" spans="1:6" s="13" customFormat="1" ht="17.100000000000001" customHeight="1">
      <c r="B219" s="19" t="s">
        <v>55</v>
      </c>
      <c r="C219" s="20">
        <v>26</v>
      </c>
      <c r="D219" s="20">
        <v>0</v>
      </c>
      <c r="E219" s="20">
        <v>0</v>
      </c>
      <c r="F219" s="22" t="s">
        <v>373</v>
      </c>
    </row>
    <row r="220" spans="1:6" s="13" customFormat="1" ht="17.100000000000001" customHeight="1">
      <c r="B220" s="19" t="s">
        <v>55</v>
      </c>
      <c r="C220" s="20">
        <v>26</v>
      </c>
      <c r="D220" s="20">
        <v>1</v>
      </c>
      <c r="E220" s="20">
        <v>0</v>
      </c>
      <c r="F220" s="23" t="s">
        <v>374</v>
      </c>
    </row>
    <row r="221" spans="1:6" s="13" customFormat="1" ht="17.100000000000001" customHeight="1">
      <c r="B221" s="19" t="s">
        <v>55</v>
      </c>
      <c r="C221" s="20">
        <v>26</v>
      </c>
      <c r="D221" s="20">
        <v>2</v>
      </c>
      <c r="E221" s="20">
        <v>0</v>
      </c>
      <c r="F221" s="23" t="s">
        <v>375</v>
      </c>
    </row>
    <row r="222" spans="1:6" s="13" customFormat="1" ht="17.100000000000001" customHeight="1">
      <c r="B222" s="19" t="s">
        <v>55</v>
      </c>
      <c r="C222" s="20">
        <v>26</v>
      </c>
      <c r="D222" s="20">
        <v>3</v>
      </c>
      <c r="E222" s="20">
        <v>0</v>
      </c>
      <c r="F222" s="23" t="s">
        <v>376</v>
      </c>
    </row>
    <row r="223" spans="1:6" s="13" customFormat="1" ht="17.100000000000001" customHeight="1">
      <c r="B223" s="19" t="s">
        <v>55</v>
      </c>
      <c r="C223" s="20">
        <v>26</v>
      </c>
      <c r="D223" s="20">
        <v>4</v>
      </c>
      <c r="E223" s="20">
        <v>0</v>
      </c>
      <c r="F223" s="23" t="s">
        <v>377</v>
      </c>
    </row>
    <row r="224" spans="1:6" s="13" customFormat="1" ht="17.100000000000001" customHeight="1">
      <c r="B224" s="19" t="s">
        <v>55</v>
      </c>
      <c r="C224" s="20">
        <v>26</v>
      </c>
      <c r="D224" s="20">
        <v>5</v>
      </c>
      <c r="E224" s="20">
        <v>0</v>
      </c>
      <c r="F224" s="23" t="s">
        <v>378</v>
      </c>
    </row>
    <row r="225" spans="1:6" s="13" customFormat="1" ht="17.100000000000001" customHeight="1">
      <c r="B225" s="19" t="s">
        <v>55</v>
      </c>
      <c r="C225" s="20">
        <v>26</v>
      </c>
      <c r="D225" s="20">
        <v>6</v>
      </c>
      <c r="E225" s="20">
        <v>0</v>
      </c>
      <c r="F225" s="23" t="s">
        <v>379</v>
      </c>
    </row>
    <row r="226" spans="1:6" s="13" customFormat="1" ht="17.100000000000001" customHeight="1">
      <c r="B226" s="19" t="s">
        <v>83</v>
      </c>
      <c r="C226" s="20">
        <v>0</v>
      </c>
      <c r="D226" s="20">
        <v>0</v>
      </c>
      <c r="E226" s="20">
        <v>0</v>
      </c>
      <c r="F226" s="21" t="s">
        <v>380</v>
      </c>
    </row>
    <row r="227" spans="1:6" s="13" customFormat="1" ht="17.100000000000001" customHeight="1">
      <c r="A227" s="15"/>
      <c r="B227" s="19" t="s">
        <v>83</v>
      </c>
      <c r="C227" s="20">
        <v>1</v>
      </c>
      <c r="D227" s="20">
        <v>0</v>
      </c>
      <c r="E227" s="20">
        <v>0</v>
      </c>
      <c r="F227" s="22" t="s">
        <v>381</v>
      </c>
    </row>
    <row r="228" spans="1:6" s="13" customFormat="1" ht="17.100000000000001" customHeight="1">
      <c r="A228" s="15"/>
      <c r="B228" s="19" t="s">
        <v>83</v>
      </c>
      <c r="C228" s="20">
        <v>1</v>
      </c>
      <c r="D228" s="20">
        <v>1</v>
      </c>
      <c r="E228" s="20">
        <v>0</v>
      </c>
      <c r="F228" s="23" t="s">
        <v>382</v>
      </c>
    </row>
    <row r="229" spans="1:6" s="13" customFormat="1" ht="17.100000000000001" customHeight="1">
      <c r="A229" s="15"/>
      <c r="B229" s="19" t="s">
        <v>83</v>
      </c>
      <c r="C229" s="20">
        <v>1</v>
      </c>
      <c r="D229" s="20">
        <v>2</v>
      </c>
      <c r="E229" s="20">
        <v>0</v>
      </c>
      <c r="F229" s="23" t="s">
        <v>383</v>
      </c>
    </row>
    <row r="230" spans="1:6" s="13" customFormat="1" ht="17.100000000000001" customHeight="1">
      <c r="A230" s="15"/>
      <c r="B230" s="19" t="s">
        <v>83</v>
      </c>
      <c r="C230" s="20">
        <v>1</v>
      </c>
      <c r="D230" s="20">
        <v>3</v>
      </c>
      <c r="E230" s="20">
        <v>0</v>
      </c>
      <c r="F230" s="23" t="s">
        <v>384</v>
      </c>
    </row>
    <row r="231" spans="1:6" s="13" customFormat="1" ht="17.100000000000001" customHeight="1">
      <c r="A231" s="15"/>
      <c r="B231" s="19" t="s">
        <v>83</v>
      </c>
      <c r="C231" s="20">
        <v>1</v>
      </c>
      <c r="D231" s="20">
        <v>4</v>
      </c>
      <c r="E231" s="20">
        <v>0</v>
      </c>
      <c r="F231" s="23" t="s">
        <v>385</v>
      </c>
    </row>
    <row r="232" spans="1:6" s="13" customFormat="1" ht="17.100000000000001" customHeight="1">
      <c r="A232" s="15"/>
      <c r="B232" s="19" t="s">
        <v>83</v>
      </c>
      <c r="C232" s="20">
        <v>2</v>
      </c>
      <c r="D232" s="20">
        <v>0</v>
      </c>
      <c r="E232" s="20">
        <v>0</v>
      </c>
      <c r="F232" s="22" t="s">
        <v>386</v>
      </c>
    </row>
    <row r="233" spans="1:6" s="13" customFormat="1" ht="17.100000000000001" customHeight="1">
      <c r="A233" s="15"/>
      <c r="B233" s="19" t="s">
        <v>83</v>
      </c>
      <c r="C233" s="20">
        <v>2</v>
      </c>
      <c r="D233" s="20">
        <v>1</v>
      </c>
      <c r="E233" s="20">
        <v>0</v>
      </c>
      <c r="F233" s="23" t="s">
        <v>387</v>
      </c>
    </row>
    <row r="234" spans="1:6" s="13" customFormat="1" ht="17.100000000000001" customHeight="1">
      <c r="A234" s="15"/>
      <c r="B234" s="19" t="s">
        <v>83</v>
      </c>
      <c r="C234" s="20">
        <v>2</v>
      </c>
      <c r="D234" s="20">
        <v>1</v>
      </c>
      <c r="E234" s="20">
        <v>1</v>
      </c>
      <c r="F234" s="23" t="s">
        <v>388</v>
      </c>
    </row>
    <row r="235" spans="1:6" s="13" customFormat="1" ht="17.100000000000001" customHeight="1">
      <c r="A235" s="15"/>
      <c r="B235" s="19" t="s">
        <v>83</v>
      </c>
      <c r="C235" s="20">
        <v>2</v>
      </c>
      <c r="D235" s="20">
        <v>1</v>
      </c>
      <c r="E235" s="20">
        <v>2</v>
      </c>
      <c r="F235" s="23" t="s">
        <v>389</v>
      </c>
    </row>
    <row r="236" spans="1:6" s="13" customFormat="1" ht="17.100000000000001" customHeight="1">
      <c r="A236" s="15"/>
      <c r="B236" s="19" t="s">
        <v>83</v>
      </c>
      <c r="C236" s="20">
        <v>2</v>
      </c>
      <c r="D236" s="20">
        <v>1</v>
      </c>
      <c r="E236" s="20">
        <v>3</v>
      </c>
      <c r="F236" s="23" t="s">
        <v>390</v>
      </c>
    </row>
    <row r="237" spans="1:6" s="13" customFormat="1" ht="17.100000000000001" customHeight="1">
      <c r="A237" s="15"/>
      <c r="B237" s="19" t="s">
        <v>83</v>
      </c>
      <c r="C237" s="20">
        <v>2</v>
      </c>
      <c r="D237" s="20">
        <v>1</v>
      </c>
      <c r="E237" s="20">
        <v>4</v>
      </c>
      <c r="F237" s="23" t="s">
        <v>391</v>
      </c>
    </row>
    <row r="238" spans="1:6" s="13" customFormat="1" ht="17.100000000000001" customHeight="1">
      <c r="A238" s="15"/>
      <c r="B238" s="19" t="s">
        <v>83</v>
      </c>
      <c r="C238" s="20">
        <v>2</v>
      </c>
      <c r="D238" s="20">
        <v>1</v>
      </c>
      <c r="E238" s="20">
        <v>5</v>
      </c>
      <c r="F238" s="23" t="s">
        <v>392</v>
      </c>
    </row>
    <row r="239" spans="1:6" s="13" customFormat="1" ht="17.100000000000001" customHeight="1">
      <c r="A239" s="15"/>
      <c r="B239" s="19" t="s">
        <v>83</v>
      </c>
      <c r="C239" s="20">
        <v>2</v>
      </c>
      <c r="D239" s="20">
        <v>1</v>
      </c>
      <c r="E239" s="20">
        <v>6</v>
      </c>
      <c r="F239" s="23" t="s">
        <v>393</v>
      </c>
    </row>
    <row r="240" spans="1:6" s="13" customFormat="1" ht="17.100000000000001" customHeight="1">
      <c r="B240" s="19" t="s">
        <v>83</v>
      </c>
      <c r="C240" s="20">
        <v>2</v>
      </c>
      <c r="D240" s="20">
        <v>1</v>
      </c>
      <c r="E240" s="20">
        <v>7</v>
      </c>
      <c r="F240" s="23" t="s">
        <v>394</v>
      </c>
    </row>
    <row r="241" spans="2:6" s="13" customFormat="1" ht="17.100000000000001" customHeight="1">
      <c r="B241" s="19" t="s">
        <v>83</v>
      </c>
      <c r="C241" s="20">
        <v>2</v>
      </c>
      <c r="D241" s="20">
        <v>1</v>
      </c>
      <c r="E241" s="20">
        <v>8</v>
      </c>
      <c r="F241" s="23" t="s">
        <v>395</v>
      </c>
    </row>
    <row r="242" spans="2:6" s="13" customFormat="1" ht="17.100000000000001" customHeight="1">
      <c r="B242" s="19" t="s">
        <v>83</v>
      </c>
      <c r="C242" s="20">
        <v>2</v>
      </c>
      <c r="D242" s="20">
        <v>1</v>
      </c>
      <c r="E242" s="20">
        <v>9</v>
      </c>
      <c r="F242" s="23" t="s">
        <v>396</v>
      </c>
    </row>
    <row r="243" spans="2:6" s="13" customFormat="1" ht="17.100000000000001" customHeight="1">
      <c r="B243" s="19" t="s">
        <v>83</v>
      </c>
      <c r="C243" s="20">
        <v>2</v>
      </c>
      <c r="D243" s="20">
        <v>1</v>
      </c>
      <c r="E243" s="20">
        <v>10</v>
      </c>
      <c r="F243" s="23" t="s">
        <v>397</v>
      </c>
    </row>
    <row r="244" spans="2:6" s="12" customFormat="1" ht="17.100000000000001" customHeight="1">
      <c r="B244" s="19" t="s">
        <v>83</v>
      </c>
      <c r="C244" s="20">
        <v>2</v>
      </c>
      <c r="D244" s="20">
        <v>1</v>
      </c>
      <c r="E244" s="20">
        <v>11</v>
      </c>
      <c r="F244" s="23" t="s">
        <v>398</v>
      </c>
    </row>
    <row r="245" spans="2:6" s="13" customFormat="1" ht="17.100000000000001" customHeight="1">
      <c r="B245" s="19" t="s">
        <v>83</v>
      </c>
      <c r="C245" s="20">
        <v>2</v>
      </c>
      <c r="D245" s="20">
        <v>2</v>
      </c>
      <c r="E245" s="20">
        <v>0</v>
      </c>
      <c r="F245" s="23" t="s">
        <v>399</v>
      </c>
    </row>
    <row r="246" spans="2:6" s="13" customFormat="1" ht="17.100000000000001" customHeight="1">
      <c r="B246" s="19" t="s">
        <v>83</v>
      </c>
      <c r="C246" s="20">
        <v>2</v>
      </c>
      <c r="D246" s="20">
        <v>3</v>
      </c>
      <c r="E246" s="20">
        <v>0</v>
      </c>
      <c r="F246" s="23" t="s">
        <v>400</v>
      </c>
    </row>
    <row r="247" spans="2:6" s="13" customFormat="1" ht="17.100000000000001" customHeight="1">
      <c r="B247" s="19" t="s">
        <v>83</v>
      </c>
      <c r="C247" s="20">
        <v>3</v>
      </c>
      <c r="D247" s="20">
        <v>0</v>
      </c>
      <c r="E247" s="20">
        <v>0</v>
      </c>
      <c r="F247" s="22" t="s">
        <v>401</v>
      </c>
    </row>
    <row r="248" spans="2:6" s="13" customFormat="1" ht="17.100000000000001" customHeight="1">
      <c r="B248" s="19" t="s">
        <v>83</v>
      </c>
      <c r="C248" s="20">
        <v>3</v>
      </c>
      <c r="D248" s="20">
        <v>1</v>
      </c>
      <c r="E248" s="20">
        <v>0</v>
      </c>
      <c r="F248" s="23" t="s">
        <v>402</v>
      </c>
    </row>
    <row r="249" spans="2:6" s="12" customFormat="1" ht="17.100000000000001" customHeight="1">
      <c r="B249" s="24" t="s">
        <v>83</v>
      </c>
      <c r="C249" s="25">
        <v>3</v>
      </c>
      <c r="D249" s="25">
        <v>2</v>
      </c>
      <c r="E249" s="25">
        <v>0</v>
      </c>
      <c r="F249" s="23" t="s">
        <v>403</v>
      </c>
    </row>
    <row r="250" spans="2:6" s="13" customFormat="1" ht="17.100000000000001" customHeight="1">
      <c r="B250" s="24" t="s">
        <v>83</v>
      </c>
      <c r="C250" s="25">
        <v>3</v>
      </c>
      <c r="D250" s="25">
        <v>3</v>
      </c>
      <c r="E250" s="25">
        <v>0</v>
      </c>
      <c r="F250" s="23" t="s">
        <v>404</v>
      </c>
    </row>
    <row r="251" spans="2:6" s="13" customFormat="1" ht="17.100000000000001" customHeight="1">
      <c r="B251" s="19" t="s">
        <v>83</v>
      </c>
      <c r="C251" s="20">
        <v>3</v>
      </c>
      <c r="D251" s="20">
        <v>4</v>
      </c>
      <c r="E251" s="20">
        <v>0</v>
      </c>
      <c r="F251" s="23" t="s">
        <v>405</v>
      </c>
    </row>
    <row r="252" spans="2:6" s="13" customFormat="1" ht="17.100000000000001" customHeight="1">
      <c r="B252" s="19" t="s">
        <v>83</v>
      </c>
      <c r="C252" s="20">
        <v>4</v>
      </c>
      <c r="D252" s="20">
        <v>0</v>
      </c>
      <c r="E252" s="20">
        <v>0</v>
      </c>
      <c r="F252" s="22" t="s">
        <v>406</v>
      </c>
    </row>
    <row r="253" spans="2:6" s="13" customFormat="1" ht="17.100000000000001" customHeight="1">
      <c r="B253" s="19" t="s">
        <v>83</v>
      </c>
      <c r="C253" s="20">
        <v>4</v>
      </c>
      <c r="D253" s="20">
        <v>1</v>
      </c>
      <c r="E253" s="20">
        <v>0</v>
      </c>
      <c r="F253" s="23" t="s">
        <v>407</v>
      </c>
    </row>
    <row r="254" spans="2:6" s="13" customFormat="1" ht="17.100000000000001" customHeight="1">
      <c r="B254" s="19" t="s">
        <v>83</v>
      </c>
      <c r="C254" s="20">
        <v>4</v>
      </c>
      <c r="D254" s="20">
        <v>1</v>
      </c>
      <c r="E254" s="20">
        <v>1</v>
      </c>
      <c r="F254" s="23" t="s">
        <v>408</v>
      </c>
    </row>
    <row r="255" spans="2:6" s="13" customFormat="1" ht="17.100000000000001" customHeight="1">
      <c r="B255" s="19" t="s">
        <v>83</v>
      </c>
      <c r="C255" s="20">
        <v>4</v>
      </c>
      <c r="D255" s="20">
        <v>1</v>
      </c>
      <c r="E255" s="20">
        <v>2</v>
      </c>
      <c r="F255" s="23" t="s">
        <v>409</v>
      </c>
    </row>
    <row r="256" spans="2:6" s="13" customFormat="1" ht="17.100000000000001" customHeight="1">
      <c r="B256" s="19" t="s">
        <v>83</v>
      </c>
      <c r="C256" s="20">
        <v>4</v>
      </c>
      <c r="D256" s="20">
        <v>1</v>
      </c>
      <c r="E256" s="20">
        <v>3</v>
      </c>
      <c r="F256" s="23" t="s">
        <v>410</v>
      </c>
    </row>
    <row r="257" spans="2:6" s="13" customFormat="1" ht="17.100000000000001" customHeight="1">
      <c r="B257" s="19" t="s">
        <v>83</v>
      </c>
      <c r="C257" s="20">
        <v>4</v>
      </c>
      <c r="D257" s="20">
        <v>1</v>
      </c>
      <c r="E257" s="20">
        <v>4</v>
      </c>
      <c r="F257" s="23" t="s">
        <v>411</v>
      </c>
    </row>
    <row r="258" spans="2:6" s="13" customFormat="1" ht="17.100000000000001" customHeight="1">
      <c r="B258" s="19" t="s">
        <v>83</v>
      </c>
      <c r="C258" s="20">
        <v>4</v>
      </c>
      <c r="D258" s="20">
        <v>1</v>
      </c>
      <c r="E258" s="20">
        <v>5</v>
      </c>
      <c r="F258" s="23" t="s">
        <v>412</v>
      </c>
    </row>
    <row r="259" spans="2:6" s="13" customFormat="1" ht="17.100000000000001" customHeight="1">
      <c r="B259" s="19" t="s">
        <v>83</v>
      </c>
      <c r="C259" s="20">
        <v>4</v>
      </c>
      <c r="D259" s="20">
        <v>1</v>
      </c>
      <c r="E259" s="20">
        <v>6</v>
      </c>
      <c r="F259" s="23" t="s">
        <v>413</v>
      </c>
    </row>
    <row r="260" spans="2:6" s="13" customFormat="1" ht="17.100000000000001" customHeight="1">
      <c r="B260" s="19" t="s">
        <v>83</v>
      </c>
      <c r="C260" s="20">
        <v>4</v>
      </c>
      <c r="D260" s="20">
        <v>1</v>
      </c>
      <c r="E260" s="20">
        <v>7</v>
      </c>
      <c r="F260" s="23" t="s">
        <v>414</v>
      </c>
    </row>
    <row r="261" spans="2:6" s="13" customFormat="1" ht="17.100000000000001" customHeight="1">
      <c r="B261" s="19" t="s">
        <v>83</v>
      </c>
      <c r="C261" s="20">
        <v>4</v>
      </c>
      <c r="D261" s="20">
        <v>1</v>
      </c>
      <c r="E261" s="20">
        <v>8</v>
      </c>
      <c r="F261" s="23" t="s">
        <v>415</v>
      </c>
    </row>
    <row r="262" spans="2:6" s="13" customFormat="1" ht="17.100000000000001" customHeight="1">
      <c r="B262" s="19" t="s">
        <v>83</v>
      </c>
      <c r="C262" s="20">
        <v>4</v>
      </c>
      <c r="D262" s="20">
        <v>1</v>
      </c>
      <c r="E262" s="20">
        <v>9</v>
      </c>
      <c r="F262" s="23" t="s">
        <v>416</v>
      </c>
    </row>
    <row r="263" spans="2:6" s="13" customFormat="1" ht="17.100000000000001" customHeight="1">
      <c r="B263" s="19" t="s">
        <v>83</v>
      </c>
      <c r="C263" s="20">
        <v>4</v>
      </c>
      <c r="D263" s="20">
        <v>1</v>
      </c>
      <c r="E263" s="20">
        <v>10</v>
      </c>
      <c r="F263" s="23" t="s">
        <v>417</v>
      </c>
    </row>
    <row r="264" spans="2:6" s="12" customFormat="1" ht="17.100000000000001" customHeight="1">
      <c r="B264" s="19" t="s">
        <v>83</v>
      </c>
      <c r="C264" s="20">
        <v>4</v>
      </c>
      <c r="D264" s="20">
        <v>1</v>
      </c>
      <c r="E264" s="20">
        <v>11</v>
      </c>
      <c r="F264" s="23" t="s">
        <v>418</v>
      </c>
    </row>
    <row r="265" spans="2:6" s="13" customFormat="1" ht="17.100000000000001" customHeight="1">
      <c r="B265" s="19" t="s">
        <v>83</v>
      </c>
      <c r="C265" s="20">
        <v>4</v>
      </c>
      <c r="D265" s="20">
        <v>2</v>
      </c>
      <c r="E265" s="20">
        <v>0</v>
      </c>
      <c r="F265" s="23" t="s">
        <v>419</v>
      </c>
    </row>
    <row r="266" spans="2:6" s="13" customFormat="1" ht="17.100000000000001" customHeight="1">
      <c r="B266" s="19" t="s">
        <v>83</v>
      </c>
      <c r="C266" s="20">
        <v>4</v>
      </c>
      <c r="D266" s="20">
        <v>3</v>
      </c>
      <c r="E266" s="20">
        <v>0</v>
      </c>
      <c r="F266" s="23" t="s">
        <v>420</v>
      </c>
    </row>
    <row r="267" spans="2:6" s="13" customFormat="1" ht="17.100000000000001" customHeight="1">
      <c r="B267" s="19" t="s">
        <v>83</v>
      </c>
      <c r="C267" s="20">
        <v>4</v>
      </c>
      <c r="D267" s="20">
        <v>4</v>
      </c>
      <c r="E267" s="20">
        <v>0</v>
      </c>
      <c r="F267" s="23" t="s">
        <v>421</v>
      </c>
    </row>
    <row r="268" spans="2:6" s="13" customFormat="1" ht="17.100000000000001" customHeight="1">
      <c r="B268" s="19" t="s">
        <v>83</v>
      </c>
      <c r="C268" s="20">
        <v>4</v>
      </c>
      <c r="D268" s="20">
        <v>5</v>
      </c>
      <c r="E268" s="20">
        <v>0</v>
      </c>
      <c r="F268" s="23" t="s">
        <v>422</v>
      </c>
    </row>
    <row r="269" spans="2:6" s="13" customFormat="1" ht="17.100000000000001" customHeight="1">
      <c r="B269" s="19" t="s">
        <v>83</v>
      </c>
      <c r="C269" s="20">
        <v>4</v>
      </c>
      <c r="D269" s="20">
        <v>6</v>
      </c>
      <c r="E269" s="20">
        <v>0</v>
      </c>
      <c r="F269" s="23" t="s">
        <v>423</v>
      </c>
    </row>
    <row r="270" spans="2:6" s="13" customFormat="1" ht="17.100000000000001" customHeight="1">
      <c r="B270" s="19" t="s">
        <v>83</v>
      </c>
      <c r="C270" s="20">
        <v>4</v>
      </c>
      <c r="D270" s="20">
        <v>7</v>
      </c>
      <c r="E270" s="20">
        <v>0</v>
      </c>
      <c r="F270" s="23" t="s">
        <v>424</v>
      </c>
    </row>
    <row r="271" spans="2:6" s="13" customFormat="1" ht="17.100000000000001" customHeight="1">
      <c r="B271" s="19" t="s">
        <v>83</v>
      </c>
      <c r="C271" s="20">
        <v>4</v>
      </c>
      <c r="D271" s="20">
        <v>8</v>
      </c>
      <c r="E271" s="20">
        <v>0</v>
      </c>
      <c r="F271" s="23" t="s">
        <v>425</v>
      </c>
    </row>
    <row r="272" spans="2:6" s="13" customFormat="1" ht="17.100000000000001" customHeight="1">
      <c r="B272" s="19" t="s">
        <v>83</v>
      </c>
      <c r="C272" s="20">
        <v>5</v>
      </c>
      <c r="D272" s="20">
        <v>0</v>
      </c>
      <c r="E272" s="20">
        <v>0</v>
      </c>
      <c r="F272" s="22" t="s">
        <v>426</v>
      </c>
    </row>
    <row r="273" spans="2:6" s="13" customFormat="1" ht="17.100000000000001" customHeight="1">
      <c r="B273" s="19" t="s">
        <v>83</v>
      </c>
      <c r="C273" s="20">
        <v>5</v>
      </c>
      <c r="D273" s="20">
        <v>1</v>
      </c>
      <c r="E273" s="20">
        <v>0</v>
      </c>
      <c r="F273" s="23" t="s">
        <v>427</v>
      </c>
    </row>
    <row r="274" spans="2:6" s="13" customFormat="1" ht="17.100000000000001" customHeight="1">
      <c r="B274" s="19" t="s">
        <v>83</v>
      </c>
      <c r="C274" s="20">
        <v>5</v>
      </c>
      <c r="D274" s="20">
        <v>2</v>
      </c>
      <c r="E274" s="20">
        <v>0</v>
      </c>
      <c r="F274" s="23" t="s">
        <v>428</v>
      </c>
    </row>
    <row r="275" spans="2:6" s="13" customFormat="1" ht="17.100000000000001" customHeight="1">
      <c r="B275" s="19" t="s">
        <v>83</v>
      </c>
      <c r="C275" s="20">
        <v>5</v>
      </c>
      <c r="D275" s="20">
        <v>3</v>
      </c>
      <c r="E275" s="20">
        <v>0</v>
      </c>
      <c r="F275" s="23" t="s">
        <v>429</v>
      </c>
    </row>
    <row r="276" spans="2:6" s="13" customFormat="1" ht="17.100000000000001" customHeight="1">
      <c r="B276" s="19" t="s">
        <v>83</v>
      </c>
      <c r="C276" s="20">
        <v>5</v>
      </c>
      <c r="D276" s="20">
        <v>4</v>
      </c>
      <c r="E276" s="20">
        <v>0</v>
      </c>
      <c r="F276" s="23" t="s">
        <v>430</v>
      </c>
    </row>
    <row r="277" spans="2:6" s="13" customFormat="1" ht="17.100000000000001" customHeight="1">
      <c r="B277" s="19" t="s">
        <v>83</v>
      </c>
      <c r="C277" s="20">
        <v>5</v>
      </c>
      <c r="D277" s="20">
        <v>5</v>
      </c>
      <c r="E277" s="20">
        <v>0</v>
      </c>
      <c r="F277" s="23" t="s">
        <v>431</v>
      </c>
    </row>
    <row r="278" spans="2:6" s="13" customFormat="1" ht="17.100000000000001" customHeight="1">
      <c r="B278" s="19" t="s">
        <v>83</v>
      </c>
      <c r="C278" s="20">
        <v>5</v>
      </c>
      <c r="D278" s="20">
        <v>6</v>
      </c>
      <c r="E278" s="20">
        <v>0</v>
      </c>
      <c r="F278" s="23" t="s">
        <v>432</v>
      </c>
    </row>
    <row r="279" spans="2:6" s="13" customFormat="1" ht="17.100000000000001" customHeight="1">
      <c r="B279" s="19" t="s">
        <v>83</v>
      </c>
      <c r="C279" s="20">
        <v>6</v>
      </c>
      <c r="D279" s="20">
        <v>0</v>
      </c>
      <c r="E279" s="20">
        <v>0</v>
      </c>
      <c r="F279" s="22" t="s">
        <v>433</v>
      </c>
    </row>
    <row r="280" spans="2:6" s="13" customFormat="1" ht="17.100000000000001" customHeight="1">
      <c r="B280" s="19" t="s">
        <v>83</v>
      </c>
      <c r="C280" s="20">
        <v>6</v>
      </c>
      <c r="D280" s="20">
        <v>1</v>
      </c>
      <c r="E280" s="20">
        <v>0</v>
      </c>
      <c r="F280" s="23" t="s">
        <v>434</v>
      </c>
    </row>
    <row r="281" spans="2:6" s="13" customFormat="1" ht="17.100000000000001" customHeight="1">
      <c r="B281" s="19" t="s">
        <v>83</v>
      </c>
      <c r="C281" s="20">
        <v>6</v>
      </c>
      <c r="D281" s="20">
        <v>2</v>
      </c>
      <c r="E281" s="20">
        <v>0</v>
      </c>
      <c r="F281" s="23" t="s">
        <v>435</v>
      </c>
    </row>
    <row r="282" spans="2:6" s="13" customFormat="1" ht="17.100000000000001" customHeight="1">
      <c r="B282" s="19" t="s">
        <v>83</v>
      </c>
      <c r="C282" s="20">
        <v>6</v>
      </c>
      <c r="D282" s="20">
        <v>3</v>
      </c>
      <c r="E282" s="20">
        <v>0</v>
      </c>
      <c r="F282" s="23" t="s">
        <v>436</v>
      </c>
    </row>
    <row r="283" spans="2:6" s="13" customFormat="1" ht="17.100000000000001" customHeight="1">
      <c r="B283" s="19" t="s">
        <v>83</v>
      </c>
      <c r="C283" s="20">
        <v>6</v>
      </c>
      <c r="D283" s="20">
        <v>4</v>
      </c>
      <c r="E283" s="20">
        <v>0</v>
      </c>
      <c r="F283" s="23" t="s">
        <v>437</v>
      </c>
    </row>
    <row r="284" spans="2:6" s="13" customFormat="1" ht="17.100000000000001" customHeight="1">
      <c r="B284" s="19" t="s">
        <v>83</v>
      </c>
      <c r="C284" s="20">
        <v>7</v>
      </c>
      <c r="D284" s="20">
        <v>0</v>
      </c>
      <c r="E284" s="20">
        <v>0</v>
      </c>
      <c r="F284" s="22" t="s">
        <v>438</v>
      </c>
    </row>
    <row r="285" spans="2:6" s="13" customFormat="1" ht="17.100000000000001" customHeight="1">
      <c r="B285" s="19" t="s">
        <v>83</v>
      </c>
      <c r="C285" s="20">
        <v>7</v>
      </c>
      <c r="D285" s="20">
        <v>1</v>
      </c>
      <c r="E285" s="20">
        <v>0</v>
      </c>
      <c r="F285" s="23" t="s">
        <v>439</v>
      </c>
    </row>
    <row r="286" spans="2:6" s="13" customFormat="1" ht="17.100000000000001" customHeight="1">
      <c r="B286" s="19" t="s">
        <v>83</v>
      </c>
      <c r="C286" s="20">
        <v>7</v>
      </c>
      <c r="D286" s="20">
        <v>2</v>
      </c>
      <c r="E286" s="20">
        <v>0</v>
      </c>
      <c r="F286" s="23" t="s">
        <v>440</v>
      </c>
    </row>
    <row r="287" spans="2:6" s="13" customFormat="1" ht="17.100000000000001" customHeight="1">
      <c r="B287" s="19" t="s">
        <v>83</v>
      </c>
      <c r="C287" s="20">
        <v>7</v>
      </c>
      <c r="D287" s="20">
        <v>3</v>
      </c>
      <c r="E287" s="20">
        <v>0</v>
      </c>
      <c r="F287" s="23" t="s">
        <v>441</v>
      </c>
    </row>
    <row r="288" spans="2:6" s="13" customFormat="1" ht="17.100000000000001" customHeight="1">
      <c r="B288" s="19" t="s">
        <v>83</v>
      </c>
      <c r="C288" s="20">
        <v>7</v>
      </c>
      <c r="D288" s="20">
        <v>4</v>
      </c>
      <c r="E288" s="20">
        <v>0</v>
      </c>
      <c r="F288" s="23" t="s">
        <v>442</v>
      </c>
    </row>
    <row r="289" spans="2:6" s="13" customFormat="1" ht="17.100000000000001" customHeight="1">
      <c r="B289" s="19" t="s">
        <v>83</v>
      </c>
      <c r="C289" s="20">
        <v>7</v>
      </c>
      <c r="D289" s="20">
        <v>5</v>
      </c>
      <c r="E289" s="20">
        <v>0</v>
      </c>
      <c r="F289" s="23" t="s">
        <v>443</v>
      </c>
    </row>
    <row r="290" spans="2:6" s="13" customFormat="1" ht="17.100000000000001" customHeight="1">
      <c r="B290" s="19" t="s">
        <v>83</v>
      </c>
      <c r="C290" s="20">
        <v>7</v>
      </c>
      <c r="D290" s="20">
        <v>6</v>
      </c>
      <c r="E290" s="20">
        <v>0</v>
      </c>
      <c r="F290" s="23" t="s">
        <v>444</v>
      </c>
    </row>
    <row r="291" spans="2:6" s="13" customFormat="1" ht="17.100000000000001" customHeight="1">
      <c r="B291" s="19" t="s">
        <v>83</v>
      </c>
      <c r="C291" s="20">
        <v>7</v>
      </c>
      <c r="D291" s="20">
        <v>7</v>
      </c>
      <c r="E291" s="20">
        <v>0</v>
      </c>
      <c r="F291" s="23" t="s">
        <v>445</v>
      </c>
    </row>
    <row r="292" spans="2:6" s="13" customFormat="1" ht="17.100000000000001" customHeight="1">
      <c r="B292" s="19" t="s">
        <v>92</v>
      </c>
      <c r="C292" s="20">
        <v>0</v>
      </c>
      <c r="D292" s="20">
        <v>0</v>
      </c>
      <c r="E292" s="20">
        <v>0</v>
      </c>
      <c r="F292" s="21" t="s">
        <v>446</v>
      </c>
    </row>
    <row r="293" spans="2:6" s="13" customFormat="1" ht="17.100000000000001" customHeight="1">
      <c r="B293" s="19" t="s">
        <v>92</v>
      </c>
      <c r="C293" s="20">
        <v>1</v>
      </c>
      <c r="D293" s="20">
        <v>0</v>
      </c>
      <c r="E293" s="20">
        <v>0</v>
      </c>
      <c r="F293" s="22" t="s">
        <v>447</v>
      </c>
    </row>
    <row r="294" spans="2:6" s="13" customFormat="1" ht="17.100000000000001" customHeight="1">
      <c r="B294" s="19" t="s">
        <v>92</v>
      </c>
      <c r="C294" s="20">
        <v>1</v>
      </c>
      <c r="D294" s="20">
        <v>1</v>
      </c>
      <c r="E294" s="20">
        <v>0</v>
      </c>
      <c r="F294" s="23" t="s">
        <v>448</v>
      </c>
    </row>
    <row r="295" spans="2:6" s="13" customFormat="1" ht="17.100000000000001" customHeight="1">
      <c r="B295" s="19" t="s">
        <v>92</v>
      </c>
      <c r="C295" s="20">
        <v>1</v>
      </c>
      <c r="D295" s="20">
        <v>2</v>
      </c>
      <c r="E295" s="20">
        <v>0</v>
      </c>
      <c r="F295" s="23" t="s">
        <v>449</v>
      </c>
    </row>
    <row r="296" spans="2:6" s="13" customFormat="1" ht="17.100000000000001" customHeight="1">
      <c r="B296" s="19" t="s">
        <v>92</v>
      </c>
      <c r="C296" s="20">
        <v>2</v>
      </c>
      <c r="D296" s="20">
        <v>0</v>
      </c>
      <c r="E296" s="20">
        <v>0</v>
      </c>
      <c r="F296" s="22" t="s">
        <v>450</v>
      </c>
    </row>
    <row r="297" spans="2:6" s="13" customFormat="1" ht="17.100000000000001" customHeight="1">
      <c r="B297" s="19" t="s">
        <v>92</v>
      </c>
      <c r="C297" s="20">
        <v>2</v>
      </c>
      <c r="D297" s="20">
        <v>1</v>
      </c>
      <c r="E297" s="20">
        <v>0</v>
      </c>
      <c r="F297" s="23" t="s">
        <v>451</v>
      </c>
    </row>
    <row r="298" spans="2:6" s="13" customFormat="1" ht="17.100000000000001" customHeight="1">
      <c r="B298" s="19" t="s">
        <v>92</v>
      </c>
      <c r="C298" s="20">
        <v>2</v>
      </c>
      <c r="D298" s="20">
        <v>1</v>
      </c>
      <c r="E298" s="20">
        <v>1</v>
      </c>
      <c r="F298" s="23" t="s">
        <v>452</v>
      </c>
    </row>
    <row r="299" spans="2:6" s="13" customFormat="1" ht="17.100000000000001" customHeight="1">
      <c r="B299" s="19" t="s">
        <v>92</v>
      </c>
      <c r="C299" s="20">
        <v>2</v>
      </c>
      <c r="D299" s="20">
        <v>1</v>
      </c>
      <c r="E299" s="20">
        <v>2</v>
      </c>
      <c r="F299" s="23" t="s">
        <v>453</v>
      </c>
    </row>
    <row r="300" spans="2:6" s="13" customFormat="1" ht="17.100000000000001" customHeight="1">
      <c r="B300" s="19" t="s">
        <v>92</v>
      </c>
      <c r="C300" s="20">
        <v>2</v>
      </c>
      <c r="D300" s="20">
        <v>1</v>
      </c>
      <c r="E300" s="20">
        <v>3</v>
      </c>
      <c r="F300" s="23" t="s">
        <v>454</v>
      </c>
    </row>
    <row r="301" spans="2:6" s="13" customFormat="1" ht="17.100000000000001" customHeight="1">
      <c r="B301" s="19" t="s">
        <v>92</v>
      </c>
      <c r="C301" s="20">
        <v>2</v>
      </c>
      <c r="D301" s="20">
        <v>1</v>
      </c>
      <c r="E301" s="20">
        <v>4</v>
      </c>
      <c r="F301" s="23" t="s">
        <v>455</v>
      </c>
    </row>
    <row r="302" spans="2:6" s="13" customFormat="1" ht="17.100000000000001" customHeight="1">
      <c r="B302" s="19" t="s">
        <v>92</v>
      </c>
      <c r="C302" s="20">
        <v>2</v>
      </c>
      <c r="D302" s="20">
        <v>2</v>
      </c>
      <c r="E302" s="20">
        <v>0</v>
      </c>
      <c r="F302" s="23" t="s">
        <v>456</v>
      </c>
    </row>
    <row r="303" spans="2:6" s="13" customFormat="1" ht="17.100000000000001" customHeight="1">
      <c r="B303" s="19" t="s">
        <v>92</v>
      </c>
      <c r="C303" s="20">
        <v>3</v>
      </c>
      <c r="D303" s="20">
        <v>0</v>
      </c>
      <c r="E303" s="20">
        <v>0</v>
      </c>
      <c r="F303" s="22" t="s">
        <v>457</v>
      </c>
    </row>
    <row r="304" spans="2:6" s="13" customFormat="1" ht="17.100000000000001" customHeight="1">
      <c r="B304" s="19" t="s">
        <v>92</v>
      </c>
      <c r="C304" s="20">
        <v>3</v>
      </c>
      <c r="D304" s="20">
        <v>1</v>
      </c>
      <c r="E304" s="20">
        <v>0</v>
      </c>
      <c r="F304" s="23" t="s">
        <v>458</v>
      </c>
    </row>
    <row r="305" spans="2:6" s="13" customFormat="1" ht="17.100000000000001" customHeight="1">
      <c r="B305" s="19" t="s">
        <v>92</v>
      </c>
      <c r="C305" s="20">
        <v>3</v>
      </c>
      <c r="D305" s="20">
        <v>2</v>
      </c>
      <c r="E305" s="20">
        <v>0</v>
      </c>
      <c r="F305" s="23" t="s">
        <v>459</v>
      </c>
    </row>
    <row r="306" spans="2:6" s="13" customFormat="1" ht="17.100000000000001" customHeight="1">
      <c r="B306" s="19" t="s">
        <v>92</v>
      </c>
      <c r="C306" s="20">
        <v>4</v>
      </c>
      <c r="D306" s="20">
        <v>0</v>
      </c>
      <c r="E306" s="20">
        <v>0</v>
      </c>
      <c r="F306" s="22" t="s">
        <v>460</v>
      </c>
    </row>
    <row r="307" spans="2:6" s="13" customFormat="1" ht="17.100000000000001" customHeight="1">
      <c r="B307" s="19" t="s">
        <v>92</v>
      </c>
      <c r="C307" s="20">
        <v>4</v>
      </c>
      <c r="D307" s="20">
        <v>1</v>
      </c>
      <c r="E307" s="20">
        <v>0</v>
      </c>
      <c r="F307" s="23" t="s">
        <v>461</v>
      </c>
    </row>
    <row r="308" spans="2:6" s="13" customFormat="1" ht="17.100000000000001" customHeight="1">
      <c r="B308" s="19" t="s">
        <v>92</v>
      </c>
      <c r="C308" s="20">
        <v>5</v>
      </c>
      <c r="D308" s="20">
        <v>0</v>
      </c>
      <c r="E308" s="20">
        <v>0</v>
      </c>
      <c r="F308" s="22" t="s">
        <v>462</v>
      </c>
    </row>
    <row r="309" spans="2:6" s="13" customFormat="1" ht="17.100000000000001" customHeight="1">
      <c r="B309" s="19" t="s">
        <v>92</v>
      </c>
      <c r="C309" s="20">
        <v>5</v>
      </c>
      <c r="D309" s="20">
        <v>1</v>
      </c>
      <c r="E309" s="20">
        <v>0</v>
      </c>
      <c r="F309" s="23" t="s">
        <v>463</v>
      </c>
    </row>
    <row r="310" spans="2:6" s="13" customFormat="1" ht="17.100000000000001" customHeight="1">
      <c r="B310" s="19" t="s">
        <v>92</v>
      </c>
      <c r="C310" s="20">
        <v>5</v>
      </c>
      <c r="D310" s="20">
        <v>2</v>
      </c>
      <c r="E310" s="20">
        <v>0</v>
      </c>
      <c r="F310" s="23" t="s">
        <v>464</v>
      </c>
    </row>
    <row r="311" spans="2:6" s="13" customFormat="1" ht="17.100000000000001" customHeight="1">
      <c r="B311" s="19" t="s">
        <v>92</v>
      </c>
      <c r="C311" s="20">
        <v>5</v>
      </c>
      <c r="D311" s="20">
        <v>3</v>
      </c>
      <c r="E311" s="20">
        <v>0</v>
      </c>
      <c r="F311" s="23" t="s">
        <v>465</v>
      </c>
    </row>
    <row r="312" spans="2:6" s="13" customFormat="1" ht="17.100000000000001" customHeight="1">
      <c r="B312" s="19" t="s">
        <v>96</v>
      </c>
      <c r="C312" s="20">
        <v>0</v>
      </c>
      <c r="D312" s="20">
        <v>0</v>
      </c>
      <c r="E312" s="20">
        <v>0</v>
      </c>
      <c r="F312" s="21" t="s">
        <v>466</v>
      </c>
    </row>
    <row r="313" spans="2:6" s="13" customFormat="1" ht="17.100000000000001" customHeight="1">
      <c r="B313" s="19" t="s">
        <v>96</v>
      </c>
      <c r="C313" s="20">
        <v>1</v>
      </c>
      <c r="D313" s="20">
        <v>0</v>
      </c>
      <c r="E313" s="20">
        <v>0</v>
      </c>
      <c r="F313" s="22" t="s">
        <v>467</v>
      </c>
    </row>
    <row r="314" spans="2:6" s="13" customFormat="1" ht="17.100000000000001" customHeight="1">
      <c r="B314" s="19" t="s">
        <v>96</v>
      </c>
      <c r="C314" s="20">
        <v>1</v>
      </c>
      <c r="D314" s="20">
        <v>1</v>
      </c>
      <c r="E314" s="20">
        <v>0</v>
      </c>
      <c r="F314" s="23" t="s">
        <v>468</v>
      </c>
    </row>
    <row r="315" spans="2:6" s="13" customFormat="1" ht="17.100000000000001" customHeight="1">
      <c r="B315" s="19" t="s">
        <v>96</v>
      </c>
      <c r="C315" s="20">
        <v>1</v>
      </c>
      <c r="D315" s="20">
        <v>2</v>
      </c>
      <c r="E315" s="20">
        <v>0</v>
      </c>
      <c r="F315" s="23" t="s">
        <v>469</v>
      </c>
    </row>
    <row r="316" spans="2:6" s="13" customFormat="1" ht="17.100000000000001" customHeight="1">
      <c r="B316" s="19" t="s">
        <v>96</v>
      </c>
      <c r="C316" s="20">
        <v>2</v>
      </c>
      <c r="D316" s="20">
        <v>0</v>
      </c>
      <c r="E316" s="20">
        <v>0</v>
      </c>
      <c r="F316" s="22" t="s">
        <v>470</v>
      </c>
    </row>
    <row r="317" spans="2:6" s="13" customFormat="1" ht="17.100000000000001" customHeight="1">
      <c r="B317" s="19" t="s">
        <v>96</v>
      </c>
      <c r="C317" s="20">
        <v>2</v>
      </c>
      <c r="D317" s="20">
        <v>1</v>
      </c>
      <c r="E317" s="20">
        <v>0</v>
      </c>
      <c r="F317" s="23" t="s">
        <v>471</v>
      </c>
    </row>
    <row r="318" spans="2:6" s="13" customFormat="1" ht="17.100000000000001" customHeight="1">
      <c r="B318" s="19" t="s">
        <v>96</v>
      </c>
      <c r="C318" s="20">
        <v>2</v>
      </c>
      <c r="D318" s="20">
        <v>1</v>
      </c>
      <c r="E318" s="20">
        <v>1</v>
      </c>
      <c r="F318" s="23" t="s">
        <v>472</v>
      </c>
    </row>
    <row r="319" spans="2:6" s="13" customFormat="1" ht="33.950000000000003" customHeight="1">
      <c r="B319" s="19" t="s">
        <v>96</v>
      </c>
      <c r="C319" s="20">
        <v>2</v>
      </c>
      <c r="D319" s="20">
        <v>1</v>
      </c>
      <c r="E319" s="20">
        <v>2</v>
      </c>
      <c r="F319" s="23" t="s">
        <v>473</v>
      </c>
    </row>
    <row r="320" spans="2:6" s="13" customFormat="1" ht="17.100000000000001" customHeight="1">
      <c r="B320" s="19" t="s">
        <v>96</v>
      </c>
      <c r="C320" s="20">
        <v>2</v>
      </c>
      <c r="D320" s="20">
        <v>1</v>
      </c>
      <c r="E320" s="20">
        <v>3</v>
      </c>
      <c r="F320" s="23" t="s">
        <v>474</v>
      </c>
    </row>
    <row r="321" spans="2:6" s="13" customFormat="1" ht="17.100000000000001" customHeight="1">
      <c r="B321" s="19" t="s">
        <v>96</v>
      </c>
      <c r="C321" s="20">
        <v>2</v>
      </c>
      <c r="D321" s="20">
        <v>1</v>
      </c>
      <c r="E321" s="20">
        <v>4</v>
      </c>
      <c r="F321" s="23" t="s">
        <v>475</v>
      </c>
    </row>
    <row r="322" spans="2:6" s="13" customFormat="1" ht="17.100000000000001" customHeight="1">
      <c r="B322" s="19" t="s">
        <v>96</v>
      </c>
      <c r="C322" s="20">
        <v>2</v>
      </c>
      <c r="D322" s="20">
        <v>1</v>
      </c>
      <c r="E322" s="20">
        <v>5</v>
      </c>
      <c r="F322" s="23" t="s">
        <v>476</v>
      </c>
    </row>
    <row r="323" spans="2:6" s="13" customFormat="1" ht="17.100000000000001" customHeight="1">
      <c r="B323" s="19" t="s">
        <v>96</v>
      </c>
      <c r="C323" s="20">
        <v>2</v>
      </c>
      <c r="D323" s="20">
        <v>1</v>
      </c>
      <c r="E323" s="20">
        <v>6</v>
      </c>
      <c r="F323" s="23" t="s">
        <v>477</v>
      </c>
    </row>
    <row r="324" spans="2:6" s="13" customFormat="1" ht="17.100000000000001" customHeight="1">
      <c r="B324" s="19" t="s">
        <v>96</v>
      </c>
      <c r="C324" s="20">
        <v>2</v>
      </c>
      <c r="D324" s="20">
        <v>1</v>
      </c>
      <c r="E324" s="20">
        <v>7</v>
      </c>
      <c r="F324" s="23" t="s">
        <v>478</v>
      </c>
    </row>
    <row r="325" spans="2:6" s="13" customFormat="1" ht="17.100000000000001" customHeight="1">
      <c r="B325" s="19" t="s">
        <v>96</v>
      </c>
      <c r="C325" s="20">
        <v>2</v>
      </c>
      <c r="D325" s="20">
        <v>2</v>
      </c>
      <c r="E325" s="20">
        <v>0</v>
      </c>
      <c r="F325" s="23" t="s">
        <v>479</v>
      </c>
    </row>
    <row r="326" spans="2:6" s="13" customFormat="1" ht="17.100000000000001" customHeight="1">
      <c r="B326" s="19" t="s">
        <v>96</v>
      </c>
      <c r="C326" s="20">
        <v>2</v>
      </c>
      <c r="D326" s="20">
        <v>3</v>
      </c>
      <c r="E326" s="20">
        <v>0</v>
      </c>
      <c r="F326" s="23" t="s">
        <v>480</v>
      </c>
    </row>
    <row r="327" spans="2:6" s="13" customFormat="1" ht="17.100000000000001" customHeight="1">
      <c r="B327" s="19" t="s">
        <v>96</v>
      </c>
      <c r="C327" s="20">
        <v>2</v>
      </c>
      <c r="D327" s="20">
        <v>4</v>
      </c>
      <c r="E327" s="20">
        <v>0</v>
      </c>
      <c r="F327" s="23" t="s">
        <v>481</v>
      </c>
    </row>
    <row r="328" spans="2:6" s="13" customFormat="1" ht="17.100000000000001" customHeight="1">
      <c r="B328" s="19" t="s">
        <v>96</v>
      </c>
      <c r="C328" s="20">
        <v>2</v>
      </c>
      <c r="D328" s="20">
        <v>5</v>
      </c>
      <c r="E328" s="20">
        <v>0</v>
      </c>
      <c r="F328" s="23" t="s">
        <v>482</v>
      </c>
    </row>
    <row r="329" spans="2:6" s="13" customFormat="1" ht="17.100000000000001" customHeight="1">
      <c r="B329" s="19" t="s">
        <v>96</v>
      </c>
      <c r="C329" s="20">
        <v>2</v>
      </c>
      <c r="D329" s="20">
        <v>6</v>
      </c>
      <c r="E329" s="20">
        <v>0</v>
      </c>
      <c r="F329" s="23" t="s">
        <v>483</v>
      </c>
    </row>
    <row r="330" spans="2:6" s="13" customFormat="1" ht="17.100000000000001" customHeight="1">
      <c r="B330" s="19" t="s">
        <v>96</v>
      </c>
      <c r="C330" s="20">
        <v>3</v>
      </c>
      <c r="D330" s="20">
        <v>0</v>
      </c>
      <c r="E330" s="20">
        <v>0</v>
      </c>
      <c r="F330" s="22" t="s">
        <v>484</v>
      </c>
    </row>
    <row r="331" spans="2:6" s="13" customFormat="1" ht="17.100000000000001" customHeight="1">
      <c r="B331" s="19" t="s">
        <v>96</v>
      </c>
      <c r="C331" s="20">
        <v>3</v>
      </c>
      <c r="D331" s="20">
        <v>1</v>
      </c>
      <c r="E331" s="20">
        <v>0</v>
      </c>
      <c r="F331" s="23" t="s">
        <v>485</v>
      </c>
    </row>
    <row r="332" spans="2:6" s="13" customFormat="1" ht="17.100000000000001" customHeight="1">
      <c r="B332" s="19" t="s">
        <v>96</v>
      </c>
      <c r="C332" s="20">
        <v>3</v>
      </c>
      <c r="D332" s="20">
        <v>2</v>
      </c>
      <c r="E332" s="20">
        <v>0</v>
      </c>
      <c r="F332" s="23" t="s">
        <v>486</v>
      </c>
    </row>
    <row r="333" spans="2:6" s="13" customFormat="1" ht="17.100000000000001" customHeight="1">
      <c r="B333" s="19" t="s">
        <v>96</v>
      </c>
      <c r="C333" s="20">
        <v>3</v>
      </c>
      <c r="D333" s="20">
        <v>3</v>
      </c>
      <c r="E333" s="20">
        <v>0</v>
      </c>
      <c r="F333" s="23" t="s">
        <v>487</v>
      </c>
    </row>
    <row r="334" spans="2:6" s="13" customFormat="1" ht="17.100000000000001" customHeight="1">
      <c r="B334" s="19" t="s">
        <v>100</v>
      </c>
      <c r="C334" s="20">
        <v>0</v>
      </c>
      <c r="D334" s="20">
        <v>0</v>
      </c>
      <c r="E334" s="20">
        <v>0</v>
      </c>
      <c r="F334" s="21" t="s">
        <v>488</v>
      </c>
    </row>
    <row r="335" spans="2:6" s="13" customFormat="1" ht="17.100000000000001" customHeight="1">
      <c r="B335" s="19" t="s">
        <v>100</v>
      </c>
      <c r="C335" s="20">
        <v>1</v>
      </c>
      <c r="D335" s="20">
        <v>0</v>
      </c>
      <c r="E335" s="20">
        <v>0</v>
      </c>
      <c r="F335" s="22" t="s">
        <v>489</v>
      </c>
    </row>
    <row r="336" spans="2:6" s="13" customFormat="1" ht="17.100000000000001" customHeight="1">
      <c r="B336" s="19" t="s">
        <v>100</v>
      </c>
      <c r="C336" s="20">
        <v>1</v>
      </c>
      <c r="D336" s="20">
        <v>1</v>
      </c>
      <c r="E336" s="20">
        <v>0</v>
      </c>
      <c r="F336" s="23" t="s">
        <v>490</v>
      </c>
    </row>
    <row r="337" spans="2:6" s="13" customFormat="1" ht="17.100000000000001" customHeight="1">
      <c r="B337" s="19" t="s">
        <v>100</v>
      </c>
      <c r="C337" s="20">
        <v>1</v>
      </c>
      <c r="D337" s="20">
        <v>2</v>
      </c>
      <c r="E337" s="20">
        <v>0</v>
      </c>
      <c r="F337" s="23" t="s">
        <v>491</v>
      </c>
    </row>
    <row r="338" spans="2:6" s="13" customFormat="1" ht="17.100000000000001" customHeight="1">
      <c r="B338" s="19" t="s">
        <v>100</v>
      </c>
      <c r="C338" s="20">
        <v>2</v>
      </c>
      <c r="D338" s="20">
        <v>0</v>
      </c>
      <c r="E338" s="20">
        <v>0</v>
      </c>
      <c r="F338" s="22" t="s">
        <v>492</v>
      </c>
    </row>
    <row r="339" spans="2:6" s="13" customFormat="1" ht="17.100000000000001" customHeight="1">
      <c r="B339" s="19" t="s">
        <v>100</v>
      </c>
      <c r="C339" s="20">
        <v>2</v>
      </c>
      <c r="D339" s="20">
        <v>1</v>
      </c>
      <c r="E339" s="20">
        <v>0</v>
      </c>
      <c r="F339" s="23" t="s">
        <v>493</v>
      </c>
    </row>
    <row r="340" spans="2:6" s="13" customFormat="1" ht="17.100000000000001" customHeight="1">
      <c r="B340" s="19" t="s">
        <v>100</v>
      </c>
      <c r="C340" s="20">
        <v>2</v>
      </c>
      <c r="D340" s="20">
        <v>1</v>
      </c>
      <c r="E340" s="20">
        <v>1</v>
      </c>
      <c r="F340" s="23" t="s">
        <v>494</v>
      </c>
    </row>
    <row r="341" spans="2:6" s="13" customFormat="1" ht="17.100000000000001" customHeight="1">
      <c r="B341" s="19" t="s">
        <v>100</v>
      </c>
      <c r="C341" s="20">
        <v>2</v>
      </c>
      <c r="D341" s="20">
        <v>1</v>
      </c>
      <c r="E341" s="20">
        <v>2</v>
      </c>
      <c r="F341" s="23" t="s">
        <v>495</v>
      </c>
    </row>
    <row r="342" spans="2:6" s="13" customFormat="1" ht="17.100000000000001" customHeight="1">
      <c r="B342" s="19" t="s">
        <v>100</v>
      </c>
      <c r="C342" s="20">
        <v>2</v>
      </c>
      <c r="D342" s="20">
        <v>1</v>
      </c>
      <c r="E342" s="20">
        <v>3</v>
      </c>
      <c r="F342" s="23" t="s">
        <v>496</v>
      </c>
    </row>
    <row r="343" spans="2:6" s="13" customFormat="1" ht="17.100000000000001" customHeight="1">
      <c r="B343" s="19" t="s">
        <v>100</v>
      </c>
      <c r="C343" s="20">
        <v>2</v>
      </c>
      <c r="D343" s="20">
        <v>1</v>
      </c>
      <c r="E343" s="20">
        <v>4</v>
      </c>
      <c r="F343" s="23" t="s">
        <v>497</v>
      </c>
    </row>
    <row r="344" spans="2:6" s="13" customFormat="1" ht="17.100000000000001" customHeight="1">
      <c r="B344" s="19" t="s">
        <v>100</v>
      </c>
      <c r="C344" s="20">
        <v>2</v>
      </c>
      <c r="D344" s="20">
        <v>1</v>
      </c>
      <c r="E344" s="20">
        <v>5</v>
      </c>
      <c r="F344" s="23" t="s">
        <v>498</v>
      </c>
    </row>
    <row r="345" spans="2:6" s="13" customFormat="1" ht="17.100000000000001" customHeight="1">
      <c r="B345" s="19" t="s">
        <v>100</v>
      </c>
      <c r="C345" s="20">
        <v>2</v>
      </c>
      <c r="D345" s="20">
        <v>2</v>
      </c>
      <c r="E345" s="20">
        <v>0</v>
      </c>
      <c r="F345" s="23" t="s">
        <v>499</v>
      </c>
    </row>
    <row r="346" spans="2:6" s="13" customFormat="1" ht="17.100000000000001" customHeight="1">
      <c r="B346" s="19" t="s">
        <v>100</v>
      </c>
      <c r="C346" s="20">
        <v>3</v>
      </c>
      <c r="D346" s="20">
        <v>0</v>
      </c>
      <c r="E346" s="20">
        <v>0</v>
      </c>
      <c r="F346" s="22" t="s">
        <v>500</v>
      </c>
    </row>
    <row r="347" spans="2:6" s="13" customFormat="1" ht="17.100000000000001" customHeight="1">
      <c r="B347" s="19" t="s">
        <v>100</v>
      </c>
      <c r="C347" s="20">
        <v>3</v>
      </c>
      <c r="D347" s="20">
        <v>1</v>
      </c>
      <c r="E347" s="20">
        <v>0</v>
      </c>
      <c r="F347" s="23" t="s">
        <v>501</v>
      </c>
    </row>
    <row r="348" spans="2:6" s="13" customFormat="1" ht="17.100000000000001" customHeight="1">
      <c r="B348" s="19" t="s">
        <v>100</v>
      </c>
      <c r="C348" s="20">
        <v>3</v>
      </c>
      <c r="D348" s="20">
        <v>1</v>
      </c>
      <c r="E348" s="20">
        <v>1</v>
      </c>
      <c r="F348" s="23" t="s">
        <v>502</v>
      </c>
    </row>
    <row r="349" spans="2:6" s="13" customFormat="1" ht="17.100000000000001" customHeight="1">
      <c r="B349" s="19" t="s">
        <v>100</v>
      </c>
      <c r="C349" s="20">
        <v>3</v>
      </c>
      <c r="D349" s="20">
        <v>1</v>
      </c>
      <c r="E349" s="20">
        <v>2</v>
      </c>
      <c r="F349" s="23" t="s">
        <v>503</v>
      </c>
    </row>
    <row r="350" spans="2:6" s="13" customFormat="1" ht="17.100000000000001" customHeight="1">
      <c r="B350" s="19" t="s">
        <v>100</v>
      </c>
      <c r="C350" s="20">
        <v>3</v>
      </c>
      <c r="D350" s="20">
        <v>1</v>
      </c>
      <c r="E350" s="20">
        <v>3</v>
      </c>
      <c r="F350" s="23" t="s">
        <v>504</v>
      </c>
    </row>
    <row r="351" spans="2:6" s="13" customFormat="1" ht="17.100000000000001" customHeight="1">
      <c r="B351" s="19" t="s">
        <v>100</v>
      </c>
      <c r="C351" s="20">
        <v>3</v>
      </c>
      <c r="D351" s="20">
        <v>1</v>
      </c>
      <c r="E351" s="20">
        <v>4</v>
      </c>
      <c r="F351" s="23" t="s">
        <v>505</v>
      </c>
    </row>
    <row r="352" spans="2:6" s="13" customFormat="1" ht="17.100000000000001" customHeight="1">
      <c r="B352" s="19" t="s">
        <v>100</v>
      </c>
      <c r="C352" s="20">
        <v>3</v>
      </c>
      <c r="D352" s="20">
        <v>2</v>
      </c>
      <c r="E352" s="20">
        <v>0</v>
      </c>
      <c r="F352" s="23" t="s">
        <v>506</v>
      </c>
    </row>
    <row r="353" spans="1:6" s="13" customFormat="1" ht="17.100000000000001" customHeight="1">
      <c r="B353" s="19" t="s">
        <v>100</v>
      </c>
      <c r="C353" s="20">
        <v>3</v>
      </c>
      <c r="D353" s="20">
        <v>3</v>
      </c>
      <c r="E353" s="20">
        <v>0</v>
      </c>
      <c r="F353" s="23" t="s">
        <v>507</v>
      </c>
    </row>
    <row r="354" spans="1:6" s="13" customFormat="1" ht="17.100000000000001" customHeight="1">
      <c r="B354" s="19" t="s">
        <v>100</v>
      </c>
      <c r="C354" s="20">
        <v>4</v>
      </c>
      <c r="D354" s="20">
        <v>0</v>
      </c>
      <c r="E354" s="20">
        <v>0</v>
      </c>
      <c r="F354" s="22" t="s">
        <v>508</v>
      </c>
    </row>
    <row r="355" spans="1:6" s="13" customFormat="1" ht="17.100000000000001" customHeight="1">
      <c r="B355" s="19" t="s">
        <v>100</v>
      </c>
      <c r="C355" s="20">
        <v>4</v>
      </c>
      <c r="D355" s="20">
        <v>1</v>
      </c>
      <c r="E355" s="20">
        <v>0</v>
      </c>
      <c r="F355" s="23" t="s">
        <v>509</v>
      </c>
    </row>
    <row r="356" spans="1:6" s="13" customFormat="1" ht="17.100000000000001" customHeight="1">
      <c r="B356" s="19" t="s">
        <v>100</v>
      </c>
      <c r="C356" s="20">
        <v>4</v>
      </c>
      <c r="D356" s="20">
        <v>2</v>
      </c>
      <c r="E356" s="20">
        <v>0</v>
      </c>
      <c r="F356" s="23" t="s">
        <v>510</v>
      </c>
    </row>
    <row r="357" spans="1:6" s="13" customFormat="1" ht="17.100000000000001" customHeight="1">
      <c r="B357" s="19" t="s">
        <v>100</v>
      </c>
      <c r="C357" s="20">
        <v>5</v>
      </c>
      <c r="D357" s="20">
        <v>0</v>
      </c>
      <c r="E357" s="20">
        <v>0</v>
      </c>
      <c r="F357" s="22" t="s">
        <v>511</v>
      </c>
    </row>
    <row r="358" spans="1:6" s="13" customFormat="1" ht="17.100000000000001" customHeight="1">
      <c r="B358" s="19" t="s">
        <v>100</v>
      </c>
      <c r="C358" s="20">
        <v>5</v>
      </c>
      <c r="D358" s="20">
        <v>1</v>
      </c>
      <c r="E358" s="20">
        <v>0</v>
      </c>
      <c r="F358" s="23" t="s">
        <v>512</v>
      </c>
    </row>
    <row r="359" spans="1:6" s="13" customFormat="1" ht="17.100000000000001" customHeight="1">
      <c r="B359" s="19" t="s">
        <v>100</v>
      </c>
      <c r="C359" s="20">
        <v>6</v>
      </c>
      <c r="D359" s="20">
        <v>0</v>
      </c>
      <c r="E359" s="20">
        <v>0</v>
      </c>
      <c r="F359" s="22" t="s">
        <v>513</v>
      </c>
    </row>
    <row r="360" spans="1:6" s="13" customFormat="1" ht="17.100000000000001" customHeight="1">
      <c r="A360" s="58"/>
      <c r="B360" s="19" t="s">
        <v>100</v>
      </c>
      <c r="C360" s="20">
        <v>6</v>
      </c>
      <c r="D360" s="20">
        <v>1</v>
      </c>
      <c r="E360" s="20">
        <v>0</v>
      </c>
      <c r="F360" s="23" t="s">
        <v>514</v>
      </c>
    </row>
    <row r="361" spans="1:6" s="13" customFormat="1" ht="17.100000000000001" customHeight="1">
      <c r="B361" t="s">
        <v>100</v>
      </c>
      <c r="C361">
        <v>6</v>
      </c>
      <c r="D361">
        <v>1</v>
      </c>
      <c r="E361">
        <v>1</v>
      </c>
      <c r="F361" t="s">
        <v>515</v>
      </c>
    </row>
    <row r="362" spans="1:6" s="13" customFormat="1" ht="17.100000000000001" customHeight="1">
      <c r="B362" t="s">
        <v>100</v>
      </c>
      <c r="C362">
        <v>6</v>
      </c>
      <c r="D362">
        <v>1</v>
      </c>
      <c r="E362">
        <v>2</v>
      </c>
      <c r="F362" t="s">
        <v>516</v>
      </c>
    </row>
    <row r="363" spans="1:6" s="13" customFormat="1" ht="17.100000000000001" customHeight="1">
      <c r="B363" t="s">
        <v>100</v>
      </c>
      <c r="C363">
        <v>6</v>
      </c>
      <c r="D363">
        <v>1</v>
      </c>
      <c r="E363">
        <v>3</v>
      </c>
      <c r="F363" t="s">
        <v>517</v>
      </c>
    </row>
    <row r="364" spans="1:6" s="13" customFormat="1" ht="17.100000000000001" customHeight="1">
      <c r="A364" s="58"/>
      <c r="B364" s="19" t="s">
        <v>100</v>
      </c>
      <c r="C364" s="20">
        <v>6</v>
      </c>
      <c r="D364" s="20">
        <v>2</v>
      </c>
      <c r="E364" s="20">
        <v>0</v>
      </c>
      <c r="F364" s="23" t="s">
        <v>518</v>
      </c>
    </row>
    <row r="365" spans="1:6" s="13" customFormat="1" ht="17.100000000000001" customHeight="1">
      <c r="B365" t="s">
        <v>100</v>
      </c>
      <c r="C365">
        <v>6</v>
      </c>
      <c r="D365">
        <v>2</v>
      </c>
      <c r="E365">
        <v>1</v>
      </c>
      <c r="F365" t="s">
        <v>519</v>
      </c>
    </row>
    <row r="366" spans="1:6" s="13" customFormat="1" ht="17.100000000000001" customHeight="1">
      <c r="B366" t="s">
        <v>100</v>
      </c>
      <c r="C366">
        <v>6</v>
      </c>
      <c r="D366">
        <v>2</v>
      </c>
      <c r="E366">
        <v>2</v>
      </c>
      <c r="F366" t="s">
        <v>520</v>
      </c>
    </row>
    <row r="367" spans="1:6" s="13" customFormat="1" ht="17.100000000000001" customHeight="1">
      <c r="B367" s="19" t="s">
        <v>100</v>
      </c>
      <c r="C367" s="20">
        <v>6</v>
      </c>
      <c r="D367" s="20">
        <v>3</v>
      </c>
      <c r="E367" s="20">
        <v>0</v>
      </c>
      <c r="F367" s="23" t="s">
        <v>521</v>
      </c>
    </row>
    <row r="368" spans="1:6" s="13" customFormat="1" ht="17.100000000000001" customHeight="1">
      <c r="B368" s="19" t="s">
        <v>100</v>
      </c>
      <c r="C368" s="20">
        <v>6</v>
      </c>
      <c r="D368" s="20">
        <v>4</v>
      </c>
      <c r="E368" s="20">
        <v>0</v>
      </c>
      <c r="F368" s="23" t="s">
        <v>522</v>
      </c>
    </row>
    <row r="369" spans="1:6" s="13" customFormat="1" ht="17.100000000000001" customHeight="1">
      <c r="B369" s="19" t="s">
        <v>100</v>
      </c>
      <c r="C369" s="20">
        <v>6</v>
      </c>
      <c r="D369" s="20">
        <v>5</v>
      </c>
      <c r="E369" s="20">
        <v>0</v>
      </c>
      <c r="F369" s="23" t="s">
        <v>523</v>
      </c>
    </row>
    <row r="370" spans="1:6" s="13" customFormat="1" ht="17.100000000000001" customHeight="1">
      <c r="B370" s="19" t="s">
        <v>100</v>
      </c>
      <c r="C370" s="20">
        <v>6</v>
      </c>
      <c r="D370" s="20">
        <v>6</v>
      </c>
      <c r="E370" s="20">
        <v>0</v>
      </c>
      <c r="F370" s="23" t="s">
        <v>524</v>
      </c>
    </row>
    <row r="371" spans="1:6" s="13" customFormat="1" ht="17.100000000000001" customHeight="1">
      <c r="A371" s="58"/>
      <c r="B371" s="19" t="s">
        <v>100</v>
      </c>
      <c r="C371" s="20">
        <v>6</v>
      </c>
      <c r="D371" s="20">
        <v>6</v>
      </c>
      <c r="E371" s="20">
        <v>0</v>
      </c>
      <c r="F371" s="23" t="s">
        <v>525</v>
      </c>
    </row>
    <row r="372" spans="1:6" s="13" customFormat="1" ht="17.100000000000001" customHeight="1">
      <c r="B372" t="s">
        <v>100</v>
      </c>
      <c r="C372">
        <v>6</v>
      </c>
      <c r="D372">
        <v>6</v>
      </c>
      <c r="E372">
        <v>1</v>
      </c>
      <c r="F372" t="s">
        <v>526</v>
      </c>
    </row>
    <row r="373" spans="1:6" s="13" customFormat="1" ht="17.100000000000001" customHeight="1">
      <c r="B373" t="s">
        <v>100</v>
      </c>
      <c r="C373">
        <v>6</v>
      </c>
      <c r="D373">
        <v>6</v>
      </c>
      <c r="E373">
        <v>2</v>
      </c>
      <c r="F373" t="s">
        <v>527</v>
      </c>
    </row>
    <row r="374" spans="1:6" s="13" customFormat="1" ht="17.100000000000001" customHeight="1">
      <c r="B374" s="19" t="s">
        <v>100</v>
      </c>
      <c r="C374" s="20">
        <v>7</v>
      </c>
      <c r="D374" s="20">
        <v>0</v>
      </c>
      <c r="E374" s="20">
        <v>0</v>
      </c>
      <c r="F374" s="22" t="s">
        <v>528</v>
      </c>
    </row>
    <row r="375" spans="1:6" s="13" customFormat="1" ht="17.100000000000001" customHeight="1">
      <c r="B375" s="19" t="s">
        <v>100</v>
      </c>
      <c r="C375" s="20">
        <v>7</v>
      </c>
      <c r="D375" s="20">
        <v>1</v>
      </c>
      <c r="E375" s="20">
        <v>0</v>
      </c>
      <c r="F375" s="23" t="s">
        <v>529</v>
      </c>
    </row>
    <row r="376" spans="1:6" s="13" customFormat="1" ht="17.100000000000001" customHeight="1">
      <c r="B376" s="19" t="s">
        <v>100</v>
      </c>
      <c r="C376" s="20">
        <v>7</v>
      </c>
      <c r="D376" s="20">
        <v>2</v>
      </c>
      <c r="E376" s="20">
        <v>0</v>
      </c>
      <c r="F376" s="23" t="s">
        <v>530</v>
      </c>
    </row>
    <row r="377" spans="1:6" s="13" customFormat="1" ht="17.100000000000001" customHeight="1">
      <c r="B377" s="19" t="s">
        <v>100</v>
      </c>
      <c r="C377" s="20">
        <v>8</v>
      </c>
      <c r="D377" s="20">
        <v>0</v>
      </c>
      <c r="E377" s="20">
        <v>0</v>
      </c>
      <c r="F377" s="22" t="s">
        <v>531</v>
      </c>
    </row>
    <row r="378" spans="1:6" s="13" customFormat="1" ht="17.100000000000001" customHeight="1">
      <c r="B378" s="19" t="s">
        <v>100</v>
      </c>
      <c r="C378" s="20">
        <v>8</v>
      </c>
      <c r="D378" s="20">
        <v>1</v>
      </c>
      <c r="E378" s="20">
        <v>0</v>
      </c>
      <c r="F378" s="23" t="s">
        <v>532</v>
      </c>
    </row>
    <row r="379" spans="1:6" s="13" customFormat="1" ht="17.100000000000001" customHeight="1">
      <c r="B379" s="19" t="s">
        <v>100</v>
      </c>
      <c r="C379" s="20">
        <v>9</v>
      </c>
      <c r="D379" s="20">
        <v>0</v>
      </c>
      <c r="E379" s="20">
        <v>0</v>
      </c>
      <c r="F379" s="22" t="s">
        <v>533</v>
      </c>
    </row>
    <row r="380" spans="1:6" s="13" customFormat="1" ht="17.100000000000001" customHeight="1">
      <c r="B380" s="19" t="s">
        <v>100</v>
      </c>
      <c r="C380" s="20">
        <v>9</v>
      </c>
      <c r="D380" s="20">
        <v>1</v>
      </c>
      <c r="E380" s="20">
        <v>0</v>
      </c>
      <c r="F380" s="23" t="s">
        <v>534</v>
      </c>
    </row>
    <row r="381" spans="1:6" s="13" customFormat="1" ht="17.100000000000001" customHeight="1">
      <c r="B381" s="19" t="s">
        <v>100</v>
      </c>
      <c r="C381" s="20">
        <v>10</v>
      </c>
      <c r="D381" s="20">
        <v>0</v>
      </c>
      <c r="E381" s="20">
        <v>0</v>
      </c>
      <c r="F381" s="22" t="s">
        <v>535</v>
      </c>
    </row>
    <row r="382" spans="1:6" s="13" customFormat="1" ht="17.100000000000001" customHeight="1">
      <c r="B382" s="19" t="s">
        <v>100</v>
      </c>
      <c r="C382" s="20">
        <v>10</v>
      </c>
      <c r="D382" s="20">
        <v>1</v>
      </c>
      <c r="E382" s="20">
        <v>0</v>
      </c>
      <c r="F382" s="23" t="s">
        <v>536</v>
      </c>
    </row>
    <row r="383" spans="1:6" s="13" customFormat="1" ht="17.100000000000001" customHeight="1">
      <c r="B383" s="19" t="s">
        <v>111</v>
      </c>
      <c r="C383" s="20">
        <v>0</v>
      </c>
      <c r="D383" s="20">
        <v>0</v>
      </c>
      <c r="E383" s="20">
        <v>0</v>
      </c>
      <c r="F383" s="21" t="s">
        <v>537</v>
      </c>
    </row>
    <row r="384" spans="1:6" s="13" customFormat="1" ht="17.100000000000001" customHeight="1">
      <c r="B384" s="19" t="s">
        <v>111</v>
      </c>
      <c r="C384" s="20">
        <v>1</v>
      </c>
      <c r="D384" s="20">
        <v>0</v>
      </c>
      <c r="E384" s="20">
        <v>0</v>
      </c>
      <c r="F384" s="22" t="s">
        <v>538</v>
      </c>
    </row>
    <row r="385" spans="2:6" s="13" customFormat="1" ht="17.100000000000001" customHeight="1">
      <c r="B385" s="19" t="s">
        <v>111</v>
      </c>
      <c r="C385" s="20">
        <v>1</v>
      </c>
      <c r="D385" s="20">
        <v>1</v>
      </c>
      <c r="E385" s="20">
        <v>0</v>
      </c>
      <c r="F385" s="23" t="s">
        <v>539</v>
      </c>
    </row>
    <row r="386" spans="2:6" s="13" customFormat="1" ht="17.100000000000001" customHeight="1">
      <c r="B386" s="19" t="s">
        <v>111</v>
      </c>
      <c r="C386" s="20">
        <v>1</v>
      </c>
      <c r="D386" s="20">
        <v>2</v>
      </c>
      <c r="E386" s="20">
        <v>0</v>
      </c>
      <c r="F386" s="23" t="s">
        <v>540</v>
      </c>
    </row>
    <row r="387" spans="2:6" s="13" customFormat="1" ht="17.100000000000001" customHeight="1">
      <c r="B387" s="19" t="s">
        <v>111</v>
      </c>
      <c r="C387" s="20">
        <v>2</v>
      </c>
      <c r="D387" s="20">
        <v>0</v>
      </c>
      <c r="E387" s="20">
        <v>0</v>
      </c>
      <c r="F387" s="22" t="s">
        <v>541</v>
      </c>
    </row>
    <row r="388" spans="2:6" s="13" customFormat="1" ht="17.100000000000001" customHeight="1">
      <c r="B388" s="19" t="s">
        <v>111</v>
      </c>
      <c r="C388" s="20">
        <v>2</v>
      </c>
      <c r="D388" s="20">
        <v>1</v>
      </c>
      <c r="E388" s="20">
        <v>0</v>
      </c>
      <c r="F388" s="23" t="s">
        <v>542</v>
      </c>
    </row>
    <row r="389" spans="2:6" s="13" customFormat="1" ht="17.100000000000001" customHeight="1">
      <c r="B389" s="19" t="s">
        <v>111</v>
      </c>
      <c r="C389" s="20">
        <v>2</v>
      </c>
      <c r="D389" s="20">
        <v>1</v>
      </c>
      <c r="E389" s="20">
        <v>1</v>
      </c>
      <c r="F389" s="23" t="s">
        <v>543</v>
      </c>
    </row>
    <row r="390" spans="2:6" s="13" customFormat="1" ht="17.100000000000001" customHeight="1">
      <c r="B390" s="19" t="s">
        <v>111</v>
      </c>
      <c r="C390" s="20">
        <v>2</v>
      </c>
      <c r="D390" s="20">
        <v>1</v>
      </c>
      <c r="E390" s="20">
        <v>2</v>
      </c>
      <c r="F390" s="23" t="s">
        <v>544</v>
      </c>
    </row>
    <row r="391" spans="2:6" s="13" customFormat="1" ht="17.100000000000001" customHeight="1">
      <c r="B391" s="19" t="s">
        <v>111</v>
      </c>
      <c r="C391" s="20">
        <v>2</v>
      </c>
      <c r="D391" s="20">
        <v>1</v>
      </c>
      <c r="E391" s="20">
        <v>3</v>
      </c>
      <c r="F391" s="23" t="s">
        <v>545</v>
      </c>
    </row>
    <row r="392" spans="2:6" s="13" customFormat="1" ht="17.100000000000001" customHeight="1">
      <c r="B392" s="19" t="s">
        <v>111</v>
      </c>
      <c r="C392" s="20">
        <v>2</v>
      </c>
      <c r="D392" s="20">
        <v>2</v>
      </c>
      <c r="E392" s="20">
        <v>0</v>
      </c>
      <c r="F392" s="23" t="s">
        <v>546</v>
      </c>
    </row>
    <row r="393" spans="2:6" s="13" customFormat="1" ht="17.100000000000001" customHeight="1">
      <c r="B393" s="19" t="s">
        <v>111</v>
      </c>
      <c r="C393" s="20">
        <v>2</v>
      </c>
      <c r="D393" s="20">
        <v>3</v>
      </c>
      <c r="E393" s="20">
        <v>0</v>
      </c>
      <c r="F393" s="23" t="s">
        <v>547</v>
      </c>
    </row>
    <row r="394" spans="2:6" s="13" customFormat="1" ht="17.100000000000001" customHeight="1">
      <c r="B394" s="19" t="s">
        <v>111</v>
      </c>
      <c r="C394" s="20">
        <v>3</v>
      </c>
      <c r="D394" s="20">
        <v>0</v>
      </c>
      <c r="E394" s="20">
        <v>0</v>
      </c>
      <c r="F394" s="22" t="s">
        <v>548</v>
      </c>
    </row>
    <row r="395" spans="2:6" s="13" customFormat="1" ht="17.100000000000001" customHeight="1">
      <c r="B395" s="19" t="s">
        <v>111</v>
      </c>
      <c r="C395" s="20">
        <v>3</v>
      </c>
      <c r="D395" s="20">
        <v>1</v>
      </c>
      <c r="E395" s="20">
        <v>0</v>
      </c>
      <c r="F395" s="23" t="s">
        <v>549</v>
      </c>
    </row>
    <row r="396" spans="2:6" s="13" customFormat="1" ht="17.100000000000001" customHeight="1">
      <c r="B396" s="19" t="s">
        <v>111</v>
      </c>
      <c r="C396" s="20">
        <v>4</v>
      </c>
      <c r="D396" s="20">
        <v>0</v>
      </c>
      <c r="E396" s="20">
        <v>0</v>
      </c>
      <c r="F396" s="22" t="s">
        <v>550</v>
      </c>
    </row>
    <row r="397" spans="2:6" s="13" customFormat="1" ht="17.100000000000001" customHeight="1">
      <c r="B397" s="19" t="s">
        <v>111</v>
      </c>
      <c r="C397" s="20">
        <v>4</v>
      </c>
      <c r="D397" s="20">
        <v>1</v>
      </c>
      <c r="E397" s="20">
        <v>0</v>
      </c>
      <c r="F397" s="23" t="s">
        <v>551</v>
      </c>
    </row>
    <row r="398" spans="2:6" s="13" customFormat="1" ht="17.100000000000001" customHeight="1">
      <c r="B398" s="19" t="s">
        <v>116</v>
      </c>
      <c r="C398" s="20">
        <v>0</v>
      </c>
      <c r="D398" s="20">
        <v>0</v>
      </c>
      <c r="E398" s="20">
        <v>0</v>
      </c>
      <c r="F398" s="21" t="s">
        <v>552</v>
      </c>
    </row>
    <row r="399" spans="2:6" s="13" customFormat="1" ht="17.100000000000001" customHeight="1">
      <c r="B399" s="19" t="s">
        <v>116</v>
      </c>
      <c r="C399" s="20">
        <v>1</v>
      </c>
      <c r="D399" s="20">
        <v>0</v>
      </c>
      <c r="E399" s="20">
        <v>0</v>
      </c>
      <c r="F399" s="22" t="s">
        <v>553</v>
      </c>
    </row>
    <row r="400" spans="2:6" s="13" customFormat="1" ht="17.100000000000001" customHeight="1">
      <c r="B400" s="19" t="s">
        <v>116</v>
      </c>
      <c r="C400" s="20">
        <v>1</v>
      </c>
      <c r="D400" s="20">
        <v>1</v>
      </c>
      <c r="E400" s="20">
        <v>0</v>
      </c>
      <c r="F400" s="23" t="s">
        <v>554</v>
      </c>
    </row>
    <row r="401" spans="2:6" s="13" customFormat="1" ht="17.100000000000001" customHeight="1">
      <c r="B401" s="19" t="s">
        <v>116</v>
      </c>
      <c r="C401" s="20">
        <v>1</v>
      </c>
      <c r="D401" s="20">
        <v>2</v>
      </c>
      <c r="E401" s="20">
        <v>0</v>
      </c>
      <c r="F401" s="23" t="s">
        <v>555</v>
      </c>
    </row>
    <row r="402" spans="2:6" s="13" customFormat="1" ht="17.100000000000001" customHeight="1">
      <c r="B402" s="19" t="s">
        <v>116</v>
      </c>
      <c r="C402" s="20">
        <v>2</v>
      </c>
      <c r="D402" s="20">
        <v>0</v>
      </c>
      <c r="E402" s="20">
        <v>0</v>
      </c>
      <c r="F402" s="22" t="s">
        <v>556</v>
      </c>
    </row>
    <row r="403" spans="2:6" s="13" customFormat="1" ht="17.100000000000001" customHeight="1">
      <c r="B403" s="19" t="s">
        <v>116</v>
      </c>
      <c r="C403" s="20">
        <v>2</v>
      </c>
      <c r="D403" s="20">
        <v>1</v>
      </c>
      <c r="E403" s="20">
        <v>0</v>
      </c>
      <c r="F403" s="23" t="s">
        <v>557</v>
      </c>
    </row>
    <row r="404" spans="2:6" s="13" customFormat="1" ht="17.100000000000001" customHeight="1">
      <c r="B404" s="19" t="s">
        <v>116</v>
      </c>
      <c r="C404" s="20">
        <v>3</v>
      </c>
      <c r="D404" s="20">
        <v>0</v>
      </c>
      <c r="E404" s="20">
        <v>0</v>
      </c>
      <c r="F404" s="22" t="s">
        <v>558</v>
      </c>
    </row>
    <row r="405" spans="2:6" s="13" customFormat="1" ht="17.100000000000001" customHeight="1">
      <c r="B405" s="19" t="s">
        <v>116</v>
      </c>
      <c r="C405" s="20">
        <v>3</v>
      </c>
      <c r="D405" s="20">
        <v>1</v>
      </c>
      <c r="E405" s="20">
        <v>0</v>
      </c>
      <c r="F405" s="23" t="s">
        <v>559</v>
      </c>
    </row>
    <row r="406" spans="2:6" s="13" customFormat="1" ht="17.100000000000001" customHeight="1">
      <c r="B406" s="19" t="s">
        <v>116</v>
      </c>
      <c r="C406" s="20">
        <v>3</v>
      </c>
      <c r="D406" s="20">
        <v>2</v>
      </c>
      <c r="E406" s="20">
        <v>0</v>
      </c>
      <c r="F406" s="23" t="s">
        <v>560</v>
      </c>
    </row>
    <row r="407" spans="2:6" s="13" customFormat="1" ht="17.100000000000001" customHeight="1">
      <c r="B407" s="19" t="s">
        <v>116</v>
      </c>
      <c r="C407" s="20">
        <v>4</v>
      </c>
      <c r="D407" s="20">
        <v>0</v>
      </c>
      <c r="E407" s="20">
        <v>0</v>
      </c>
      <c r="F407" s="22" t="s">
        <v>561</v>
      </c>
    </row>
    <row r="408" spans="2:6" s="13" customFormat="1" ht="17.100000000000001" customHeight="1">
      <c r="B408" s="19" t="s">
        <v>116</v>
      </c>
      <c r="C408" s="20">
        <v>4</v>
      </c>
      <c r="D408" s="20">
        <v>1</v>
      </c>
      <c r="E408" s="20">
        <v>0</v>
      </c>
      <c r="F408" s="23" t="s">
        <v>562</v>
      </c>
    </row>
    <row r="409" spans="2:6" s="13" customFormat="1" ht="17.100000000000001" customHeight="1">
      <c r="B409" s="19" t="s">
        <v>116</v>
      </c>
      <c r="C409" s="20">
        <v>5</v>
      </c>
      <c r="D409" s="20">
        <v>0</v>
      </c>
      <c r="E409" s="20">
        <v>0</v>
      </c>
      <c r="F409" s="22" t="s">
        <v>563</v>
      </c>
    </row>
    <row r="410" spans="2:6" s="13" customFormat="1" ht="17.100000000000001" customHeight="1">
      <c r="B410" s="19" t="s">
        <v>116</v>
      </c>
      <c r="C410" s="20">
        <v>5</v>
      </c>
      <c r="D410" s="20">
        <v>1</v>
      </c>
      <c r="E410" s="20">
        <v>0</v>
      </c>
      <c r="F410" s="23" t="s">
        <v>564</v>
      </c>
    </row>
    <row r="411" spans="2:6" s="13" customFormat="1" ht="17.100000000000001" customHeight="1">
      <c r="B411" s="19" t="s">
        <v>116</v>
      </c>
      <c r="C411" s="20">
        <v>5</v>
      </c>
      <c r="D411" s="20">
        <v>2</v>
      </c>
      <c r="E411" s="20">
        <v>0</v>
      </c>
      <c r="F411" s="23" t="s">
        <v>565</v>
      </c>
    </row>
    <row r="412" spans="2:6" s="13" customFormat="1" ht="17.100000000000001" customHeight="1">
      <c r="B412" s="19" t="s">
        <v>116</v>
      </c>
      <c r="C412" s="20">
        <v>5</v>
      </c>
      <c r="D412" s="20">
        <v>3</v>
      </c>
      <c r="E412" s="20">
        <v>0</v>
      </c>
      <c r="F412" s="23" t="s">
        <v>566</v>
      </c>
    </row>
    <row r="413" spans="2:6" s="13" customFormat="1" ht="33.950000000000003" customHeight="1">
      <c r="B413" s="19" t="s">
        <v>116</v>
      </c>
      <c r="C413" s="20">
        <v>5</v>
      </c>
      <c r="D413" s="20">
        <v>4</v>
      </c>
      <c r="E413" s="20">
        <v>0</v>
      </c>
      <c r="F413" s="23" t="s">
        <v>567</v>
      </c>
    </row>
    <row r="414" spans="2:6" s="13" customFormat="1" ht="17.100000000000001" customHeight="1">
      <c r="B414" s="19" t="s">
        <v>116</v>
      </c>
      <c r="C414" s="20">
        <v>6</v>
      </c>
      <c r="D414" s="20">
        <v>0</v>
      </c>
      <c r="E414" s="20">
        <v>0</v>
      </c>
      <c r="F414" s="22" t="s">
        <v>568</v>
      </c>
    </row>
    <row r="415" spans="2:6" s="13" customFormat="1" ht="17.100000000000001" customHeight="1">
      <c r="B415" s="19" t="s">
        <v>116</v>
      </c>
      <c r="C415" s="20">
        <v>6</v>
      </c>
      <c r="D415" s="20">
        <v>1</v>
      </c>
      <c r="E415" s="20">
        <v>0</v>
      </c>
      <c r="F415" s="23" t="s">
        <v>569</v>
      </c>
    </row>
    <row r="416" spans="2:6" s="13" customFormat="1" ht="17.100000000000001" customHeight="1">
      <c r="B416" s="19" t="s">
        <v>116</v>
      </c>
      <c r="C416" s="20">
        <v>6</v>
      </c>
      <c r="D416" s="20">
        <v>1</v>
      </c>
      <c r="E416" s="20">
        <v>1</v>
      </c>
      <c r="F416" s="23" t="s">
        <v>570</v>
      </c>
    </row>
    <row r="417" spans="2:6" s="13" customFormat="1" ht="17.100000000000001" customHeight="1">
      <c r="B417" s="19" t="s">
        <v>116</v>
      </c>
      <c r="C417" s="20">
        <v>6</v>
      </c>
      <c r="D417" s="20">
        <v>1</v>
      </c>
      <c r="E417" s="20">
        <v>2</v>
      </c>
      <c r="F417" s="23" t="s">
        <v>571</v>
      </c>
    </row>
    <row r="418" spans="2:6" s="13" customFormat="1" ht="17.100000000000001" customHeight="1">
      <c r="B418" s="19" t="s">
        <v>116</v>
      </c>
      <c r="C418" s="20">
        <v>6</v>
      </c>
      <c r="D418" s="20">
        <v>1</v>
      </c>
      <c r="E418" s="20">
        <v>3</v>
      </c>
      <c r="F418" s="23" t="s">
        <v>572</v>
      </c>
    </row>
    <row r="419" spans="2:6" s="13" customFormat="1" ht="17.100000000000001" customHeight="1">
      <c r="B419" s="19" t="s">
        <v>116</v>
      </c>
      <c r="C419" s="20">
        <v>6</v>
      </c>
      <c r="D419" s="20">
        <v>2</v>
      </c>
      <c r="E419" s="20">
        <v>0</v>
      </c>
      <c r="F419" s="23" t="s">
        <v>573</v>
      </c>
    </row>
    <row r="420" spans="2:6" s="13" customFormat="1" ht="17.100000000000001" customHeight="1">
      <c r="B420" s="19" t="s">
        <v>124</v>
      </c>
      <c r="C420" s="20">
        <v>0</v>
      </c>
      <c r="D420" s="20">
        <v>0</v>
      </c>
      <c r="E420" s="20">
        <v>0</v>
      </c>
      <c r="F420" s="21" t="s">
        <v>574</v>
      </c>
    </row>
    <row r="421" spans="2:6" s="13" customFormat="1" ht="17.100000000000001" customHeight="1">
      <c r="B421" s="19" t="s">
        <v>124</v>
      </c>
      <c r="C421" s="20">
        <v>1</v>
      </c>
      <c r="D421" s="20">
        <v>0</v>
      </c>
      <c r="E421" s="20">
        <v>0</v>
      </c>
      <c r="F421" s="22" t="s">
        <v>575</v>
      </c>
    </row>
    <row r="422" spans="2:6" s="13" customFormat="1" ht="17.100000000000001" customHeight="1">
      <c r="B422" s="19" t="s">
        <v>124</v>
      </c>
      <c r="C422" s="20">
        <v>1</v>
      </c>
      <c r="D422" s="20">
        <v>1</v>
      </c>
      <c r="E422" s="20">
        <v>0</v>
      </c>
      <c r="F422" s="23" t="s">
        <v>576</v>
      </c>
    </row>
    <row r="423" spans="2:6" s="13" customFormat="1" ht="17.100000000000001" customHeight="1">
      <c r="B423" s="19" t="s">
        <v>124</v>
      </c>
      <c r="C423" s="20">
        <v>1</v>
      </c>
      <c r="D423" s="20">
        <v>2</v>
      </c>
      <c r="E423" s="20">
        <v>0</v>
      </c>
      <c r="F423" s="23" t="s">
        <v>577</v>
      </c>
    </row>
    <row r="424" spans="2:6" s="13" customFormat="1" ht="17.100000000000001" customHeight="1">
      <c r="B424" s="19" t="s">
        <v>124</v>
      </c>
      <c r="C424" s="20">
        <v>1</v>
      </c>
      <c r="D424" s="20">
        <v>3</v>
      </c>
      <c r="E424" s="20">
        <v>0</v>
      </c>
      <c r="F424" s="23" t="s">
        <v>578</v>
      </c>
    </row>
    <row r="425" spans="2:6" s="13" customFormat="1" ht="17.100000000000001" customHeight="1">
      <c r="B425" s="19" t="s">
        <v>124</v>
      </c>
      <c r="C425" s="20">
        <v>2</v>
      </c>
      <c r="D425" s="20">
        <v>0</v>
      </c>
      <c r="E425" s="20">
        <v>0</v>
      </c>
      <c r="F425" s="22" t="s">
        <v>579</v>
      </c>
    </row>
    <row r="426" spans="2:6" s="13" customFormat="1" ht="17.100000000000001" customHeight="1">
      <c r="B426" s="19" t="s">
        <v>124</v>
      </c>
      <c r="C426" s="20">
        <v>2</v>
      </c>
      <c r="D426" s="20">
        <v>1</v>
      </c>
      <c r="E426" s="20">
        <v>0</v>
      </c>
      <c r="F426" s="23" t="s">
        <v>580</v>
      </c>
    </row>
    <row r="427" spans="2:6" s="13" customFormat="1" ht="17.100000000000001" customHeight="1">
      <c r="B427" s="19" t="s">
        <v>124</v>
      </c>
      <c r="C427" s="20">
        <v>2</v>
      </c>
      <c r="D427" s="20">
        <v>2</v>
      </c>
      <c r="E427" s="20">
        <v>0</v>
      </c>
      <c r="F427" s="23" t="s">
        <v>581</v>
      </c>
    </row>
    <row r="428" spans="2:6" s="13" customFormat="1" ht="17.100000000000001" customHeight="1">
      <c r="B428" s="19" t="s">
        <v>124</v>
      </c>
      <c r="C428" s="20">
        <v>2</v>
      </c>
      <c r="D428" s="20">
        <v>3</v>
      </c>
      <c r="E428" s="20">
        <v>0</v>
      </c>
      <c r="F428" s="23" t="s">
        <v>582</v>
      </c>
    </row>
    <row r="429" spans="2:6" s="13" customFormat="1" ht="17.100000000000001" customHeight="1">
      <c r="B429" s="19" t="s">
        <v>124</v>
      </c>
      <c r="C429" s="20">
        <v>3</v>
      </c>
      <c r="D429" s="20">
        <v>0</v>
      </c>
      <c r="E429" s="20">
        <v>0</v>
      </c>
      <c r="F429" s="22" t="s">
        <v>583</v>
      </c>
    </row>
    <row r="430" spans="2:6" s="13" customFormat="1" ht="17.100000000000001" customHeight="1">
      <c r="B430" s="19" t="s">
        <v>124</v>
      </c>
      <c r="C430" s="20">
        <v>3</v>
      </c>
      <c r="D430" s="20">
        <v>1</v>
      </c>
      <c r="E430" s="20">
        <v>0</v>
      </c>
      <c r="F430" s="23" t="s">
        <v>584</v>
      </c>
    </row>
    <row r="431" spans="2:6" s="13" customFormat="1" ht="17.100000000000001" customHeight="1">
      <c r="B431" s="19" t="s">
        <v>124</v>
      </c>
      <c r="C431" s="20">
        <v>3</v>
      </c>
      <c r="D431" s="20">
        <v>1</v>
      </c>
      <c r="E431" s="20">
        <v>1</v>
      </c>
      <c r="F431" s="23" t="s">
        <v>502</v>
      </c>
    </row>
    <row r="432" spans="2:6" s="13" customFormat="1" ht="17.100000000000001" customHeight="1">
      <c r="B432" s="19" t="s">
        <v>124</v>
      </c>
      <c r="C432" s="20">
        <v>3</v>
      </c>
      <c r="D432" s="20">
        <v>1</v>
      </c>
      <c r="E432" s="20">
        <v>2</v>
      </c>
      <c r="F432" s="23" t="s">
        <v>503</v>
      </c>
    </row>
    <row r="433" spans="2:6" s="13" customFormat="1" ht="17.100000000000001" customHeight="1">
      <c r="B433" s="19" t="s">
        <v>124</v>
      </c>
      <c r="C433" s="20">
        <v>3</v>
      </c>
      <c r="D433" s="20">
        <v>1</v>
      </c>
      <c r="E433" s="20">
        <v>3</v>
      </c>
      <c r="F433" s="23" t="s">
        <v>504</v>
      </c>
    </row>
    <row r="434" spans="2:6" s="13" customFormat="1" ht="17.100000000000001" customHeight="1">
      <c r="B434" s="19" t="s">
        <v>124</v>
      </c>
      <c r="C434" s="20">
        <v>3</v>
      </c>
      <c r="D434" s="20">
        <v>1</v>
      </c>
      <c r="E434" s="20">
        <v>4</v>
      </c>
      <c r="F434" s="23" t="s">
        <v>585</v>
      </c>
    </row>
    <row r="435" spans="2:6" s="13" customFormat="1" ht="17.100000000000001" customHeight="1">
      <c r="B435" s="19" t="s">
        <v>124</v>
      </c>
      <c r="C435" s="20">
        <v>3</v>
      </c>
      <c r="D435" s="20">
        <v>2</v>
      </c>
      <c r="E435" s="20">
        <v>0</v>
      </c>
      <c r="F435" s="23" t="s">
        <v>586</v>
      </c>
    </row>
    <row r="436" spans="2:6" s="13" customFormat="1" ht="17.100000000000001" customHeight="1">
      <c r="B436" s="19" t="s">
        <v>124</v>
      </c>
      <c r="C436" s="20">
        <v>4</v>
      </c>
      <c r="D436" s="20">
        <v>0</v>
      </c>
      <c r="E436" s="20">
        <v>0</v>
      </c>
      <c r="F436" s="22" t="s">
        <v>587</v>
      </c>
    </row>
    <row r="437" spans="2:6" s="13" customFormat="1" ht="17.100000000000001" customHeight="1">
      <c r="B437" s="19" t="s">
        <v>124</v>
      </c>
      <c r="C437" s="20">
        <v>4</v>
      </c>
      <c r="D437" s="20">
        <v>1</v>
      </c>
      <c r="E437" s="20">
        <v>0</v>
      </c>
      <c r="F437" s="23" t="s">
        <v>588</v>
      </c>
    </row>
    <row r="438" spans="2:6" s="13" customFormat="1" ht="17.100000000000001" customHeight="1">
      <c r="B438" s="19" t="s">
        <v>124</v>
      </c>
      <c r="C438" s="20">
        <v>5</v>
      </c>
      <c r="D438" s="20">
        <v>0</v>
      </c>
      <c r="E438" s="20">
        <v>0</v>
      </c>
      <c r="F438" s="22" t="s">
        <v>589</v>
      </c>
    </row>
    <row r="439" spans="2:6" s="13" customFormat="1" ht="17.100000000000001" customHeight="1">
      <c r="B439" s="19" t="s">
        <v>124</v>
      </c>
      <c r="C439" s="20">
        <v>5</v>
      </c>
      <c r="D439" s="20">
        <v>1</v>
      </c>
      <c r="E439" s="20">
        <v>0</v>
      </c>
      <c r="F439" s="23" t="s">
        <v>590</v>
      </c>
    </row>
    <row r="440" spans="2:6" s="13" customFormat="1" ht="17.100000000000001" customHeight="1">
      <c r="B440" s="19" t="s">
        <v>124</v>
      </c>
      <c r="C440" s="20">
        <v>5</v>
      </c>
      <c r="D440" s="20">
        <v>1</v>
      </c>
      <c r="E440" s="20">
        <v>1</v>
      </c>
      <c r="F440" s="23" t="s">
        <v>591</v>
      </c>
    </row>
    <row r="441" spans="2:6" s="13" customFormat="1" ht="17.100000000000001" customHeight="1">
      <c r="B441" s="19" t="s">
        <v>124</v>
      </c>
      <c r="C441" s="20">
        <v>5</v>
      </c>
      <c r="D441" s="20">
        <v>1</v>
      </c>
      <c r="E441" s="20">
        <v>2</v>
      </c>
      <c r="F441" s="23" t="s">
        <v>592</v>
      </c>
    </row>
    <row r="442" spans="2:6" s="13" customFormat="1" ht="17.100000000000001" customHeight="1">
      <c r="B442" s="19" t="s">
        <v>124</v>
      </c>
      <c r="C442" s="20">
        <v>6</v>
      </c>
      <c r="D442" s="20">
        <v>0</v>
      </c>
      <c r="E442" s="20">
        <v>0</v>
      </c>
      <c r="F442" s="22" t="s">
        <v>593</v>
      </c>
    </row>
    <row r="443" spans="2:6" s="13" customFormat="1" ht="17.100000000000001" customHeight="1">
      <c r="B443" s="19" t="s">
        <v>124</v>
      </c>
      <c r="C443" s="20">
        <v>6</v>
      </c>
      <c r="D443" s="20">
        <v>1</v>
      </c>
      <c r="E443" s="20">
        <v>0</v>
      </c>
      <c r="F443" s="23" t="s">
        <v>594</v>
      </c>
    </row>
    <row r="444" spans="2:6" s="13" customFormat="1" ht="17.100000000000001" customHeight="1">
      <c r="B444" s="19" t="s">
        <v>124</v>
      </c>
      <c r="C444" s="20">
        <v>6</v>
      </c>
      <c r="D444" s="20">
        <v>2</v>
      </c>
      <c r="E444" s="20">
        <v>0</v>
      </c>
      <c r="F444" s="23" t="s">
        <v>595</v>
      </c>
    </row>
    <row r="445" spans="2:6" s="13" customFormat="1" ht="17.100000000000001" customHeight="1">
      <c r="B445" s="19" t="s">
        <v>124</v>
      </c>
      <c r="C445" s="20">
        <v>6</v>
      </c>
      <c r="D445" s="20">
        <v>3</v>
      </c>
      <c r="E445" s="20">
        <v>0</v>
      </c>
      <c r="F445" s="23" t="s">
        <v>596</v>
      </c>
    </row>
    <row r="446" spans="2:6" s="13" customFormat="1" ht="17.100000000000001" customHeight="1">
      <c r="B446" s="19" t="s">
        <v>124</v>
      </c>
      <c r="C446" s="20">
        <v>6</v>
      </c>
      <c r="D446" s="20">
        <v>3</v>
      </c>
      <c r="E446" s="20">
        <v>1</v>
      </c>
      <c r="F446" s="23" t="s">
        <v>502</v>
      </c>
    </row>
    <row r="447" spans="2:6" s="13" customFormat="1" ht="17.100000000000001" customHeight="1">
      <c r="B447" s="19" t="s">
        <v>124</v>
      </c>
      <c r="C447" s="20">
        <v>6</v>
      </c>
      <c r="D447" s="20">
        <v>3</v>
      </c>
      <c r="E447" s="20">
        <v>2</v>
      </c>
      <c r="F447" s="23" t="s">
        <v>503</v>
      </c>
    </row>
    <row r="448" spans="2:6" s="13" customFormat="1" ht="17.100000000000001" customHeight="1">
      <c r="B448" s="19" t="s">
        <v>124</v>
      </c>
      <c r="C448" s="20">
        <v>6</v>
      </c>
      <c r="D448" s="20">
        <v>3</v>
      </c>
      <c r="E448" s="20">
        <v>3</v>
      </c>
      <c r="F448" s="23" t="s">
        <v>504</v>
      </c>
    </row>
    <row r="449" spans="2:6" s="13" customFormat="1" ht="17.100000000000001" customHeight="1">
      <c r="B449" s="19" t="s">
        <v>124</v>
      </c>
      <c r="C449" s="20">
        <v>6</v>
      </c>
      <c r="D449" s="20">
        <v>3</v>
      </c>
      <c r="E449" s="20">
        <v>4</v>
      </c>
      <c r="F449" s="23" t="s">
        <v>597</v>
      </c>
    </row>
    <row r="450" spans="2:6" s="13" customFormat="1" ht="17.100000000000001" customHeight="1">
      <c r="B450" s="19" t="s">
        <v>124</v>
      </c>
      <c r="C450" s="20">
        <v>6</v>
      </c>
      <c r="D450" s="20">
        <v>3</v>
      </c>
      <c r="E450" s="20">
        <v>5</v>
      </c>
      <c r="F450" s="23" t="s">
        <v>598</v>
      </c>
    </row>
    <row r="451" spans="2:6" s="13" customFormat="1" ht="17.100000000000001" customHeight="1">
      <c r="B451" s="19" t="s">
        <v>124</v>
      </c>
      <c r="C451" s="20">
        <v>6</v>
      </c>
      <c r="D451" s="20">
        <v>3</v>
      </c>
      <c r="E451" s="20">
        <v>6</v>
      </c>
      <c r="F451" s="23" t="s">
        <v>599</v>
      </c>
    </row>
    <row r="452" spans="2:6" s="13" customFormat="1" ht="17.100000000000001" customHeight="1">
      <c r="B452" s="19" t="s">
        <v>124</v>
      </c>
      <c r="C452" s="20">
        <v>6</v>
      </c>
      <c r="D452" s="20">
        <v>3</v>
      </c>
      <c r="E452" s="20">
        <v>7</v>
      </c>
      <c r="F452" s="23" t="s">
        <v>600</v>
      </c>
    </row>
    <row r="453" spans="2:6" s="13" customFormat="1" ht="17.100000000000001" customHeight="1">
      <c r="B453" s="19" t="s">
        <v>124</v>
      </c>
      <c r="C453" s="20">
        <v>6</v>
      </c>
      <c r="D453" s="20">
        <v>3</v>
      </c>
      <c r="E453" s="20">
        <v>8</v>
      </c>
      <c r="F453" s="23" t="s">
        <v>601</v>
      </c>
    </row>
    <row r="454" spans="2:6" s="13" customFormat="1" ht="17.100000000000001" customHeight="1">
      <c r="B454" s="19" t="s">
        <v>124</v>
      </c>
      <c r="C454" s="20">
        <v>6</v>
      </c>
      <c r="D454" s="20">
        <v>3</v>
      </c>
      <c r="E454" s="20">
        <v>9</v>
      </c>
      <c r="F454" s="23" t="s">
        <v>602</v>
      </c>
    </row>
    <row r="455" spans="2:6" s="13" customFormat="1" ht="17.100000000000001" customHeight="1">
      <c r="B455" s="19" t="s">
        <v>124</v>
      </c>
      <c r="C455" s="20">
        <v>6</v>
      </c>
      <c r="D455" s="20">
        <v>3</v>
      </c>
      <c r="E455" s="20">
        <v>10</v>
      </c>
      <c r="F455" s="23" t="s">
        <v>603</v>
      </c>
    </row>
    <row r="456" spans="2:6" s="13" customFormat="1" ht="17.100000000000001" customHeight="1">
      <c r="B456" s="19" t="s">
        <v>124</v>
      </c>
      <c r="C456" s="20">
        <v>6</v>
      </c>
      <c r="D456" s="20">
        <v>3</v>
      </c>
      <c r="E456" s="20">
        <v>11</v>
      </c>
      <c r="F456" s="23" t="s">
        <v>604</v>
      </c>
    </row>
    <row r="457" spans="2:6" s="13" customFormat="1" ht="17.100000000000001" customHeight="1">
      <c r="B457" s="19" t="s">
        <v>124</v>
      </c>
      <c r="C457" s="20">
        <v>6</v>
      </c>
      <c r="D457" s="20">
        <v>3</v>
      </c>
      <c r="E457" s="20">
        <v>12</v>
      </c>
      <c r="F457" s="23" t="s">
        <v>605</v>
      </c>
    </row>
    <row r="458" spans="2:6" s="13" customFormat="1" ht="17.100000000000001" customHeight="1">
      <c r="B458" s="19" t="s">
        <v>124</v>
      </c>
      <c r="C458" s="20">
        <v>6</v>
      </c>
      <c r="D458" s="20">
        <v>4</v>
      </c>
      <c r="E458" s="20">
        <v>0</v>
      </c>
      <c r="F458" s="23" t="s">
        <v>606</v>
      </c>
    </row>
    <row r="459" spans="2:6" s="13" customFormat="1" ht="33.950000000000003" customHeight="1">
      <c r="B459" s="19" t="s">
        <v>124</v>
      </c>
      <c r="C459" s="20">
        <v>6</v>
      </c>
      <c r="D459" s="20">
        <v>5</v>
      </c>
      <c r="E459" s="20">
        <v>0</v>
      </c>
      <c r="F459" s="23" t="s">
        <v>607</v>
      </c>
    </row>
    <row r="460" spans="2:6" s="13" customFormat="1" ht="17.100000000000001" customHeight="1">
      <c r="B460" s="19" t="s">
        <v>124</v>
      </c>
      <c r="C460" s="20">
        <v>7</v>
      </c>
      <c r="D460" s="20">
        <v>0</v>
      </c>
      <c r="E460" s="20">
        <v>0</v>
      </c>
      <c r="F460" s="22" t="s">
        <v>608</v>
      </c>
    </row>
    <row r="461" spans="2:6" s="13" customFormat="1" ht="17.100000000000001" customHeight="1">
      <c r="B461" s="19" t="s">
        <v>124</v>
      </c>
      <c r="C461" s="20">
        <v>7</v>
      </c>
      <c r="D461" s="20">
        <v>1</v>
      </c>
      <c r="E461" s="20">
        <v>0</v>
      </c>
      <c r="F461" s="23" t="s">
        <v>609</v>
      </c>
    </row>
    <row r="462" spans="2:6" s="13" customFormat="1" ht="17.100000000000001" customHeight="1">
      <c r="B462" s="19" t="s">
        <v>131</v>
      </c>
      <c r="C462" s="20">
        <v>0</v>
      </c>
      <c r="D462" s="20">
        <v>0</v>
      </c>
      <c r="E462" s="20">
        <v>0</v>
      </c>
      <c r="F462" s="21" t="s">
        <v>610</v>
      </c>
    </row>
    <row r="463" spans="2:6" s="13" customFormat="1" ht="17.100000000000001" customHeight="1">
      <c r="B463" s="19" t="s">
        <v>131</v>
      </c>
      <c r="C463" s="20">
        <v>1</v>
      </c>
      <c r="D463" s="20">
        <v>0</v>
      </c>
      <c r="E463" s="20">
        <v>0</v>
      </c>
      <c r="F463" s="22" t="s">
        <v>611</v>
      </c>
    </row>
    <row r="464" spans="2:6" s="13" customFormat="1" ht="17.100000000000001" customHeight="1">
      <c r="B464" s="19" t="s">
        <v>131</v>
      </c>
      <c r="C464" s="20">
        <v>1</v>
      </c>
      <c r="D464" s="20">
        <v>1</v>
      </c>
      <c r="E464" s="20">
        <v>0</v>
      </c>
      <c r="F464" s="23" t="s">
        <v>612</v>
      </c>
    </row>
    <row r="465" spans="2:6" s="13" customFormat="1" ht="17.100000000000001" customHeight="1">
      <c r="B465" s="19" t="s">
        <v>131</v>
      </c>
      <c r="C465" s="20">
        <v>1</v>
      </c>
      <c r="D465" s="20">
        <v>2</v>
      </c>
      <c r="E465" s="20">
        <v>0</v>
      </c>
      <c r="F465" s="23" t="s">
        <v>613</v>
      </c>
    </row>
    <row r="466" spans="2:6" s="13" customFormat="1" ht="17.100000000000001" customHeight="1">
      <c r="B466" s="19" t="s">
        <v>131</v>
      </c>
      <c r="C466" s="20">
        <v>2</v>
      </c>
      <c r="D466" s="20">
        <v>0</v>
      </c>
      <c r="E466" s="20">
        <v>0</v>
      </c>
      <c r="F466" s="22" t="s">
        <v>614</v>
      </c>
    </row>
    <row r="467" spans="2:6" s="13" customFormat="1" ht="17.100000000000001" customHeight="1">
      <c r="B467" s="19" t="s">
        <v>131</v>
      </c>
      <c r="C467" s="20">
        <v>2</v>
      </c>
      <c r="D467" s="20">
        <v>1</v>
      </c>
      <c r="E467" s="20">
        <v>0</v>
      </c>
      <c r="F467" s="23" t="s">
        <v>615</v>
      </c>
    </row>
    <row r="468" spans="2:6" s="13" customFormat="1" ht="17.100000000000001" customHeight="1">
      <c r="B468" s="19" t="s">
        <v>131</v>
      </c>
      <c r="C468" s="20">
        <v>2</v>
      </c>
      <c r="D468" s="20">
        <v>2</v>
      </c>
      <c r="E468" s="20">
        <v>0</v>
      </c>
      <c r="F468" s="23" t="s">
        <v>616</v>
      </c>
    </row>
    <row r="469" spans="2:6" s="13" customFormat="1" ht="17.100000000000001" customHeight="1">
      <c r="B469" s="19" t="s">
        <v>131</v>
      </c>
      <c r="C469" s="20">
        <v>2</v>
      </c>
      <c r="D469" s="20">
        <v>3</v>
      </c>
      <c r="E469" s="20">
        <v>0</v>
      </c>
      <c r="F469" s="23" t="s">
        <v>617</v>
      </c>
    </row>
    <row r="470" spans="2:6" s="13" customFormat="1" ht="17.100000000000001" customHeight="1">
      <c r="B470" s="19" t="s">
        <v>134</v>
      </c>
      <c r="C470" s="20">
        <v>0</v>
      </c>
      <c r="D470" s="20">
        <v>0</v>
      </c>
      <c r="E470" s="20">
        <v>0</v>
      </c>
      <c r="F470" s="21" t="s">
        <v>618</v>
      </c>
    </row>
    <row r="471" spans="2:6" s="13" customFormat="1" ht="17.100000000000001" customHeight="1">
      <c r="B471" s="19" t="s">
        <v>134</v>
      </c>
      <c r="C471" s="20">
        <v>1</v>
      </c>
      <c r="D471" s="20">
        <v>0</v>
      </c>
      <c r="E471" s="20">
        <v>0</v>
      </c>
      <c r="F471" s="22" t="s">
        <v>619</v>
      </c>
    </row>
    <row r="472" spans="2:6" s="13" customFormat="1" ht="17.100000000000001" customHeight="1">
      <c r="B472" s="19" t="s">
        <v>134</v>
      </c>
      <c r="C472" s="20">
        <v>1</v>
      </c>
      <c r="D472" s="20">
        <v>1</v>
      </c>
      <c r="E472" s="20">
        <v>0</v>
      </c>
      <c r="F472" s="23" t="s">
        <v>620</v>
      </c>
    </row>
    <row r="473" spans="2:6" s="13" customFormat="1" ht="17.100000000000001" customHeight="1">
      <c r="B473" s="19" t="s">
        <v>134</v>
      </c>
      <c r="C473" s="20">
        <v>1</v>
      </c>
      <c r="D473" s="20">
        <v>2</v>
      </c>
      <c r="E473" s="20">
        <v>0</v>
      </c>
      <c r="F473" s="23" t="s">
        <v>621</v>
      </c>
    </row>
    <row r="474" spans="2:6" s="13" customFormat="1" ht="17.100000000000001" customHeight="1">
      <c r="B474" s="19" t="s">
        <v>136</v>
      </c>
      <c r="C474" s="20">
        <v>0</v>
      </c>
      <c r="D474" s="20">
        <v>0</v>
      </c>
      <c r="E474" s="20">
        <v>0</v>
      </c>
      <c r="F474" s="21" t="s">
        <v>622</v>
      </c>
    </row>
    <row r="475" spans="2:6" s="13" customFormat="1" ht="17.100000000000001" customHeight="1">
      <c r="B475" s="19" t="s">
        <v>136</v>
      </c>
      <c r="C475" s="20">
        <v>1</v>
      </c>
      <c r="D475" s="20">
        <v>0</v>
      </c>
      <c r="E475" s="20">
        <v>0</v>
      </c>
      <c r="F475" s="22" t="s">
        <v>623</v>
      </c>
    </row>
    <row r="476" spans="2:6" s="13" customFormat="1" ht="17.100000000000001" customHeight="1">
      <c r="B476" s="19" t="s">
        <v>136</v>
      </c>
      <c r="C476" s="20">
        <v>1</v>
      </c>
      <c r="D476" s="20">
        <v>1</v>
      </c>
      <c r="E476" s="20">
        <v>0</v>
      </c>
      <c r="F476" s="23" t="s">
        <v>624</v>
      </c>
    </row>
    <row r="477" spans="2:6" s="13" customFormat="1" ht="17.100000000000001" customHeight="1">
      <c r="B477" s="19" t="s">
        <v>136</v>
      </c>
      <c r="C477" s="20">
        <v>1</v>
      </c>
      <c r="D477" s="20">
        <v>2</v>
      </c>
      <c r="E477" s="20">
        <v>0</v>
      </c>
      <c r="F477" s="23" t="s">
        <v>625</v>
      </c>
    </row>
    <row r="478" spans="2:6" s="13" customFormat="1" ht="17.100000000000001" customHeight="1">
      <c r="B478" s="19" t="s">
        <v>136</v>
      </c>
      <c r="C478" s="20">
        <v>2</v>
      </c>
      <c r="D478" s="20">
        <v>0</v>
      </c>
      <c r="E478" s="20">
        <v>0</v>
      </c>
      <c r="F478" s="22" t="s">
        <v>626</v>
      </c>
    </row>
    <row r="479" spans="2:6" s="13" customFormat="1" ht="17.100000000000001" customHeight="1">
      <c r="B479" s="19" t="s">
        <v>136</v>
      </c>
      <c r="C479" s="20">
        <v>2</v>
      </c>
      <c r="D479" s="20">
        <v>1</v>
      </c>
      <c r="E479" s="20">
        <v>0</v>
      </c>
      <c r="F479" s="23" t="s">
        <v>627</v>
      </c>
    </row>
    <row r="480" spans="2:6" s="13" customFormat="1" ht="17.100000000000001" customHeight="1">
      <c r="B480" s="19" t="s">
        <v>139</v>
      </c>
      <c r="C480" s="20">
        <v>0</v>
      </c>
      <c r="D480" s="20">
        <v>0</v>
      </c>
      <c r="E480" s="20">
        <v>0</v>
      </c>
      <c r="F480" s="21" t="s">
        <v>628</v>
      </c>
    </row>
    <row r="481" spans="1:6" s="13" customFormat="1" ht="17.100000000000001" customHeight="1">
      <c r="B481" s="19" t="s">
        <v>139</v>
      </c>
      <c r="C481" s="20">
        <v>1</v>
      </c>
      <c r="D481" s="20">
        <v>0</v>
      </c>
      <c r="E481" s="20">
        <v>0</v>
      </c>
      <c r="F481" s="22" t="s">
        <v>629</v>
      </c>
    </row>
    <row r="482" spans="1:6" s="13" customFormat="1" ht="17.100000000000001" customHeight="1">
      <c r="B482" s="19" t="s">
        <v>139</v>
      </c>
      <c r="C482" s="20">
        <v>1</v>
      </c>
      <c r="D482" s="20">
        <v>1</v>
      </c>
      <c r="E482" s="20">
        <v>0</v>
      </c>
      <c r="F482" s="23" t="s">
        <v>630</v>
      </c>
    </row>
    <row r="483" spans="1:6" s="13" customFormat="1" ht="17.100000000000001" customHeight="1">
      <c r="B483" s="19" t="s">
        <v>139</v>
      </c>
      <c r="C483" s="20">
        <v>2</v>
      </c>
      <c r="D483" s="20">
        <v>0</v>
      </c>
      <c r="E483" s="20">
        <v>0</v>
      </c>
      <c r="F483" s="22" t="s">
        <v>631</v>
      </c>
    </row>
    <row r="484" spans="1:6" s="13" customFormat="1" ht="17.100000000000001" customHeight="1">
      <c r="B484" s="19" t="s">
        <v>139</v>
      </c>
      <c r="C484" s="20">
        <v>2</v>
      </c>
      <c r="D484" s="20">
        <v>1</v>
      </c>
      <c r="E484" s="20">
        <v>0</v>
      </c>
      <c r="F484" s="23" t="s">
        <v>632</v>
      </c>
    </row>
    <row r="485" spans="1:6" s="13" customFormat="1" ht="17.100000000000001" customHeight="1">
      <c r="B485" s="19" t="s">
        <v>139</v>
      </c>
      <c r="C485" s="20">
        <v>3</v>
      </c>
      <c r="D485" s="20">
        <v>0</v>
      </c>
      <c r="E485" s="20">
        <v>0</v>
      </c>
      <c r="F485" s="22" t="s">
        <v>633</v>
      </c>
    </row>
    <row r="486" spans="1:6" s="13" customFormat="1" ht="17.100000000000001" customHeight="1">
      <c r="B486" s="19" t="s">
        <v>139</v>
      </c>
      <c r="C486" s="20">
        <v>3</v>
      </c>
      <c r="D486" s="20">
        <v>1</v>
      </c>
      <c r="E486" s="20">
        <v>0</v>
      </c>
      <c r="F486" s="23" t="s">
        <v>634</v>
      </c>
    </row>
    <row r="487" spans="1:6" s="13" customFormat="1" ht="17.100000000000001" customHeight="1">
      <c r="B487" s="19" t="s">
        <v>143</v>
      </c>
      <c r="C487" s="20">
        <v>0</v>
      </c>
      <c r="D487" s="20">
        <v>0</v>
      </c>
      <c r="E487" s="20">
        <v>0</v>
      </c>
      <c r="F487" s="21" t="s">
        <v>635</v>
      </c>
    </row>
    <row r="488" spans="1:6" s="13" customFormat="1" ht="33.950000000000003" customHeight="1">
      <c r="B488" s="19" t="s">
        <v>143</v>
      </c>
      <c r="C488" s="20">
        <v>1</v>
      </c>
      <c r="D488" s="20">
        <v>0</v>
      </c>
      <c r="E488" s="20">
        <v>0</v>
      </c>
      <c r="F488" s="22" t="s">
        <v>636</v>
      </c>
    </row>
    <row r="489" spans="1:6" s="13" customFormat="1" ht="17.100000000000001" customHeight="1">
      <c r="B489" s="19" t="s">
        <v>143</v>
      </c>
      <c r="C489" s="20">
        <v>1</v>
      </c>
      <c r="D489" s="20">
        <v>1</v>
      </c>
      <c r="E489" s="20">
        <v>0</v>
      </c>
      <c r="F489" s="23" t="s">
        <v>637</v>
      </c>
    </row>
    <row r="490" spans="1:6" s="13" customFormat="1" ht="17.100000000000001" customHeight="1">
      <c r="B490" s="19" t="s">
        <v>143</v>
      </c>
      <c r="C490" s="20">
        <v>2</v>
      </c>
      <c r="D490" s="20">
        <v>0</v>
      </c>
      <c r="E490" s="20">
        <v>0</v>
      </c>
      <c r="F490" s="22" t="s">
        <v>638</v>
      </c>
    </row>
    <row r="491" spans="1:6" s="13" customFormat="1" ht="33.950000000000003" customHeight="1">
      <c r="B491" s="19" t="s">
        <v>143</v>
      </c>
      <c r="C491" s="20">
        <v>2</v>
      </c>
      <c r="D491" s="20">
        <v>1</v>
      </c>
      <c r="E491" s="20">
        <v>0</v>
      </c>
      <c r="F491" s="23" t="s">
        <v>639</v>
      </c>
    </row>
    <row r="492" spans="1:6" s="13" customFormat="1" ht="33.950000000000003" customHeight="1">
      <c r="B492" t="s">
        <v>143</v>
      </c>
      <c r="C492">
        <v>2</v>
      </c>
      <c r="D492">
        <v>1</v>
      </c>
      <c r="E492">
        <v>1</v>
      </c>
      <c r="F492" t="s">
        <v>640</v>
      </c>
    </row>
    <row r="493" spans="1:6" s="13" customFormat="1" ht="17.100000000000001" customHeight="1">
      <c r="A493" s="59"/>
      <c r="B493" s="19" t="s">
        <v>143</v>
      </c>
      <c r="C493" s="20">
        <v>2</v>
      </c>
      <c r="D493" s="20">
        <v>1</v>
      </c>
      <c r="E493" s="20">
        <v>2</v>
      </c>
      <c r="F493" s="23" t="s">
        <v>641</v>
      </c>
    </row>
    <row r="494" spans="1:6" s="13" customFormat="1" ht="17.100000000000001" customHeight="1">
      <c r="B494" s="19" t="s">
        <v>143</v>
      </c>
      <c r="C494" s="20">
        <v>2</v>
      </c>
      <c r="D494" s="20">
        <v>1</v>
      </c>
      <c r="E494" s="20">
        <v>3</v>
      </c>
      <c r="F494" s="23" t="s">
        <v>642</v>
      </c>
    </row>
    <row r="495" spans="1:6" s="13" customFormat="1" ht="17.100000000000001" customHeight="1">
      <c r="B495" s="19" t="s">
        <v>143</v>
      </c>
      <c r="C495" s="20">
        <v>2</v>
      </c>
      <c r="D495" s="20">
        <v>1</v>
      </c>
      <c r="E495" s="20">
        <v>4</v>
      </c>
      <c r="F495" s="23" t="s">
        <v>643</v>
      </c>
    </row>
    <row r="496" spans="1:6" s="13" customFormat="1" ht="33.950000000000003" customHeight="1">
      <c r="B496" s="19" t="s">
        <v>143</v>
      </c>
      <c r="C496" s="20">
        <v>2</v>
      </c>
      <c r="D496" s="20">
        <v>1</v>
      </c>
      <c r="E496" s="20">
        <v>5</v>
      </c>
      <c r="F496" s="23" t="s">
        <v>644</v>
      </c>
    </row>
    <row r="497" spans="2:6" s="13" customFormat="1" ht="17.100000000000001" customHeight="1">
      <c r="B497" s="19" t="s">
        <v>143</v>
      </c>
      <c r="C497" s="20">
        <v>3</v>
      </c>
      <c r="D497" s="20">
        <v>0</v>
      </c>
      <c r="E497" s="20">
        <v>0</v>
      </c>
      <c r="F497" s="22" t="s">
        <v>645</v>
      </c>
    </row>
    <row r="498" spans="2:6" s="13" customFormat="1" ht="17.100000000000001" customHeight="1">
      <c r="B498" s="19" t="s">
        <v>143</v>
      </c>
      <c r="C498" s="20">
        <v>3</v>
      </c>
      <c r="D498" s="20">
        <v>1</v>
      </c>
      <c r="E498" s="20">
        <v>0</v>
      </c>
      <c r="F498" s="23" t="s">
        <v>646</v>
      </c>
    </row>
    <row r="499" spans="2:6" s="13" customFormat="1" ht="17.100000000000001" customHeight="1">
      <c r="B499" s="19" t="s">
        <v>143</v>
      </c>
      <c r="C499" s="20">
        <v>3</v>
      </c>
      <c r="D499" s="20">
        <v>1</v>
      </c>
      <c r="E499" s="20">
        <v>1</v>
      </c>
      <c r="F499" s="23" t="s">
        <v>647</v>
      </c>
    </row>
    <row r="500" spans="2:6" s="13" customFormat="1" ht="17.100000000000001" customHeight="1">
      <c r="B500" s="19" t="s">
        <v>143</v>
      </c>
      <c r="C500" s="20">
        <v>3</v>
      </c>
      <c r="D500" s="20">
        <v>1</v>
      </c>
      <c r="E500" s="20">
        <v>2</v>
      </c>
      <c r="F500" s="23" t="s">
        <v>648</v>
      </c>
    </row>
    <row r="501" spans="2:6" s="13" customFormat="1" ht="17.100000000000001" customHeight="1">
      <c r="B501" s="19" t="s">
        <v>143</v>
      </c>
      <c r="C501" s="20">
        <v>3</v>
      </c>
      <c r="D501" s="20">
        <v>1</v>
      </c>
      <c r="E501" s="20">
        <v>3</v>
      </c>
      <c r="F501" s="23" t="s">
        <v>649</v>
      </c>
    </row>
    <row r="502" spans="2:6" s="13" customFormat="1" ht="17.100000000000001" customHeight="1">
      <c r="B502" s="19" t="s">
        <v>143</v>
      </c>
      <c r="C502" s="20">
        <v>3</v>
      </c>
      <c r="D502" s="20">
        <v>2</v>
      </c>
      <c r="E502" s="20">
        <v>0</v>
      </c>
      <c r="F502" s="23" t="s">
        <v>650</v>
      </c>
    </row>
    <row r="503" spans="2:6" s="13" customFormat="1" ht="17.100000000000001" customHeight="1">
      <c r="B503" s="19" t="s">
        <v>143</v>
      </c>
      <c r="C503" s="20">
        <v>3</v>
      </c>
      <c r="D503" s="20">
        <v>2</v>
      </c>
      <c r="E503" s="20">
        <v>1</v>
      </c>
      <c r="F503" s="23" t="s">
        <v>651</v>
      </c>
    </row>
    <row r="504" spans="2:6" s="13" customFormat="1" ht="17.100000000000001" customHeight="1">
      <c r="B504" s="19" t="s">
        <v>143</v>
      </c>
      <c r="C504" s="20">
        <v>3</v>
      </c>
      <c r="D504" s="20">
        <v>2</v>
      </c>
      <c r="E504" s="20">
        <v>2</v>
      </c>
      <c r="F504" s="23" t="s">
        <v>652</v>
      </c>
    </row>
    <row r="505" spans="2:6" s="13" customFormat="1" ht="17.100000000000001" customHeight="1">
      <c r="B505" s="19" t="s">
        <v>143</v>
      </c>
      <c r="C505" s="20">
        <v>3</v>
      </c>
      <c r="D505" s="20">
        <v>3</v>
      </c>
      <c r="E505" s="20">
        <v>0</v>
      </c>
      <c r="F505" s="23" t="s">
        <v>653</v>
      </c>
    </row>
    <row r="506" spans="2:6" s="13" customFormat="1" ht="17.100000000000001" customHeight="1">
      <c r="B506" s="19" t="s">
        <v>146</v>
      </c>
      <c r="C506" s="20">
        <v>0</v>
      </c>
      <c r="D506" s="20">
        <v>0</v>
      </c>
      <c r="E506" s="20">
        <v>0</v>
      </c>
      <c r="F506" s="21" t="s">
        <v>654</v>
      </c>
    </row>
    <row r="507" spans="2:6" s="13" customFormat="1" ht="17.100000000000001" customHeight="1">
      <c r="B507" s="19" t="s">
        <v>146</v>
      </c>
      <c r="C507" s="20">
        <v>1</v>
      </c>
      <c r="D507" s="20">
        <v>0</v>
      </c>
      <c r="E507" s="20">
        <v>0</v>
      </c>
      <c r="F507" s="22" t="s">
        <v>655</v>
      </c>
    </row>
    <row r="508" spans="2:6" s="13" customFormat="1" ht="17.100000000000001" customHeight="1">
      <c r="B508" s="19" t="s">
        <v>146</v>
      </c>
      <c r="C508" s="20">
        <v>1</v>
      </c>
      <c r="D508" s="20">
        <v>1</v>
      </c>
      <c r="E508" s="20">
        <v>0</v>
      </c>
      <c r="F508" s="23" t="s">
        <v>656</v>
      </c>
    </row>
    <row r="509" spans="2:6" s="13" customFormat="1" ht="17.100000000000001" customHeight="1">
      <c r="B509" s="19" t="s">
        <v>146</v>
      </c>
      <c r="C509" s="20">
        <v>1</v>
      </c>
      <c r="D509" s="20">
        <v>2</v>
      </c>
      <c r="E509" s="20">
        <v>0</v>
      </c>
      <c r="F509" s="23" t="s">
        <v>657</v>
      </c>
    </row>
    <row r="510" spans="2:6" s="13" customFormat="1" ht="17.100000000000001" customHeight="1">
      <c r="B510" s="19" t="s">
        <v>146</v>
      </c>
      <c r="C510" s="20">
        <v>2</v>
      </c>
      <c r="D510" s="20">
        <v>0</v>
      </c>
      <c r="E510" s="20">
        <v>0</v>
      </c>
      <c r="F510" s="22" t="s">
        <v>658</v>
      </c>
    </row>
    <row r="511" spans="2:6" s="13" customFormat="1" ht="17.100000000000001" customHeight="1">
      <c r="B511" s="19" t="s">
        <v>146</v>
      </c>
      <c r="C511" s="20">
        <v>2</v>
      </c>
      <c r="D511" s="20">
        <v>1</v>
      </c>
      <c r="E511" s="20">
        <v>0</v>
      </c>
      <c r="F511" s="23" t="s">
        <v>659</v>
      </c>
    </row>
    <row r="512" spans="2:6" s="13" customFormat="1" ht="17.100000000000001" customHeight="1">
      <c r="B512" s="19" t="s">
        <v>146</v>
      </c>
      <c r="C512" s="20">
        <v>2</v>
      </c>
      <c r="D512" s="20">
        <v>2</v>
      </c>
      <c r="E512" s="20">
        <v>0</v>
      </c>
      <c r="F512" s="23" t="s">
        <v>660</v>
      </c>
    </row>
    <row r="513" spans="2:6" s="13" customFormat="1" ht="17.100000000000001" customHeight="1">
      <c r="B513" s="19" t="s">
        <v>146</v>
      </c>
      <c r="C513" s="20">
        <v>2</v>
      </c>
      <c r="D513" s="20">
        <v>3</v>
      </c>
      <c r="E513" s="20">
        <v>0</v>
      </c>
      <c r="F513" s="23" t="s">
        <v>661</v>
      </c>
    </row>
    <row r="514" spans="2:6" s="13" customFormat="1" ht="17.100000000000001" customHeight="1">
      <c r="B514" s="19" t="s">
        <v>146</v>
      </c>
      <c r="C514" s="20">
        <v>3</v>
      </c>
      <c r="D514" s="20">
        <v>0</v>
      </c>
      <c r="E514" s="20">
        <v>0</v>
      </c>
      <c r="F514" s="22" t="s">
        <v>662</v>
      </c>
    </row>
    <row r="515" spans="2:6" s="13" customFormat="1" ht="17.100000000000001" customHeight="1">
      <c r="B515" s="19" t="s">
        <v>146</v>
      </c>
      <c r="C515" s="20">
        <v>3</v>
      </c>
      <c r="D515" s="20">
        <v>1</v>
      </c>
      <c r="E515" s="20">
        <v>0</v>
      </c>
      <c r="F515" s="23" t="s">
        <v>663</v>
      </c>
    </row>
    <row r="516" spans="2:6" s="13" customFormat="1" ht="17.100000000000001" customHeight="1">
      <c r="B516" s="19" t="s">
        <v>146</v>
      </c>
      <c r="C516" s="20">
        <v>3</v>
      </c>
      <c r="D516" s="20">
        <v>2</v>
      </c>
      <c r="E516" s="20">
        <v>0</v>
      </c>
      <c r="F516" s="23" t="s">
        <v>664</v>
      </c>
    </row>
    <row r="517" spans="2:6" s="13" customFormat="1" ht="17.100000000000001" customHeight="1">
      <c r="B517" s="19" t="s">
        <v>146</v>
      </c>
      <c r="C517" s="20">
        <v>3</v>
      </c>
      <c r="D517" s="20">
        <v>3</v>
      </c>
      <c r="E517" s="20">
        <v>0</v>
      </c>
      <c r="F517" s="23" t="s">
        <v>665</v>
      </c>
    </row>
    <row r="518" spans="2:6" s="13" customFormat="1" ht="17.100000000000001" customHeight="1">
      <c r="B518" s="19" t="s">
        <v>146</v>
      </c>
      <c r="C518" s="20">
        <v>3</v>
      </c>
      <c r="D518" s="20">
        <v>4</v>
      </c>
      <c r="E518" s="20">
        <v>0</v>
      </c>
      <c r="F518" s="23" t="s">
        <v>666</v>
      </c>
    </row>
    <row r="519" spans="2:6" s="13" customFormat="1" ht="17.100000000000001" customHeight="1">
      <c r="B519" s="19" t="s">
        <v>146</v>
      </c>
      <c r="C519" s="20">
        <v>4</v>
      </c>
      <c r="D519" s="20">
        <v>0</v>
      </c>
      <c r="E519" s="20">
        <v>0</v>
      </c>
      <c r="F519" s="22" t="s">
        <v>667</v>
      </c>
    </row>
    <row r="520" spans="2:6" s="13" customFormat="1" ht="17.100000000000001" customHeight="1">
      <c r="B520" s="19" t="s">
        <v>146</v>
      </c>
      <c r="C520" s="20">
        <v>4</v>
      </c>
      <c r="D520" s="20">
        <v>1</v>
      </c>
      <c r="E520" s="20">
        <v>0</v>
      </c>
      <c r="F520" s="23" t="s">
        <v>668</v>
      </c>
    </row>
    <row r="521" spans="2:6" s="13" customFormat="1" ht="17.100000000000001" customHeight="1">
      <c r="B521" s="19" t="s">
        <v>146</v>
      </c>
      <c r="C521" s="20">
        <v>4</v>
      </c>
      <c r="D521" s="20">
        <v>2</v>
      </c>
      <c r="E521" s="20">
        <v>0</v>
      </c>
      <c r="F521" s="23" t="s">
        <v>669</v>
      </c>
    </row>
    <row r="522" spans="2:6" s="13" customFormat="1" ht="17.100000000000001" customHeight="1">
      <c r="B522" s="19" t="s">
        <v>146</v>
      </c>
      <c r="C522" s="20">
        <v>4</v>
      </c>
      <c r="D522" s="20">
        <v>3</v>
      </c>
      <c r="E522" s="20">
        <v>0</v>
      </c>
      <c r="F522" s="23" t="s">
        <v>670</v>
      </c>
    </row>
    <row r="523" spans="2:6" s="13" customFormat="1" ht="17.100000000000001" customHeight="1">
      <c r="B523" s="19" t="s">
        <v>146</v>
      </c>
      <c r="C523" s="20">
        <v>5</v>
      </c>
      <c r="D523" s="20">
        <v>0</v>
      </c>
      <c r="E523" s="20">
        <v>0</v>
      </c>
      <c r="F523" s="22" t="s">
        <v>671</v>
      </c>
    </row>
    <row r="524" spans="2:6" s="13" customFormat="1" ht="17.100000000000001" customHeight="1">
      <c r="B524" s="19" t="s">
        <v>146</v>
      </c>
      <c r="C524" s="20">
        <v>5</v>
      </c>
      <c r="D524" s="20">
        <v>1</v>
      </c>
      <c r="E524" s="20">
        <v>0</v>
      </c>
      <c r="F524" s="23" t="s">
        <v>672</v>
      </c>
    </row>
    <row r="525" spans="2:6" s="13" customFormat="1" ht="17.100000000000001" customHeight="1">
      <c r="B525" s="19" t="s">
        <v>146</v>
      </c>
      <c r="C525" s="20">
        <v>5</v>
      </c>
      <c r="D525" s="20">
        <v>2</v>
      </c>
      <c r="E525" s="20">
        <v>0</v>
      </c>
      <c r="F525" s="23" t="s">
        <v>673</v>
      </c>
    </row>
    <row r="526" spans="2:6" s="13" customFormat="1" ht="17.100000000000001" customHeight="1">
      <c r="B526" s="19" t="s">
        <v>146</v>
      </c>
      <c r="C526" s="20">
        <v>5</v>
      </c>
      <c r="D526" s="20">
        <v>3</v>
      </c>
      <c r="E526" s="20">
        <v>0</v>
      </c>
      <c r="F526" s="23" t="s">
        <v>674</v>
      </c>
    </row>
    <row r="527" spans="2:6" s="13" customFormat="1" ht="17.100000000000001" customHeight="1">
      <c r="B527" s="19" t="s">
        <v>146</v>
      </c>
      <c r="C527" s="20">
        <v>6</v>
      </c>
      <c r="D527" s="20">
        <v>0</v>
      </c>
      <c r="E527" s="20">
        <v>0</v>
      </c>
      <c r="F527" s="22" t="s">
        <v>675</v>
      </c>
    </row>
    <row r="528" spans="2:6" s="13" customFormat="1" ht="17.100000000000001" customHeight="1">
      <c r="B528" s="19" t="s">
        <v>146</v>
      </c>
      <c r="C528" s="20">
        <v>6</v>
      </c>
      <c r="D528" s="20">
        <v>1</v>
      </c>
      <c r="E528" s="20">
        <v>0</v>
      </c>
      <c r="F528" s="23" t="s">
        <v>676</v>
      </c>
    </row>
    <row r="529" spans="2:6" s="13" customFormat="1" ht="33.950000000000003" customHeight="1">
      <c r="B529" s="19" t="s">
        <v>146</v>
      </c>
      <c r="C529" s="20">
        <v>7</v>
      </c>
      <c r="D529" s="20">
        <v>0</v>
      </c>
      <c r="E529" s="20">
        <v>0</v>
      </c>
      <c r="F529" s="22" t="s">
        <v>677</v>
      </c>
    </row>
    <row r="530" spans="2:6" s="13" customFormat="1" ht="17.100000000000001" customHeight="1">
      <c r="B530" s="19" t="s">
        <v>146</v>
      </c>
      <c r="C530" s="20">
        <v>7</v>
      </c>
      <c r="D530" s="20">
        <v>1</v>
      </c>
      <c r="E530" s="20">
        <v>0</v>
      </c>
      <c r="F530" s="23" t="s">
        <v>678</v>
      </c>
    </row>
    <row r="531" spans="2:6" s="13" customFormat="1" ht="17.100000000000001" customHeight="1">
      <c r="B531" s="19" t="s">
        <v>146</v>
      </c>
      <c r="C531" s="20">
        <v>7</v>
      </c>
      <c r="D531" s="20">
        <v>2</v>
      </c>
      <c r="E531" s="20">
        <v>0</v>
      </c>
      <c r="F531" s="23" t="s">
        <v>679</v>
      </c>
    </row>
    <row r="532" spans="2:6" s="13" customFormat="1" ht="17.100000000000001" customHeight="1">
      <c r="B532" s="19" t="s">
        <v>146</v>
      </c>
      <c r="C532" s="20">
        <v>7</v>
      </c>
      <c r="D532" s="20">
        <v>3</v>
      </c>
      <c r="E532" s="20">
        <v>0</v>
      </c>
      <c r="F532" s="23" t="s">
        <v>680</v>
      </c>
    </row>
    <row r="533" spans="2:6" s="13" customFormat="1" ht="17.100000000000001" customHeight="1">
      <c r="B533" s="19" t="s">
        <v>146</v>
      </c>
      <c r="C533" s="20">
        <v>7</v>
      </c>
      <c r="D533" s="20">
        <v>4</v>
      </c>
      <c r="E533" s="20">
        <v>0</v>
      </c>
      <c r="F533" s="23" t="s">
        <v>681</v>
      </c>
    </row>
    <row r="534" spans="2:6" s="13" customFormat="1" ht="17.100000000000001" customHeight="1">
      <c r="B534" s="19" t="s">
        <v>146</v>
      </c>
      <c r="C534" s="20">
        <v>7</v>
      </c>
      <c r="D534" s="20">
        <v>5</v>
      </c>
      <c r="E534" s="20">
        <v>0</v>
      </c>
      <c r="F534" s="23" t="s">
        <v>682</v>
      </c>
    </row>
    <row r="535" spans="2:6" s="13" customFormat="1" ht="17.100000000000001" customHeight="1">
      <c r="B535" s="19" t="s">
        <v>146</v>
      </c>
      <c r="C535" s="20">
        <v>8</v>
      </c>
      <c r="D535" s="20">
        <v>0</v>
      </c>
      <c r="E535" s="20">
        <v>0</v>
      </c>
      <c r="F535" s="22" t="s">
        <v>683</v>
      </c>
    </row>
    <row r="536" spans="2:6" s="13" customFormat="1" ht="17.100000000000001" customHeight="1">
      <c r="B536" s="19" t="s">
        <v>146</v>
      </c>
      <c r="C536" s="20">
        <v>8</v>
      </c>
      <c r="D536" s="20">
        <v>1</v>
      </c>
      <c r="E536" s="20">
        <v>0</v>
      </c>
      <c r="F536" s="23" t="s">
        <v>684</v>
      </c>
    </row>
    <row r="537" spans="2:6" s="13" customFormat="1" ht="17.100000000000001" customHeight="1">
      <c r="B537" s="19" t="s">
        <v>146</v>
      </c>
      <c r="C537" s="20">
        <v>9</v>
      </c>
      <c r="D537" s="20">
        <v>0</v>
      </c>
      <c r="E537" s="20">
        <v>0</v>
      </c>
      <c r="F537" s="22" t="s">
        <v>685</v>
      </c>
    </row>
    <row r="538" spans="2:6" s="13" customFormat="1" ht="17.100000000000001" customHeight="1">
      <c r="B538" s="19" t="s">
        <v>146</v>
      </c>
      <c r="C538" s="20">
        <v>9</v>
      </c>
      <c r="D538" s="20">
        <v>1</v>
      </c>
      <c r="E538" s="20">
        <v>0</v>
      </c>
      <c r="F538" s="23" t="s">
        <v>686</v>
      </c>
    </row>
    <row r="539" spans="2:6" s="13" customFormat="1" ht="17.100000000000001" customHeight="1">
      <c r="B539" s="19" t="s">
        <v>155</v>
      </c>
      <c r="C539" s="20">
        <v>0</v>
      </c>
      <c r="D539" s="20">
        <v>0</v>
      </c>
      <c r="E539" s="20">
        <v>0</v>
      </c>
      <c r="F539" s="21" t="s">
        <v>687</v>
      </c>
    </row>
    <row r="540" spans="2:6" s="13" customFormat="1" ht="17.100000000000001" customHeight="1">
      <c r="B540" s="19" t="s">
        <v>155</v>
      </c>
      <c r="C540" s="20">
        <v>1</v>
      </c>
      <c r="D540" s="20">
        <v>0</v>
      </c>
      <c r="E540" s="20">
        <v>0</v>
      </c>
      <c r="F540" s="22" t="s">
        <v>688</v>
      </c>
    </row>
    <row r="541" spans="2:6" s="13" customFormat="1" ht="17.100000000000001" customHeight="1">
      <c r="B541" s="19" t="s">
        <v>155</v>
      </c>
      <c r="C541" s="20">
        <v>1</v>
      </c>
      <c r="D541" s="20">
        <v>1</v>
      </c>
      <c r="E541" s="20">
        <v>0</v>
      </c>
      <c r="F541" s="23" t="s">
        <v>689</v>
      </c>
    </row>
    <row r="542" spans="2:6" s="13" customFormat="1" ht="17.100000000000001" customHeight="1">
      <c r="B542" s="19" t="s">
        <v>155</v>
      </c>
      <c r="C542" s="20">
        <v>1</v>
      </c>
      <c r="D542" s="20">
        <v>2</v>
      </c>
      <c r="E542" s="20">
        <v>0</v>
      </c>
      <c r="F542" s="23" t="s">
        <v>690</v>
      </c>
    </row>
    <row r="543" spans="2:6" s="13" customFormat="1" ht="17.100000000000001" customHeight="1">
      <c r="B543" s="19" t="s">
        <v>155</v>
      </c>
      <c r="C543" s="20">
        <v>1</v>
      </c>
      <c r="D543" s="20">
        <v>3</v>
      </c>
      <c r="E543" s="20">
        <v>0</v>
      </c>
      <c r="F543" s="23" t="s">
        <v>691</v>
      </c>
    </row>
    <row r="544" spans="2:6" s="13" customFormat="1" ht="17.100000000000001" customHeight="1">
      <c r="B544" s="19" t="s">
        <v>155</v>
      </c>
      <c r="C544" s="20">
        <v>1</v>
      </c>
      <c r="D544" s="20">
        <v>4</v>
      </c>
      <c r="E544" s="20">
        <v>0</v>
      </c>
      <c r="F544" s="23" t="s">
        <v>692</v>
      </c>
    </row>
    <row r="545" spans="1:6" s="13" customFormat="1" ht="17.100000000000001" customHeight="1">
      <c r="B545" s="19" t="s">
        <v>155</v>
      </c>
      <c r="C545" s="20">
        <v>2</v>
      </c>
      <c r="D545" s="20">
        <v>0</v>
      </c>
      <c r="E545" s="20">
        <v>0</v>
      </c>
      <c r="F545" s="22" t="s">
        <v>693</v>
      </c>
    </row>
    <row r="546" spans="1:6" s="13" customFormat="1" ht="17.100000000000001" customHeight="1">
      <c r="B546" s="19" t="s">
        <v>155</v>
      </c>
      <c r="C546" s="20">
        <v>2</v>
      </c>
      <c r="D546" s="20">
        <v>1</v>
      </c>
      <c r="E546" s="20">
        <v>0</v>
      </c>
      <c r="F546" s="23" t="s">
        <v>694</v>
      </c>
    </row>
    <row r="547" spans="1:6" s="13" customFormat="1" ht="17.100000000000001" customHeight="1">
      <c r="B547" s="19" t="s">
        <v>155</v>
      </c>
      <c r="C547" s="20">
        <v>2</v>
      </c>
      <c r="D547" s="20">
        <v>2</v>
      </c>
      <c r="E547" s="20">
        <v>0</v>
      </c>
      <c r="F547" s="23" t="s">
        <v>695</v>
      </c>
    </row>
    <row r="548" spans="1:6" s="13" customFormat="1" ht="17.100000000000001" customHeight="1">
      <c r="B548" s="19" t="s">
        <v>155</v>
      </c>
      <c r="C548" s="20">
        <v>2</v>
      </c>
      <c r="D548" s="20">
        <v>3</v>
      </c>
      <c r="E548" s="20">
        <v>0</v>
      </c>
      <c r="F548" s="23" t="s">
        <v>696</v>
      </c>
    </row>
    <row r="549" spans="1:6" s="13" customFormat="1" ht="17.100000000000001" customHeight="1">
      <c r="B549" s="19" t="s">
        <v>155</v>
      </c>
      <c r="C549" s="20">
        <v>3</v>
      </c>
      <c r="D549" s="20">
        <v>0</v>
      </c>
      <c r="E549" s="20">
        <v>0</v>
      </c>
      <c r="F549" s="22" t="s">
        <v>697</v>
      </c>
    </row>
    <row r="550" spans="1:6" s="13" customFormat="1" ht="17.100000000000001" customHeight="1">
      <c r="B550" s="19" t="s">
        <v>155</v>
      </c>
      <c r="C550" s="20">
        <v>3</v>
      </c>
      <c r="D550" s="20">
        <v>1</v>
      </c>
      <c r="E550" s="20">
        <v>0</v>
      </c>
      <c r="F550" s="23" t="s">
        <v>698</v>
      </c>
    </row>
    <row r="551" spans="1:6" s="13" customFormat="1" ht="17.100000000000001" customHeight="1">
      <c r="B551" s="19" t="s">
        <v>155</v>
      </c>
      <c r="C551" s="20">
        <v>3</v>
      </c>
      <c r="D551" s="20">
        <v>2</v>
      </c>
      <c r="E551" s="20">
        <v>0</v>
      </c>
      <c r="F551" s="23" t="s">
        <v>699</v>
      </c>
    </row>
    <row r="552" spans="1:6" s="13" customFormat="1" ht="17.100000000000001" customHeight="1">
      <c r="B552" s="19" t="s">
        <v>155</v>
      </c>
      <c r="C552" s="20">
        <v>4</v>
      </c>
      <c r="D552" s="20">
        <v>0</v>
      </c>
      <c r="E552" s="20">
        <v>0</v>
      </c>
      <c r="F552" s="22" t="s">
        <v>700</v>
      </c>
    </row>
    <row r="553" spans="1:6" s="13" customFormat="1" ht="17.100000000000001" customHeight="1">
      <c r="A553" s="58"/>
      <c r="B553" s="19" t="s">
        <v>155</v>
      </c>
      <c r="C553" s="20">
        <v>4</v>
      </c>
      <c r="D553" s="20">
        <v>1</v>
      </c>
      <c r="E553" s="20">
        <v>0</v>
      </c>
      <c r="F553" s="23" t="s">
        <v>701</v>
      </c>
    </row>
    <row r="554" spans="1:6" s="13" customFormat="1" ht="17.100000000000001" customHeight="1">
      <c r="B554" t="s">
        <v>155</v>
      </c>
      <c r="C554">
        <v>4</v>
      </c>
      <c r="D554">
        <v>1</v>
      </c>
      <c r="E554">
        <v>1</v>
      </c>
      <c r="F554" t="s">
        <v>702</v>
      </c>
    </row>
    <row r="555" spans="1:6" s="13" customFormat="1" ht="17.100000000000001" customHeight="1">
      <c r="B555" t="s">
        <v>155</v>
      </c>
      <c r="C555">
        <v>4</v>
      </c>
      <c r="D555">
        <v>1</v>
      </c>
      <c r="E555">
        <v>2</v>
      </c>
      <c r="F555" t="s">
        <v>703</v>
      </c>
    </row>
    <row r="556" spans="1:6" s="13" customFormat="1" ht="17.100000000000001" customHeight="1">
      <c r="B556" t="s">
        <v>155</v>
      </c>
      <c r="C556">
        <v>4</v>
      </c>
      <c r="D556">
        <v>1</v>
      </c>
      <c r="E556">
        <v>3</v>
      </c>
      <c r="F556" t="s">
        <v>704</v>
      </c>
    </row>
    <row r="557" spans="1:6" s="13" customFormat="1" ht="17.100000000000001" customHeight="1">
      <c r="B557" t="s">
        <v>155</v>
      </c>
      <c r="C557">
        <v>4</v>
      </c>
      <c r="D557">
        <v>1</v>
      </c>
      <c r="E557">
        <v>4</v>
      </c>
      <c r="F557" t="s">
        <v>705</v>
      </c>
    </row>
    <row r="558" spans="1:6" s="13" customFormat="1" ht="17.100000000000001" customHeight="1">
      <c r="B558" t="s">
        <v>155</v>
      </c>
      <c r="C558">
        <v>4</v>
      </c>
      <c r="D558">
        <v>1</v>
      </c>
      <c r="E558">
        <v>5</v>
      </c>
      <c r="F558" t="s">
        <v>706</v>
      </c>
    </row>
    <row r="559" spans="1:6" s="13" customFormat="1" ht="17.100000000000001" customHeight="1">
      <c r="B559" s="19" t="s">
        <v>155</v>
      </c>
      <c r="C559" s="20">
        <v>5</v>
      </c>
      <c r="D559" s="20">
        <v>0</v>
      </c>
      <c r="E559" s="20">
        <v>0</v>
      </c>
      <c r="F559" s="22" t="s">
        <v>707</v>
      </c>
    </row>
    <row r="560" spans="1:6" s="13" customFormat="1" ht="17.100000000000001" customHeight="1">
      <c r="B560" s="19" t="s">
        <v>155</v>
      </c>
      <c r="C560" s="20">
        <v>5</v>
      </c>
      <c r="D560" s="20">
        <v>1</v>
      </c>
      <c r="E560" s="20">
        <v>0</v>
      </c>
      <c r="F560" s="23" t="s">
        <v>708</v>
      </c>
    </row>
    <row r="561" spans="2:6" s="13" customFormat="1" ht="17.100000000000001" customHeight="1">
      <c r="B561" s="19" t="s">
        <v>155</v>
      </c>
      <c r="C561" s="20">
        <v>6</v>
      </c>
      <c r="D561" s="20">
        <v>0</v>
      </c>
      <c r="E561" s="20">
        <v>0</v>
      </c>
      <c r="F561" s="22" t="s">
        <v>709</v>
      </c>
    </row>
    <row r="562" spans="2:6" s="13" customFormat="1" ht="17.100000000000001" customHeight="1">
      <c r="B562" s="19" t="s">
        <v>155</v>
      </c>
      <c r="C562" s="20">
        <v>6</v>
      </c>
      <c r="D562" s="20">
        <v>1</v>
      </c>
      <c r="E562" s="20">
        <v>0</v>
      </c>
      <c r="F562" s="23" t="s">
        <v>710</v>
      </c>
    </row>
    <row r="563" spans="2:6" s="13" customFormat="1" ht="17.100000000000001" customHeight="1">
      <c r="B563" s="19" t="s">
        <v>155</v>
      </c>
      <c r="C563" s="20">
        <v>7</v>
      </c>
      <c r="D563" s="20">
        <v>0</v>
      </c>
      <c r="E563" s="20">
        <v>0</v>
      </c>
      <c r="F563" s="22" t="s">
        <v>711</v>
      </c>
    </row>
    <row r="564" spans="2:6" s="13" customFormat="1" ht="17.100000000000001" customHeight="1">
      <c r="B564" s="19" t="s">
        <v>155</v>
      </c>
      <c r="C564" s="20">
        <v>7</v>
      </c>
      <c r="D564" s="20">
        <v>1</v>
      </c>
      <c r="E564" s="20">
        <v>0</v>
      </c>
      <c r="F564" s="23" t="s">
        <v>712</v>
      </c>
    </row>
    <row r="565" spans="2:6" s="13" customFormat="1" ht="17.100000000000001" customHeight="1">
      <c r="B565" s="19" t="s">
        <v>155</v>
      </c>
      <c r="C565" s="20">
        <v>7</v>
      </c>
      <c r="D565" s="20">
        <v>2</v>
      </c>
      <c r="E565" s="20">
        <v>0</v>
      </c>
      <c r="F565" s="23" t="s">
        <v>713</v>
      </c>
    </row>
    <row r="566" spans="2:6" s="13" customFormat="1" ht="17.100000000000001" customHeight="1">
      <c r="B566" s="19" t="s">
        <v>155</v>
      </c>
      <c r="C566" s="20">
        <v>8</v>
      </c>
      <c r="D566" s="20">
        <v>0</v>
      </c>
      <c r="E566" s="20">
        <v>0</v>
      </c>
      <c r="F566" s="22" t="s">
        <v>714</v>
      </c>
    </row>
    <row r="567" spans="2:6" s="13" customFormat="1" ht="17.100000000000001" customHeight="1">
      <c r="B567" s="19" t="s">
        <v>155</v>
      </c>
      <c r="C567" s="20">
        <v>8</v>
      </c>
      <c r="D567" s="20">
        <v>1</v>
      </c>
      <c r="E567" s="20">
        <v>0</v>
      </c>
      <c r="F567" s="23" t="s">
        <v>715</v>
      </c>
    </row>
    <row r="568" spans="2:6" s="13" customFormat="1" ht="17.100000000000001" customHeight="1">
      <c r="B568" s="19" t="s">
        <v>155</v>
      </c>
      <c r="C568" s="20">
        <v>9</v>
      </c>
      <c r="D568" s="20">
        <v>0</v>
      </c>
      <c r="E568" s="20">
        <v>0</v>
      </c>
      <c r="F568" s="22" t="s">
        <v>716</v>
      </c>
    </row>
    <row r="569" spans="2:6" s="13" customFormat="1" ht="17.100000000000001" customHeight="1">
      <c r="B569" s="19" t="s">
        <v>155</v>
      </c>
      <c r="C569" s="20">
        <v>9</v>
      </c>
      <c r="D569" s="20">
        <v>1</v>
      </c>
      <c r="E569" s="20">
        <v>0</v>
      </c>
      <c r="F569" s="23" t="s">
        <v>717</v>
      </c>
    </row>
    <row r="570" spans="2:6" s="13" customFormat="1" ht="17.100000000000001" customHeight="1">
      <c r="B570" s="19" t="s">
        <v>155</v>
      </c>
      <c r="C570" s="20">
        <v>10</v>
      </c>
      <c r="D570" s="20">
        <v>0</v>
      </c>
      <c r="E570" s="20">
        <v>0</v>
      </c>
      <c r="F570" s="22" t="s">
        <v>718</v>
      </c>
    </row>
    <row r="571" spans="2:6" s="13" customFormat="1" ht="17.100000000000001" customHeight="1">
      <c r="B571" s="19" t="s">
        <v>155</v>
      </c>
      <c r="C571" s="20">
        <v>10</v>
      </c>
      <c r="D571" s="20">
        <v>1</v>
      </c>
      <c r="E571" s="20">
        <v>0</v>
      </c>
      <c r="F571" s="23" t="s">
        <v>719</v>
      </c>
    </row>
    <row r="572" spans="2:6" s="13" customFormat="1">
      <c r="B572" s="14"/>
      <c r="C572" s="15"/>
      <c r="D572" s="15"/>
      <c r="E572" s="15"/>
      <c r="F572" s="16"/>
    </row>
    <row r="573" spans="2:6" s="13" customFormat="1" ht="17.100000000000001" customHeight="1"/>
    <row r="574" spans="2:6" s="13" customFormat="1" ht="17.100000000000001" customHeight="1"/>
    <row r="575" spans="2:6" s="13" customFormat="1" ht="17.100000000000001" customHeight="1"/>
    <row r="576" spans="2:6" s="13" customFormat="1" ht="17.100000000000001" customHeight="1"/>
    <row r="577" s="13" customFormat="1" ht="17.100000000000001" customHeight="1"/>
    <row r="578" s="13" customFormat="1" ht="17.100000000000001" customHeight="1"/>
    <row r="579" s="13" customFormat="1" ht="17.100000000000001" customHeight="1"/>
    <row r="580" s="13" customFormat="1" ht="17.100000000000001" customHeight="1"/>
    <row r="581" s="13" customFormat="1" ht="17.100000000000001" customHeight="1"/>
    <row r="582" s="13" customFormat="1" ht="17.100000000000001" customHeight="1"/>
    <row r="583" s="13" customFormat="1" ht="17.100000000000001" customHeight="1"/>
    <row r="584" s="13" customFormat="1" ht="17.100000000000001" customHeight="1"/>
    <row r="585" s="13" customFormat="1" ht="17.100000000000001" customHeight="1"/>
    <row r="586" s="13" customFormat="1" ht="17.100000000000001" customHeight="1"/>
    <row r="587" s="13" customFormat="1" ht="17.100000000000001" customHeight="1"/>
    <row r="588" s="13" customFormat="1" ht="17.100000000000001" customHeight="1"/>
    <row r="589" s="13" customFormat="1" ht="17.100000000000001" customHeight="1"/>
    <row r="590" s="13" customFormat="1" ht="17.100000000000001" customHeight="1"/>
    <row r="591" s="13" customFormat="1" ht="17.100000000000001" customHeight="1"/>
    <row r="592" s="13" customFormat="1" ht="17.100000000000001" customHeight="1"/>
    <row r="593" s="13" customFormat="1" ht="17.100000000000001" customHeight="1"/>
    <row r="594" s="13" customFormat="1" ht="17.100000000000001" customHeight="1"/>
    <row r="595" s="13" customFormat="1" ht="17.100000000000001" customHeight="1"/>
    <row r="596" s="13" customFormat="1" ht="17.100000000000001" customHeight="1"/>
    <row r="597" s="13" customFormat="1" ht="17.100000000000001" customHeight="1"/>
    <row r="598" s="13" customFormat="1" ht="17.100000000000001" customHeight="1"/>
    <row r="599" s="13" customFormat="1" ht="17.100000000000001" customHeight="1"/>
    <row r="600" s="13" customFormat="1" ht="17.100000000000001" customHeight="1"/>
    <row r="601" s="13" customFormat="1" ht="17.100000000000001" customHeight="1"/>
    <row r="602" s="13" customFormat="1" ht="17.100000000000001" customHeight="1"/>
    <row r="603" s="13" customFormat="1" ht="17.100000000000001" customHeight="1"/>
    <row r="604" s="13" customFormat="1" ht="17.100000000000001" customHeight="1"/>
    <row r="605" s="13" customFormat="1" ht="17.100000000000001" customHeight="1"/>
    <row r="606" s="13" customFormat="1" ht="17.100000000000001" customHeight="1"/>
    <row r="607" s="13" customFormat="1" ht="17.100000000000001" customHeight="1"/>
    <row r="608" s="13" customFormat="1" ht="17.100000000000001" customHeight="1"/>
    <row r="609" s="13" customFormat="1" ht="17.100000000000001" customHeight="1"/>
    <row r="610" s="13" customFormat="1" ht="17.100000000000001" customHeight="1"/>
    <row r="611" s="13" customFormat="1" ht="17.100000000000001" customHeight="1"/>
    <row r="612" s="13" customFormat="1" ht="17.100000000000001" customHeight="1"/>
    <row r="613" s="13" customFormat="1" ht="17.100000000000001" customHeight="1"/>
    <row r="614" s="13" customFormat="1"/>
    <row r="615" s="13" customFormat="1"/>
    <row r="616" s="13" customFormat="1"/>
    <row r="617" ht="17.100000000000001" customHeight="1"/>
  </sheetData>
  <autoFilter ref="B2:F613" xr:uid="{00000000-0009-0000-0000-000002000000}"/>
  <pageMargins left="0.7" right="0.7" top="0.75" bottom="0.75" header="0.3" footer="0.3"/>
  <pageSetup paperSize="9" orientation="portrait" horizontalDpi="0" verticalDpi="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S215"/>
  <sheetViews>
    <sheetView zoomScale="85" workbookViewId="0">
      <pane xSplit="5" ySplit="8" topLeftCell="G9" activePane="bottomRight" state="frozen"/>
      <selection pane="bottomRight"/>
      <selection pane="bottomLeft"/>
      <selection pane="topRight"/>
    </sheetView>
  </sheetViews>
  <sheetFormatPr defaultColWidth="8.875" defaultRowHeight="15.95"/>
  <cols>
    <col min="1" max="1" width="8" customWidth="1"/>
    <col min="2" max="2" width="12" customWidth="1"/>
    <col min="3" max="3" width="16" customWidth="1"/>
    <col min="4" max="4" width="14" customWidth="1"/>
    <col min="5" max="5" width="48" customWidth="1"/>
    <col min="6" max="6" width="10" customWidth="1"/>
    <col min="7" max="7" width="13" customWidth="1"/>
    <col min="8" max="8" width="30" customWidth="1"/>
    <col min="9" max="9" width="10" customWidth="1"/>
    <col min="10" max="10" width="28" customWidth="1"/>
    <col min="11" max="11" width="22" customWidth="1"/>
    <col min="12" max="12" width="8" customWidth="1"/>
    <col min="13" max="13" width="9" customWidth="1"/>
    <col min="14" max="14" width="12" customWidth="1"/>
    <col min="15" max="15" width="14" customWidth="1"/>
    <col min="16" max="16" width="12" customWidth="1"/>
    <col min="17" max="17" width="8" customWidth="1"/>
    <col min="18" max="18" width="14" customWidth="1"/>
    <col min="19" max="19" width="24" customWidth="1"/>
  </cols>
  <sheetData>
    <row r="1" spans="1:19" ht="36" customHeight="1">
      <c r="A1" s="74" t="s">
        <v>720</v>
      </c>
      <c r="B1" s="80"/>
      <c r="C1" s="80"/>
      <c r="D1" s="80"/>
      <c r="E1" s="80"/>
      <c r="F1" s="80"/>
      <c r="G1" s="80"/>
      <c r="H1" s="80"/>
      <c r="I1" s="80"/>
      <c r="J1" s="80"/>
      <c r="K1" s="80"/>
      <c r="L1" s="80"/>
      <c r="M1" s="80"/>
      <c r="N1" s="80"/>
      <c r="O1" s="80"/>
      <c r="P1" s="80"/>
      <c r="Q1" s="80"/>
      <c r="R1" s="80"/>
      <c r="S1" s="80"/>
    </row>
    <row r="2" spans="1:19" ht="30" customHeight="1">
      <c r="A2" s="77" t="s">
        <v>721</v>
      </c>
      <c r="B2" s="80"/>
      <c r="C2" s="80"/>
      <c r="D2" s="80"/>
      <c r="E2" s="80"/>
      <c r="F2" s="80"/>
      <c r="G2" s="80"/>
      <c r="H2" s="80"/>
      <c r="I2" s="80"/>
      <c r="J2" s="80"/>
      <c r="K2" s="80"/>
      <c r="L2" s="80"/>
      <c r="M2" s="80"/>
      <c r="N2" s="80"/>
      <c r="O2" s="80"/>
      <c r="P2" s="80"/>
      <c r="Q2" s="80"/>
      <c r="R2" s="80"/>
      <c r="S2" s="80"/>
    </row>
    <row r="3" spans="1:19" ht="6" customHeight="1"/>
    <row r="4" spans="1:19" ht="21.95" customHeight="1">
      <c r="A4" s="78" t="s">
        <v>722</v>
      </c>
      <c r="B4" s="80"/>
      <c r="C4" s="80"/>
      <c r="D4" s="80"/>
      <c r="E4" s="80"/>
      <c r="F4" s="80"/>
      <c r="G4" s="80"/>
      <c r="H4" s="80"/>
      <c r="I4" s="80"/>
      <c r="J4" s="80"/>
      <c r="K4" s="80"/>
      <c r="L4" s="80"/>
      <c r="M4" s="80"/>
      <c r="N4" s="80"/>
      <c r="O4" s="80"/>
      <c r="P4" s="80"/>
      <c r="Q4" s="80"/>
      <c r="R4" s="80"/>
      <c r="S4" s="80"/>
    </row>
    <row r="5" spans="1:19" ht="18" customHeight="1">
      <c r="A5" s="75" t="s">
        <v>723</v>
      </c>
      <c r="B5" s="81"/>
      <c r="C5" s="75" t="s">
        <v>724</v>
      </c>
      <c r="D5" s="81"/>
      <c r="E5" s="75" t="s">
        <v>725</v>
      </c>
      <c r="F5" s="81"/>
      <c r="G5" s="75" t="s">
        <v>726</v>
      </c>
      <c r="H5" s="81"/>
      <c r="I5" s="75" t="s">
        <v>727</v>
      </c>
      <c r="J5" s="81"/>
      <c r="K5" s="75" t="s">
        <v>728</v>
      </c>
      <c r="L5" s="81"/>
      <c r="M5" s="75" t="s">
        <v>729</v>
      </c>
      <c r="N5" s="81"/>
    </row>
    <row r="6" spans="1:19" ht="20.100000000000001" customHeight="1">
      <c r="A6" s="70"/>
      <c r="B6" s="81"/>
      <c r="C6" s="70"/>
      <c r="D6" s="81"/>
      <c r="E6" s="70"/>
      <c r="F6" s="81"/>
      <c r="G6" s="70"/>
      <c r="H6" s="81"/>
      <c r="I6" s="70"/>
      <c r="J6" s="81"/>
      <c r="K6" s="70"/>
      <c r="L6" s="81"/>
      <c r="M6" s="70"/>
      <c r="N6" s="81"/>
    </row>
    <row r="7" spans="1:19" ht="6" customHeight="1"/>
    <row r="8" spans="1:19" ht="36" customHeight="1">
      <c r="A8" s="35" t="s">
        <v>730</v>
      </c>
      <c r="B8" s="35" t="s">
        <v>731</v>
      </c>
      <c r="C8" s="35" t="s">
        <v>732</v>
      </c>
      <c r="D8" s="35" t="s">
        <v>733</v>
      </c>
      <c r="E8" s="35" t="s">
        <v>734</v>
      </c>
      <c r="F8" s="35" t="s">
        <v>735</v>
      </c>
      <c r="G8" s="35" t="s">
        <v>736</v>
      </c>
      <c r="H8" s="35" t="s">
        <v>737</v>
      </c>
      <c r="I8" s="35" t="s">
        <v>738</v>
      </c>
      <c r="J8" s="35" t="s">
        <v>739</v>
      </c>
      <c r="K8" s="35" t="s">
        <v>740</v>
      </c>
      <c r="L8" s="35" t="s">
        <v>741</v>
      </c>
      <c r="M8" s="35" t="s">
        <v>742</v>
      </c>
      <c r="N8" s="35" t="s">
        <v>743</v>
      </c>
      <c r="O8" s="35" t="s">
        <v>744</v>
      </c>
      <c r="P8" s="35" t="s">
        <v>745</v>
      </c>
      <c r="Q8" s="35" t="s">
        <v>746</v>
      </c>
      <c r="R8" s="35" t="s">
        <v>747</v>
      </c>
      <c r="S8" s="35" t="s">
        <v>748</v>
      </c>
    </row>
    <row r="9" spans="1:19" ht="20.100000000000001" customHeight="1">
      <c r="A9" s="36">
        <v>1</v>
      </c>
      <c r="B9" s="37" t="s">
        <v>749</v>
      </c>
      <c r="C9" s="38" t="s">
        <v>750</v>
      </c>
      <c r="D9" s="38" t="s">
        <v>751</v>
      </c>
      <c r="E9" s="39" t="s">
        <v>752</v>
      </c>
      <c r="F9" s="54" t="s">
        <v>83</v>
      </c>
      <c r="G9" s="54" t="s">
        <v>753</v>
      </c>
      <c r="H9" s="55" t="s">
        <v>401</v>
      </c>
      <c r="I9" s="54" t="s">
        <v>754</v>
      </c>
      <c r="J9" s="55" t="s">
        <v>755</v>
      </c>
      <c r="K9" s="55" t="s">
        <v>756</v>
      </c>
      <c r="L9" s="40" t="s">
        <v>757</v>
      </c>
      <c r="M9" s="40"/>
      <c r="N9" s="40"/>
      <c r="O9" s="41"/>
      <c r="P9" s="56">
        <v>99</v>
      </c>
      <c r="Q9" s="42" t="s">
        <v>758</v>
      </c>
      <c r="R9" s="40"/>
      <c r="S9" s="43"/>
    </row>
    <row r="10" spans="1:19" ht="20.100000000000001" customHeight="1">
      <c r="A10" s="44">
        <v>2</v>
      </c>
      <c r="B10" s="37" t="s">
        <v>759</v>
      </c>
      <c r="C10" s="45" t="s">
        <v>760</v>
      </c>
      <c r="D10" s="45" t="s">
        <v>751</v>
      </c>
      <c r="E10" s="39" t="s">
        <v>761</v>
      </c>
      <c r="F10" s="54" t="s">
        <v>124</v>
      </c>
      <c r="G10" s="54" t="s">
        <v>762</v>
      </c>
      <c r="H10" s="55" t="s">
        <v>579</v>
      </c>
      <c r="I10" s="54" t="s">
        <v>763</v>
      </c>
      <c r="J10" s="55" t="s">
        <v>764</v>
      </c>
      <c r="K10" s="55" t="s">
        <v>765</v>
      </c>
      <c r="L10" s="40" t="s">
        <v>766</v>
      </c>
      <c r="M10" s="40"/>
      <c r="N10" s="40"/>
      <c r="O10" s="41"/>
      <c r="P10" s="56">
        <v>91</v>
      </c>
      <c r="Q10" s="42" t="s">
        <v>758</v>
      </c>
      <c r="R10" s="40"/>
      <c r="S10" s="43"/>
    </row>
    <row r="11" spans="1:19" ht="20.100000000000001" customHeight="1">
      <c r="A11" s="36">
        <v>3</v>
      </c>
      <c r="B11" s="37" t="s">
        <v>767</v>
      </c>
      <c r="C11" s="38" t="s">
        <v>768</v>
      </c>
      <c r="D11" s="38" t="s">
        <v>751</v>
      </c>
      <c r="E11" s="39" t="s">
        <v>769</v>
      </c>
      <c r="F11" s="54" t="s">
        <v>55</v>
      </c>
      <c r="G11" s="54" t="s">
        <v>770</v>
      </c>
      <c r="H11" s="55" t="s">
        <v>268</v>
      </c>
      <c r="I11" s="54" t="s">
        <v>771</v>
      </c>
      <c r="J11" s="55" t="s">
        <v>772</v>
      </c>
      <c r="K11" s="55" t="s">
        <v>773</v>
      </c>
      <c r="L11" s="40" t="s">
        <v>757</v>
      </c>
      <c r="M11" s="40"/>
      <c r="N11" s="40"/>
      <c r="O11" s="41"/>
      <c r="P11" s="56">
        <v>99</v>
      </c>
      <c r="Q11" s="42" t="s">
        <v>758</v>
      </c>
      <c r="R11" s="40"/>
      <c r="S11" s="43"/>
    </row>
    <row r="12" spans="1:19" ht="20.100000000000001" customHeight="1">
      <c r="A12" s="44">
        <v>4</v>
      </c>
      <c r="B12" s="46"/>
      <c r="C12" s="46"/>
      <c r="D12" s="46"/>
      <c r="E12" s="47"/>
      <c r="F12" s="48"/>
      <c r="G12" s="48"/>
      <c r="H12" s="48"/>
      <c r="I12" s="48"/>
      <c r="J12" s="48"/>
      <c r="K12" s="48"/>
      <c r="L12" s="48"/>
      <c r="M12" s="48"/>
      <c r="N12" s="48"/>
      <c r="O12" s="49" t="str">
        <f>IF(AND(ISNUMBER(M12),ISNUMBER(N12)),M12*N12,"")</f>
        <v/>
      </c>
      <c r="P12" s="48"/>
      <c r="Q12" s="50" t="str">
        <f>IF(E12="","",IF(OR(P12="",P12&lt;85),"⚠ REVIEW","✓"))</f>
        <v/>
      </c>
      <c r="R12" s="48"/>
    </row>
    <row r="13" spans="1:19" ht="20.100000000000001" customHeight="1">
      <c r="A13" s="36">
        <v>5</v>
      </c>
      <c r="B13" s="51"/>
      <c r="C13" s="51"/>
      <c r="D13" s="51"/>
      <c r="E13" s="52"/>
      <c r="F13" s="48"/>
      <c r="G13" s="48"/>
      <c r="H13" s="48"/>
      <c r="I13" s="48"/>
      <c r="J13" s="48"/>
      <c r="K13" s="48"/>
      <c r="L13" s="48"/>
      <c r="M13" s="48"/>
      <c r="N13" s="48"/>
      <c r="O13" s="49" t="str">
        <f>IF(AND(ISNUMBER(M13),ISNUMBER(N13)),M13*N13,"")</f>
        <v/>
      </c>
      <c r="P13" s="48"/>
      <c r="Q13" s="50" t="str">
        <f>IF(E13="","",IF(OR(P13="",P13&lt;85),"⚠ REVIEW","✓"))</f>
        <v/>
      </c>
      <c r="R13" s="48"/>
    </row>
    <row r="14" spans="1:19" ht="20.100000000000001" customHeight="1">
      <c r="A14" s="44">
        <v>6</v>
      </c>
      <c r="B14" s="46"/>
      <c r="C14" s="46"/>
      <c r="D14" s="46"/>
      <c r="E14" s="47"/>
      <c r="F14" s="48"/>
      <c r="G14" s="48"/>
      <c r="H14" s="48"/>
      <c r="I14" s="48"/>
      <c r="J14" s="48"/>
      <c r="K14" s="48"/>
      <c r="L14" s="48"/>
      <c r="M14" s="48"/>
      <c r="N14" s="48"/>
      <c r="O14" s="49" t="str">
        <f>IF(AND(ISNUMBER(M14),ISNUMBER(N14)),M14*N14,"")</f>
        <v/>
      </c>
      <c r="P14" s="48"/>
      <c r="Q14" s="50" t="str">
        <f>IF(E14="","",IF(OR(P14="",P14&lt;85),"⚠ REVIEW","✓"))</f>
        <v/>
      </c>
      <c r="R14" s="48"/>
    </row>
    <row r="15" spans="1:19" ht="20.100000000000001" customHeight="1">
      <c r="A15" s="36">
        <v>7</v>
      </c>
      <c r="B15" s="51"/>
      <c r="C15" s="51"/>
      <c r="D15" s="51"/>
      <c r="E15" s="52"/>
      <c r="F15" s="48"/>
      <c r="G15" s="48"/>
      <c r="H15" s="48"/>
      <c r="I15" s="48"/>
      <c r="J15" s="48"/>
      <c r="K15" s="48"/>
      <c r="L15" s="48"/>
      <c r="M15" s="48"/>
      <c r="N15" s="48"/>
      <c r="O15" s="49" t="str">
        <f>IF(AND(ISNUMBER(M15),ISNUMBER(N15)),M15*N15,"")</f>
        <v/>
      </c>
      <c r="P15" s="48"/>
      <c r="Q15" s="50" t="str">
        <f>IF(E15="","",IF(OR(P15="",P15&lt;85),"⚠ REVIEW","✓"))</f>
        <v/>
      </c>
      <c r="R15" s="48"/>
    </row>
    <row r="16" spans="1:19" ht="20.100000000000001" customHeight="1">
      <c r="A16" s="44">
        <v>8</v>
      </c>
      <c r="B16" s="46"/>
      <c r="C16" s="46"/>
      <c r="D16" s="46"/>
      <c r="E16" s="47"/>
      <c r="F16" s="48"/>
      <c r="G16" s="48"/>
      <c r="H16" s="48"/>
      <c r="I16" s="48"/>
      <c r="J16" s="48"/>
      <c r="K16" s="48"/>
      <c r="L16" s="48"/>
      <c r="M16" s="48"/>
      <c r="N16" s="48"/>
      <c r="O16" s="49" t="str">
        <f>IF(AND(ISNUMBER(M16),ISNUMBER(N16)),M16*N16,"")</f>
        <v/>
      </c>
      <c r="P16" s="48"/>
      <c r="Q16" s="50" t="str">
        <f>IF(E16="","",IF(OR(P16="",P16&lt;85),"⚠ REVIEW","✓"))</f>
        <v/>
      </c>
      <c r="R16" s="48"/>
    </row>
    <row r="17" spans="1:18" ht="20.100000000000001" customHeight="1">
      <c r="A17" s="36">
        <v>9</v>
      </c>
      <c r="B17" s="51"/>
      <c r="C17" s="51"/>
      <c r="D17" s="51"/>
      <c r="E17" s="52"/>
      <c r="F17" s="48"/>
      <c r="G17" s="48"/>
      <c r="H17" s="48"/>
      <c r="I17" s="48"/>
      <c r="J17" s="48"/>
      <c r="K17" s="48"/>
      <c r="L17" s="48"/>
      <c r="M17" s="48"/>
      <c r="N17" s="48"/>
      <c r="O17" s="49" t="str">
        <f>IF(AND(ISNUMBER(M17),ISNUMBER(N17)),M17*N17,"")</f>
        <v/>
      </c>
      <c r="P17" s="48"/>
      <c r="Q17" s="50" t="str">
        <f>IF(E17="","",IF(OR(P17="",P17&lt;85),"⚠ REVIEW","✓"))</f>
        <v/>
      </c>
      <c r="R17" s="48"/>
    </row>
    <row r="18" spans="1:18" ht="20.100000000000001" customHeight="1">
      <c r="A18" s="44">
        <v>10</v>
      </c>
      <c r="B18" s="46"/>
      <c r="C18" s="46"/>
      <c r="D18" s="46"/>
      <c r="E18" s="47"/>
      <c r="F18" s="48"/>
      <c r="G18" s="48"/>
      <c r="H18" s="48"/>
      <c r="I18" s="48"/>
      <c r="J18" s="48"/>
      <c r="K18" s="48"/>
      <c r="L18" s="48"/>
      <c r="M18" s="48"/>
      <c r="N18" s="48"/>
      <c r="O18" s="49" t="str">
        <f>IF(AND(ISNUMBER(M18),ISNUMBER(N18)),M18*N18,"")</f>
        <v/>
      </c>
      <c r="P18" s="48"/>
      <c r="Q18" s="50" t="str">
        <f>IF(E18="","",IF(OR(P18="",P18&lt;85),"⚠ REVIEW","✓"))</f>
        <v/>
      </c>
      <c r="R18" s="48"/>
    </row>
    <row r="19" spans="1:18" ht="20.100000000000001" customHeight="1">
      <c r="A19" s="36">
        <v>11</v>
      </c>
      <c r="B19" s="51"/>
      <c r="C19" s="51"/>
      <c r="D19" s="51"/>
      <c r="E19" s="52"/>
      <c r="F19" s="48"/>
      <c r="G19" s="48"/>
      <c r="H19" s="48"/>
      <c r="I19" s="48"/>
      <c r="J19" s="48"/>
      <c r="K19" s="48"/>
      <c r="L19" s="48"/>
      <c r="M19" s="48"/>
      <c r="N19" s="48"/>
      <c r="O19" s="49" t="str">
        <f>IF(AND(ISNUMBER(M19),ISNUMBER(N19)),M19*N19,"")</f>
        <v/>
      </c>
      <c r="P19" s="48"/>
      <c r="Q19" s="50" t="str">
        <f>IF(E19="","",IF(OR(P19="",P19&lt;85),"⚠ REVIEW","✓"))</f>
        <v/>
      </c>
      <c r="R19" s="48"/>
    </row>
    <row r="20" spans="1:18" ht="20.100000000000001" customHeight="1">
      <c r="A20" s="44">
        <v>12</v>
      </c>
      <c r="B20" s="46"/>
      <c r="C20" s="46"/>
      <c r="D20" s="46"/>
      <c r="E20" s="47"/>
      <c r="F20" s="48"/>
      <c r="G20" s="48"/>
      <c r="H20" s="48"/>
      <c r="I20" s="48"/>
      <c r="J20" s="48"/>
      <c r="K20" s="48"/>
      <c r="L20" s="48"/>
      <c r="M20" s="48"/>
      <c r="N20" s="48"/>
      <c r="O20" s="49" t="str">
        <f>IF(AND(ISNUMBER(M20),ISNUMBER(N20)),M20*N20,"")</f>
        <v/>
      </c>
      <c r="P20" s="48"/>
      <c r="Q20" s="50" t="str">
        <f>IF(E20="","",IF(OR(P20="",P20&lt;85),"⚠ REVIEW","✓"))</f>
        <v/>
      </c>
      <c r="R20" s="48"/>
    </row>
    <row r="21" spans="1:18" ht="20.100000000000001" customHeight="1">
      <c r="A21" s="36">
        <v>13</v>
      </c>
      <c r="B21" s="51"/>
      <c r="C21" s="51"/>
      <c r="D21" s="51"/>
      <c r="E21" s="52"/>
      <c r="F21" s="48"/>
      <c r="G21" s="48"/>
      <c r="H21" s="48"/>
      <c r="I21" s="48"/>
      <c r="J21" s="48"/>
      <c r="K21" s="48"/>
      <c r="L21" s="48"/>
      <c r="M21" s="48"/>
      <c r="N21" s="48"/>
      <c r="O21" s="49" t="str">
        <f>IF(AND(ISNUMBER(M21),ISNUMBER(N21)),M21*N21,"")</f>
        <v/>
      </c>
      <c r="P21" s="48"/>
      <c r="Q21" s="50" t="str">
        <f>IF(E21="","",IF(OR(P21="",P21&lt;85),"⚠ REVIEW","✓"))</f>
        <v/>
      </c>
      <c r="R21" s="48"/>
    </row>
    <row r="22" spans="1:18" ht="20.100000000000001" customHeight="1">
      <c r="A22" s="44">
        <v>14</v>
      </c>
      <c r="B22" s="46"/>
      <c r="C22" s="46"/>
      <c r="D22" s="46"/>
      <c r="E22" s="47"/>
      <c r="F22" s="48"/>
      <c r="G22" s="48"/>
      <c r="H22" s="48"/>
      <c r="I22" s="48"/>
      <c r="J22" s="48"/>
      <c r="K22" s="48"/>
      <c r="L22" s="48"/>
      <c r="M22" s="48"/>
      <c r="N22" s="48"/>
      <c r="O22" s="49" t="str">
        <f>IF(AND(ISNUMBER(M22),ISNUMBER(N22)),M22*N22,"")</f>
        <v/>
      </c>
      <c r="P22" s="48"/>
      <c r="Q22" s="50" t="str">
        <f>IF(E22="","",IF(OR(P22="",P22&lt;85),"⚠ REVIEW","✓"))</f>
        <v/>
      </c>
      <c r="R22" s="48"/>
    </row>
    <row r="23" spans="1:18" ht="20.100000000000001" customHeight="1">
      <c r="A23" s="36">
        <v>15</v>
      </c>
      <c r="B23" s="51"/>
      <c r="C23" s="51"/>
      <c r="D23" s="51"/>
      <c r="E23" s="52"/>
      <c r="F23" s="48"/>
      <c r="G23" s="48"/>
      <c r="H23" s="48"/>
      <c r="I23" s="48"/>
      <c r="J23" s="48"/>
      <c r="K23" s="48"/>
      <c r="L23" s="48"/>
      <c r="M23" s="48"/>
      <c r="N23" s="48"/>
      <c r="O23" s="49" t="str">
        <f>IF(AND(ISNUMBER(M23),ISNUMBER(N23)),M23*N23,"")</f>
        <v/>
      </c>
      <c r="P23" s="48"/>
      <c r="Q23" s="50" t="str">
        <f>IF(E23="","",IF(OR(P23="",P23&lt;85),"⚠ REVIEW","✓"))</f>
        <v/>
      </c>
      <c r="R23" s="48"/>
    </row>
    <row r="24" spans="1:18" ht="20.100000000000001" customHeight="1">
      <c r="A24" s="44">
        <v>16</v>
      </c>
      <c r="B24" s="46"/>
      <c r="C24" s="46"/>
      <c r="D24" s="46"/>
      <c r="E24" s="47"/>
      <c r="F24" s="48"/>
      <c r="G24" s="48"/>
      <c r="H24" s="48"/>
      <c r="I24" s="48"/>
      <c r="J24" s="48"/>
      <c r="K24" s="48"/>
      <c r="L24" s="48"/>
      <c r="M24" s="48"/>
      <c r="N24" s="48"/>
      <c r="O24" s="49" t="str">
        <f>IF(AND(ISNUMBER(M24),ISNUMBER(N24)),M24*N24,"")</f>
        <v/>
      </c>
      <c r="P24" s="48"/>
      <c r="Q24" s="50" t="str">
        <f>IF(E24="","",IF(OR(P24="",P24&lt;85),"⚠ REVIEW","✓"))</f>
        <v/>
      </c>
      <c r="R24" s="48"/>
    </row>
    <row r="25" spans="1:18" ht="20.100000000000001" customHeight="1">
      <c r="A25" s="36">
        <v>17</v>
      </c>
      <c r="B25" s="51"/>
      <c r="C25" s="51"/>
      <c r="D25" s="51"/>
      <c r="E25" s="52"/>
      <c r="F25" s="48"/>
      <c r="G25" s="48"/>
      <c r="H25" s="48"/>
      <c r="I25" s="48"/>
      <c r="J25" s="48"/>
      <c r="K25" s="48"/>
      <c r="L25" s="48"/>
      <c r="M25" s="48"/>
      <c r="N25" s="48"/>
      <c r="O25" s="49" t="str">
        <f>IF(AND(ISNUMBER(M25),ISNUMBER(N25)),M25*N25,"")</f>
        <v/>
      </c>
      <c r="P25" s="48"/>
      <c r="Q25" s="50" t="str">
        <f>IF(E25="","",IF(OR(P25="",P25&lt;85),"⚠ REVIEW","✓"))</f>
        <v/>
      </c>
      <c r="R25" s="48"/>
    </row>
    <row r="26" spans="1:18" ht="20.100000000000001" customHeight="1">
      <c r="A26" s="44">
        <v>18</v>
      </c>
      <c r="B26" s="46"/>
      <c r="C26" s="46"/>
      <c r="D26" s="46"/>
      <c r="E26" s="47"/>
      <c r="F26" s="48"/>
      <c r="G26" s="48"/>
      <c r="H26" s="48"/>
      <c r="I26" s="48"/>
      <c r="J26" s="48"/>
      <c r="K26" s="48"/>
      <c r="L26" s="48"/>
      <c r="M26" s="48"/>
      <c r="N26" s="48"/>
      <c r="O26" s="49" t="str">
        <f>IF(AND(ISNUMBER(M26),ISNUMBER(N26)),M26*N26,"")</f>
        <v/>
      </c>
      <c r="P26" s="48"/>
      <c r="Q26" s="50" t="str">
        <f>IF(E26="","",IF(OR(P26="",P26&lt;85),"⚠ REVIEW","✓"))</f>
        <v/>
      </c>
      <c r="R26" s="48"/>
    </row>
    <row r="27" spans="1:18" ht="20.100000000000001" customHeight="1">
      <c r="A27" s="36">
        <v>19</v>
      </c>
      <c r="B27" s="51"/>
      <c r="C27" s="51"/>
      <c r="D27" s="51"/>
      <c r="E27" s="52"/>
      <c r="F27" s="48"/>
      <c r="G27" s="48"/>
      <c r="H27" s="48"/>
      <c r="I27" s="48"/>
      <c r="J27" s="48"/>
      <c r="K27" s="48"/>
      <c r="L27" s="48"/>
      <c r="M27" s="48"/>
      <c r="N27" s="48"/>
      <c r="O27" s="49" t="str">
        <f>IF(AND(ISNUMBER(M27),ISNUMBER(N27)),M27*N27,"")</f>
        <v/>
      </c>
      <c r="P27" s="48"/>
      <c r="Q27" s="50" t="str">
        <f>IF(E27="","",IF(OR(P27="",P27&lt;85),"⚠ REVIEW","✓"))</f>
        <v/>
      </c>
      <c r="R27" s="48"/>
    </row>
    <row r="28" spans="1:18" ht="20.100000000000001" customHeight="1">
      <c r="A28" s="44">
        <v>20</v>
      </c>
      <c r="B28" s="46"/>
      <c r="C28" s="46"/>
      <c r="D28" s="46"/>
      <c r="E28" s="47"/>
      <c r="F28" s="48"/>
      <c r="G28" s="48"/>
      <c r="H28" s="48"/>
      <c r="I28" s="48"/>
      <c r="J28" s="48"/>
      <c r="K28" s="48"/>
      <c r="L28" s="48"/>
      <c r="M28" s="48"/>
      <c r="N28" s="48"/>
      <c r="O28" s="49" t="str">
        <f>IF(AND(ISNUMBER(M28),ISNUMBER(N28)),M28*N28,"")</f>
        <v/>
      </c>
      <c r="P28" s="48"/>
      <c r="Q28" s="50" t="str">
        <f>IF(E28="","",IF(OR(P28="",P28&lt;85),"⚠ REVIEW","✓"))</f>
        <v/>
      </c>
      <c r="R28" s="48"/>
    </row>
    <row r="29" spans="1:18" ht="20.100000000000001" customHeight="1">
      <c r="A29" s="36">
        <v>21</v>
      </c>
      <c r="B29" s="51"/>
      <c r="C29" s="51"/>
      <c r="D29" s="51"/>
      <c r="E29" s="52"/>
      <c r="F29" s="48"/>
      <c r="G29" s="48"/>
      <c r="H29" s="48"/>
      <c r="I29" s="48"/>
      <c r="J29" s="48"/>
      <c r="K29" s="48"/>
      <c r="L29" s="48"/>
      <c r="M29" s="48"/>
      <c r="N29" s="48"/>
      <c r="O29" s="49" t="str">
        <f>IF(AND(ISNUMBER(M29),ISNUMBER(N29)),M29*N29,"")</f>
        <v/>
      </c>
      <c r="P29" s="48"/>
      <c r="Q29" s="50" t="str">
        <f>IF(E29="","",IF(OR(P29="",P29&lt;85),"⚠ REVIEW","✓"))</f>
        <v/>
      </c>
      <c r="R29" s="48"/>
    </row>
    <row r="30" spans="1:18" ht="20.100000000000001" customHeight="1">
      <c r="A30" s="44">
        <v>22</v>
      </c>
      <c r="B30" s="46"/>
      <c r="C30" s="46"/>
      <c r="D30" s="46"/>
      <c r="E30" s="47"/>
      <c r="F30" s="48"/>
      <c r="G30" s="48"/>
      <c r="H30" s="48"/>
      <c r="I30" s="48"/>
      <c r="J30" s="48"/>
      <c r="K30" s="48"/>
      <c r="L30" s="48"/>
      <c r="M30" s="48"/>
      <c r="N30" s="48"/>
      <c r="O30" s="49" t="str">
        <f>IF(AND(ISNUMBER(M30),ISNUMBER(N30)),M30*N30,"")</f>
        <v/>
      </c>
      <c r="P30" s="48"/>
      <c r="Q30" s="50" t="str">
        <f>IF(E30="","",IF(OR(P30="",P30&lt;85),"⚠ REVIEW","✓"))</f>
        <v/>
      </c>
      <c r="R30" s="48"/>
    </row>
    <row r="31" spans="1:18" ht="20.100000000000001" customHeight="1">
      <c r="A31" s="36">
        <v>23</v>
      </c>
      <c r="B31" s="51"/>
      <c r="C31" s="51"/>
      <c r="D31" s="51"/>
      <c r="E31" s="52"/>
      <c r="F31" s="48"/>
      <c r="G31" s="48"/>
      <c r="H31" s="48"/>
      <c r="I31" s="48"/>
      <c r="J31" s="48"/>
      <c r="K31" s="48"/>
      <c r="L31" s="48"/>
      <c r="M31" s="48"/>
      <c r="N31" s="48"/>
      <c r="O31" s="49" t="str">
        <f>IF(AND(ISNUMBER(M31),ISNUMBER(N31)),M31*N31,"")</f>
        <v/>
      </c>
      <c r="P31" s="48"/>
      <c r="Q31" s="50" t="str">
        <f>IF(E31="","",IF(OR(P31="",P31&lt;85),"⚠ REVIEW","✓"))</f>
        <v/>
      </c>
      <c r="R31" s="48"/>
    </row>
    <row r="32" spans="1:18" ht="20.100000000000001" customHeight="1">
      <c r="A32" s="44">
        <v>24</v>
      </c>
      <c r="B32" s="46"/>
      <c r="C32" s="46"/>
      <c r="D32" s="46"/>
      <c r="E32" s="47"/>
      <c r="F32" s="48"/>
      <c r="G32" s="48"/>
      <c r="H32" s="48"/>
      <c r="I32" s="48"/>
      <c r="J32" s="48"/>
      <c r="K32" s="48"/>
      <c r="L32" s="48"/>
      <c r="M32" s="48"/>
      <c r="N32" s="48"/>
      <c r="O32" s="49" t="str">
        <f>IF(AND(ISNUMBER(M32),ISNUMBER(N32)),M32*N32,"")</f>
        <v/>
      </c>
      <c r="P32" s="48"/>
      <c r="Q32" s="50" t="str">
        <f>IF(E32="","",IF(OR(P32="",P32&lt;85),"⚠ REVIEW","✓"))</f>
        <v/>
      </c>
      <c r="R32" s="48"/>
    </row>
    <row r="33" spans="1:18" ht="20.100000000000001" customHeight="1">
      <c r="A33" s="36">
        <v>25</v>
      </c>
      <c r="B33" s="51"/>
      <c r="C33" s="51"/>
      <c r="D33" s="51"/>
      <c r="E33" s="52"/>
      <c r="F33" s="48"/>
      <c r="G33" s="48"/>
      <c r="H33" s="48"/>
      <c r="I33" s="48"/>
      <c r="J33" s="48"/>
      <c r="K33" s="48"/>
      <c r="L33" s="48"/>
      <c r="M33" s="48"/>
      <c r="N33" s="48"/>
      <c r="O33" s="49" t="str">
        <f>IF(AND(ISNUMBER(M33),ISNUMBER(N33)),M33*N33,"")</f>
        <v/>
      </c>
      <c r="P33" s="48"/>
      <c r="Q33" s="50" t="str">
        <f>IF(E33="","",IF(OR(P33="",P33&lt;85),"⚠ REVIEW","✓"))</f>
        <v/>
      </c>
      <c r="R33" s="48"/>
    </row>
    <row r="34" spans="1:18" ht="20.100000000000001" customHeight="1">
      <c r="A34" s="44">
        <v>26</v>
      </c>
      <c r="B34" s="46"/>
      <c r="C34" s="46"/>
      <c r="D34" s="46"/>
      <c r="E34" s="47"/>
      <c r="F34" s="48"/>
      <c r="G34" s="48"/>
      <c r="H34" s="48"/>
      <c r="I34" s="48"/>
      <c r="J34" s="48"/>
      <c r="K34" s="48"/>
      <c r="L34" s="48"/>
      <c r="M34" s="48"/>
      <c r="N34" s="48"/>
      <c r="O34" s="49" t="str">
        <f>IF(AND(ISNUMBER(M34),ISNUMBER(N34)),M34*N34,"")</f>
        <v/>
      </c>
      <c r="P34" s="48"/>
      <c r="Q34" s="50" t="str">
        <f>IF(E34="","",IF(OR(P34="",P34&lt;85),"⚠ REVIEW","✓"))</f>
        <v/>
      </c>
      <c r="R34" s="48"/>
    </row>
    <row r="35" spans="1:18" ht="20.100000000000001" customHeight="1">
      <c r="A35" s="36">
        <v>27</v>
      </c>
      <c r="B35" s="51"/>
      <c r="C35" s="51"/>
      <c r="D35" s="51"/>
      <c r="E35" s="52"/>
      <c r="F35" s="48"/>
      <c r="G35" s="48"/>
      <c r="H35" s="48"/>
      <c r="I35" s="48"/>
      <c r="J35" s="48"/>
      <c r="K35" s="48"/>
      <c r="L35" s="48"/>
      <c r="M35" s="48"/>
      <c r="N35" s="48"/>
      <c r="O35" s="49" t="str">
        <f>IF(AND(ISNUMBER(M35),ISNUMBER(N35)),M35*N35,"")</f>
        <v/>
      </c>
      <c r="P35" s="48"/>
      <c r="Q35" s="50" t="str">
        <f>IF(E35="","",IF(OR(P35="",P35&lt;85),"⚠ REVIEW","✓"))</f>
        <v/>
      </c>
      <c r="R35" s="48"/>
    </row>
    <row r="36" spans="1:18" ht="20.100000000000001" customHeight="1">
      <c r="A36" s="44">
        <v>28</v>
      </c>
      <c r="B36" s="46"/>
      <c r="C36" s="46"/>
      <c r="D36" s="46"/>
      <c r="E36" s="47"/>
      <c r="F36" s="48"/>
      <c r="G36" s="48"/>
      <c r="H36" s="48"/>
      <c r="I36" s="48"/>
      <c r="J36" s="48"/>
      <c r="K36" s="48"/>
      <c r="L36" s="48"/>
      <c r="M36" s="48"/>
      <c r="N36" s="48"/>
      <c r="O36" s="49" t="str">
        <f>IF(AND(ISNUMBER(M36),ISNUMBER(N36)),M36*N36,"")</f>
        <v/>
      </c>
      <c r="P36" s="48"/>
      <c r="Q36" s="50" t="str">
        <f>IF(E36="","",IF(OR(P36="",P36&lt;85),"⚠ REVIEW","✓"))</f>
        <v/>
      </c>
      <c r="R36" s="48"/>
    </row>
    <row r="37" spans="1:18" ht="20.100000000000001" customHeight="1">
      <c r="A37" s="36">
        <v>29</v>
      </c>
      <c r="B37" s="51"/>
      <c r="C37" s="51"/>
      <c r="D37" s="51"/>
      <c r="E37" s="52"/>
      <c r="F37" s="48"/>
      <c r="G37" s="48"/>
      <c r="H37" s="48"/>
      <c r="I37" s="48"/>
      <c r="J37" s="48"/>
      <c r="K37" s="48"/>
      <c r="L37" s="48"/>
      <c r="M37" s="48"/>
      <c r="N37" s="48"/>
      <c r="O37" s="49" t="str">
        <f>IF(AND(ISNUMBER(M37),ISNUMBER(N37)),M37*N37,"")</f>
        <v/>
      </c>
      <c r="P37" s="48"/>
      <c r="Q37" s="50" t="str">
        <f>IF(E37="","",IF(OR(P37="",P37&lt;85),"⚠ REVIEW","✓"))</f>
        <v/>
      </c>
      <c r="R37" s="48"/>
    </row>
    <row r="38" spans="1:18" ht="20.100000000000001" customHeight="1">
      <c r="A38" s="44">
        <v>30</v>
      </c>
      <c r="B38" s="46"/>
      <c r="C38" s="46"/>
      <c r="D38" s="46"/>
      <c r="E38" s="47"/>
      <c r="F38" s="48"/>
      <c r="G38" s="48"/>
      <c r="H38" s="48"/>
      <c r="I38" s="48"/>
      <c r="J38" s="48"/>
      <c r="K38" s="48"/>
      <c r="L38" s="48"/>
      <c r="M38" s="48"/>
      <c r="N38" s="48"/>
      <c r="O38" s="49" t="str">
        <f>IF(AND(ISNUMBER(M38),ISNUMBER(N38)),M38*N38,"")</f>
        <v/>
      </c>
      <c r="P38" s="48"/>
      <c r="Q38" s="50" t="str">
        <f>IF(E38="","",IF(OR(P38="",P38&lt;85),"⚠ REVIEW","✓"))</f>
        <v/>
      </c>
      <c r="R38" s="48"/>
    </row>
    <row r="39" spans="1:18" ht="20.100000000000001" customHeight="1">
      <c r="A39" s="36">
        <v>31</v>
      </c>
      <c r="B39" s="51"/>
      <c r="C39" s="51"/>
      <c r="D39" s="51"/>
      <c r="E39" s="52"/>
      <c r="F39" s="48"/>
      <c r="G39" s="48"/>
      <c r="H39" s="48"/>
      <c r="I39" s="48"/>
      <c r="J39" s="48"/>
      <c r="K39" s="48"/>
      <c r="L39" s="48"/>
      <c r="M39" s="48"/>
      <c r="N39" s="48"/>
      <c r="O39" s="49" t="str">
        <f>IF(AND(ISNUMBER(M39),ISNUMBER(N39)),M39*N39,"")</f>
        <v/>
      </c>
      <c r="P39" s="48"/>
      <c r="Q39" s="50" t="str">
        <f>IF(E39="","",IF(OR(P39="",P39&lt;85),"⚠ REVIEW","✓"))</f>
        <v/>
      </c>
      <c r="R39" s="48"/>
    </row>
    <row r="40" spans="1:18" ht="20.100000000000001" customHeight="1">
      <c r="A40" s="44">
        <v>32</v>
      </c>
      <c r="B40" s="46"/>
      <c r="C40" s="46"/>
      <c r="D40" s="46"/>
      <c r="E40" s="47"/>
      <c r="F40" s="48"/>
      <c r="G40" s="48"/>
      <c r="H40" s="48"/>
      <c r="I40" s="48"/>
      <c r="J40" s="48"/>
      <c r="K40" s="48"/>
      <c r="L40" s="48"/>
      <c r="M40" s="48"/>
      <c r="N40" s="48"/>
      <c r="O40" s="49" t="str">
        <f>IF(AND(ISNUMBER(M40),ISNUMBER(N40)),M40*N40,"")</f>
        <v/>
      </c>
      <c r="P40" s="48"/>
      <c r="Q40" s="50" t="str">
        <f>IF(E40="","",IF(OR(P40="",P40&lt;85),"⚠ REVIEW","✓"))</f>
        <v/>
      </c>
      <c r="R40" s="48"/>
    </row>
    <row r="41" spans="1:18" ht="20.100000000000001" customHeight="1">
      <c r="A41" s="36">
        <v>33</v>
      </c>
      <c r="B41" s="51"/>
      <c r="C41" s="51"/>
      <c r="D41" s="51"/>
      <c r="E41" s="52"/>
      <c r="F41" s="48"/>
      <c r="G41" s="48"/>
      <c r="H41" s="48"/>
      <c r="I41" s="48"/>
      <c r="J41" s="48"/>
      <c r="K41" s="48"/>
      <c r="L41" s="48"/>
      <c r="M41" s="48"/>
      <c r="N41" s="48"/>
      <c r="O41" s="49" t="str">
        <f>IF(AND(ISNUMBER(M41),ISNUMBER(N41)),M41*N41,"")</f>
        <v/>
      </c>
      <c r="P41" s="48"/>
      <c r="Q41" s="50" t="str">
        <f>IF(E41="","",IF(OR(P41="",P41&lt;85),"⚠ REVIEW","✓"))</f>
        <v/>
      </c>
      <c r="R41" s="48"/>
    </row>
    <row r="42" spans="1:18" ht="20.100000000000001" customHeight="1">
      <c r="A42" s="44">
        <v>34</v>
      </c>
      <c r="B42" s="46"/>
      <c r="C42" s="46"/>
      <c r="D42" s="46"/>
      <c r="E42" s="47"/>
      <c r="F42" s="48"/>
      <c r="G42" s="48"/>
      <c r="H42" s="48"/>
      <c r="I42" s="48"/>
      <c r="J42" s="48"/>
      <c r="K42" s="48"/>
      <c r="L42" s="48"/>
      <c r="M42" s="48"/>
      <c r="N42" s="48"/>
      <c r="O42" s="49" t="str">
        <f>IF(AND(ISNUMBER(M42),ISNUMBER(N42)),M42*N42,"")</f>
        <v/>
      </c>
      <c r="P42" s="48"/>
      <c r="Q42" s="50" t="str">
        <f>IF(E42="","",IF(OR(P42="",P42&lt;85),"⚠ REVIEW","✓"))</f>
        <v/>
      </c>
      <c r="R42" s="48"/>
    </row>
    <row r="43" spans="1:18" ht="20.100000000000001" customHeight="1">
      <c r="A43" s="36">
        <v>35</v>
      </c>
      <c r="B43" s="51"/>
      <c r="C43" s="51"/>
      <c r="D43" s="51"/>
      <c r="E43" s="52"/>
      <c r="F43" s="48"/>
      <c r="G43" s="48"/>
      <c r="H43" s="48"/>
      <c r="I43" s="48"/>
      <c r="J43" s="48"/>
      <c r="K43" s="48"/>
      <c r="L43" s="48"/>
      <c r="M43" s="48"/>
      <c r="N43" s="48"/>
      <c r="O43" s="49" t="str">
        <f>IF(AND(ISNUMBER(M43),ISNUMBER(N43)),M43*N43,"")</f>
        <v/>
      </c>
      <c r="P43" s="48"/>
      <c r="Q43" s="50" t="str">
        <f>IF(E43="","",IF(OR(P43="",P43&lt;85),"⚠ REVIEW","✓"))</f>
        <v/>
      </c>
      <c r="R43" s="48"/>
    </row>
    <row r="44" spans="1:18" ht="20.100000000000001" customHeight="1">
      <c r="A44" s="44">
        <v>36</v>
      </c>
      <c r="B44" s="46"/>
      <c r="C44" s="46"/>
      <c r="D44" s="46"/>
      <c r="E44" s="47"/>
      <c r="F44" s="48"/>
      <c r="G44" s="48"/>
      <c r="H44" s="48"/>
      <c r="I44" s="48"/>
      <c r="J44" s="48"/>
      <c r="K44" s="48"/>
      <c r="L44" s="48"/>
      <c r="M44" s="48"/>
      <c r="N44" s="48"/>
      <c r="O44" s="49" t="str">
        <f>IF(AND(ISNUMBER(M44),ISNUMBER(N44)),M44*N44,"")</f>
        <v/>
      </c>
      <c r="P44" s="48"/>
      <c r="Q44" s="50" t="str">
        <f>IF(E44="","",IF(OR(P44="",P44&lt;85),"⚠ REVIEW","✓"))</f>
        <v/>
      </c>
      <c r="R44" s="48"/>
    </row>
    <row r="45" spans="1:18" ht="20.100000000000001" customHeight="1">
      <c r="A45" s="36">
        <v>37</v>
      </c>
      <c r="B45" s="51"/>
      <c r="C45" s="51"/>
      <c r="D45" s="51"/>
      <c r="E45" s="52"/>
      <c r="F45" s="48"/>
      <c r="G45" s="48"/>
      <c r="H45" s="48"/>
      <c r="I45" s="48"/>
      <c r="J45" s="48"/>
      <c r="K45" s="48"/>
      <c r="L45" s="48"/>
      <c r="M45" s="48"/>
      <c r="N45" s="48"/>
      <c r="O45" s="49" t="str">
        <f>IF(AND(ISNUMBER(M45),ISNUMBER(N45)),M45*N45,"")</f>
        <v/>
      </c>
      <c r="P45" s="48"/>
      <c r="Q45" s="50" t="str">
        <f>IF(E45="","",IF(OR(P45="",P45&lt;85),"⚠ REVIEW","✓"))</f>
        <v/>
      </c>
      <c r="R45" s="48"/>
    </row>
    <row r="46" spans="1:18" ht="20.100000000000001" customHeight="1">
      <c r="A46" s="44">
        <v>38</v>
      </c>
      <c r="B46" s="46"/>
      <c r="C46" s="46"/>
      <c r="D46" s="46"/>
      <c r="E46" s="47"/>
      <c r="F46" s="48"/>
      <c r="G46" s="48"/>
      <c r="H46" s="48"/>
      <c r="I46" s="48"/>
      <c r="J46" s="48"/>
      <c r="K46" s="48"/>
      <c r="L46" s="48"/>
      <c r="M46" s="48"/>
      <c r="N46" s="48"/>
      <c r="O46" s="49" t="str">
        <f>IF(AND(ISNUMBER(M46),ISNUMBER(N46)),M46*N46,"")</f>
        <v/>
      </c>
      <c r="P46" s="48"/>
      <c r="Q46" s="50" t="str">
        <f>IF(E46="","",IF(OR(P46="",P46&lt;85),"⚠ REVIEW","✓"))</f>
        <v/>
      </c>
      <c r="R46" s="48"/>
    </row>
    <row r="47" spans="1:18" ht="20.100000000000001" customHeight="1">
      <c r="A47" s="36">
        <v>39</v>
      </c>
      <c r="B47" s="51"/>
      <c r="C47" s="51"/>
      <c r="D47" s="51"/>
      <c r="E47" s="52"/>
      <c r="F47" s="48"/>
      <c r="G47" s="48"/>
      <c r="H47" s="48"/>
      <c r="I47" s="48"/>
      <c r="J47" s="48"/>
      <c r="K47" s="48"/>
      <c r="L47" s="48"/>
      <c r="M47" s="48"/>
      <c r="N47" s="48"/>
      <c r="O47" s="49" t="str">
        <f>IF(AND(ISNUMBER(M47),ISNUMBER(N47)),M47*N47,"")</f>
        <v/>
      </c>
      <c r="P47" s="48"/>
      <c r="Q47" s="50" t="str">
        <f>IF(E47="","",IF(OR(P47="",P47&lt;85),"⚠ REVIEW","✓"))</f>
        <v/>
      </c>
      <c r="R47" s="48"/>
    </row>
    <row r="48" spans="1:18" ht="20.100000000000001" customHeight="1">
      <c r="A48" s="44">
        <v>40</v>
      </c>
      <c r="B48" s="46"/>
      <c r="C48" s="46"/>
      <c r="D48" s="46"/>
      <c r="E48" s="47"/>
      <c r="F48" s="48"/>
      <c r="G48" s="48"/>
      <c r="H48" s="48"/>
      <c r="I48" s="48"/>
      <c r="J48" s="48"/>
      <c r="K48" s="48"/>
      <c r="L48" s="48"/>
      <c r="M48" s="48"/>
      <c r="N48" s="48"/>
      <c r="O48" s="49" t="str">
        <f>IF(AND(ISNUMBER(M48),ISNUMBER(N48)),M48*N48,"")</f>
        <v/>
      </c>
      <c r="P48" s="48"/>
      <c r="Q48" s="50" t="str">
        <f>IF(E48="","",IF(OR(P48="",P48&lt;85),"⚠ REVIEW","✓"))</f>
        <v/>
      </c>
      <c r="R48" s="48"/>
    </row>
    <row r="49" spans="1:18" ht="20.100000000000001" customHeight="1">
      <c r="A49" s="36">
        <v>41</v>
      </c>
      <c r="B49" s="51"/>
      <c r="C49" s="51"/>
      <c r="D49" s="51"/>
      <c r="E49" s="52"/>
      <c r="F49" s="48"/>
      <c r="G49" s="48"/>
      <c r="H49" s="48"/>
      <c r="I49" s="48"/>
      <c r="J49" s="48"/>
      <c r="K49" s="48"/>
      <c r="L49" s="48"/>
      <c r="M49" s="48"/>
      <c r="N49" s="48"/>
      <c r="O49" s="49" t="str">
        <f>IF(AND(ISNUMBER(M49),ISNUMBER(N49)),M49*N49,"")</f>
        <v/>
      </c>
      <c r="P49" s="48"/>
      <c r="Q49" s="50" t="str">
        <f>IF(E49="","",IF(OR(P49="",P49&lt;85),"⚠ REVIEW","✓"))</f>
        <v/>
      </c>
      <c r="R49" s="48"/>
    </row>
    <row r="50" spans="1:18" ht="20.100000000000001" customHeight="1">
      <c r="A50" s="44">
        <v>42</v>
      </c>
      <c r="B50" s="46"/>
      <c r="C50" s="46"/>
      <c r="D50" s="46"/>
      <c r="E50" s="47"/>
      <c r="F50" s="48"/>
      <c r="G50" s="48"/>
      <c r="H50" s="48"/>
      <c r="I50" s="48"/>
      <c r="J50" s="48"/>
      <c r="K50" s="48"/>
      <c r="L50" s="48"/>
      <c r="M50" s="48"/>
      <c r="N50" s="48"/>
      <c r="O50" s="49" t="str">
        <f>IF(AND(ISNUMBER(M50),ISNUMBER(N50)),M50*N50,"")</f>
        <v/>
      </c>
      <c r="P50" s="48"/>
      <c r="Q50" s="50" t="str">
        <f>IF(E50="","",IF(OR(P50="",P50&lt;85),"⚠ REVIEW","✓"))</f>
        <v/>
      </c>
      <c r="R50" s="48"/>
    </row>
    <row r="51" spans="1:18" ht="20.100000000000001" customHeight="1">
      <c r="A51" s="36">
        <v>43</v>
      </c>
      <c r="B51" s="51"/>
      <c r="C51" s="51"/>
      <c r="D51" s="51"/>
      <c r="E51" s="52"/>
      <c r="F51" s="48"/>
      <c r="G51" s="48"/>
      <c r="H51" s="48"/>
      <c r="I51" s="48"/>
      <c r="J51" s="48"/>
      <c r="K51" s="48"/>
      <c r="L51" s="48"/>
      <c r="M51" s="48"/>
      <c r="N51" s="48"/>
      <c r="O51" s="49" t="str">
        <f>IF(AND(ISNUMBER(M51),ISNUMBER(N51)),M51*N51,"")</f>
        <v/>
      </c>
      <c r="P51" s="48"/>
      <c r="Q51" s="50" t="str">
        <f>IF(E51="","",IF(OR(P51="",P51&lt;85),"⚠ REVIEW","✓"))</f>
        <v/>
      </c>
      <c r="R51" s="48"/>
    </row>
    <row r="52" spans="1:18" ht="20.100000000000001" customHeight="1">
      <c r="A52" s="44">
        <v>44</v>
      </c>
      <c r="B52" s="46"/>
      <c r="C52" s="46"/>
      <c r="D52" s="46"/>
      <c r="E52" s="47"/>
      <c r="F52" s="48"/>
      <c r="G52" s="48"/>
      <c r="H52" s="48"/>
      <c r="I52" s="48"/>
      <c r="J52" s="48"/>
      <c r="K52" s="48"/>
      <c r="L52" s="48"/>
      <c r="M52" s="48"/>
      <c r="N52" s="48"/>
      <c r="O52" s="49" t="str">
        <f>IF(AND(ISNUMBER(M52),ISNUMBER(N52)),M52*N52,"")</f>
        <v/>
      </c>
      <c r="P52" s="48"/>
      <c r="Q52" s="50" t="str">
        <f>IF(E52="","",IF(OR(P52="",P52&lt;85),"⚠ REVIEW","✓"))</f>
        <v/>
      </c>
      <c r="R52" s="48"/>
    </row>
    <row r="53" spans="1:18" ht="20.100000000000001" customHeight="1">
      <c r="A53" s="36">
        <v>45</v>
      </c>
      <c r="B53" s="51"/>
      <c r="C53" s="51"/>
      <c r="D53" s="51"/>
      <c r="E53" s="52"/>
      <c r="F53" s="48"/>
      <c r="G53" s="48"/>
      <c r="H53" s="48"/>
      <c r="I53" s="48"/>
      <c r="J53" s="48"/>
      <c r="K53" s="48"/>
      <c r="L53" s="48"/>
      <c r="M53" s="48"/>
      <c r="N53" s="48"/>
      <c r="O53" s="49" t="str">
        <f>IF(AND(ISNUMBER(M53),ISNUMBER(N53)),M53*N53,"")</f>
        <v/>
      </c>
      <c r="P53" s="48"/>
      <c r="Q53" s="50" t="str">
        <f>IF(E53="","",IF(OR(P53="",P53&lt;85),"⚠ REVIEW","✓"))</f>
        <v/>
      </c>
      <c r="R53" s="48"/>
    </row>
    <row r="54" spans="1:18" ht="20.100000000000001" customHeight="1">
      <c r="A54" s="44">
        <v>46</v>
      </c>
      <c r="B54" s="46"/>
      <c r="C54" s="46"/>
      <c r="D54" s="46"/>
      <c r="E54" s="47"/>
      <c r="F54" s="48"/>
      <c r="G54" s="48"/>
      <c r="H54" s="48"/>
      <c r="I54" s="48"/>
      <c r="J54" s="48"/>
      <c r="K54" s="48"/>
      <c r="L54" s="48"/>
      <c r="M54" s="48"/>
      <c r="N54" s="48"/>
      <c r="O54" s="49" t="str">
        <f>IF(AND(ISNUMBER(M54),ISNUMBER(N54)),M54*N54,"")</f>
        <v/>
      </c>
      <c r="P54" s="48"/>
      <c r="Q54" s="50" t="str">
        <f>IF(E54="","",IF(OR(P54="",P54&lt;85),"⚠ REVIEW","✓"))</f>
        <v/>
      </c>
      <c r="R54" s="48"/>
    </row>
    <row r="55" spans="1:18" ht="20.100000000000001" customHeight="1">
      <c r="A55" s="36">
        <v>47</v>
      </c>
      <c r="B55" s="51"/>
      <c r="C55" s="51"/>
      <c r="D55" s="51"/>
      <c r="E55" s="52"/>
      <c r="F55" s="48"/>
      <c r="G55" s="48"/>
      <c r="H55" s="48"/>
      <c r="I55" s="48"/>
      <c r="J55" s="48"/>
      <c r="K55" s="48"/>
      <c r="L55" s="48"/>
      <c r="M55" s="48"/>
      <c r="N55" s="48"/>
      <c r="O55" s="49" t="str">
        <f>IF(AND(ISNUMBER(M55),ISNUMBER(N55)),M55*N55,"")</f>
        <v/>
      </c>
      <c r="P55" s="48"/>
      <c r="Q55" s="50" t="str">
        <f>IF(E55="","",IF(OR(P55="",P55&lt;85),"⚠ REVIEW","✓"))</f>
        <v/>
      </c>
      <c r="R55" s="48"/>
    </row>
    <row r="56" spans="1:18" ht="20.100000000000001" customHeight="1">
      <c r="A56" s="44">
        <v>48</v>
      </c>
      <c r="B56" s="46"/>
      <c r="C56" s="46"/>
      <c r="D56" s="46"/>
      <c r="E56" s="47"/>
      <c r="F56" s="48"/>
      <c r="G56" s="48"/>
      <c r="H56" s="48"/>
      <c r="I56" s="48"/>
      <c r="J56" s="48"/>
      <c r="K56" s="48"/>
      <c r="L56" s="48"/>
      <c r="M56" s="48"/>
      <c r="N56" s="48"/>
      <c r="O56" s="49" t="str">
        <f>IF(AND(ISNUMBER(M56),ISNUMBER(N56)),M56*N56,"")</f>
        <v/>
      </c>
      <c r="P56" s="48"/>
      <c r="Q56" s="50" t="str">
        <f>IF(E56="","",IF(OR(P56="",P56&lt;85),"⚠ REVIEW","✓"))</f>
        <v/>
      </c>
      <c r="R56" s="48"/>
    </row>
    <row r="57" spans="1:18" ht="20.100000000000001" customHeight="1">
      <c r="A57" s="36">
        <v>49</v>
      </c>
      <c r="B57" s="51"/>
      <c r="C57" s="51"/>
      <c r="D57" s="51"/>
      <c r="E57" s="52"/>
      <c r="F57" s="48"/>
      <c r="G57" s="48"/>
      <c r="H57" s="48"/>
      <c r="I57" s="48"/>
      <c r="J57" s="48"/>
      <c r="K57" s="48"/>
      <c r="L57" s="48"/>
      <c r="M57" s="48"/>
      <c r="N57" s="48"/>
      <c r="O57" s="49" t="str">
        <f>IF(AND(ISNUMBER(M57),ISNUMBER(N57)),M57*N57,"")</f>
        <v/>
      </c>
      <c r="P57" s="48"/>
      <c r="Q57" s="50" t="str">
        <f>IF(E57="","",IF(OR(P57="",P57&lt;85),"⚠ REVIEW","✓"))</f>
        <v/>
      </c>
      <c r="R57" s="48"/>
    </row>
    <row r="58" spans="1:18" ht="20.100000000000001" customHeight="1">
      <c r="A58" s="44">
        <v>50</v>
      </c>
      <c r="B58" s="46"/>
      <c r="C58" s="46"/>
      <c r="D58" s="46"/>
      <c r="E58" s="47"/>
      <c r="F58" s="48"/>
      <c r="G58" s="48"/>
      <c r="H58" s="48"/>
      <c r="I58" s="48"/>
      <c r="J58" s="48"/>
      <c r="K58" s="48"/>
      <c r="L58" s="48"/>
      <c r="M58" s="48"/>
      <c r="N58" s="48"/>
      <c r="O58" s="49" t="str">
        <f>IF(AND(ISNUMBER(M58),ISNUMBER(N58)),M58*N58,"")</f>
        <v/>
      </c>
      <c r="P58" s="48"/>
      <c r="Q58" s="50" t="str">
        <f>IF(E58="","",IF(OR(P58="",P58&lt;85),"⚠ REVIEW","✓"))</f>
        <v/>
      </c>
      <c r="R58" s="48"/>
    </row>
    <row r="59" spans="1:18" ht="20.100000000000001" customHeight="1">
      <c r="A59" s="36">
        <v>51</v>
      </c>
      <c r="B59" s="51"/>
      <c r="C59" s="51"/>
      <c r="D59" s="51"/>
      <c r="E59" s="52"/>
      <c r="F59" s="48"/>
      <c r="G59" s="48"/>
      <c r="H59" s="48"/>
      <c r="I59" s="48"/>
      <c r="J59" s="48"/>
      <c r="K59" s="48"/>
      <c r="L59" s="48"/>
      <c r="M59" s="48"/>
      <c r="N59" s="48"/>
      <c r="O59" s="49" t="str">
        <f>IF(AND(ISNUMBER(M59),ISNUMBER(N59)),M59*N59,"")</f>
        <v/>
      </c>
      <c r="P59" s="48"/>
      <c r="Q59" s="50" t="str">
        <f>IF(E59="","",IF(OR(P59="",P59&lt;85),"⚠ REVIEW","✓"))</f>
        <v/>
      </c>
      <c r="R59" s="48"/>
    </row>
    <row r="60" spans="1:18" ht="20.100000000000001" customHeight="1">
      <c r="A60" s="44">
        <v>52</v>
      </c>
      <c r="B60" s="46"/>
      <c r="C60" s="46"/>
      <c r="D60" s="46"/>
      <c r="E60" s="47"/>
      <c r="F60" s="48"/>
      <c r="G60" s="48"/>
      <c r="H60" s="48"/>
      <c r="I60" s="48"/>
      <c r="J60" s="48"/>
      <c r="K60" s="48"/>
      <c r="L60" s="48"/>
      <c r="M60" s="48"/>
      <c r="N60" s="48"/>
      <c r="O60" s="49" t="str">
        <f>IF(AND(ISNUMBER(M60),ISNUMBER(N60)),M60*N60,"")</f>
        <v/>
      </c>
      <c r="P60" s="48"/>
      <c r="Q60" s="50" t="str">
        <f>IF(E60="","",IF(OR(P60="",P60&lt;85),"⚠ REVIEW","✓"))</f>
        <v/>
      </c>
      <c r="R60" s="48"/>
    </row>
    <row r="61" spans="1:18" ht="20.100000000000001" customHeight="1">
      <c r="A61" s="36">
        <v>53</v>
      </c>
      <c r="B61" s="51"/>
      <c r="C61" s="51"/>
      <c r="D61" s="51"/>
      <c r="E61" s="52"/>
      <c r="F61" s="48"/>
      <c r="G61" s="48"/>
      <c r="H61" s="48"/>
      <c r="I61" s="48"/>
      <c r="J61" s="48"/>
      <c r="K61" s="48"/>
      <c r="L61" s="48"/>
      <c r="M61" s="48"/>
      <c r="N61" s="48"/>
      <c r="O61" s="49" t="str">
        <f>IF(AND(ISNUMBER(M61),ISNUMBER(N61)),M61*N61,"")</f>
        <v/>
      </c>
      <c r="P61" s="48"/>
      <c r="Q61" s="50" t="str">
        <f>IF(E61="","",IF(OR(P61="",P61&lt;85),"⚠ REVIEW","✓"))</f>
        <v/>
      </c>
      <c r="R61" s="48"/>
    </row>
    <row r="62" spans="1:18" ht="20.100000000000001" customHeight="1">
      <c r="A62" s="44">
        <v>54</v>
      </c>
      <c r="B62" s="46"/>
      <c r="C62" s="46"/>
      <c r="D62" s="46"/>
      <c r="E62" s="47"/>
      <c r="F62" s="48"/>
      <c r="G62" s="48"/>
      <c r="H62" s="48"/>
      <c r="I62" s="48"/>
      <c r="J62" s="48"/>
      <c r="K62" s="48"/>
      <c r="L62" s="48"/>
      <c r="M62" s="48"/>
      <c r="N62" s="48"/>
      <c r="O62" s="49" t="str">
        <f>IF(AND(ISNUMBER(M62),ISNUMBER(N62)),M62*N62,"")</f>
        <v/>
      </c>
      <c r="P62" s="48"/>
      <c r="Q62" s="50" t="str">
        <f>IF(E62="","",IF(OR(P62="",P62&lt;85),"⚠ REVIEW","✓"))</f>
        <v/>
      </c>
      <c r="R62" s="48"/>
    </row>
    <row r="63" spans="1:18" ht="20.100000000000001" customHeight="1">
      <c r="A63" s="36">
        <v>55</v>
      </c>
      <c r="B63" s="51"/>
      <c r="C63" s="51"/>
      <c r="D63" s="51"/>
      <c r="E63" s="52"/>
      <c r="F63" s="48"/>
      <c r="G63" s="48"/>
      <c r="H63" s="48"/>
      <c r="I63" s="48"/>
      <c r="J63" s="48"/>
      <c r="K63" s="48"/>
      <c r="L63" s="48"/>
      <c r="M63" s="48"/>
      <c r="N63" s="48"/>
      <c r="O63" s="49" t="str">
        <f>IF(AND(ISNUMBER(M63),ISNUMBER(N63)),M63*N63,"")</f>
        <v/>
      </c>
      <c r="P63" s="48"/>
      <c r="Q63" s="50" t="str">
        <f>IF(E63="","",IF(OR(P63="",P63&lt;85),"⚠ REVIEW","✓"))</f>
        <v/>
      </c>
      <c r="R63" s="48"/>
    </row>
    <row r="64" spans="1:18" ht="20.100000000000001" customHeight="1">
      <c r="A64" s="44">
        <v>56</v>
      </c>
      <c r="B64" s="46"/>
      <c r="C64" s="46"/>
      <c r="D64" s="46"/>
      <c r="E64" s="47"/>
      <c r="F64" s="48"/>
      <c r="G64" s="48"/>
      <c r="H64" s="48"/>
      <c r="I64" s="48"/>
      <c r="J64" s="48"/>
      <c r="K64" s="48"/>
      <c r="L64" s="48"/>
      <c r="M64" s="48"/>
      <c r="N64" s="48"/>
      <c r="O64" s="49" t="str">
        <f>IF(AND(ISNUMBER(M64),ISNUMBER(N64)),M64*N64,"")</f>
        <v/>
      </c>
      <c r="P64" s="48"/>
      <c r="Q64" s="50" t="str">
        <f>IF(E64="","",IF(OR(P64="",P64&lt;85),"⚠ REVIEW","✓"))</f>
        <v/>
      </c>
      <c r="R64" s="48"/>
    </row>
    <row r="65" spans="1:18" ht="20.100000000000001" customHeight="1">
      <c r="A65" s="36">
        <v>57</v>
      </c>
      <c r="B65" s="51"/>
      <c r="C65" s="51"/>
      <c r="D65" s="51"/>
      <c r="E65" s="52"/>
      <c r="F65" s="48"/>
      <c r="G65" s="48"/>
      <c r="H65" s="48"/>
      <c r="I65" s="48"/>
      <c r="J65" s="48"/>
      <c r="K65" s="48"/>
      <c r="L65" s="48"/>
      <c r="M65" s="48"/>
      <c r="N65" s="48"/>
      <c r="O65" s="49" t="str">
        <f>IF(AND(ISNUMBER(M65),ISNUMBER(N65)),M65*N65,"")</f>
        <v/>
      </c>
      <c r="P65" s="48"/>
      <c r="Q65" s="50" t="str">
        <f>IF(E65="","",IF(OR(P65="",P65&lt;85),"⚠ REVIEW","✓"))</f>
        <v/>
      </c>
      <c r="R65" s="48"/>
    </row>
    <row r="66" spans="1:18" ht="20.100000000000001" customHeight="1">
      <c r="A66" s="44">
        <v>58</v>
      </c>
      <c r="B66" s="46"/>
      <c r="C66" s="46"/>
      <c r="D66" s="46"/>
      <c r="E66" s="47"/>
      <c r="F66" s="48"/>
      <c r="G66" s="48"/>
      <c r="H66" s="48"/>
      <c r="I66" s="48"/>
      <c r="J66" s="48"/>
      <c r="K66" s="48"/>
      <c r="L66" s="48"/>
      <c r="M66" s="48"/>
      <c r="N66" s="48"/>
      <c r="O66" s="49" t="str">
        <f>IF(AND(ISNUMBER(M66),ISNUMBER(N66)),M66*N66,"")</f>
        <v/>
      </c>
      <c r="P66" s="48"/>
      <c r="Q66" s="50" t="str">
        <f>IF(E66="","",IF(OR(P66="",P66&lt;85),"⚠ REVIEW","✓"))</f>
        <v/>
      </c>
      <c r="R66" s="48"/>
    </row>
    <row r="67" spans="1:18" ht="20.100000000000001" customHeight="1">
      <c r="A67" s="36">
        <v>59</v>
      </c>
      <c r="B67" s="51"/>
      <c r="C67" s="51"/>
      <c r="D67" s="51"/>
      <c r="E67" s="52"/>
      <c r="F67" s="48"/>
      <c r="G67" s="48"/>
      <c r="H67" s="48"/>
      <c r="I67" s="48"/>
      <c r="J67" s="48"/>
      <c r="K67" s="48"/>
      <c r="L67" s="48"/>
      <c r="M67" s="48"/>
      <c r="N67" s="48"/>
      <c r="O67" s="49" t="str">
        <f>IF(AND(ISNUMBER(M67),ISNUMBER(N67)),M67*N67,"")</f>
        <v/>
      </c>
      <c r="P67" s="48"/>
      <c r="Q67" s="50" t="str">
        <f>IF(E67="","",IF(OR(P67="",P67&lt;85),"⚠ REVIEW","✓"))</f>
        <v/>
      </c>
      <c r="R67" s="48"/>
    </row>
    <row r="68" spans="1:18" ht="20.100000000000001" customHeight="1">
      <c r="A68" s="44">
        <v>60</v>
      </c>
      <c r="B68" s="46"/>
      <c r="C68" s="46"/>
      <c r="D68" s="46"/>
      <c r="E68" s="47"/>
      <c r="F68" s="48"/>
      <c r="G68" s="48"/>
      <c r="H68" s="48"/>
      <c r="I68" s="48"/>
      <c r="J68" s="48"/>
      <c r="K68" s="48"/>
      <c r="L68" s="48"/>
      <c r="M68" s="48"/>
      <c r="N68" s="48"/>
      <c r="O68" s="49" t="str">
        <f>IF(AND(ISNUMBER(M68),ISNUMBER(N68)),M68*N68,"")</f>
        <v/>
      </c>
      <c r="P68" s="48"/>
      <c r="Q68" s="50" t="str">
        <f>IF(E68="","",IF(OR(P68="",P68&lt;85),"⚠ REVIEW","✓"))</f>
        <v/>
      </c>
      <c r="R68" s="48"/>
    </row>
    <row r="69" spans="1:18" ht="20.100000000000001" customHeight="1">
      <c r="A69" s="36">
        <v>61</v>
      </c>
      <c r="B69" s="51"/>
      <c r="C69" s="51"/>
      <c r="D69" s="51"/>
      <c r="E69" s="52"/>
      <c r="F69" s="48"/>
      <c r="G69" s="48"/>
      <c r="H69" s="48"/>
      <c r="I69" s="48"/>
      <c r="J69" s="48"/>
      <c r="K69" s="48"/>
      <c r="L69" s="48"/>
      <c r="M69" s="48"/>
      <c r="N69" s="48"/>
      <c r="O69" s="49" t="str">
        <f>IF(AND(ISNUMBER(M69),ISNUMBER(N69)),M69*N69,"")</f>
        <v/>
      </c>
      <c r="P69" s="48"/>
      <c r="Q69" s="50" t="str">
        <f>IF(E69="","",IF(OR(P69="",P69&lt;85),"⚠ REVIEW","✓"))</f>
        <v/>
      </c>
      <c r="R69" s="48"/>
    </row>
    <row r="70" spans="1:18" ht="20.100000000000001" customHeight="1">
      <c r="A70" s="44">
        <v>62</v>
      </c>
      <c r="B70" s="46"/>
      <c r="C70" s="46"/>
      <c r="D70" s="46"/>
      <c r="E70" s="47"/>
      <c r="F70" s="48"/>
      <c r="G70" s="48"/>
      <c r="H70" s="48"/>
      <c r="I70" s="48"/>
      <c r="J70" s="48"/>
      <c r="K70" s="48"/>
      <c r="L70" s="48"/>
      <c r="M70" s="48"/>
      <c r="N70" s="48"/>
      <c r="O70" s="49" t="str">
        <f>IF(AND(ISNUMBER(M70),ISNUMBER(N70)),M70*N70,"")</f>
        <v/>
      </c>
      <c r="P70" s="48"/>
      <c r="Q70" s="50" t="str">
        <f>IF(E70="","",IF(OR(P70="",P70&lt;85),"⚠ REVIEW","✓"))</f>
        <v/>
      </c>
      <c r="R70" s="48"/>
    </row>
    <row r="71" spans="1:18" ht="20.100000000000001" customHeight="1">
      <c r="A71" s="36">
        <v>63</v>
      </c>
      <c r="B71" s="51"/>
      <c r="C71" s="51"/>
      <c r="D71" s="51"/>
      <c r="E71" s="52"/>
      <c r="F71" s="48"/>
      <c r="G71" s="48"/>
      <c r="H71" s="48"/>
      <c r="I71" s="48"/>
      <c r="J71" s="48"/>
      <c r="K71" s="48"/>
      <c r="L71" s="48"/>
      <c r="M71" s="48"/>
      <c r="N71" s="48"/>
      <c r="O71" s="49" t="str">
        <f>IF(AND(ISNUMBER(M71),ISNUMBER(N71)),M71*N71,"")</f>
        <v/>
      </c>
      <c r="P71" s="48"/>
      <c r="Q71" s="50" t="str">
        <f>IF(E71="","",IF(OR(P71="",P71&lt;85),"⚠ REVIEW","✓"))</f>
        <v/>
      </c>
      <c r="R71" s="48"/>
    </row>
    <row r="72" spans="1:18" ht="20.100000000000001" customHeight="1">
      <c r="A72" s="44">
        <v>64</v>
      </c>
      <c r="B72" s="46"/>
      <c r="C72" s="46"/>
      <c r="D72" s="46"/>
      <c r="E72" s="47"/>
      <c r="F72" s="48"/>
      <c r="G72" s="48"/>
      <c r="H72" s="48"/>
      <c r="I72" s="48"/>
      <c r="J72" s="48"/>
      <c r="K72" s="48"/>
      <c r="L72" s="48"/>
      <c r="M72" s="48"/>
      <c r="N72" s="48"/>
      <c r="O72" s="49" t="str">
        <f>IF(AND(ISNUMBER(M72),ISNUMBER(N72)),M72*N72,"")</f>
        <v/>
      </c>
      <c r="P72" s="48"/>
      <c r="Q72" s="50" t="str">
        <f>IF(E72="","",IF(OR(P72="",P72&lt;85),"⚠ REVIEW","✓"))</f>
        <v/>
      </c>
      <c r="R72" s="48"/>
    </row>
    <row r="73" spans="1:18" ht="20.100000000000001" customHeight="1">
      <c r="A73" s="36">
        <v>65</v>
      </c>
      <c r="B73" s="51"/>
      <c r="C73" s="51"/>
      <c r="D73" s="51"/>
      <c r="E73" s="52"/>
      <c r="F73" s="48"/>
      <c r="G73" s="48"/>
      <c r="H73" s="48"/>
      <c r="I73" s="48"/>
      <c r="J73" s="48"/>
      <c r="K73" s="48"/>
      <c r="L73" s="48"/>
      <c r="M73" s="48"/>
      <c r="N73" s="48"/>
      <c r="O73" s="49" t="str">
        <f>IF(AND(ISNUMBER(M73),ISNUMBER(N73)),M73*N73,"")</f>
        <v/>
      </c>
      <c r="P73" s="48"/>
      <c r="Q73" s="50" t="str">
        <f>IF(E73="","",IF(OR(P73="",P73&lt;85),"⚠ REVIEW","✓"))</f>
        <v/>
      </c>
      <c r="R73" s="48"/>
    </row>
    <row r="74" spans="1:18" ht="20.100000000000001" customHeight="1">
      <c r="A74" s="44">
        <v>66</v>
      </c>
      <c r="B74" s="46"/>
      <c r="C74" s="46"/>
      <c r="D74" s="46"/>
      <c r="E74" s="47"/>
      <c r="F74" s="48"/>
      <c r="G74" s="48"/>
      <c r="H74" s="48"/>
      <c r="I74" s="48"/>
      <c r="J74" s="48"/>
      <c r="K74" s="48"/>
      <c r="L74" s="48"/>
      <c r="M74" s="48"/>
      <c r="N74" s="48"/>
      <c r="O74" s="49" t="str">
        <f>IF(AND(ISNUMBER(M74),ISNUMBER(N74)),M74*N74,"")</f>
        <v/>
      </c>
      <c r="P74" s="48"/>
      <c r="Q74" s="50" t="str">
        <f>IF(E74="","",IF(OR(P74="",P74&lt;85),"⚠ REVIEW","✓"))</f>
        <v/>
      </c>
      <c r="R74" s="48"/>
    </row>
    <row r="75" spans="1:18" ht="20.100000000000001" customHeight="1">
      <c r="A75" s="36">
        <v>67</v>
      </c>
      <c r="B75" s="51"/>
      <c r="C75" s="51"/>
      <c r="D75" s="51"/>
      <c r="E75" s="52"/>
      <c r="F75" s="48"/>
      <c r="G75" s="48"/>
      <c r="H75" s="48"/>
      <c r="I75" s="48"/>
      <c r="J75" s="48"/>
      <c r="K75" s="48"/>
      <c r="L75" s="48"/>
      <c r="M75" s="48"/>
      <c r="N75" s="48"/>
      <c r="O75" s="49" t="str">
        <f>IF(AND(ISNUMBER(M75),ISNUMBER(N75)),M75*N75,"")</f>
        <v/>
      </c>
      <c r="P75" s="48"/>
      <c r="Q75" s="50" t="str">
        <f>IF(E75="","",IF(OR(P75="",P75&lt;85),"⚠ REVIEW","✓"))</f>
        <v/>
      </c>
      <c r="R75" s="48"/>
    </row>
    <row r="76" spans="1:18" ht="20.100000000000001" customHeight="1">
      <c r="A76" s="44">
        <v>68</v>
      </c>
      <c r="B76" s="46"/>
      <c r="C76" s="46"/>
      <c r="D76" s="46"/>
      <c r="E76" s="47"/>
      <c r="F76" s="48"/>
      <c r="G76" s="48"/>
      <c r="H76" s="48"/>
      <c r="I76" s="48"/>
      <c r="J76" s="48"/>
      <c r="K76" s="48"/>
      <c r="L76" s="48"/>
      <c r="M76" s="48"/>
      <c r="N76" s="48"/>
      <c r="O76" s="49" t="str">
        <f>IF(AND(ISNUMBER(M76),ISNUMBER(N76)),M76*N76,"")</f>
        <v/>
      </c>
      <c r="P76" s="48"/>
      <c r="Q76" s="50" t="str">
        <f>IF(E76="","",IF(OR(P76="",P76&lt;85),"⚠ REVIEW","✓"))</f>
        <v/>
      </c>
      <c r="R76" s="48"/>
    </row>
    <row r="77" spans="1:18" ht="20.100000000000001" customHeight="1">
      <c r="A77" s="36">
        <v>69</v>
      </c>
      <c r="B77" s="51"/>
      <c r="C77" s="51"/>
      <c r="D77" s="51"/>
      <c r="E77" s="52"/>
      <c r="F77" s="48"/>
      <c r="G77" s="48"/>
      <c r="H77" s="48"/>
      <c r="I77" s="48"/>
      <c r="J77" s="48"/>
      <c r="K77" s="48"/>
      <c r="L77" s="48"/>
      <c r="M77" s="48"/>
      <c r="N77" s="48"/>
      <c r="O77" s="49" t="str">
        <f>IF(AND(ISNUMBER(M77),ISNUMBER(N77)),M77*N77,"")</f>
        <v/>
      </c>
      <c r="P77" s="48"/>
      <c r="Q77" s="50" t="str">
        <f>IF(E77="","",IF(OR(P77="",P77&lt;85),"⚠ REVIEW","✓"))</f>
        <v/>
      </c>
      <c r="R77" s="48"/>
    </row>
    <row r="78" spans="1:18" ht="20.100000000000001" customHeight="1">
      <c r="A78" s="44">
        <v>70</v>
      </c>
      <c r="B78" s="46"/>
      <c r="C78" s="46"/>
      <c r="D78" s="46"/>
      <c r="E78" s="47"/>
      <c r="F78" s="48"/>
      <c r="G78" s="48"/>
      <c r="H78" s="48"/>
      <c r="I78" s="48"/>
      <c r="J78" s="48"/>
      <c r="K78" s="48"/>
      <c r="L78" s="48"/>
      <c r="M78" s="48"/>
      <c r="N78" s="48"/>
      <c r="O78" s="49" t="str">
        <f>IF(AND(ISNUMBER(M78),ISNUMBER(N78)),M78*N78,"")</f>
        <v/>
      </c>
      <c r="P78" s="48"/>
      <c r="Q78" s="50" t="str">
        <f>IF(E78="","",IF(OR(P78="",P78&lt;85),"⚠ REVIEW","✓"))</f>
        <v/>
      </c>
      <c r="R78" s="48"/>
    </row>
    <row r="79" spans="1:18" ht="20.100000000000001" customHeight="1">
      <c r="A79" s="36">
        <v>71</v>
      </c>
      <c r="B79" s="51"/>
      <c r="C79" s="51"/>
      <c r="D79" s="51"/>
      <c r="E79" s="52"/>
      <c r="F79" s="48"/>
      <c r="G79" s="48"/>
      <c r="H79" s="48"/>
      <c r="I79" s="48"/>
      <c r="J79" s="48"/>
      <c r="K79" s="48"/>
      <c r="L79" s="48"/>
      <c r="M79" s="48"/>
      <c r="N79" s="48"/>
      <c r="O79" s="49" t="str">
        <f>IF(AND(ISNUMBER(M79),ISNUMBER(N79)),M79*N79,"")</f>
        <v/>
      </c>
      <c r="P79" s="48"/>
      <c r="Q79" s="50" t="str">
        <f>IF(E79="","",IF(OR(P79="",P79&lt;85),"⚠ REVIEW","✓"))</f>
        <v/>
      </c>
      <c r="R79" s="48"/>
    </row>
    <row r="80" spans="1:18" ht="20.100000000000001" customHeight="1">
      <c r="A80" s="44">
        <v>72</v>
      </c>
      <c r="B80" s="46"/>
      <c r="C80" s="46"/>
      <c r="D80" s="46"/>
      <c r="E80" s="47"/>
      <c r="F80" s="48"/>
      <c r="G80" s="48"/>
      <c r="H80" s="48"/>
      <c r="I80" s="48"/>
      <c r="J80" s="48"/>
      <c r="K80" s="48"/>
      <c r="L80" s="48"/>
      <c r="M80" s="48"/>
      <c r="N80" s="48"/>
      <c r="O80" s="49" t="str">
        <f>IF(AND(ISNUMBER(M80),ISNUMBER(N80)),M80*N80,"")</f>
        <v/>
      </c>
      <c r="P80" s="48"/>
      <c r="Q80" s="50" t="str">
        <f>IF(E80="","",IF(OR(P80="",P80&lt;85),"⚠ REVIEW","✓"))</f>
        <v/>
      </c>
      <c r="R80" s="48"/>
    </row>
    <row r="81" spans="1:18" ht="20.100000000000001" customHeight="1">
      <c r="A81" s="36">
        <v>73</v>
      </c>
      <c r="B81" s="51"/>
      <c r="C81" s="51"/>
      <c r="D81" s="51"/>
      <c r="E81" s="52"/>
      <c r="F81" s="48"/>
      <c r="G81" s="48"/>
      <c r="H81" s="48"/>
      <c r="I81" s="48"/>
      <c r="J81" s="48"/>
      <c r="K81" s="48"/>
      <c r="L81" s="48"/>
      <c r="M81" s="48"/>
      <c r="N81" s="48"/>
      <c r="O81" s="49" t="str">
        <f>IF(AND(ISNUMBER(M81),ISNUMBER(N81)),M81*N81,"")</f>
        <v/>
      </c>
      <c r="P81" s="48"/>
      <c r="Q81" s="50" t="str">
        <f>IF(E81="","",IF(OR(P81="",P81&lt;85),"⚠ REVIEW","✓"))</f>
        <v/>
      </c>
      <c r="R81" s="48"/>
    </row>
    <row r="82" spans="1:18" ht="20.100000000000001" customHeight="1">
      <c r="A82" s="44">
        <v>74</v>
      </c>
      <c r="B82" s="46"/>
      <c r="C82" s="46"/>
      <c r="D82" s="46"/>
      <c r="E82" s="47"/>
      <c r="F82" s="48"/>
      <c r="G82" s="48"/>
      <c r="H82" s="48"/>
      <c r="I82" s="48"/>
      <c r="J82" s="48"/>
      <c r="K82" s="48"/>
      <c r="L82" s="48"/>
      <c r="M82" s="48"/>
      <c r="N82" s="48"/>
      <c r="O82" s="49" t="str">
        <f>IF(AND(ISNUMBER(M82),ISNUMBER(N82)),M82*N82,"")</f>
        <v/>
      </c>
      <c r="P82" s="48"/>
      <c r="Q82" s="50" t="str">
        <f>IF(E82="","",IF(OR(P82="",P82&lt;85),"⚠ REVIEW","✓"))</f>
        <v/>
      </c>
      <c r="R82" s="48"/>
    </row>
    <row r="83" spans="1:18" ht="20.100000000000001" customHeight="1">
      <c r="A83" s="36">
        <v>75</v>
      </c>
      <c r="B83" s="51"/>
      <c r="C83" s="51"/>
      <c r="D83" s="51"/>
      <c r="E83" s="52"/>
      <c r="F83" s="48"/>
      <c r="G83" s="48"/>
      <c r="H83" s="48"/>
      <c r="I83" s="48"/>
      <c r="J83" s="48"/>
      <c r="K83" s="48"/>
      <c r="L83" s="48"/>
      <c r="M83" s="48"/>
      <c r="N83" s="48"/>
      <c r="O83" s="49" t="str">
        <f>IF(AND(ISNUMBER(M83),ISNUMBER(N83)),M83*N83,"")</f>
        <v/>
      </c>
      <c r="P83" s="48"/>
      <c r="Q83" s="50" t="str">
        <f>IF(E83="","",IF(OR(P83="",P83&lt;85),"⚠ REVIEW","✓"))</f>
        <v/>
      </c>
      <c r="R83" s="48"/>
    </row>
    <row r="84" spans="1:18" ht="20.100000000000001" customHeight="1">
      <c r="A84" s="44">
        <v>76</v>
      </c>
      <c r="B84" s="46"/>
      <c r="C84" s="46"/>
      <c r="D84" s="46"/>
      <c r="E84" s="47"/>
      <c r="F84" s="48"/>
      <c r="G84" s="48"/>
      <c r="H84" s="48"/>
      <c r="I84" s="48"/>
      <c r="J84" s="48"/>
      <c r="K84" s="48"/>
      <c r="L84" s="48"/>
      <c r="M84" s="48"/>
      <c r="N84" s="48"/>
      <c r="O84" s="49" t="str">
        <f>IF(AND(ISNUMBER(M84),ISNUMBER(N84)),M84*N84,"")</f>
        <v/>
      </c>
      <c r="P84" s="48"/>
      <c r="Q84" s="50" t="str">
        <f>IF(E84="","",IF(OR(P84="",P84&lt;85),"⚠ REVIEW","✓"))</f>
        <v/>
      </c>
      <c r="R84" s="48"/>
    </row>
    <row r="85" spans="1:18" ht="20.100000000000001" customHeight="1">
      <c r="A85" s="36">
        <v>77</v>
      </c>
      <c r="B85" s="51"/>
      <c r="C85" s="51"/>
      <c r="D85" s="51"/>
      <c r="E85" s="52"/>
      <c r="F85" s="48"/>
      <c r="G85" s="48"/>
      <c r="H85" s="48"/>
      <c r="I85" s="48"/>
      <c r="J85" s="48"/>
      <c r="K85" s="48"/>
      <c r="L85" s="48"/>
      <c r="M85" s="48"/>
      <c r="N85" s="48"/>
      <c r="O85" s="49" t="str">
        <f>IF(AND(ISNUMBER(M85),ISNUMBER(N85)),M85*N85,"")</f>
        <v/>
      </c>
      <c r="P85" s="48"/>
      <c r="Q85" s="50" t="str">
        <f>IF(E85="","",IF(OR(P85="",P85&lt;85),"⚠ REVIEW","✓"))</f>
        <v/>
      </c>
      <c r="R85" s="48"/>
    </row>
    <row r="86" spans="1:18" ht="20.100000000000001" customHeight="1">
      <c r="A86" s="44">
        <v>78</v>
      </c>
      <c r="B86" s="46"/>
      <c r="C86" s="46"/>
      <c r="D86" s="46"/>
      <c r="E86" s="47"/>
      <c r="F86" s="48"/>
      <c r="G86" s="48"/>
      <c r="H86" s="48"/>
      <c r="I86" s="48"/>
      <c r="J86" s="48"/>
      <c r="K86" s="48"/>
      <c r="L86" s="48"/>
      <c r="M86" s="48"/>
      <c r="N86" s="48"/>
      <c r="O86" s="49" t="str">
        <f>IF(AND(ISNUMBER(M86),ISNUMBER(N86)),M86*N86,"")</f>
        <v/>
      </c>
      <c r="P86" s="48"/>
      <c r="Q86" s="50" t="str">
        <f>IF(E86="","",IF(OR(P86="",P86&lt;85),"⚠ REVIEW","✓"))</f>
        <v/>
      </c>
      <c r="R86" s="48"/>
    </row>
    <row r="87" spans="1:18" ht="20.100000000000001" customHeight="1">
      <c r="A87" s="36">
        <v>79</v>
      </c>
      <c r="B87" s="51"/>
      <c r="C87" s="51"/>
      <c r="D87" s="51"/>
      <c r="E87" s="52"/>
      <c r="F87" s="48"/>
      <c r="G87" s="48"/>
      <c r="H87" s="48"/>
      <c r="I87" s="48"/>
      <c r="J87" s="48"/>
      <c r="K87" s="48"/>
      <c r="L87" s="48"/>
      <c r="M87" s="48"/>
      <c r="N87" s="48"/>
      <c r="O87" s="49" t="str">
        <f>IF(AND(ISNUMBER(M87),ISNUMBER(N87)),M87*N87,"")</f>
        <v/>
      </c>
      <c r="P87" s="48"/>
      <c r="Q87" s="50" t="str">
        <f>IF(E87="","",IF(OR(P87="",P87&lt;85),"⚠ REVIEW","✓"))</f>
        <v/>
      </c>
      <c r="R87" s="48"/>
    </row>
    <row r="88" spans="1:18" ht="20.100000000000001" customHeight="1">
      <c r="A88" s="44">
        <v>80</v>
      </c>
      <c r="B88" s="46"/>
      <c r="C88" s="46"/>
      <c r="D88" s="46"/>
      <c r="E88" s="47"/>
      <c r="F88" s="48"/>
      <c r="G88" s="48"/>
      <c r="H88" s="48"/>
      <c r="I88" s="48"/>
      <c r="J88" s="48"/>
      <c r="K88" s="48"/>
      <c r="L88" s="48"/>
      <c r="M88" s="48"/>
      <c r="N88" s="48"/>
      <c r="O88" s="49" t="str">
        <f>IF(AND(ISNUMBER(M88),ISNUMBER(N88)),M88*N88,"")</f>
        <v/>
      </c>
      <c r="P88" s="48"/>
      <c r="Q88" s="50" t="str">
        <f>IF(E88="","",IF(OR(P88="",P88&lt;85),"⚠ REVIEW","✓"))</f>
        <v/>
      </c>
      <c r="R88" s="48"/>
    </row>
    <row r="89" spans="1:18" ht="20.100000000000001" customHeight="1">
      <c r="A89" s="36">
        <v>81</v>
      </c>
      <c r="B89" s="51"/>
      <c r="C89" s="51"/>
      <c r="D89" s="51"/>
      <c r="E89" s="52"/>
      <c r="F89" s="48"/>
      <c r="G89" s="48"/>
      <c r="H89" s="48"/>
      <c r="I89" s="48"/>
      <c r="J89" s="48"/>
      <c r="K89" s="48"/>
      <c r="L89" s="48"/>
      <c r="M89" s="48"/>
      <c r="N89" s="48"/>
      <c r="O89" s="49" t="str">
        <f>IF(AND(ISNUMBER(M89),ISNUMBER(N89)),M89*N89,"")</f>
        <v/>
      </c>
      <c r="P89" s="48"/>
      <c r="Q89" s="50" t="str">
        <f>IF(E89="","",IF(OR(P89="",P89&lt;85),"⚠ REVIEW","✓"))</f>
        <v/>
      </c>
      <c r="R89" s="48"/>
    </row>
    <row r="90" spans="1:18" ht="20.100000000000001" customHeight="1">
      <c r="A90" s="44">
        <v>82</v>
      </c>
      <c r="B90" s="46"/>
      <c r="C90" s="46"/>
      <c r="D90" s="46"/>
      <c r="E90" s="47"/>
      <c r="F90" s="48"/>
      <c r="G90" s="48"/>
      <c r="H90" s="48"/>
      <c r="I90" s="48"/>
      <c r="J90" s="48"/>
      <c r="K90" s="48"/>
      <c r="L90" s="48"/>
      <c r="M90" s="48"/>
      <c r="N90" s="48"/>
      <c r="O90" s="49" t="str">
        <f>IF(AND(ISNUMBER(M90),ISNUMBER(N90)),M90*N90,"")</f>
        <v/>
      </c>
      <c r="P90" s="48"/>
      <c r="Q90" s="50" t="str">
        <f>IF(E90="","",IF(OR(P90="",P90&lt;85),"⚠ REVIEW","✓"))</f>
        <v/>
      </c>
      <c r="R90" s="48"/>
    </row>
    <row r="91" spans="1:18" ht="20.100000000000001" customHeight="1">
      <c r="A91" s="36">
        <v>83</v>
      </c>
      <c r="B91" s="51"/>
      <c r="C91" s="51"/>
      <c r="D91" s="51"/>
      <c r="E91" s="52"/>
      <c r="F91" s="48"/>
      <c r="G91" s="48"/>
      <c r="H91" s="48"/>
      <c r="I91" s="48"/>
      <c r="J91" s="48"/>
      <c r="K91" s="48"/>
      <c r="L91" s="48"/>
      <c r="M91" s="48"/>
      <c r="N91" s="48"/>
      <c r="O91" s="49" t="str">
        <f>IF(AND(ISNUMBER(M91),ISNUMBER(N91)),M91*N91,"")</f>
        <v/>
      </c>
      <c r="P91" s="48"/>
      <c r="Q91" s="50" t="str">
        <f>IF(E91="","",IF(OR(P91="",P91&lt;85),"⚠ REVIEW","✓"))</f>
        <v/>
      </c>
      <c r="R91" s="48"/>
    </row>
    <row r="92" spans="1:18" ht="20.100000000000001" customHeight="1">
      <c r="A92" s="44">
        <v>84</v>
      </c>
      <c r="B92" s="46"/>
      <c r="C92" s="46"/>
      <c r="D92" s="46"/>
      <c r="E92" s="47"/>
      <c r="F92" s="48"/>
      <c r="G92" s="48"/>
      <c r="H92" s="48"/>
      <c r="I92" s="48"/>
      <c r="J92" s="48"/>
      <c r="K92" s="48"/>
      <c r="L92" s="48"/>
      <c r="M92" s="48"/>
      <c r="N92" s="48"/>
      <c r="O92" s="49" t="str">
        <f>IF(AND(ISNUMBER(M92),ISNUMBER(N92)),M92*N92,"")</f>
        <v/>
      </c>
      <c r="P92" s="48"/>
      <c r="Q92" s="50" t="str">
        <f>IF(E92="","",IF(OR(P92="",P92&lt;85),"⚠ REVIEW","✓"))</f>
        <v/>
      </c>
      <c r="R92" s="48"/>
    </row>
    <row r="93" spans="1:18" ht="20.100000000000001" customHeight="1">
      <c r="A93" s="36">
        <v>85</v>
      </c>
      <c r="B93" s="51"/>
      <c r="C93" s="51"/>
      <c r="D93" s="51"/>
      <c r="E93" s="52"/>
      <c r="F93" s="48"/>
      <c r="G93" s="48"/>
      <c r="H93" s="48"/>
      <c r="I93" s="48"/>
      <c r="J93" s="48"/>
      <c r="K93" s="48"/>
      <c r="L93" s="48"/>
      <c r="M93" s="48"/>
      <c r="N93" s="48"/>
      <c r="O93" s="49" t="str">
        <f>IF(AND(ISNUMBER(M93),ISNUMBER(N93)),M93*N93,"")</f>
        <v/>
      </c>
      <c r="P93" s="48"/>
      <c r="Q93" s="50" t="str">
        <f>IF(E93="","",IF(OR(P93="",P93&lt;85),"⚠ REVIEW","✓"))</f>
        <v/>
      </c>
      <c r="R93" s="48"/>
    </row>
    <row r="94" spans="1:18" ht="20.100000000000001" customHeight="1">
      <c r="A94" s="44">
        <v>86</v>
      </c>
      <c r="B94" s="46"/>
      <c r="C94" s="46"/>
      <c r="D94" s="46"/>
      <c r="E94" s="47"/>
      <c r="F94" s="48"/>
      <c r="G94" s="48"/>
      <c r="H94" s="48"/>
      <c r="I94" s="48"/>
      <c r="J94" s="48"/>
      <c r="K94" s="48"/>
      <c r="L94" s="48"/>
      <c r="M94" s="48"/>
      <c r="N94" s="48"/>
      <c r="O94" s="49" t="str">
        <f>IF(AND(ISNUMBER(M94),ISNUMBER(N94)),M94*N94,"")</f>
        <v/>
      </c>
      <c r="P94" s="48"/>
      <c r="Q94" s="50" t="str">
        <f>IF(E94="","",IF(OR(P94="",P94&lt;85),"⚠ REVIEW","✓"))</f>
        <v/>
      </c>
      <c r="R94" s="48"/>
    </row>
    <row r="95" spans="1:18" ht="20.100000000000001" customHeight="1">
      <c r="A95" s="36">
        <v>87</v>
      </c>
      <c r="B95" s="51"/>
      <c r="C95" s="51"/>
      <c r="D95" s="51"/>
      <c r="E95" s="52"/>
      <c r="F95" s="48"/>
      <c r="G95" s="48"/>
      <c r="H95" s="48"/>
      <c r="I95" s="48"/>
      <c r="J95" s="48"/>
      <c r="K95" s="48"/>
      <c r="L95" s="48"/>
      <c r="M95" s="48"/>
      <c r="N95" s="48"/>
      <c r="O95" s="49" t="str">
        <f>IF(AND(ISNUMBER(M95),ISNUMBER(N95)),M95*N95,"")</f>
        <v/>
      </c>
      <c r="P95" s="48"/>
      <c r="Q95" s="50" t="str">
        <f>IF(E95="","",IF(OR(P95="",P95&lt;85),"⚠ REVIEW","✓"))</f>
        <v/>
      </c>
      <c r="R95" s="48"/>
    </row>
    <row r="96" spans="1:18" ht="20.100000000000001" customHeight="1">
      <c r="A96" s="44">
        <v>88</v>
      </c>
      <c r="B96" s="46"/>
      <c r="C96" s="46"/>
      <c r="D96" s="46"/>
      <c r="E96" s="47"/>
      <c r="F96" s="48"/>
      <c r="G96" s="48"/>
      <c r="H96" s="48"/>
      <c r="I96" s="48"/>
      <c r="J96" s="48"/>
      <c r="K96" s="48"/>
      <c r="L96" s="48"/>
      <c r="M96" s="48"/>
      <c r="N96" s="48"/>
      <c r="O96" s="49" t="str">
        <f>IF(AND(ISNUMBER(M96),ISNUMBER(N96)),M96*N96,"")</f>
        <v/>
      </c>
      <c r="P96" s="48"/>
      <c r="Q96" s="50" t="str">
        <f>IF(E96="","",IF(OR(P96="",P96&lt;85),"⚠ REVIEW","✓"))</f>
        <v/>
      </c>
      <c r="R96" s="48"/>
    </row>
    <row r="97" spans="1:18" ht="20.100000000000001" customHeight="1">
      <c r="A97" s="36">
        <v>89</v>
      </c>
      <c r="B97" s="51"/>
      <c r="C97" s="51"/>
      <c r="D97" s="51"/>
      <c r="E97" s="52"/>
      <c r="F97" s="48"/>
      <c r="G97" s="48"/>
      <c r="H97" s="48"/>
      <c r="I97" s="48"/>
      <c r="J97" s="48"/>
      <c r="K97" s="48"/>
      <c r="L97" s="48"/>
      <c r="M97" s="48"/>
      <c r="N97" s="48"/>
      <c r="O97" s="49" t="str">
        <f>IF(AND(ISNUMBER(M97),ISNUMBER(N97)),M97*N97,"")</f>
        <v/>
      </c>
      <c r="P97" s="48"/>
      <c r="Q97" s="50" t="str">
        <f>IF(E97="","",IF(OR(P97="",P97&lt;85),"⚠ REVIEW","✓"))</f>
        <v/>
      </c>
      <c r="R97" s="48"/>
    </row>
    <row r="98" spans="1:18" ht="20.100000000000001" customHeight="1">
      <c r="A98" s="44">
        <v>90</v>
      </c>
      <c r="B98" s="46"/>
      <c r="C98" s="46"/>
      <c r="D98" s="46"/>
      <c r="E98" s="47"/>
      <c r="F98" s="48"/>
      <c r="G98" s="48"/>
      <c r="H98" s="48"/>
      <c r="I98" s="48"/>
      <c r="J98" s="48"/>
      <c r="K98" s="48"/>
      <c r="L98" s="48"/>
      <c r="M98" s="48"/>
      <c r="N98" s="48"/>
      <c r="O98" s="49" t="str">
        <f>IF(AND(ISNUMBER(M98),ISNUMBER(N98)),M98*N98,"")</f>
        <v/>
      </c>
      <c r="P98" s="48"/>
      <c r="Q98" s="50" t="str">
        <f>IF(E98="","",IF(OR(P98="",P98&lt;85),"⚠ REVIEW","✓"))</f>
        <v/>
      </c>
      <c r="R98" s="48"/>
    </row>
    <row r="99" spans="1:18" ht="20.100000000000001" customHeight="1">
      <c r="A99" s="36">
        <v>91</v>
      </c>
      <c r="B99" s="51"/>
      <c r="C99" s="51"/>
      <c r="D99" s="51"/>
      <c r="E99" s="52"/>
      <c r="F99" s="48"/>
      <c r="G99" s="48"/>
      <c r="H99" s="48"/>
      <c r="I99" s="48"/>
      <c r="J99" s="48"/>
      <c r="K99" s="48"/>
      <c r="L99" s="48"/>
      <c r="M99" s="48"/>
      <c r="N99" s="48"/>
      <c r="O99" s="49" t="str">
        <f>IF(AND(ISNUMBER(M99),ISNUMBER(N99)),M99*N99,"")</f>
        <v/>
      </c>
      <c r="P99" s="48"/>
      <c r="Q99" s="50" t="str">
        <f>IF(E99="","",IF(OR(P99="",P99&lt;85),"⚠ REVIEW","✓"))</f>
        <v/>
      </c>
      <c r="R99" s="48"/>
    </row>
    <row r="100" spans="1:18" ht="20.100000000000001" customHeight="1">
      <c r="A100" s="44">
        <v>92</v>
      </c>
      <c r="B100" s="46"/>
      <c r="C100" s="46"/>
      <c r="D100" s="46"/>
      <c r="E100" s="47"/>
      <c r="F100" s="48"/>
      <c r="G100" s="48"/>
      <c r="H100" s="48"/>
      <c r="I100" s="48"/>
      <c r="J100" s="48"/>
      <c r="K100" s="48"/>
      <c r="L100" s="48"/>
      <c r="M100" s="48"/>
      <c r="N100" s="48"/>
      <c r="O100" s="49" t="str">
        <f>IF(AND(ISNUMBER(M100),ISNUMBER(N100)),M100*N100,"")</f>
        <v/>
      </c>
      <c r="P100" s="48"/>
      <c r="Q100" s="50" t="str">
        <f>IF(E100="","",IF(OR(P100="",P100&lt;85),"⚠ REVIEW","✓"))</f>
        <v/>
      </c>
      <c r="R100" s="48"/>
    </row>
    <row r="101" spans="1:18" ht="20.100000000000001" customHeight="1">
      <c r="A101" s="36">
        <v>93</v>
      </c>
      <c r="B101" s="51"/>
      <c r="C101" s="51"/>
      <c r="D101" s="51"/>
      <c r="E101" s="52"/>
      <c r="F101" s="48"/>
      <c r="G101" s="48"/>
      <c r="H101" s="48"/>
      <c r="I101" s="48"/>
      <c r="J101" s="48"/>
      <c r="K101" s="48"/>
      <c r="L101" s="48"/>
      <c r="M101" s="48"/>
      <c r="N101" s="48"/>
      <c r="O101" s="49" t="str">
        <f>IF(AND(ISNUMBER(M101),ISNUMBER(N101)),M101*N101,"")</f>
        <v/>
      </c>
      <c r="P101" s="48"/>
      <c r="Q101" s="50" t="str">
        <f>IF(E101="","",IF(OR(P101="",P101&lt;85),"⚠ REVIEW","✓"))</f>
        <v/>
      </c>
      <c r="R101" s="48"/>
    </row>
    <row r="102" spans="1:18" ht="20.100000000000001" customHeight="1">
      <c r="A102" s="44">
        <v>94</v>
      </c>
      <c r="B102" s="46"/>
      <c r="C102" s="46"/>
      <c r="D102" s="46"/>
      <c r="E102" s="47"/>
      <c r="F102" s="48"/>
      <c r="G102" s="48"/>
      <c r="H102" s="48"/>
      <c r="I102" s="48"/>
      <c r="J102" s="48"/>
      <c r="K102" s="48"/>
      <c r="L102" s="48"/>
      <c r="M102" s="48"/>
      <c r="N102" s="48"/>
      <c r="O102" s="49" t="str">
        <f>IF(AND(ISNUMBER(M102),ISNUMBER(N102)),M102*N102,"")</f>
        <v/>
      </c>
      <c r="P102" s="48"/>
      <c r="Q102" s="50" t="str">
        <f>IF(E102="","",IF(OR(P102="",P102&lt;85),"⚠ REVIEW","✓"))</f>
        <v/>
      </c>
      <c r="R102" s="48"/>
    </row>
    <row r="103" spans="1:18" ht="20.100000000000001" customHeight="1">
      <c r="A103" s="36">
        <v>95</v>
      </c>
      <c r="B103" s="51"/>
      <c r="C103" s="51"/>
      <c r="D103" s="51"/>
      <c r="E103" s="52"/>
      <c r="F103" s="48"/>
      <c r="G103" s="48"/>
      <c r="H103" s="48"/>
      <c r="I103" s="48"/>
      <c r="J103" s="48"/>
      <c r="K103" s="48"/>
      <c r="L103" s="48"/>
      <c r="M103" s="48"/>
      <c r="N103" s="48"/>
      <c r="O103" s="49" t="str">
        <f>IF(AND(ISNUMBER(M103),ISNUMBER(N103)),M103*N103,"")</f>
        <v/>
      </c>
      <c r="P103" s="48"/>
      <c r="Q103" s="50" t="str">
        <f>IF(E103="","",IF(OR(P103="",P103&lt;85),"⚠ REVIEW","✓"))</f>
        <v/>
      </c>
      <c r="R103" s="48"/>
    </row>
    <row r="104" spans="1:18" ht="20.100000000000001" customHeight="1">
      <c r="A104" s="44">
        <v>96</v>
      </c>
      <c r="B104" s="46"/>
      <c r="C104" s="46"/>
      <c r="D104" s="46"/>
      <c r="E104" s="47"/>
      <c r="F104" s="48"/>
      <c r="G104" s="48"/>
      <c r="H104" s="48"/>
      <c r="I104" s="48"/>
      <c r="J104" s="48"/>
      <c r="K104" s="48"/>
      <c r="L104" s="48"/>
      <c r="M104" s="48"/>
      <c r="N104" s="48"/>
      <c r="O104" s="49" t="str">
        <f>IF(AND(ISNUMBER(M104),ISNUMBER(N104)),M104*N104,"")</f>
        <v/>
      </c>
      <c r="P104" s="48"/>
      <c r="Q104" s="50" t="str">
        <f>IF(E104="","",IF(OR(P104="",P104&lt;85),"⚠ REVIEW","✓"))</f>
        <v/>
      </c>
      <c r="R104" s="48"/>
    </row>
    <row r="105" spans="1:18" ht="20.100000000000001" customHeight="1">
      <c r="A105" s="36">
        <v>97</v>
      </c>
      <c r="B105" s="51"/>
      <c r="C105" s="51"/>
      <c r="D105" s="51"/>
      <c r="E105" s="52"/>
      <c r="F105" s="48"/>
      <c r="G105" s="48"/>
      <c r="H105" s="48"/>
      <c r="I105" s="48"/>
      <c r="J105" s="48"/>
      <c r="K105" s="48"/>
      <c r="L105" s="48"/>
      <c r="M105" s="48"/>
      <c r="N105" s="48"/>
      <c r="O105" s="49" t="str">
        <f>IF(AND(ISNUMBER(M105),ISNUMBER(N105)),M105*N105,"")</f>
        <v/>
      </c>
      <c r="P105" s="48"/>
      <c r="Q105" s="50" t="str">
        <f>IF(E105="","",IF(OR(P105="",P105&lt;85),"⚠ REVIEW","✓"))</f>
        <v/>
      </c>
      <c r="R105" s="48"/>
    </row>
    <row r="106" spans="1:18" ht="20.100000000000001" customHeight="1">
      <c r="A106" s="44">
        <v>98</v>
      </c>
      <c r="B106" s="46"/>
      <c r="C106" s="46"/>
      <c r="D106" s="46"/>
      <c r="E106" s="47"/>
      <c r="F106" s="48"/>
      <c r="G106" s="48"/>
      <c r="H106" s="48"/>
      <c r="I106" s="48"/>
      <c r="J106" s="48"/>
      <c r="K106" s="48"/>
      <c r="L106" s="48"/>
      <c r="M106" s="48"/>
      <c r="N106" s="48"/>
      <c r="O106" s="49" t="str">
        <f>IF(AND(ISNUMBER(M106),ISNUMBER(N106)),M106*N106,"")</f>
        <v/>
      </c>
      <c r="P106" s="48"/>
      <c r="Q106" s="50" t="str">
        <f>IF(E106="","",IF(OR(P106="",P106&lt;85),"⚠ REVIEW","✓"))</f>
        <v/>
      </c>
      <c r="R106" s="48"/>
    </row>
    <row r="107" spans="1:18" ht="20.100000000000001" customHeight="1">
      <c r="A107" s="36">
        <v>99</v>
      </c>
      <c r="B107" s="51"/>
      <c r="C107" s="51"/>
      <c r="D107" s="51"/>
      <c r="E107" s="52"/>
      <c r="F107" s="48"/>
      <c r="G107" s="48"/>
      <c r="H107" s="48"/>
      <c r="I107" s="48"/>
      <c r="J107" s="48"/>
      <c r="K107" s="48"/>
      <c r="L107" s="48"/>
      <c r="M107" s="48"/>
      <c r="N107" s="48"/>
      <c r="O107" s="49" t="str">
        <f>IF(AND(ISNUMBER(M107),ISNUMBER(N107)),M107*N107,"")</f>
        <v/>
      </c>
      <c r="P107" s="48"/>
      <c r="Q107" s="50" t="str">
        <f>IF(E107="","",IF(OR(P107="",P107&lt;85),"⚠ REVIEW","✓"))</f>
        <v/>
      </c>
      <c r="R107" s="48"/>
    </row>
    <row r="108" spans="1:18" ht="20.100000000000001" customHeight="1">
      <c r="A108" s="44">
        <v>100</v>
      </c>
      <c r="B108" s="46"/>
      <c r="C108" s="46"/>
      <c r="D108" s="46"/>
      <c r="E108" s="47"/>
      <c r="F108" s="48"/>
      <c r="G108" s="48"/>
      <c r="H108" s="48"/>
      <c r="I108" s="48"/>
      <c r="J108" s="48"/>
      <c r="K108" s="48"/>
      <c r="L108" s="48"/>
      <c r="M108" s="48"/>
      <c r="N108" s="48"/>
      <c r="O108" s="49" t="str">
        <f>IF(AND(ISNUMBER(M108),ISNUMBER(N108)),M108*N108,"")</f>
        <v/>
      </c>
      <c r="P108" s="48"/>
      <c r="Q108" s="50" t="str">
        <f>IF(E108="","",IF(OR(P108="",P108&lt;85),"⚠ REVIEW","✓"))</f>
        <v/>
      </c>
      <c r="R108" s="48"/>
    </row>
    <row r="109" spans="1:18" ht="20.100000000000001" customHeight="1">
      <c r="A109" s="36">
        <v>101</v>
      </c>
      <c r="B109" s="51"/>
      <c r="C109" s="51"/>
      <c r="D109" s="51"/>
      <c r="E109" s="52"/>
      <c r="F109" s="48"/>
      <c r="G109" s="48"/>
      <c r="H109" s="48"/>
      <c r="I109" s="48"/>
      <c r="J109" s="48"/>
      <c r="K109" s="48"/>
      <c r="L109" s="48"/>
      <c r="M109" s="48"/>
      <c r="N109" s="48"/>
      <c r="O109" s="49" t="str">
        <f>IF(AND(ISNUMBER(M109),ISNUMBER(N109)),M109*N109,"")</f>
        <v/>
      </c>
      <c r="P109" s="48"/>
      <c r="Q109" s="50" t="str">
        <f>IF(E109="","",IF(OR(P109="",P109&lt;85),"⚠ REVIEW","✓"))</f>
        <v/>
      </c>
      <c r="R109" s="48"/>
    </row>
    <row r="110" spans="1:18" ht="20.100000000000001" customHeight="1">
      <c r="A110" s="44">
        <v>102</v>
      </c>
      <c r="B110" s="46"/>
      <c r="C110" s="46"/>
      <c r="D110" s="46"/>
      <c r="E110" s="47"/>
      <c r="F110" s="48"/>
      <c r="G110" s="48"/>
      <c r="H110" s="48"/>
      <c r="I110" s="48"/>
      <c r="J110" s="48"/>
      <c r="K110" s="48"/>
      <c r="L110" s="48"/>
      <c r="M110" s="48"/>
      <c r="N110" s="48"/>
      <c r="O110" s="49" t="str">
        <f>IF(AND(ISNUMBER(M110),ISNUMBER(N110)),M110*N110,"")</f>
        <v/>
      </c>
      <c r="P110" s="48"/>
      <c r="Q110" s="50" t="str">
        <f>IF(E110="","",IF(OR(P110="",P110&lt;85),"⚠ REVIEW","✓"))</f>
        <v/>
      </c>
      <c r="R110" s="48"/>
    </row>
    <row r="111" spans="1:18" ht="20.100000000000001" customHeight="1">
      <c r="A111" s="36">
        <v>103</v>
      </c>
      <c r="B111" s="51"/>
      <c r="C111" s="51"/>
      <c r="D111" s="51"/>
      <c r="E111" s="52"/>
      <c r="F111" s="48"/>
      <c r="G111" s="48"/>
      <c r="H111" s="48"/>
      <c r="I111" s="48"/>
      <c r="J111" s="48"/>
      <c r="K111" s="48"/>
      <c r="L111" s="48"/>
      <c r="M111" s="48"/>
      <c r="N111" s="48"/>
      <c r="O111" s="49" t="str">
        <f>IF(AND(ISNUMBER(M111),ISNUMBER(N111)),M111*N111,"")</f>
        <v/>
      </c>
      <c r="P111" s="48"/>
      <c r="Q111" s="50" t="str">
        <f>IF(E111="","",IF(OR(P111="",P111&lt;85),"⚠ REVIEW","✓"))</f>
        <v/>
      </c>
      <c r="R111" s="48"/>
    </row>
    <row r="112" spans="1:18" ht="20.100000000000001" customHeight="1">
      <c r="A112" s="44">
        <v>104</v>
      </c>
      <c r="B112" s="46"/>
      <c r="C112" s="46"/>
      <c r="D112" s="46"/>
      <c r="E112" s="47"/>
      <c r="F112" s="48"/>
      <c r="G112" s="48"/>
      <c r="H112" s="48"/>
      <c r="I112" s="48"/>
      <c r="J112" s="48"/>
      <c r="K112" s="48"/>
      <c r="L112" s="48"/>
      <c r="M112" s="48"/>
      <c r="N112" s="48"/>
      <c r="O112" s="49" t="str">
        <f>IF(AND(ISNUMBER(M112),ISNUMBER(N112)),M112*N112,"")</f>
        <v/>
      </c>
      <c r="P112" s="48"/>
      <c r="Q112" s="50" t="str">
        <f>IF(E112="","",IF(OR(P112="",P112&lt;85),"⚠ REVIEW","✓"))</f>
        <v/>
      </c>
      <c r="R112" s="48"/>
    </row>
    <row r="113" spans="1:18" ht="20.100000000000001" customHeight="1">
      <c r="A113" s="36">
        <v>105</v>
      </c>
      <c r="B113" s="51"/>
      <c r="C113" s="51"/>
      <c r="D113" s="51"/>
      <c r="E113" s="52"/>
      <c r="F113" s="48"/>
      <c r="G113" s="48"/>
      <c r="H113" s="48"/>
      <c r="I113" s="48"/>
      <c r="J113" s="48"/>
      <c r="K113" s="48"/>
      <c r="L113" s="48"/>
      <c r="M113" s="48"/>
      <c r="N113" s="48"/>
      <c r="O113" s="49" t="str">
        <f>IF(AND(ISNUMBER(M113),ISNUMBER(N113)),M113*N113,"")</f>
        <v/>
      </c>
      <c r="P113" s="48"/>
      <c r="Q113" s="50" t="str">
        <f>IF(E113="","",IF(OR(P113="",P113&lt;85),"⚠ REVIEW","✓"))</f>
        <v/>
      </c>
      <c r="R113" s="48"/>
    </row>
    <row r="114" spans="1:18" ht="20.100000000000001" customHeight="1">
      <c r="A114" s="44">
        <v>106</v>
      </c>
      <c r="B114" s="46"/>
      <c r="C114" s="46"/>
      <c r="D114" s="46"/>
      <c r="E114" s="47"/>
      <c r="F114" s="48"/>
      <c r="G114" s="48"/>
      <c r="H114" s="48"/>
      <c r="I114" s="48"/>
      <c r="J114" s="48"/>
      <c r="K114" s="48"/>
      <c r="L114" s="48"/>
      <c r="M114" s="48"/>
      <c r="N114" s="48"/>
      <c r="O114" s="49" t="str">
        <f>IF(AND(ISNUMBER(M114),ISNUMBER(N114)),M114*N114,"")</f>
        <v/>
      </c>
      <c r="P114" s="48"/>
      <c r="Q114" s="50" t="str">
        <f>IF(E114="","",IF(OR(P114="",P114&lt;85),"⚠ REVIEW","✓"))</f>
        <v/>
      </c>
      <c r="R114" s="48"/>
    </row>
    <row r="115" spans="1:18" ht="20.100000000000001" customHeight="1">
      <c r="A115" s="36">
        <v>107</v>
      </c>
      <c r="B115" s="51"/>
      <c r="C115" s="51"/>
      <c r="D115" s="51"/>
      <c r="E115" s="52"/>
      <c r="F115" s="48"/>
      <c r="G115" s="48"/>
      <c r="H115" s="48"/>
      <c r="I115" s="48"/>
      <c r="J115" s="48"/>
      <c r="K115" s="48"/>
      <c r="L115" s="48"/>
      <c r="M115" s="48"/>
      <c r="N115" s="48"/>
      <c r="O115" s="49" t="str">
        <f>IF(AND(ISNUMBER(M115),ISNUMBER(N115)),M115*N115,"")</f>
        <v/>
      </c>
      <c r="P115" s="48"/>
      <c r="Q115" s="50" t="str">
        <f>IF(E115="","",IF(OR(P115="",P115&lt;85),"⚠ REVIEW","✓"))</f>
        <v/>
      </c>
      <c r="R115" s="48"/>
    </row>
    <row r="116" spans="1:18" ht="20.100000000000001" customHeight="1">
      <c r="A116" s="44">
        <v>108</v>
      </c>
      <c r="B116" s="46"/>
      <c r="C116" s="46"/>
      <c r="D116" s="46"/>
      <c r="E116" s="47"/>
      <c r="F116" s="48"/>
      <c r="G116" s="48"/>
      <c r="H116" s="48"/>
      <c r="I116" s="48"/>
      <c r="J116" s="48"/>
      <c r="K116" s="48"/>
      <c r="L116" s="48"/>
      <c r="M116" s="48"/>
      <c r="N116" s="48"/>
      <c r="O116" s="49" t="str">
        <f>IF(AND(ISNUMBER(M116),ISNUMBER(N116)),M116*N116,"")</f>
        <v/>
      </c>
      <c r="P116" s="48"/>
      <c r="Q116" s="50" t="str">
        <f>IF(E116="","",IF(OR(P116="",P116&lt;85),"⚠ REVIEW","✓"))</f>
        <v/>
      </c>
      <c r="R116" s="48"/>
    </row>
    <row r="117" spans="1:18" ht="20.100000000000001" customHeight="1">
      <c r="A117" s="36">
        <v>109</v>
      </c>
      <c r="B117" s="51"/>
      <c r="C117" s="51"/>
      <c r="D117" s="51"/>
      <c r="E117" s="52"/>
      <c r="F117" s="48"/>
      <c r="G117" s="48"/>
      <c r="H117" s="48"/>
      <c r="I117" s="48"/>
      <c r="J117" s="48"/>
      <c r="K117" s="48"/>
      <c r="L117" s="48"/>
      <c r="M117" s="48"/>
      <c r="N117" s="48"/>
      <c r="O117" s="49" t="str">
        <f>IF(AND(ISNUMBER(M117),ISNUMBER(N117)),M117*N117,"")</f>
        <v/>
      </c>
      <c r="P117" s="48"/>
      <c r="Q117" s="50" t="str">
        <f>IF(E117="","",IF(OR(P117="",P117&lt;85),"⚠ REVIEW","✓"))</f>
        <v/>
      </c>
      <c r="R117" s="48"/>
    </row>
    <row r="118" spans="1:18" ht="20.100000000000001" customHeight="1">
      <c r="A118" s="44">
        <v>110</v>
      </c>
      <c r="B118" s="46"/>
      <c r="C118" s="46"/>
      <c r="D118" s="46"/>
      <c r="E118" s="47"/>
      <c r="F118" s="48"/>
      <c r="G118" s="48"/>
      <c r="H118" s="48"/>
      <c r="I118" s="48"/>
      <c r="J118" s="48"/>
      <c r="K118" s="48"/>
      <c r="L118" s="48"/>
      <c r="M118" s="48"/>
      <c r="N118" s="48"/>
      <c r="O118" s="49" t="str">
        <f>IF(AND(ISNUMBER(M118),ISNUMBER(N118)),M118*N118,"")</f>
        <v/>
      </c>
      <c r="P118" s="48"/>
      <c r="Q118" s="50" t="str">
        <f>IF(E118="","",IF(OR(P118="",P118&lt;85),"⚠ REVIEW","✓"))</f>
        <v/>
      </c>
      <c r="R118" s="48"/>
    </row>
    <row r="119" spans="1:18" ht="20.100000000000001" customHeight="1">
      <c r="A119" s="36">
        <v>111</v>
      </c>
      <c r="B119" s="51"/>
      <c r="C119" s="51"/>
      <c r="D119" s="51"/>
      <c r="E119" s="52"/>
      <c r="F119" s="48"/>
      <c r="G119" s="48"/>
      <c r="H119" s="48"/>
      <c r="I119" s="48"/>
      <c r="J119" s="48"/>
      <c r="K119" s="48"/>
      <c r="L119" s="48"/>
      <c r="M119" s="48"/>
      <c r="N119" s="48"/>
      <c r="O119" s="49" t="str">
        <f>IF(AND(ISNUMBER(M119),ISNUMBER(N119)),M119*N119,"")</f>
        <v/>
      </c>
      <c r="P119" s="48"/>
      <c r="Q119" s="50" t="str">
        <f>IF(E119="","",IF(OR(P119="",P119&lt;85),"⚠ REVIEW","✓"))</f>
        <v/>
      </c>
      <c r="R119" s="48"/>
    </row>
    <row r="120" spans="1:18" ht="20.100000000000001" customHeight="1">
      <c r="A120" s="44">
        <v>112</v>
      </c>
      <c r="B120" s="46"/>
      <c r="C120" s="46"/>
      <c r="D120" s="46"/>
      <c r="E120" s="47"/>
      <c r="F120" s="48"/>
      <c r="G120" s="48"/>
      <c r="H120" s="48"/>
      <c r="I120" s="48"/>
      <c r="J120" s="48"/>
      <c r="K120" s="48"/>
      <c r="L120" s="48"/>
      <c r="M120" s="48"/>
      <c r="N120" s="48"/>
      <c r="O120" s="49" t="str">
        <f>IF(AND(ISNUMBER(M120),ISNUMBER(N120)),M120*N120,"")</f>
        <v/>
      </c>
      <c r="P120" s="48"/>
      <c r="Q120" s="50" t="str">
        <f>IF(E120="","",IF(OR(P120="",P120&lt;85),"⚠ REVIEW","✓"))</f>
        <v/>
      </c>
      <c r="R120" s="48"/>
    </row>
    <row r="121" spans="1:18" ht="20.100000000000001" customHeight="1">
      <c r="A121" s="36">
        <v>113</v>
      </c>
      <c r="B121" s="51"/>
      <c r="C121" s="51"/>
      <c r="D121" s="51"/>
      <c r="E121" s="52"/>
      <c r="F121" s="48"/>
      <c r="G121" s="48"/>
      <c r="H121" s="48"/>
      <c r="I121" s="48"/>
      <c r="J121" s="48"/>
      <c r="K121" s="48"/>
      <c r="L121" s="48"/>
      <c r="M121" s="48"/>
      <c r="N121" s="48"/>
      <c r="O121" s="49" t="str">
        <f>IF(AND(ISNUMBER(M121),ISNUMBER(N121)),M121*N121,"")</f>
        <v/>
      </c>
      <c r="P121" s="48"/>
      <c r="Q121" s="50" t="str">
        <f>IF(E121="","",IF(OR(P121="",P121&lt;85),"⚠ REVIEW","✓"))</f>
        <v/>
      </c>
      <c r="R121" s="48"/>
    </row>
    <row r="122" spans="1:18" ht="20.100000000000001" customHeight="1">
      <c r="A122" s="44">
        <v>114</v>
      </c>
      <c r="B122" s="46"/>
      <c r="C122" s="46"/>
      <c r="D122" s="46"/>
      <c r="E122" s="47"/>
      <c r="F122" s="48"/>
      <c r="G122" s="48"/>
      <c r="H122" s="48"/>
      <c r="I122" s="48"/>
      <c r="J122" s="48"/>
      <c r="K122" s="48"/>
      <c r="L122" s="48"/>
      <c r="M122" s="48"/>
      <c r="N122" s="48"/>
      <c r="O122" s="49" t="str">
        <f>IF(AND(ISNUMBER(M122),ISNUMBER(N122)),M122*N122,"")</f>
        <v/>
      </c>
      <c r="P122" s="48"/>
      <c r="Q122" s="50" t="str">
        <f>IF(E122="","",IF(OR(P122="",P122&lt;85),"⚠ REVIEW","✓"))</f>
        <v/>
      </c>
      <c r="R122" s="48"/>
    </row>
    <row r="123" spans="1:18" ht="20.100000000000001" customHeight="1">
      <c r="A123" s="36">
        <v>115</v>
      </c>
      <c r="B123" s="51"/>
      <c r="C123" s="51"/>
      <c r="D123" s="51"/>
      <c r="E123" s="52"/>
      <c r="F123" s="48"/>
      <c r="G123" s="48"/>
      <c r="H123" s="48"/>
      <c r="I123" s="48"/>
      <c r="J123" s="48"/>
      <c r="K123" s="48"/>
      <c r="L123" s="48"/>
      <c r="M123" s="48"/>
      <c r="N123" s="48"/>
      <c r="O123" s="49" t="str">
        <f>IF(AND(ISNUMBER(M123),ISNUMBER(N123)),M123*N123,"")</f>
        <v/>
      </c>
      <c r="P123" s="48"/>
      <c r="Q123" s="50" t="str">
        <f>IF(E123="","",IF(OR(P123="",P123&lt;85),"⚠ REVIEW","✓"))</f>
        <v/>
      </c>
      <c r="R123" s="48"/>
    </row>
    <row r="124" spans="1:18" ht="20.100000000000001" customHeight="1">
      <c r="A124" s="44">
        <v>116</v>
      </c>
      <c r="B124" s="46"/>
      <c r="C124" s="46"/>
      <c r="D124" s="46"/>
      <c r="E124" s="47"/>
      <c r="F124" s="48"/>
      <c r="G124" s="48"/>
      <c r="H124" s="48"/>
      <c r="I124" s="48"/>
      <c r="J124" s="48"/>
      <c r="K124" s="48"/>
      <c r="L124" s="48"/>
      <c r="M124" s="48"/>
      <c r="N124" s="48"/>
      <c r="O124" s="49" t="str">
        <f>IF(AND(ISNUMBER(M124),ISNUMBER(N124)),M124*N124,"")</f>
        <v/>
      </c>
      <c r="P124" s="48"/>
      <c r="Q124" s="50" t="str">
        <f>IF(E124="","",IF(OR(P124="",P124&lt;85),"⚠ REVIEW","✓"))</f>
        <v/>
      </c>
      <c r="R124" s="48"/>
    </row>
    <row r="125" spans="1:18" ht="20.100000000000001" customHeight="1">
      <c r="A125" s="36">
        <v>117</v>
      </c>
      <c r="B125" s="51"/>
      <c r="C125" s="51"/>
      <c r="D125" s="51"/>
      <c r="E125" s="52"/>
      <c r="F125" s="48"/>
      <c r="G125" s="48"/>
      <c r="H125" s="48"/>
      <c r="I125" s="48"/>
      <c r="J125" s="48"/>
      <c r="K125" s="48"/>
      <c r="L125" s="48"/>
      <c r="M125" s="48"/>
      <c r="N125" s="48"/>
      <c r="O125" s="49" t="str">
        <f>IF(AND(ISNUMBER(M125),ISNUMBER(N125)),M125*N125,"")</f>
        <v/>
      </c>
      <c r="P125" s="48"/>
      <c r="Q125" s="50" t="str">
        <f>IF(E125="","",IF(OR(P125="",P125&lt;85),"⚠ REVIEW","✓"))</f>
        <v/>
      </c>
      <c r="R125" s="48"/>
    </row>
    <row r="126" spans="1:18" ht="20.100000000000001" customHeight="1">
      <c r="A126" s="44">
        <v>118</v>
      </c>
      <c r="B126" s="46"/>
      <c r="C126" s="46"/>
      <c r="D126" s="46"/>
      <c r="E126" s="47"/>
      <c r="F126" s="48"/>
      <c r="G126" s="48"/>
      <c r="H126" s="48"/>
      <c r="I126" s="48"/>
      <c r="J126" s="48"/>
      <c r="K126" s="48"/>
      <c r="L126" s="48"/>
      <c r="M126" s="48"/>
      <c r="N126" s="48"/>
      <c r="O126" s="49" t="str">
        <f>IF(AND(ISNUMBER(M126),ISNUMBER(N126)),M126*N126,"")</f>
        <v/>
      </c>
      <c r="P126" s="48"/>
      <c r="Q126" s="50" t="str">
        <f>IF(E126="","",IF(OR(P126="",P126&lt;85),"⚠ REVIEW","✓"))</f>
        <v/>
      </c>
      <c r="R126" s="48"/>
    </row>
    <row r="127" spans="1:18" ht="20.100000000000001" customHeight="1">
      <c r="A127" s="36">
        <v>119</v>
      </c>
      <c r="B127" s="51"/>
      <c r="C127" s="51"/>
      <c r="D127" s="51"/>
      <c r="E127" s="52"/>
      <c r="F127" s="48"/>
      <c r="G127" s="48"/>
      <c r="H127" s="48"/>
      <c r="I127" s="48"/>
      <c r="J127" s="48"/>
      <c r="K127" s="48"/>
      <c r="L127" s="48"/>
      <c r="M127" s="48"/>
      <c r="N127" s="48"/>
      <c r="O127" s="49" t="str">
        <f>IF(AND(ISNUMBER(M127),ISNUMBER(N127)),M127*N127,"")</f>
        <v/>
      </c>
      <c r="P127" s="48"/>
      <c r="Q127" s="50" t="str">
        <f>IF(E127="","",IF(OR(P127="",P127&lt;85),"⚠ REVIEW","✓"))</f>
        <v/>
      </c>
      <c r="R127" s="48"/>
    </row>
    <row r="128" spans="1:18" ht="20.100000000000001" customHeight="1">
      <c r="A128" s="44">
        <v>120</v>
      </c>
      <c r="B128" s="46"/>
      <c r="C128" s="46"/>
      <c r="D128" s="46"/>
      <c r="E128" s="47"/>
      <c r="F128" s="48"/>
      <c r="G128" s="48"/>
      <c r="H128" s="48"/>
      <c r="I128" s="48"/>
      <c r="J128" s="48"/>
      <c r="K128" s="48"/>
      <c r="L128" s="48"/>
      <c r="M128" s="48"/>
      <c r="N128" s="48"/>
      <c r="O128" s="49" t="str">
        <f>IF(AND(ISNUMBER(M128),ISNUMBER(N128)),M128*N128,"")</f>
        <v/>
      </c>
      <c r="P128" s="48"/>
      <c r="Q128" s="50" t="str">
        <f>IF(E128="","",IF(OR(P128="",P128&lt;85),"⚠ REVIEW","✓"))</f>
        <v/>
      </c>
      <c r="R128" s="48"/>
    </row>
    <row r="129" spans="1:18" ht="20.100000000000001" customHeight="1">
      <c r="A129" s="36">
        <v>121</v>
      </c>
      <c r="B129" s="51"/>
      <c r="C129" s="51"/>
      <c r="D129" s="51"/>
      <c r="E129" s="52"/>
      <c r="F129" s="48"/>
      <c r="G129" s="48"/>
      <c r="H129" s="48"/>
      <c r="I129" s="48"/>
      <c r="J129" s="48"/>
      <c r="K129" s="48"/>
      <c r="L129" s="48"/>
      <c r="M129" s="48"/>
      <c r="N129" s="48"/>
      <c r="O129" s="49" t="str">
        <f>IF(AND(ISNUMBER(M129),ISNUMBER(N129)),M129*N129,"")</f>
        <v/>
      </c>
      <c r="P129" s="48"/>
      <c r="Q129" s="50" t="str">
        <f>IF(E129="","",IF(OR(P129="",P129&lt;85),"⚠ REVIEW","✓"))</f>
        <v/>
      </c>
      <c r="R129" s="48"/>
    </row>
    <row r="130" spans="1:18" ht="20.100000000000001" customHeight="1">
      <c r="A130" s="44">
        <v>122</v>
      </c>
      <c r="B130" s="46"/>
      <c r="C130" s="46"/>
      <c r="D130" s="46"/>
      <c r="E130" s="47"/>
      <c r="F130" s="48"/>
      <c r="G130" s="48"/>
      <c r="H130" s="48"/>
      <c r="I130" s="48"/>
      <c r="J130" s="48"/>
      <c r="K130" s="48"/>
      <c r="L130" s="48"/>
      <c r="M130" s="48"/>
      <c r="N130" s="48"/>
      <c r="O130" s="49" t="str">
        <f>IF(AND(ISNUMBER(M130),ISNUMBER(N130)),M130*N130,"")</f>
        <v/>
      </c>
      <c r="P130" s="48"/>
      <c r="Q130" s="50" t="str">
        <f>IF(E130="","",IF(OR(P130="",P130&lt;85),"⚠ REVIEW","✓"))</f>
        <v/>
      </c>
      <c r="R130" s="48"/>
    </row>
    <row r="131" spans="1:18" ht="20.100000000000001" customHeight="1">
      <c r="A131" s="36">
        <v>123</v>
      </c>
      <c r="B131" s="51"/>
      <c r="C131" s="51"/>
      <c r="D131" s="51"/>
      <c r="E131" s="52"/>
      <c r="F131" s="48"/>
      <c r="G131" s="48"/>
      <c r="H131" s="48"/>
      <c r="I131" s="48"/>
      <c r="J131" s="48"/>
      <c r="K131" s="48"/>
      <c r="L131" s="48"/>
      <c r="M131" s="48"/>
      <c r="N131" s="48"/>
      <c r="O131" s="49" t="str">
        <f>IF(AND(ISNUMBER(M131),ISNUMBER(N131)),M131*N131,"")</f>
        <v/>
      </c>
      <c r="P131" s="48"/>
      <c r="Q131" s="50" t="str">
        <f>IF(E131="","",IF(OR(P131="",P131&lt;85),"⚠ REVIEW","✓"))</f>
        <v/>
      </c>
      <c r="R131" s="48"/>
    </row>
    <row r="132" spans="1:18" ht="20.100000000000001" customHeight="1">
      <c r="A132" s="44">
        <v>124</v>
      </c>
      <c r="B132" s="46"/>
      <c r="C132" s="46"/>
      <c r="D132" s="46"/>
      <c r="E132" s="47"/>
      <c r="F132" s="48"/>
      <c r="G132" s="48"/>
      <c r="H132" s="48"/>
      <c r="I132" s="48"/>
      <c r="J132" s="48"/>
      <c r="K132" s="48"/>
      <c r="L132" s="48"/>
      <c r="M132" s="48"/>
      <c r="N132" s="48"/>
      <c r="O132" s="49" t="str">
        <f>IF(AND(ISNUMBER(M132),ISNUMBER(N132)),M132*N132,"")</f>
        <v/>
      </c>
      <c r="P132" s="48"/>
      <c r="Q132" s="50" t="str">
        <f>IF(E132="","",IF(OR(P132="",P132&lt;85),"⚠ REVIEW","✓"))</f>
        <v/>
      </c>
      <c r="R132" s="48"/>
    </row>
    <row r="133" spans="1:18" ht="20.100000000000001" customHeight="1">
      <c r="A133" s="36">
        <v>125</v>
      </c>
      <c r="B133" s="51"/>
      <c r="C133" s="51"/>
      <c r="D133" s="51"/>
      <c r="E133" s="52"/>
      <c r="F133" s="48"/>
      <c r="G133" s="48"/>
      <c r="H133" s="48"/>
      <c r="I133" s="48"/>
      <c r="J133" s="48"/>
      <c r="K133" s="48"/>
      <c r="L133" s="48"/>
      <c r="M133" s="48"/>
      <c r="N133" s="48"/>
      <c r="O133" s="49" t="str">
        <f>IF(AND(ISNUMBER(M133),ISNUMBER(N133)),M133*N133,"")</f>
        <v/>
      </c>
      <c r="P133" s="48"/>
      <c r="Q133" s="50" t="str">
        <f>IF(E133="","",IF(OR(P133="",P133&lt;85),"⚠ REVIEW","✓"))</f>
        <v/>
      </c>
      <c r="R133" s="48"/>
    </row>
    <row r="134" spans="1:18" ht="20.100000000000001" customHeight="1">
      <c r="A134" s="44">
        <v>126</v>
      </c>
      <c r="B134" s="46"/>
      <c r="C134" s="46"/>
      <c r="D134" s="46"/>
      <c r="E134" s="47"/>
      <c r="F134" s="48"/>
      <c r="G134" s="48"/>
      <c r="H134" s="48"/>
      <c r="I134" s="48"/>
      <c r="J134" s="48"/>
      <c r="K134" s="48"/>
      <c r="L134" s="48"/>
      <c r="M134" s="48"/>
      <c r="N134" s="48"/>
      <c r="O134" s="49" t="str">
        <f>IF(AND(ISNUMBER(M134),ISNUMBER(N134)),M134*N134,"")</f>
        <v/>
      </c>
      <c r="P134" s="48"/>
      <c r="Q134" s="50" t="str">
        <f>IF(E134="","",IF(OR(P134="",P134&lt;85),"⚠ REVIEW","✓"))</f>
        <v/>
      </c>
      <c r="R134" s="48"/>
    </row>
    <row r="135" spans="1:18" ht="20.100000000000001" customHeight="1">
      <c r="A135" s="36">
        <v>127</v>
      </c>
      <c r="B135" s="51"/>
      <c r="C135" s="51"/>
      <c r="D135" s="51"/>
      <c r="E135" s="52"/>
      <c r="F135" s="48"/>
      <c r="G135" s="48"/>
      <c r="H135" s="48"/>
      <c r="I135" s="48"/>
      <c r="J135" s="48"/>
      <c r="K135" s="48"/>
      <c r="L135" s="48"/>
      <c r="M135" s="48"/>
      <c r="N135" s="48"/>
      <c r="O135" s="49" t="str">
        <f>IF(AND(ISNUMBER(M135),ISNUMBER(N135)),M135*N135,"")</f>
        <v/>
      </c>
      <c r="P135" s="48"/>
      <c r="Q135" s="50" t="str">
        <f>IF(E135="","",IF(OR(P135="",P135&lt;85),"⚠ REVIEW","✓"))</f>
        <v/>
      </c>
      <c r="R135" s="48"/>
    </row>
    <row r="136" spans="1:18" ht="20.100000000000001" customHeight="1">
      <c r="A136" s="44">
        <v>128</v>
      </c>
      <c r="B136" s="46"/>
      <c r="C136" s="46"/>
      <c r="D136" s="46"/>
      <c r="E136" s="47"/>
      <c r="F136" s="48"/>
      <c r="G136" s="48"/>
      <c r="H136" s="48"/>
      <c r="I136" s="48"/>
      <c r="J136" s="48"/>
      <c r="K136" s="48"/>
      <c r="L136" s="48"/>
      <c r="M136" s="48"/>
      <c r="N136" s="48"/>
      <c r="O136" s="49" t="str">
        <f>IF(AND(ISNUMBER(M136),ISNUMBER(N136)),M136*N136,"")</f>
        <v/>
      </c>
      <c r="P136" s="48"/>
      <c r="Q136" s="50" t="str">
        <f>IF(E136="","",IF(OR(P136="",P136&lt;85),"⚠ REVIEW","✓"))</f>
        <v/>
      </c>
      <c r="R136" s="48"/>
    </row>
    <row r="137" spans="1:18" ht="20.100000000000001" customHeight="1">
      <c r="A137" s="36">
        <v>129</v>
      </c>
      <c r="B137" s="51"/>
      <c r="C137" s="51"/>
      <c r="D137" s="51"/>
      <c r="E137" s="52"/>
      <c r="F137" s="48"/>
      <c r="G137" s="48"/>
      <c r="H137" s="48"/>
      <c r="I137" s="48"/>
      <c r="J137" s="48"/>
      <c r="K137" s="48"/>
      <c r="L137" s="48"/>
      <c r="M137" s="48"/>
      <c r="N137" s="48"/>
      <c r="O137" s="49" t="str">
        <f>IF(AND(ISNUMBER(M137),ISNUMBER(N137)),M137*N137,"")</f>
        <v/>
      </c>
      <c r="P137" s="48"/>
      <c r="Q137" s="50" t="str">
        <f>IF(E137="","",IF(OR(P137="",P137&lt;85),"⚠ REVIEW","✓"))</f>
        <v/>
      </c>
      <c r="R137" s="48"/>
    </row>
    <row r="138" spans="1:18" ht="20.100000000000001" customHeight="1">
      <c r="A138" s="44">
        <v>130</v>
      </c>
      <c r="B138" s="46"/>
      <c r="C138" s="46"/>
      <c r="D138" s="46"/>
      <c r="E138" s="47"/>
      <c r="F138" s="48"/>
      <c r="G138" s="48"/>
      <c r="H138" s="48"/>
      <c r="I138" s="48"/>
      <c r="J138" s="48"/>
      <c r="K138" s="48"/>
      <c r="L138" s="48"/>
      <c r="M138" s="48"/>
      <c r="N138" s="48"/>
      <c r="O138" s="49" t="str">
        <f>IF(AND(ISNUMBER(M138),ISNUMBER(N138)),M138*N138,"")</f>
        <v/>
      </c>
      <c r="P138" s="48"/>
      <c r="Q138" s="50" t="str">
        <f>IF(E138="","",IF(OR(P138="",P138&lt;85),"⚠ REVIEW","✓"))</f>
        <v/>
      </c>
      <c r="R138" s="48"/>
    </row>
    <row r="139" spans="1:18" ht="20.100000000000001" customHeight="1">
      <c r="A139" s="36">
        <v>131</v>
      </c>
      <c r="B139" s="51"/>
      <c r="C139" s="51"/>
      <c r="D139" s="51"/>
      <c r="E139" s="52"/>
      <c r="F139" s="48"/>
      <c r="G139" s="48"/>
      <c r="H139" s="48"/>
      <c r="I139" s="48"/>
      <c r="J139" s="48"/>
      <c r="K139" s="48"/>
      <c r="L139" s="48"/>
      <c r="M139" s="48"/>
      <c r="N139" s="48"/>
      <c r="O139" s="49" t="str">
        <f>IF(AND(ISNUMBER(M139),ISNUMBER(N139)),M139*N139,"")</f>
        <v/>
      </c>
      <c r="P139" s="48"/>
      <c r="Q139" s="50" t="str">
        <f>IF(E139="","",IF(OR(P139="",P139&lt;85),"⚠ REVIEW","✓"))</f>
        <v/>
      </c>
      <c r="R139" s="48"/>
    </row>
    <row r="140" spans="1:18" ht="20.100000000000001" customHeight="1">
      <c r="A140" s="44">
        <v>132</v>
      </c>
      <c r="B140" s="46"/>
      <c r="C140" s="46"/>
      <c r="D140" s="46"/>
      <c r="E140" s="47"/>
      <c r="F140" s="48"/>
      <c r="G140" s="48"/>
      <c r="H140" s="48"/>
      <c r="I140" s="48"/>
      <c r="J140" s="48"/>
      <c r="K140" s="48"/>
      <c r="L140" s="48"/>
      <c r="M140" s="48"/>
      <c r="N140" s="48"/>
      <c r="O140" s="49" t="str">
        <f>IF(AND(ISNUMBER(M140),ISNUMBER(N140)),M140*N140,"")</f>
        <v/>
      </c>
      <c r="P140" s="48"/>
      <c r="Q140" s="50" t="str">
        <f>IF(E140="","",IF(OR(P140="",P140&lt;85),"⚠ REVIEW","✓"))</f>
        <v/>
      </c>
      <c r="R140" s="48"/>
    </row>
    <row r="141" spans="1:18" ht="20.100000000000001" customHeight="1">
      <c r="A141" s="36">
        <v>133</v>
      </c>
      <c r="B141" s="51"/>
      <c r="C141" s="51"/>
      <c r="D141" s="51"/>
      <c r="E141" s="52"/>
      <c r="F141" s="48"/>
      <c r="G141" s="48"/>
      <c r="H141" s="48"/>
      <c r="I141" s="48"/>
      <c r="J141" s="48"/>
      <c r="K141" s="48"/>
      <c r="L141" s="48"/>
      <c r="M141" s="48"/>
      <c r="N141" s="48"/>
      <c r="O141" s="49" t="str">
        <f>IF(AND(ISNUMBER(M141),ISNUMBER(N141)),M141*N141,"")</f>
        <v/>
      </c>
      <c r="P141" s="48"/>
      <c r="Q141" s="50" t="str">
        <f>IF(E141="","",IF(OR(P141="",P141&lt;85),"⚠ REVIEW","✓"))</f>
        <v/>
      </c>
      <c r="R141" s="48"/>
    </row>
    <row r="142" spans="1:18" ht="20.100000000000001" customHeight="1">
      <c r="A142" s="44">
        <v>134</v>
      </c>
      <c r="B142" s="46"/>
      <c r="C142" s="46"/>
      <c r="D142" s="46"/>
      <c r="E142" s="47"/>
      <c r="F142" s="48"/>
      <c r="G142" s="48"/>
      <c r="H142" s="48"/>
      <c r="I142" s="48"/>
      <c r="J142" s="48"/>
      <c r="K142" s="48"/>
      <c r="L142" s="48"/>
      <c r="M142" s="48"/>
      <c r="N142" s="48"/>
      <c r="O142" s="49" t="str">
        <f>IF(AND(ISNUMBER(M142),ISNUMBER(N142)),M142*N142,"")</f>
        <v/>
      </c>
      <c r="P142" s="48"/>
      <c r="Q142" s="50" t="str">
        <f>IF(E142="","",IF(OR(P142="",P142&lt;85),"⚠ REVIEW","✓"))</f>
        <v/>
      </c>
      <c r="R142" s="48"/>
    </row>
    <row r="143" spans="1:18" ht="20.100000000000001" customHeight="1">
      <c r="A143" s="36">
        <v>135</v>
      </c>
      <c r="B143" s="51"/>
      <c r="C143" s="51"/>
      <c r="D143" s="51"/>
      <c r="E143" s="52"/>
      <c r="F143" s="48"/>
      <c r="G143" s="48"/>
      <c r="H143" s="48"/>
      <c r="I143" s="48"/>
      <c r="J143" s="48"/>
      <c r="K143" s="48"/>
      <c r="L143" s="48"/>
      <c r="M143" s="48"/>
      <c r="N143" s="48"/>
      <c r="O143" s="49" t="str">
        <f>IF(AND(ISNUMBER(M143),ISNUMBER(N143)),M143*N143,"")</f>
        <v/>
      </c>
      <c r="P143" s="48"/>
      <c r="Q143" s="50" t="str">
        <f>IF(E143="","",IF(OR(P143="",P143&lt;85),"⚠ REVIEW","✓"))</f>
        <v/>
      </c>
      <c r="R143" s="48"/>
    </row>
    <row r="144" spans="1:18" ht="20.100000000000001" customHeight="1">
      <c r="A144" s="44">
        <v>136</v>
      </c>
      <c r="B144" s="46"/>
      <c r="C144" s="46"/>
      <c r="D144" s="46"/>
      <c r="E144" s="47"/>
      <c r="F144" s="48"/>
      <c r="G144" s="48"/>
      <c r="H144" s="48"/>
      <c r="I144" s="48"/>
      <c r="J144" s="48"/>
      <c r="K144" s="48"/>
      <c r="L144" s="48"/>
      <c r="M144" s="48"/>
      <c r="N144" s="48"/>
      <c r="O144" s="49" t="str">
        <f>IF(AND(ISNUMBER(M144),ISNUMBER(N144)),M144*N144,"")</f>
        <v/>
      </c>
      <c r="P144" s="48"/>
      <c r="Q144" s="50" t="str">
        <f>IF(E144="","",IF(OR(P144="",P144&lt;85),"⚠ REVIEW","✓"))</f>
        <v/>
      </c>
      <c r="R144" s="48"/>
    </row>
    <row r="145" spans="1:18" ht="20.100000000000001" customHeight="1">
      <c r="A145" s="36">
        <v>137</v>
      </c>
      <c r="B145" s="51"/>
      <c r="C145" s="51"/>
      <c r="D145" s="51"/>
      <c r="E145" s="52"/>
      <c r="F145" s="48"/>
      <c r="G145" s="48"/>
      <c r="H145" s="48"/>
      <c r="I145" s="48"/>
      <c r="J145" s="48"/>
      <c r="K145" s="48"/>
      <c r="L145" s="48"/>
      <c r="M145" s="48"/>
      <c r="N145" s="48"/>
      <c r="O145" s="49" t="str">
        <f>IF(AND(ISNUMBER(M145),ISNUMBER(N145)),M145*N145,"")</f>
        <v/>
      </c>
      <c r="P145" s="48"/>
      <c r="Q145" s="50" t="str">
        <f>IF(E145="","",IF(OR(P145="",P145&lt;85),"⚠ REVIEW","✓"))</f>
        <v/>
      </c>
      <c r="R145" s="48"/>
    </row>
    <row r="146" spans="1:18" ht="20.100000000000001" customHeight="1">
      <c r="A146" s="44">
        <v>138</v>
      </c>
      <c r="B146" s="46"/>
      <c r="C146" s="46"/>
      <c r="D146" s="46"/>
      <c r="E146" s="47"/>
      <c r="F146" s="48"/>
      <c r="G146" s="48"/>
      <c r="H146" s="48"/>
      <c r="I146" s="48"/>
      <c r="J146" s="48"/>
      <c r="K146" s="48"/>
      <c r="L146" s="48"/>
      <c r="M146" s="48"/>
      <c r="N146" s="48"/>
      <c r="O146" s="49" t="str">
        <f>IF(AND(ISNUMBER(M146),ISNUMBER(N146)),M146*N146,"")</f>
        <v/>
      </c>
      <c r="P146" s="48"/>
      <c r="Q146" s="50" t="str">
        <f>IF(E146="","",IF(OR(P146="",P146&lt;85),"⚠ REVIEW","✓"))</f>
        <v/>
      </c>
      <c r="R146" s="48"/>
    </row>
    <row r="147" spans="1:18" ht="20.100000000000001" customHeight="1">
      <c r="A147" s="36">
        <v>139</v>
      </c>
      <c r="B147" s="51"/>
      <c r="C147" s="51"/>
      <c r="D147" s="51"/>
      <c r="E147" s="52"/>
      <c r="F147" s="48"/>
      <c r="G147" s="48"/>
      <c r="H147" s="48"/>
      <c r="I147" s="48"/>
      <c r="J147" s="48"/>
      <c r="K147" s="48"/>
      <c r="L147" s="48"/>
      <c r="M147" s="48"/>
      <c r="N147" s="48"/>
      <c r="O147" s="49" t="str">
        <f>IF(AND(ISNUMBER(M147),ISNUMBER(N147)),M147*N147,"")</f>
        <v/>
      </c>
      <c r="P147" s="48"/>
      <c r="Q147" s="50" t="str">
        <f>IF(E147="","",IF(OR(P147="",P147&lt;85),"⚠ REVIEW","✓"))</f>
        <v/>
      </c>
      <c r="R147" s="48"/>
    </row>
    <row r="148" spans="1:18" ht="20.100000000000001" customHeight="1">
      <c r="A148" s="44">
        <v>140</v>
      </c>
      <c r="B148" s="46"/>
      <c r="C148" s="46"/>
      <c r="D148" s="46"/>
      <c r="E148" s="47"/>
      <c r="F148" s="48"/>
      <c r="G148" s="48"/>
      <c r="H148" s="48"/>
      <c r="I148" s="48"/>
      <c r="J148" s="48"/>
      <c r="K148" s="48"/>
      <c r="L148" s="48"/>
      <c r="M148" s="48"/>
      <c r="N148" s="48"/>
      <c r="O148" s="49" t="str">
        <f>IF(AND(ISNUMBER(M148),ISNUMBER(N148)),M148*N148,"")</f>
        <v/>
      </c>
      <c r="P148" s="48"/>
      <c r="Q148" s="50" t="str">
        <f>IF(E148="","",IF(OR(P148="",P148&lt;85),"⚠ REVIEW","✓"))</f>
        <v/>
      </c>
      <c r="R148" s="48"/>
    </row>
    <row r="149" spans="1:18" ht="20.100000000000001" customHeight="1">
      <c r="A149" s="36">
        <v>141</v>
      </c>
      <c r="B149" s="51"/>
      <c r="C149" s="51"/>
      <c r="D149" s="51"/>
      <c r="E149" s="52"/>
      <c r="F149" s="48"/>
      <c r="G149" s="48"/>
      <c r="H149" s="48"/>
      <c r="I149" s="48"/>
      <c r="J149" s="48"/>
      <c r="K149" s="48"/>
      <c r="L149" s="48"/>
      <c r="M149" s="48"/>
      <c r="N149" s="48"/>
      <c r="O149" s="49" t="str">
        <f>IF(AND(ISNUMBER(M149),ISNUMBER(N149)),M149*N149,"")</f>
        <v/>
      </c>
      <c r="P149" s="48"/>
      <c r="Q149" s="50" t="str">
        <f>IF(E149="","",IF(OR(P149="",P149&lt;85),"⚠ REVIEW","✓"))</f>
        <v/>
      </c>
      <c r="R149" s="48"/>
    </row>
    <row r="150" spans="1:18" ht="20.100000000000001" customHeight="1">
      <c r="A150" s="44">
        <v>142</v>
      </c>
      <c r="B150" s="46"/>
      <c r="C150" s="46"/>
      <c r="D150" s="46"/>
      <c r="E150" s="47"/>
      <c r="F150" s="48"/>
      <c r="G150" s="48"/>
      <c r="H150" s="48"/>
      <c r="I150" s="48"/>
      <c r="J150" s="48"/>
      <c r="K150" s="48"/>
      <c r="L150" s="48"/>
      <c r="M150" s="48"/>
      <c r="N150" s="48"/>
      <c r="O150" s="49" t="str">
        <f>IF(AND(ISNUMBER(M150),ISNUMBER(N150)),M150*N150,"")</f>
        <v/>
      </c>
      <c r="P150" s="48"/>
      <c r="Q150" s="50" t="str">
        <f>IF(E150="","",IF(OR(P150="",P150&lt;85),"⚠ REVIEW","✓"))</f>
        <v/>
      </c>
      <c r="R150" s="48"/>
    </row>
    <row r="151" spans="1:18" ht="20.100000000000001" customHeight="1">
      <c r="A151" s="36">
        <v>143</v>
      </c>
      <c r="B151" s="51"/>
      <c r="C151" s="51"/>
      <c r="D151" s="51"/>
      <c r="E151" s="52"/>
      <c r="F151" s="48"/>
      <c r="G151" s="48"/>
      <c r="H151" s="48"/>
      <c r="I151" s="48"/>
      <c r="J151" s="48"/>
      <c r="K151" s="48"/>
      <c r="L151" s="48"/>
      <c r="M151" s="48"/>
      <c r="N151" s="48"/>
      <c r="O151" s="49" t="str">
        <f>IF(AND(ISNUMBER(M151),ISNUMBER(N151)),M151*N151,"")</f>
        <v/>
      </c>
      <c r="P151" s="48"/>
      <c r="Q151" s="50" t="str">
        <f>IF(E151="","",IF(OR(P151="",P151&lt;85),"⚠ REVIEW","✓"))</f>
        <v/>
      </c>
      <c r="R151" s="48"/>
    </row>
    <row r="152" spans="1:18" ht="20.100000000000001" customHeight="1">
      <c r="A152" s="44">
        <v>144</v>
      </c>
      <c r="B152" s="46"/>
      <c r="C152" s="46"/>
      <c r="D152" s="46"/>
      <c r="E152" s="47"/>
      <c r="F152" s="48"/>
      <c r="G152" s="48"/>
      <c r="H152" s="48"/>
      <c r="I152" s="48"/>
      <c r="J152" s="48"/>
      <c r="K152" s="48"/>
      <c r="L152" s="48"/>
      <c r="M152" s="48"/>
      <c r="N152" s="48"/>
      <c r="O152" s="49" t="str">
        <f>IF(AND(ISNUMBER(M152),ISNUMBER(N152)),M152*N152,"")</f>
        <v/>
      </c>
      <c r="P152" s="48"/>
      <c r="Q152" s="50" t="str">
        <f>IF(E152="","",IF(OR(P152="",P152&lt;85),"⚠ REVIEW","✓"))</f>
        <v/>
      </c>
      <c r="R152" s="48"/>
    </row>
    <row r="153" spans="1:18" ht="20.100000000000001" customHeight="1">
      <c r="A153" s="36">
        <v>145</v>
      </c>
      <c r="B153" s="51"/>
      <c r="C153" s="51"/>
      <c r="D153" s="51"/>
      <c r="E153" s="52"/>
      <c r="F153" s="48"/>
      <c r="G153" s="48"/>
      <c r="H153" s="48"/>
      <c r="I153" s="48"/>
      <c r="J153" s="48"/>
      <c r="K153" s="48"/>
      <c r="L153" s="48"/>
      <c r="M153" s="48"/>
      <c r="N153" s="48"/>
      <c r="O153" s="49" t="str">
        <f>IF(AND(ISNUMBER(M153),ISNUMBER(N153)),M153*N153,"")</f>
        <v/>
      </c>
      <c r="P153" s="48"/>
      <c r="Q153" s="50" t="str">
        <f>IF(E153="","",IF(OR(P153="",P153&lt;85),"⚠ REVIEW","✓"))</f>
        <v/>
      </c>
      <c r="R153" s="48"/>
    </row>
    <row r="154" spans="1:18" ht="20.100000000000001" customHeight="1">
      <c r="A154" s="44">
        <v>146</v>
      </c>
      <c r="B154" s="46"/>
      <c r="C154" s="46"/>
      <c r="D154" s="46"/>
      <c r="E154" s="47"/>
      <c r="F154" s="48"/>
      <c r="G154" s="48"/>
      <c r="H154" s="48"/>
      <c r="I154" s="48"/>
      <c r="J154" s="48"/>
      <c r="K154" s="48"/>
      <c r="L154" s="48"/>
      <c r="M154" s="48"/>
      <c r="N154" s="48"/>
      <c r="O154" s="49" t="str">
        <f>IF(AND(ISNUMBER(M154),ISNUMBER(N154)),M154*N154,"")</f>
        <v/>
      </c>
      <c r="P154" s="48"/>
      <c r="Q154" s="50" t="str">
        <f>IF(E154="","",IF(OR(P154="",P154&lt;85),"⚠ REVIEW","✓"))</f>
        <v/>
      </c>
      <c r="R154" s="48"/>
    </row>
    <row r="155" spans="1:18" ht="20.100000000000001" customHeight="1">
      <c r="A155" s="36">
        <v>147</v>
      </c>
      <c r="B155" s="51"/>
      <c r="C155" s="51"/>
      <c r="D155" s="51"/>
      <c r="E155" s="52"/>
      <c r="F155" s="48"/>
      <c r="G155" s="48"/>
      <c r="H155" s="48"/>
      <c r="I155" s="48"/>
      <c r="J155" s="48"/>
      <c r="K155" s="48"/>
      <c r="L155" s="48"/>
      <c r="M155" s="48"/>
      <c r="N155" s="48"/>
      <c r="O155" s="49" t="str">
        <f>IF(AND(ISNUMBER(M155),ISNUMBER(N155)),M155*N155,"")</f>
        <v/>
      </c>
      <c r="P155" s="48"/>
      <c r="Q155" s="50" t="str">
        <f>IF(E155="","",IF(OR(P155="",P155&lt;85),"⚠ REVIEW","✓"))</f>
        <v/>
      </c>
      <c r="R155" s="48"/>
    </row>
    <row r="156" spans="1:18" ht="20.100000000000001" customHeight="1">
      <c r="A156" s="44">
        <v>148</v>
      </c>
      <c r="B156" s="46"/>
      <c r="C156" s="46"/>
      <c r="D156" s="46"/>
      <c r="E156" s="47"/>
      <c r="F156" s="48"/>
      <c r="G156" s="48"/>
      <c r="H156" s="48"/>
      <c r="I156" s="48"/>
      <c r="J156" s="48"/>
      <c r="K156" s="48"/>
      <c r="L156" s="48"/>
      <c r="M156" s="48"/>
      <c r="N156" s="48"/>
      <c r="O156" s="49" t="str">
        <f>IF(AND(ISNUMBER(M156),ISNUMBER(N156)),M156*N156,"")</f>
        <v/>
      </c>
      <c r="P156" s="48"/>
      <c r="Q156" s="50" t="str">
        <f>IF(E156="","",IF(OR(P156="",P156&lt;85),"⚠ REVIEW","✓"))</f>
        <v/>
      </c>
      <c r="R156" s="48"/>
    </row>
    <row r="157" spans="1:18" ht="20.100000000000001" customHeight="1">
      <c r="A157" s="36">
        <v>149</v>
      </c>
      <c r="B157" s="51"/>
      <c r="C157" s="51"/>
      <c r="D157" s="51"/>
      <c r="E157" s="52"/>
      <c r="F157" s="48"/>
      <c r="G157" s="48"/>
      <c r="H157" s="48"/>
      <c r="I157" s="48"/>
      <c r="J157" s="48"/>
      <c r="K157" s="48"/>
      <c r="L157" s="48"/>
      <c r="M157" s="48"/>
      <c r="N157" s="48"/>
      <c r="O157" s="49" t="str">
        <f>IF(AND(ISNUMBER(M157),ISNUMBER(N157)),M157*N157,"")</f>
        <v/>
      </c>
      <c r="P157" s="48"/>
      <c r="Q157" s="50" t="str">
        <f>IF(E157="","",IF(OR(P157="",P157&lt;85),"⚠ REVIEW","✓"))</f>
        <v/>
      </c>
      <c r="R157" s="48"/>
    </row>
    <row r="158" spans="1:18" ht="20.100000000000001" customHeight="1">
      <c r="A158" s="44">
        <v>150</v>
      </c>
      <c r="B158" s="46"/>
      <c r="C158" s="46"/>
      <c r="D158" s="46"/>
      <c r="E158" s="47"/>
      <c r="F158" s="48"/>
      <c r="G158" s="48"/>
      <c r="H158" s="48"/>
      <c r="I158" s="48"/>
      <c r="J158" s="48"/>
      <c r="K158" s="48"/>
      <c r="L158" s="48"/>
      <c r="M158" s="48"/>
      <c r="N158" s="48"/>
      <c r="O158" s="49" t="str">
        <f>IF(AND(ISNUMBER(M158),ISNUMBER(N158)),M158*N158,"")</f>
        <v/>
      </c>
      <c r="P158" s="48"/>
      <c r="Q158" s="50" t="str">
        <f>IF(E158="","",IF(OR(P158="",P158&lt;85),"⚠ REVIEW","✓"))</f>
        <v/>
      </c>
      <c r="R158" s="48"/>
    </row>
    <row r="159" spans="1:18" ht="20.100000000000001" customHeight="1">
      <c r="A159" s="36">
        <v>151</v>
      </c>
      <c r="B159" s="51"/>
      <c r="C159" s="51"/>
      <c r="D159" s="51"/>
      <c r="E159" s="52"/>
      <c r="F159" s="48"/>
      <c r="G159" s="48"/>
      <c r="H159" s="48"/>
      <c r="I159" s="48"/>
      <c r="J159" s="48"/>
      <c r="K159" s="48"/>
      <c r="L159" s="48"/>
      <c r="M159" s="48"/>
      <c r="N159" s="48"/>
      <c r="O159" s="49" t="str">
        <f>IF(AND(ISNUMBER(M159),ISNUMBER(N159)),M159*N159,"")</f>
        <v/>
      </c>
      <c r="P159" s="48"/>
      <c r="Q159" s="50" t="str">
        <f>IF(E159="","",IF(OR(P159="",P159&lt;85),"⚠ REVIEW","✓"))</f>
        <v/>
      </c>
      <c r="R159" s="48"/>
    </row>
    <row r="160" spans="1:18" ht="20.100000000000001" customHeight="1">
      <c r="A160" s="44">
        <v>152</v>
      </c>
      <c r="B160" s="46"/>
      <c r="C160" s="46"/>
      <c r="D160" s="46"/>
      <c r="E160" s="47"/>
      <c r="F160" s="48"/>
      <c r="G160" s="48"/>
      <c r="H160" s="48"/>
      <c r="I160" s="48"/>
      <c r="J160" s="48"/>
      <c r="K160" s="48"/>
      <c r="L160" s="48"/>
      <c r="M160" s="48"/>
      <c r="N160" s="48"/>
      <c r="O160" s="49" t="str">
        <f>IF(AND(ISNUMBER(M160),ISNUMBER(N160)),M160*N160,"")</f>
        <v/>
      </c>
      <c r="P160" s="48"/>
      <c r="Q160" s="50" t="str">
        <f>IF(E160="","",IF(OR(P160="",P160&lt;85),"⚠ REVIEW","✓"))</f>
        <v/>
      </c>
      <c r="R160" s="48"/>
    </row>
    <row r="161" spans="1:18" ht="20.100000000000001" customHeight="1">
      <c r="A161" s="36">
        <v>153</v>
      </c>
      <c r="B161" s="51"/>
      <c r="C161" s="51"/>
      <c r="D161" s="51"/>
      <c r="E161" s="52"/>
      <c r="F161" s="48"/>
      <c r="G161" s="48"/>
      <c r="H161" s="48"/>
      <c r="I161" s="48"/>
      <c r="J161" s="48"/>
      <c r="K161" s="48"/>
      <c r="L161" s="48"/>
      <c r="M161" s="48"/>
      <c r="N161" s="48"/>
      <c r="O161" s="49" t="str">
        <f>IF(AND(ISNUMBER(M161),ISNUMBER(N161)),M161*N161,"")</f>
        <v/>
      </c>
      <c r="P161" s="48"/>
      <c r="Q161" s="50" t="str">
        <f>IF(E161="","",IF(OR(P161="",P161&lt;85),"⚠ REVIEW","✓"))</f>
        <v/>
      </c>
      <c r="R161" s="48"/>
    </row>
    <row r="162" spans="1:18" ht="20.100000000000001" customHeight="1">
      <c r="A162" s="44">
        <v>154</v>
      </c>
      <c r="B162" s="46"/>
      <c r="C162" s="46"/>
      <c r="D162" s="46"/>
      <c r="E162" s="47"/>
      <c r="F162" s="48"/>
      <c r="G162" s="48"/>
      <c r="H162" s="48"/>
      <c r="I162" s="48"/>
      <c r="J162" s="48"/>
      <c r="K162" s="48"/>
      <c r="L162" s="48"/>
      <c r="M162" s="48"/>
      <c r="N162" s="48"/>
      <c r="O162" s="49" t="str">
        <f>IF(AND(ISNUMBER(M162),ISNUMBER(N162)),M162*N162,"")</f>
        <v/>
      </c>
      <c r="P162" s="48"/>
      <c r="Q162" s="50" t="str">
        <f>IF(E162="","",IF(OR(P162="",P162&lt;85),"⚠ REVIEW","✓"))</f>
        <v/>
      </c>
      <c r="R162" s="48"/>
    </row>
    <row r="163" spans="1:18" ht="20.100000000000001" customHeight="1">
      <c r="A163" s="36">
        <v>155</v>
      </c>
      <c r="B163" s="51"/>
      <c r="C163" s="51"/>
      <c r="D163" s="51"/>
      <c r="E163" s="52"/>
      <c r="F163" s="48"/>
      <c r="G163" s="48"/>
      <c r="H163" s="48"/>
      <c r="I163" s="48"/>
      <c r="J163" s="48"/>
      <c r="K163" s="48"/>
      <c r="L163" s="48"/>
      <c r="M163" s="48"/>
      <c r="N163" s="48"/>
      <c r="O163" s="49" t="str">
        <f>IF(AND(ISNUMBER(M163),ISNUMBER(N163)),M163*N163,"")</f>
        <v/>
      </c>
      <c r="P163" s="48"/>
      <c r="Q163" s="50" t="str">
        <f>IF(E163="","",IF(OR(P163="",P163&lt;85),"⚠ REVIEW","✓"))</f>
        <v/>
      </c>
      <c r="R163" s="48"/>
    </row>
    <row r="164" spans="1:18" ht="20.100000000000001" customHeight="1">
      <c r="A164" s="44">
        <v>156</v>
      </c>
      <c r="B164" s="46"/>
      <c r="C164" s="46"/>
      <c r="D164" s="46"/>
      <c r="E164" s="47"/>
      <c r="F164" s="48"/>
      <c r="G164" s="48"/>
      <c r="H164" s="48"/>
      <c r="I164" s="48"/>
      <c r="J164" s="48"/>
      <c r="K164" s="48"/>
      <c r="L164" s="48"/>
      <c r="M164" s="48"/>
      <c r="N164" s="48"/>
      <c r="O164" s="49" t="str">
        <f>IF(AND(ISNUMBER(M164),ISNUMBER(N164)),M164*N164,"")</f>
        <v/>
      </c>
      <c r="P164" s="48"/>
      <c r="Q164" s="50" t="str">
        <f>IF(E164="","",IF(OR(P164="",P164&lt;85),"⚠ REVIEW","✓"))</f>
        <v/>
      </c>
      <c r="R164" s="48"/>
    </row>
    <row r="165" spans="1:18" ht="20.100000000000001" customHeight="1">
      <c r="A165" s="36">
        <v>157</v>
      </c>
      <c r="B165" s="51"/>
      <c r="C165" s="51"/>
      <c r="D165" s="51"/>
      <c r="E165" s="52"/>
      <c r="F165" s="48"/>
      <c r="G165" s="48"/>
      <c r="H165" s="48"/>
      <c r="I165" s="48"/>
      <c r="J165" s="48"/>
      <c r="K165" s="48"/>
      <c r="L165" s="48"/>
      <c r="M165" s="48"/>
      <c r="N165" s="48"/>
      <c r="O165" s="49" t="str">
        <f>IF(AND(ISNUMBER(M165),ISNUMBER(N165)),M165*N165,"")</f>
        <v/>
      </c>
      <c r="P165" s="48"/>
      <c r="Q165" s="50" t="str">
        <f>IF(E165="","",IF(OR(P165="",P165&lt;85),"⚠ REVIEW","✓"))</f>
        <v/>
      </c>
      <c r="R165" s="48"/>
    </row>
    <row r="166" spans="1:18" ht="20.100000000000001" customHeight="1">
      <c r="A166" s="44">
        <v>158</v>
      </c>
      <c r="B166" s="46"/>
      <c r="C166" s="46"/>
      <c r="D166" s="46"/>
      <c r="E166" s="47"/>
      <c r="F166" s="48"/>
      <c r="G166" s="48"/>
      <c r="H166" s="48"/>
      <c r="I166" s="48"/>
      <c r="J166" s="48"/>
      <c r="K166" s="48"/>
      <c r="L166" s="48"/>
      <c r="M166" s="48"/>
      <c r="N166" s="48"/>
      <c r="O166" s="49" t="str">
        <f>IF(AND(ISNUMBER(M166),ISNUMBER(N166)),M166*N166,"")</f>
        <v/>
      </c>
      <c r="P166" s="48"/>
      <c r="Q166" s="50" t="str">
        <f>IF(E166="","",IF(OR(P166="",P166&lt;85),"⚠ REVIEW","✓"))</f>
        <v/>
      </c>
      <c r="R166" s="48"/>
    </row>
    <row r="167" spans="1:18" ht="20.100000000000001" customHeight="1">
      <c r="A167" s="36">
        <v>159</v>
      </c>
      <c r="B167" s="51"/>
      <c r="C167" s="51"/>
      <c r="D167" s="51"/>
      <c r="E167" s="52"/>
      <c r="F167" s="48"/>
      <c r="G167" s="48"/>
      <c r="H167" s="48"/>
      <c r="I167" s="48"/>
      <c r="J167" s="48"/>
      <c r="K167" s="48"/>
      <c r="L167" s="48"/>
      <c r="M167" s="48"/>
      <c r="N167" s="48"/>
      <c r="O167" s="49" t="str">
        <f>IF(AND(ISNUMBER(M167),ISNUMBER(N167)),M167*N167,"")</f>
        <v/>
      </c>
      <c r="P167" s="48"/>
      <c r="Q167" s="50" t="str">
        <f>IF(E167="","",IF(OR(P167="",P167&lt;85),"⚠ REVIEW","✓"))</f>
        <v/>
      </c>
      <c r="R167" s="48"/>
    </row>
    <row r="168" spans="1:18" ht="20.100000000000001" customHeight="1">
      <c r="A168" s="44">
        <v>160</v>
      </c>
      <c r="B168" s="46"/>
      <c r="C168" s="46"/>
      <c r="D168" s="46"/>
      <c r="E168" s="47"/>
      <c r="F168" s="48"/>
      <c r="G168" s="48"/>
      <c r="H168" s="48"/>
      <c r="I168" s="48"/>
      <c r="J168" s="48"/>
      <c r="K168" s="48"/>
      <c r="L168" s="48"/>
      <c r="M168" s="48"/>
      <c r="N168" s="48"/>
      <c r="O168" s="49" t="str">
        <f>IF(AND(ISNUMBER(M168),ISNUMBER(N168)),M168*N168,"")</f>
        <v/>
      </c>
      <c r="P168" s="48"/>
      <c r="Q168" s="50" t="str">
        <f>IF(E168="","",IF(OR(P168="",P168&lt;85),"⚠ REVIEW","✓"))</f>
        <v/>
      </c>
      <c r="R168" s="48"/>
    </row>
    <row r="169" spans="1:18" ht="20.100000000000001" customHeight="1">
      <c r="A169" s="36">
        <v>161</v>
      </c>
      <c r="B169" s="51"/>
      <c r="C169" s="51"/>
      <c r="D169" s="51"/>
      <c r="E169" s="52"/>
      <c r="F169" s="48"/>
      <c r="G169" s="48"/>
      <c r="H169" s="48"/>
      <c r="I169" s="48"/>
      <c r="J169" s="48"/>
      <c r="K169" s="48"/>
      <c r="L169" s="48"/>
      <c r="M169" s="48"/>
      <c r="N169" s="48"/>
      <c r="O169" s="49" t="str">
        <f>IF(AND(ISNUMBER(M169),ISNUMBER(N169)),M169*N169,"")</f>
        <v/>
      </c>
      <c r="P169" s="48"/>
      <c r="Q169" s="50" t="str">
        <f>IF(E169="","",IF(OR(P169="",P169&lt;85),"⚠ REVIEW","✓"))</f>
        <v/>
      </c>
      <c r="R169" s="48"/>
    </row>
    <row r="170" spans="1:18" ht="20.100000000000001" customHeight="1">
      <c r="A170" s="44">
        <v>162</v>
      </c>
      <c r="B170" s="46"/>
      <c r="C170" s="46"/>
      <c r="D170" s="46"/>
      <c r="E170" s="47"/>
      <c r="F170" s="48"/>
      <c r="G170" s="48"/>
      <c r="H170" s="48"/>
      <c r="I170" s="48"/>
      <c r="J170" s="48"/>
      <c r="K170" s="48"/>
      <c r="L170" s="48"/>
      <c r="M170" s="48"/>
      <c r="N170" s="48"/>
      <c r="O170" s="49" t="str">
        <f>IF(AND(ISNUMBER(M170),ISNUMBER(N170)),M170*N170,"")</f>
        <v/>
      </c>
      <c r="P170" s="48"/>
      <c r="Q170" s="50" t="str">
        <f>IF(E170="","",IF(OR(P170="",P170&lt;85),"⚠ REVIEW","✓"))</f>
        <v/>
      </c>
      <c r="R170" s="48"/>
    </row>
    <row r="171" spans="1:18" ht="20.100000000000001" customHeight="1">
      <c r="A171" s="36">
        <v>163</v>
      </c>
      <c r="B171" s="51"/>
      <c r="C171" s="51"/>
      <c r="D171" s="51"/>
      <c r="E171" s="52"/>
      <c r="F171" s="48"/>
      <c r="G171" s="48"/>
      <c r="H171" s="48"/>
      <c r="I171" s="48"/>
      <c r="J171" s="48"/>
      <c r="K171" s="48"/>
      <c r="L171" s="48"/>
      <c r="M171" s="48"/>
      <c r="N171" s="48"/>
      <c r="O171" s="49" t="str">
        <f>IF(AND(ISNUMBER(M171),ISNUMBER(N171)),M171*N171,"")</f>
        <v/>
      </c>
      <c r="P171" s="48"/>
      <c r="Q171" s="50" t="str">
        <f>IF(E171="","",IF(OR(P171="",P171&lt;85),"⚠ REVIEW","✓"))</f>
        <v/>
      </c>
      <c r="R171" s="48"/>
    </row>
    <row r="172" spans="1:18" ht="20.100000000000001" customHeight="1">
      <c r="A172" s="44">
        <v>164</v>
      </c>
      <c r="B172" s="46"/>
      <c r="C172" s="46"/>
      <c r="D172" s="46"/>
      <c r="E172" s="47"/>
      <c r="F172" s="48"/>
      <c r="G172" s="48"/>
      <c r="H172" s="48"/>
      <c r="I172" s="48"/>
      <c r="J172" s="48"/>
      <c r="K172" s="48"/>
      <c r="L172" s="48"/>
      <c r="M172" s="48"/>
      <c r="N172" s="48"/>
      <c r="O172" s="49" t="str">
        <f>IF(AND(ISNUMBER(M172),ISNUMBER(N172)),M172*N172,"")</f>
        <v/>
      </c>
      <c r="P172" s="48"/>
      <c r="Q172" s="50" t="str">
        <f>IF(E172="","",IF(OR(P172="",P172&lt;85),"⚠ REVIEW","✓"))</f>
        <v/>
      </c>
      <c r="R172" s="48"/>
    </row>
    <row r="173" spans="1:18" ht="20.100000000000001" customHeight="1">
      <c r="A173" s="36">
        <v>165</v>
      </c>
      <c r="B173" s="51"/>
      <c r="C173" s="51"/>
      <c r="D173" s="51"/>
      <c r="E173" s="52"/>
      <c r="F173" s="48"/>
      <c r="G173" s="48"/>
      <c r="H173" s="48"/>
      <c r="I173" s="48"/>
      <c r="J173" s="48"/>
      <c r="K173" s="48"/>
      <c r="L173" s="48"/>
      <c r="M173" s="48"/>
      <c r="N173" s="48"/>
      <c r="O173" s="49" t="str">
        <f>IF(AND(ISNUMBER(M173),ISNUMBER(N173)),M173*N173,"")</f>
        <v/>
      </c>
      <c r="P173" s="48"/>
      <c r="Q173" s="50" t="str">
        <f>IF(E173="","",IF(OR(P173="",P173&lt;85),"⚠ REVIEW","✓"))</f>
        <v/>
      </c>
      <c r="R173" s="48"/>
    </row>
    <row r="174" spans="1:18" ht="20.100000000000001" customHeight="1">
      <c r="A174" s="44">
        <v>166</v>
      </c>
      <c r="B174" s="46"/>
      <c r="C174" s="46"/>
      <c r="D174" s="46"/>
      <c r="E174" s="47"/>
      <c r="F174" s="48"/>
      <c r="G174" s="48"/>
      <c r="H174" s="48"/>
      <c r="I174" s="48"/>
      <c r="J174" s="48"/>
      <c r="K174" s="48"/>
      <c r="L174" s="48"/>
      <c r="M174" s="48"/>
      <c r="N174" s="48"/>
      <c r="O174" s="49" t="str">
        <f>IF(AND(ISNUMBER(M174),ISNUMBER(N174)),M174*N174,"")</f>
        <v/>
      </c>
      <c r="P174" s="48"/>
      <c r="Q174" s="50" t="str">
        <f>IF(E174="","",IF(OR(P174="",P174&lt;85),"⚠ REVIEW","✓"))</f>
        <v/>
      </c>
      <c r="R174" s="48"/>
    </row>
    <row r="175" spans="1:18" ht="20.100000000000001" customHeight="1">
      <c r="A175" s="36">
        <v>167</v>
      </c>
      <c r="B175" s="51"/>
      <c r="C175" s="51"/>
      <c r="D175" s="51"/>
      <c r="E175" s="52"/>
      <c r="F175" s="48"/>
      <c r="G175" s="48"/>
      <c r="H175" s="48"/>
      <c r="I175" s="48"/>
      <c r="J175" s="48"/>
      <c r="K175" s="48"/>
      <c r="L175" s="48"/>
      <c r="M175" s="48"/>
      <c r="N175" s="48"/>
      <c r="O175" s="49" t="str">
        <f>IF(AND(ISNUMBER(M175),ISNUMBER(N175)),M175*N175,"")</f>
        <v/>
      </c>
      <c r="P175" s="48"/>
      <c r="Q175" s="50" t="str">
        <f>IF(E175="","",IF(OR(P175="",P175&lt;85),"⚠ REVIEW","✓"))</f>
        <v/>
      </c>
      <c r="R175" s="48"/>
    </row>
    <row r="176" spans="1:18" ht="20.100000000000001" customHeight="1">
      <c r="A176" s="44">
        <v>168</v>
      </c>
      <c r="B176" s="46"/>
      <c r="C176" s="46"/>
      <c r="D176" s="46"/>
      <c r="E176" s="47"/>
      <c r="F176" s="48"/>
      <c r="G176" s="48"/>
      <c r="H176" s="48"/>
      <c r="I176" s="48"/>
      <c r="J176" s="48"/>
      <c r="K176" s="48"/>
      <c r="L176" s="48"/>
      <c r="M176" s="48"/>
      <c r="N176" s="48"/>
      <c r="O176" s="49" t="str">
        <f>IF(AND(ISNUMBER(M176),ISNUMBER(N176)),M176*N176,"")</f>
        <v/>
      </c>
      <c r="P176" s="48"/>
      <c r="Q176" s="50" t="str">
        <f>IF(E176="","",IF(OR(P176="",P176&lt;85),"⚠ REVIEW","✓"))</f>
        <v/>
      </c>
      <c r="R176" s="48"/>
    </row>
    <row r="177" spans="1:18" ht="20.100000000000001" customHeight="1">
      <c r="A177" s="36">
        <v>169</v>
      </c>
      <c r="B177" s="51"/>
      <c r="C177" s="51"/>
      <c r="D177" s="51"/>
      <c r="E177" s="52"/>
      <c r="F177" s="48"/>
      <c r="G177" s="48"/>
      <c r="H177" s="48"/>
      <c r="I177" s="48"/>
      <c r="J177" s="48"/>
      <c r="K177" s="48"/>
      <c r="L177" s="48"/>
      <c r="M177" s="48"/>
      <c r="N177" s="48"/>
      <c r="O177" s="49" t="str">
        <f>IF(AND(ISNUMBER(M177),ISNUMBER(N177)),M177*N177,"")</f>
        <v/>
      </c>
      <c r="P177" s="48"/>
      <c r="Q177" s="50" t="str">
        <f>IF(E177="","",IF(OR(P177="",P177&lt;85),"⚠ REVIEW","✓"))</f>
        <v/>
      </c>
      <c r="R177" s="48"/>
    </row>
    <row r="178" spans="1:18" ht="20.100000000000001" customHeight="1">
      <c r="A178" s="44">
        <v>170</v>
      </c>
      <c r="B178" s="46"/>
      <c r="C178" s="46"/>
      <c r="D178" s="46"/>
      <c r="E178" s="47"/>
      <c r="F178" s="48"/>
      <c r="G178" s="48"/>
      <c r="H178" s="48"/>
      <c r="I178" s="48"/>
      <c r="J178" s="48"/>
      <c r="K178" s="48"/>
      <c r="L178" s="48"/>
      <c r="M178" s="48"/>
      <c r="N178" s="48"/>
      <c r="O178" s="49" t="str">
        <f>IF(AND(ISNUMBER(M178),ISNUMBER(N178)),M178*N178,"")</f>
        <v/>
      </c>
      <c r="P178" s="48"/>
      <c r="Q178" s="50" t="str">
        <f>IF(E178="","",IF(OR(P178="",P178&lt;85),"⚠ REVIEW","✓"))</f>
        <v/>
      </c>
      <c r="R178" s="48"/>
    </row>
    <row r="179" spans="1:18" ht="20.100000000000001" customHeight="1">
      <c r="A179" s="36">
        <v>171</v>
      </c>
      <c r="B179" s="51"/>
      <c r="C179" s="51"/>
      <c r="D179" s="51"/>
      <c r="E179" s="52"/>
      <c r="F179" s="48"/>
      <c r="G179" s="48"/>
      <c r="H179" s="48"/>
      <c r="I179" s="48"/>
      <c r="J179" s="48"/>
      <c r="K179" s="48"/>
      <c r="L179" s="48"/>
      <c r="M179" s="48"/>
      <c r="N179" s="48"/>
      <c r="O179" s="49" t="str">
        <f>IF(AND(ISNUMBER(M179),ISNUMBER(N179)),M179*N179,"")</f>
        <v/>
      </c>
      <c r="P179" s="48"/>
      <c r="Q179" s="50" t="str">
        <f>IF(E179="","",IF(OR(P179="",P179&lt;85),"⚠ REVIEW","✓"))</f>
        <v/>
      </c>
      <c r="R179" s="48"/>
    </row>
    <row r="180" spans="1:18" ht="20.100000000000001" customHeight="1">
      <c r="A180" s="44">
        <v>172</v>
      </c>
      <c r="B180" s="46"/>
      <c r="C180" s="46"/>
      <c r="D180" s="46"/>
      <c r="E180" s="47"/>
      <c r="F180" s="48"/>
      <c r="G180" s="48"/>
      <c r="H180" s="48"/>
      <c r="I180" s="48"/>
      <c r="J180" s="48"/>
      <c r="K180" s="48"/>
      <c r="L180" s="48"/>
      <c r="M180" s="48"/>
      <c r="N180" s="48"/>
      <c r="O180" s="49" t="str">
        <f>IF(AND(ISNUMBER(M180),ISNUMBER(N180)),M180*N180,"")</f>
        <v/>
      </c>
      <c r="P180" s="48"/>
      <c r="Q180" s="50" t="str">
        <f>IF(E180="","",IF(OR(P180="",P180&lt;85),"⚠ REVIEW","✓"))</f>
        <v/>
      </c>
      <c r="R180" s="48"/>
    </row>
    <row r="181" spans="1:18" ht="20.100000000000001" customHeight="1">
      <c r="A181" s="36">
        <v>173</v>
      </c>
      <c r="B181" s="51"/>
      <c r="C181" s="51"/>
      <c r="D181" s="51"/>
      <c r="E181" s="52"/>
      <c r="F181" s="48"/>
      <c r="G181" s="48"/>
      <c r="H181" s="48"/>
      <c r="I181" s="48"/>
      <c r="J181" s="48"/>
      <c r="K181" s="48"/>
      <c r="L181" s="48"/>
      <c r="M181" s="48"/>
      <c r="N181" s="48"/>
      <c r="O181" s="49" t="str">
        <f>IF(AND(ISNUMBER(M181),ISNUMBER(N181)),M181*N181,"")</f>
        <v/>
      </c>
      <c r="P181" s="48"/>
      <c r="Q181" s="50" t="str">
        <f>IF(E181="","",IF(OR(P181="",P181&lt;85),"⚠ REVIEW","✓"))</f>
        <v/>
      </c>
      <c r="R181" s="48"/>
    </row>
    <row r="182" spans="1:18" ht="20.100000000000001" customHeight="1">
      <c r="A182" s="44">
        <v>174</v>
      </c>
      <c r="B182" s="46"/>
      <c r="C182" s="46"/>
      <c r="D182" s="46"/>
      <c r="E182" s="47"/>
      <c r="F182" s="48"/>
      <c r="G182" s="48"/>
      <c r="H182" s="48"/>
      <c r="I182" s="48"/>
      <c r="J182" s="48"/>
      <c r="K182" s="48"/>
      <c r="L182" s="48"/>
      <c r="M182" s="48"/>
      <c r="N182" s="48"/>
      <c r="O182" s="49" t="str">
        <f>IF(AND(ISNUMBER(M182),ISNUMBER(N182)),M182*N182,"")</f>
        <v/>
      </c>
      <c r="P182" s="48"/>
      <c r="Q182" s="50" t="str">
        <f>IF(E182="","",IF(OR(P182="",P182&lt;85),"⚠ REVIEW","✓"))</f>
        <v/>
      </c>
      <c r="R182" s="48"/>
    </row>
    <row r="183" spans="1:18" ht="20.100000000000001" customHeight="1">
      <c r="A183" s="36">
        <v>175</v>
      </c>
      <c r="B183" s="51"/>
      <c r="C183" s="51"/>
      <c r="D183" s="51"/>
      <c r="E183" s="52"/>
      <c r="F183" s="48"/>
      <c r="G183" s="48"/>
      <c r="H183" s="48"/>
      <c r="I183" s="48"/>
      <c r="J183" s="48"/>
      <c r="K183" s="48"/>
      <c r="L183" s="48"/>
      <c r="M183" s="48"/>
      <c r="N183" s="48"/>
      <c r="O183" s="49" t="str">
        <f>IF(AND(ISNUMBER(M183),ISNUMBER(N183)),M183*N183,"")</f>
        <v/>
      </c>
      <c r="P183" s="48"/>
      <c r="Q183" s="50" t="str">
        <f>IF(E183="","",IF(OR(P183="",P183&lt;85),"⚠ REVIEW","✓"))</f>
        <v/>
      </c>
      <c r="R183" s="48"/>
    </row>
    <row r="184" spans="1:18" ht="20.100000000000001" customHeight="1">
      <c r="A184" s="44">
        <v>176</v>
      </c>
      <c r="B184" s="46"/>
      <c r="C184" s="46"/>
      <c r="D184" s="46"/>
      <c r="E184" s="47"/>
      <c r="F184" s="48"/>
      <c r="G184" s="48"/>
      <c r="H184" s="48"/>
      <c r="I184" s="48"/>
      <c r="J184" s="48"/>
      <c r="K184" s="48"/>
      <c r="L184" s="48"/>
      <c r="M184" s="48"/>
      <c r="N184" s="48"/>
      <c r="O184" s="49" t="str">
        <f>IF(AND(ISNUMBER(M184),ISNUMBER(N184)),M184*N184,"")</f>
        <v/>
      </c>
      <c r="P184" s="48"/>
      <c r="Q184" s="50" t="str">
        <f>IF(E184="","",IF(OR(P184="",P184&lt;85),"⚠ REVIEW","✓"))</f>
        <v/>
      </c>
      <c r="R184" s="48"/>
    </row>
    <row r="185" spans="1:18" ht="20.100000000000001" customHeight="1">
      <c r="A185" s="36">
        <v>177</v>
      </c>
      <c r="B185" s="51"/>
      <c r="C185" s="51"/>
      <c r="D185" s="51"/>
      <c r="E185" s="52"/>
      <c r="F185" s="48"/>
      <c r="G185" s="48"/>
      <c r="H185" s="48"/>
      <c r="I185" s="48"/>
      <c r="J185" s="48"/>
      <c r="K185" s="48"/>
      <c r="L185" s="48"/>
      <c r="M185" s="48"/>
      <c r="N185" s="48"/>
      <c r="O185" s="49" t="str">
        <f>IF(AND(ISNUMBER(M185),ISNUMBER(N185)),M185*N185,"")</f>
        <v/>
      </c>
      <c r="P185" s="48"/>
      <c r="Q185" s="50" t="str">
        <f>IF(E185="","",IF(OR(P185="",P185&lt;85),"⚠ REVIEW","✓"))</f>
        <v/>
      </c>
      <c r="R185" s="48"/>
    </row>
    <row r="186" spans="1:18" ht="20.100000000000001" customHeight="1">
      <c r="A186" s="44">
        <v>178</v>
      </c>
      <c r="B186" s="46"/>
      <c r="C186" s="46"/>
      <c r="D186" s="46"/>
      <c r="E186" s="47"/>
      <c r="F186" s="48"/>
      <c r="G186" s="48"/>
      <c r="H186" s="48"/>
      <c r="I186" s="48"/>
      <c r="J186" s="48"/>
      <c r="K186" s="48"/>
      <c r="L186" s="48"/>
      <c r="M186" s="48"/>
      <c r="N186" s="48"/>
      <c r="O186" s="49" t="str">
        <f>IF(AND(ISNUMBER(M186),ISNUMBER(N186)),M186*N186,"")</f>
        <v/>
      </c>
      <c r="P186" s="48"/>
      <c r="Q186" s="50" t="str">
        <f>IF(E186="","",IF(OR(P186="",P186&lt;85),"⚠ REVIEW","✓"))</f>
        <v/>
      </c>
      <c r="R186" s="48"/>
    </row>
    <row r="187" spans="1:18" ht="20.100000000000001" customHeight="1">
      <c r="A187" s="36">
        <v>179</v>
      </c>
      <c r="B187" s="51"/>
      <c r="C187" s="51"/>
      <c r="D187" s="51"/>
      <c r="E187" s="52"/>
      <c r="F187" s="48"/>
      <c r="G187" s="48"/>
      <c r="H187" s="48"/>
      <c r="I187" s="48"/>
      <c r="J187" s="48"/>
      <c r="K187" s="48"/>
      <c r="L187" s="48"/>
      <c r="M187" s="48"/>
      <c r="N187" s="48"/>
      <c r="O187" s="49" t="str">
        <f>IF(AND(ISNUMBER(M187),ISNUMBER(N187)),M187*N187,"")</f>
        <v/>
      </c>
      <c r="P187" s="48"/>
      <c r="Q187" s="50" t="str">
        <f>IF(E187="","",IF(OR(P187="",P187&lt;85),"⚠ REVIEW","✓"))</f>
        <v/>
      </c>
      <c r="R187" s="48"/>
    </row>
    <row r="188" spans="1:18" ht="20.100000000000001" customHeight="1">
      <c r="A188" s="44">
        <v>180</v>
      </c>
      <c r="B188" s="46"/>
      <c r="C188" s="46"/>
      <c r="D188" s="46"/>
      <c r="E188" s="47"/>
      <c r="F188" s="48"/>
      <c r="G188" s="48"/>
      <c r="H188" s="48"/>
      <c r="I188" s="48"/>
      <c r="J188" s="48"/>
      <c r="K188" s="48"/>
      <c r="L188" s="48"/>
      <c r="M188" s="48"/>
      <c r="N188" s="48"/>
      <c r="O188" s="49" t="str">
        <f>IF(AND(ISNUMBER(M188),ISNUMBER(N188)),M188*N188,"")</f>
        <v/>
      </c>
      <c r="P188" s="48"/>
      <c r="Q188" s="50" t="str">
        <f>IF(E188="","",IF(OR(P188="",P188&lt;85),"⚠ REVIEW","✓"))</f>
        <v/>
      </c>
      <c r="R188" s="48"/>
    </row>
    <row r="189" spans="1:18" ht="20.100000000000001" customHeight="1">
      <c r="A189" s="36">
        <v>181</v>
      </c>
      <c r="B189" s="51"/>
      <c r="C189" s="51"/>
      <c r="D189" s="51"/>
      <c r="E189" s="52"/>
      <c r="F189" s="48"/>
      <c r="G189" s="48"/>
      <c r="H189" s="48"/>
      <c r="I189" s="48"/>
      <c r="J189" s="48"/>
      <c r="K189" s="48"/>
      <c r="L189" s="48"/>
      <c r="M189" s="48"/>
      <c r="N189" s="48"/>
      <c r="O189" s="49" t="str">
        <f>IF(AND(ISNUMBER(M189),ISNUMBER(N189)),M189*N189,"")</f>
        <v/>
      </c>
      <c r="P189" s="48"/>
      <c r="Q189" s="50" t="str">
        <f>IF(E189="","",IF(OR(P189="",P189&lt;85),"⚠ REVIEW","✓"))</f>
        <v/>
      </c>
      <c r="R189" s="48"/>
    </row>
    <row r="190" spans="1:18" ht="20.100000000000001" customHeight="1">
      <c r="A190" s="44">
        <v>182</v>
      </c>
      <c r="B190" s="46"/>
      <c r="C190" s="46"/>
      <c r="D190" s="46"/>
      <c r="E190" s="47"/>
      <c r="F190" s="48"/>
      <c r="G190" s="48"/>
      <c r="H190" s="48"/>
      <c r="I190" s="48"/>
      <c r="J190" s="48"/>
      <c r="K190" s="48"/>
      <c r="L190" s="48"/>
      <c r="M190" s="48"/>
      <c r="N190" s="48"/>
      <c r="O190" s="49" t="str">
        <f>IF(AND(ISNUMBER(M190),ISNUMBER(N190)),M190*N190,"")</f>
        <v/>
      </c>
      <c r="P190" s="48"/>
      <c r="Q190" s="50" t="str">
        <f>IF(E190="","",IF(OR(P190="",P190&lt;85),"⚠ REVIEW","✓"))</f>
        <v/>
      </c>
      <c r="R190" s="48"/>
    </row>
    <row r="191" spans="1:18" ht="20.100000000000001" customHeight="1">
      <c r="A191" s="36">
        <v>183</v>
      </c>
      <c r="B191" s="51"/>
      <c r="C191" s="51"/>
      <c r="D191" s="51"/>
      <c r="E191" s="52"/>
      <c r="F191" s="48"/>
      <c r="G191" s="48"/>
      <c r="H191" s="48"/>
      <c r="I191" s="48"/>
      <c r="J191" s="48"/>
      <c r="K191" s="48"/>
      <c r="L191" s="48"/>
      <c r="M191" s="48"/>
      <c r="N191" s="48"/>
      <c r="O191" s="49" t="str">
        <f>IF(AND(ISNUMBER(M191),ISNUMBER(N191)),M191*N191,"")</f>
        <v/>
      </c>
      <c r="P191" s="48"/>
      <c r="Q191" s="50" t="str">
        <f>IF(E191="","",IF(OR(P191="",P191&lt;85),"⚠ REVIEW","✓"))</f>
        <v/>
      </c>
      <c r="R191" s="48"/>
    </row>
    <row r="192" spans="1:18" ht="20.100000000000001" customHeight="1">
      <c r="A192" s="44">
        <v>184</v>
      </c>
      <c r="B192" s="46"/>
      <c r="C192" s="46"/>
      <c r="D192" s="46"/>
      <c r="E192" s="47"/>
      <c r="F192" s="48"/>
      <c r="G192" s="48"/>
      <c r="H192" s="48"/>
      <c r="I192" s="48"/>
      <c r="J192" s="48"/>
      <c r="K192" s="48"/>
      <c r="L192" s="48"/>
      <c r="M192" s="48"/>
      <c r="N192" s="48"/>
      <c r="O192" s="49" t="str">
        <f>IF(AND(ISNUMBER(M192),ISNUMBER(N192)),M192*N192,"")</f>
        <v/>
      </c>
      <c r="P192" s="48"/>
      <c r="Q192" s="50" t="str">
        <f>IF(E192="","",IF(OR(P192="",P192&lt;85),"⚠ REVIEW","✓"))</f>
        <v/>
      </c>
      <c r="R192" s="48"/>
    </row>
    <row r="193" spans="1:18" ht="20.100000000000001" customHeight="1">
      <c r="A193" s="36">
        <v>185</v>
      </c>
      <c r="B193" s="51"/>
      <c r="C193" s="51"/>
      <c r="D193" s="51"/>
      <c r="E193" s="52"/>
      <c r="F193" s="48"/>
      <c r="G193" s="48"/>
      <c r="H193" s="48"/>
      <c r="I193" s="48"/>
      <c r="J193" s="48"/>
      <c r="K193" s="48"/>
      <c r="L193" s="48"/>
      <c r="M193" s="48"/>
      <c r="N193" s="48"/>
      <c r="O193" s="49" t="str">
        <f>IF(AND(ISNUMBER(M193),ISNUMBER(N193)),M193*N193,"")</f>
        <v/>
      </c>
      <c r="P193" s="48"/>
      <c r="Q193" s="50" t="str">
        <f>IF(E193="","",IF(OR(P193="",P193&lt;85),"⚠ REVIEW","✓"))</f>
        <v/>
      </c>
      <c r="R193" s="48"/>
    </row>
    <row r="194" spans="1:18" ht="20.100000000000001" customHeight="1">
      <c r="A194" s="44">
        <v>186</v>
      </c>
      <c r="B194" s="46"/>
      <c r="C194" s="46"/>
      <c r="D194" s="46"/>
      <c r="E194" s="47"/>
      <c r="F194" s="48"/>
      <c r="G194" s="48"/>
      <c r="H194" s="48"/>
      <c r="I194" s="48"/>
      <c r="J194" s="48"/>
      <c r="K194" s="48"/>
      <c r="L194" s="48"/>
      <c r="M194" s="48"/>
      <c r="N194" s="48"/>
      <c r="O194" s="49" t="str">
        <f>IF(AND(ISNUMBER(M194),ISNUMBER(N194)),M194*N194,"")</f>
        <v/>
      </c>
      <c r="P194" s="48"/>
      <c r="Q194" s="50" t="str">
        <f>IF(E194="","",IF(OR(P194="",P194&lt;85),"⚠ REVIEW","✓"))</f>
        <v/>
      </c>
      <c r="R194" s="48"/>
    </row>
    <row r="195" spans="1:18" ht="20.100000000000001" customHeight="1">
      <c r="A195" s="36">
        <v>187</v>
      </c>
      <c r="B195" s="51"/>
      <c r="C195" s="51"/>
      <c r="D195" s="51"/>
      <c r="E195" s="52"/>
      <c r="F195" s="48"/>
      <c r="G195" s="48"/>
      <c r="H195" s="48"/>
      <c r="I195" s="48"/>
      <c r="J195" s="48"/>
      <c r="K195" s="48"/>
      <c r="L195" s="48"/>
      <c r="M195" s="48"/>
      <c r="N195" s="48"/>
      <c r="O195" s="49" t="str">
        <f>IF(AND(ISNUMBER(M195),ISNUMBER(N195)),M195*N195,"")</f>
        <v/>
      </c>
      <c r="P195" s="48"/>
      <c r="Q195" s="50" t="str">
        <f>IF(E195="","",IF(OR(P195="",P195&lt;85),"⚠ REVIEW","✓"))</f>
        <v/>
      </c>
      <c r="R195" s="48"/>
    </row>
    <row r="196" spans="1:18" ht="20.100000000000001" customHeight="1">
      <c r="A196" s="44">
        <v>188</v>
      </c>
      <c r="B196" s="46"/>
      <c r="C196" s="46"/>
      <c r="D196" s="46"/>
      <c r="E196" s="47"/>
      <c r="F196" s="48"/>
      <c r="G196" s="48"/>
      <c r="H196" s="48"/>
      <c r="I196" s="48"/>
      <c r="J196" s="48"/>
      <c r="K196" s="48"/>
      <c r="L196" s="48"/>
      <c r="M196" s="48"/>
      <c r="N196" s="48"/>
      <c r="O196" s="49" t="str">
        <f>IF(AND(ISNUMBER(M196),ISNUMBER(N196)),M196*N196,"")</f>
        <v/>
      </c>
      <c r="P196" s="48"/>
      <c r="Q196" s="50" t="str">
        <f>IF(E196="","",IF(OR(P196="",P196&lt;85),"⚠ REVIEW","✓"))</f>
        <v/>
      </c>
      <c r="R196" s="48"/>
    </row>
    <row r="197" spans="1:18" ht="20.100000000000001" customHeight="1">
      <c r="A197" s="36">
        <v>189</v>
      </c>
      <c r="B197" s="51"/>
      <c r="C197" s="51"/>
      <c r="D197" s="51"/>
      <c r="E197" s="52"/>
      <c r="F197" s="48"/>
      <c r="G197" s="48"/>
      <c r="H197" s="48"/>
      <c r="I197" s="48"/>
      <c r="J197" s="48"/>
      <c r="K197" s="48"/>
      <c r="L197" s="48"/>
      <c r="M197" s="48"/>
      <c r="N197" s="48"/>
      <c r="O197" s="49" t="str">
        <f>IF(AND(ISNUMBER(M197),ISNUMBER(N197)),M197*N197,"")</f>
        <v/>
      </c>
      <c r="P197" s="48"/>
      <c r="Q197" s="50" t="str">
        <f>IF(E197="","",IF(OR(P197="",P197&lt;85),"⚠ REVIEW","✓"))</f>
        <v/>
      </c>
      <c r="R197" s="48"/>
    </row>
    <row r="198" spans="1:18" ht="20.100000000000001" customHeight="1">
      <c r="A198" s="44">
        <v>190</v>
      </c>
      <c r="B198" s="46"/>
      <c r="C198" s="46"/>
      <c r="D198" s="46"/>
      <c r="E198" s="47"/>
      <c r="F198" s="48"/>
      <c r="G198" s="48"/>
      <c r="H198" s="48"/>
      <c r="I198" s="48"/>
      <c r="J198" s="48"/>
      <c r="K198" s="48"/>
      <c r="L198" s="48"/>
      <c r="M198" s="48"/>
      <c r="N198" s="48"/>
      <c r="O198" s="49" t="str">
        <f>IF(AND(ISNUMBER(M198),ISNUMBER(N198)),M198*N198,"")</f>
        <v/>
      </c>
      <c r="P198" s="48"/>
      <c r="Q198" s="50" t="str">
        <f>IF(E198="","",IF(OR(P198="",P198&lt;85),"⚠ REVIEW","✓"))</f>
        <v/>
      </c>
      <c r="R198" s="48"/>
    </row>
    <row r="199" spans="1:18" ht="20.100000000000001" customHeight="1">
      <c r="A199" s="36">
        <v>191</v>
      </c>
      <c r="B199" s="51"/>
      <c r="C199" s="51"/>
      <c r="D199" s="51"/>
      <c r="E199" s="52"/>
      <c r="F199" s="48"/>
      <c r="G199" s="48"/>
      <c r="H199" s="48"/>
      <c r="I199" s="48"/>
      <c r="J199" s="48"/>
      <c r="K199" s="48"/>
      <c r="L199" s="48"/>
      <c r="M199" s="48"/>
      <c r="N199" s="48"/>
      <c r="O199" s="49" t="str">
        <f>IF(AND(ISNUMBER(M199),ISNUMBER(N199)),M199*N199,"")</f>
        <v/>
      </c>
      <c r="P199" s="48"/>
      <c r="Q199" s="50" t="str">
        <f>IF(E199="","",IF(OR(P199="",P199&lt;85),"⚠ REVIEW","✓"))</f>
        <v/>
      </c>
      <c r="R199" s="48"/>
    </row>
    <row r="200" spans="1:18" ht="20.100000000000001" customHeight="1">
      <c r="A200" s="44">
        <v>192</v>
      </c>
      <c r="B200" s="46"/>
      <c r="C200" s="46"/>
      <c r="D200" s="46"/>
      <c r="E200" s="47"/>
      <c r="F200" s="48"/>
      <c r="G200" s="48"/>
      <c r="H200" s="48"/>
      <c r="I200" s="48"/>
      <c r="J200" s="48"/>
      <c r="K200" s="48"/>
      <c r="L200" s="48"/>
      <c r="M200" s="48"/>
      <c r="N200" s="48"/>
      <c r="O200" s="49" t="str">
        <f>IF(AND(ISNUMBER(M200),ISNUMBER(N200)),M200*N200,"")</f>
        <v/>
      </c>
      <c r="P200" s="48"/>
      <c r="Q200" s="50" t="str">
        <f>IF(E200="","",IF(OR(P200="",P200&lt;85),"⚠ REVIEW","✓"))</f>
        <v/>
      </c>
      <c r="R200" s="48"/>
    </row>
    <row r="201" spans="1:18" ht="20.100000000000001" customHeight="1">
      <c r="A201" s="36">
        <v>193</v>
      </c>
      <c r="B201" s="51"/>
      <c r="C201" s="51"/>
      <c r="D201" s="51"/>
      <c r="E201" s="52"/>
      <c r="F201" s="48"/>
      <c r="G201" s="48"/>
      <c r="H201" s="48"/>
      <c r="I201" s="48"/>
      <c r="J201" s="48"/>
      <c r="K201" s="48"/>
      <c r="L201" s="48"/>
      <c r="M201" s="48"/>
      <c r="N201" s="48"/>
      <c r="O201" s="49" t="str">
        <f>IF(AND(ISNUMBER(M201),ISNUMBER(N201)),M201*N201,"")</f>
        <v/>
      </c>
      <c r="P201" s="48"/>
      <c r="Q201" s="50" t="str">
        <f>IF(E201="","",IF(OR(P201="",P201&lt;85),"⚠ REVIEW","✓"))</f>
        <v/>
      </c>
      <c r="R201" s="48"/>
    </row>
    <row r="202" spans="1:18" ht="20.100000000000001" customHeight="1">
      <c r="A202" s="44">
        <v>194</v>
      </c>
      <c r="B202" s="46"/>
      <c r="C202" s="46"/>
      <c r="D202" s="46"/>
      <c r="E202" s="47"/>
      <c r="F202" s="48"/>
      <c r="G202" s="48"/>
      <c r="H202" s="48"/>
      <c r="I202" s="48"/>
      <c r="J202" s="48"/>
      <c r="K202" s="48"/>
      <c r="L202" s="48"/>
      <c r="M202" s="48"/>
      <c r="N202" s="48"/>
      <c r="O202" s="49" t="str">
        <f>IF(AND(ISNUMBER(M202),ISNUMBER(N202)),M202*N202,"")</f>
        <v/>
      </c>
      <c r="P202" s="48"/>
      <c r="Q202" s="50" t="str">
        <f>IF(E202="","",IF(OR(P202="",P202&lt;85),"⚠ REVIEW","✓"))</f>
        <v/>
      </c>
      <c r="R202" s="48"/>
    </row>
    <row r="203" spans="1:18" ht="20.100000000000001" customHeight="1">
      <c r="A203" s="36">
        <v>195</v>
      </c>
      <c r="B203" s="51"/>
      <c r="C203" s="51"/>
      <c r="D203" s="51"/>
      <c r="E203" s="52"/>
      <c r="F203" s="48"/>
      <c r="G203" s="48"/>
      <c r="H203" s="48"/>
      <c r="I203" s="48"/>
      <c r="J203" s="48"/>
      <c r="K203" s="48"/>
      <c r="L203" s="48"/>
      <c r="M203" s="48"/>
      <c r="N203" s="48"/>
      <c r="O203" s="49" t="str">
        <f>IF(AND(ISNUMBER(M203),ISNUMBER(N203)),M203*N203,"")</f>
        <v/>
      </c>
      <c r="P203" s="48"/>
      <c r="Q203" s="50" t="str">
        <f>IF(E203="","",IF(OR(P203="",P203&lt;85),"⚠ REVIEW","✓"))</f>
        <v/>
      </c>
      <c r="R203" s="48"/>
    </row>
    <row r="204" spans="1:18" ht="20.100000000000001" customHeight="1">
      <c r="A204" s="44">
        <v>196</v>
      </c>
      <c r="B204" s="46"/>
      <c r="C204" s="46"/>
      <c r="D204" s="46"/>
      <c r="E204" s="47"/>
      <c r="F204" s="48"/>
      <c r="G204" s="48"/>
      <c r="H204" s="48"/>
      <c r="I204" s="48"/>
      <c r="J204" s="48"/>
      <c r="K204" s="48"/>
      <c r="L204" s="48"/>
      <c r="M204" s="48"/>
      <c r="N204" s="48"/>
      <c r="O204" s="49" t="str">
        <f>IF(AND(ISNUMBER(M204),ISNUMBER(N204)),M204*N204,"")</f>
        <v/>
      </c>
      <c r="P204" s="48"/>
      <c r="Q204" s="50" t="str">
        <f>IF(E204="","",IF(OR(P204="",P204&lt;85),"⚠ REVIEW","✓"))</f>
        <v/>
      </c>
      <c r="R204" s="48"/>
    </row>
    <row r="205" spans="1:18" ht="20.100000000000001" customHeight="1">
      <c r="A205" s="36">
        <v>197</v>
      </c>
      <c r="B205" s="51"/>
      <c r="C205" s="51"/>
      <c r="D205" s="51"/>
      <c r="E205" s="52"/>
      <c r="F205" s="48"/>
      <c r="G205" s="48"/>
      <c r="H205" s="48"/>
      <c r="I205" s="48"/>
      <c r="J205" s="48"/>
      <c r="K205" s="48"/>
      <c r="L205" s="48"/>
      <c r="M205" s="48"/>
      <c r="N205" s="48"/>
      <c r="O205" s="49" t="str">
        <f>IF(AND(ISNUMBER(M205),ISNUMBER(N205)),M205*N205,"")</f>
        <v/>
      </c>
      <c r="P205" s="48"/>
      <c r="Q205" s="50" t="str">
        <f>IF(E205="","",IF(OR(P205="",P205&lt;85),"⚠ REVIEW","✓"))</f>
        <v/>
      </c>
      <c r="R205" s="48"/>
    </row>
    <row r="206" spans="1:18" ht="20.100000000000001" customHeight="1">
      <c r="A206" s="44">
        <v>198</v>
      </c>
      <c r="B206" s="46"/>
      <c r="C206" s="46"/>
      <c r="D206" s="46"/>
      <c r="E206" s="47"/>
      <c r="F206" s="48"/>
      <c r="G206" s="48"/>
      <c r="H206" s="48"/>
      <c r="I206" s="48"/>
      <c r="J206" s="48"/>
      <c r="K206" s="48"/>
      <c r="L206" s="48"/>
      <c r="M206" s="48"/>
      <c r="N206" s="48"/>
      <c r="O206" s="49" t="str">
        <f>IF(AND(ISNUMBER(M206),ISNUMBER(N206)),M206*N206,"")</f>
        <v/>
      </c>
      <c r="P206" s="48"/>
      <c r="Q206" s="50" t="str">
        <f>IF(E206="","",IF(OR(P206="",P206&lt;85),"⚠ REVIEW","✓"))</f>
        <v/>
      </c>
      <c r="R206" s="48"/>
    </row>
    <row r="207" spans="1:18" ht="20.100000000000001" customHeight="1">
      <c r="A207" s="36">
        <v>199</v>
      </c>
      <c r="B207" s="51"/>
      <c r="C207" s="51"/>
      <c r="D207" s="51"/>
      <c r="E207" s="52"/>
      <c r="F207" s="48"/>
      <c r="G207" s="48"/>
      <c r="H207" s="48"/>
      <c r="I207" s="48"/>
      <c r="J207" s="48"/>
      <c r="K207" s="48"/>
      <c r="L207" s="48"/>
      <c r="M207" s="48"/>
      <c r="N207" s="48"/>
      <c r="O207" s="49" t="str">
        <f>IF(AND(ISNUMBER(M207),ISNUMBER(N207)),M207*N207,"")</f>
        <v/>
      </c>
      <c r="P207" s="48"/>
      <c r="Q207" s="50" t="str">
        <f>IF(E207="","",IF(OR(P207="",P207&lt;85),"⚠ REVIEW","✓"))</f>
        <v/>
      </c>
      <c r="R207" s="48"/>
    </row>
    <row r="208" spans="1:18" ht="20.100000000000001" customHeight="1">
      <c r="A208" s="44">
        <v>200</v>
      </c>
      <c r="B208" s="46"/>
      <c r="C208" s="46"/>
      <c r="D208" s="46"/>
      <c r="E208" s="47"/>
      <c r="F208" s="48"/>
      <c r="G208" s="48"/>
      <c r="H208" s="48"/>
      <c r="I208" s="48"/>
      <c r="J208" s="48"/>
      <c r="K208" s="48"/>
      <c r="L208" s="48"/>
      <c r="M208" s="48"/>
      <c r="N208" s="48"/>
      <c r="O208" s="49" t="str">
        <f>IF(AND(ISNUMBER(M208),ISNUMBER(N208)),M208*N208,"")</f>
        <v/>
      </c>
      <c r="P208" s="48"/>
      <c r="Q208" s="50" t="str">
        <f>IF(E208="","",IF(OR(P208="",P208&lt;85),"⚠ REVIEW","✓"))</f>
        <v/>
      </c>
      <c r="R208" s="48"/>
    </row>
    <row r="209" spans="1:19" ht="24" customHeight="1">
      <c r="A209" s="76" t="s">
        <v>774</v>
      </c>
      <c r="B209" s="80"/>
      <c r="C209" s="80"/>
      <c r="D209" s="80"/>
      <c r="E209" s="80"/>
      <c r="F209" s="80"/>
      <c r="G209" s="80"/>
      <c r="H209" s="80"/>
      <c r="I209" s="80"/>
      <c r="J209" s="80"/>
      <c r="K209" s="80"/>
      <c r="L209" s="80"/>
      <c r="M209" s="80"/>
      <c r="N209" s="80"/>
      <c r="O209" s="53">
        <f>SUM(O9:O208)</f>
        <v>0</v>
      </c>
    </row>
    <row r="210" spans="1:19" ht="9.9499999999999993" customHeight="1"/>
    <row r="211" spans="1:19">
      <c r="A211" s="79" t="s">
        <v>775</v>
      </c>
      <c r="B211" s="80"/>
      <c r="C211" s="80"/>
      <c r="D211" s="80"/>
    </row>
    <row r="212" spans="1:19" ht="18" customHeight="1">
      <c r="A212" s="69" t="s">
        <v>776</v>
      </c>
      <c r="B212" s="81"/>
      <c r="C212" s="68" t="s">
        <v>777</v>
      </c>
      <c r="D212" s="82"/>
      <c r="E212" s="82"/>
      <c r="F212" s="82"/>
      <c r="G212" s="82"/>
      <c r="H212" s="82"/>
      <c r="I212" s="82"/>
      <c r="J212" s="82"/>
      <c r="K212" s="82"/>
      <c r="L212" s="82"/>
      <c r="M212" s="82"/>
      <c r="N212" s="82"/>
      <c r="O212" s="82"/>
      <c r="P212" s="82"/>
      <c r="Q212" s="82"/>
      <c r="R212" s="82"/>
      <c r="S212" s="81"/>
    </row>
    <row r="213" spans="1:19" ht="18" customHeight="1">
      <c r="A213" s="72" t="s">
        <v>778</v>
      </c>
      <c r="B213" s="81"/>
      <c r="C213" s="68" t="s">
        <v>779</v>
      </c>
      <c r="D213" s="82"/>
      <c r="E213" s="82"/>
      <c r="F213" s="82"/>
      <c r="G213" s="82"/>
      <c r="H213" s="82"/>
      <c r="I213" s="82"/>
      <c r="J213" s="82"/>
      <c r="K213" s="82"/>
      <c r="L213" s="82"/>
      <c r="M213" s="82"/>
      <c r="N213" s="82"/>
      <c r="O213" s="82"/>
      <c r="P213" s="82"/>
      <c r="Q213" s="82"/>
      <c r="R213" s="82"/>
      <c r="S213" s="81"/>
    </row>
    <row r="214" spans="1:19" ht="18" customHeight="1">
      <c r="A214" s="71" t="s">
        <v>780</v>
      </c>
      <c r="B214" s="81"/>
      <c r="C214" s="68" t="s">
        <v>781</v>
      </c>
      <c r="D214" s="82"/>
      <c r="E214" s="82"/>
      <c r="F214" s="82"/>
      <c r="G214" s="82"/>
      <c r="H214" s="82"/>
      <c r="I214" s="82"/>
      <c r="J214" s="82"/>
      <c r="K214" s="82"/>
      <c r="L214" s="82"/>
      <c r="M214" s="82"/>
      <c r="N214" s="82"/>
      <c r="O214" s="82"/>
      <c r="P214" s="82"/>
      <c r="Q214" s="82"/>
      <c r="R214" s="82"/>
      <c r="S214" s="81"/>
    </row>
    <row r="215" spans="1:19" ht="18" customHeight="1">
      <c r="A215" s="73" t="s">
        <v>782</v>
      </c>
      <c r="B215" s="81"/>
      <c r="C215" s="68" t="s">
        <v>783</v>
      </c>
      <c r="D215" s="82"/>
      <c r="E215" s="82"/>
      <c r="F215" s="82"/>
      <c r="G215" s="82"/>
      <c r="H215" s="82"/>
      <c r="I215" s="82"/>
      <c r="J215" s="82"/>
      <c r="K215" s="82"/>
      <c r="L215" s="82"/>
      <c r="M215" s="82"/>
      <c r="N215" s="82"/>
      <c r="O215" s="82"/>
      <c r="P215" s="82"/>
      <c r="Q215" s="82"/>
      <c r="R215" s="82"/>
      <c r="S215" s="81"/>
    </row>
  </sheetData>
  <mergeCells count="27">
    <mergeCell ref="A1:S1"/>
    <mergeCell ref="A5:B5"/>
    <mergeCell ref="G5:H5"/>
    <mergeCell ref="I5:J5"/>
    <mergeCell ref="C213:S213"/>
    <mergeCell ref="A209:N209"/>
    <mergeCell ref="K6:L6"/>
    <mergeCell ref="A2:S2"/>
    <mergeCell ref="M5:N5"/>
    <mergeCell ref="A4:S4"/>
    <mergeCell ref="A6:B6"/>
    <mergeCell ref="A211:D211"/>
    <mergeCell ref="C5:D5"/>
    <mergeCell ref="E5:F5"/>
    <mergeCell ref="K5:L5"/>
    <mergeCell ref="C215:S215"/>
    <mergeCell ref="A212:B212"/>
    <mergeCell ref="C212:S212"/>
    <mergeCell ref="G6:H6"/>
    <mergeCell ref="A214:B214"/>
    <mergeCell ref="E6:F6"/>
    <mergeCell ref="C214:S214"/>
    <mergeCell ref="M6:N6"/>
    <mergeCell ref="A213:B213"/>
    <mergeCell ref="A215:B215"/>
    <mergeCell ref="C6:D6"/>
    <mergeCell ref="I6:J6"/>
  </mergeCell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O3:S35"/>
  <sheetViews>
    <sheetView tabSelected="1" topLeftCell="A2" workbookViewId="0">
      <selection activeCell="P35" sqref="P35"/>
    </sheetView>
  </sheetViews>
  <sheetFormatPr defaultColWidth="11" defaultRowHeight="15.95"/>
  <cols>
    <col min="12" max="12" width="11" customWidth="1"/>
    <col min="15" max="15" width="28" bestFit="1" customWidth="1"/>
    <col min="16" max="16" width="12" customWidth="1"/>
    <col min="17" max="17" width="38" customWidth="1"/>
    <col min="18" max="18" width="82" customWidth="1"/>
    <col min="19" max="19" width="45" customWidth="1"/>
  </cols>
  <sheetData>
    <row r="3" spans="15:19" ht="30" customHeight="1">
      <c r="O3" s="26" t="s">
        <v>784</v>
      </c>
      <c r="P3" s="26" t="s">
        <v>785</v>
      </c>
      <c r="Q3" s="26" t="s">
        <v>786</v>
      </c>
      <c r="R3" s="26" t="s">
        <v>787</v>
      </c>
      <c r="S3" s="26" t="s">
        <v>788</v>
      </c>
    </row>
    <row r="4" spans="15:19" ht="405" customHeight="1">
      <c r="O4" s="27" t="s">
        <v>789</v>
      </c>
      <c r="P4" s="28" t="s">
        <v>749</v>
      </c>
      <c r="Q4" s="29" t="s">
        <v>789</v>
      </c>
      <c r="R4" s="30" t="s">
        <v>790</v>
      </c>
      <c r="S4" s="31" t="s">
        <v>773</v>
      </c>
    </row>
    <row r="5" spans="15:19" ht="210" customHeight="1">
      <c r="O5" s="32" t="s">
        <v>791</v>
      </c>
      <c r="P5" s="28" t="s">
        <v>754</v>
      </c>
      <c r="Q5" s="29" t="s">
        <v>792</v>
      </c>
      <c r="R5" s="30" t="s">
        <v>793</v>
      </c>
      <c r="S5" s="31" t="s">
        <v>794</v>
      </c>
    </row>
    <row r="6" spans="15:19" ht="105" customHeight="1">
      <c r="O6" s="33"/>
      <c r="P6" s="28" t="s">
        <v>795</v>
      </c>
      <c r="Q6" s="29" t="s">
        <v>796</v>
      </c>
      <c r="R6" s="30" t="s">
        <v>797</v>
      </c>
      <c r="S6" s="31" t="s">
        <v>798</v>
      </c>
    </row>
    <row r="7" spans="15:19" ht="165" customHeight="1">
      <c r="O7" s="34"/>
      <c r="P7" s="28" t="s">
        <v>799</v>
      </c>
      <c r="Q7" s="29" t="s">
        <v>800</v>
      </c>
      <c r="R7" s="30" t="s">
        <v>801</v>
      </c>
      <c r="S7" s="31" t="s">
        <v>802</v>
      </c>
    </row>
    <row r="8" spans="15:19" ht="120" customHeight="1">
      <c r="O8" s="34"/>
      <c r="P8" s="28" t="s">
        <v>803</v>
      </c>
      <c r="Q8" s="29" t="s">
        <v>804</v>
      </c>
      <c r="R8" s="30" t="s">
        <v>805</v>
      </c>
      <c r="S8" s="31" t="s">
        <v>806</v>
      </c>
    </row>
    <row r="9" spans="15:19" ht="195" customHeight="1">
      <c r="O9" s="27" t="s">
        <v>807</v>
      </c>
      <c r="P9" s="28" t="s">
        <v>808</v>
      </c>
      <c r="Q9" s="29" t="s">
        <v>809</v>
      </c>
      <c r="R9" s="30" t="s">
        <v>810</v>
      </c>
      <c r="S9" s="31" t="s">
        <v>811</v>
      </c>
    </row>
    <row r="10" spans="15:19" ht="150" customHeight="1">
      <c r="O10" s="33"/>
      <c r="P10" s="28" t="s">
        <v>812</v>
      </c>
      <c r="Q10" s="29" t="s">
        <v>813</v>
      </c>
      <c r="R10" s="30" t="s">
        <v>814</v>
      </c>
      <c r="S10" s="31" t="s">
        <v>815</v>
      </c>
    </row>
    <row r="11" spans="15:19" ht="150" customHeight="1">
      <c r="O11" s="27" t="s">
        <v>816</v>
      </c>
      <c r="P11" s="28" t="s">
        <v>817</v>
      </c>
      <c r="Q11" s="29" t="s">
        <v>818</v>
      </c>
      <c r="R11" s="30" t="s">
        <v>819</v>
      </c>
      <c r="S11" s="31" t="s">
        <v>820</v>
      </c>
    </row>
    <row r="12" spans="15:19" ht="90" customHeight="1">
      <c r="O12" s="33"/>
      <c r="P12" s="28" t="s">
        <v>821</v>
      </c>
      <c r="Q12" s="29" t="s">
        <v>822</v>
      </c>
      <c r="R12" s="30" t="s">
        <v>823</v>
      </c>
      <c r="S12" s="31" t="s">
        <v>824</v>
      </c>
    </row>
    <row r="13" spans="15:19" ht="105" customHeight="1">
      <c r="O13" s="27" t="s">
        <v>764</v>
      </c>
      <c r="P13" s="28" t="s">
        <v>763</v>
      </c>
      <c r="Q13" s="29" t="s">
        <v>825</v>
      </c>
      <c r="R13" s="30" t="s">
        <v>826</v>
      </c>
      <c r="S13" s="31" t="s">
        <v>765</v>
      </c>
    </row>
    <row r="14" spans="15:19" ht="120" customHeight="1">
      <c r="O14" s="33"/>
      <c r="P14" s="28" t="s">
        <v>827</v>
      </c>
      <c r="Q14" s="29" t="s">
        <v>828</v>
      </c>
      <c r="R14" s="30" t="s">
        <v>829</v>
      </c>
      <c r="S14" s="31" t="s">
        <v>765</v>
      </c>
    </row>
    <row r="15" spans="15:19" ht="90" customHeight="1">
      <c r="O15" s="34"/>
      <c r="P15" s="28" t="s">
        <v>830</v>
      </c>
      <c r="Q15" s="29" t="s">
        <v>831</v>
      </c>
      <c r="R15" s="30" t="s">
        <v>832</v>
      </c>
      <c r="S15" s="31" t="s">
        <v>833</v>
      </c>
    </row>
    <row r="16" spans="15:19" ht="195" customHeight="1">
      <c r="O16" s="27" t="s">
        <v>834</v>
      </c>
      <c r="P16" s="28" t="s">
        <v>835</v>
      </c>
      <c r="Q16" s="29" t="s">
        <v>836</v>
      </c>
      <c r="R16" s="30" t="s">
        <v>837</v>
      </c>
      <c r="S16" s="31" t="s">
        <v>838</v>
      </c>
    </row>
    <row r="17" spans="15:19" ht="90" customHeight="1">
      <c r="O17" s="32" t="s">
        <v>839</v>
      </c>
      <c r="P17" s="28" t="s">
        <v>840</v>
      </c>
      <c r="Q17" s="29" t="s">
        <v>841</v>
      </c>
      <c r="R17" s="30" t="s">
        <v>842</v>
      </c>
      <c r="S17" s="31" t="s">
        <v>843</v>
      </c>
    </row>
    <row r="18" spans="15:19" ht="60" customHeight="1">
      <c r="O18" s="32" t="s">
        <v>844</v>
      </c>
      <c r="P18" s="28" t="s">
        <v>845</v>
      </c>
      <c r="Q18" s="29" t="s">
        <v>844</v>
      </c>
      <c r="R18" s="30" t="s">
        <v>846</v>
      </c>
      <c r="S18" s="31" t="s">
        <v>847</v>
      </c>
    </row>
    <row r="19" spans="15:19" ht="105" customHeight="1">
      <c r="O19" s="32" t="s">
        <v>848</v>
      </c>
      <c r="P19" s="28" t="s">
        <v>849</v>
      </c>
      <c r="Q19" s="29" t="s">
        <v>850</v>
      </c>
      <c r="R19" s="30" t="s">
        <v>851</v>
      </c>
      <c r="S19" s="31" t="s">
        <v>852</v>
      </c>
    </row>
    <row r="20" spans="15:19" ht="120" customHeight="1">
      <c r="O20" s="33"/>
      <c r="P20" s="28" t="s">
        <v>853</v>
      </c>
      <c r="Q20" s="29" t="s">
        <v>854</v>
      </c>
      <c r="R20" s="30" t="s">
        <v>855</v>
      </c>
      <c r="S20" s="31" t="s">
        <v>852</v>
      </c>
    </row>
    <row r="21" spans="15:19" ht="105" customHeight="1">
      <c r="O21" s="34"/>
      <c r="P21" s="28" t="s">
        <v>856</v>
      </c>
      <c r="Q21" s="29" t="s">
        <v>857</v>
      </c>
      <c r="R21" s="30" t="s">
        <v>858</v>
      </c>
      <c r="S21" s="31" t="s">
        <v>852</v>
      </c>
    </row>
    <row r="22" spans="15:19" ht="210" customHeight="1">
      <c r="O22" s="34"/>
      <c r="P22" s="28" t="s">
        <v>859</v>
      </c>
      <c r="Q22" s="29" t="s">
        <v>860</v>
      </c>
      <c r="R22" s="30" t="s">
        <v>861</v>
      </c>
      <c r="S22" s="31" t="s">
        <v>862</v>
      </c>
    </row>
    <row r="23" spans="15:19" ht="150" customHeight="1">
      <c r="O23" s="34"/>
      <c r="P23" s="28" t="s">
        <v>863</v>
      </c>
      <c r="Q23" s="29" t="s">
        <v>864</v>
      </c>
      <c r="R23" s="30" t="s">
        <v>865</v>
      </c>
      <c r="S23" s="31" t="s">
        <v>862</v>
      </c>
    </row>
    <row r="24" spans="15:19" ht="165" customHeight="1">
      <c r="O24" s="27" t="s">
        <v>866</v>
      </c>
      <c r="P24" s="28" t="s">
        <v>867</v>
      </c>
      <c r="Q24" s="29" t="s">
        <v>868</v>
      </c>
      <c r="R24" s="30" t="s">
        <v>869</v>
      </c>
      <c r="S24" s="31" t="s">
        <v>852</v>
      </c>
    </row>
    <row r="25" spans="15:19" ht="105" customHeight="1">
      <c r="O25" s="33"/>
      <c r="P25" s="28" t="s">
        <v>870</v>
      </c>
      <c r="Q25" s="29" t="s">
        <v>871</v>
      </c>
      <c r="R25" s="30" t="s">
        <v>872</v>
      </c>
      <c r="S25" s="31" t="s">
        <v>852</v>
      </c>
    </row>
    <row r="26" spans="15:19" ht="75" customHeight="1">
      <c r="O26" s="27" t="s">
        <v>873</v>
      </c>
      <c r="P26" s="28" t="s">
        <v>874</v>
      </c>
      <c r="Q26" s="29" t="s">
        <v>875</v>
      </c>
      <c r="R26" s="30" t="s">
        <v>876</v>
      </c>
      <c r="S26" s="31" t="s">
        <v>847</v>
      </c>
    </row>
    <row r="27" spans="15:19" ht="120" customHeight="1">
      <c r="O27" s="33"/>
      <c r="P27" s="28" t="s">
        <v>877</v>
      </c>
      <c r="Q27" s="29" t="s">
        <v>878</v>
      </c>
      <c r="R27" s="30" t="s">
        <v>879</v>
      </c>
      <c r="S27" s="31" t="s">
        <v>880</v>
      </c>
    </row>
    <row r="28" spans="15:19" ht="90" customHeight="1">
      <c r="O28" s="34"/>
      <c r="P28" s="28" t="s">
        <v>881</v>
      </c>
      <c r="Q28" s="29" t="s">
        <v>882</v>
      </c>
      <c r="R28" s="30" t="s">
        <v>883</v>
      </c>
      <c r="S28" s="31" t="s">
        <v>847</v>
      </c>
    </row>
    <row r="29" spans="15:19" ht="75" customHeight="1">
      <c r="O29" s="34"/>
      <c r="P29" s="28" t="s">
        <v>884</v>
      </c>
      <c r="Q29" s="29" t="s">
        <v>885</v>
      </c>
      <c r="R29" s="30" t="s">
        <v>886</v>
      </c>
      <c r="S29" s="31" t="s">
        <v>847</v>
      </c>
    </row>
    <row r="30" spans="15:19" ht="90" customHeight="1">
      <c r="O30" s="34"/>
      <c r="P30" s="28" t="s">
        <v>887</v>
      </c>
      <c r="Q30" s="29" t="s">
        <v>888</v>
      </c>
      <c r="R30" s="30" t="s">
        <v>889</v>
      </c>
      <c r="S30" s="31" t="s">
        <v>890</v>
      </c>
    </row>
    <row r="31" spans="15:19" ht="45" customHeight="1">
      <c r="O31" s="27" t="s">
        <v>891</v>
      </c>
      <c r="P31" s="28" t="s">
        <v>892</v>
      </c>
      <c r="Q31" s="29" t="s">
        <v>893</v>
      </c>
      <c r="R31" s="30" t="s">
        <v>894</v>
      </c>
      <c r="S31" s="31" t="s">
        <v>847</v>
      </c>
    </row>
    <row r="32" spans="15:19" ht="150" customHeight="1">
      <c r="O32" s="27" t="s">
        <v>895</v>
      </c>
      <c r="P32" s="28" t="s">
        <v>896</v>
      </c>
      <c r="Q32" s="29" t="s">
        <v>897</v>
      </c>
      <c r="R32" s="30" t="s">
        <v>898</v>
      </c>
      <c r="S32" s="31" t="s">
        <v>899</v>
      </c>
    </row>
    <row r="33" spans="15:19" ht="409.5" customHeight="1">
      <c r="O33" s="27" t="s">
        <v>900</v>
      </c>
      <c r="P33" s="28" t="s">
        <v>771</v>
      </c>
      <c r="Q33" s="29" t="s">
        <v>901</v>
      </c>
      <c r="R33" s="30" t="s">
        <v>902</v>
      </c>
      <c r="S33" s="31" t="s">
        <v>903</v>
      </c>
    </row>
    <row r="34" spans="15:19" ht="180" customHeight="1">
      <c r="O34" s="32" t="s">
        <v>904</v>
      </c>
      <c r="P34" s="28" t="s">
        <v>905</v>
      </c>
      <c r="Q34" s="29" t="s">
        <v>906</v>
      </c>
      <c r="R34" s="30" t="s">
        <v>907</v>
      </c>
      <c r="S34" s="31" t="s">
        <v>908</v>
      </c>
    </row>
    <row r="35" spans="15:19">
      <c r="O35" s="11"/>
    </row>
  </sheetData>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I605"/>
  <sheetViews>
    <sheetView workbookViewId="0"/>
  </sheetViews>
  <sheetFormatPr defaultColWidth="8.875" defaultRowHeight="15.95"/>
  <sheetData>
    <row r="1" spans="1:9">
      <c r="A1" s="57" t="s">
        <v>909</v>
      </c>
      <c r="B1" s="57" t="s">
        <v>910</v>
      </c>
      <c r="C1" s="57" t="s">
        <v>911</v>
      </c>
      <c r="D1" s="57" t="s">
        <v>912</v>
      </c>
      <c r="E1" s="57" t="s">
        <v>913</v>
      </c>
      <c r="F1" s="57" t="s">
        <v>914</v>
      </c>
      <c r="G1" s="57" t="s">
        <v>915</v>
      </c>
      <c r="H1" s="57" t="s">
        <v>916</v>
      </c>
      <c r="I1" s="57" t="s">
        <v>917</v>
      </c>
    </row>
    <row r="2" spans="1:9">
      <c r="A2" t="s">
        <v>44</v>
      </c>
      <c r="B2">
        <v>0</v>
      </c>
      <c r="C2">
        <v>0</v>
      </c>
      <c r="D2">
        <v>0</v>
      </c>
      <c r="E2" t="s">
        <v>918</v>
      </c>
      <c r="F2" t="s">
        <v>167</v>
      </c>
      <c r="G2" t="s">
        <v>905</v>
      </c>
      <c r="H2" t="s">
        <v>906</v>
      </c>
      <c r="I2" t="s">
        <v>908</v>
      </c>
    </row>
    <row r="3" spans="1:9">
      <c r="A3" t="s">
        <v>44</v>
      </c>
      <c r="B3">
        <v>1</v>
      </c>
      <c r="C3">
        <v>0</v>
      </c>
      <c r="D3">
        <v>0</v>
      </c>
      <c r="E3" t="s">
        <v>919</v>
      </c>
      <c r="F3" t="s">
        <v>46</v>
      </c>
      <c r="G3" t="s">
        <v>905</v>
      </c>
      <c r="H3" t="s">
        <v>906</v>
      </c>
      <c r="I3" t="s">
        <v>908</v>
      </c>
    </row>
    <row r="4" spans="1:9">
      <c r="A4" t="s">
        <v>44</v>
      </c>
      <c r="B4">
        <v>1</v>
      </c>
      <c r="C4">
        <v>1</v>
      </c>
      <c r="D4">
        <v>0</v>
      </c>
      <c r="E4" t="s">
        <v>920</v>
      </c>
      <c r="F4" t="s">
        <v>168</v>
      </c>
      <c r="G4" t="s">
        <v>905</v>
      </c>
      <c r="H4" t="s">
        <v>906</v>
      </c>
      <c r="I4" t="s">
        <v>908</v>
      </c>
    </row>
    <row r="5" spans="1:9">
      <c r="A5" t="s">
        <v>44</v>
      </c>
      <c r="B5">
        <v>1</v>
      </c>
      <c r="C5">
        <v>2</v>
      </c>
      <c r="D5">
        <v>0</v>
      </c>
      <c r="E5" t="s">
        <v>921</v>
      </c>
      <c r="F5" t="s">
        <v>169</v>
      </c>
      <c r="G5" t="s">
        <v>905</v>
      </c>
      <c r="H5" t="s">
        <v>906</v>
      </c>
      <c r="I5" t="s">
        <v>908</v>
      </c>
    </row>
    <row r="6" spans="1:9">
      <c r="A6" t="s">
        <v>44</v>
      </c>
      <c r="B6">
        <v>2</v>
      </c>
      <c r="C6">
        <v>0</v>
      </c>
      <c r="D6">
        <v>0</v>
      </c>
      <c r="E6" t="s">
        <v>922</v>
      </c>
      <c r="F6" t="s">
        <v>47</v>
      </c>
      <c r="G6" t="s">
        <v>905</v>
      </c>
      <c r="H6" t="s">
        <v>906</v>
      </c>
      <c r="I6" t="s">
        <v>908</v>
      </c>
    </row>
    <row r="7" spans="1:9">
      <c r="A7" t="s">
        <v>44</v>
      </c>
      <c r="B7">
        <v>2</v>
      </c>
      <c r="C7">
        <v>1</v>
      </c>
      <c r="D7">
        <v>0</v>
      </c>
      <c r="E7" t="s">
        <v>923</v>
      </c>
      <c r="F7" t="s">
        <v>170</v>
      </c>
      <c r="G7" t="s">
        <v>905</v>
      </c>
      <c r="H7" t="s">
        <v>906</v>
      </c>
      <c r="I7" t="s">
        <v>908</v>
      </c>
    </row>
    <row r="8" spans="1:9">
      <c r="A8" t="s">
        <v>44</v>
      </c>
      <c r="B8">
        <v>3</v>
      </c>
      <c r="C8">
        <v>0</v>
      </c>
      <c r="D8">
        <v>0</v>
      </c>
      <c r="E8" t="s">
        <v>924</v>
      </c>
      <c r="F8" t="s">
        <v>48</v>
      </c>
      <c r="G8" t="s">
        <v>905</v>
      </c>
      <c r="H8" t="s">
        <v>906</v>
      </c>
      <c r="I8" t="s">
        <v>908</v>
      </c>
    </row>
    <row r="9" spans="1:9">
      <c r="A9" t="s">
        <v>44</v>
      </c>
      <c r="B9">
        <v>3</v>
      </c>
      <c r="C9">
        <v>1</v>
      </c>
      <c r="D9">
        <v>0</v>
      </c>
      <c r="E9" t="s">
        <v>925</v>
      </c>
      <c r="F9" t="s">
        <v>171</v>
      </c>
      <c r="G9" t="s">
        <v>905</v>
      </c>
      <c r="H9" t="s">
        <v>906</v>
      </c>
      <c r="I9" t="s">
        <v>908</v>
      </c>
    </row>
    <row r="10" spans="1:9">
      <c r="A10" t="s">
        <v>44</v>
      </c>
      <c r="B10">
        <v>3</v>
      </c>
      <c r="C10">
        <v>1</v>
      </c>
      <c r="D10">
        <v>1</v>
      </c>
      <c r="E10" t="s">
        <v>926</v>
      </c>
      <c r="F10" t="s">
        <v>172</v>
      </c>
      <c r="G10" t="s">
        <v>905</v>
      </c>
      <c r="H10" t="s">
        <v>906</v>
      </c>
      <c r="I10" t="s">
        <v>908</v>
      </c>
    </row>
    <row r="11" spans="1:9">
      <c r="A11" t="s">
        <v>44</v>
      </c>
      <c r="B11">
        <v>3</v>
      </c>
      <c r="C11">
        <v>1</v>
      </c>
      <c r="D11">
        <v>2</v>
      </c>
      <c r="E11" t="s">
        <v>927</v>
      </c>
      <c r="F11" t="s">
        <v>173</v>
      </c>
      <c r="G11" t="s">
        <v>905</v>
      </c>
      <c r="H11" t="s">
        <v>906</v>
      </c>
      <c r="I11" t="s">
        <v>908</v>
      </c>
    </row>
    <row r="12" spans="1:9">
      <c r="A12" t="s">
        <v>44</v>
      </c>
      <c r="B12">
        <v>3</v>
      </c>
      <c r="C12">
        <v>1</v>
      </c>
      <c r="D12">
        <v>3</v>
      </c>
      <c r="E12" t="s">
        <v>928</v>
      </c>
      <c r="F12" t="s">
        <v>174</v>
      </c>
      <c r="G12" t="s">
        <v>905</v>
      </c>
      <c r="H12" t="s">
        <v>906</v>
      </c>
      <c r="I12" t="s">
        <v>908</v>
      </c>
    </row>
    <row r="13" spans="1:9">
      <c r="A13" t="s">
        <v>44</v>
      </c>
      <c r="B13">
        <v>3</v>
      </c>
      <c r="C13">
        <v>1</v>
      </c>
      <c r="D13">
        <v>4</v>
      </c>
      <c r="E13" t="s">
        <v>929</v>
      </c>
      <c r="F13" t="s">
        <v>175</v>
      </c>
      <c r="G13" t="s">
        <v>905</v>
      </c>
      <c r="H13" t="s">
        <v>906</v>
      </c>
      <c r="I13" t="s">
        <v>908</v>
      </c>
    </row>
    <row r="14" spans="1:9">
      <c r="A14" t="s">
        <v>44</v>
      </c>
      <c r="B14">
        <v>3</v>
      </c>
      <c r="C14">
        <v>1</v>
      </c>
      <c r="D14">
        <v>5</v>
      </c>
      <c r="E14" t="s">
        <v>930</v>
      </c>
      <c r="F14" t="s">
        <v>176</v>
      </c>
      <c r="G14" t="s">
        <v>905</v>
      </c>
      <c r="H14" t="s">
        <v>906</v>
      </c>
      <c r="I14" t="s">
        <v>908</v>
      </c>
    </row>
    <row r="15" spans="1:9">
      <c r="A15" t="s">
        <v>44</v>
      </c>
      <c r="B15">
        <v>3</v>
      </c>
      <c r="C15">
        <v>1</v>
      </c>
      <c r="D15">
        <v>6</v>
      </c>
      <c r="E15" t="s">
        <v>931</v>
      </c>
      <c r="F15" t="s">
        <v>177</v>
      </c>
      <c r="G15" t="s">
        <v>905</v>
      </c>
      <c r="H15" t="s">
        <v>906</v>
      </c>
      <c r="I15" t="s">
        <v>908</v>
      </c>
    </row>
    <row r="16" spans="1:9">
      <c r="A16" t="s">
        <v>44</v>
      </c>
      <c r="B16">
        <v>4</v>
      </c>
      <c r="C16">
        <v>0</v>
      </c>
      <c r="D16">
        <v>0</v>
      </c>
      <c r="E16" t="s">
        <v>932</v>
      </c>
      <c r="F16" t="s">
        <v>49</v>
      </c>
      <c r="G16" t="s">
        <v>905</v>
      </c>
      <c r="H16" t="s">
        <v>906</v>
      </c>
      <c r="I16" t="s">
        <v>908</v>
      </c>
    </row>
    <row r="17" spans="1:9">
      <c r="A17" t="s">
        <v>44</v>
      </c>
      <c r="B17">
        <v>4</v>
      </c>
      <c r="C17">
        <v>1</v>
      </c>
      <c r="D17">
        <v>0</v>
      </c>
      <c r="E17" t="s">
        <v>933</v>
      </c>
      <c r="F17" t="s">
        <v>178</v>
      </c>
      <c r="G17" t="s">
        <v>905</v>
      </c>
      <c r="H17" t="s">
        <v>906</v>
      </c>
      <c r="I17" t="s">
        <v>908</v>
      </c>
    </row>
    <row r="18" spans="1:9">
      <c r="A18" t="s">
        <v>44</v>
      </c>
      <c r="B18">
        <v>4</v>
      </c>
      <c r="C18">
        <v>1</v>
      </c>
      <c r="D18">
        <v>1</v>
      </c>
      <c r="E18" t="s">
        <v>934</v>
      </c>
      <c r="F18" t="s">
        <v>179</v>
      </c>
      <c r="G18" t="s">
        <v>905</v>
      </c>
      <c r="H18" t="s">
        <v>906</v>
      </c>
      <c r="I18" t="s">
        <v>908</v>
      </c>
    </row>
    <row r="19" spans="1:9">
      <c r="A19" t="s">
        <v>44</v>
      </c>
      <c r="B19">
        <v>4</v>
      </c>
      <c r="C19">
        <v>1</v>
      </c>
      <c r="D19">
        <v>2</v>
      </c>
      <c r="E19" t="s">
        <v>935</v>
      </c>
      <c r="F19" t="s">
        <v>180</v>
      </c>
      <c r="G19" t="s">
        <v>905</v>
      </c>
      <c r="H19" t="s">
        <v>906</v>
      </c>
      <c r="I19" t="s">
        <v>908</v>
      </c>
    </row>
    <row r="20" spans="1:9">
      <c r="A20" t="s">
        <v>44</v>
      </c>
      <c r="B20">
        <v>4</v>
      </c>
      <c r="C20">
        <v>1</v>
      </c>
      <c r="D20">
        <v>3</v>
      </c>
      <c r="E20" t="s">
        <v>936</v>
      </c>
      <c r="F20" t="s">
        <v>181</v>
      </c>
      <c r="G20" t="s">
        <v>905</v>
      </c>
      <c r="H20" t="s">
        <v>906</v>
      </c>
      <c r="I20" t="s">
        <v>908</v>
      </c>
    </row>
    <row r="21" spans="1:9">
      <c r="A21" t="s">
        <v>44</v>
      </c>
      <c r="B21">
        <v>4</v>
      </c>
      <c r="C21">
        <v>1</v>
      </c>
      <c r="D21">
        <v>4</v>
      </c>
      <c r="E21" t="s">
        <v>937</v>
      </c>
      <c r="F21" t="s">
        <v>182</v>
      </c>
      <c r="G21" t="s">
        <v>905</v>
      </c>
      <c r="H21" t="s">
        <v>906</v>
      </c>
      <c r="I21" t="s">
        <v>908</v>
      </c>
    </row>
    <row r="22" spans="1:9">
      <c r="A22" t="s">
        <v>44</v>
      </c>
      <c r="B22">
        <v>4</v>
      </c>
      <c r="C22">
        <v>1</v>
      </c>
      <c r="D22">
        <v>5</v>
      </c>
      <c r="E22" t="s">
        <v>938</v>
      </c>
      <c r="F22" t="s">
        <v>183</v>
      </c>
      <c r="G22" t="s">
        <v>905</v>
      </c>
      <c r="H22" t="s">
        <v>906</v>
      </c>
      <c r="I22" t="s">
        <v>908</v>
      </c>
    </row>
    <row r="23" spans="1:9">
      <c r="A23" t="s">
        <v>44</v>
      </c>
      <c r="B23">
        <v>5</v>
      </c>
      <c r="C23">
        <v>0</v>
      </c>
      <c r="D23">
        <v>0</v>
      </c>
      <c r="E23" t="s">
        <v>939</v>
      </c>
      <c r="F23" t="s">
        <v>50</v>
      </c>
      <c r="G23" t="s">
        <v>905</v>
      </c>
      <c r="H23" t="s">
        <v>906</v>
      </c>
      <c r="I23" t="s">
        <v>908</v>
      </c>
    </row>
    <row r="24" spans="1:9">
      <c r="A24" t="s">
        <v>44</v>
      </c>
      <c r="B24">
        <v>5</v>
      </c>
      <c r="C24">
        <v>1</v>
      </c>
      <c r="D24">
        <v>0</v>
      </c>
      <c r="E24" t="s">
        <v>940</v>
      </c>
      <c r="F24" t="s">
        <v>184</v>
      </c>
      <c r="G24" t="s">
        <v>905</v>
      </c>
      <c r="H24" t="s">
        <v>906</v>
      </c>
      <c r="I24" t="s">
        <v>908</v>
      </c>
    </row>
    <row r="25" spans="1:9">
      <c r="A25" t="s">
        <v>44</v>
      </c>
      <c r="B25">
        <v>5</v>
      </c>
      <c r="C25">
        <v>1</v>
      </c>
      <c r="D25">
        <v>1</v>
      </c>
      <c r="E25" t="s">
        <v>941</v>
      </c>
      <c r="F25" t="s">
        <v>185</v>
      </c>
      <c r="G25" t="s">
        <v>905</v>
      </c>
      <c r="H25" t="s">
        <v>906</v>
      </c>
      <c r="I25" t="s">
        <v>908</v>
      </c>
    </row>
    <row r="26" spans="1:9">
      <c r="A26" t="s">
        <v>44</v>
      </c>
      <c r="B26">
        <v>5</v>
      </c>
      <c r="C26">
        <v>1</v>
      </c>
      <c r="D26">
        <v>2</v>
      </c>
      <c r="E26" t="s">
        <v>942</v>
      </c>
      <c r="F26" t="s">
        <v>186</v>
      </c>
      <c r="G26" t="s">
        <v>905</v>
      </c>
      <c r="H26" t="s">
        <v>906</v>
      </c>
      <c r="I26" t="s">
        <v>908</v>
      </c>
    </row>
    <row r="27" spans="1:9">
      <c r="A27" t="s">
        <v>44</v>
      </c>
      <c r="B27">
        <v>5</v>
      </c>
      <c r="C27">
        <v>1</v>
      </c>
      <c r="D27">
        <v>3</v>
      </c>
      <c r="E27" t="s">
        <v>943</v>
      </c>
      <c r="F27" t="s">
        <v>187</v>
      </c>
      <c r="G27" t="s">
        <v>905</v>
      </c>
      <c r="H27" t="s">
        <v>906</v>
      </c>
      <c r="I27" t="s">
        <v>908</v>
      </c>
    </row>
    <row r="28" spans="1:9">
      <c r="A28" t="s">
        <v>44</v>
      </c>
      <c r="B28">
        <v>5</v>
      </c>
      <c r="C28">
        <v>1</v>
      </c>
      <c r="D28">
        <v>4</v>
      </c>
      <c r="E28" t="s">
        <v>944</v>
      </c>
      <c r="F28" t="s">
        <v>188</v>
      </c>
      <c r="G28" t="s">
        <v>905</v>
      </c>
      <c r="H28" t="s">
        <v>906</v>
      </c>
      <c r="I28" t="s">
        <v>908</v>
      </c>
    </row>
    <row r="29" spans="1:9">
      <c r="A29" t="s">
        <v>44</v>
      </c>
      <c r="B29">
        <v>5</v>
      </c>
      <c r="C29">
        <v>1</v>
      </c>
      <c r="D29">
        <v>5</v>
      </c>
      <c r="E29" t="s">
        <v>945</v>
      </c>
      <c r="F29" t="s">
        <v>189</v>
      </c>
      <c r="G29" t="s">
        <v>905</v>
      </c>
      <c r="H29" t="s">
        <v>906</v>
      </c>
      <c r="I29" t="s">
        <v>908</v>
      </c>
    </row>
    <row r="30" spans="1:9">
      <c r="A30" t="s">
        <v>44</v>
      </c>
      <c r="B30">
        <v>6</v>
      </c>
      <c r="C30">
        <v>0</v>
      </c>
      <c r="D30">
        <v>0</v>
      </c>
      <c r="E30" t="s">
        <v>946</v>
      </c>
      <c r="F30" t="s">
        <v>51</v>
      </c>
      <c r="G30" t="s">
        <v>905</v>
      </c>
      <c r="H30" t="s">
        <v>906</v>
      </c>
      <c r="I30" t="s">
        <v>908</v>
      </c>
    </row>
    <row r="31" spans="1:9">
      <c r="A31" t="s">
        <v>44</v>
      </c>
      <c r="B31">
        <v>6</v>
      </c>
      <c r="C31">
        <v>1</v>
      </c>
      <c r="D31">
        <v>0</v>
      </c>
      <c r="E31" t="s">
        <v>947</v>
      </c>
      <c r="F31" t="s">
        <v>190</v>
      </c>
      <c r="G31" t="s">
        <v>905</v>
      </c>
      <c r="H31" t="s">
        <v>906</v>
      </c>
      <c r="I31" t="s">
        <v>908</v>
      </c>
    </row>
    <row r="32" spans="1:9">
      <c r="A32" t="s">
        <v>44</v>
      </c>
      <c r="B32">
        <v>6</v>
      </c>
      <c r="C32">
        <v>1</v>
      </c>
      <c r="D32">
        <v>1</v>
      </c>
      <c r="E32" t="s">
        <v>948</v>
      </c>
      <c r="F32" t="s">
        <v>191</v>
      </c>
      <c r="G32" t="s">
        <v>905</v>
      </c>
      <c r="H32" t="s">
        <v>906</v>
      </c>
      <c r="I32" t="s">
        <v>908</v>
      </c>
    </row>
    <row r="33" spans="1:9">
      <c r="A33" t="s">
        <v>44</v>
      </c>
      <c r="B33">
        <v>6</v>
      </c>
      <c r="C33">
        <v>1</v>
      </c>
      <c r="D33">
        <v>2</v>
      </c>
      <c r="E33" t="s">
        <v>949</v>
      </c>
      <c r="F33" t="s">
        <v>192</v>
      </c>
      <c r="G33" t="s">
        <v>905</v>
      </c>
      <c r="H33" t="s">
        <v>906</v>
      </c>
      <c r="I33" t="s">
        <v>908</v>
      </c>
    </row>
    <row r="34" spans="1:9">
      <c r="A34" t="s">
        <v>44</v>
      </c>
      <c r="B34">
        <v>6</v>
      </c>
      <c r="C34">
        <v>1</v>
      </c>
      <c r="D34">
        <v>3</v>
      </c>
      <c r="E34" t="s">
        <v>950</v>
      </c>
      <c r="F34" t="s">
        <v>193</v>
      </c>
      <c r="G34" t="s">
        <v>905</v>
      </c>
      <c r="H34" t="s">
        <v>906</v>
      </c>
      <c r="I34" t="s">
        <v>908</v>
      </c>
    </row>
    <row r="35" spans="1:9">
      <c r="A35" t="s">
        <v>44</v>
      </c>
      <c r="B35">
        <v>6</v>
      </c>
      <c r="C35">
        <v>1</v>
      </c>
      <c r="D35">
        <v>4</v>
      </c>
      <c r="E35" t="s">
        <v>951</v>
      </c>
      <c r="F35" t="s">
        <v>194</v>
      </c>
      <c r="G35" t="s">
        <v>905</v>
      </c>
      <c r="H35" t="s">
        <v>906</v>
      </c>
      <c r="I35" t="s">
        <v>908</v>
      </c>
    </row>
    <row r="36" spans="1:9">
      <c r="A36" t="s">
        <v>44</v>
      </c>
      <c r="B36">
        <v>6</v>
      </c>
      <c r="C36">
        <v>1</v>
      </c>
      <c r="D36">
        <v>5</v>
      </c>
      <c r="E36" t="s">
        <v>952</v>
      </c>
      <c r="F36" t="s">
        <v>195</v>
      </c>
      <c r="G36" t="s">
        <v>905</v>
      </c>
      <c r="H36" t="s">
        <v>906</v>
      </c>
      <c r="I36" t="s">
        <v>908</v>
      </c>
    </row>
    <row r="37" spans="1:9">
      <c r="A37" t="s">
        <v>44</v>
      </c>
      <c r="B37">
        <v>6</v>
      </c>
      <c r="C37">
        <v>1</v>
      </c>
      <c r="D37">
        <v>6</v>
      </c>
      <c r="E37" t="s">
        <v>953</v>
      </c>
      <c r="F37" t="s">
        <v>196</v>
      </c>
      <c r="G37" t="s">
        <v>905</v>
      </c>
      <c r="H37" t="s">
        <v>906</v>
      </c>
      <c r="I37" t="s">
        <v>908</v>
      </c>
    </row>
    <row r="38" spans="1:9">
      <c r="A38" t="s">
        <v>44</v>
      </c>
      <c r="B38">
        <v>6</v>
      </c>
      <c r="C38">
        <v>1</v>
      </c>
      <c r="D38">
        <v>7</v>
      </c>
      <c r="E38" t="s">
        <v>954</v>
      </c>
      <c r="F38" t="s">
        <v>197</v>
      </c>
      <c r="G38" t="s">
        <v>905</v>
      </c>
      <c r="H38" t="s">
        <v>906</v>
      </c>
      <c r="I38" t="s">
        <v>908</v>
      </c>
    </row>
    <row r="39" spans="1:9">
      <c r="A39" t="s">
        <v>44</v>
      </c>
      <c r="B39">
        <v>7</v>
      </c>
      <c r="C39">
        <v>0</v>
      </c>
      <c r="D39">
        <v>0</v>
      </c>
      <c r="E39" t="s">
        <v>955</v>
      </c>
      <c r="F39" t="s">
        <v>52</v>
      </c>
      <c r="G39" t="s">
        <v>905</v>
      </c>
      <c r="H39" t="s">
        <v>906</v>
      </c>
      <c r="I39" t="s">
        <v>908</v>
      </c>
    </row>
    <row r="40" spans="1:9">
      <c r="A40" t="s">
        <v>44</v>
      </c>
      <c r="B40">
        <v>7</v>
      </c>
      <c r="C40">
        <v>1</v>
      </c>
      <c r="D40">
        <v>0</v>
      </c>
      <c r="E40" t="s">
        <v>956</v>
      </c>
      <c r="F40" t="s">
        <v>198</v>
      </c>
      <c r="G40" t="s">
        <v>905</v>
      </c>
      <c r="H40" t="s">
        <v>906</v>
      </c>
      <c r="I40" t="s">
        <v>908</v>
      </c>
    </row>
    <row r="41" spans="1:9">
      <c r="A41" t="s">
        <v>44</v>
      </c>
      <c r="B41">
        <v>7</v>
      </c>
      <c r="C41">
        <v>1</v>
      </c>
      <c r="D41">
        <v>1</v>
      </c>
      <c r="E41" t="s">
        <v>957</v>
      </c>
      <c r="F41" t="s">
        <v>199</v>
      </c>
      <c r="G41" t="s">
        <v>905</v>
      </c>
      <c r="H41" t="s">
        <v>906</v>
      </c>
      <c r="I41" t="s">
        <v>908</v>
      </c>
    </row>
    <row r="42" spans="1:9">
      <c r="A42" t="s">
        <v>44</v>
      </c>
      <c r="B42">
        <v>7</v>
      </c>
      <c r="C42">
        <v>1</v>
      </c>
      <c r="D42">
        <v>2</v>
      </c>
      <c r="E42" t="s">
        <v>958</v>
      </c>
      <c r="F42" t="s">
        <v>200</v>
      </c>
      <c r="G42" t="s">
        <v>905</v>
      </c>
      <c r="H42" t="s">
        <v>906</v>
      </c>
      <c r="I42" t="s">
        <v>908</v>
      </c>
    </row>
    <row r="43" spans="1:9">
      <c r="A43" t="s">
        <v>44</v>
      </c>
      <c r="B43">
        <v>7</v>
      </c>
      <c r="C43">
        <v>1</v>
      </c>
      <c r="D43">
        <v>3</v>
      </c>
      <c r="E43" t="s">
        <v>959</v>
      </c>
      <c r="F43" t="s">
        <v>201</v>
      </c>
      <c r="G43" t="s">
        <v>905</v>
      </c>
      <c r="H43" t="s">
        <v>906</v>
      </c>
      <c r="I43" t="s">
        <v>908</v>
      </c>
    </row>
    <row r="44" spans="1:9">
      <c r="A44" t="s">
        <v>44</v>
      </c>
      <c r="B44">
        <v>7</v>
      </c>
      <c r="C44">
        <v>1</v>
      </c>
      <c r="D44">
        <v>4</v>
      </c>
      <c r="E44" t="s">
        <v>960</v>
      </c>
      <c r="F44" t="s">
        <v>202</v>
      </c>
      <c r="G44" t="s">
        <v>905</v>
      </c>
      <c r="H44" t="s">
        <v>906</v>
      </c>
      <c r="I44" t="s">
        <v>908</v>
      </c>
    </row>
    <row r="45" spans="1:9">
      <c r="A45" t="s">
        <v>44</v>
      </c>
      <c r="B45">
        <v>7</v>
      </c>
      <c r="C45">
        <v>1</v>
      </c>
      <c r="D45">
        <v>5</v>
      </c>
      <c r="E45" t="s">
        <v>961</v>
      </c>
      <c r="F45" t="s">
        <v>203</v>
      </c>
      <c r="G45" t="s">
        <v>905</v>
      </c>
      <c r="H45" t="s">
        <v>906</v>
      </c>
      <c r="I45" t="s">
        <v>908</v>
      </c>
    </row>
    <row r="46" spans="1:9">
      <c r="A46" t="s">
        <v>44</v>
      </c>
      <c r="B46">
        <v>7</v>
      </c>
      <c r="C46">
        <v>1</v>
      </c>
      <c r="D46">
        <v>6</v>
      </c>
      <c r="E46" t="s">
        <v>962</v>
      </c>
      <c r="F46" t="s">
        <v>204</v>
      </c>
      <c r="G46" t="s">
        <v>905</v>
      </c>
      <c r="H46" t="s">
        <v>906</v>
      </c>
      <c r="I46" t="s">
        <v>908</v>
      </c>
    </row>
    <row r="47" spans="1:9">
      <c r="A47" t="s">
        <v>44</v>
      </c>
      <c r="B47">
        <v>7</v>
      </c>
      <c r="C47">
        <v>2</v>
      </c>
      <c r="D47">
        <v>0</v>
      </c>
      <c r="E47" t="s">
        <v>963</v>
      </c>
      <c r="F47" t="s">
        <v>205</v>
      </c>
      <c r="G47" t="s">
        <v>905</v>
      </c>
      <c r="H47" t="s">
        <v>906</v>
      </c>
      <c r="I47" t="s">
        <v>908</v>
      </c>
    </row>
    <row r="48" spans="1:9">
      <c r="A48" t="s">
        <v>44</v>
      </c>
      <c r="B48">
        <v>8</v>
      </c>
      <c r="C48">
        <v>0</v>
      </c>
      <c r="D48">
        <v>0</v>
      </c>
      <c r="E48" t="s">
        <v>964</v>
      </c>
      <c r="F48" t="s">
        <v>53</v>
      </c>
      <c r="G48" t="s">
        <v>905</v>
      </c>
      <c r="H48" t="s">
        <v>906</v>
      </c>
      <c r="I48" t="s">
        <v>908</v>
      </c>
    </row>
    <row r="49" spans="1:9">
      <c r="A49" t="s">
        <v>44</v>
      </c>
      <c r="B49">
        <v>8</v>
      </c>
      <c r="C49">
        <v>1</v>
      </c>
      <c r="D49">
        <v>0</v>
      </c>
      <c r="E49" t="s">
        <v>965</v>
      </c>
      <c r="F49" t="s">
        <v>206</v>
      </c>
      <c r="G49" t="s">
        <v>905</v>
      </c>
      <c r="H49" t="s">
        <v>906</v>
      </c>
      <c r="I49" t="s">
        <v>908</v>
      </c>
    </row>
    <row r="50" spans="1:9">
      <c r="A50" t="s">
        <v>44</v>
      </c>
      <c r="B50">
        <v>8</v>
      </c>
      <c r="C50">
        <v>1</v>
      </c>
      <c r="D50">
        <v>1</v>
      </c>
      <c r="E50" t="s">
        <v>966</v>
      </c>
      <c r="F50" t="s">
        <v>207</v>
      </c>
      <c r="G50" t="s">
        <v>905</v>
      </c>
      <c r="H50" t="s">
        <v>906</v>
      </c>
      <c r="I50" t="s">
        <v>908</v>
      </c>
    </row>
    <row r="51" spans="1:9">
      <c r="A51" t="s">
        <v>44</v>
      </c>
      <c r="B51">
        <v>8</v>
      </c>
      <c r="C51">
        <v>1</v>
      </c>
      <c r="D51">
        <v>2</v>
      </c>
      <c r="E51" t="s">
        <v>967</v>
      </c>
      <c r="F51" t="s">
        <v>208</v>
      </c>
      <c r="G51" t="s">
        <v>905</v>
      </c>
      <c r="H51" t="s">
        <v>906</v>
      </c>
      <c r="I51" t="s">
        <v>908</v>
      </c>
    </row>
    <row r="52" spans="1:9">
      <c r="A52" t="s">
        <v>44</v>
      </c>
      <c r="B52">
        <v>8</v>
      </c>
      <c r="C52">
        <v>1</v>
      </c>
      <c r="D52">
        <v>3</v>
      </c>
      <c r="E52" t="s">
        <v>968</v>
      </c>
      <c r="F52" t="s">
        <v>209</v>
      </c>
      <c r="G52" t="s">
        <v>905</v>
      </c>
      <c r="H52" t="s">
        <v>906</v>
      </c>
      <c r="I52" t="s">
        <v>908</v>
      </c>
    </row>
    <row r="53" spans="1:9">
      <c r="A53" t="s">
        <v>44</v>
      </c>
      <c r="B53">
        <v>8</v>
      </c>
      <c r="C53">
        <v>1</v>
      </c>
      <c r="D53">
        <v>4</v>
      </c>
      <c r="E53" t="s">
        <v>969</v>
      </c>
      <c r="F53" t="s">
        <v>210</v>
      </c>
      <c r="G53" t="s">
        <v>905</v>
      </c>
      <c r="H53" t="s">
        <v>906</v>
      </c>
      <c r="I53" t="s">
        <v>908</v>
      </c>
    </row>
    <row r="54" spans="1:9">
      <c r="A54" t="s">
        <v>44</v>
      </c>
      <c r="B54">
        <v>8</v>
      </c>
      <c r="C54">
        <v>1</v>
      </c>
      <c r="D54">
        <v>5</v>
      </c>
      <c r="E54" t="s">
        <v>970</v>
      </c>
      <c r="F54" t="s">
        <v>211</v>
      </c>
      <c r="G54" t="s">
        <v>905</v>
      </c>
      <c r="H54" t="s">
        <v>906</v>
      </c>
      <c r="I54" t="s">
        <v>908</v>
      </c>
    </row>
    <row r="55" spans="1:9">
      <c r="A55" t="s">
        <v>44</v>
      </c>
      <c r="B55">
        <v>8</v>
      </c>
      <c r="C55">
        <v>1</v>
      </c>
      <c r="D55">
        <v>6</v>
      </c>
      <c r="E55" t="s">
        <v>971</v>
      </c>
      <c r="F55" t="s">
        <v>212</v>
      </c>
      <c r="G55" t="s">
        <v>905</v>
      </c>
      <c r="H55" t="s">
        <v>906</v>
      </c>
      <c r="I55" t="s">
        <v>908</v>
      </c>
    </row>
    <row r="56" spans="1:9">
      <c r="A56" t="s">
        <v>44</v>
      </c>
      <c r="B56">
        <v>8</v>
      </c>
      <c r="C56">
        <v>1</v>
      </c>
      <c r="D56">
        <v>7</v>
      </c>
      <c r="E56" t="s">
        <v>972</v>
      </c>
      <c r="F56" t="s">
        <v>213</v>
      </c>
      <c r="G56" t="s">
        <v>905</v>
      </c>
      <c r="H56" t="s">
        <v>906</v>
      </c>
      <c r="I56" t="s">
        <v>908</v>
      </c>
    </row>
    <row r="57" spans="1:9">
      <c r="A57" t="s">
        <v>44</v>
      </c>
      <c r="B57">
        <v>8</v>
      </c>
      <c r="C57">
        <v>2</v>
      </c>
      <c r="D57">
        <v>0</v>
      </c>
      <c r="E57" t="s">
        <v>973</v>
      </c>
      <c r="F57" t="s">
        <v>214</v>
      </c>
      <c r="G57" t="s">
        <v>905</v>
      </c>
      <c r="H57" t="s">
        <v>906</v>
      </c>
      <c r="I57" t="s">
        <v>908</v>
      </c>
    </row>
    <row r="58" spans="1:9">
      <c r="A58" t="s">
        <v>44</v>
      </c>
      <c r="B58">
        <v>9</v>
      </c>
      <c r="C58">
        <v>0</v>
      </c>
      <c r="D58">
        <v>0</v>
      </c>
      <c r="E58" t="s">
        <v>974</v>
      </c>
      <c r="F58" t="s">
        <v>54</v>
      </c>
      <c r="G58" t="s">
        <v>905</v>
      </c>
      <c r="H58" t="s">
        <v>906</v>
      </c>
      <c r="I58" t="s">
        <v>908</v>
      </c>
    </row>
    <row r="59" spans="1:9">
      <c r="A59" t="s">
        <v>44</v>
      </c>
      <c r="B59">
        <v>9</v>
      </c>
      <c r="C59">
        <v>1</v>
      </c>
      <c r="D59">
        <v>0</v>
      </c>
      <c r="E59" t="s">
        <v>975</v>
      </c>
      <c r="F59" t="s">
        <v>215</v>
      </c>
      <c r="G59" t="s">
        <v>905</v>
      </c>
      <c r="H59" t="s">
        <v>906</v>
      </c>
      <c r="I59" t="s">
        <v>908</v>
      </c>
    </row>
    <row r="60" spans="1:9">
      <c r="A60" t="s">
        <v>44</v>
      </c>
      <c r="B60">
        <v>9</v>
      </c>
      <c r="C60">
        <v>1</v>
      </c>
      <c r="D60">
        <v>1</v>
      </c>
      <c r="E60" t="s">
        <v>976</v>
      </c>
      <c r="F60" t="s">
        <v>216</v>
      </c>
      <c r="G60" t="s">
        <v>905</v>
      </c>
      <c r="H60" t="s">
        <v>906</v>
      </c>
      <c r="I60" t="s">
        <v>908</v>
      </c>
    </row>
    <row r="61" spans="1:9">
      <c r="A61" t="s">
        <v>44</v>
      </c>
      <c r="B61">
        <v>9</v>
      </c>
      <c r="C61">
        <v>1</v>
      </c>
      <c r="D61">
        <v>2</v>
      </c>
      <c r="E61" t="s">
        <v>977</v>
      </c>
      <c r="F61" t="s">
        <v>217</v>
      </c>
      <c r="G61" t="s">
        <v>905</v>
      </c>
      <c r="H61" t="s">
        <v>906</v>
      </c>
      <c r="I61" t="s">
        <v>908</v>
      </c>
    </row>
    <row r="62" spans="1:9">
      <c r="A62" t="s">
        <v>44</v>
      </c>
      <c r="B62">
        <v>9</v>
      </c>
      <c r="C62">
        <v>1</v>
      </c>
      <c r="D62">
        <v>3</v>
      </c>
      <c r="E62" t="s">
        <v>978</v>
      </c>
      <c r="F62" t="s">
        <v>218</v>
      </c>
      <c r="G62" t="s">
        <v>905</v>
      </c>
      <c r="H62" t="s">
        <v>906</v>
      </c>
      <c r="I62" t="s">
        <v>908</v>
      </c>
    </row>
    <row r="63" spans="1:9">
      <c r="A63" t="s">
        <v>44</v>
      </c>
      <c r="B63">
        <v>9</v>
      </c>
      <c r="C63">
        <v>1</v>
      </c>
      <c r="D63">
        <v>4</v>
      </c>
      <c r="E63" t="s">
        <v>979</v>
      </c>
      <c r="F63" t="s">
        <v>219</v>
      </c>
      <c r="G63" t="s">
        <v>905</v>
      </c>
      <c r="H63" t="s">
        <v>906</v>
      </c>
      <c r="I63" t="s">
        <v>908</v>
      </c>
    </row>
    <row r="64" spans="1:9">
      <c r="A64" t="s">
        <v>44</v>
      </c>
      <c r="B64">
        <v>9</v>
      </c>
      <c r="C64">
        <v>1</v>
      </c>
      <c r="D64">
        <v>5</v>
      </c>
      <c r="E64" t="s">
        <v>980</v>
      </c>
      <c r="F64" t="s">
        <v>220</v>
      </c>
      <c r="G64" t="s">
        <v>905</v>
      </c>
      <c r="H64" t="s">
        <v>906</v>
      </c>
      <c r="I64" t="s">
        <v>908</v>
      </c>
    </row>
    <row r="65" spans="1:9">
      <c r="A65" t="s">
        <v>44</v>
      </c>
      <c r="B65">
        <v>9</v>
      </c>
      <c r="C65">
        <v>1</v>
      </c>
      <c r="D65">
        <v>6</v>
      </c>
      <c r="E65" t="s">
        <v>981</v>
      </c>
      <c r="F65" t="s">
        <v>221</v>
      </c>
      <c r="G65" t="s">
        <v>905</v>
      </c>
      <c r="H65" t="s">
        <v>906</v>
      </c>
      <c r="I65" t="s">
        <v>908</v>
      </c>
    </row>
    <row r="66" spans="1:9">
      <c r="A66" t="s">
        <v>44</v>
      </c>
      <c r="B66">
        <v>9</v>
      </c>
      <c r="C66">
        <v>1</v>
      </c>
      <c r="D66">
        <v>7</v>
      </c>
      <c r="E66" t="s">
        <v>982</v>
      </c>
      <c r="F66" t="s">
        <v>222</v>
      </c>
      <c r="G66" t="s">
        <v>905</v>
      </c>
      <c r="H66" t="s">
        <v>906</v>
      </c>
      <c r="I66" t="s">
        <v>908</v>
      </c>
    </row>
    <row r="67" spans="1:9">
      <c r="A67" t="s">
        <v>44</v>
      </c>
      <c r="B67">
        <v>9</v>
      </c>
      <c r="C67">
        <v>1</v>
      </c>
      <c r="D67">
        <v>8</v>
      </c>
      <c r="E67" t="s">
        <v>983</v>
      </c>
      <c r="F67" t="s">
        <v>223</v>
      </c>
      <c r="G67" t="s">
        <v>905</v>
      </c>
      <c r="H67" t="s">
        <v>906</v>
      </c>
      <c r="I67" t="s">
        <v>908</v>
      </c>
    </row>
    <row r="68" spans="1:9">
      <c r="A68" t="s">
        <v>44</v>
      </c>
      <c r="B68">
        <v>9</v>
      </c>
      <c r="C68">
        <v>1</v>
      </c>
      <c r="D68">
        <v>9</v>
      </c>
      <c r="E68" t="s">
        <v>984</v>
      </c>
      <c r="F68" t="s">
        <v>224</v>
      </c>
      <c r="G68" t="s">
        <v>905</v>
      </c>
      <c r="H68" t="s">
        <v>906</v>
      </c>
      <c r="I68" t="s">
        <v>908</v>
      </c>
    </row>
    <row r="69" spans="1:9">
      <c r="A69" t="s">
        <v>44</v>
      </c>
      <c r="B69">
        <v>9</v>
      </c>
      <c r="C69">
        <v>2</v>
      </c>
      <c r="D69">
        <v>0</v>
      </c>
      <c r="E69" t="s">
        <v>985</v>
      </c>
      <c r="F69" t="s">
        <v>225</v>
      </c>
      <c r="G69" t="s">
        <v>905</v>
      </c>
      <c r="H69" t="s">
        <v>906</v>
      </c>
      <c r="I69" t="s">
        <v>908</v>
      </c>
    </row>
    <row r="70" spans="1:9">
      <c r="A70" t="s">
        <v>55</v>
      </c>
      <c r="B70">
        <v>0</v>
      </c>
      <c r="C70">
        <v>0</v>
      </c>
      <c r="D70">
        <v>0</v>
      </c>
      <c r="E70" t="s">
        <v>986</v>
      </c>
      <c r="F70" t="s">
        <v>226</v>
      </c>
      <c r="G70" t="s">
        <v>771</v>
      </c>
      <c r="H70" t="s">
        <v>772</v>
      </c>
      <c r="I70" t="s">
        <v>773</v>
      </c>
    </row>
    <row r="71" spans="1:9">
      <c r="A71" t="s">
        <v>55</v>
      </c>
      <c r="B71">
        <v>1</v>
      </c>
      <c r="C71">
        <v>0</v>
      </c>
      <c r="D71">
        <v>0</v>
      </c>
      <c r="E71" t="s">
        <v>987</v>
      </c>
      <c r="F71" t="s">
        <v>227</v>
      </c>
      <c r="G71" t="s">
        <v>771</v>
      </c>
      <c r="H71" t="s">
        <v>772</v>
      </c>
      <c r="I71" t="s">
        <v>773</v>
      </c>
    </row>
    <row r="72" spans="1:9">
      <c r="A72" t="s">
        <v>55</v>
      </c>
      <c r="B72">
        <v>1</v>
      </c>
      <c r="C72">
        <v>1</v>
      </c>
      <c r="D72">
        <v>0</v>
      </c>
      <c r="E72" t="s">
        <v>988</v>
      </c>
      <c r="F72" t="s">
        <v>228</v>
      </c>
      <c r="G72" t="s">
        <v>771</v>
      </c>
      <c r="H72" t="s">
        <v>772</v>
      </c>
      <c r="I72" t="s">
        <v>773</v>
      </c>
    </row>
    <row r="73" spans="1:9">
      <c r="A73" t="s">
        <v>55</v>
      </c>
      <c r="B73">
        <v>1</v>
      </c>
      <c r="C73">
        <v>2</v>
      </c>
      <c r="D73">
        <v>0</v>
      </c>
      <c r="E73" t="s">
        <v>989</v>
      </c>
      <c r="F73" t="s">
        <v>229</v>
      </c>
      <c r="G73" t="s">
        <v>771</v>
      </c>
      <c r="H73" t="s">
        <v>772</v>
      </c>
      <c r="I73" t="s">
        <v>773</v>
      </c>
    </row>
    <row r="74" spans="1:9">
      <c r="A74" t="s">
        <v>55</v>
      </c>
      <c r="B74">
        <v>1</v>
      </c>
      <c r="C74">
        <v>3</v>
      </c>
      <c r="D74">
        <v>0</v>
      </c>
      <c r="E74" t="s">
        <v>990</v>
      </c>
      <c r="F74" t="s">
        <v>230</v>
      </c>
      <c r="G74" t="s">
        <v>771</v>
      </c>
      <c r="H74" t="s">
        <v>772</v>
      </c>
      <c r="I74" t="s">
        <v>773</v>
      </c>
    </row>
    <row r="75" spans="1:9">
      <c r="A75" t="s">
        <v>55</v>
      </c>
      <c r="B75">
        <v>2</v>
      </c>
      <c r="C75">
        <v>0</v>
      </c>
      <c r="D75">
        <v>0</v>
      </c>
      <c r="E75" t="s">
        <v>991</v>
      </c>
      <c r="F75" t="s">
        <v>231</v>
      </c>
      <c r="G75" t="s">
        <v>771</v>
      </c>
      <c r="H75" t="s">
        <v>772</v>
      </c>
      <c r="I75" t="s">
        <v>773</v>
      </c>
    </row>
    <row r="76" spans="1:9">
      <c r="A76" t="s">
        <v>55</v>
      </c>
      <c r="B76">
        <v>2</v>
      </c>
      <c r="C76">
        <v>1</v>
      </c>
      <c r="D76">
        <v>0</v>
      </c>
      <c r="E76" t="s">
        <v>992</v>
      </c>
      <c r="F76" t="s">
        <v>232</v>
      </c>
      <c r="G76" t="s">
        <v>771</v>
      </c>
      <c r="H76" t="s">
        <v>772</v>
      </c>
      <c r="I76" t="s">
        <v>773</v>
      </c>
    </row>
    <row r="77" spans="1:9">
      <c r="A77" t="s">
        <v>55</v>
      </c>
      <c r="B77">
        <v>2</v>
      </c>
      <c r="C77">
        <v>2</v>
      </c>
      <c r="D77">
        <v>0</v>
      </c>
      <c r="E77" t="s">
        <v>993</v>
      </c>
      <c r="F77" t="s">
        <v>233</v>
      </c>
      <c r="G77" t="s">
        <v>771</v>
      </c>
      <c r="H77" t="s">
        <v>772</v>
      </c>
      <c r="I77" t="s">
        <v>773</v>
      </c>
    </row>
    <row r="78" spans="1:9">
      <c r="A78" t="s">
        <v>55</v>
      </c>
      <c r="B78">
        <v>3</v>
      </c>
      <c r="C78">
        <v>0</v>
      </c>
      <c r="D78">
        <v>0</v>
      </c>
      <c r="E78" t="s">
        <v>994</v>
      </c>
      <c r="F78" t="s">
        <v>234</v>
      </c>
      <c r="G78" t="s">
        <v>771</v>
      </c>
      <c r="H78" t="s">
        <v>772</v>
      </c>
      <c r="I78" t="s">
        <v>773</v>
      </c>
    </row>
    <row r="79" spans="1:9">
      <c r="A79" t="s">
        <v>55</v>
      </c>
      <c r="B79">
        <v>3</v>
      </c>
      <c r="C79">
        <v>1</v>
      </c>
      <c r="D79">
        <v>0</v>
      </c>
      <c r="E79" t="s">
        <v>995</v>
      </c>
      <c r="F79" t="s">
        <v>235</v>
      </c>
      <c r="G79" t="s">
        <v>771</v>
      </c>
      <c r="H79" t="s">
        <v>772</v>
      </c>
      <c r="I79" t="s">
        <v>773</v>
      </c>
    </row>
    <row r="80" spans="1:9">
      <c r="A80" t="s">
        <v>55</v>
      </c>
      <c r="B80">
        <v>3</v>
      </c>
      <c r="C80">
        <v>2</v>
      </c>
      <c r="D80">
        <v>0</v>
      </c>
      <c r="E80" t="s">
        <v>996</v>
      </c>
      <c r="F80" t="s">
        <v>236</v>
      </c>
      <c r="G80" t="s">
        <v>771</v>
      </c>
      <c r="H80" t="s">
        <v>772</v>
      </c>
      <c r="I80" t="s">
        <v>773</v>
      </c>
    </row>
    <row r="81" spans="1:9">
      <c r="A81" t="s">
        <v>55</v>
      </c>
      <c r="B81">
        <v>3</v>
      </c>
      <c r="C81">
        <v>3</v>
      </c>
      <c r="D81">
        <v>0</v>
      </c>
      <c r="E81" t="s">
        <v>997</v>
      </c>
      <c r="F81" t="s">
        <v>237</v>
      </c>
      <c r="G81" t="s">
        <v>771</v>
      </c>
      <c r="H81" t="s">
        <v>772</v>
      </c>
      <c r="I81" t="s">
        <v>773</v>
      </c>
    </row>
    <row r="82" spans="1:9">
      <c r="A82" t="s">
        <v>55</v>
      </c>
      <c r="B82">
        <v>4</v>
      </c>
      <c r="C82">
        <v>0</v>
      </c>
      <c r="D82">
        <v>0</v>
      </c>
      <c r="E82" t="s">
        <v>998</v>
      </c>
      <c r="F82" t="s">
        <v>238</v>
      </c>
      <c r="G82" t="s">
        <v>771</v>
      </c>
      <c r="H82" t="s">
        <v>772</v>
      </c>
      <c r="I82" t="s">
        <v>773</v>
      </c>
    </row>
    <row r="83" spans="1:9">
      <c r="A83" t="s">
        <v>55</v>
      </c>
      <c r="B83">
        <v>4</v>
      </c>
      <c r="C83">
        <v>1</v>
      </c>
      <c r="D83">
        <v>0</v>
      </c>
      <c r="E83" t="s">
        <v>999</v>
      </c>
      <c r="F83" t="s">
        <v>239</v>
      </c>
      <c r="G83" t="s">
        <v>771</v>
      </c>
      <c r="H83" t="s">
        <v>772</v>
      </c>
      <c r="I83" t="s">
        <v>773</v>
      </c>
    </row>
    <row r="84" spans="1:9">
      <c r="A84" t="s">
        <v>55</v>
      </c>
      <c r="B84">
        <v>4</v>
      </c>
      <c r="C84">
        <v>2</v>
      </c>
      <c r="D84">
        <v>0</v>
      </c>
      <c r="E84" t="s">
        <v>1000</v>
      </c>
      <c r="F84" t="s">
        <v>240</v>
      </c>
      <c r="G84" t="s">
        <v>771</v>
      </c>
      <c r="H84" t="s">
        <v>772</v>
      </c>
      <c r="I84" t="s">
        <v>773</v>
      </c>
    </row>
    <row r="85" spans="1:9">
      <c r="A85" t="s">
        <v>55</v>
      </c>
      <c r="B85">
        <v>4</v>
      </c>
      <c r="C85">
        <v>3</v>
      </c>
      <c r="D85">
        <v>0</v>
      </c>
      <c r="E85" t="s">
        <v>1001</v>
      </c>
      <c r="F85" t="s">
        <v>241</v>
      </c>
      <c r="G85" t="s">
        <v>771</v>
      </c>
      <c r="H85" t="s">
        <v>772</v>
      </c>
      <c r="I85" t="s">
        <v>773</v>
      </c>
    </row>
    <row r="86" spans="1:9">
      <c r="A86" t="s">
        <v>55</v>
      </c>
      <c r="B86">
        <v>5</v>
      </c>
      <c r="C86">
        <v>0</v>
      </c>
      <c r="D86">
        <v>0</v>
      </c>
      <c r="E86" t="s">
        <v>1002</v>
      </c>
      <c r="F86" t="s">
        <v>242</v>
      </c>
      <c r="G86" t="s">
        <v>771</v>
      </c>
      <c r="H86" t="s">
        <v>772</v>
      </c>
      <c r="I86" t="s">
        <v>773</v>
      </c>
    </row>
    <row r="87" spans="1:9">
      <c r="A87" t="s">
        <v>55</v>
      </c>
      <c r="B87">
        <v>5</v>
      </c>
      <c r="C87">
        <v>1</v>
      </c>
      <c r="D87">
        <v>0</v>
      </c>
      <c r="E87" t="s">
        <v>1003</v>
      </c>
      <c r="F87" t="s">
        <v>243</v>
      </c>
      <c r="G87" t="s">
        <v>771</v>
      </c>
      <c r="H87" t="s">
        <v>772</v>
      </c>
      <c r="I87" t="s">
        <v>773</v>
      </c>
    </row>
    <row r="88" spans="1:9">
      <c r="A88" t="s">
        <v>55</v>
      </c>
      <c r="B88">
        <v>5</v>
      </c>
      <c r="C88">
        <v>2</v>
      </c>
      <c r="D88">
        <v>0</v>
      </c>
      <c r="E88" t="s">
        <v>1004</v>
      </c>
      <c r="F88" t="s">
        <v>244</v>
      </c>
      <c r="G88" t="s">
        <v>771</v>
      </c>
      <c r="H88" t="s">
        <v>772</v>
      </c>
      <c r="I88" t="s">
        <v>773</v>
      </c>
    </row>
    <row r="89" spans="1:9">
      <c r="A89" t="s">
        <v>55</v>
      </c>
      <c r="B89">
        <v>5</v>
      </c>
      <c r="C89">
        <v>3</v>
      </c>
      <c r="D89">
        <v>0</v>
      </c>
      <c r="E89" t="s">
        <v>1005</v>
      </c>
      <c r="F89" t="s">
        <v>245</v>
      </c>
      <c r="G89" t="s">
        <v>771</v>
      </c>
      <c r="H89" t="s">
        <v>772</v>
      </c>
      <c r="I89" t="s">
        <v>773</v>
      </c>
    </row>
    <row r="90" spans="1:9">
      <c r="A90" t="s">
        <v>55</v>
      </c>
      <c r="B90">
        <v>5</v>
      </c>
      <c r="C90">
        <v>4</v>
      </c>
      <c r="D90">
        <v>0</v>
      </c>
      <c r="E90" t="s">
        <v>1006</v>
      </c>
      <c r="F90" t="s">
        <v>246</v>
      </c>
      <c r="G90" t="s">
        <v>771</v>
      </c>
      <c r="H90" t="s">
        <v>772</v>
      </c>
      <c r="I90" t="s">
        <v>773</v>
      </c>
    </row>
    <row r="91" spans="1:9">
      <c r="A91" t="s">
        <v>55</v>
      </c>
      <c r="B91">
        <v>5</v>
      </c>
      <c r="C91">
        <v>5</v>
      </c>
      <c r="D91">
        <v>0</v>
      </c>
      <c r="E91" t="s">
        <v>1007</v>
      </c>
      <c r="F91" t="s">
        <v>247</v>
      </c>
      <c r="G91" t="s">
        <v>771</v>
      </c>
      <c r="H91" t="s">
        <v>772</v>
      </c>
      <c r="I91" t="s">
        <v>773</v>
      </c>
    </row>
    <row r="92" spans="1:9">
      <c r="A92" t="s">
        <v>55</v>
      </c>
      <c r="B92">
        <v>6</v>
      </c>
      <c r="C92">
        <v>0</v>
      </c>
      <c r="D92">
        <v>0</v>
      </c>
      <c r="E92" t="s">
        <v>1008</v>
      </c>
      <c r="F92" t="s">
        <v>248</v>
      </c>
      <c r="G92" t="s">
        <v>771</v>
      </c>
      <c r="H92" t="s">
        <v>772</v>
      </c>
      <c r="I92" t="s">
        <v>773</v>
      </c>
    </row>
    <row r="93" spans="1:9">
      <c r="A93" t="s">
        <v>55</v>
      </c>
      <c r="B93">
        <v>6</v>
      </c>
      <c r="C93">
        <v>1</v>
      </c>
      <c r="D93">
        <v>0</v>
      </c>
      <c r="E93" t="s">
        <v>1009</v>
      </c>
      <c r="F93" t="s">
        <v>249</v>
      </c>
      <c r="G93" t="s">
        <v>771</v>
      </c>
      <c r="H93" t="s">
        <v>772</v>
      </c>
      <c r="I93" t="s">
        <v>773</v>
      </c>
    </row>
    <row r="94" spans="1:9">
      <c r="A94" t="s">
        <v>55</v>
      </c>
      <c r="B94">
        <v>6</v>
      </c>
      <c r="C94">
        <v>2</v>
      </c>
      <c r="D94">
        <v>0</v>
      </c>
      <c r="E94" t="s">
        <v>1010</v>
      </c>
      <c r="F94" t="s">
        <v>250</v>
      </c>
      <c r="G94" t="s">
        <v>771</v>
      </c>
      <c r="H94" t="s">
        <v>772</v>
      </c>
      <c r="I94" t="s">
        <v>773</v>
      </c>
    </row>
    <row r="95" spans="1:9">
      <c r="A95" t="s">
        <v>55</v>
      </c>
      <c r="B95">
        <v>6</v>
      </c>
      <c r="C95">
        <v>3</v>
      </c>
      <c r="D95">
        <v>0</v>
      </c>
      <c r="E95" t="s">
        <v>1011</v>
      </c>
      <c r="F95" t="s">
        <v>251</v>
      </c>
      <c r="G95" t="s">
        <v>771</v>
      </c>
      <c r="H95" t="s">
        <v>772</v>
      </c>
      <c r="I95" t="s">
        <v>773</v>
      </c>
    </row>
    <row r="96" spans="1:9">
      <c r="A96" t="s">
        <v>55</v>
      </c>
      <c r="B96">
        <v>6</v>
      </c>
      <c r="C96">
        <v>4</v>
      </c>
      <c r="D96">
        <v>0</v>
      </c>
      <c r="E96" t="s">
        <v>1012</v>
      </c>
      <c r="F96" t="s">
        <v>252</v>
      </c>
      <c r="G96" t="s">
        <v>771</v>
      </c>
      <c r="H96" t="s">
        <v>772</v>
      </c>
      <c r="I96" t="s">
        <v>773</v>
      </c>
    </row>
    <row r="97" spans="1:9">
      <c r="A97" t="s">
        <v>55</v>
      </c>
      <c r="B97">
        <v>7</v>
      </c>
      <c r="C97">
        <v>0</v>
      </c>
      <c r="D97">
        <v>0</v>
      </c>
      <c r="E97" t="s">
        <v>1013</v>
      </c>
      <c r="F97" t="s">
        <v>253</v>
      </c>
      <c r="G97" t="s">
        <v>771</v>
      </c>
      <c r="H97" t="s">
        <v>772</v>
      </c>
      <c r="I97" t="s">
        <v>773</v>
      </c>
    </row>
    <row r="98" spans="1:9">
      <c r="A98" t="s">
        <v>55</v>
      </c>
      <c r="B98">
        <v>7</v>
      </c>
      <c r="C98">
        <v>1</v>
      </c>
      <c r="D98">
        <v>0</v>
      </c>
      <c r="E98" t="s">
        <v>1014</v>
      </c>
      <c r="F98" t="s">
        <v>254</v>
      </c>
      <c r="G98" t="s">
        <v>771</v>
      </c>
      <c r="H98" t="s">
        <v>772</v>
      </c>
      <c r="I98" t="s">
        <v>773</v>
      </c>
    </row>
    <row r="99" spans="1:9">
      <c r="A99" t="s">
        <v>55</v>
      </c>
      <c r="B99">
        <v>7</v>
      </c>
      <c r="C99">
        <v>2</v>
      </c>
      <c r="D99">
        <v>0</v>
      </c>
      <c r="E99" t="s">
        <v>1015</v>
      </c>
      <c r="F99" t="s">
        <v>255</v>
      </c>
      <c r="G99" t="s">
        <v>771</v>
      </c>
      <c r="H99" t="s">
        <v>772</v>
      </c>
      <c r="I99" t="s">
        <v>773</v>
      </c>
    </row>
    <row r="100" spans="1:9">
      <c r="A100" t="s">
        <v>55</v>
      </c>
      <c r="B100">
        <v>7</v>
      </c>
      <c r="C100">
        <v>3</v>
      </c>
      <c r="D100">
        <v>0</v>
      </c>
      <c r="E100" t="s">
        <v>1016</v>
      </c>
      <c r="F100" t="s">
        <v>256</v>
      </c>
      <c r="G100" t="s">
        <v>771</v>
      </c>
      <c r="H100" t="s">
        <v>772</v>
      </c>
      <c r="I100" t="s">
        <v>773</v>
      </c>
    </row>
    <row r="101" spans="1:9">
      <c r="A101" t="s">
        <v>55</v>
      </c>
      <c r="B101">
        <v>7</v>
      </c>
      <c r="C101">
        <v>4</v>
      </c>
      <c r="D101">
        <v>0</v>
      </c>
      <c r="E101" t="s">
        <v>1017</v>
      </c>
      <c r="F101" t="s">
        <v>257</v>
      </c>
      <c r="G101" t="s">
        <v>771</v>
      </c>
      <c r="H101" t="s">
        <v>772</v>
      </c>
      <c r="I101" t="s">
        <v>773</v>
      </c>
    </row>
    <row r="102" spans="1:9">
      <c r="A102" t="s">
        <v>55</v>
      </c>
      <c r="B102">
        <v>7</v>
      </c>
      <c r="C102">
        <v>4</v>
      </c>
      <c r="D102">
        <v>1</v>
      </c>
      <c r="E102" t="s">
        <v>1018</v>
      </c>
      <c r="F102" t="s">
        <v>258</v>
      </c>
      <c r="G102" t="s">
        <v>771</v>
      </c>
      <c r="H102" t="s">
        <v>772</v>
      </c>
      <c r="I102" t="s">
        <v>773</v>
      </c>
    </row>
    <row r="103" spans="1:9">
      <c r="A103" t="s">
        <v>55</v>
      </c>
      <c r="B103">
        <v>7</v>
      </c>
      <c r="C103">
        <v>4</v>
      </c>
      <c r="D103">
        <v>2</v>
      </c>
      <c r="E103" t="s">
        <v>1019</v>
      </c>
      <c r="F103" t="s">
        <v>259</v>
      </c>
      <c r="G103" t="s">
        <v>771</v>
      </c>
      <c r="H103" t="s">
        <v>772</v>
      </c>
      <c r="I103" t="s">
        <v>773</v>
      </c>
    </row>
    <row r="104" spans="1:9">
      <c r="A104" t="s">
        <v>55</v>
      </c>
      <c r="B104">
        <v>7</v>
      </c>
      <c r="C104">
        <v>5</v>
      </c>
      <c r="D104">
        <v>0</v>
      </c>
      <c r="E104" t="s">
        <v>1020</v>
      </c>
      <c r="F104" t="s">
        <v>260</v>
      </c>
      <c r="G104" t="s">
        <v>771</v>
      </c>
      <c r="H104" t="s">
        <v>772</v>
      </c>
      <c r="I104" t="s">
        <v>773</v>
      </c>
    </row>
    <row r="105" spans="1:9">
      <c r="A105" t="s">
        <v>55</v>
      </c>
      <c r="B105">
        <v>8</v>
      </c>
      <c r="C105">
        <v>0</v>
      </c>
      <c r="D105">
        <v>0</v>
      </c>
      <c r="E105" t="s">
        <v>1021</v>
      </c>
      <c r="F105" t="s">
        <v>261</v>
      </c>
      <c r="G105" t="s">
        <v>771</v>
      </c>
      <c r="H105" t="s">
        <v>772</v>
      </c>
      <c r="I105" t="s">
        <v>773</v>
      </c>
    </row>
    <row r="106" spans="1:9">
      <c r="A106" t="s">
        <v>55</v>
      </c>
      <c r="B106">
        <v>8</v>
      </c>
      <c r="C106">
        <v>1</v>
      </c>
      <c r="D106">
        <v>0</v>
      </c>
      <c r="E106" t="s">
        <v>1022</v>
      </c>
      <c r="F106" t="s">
        <v>262</v>
      </c>
      <c r="G106" t="s">
        <v>771</v>
      </c>
      <c r="H106" t="s">
        <v>772</v>
      </c>
      <c r="I106" t="s">
        <v>773</v>
      </c>
    </row>
    <row r="107" spans="1:9">
      <c r="A107" t="s">
        <v>55</v>
      </c>
      <c r="B107">
        <v>8</v>
      </c>
      <c r="C107">
        <v>2</v>
      </c>
      <c r="D107">
        <v>0</v>
      </c>
      <c r="E107" t="s">
        <v>1023</v>
      </c>
      <c r="F107" t="s">
        <v>263</v>
      </c>
      <c r="G107" t="s">
        <v>771</v>
      </c>
      <c r="H107" t="s">
        <v>772</v>
      </c>
      <c r="I107" t="s">
        <v>773</v>
      </c>
    </row>
    <row r="108" spans="1:9">
      <c r="A108" t="s">
        <v>55</v>
      </c>
      <c r="B108">
        <v>8</v>
      </c>
      <c r="C108">
        <v>3</v>
      </c>
      <c r="D108">
        <v>0</v>
      </c>
      <c r="E108" t="s">
        <v>1024</v>
      </c>
      <c r="F108" t="s">
        <v>264</v>
      </c>
      <c r="G108" t="s">
        <v>771</v>
      </c>
      <c r="H108" t="s">
        <v>772</v>
      </c>
      <c r="I108" t="s">
        <v>773</v>
      </c>
    </row>
    <row r="109" spans="1:9">
      <c r="A109" t="s">
        <v>55</v>
      </c>
      <c r="B109">
        <v>8</v>
      </c>
      <c r="C109">
        <v>4</v>
      </c>
      <c r="D109">
        <v>0</v>
      </c>
      <c r="E109" t="s">
        <v>1025</v>
      </c>
      <c r="F109" t="s">
        <v>265</v>
      </c>
      <c r="G109" t="s">
        <v>771</v>
      </c>
      <c r="H109" t="s">
        <v>772</v>
      </c>
      <c r="I109" t="s">
        <v>773</v>
      </c>
    </row>
    <row r="110" spans="1:9">
      <c r="A110" t="s">
        <v>55</v>
      </c>
      <c r="B110">
        <v>8</v>
      </c>
      <c r="C110">
        <v>5</v>
      </c>
      <c r="D110">
        <v>0</v>
      </c>
      <c r="E110" t="s">
        <v>1026</v>
      </c>
      <c r="F110" t="s">
        <v>266</v>
      </c>
      <c r="G110" t="s">
        <v>771</v>
      </c>
      <c r="H110" t="s">
        <v>772</v>
      </c>
      <c r="I110" t="s">
        <v>773</v>
      </c>
    </row>
    <row r="111" spans="1:9">
      <c r="A111" t="s">
        <v>55</v>
      </c>
      <c r="B111">
        <v>8</v>
      </c>
      <c r="C111">
        <v>6</v>
      </c>
      <c r="D111">
        <v>0</v>
      </c>
      <c r="E111" t="s">
        <v>1027</v>
      </c>
      <c r="F111" t="s">
        <v>267</v>
      </c>
      <c r="G111" t="s">
        <v>771</v>
      </c>
      <c r="H111" t="s">
        <v>772</v>
      </c>
      <c r="I111" t="s">
        <v>773</v>
      </c>
    </row>
    <row r="112" spans="1:9">
      <c r="A112" t="s">
        <v>55</v>
      </c>
      <c r="B112">
        <v>9</v>
      </c>
      <c r="C112">
        <v>0</v>
      </c>
      <c r="D112">
        <v>0</v>
      </c>
      <c r="E112" t="s">
        <v>770</v>
      </c>
      <c r="F112" t="s">
        <v>268</v>
      </c>
      <c r="G112" t="s">
        <v>771</v>
      </c>
      <c r="H112" t="s">
        <v>772</v>
      </c>
      <c r="I112" t="s">
        <v>773</v>
      </c>
    </row>
    <row r="113" spans="1:9">
      <c r="A113" t="s">
        <v>55</v>
      </c>
      <c r="B113">
        <v>9</v>
      </c>
      <c r="C113">
        <v>1</v>
      </c>
      <c r="D113">
        <v>0</v>
      </c>
      <c r="E113" t="s">
        <v>1028</v>
      </c>
      <c r="F113" t="s">
        <v>269</v>
      </c>
      <c r="G113" t="s">
        <v>771</v>
      </c>
      <c r="H113" t="s">
        <v>772</v>
      </c>
      <c r="I113" t="s">
        <v>773</v>
      </c>
    </row>
    <row r="114" spans="1:9">
      <c r="A114" t="s">
        <v>55</v>
      </c>
      <c r="B114">
        <v>9</v>
      </c>
      <c r="C114">
        <v>1</v>
      </c>
      <c r="D114">
        <v>1</v>
      </c>
      <c r="E114" t="s">
        <v>1029</v>
      </c>
      <c r="F114" t="s">
        <v>270</v>
      </c>
      <c r="G114" t="s">
        <v>771</v>
      </c>
      <c r="H114" t="s">
        <v>772</v>
      </c>
      <c r="I114" t="s">
        <v>773</v>
      </c>
    </row>
    <row r="115" spans="1:9">
      <c r="A115" t="s">
        <v>55</v>
      </c>
      <c r="B115">
        <v>9</v>
      </c>
      <c r="C115">
        <v>1</v>
      </c>
      <c r="D115">
        <v>2</v>
      </c>
      <c r="E115" t="s">
        <v>1030</v>
      </c>
      <c r="F115" t="s">
        <v>271</v>
      </c>
      <c r="G115" t="s">
        <v>771</v>
      </c>
      <c r="H115" t="s">
        <v>772</v>
      </c>
      <c r="I115" t="s">
        <v>773</v>
      </c>
    </row>
    <row r="116" spans="1:9">
      <c r="A116" t="s">
        <v>55</v>
      </c>
      <c r="B116">
        <v>9</v>
      </c>
      <c r="C116">
        <v>1</v>
      </c>
      <c r="D116">
        <v>3</v>
      </c>
      <c r="E116" t="s">
        <v>1031</v>
      </c>
      <c r="F116" t="s">
        <v>272</v>
      </c>
      <c r="G116" t="s">
        <v>771</v>
      </c>
      <c r="H116" t="s">
        <v>772</v>
      </c>
      <c r="I116" t="s">
        <v>773</v>
      </c>
    </row>
    <row r="117" spans="1:9">
      <c r="A117" t="s">
        <v>55</v>
      </c>
      <c r="B117">
        <v>9</v>
      </c>
      <c r="C117">
        <v>1</v>
      </c>
      <c r="D117">
        <v>4</v>
      </c>
      <c r="E117" t="s">
        <v>1032</v>
      </c>
      <c r="F117" t="s">
        <v>273</v>
      </c>
      <c r="G117" t="s">
        <v>771</v>
      </c>
      <c r="H117" t="s">
        <v>772</v>
      </c>
      <c r="I117" t="s">
        <v>773</v>
      </c>
    </row>
    <row r="118" spans="1:9">
      <c r="A118" t="s">
        <v>55</v>
      </c>
      <c r="B118">
        <v>9</v>
      </c>
      <c r="C118">
        <v>1</v>
      </c>
      <c r="D118">
        <v>5</v>
      </c>
      <c r="E118" t="s">
        <v>1033</v>
      </c>
      <c r="F118" t="s">
        <v>274</v>
      </c>
      <c r="G118" t="s">
        <v>771</v>
      </c>
      <c r="H118" t="s">
        <v>772</v>
      </c>
      <c r="I118" t="s">
        <v>773</v>
      </c>
    </row>
    <row r="119" spans="1:9">
      <c r="A119" t="s">
        <v>55</v>
      </c>
      <c r="B119">
        <v>9</v>
      </c>
      <c r="C119">
        <v>1</v>
      </c>
      <c r="D119">
        <v>6</v>
      </c>
      <c r="E119" t="s">
        <v>1034</v>
      </c>
      <c r="F119" t="s">
        <v>275</v>
      </c>
      <c r="G119" t="s">
        <v>771</v>
      </c>
      <c r="H119" t="s">
        <v>772</v>
      </c>
      <c r="I119" t="s">
        <v>773</v>
      </c>
    </row>
    <row r="120" spans="1:9">
      <c r="A120" t="s">
        <v>55</v>
      </c>
      <c r="B120">
        <v>9</v>
      </c>
      <c r="C120">
        <v>1</v>
      </c>
      <c r="D120">
        <v>7</v>
      </c>
      <c r="E120" t="s">
        <v>1035</v>
      </c>
      <c r="F120" t="s">
        <v>276</v>
      </c>
      <c r="G120" t="s">
        <v>771</v>
      </c>
      <c r="H120" t="s">
        <v>772</v>
      </c>
      <c r="I120" t="s">
        <v>773</v>
      </c>
    </row>
    <row r="121" spans="1:9">
      <c r="A121" t="s">
        <v>55</v>
      </c>
      <c r="B121">
        <v>9</v>
      </c>
      <c r="C121">
        <v>2</v>
      </c>
      <c r="D121">
        <v>0</v>
      </c>
      <c r="E121" t="s">
        <v>1036</v>
      </c>
      <c r="F121" t="s">
        <v>277</v>
      </c>
      <c r="G121" t="s">
        <v>771</v>
      </c>
      <c r="H121" t="s">
        <v>772</v>
      </c>
      <c r="I121" t="s">
        <v>773</v>
      </c>
    </row>
    <row r="122" spans="1:9">
      <c r="A122" t="s">
        <v>55</v>
      </c>
      <c r="B122">
        <v>9</v>
      </c>
      <c r="C122">
        <v>3</v>
      </c>
      <c r="D122">
        <v>0</v>
      </c>
      <c r="E122" t="s">
        <v>1037</v>
      </c>
      <c r="F122" t="s">
        <v>278</v>
      </c>
      <c r="G122" t="s">
        <v>771</v>
      </c>
      <c r="H122" t="s">
        <v>772</v>
      </c>
      <c r="I122" t="s">
        <v>773</v>
      </c>
    </row>
    <row r="123" spans="1:9">
      <c r="A123" t="s">
        <v>55</v>
      </c>
      <c r="B123">
        <v>10</v>
      </c>
      <c r="C123">
        <v>0</v>
      </c>
      <c r="D123">
        <v>0</v>
      </c>
      <c r="E123" t="s">
        <v>1038</v>
      </c>
      <c r="F123" t="s">
        <v>279</v>
      </c>
      <c r="G123" t="s">
        <v>771</v>
      </c>
      <c r="H123" t="s">
        <v>772</v>
      </c>
      <c r="I123" t="s">
        <v>773</v>
      </c>
    </row>
    <row r="124" spans="1:9">
      <c r="A124" t="s">
        <v>55</v>
      </c>
      <c r="B124">
        <v>10</v>
      </c>
      <c r="C124">
        <v>1</v>
      </c>
      <c r="D124">
        <v>0</v>
      </c>
      <c r="E124" t="s">
        <v>1039</v>
      </c>
      <c r="F124" t="s">
        <v>280</v>
      </c>
      <c r="G124" t="s">
        <v>771</v>
      </c>
      <c r="H124" t="s">
        <v>772</v>
      </c>
      <c r="I124" t="s">
        <v>773</v>
      </c>
    </row>
    <row r="125" spans="1:9">
      <c r="A125" t="s">
        <v>55</v>
      </c>
      <c r="B125">
        <v>11</v>
      </c>
      <c r="C125">
        <v>0</v>
      </c>
      <c r="D125">
        <v>0</v>
      </c>
      <c r="E125" t="s">
        <v>1040</v>
      </c>
      <c r="F125" t="s">
        <v>281</v>
      </c>
      <c r="G125" t="s">
        <v>771</v>
      </c>
      <c r="H125" t="s">
        <v>772</v>
      </c>
      <c r="I125" t="s">
        <v>773</v>
      </c>
    </row>
    <row r="126" spans="1:9">
      <c r="A126" t="s">
        <v>55</v>
      </c>
      <c r="B126">
        <v>11</v>
      </c>
      <c r="C126">
        <v>1</v>
      </c>
      <c r="D126">
        <v>0</v>
      </c>
      <c r="E126" t="s">
        <v>1041</v>
      </c>
      <c r="F126" t="s">
        <v>282</v>
      </c>
      <c r="G126" t="s">
        <v>771</v>
      </c>
      <c r="H126" t="s">
        <v>772</v>
      </c>
      <c r="I126" t="s">
        <v>773</v>
      </c>
    </row>
    <row r="127" spans="1:9">
      <c r="A127" t="s">
        <v>55</v>
      </c>
      <c r="B127">
        <v>11</v>
      </c>
      <c r="C127">
        <v>1</v>
      </c>
      <c r="D127">
        <v>1</v>
      </c>
      <c r="E127" t="s">
        <v>1042</v>
      </c>
      <c r="F127" t="s">
        <v>283</v>
      </c>
      <c r="G127" t="s">
        <v>771</v>
      </c>
      <c r="H127" t="s">
        <v>772</v>
      </c>
      <c r="I127" t="s">
        <v>773</v>
      </c>
    </row>
    <row r="128" spans="1:9">
      <c r="A128" t="s">
        <v>55</v>
      </c>
      <c r="B128">
        <v>11</v>
      </c>
      <c r="C128">
        <v>1</v>
      </c>
      <c r="D128">
        <v>2</v>
      </c>
      <c r="E128" t="s">
        <v>1043</v>
      </c>
      <c r="F128" t="s">
        <v>284</v>
      </c>
      <c r="G128" t="s">
        <v>771</v>
      </c>
      <c r="H128" t="s">
        <v>772</v>
      </c>
      <c r="I128" t="s">
        <v>773</v>
      </c>
    </row>
    <row r="129" spans="1:9">
      <c r="A129" t="s">
        <v>55</v>
      </c>
      <c r="B129">
        <v>11</v>
      </c>
      <c r="C129">
        <v>1</v>
      </c>
      <c r="D129">
        <v>3</v>
      </c>
      <c r="E129" t="s">
        <v>1044</v>
      </c>
      <c r="F129" t="s">
        <v>285</v>
      </c>
      <c r="G129" t="s">
        <v>771</v>
      </c>
      <c r="H129" t="s">
        <v>772</v>
      </c>
      <c r="I129" t="s">
        <v>773</v>
      </c>
    </row>
    <row r="130" spans="1:9">
      <c r="A130" t="s">
        <v>55</v>
      </c>
      <c r="B130">
        <v>11</v>
      </c>
      <c r="C130">
        <v>1</v>
      </c>
      <c r="D130">
        <v>4</v>
      </c>
      <c r="E130" t="s">
        <v>1045</v>
      </c>
      <c r="F130" t="s">
        <v>286</v>
      </c>
      <c r="G130" t="s">
        <v>771</v>
      </c>
      <c r="H130" t="s">
        <v>772</v>
      </c>
      <c r="I130" t="s">
        <v>773</v>
      </c>
    </row>
    <row r="131" spans="1:9">
      <c r="A131" t="s">
        <v>55</v>
      </c>
      <c r="B131">
        <v>12</v>
      </c>
      <c r="C131">
        <v>0</v>
      </c>
      <c r="D131">
        <v>0</v>
      </c>
      <c r="E131" t="s">
        <v>1046</v>
      </c>
      <c r="F131" t="s">
        <v>287</v>
      </c>
      <c r="G131" t="s">
        <v>771</v>
      </c>
      <c r="H131" t="s">
        <v>772</v>
      </c>
      <c r="I131" t="s">
        <v>773</v>
      </c>
    </row>
    <row r="132" spans="1:9">
      <c r="A132" t="s">
        <v>55</v>
      </c>
      <c r="B132">
        <v>12</v>
      </c>
      <c r="C132">
        <v>1</v>
      </c>
      <c r="D132">
        <v>0</v>
      </c>
      <c r="E132" t="s">
        <v>1047</v>
      </c>
      <c r="F132" t="s">
        <v>288</v>
      </c>
      <c r="G132" t="s">
        <v>771</v>
      </c>
      <c r="H132" t="s">
        <v>772</v>
      </c>
      <c r="I132" t="s">
        <v>773</v>
      </c>
    </row>
    <row r="133" spans="1:9">
      <c r="A133" t="s">
        <v>55</v>
      </c>
      <c r="B133">
        <v>12</v>
      </c>
      <c r="C133">
        <v>1</v>
      </c>
      <c r="D133">
        <v>1</v>
      </c>
      <c r="E133" t="s">
        <v>1048</v>
      </c>
      <c r="F133" t="s">
        <v>289</v>
      </c>
      <c r="G133" t="s">
        <v>771</v>
      </c>
      <c r="H133" t="s">
        <v>772</v>
      </c>
      <c r="I133" t="s">
        <v>773</v>
      </c>
    </row>
    <row r="134" spans="1:9">
      <c r="A134" t="s">
        <v>55</v>
      </c>
      <c r="B134">
        <v>12</v>
      </c>
      <c r="C134">
        <v>1</v>
      </c>
      <c r="D134">
        <v>2</v>
      </c>
      <c r="E134" t="s">
        <v>1049</v>
      </c>
      <c r="F134" t="s">
        <v>290</v>
      </c>
      <c r="G134" t="s">
        <v>771</v>
      </c>
      <c r="H134" t="s">
        <v>772</v>
      </c>
      <c r="I134" t="s">
        <v>773</v>
      </c>
    </row>
    <row r="135" spans="1:9">
      <c r="A135" t="s">
        <v>55</v>
      </c>
      <c r="B135">
        <v>12</v>
      </c>
      <c r="C135">
        <v>1</v>
      </c>
      <c r="D135">
        <v>3</v>
      </c>
      <c r="E135" t="s">
        <v>1050</v>
      </c>
      <c r="F135" t="s">
        <v>291</v>
      </c>
      <c r="G135" t="s">
        <v>771</v>
      </c>
      <c r="H135" t="s">
        <v>772</v>
      </c>
      <c r="I135" t="s">
        <v>773</v>
      </c>
    </row>
    <row r="136" spans="1:9">
      <c r="A136" t="s">
        <v>55</v>
      </c>
      <c r="B136">
        <v>13</v>
      </c>
      <c r="C136">
        <v>0</v>
      </c>
      <c r="D136">
        <v>0</v>
      </c>
      <c r="E136" t="s">
        <v>1051</v>
      </c>
      <c r="F136" t="s">
        <v>292</v>
      </c>
      <c r="G136" t="s">
        <v>771</v>
      </c>
      <c r="H136" t="s">
        <v>772</v>
      </c>
      <c r="I136" t="s">
        <v>773</v>
      </c>
    </row>
    <row r="137" spans="1:9">
      <c r="A137" t="s">
        <v>55</v>
      </c>
      <c r="B137">
        <v>13</v>
      </c>
      <c r="C137">
        <v>1</v>
      </c>
      <c r="D137">
        <v>0</v>
      </c>
      <c r="E137" t="s">
        <v>1052</v>
      </c>
      <c r="F137" t="s">
        <v>293</v>
      </c>
      <c r="G137" t="s">
        <v>771</v>
      </c>
      <c r="H137" t="s">
        <v>772</v>
      </c>
      <c r="I137" t="s">
        <v>773</v>
      </c>
    </row>
    <row r="138" spans="1:9">
      <c r="A138" t="s">
        <v>55</v>
      </c>
      <c r="B138">
        <v>13</v>
      </c>
      <c r="C138">
        <v>2</v>
      </c>
      <c r="D138">
        <v>0</v>
      </c>
      <c r="E138" t="s">
        <v>1053</v>
      </c>
      <c r="F138" t="s">
        <v>1054</v>
      </c>
      <c r="G138" t="s">
        <v>771</v>
      </c>
      <c r="H138" t="s">
        <v>772</v>
      </c>
      <c r="I138" t="s">
        <v>773</v>
      </c>
    </row>
    <row r="139" spans="1:9">
      <c r="A139" t="s">
        <v>55</v>
      </c>
      <c r="B139">
        <v>13</v>
      </c>
      <c r="C139">
        <v>2</v>
      </c>
      <c r="D139">
        <v>0</v>
      </c>
      <c r="E139" t="s">
        <v>1053</v>
      </c>
      <c r="F139" t="s">
        <v>1055</v>
      </c>
      <c r="G139" t="s">
        <v>771</v>
      </c>
      <c r="H139" t="s">
        <v>772</v>
      </c>
      <c r="I139" t="s">
        <v>773</v>
      </c>
    </row>
    <row r="140" spans="1:9">
      <c r="A140" t="s">
        <v>55</v>
      </c>
      <c r="B140">
        <v>13</v>
      </c>
      <c r="C140">
        <v>3</v>
      </c>
      <c r="D140">
        <v>0</v>
      </c>
      <c r="E140" t="s">
        <v>1056</v>
      </c>
      <c r="F140" t="s">
        <v>295</v>
      </c>
      <c r="G140" t="s">
        <v>771</v>
      </c>
      <c r="H140" t="s">
        <v>772</v>
      </c>
      <c r="I140" t="s">
        <v>773</v>
      </c>
    </row>
    <row r="141" spans="1:9">
      <c r="A141" t="s">
        <v>55</v>
      </c>
      <c r="B141">
        <v>14</v>
      </c>
      <c r="C141">
        <v>0</v>
      </c>
      <c r="D141">
        <v>0</v>
      </c>
      <c r="E141" t="s">
        <v>1057</v>
      </c>
      <c r="F141" t="s">
        <v>296</v>
      </c>
      <c r="G141" t="s">
        <v>771</v>
      </c>
      <c r="H141" t="s">
        <v>772</v>
      </c>
      <c r="I141" t="s">
        <v>773</v>
      </c>
    </row>
    <row r="142" spans="1:9">
      <c r="A142" t="s">
        <v>55</v>
      </c>
      <c r="B142">
        <v>14</v>
      </c>
      <c r="C142">
        <v>1</v>
      </c>
      <c r="D142">
        <v>0</v>
      </c>
      <c r="E142" t="s">
        <v>1058</v>
      </c>
      <c r="F142" t="s">
        <v>297</v>
      </c>
      <c r="G142" t="s">
        <v>771</v>
      </c>
      <c r="H142" t="s">
        <v>772</v>
      </c>
      <c r="I142" t="s">
        <v>773</v>
      </c>
    </row>
    <row r="143" spans="1:9">
      <c r="A143" t="s">
        <v>55</v>
      </c>
      <c r="B143">
        <v>14</v>
      </c>
      <c r="C143">
        <v>2</v>
      </c>
      <c r="D143">
        <v>0</v>
      </c>
      <c r="E143" t="s">
        <v>1059</v>
      </c>
      <c r="F143" t="s">
        <v>298</v>
      </c>
      <c r="G143" t="s">
        <v>771</v>
      </c>
      <c r="H143" t="s">
        <v>772</v>
      </c>
      <c r="I143" t="s">
        <v>773</v>
      </c>
    </row>
    <row r="144" spans="1:9">
      <c r="A144" t="s">
        <v>55</v>
      </c>
      <c r="B144">
        <v>14</v>
      </c>
      <c r="C144">
        <v>3</v>
      </c>
      <c r="D144">
        <v>0</v>
      </c>
      <c r="E144" t="s">
        <v>1060</v>
      </c>
      <c r="F144" t="s">
        <v>1061</v>
      </c>
      <c r="G144" t="s">
        <v>771</v>
      </c>
      <c r="H144" t="s">
        <v>772</v>
      </c>
      <c r="I144" t="s">
        <v>773</v>
      </c>
    </row>
    <row r="145" spans="1:9">
      <c r="A145" t="s">
        <v>55</v>
      </c>
      <c r="B145">
        <v>14</v>
      </c>
      <c r="C145">
        <v>3</v>
      </c>
      <c r="D145">
        <v>0</v>
      </c>
      <c r="E145" t="s">
        <v>1060</v>
      </c>
      <c r="F145" t="s">
        <v>1062</v>
      </c>
      <c r="G145" t="s">
        <v>771</v>
      </c>
      <c r="H145" t="s">
        <v>772</v>
      </c>
      <c r="I145" t="s">
        <v>773</v>
      </c>
    </row>
    <row r="146" spans="1:9">
      <c r="A146" t="s">
        <v>55</v>
      </c>
      <c r="B146">
        <v>14</v>
      </c>
      <c r="C146">
        <v>4</v>
      </c>
      <c r="D146">
        <v>0</v>
      </c>
      <c r="E146" t="s">
        <v>1063</v>
      </c>
      <c r="F146" t="s">
        <v>300</v>
      </c>
      <c r="G146" t="s">
        <v>771</v>
      </c>
      <c r="H146" t="s">
        <v>772</v>
      </c>
      <c r="I146" t="s">
        <v>773</v>
      </c>
    </row>
    <row r="147" spans="1:9">
      <c r="A147" t="s">
        <v>55</v>
      </c>
      <c r="B147">
        <v>15</v>
      </c>
      <c r="C147">
        <v>0</v>
      </c>
      <c r="D147">
        <v>0</v>
      </c>
      <c r="E147" t="s">
        <v>1064</v>
      </c>
      <c r="F147" t="s">
        <v>301</v>
      </c>
      <c r="G147" t="s">
        <v>771</v>
      </c>
      <c r="H147" t="s">
        <v>772</v>
      </c>
      <c r="I147" t="s">
        <v>773</v>
      </c>
    </row>
    <row r="148" spans="1:9">
      <c r="A148" t="s">
        <v>55</v>
      </c>
      <c r="B148">
        <v>15</v>
      </c>
      <c r="C148">
        <v>1</v>
      </c>
      <c r="D148">
        <v>0</v>
      </c>
      <c r="E148" t="s">
        <v>1065</v>
      </c>
      <c r="F148" t="s">
        <v>302</v>
      </c>
      <c r="G148" t="s">
        <v>771</v>
      </c>
      <c r="H148" t="s">
        <v>772</v>
      </c>
      <c r="I148" t="s">
        <v>773</v>
      </c>
    </row>
    <row r="149" spans="1:9">
      <c r="A149" t="s">
        <v>55</v>
      </c>
      <c r="B149">
        <v>15</v>
      </c>
      <c r="C149">
        <v>2</v>
      </c>
      <c r="D149">
        <v>0</v>
      </c>
      <c r="E149" t="s">
        <v>1066</v>
      </c>
      <c r="F149" t="s">
        <v>1067</v>
      </c>
      <c r="G149" t="s">
        <v>771</v>
      </c>
      <c r="H149" t="s">
        <v>772</v>
      </c>
      <c r="I149" t="s">
        <v>773</v>
      </c>
    </row>
    <row r="150" spans="1:9">
      <c r="A150" t="s">
        <v>55</v>
      </c>
      <c r="B150">
        <v>15</v>
      </c>
      <c r="C150">
        <v>2</v>
      </c>
      <c r="D150">
        <v>0</v>
      </c>
      <c r="E150" t="s">
        <v>1066</v>
      </c>
      <c r="F150" t="s">
        <v>1068</v>
      </c>
      <c r="G150" t="s">
        <v>771</v>
      </c>
      <c r="H150" t="s">
        <v>772</v>
      </c>
      <c r="I150" t="s">
        <v>773</v>
      </c>
    </row>
    <row r="151" spans="1:9">
      <c r="A151" t="s">
        <v>55</v>
      </c>
      <c r="B151">
        <v>15</v>
      </c>
      <c r="C151">
        <v>3</v>
      </c>
      <c r="D151">
        <v>0</v>
      </c>
      <c r="E151" t="s">
        <v>1069</v>
      </c>
      <c r="F151" t="s">
        <v>304</v>
      </c>
      <c r="G151" t="s">
        <v>771</v>
      </c>
      <c r="H151" t="s">
        <v>772</v>
      </c>
      <c r="I151" t="s">
        <v>773</v>
      </c>
    </row>
    <row r="152" spans="1:9">
      <c r="A152" t="s">
        <v>55</v>
      </c>
      <c r="B152">
        <v>15</v>
      </c>
      <c r="C152">
        <v>4</v>
      </c>
      <c r="D152">
        <v>0</v>
      </c>
      <c r="E152" t="s">
        <v>1070</v>
      </c>
      <c r="F152" t="s">
        <v>305</v>
      </c>
      <c r="G152" t="s">
        <v>771</v>
      </c>
      <c r="H152" t="s">
        <v>772</v>
      </c>
      <c r="I152" t="s">
        <v>773</v>
      </c>
    </row>
    <row r="153" spans="1:9">
      <c r="A153" t="s">
        <v>55</v>
      </c>
      <c r="B153">
        <v>15</v>
      </c>
      <c r="C153">
        <v>5</v>
      </c>
      <c r="D153">
        <v>0</v>
      </c>
      <c r="E153" t="s">
        <v>1071</v>
      </c>
      <c r="F153" t="s">
        <v>306</v>
      </c>
      <c r="G153" t="s">
        <v>771</v>
      </c>
      <c r="H153" t="s">
        <v>772</v>
      </c>
      <c r="I153" t="s">
        <v>773</v>
      </c>
    </row>
    <row r="154" spans="1:9">
      <c r="A154" t="s">
        <v>55</v>
      </c>
      <c r="B154">
        <v>15</v>
      </c>
      <c r="C154">
        <v>6</v>
      </c>
      <c r="D154">
        <v>0</v>
      </c>
      <c r="E154" t="s">
        <v>1072</v>
      </c>
      <c r="F154" t="s">
        <v>307</v>
      </c>
      <c r="G154" t="s">
        <v>771</v>
      </c>
      <c r="H154" t="s">
        <v>772</v>
      </c>
      <c r="I154" t="s">
        <v>773</v>
      </c>
    </row>
    <row r="155" spans="1:9">
      <c r="A155" t="s">
        <v>55</v>
      </c>
      <c r="B155">
        <v>16</v>
      </c>
      <c r="C155">
        <v>0</v>
      </c>
      <c r="D155">
        <v>0</v>
      </c>
      <c r="E155" t="s">
        <v>1073</v>
      </c>
      <c r="F155" t="s">
        <v>308</v>
      </c>
      <c r="G155" t="s">
        <v>771</v>
      </c>
      <c r="H155" t="s">
        <v>772</v>
      </c>
      <c r="I155" t="s">
        <v>773</v>
      </c>
    </row>
    <row r="156" spans="1:9">
      <c r="A156" t="s">
        <v>55</v>
      </c>
      <c r="B156">
        <v>16</v>
      </c>
      <c r="C156">
        <v>1</v>
      </c>
      <c r="D156">
        <v>0</v>
      </c>
      <c r="E156" t="s">
        <v>1074</v>
      </c>
      <c r="F156" t="s">
        <v>309</v>
      </c>
      <c r="G156" t="s">
        <v>771</v>
      </c>
      <c r="H156" t="s">
        <v>772</v>
      </c>
      <c r="I156" t="s">
        <v>773</v>
      </c>
    </row>
    <row r="157" spans="1:9">
      <c r="A157" t="s">
        <v>55</v>
      </c>
      <c r="B157">
        <v>16</v>
      </c>
      <c r="C157">
        <v>2</v>
      </c>
      <c r="D157">
        <v>0</v>
      </c>
      <c r="E157" t="s">
        <v>1075</v>
      </c>
      <c r="F157" t="s">
        <v>310</v>
      </c>
      <c r="G157" t="s">
        <v>771</v>
      </c>
      <c r="H157" t="s">
        <v>772</v>
      </c>
      <c r="I157" t="s">
        <v>773</v>
      </c>
    </row>
    <row r="158" spans="1:9">
      <c r="A158" t="s">
        <v>55</v>
      </c>
      <c r="B158">
        <v>16</v>
      </c>
      <c r="C158">
        <v>3</v>
      </c>
      <c r="D158">
        <v>0</v>
      </c>
      <c r="E158" t="s">
        <v>1076</v>
      </c>
      <c r="F158" t="s">
        <v>311</v>
      </c>
      <c r="G158" t="s">
        <v>771</v>
      </c>
      <c r="H158" t="s">
        <v>772</v>
      </c>
      <c r="I158" t="s">
        <v>773</v>
      </c>
    </row>
    <row r="159" spans="1:9">
      <c r="A159" t="s">
        <v>55</v>
      </c>
      <c r="B159">
        <v>16</v>
      </c>
      <c r="C159">
        <v>4</v>
      </c>
      <c r="D159">
        <v>0</v>
      </c>
      <c r="E159" t="s">
        <v>1077</v>
      </c>
      <c r="F159" t="s">
        <v>312</v>
      </c>
      <c r="G159" t="s">
        <v>771</v>
      </c>
      <c r="H159" t="s">
        <v>772</v>
      </c>
      <c r="I159" t="s">
        <v>773</v>
      </c>
    </row>
    <row r="160" spans="1:9">
      <c r="A160" t="s">
        <v>55</v>
      </c>
      <c r="B160">
        <v>16</v>
      </c>
      <c r="C160">
        <v>5</v>
      </c>
      <c r="D160">
        <v>0</v>
      </c>
      <c r="E160" t="s">
        <v>1078</v>
      </c>
      <c r="F160" t="s">
        <v>313</v>
      </c>
      <c r="G160" t="s">
        <v>771</v>
      </c>
      <c r="H160" t="s">
        <v>772</v>
      </c>
      <c r="I160" t="s">
        <v>773</v>
      </c>
    </row>
    <row r="161" spans="1:9">
      <c r="A161" t="s">
        <v>55</v>
      </c>
      <c r="B161">
        <v>16</v>
      </c>
      <c r="C161">
        <v>6</v>
      </c>
      <c r="D161">
        <v>0</v>
      </c>
      <c r="E161" t="s">
        <v>1079</v>
      </c>
      <c r="F161" t="s">
        <v>314</v>
      </c>
      <c r="G161" t="s">
        <v>771</v>
      </c>
      <c r="H161" t="s">
        <v>772</v>
      </c>
      <c r="I161" t="s">
        <v>773</v>
      </c>
    </row>
    <row r="162" spans="1:9">
      <c r="A162" t="s">
        <v>55</v>
      </c>
      <c r="B162">
        <v>17</v>
      </c>
      <c r="C162">
        <v>0</v>
      </c>
      <c r="D162">
        <v>0</v>
      </c>
      <c r="E162" t="s">
        <v>1080</v>
      </c>
      <c r="F162" t="s">
        <v>315</v>
      </c>
      <c r="G162" t="s">
        <v>771</v>
      </c>
      <c r="H162" t="s">
        <v>772</v>
      </c>
      <c r="I162" t="s">
        <v>773</v>
      </c>
    </row>
    <row r="163" spans="1:9">
      <c r="A163" t="s">
        <v>55</v>
      </c>
      <c r="B163">
        <v>17</v>
      </c>
      <c r="C163">
        <v>1</v>
      </c>
      <c r="D163">
        <v>0</v>
      </c>
      <c r="E163" t="s">
        <v>1081</v>
      </c>
      <c r="F163" t="s">
        <v>1082</v>
      </c>
      <c r="G163" t="s">
        <v>771</v>
      </c>
      <c r="H163" t="s">
        <v>772</v>
      </c>
      <c r="I163" t="s">
        <v>773</v>
      </c>
    </row>
    <row r="164" spans="1:9">
      <c r="A164" t="s">
        <v>55</v>
      </c>
      <c r="B164">
        <v>17</v>
      </c>
      <c r="C164">
        <v>1</v>
      </c>
      <c r="D164">
        <v>0</v>
      </c>
      <c r="E164" t="s">
        <v>1081</v>
      </c>
      <c r="F164" t="s">
        <v>1083</v>
      </c>
      <c r="G164" t="s">
        <v>771</v>
      </c>
      <c r="H164" t="s">
        <v>772</v>
      </c>
      <c r="I164" t="s">
        <v>773</v>
      </c>
    </row>
    <row r="165" spans="1:9">
      <c r="A165" t="s">
        <v>55</v>
      </c>
      <c r="B165">
        <v>17</v>
      </c>
      <c r="C165">
        <v>2</v>
      </c>
      <c r="D165">
        <v>0</v>
      </c>
      <c r="E165" t="s">
        <v>1084</v>
      </c>
      <c r="F165" t="s">
        <v>317</v>
      </c>
      <c r="G165" t="s">
        <v>771</v>
      </c>
      <c r="H165" t="s">
        <v>772</v>
      </c>
      <c r="I165" t="s">
        <v>773</v>
      </c>
    </row>
    <row r="166" spans="1:9">
      <c r="A166" t="s">
        <v>55</v>
      </c>
      <c r="B166">
        <v>18</v>
      </c>
      <c r="C166">
        <v>0</v>
      </c>
      <c r="D166">
        <v>0</v>
      </c>
      <c r="E166" t="s">
        <v>1085</v>
      </c>
      <c r="F166" t="s">
        <v>318</v>
      </c>
      <c r="G166" t="s">
        <v>771</v>
      </c>
      <c r="H166" t="s">
        <v>772</v>
      </c>
      <c r="I166" t="s">
        <v>773</v>
      </c>
    </row>
    <row r="167" spans="1:9">
      <c r="A167" t="s">
        <v>55</v>
      </c>
      <c r="B167">
        <v>18</v>
      </c>
      <c r="C167">
        <v>1</v>
      </c>
      <c r="D167">
        <v>0</v>
      </c>
      <c r="E167" t="s">
        <v>1086</v>
      </c>
      <c r="F167" t="s">
        <v>319</v>
      </c>
      <c r="G167" t="s">
        <v>771</v>
      </c>
      <c r="H167" t="s">
        <v>772</v>
      </c>
      <c r="I167" t="s">
        <v>773</v>
      </c>
    </row>
    <row r="168" spans="1:9">
      <c r="A168" t="s">
        <v>55</v>
      </c>
      <c r="B168">
        <v>19</v>
      </c>
      <c r="C168">
        <v>0</v>
      </c>
      <c r="D168">
        <v>0</v>
      </c>
      <c r="E168" t="s">
        <v>1087</v>
      </c>
      <c r="F168" t="s">
        <v>320</v>
      </c>
      <c r="G168" t="s">
        <v>771</v>
      </c>
      <c r="H168" t="s">
        <v>772</v>
      </c>
      <c r="I168" t="s">
        <v>773</v>
      </c>
    </row>
    <row r="169" spans="1:9">
      <c r="A169" t="s">
        <v>55</v>
      </c>
      <c r="B169">
        <v>19</v>
      </c>
      <c r="C169">
        <v>1</v>
      </c>
      <c r="D169">
        <v>0</v>
      </c>
      <c r="E169" t="s">
        <v>1088</v>
      </c>
      <c r="F169" t="s">
        <v>321</v>
      </c>
      <c r="G169" t="s">
        <v>771</v>
      </c>
      <c r="H169" t="s">
        <v>772</v>
      </c>
      <c r="I169" t="s">
        <v>773</v>
      </c>
    </row>
    <row r="170" spans="1:9">
      <c r="A170" t="s">
        <v>55</v>
      </c>
      <c r="B170">
        <v>19</v>
      </c>
      <c r="C170">
        <v>2</v>
      </c>
      <c r="D170">
        <v>0</v>
      </c>
      <c r="E170" t="s">
        <v>1089</v>
      </c>
      <c r="F170" t="s">
        <v>1090</v>
      </c>
      <c r="G170" t="s">
        <v>771</v>
      </c>
      <c r="H170" t="s">
        <v>772</v>
      </c>
      <c r="I170" t="s">
        <v>773</v>
      </c>
    </row>
    <row r="171" spans="1:9">
      <c r="A171" t="s">
        <v>55</v>
      </c>
      <c r="B171">
        <v>19</v>
      </c>
      <c r="C171">
        <v>2</v>
      </c>
      <c r="D171">
        <v>0</v>
      </c>
      <c r="E171" t="s">
        <v>1089</v>
      </c>
      <c r="F171" t="s">
        <v>1091</v>
      </c>
      <c r="G171" t="s">
        <v>771</v>
      </c>
      <c r="H171" t="s">
        <v>772</v>
      </c>
      <c r="I171" t="s">
        <v>773</v>
      </c>
    </row>
    <row r="172" spans="1:9">
      <c r="A172" t="s">
        <v>55</v>
      </c>
      <c r="B172">
        <v>19</v>
      </c>
      <c r="C172">
        <v>3</v>
      </c>
      <c r="D172">
        <v>0</v>
      </c>
      <c r="E172" t="s">
        <v>1092</v>
      </c>
      <c r="F172" t="s">
        <v>1093</v>
      </c>
      <c r="G172" t="s">
        <v>771</v>
      </c>
      <c r="H172" t="s">
        <v>772</v>
      </c>
      <c r="I172" t="s">
        <v>773</v>
      </c>
    </row>
    <row r="173" spans="1:9">
      <c r="A173" t="s">
        <v>55</v>
      </c>
      <c r="B173">
        <v>19</v>
      </c>
      <c r="C173">
        <v>3</v>
      </c>
      <c r="D173">
        <v>0</v>
      </c>
      <c r="E173" t="s">
        <v>1092</v>
      </c>
      <c r="F173" t="s">
        <v>1094</v>
      </c>
      <c r="G173" t="s">
        <v>771</v>
      </c>
      <c r="H173" t="s">
        <v>772</v>
      </c>
      <c r="I173" t="s">
        <v>773</v>
      </c>
    </row>
    <row r="174" spans="1:9">
      <c r="A174" t="s">
        <v>55</v>
      </c>
      <c r="B174">
        <v>19</v>
      </c>
      <c r="C174">
        <v>4</v>
      </c>
      <c r="D174">
        <v>0</v>
      </c>
      <c r="E174" t="s">
        <v>1095</v>
      </c>
      <c r="F174" t="s">
        <v>1096</v>
      </c>
      <c r="G174" t="s">
        <v>771</v>
      </c>
      <c r="H174" t="s">
        <v>772</v>
      </c>
      <c r="I174" t="s">
        <v>773</v>
      </c>
    </row>
    <row r="175" spans="1:9">
      <c r="A175" t="s">
        <v>55</v>
      </c>
      <c r="B175">
        <v>19</v>
      </c>
      <c r="C175">
        <v>4</v>
      </c>
      <c r="D175">
        <v>0</v>
      </c>
      <c r="E175" t="s">
        <v>1095</v>
      </c>
      <c r="F175" t="s">
        <v>1097</v>
      </c>
      <c r="G175" t="s">
        <v>771</v>
      </c>
      <c r="H175" t="s">
        <v>772</v>
      </c>
      <c r="I175" t="s">
        <v>773</v>
      </c>
    </row>
    <row r="176" spans="1:9">
      <c r="A176" t="s">
        <v>55</v>
      </c>
      <c r="B176">
        <v>19</v>
      </c>
      <c r="C176">
        <v>5</v>
      </c>
      <c r="D176">
        <v>0</v>
      </c>
      <c r="E176" t="s">
        <v>1098</v>
      </c>
      <c r="F176" t="s">
        <v>1099</v>
      </c>
      <c r="G176" t="s">
        <v>771</v>
      </c>
      <c r="H176" t="s">
        <v>772</v>
      </c>
      <c r="I176" t="s">
        <v>773</v>
      </c>
    </row>
    <row r="177" spans="1:9">
      <c r="A177" t="s">
        <v>55</v>
      </c>
      <c r="B177">
        <v>19</v>
      </c>
      <c r="C177">
        <v>5</v>
      </c>
      <c r="D177">
        <v>0</v>
      </c>
      <c r="E177" t="s">
        <v>1098</v>
      </c>
      <c r="F177" t="s">
        <v>1100</v>
      </c>
      <c r="G177" t="s">
        <v>771</v>
      </c>
      <c r="H177" t="s">
        <v>772</v>
      </c>
      <c r="I177" t="s">
        <v>773</v>
      </c>
    </row>
    <row r="178" spans="1:9">
      <c r="A178" t="s">
        <v>55</v>
      </c>
      <c r="B178">
        <v>19</v>
      </c>
      <c r="C178">
        <v>6</v>
      </c>
      <c r="D178">
        <v>0</v>
      </c>
      <c r="E178" t="s">
        <v>1101</v>
      </c>
      <c r="F178" t="s">
        <v>1102</v>
      </c>
      <c r="G178" t="s">
        <v>771</v>
      </c>
      <c r="H178" t="s">
        <v>772</v>
      </c>
      <c r="I178" t="s">
        <v>773</v>
      </c>
    </row>
    <row r="179" spans="1:9">
      <c r="A179" t="s">
        <v>55</v>
      </c>
      <c r="B179">
        <v>20</v>
      </c>
      <c r="C179">
        <v>0</v>
      </c>
      <c r="D179">
        <v>0</v>
      </c>
      <c r="E179" t="s">
        <v>1103</v>
      </c>
      <c r="F179" t="s">
        <v>327</v>
      </c>
      <c r="G179" t="s">
        <v>771</v>
      </c>
      <c r="H179" t="s">
        <v>772</v>
      </c>
      <c r="I179" t="s">
        <v>773</v>
      </c>
    </row>
    <row r="180" spans="1:9">
      <c r="A180" t="s">
        <v>55</v>
      </c>
      <c r="B180">
        <v>20</v>
      </c>
      <c r="C180">
        <v>1</v>
      </c>
      <c r="D180">
        <v>0</v>
      </c>
      <c r="E180" t="s">
        <v>1104</v>
      </c>
      <c r="F180" t="s">
        <v>328</v>
      </c>
      <c r="G180" t="s">
        <v>771</v>
      </c>
      <c r="H180" t="s">
        <v>772</v>
      </c>
      <c r="I180" t="s">
        <v>773</v>
      </c>
    </row>
    <row r="181" spans="1:9">
      <c r="A181" t="s">
        <v>55</v>
      </c>
      <c r="B181">
        <v>20</v>
      </c>
      <c r="C181">
        <v>2</v>
      </c>
      <c r="D181">
        <v>0</v>
      </c>
      <c r="E181" t="s">
        <v>1105</v>
      </c>
      <c r="F181" t="s">
        <v>329</v>
      </c>
      <c r="G181" t="s">
        <v>771</v>
      </c>
      <c r="H181" t="s">
        <v>772</v>
      </c>
      <c r="I181" t="s">
        <v>773</v>
      </c>
    </row>
    <row r="182" spans="1:9">
      <c r="A182" t="s">
        <v>55</v>
      </c>
      <c r="B182">
        <v>20</v>
      </c>
      <c r="C182">
        <v>3</v>
      </c>
      <c r="D182">
        <v>0</v>
      </c>
      <c r="E182" t="s">
        <v>1106</v>
      </c>
      <c r="F182" t="s">
        <v>330</v>
      </c>
      <c r="G182" t="s">
        <v>771</v>
      </c>
      <c r="H182" t="s">
        <v>772</v>
      </c>
      <c r="I182" t="s">
        <v>773</v>
      </c>
    </row>
    <row r="183" spans="1:9">
      <c r="A183" t="s">
        <v>55</v>
      </c>
      <c r="B183">
        <v>21</v>
      </c>
      <c r="C183">
        <v>0</v>
      </c>
      <c r="D183">
        <v>0</v>
      </c>
      <c r="E183" t="s">
        <v>1107</v>
      </c>
      <c r="F183" t="s">
        <v>331</v>
      </c>
      <c r="G183" t="s">
        <v>771</v>
      </c>
      <c r="H183" t="s">
        <v>772</v>
      </c>
      <c r="I183" t="s">
        <v>773</v>
      </c>
    </row>
    <row r="184" spans="1:9">
      <c r="A184" t="s">
        <v>55</v>
      </c>
      <c r="B184">
        <v>21</v>
      </c>
      <c r="C184">
        <v>1</v>
      </c>
      <c r="D184">
        <v>0</v>
      </c>
      <c r="E184" t="s">
        <v>1108</v>
      </c>
      <c r="F184" t="s">
        <v>1109</v>
      </c>
      <c r="G184" t="s">
        <v>771</v>
      </c>
      <c r="H184" t="s">
        <v>772</v>
      </c>
      <c r="I184" t="s">
        <v>773</v>
      </c>
    </row>
    <row r="185" spans="1:9">
      <c r="A185" t="s">
        <v>55</v>
      </c>
      <c r="B185">
        <v>21</v>
      </c>
      <c r="C185">
        <v>1</v>
      </c>
      <c r="D185">
        <v>0</v>
      </c>
      <c r="E185" t="s">
        <v>1108</v>
      </c>
      <c r="F185" t="s">
        <v>1110</v>
      </c>
      <c r="G185" t="s">
        <v>771</v>
      </c>
      <c r="H185" t="s">
        <v>772</v>
      </c>
      <c r="I185" t="s">
        <v>773</v>
      </c>
    </row>
    <row r="186" spans="1:9">
      <c r="A186" t="s">
        <v>55</v>
      </c>
      <c r="B186">
        <v>21</v>
      </c>
      <c r="C186">
        <v>2</v>
      </c>
      <c r="D186">
        <v>0</v>
      </c>
      <c r="E186" t="s">
        <v>1111</v>
      </c>
      <c r="F186" t="s">
        <v>1112</v>
      </c>
      <c r="G186" t="s">
        <v>771</v>
      </c>
      <c r="H186" t="s">
        <v>772</v>
      </c>
      <c r="I186" t="s">
        <v>773</v>
      </c>
    </row>
    <row r="187" spans="1:9">
      <c r="A187" t="s">
        <v>55</v>
      </c>
      <c r="B187">
        <v>21</v>
      </c>
      <c r="C187">
        <v>2</v>
      </c>
      <c r="D187">
        <v>0</v>
      </c>
      <c r="E187" t="s">
        <v>1111</v>
      </c>
      <c r="F187" t="s">
        <v>1113</v>
      </c>
      <c r="G187" t="s">
        <v>771</v>
      </c>
      <c r="H187" t="s">
        <v>772</v>
      </c>
      <c r="I187" t="s">
        <v>773</v>
      </c>
    </row>
    <row r="188" spans="1:9">
      <c r="A188" t="s">
        <v>55</v>
      </c>
      <c r="B188">
        <v>21</v>
      </c>
      <c r="C188">
        <v>3</v>
      </c>
      <c r="D188">
        <v>0</v>
      </c>
      <c r="E188" t="s">
        <v>1114</v>
      </c>
      <c r="F188" t="s">
        <v>334</v>
      </c>
      <c r="G188" t="s">
        <v>771</v>
      </c>
      <c r="H188" t="s">
        <v>772</v>
      </c>
      <c r="I188" t="s">
        <v>773</v>
      </c>
    </row>
    <row r="189" spans="1:9">
      <c r="A189" t="s">
        <v>55</v>
      </c>
      <c r="B189">
        <v>21</v>
      </c>
      <c r="C189">
        <v>4</v>
      </c>
      <c r="D189">
        <v>0</v>
      </c>
      <c r="E189" t="s">
        <v>1115</v>
      </c>
      <c r="F189" t="s">
        <v>335</v>
      </c>
      <c r="G189" t="s">
        <v>771</v>
      </c>
      <c r="H189" t="s">
        <v>772</v>
      </c>
      <c r="I189" t="s">
        <v>773</v>
      </c>
    </row>
    <row r="190" spans="1:9">
      <c r="A190" t="s">
        <v>55</v>
      </c>
      <c r="B190">
        <v>22</v>
      </c>
      <c r="C190">
        <v>0</v>
      </c>
      <c r="D190">
        <v>0</v>
      </c>
      <c r="E190" t="s">
        <v>1116</v>
      </c>
      <c r="F190" t="s">
        <v>336</v>
      </c>
      <c r="G190" t="s">
        <v>771</v>
      </c>
      <c r="H190" t="s">
        <v>772</v>
      </c>
      <c r="I190" t="s">
        <v>773</v>
      </c>
    </row>
    <row r="191" spans="1:9">
      <c r="A191" t="s">
        <v>55</v>
      </c>
      <c r="B191">
        <v>22</v>
      </c>
      <c r="C191">
        <v>1</v>
      </c>
      <c r="D191">
        <v>0</v>
      </c>
      <c r="E191" t="s">
        <v>1117</v>
      </c>
      <c r="F191" t="s">
        <v>337</v>
      </c>
      <c r="G191" t="s">
        <v>771</v>
      </c>
      <c r="H191" t="s">
        <v>772</v>
      </c>
      <c r="I191" t="s">
        <v>773</v>
      </c>
    </row>
    <row r="192" spans="1:9">
      <c r="A192" t="s">
        <v>55</v>
      </c>
      <c r="B192">
        <v>22</v>
      </c>
      <c r="C192">
        <v>2</v>
      </c>
      <c r="D192">
        <v>0</v>
      </c>
      <c r="E192" t="s">
        <v>1118</v>
      </c>
      <c r="F192" t="s">
        <v>338</v>
      </c>
      <c r="G192" t="s">
        <v>771</v>
      </c>
      <c r="H192" t="s">
        <v>772</v>
      </c>
      <c r="I192" t="s">
        <v>773</v>
      </c>
    </row>
    <row r="193" spans="1:9">
      <c r="A193" t="s">
        <v>55</v>
      </c>
      <c r="B193">
        <v>22</v>
      </c>
      <c r="C193">
        <v>3</v>
      </c>
      <c r="D193">
        <v>0</v>
      </c>
      <c r="E193" t="s">
        <v>1119</v>
      </c>
      <c r="F193" t="s">
        <v>339</v>
      </c>
      <c r="G193" t="s">
        <v>771</v>
      </c>
      <c r="H193" t="s">
        <v>772</v>
      </c>
      <c r="I193" t="s">
        <v>773</v>
      </c>
    </row>
    <row r="194" spans="1:9">
      <c r="A194" t="s">
        <v>55</v>
      </c>
      <c r="B194">
        <v>22</v>
      </c>
      <c r="C194">
        <v>4</v>
      </c>
      <c r="D194">
        <v>0</v>
      </c>
      <c r="E194" t="s">
        <v>1120</v>
      </c>
      <c r="F194" t="s">
        <v>340</v>
      </c>
      <c r="G194" t="s">
        <v>771</v>
      </c>
      <c r="H194" t="s">
        <v>772</v>
      </c>
      <c r="I194" t="s">
        <v>773</v>
      </c>
    </row>
    <row r="195" spans="1:9">
      <c r="A195" t="s">
        <v>55</v>
      </c>
      <c r="B195">
        <v>23</v>
      </c>
      <c r="C195">
        <v>0</v>
      </c>
      <c r="D195">
        <v>0</v>
      </c>
      <c r="E195" t="s">
        <v>1121</v>
      </c>
      <c r="F195" t="s">
        <v>341</v>
      </c>
      <c r="G195" t="s">
        <v>771</v>
      </c>
      <c r="H195" t="s">
        <v>772</v>
      </c>
      <c r="I195" t="s">
        <v>773</v>
      </c>
    </row>
    <row r="196" spans="1:9">
      <c r="A196" t="s">
        <v>55</v>
      </c>
      <c r="B196">
        <v>23</v>
      </c>
      <c r="C196">
        <v>1</v>
      </c>
      <c r="D196">
        <v>0</v>
      </c>
      <c r="E196" t="s">
        <v>1122</v>
      </c>
      <c r="F196" t="s">
        <v>1123</v>
      </c>
      <c r="G196" t="s">
        <v>771</v>
      </c>
      <c r="H196" t="s">
        <v>772</v>
      </c>
      <c r="I196" t="s">
        <v>773</v>
      </c>
    </row>
    <row r="197" spans="1:9">
      <c r="A197" t="s">
        <v>55</v>
      </c>
      <c r="B197">
        <v>23</v>
      </c>
      <c r="C197">
        <v>1</v>
      </c>
      <c r="D197">
        <v>0</v>
      </c>
      <c r="E197" t="s">
        <v>1122</v>
      </c>
      <c r="F197" t="s">
        <v>1124</v>
      </c>
      <c r="G197" t="s">
        <v>771</v>
      </c>
      <c r="H197" t="s">
        <v>772</v>
      </c>
      <c r="I197" t="s">
        <v>773</v>
      </c>
    </row>
    <row r="198" spans="1:9">
      <c r="A198" t="s">
        <v>55</v>
      </c>
      <c r="B198">
        <v>23</v>
      </c>
      <c r="C198">
        <v>2</v>
      </c>
      <c r="D198">
        <v>0</v>
      </c>
      <c r="E198" t="s">
        <v>1125</v>
      </c>
      <c r="F198" t="s">
        <v>343</v>
      </c>
      <c r="G198" t="s">
        <v>771</v>
      </c>
      <c r="H198" t="s">
        <v>772</v>
      </c>
      <c r="I198" t="s">
        <v>773</v>
      </c>
    </row>
    <row r="199" spans="1:9">
      <c r="A199" t="s">
        <v>55</v>
      </c>
      <c r="B199">
        <v>23</v>
      </c>
      <c r="C199">
        <v>3</v>
      </c>
      <c r="D199">
        <v>0</v>
      </c>
      <c r="E199" t="s">
        <v>1126</v>
      </c>
      <c r="F199" t="s">
        <v>1127</v>
      </c>
      <c r="G199" t="s">
        <v>771</v>
      </c>
      <c r="H199" t="s">
        <v>772</v>
      </c>
      <c r="I199" t="s">
        <v>773</v>
      </c>
    </row>
    <row r="200" spans="1:9">
      <c r="A200" t="s">
        <v>55</v>
      </c>
      <c r="B200">
        <v>23</v>
      </c>
      <c r="C200">
        <v>3</v>
      </c>
      <c r="D200">
        <v>1</v>
      </c>
      <c r="E200" t="s">
        <v>1128</v>
      </c>
      <c r="F200" t="s">
        <v>345</v>
      </c>
      <c r="G200" t="s">
        <v>771</v>
      </c>
      <c r="H200" t="s">
        <v>772</v>
      </c>
      <c r="I200" t="s">
        <v>773</v>
      </c>
    </row>
    <row r="201" spans="1:9">
      <c r="A201" t="s">
        <v>55</v>
      </c>
      <c r="B201">
        <v>23</v>
      </c>
      <c r="C201">
        <v>3</v>
      </c>
      <c r="D201">
        <v>2</v>
      </c>
      <c r="E201" t="s">
        <v>1129</v>
      </c>
      <c r="F201" t="s">
        <v>346</v>
      </c>
      <c r="G201" t="s">
        <v>771</v>
      </c>
      <c r="H201" t="s">
        <v>772</v>
      </c>
      <c r="I201" t="s">
        <v>773</v>
      </c>
    </row>
    <row r="202" spans="1:9">
      <c r="A202" t="s">
        <v>55</v>
      </c>
      <c r="B202">
        <v>23</v>
      </c>
      <c r="C202">
        <v>3</v>
      </c>
      <c r="D202">
        <v>3</v>
      </c>
      <c r="E202" t="s">
        <v>1130</v>
      </c>
      <c r="F202" t="s">
        <v>347</v>
      </c>
      <c r="G202" t="s">
        <v>771</v>
      </c>
      <c r="H202" t="s">
        <v>772</v>
      </c>
      <c r="I202" t="s">
        <v>773</v>
      </c>
    </row>
    <row r="203" spans="1:9">
      <c r="A203" t="s">
        <v>55</v>
      </c>
      <c r="B203">
        <v>23</v>
      </c>
      <c r="C203">
        <v>3</v>
      </c>
      <c r="D203">
        <v>4</v>
      </c>
      <c r="E203" t="s">
        <v>1131</v>
      </c>
      <c r="F203" t="s">
        <v>348</v>
      </c>
      <c r="G203" t="s">
        <v>771</v>
      </c>
      <c r="H203" t="s">
        <v>772</v>
      </c>
      <c r="I203" t="s">
        <v>773</v>
      </c>
    </row>
    <row r="204" spans="1:9">
      <c r="A204" t="s">
        <v>55</v>
      </c>
      <c r="B204">
        <v>23</v>
      </c>
      <c r="C204">
        <v>3</v>
      </c>
      <c r="D204">
        <v>5</v>
      </c>
      <c r="E204" t="s">
        <v>1132</v>
      </c>
      <c r="F204" t="s">
        <v>349</v>
      </c>
      <c r="G204" t="s">
        <v>771</v>
      </c>
      <c r="H204" t="s">
        <v>772</v>
      </c>
      <c r="I204" t="s">
        <v>773</v>
      </c>
    </row>
    <row r="205" spans="1:9">
      <c r="A205" t="s">
        <v>55</v>
      </c>
      <c r="B205">
        <v>23</v>
      </c>
      <c r="C205">
        <v>4</v>
      </c>
      <c r="D205">
        <v>0</v>
      </c>
      <c r="E205" t="s">
        <v>1133</v>
      </c>
      <c r="F205" t="s">
        <v>1134</v>
      </c>
      <c r="G205" t="s">
        <v>771</v>
      </c>
      <c r="H205" t="s">
        <v>772</v>
      </c>
      <c r="I205" t="s">
        <v>773</v>
      </c>
    </row>
    <row r="206" spans="1:9">
      <c r="A206" t="s">
        <v>55</v>
      </c>
      <c r="B206">
        <v>23</v>
      </c>
      <c r="C206">
        <v>4</v>
      </c>
      <c r="D206">
        <v>1</v>
      </c>
      <c r="E206" t="s">
        <v>1135</v>
      </c>
      <c r="F206" t="s">
        <v>351</v>
      </c>
      <c r="G206" t="s">
        <v>771</v>
      </c>
      <c r="H206" t="s">
        <v>772</v>
      </c>
      <c r="I206" t="s">
        <v>773</v>
      </c>
    </row>
    <row r="207" spans="1:9">
      <c r="A207" t="s">
        <v>55</v>
      </c>
      <c r="B207">
        <v>23</v>
      </c>
      <c r="C207">
        <v>4</v>
      </c>
      <c r="D207">
        <v>2</v>
      </c>
      <c r="E207" t="s">
        <v>1136</v>
      </c>
      <c r="F207" t="s">
        <v>352</v>
      </c>
      <c r="G207" t="s">
        <v>771</v>
      </c>
      <c r="H207" t="s">
        <v>772</v>
      </c>
      <c r="I207" t="s">
        <v>773</v>
      </c>
    </row>
    <row r="208" spans="1:9">
      <c r="A208" t="s">
        <v>55</v>
      </c>
      <c r="B208">
        <v>23</v>
      </c>
      <c r="C208">
        <v>5</v>
      </c>
      <c r="D208">
        <v>0</v>
      </c>
      <c r="E208" t="s">
        <v>1137</v>
      </c>
      <c r="F208" t="s">
        <v>1138</v>
      </c>
      <c r="G208" t="s">
        <v>771</v>
      </c>
      <c r="H208" t="s">
        <v>772</v>
      </c>
      <c r="I208" t="s">
        <v>773</v>
      </c>
    </row>
    <row r="209" spans="1:9">
      <c r="A209" t="s">
        <v>55</v>
      </c>
      <c r="B209">
        <v>23</v>
      </c>
      <c r="C209">
        <v>5</v>
      </c>
      <c r="D209">
        <v>0</v>
      </c>
      <c r="E209" t="s">
        <v>1137</v>
      </c>
      <c r="F209" t="s">
        <v>1139</v>
      </c>
      <c r="G209" t="s">
        <v>771</v>
      </c>
      <c r="H209" t="s">
        <v>772</v>
      </c>
      <c r="I209" t="s">
        <v>773</v>
      </c>
    </row>
    <row r="210" spans="1:9">
      <c r="A210" t="s">
        <v>55</v>
      </c>
      <c r="B210">
        <v>23</v>
      </c>
      <c r="C210">
        <v>6</v>
      </c>
      <c r="D210">
        <v>0</v>
      </c>
      <c r="E210" t="s">
        <v>1140</v>
      </c>
      <c r="F210" t="s">
        <v>354</v>
      </c>
      <c r="G210" t="s">
        <v>771</v>
      </c>
      <c r="H210" t="s">
        <v>772</v>
      </c>
      <c r="I210" t="s">
        <v>773</v>
      </c>
    </row>
    <row r="211" spans="1:9">
      <c r="A211" t="s">
        <v>55</v>
      </c>
      <c r="B211">
        <v>23</v>
      </c>
      <c r="C211">
        <v>7</v>
      </c>
      <c r="D211">
        <v>0</v>
      </c>
      <c r="E211" t="s">
        <v>1141</v>
      </c>
      <c r="F211" t="s">
        <v>355</v>
      </c>
      <c r="G211" t="s">
        <v>771</v>
      </c>
      <c r="H211" t="s">
        <v>772</v>
      </c>
      <c r="I211" t="s">
        <v>773</v>
      </c>
    </row>
    <row r="212" spans="1:9">
      <c r="A212" t="s">
        <v>55</v>
      </c>
      <c r="B212">
        <v>23</v>
      </c>
      <c r="C212">
        <v>8</v>
      </c>
      <c r="D212">
        <v>0</v>
      </c>
      <c r="E212" t="s">
        <v>1142</v>
      </c>
      <c r="F212" t="s">
        <v>356</v>
      </c>
      <c r="G212" t="s">
        <v>771</v>
      </c>
      <c r="H212" t="s">
        <v>772</v>
      </c>
      <c r="I212" t="s">
        <v>773</v>
      </c>
    </row>
    <row r="213" spans="1:9">
      <c r="A213" t="s">
        <v>55</v>
      </c>
      <c r="B213">
        <v>24</v>
      </c>
      <c r="C213">
        <v>0</v>
      </c>
      <c r="D213">
        <v>0</v>
      </c>
      <c r="E213" t="s">
        <v>1143</v>
      </c>
      <c r="F213" t="s">
        <v>357</v>
      </c>
      <c r="G213" t="s">
        <v>771</v>
      </c>
      <c r="H213" t="s">
        <v>772</v>
      </c>
      <c r="I213" t="s">
        <v>773</v>
      </c>
    </row>
    <row r="214" spans="1:9">
      <c r="A214" t="s">
        <v>55</v>
      </c>
      <c r="B214">
        <v>24</v>
      </c>
      <c r="C214">
        <v>1</v>
      </c>
      <c r="D214">
        <v>0</v>
      </c>
      <c r="E214" t="s">
        <v>1144</v>
      </c>
      <c r="F214" t="s">
        <v>1145</v>
      </c>
      <c r="G214" t="s">
        <v>771</v>
      </c>
      <c r="H214" t="s">
        <v>772</v>
      </c>
      <c r="I214" t="s">
        <v>773</v>
      </c>
    </row>
    <row r="215" spans="1:9">
      <c r="A215" t="s">
        <v>55</v>
      </c>
      <c r="B215">
        <v>24</v>
      </c>
      <c r="C215">
        <v>1</v>
      </c>
      <c r="D215">
        <v>0</v>
      </c>
      <c r="E215" t="s">
        <v>1144</v>
      </c>
      <c r="F215" t="s">
        <v>1146</v>
      </c>
      <c r="G215" t="s">
        <v>771</v>
      </c>
      <c r="H215" t="s">
        <v>772</v>
      </c>
      <c r="I215" t="s">
        <v>773</v>
      </c>
    </row>
    <row r="216" spans="1:9">
      <c r="A216" t="s">
        <v>55</v>
      </c>
      <c r="B216">
        <v>24</v>
      </c>
      <c r="C216">
        <v>1</v>
      </c>
      <c r="D216">
        <v>1</v>
      </c>
      <c r="E216" t="s">
        <v>1147</v>
      </c>
      <c r="F216" t="s">
        <v>359</v>
      </c>
      <c r="G216" t="s">
        <v>771</v>
      </c>
      <c r="H216" t="s">
        <v>772</v>
      </c>
      <c r="I216" t="s">
        <v>773</v>
      </c>
    </row>
    <row r="217" spans="1:9">
      <c r="A217" t="s">
        <v>55</v>
      </c>
      <c r="B217">
        <v>24</v>
      </c>
      <c r="C217">
        <v>1</v>
      </c>
      <c r="D217">
        <v>2</v>
      </c>
      <c r="E217" t="s">
        <v>1148</v>
      </c>
      <c r="F217" t="s">
        <v>360</v>
      </c>
      <c r="G217" t="s">
        <v>771</v>
      </c>
      <c r="H217" t="s">
        <v>772</v>
      </c>
      <c r="I217" t="s">
        <v>773</v>
      </c>
    </row>
    <row r="218" spans="1:9">
      <c r="A218" t="s">
        <v>55</v>
      </c>
      <c r="B218">
        <v>24</v>
      </c>
      <c r="C218">
        <v>1</v>
      </c>
      <c r="D218">
        <v>3</v>
      </c>
      <c r="E218" t="s">
        <v>1149</v>
      </c>
      <c r="F218" t="s">
        <v>361</v>
      </c>
      <c r="G218" t="s">
        <v>771</v>
      </c>
      <c r="H218" t="s">
        <v>772</v>
      </c>
      <c r="I218" t="s">
        <v>773</v>
      </c>
    </row>
    <row r="219" spans="1:9">
      <c r="A219" t="s">
        <v>55</v>
      </c>
      <c r="B219">
        <v>24</v>
      </c>
      <c r="C219">
        <v>1</v>
      </c>
      <c r="D219">
        <v>4</v>
      </c>
      <c r="E219" t="s">
        <v>1150</v>
      </c>
      <c r="F219" t="s">
        <v>362</v>
      </c>
      <c r="G219" t="s">
        <v>771</v>
      </c>
      <c r="H219" t="s">
        <v>772</v>
      </c>
      <c r="I219" t="s">
        <v>773</v>
      </c>
    </row>
    <row r="220" spans="1:9">
      <c r="A220" t="s">
        <v>55</v>
      </c>
      <c r="B220">
        <v>24</v>
      </c>
      <c r="C220">
        <v>1</v>
      </c>
      <c r="D220">
        <v>5</v>
      </c>
      <c r="E220" t="s">
        <v>1151</v>
      </c>
      <c r="F220" t="s">
        <v>363</v>
      </c>
      <c r="G220" t="s">
        <v>771</v>
      </c>
      <c r="H220" t="s">
        <v>772</v>
      </c>
      <c r="I220" t="s">
        <v>773</v>
      </c>
    </row>
    <row r="221" spans="1:9">
      <c r="A221" t="s">
        <v>55</v>
      </c>
      <c r="B221">
        <v>24</v>
      </c>
      <c r="C221">
        <v>1</v>
      </c>
      <c r="D221">
        <v>6</v>
      </c>
      <c r="E221" t="s">
        <v>1152</v>
      </c>
      <c r="F221" t="s">
        <v>364</v>
      </c>
      <c r="G221" t="s">
        <v>771</v>
      </c>
      <c r="H221" t="s">
        <v>772</v>
      </c>
      <c r="I221" t="s">
        <v>773</v>
      </c>
    </row>
    <row r="222" spans="1:9">
      <c r="A222" t="s">
        <v>55</v>
      </c>
      <c r="B222">
        <v>24</v>
      </c>
      <c r="C222">
        <v>1</v>
      </c>
      <c r="D222">
        <v>7</v>
      </c>
      <c r="E222" t="s">
        <v>1153</v>
      </c>
      <c r="F222" t="s">
        <v>365</v>
      </c>
      <c r="G222" t="s">
        <v>771</v>
      </c>
      <c r="H222" t="s">
        <v>772</v>
      </c>
      <c r="I222" t="s">
        <v>773</v>
      </c>
    </row>
    <row r="223" spans="1:9">
      <c r="A223" t="s">
        <v>55</v>
      </c>
      <c r="B223">
        <v>24</v>
      </c>
      <c r="C223">
        <v>2</v>
      </c>
      <c r="D223">
        <v>0</v>
      </c>
      <c r="E223" t="s">
        <v>1154</v>
      </c>
      <c r="F223" t="s">
        <v>366</v>
      </c>
      <c r="G223" t="s">
        <v>771</v>
      </c>
      <c r="H223" t="s">
        <v>772</v>
      </c>
      <c r="I223" t="s">
        <v>773</v>
      </c>
    </row>
    <row r="224" spans="1:9">
      <c r="A224" t="s">
        <v>55</v>
      </c>
      <c r="B224">
        <v>24</v>
      </c>
      <c r="C224">
        <v>3</v>
      </c>
      <c r="D224">
        <v>0</v>
      </c>
      <c r="E224" t="s">
        <v>1155</v>
      </c>
      <c r="F224" t="s">
        <v>367</v>
      </c>
      <c r="G224" t="s">
        <v>771</v>
      </c>
      <c r="H224" t="s">
        <v>772</v>
      </c>
      <c r="I224" t="s">
        <v>773</v>
      </c>
    </row>
    <row r="225" spans="1:9">
      <c r="A225" t="s">
        <v>55</v>
      </c>
      <c r="B225">
        <v>25</v>
      </c>
      <c r="C225">
        <v>0</v>
      </c>
      <c r="D225">
        <v>0</v>
      </c>
      <c r="E225" t="s">
        <v>1156</v>
      </c>
      <c r="F225" t="s">
        <v>368</v>
      </c>
      <c r="G225" t="s">
        <v>771</v>
      </c>
      <c r="H225" t="s">
        <v>772</v>
      </c>
      <c r="I225" t="s">
        <v>773</v>
      </c>
    </row>
    <row r="226" spans="1:9">
      <c r="A226" t="s">
        <v>55</v>
      </c>
      <c r="B226">
        <v>25</v>
      </c>
      <c r="C226">
        <v>1</v>
      </c>
      <c r="D226">
        <v>0</v>
      </c>
      <c r="E226" t="s">
        <v>1157</v>
      </c>
      <c r="F226" t="s">
        <v>1158</v>
      </c>
      <c r="G226" t="s">
        <v>771</v>
      </c>
      <c r="H226" t="s">
        <v>772</v>
      </c>
      <c r="I226" t="s">
        <v>773</v>
      </c>
    </row>
    <row r="227" spans="1:9">
      <c r="A227" t="s">
        <v>55</v>
      </c>
      <c r="B227">
        <v>25</v>
      </c>
      <c r="C227">
        <v>1</v>
      </c>
      <c r="D227">
        <v>1</v>
      </c>
      <c r="E227" t="s">
        <v>1159</v>
      </c>
      <c r="F227" t="s">
        <v>370</v>
      </c>
      <c r="G227" t="s">
        <v>771</v>
      </c>
      <c r="H227" t="s">
        <v>772</v>
      </c>
      <c r="I227" t="s">
        <v>773</v>
      </c>
    </row>
    <row r="228" spans="1:9">
      <c r="A228" t="s">
        <v>55</v>
      </c>
      <c r="B228">
        <v>25</v>
      </c>
      <c r="C228">
        <v>1</v>
      </c>
      <c r="D228">
        <v>2</v>
      </c>
      <c r="E228" t="s">
        <v>1160</v>
      </c>
      <c r="F228" t="s">
        <v>371</v>
      </c>
      <c r="G228" t="s">
        <v>771</v>
      </c>
      <c r="H228" t="s">
        <v>772</v>
      </c>
      <c r="I228" t="s">
        <v>773</v>
      </c>
    </row>
    <row r="229" spans="1:9">
      <c r="A229" t="s">
        <v>55</v>
      </c>
      <c r="B229">
        <v>25</v>
      </c>
      <c r="C229">
        <v>2</v>
      </c>
      <c r="D229">
        <v>0</v>
      </c>
      <c r="E229" t="s">
        <v>1161</v>
      </c>
      <c r="F229" t="s">
        <v>372</v>
      </c>
      <c r="G229" t="s">
        <v>771</v>
      </c>
      <c r="H229" t="s">
        <v>772</v>
      </c>
      <c r="I229" t="s">
        <v>773</v>
      </c>
    </row>
    <row r="230" spans="1:9">
      <c r="A230" t="s">
        <v>55</v>
      </c>
      <c r="B230">
        <v>26</v>
      </c>
      <c r="C230">
        <v>0</v>
      </c>
      <c r="D230">
        <v>0</v>
      </c>
      <c r="E230" t="s">
        <v>1162</v>
      </c>
      <c r="F230" t="s">
        <v>373</v>
      </c>
      <c r="G230" t="s">
        <v>771</v>
      </c>
      <c r="H230" t="s">
        <v>772</v>
      </c>
      <c r="I230" t="s">
        <v>773</v>
      </c>
    </row>
    <row r="231" spans="1:9">
      <c r="A231" t="s">
        <v>55</v>
      </c>
      <c r="B231">
        <v>26</v>
      </c>
      <c r="C231">
        <v>1</v>
      </c>
      <c r="D231">
        <v>0</v>
      </c>
      <c r="E231" t="s">
        <v>1163</v>
      </c>
      <c r="F231" t="s">
        <v>374</v>
      </c>
      <c r="G231" t="s">
        <v>771</v>
      </c>
      <c r="H231" t="s">
        <v>772</v>
      </c>
      <c r="I231" t="s">
        <v>773</v>
      </c>
    </row>
    <row r="232" spans="1:9">
      <c r="A232" t="s">
        <v>55</v>
      </c>
      <c r="B232">
        <v>26</v>
      </c>
      <c r="C232">
        <v>2</v>
      </c>
      <c r="D232">
        <v>0</v>
      </c>
      <c r="E232" t="s">
        <v>1164</v>
      </c>
      <c r="F232" t="s">
        <v>375</v>
      </c>
      <c r="G232" t="s">
        <v>771</v>
      </c>
      <c r="H232" t="s">
        <v>772</v>
      </c>
      <c r="I232" t="s">
        <v>773</v>
      </c>
    </row>
    <row r="233" spans="1:9">
      <c r="A233" t="s">
        <v>55</v>
      </c>
      <c r="B233">
        <v>26</v>
      </c>
      <c r="C233">
        <v>3</v>
      </c>
      <c r="D233">
        <v>0</v>
      </c>
      <c r="E233" t="s">
        <v>1165</v>
      </c>
      <c r="F233" t="s">
        <v>376</v>
      </c>
      <c r="G233" t="s">
        <v>771</v>
      </c>
      <c r="H233" t="s">
        <v>772</v>
      </c>
      <c r="I233" t="s">
        <v>773</v>
      </c>
    </row>
    <row r="234" spans="1:9">
      <c r="A234" t="s">
        <v>55</v>
      </c>
      <c r="B234">
        <v>26</v>
      </c>
      <c r="C234">
        <v>4</v>
      </c>
      <c r="D234">
        <v>0</v>
      </c>
      <c r="E234" t="s">
        <v>1166</v>
      </c>
      <c r="F234" t="s">
        <v>377</v>
      </c>
      <c r="G234" t="s">
        <v>771</v>
      </c>
      <c r="H234" t="s">
        <v>772</v>
      </c>
      <c r="I234" t="s">
        <v>773</v>
      </c>
    </row>
    <row r="235" spans="1:9">
      <c r="A235" t="s">
        <v>55</v>
      </c>
      <c r="B235">
        <v>26</v>
      </c>
      <c r="C235">
        <v>5</v>
      </c>
      <c r="D235">
        <v>0</v>
      </c>
      <c r="E235" t="s">
        <v>1167</v>
      </c>
      <c r="F235" t="s">
        <v>378</v>
      </c>
      <c r="G235" t="s">
        <v>771</v>
      </c>
      <c r="H235" t="s">
        <v>772</v>
      </c>
      <c r="I235" t="s">
        <v>773</v>
      </c>
    </row>
    <row r="236" spans="1:9">
      <c r="A236" t="s">
        <v>55</v>
      </c>
      <c r="B236">
        <v>26</v>
      </c>
      <c r="C236">
        <v>6</v>
      </c>
      <c r="D236">
        <v>0</v>
      </c>
      <c r="E236" t="s">
        <v>1168</v>
      </c>
      <c r="F236" t="s">
        <v>379</v>
      </c>
      <c r="G236" t="s">
        <v>771</v>
      </c>
      <c r="H236" t="s">
        <v>772</v>
      </c>
      <c r="I236" t="s">
        <v>773</v>
      </c>
    </row>
    <row r="237" spans="1:9">
      <c r="A237" t="s">
        <v>83</v>
      </c>
      <c r="B237">
        <v>0</v>
      </c>
      <c r="C237">
        <v>0</v>
      </c>
      <c r="D237">
        <v>0</v>
      </c>
      <c r="E237" t="s">
        <v>1169</v>
      </c>
      <c r="F237" t="s">
        <v>380</v>
      </c>
      <c r="G237" t="s">
        <v>754</v>
      </c>
      <c r="H237" t="s">
        <v>755</v>
      </c>
      <c r="I237" t="s">
        <v>756</v>
      </c>
    </row>
    <row r="238" spans="1:9">
      <c r="A238" t="s">
        <v>83</v>
      </c>
      <c r="B238">
        <v>1</v>
      </c>
      <c r="C238">
        <v>0</v>
      </c>
      <c r="D238">
        <v>0</v>
      </c>
      <c r="E238" t="s">
        <v>1170</v>
      </c>
      <c r="F238" t="s">
        <v>381</v>
      </c>
      <c r="G238" t="s">
        <v>754</v>
      </c>
      <c r="H238" t="s">
        <v>755</v>
      </c>
      <c r="I238" t="s">
        <v>756</v>
      </c>
    </row>
    <row r="239" spans="1:9">
      <c r="A239" t="s">
        <v>83</v>
      </c>
      <c r="B239">
        <v>1</v>
      </c>
      <c r="C239">
        <v>1</v>
      </c>
      <c r="D239">
        <v>0</v>
      </c>
      <c r="E239" t="s">
        <v>1171</v>
      </c>
      <c r="F239" t="s">
        <v>382</v>
      </c>
      <c r="G239" t="s">
        <v>754</v>
      </c>
      <c r="H239" t="s">
        <v>755</v>
      </c>
      <c r="I239" t="s">
        <v>756</v>
      </c>
    </row>
    <row r="240" spans="1:9">
      <c r="A240" t="s">
        <v>83</v>
      </c>
      <c r="B240">
        <v>1</v>
      </c>
      <c r="C240">
        <v>2</v>
      </c>
      <c r="D240">
        <v>0</v>
      </c>
      <c r="E240" t="s">
        <v>1172</v>
      </c>
      <c r="F240" t="s">
        <v>383</v>
      </c>
      <c r="G240" t="s">
        <v>754</v>
      </c>
      <c r="H240" t="s">
        <v>755</v>
      </c>
      <c r="I240" t="s">
        <v>756</v>
      </c>
    </row>
    <row r="241" spans="1:9">
      <c r="A241" t="s">
        <v>83</v>
      </c>
      <c r="B241">
        <v>1</v>
      </c>
      <c r="C241">
        <v>3</v>
      </c>
      <c r="D241">
        <v>0</v>
      </c>
      <c r="E241" t="s">
        <v>1173</v>
      </c>
      <c r="F241" t="s">
        <v>384</v>
      </c>
      <c r="G241" t="s">
        <v>754</v>
      </c>
      <c r="H241" t="s">
        <v>755</v>
      </c>
      <c r="I241" t="s">
        <v>756</v>
      </c>
    </row>
    <row r="242" spans="1:9">
      <c r="A242" t="s">
        <v>83</v>
      </c>
      <c r="B242">
        <v>1</v>
      </c>
      <c r="C242">
        <v>4</v>
      </c>
      <c r="D242">
        <v>0</v>
      </c>
      <c r="E242" t="s">
        <v>1174</v>
      </c>
      <c r="F242" t="s">
        <v>385</v>
      </c>
      <c r="G242" t="s">
        <v>754</v>
      </c>
      <c r="H242" t="s">
        <v>755</v>
      </c>
      <c r="I242" t="s">
        <v>756</v>
      </c>
    </row>
    <row r="243" spans="1:9">
      <c r="A243" t="s">
        <v>83</v>
      </c>
      <c r="B243">
        <v>2</v>
      </c>
      <c r="C243">
        <v>0</v>
      </c>
      <c r="D243">
        <v>0</v>
      </c>
      <c r="E243" t="s">
        <v>1175</v>
      </c>
      <c r="F243" t="s">
        <v>386</v>
      </c>
      <c r="G243" t="s">
        <v>754</v>
      </c>
      <c r="H243" t="s">
        <v>755</v>
      </c>
      <c r="I243" t="s">
        <v>756</v>
      </c>
    </row>
    <row r="244" spans="1:9">
      <c r="A244" t="s">
        <v>83</v>
      </c>
      <c r="B244">
        <v>2</v>
      </c>
      <c r="C244">
        <v>1</v>
      </c>
      <c r="D244">
        <v>0</v>
      </c>
      <c r="E244" t="s">
        <v>1176</v>
      </c>
      <c r="F244" t="s">
        <v>387</v>
      </c>
      <c r="G244" t="s">
        <v>754</v>
      </c>
      <c r="H244" t="s">
        <v>755</v>
      </c>
      <c r="I244" t="s">
        <v>756</v>
      </c>
    </row>
    <row r="245" spans="1:9">
      <c r="A245" t="s">
        <v>83</v>
      </c>
      <c r="B245">
        <v>2</v>
      </c>
      <c r="C245">
        <v>1</v>
      </c>
      <c r="D245">
        <v>1</v>
      </c>
      <c r="E245" t="s">
        <v>1177</v>
      </c>
      <c r="F245" t="s">
        <v>388</v>
      </c>
      <c r="G245" t="s">
        <v>754</v>
      </c>
      <c r="H245" t="s">
        <v>755</v>
      </c>
      <c r="I245" t="s">
        <v>756</v>
      </c>
    </row>
    <row r="246" spans="1:9">
      <c r="A246" t="s">
        <v>83</v>
      </c>
      <c r="B246">
        <v>2</v>
      </c>
      <c r="C246">
        <v>1</v>
      </c>
      <c r="D246">
        <v>2</v>
      </c>
      <c r="E246" t="s">
        <v>1178</v>
      </c>
      <c r="F246" t="s">
        <v>389</v>
      </c>
      <c r="G246" t="s">
        <v>754</v>
      </c>
      <c r="H246" t="s">
        <v>755</v>
      </c>
      <c r="I246" t="s">
        <v>756</v>
      </c>
    </row>
    <row r="247" spans="1:9">
      <c r="A247" t="s">
        <v>83</v>
      </c>
      <c r="B247">
        <v>2</v>
      </c>
      <c r="C247">
        <v>1</v>
      </c>
      <c r="D247">
        <v>3</v>
      </c>
      <c r="E247" t="s">
        <v>1179</v>
      </c>
      <c r="F247" t="s">
        <v>390</v>
      </c>
      <c r="G247" t="s">
        <v>754</v>
      </c>
      <c r="H247" t="s">
        <v>755</v>
      </c>
      <c r="I247" t="s">
        <v>756</v>
      </c>
    </row>
    <row r="248" spans="1:9">
      <c r="A248" t="s">
        <v>83</v>
      </c>
      <c r="B248">
        <v>2</v>
      </c>
      <c r="C248">
        <v>1</v>
      </c>
      <c r="D248">
        <v>4</v>
      </c>
      <c r="E248" t="s">
        <v>1180</v>
      </c>
      <c r="F248" t="s">
        <v>391</v>
      </c>
      <c r="G248" t="s">
        <v>754</v>
      </c>
      <c r="H248" t="s">
        <v>755</v>
      </c>
      <c r="I248" t="s">
        <v>756</v>
      </c>
    </row>
    <row r="249" spans="1:9">
      <c r="A249" t="s">
        <v>83</v>
      </c>
      <c r="B249">
        <v>2</v>
      </c>
      <c r="C249">
        <v>1</v>
      </c>
      <c r="D249">
        <v>5</v>
      </c>
      <c r="E249" t="s">
        <v>1181</v>
      </c>
      <c r="F249" t="s">
        <v>392</v>
      </c>
      <c r="G249" t="s">
        <v>754</v>
      </c>
      <c r="H249" t="s">
        <v>755</v>
      </c>
      <c r="I249" t="s">
        <v>756</v>
      </c>
    </row>
    <row r="250" spans="1:9">
      <c r="A250" t="s">
        <v>83</v>
      </c>
      <c r="B250">
        <v>2</v>
      </c>
      <c r="C250">
        <v>1</v>
      </c>
      <c r="D250">
        <v>6</v>
      </c>
      <c r="E250" t="s">
        <v>1182</v>
      </c>
      <c r="F250" t="s">
        <v>393</v>
      </c>
      <c r="G250" t="s">
        <v>754</v>
      </c>
      <c r="H250" t="s">
        <v>755</v>
      </c>
      <c r="I250" t="s">
        <v>756</v>
      </c>
    </row>
    <row r="251" spans="1:9">
      <c r="A251" t="s">
        <v>83</v>
      </c>
      <c r="B251">
        <v>2</v>
      </c>
      <c r="C251">
        <v>1</v>
      </c>
      <c r="D251">
        <v>7</v>
      </c>
      <c r="E251" t="s">
        <v>1183</v>
      </c>
      <c r="F251" t="s">
        <v>394</v>
      </c>
      <c r="G251" t="s">
        <v>754</v>
      </c>
      <c r="H251" t="s">
        <v>755</v>
      </c>
      <c r="I251" t="s">
        <v>756</v>
      </c>
    </row>
    <row r="252" spans="1:9">
      <c r="A252" t="s">
        <v>83</v>
      </c>
      <c r="B252">
        <v>2</v>
      </c>
      <c r="C252">
        <v>1</v>
      </c>
      <c r="D252">
        <v>8</v>
      </c>
      <c r="E252" t="s">
        <v>1184</v>
      </c>
      <c r="F252" t="s">
        <v>395</v>
      </c>
      <c r="G252" t="s">
        <v>754</v>
      </c>
      <c r="H252" t="s">
        <v>755</v>
      </c>
      <c r="I252" t="s">
        <v>756</v>
      </c>
    </row>
    <row r="253" spans="1:9">
      <c r="A253" t="s">
        <v>83</v>
      </c>
      <c r="B253">
        <v>2</v>
      </c>
      <c r="C253">
        <v>1</v>
      </c>
      <c r="D253">
        <v>9</v>
      </c>
      <c r="E253" t="s">
        <v>1185</v>
      </c>
      <c r="F253" t="s">
        <v>396</v>
      </c>
      <c r="G253" t="s">
        <v>754</v>
      </c>
      <c r="H253" t="s">
        <v>755</v>
      </c>
      <c r="I253" t="s">
        <v>756</v>
      </c>
    </row>
    <row r="254" spans="1:9">
      <c r="A254" t="s">
        <v>83</v>
      </c>
      <c r="B254">
        <v>2</v>
      </c>
      <c r="C254">
        <v>1</v>
      </c>
      <c r="D254">
        <v>10</v>
      </c>
      <c r="E254" t="s">
        <v>1186</v>
      </c>
      <c r="F254" t="s">
        <v>397</v>
      </c>
      <c r="G254" t="s">
        <v>754</v>
      </c>
      <c r="H254" t="s">
        <v>755</v>
      </c>
      <c r="I254" t="s">
        <v>756</v>
      </c>
    </row>
    <row r="255" spans="1:9">
      <c r="A255" t="s">
        <v>83</v>
      </c>
      <c r="B255">
        <v>2</v>
      </c>
      <c r="C255">
        <v>1</v>
      </c>
      <c r="D255">
        <v>11</v>
      </c>
      <c r="E255" t="s">
        <v>1187</v>
      </c>
      <c r="F255" t="s">
        <v>398</v>
      </c>
      <c r="G255" t="s">
        <v>754</v>
      </c>
      <c r="H255" t="s">
        <v>755</v>
      </c>
      <c r="I255" t="s">
        <v>756</v>
      </c>
    </row>
    <row r="256" spans="1:9">
      <c r="A256" t="s">
        <v>83</v>
      </c>
      <c r="B256">
        <v>2</v>
      </c>
      <c r="C256">
        <v>2</v>
      </c>
      <c r="D256">
        <v>0</v>
      </c>
      <c r="E256" t="s">
        <v>1188</v>
      </c>
      <c r="F256" t="s">
        <v>399</v>
      </c>
      <c r="G256" t="s">
        <v>754</v>
      </c>
      <c r="H256" t="s">
        <v>755</v>
      </c>
      <c r="I256" t="s">
        <v>756</v>
      </c>
    </row>
    <row r="257" spans="1:9">
      <c r="A257" t="s">
        <v>83</v>
      </c>
      <c r="B257">
        <v>2</v>
      </c>
      <c r="C257">
        <v>3</v>
      </c>
      <c r="D257">
        <v>0</v>
      </c>
      <c r="E257" t="s">
        <v>1189</v>
      </c>
      <c r="F257" t="s">
        <v>400</v>
      </c>
      <c r="G257" t="s">
        <v>754</v>
      </c>
      <c r="H257" t="s">
        <v>755</v>
      </c>
      <c r="I257" t="s">
        <v>756</v>
      </c>
    </row>
    <row r="258" spans="1:9">
      <c r="A258" t="s">
        <v>83</v>
      </c>
      <c r="B258">
        <v>3</v>
      </c>
      <c r="C258">
        <v>0</v>
      </c>
      <c r="D258">
        <v>0</v>
      </c>
      <c r="E258" t="s">
        <v>753</v>
      </c>
      <c r="F258" t="s">
        <v>401</v>
      </c>
      <c r="G258" t="s">
        <v>754</v>
      </c>
      <c r="H258" t="s">
        <v>755</v>
      </c>
      <c r="I258" t="s">
        <v>756</v>
      </c>
    </row>
    <row r="259" spans="1:9">
      <c r="A259" t="s">
        <v>83</v>
      </c>
      <c r="B259">
        <v>3</v>
      </c>
      <c r="C259">
        <v>1</v>
      </c>
      <c r="D259">
        <v>0</v>
      </c>
      <c r="E259" t="s">
        <v>1190</v>
      </c>
      <c r="F259" t="s">
        <v>402</v>
      </c>
      <c r="G259" t="s">
        <v>754</v>
      </c>
      <c r="H259" t="s">
        <v>755</v>
      </c>
      <c r="I259" t="s">
        <v>756</v>
      </c>
    </row>
    <row r="260" spans="1:9">
      <c r="A260" t="s">
        <v>83</v>
      </c>
      <c r="B260">
        <v>3</v>
      </c>
      <c r="C260">
        <v>2</v>
      </c>
      <c r="D260">
        <v>0</v>
      </c>
      <c r="E260" t="s">
        <v>1191</v>
      </c>
      <c r="F260" t="s">
        <v>403</v>
      </c>
      <c r="G260" t="s">
        <v>754</v>
      </c>
      <c r="H260" t="s">
        <v>755</v>
      </c>
      <c r="I260" t="s">
        <v>756</v>
      </c>
    </row>
    <row r="261" spans="1:9">
      <c r="A261" t="s">
        <v>83</v>
      </c>
      <c r="B261">
        <v>3</v>
      </c>
      <c r="C261">
        <v>3</v>
      </c>
      <c r="D261">
        <v>0</v>
      </c>
      <c r="E261" t="s">
        <v>1192</v>
      </c>
      <c r="F261" t="s">
        <v>404</v>
      </c>
      <c r="G261" t="s">
        <v>754</v>
      </c>
      <c r="H261" t="s">
        <v>755</v>
      </c>
      <c r="I261" t="s">
        <v>756</v>
      </c>
    </row>
    <row r="262" spans="1:9">
      <c r="A262" t="s">
        <v>83</v>
      </c>
      <c r="B262">
        <v>3</v>
      </c>
      <c r="C262">
        <v>4</v>
      </c>
      <c r="D262">
        <v>0</v>
      </c>
      <c r="E262" t="s">
        <v>1193</v>
      </c>
      <c r="F262" t="s">
        <v>405</v>
      </c>
      <c r="G262" t="s">
        <v>754</v>
      </c>
      <c r="H262" t="s">
        <v>755</v>
      </c>
      <c r="I262" t="s">
        <v>756</v>
      </c>
    </row>
    <row r="263" spans="1:9">
      <c r="A263" t="s">
        <v>83</v>
      </c>
      <c r="B263">
        <v>4</v>
      </c>
      <c r="C263">
        <v>0</v>
      </c>
      <c r="D263">
        <v>0</v>
      </c>
      <c r="E263" t="s">
        <v>1194</v>
      </c>
      <c r="F263" t="s">
        <v>406</v>
      </c>
      <c r="G263" t="s">
        <v>754</v>
      </c>
      <c r="H263" t="s">
        <v>755</v>
      </c>
      <c r="I263" t="s">
        <v>756</v>
      </c>
    </row>
    <row r="264" spans="1:9">
      <c r="A264" t="s">
        <v>83</v>
      </c>
      <c r="B264">
        <v>4</v>
      </c>
      <c r="C264">
        <v>1</v>
      </c>
      <c r="D264">
        <v>0</v>
      </c>
      <c r="E264" t="s">
        <v>1195</v>
      </c>
      <c r="F264" t="s">
        <v>407</v>
      </c>
      <c r="G264" t="s">
        <v>754</v>
      </c>
      <c r="H264" t="s">
        <v>755</v>
      </c>
      <c r="I264" t="s">
        <v>756</v>
      </c>
    </row>
    <row r="265" spans="1:9">
      <c r="A265" t="s">
        <v>83</v>
      </c>
      <c r="B265">
        <v>4</v>
      </c>
      <c r="C265">
        <v>1</v>
      </c>
      <c r="D265">
        <v>1</v>
      </c>
      <c r="E265" t="s">
        <v>1196</v>
      </c>
      <c r="F265" t="s">
        <v>408</v>
      </c>
      <c r="G265" t="s">
        <v>754</v>
      </c>
      <c r="H265" t="s">
        <v>755</v>
      </c>
      <c r="I265" t="s">
        <v>756</v>
      </c>
    </row>
    <row r="266" spans="1:9">
      <c r="A266" t="s">
        <v>83</v>
      </c>
      <c r="B266">
        <v>4</v>
      </c>
      <c r="C266">
        <v>1</v>
      </c>
      <c r="D266">
        <v>2</v>
      </c>
      <c r="E266" t="s">
        <v>1197</v>
      </c>
      <c r="F266" t="s">
        <v>409</v>
      </c>
      <c r="G266" t="s">
        <v>754</v>
      </c>
      <c r="H266" t="s">
        <v>755</v>
      </c>
      <c r="I266" t="s">
        <v>756</v>
      </c>
    </row>
    <row r="267" spans="1:9">
      <c r="A267" t="s">
        <v>83</v>
      </c>
      <c r="B267">
        <v>4</v>
      </c>
      <c r="C267">
        <v>1</v>
      </c>
      <c r="D267">
        <v>3</v>
      </c>
      <c r="E267" t="s">
        <v>1198</v>
      </c>
      <c r="F267" t="s">
        <v>410</v>
      </c>
      <c r="G267" t="s">
        <v>754</v>
      </c>
      <c r="H267" t="s">
        <v>755</v>
      </c>
      <c r="I267" t="s">
        <v>756</v>
      </c>
    </row>
    <row r="268" spans="1:9">
      <c r="A268" t="s">
        <v>83</v>
      </c>
      <c r="B268">
        <v>4</v>
      </c>
      <c r="C268">
        <v>1</v>
      </c>
      <c r="D268">
        <v>4</v>
      </c>
      <c r="E268" t="s">
        <v>1199</v>
      </c>
      <c r="F268" t="s">
        <v>411</v>
      </c>
      <c r="G268" t="s">
        <v>754</v>
      </c>
      <c r="H268" t="s">
        <v>755</v>
      </c>
      <c r="I268" t="s">
        <v>756</v>
      </c>
    </row>
    <row r="269" spans="1:9">
      <c r="A269" t="s">
        <v>83</v>
      </c>
      <c r="B269">
        <v>4</v>
      </c>
      <c r="C269">
        <v>1</v>
      </c>
      <c r="D269">
        <v>5</v>
      </c>
      <c r="E269" t="s">
        <v>1200</v>
      </c>
      <c r="F269" t="s">
        <v>412</v>
      </c>
      <c r="G269" t="s">
        <v>754</v>
      </c>
      <c r="H269" t="s">
        <v>755</v>
      </c>
      <c r="I269" t="s">
        <v>756</v>
      </c>
    </row>
    <row r="270" spans="1:9">
      <c r="A270" t="s">
        <v>83</v>
      </c>
      <c r="B270">
        <v>4</v>
      </c>
      <c r="C270">
        <v>1</v>
      </c>
      <c r="D270">
        <v>6</v>
      </c>
      <c r="E270" t="s">
        <v>1201</v>
      </c>
      <c r="F270" t="s">
        <v>413</v>
      </c>
      <c r="G270" t="s">
        <v>754</v>
      </c>
      <c r="H270" t="s">
        <v>755</v>
      </c>
      <c r="I270" t="s">
        <v>756</v>
      </c>
    </row>
    <row r="271" spans="1:9">
      <c r="A271" t="s">
        <v>83</v>
      </c>
      <c r="B271">
        <v>4</v>
      </c>
      <c r="C271">
        <v>1</v>
      </c>
      <c r="D271">
        <v>7</v>
      </c>
      <c r="E271" t="s">
        <v>1202</v>
      </c>
      <c r="F271" t="s">
        <v>414</v>
      </c>
      <c r="G271" t="s">
        <v>754</v>
      </c>
      <c r="H271" t="s">
        <v>755</v>
      </c>
      <c r="I271" t="s">
        <v>756</v>
      </c>
    </row>
    <row r="272" spans="1:9">
      <c r="A272" t="s">
        <v>83</v>
      </c>
      <c r="B272">
        <v>4</v>
      </c>
      <c r="C272">
        <v>1</v>
      </c>
      <c r="D272">
        <v>8</v>
      </c>
      <c r="E272" t="s">
        <v>1203</v>
      </c>
      <c r="F272" t="s">
        <v>415</v>
      </c>
      <c r="G272" t="s">
        <v>754</v>
      </c>
      <c r="H272" t="s">
        <v>755</v>
      </c>
      <c r="I272" t="s">
        <v>756</v>
      </c>
    </row>
    <row r="273" spans="1:9">
      <c r="A273" t="s">
        <v>83</v>
      </c>
      <c r="B273">
        <v>4</v>
      </c>
      <c r="C273">
        <v>1</v>
      </c>
      <c r="D273">
        <v>9</v>
      </c>
      <c r="E273" t="s">
        <v>1204</v>
      </c>
      <c r="F273" t="s">
        <v>416</v>
      </c>
      <c r="G273" t="s">
        <v>754</v>
      </c>
      <c r="H273" t="s">
        <v>755</v>
      </c>
      <c r="I273" t="s">
        <v>756</v>
      </c>
    </row>
    <row r="274" spans="1:9">
      <c r="A274" t="s">
        <v>83</v>
      </c>
      <c r="B274">
        <v>4</v>
      </c>
      <c r="C274">
        <v>1</v>
      </c>
      <c r="D274">
        <v>10</v>
      </c>
      <c r="E274" t="s">
        <v>1205</v>
      </c>
      <c r="F274" t="s">
        <v>417</v>
      </c>
      <c r="G274" t="s">
        <v>754</v>
      </c>
      <c r="H274" t="s">
        <v>755</v>
      </c>
      <c r="I274" t="s">
        <v>756</v>
      </c>
    </row>
    <row r="275" spans="1:9">
      <c r="A275" t="s">
        <v>83</v>
      </c>
      <c r="B275">
        <v>4</v>
      </c>
      <c r="C275">
        <v>1</v>
      </c>
      <c r="D275">
        <v>11</v>
      </c>
      <c r="E275" t="s">
        <v>1206</v>
      </c>
      <c r="F275" t="s">
        <v>418</v>
      </c>
      <c r="G275" t="s">
        <v>754</v>
      </c>
      <c r="H275" t="s">
        <v>755</v>
      </c>
      <c r="I275" t="s">
        <v>756</v>
      </c>
    </row>
    <row r="276" spans="1:9">
      <c r="A276" t="s">
        <v>83</v>
      </c>
      <c r="B276">
        <v>4</v>
      </c>
      <c r="C276">
        <v>2</v>
      </c>
      <c r="D276">
        <v>0</v>
      </c>
      <c r="E276" t="s">
        <v>1207</v>
      </c>
      <c r="F276" t="s">
        <v>419</v>
      </c>
      <c r="G276" t="s">
        <v>754</v>
      </c>
      <c r="H276" t="s">
        <v>755</v>
      </c>
      <c r="I276" t="s">
        <v>756</v>
      </c>
    </row>
    <row r="277" spans="1:9">
      <c r="A277" t="s">
        <v>83</v>
      </c>
      <c r="B277">
        <v>4</v>
      </c>
      <c r="C277">
        <v>3</v>
      </c>
      <c r="D277">
        <v>0</v>
      </c>
      <c r="E277" t="s">
        <v>1208</v>
      </c>
      <c r="F277" t="s">
        <v>420</v>
      </c>
      <c r="G277" t="s">
        <v>754</v>
      </c>
      <c r="H277" t="s">
        <v>755</v>
      </c>
      <c r="I277" t="s">
        <v>756</v>
      </c>
    </row>
    <row r="278" spans="1:9">
      <c r="A278" t="s">
        <v>83</v>
      </c>
      <c r="B278">
        <v>4</v>
      </c>
      <c r="C278">
        <v>4</v>
      </c>
      <c r="D278">
        <v>0</v>
      </c>
      <c r="E278" t="s">
        <v>1209</v>
      </c>
      <c r="F278" t="s">
        <v>421</v>
      </c>
      <c r="G278" t="s">
        <v>754</v>
      </c>
      <c r="H278" t="s">
        <v>755</v>
      </c>
      <c r="I278" t="s">
        <v>756</v>
      </c>
    </row>
    <row r="279" spans="1:9">
      <c r="A279" t="s">
        <v>83</v>
      </c>
      <c r="B279">
        <v>4</v>
      </c>
      <c r="C279">
        <v>5</v>
      </c>
      <c r="D279">
        <v>0</v>
      </c>
      <c r="E279" t="s">
        <v>1210</v>
      </c>
      <c r="F279" t="s">
        <v>422</v>
      </c>
      <c r="G279" t="s">
        <v>754</v>
      </c>
      <c r="H279" t="s">
        <v>755</v>
      </c>
      <c r="I279" t="s">
        <v>756</v>
      </c>
    </row>
    <row r="280" spans="1:9">
      <c r="A280" t="s">
        <v>83</v>
      </c>
      <c r="B280">
        <v>4</v>
      </c>
      <c r="C280">
        <v>6</v>
      </c>
      <c r="D280">
        <v>0</v>
      </c>
      <c r="E280" t="s">
        <v>1211</v>
      </c>
      <c r="F280" t="s">
        <v>423</v>
      </c>
      <c r="G280" t="s">
        <v>754</v>
      </c>
      <c r="H280" t="s">
        <v>755</v>
      </c>
      <c r="I280" t="s">
        <v>756</v>
      </c>
    </row>
    <row r="281" spans="1:9">
      <c r="A281" t="s">
        <v>83</v>
      </c>
      <c r="B281">
        <v>4</v>
      </c>
      <c r="C281">
        <v>7</v>
      </c>
      <c r="D281">
        <v>0</v>
      </c>
      <c r="E281" t="s">
        <v>1212</v>
      </c>
      <c r="F281" t="s">
        <v>424</v>
      </c>
      <c r="G281" t="s">
        <v>754</v>
      </c>
      <c r="H281" t="s">
        <v>755</v>
      </c>
      <c r="I281" t="s">
        <v>756</v>
      </c>
    </row>
    <row r="282" spans="1:9">
      <c r="A282" t="s">
        <v>83</v>
      </c>
      <c r="B282">
        <v>4</v>
      </c>
      <c r="C282">
        <v>8</v>
      </c>
      <c r="D282">
        <v>0</v>
      </c>
      <c r="E282" t="s">
        <v>1213</v>
      </c>
      <c r="F282" t="s">
        <v>425</v>
      </c>
      <c r="G282" t="s">
        <v>754</v>
      </c>
      <c r="H282" t="s">
        <v>755</v>
      </c>
      <c r="I282" t="s">
        <v>756</v>
      </c>
    </row>
    <row r="283" spans="1:9">
      <c r="A283" t="s">
        <v>83</v>
      </c>
      <c r="B283">
        <v>5</v>
      </c>
      <c r="C283">
        <v>0</v>
      </c>
      <c r="D283">
        <v>0</v>
      </c>
      <c r="E283" t="s">
        <v>1214</v>
      </c>
      <c r="F283" t="s">
        <v>426</v>
      </c>
      <c r="G283" t="s">
        <v>754</v>
      </c>
      <c r="H283" t="s">
        <v>755</v>
      </c>
      <c r="I283" t="s">
        <v>756</v>
      </c>
    </row>
    <row r="284" spans="1:9">
      <c r="A284" t="s">
        <v>83</v>
      </c>
      <c r="B284">
        <v>5</v>
      </c>
      <c r="C284">
        <v>1</v>
      </c>
      <c r="D284">
        <v>0</v>
      </c>
      <c r="E284" t="s">
        <v>1215</v>
      </c>
      <c r="F284" t="s">
        <v>427</v>
      </c>
      <c r="G284" t="s">
        <v>754</v>
      </c>
      <c r="H284" t="s">
        <v>755</v>
      </c>
      <c r="I284" t="s">
        <v>756</v>
      </c>
    </row>
    <row r="285" spans="1:9">
      <c r="A285" t="s">
        <v>83</v>
      </c>
      <c r="B285">
        <v>5</v>
      </c>
      <c r="C285">
        <v>2</v>
      </c>
      <c r="D285">
        <v>0</v>
      </c>
      <c r="E285" t="s">
        <v>1216</v>
      </c>
      <c r="F285" t="s">
        <v>428</v>
      </c>
      <c r="G285" t="s">
        <v>754</v>
      </c>
      <c r="H285" t="s">
        <v>755</v>
      </c>
      <c r="I285" t="s">
        <v>756</v>
      </c>
    </row>
    <row r="286" spans="1:9">
      <c r="A286" t="s">
        <v>83</v>
      </c>
      <c r="B286">
        <v>5</v>
      </c>
      <c r="C286">
        <v>3</v>
      </c>
      <c r="D286">
        <v>0</v>
      </c>
      <c r="E286" t="s">
        <v>1217</v>
      </c>
      <c r="F286" t="s">
        <v>429</v>
      </c>
      <c r="G286" t="s">
        <v>754</v>
      </c>
      <c r="H286" t="s">
        <v>755</v>
      </c>
      <c r="I286" t="s">
        <v>756</v>
      </c>
    </row>
    <row r="287" spans="1:9">
      <c r="A287" t="s">
        <v>83</v>
      </c>
      <c r="B287">
        <v>5</v>
      </c>
      <c r="C287">
        <v>4</v>
      </c>
      <c r="D287">
        <v>0</v>
      </c>
      <c r="E287" t="s">
        <v>1218</v>
      </c>
      <c r="F287" t="s">
        <v>430</v>
      </c>
      <c r="G287" t="s">
        <v>754</v>
      </c>
      <c r="H287" t="s">
        <v>755</v>
      </c>
      <c r="I287" t="s">
        <v>756</v>
      </c>
    </row>
    <row r="288" spans="1:9">
      <c r="A288" t="s">
        <v>83</v>
      </c>
      <c r="B288">
        <v>5</v>
      </c>
      <c r="C288">
        <v>5</v>
      </c>
      <c r="D288">
        <v>0</v>
      </c>
      <c r="E288" t="s">
        <v>1219</v>
      </c>
      <c r="F288" t="s">
        <v>431</v>
      </c>
      <c r="G288" t="s">
        <v>754</v>
      </c>
      <c r="H288" t="s">
        <v>755</v>
      </c>
      <c r="I288" t="s">
        <v>756</v>
      </c>
    </row>
    <row r="289" spans="1:9">
      <c r="A289" t="s">
        <v>83</v>
      </c>
      <c r="B289">
        <v>5</v>
      </c>
      <c r="C289">
        <v>6</v>
      </c>
      <c r="D289">
        <v>0</v>
      </c>
      <c r="E289" t="s">
        <v>1220</v>
      </c>
      <c r="F289" t="s">
        <v>432</v>
      </c>
      <c r="G289" t="s">
        <v>754</v>
      </c>
      <c r="H289" t="s">
        <v>755</v>
      </c>
      <c r="I289" t="s">
        <v>756</v>
      </c>
    </row>
    <row r="290" spans="1:9">
      <c r="A290" t="s">
        <v>83</v>
      </c>
      <c r="B290">
        <v>6</v>
      </c>
      <c r="C290">
        <v>0</v>
      </c>
      <c r="D290">
        <v>0</v>
      </c>
      <c r="E290" t="s">
        <v>1221</v>
      </c>
      <c r="F290" t="s">
        <v>433</v>
      </c>
      <c r="G290" t="s">
        <v>754</v>
      </c>
      <c r="H290" t="s">
        <v>755</v>
      </c>
      <c r="I290" t="s">
        <v>756</v>
      </c>
    </row>
    <row r="291" spans="1:9">
      <c r="A291" t="s">
        <v>83</v>
      </c>
      <c r="B291">
        <v>6</v>
      </c>
      <c r="C291">
        <v>1</v>
      </c>
      <c r="D291">
        <v>0</v>
      </c>
      <c r="E291" t="s">
        <v>1222</v>
      </c>
      <c r="F291" t="s">
        <v>434</v>
      </c>
      <c r="G291" t="s">
        <v>754</v>
      </c>
      <c r="H291" t="s">
        <v>755</v>
      </c>
      <c r="I291" t="s">
        <v>756</v>
      </c>
    </row>
    <row r="292" spans="1:9">
      <c r="A292" t="s">
        <v>83</v>
      </c>
      <c r="B292">
        <v>6</v>
      </c>
      <c r="C292">
        <v>2</v>
      </c>
      <c r="D292">
        <v>0</v>
      </c>
      <c r="E292" t="s">
        <v>1223</v>
      </c>
      <c r="F292" t="s">
        <v>435</v>
      </c>
      <c r="G292" t="s">
        <v>754</v>
      </c>
      <c r="H292" t="s">
        <v>755</v>
      </c>
      <c r="I292" t="s">
        <v>756</v>
      </c>
    </row>
    <row r="293" spans="1:9">
      <c r="A293" t="s">
        <v>83</v>
      </c>
      <c r="B293">
        <v>6</v>
      </c>
      <c r="C293">
        <v>3</v>
      </c>
      <c r="D293">
        <v>0</v>
      </c>
      <c r="E293" t="s">
        <v>1224</v>
      </c>
      <c r="F293" t="s">
        <v>436</v>
      </c>
      <c r="G293" t="s">
        <v>754</v>
      </c>
      <c r="H293" t="s">
        <v>755</v>
      </c>
      <c r="I293" t="s">
        <v>756</v>
      </c>
    </row>
    <row r="294" spans="1:9">
      <c r="A294" t="s">
        <v>83</v>
      </c>
      <c r="B294">
        <v>6</v>
      </c>
      <c r="C294">
        <v>4</v>
      </c>
      <c r="D294">
        <v>0</v>
      </c>
      <c r="E294" t="s">
        <v>1225</v>
      </c>
      <c r="F294" t="s">
        <v>437</v>
      </c>
      <c r="G294" t="s">
        <v>754</v>
      </c>
      <c r="H294" t="s">
        <v>755</v>
      </c>
      <c r="I294" t="s">
        <v>756</v>
      </c>
    </row>
    <row r="295" spans="1:9">
      <c r="A295" t="s">
        <v>83</v>
      </c>
      <c r="B295">
        <v>7</v>
      </c>
      <c r="C295">
        <v>0</v>
      </c>
      <c r="D295">
        <v>0</v>
      </c>
      <c r="E295" t="s">
        <v>1226</v>
      </c>
      <c r="F295" t="s">
        <v>438</v>
      </c>
      <c r="G295" t="s">
        <v>754</v>
      </c>
      <c r="H295" t="s">
        <v>755</v>
      </c>
      <c r="I295" t="s">
        <v>756</v>
      </c>
    </row>
    <row r="296" spans="1:9">
      <c r="A296" t="s">
        <v>83</v>
      </c>
      <c r="B296">
        <v>7</v>
      </c>
      <c r="C296">
        <v>1</v>
      </c>
      <c r="D296">
        <v>0</v>
      </c>
      <c r="E296" t="s">
        <v>1227</v>
      </c>
      <c r="F296" t="s">
        <v>439</v>
      </c>
      <c r="G296" t="s">
        <v>754</v>
      </c>
      <c r="H296" t="s">
        <v>755</v>
      </c>
      <c r="I296" t="s">
        <v>756</v>
      </c>
    </row>
    <row r="297" spans="1:9">
      <c r="A297" t="s">
        <v>83</v>
      </c>
      <c r="B297">
        <v>7</v>
      </c>
      <c r="C297">
        <v>2</v>
      </c>
      <c r="D297">
        <v>0</v>
      </c>
      <c r="E297" t="s">
        <v>1228</v>
      </c>
      <c r="F297" t="s">
        <v>440</v>
      </c>
      <c r="G297" t="s">
        <v>754</v>
      </c>
      <c r="H297" t="s">
        <v>755</v>
      </c>
      <c r="I297" t="s">
        <v>756</v>
      </c>
    </row>
    <row r="298" spans="1:9">
      <c r="A298" t="s">
        <v>83</v>
      </c>
      <c r="B298">
        <v>7</v>
      </c>
      <c r="C298">
        <v>3</v>
      </c>
      <c r="D298">
        <v>0</v>
      </c>
      <c r="E298" t="s">
        <v>1229</v>
      </c>
      <c r="F298" t="s">
        <v>441</v>
      </c>
      <c r="G298" t="s">
        <v>754</v>
      </c>
      <c r="H298" t="s">
        <v>755</v>
      </c>
      <c r="I298" t="s">
        <v>756</v>
      </c>
    </row>
    <row r="299" spans="1:9">
      <c r="A299" t="s">
        <v>83</v>
      </c>
      <c r="B299">
        <v>7</v>
      </c>
      <c r="C299">
        <v>4</v>
      </c>
      <c r="D299">
        <v>0</v>
      </c>
      <c r="E299" t="s">
        <v>1230</v>
      </c>
      <c r="F299" t="s">
        <v>442</v>
      </c>
      <c r="G299" t="s">
        <v>754</v>
      </c>
      <c r="H299" t="s">
        <v>755</v>
      </c>
      <c r="I299" t="s">
        <v>756</v>
      </c>
    </row>
    <row r="300" spans="1:9">
      <c r="A300" t="s">
        <v>83</v>
      </c>
      <c r="B300">
        <v>7</v>
      </c>
      <c r="C300">
        <v>5</v>
      </c>
      <c r="D300">
        <v>0</v>
      </c>
      <c r="E300" t="s">
        <v>1231</v>
      </c>
      <c r="F300" t="s">
        <v>443</v>
      </c>
      <c r="G300" t="s">
        <v>754</v>
      </c>
      <c r="H300" t="s">
        <v>755</v>
      </c>
      <c r="I300" t="s">
        <v>756</v>
      </c>
    </row>
    <row r="301" spans="1:9">
      <c r="A301" t="s">
        <v>83</v>
      </c>
      <c r="B301">
        <v>7</v>
      </c>
      <c r="C301">
        <v>6</v>
      </c>
      <c r="D301">
        <v>0</v>
      </c>
      <c r="E301" t="s">
        <v>1232</v>
      </c>
      <c r="F301" t="s">
        <v>444</v>
      </c>
      <c r="G301" t="s">
        <v>754</v>
      </c>
      <c r="H301" t="s">
        <v>755</v>
      </c>
      <c r="I301" t="s">
        <v>756</v>
      </c>
    </row>
    <row r="302" spans="1:9">
      <c r="A302" t="s">
        <v>83</v>
      </c>
      <c r="B302">
        <v>7</v>
      </c>
      <c r="C302">
        <v>7</v>
      </c>
      <c r="D302">
        <v>0</v>
      </c>
      <c r="E302" t="s">
        <v>1233</v>
      </c>
      <c r="F302" t="s">
        <v>445</v>
      </c>
      <c r="G302" t="s">
        <v>754</v>
      </c>
      <c r="H302" t="s">
        <v>755</v>
      </c>
      <c r="I302" t="s">
        <v>756</v>
      </c>
    </row>
    <row r="303" spans="1:9">
      <c r="A303" t="s">
        <v>92</v>
      </c>
      <c r="B303">
        <v>0</v>
      </c>
      <c r="C303">
        <v>0</v>
      </c>
      <c r="D303">
        <v>0</v>
      </c>
      <c r="E303" t="s">
        <v>1234</v>
      </c>
      <c r="F303" t="s">
        <v>446</v>
      </c>
      <c r="G303" t="s">
        <v>808</v>
      </c>
      <c r="H303" t="s">
        <v>1235</v>
      </c>
      <c r="I303" t="s">
        <v>1236</v>
      </c>
    </row>
    <row r="304" spans="1:9">
      <c r="A304" t="s">
        <v>92</v>
      </c>
      <c r="B304">
        <v>1</v>
      </c>
      <c r="C304">
        <v>0</v>
      </c>
      <c r="D304">
        <v>0</v>
      </c>
      <c r="E304" t="s">
        <v>1237</v>
      </c>
      <c r="F304" t="s">
        <v>447</v>
      </c>
      <c r="G304" t="s">
        <v>808</v>
      </c>
      <c r="H304" t="s">
        <v>1235</v>
      </c>
      <c r="I304" t="s">
        <v>1236</v>
      </c>
    </row>
    <row r="305" spans="1:9">
      <c r="A305" t="s">
        <v>92</v>
      </c>
      <c r="B305">
        <v>1</v>
      </c>
      <c r="C305">
        <v>1</v>
      </c>
      <c r="D305">
        <v>0</v>
      </c>
      <c r="E305" t="s">
        <v>1238</v>
      </c>
      <c r="F305" t="s">
        <v>448</v>
      </c>
      <c r="G305" t="s">
        <v>808</v>
      </c>
      <c r="H305" t="s">
        <v>1235</v>
      </c>
      <c r="I305" t="s">
        <v>1236</v>
      </c>
    </row>
    <row r="306" spans="1:9">
      <c r="A306" t="s">
        <v>92</v>
      </c>
      <c r="B306">
        <v>1</v>
      </c>
      <c r="C306">
        <v>2</v>
      </c>
      <c r="D306">
        <v>0</v>
      </c>
      <c r="E306" t="s">
        <v>1239</v>
      </c>
      <c r="F306" t="s">
        <v>449</v>
      </c>
      <c r="G306" t="s">
        <v>808</v>
      </c>
      <c r="H306" t="s">
        <v>1235</v>
      </c>
      <c r="I306" t="s">
        <v>1236</v>
      </c>
    </row>
    <row r="307" spans="1:9">
      <c r="A307" t="s">
        <v>92</v>
      </c>
      <c r="B307">
        <v>2</v>
      </c>
      <c r="C307">
        <v>0</v>
      </c>
      <c r="D307">
        <v>0</v>
      </c>
      <c r="E307" t="s">
        <v>1240</v>
      </c>
      <c r="F307" t="s">
        <v>450</v>
      </c>
      <c r="G307" t="s">
        <v>808</v>
      </c>
      <c r="H307" t="s">
        <v>1235</v>
      </c>
      <c r="I307" t="s">
        <v>1236</v>
      </c>
    </row>
    <row r="308" spans="1:9">
      <c r="A308" t="s">
        <v>92</v>
      </c>
      <c r="B308">
        <v>2</v>
      </c>
      <c r="C308">
        <v>1</v>
      </c>
      <c r="D308">
        <v>0</v>
      </c>
      <c r="E308" t="s">
        <v>1241</v>
      </c>
      <c r="F308" t="s">
        <v>451</v>
      </c>
      <c r="G308" t="s">
        <v>808</v>
      </c>
      <c r="H308" t="s">
        <v>1235</v>
      </c>
      <c r="I308" t="s">
        <v>1236</v>
      </c>
    </row>
    <row r="309" spans="1:9">
      <c r="A309" t="s">
        <v>92</v>
      </c>
      <c r="B309">
        <v>2</v>
      </c>
      <c r="C309">
        <v>1</v>
      </c>
      <c r="D309">
        <v>1</v>
      </c>
      <c r="E309" t="s">
        <v>1242</v>
      </c>
      <c r="F309" t="s">
        <v>452</v>
      </c>
      <c r="G309" t="s">
        <v>808</v>
      </c>
      <c r="H309" t="s">
        <v>1235</v>
      </c>
      <c r="I309" t="s">
        <v>1236</v>
      </c>
    </row>
    <row r="310" spans="1:9">
      <c r="A310" t="s">
        <v>92</v>
      </c>
      <c r="B310">
        <v>2</v>
      </c>
      <c r="C310">
        <v>1</v>
      </c>
      <c r="D310">
        <v>2</v>
      </c>
      <c r="E310" t="s">
        <v>1243</v>
      </c>
      <c r="F310" t="s">
        <v>453</v>
      </c>
      <c r="G310" t="s">
        <v>808</v>
      </c>
      <c r="H310" t="s">
        <v>1235</v>
      </c>
      <c r="I310" t="s">
        <v>1236</v>
      </c>
    </row>
    <row r="311" spans="1:9">
      <c r="A311" t="s">
        <v>92</v>
      </c>
      <c r="B311">
        <v>2</v>
      </c>
      <c r="C311">
        <v>1</v>
      </c>
      <c r="D311">
        <v>3</v>
      </c>
      <c r="E311" t="s">
        <v>1244</v>
      </c>
      <c r="F311" t="s">
        <v>454</v>
      </c>
      <c r="G311" t="s">
        <v>808</v>
      </c>
      <c r="H311" t="s">
        <v>1235</v>
      </c>
      <c r="I311" t="s">
        <v>1236</v>
      </c>
    </row>
    <row r="312" spans="1:9">
      <c r="A312" t="s">
        <v>92</v>
      </c>
      <c r="B312">
        <v>2</v>
      </c>
      <c r="C312">
        <v>1</v>
      </c>
      <c r="D312">
        <v>4</v>
      </c>
      <c r="E312" t="s">
        <v>1245</v>
      </c>
      <c r="F312" t="s">
        <v>455</v>
      </c>
      <c r="G312" t="s">
        <v>808</v>
      </c>
      <c r="H312" t="s">
        <v>1235</v>
      </c>
      <c r="I312" t="s">
        <v>1236</v>
      </c>
    </row>
    <row r="313" spans="1:9">
      <c r="A313" t="s">
        <v>92</v>
      </c>
      <c r="B313">
        <v>2</v>
      </c>
      <c r="C313">
        <v>2</v>
      </c>
      <c r="D313">
        <v>0</v>
      </c>
      <c r="E313" t="s">
        <v>1246</v>
      </c>
      <c r="F313" t="s">
        <v>456</v>
      </c>
      <c r="G313" t="s">
        <v>808</v>
      </c>
      <c r="H313" t="s">
        <v>1235</v>
      </c>
      <c r="I313" t="s">
        <v>1236</v>
      </c>
    </row>
    <row r="314" spans="1:9">
      <c r="A314" t="s">
        <v>92</v>
      </c>
      <c r="B314">
        <v>3</v>
      </c>
      <c r="C314">
        <v>0</v>
      </c>
      <c r="D314">
        <v>0</v>
      </c>
      <c r="E314" t="s">
        <v>1247</v>
      </c>
      <c r="F314" t="s">
        <v>457</v>
      </c>
      <c r="G314" t="s">
        <v>808</v>
      </c>
      <c r="H314" t="s">
        <v>1235</v>
      </c>
      <c r="I314" t="s">
        <v>1236</v>
      </c>
    </row>
    <row r="315" spans="1:9">
      <c r="A315" t="s">
        <v>92</v>
      </c>
      <c r="B315">
        <v>3</v>
      </c>
      <c r="C315">
        <v>1</v>
      </c>
      <c r="D315">
        <v>0</v>
      </c>
      <c r="E315" t="s">
        <v>1248</v>
      </c>
      <c r="F315" t="s">
        <v>458</v>
      </c>
      <c r="G315" t="s">
        <v>808</v>
      </c>
      <c r="H315" t="s">
        <v>1235</v>
      </c>
      <c r="I315" t="s">
        <v>1236</v>
      </c>
    </row>
    <row r="316" spans="1:9">
      <c r="A316" t="s">
        <v>92</v>
      </c>
      <c r="B316">
        <v>3</v>
      </c>
      <c r="C316">
        <v>2</v>
      </c>
      <c r="D316">
        <v>0</v>
      </c>
      <c r="E316" t="s">
        <v>1249</v>
      </c>
      <c r="F316" t="s">
        <v>459</v>
      </c>
      <c r="G316" t="s">
        <v>808</v>
      </c>
      <c r="H316" t="s">
        <v>1235</v>
      </c>
      <c r="I316" t="s">
        <v>1236</v>
      </c>
    </row>
    <row r="317" spans="1:9">
      <c r="A317" t="s">
        <v>92</v>
      </c>
      <c r="B317">
        <v>4</v>
      </c>
      <c r="C317">
        <v>0</v>
      </c>
      <c r="D317">
        <v>0</v>
      </c>
      <c r="E317" t="s">
        <v>1250</v>
      </c>
      <c r="F317" t="s">
        <v>460</v>
      </c>
      <c r="G317" t="s">
        <v>808</v>
      </c>
      <c r="H317" t="s">
        <v>1235</v>
      </c>
      <c r="I317" t="s">
        <v>1236</v>
      </c>
    </row>
    <row r="318" spans="1:9">
      <c r="A318" t="s">
        <v>92</v>
      </c>
      <c r="B318">
        <v>4</v>
      </c>
      <c r="C318">
        <v>1</v>
      </c>
      <c r="D318">
        <v>0</v>
      </c>
      <c r="E318" t="s">
        <v>1251</v>
      </c>
      <c r="F318" t="s">
        <v>461</v>
      </c>
      <c r="G318" t="s">
        <v>808</v>
      </c>
      <c r="H318" t="s">
        <v>1235</v>
      </c>
      <c r="I318" t="s">
        <v>1236</v>
      </c>
    </row>
    <row r="319" spans="1:9">
      <c r="A319" t="s">
        <v>92</v>
      </c>
      <c r="B319">
        <v>5</v>
      </c>
      <c r="C319">
        <v>0</v>
      </c>
      <c r="D319">
        <v>0</v>
      </c>
      <c r="E319" t="s">
        <v>1252</v>
      </c>
      <c r="F319" t="s">
        <v>462</v>
      </c>
      <c r="G319" t="s">
        <v>808</v>
      </c>
      <c r="H319" t="s">
        <v>1235</v>
      </c>
      <c r="I319" t="s">
        <v>1236</v>
      </c>
    </row>
    <row r="320" spans="1:9">
      <c r="A320" t="s">
        <v>92</v>
      </c>
      <c r="B320">
        <v>5</v>
      </c>
      <c r="C320">
        <v>1</v>
      </c>
      <c r="D320">
        <v>0</v>
      </c>
      <c r="E320" t="s">
        <v>1253</v>
      </c>
      <c r="F320" t="s">
        <v>463</v>
      </c>
      <c r="G320" t="s">
        <v>808</v>
      </c>
      <c r="H320" t="s">
        <v>1235</v>
      </c>
      <c r="I320" t="s">
        <v>1236</v>
      </c>
    </row>
    <row r="321" spans="1:9">
      <c r="A321" t="s">
        <v>92</v>
      </c>
      <c r="B321">
        <v>5</v>
      </c>
      <c r="C321">
        <v>2</v>
      </c>
      <c r="D321">
        <v>0</v>
      </c>
      <c r="E321" t="s">
        <v>1254</v>
      </c>
      <c r="F321" t="s">
        <v>464</v>
      </c>
      <c r="G321" t="s">
        <v>808</v>
      </c>
      <c r="H321" t="s">
        <v>1235</v>
      </c>
      <c r="I321" t="s">
        <v>1236</v>
      </c>
    </row>
    <row r="322" spans="1:9">
      <c r="A322" t="s">
        <v>92</v>
      </c>
      <c r="B322">
        <v>5</v>
      </c>
      <c r="C322">
        <v>3</v>
      </c>
      <c r="D322">
        <v>0</v>
      </c>
      <c r="E322" t="s">
        <v>1255</v>
      </c>
      <c r="F322" t="s">
        <v>465</v>
      </c>
      <c r="G322" t="s">
        <v>808</v>
      </c>
      <c r="H322" t="s">
        <v>1235</v>
      </c>
      <c r="I322" t="s">
        <v>1236</v>
      </c>
    </row>
    <row r="323" spans="1:9">
      <c r="A323" t="s">
        <v>96</v>
      </c>
      <c r="B323">
        <v>0</v>
      </c>
      <c r="C323">
        <v>0</v>
      </c>
      <c r="D323">
        <v>0</v>
      </c>
      <c r="E323" t="s">
        <v>1256</v>
      </c>
      <c r="F323" t="s">
        <v>466</v>
      </c>
      <c r="G323" t="s">
        <v>754</v>
      </c>
      <c r="H323" t="s">
        <v>1257</v>
      </c>
      <c r="I323" t="s">
        <v>1258</v>
      </c>
    </row>
    <row r="324" spans="1:9">
      <c r="A324" t="s">
        <v>96</v>
      </c>
      <c r="B324">
        <v>1</v>
      </c>
      <c r="C324">
        <v>0</v>
      </c>
      <c r="D324">
        <v>0</v>
      </c>
      <c r="E324" t="s">
        <v>1259</v>
      </c>
      <c r="F324" t="s">
        <v>467</v>
      </c>
      <c r="G324" t="s">
        <v>754</v>
      </c>
      <c r="H324" t="s">
        <v>1257</v>
      </c>
      <c r="I324" t="s">
        <v>1258</v>
      </c>
    </row>
    <row r="325" spans="1:9">
      <c r="A325" t="s">
        <v>96</v>
      </c>
      <c r="B325">
        <v>1</v>
      </c>
      <c r="C325">
        <v>1</v>
      </c>
      <c r="D325">
        <v>0</v>
      </c>
      <c r="E325" t="s">
        <v>1260</v>
      </c>
      <c r="F325" t="s">
        <v>1261</v>
      </c>
      <c r="G325" t="s">
        <v>754</v>
      </c>
      <c r="H325" t="s">
        <v>1257</v>
      </c>
      <c r="I325" t="s">
        <v>1258</v>
      </c>
    </row>
    <row r="326" spans="1:9">
      <c r="A326" t="s">
        <v>96</v>
      </c>
      <c r="B326">
        <v>1</v>
      </c>
      <c r="C326">
        <v>1</v>
      </c>
      <c r="D326">
        <v>0</v>
      </c>
      <c r="E326" t="s">
        <v>1260</v>
      </c>
      <c r="F326" t="s">
        <v>1262</v>
      </c>
      <c r="G326" t="s">
        <v>754</v>
      </c>
      <c r="H326" t="s">
        <v>1257</v>
      </c>
      <c r="I326" t="s">
        <v>1258</v>
      </c>
    </row>
    <row r="327" spans="1:9">
      <c r="A327" t="s">
        <v>96</v>
      </c>
      <c r="B327">
        <v>1</v>
      </c>
      <c r="C327">
        <v>2</v>
      </c>
      <c r="D327">
        <v>0</v>
      </c>
      <c r="E327" t="s">
        <v>1263</v>
      </c>
      <c r="F327" t="s">
        <v>469</v>
      </c>
      <c r="G327" t="s">
        <v>754</v>
      </c>
      <c r="H327" t="s">
        <v>1257</v>
      </c>
      <c r="I327" t="s">
        <v>1258</v>
      </c>
    </row>
    <row r="328" spans="1:9">
      <c r="A328" t="s">
        <v>96</v>
      </c>
      <c r="B328">
        <v>2</v>
      </c>
      <c r="C328">
        <v>0</v>
      </c>
      <c r="D328">
        <v>0</v>
      </c>
      <c r="E328" t="s">
        <v>1264</v>
      </c>
      <c r="F328" t="s">
        <v>470</v>
      </c>
      <c r="G328" t="s">
        <v>754</v>
      </c>
      <c r="H328" t="s">
        <v>1257</v>
      </c>
      <c r="I328" t="s">
        <v>1258</v>
      </c>
    </row>
    <row r="329" spans="1:9">
      <c r="A329" t="s">
        <v>96</v>
      </c>
      <c r="B329">
        <v>2</v>
      </c>
      <c r="C329">
        <v>1</v>
      </c>
      <c r="D329">
        <v>0</v>
      </c>
      <c r="E329" t="s">
        <v>1265</v>
      </c>
      <c r="F329" t="s">
        <v>471</v>
      </c>
      <c r="G329" t="s">
        <v>754</v>
      </c>
      <c r="H329" t="s">
        <v>1257</v>
      </c>
      <c r="I329" t="s">
        <v>1258</v>
      </c>
    </row>
    <row r="330" spans="1:9">
      <c r="A330" t="s">
        <v>96</v>
      </c>
      <c r="B330">
        <v>2</v>
      </c>
      <c r="C330">
        <v>1</v>
      </c>
      <c r="D330">
        <v>1</v>
      </c>
      <c r="E330" t="s">
        <v>1266</v>
      </c>
      <c r="F330" t="s">
        <v>472</v>
      </c>
      <c r="G330" t="s">
        <v>754</v>
      </c>
      <c r="H330" t="s">
        <v>1257</v>
      </c>
      <c r="I330" t="s">
        <v>1258</v>
      </c>
    </row>
    <row r="331" spans="1:9">
      <c r="A331" t="s">
        <v>96</v>
      </c>
      <c r="B331">
        <v>2</v>
      </c>
      <c r="C331">
        <v>1</v>
      </c>
      <c r="D331">
        <v>2</v>
      </c>
      <c r="E331" t="s">
        <v>1267</v>
      </c>
      <c r="F331" t="s">
        <v>473</v>
      </c>
      <c r="G331" t="s">
        <v>754</v>
      </c>
      <c r="H331" t="s">
        <v>1257</v>
      </c>
      <c r="I331" t="s">
        <v>1258</v>
      </c>
    </row>
    <row r="332" spans="1:9">
      <c r="A332" t="s">
        <v>96</v>
      </c>
      <c r="B332">
        <v>2</v>
      </c>
      <c r="C332">
        <v>1</v>
      </c>
      <c r="D332">
        <v>3</v>
      </c>
      <c r="E332" t="s">
        <v>1268</v>
      </c>
      <c r="F332" t="s">
        <v>474</v>
      </c>
      <c r="G332" t="s">
        <v>754</v>
      </c>
      <c r="H332" t="s">
        <v>1257</v>
      </c>
      <c r="I332" t="s">
        <v>1258</v>
      </c>
    </row>
    <row r="333" spans="1:9">
      <c r="A333" t="s">
        <v>96</v>
      </c>
      <c r="B333">
        <v>2</v>
      </c>
      <c r="C333">
        <v>1</v>
      </c>
      <c r="D333">
        <v>4</v>
      </c>
      <c r="E333" t="s">
        <v>1269</v>
      </c>
      <c r="F333" t="s">
        <v>475</v>
      </c>
      <c r="G333" t="s">
        <v>754</v>
      </c>
      <c r="H333" t="s">
        <v>1257</v>
      </c>
      <c r="I333" t="s">
        <v>1258</v>
      </c>
    </row>
    <row r="334" spans="1:9">
      <c r="A334" t="s">
        <v>96</v>
      </c>
      <c r="B334">
        <v>2</v>
      </c>
      <c r="C334">
        <v>1</v>
      </c>
      <c r="D334">
        <v>5</v>
      </c>
      <c r="E334" t="s">
        <v>1270</v>
      </c>
      <c r="F334" t="s">
        <v>476</v>
      </c>
      <c r="G334" t="s">
        <v>754</v>
      </c>
      <c r="H334" t="s">
        <v>1257</v>
      </c>
      <c r="I334" t="s">
        <v>1258</v>
      </c>
    </row>
    <row r="335" spans="1:9">
      <c r="A335" t="s">
        <v>96</v>
      </c>
      <c r="B335">
        <v>2</v>
      </c>
      <c r="C335">
        <v>1</v>
      </c>
      <c r="D335">
        <v>6</v>
      </c>
      <c r="E335" t="s">
        <v>1271</v>
      </c>
      <c r="F335" t="s">
        <v>477</v>
      </c>
      <c r="G335" t="s">
        <v>754</v>
      </c>
      <c r="H335" t="s">
        <v>1257</v>
      </c>
      <c r="I335" t="s">
        <v>1258</v>
      </c>
    </row>
    <row r="336" spans="1:9">
      <c r="A336" t="s">
        <v>96</v>
      </c>
      <c r="B336">
        <v>2</v>
      </c>
      <c r="C336">
        <v>1</v>
      </c>
      <c r="D336">
        <v>7</v>
      </c>
      <c r="E336" t="s">
        <v>1272</v>
      </c>
      <c r="F336" t="s">
        <v>478</v>
      </c>
      <c r="G336" t="s">
        <v>754</v>
      </c>
      <c r="H336" t="s">
        <v>1257</v>
      </c>
      <c r="I336" t="s">
        <v>1258</v>
      </c>
    </row>
    <row r="337" spans="1:9">
      <c r="A337" t="s">
        <v>96</v>
      </c>
      <c r="B337">
        <v>2</v>
      </c>
      <c r="C337">
        <v>2</v>
      </c>
      <c r="D337">
        <v>0</v>
      </c>
      <c r="E337" t="s">
        <v>1273</v>
      </c>
      <c r="F337" t="s">
        <v>479</v>
      </c>
      <c r="G337" t="s">
        <v>754</v>
      </c>
      <c r="H337" t="s">
        <v>1257</v>
      </c>
      <c r="I337" t="s">
        <v>1258</v>
      </c>
    </row>
    <row r="338" spans="1:9">
      <c r="A338" t="s">
        <v>96</v>
      </c>
      <c r="B338">
        <v>2</v>
      </c>
      <c r="C338">
        <v>3</v>
      </c>
      <c r="D338">
        <v>0</v>
      </c>
      <c r="E338" t="s">
        <v>1274</v>
      </c>
      <c r="F338" t="s">
        <v>480</v>
      </c>
      <c r="G338" t="s">
        <v>754</v>
      </c>
      <c r="H338" t="s">
        <v>1257</v>
      </c>
      <c r="I338" t="s">
        <v>1258</v>
      </c>
    </row>
    <row r="339" spans="1:9">
      <c r="A339" t="s">
        <v>96</v>
      </c>
      <c r="B339">
        <v>2</v>
      </c>
      <c r="C339">
        <v>4</v>
      </c>
      <c r="D339">
        <v>0</v>
      </c>
      <c r="E339" t="s">
        <v>1275</v>
      </c>
      <c r="F339" t="s">
        <v>481</v>
      </c>
      <c r="G339" t="s">
        <v>754</v>
      </c>
      <c r="H339" t="s">
        <v>1257</v>
      </c>
      <c r="I339" t="s">
        <v>1258</v>
      </c>
    </row>
    <row r="340" spans="1:9">
      <c r="A340" t="s">
        <v>96</v>
      </c>
      <c r="B340">
        <v>2</v>
      </c>
      <c r="C340">
        <v>5</v>
      </c>
      <c r="D340">
        <v>0</v>
      </c>
      <c r="E340" t="s">
        <v>1276</v>
      </c>
      <c r="F340" t="s">
        <v>1277</v>
      </c>
      <c r="G340" t="s">
        <v>754</v>
      </c>
      <c r="H340" t="s">
        <v>1257</v>
      </c>
      <c r="I340" t="s">
        <v>1258</v>
      </c>
    </row>
    <row r="341" spans="1:9">
      <c r="A341" t="s">
        <v>96</v>
      </c>
      <c r="B341">
        <v>2</v>
      </c>
      <c r="C341">
        <v>5</v>
      </c>
      <c r="D341">
        <v>0</v>
      </c>
      <c r="E341" t="s">
        <v>1276</v>
      </c>
      <c r="F341" t="s">
        <v>1278</v>
      </c>
      <c r="G341" t="s">
        <v>754</v>
      </c>
      <c r="H341" t="s">
        <v>1257</v>
      </c>
      <c r="I341" t="s">
        <v>1258</v>
      </c>
    </row>
    <row r="342" spans="1:9">
      <c r="A342" t="s">
        <v>96</v>
      </c>
      <c r="B342">
        <v>2</v>
      </c>
      <c r="C342">
        <v>6</v>
      </c>
      <c r="D342">
        <v>0</v>
      </c>
      <c r="E342" t="s">
        <v>1279</v>
      </c>
      <c r="F342" t="s">
        <v>483</v>
      </c>
      <c r="G342" t="s">
        <v>754</v>
      </c>
      <c r="H342" t="s">
        <v>1257</v>
      </c>
      <c r="I342" t="s">
        <v>1258</v>
      </c>
    </row>
    <row r="343" spans="1:9">
      <c r="A343" t="s">
        <v>96</v>
      </c>
      <c r="B343">
        <v>3</v>
      </c>
      <c r="C343">
        <v>0</v>
      </c>
      <c r="D343">
        <v>0</v>
      </c>
      <c r="E343" t="s">
        <v>1280</v>
      </c>
      <c r="F343" t="s">
        <v>484</v>
      </c>
      <c r="G343" t="s">
        <v>754</v>
      </c>
      <c r="H343" t="s">
        <v>1257</v>
      </c>
      <c r="I343" t="s">
        <v>1258</v>
      </c>
    </row>
    <row r="344" spans="1:9">
      <c r="A344" t="s">
        <v>96</v>
      </c>
      <c r="B344">
        <v>3</v>
      </c>
      <c r="C344">
        <v>1</v>
      </c>
      <c r="D344">
        <v>0</v>
      </c>
      <c r="E344" t="s">
        <v>1281</v>
      </c>
      <c r="F344" t="s">
        <v>485</v>
      </c>
      <c r="G344" t="s">
        <v>754</v>
      </c>
      <c r="H344" t="s">
        <v>1257</v>
      </c>
      <c r="I344" t="s">
        <v>1258</v>
      </c>
    </row>
    <row r="345" spans="1:9">
      <c r="A345" t="s">
        <v>96</v>
      </c>
      <c r="B345">
        <v>3</v>
      </c>
      <c r="C345">
        <v>2</v>
      </c>
      <c r="D345">
        <v>0</v>
      </c>
      <c r="E345" t="s">
        <v>1282</v>
      </c>
      <c r="F345" t="s">
        <v>1283</v>
      </c>
      <c r="G345" t="s">
        <v>754</v>
      </c>
      <c r="H345" t="s">
        <v>1257</v>
      </c>
      <c r="I345" t="s">
        <v>1258</v>
      </c>
    </row>
    <row r="346" spans="1:9">
      <c r="A346" t="s">
        <v>96</v>
      </c>
      <c r="B346">
        <v>3</v>
      </c>
      <c r="C346">
        <v>2</v>
      </c>
      <c r="D346">
        <v>0</v>
      </c>
      <c r="E346" t="s">
        <v>1282</v>
      </c>
      <c r="F346" t="s">
        <v>1284</v>
      </c>
      <c r="G346" t="s">
        <v>754</v>
      </c>
      <c r="H346" t="s">
        <v>1257</v>
      </c>
      <c r="I346" t="s">
        <v>1258</v>
      </c>
    </row>
    <row r="347" spans="1:9">
      <c r="A347" t="s">
        <v>96</v>
      </c>
      <c r="B347">
        <v>3</v>
      </c>
      <c r="C347">
        <v>3</v>
      </c>
      <c r="D347">
        <v>0</v>
      </c>
      <c r="E347" t="s">
        <v>1285</v>
      </c>
      <c r="F347" t="s">
        <v>487</v>
      </c>
      <c r="G347" t="s">
        <v>754</v>
      </c>
      <c r="H347" t="s">
        <v>1257</v>
      </c>
      <c r="I347" t="s">
        <v>1258</v>
      </c>
    </row>
    <row r="348" spans="1:9">
      <c r="A348" t="s">
        <v>100</v>
      </c>
      <c r="B348">
        <v>0</v>
      </c>
      <c r="C348">
        <v>0</v>
      </c>
      <c r="D348">
        <v>0</v>
      </c>
      <c r="E348" t="s">
        <v>1286</v>
      </c>
      <c r="F348" t="s">
        <v>488</v>
      </c>
      <c r="G348" t="s">
        <v>754</v>
      </c>
      <c r="H348" t="s">
        <v>1287</v>
      </c>
      <c r="I348" t="s">
        <v>1288</v>
      </c>
    </row>
    <row r="349" spans="1:9">
      <c r="A349" t="s">
        <v>100</v>
      </c>
      <c r="B349">
        <v>1</v>
      </c>
      <c r="C349">
        <v>0</v>
      </c>
      <c r="D349">
        <v>0</v>
      </c>
      <c r="E349" t="s">
        <v>1289</v>
      </c>
      <c r="F349" t="s">
        <v>489</v>
      </c>
      <c r="G349" t="s">
        <v>754</v>
      </c>
      <c r="H349" t="s">
        <v>1287</v>
      </c>
      <c r="I349" t="s">
        <v>1288</v>
      </c>
    </row>
    <row r="350" spans="1:9">
      <c r="A350" t="s">
        <v>100</v>
      </c>
      <c r="B350">
        <v>1</v>
      </c>
      <c r="C350">
        <v>1</v>
      </c>
      <c r="D350">
        <v>0</v>
      </c>
      <c r="E350" t="s">
        <v>1290</v>
      </c>
      <c r="F350" t="s">
        <v>490</v>
      </c>
      <c r="G350" t="s">
        <v>754</v>
      </c>
      <c r="H350" t="s">
        <v>1287</v>
      </c>
      <c r="I350" t="s">
        <v>1288</v>
      </c>
    </row>
    <row r="351" spans="1:9">
      <c r="A351" t="s">
        <v>100</v>
      </c>
      <c r="B351">
        <v>1</v>
      </c>
      <c r="C351">
        <v>2</v>
      </c>
      <c r="D351">
        <v>0</v>
      </c>
      <c r="E351" t="s">
        <v>1291</v>
      </c>
      <c r="F351" t="s">
        <v>491</v>
      </c>
      <c r="G351" t="s">
        <v>754</v>
      </c>
      <c r="H351" t="s">
        <v>1287</v>
      </c>
      <c r="I351" t="s">
        <v>1288</v>
      </c>
    </row>
    <row r="352" spans="1:9">
      <c r="A352" t="s">
        <v>100</v>
      </c>
      <c r="B352">
        <v>2</v>
      </c>
      <c r="C352">
        <v>0</v>
      </c>
      <c r="D352">
        <v>0</v>
      </c>
      <c r="E352" t="s">
        <v>1292</v>
      </c>
      <c r="F352" t="s">
        <v>492</v>
      </c>
      <c r="G352" t="s">
        <v>754</v>
      </c>
      <c r="H352" t="s">
        <v>1287</v>
      </c>
      <c r="I352" t="s">
        <v>1288</v>
      </c>
    </row>
    <row r="353" spans="1:9">
      <c r="A353" t="s">
        <v>100</v>
      </c>
      <c r="B353">
        <v>2</v>
      </c>
      <c r="C353">
        <v>1</v>
      </c>
      <c r="D353">
        <v>0</v>
      </c>
      <c r="E353" t="s">
        <v>1293</v>
      </c>
      <c r="F353" t="s">
        <v>493</v>
      </c>
      <c r="G353" t="s">
        <v>754</v>
      </c>
      <c r="H353" t="s">
        <v>1287</v>
      </c>
      <c r="I353" t="s">
        <v>1288</v>
      </c>
    </row>
    <row r="354" spans="1:9">
      <c r="A354" t="s">
        <v>100</v>
      </c>
      <c r="B354">
        <v>2</v>
      </c>
      <c r="C354">
        <v>1</v>
      </c>
      <c r="D354">
        <v>1</v>
      </c>
      <c r="E354" t="s">
        <v>1294</v>
      </c>
      <c r="F354" t="s">
        <v>494</v>
      </c>
      <c r="G354" t="s">
        <v>754</v>
      </c>
      <c r="H354" t="s">
        <v>1287</v>
      </c>
      <c r="I354" t="s">
        <v>1288</v>
      </c>
    </row>
    <row r="355" spans="1:9">
      <c r="A355" t="s">
        <v>100</v>
      </c>
      <c r="B355">
        <v>2</v>
      </c>
      <c r="C355">
        <v>1</v>
      </c>
      <c r="D355">
        <v>2</v>
      </c>
      <c r="E355" t="s">
        <v>1295</v>
      </c>
      <c r="F355" t="s">
        <v>495</v>
      </c>
      <c r="G355" t="s">
        <v>754</v>
      </c>
      <c r="H355" t="s">
        <v>1287</v>
      </c>
      <c r="I355" t="s">
        <v>1288</v>
      </c>
    </row>
    <row r="356" spans="1:9">
      <c r="A356" t="s">
        <v>100</v>
      </c>
      <c r="B356">
        <v>2</v>
      </c>
      <c r="C356">
        <v>1</v>
      </c>
      <c r="D356">
        <v>3</v>
      </c>
      <c r="E356" t="s">
        <v>1296</v>
      </c>
      <c r="F356" t="s">
        <v>496</v>
      </c>
      <c r="G356" t="s">
        <v>754</v>
      </c>
      <c r="H356" t="s">
        <v>1287</v>
      </c>
      <c r="I356" t="s">
        <v>1288</v>
      </c>
    </row>
    <row r="357" spans="1:9">
      <c r="A357" t="s">
        <v>100</v>
      </c>
      <c r="B357">
        <v>2</v>
      </c>
      <c r="C357">
        <v>1</v>
      </c>
      <c r="D357">
        <v>4</v>
      </c>
      <c r="E357" t="s">
        <v>1297</v>
      </c>
      <c r="F357" t="s">
        <v>497</v>
      </c>
      <c r="G357" t="s">
        <v>754</v>
      </c>
      <c r="H357" t="s">
        <v>1287</v>
      </c>
      <c r="I357" t="s">
        <v>1288</v>
      </c>
    </row>
    <row r="358" spans="1:9">
      <c r="A358" t="s">
        <v>100</v>
      </c>
      <c r="B358">
        <v>2</v>
      </c>
      <c r="C358">
        <v>1</v>
      </c>
      <c r="D358">
        <v>5</v>
      </c>
      <c r="E358" t="s">
        <v>1298</v>
      </c>
      <c r="F358" t="s">
        <v>498</v>
      </c>
      <c r="G358" t="s">
        <v>754</v>
      </c>
      <c r="H358" t="s">
        <v>1287</v>
      </c>
      <c r="I358" t="s">
        <v>1288</v>
      </c>
    </row>
    <row r="359" spans="1:9">
      <c r="A359" t="s">
        <v>100</v>
      </c>
      <c r="B359">
        <v>2</v>
      </c>
      <c r="C359">
        <v>2</v>
      </c>
      <c r="D359">
        <v>0</v>
      </c>
      <c r="E359" t="s">
        <v>1299</v>
      </c>
      <c r="F359" t="s">
        <v>499</v>
      </c>
      <c r="G359" t="s">
        <v>754</v>
      </c>
      <c r="H359" t="s">
        <v>1287</v>
      </c>
      <c r="I359" t="s">
        <v>1288</v>
      </c>
    </row>
    <row r="360" spans="1:9">
      <c r="A360" t="s">
        <v>100</v>
      </c>
      <c r="B360">
        <v>3</v>
      </c>
      <c r="C360">
        <v>0</v>
      </c>
      <c r="D360">
        <v>0</v>
      </c>
      <c r="E360" t="s">
        <v>1300</v>
      </c>
      <c r="F360" t="s">
        <v>500</v>
      </c>
      <c r="G360" t="s">
        <v>754</v>
      </c>
      <c r="H360" t="s">
        <v>1287</v>
      </c>
      <c r="I360" t="s">
        <v>1288</v>
      </c>
    </row>
    <row r="361" spans="1:9">
      <c r="A361" t="s">
        <v>100</v>
      </c>
      <c r="B361">
        <v>3</v>
      </c>
      <c r="C361">
        <v>1</v>
      </c>
      <c r="D361">
        <v>0</v>
      </c>
      <c r="E361" t="s">
        <v>1301</v>
      </c>
      <c r="F361" t="s">
        <v>501</v>
      </c>
      <c r="G361" t="s">
        <v>754</v>
      </c>
      <c r="H361" t="s">
        <v>1287</v>
      </c>
      <c r="I361" t="s">
        <v>1288</v>
      </c>
    </row>
    <row r="362" spans="1:9">
      <c r="A362" t="s">
        <v>100</v>
      </c>
      <c r="B362">
        <v>3</v>
      </c>
      <c r="C362">
        <v>1</v>
      </c>
      <c r="D362">
        <v>1</v>
      </c>
      <c r="E362" t="s">
        <v>1302</v>
      </c>
      <c r="F362" t="s">
        <v>502</v>
      </c>
      <c r="G362" t="s">
        <v>754</v>
      </c>
      <c r="H362" t="s">
        <v>1287</v>
      </c>
      <c r="I362" t="s">
        <v>1288</v>
      </c>
    </row>
    <row r="363" spans="1:9">
      <c r="A363" t="s">
        <v>100</v>
      </c>
      <c r="B363">
        <v>3</v>
      </c>
      <c r="C363">
        <v>1</v>
      </c>
      <c r="D363">
        <v>2</v>
      </c>
      <c r="E363" t="s">
        <v>1303</v>
      </c>
      <c r="F363" t="s">
        <v>503</v>
      </c>
      <c r="G363" t="s">
        <v>754</v>
      </c>
      <c r="H363" t="s">
        <v>1287</v>
      </c>
      <c r="I363" t="s">
        <v>1288</v>
      </c>
    </row>
    <row r="364" spans="1:9">
      <c r="A364" t="s">
        <v>100</v>
      </c>
      <c r="B364">
        <v>3</v>
      </c>
      <c r="C364">
        <v>1</v>
      </c>
      <c r="D364">
        <v>3</v>
      </c>
      <c r="E364" t="s">
        <v>1304</v>
      </c>
      <c r="F364" t="s">
        <v>504</v>
      </c>
      <c r="G364" t="s">
        <v>754</v>
      </c>
      <c r="H364" t="s">
        <v>1287</v>
      </c>
      <c r="I364" t="s">
        <v>1288</v>
      </c>
    </row>
    <row r="365" spans="1:9">
      <c r="A365" t="s">
        <v>100</v>
      </c>
      <c r="B365">
        <v>3</v>
      </c>
      <c r="C365">
        <v>1</v>
      </c>
      <c r="D365">
        <v>4</v>
      </c>
      <c r="E365" t="s">
        <v>1305</v>
      </c>
      <c r="F365" t="s">
        <v>505</v>
      </c>
      <c r="G365" t="s">
        <v>754</v>
      </c>
      <c r="H365" t="s">
        <v>1287</v>
      </c>
      <c r="I365" t="s">
        <v>1288</v>
      </c>
    </row>
    <row r="366" spans="1:9">
      <c r="A366" t="s">
        <v>100</v>
      </c>
      <c r="B366">
        <v>3</v>
      </c>
      <c r="C366">
        <v>2</v>
      </c>
      <c r="D366">
        <v>0</v>
      </c>
      <c r="E366" t="s">
        <v>1306</v>
      </c>
      <c r="F366" t="s">
        <v>506</v>
      </c>
      <c r="G366" t="s">
        <v>754</v>
      </c>
      <c r="H366" t="s">
        <v>1287</v>
      </c>
      <c r="I366" t="s">
        <v>1288</v>
      </c>
    </row>
    <row r="367" spans="1:9">
      <c r="A367" t="s">
        <v>100</v>
      </c>
      <c r="B367">
        <v>3</v>
      </c>
      <c r="C367">
        <v>3</v>
      </c>
      <c r="D367">
        <v>0</v>
      </c>
      <c r="E367" t="s">
        <v>1307</v>
      </c>
      <c r="F367" t="s">
        <v>507</v>
      </c>
      <c r="G367" t="s">
        <v>754</v>
      </c>
      <c r="H367" t="s">
        <v>1287</v>
      </c>
      <c r="I367" t="s">
        <v>1288</v>
      </c>
    </row>
    <row r="368" spans="1:9">
      <c r="A368" t="s">
        <v>100</v>
      </c>
      <c r="B368">
        <v>4</v>
      </c>
      <c r="C368">
        <v>0</v>
      </c>
      <c r="D368">
        <v>0</v>
      </c>
      <c r="E368" t="s">
        <v>1308</v>
      </c>
      <c r="F368" t="s">
        <v>508</v>
      </c>
      <c r="G368" t="s">
        <v>754</v>
      </c>
      <c r="H368" t="s">
        <v>1287</v>
      </c>
      <c r="I368" t="s">
        <v>1288</v>
      </c>
    </row>
    <row r="369" spans="1:9">
      <c r="A369" t="s">
        <v>100</v>
      </c>
      <c r="B369">
        <v>4</v>
      </c>
      <c r="C369">
        <v>1</v>
      </c>
      <c r="D369">
        <v>0</v>
      </c>
      <c r="E369" t="s">
        <v>1309</v>
      </c>
      <c r="F369" t="s">
        <v>509</v>
      </c>
      <c r="G369" t="s">
        <v>754</v>
      </c>
      <c r="H369" t="s">
        <v>1287</v>
      </c>
      <c r="I369" t="s">
        <v>1288</v>
      </c>
    </row>
    <row r="370" spans="1:9">
      <c r="A370" t="s">
        <v>100</v>
      </c>
      <c r="B370">
        <v>4</v>
      </c>
      <c r="C370">
        <v>2</v>
      </c>
      <c r="D370">
        <v>0</v>
      </c>
      <c r="E370" t="s">
        <v>1310</v>
      </c>
      <c r="F370" t="s">
        <v>510</v>
      </c>
      <c r="G370" t="s">
        <v>754</v>
      </c>
      <c r="H370" t="s">
        <v>1287</v>
      </c>
      <c r="I370" t="s">
        <v>1288</v>
      </c>
    </row>
    <row r="371" spans="1:9">
      <c r="A371" t="s">
        <v>100</v>
      </c>
      <c r="B371">
        <v>5</v>
      </c>
      <c r="C371">
        <v>0</v>
      </c>
      <c r="D371">
        <v>0</v>
      </c>
      <c r="E371" t="s">
        <v>1311</v>
      </c>
      <c r="F371" t="s">
        <v>511</v>
      </c>
      <c r="G371" t="s">
        <v>754</v>
      </c>
      <c r="H371" t="s">
        <v>1287</v>
      </c>
      <c r="I371" t="s">
        <v>1288</v>
      </c>
    </row>
    <row r="372" spans="1:9">
      <c r="A372" t="s">
        <v>100</v>
      </c>
      <c r="B372">
        <v>5</v>
      </c>
      <c r="C372">
        <v>1</v>
      </c>
      <c r="D372">
        <v>0</v>
      </c>
      <c r="E372" t="s">
        <v>1312</v>
      </c>
      <c r="F372" t="s">
        <v>512</v>
      </c>
      <c r="G372" t="s">
        <v>754</v>
      </c>
      <c r="H372" t="s">
        <v>1287</v>
      </c>
      <c r="I372" t="s">
        <v>1288</v>
      </c>
    </row>
    <row r="373" spans="1:9">
      <c r="A373" t="s">
        <v>100</v>
      </c>
      <c r="B373">
        <v>6</v>
      </c>
      <c r="C373">
        <v>0</v>
      </c>
      <c r="D373">
        <v>0</v>
      </c>
      <c r="E373" t="s">
        <v>1313</v>
      </c>
      <c r="F373" t="s">
        <v>513</v>
      </c>
      <c r="G373" t="s">
        <v>754</v>
      </c>
      <c r="H373" t="s">
        <v>1287</v>
      </c>
      <c r="I373" t="s">
        <v>1288</v>
      </c>
    </row>
    <row r="374" spans="1:9">
      <c r="A374" t="s">
        <v>100</v>
      </c>
      <c r="B374">
        <v>6</v>
      </c>
      <c r="C374">
        <v>1</v>
      </c>
      <c r="D374">
        <v>0</v>
      </c>
      <c r="E374" t="s">
        <v>1314</v>
      </c>
      <c r="F374" t="s">
        <v>1315</v>
      </c>
      <c r="G374" t="s">
        <v>754</v>
      </c>
      <c r="H374" t="s">
        <v>1287</v>
      </c>
      <c r="I374" t="s">
        <v>1288</v>
      </c>
    </row>
    <row r="375" spans="1:9">
      <c r="A375" t="s">
        <v>100</v>
      </c>
      <c r="B375">
        <v>6</v>
      </c>
      <c r="C375">
        <v>1</v>
      </c>
      <c r="D375">
        <v>1</v>
      </c>
      <c r="E375" t="s">
        <v>1316</v>
      </c>
      <c r="F375" t="s">
        <v>515</v>
      </c>
      <c r="G375" t="s">
        <v>754</v>
      </c>
      <c r="H375" t="s">
        <v>1287</v>
      </c>
      <c r="I375" t="s">
        <v>1288</v>
      </c>
    </row>
    <row r="376" spans="1:9">
      <c r="A376" t="s">
        <v>100</v>
      </c>
      <c r="B376">
        <v>6</v>
      </c>
      <c r="C376">
        <v>1</v>
      </c>
      <c r="D376">
        <v>2</v>
      </c>
      <c r="E376" t="s">
        <v>1317</v>
      </c>
      <c r="F376" t="s">
        <v>516</v>
      </c>
      <c r="G376" t="s">
        <v>754</v>
      </c>
      <c r="H376" t="s">
        <v>1287</v>
      </c>
      <c r="I376" t="s">
        <v>1288</v>
      </c>
    </row>
    <row r="377" spans="1:9">
      <c r="A377" t="s">
        <v>100</v>
      </c>
      <c r="B377">
        <v>6</v>
      </c>
      <c r="C377">
        <v>1</v>
      </c>
      <c r="D377">
        <v>3</v>
      </c>
      <c r="E377" t="s">
        <v>1318</v>
      </c>
      <c r="F377" t="s">
        <v>517</v>
      </c>
      <c r="G377" t="s">
        <v>754</v>
      </c>
      <c r="H377" t="s">
        <v>1287</v>
      </c>
      <c r="I377" t="s">
        <v>1288</v>
      </c>
    </row>
    <row r="378" spans="1:9">
      <c r="A378" t="s">
        <v>100</v>
      </c>
      <c r="B378">
        <v>6</v>
      </c>
      <c r="C378">
        <v>2</v>
      </c>
      <c r="D378">
        <v>0</v>
      </c>
      <c r="E378" t="s">
        <v>1319</v>
      </c>
      <c r="F378" t="s">
        <v>1320</v>
      </c>
      <c r="G378" t="s">
        <v>754</v>
      </c>
      <c r="H378" t="s">
        <v>1287</v>
      </c>
      <c r="I378" t="s">
        <v>1288</v>
      </c>
    </row>
    <row r="379" spans="1:9">
      <c r="A379" t="s">
        <v>100</v>
      </c>
      <c r="B379">
        <v>6</v>
      </c>
      <c r="C379">
        <v>2</v>
      </c>
      <c r="D379">
        <v>1</v>
      </c>
      <c r="E379" t="s">
        <v>1321</v>
      </c>
      <c r="F379" t="s">
        <v>519</v>
      </c>
      <c r="G379" t="s">
        <v>754</v>
      </c>
      <c r="H379" t="s">
        <v>1287</v>
      </c>
      <c r="I379" t="s">
        <v>1288</v>
      </c>
    </row>
    <row r="380" spans="1:9">
      <c r="A380" t="s">
        <v>100</v>
      </c>
      <c r="B380">
        <v>6</v>
      </c>
      <c r="C380">
        <v>2</v>
      </c>
      <c r="D380">
        <v>2</v>
      </c>
      <c r="E380" t="s">
        <v>1322</v>
      </c>
      <c r="F380" t="s">
        <v>520</v>
      </c>
      <c r="G380" t="s">
        <v>754</v>
      </c>
      <c r="H380" t="s">
        <v>1287</v>
      </c>
      <c r="I380" t="s">
        <v>1288</v>
      </c>
    </row>
    <row r="381" spans="1:9">
      <c r="A381" t="s">
        <v>100</v>
      </c>
      <c r="B381">
        <v>6</v>
      </c>
      <c r="C381">
        <v>3</v>
      </c>
      <c r="D381">
        <v>0</v>
      </c>
      <c r="E381" t="s">
        <v>1323</v>
      </c>
      <c r="F381" t="s">
        <v>521</v>
      </c>
      <c r="G381" t="s">
        <v>754</v>
      </c>
      <c r="H381" t="s">
        <v>1287</v>
      </c>
      <c r="I381" t="s">
        <v>1288</v>
      </c>
    </row>
    <row r="382" spans="1:9">
      <c r="A382" t="s">
        <v>100</v>
      </c>
      <c r="B382">
        <v>6</v>
      </c>
      <c r="C382">
        <v>4</v>
      </c>
      <c r="D382">
        <v>0</v>
      </c>
      <c r="E382" t="s">
        <v>1324</v>
      </c>
      <c r="F382" t="s">
        <v>522</v>
      </c>
      <c r="G382" t="s">
        <v>754</v>
      </c>
      <c r="H382" t="s">
        <v>1287</v>
      </c>
      <c r="I382" t="s">
        <v>1288</v>
      </c>
    </row>
    <row r="383" spans="1:9">
      <c r="A383" t="s">
        <v>100</v>
      </c>
      <c r="B383">
        <v>6</v>
      </c>
      <c r="C383">
        <v>5</v>
      </c>
      <c r="D383">
        <v>0</v>
      </c>
      <c r="E383" t="s">
        <v>1325</v>
      </c>
      <c r="F383" t="s">
        <v>523</v>
      </c>
      <c r="G383" t="s">
        <v>754</v>
      </c>
      <c r="H383" t="s">
        <v>1287</v>
      </c>
      <c r="I383" t="s">
        <v>1288</v>
      </c>
    </row>
    <row r="384" spans="1:9">
      <c r="A384" t="s">
        <v>100</v>
      </c>
      <c r="B384">
        <v>6</v>
      </c>
      <c r="C384">
        <v>6</v>
      </c>
      <c r="D384">
        <v>0</v>
      </c>
      <c r="E384" t="s">
        <v>1326</v>
      </c>
      <c r="F384" t="s">
        <v>524</v>
      </c>
      <c r="G384" t="s">
        <v>754</v>
      </c>
      <c r="H384" t="s">
        <v>1287</v>
      </c>
      <c r="I384" t="s">
        <v>1288</v>
      </c>
    </row>
    <row r="385" spans="1:9">
      <c r="A385" t="s">
        <v>100</v>
      </c>
      <c r="B385">
        <v>6</v>
      </c>
      <c r="C385">
        <v>6</v>
      </c>
      <c r="D385">
        <v>0</v>
      </c>
      <c r="E385" t="s">
        <v>1326</v>
      </c>
      <c r="F385" t="s">
        <v>1327</v>
      </c>
      <c r="G385" t="s">
        <v>754</v>
      </c>
      <c r="H385" t="s">
        <v>1287</v>
      </c>
      <c r="I385" t="s">
        <v>1288</v>
      </c>
    </row>
    <row r="386" spans="1:9">
      <c r="A386" t="s">
        <v>100</v>
      </c>
      <c r="B386">
        <v>6</v>
      </c>
      <c r="C386">
        <v>6</v>
      </c>
      <c r="D386">
        <v>1</v>
      </c>
      <c r="E386" t="s">
        <v>1328</v>
      </c>
      <c r="F386" t="s">
        <v>526</v>
      </c>
      <c r="G386" t="s">
        <v>754</v>
      </c>
      <c r="H386" t="s">
        <v>1287</v>
      </c>
      <c r="I386" t="s">
        <v>1288</v>
      </c>
    </row>
    <row r="387" spans="1:9">
      <c r="A387" t="s">
        <v>100</v>
      </c>
      <c r="B387">
        <v>6</v>
      </c>
      <c r="C387">
        <v>6</v>
      </c>
      <c r="D387">
        <v>2</v>
      </c>
      <c r="E387" t="s">
        <v>1329</v>
      </c>
      <c r="F387" t="s">
        <v>527</v>
      </c>
      <c r="G387" t="s">
        <v>754</v>
      </c>
      <c r="H387" t="s">
        <v>1287</v>
      </c>
      <c r="I387" t="s">
        <v>1288</v>
      </c>
    </row>
    <row r="388" spans="1:9">
      <c r="A388" t="s">
        <v>100</v>
      </c>
      <c r="B388">
        <v>7</v>
      </c>
      <c r="C388">
        <v>0</v>
      </c>
      <c r="D388">
        <v>0</v>
      </c>
      <c r="E388" t="s">
        <v>1330</v>
      </c>
      <c r="F388" t="s">
        <v>528</v>
      </c>
      <c r="G388" t="s">
        <v>754</v>
      </c>
      <c r="H388" t="s">
        <v>1287</v>
      </c>
      <c r="I388" t="s">
        <v>1288</v>
      </c>
    </row>
    <row r="389" spans="1:9">
      <c r="A389" t="s">
        <v>100</v>
      </c>
      <c r="B389">
        <v>7</v>
      </c>
      <c r="C389">
        <v>1</v>
      </c>
      <c r="D389">
        <v>0</v>
      </c>
      <c r="E389" t="s">
        <v>1331</v>
      </c>
      <c r="F389" t="s">
        <v>529</v>
      </c>
      <c r="G389" t="s">
        <v>754</v>
      </c>
      <c r="H389" t="s">
        <v>1287</v>
      </c>
      <c r="I389" t="s">
        <v>1288</v>
      </c>
    </row>
    <row r="390" spans="1:9">
      <c r="A390" t="s">
        <v>100</v>
      </c>
      <c r="B390">
        <v>7</v>
      </c>
      <c r="C390">
        <v>2</v>
      </c>
      <c r="D390">
        <v>0</v>
      </c>
      <c r="E390" t="s">
        <v>1332</v>
      </c>
      <c r="F390" t="s">
        <v>530</v>
      </c>
      <c r="G390" t="s">
        <v>754</v>
      </c>
      <c r="H390" t="s">
        <v>1287</v>
      </c>
      <c r="I390" t="s">
        <v>1288</v>
      </c>
    </row>
    <row r="391" spans="1:9">
      <c r="A391" t="s">
        <v>100</v>
      </c>
      <c r="B391">
        <v>8</v>
      </c>
      <c r="C391">
        <v>0</v>
      </c>
      <c r="D391">
        <v>0</v>
      </c>
      <c r="E391" t="s">
        <v>1333</v>
      </c>
      <c r="F391" t="s">
        <v>531</v>
      </c>
      <c r="G391" t="s">
        <v>754</v>
      </c>
      <c r="H391" t="s">
        <v>1287</v>
      </c>
      <c r="I391" t="s">
        <v>1288</v>
      </c>
    </row>
    <row r="392" spans="1:9">
      <c r="A392" t="s">
        <v>100</v>
      </c>
      <c r="B392">
        <v>8</v>
      </c>
      <c r="C392">
        <v>1</v>
      </c>
      <c r="D392">
        <v>0</v>
      </c>
      <c r="E392" t="s">
        <v>1334</v>
      </c>
      <c r="F392" t="s">
        <v>532</v>
      </c>
      <c r="G392" t="s">
        <v>754</v>
      </c>
      <c r="H392" t="s">
        <v>1287</v>
      </c>
      <c r="I392" t="s">
        <v>1288</v>
      </c>
    </row>
    <row r="393" spans="1:9">
      <c r="A393" t="s">
        <v>100</v>
      </c>
      <c r="B393">
        <v>9</v>
      </c>
      <c r="C393">
        <v>0</v>
      </c>
      <c r="D393">
        <v>0</v>
      </c>
      <c r="E393" t="s">
        <v>1335</v>
      </c>
      <c r="F393" t="s">
        <v>533</v>
      </c>
      <c r="G393" t="s">
        <v>754</v>
      </c>
      <c r="H393" t="s">
        <v>1287</v>
      </c>
      <c r="I393" t="s">
        <v>1288</v>
      </c>
    </row>
    <row r="394" spans="1:9">
      <c r="A394" t="s">
        <v>100</v>
      </c>
      <c r="B394">
        <v>9</v>
      </c>
      <c r="C394">
        <v>1</v>
      </c>
      <c r="D394">
        <v>0</v>
      </c>
      <c r="E394" t="s">
        <v>1336</v>
      </c>
      <c r="F394" t="s">
        <v>534</v>
      </c>
      <c r="G394" t="s">
        <v>754</v>
      </c>
      <c r="H394" t="s">
        <v>1287</v>
      </c>
      <c r="I394" t="s">
        <v>1288</v>
      </c>
    </row>
    <row r="395" spans="1:9">
      <c r="A395" t="s">
        <v>100</v>
      </c>
      <c r="B395">
        <v>10</v>
      </c>
      <c r="C395">
        <v>0</v>
      </c>
      <c r="D395">
        <v>0</v>
      </c>
      <c r="E395" t="s">
        <v>1337</v>
      </c>
      <c r="F395" t="s">
        <v>535</v>
      </c>
      <c r="G395" t="s">
        <v>754</v>
      </c>
      <c r="H395" t="s">
        <v>1287</v>
      </c>
      <c r="I395" t="s">
        <v>1288</v>
      </c>
    </row>
    <row r="396" spans="1:9">
      <c r="A396" t="s">
        <v>100</v>
      </c>
      <c r="B396">
        <v>10</v>
      </c>
      <c r="C396">
        <v>1</v>
      </c>
      <c r="D396">
        <v>0</v>
      </c>
      <c r="E396" t="s">
        <v>1338</v>
      </c>
      <c r="F396" t="s">
        <v>536</v>
      </c>
      <c r="G396" t="s">
        <v>754</v>
      </c>
      <c r="H396" t="s">
        <v>1287</v>
      </c>
      <c r="I396" t="s">
        <v>1288</v>
      </c>
    </row>
    <row r="397" spans="1:9">
      <c r="A397" t="s">
        <v>111</v>
      </c>
      <c r="B397">
        <v>0</v>
      </c>
      <c r="C397">
        <v>0</v>
      </c>
      <c r="D397">
        <v>0</v>
      </c>
      <c r="E397" t="s">
        <v>1339</v>
      </c>
      <c r="F397" t="s">
        <v>537</v>
      </c>
      <c r="G397" t="s">
        <v>799</v>
      </c>
      <c r="H397" t="s">
        <v>1340</v>
      </c>
      <c r="I397" t="s">
        <v>1341</v>
      </c>
    </row>
    <row r="398" spans="1:9">
      <c r="A398" t="s">
        <v>111</v>
      </c>
      <c r="B398">
        <v>1</v>
      </c>
      <c r="C398">
        <v>0</v>
      </c>
      <c r="D398">
        <v>0</v>
      </c>
      <c r="E398" t="s">
        <v>1342</v>
      </c>
      <c r="F398" t="s">
        <v>538</v>
      </c>
      <c r="G398" t="s">
        <v>799</v>
      </c>
      <c r="H398" t="s">
        <v>1340</v>
      </c>
      <c r="I398" t="s">
        <v>1341</v>
      </c>
    </row>
    <row r="399" spans="1:9">
      <c r="A399" t="s">
        <v>111</v>
      </c>
      <c r="B399">
        <v>1</v>
      </c>
      <c r="C399">
        <v>1</v>
      </c>
      <c r="D399">
        <v>0</v>
      </c>
      <c r="E399" t="s">
        <v>1343</v>
      </c>
      <c r="F399" t="s">
        <v>539</v>
      </c>
      <c r="G399" t="s">
        <v>799</v>
      </c>
      <c r="H399" t="s">
        <v>1340</v>
      </c>
      <c r="I399" t="s">
        <v>1341</v>
      </c>
    </row>
    <row r="400" spans="1:9">
      <c r="A400" t="s">
        <v>111</v>
      </c>
      <c r="B400">
        <v>1</v>
      </c>
      <c r="C400">
        <v>2</v>
      </c>
      <c r="D400">
        <v>0</v>
      </c>
      <c r="E400" t="s">
        <v>1344</v>
      </c>
      <c r="F400" t="s">
        <v>540</v>
      </c>
      <c r="G400" t="s">
        <v>799</v>
      </c>
      <c r="H400" t="s">
        <v>1340</v>
      </c>
      <c r="I400" t="s">
        <v>1341</v>
      </c>
    </row>
    <row r="401" spans="1:9">
      <c r="A401" t="s">
        <v>111</v>
      </c>
      <c r="B401">
        <v>2</v>
      </c>
      <c r="C401">
        <v>0</v>
      </c>
      <c r="D401">
        <v>0</v>
      </c>
      <c r="E401" t="s">
        <v>1345</v>
      </c>
      <c r="F401" t="s">
        <v>541</v>
      </c>
      <c r="G401" t="s">
        <v>799</v>
      </c>
      <c r="H401" t="s">
        <v>1340</v>
      </c>
      <c r="I401" t="s">
        <v>1341</v>
      </c>
    </row>
    <row r="402" spans="1:9">
      <c r="A402" t="s">
        <v>111</v>
      </c>
      <c r="B402">
        <v>2</v>
      </c>
      <c r="C402">
        <v>1</v>
      </c>
      <c r="D402">
        <v>0</v>
      </c>
      <c r="E402" t="s">
        <v>1346</v>
      </c>
      <c r="F402" t="s">
        <v>542</v>
      </c>
      <c r="G402" t="s">
        <v>799</v>
      </c>
      <c r="H402" t="s">
        <v>1340</v>
      </c>
      <c r="I402" t="s">
        <v>1341</v>
      </c>
    </row>
    <row r="403" spans="1:9">
      <c r="A403" t="s">
        <v>111</v>
      </c>
      <c r="B403">
        <v>2</v>
      </c>
      <c r="C403">
        <v>1</v>
      </c>
      <c r="D403">
        <v>1</v>
      </c>
      <c r="E403" t="s">
        <v>1347</v>
      </c>
      <c r="F403" t="s">
        <v>543</v>
      </c>
      <c r="G403" t="s">
        <v>799</v>
      </c>
      <c r="H403" t="s">
        <v>1340</v>
      </c>
      <c r="I403" t="s">
        <v>1341</v>
      </c>
    </row>
    <row r="404" spans="1:9">
      <c r="A404" t="s">
        <v>111</v>
      </c>
      <c r="B404">
        <v>2</v>
      </c>
      <c r="C404">
        <v>1</v>
      </c>
      <c r="D404">
        <v>2</v>
      </c>
      <c r="E404" t="s">
        <v>1348</v>
      </c>
      <c r="F404" t="s">
        <v>544</v>
      </c>
      <c r="G404" t="s">
        <v>799</v>
      </c>
      <c r="H404" t="s">
        <v>1340</v>
      </c>
      <c r="I404" t="s">
        <v>1341</v>
      </c>
    </row>
    <row r="405" spans="1:9">
      <c r="A405" t="s">
        <v>111</v>
      </c>
      <c r="B405">
        <v>2</v>
      </c>
      <c r="C405">
        <v>1</v>
      </c>
      <c r="D405">
        <v>3</v>
      </c>
      <c r="E405" t="s">
        <v>1349</v>
      </c>
      <c r="F405" t="s">
        <v>545</v>
      </c>
      <c r="G405" t="s">
        <v>799</v>
      </c>
      <c r="H405" t="s">
        <v>1340</v>
      </c>
      <c r="I405" t="s">
        <v>1341</v>
      </c>
    </row>
    <row r="406" spans="1:9">
      <c r="A406" t="s">
        <v>111</v>
      </c>
      <c r="B406">
        <v>2</v>
      </c>
      <c r="C406">
        <v>2</v>
      </c>
      <c r="D406">
        <v>0</v>
      </c>
      <c r="E406" t="s">
        <v>1350</v>
      </c>
      <c r="F406" t="s">
        <v>546</v>
      </c>
      <c r="G406" t="s">
        <v>799</v>
      </c>
      <c r="H406" t="s">
        <v>1340</v>
      </c>
      <c r="I406" t="s">
        <v>1341</v>
      </c>
    </row>
    <row r="407" spans="1:9">
      <c r="A407" t="s">
        <v>111</v>
      </c>
      <c r="B407">
        <v>2</v>
      </c>
      <c r="C407">
        <v>3</v>
      </c>
      <c r="D407">
        <v>0</v>
      </c>
      <c r="E407" t="s">
        <v>1351</v>
      </c>
      <c r="F407" t="s">
        <v>547</v>
      </c>
      <c r="G407" t="s">
        <v>799</v>
      </c>
      <c r="H407" t="s">
        <v>1340</v>
      </c>
      <c r="I407" t="s">
        <v>1341</v>
      </c>
    </row>
    <row r="408" spans="1:9">
      <c r="A408" t="s">
        <v>111</v>
      </c>
      <c r="B408">
        <v>3</v>
      </c>
      <c r="C408">
        <v>0</v>
      </c>
      <c r="D408">
        <v>0</v>
      </c>
      <c r="E408" t="s">
        <v>1352</v>
      </c>
      <c r="F408" t="s">
        <v>548</v>
      </c>
      <c r="G408" t="s">
        <v>799</v>
      </c>
      <c r="H408" t="s">
        <v>1340</v>
      </c>
      <c r="I408" t="s">
        <v>1341</v>
      </c>
    </row>
    <row r="409" spans="1:9">
      <c r="A409" t="s">
        <v>111</v>
      </c>
      <c r="B409">
        <v>3</v>
      </c>
      <c r="C409">
        <v>1</v>
      </c>
      <c r="D409">
        <v>0</v>
      </c>
      <c r="E409" t="s">
        <v>1353</v>
      </c>
      <c r="F409" t="s">
        <v>549</v>
      </c>
      <c r="G409" t="s">
        <v>799</v>
      </c>
      <c r="H409" t="s">
        <v>1340</v>
      </c>
      <c r="I409" t="s">
        <v>1341</v>
      </c>
    </row>
    <row r="410" spans="1:9">
      <c r="A410" t="s">
        <v>111</v>
      </c>
      <c r="B410">
        <v>4</v>
      </c>
      <c r="C410">
        <v>0</v>
      </c>
      <c r="D410">
        <v>0</v>
      </c>
      <c r="E410" t="s">
        <v>1354</v>
      </c>
      <c r="F410" t="s">
        <v>550</v>
      </c>
      <c r="G410" t="s">
        <v>799</v>
      </c>
      <c r="H410" t="s">
        <v>1340</v>
      </c>
      <c r="I410" t="s">
        <v>1341</v>
      </c>
    </row>
    <row r="411" spans="1:9">
      <c r="A411" t="s">
        <v>111</v>
      </c>
      <c r="B411">
        <v>4</v>
      </c>
      <c r="C411">
        <v>1</v>
      </c>
      <c r="D411">
        <v>0</v>
      </c>
      <c r="E411" t="s">
        <v>1355</v>
      </c>
      <c r="F411" t="s">
        <v>551</v>
      </c>
      <c r="G411" t="s">
        <v>799</v>
      </c>
      <c r="H411" t="s">
        <v>1340</v>
      </c>
      <c r="I411" t="s">
        <v>1341</v>
      </c>
    </row>
    <row r="412" spans="1:9">
      <c r="A412" t="s">
        <v>116</v>
      </c>
      <c r="B412">
        <v>0</v>
      </c>
      <c r="C412">
        <v>0</v>
      </c>
      <c r="D412">
        <v>0</v>
      </c>
      <c r="E412" t="s">
        <v>1356</v>
      </c>
      <c r="F412" t="s">
        <v>552</v>
      </c>
      <c r="G412" t="s">
        <v>812</v>
      </c>
      <c r="H412" t="s">
        <v>813</v>
      </c>
      <c r="I412" t="s">
        <v>815</v>
      </c>
    </row>
    <row r="413" spans="1:9">
      <c r="A413" t="s">
        <v>116</v>
      </c>
      <c r="B413">
        <v>1</v>
      </c>
      <c r="C413">
        <v>0</v>
      </c>
      <c r="D413">
        <v>0</v>
      </c>
      <c r="E413" t="s">
        <v>1357</v>
      </c>
      <c r="F413" t="s">
        <v>553</v>
      </c>
      <c r="G413" t="s">
        <v>812</v>
      </c>
      <c r="H413" t="s">
        <v>813</v>
      </c>
      <c r="I413" t="s">
        <v>815</v>
      </c>
    </row>
    <row r="414" spans="1:9">
      <c r="A414" t="s">
        <v>116</v>
      </c>
      <c r="B414">
        <v>1</v>
      </c>
      <c r="C414">
        <v>1</v>
      </c>
      <c r="D414">
        <v>0</v>
      </c>
      <c r="E414" t="s">
        <v>1358</v>
      </c>
      <c r="F414" t="s">
        <v>554</v>
      </c>
      <c r="G414" t="s">
        <v>812</v>
      </c>
      <c r="H414" t="s">
        <v>813</v>
      </c>
      <c r="I414" t="s">
        <v>815</v>
      </c>
    </row>
    <row r="415" spans="1:9">
      <c r="A415" t="s">
        <v>116</v>
      </c>
      <c r="B415">
        <v>1</v>
      </c>
      <c r="C415">
        <v>2</v>
      </c>
      <c r="D415">
        <v>0</v>
      </c>
      <c r="E415" t="s">
        <v>1359</v>
      </c>
      <c r="F415" t="s">
        <v>555</v>
      </c>
      <c r="G415" t="s">
        <v>812</v>
      </c>
      <c r="H415" t="s">
        <v>813</v>
      </c>
      <c r="I415" t="s">
        <v>815</v>
      </c>
    </row>
    <row r="416" spans="1:9">
      <c r="A416" t="s">
        <v>116</v>
      </c>
      <c r="B416">
        <v>2</v>
      </c>
      <c r="C416">
        <v>0</v>
      </c>
      <c r="D416">
        <v>0</v>
      </c>
      <c r="E416" t="s">
        <v>1360</v>
      </c>
      <c r="F416" t="s">
        <v>556</v>
      </c>
      <c r="G416" t="s">
        <v>812</v>
      </c>
      <c r="H416" t="s">
        <v>813</v>
      </c>
      <c r="I416" t="s">
        <v>815</v>
      </c>
    </row>
    <row r="417" spans="1:9">
      <c r="A417" t="s">
        <v>116</v>
      </c>
      <c r="B417">
        <v>2</v>
      </c>
      <c r="C417">
        <v>1</v>
      </c>
      <c r="D417">
        <v>0</v>
      </c>
      <c r="E417" t="s">
        <v>1361</v>
      </c>
      <c r="F417" t="s">
        <v>557</v>
      </c>
      <c r="G417" t="s">
        <v>812</v>
      </c>
      <c r="H417" t="s">
        <v>813</v>
      </c>
      <c r="I417" t="s">
        <v>815</v>
      </c>
    </row>
    <row r="418" spans="1:9">
      <c r="A418" t="s">
        <v>116</v>
      </c>
      <c r="B418">
        <v>3</v>
      </c>
      <c r="C418">
        <v>0</v>
      </c>
      <c r="D418">
        <v>0</v>
      </c>
      <c r="E418" t="s">
        <v>1362</v>
      </c>
      <c r="F418" t="s">
        <v>558</v>
      </c>
      <c r="G418" t="s">
        <v>812</v>
      </c>
      <c r="H418" t="s">
        <v>813</v>
      </c>
      <c r="I418" t="s">
        <v>815</v>
      </c>
    </row>
    <row r="419" spans="1:9">
      <c r="A419" t="s">
        <v>116</v>
      </c>
      <c r="B419">
        <v>3</v>
      </c>
      <c r="C419">
        <v>1</v>
      </c>
      <c r="D419">
        <v>0</v>
      </c>
      <c r="E419" t="s">
        <v>1363</v>
      </c>
      <c r="F419" t="s">
        <v>559</v>
      </c>
      <c r="G419" t="s">
        <v>812</v>
      </c>
      <c r="H419" t="s">
        <v>813</v>
      </c>
      <c r="I419" t="s">
        <v>815</v>
      </c>
    </row>
    <row r="420" spans="1:9">
      <c r="A420" t="s">
        <v>116</v>
      </c>
      <c r="B420">
        <v>3</v>
      </c>
      <c r="C420">
        <v>2</v>
      </c>
      <c r="D420">
        <v>0</v>
      </c>
      <c r="E420" t="s">
        <v>1364</v>
      </c>
      <c r="F420" t="s">
        <v>560</v>
      </c>
      <c r="G420" t="s">
        <v>812</v>
      </c>
      <c r="H420" t="s">
        <v>813</v>
      </c>
      <c r="I420" t="s">
        <v>815</v>
      </c>
    </row>
    <row r="421" spans="1:9">
      <c r="A421" t="s">
        <v>116</v>
      </c>
      <c r="B421">
        <v>4</v>
      </c>
      <c r="C421">
        <v>0</v>
      </c>
      <c r="D421">
        <v>0</v>
      </c>
      <c r="E421" t="s">
        <v>1365</v>
      </c>
      <c r="F421" t="s">
        <v>561</v>
      </c>
      <c r="G421" t="s">
        <v>812</v>
      </c>
      <c r="H421" t="s">
        <v>813</v>
      </c>
      <c r="I421" t="s">
        <v>815</v>
      </c>
    </row>
    <row r="422" spans="1:9">
      <c r="A422" t="s">
        <v>116</v>
      </c>
      <c r="B422">
        <v>4</v>
      </c>
      <c r="C422">
        <v>1</v>
      </c>
      <c r="D422">
        <v>0</v>
      </c>
      <c r="E422" t="s">
        <v>1366</v>
      </c>
      <c r="F422" t="s">
        <v>562</v>
      </c>
      <c r="G422" t="s">
        <v>812</v>
      </c>
      <c r="H422" t="s">
        <v>813</v>
      </c>
      <c r="I422" t="s">
        <v>815</v>
      </c>
    </row>
    <row r="423" spans="1:9">
      <c r="A423" t="s">
        <v>116</v>
      </c>
      <c r="B423">
        <v>5</v>
      </c>
      <c r="C423">
        <v>0</v>
      </c>
      <c r="D423">
        <v>0</v>
      </c>
      <c r="E423" t="s">
        <v>1367</v>
      </c>
      <c r="F423" t="s">
        <v>563</v>
      </c>
      <c r="G423" t="s">
        <v>812</v>
      </c>
      <c r="H423" t="s">
        <v>813</v>
      </c>
      <c r="I423" t="s">
        <v>815</v>
      </c>
    </row>
    <row r="424" spans="1:9">
      <c r="A424" t="s">
        <v>116</v>
      </c>
      <c r="B424">
        <v>5</v>
      </c>
      <c r="C424">
        <v>1</v>
      </c>
      <c r="D424">
        <v>0</v>
      </c>
      <c r="E424" t="s">
        <v>1368</v>
      </c>
      <c r="F424" t="s">
        <v>564</v>
      </c>
      <c r="G424" t="s">
        <v>812</v>
      </c>
      <c r="H424" t="s">
        <v>813</v>
      </c>
      <c r="I424" t="s">
        <v>815</v>
      </c>
    </row>
    <row r="425" spans="1:9">
      <c r="A425" t="s">
        <v>116</v>
      </c>
      <c r="B425">
        <v>5</v>
      </c>
      <c r="C425">
        <v>2</v>
      </c>
      <c r="D425">
        <v>0</v>
      </c>
      <c r="E425" t="s">
        <v>1369</v>
      </c>
      <c r="F425" t="s">
        <v>565</v>
      </c>
      <c r="G425" t="s">
        <v>812</v>
      </c>
      <c r="H425" t="s">
        <v>813</v>
      </c>
      <c r="I425" t="s">
        <v>815</v>
      </c>
    </row>
    <row r="426" spans="1:9">
      <c r="A426" t="s">
        <v>116</v>
      </c>
      <c r="B426">
        <v>5</v>
      </c>
      <c r="C426">
        <v>3</v>
      </c>
      <c r="D426">
        <v>0</v>
      </c>
      <c r="E426" t="s">
        <v>1370</v>
      </c>
      <c r="F426" t="s">
        <v>566</v>
      </c>
      <c r="G426" t="s">
        <v>812</v>
      </c>
      <c r="H426" t="s">
        <v>813</v>
      </c>
      <c r="I426" t="s">
        <v>815</v>
      </c>
    </row>
    <row r="427" spans="1:9">
      <c r="A427" t="s">
        <v>116</v>
      </c>
      <c r="B427">
        <v>5</v>
      </c>
      <c r="C427">
        <v>4</v>
      </c>
      <c r="D427">
        <v>0</v>
      </c>
      <c r="E427" t="s">
        <v>1371</v>
      </c>
      <c r="F427" t="s">
        <v>567</v>
      </c>
      <c r="G427" t="s">
        <v>812</v>
      </c>
      <c r="H427" t="s">
        <v>813</v>
      </c>
      <c r="I427" t="s">
        <v>815</v>
      </c>
    </row>
    <row r="428" spans="1:9">
      <c r="A428" t="s">
        <v>116</v>
      </c>
      <c r="B428">
        <v>6</v>
      </c>
      <c r="C428">
        <v>0</v>
      </c>
      <c r="D428">
        <v>0</v>
      </c>
      <c r="E428" t="s">
        <v>1372</v>
      </c>
      <c r="F428" t="s">
        <v>568</v>
      </c>
      <c r="G428" t="s">
        <v>812</v>
      </c>
      <c r="H428" t="s">
        <v>813</v>
      </c>
      <c r="I428" t="s">
        <v>815</v>
      </c>
    </row>
    <row r="429" spans="1:9">
      <c r="A429" t="s">
        <v>116</v>
      </c>
      <c r="B429">
        <v>6</v>
      </c>
      <c r="C429">
        <v>1</v>
      </c>
      <c r="D429">
        <v>0</v>
      </c>
      <c r="E429" t="s">
        <v>1373</v>
      </c>
      <c r="F429" t="s">
        <v>569</v>
      </c>
      <c r="G429" t="s">
        <v>812</v>
      </c>
      <c r="H429" t="s">
        <v>813</v>
      </c>
      <c r="I429" t="s">
        <v>815</v>
      </c>
    </row>
    <row r="430" spans="1:9">
      <c r="A430" t="s">
        <v>116</v>
      </c>
      <c r="B430">
        <v>6</v>
      </c>
      <c r="C430">
        <v>1</v>
      </c>
      <c r="D430">
        <v>1</v>
      </c>
      <c r="E430" t="s">
        <v>1374</v>
      </c>
      <c r="F430" t="s">
        <v>570</v>
      </c>
      <c r="G430" t="s">
        <v>812</v>
      </c>
      <c r="H430" t="s">
        <v>813</v>
      </c>
      <c r="I430" t="s">
        <v>815</v>
      </c>
    </row>
    <row r="431" spans="1:9">
      <c r="A431" t="s">
        <v>116</v>
      </c>
      <c r="B431">
        <v>6</v>
      </c>
      <c r="C431">
        <v>1</v>
      </c>
      <c r="D431">
        <v>2</v>
      </c>
      <c r="E431" t="s">
        <v>1375</v>
      </c>
      <c r="F431" t="s">
        <v>571</v>
      </c>
      <c r="G431" t="s">
        <v>812</v>
      </c>
      <c r="H431" t="s">
        <v>813</v>
      </c>
      <c r="I431" t="s">
        <v>815</v>
      </c>
    </row>
    <row r="432" spans="1:9">
      <c r="A432" t="s">
        <v>116</v>
      </c>
      <c r="B432">
        <v>6</v>
      </c>
      <c r="C432">
        <v>1</v>
      </c>
      <c r="D432">
        <v>3</v>
      </c>
      <c r="E432" t="s">
        <v>1376</v>
      </c>
      <c r="F432" t="s">
        <v>572</v>
      </c>
      <c r="G432" t="s">
        <v>812</v>
      </c>
      <c r="H432" t="s">
        <v>813</v>
      </c>
      <c r="I432" t="s">
        <v>815</v>
      </c>
    </row>
    <row r="433" spans="1:9">
      <c r="A433" t="s">
        <v>116</v>
      </c>
      <c r="B433">
        <v>6</v>
      </c>
      <c r="C433">
        <v>2</v>
      </c>
      <c r="D433">
        <v>0</v>
      </c>
      <c r="E433" t="s">
        <v>1377</v>
      </c>
      <c r="F433" t="s">
        <v>573</v>
      </c>
      <c r="G433" t="s">
        <v>812</v>
      </c>
      <c r="H433" t="s">
        <v>813</v>
      </c>
      <c r="I433" t="s">
        <v>815</v>
      </c>
    </row>
    <row r="434" spans="1:9">
      <c r="A434" t="s">
        <v>124</v>
      </c>
      <c r="B434">
        <v>0</v>
      </c>
      <c r="C434">
        <v>0</v>
      </c>
      <c r="D434">
        <v>0</v>
      </c>
      <c r="E434" t="s">
        <v>1378</v>
      </c>
      <c r="F434" t="s">
        <v>574</v>
      </c>
      <c r="G434" t="s">
        <v>763</v>
      </c>
      <c r="H434" t="s">
        <v>764</v>
      </c>
      <c r="I434" t="s">
        <v>765</v>
      </c>
    </row>
    <row r="435" spans="1:9">
      <c r="A435" t="s">
        <v>124</v>
      </c>
      <c r="B435">
        <v>1</v>
      </c>
      <c r="C435">
        <v>0</v>
      </c>
      <c r="D435">
        <v>0</v>
      </c>
      <c r="E435" t="s">
        <v>1379</v>
      </c>
      <c r="F435" t="s">
        <v>575</v>
      </c>
      <c r="G435" t="s">
        <v>763</v>
      </c>
      <c r="H435" t="s">
        <v>764</v>
      </c>
      <c r="I435" t="s">
        <v>765</v>
      </c>
    </row>
    <row r="436" spans="1:9">
      <c r="A436" t="s">
        <v>124</v>
      </c>
      <c r="B436">
        <v>1</v>
      </c>
      <c r="C436">
        <v>1</v>
      </c>
      <c r="D436">
        <v>0</v>
      </c>
      <c r="E436" t="s">
        <v>1380</v>
      </c>
      <c r="F436" t="s">
        <v>576</v>
      </c>
      <c r="G436" t="s">
        <v>763</v>
      </c>
      <c r="H436" t="s">
        <v>764</v>
      </c>
      <c r="I436" t="s">
        <v>765</v>
      </c>
    </row>
    <row r="437" spans="1:9">
      <c r="A437" t="s">
        <v>124</v>
      </c>
      <c r="B437">
        <v>1</v>
      </c>
      <c r="C437">
        <v>2</v>
      </c>
      <c r="D437">
        <v>0</v>
      </c>
      <c r="E437" t="s">
        <v>1381</v>
      </c>
      <c r="F437" t="s">
        <v>577</v>
      </c>
      <c r="G437" t="s">
        <v>763</v>
      </c>
      <c r="H437" t="s">
        <v>764</v>
      </c>
      <c r="I437" t="s">
        <v>765</v>
      </c>
    </row>
    <row r="438" spans="1:9">
      <c r="A438" t="s">
        <v>124</v>
      </c>
      <c r="B438">
        <v>1</v>
      </c>
      <c r="C438">
        <v>3</v>
      </c>
      <c r="D438">
        <v>0</v>
      </c>
      <c r="E438" t="s">
        <v>1382</v>
      </c>
      <c r="F438" t="s">
        <v>578</v>
      </c>
      <c r="G438" t="s">
        <v>763</v>
      </c>
      <c r="H438" t="s">
        <v>764</v>
      </c>
      <c r="I438" t="s">
        <v>765</v>
      </c>
    </row>
    <row r="439" spans="1:9">
      <c r="A439" t="s">
        <v>124</v>
      </c>
      <c r="B439">
        <v>2</v>
      </c>
      <c r="C439">
        <v>0</v>
      </c>
      <c r="D439">
        <v>0</v>
      </c>
      <c r="E439" t="s">
        <v>762</v>
      </c>
      <c r="F439" t="s">
        <v>579</v>
      </c>
      <c r="G439" t="s">
        <v>763</v>
      </c>
      <c r="H439" t="s">
        <v>764</v>
      </c>
      <c r="I439" t="s">
        <v>765</v>
      </c>
    </row>
    <row r="440" spans="1:9">
      <c r="A440" t="s">
        <v>124</v>
      </c>
      <c r="B440">
        <v>2</v>
      </c>
      <c r="C440">
        <v>1</v>
      </c>
      <c r="D440">
        <v>0</v>
      </c>
      <c r="E440" t="s">
        <v>1383</v>
      </c>
      <c r="F440" t="s">
        <v>580</v>
      </c>
      <c r="G440" t="s">
        <v>763</v>
      </c>
      <c r="H440" t="s">
        <v>764</v>
      </c>
      <c r="I440" t="s">
        <v>765</v>
      </c>
    </row>
    <row r="441" spans="1:9">
      <c r="A441" t="s">
        <v>124</v>
      </c>
      <c r="B441">
        <v>2</v>
      </c>
      <c r="C441">
        <v>2</v>
      </c>
      <c r="D441">
        <v>0</v>
      </c>
      <c r="E441" t="s">
        <v>1384</v>
      </c>
      <c r="F441" t="s">
        <v>581</v>
      </c>
      <c r="G441" t="s">
        <v>763</v>
      </c>
      <c r="H441" t="s">
        <v>764</v>
      </c>
      <c r="I441" t="s">
        <v>765</v>
      </c>
    </row>
    <row r="442" spans="1:9">
      <c r="A442" t="s">
        <v>124</v>
      </c>
      <c r="B442">
        <v>2</v>
      </c>
      <c r="C442">
        <v>3</v>
      </c>
      <c r="D442">
        <v>0</v>
      </c>
      <c r="E442" t="s">
        <v>1385</v>
      </c>
      <c r="F442" t="s">
        <v>582</v>
      </c>
      <c r="G442" t="s">
        <v>763</v>
      </c>
      <c r="H442" t="s">
        <v>764</v>
      </c>
      <c r="I442" t="s">
        <v>765</v>
      </c>
    </row>
    <row r="443" spans="1:9">
      <c r="A443" t="s">
        <v>124</v>
      </c>
      <c r="B443">
        <v>3</v>
      </c>
      <c r="C443">
        <v>0</v>
      </c>
      <c r="D443">
        <v>0</v>
      </c>
      <c r="E443" t="s">
        <v>1386</v>
      </c>
      <c r="F443" t="s">
        <v>583</v>
      </c>
      <c r="G443" t="s">
        <v>763</v>
      </c>
      <c r="H443" t="s">
        <v>764</v>
      </c>
      <c r="I443" t="s">
        <v>765</v>
      </c>
    </row>
    <row r="444" spans="1:9">
      <c r="A444" t="s">
        <v>124</v>
      </c>
      <c r="B444">
        <v>3</v>
      </c>
      <c r="C444">
        <v>1</v>
      </c>
      <c r="D444">
        <v>0</v>
      </c>
      <c r="E444" t="s">
        <v>1387</v>
      </c>
      <c r="F444" t="s">
        <v>584</v>
      </c>
      <c r="G444" t="s">
        <v>763</v>
      </c>
      <c r="H444" t="s">
        <v>764</v>
      </c>
      <c r="I444" t="s">
        <v>765</v>
      </c>
    </row>
    <row r="445" spans="1:9">
      <c r="A445" t="s">
        <v>124</v>
      </c>
      <c r="B445">
        <v>3</v>
      </c>
      <c r="C445">
        <v>1</v>
      </c>
      <c r="D445">
        <v>1</v>
      </c>
      <c r="E445" t="s">
        <v>1388</v>
      </c>
      <c r="F445" t="s">
        <v>502</v>
      </c>
      <c r="G445" t="s">
        <v>763</v>
      </c>
      <c r="H445" t="s">
        <v>764</v>
      </c>
      <c r="I445" t="s">
        <v>765</v>
      </c>
    </row>
    <row r="446" spans="1:9">
      <c r="A446" t="s">
        <v>124</v>
      </c>
      <c r="B446">
        <v>3</v>
      </c>
      <c r="C446">
        <v>1</v>
      </c>
      <c r="D446">
        <v>2</v>
      </c>
      <c r="E446" t="s">
        <v>1389</v>
      </c>
      <c r="F446" t="s">
        <v>503</v>
      </c>
      <c r="G446" t="s">
        <v>763</v>
      </c>
      <c r="H446" t="s">
        <v>764</v>
      </c>
      <c r="I446" t="s">
        <v>765</v>
      </c>
    </row>
    <row r="447" spans="1:9">
      <c r="A447" t="s">
        <v>124</v>
      </c>
      <c r="B447">
        <v>3</v>
      </c>
      <c r="C447">
        <v>1</v>
      </c>
      <c r="D447">
        <v>3</v>
      </c>
      <c r="E447" t="s">
        <v>1390</v>
      </c>
      <c r="F447" t="s">
        <v>504</v>
      </c>
      <c r="G447" t="s">
        <v>763</v>
      </c>
      <c r="H447" t="s">
        <v>764</v>
      </c>
      <c r="I447" t="s">
        <v>765</v>
      </c>
    </row>
    <row r="448" spans="1:9">
      <c r="A448" t="s">
        <v>124</v>
      </c>
      <c r="B448">
        <v>3</v>
      </c>
      <c r="C448">
        <v>1</v>
      </c>
      <c r="D448">
        <v>4</v>
      </c>
      <c r="E448" t="s">
        <v>1391</v>
      </c>
      <c r="F448" t="s">
        <v>585</v>
      </c>
      <c r="G448" t="s">
        <v>763</v>
      </c>
      <c r="H448" t="s">
        <v>764</v>
      </c>
      <c r="I448" t="s">
        <v>765</v>
      </c>
    </row>
    <row r="449" spans="1:9">
      <c r="A449" t="s">
        <v>124</v>
      </c>
      <c r="B449">
        <v>3</v>
      </c>
      <c r="C449">
        <v>2</v>
      </c>
      <c r="D449">
        <v>0</v>
      </c>
      <c r="E449" t="s">
        <v>1392</v>
      </c>
      <c r="F449" t="s">
        <v>586</v>
      </c>
      <c r="G449" t="s">
        <v>763</v>
      </c>
      <c r="H449" t="s">
        <v>764</v>
      </c>
      <c r="I449" t="s">
        <v>765</v>
      </c>
    </row>
    <row r="450" spans="1:9">
      <c r="A450" t="s">
        <v>124</v>
      </c>
      <c r="B450">
        <v>4</v>
      </c>
      <c r="C450">
        <v>0</v>
      </c>
      <c r="D450">
        <v>0</v>
      </c>
      <c r="E450" t="s">
        <v>1393</v>
      </c>
      <c r="F450" t="s">
        <v>587</v>
      </c>
      <c r="G450" t="s">
        <v>763</v>
      </c>
      <c r="H450" t="s">
        <v>764</v>
      </c>
      <c r="I450" t="s">
        <v>765</v>
      </c>
    </row>
    <row r="451" spans="1:9">
      <c r="A451" t="s">
        <v>124</v>
      </c>
      <c r="B451">
        <v>4</v>
      </c>
      <c r="C451">
        <v>1</v>
      </c>
      <c r="D451">
        <v>0</v>
      </c>
      <c r="E451" t="s">
        <v>1394</v>
      </c>
      <c r="F451" t="s">
        <v>588</v>
      </c>
      <c r="G451" t="s">
        <v>763</v>
      </c>
      <c r="H451" t="s">
        <v>764</v>
      </c>
      <c r="I451" t="s">
        <v>765</v>
      </c>
    </row>
    <row r="452" spans="1:9">
      <c r="A452" t="s">
        <v>124</v>
      </c>
      <c r="B452">
        <v>5</v>
      </c>
      <c r="C452">
        <v>0</v>
      </c>
      <c r="D452">
        <v>0</v>
      </c>
      <c r="E452" t="s">
        <v>1395</v>
      </c>
      <c r="F452" t="s">
        <v>589</v>
      </c>
      <c r="G452" t="s">
        <v>763</v>
      </c>
      <c r="H452" t="s">
        <v>764</v>
      </c>
      <c r="I452" t="s">
        <v>765</v>
      </c>
    </row>
    <row r="453" spans="1:9">
      <c r="A453" t="s">
        <v>124</v>
      </c>
      <c r="B453">
        <v>5</v>
      </c>
      <c r="C453">
        <v>1</v>
      </c>
      <c r="D453">
        <v>0</v>
      </c>
      <c r="E453" t="s">
        <v>1396</v>
      </c>
      <c r="F453" t="s">
        <v>590</v>
      </c>
      <c r="G453" t="s">
        <v>763</v>
      </c>
      <c r="H453" t="s">
        <v>764</v>
      </c>
      <c r="I453" t="s">
        <v>765</v>
      </c>
    </row>
    <row r="454" spans="1:9">
      <c r="A454" t="s">
        <v>124</v>
      </c>
      <c r="B454">
        <v>5</v>
      </c>
      <c r="C454">
        <v>1</v>
      </c>
      <c r="D454">
        <v>1</v>
      </c>
      <c r="E454" t="s">
        <v>1397</v>
      </c>
      <c r="F454" t="s">
        <v>591</v>
      </c>
      <c r="G454" t="s">
        <v>763</v>
      </c>
      <c r="H454" t="s">
        <v>764</v>
      </c>
      <c r="I454" t="s">
        <v>765</v>
      </c>
    </row>
    <row r="455" spans="1:9">
      <c r="A455" t="s">
        <v>124</v>
      </c>
      <c r="B455">
        <v>5</v>
      </c>
      <c r="C455">
        <v>1</v>
      </c>
      <c r="D455">
        <v>2</v>
      </c>
      <c r="E455" t="s">
        <v>1398</v>
      </c>
      <c r="F455" t="s">
        <v>592</v>
      </c>
      <c r="G455" t="s">
        <v>763</v>
      </c>
      <c r="H455" t="s">
        <v>764</v>
      </c>
      <c r="I455" t="s">
        <v>765</v>
      </c>
    </row>
    <row r="456" spans="1:9">
      <c r="A456" t="s">
        <v>124</v>
      </c>
      <c r="B456">
        <v>6</v>
      </c>
      <c r="C456">
        <v>0</v>
      </c>
      <c r="D456">
        <v>0</v>
      </c>
      <c r="E456" t="s">
        <v>1399</v>
      </c>
      <c r="F456" t="s">
        <v>593</v>
      </c>
      <c r="G456" t="s">
        <v>763</v>
      </c>
      <c r="H456" t="s">
        <v>764</v>
      </c>
      <c r="I456" t="s">
        <v>765</v>
      </c>
    </row>
    <row r="457" spans="1:9">
      <c r="A457" t="s">
        <v>124</v>
      </c>
      <c r="B457">
        <v>6</v>
      </c>
      <c r="C457">
        <v>1</v>
      </c>
      <c r="D457">
        <v>0</v>
      </c>
      <c r="E457" t="s">
        <v>1400</v>
      </c>
      <c r="F457" t="s">
        <v>594</v>
      </c>
      <c r="G457" t="s">
        <v>763</v>
      </c>
      <c r="H457" t="s">
        <v>764</v>
      </c>
      <c r="I457" t="s">
        <v>765</v>
      </c>
    </row>
    <row r="458" spans="1:9">
      <c r="A458" t="s">
        <v>124</v>
      </c>
      <c r="B458">
        <v>6</v>
      </c>
      <c r="C458">
        <v>2</v>
      </c>
      <c r="D458">
        <v>0</v>
      </c>
      <c r="E458" t="s">
        <v>1401</v>
      </c>
      <c r="F458" t="s">
        <v>595</v>
      </c>
      <c r="G458" t="s">
        <v>763</v>
      </c>
      <c r="H458" t="s">
        <v>764</v>
      </c>
      <c r="I458" t="s">
        <v>765</v>
      </c>
    </row>
    <row r="459" spans="1:9">
      <c r="A459" t="s">
        <v>124</v>
      </c>
      <c r="B459">
        <v>6</v>
      </c>
      <c r="C459">
        <v>3</v>
      </c>
      <c r="D459">
        <v>0</v>
      </c>
      <c r="E459" t="s">
        <v>1402</v>
      </c>
      <c r="F459" t="s">
        <v>596</v>
      </c>
      <c r="G459" t="s">
        <v>763</v>
      </c>
      <c r="H459" t="s">
        <v>764</v>
      </c>
      <c r="I459" t="s">
        <v>765</v>
      </c>
    </row>
    <row r="460" spans="1:9">
      <c r="A460" t="s">
        <v>124</v>
      </c>
      <c r="B460">
        <v>6</v>
      </c>
      <c r="C460">
        <v>3</v>
      </c>
      <c r="D460">
        <v>1</v>
      </c>
      <c r="E460" t="s">
        <v>1403</v>
      </c>
      <c r="F460" t="s">
        <v>502</v>
      </c>
      <c r="G460" t="s">
        <v>763</v>
      </c>
      <c r="H460" t="s">
        <v>764</v>
      </c>
      <c r="I460" t="s">
        <v>765</v>
      </c>
    </row>
    <row r="461" spans="1:9">
      <c r="A461" t="s">
        <v>124</v>
      </c>
      <c r="B461">
        <v>6</v>
      </c>
      <c r="C461">
        <v>3</v>
      </c>
      <c r="D461">
        <v>2</v>
      </c>
      <c r="E461" t="s">
        <v>1404</v>
      </c>
      <c r="F461" t="s">
        <v>503</v>
      </c>
      <c r="G461" t="s">
        <v>763</v>
      </c>
      <c r="H461" t="s">
        <v>764</v>
      </c>
      <c r="I461" t="s">
        <v>765</v>
      </c>
    </row>
    <row r="462" spans="1:9">
      <c r="A462" t="s">
        <v>124</v>
      </c>
      <c r="B462">
        <v>6</v>
      </c>
      <c r="C462">
        <v>3</v>
      </c>
      <c r="D462">
        <v>3</v>
      </c>
      <c r="E462" t="s">
        <v>1405</v>
      </c>
      <c r="F462" t="s">
        <v>504</v>
      </c>
      <c r="G462" t="s">
        <v>763</v>
      </c>
      <c r="H462" t="s">
        <v>764</v>
      </c>
      <c r="I462" t="s">
        <v>765</v>
      </c>
    </row>
    <row r="463" spans="1:9">
      <c r="A463" t="s">
        <v>124</v>
      </c>
      <c r="B463">
        <v>6</v>
      </c>
      <c r="C463">
        <v>3</v>
      </c>
      <c r="D463">
        <v>4</v>
      </c>
      <c r="E463" t="s">
        <v>1406</v>
      </c>
      <c r="F463" t="s">
        <v>597</v>
      </c>
      <c r="G463" t="s">
        <v>763</v>
      </c>
      <c r="H463" t="s">
        <v>764</v>
      </c>
      <c r="I463" t="s">
        <v>765</v>
      </c>
    </row>
    <row r="464" spans="1:9">
      <c r="A464" t="s">
        <v>124</v>
      </c>
      <c r="B464">
        <v>6</v>
      </c>
      <c r="C464">
        <v>3</v>
      </c>
      <c r="D464">
        <v>5</v>
      </c>
      <c r="E464" t="s">
        <v>1407</v>
      </c>
      <c r="F464" t="s">
        <v>598</v>
      </c>
      <c r="G464" t="s">
        <v>763</v>
      </c>
      <c r="H464" t="s">
        <v>764</v>
      </c>
      <c r="I464" t="s">
        <v>765</v>
      </c>
    </row>
    <row r="465" spans="1:9">
      <c r="A465" t="s">
        <v>124</v>
      </c>
      <c r="B465">
        <v>6</v>
      </c>
      <c r="C465">
        <v>3</v>
      </c>
      <c r="D465">
        <v>6</v>
      </c>
      <c r="E465" t="s">
        <v>1408</v>
      </c>
      <c r="F465" t="s">
        <v>599</v>
      </c>
      <c r="G465" t="s">
        <v>763</v>
      </c>
      <c r="H465" t="s">
        <v>764</v>
      </c>
      <c r="I465" t="s">
        <v>765</v>
      </c>
    </row>
    <row r="466" spans="1:9">
      <c r="A466" t="s">
        <v>124</v>
      </c>
      <c r="B466">
        <v>6</v>
      </c>
      <c r="C466">
        <v>3</v>
      </c>
      <c r="D466">
        <v>7</v>
      </c>
      <c r="E466" t="s">
        <v>1409</v>
      </c>
      <c r="F466" t="s">
        <v>600</v>
      </c>
      <c r="G466" t="s">
        <v>763</v>
      </c>
      <c r="H466" t="s">
        <v>764</v>
      </c>
      <c r="I466" t="s">
        <v>765</v>
      </c>
    </row>
    <row r="467" spans="1:9">
      <c r="A467" t="s">
        <v>124</v>
      </c>
      <c r="B467">
        <v>6</v>
      </c>
      <c r="C467">
        <v>3</v>
      </c>
      <c r="D467">
        <v>8</v>
      </c>
      <c r="E467" t="s">
        <v>1410</v>
      </c>
      <c r="F467" t="s">
        <v>601</v>
      </c>
      <c r="G467" t="s">
        <v>763</v>
      </c>
      <c r="H467" t="s">
        <v>764</v>
      </c>
      <c r="I467" t="s">
        <v>765</v>
      </c>
    </row>
    <row r="468" spans="1:9">
      <c r="A468" t="s">
        <v>124</v>
      </c>
      <c r="B468">
        <v>6</v>
      </c>
      <c r="C468">
        <v>3</v>
      </c>
      <c r="D468">
        <v>9</v>
      </c>
      <c r="E468" t="s">
        <v>1411</v>
      </c>
      <c r="F468" t="s">
        <v>602</v>
      </c>
      <c r="G468" t="s">
        <v>763</v>
      </c>
      <c r="H468" t="s">
        <v>764</v>
      </c>
      <c r="I468" t="s">
        <v>765</v>
      </c>
    </row>
    <row r="469" spans="1:9">
      <c r="A469" t="s">
        <v>124</v>
      </c>
      <c r="B469">
        <v>6</v>
      </c>
      <c r="C469">
        <v>3</v>
      </c>
      <c r="D469">
        <v>10</v>
      </c>
      <c r="E469" t="s">
        <v>1412</v>
      </c>
      <c r="F469" t="s">
        <v>603</v>
      </c>
      <c r="G469" t="s">
        <v>763</v>
      </c>
      <c r="H469" t="s">
        <v>764</v>
      </c>
      <c r="I469" t="s">
        <v>765</v>
      </c>
    </row>
    <row r="470" spans="1:9">
      <c r="A470" t="s">
        <v>124</v>
      </c>
      <c r="B470">
        <v>6</v>
      </c>
      <c r="C470">
        <v>3</v>
      </c>
      <c r="D470">
        <v>11</v>
      </c>
      <c r="E470" t="s">
        <v>1413</v>
      </c>
      <c r="F470" t="s">
        <v>604</v>
      </c>
      <c r="G470" t="s">
        <v>763</v>
      </c>
      <c r="H470" t="s">
        <v>764</v>
      </c>
      <c r="I470" t="s">
        <v>765</v>
      </c>
    </row>
    <row r="471" spans="1:9">
      <c r="A471" t="s">
        <v>124</v>
      </c>
      <c r="B471">
        <v>6</v>
      </c>
      <c r="C471">
        <v>3</v>
      </c>
      <c r="D471">
        <v>12</v>
      </c>
      <c r="E471" t="s">
        <v>1414</v>
      </c>
      <c r="F471" t="s">
        <v>605</v>
      </c>
      <c r="G471" t="s">
        <v>763</v>
      </c>
      <c r="H471" t="s">
        <v>764</v>
      </c>
      <c r="I471" t="s">
        <v>765</v>
      </c>
    </row>
    <row r="472" spans="1:9">
      <c r="A472" t="s">
        <v>124</v>
      </c>
      <c r="B472">
        <v>6</v>
      </c>
      <c r="C472">
        <v>4</v>
      </c>
      <c r="D472">
        <v>0</v>
      </c>
      <c r="E472" t="s">
        <v>1415</v>
      </c>
      <c r="F472" t="s">
        <v>606</v>
      </c>
      <c r="G472" t="s">
        <v>763</v>
      </c>
      <c r="H472" t="s">
        <v>764</v>
      </c>
      <c r="I472" t="s">
        <v>765</v>
      </c>
    </row>
    <row r="473" spans="1:9">
      <c r="A473" t="s">
        <v>124</v>
      </c>
      <c r="B473">
        <v>6</v>
      </c>
      <c r="C473">
        <v>5</v>
      </c>
      <c r="D473">
        <v>0</v>
      </c>
      <c r="E473" t="s">
        <v>1416</v>
      </c>
      <c r="F473" t="s">
        <v>607</v>
      </c>
      <c r="G473" t="s">
        <v>763</v>
      </c>
      <c r="H473" t="s">
        <v>764</v>
      </c>
      <c r="I473" t="s">
        <v>765</v>
      </c>
    </row>
    <row r="474" spans="1:9">
      <c r="A474" t="s">
        <v>124</v>
      </c>
      <c r="B474">
        <v>7</v>
      </c>
      <c r="C474">
        <v>0</v>
      </c>
      <c r="D474">
        <v>0</v>
      </c>
      <c r="E474" t="s">
        <v>1417</v>
      </c>
      <c r="F474" t="s">
        <v>608</v>
      </c>
      <c r="G474" t="s">
        <v>763</v>
      </c>
      <c r="H474" t="s">
        <v>764</v>
      </c>
      <c r="I474" t="s">
        <v>765</v>
      </c>
    </row>
    <row r="475" spans="1:9">
      <c r="A475" t="s">
        <v>124</v>
      </c>
      <c r="B475">
        <v>7</v>
      </c>
      <c r="C475">
        <v>1</v>
      </c>
      <c r="D475">
        <v>0</v>
      </c>
      <c r="E475" t="s">
        <v>1418</v>
      </c>
      <c r="F475" t="s">
        <v>609</v>
      </c>
      <c r="G475" t="s">
        <v>763</v>
      </c>
      <c r="H475" t="s">
        <v>764</v>
      </c>
      <c r="I475" t="s">
        <v>765</v>
      </c>
    </row>
    <row r="476" spans="1:9">
      <c r="A476" t="s">
        <v>131</v>
      </c>
      <c r="B476">
        <v>0</v>
      </c>
      <c r="C476">
        <v>0</v>
      </c>
      <c r="D476">
        <v>0</v>
      </c>
      <c r="E476" t="s">
        <v>1419</v>
      </c>
      <c r="F476" t="s">
        <v>610</v>
      </c>
      <c r="G476" t="s">
        <v>835</v>
      </c>
      <c r="H476" t="s">
        <v>836</v>
      </c>
      <c r="I476" t="s">
        <v>838</v>
      </c>
    </row>
    <row r="477" spans="1:9">
      <c r="A477" t="s">
        <v>131</v>
      </c>
      <c r="B477">
        <v>1</v>
      </c>
      <c r="C477">
        <v>0</v>
      </c>
      <c r="D477">
        <v>0</v>
      </c>
      <c r="E477" t="s">
        <v>1420</v>
      </c>
      <c r="F477" t="s">
        <v>611</v>
      </c>
      <c r="G477" t="s">
        <v>835</v>
      </c>
      <c r="H477" t="s">
        <v>836</v>
      </c>
      <c r="I477" t="s">
        <v>838</v>
      </c>
    </row>
    <row r="478" spans="1:9">
      <c r="A478" t="s">
        <v>131</v>
      </c>
      <c r="B478">
        <v>1</v>
      </c>
      <c r="C478">
        <v>1</v>
      </c>
      <c r="D478">
        <v>0</v>
      </c>
      <c r="E478" t="s">
        <v>1421</v>
      </c>
      <c r="F478" t="s">
        <v>612</v>
      </c>
      <c r="G478" t="s">
        <v>835</v>
      </c>
      <c r="H478" t="s">
        <v>836</v>
      </c>
      <c r="I478" t="s">
        <v>838</v>
      </c>
    </row>
    <row r="479" spans="1:9">
      <c r="A479" t="s">
        <v>131</v>
      </c>
      <c r="B479">
        <v>1</v>
      </c>
      <c r="C479">
        <v>2</v>
      </c>
      <c r="D479">
        <v>0</v>
      </c>
      <c r="E479" t="s">
        <v>1422</v>
      </c>
      <c r="F479" t="s">
        <v>613</v>
      </c>
      <c r="G479" t="s">
        <v>835</v>
      </c>
      <c r="H479" t="s">
        <v>836</v>
      </c>
      <c r="I479" t="s">
        <v>838</v>
      </c>
    </row>
    <row r="480" spans="1:9">
      <c r="A480" t="s">
        <v>131</v>
      </c>
      <c r="B480">
        <v>2</v>
      </c>
      <c r="C480">
        <v>0</v>
      </c>
      <c r="D480">
        <v>0</v>
      </c>
      <c r="E480" t="s">
        <v>1423</v>
      </c>
      <c r="F480" t="s">
        <v>614</v>
      </c>
      <c r="G480" t="s">
        <v>835</v>
      </c>
      <c r="H480" t="s">
        <v>836</v>
      </c>
      <c r="I480" t="s">
        <v>838</v>
      </c>
    </row>
    <row r="481" spans="1:9">
      <c r="A481" t="s">
        <v>131</v>
      </c>
      <c r="B481">
        <v>2</v>
      </c>
      <c r="C481">
        <v>1</v>
      </c>
      <c r="D481">
        <v>0</v>
      </c>
      <c r="E481" t="s">
        <v>1424</v>
      </c>
      <c r="F481" t="s">
        <v>615</v>
      </c>
      <c r="G481" t="s">
        <v>835</v>
      </c>
      <c r="H481" t="s">
        <v>836</v>
      </c>
      <c r="I481" t="s">
        <v>838</v>
      </c>
    </row>
    <row r="482" spans="1:9">
      <c r="A482" t="s">
        <v>131</v>
      </c>
      <c r="B482">
        <v>2</v>
      </c>
      <c r="C482">
        <v>2</v>
      </c>
      <c r="D482">
        <v>0</v>
      </c>
      <c r="E482" t="s">
        <v>1425</v>
      </c>
      <c r="F482" t="s">
        <v>616</v>
      </c>
      <c r="G482" t="s">
        <v>835</v>
      </c>
      <c r="H482" t="s">
        <v>836</v>
      </c>
      <c r="I482" t="s">
        <v>838</v>
      </c>
    </row>
    <row r="483" spans="1:9">
      <c r="A483" t="s">
        <v>131</v>
      </c>
      <c r="B483">
        <v>2</v>
      </c>
      <c r="C483">
        <v>3</v>
      </c>
      <c r="D483">
        <v>0</v>
      </c>
      <c r="E483" t="s">
        <v>1426</v>
      </c>
      <c r="F483" t="s">
        <v>617</v>
      </c>
      <c r="G483" t="s">
        <v>835</v>
      </c>
      <c r="H483" t="s">
        <v>836</v>
      </c>
      <c r="I483" t="s">
        <v>838</v>
      </c>
    </row>
    <row r="484" spans="1:9">
      <c r="A484" t="s">
        <v>134</v>
      </c>
      <c r="B484">
        <v>0</v>
      </c>
      <c r="C484">
        <v>0</v>
      </c>
      <c r="D484">
        <v>0</v>
      </c>
      <c r="E484" t="s">
        <v>1427</v>
      </c>
      <c r="F484" t="s">
        <v>618</v>
      </c>
      <c r="G484" t="s">
        <v>835</v>
      </c>
      <c r="H484" t="s">
        <v>1428</v>
      </c>
      <c r="I484" t="s">
        <v>847</v>
      </c>
    </row>
    <row r="485" spans="1:9">
      <c r="A485" t="s">
        <v>134</v>
      </c>
      <c r="B485">
        <v>1</v>
      </c>
      <c r="C485">
        <v>0</v>
      </c>
      <c r="D485">
        <v>0</v>
      </c>
      <c r="E485" t="s">
        <v>1429</v>
      </c>
      <c r="F485" t="s">
        <v>619</v>
      </c>
      <c r="G485" t="s">
        <v>835</v>
      </c>
      <c r="H485" t="s">
        <v>1428</v>
      </c>
      <c r="I485" t="s">
        <v>847</v>
      </c>
    </row>
    <row r="486" spans="1:9">
      <c r="A486" t="s">
        <v>134</v>
      </c>
      <c r="B486">
        <v>1</v>
      </c>
      <c r="C486">
        <v>1</v>
      </c>
      <c r="D486">
        <v>0</v>
      </c>
      <c r="E486" t="s">
        <v>1430</v>
      </c>
      <c r="F486" t="s">
        <v>620</v>
      </c>
      <c r="G486" t="s">
        <v>835</v>
      </c>
      <c r="H486" t="s">
        <v>1428</v>
      </c>
      <c r="I486" t="s">
        <v>847</v>
      </c>
    </row>
    <row r="487" spans="1:9">
      <c r="A487" t="s">
        <v>134</v>
      </c>
      <c r="B487">
        <v>1</v>
      </c>
      <c r="C487">
        <v>2</v>
      </c>
      <c r="D487">
        <v>0</v>
      </c>
      <c r="E487" t="s">
        <v>1431</v>
      </c>
      <c r="F487" t="s">
        <v>621</v>
      </c>
      <c r="G487" t="s">
        <v>835</v>
      </c>
      <c r="H487" t="s">
        <v>1428</v>
      </c>
      <c r="I487" t="s">
        <v>847</v>
      </c>
    </row>
    <row r="488" spans="1:9">
      <c r="A488" t="s">
        <v>136</v>
      </c>
      <c r="B488">
        <v>0</v>
      </c>
      <c r="C488">
        <v>0</v>
      </c>
      <c r="D488">
        <v>0</v>
      </c>
      <c r="E488" t="s">
        <v>1432</v>
      </c>
      <c r="F488" t="s">
        <v>622</v>
      </c>
      <c r="G488" t="s">
        <v>835</v>
      </c>
      <c r="H488" t="s">
        <v>1433</v>
      </c>
      <c r="I488" t="s">
        <v>880</v>
      </c>
    </row>
    <row r="489" spans="1:9">
      <c r="A489" t="s">
        <v>136</v>
      </c>
      <c r="B489">
        <v>1</v>
      </c>
      <c r="C489">
        <v>0</v>
      </c>
      <c r="D489">
        <v>0</v>
      </c>
      <c r="E489" t="s">
        <v>1434</v>
      </c>
      <c r="F489" t="s">
        <v>623</v>
      </c>
      <c r="G489" t="s">
        <v>835</v>
      </c>
      <c r="H489" t="s">
        <v>1433</v>
      </c>
      <c r="I489" t="s">
        <v>880</v>
      </c>
    </row>
    <row r="490" spans="1:9">
      <c r="A490" t="s">
        <v>136</v>
      </c>
      <c r="B490">
        <v>1</v>
      </c>
      <c r="C490">
        <v>1</v>
      </c>
      <c r="D490">
        <v>0</v>
      </c>
      <c r="E490" t="s">
        <v>1435</v>
      </c>
      <c r="F490" t="s">
        <v>624</v>
      </c>
      <c r="G490" t="s">
        <v>835</v>
      </c>
      <c r="H490" t="s">
        <v>1433</v>
      </c>
      <c r="I490" t="s">
        <v>880</v>
      </c>
    </row>
    <row r="491" spans="1:9">
      <c r="A491" t="s">
        <v>136</v>
      </c>
      <c r="B491">
        <v>1</v>
      </c>
      <c r="C491">
        <v>2</v>
      </c>
      <c r="D491">
        <v>0</v>
      </c>
      <c r="E491" t="s">
        <v>1436</v>
      </c>
      <c r="F491" t="s">
        <v>625</v>
      </c>
      <c r="G491" t="s">
        <v>835</v>
      </c>
      <c r="H491" t="s">
        <v>1433</v>
      </c>
      <c r="I491" t="s">
        <v>880</v>
      </c>
    </row>
    <row r="492" spans="1:9">
      <c r="A492" t="s">
        <v>136</v>
      </c>
      <c r="B492">
        <v>2</v>
      </c>
      <c r="C492">
        <v>0</v>
      </c>
      <c r="D492">
        <v>0</v>
      </c>
      <c r="E492" t="s">
        <v>1437</v>
      </c>
      <c r="F492" t="s">
        <v>626</v>
      </c>
      <c r="G492" t="s">
        <v>835</v>
      </c>
      <c r="H492" t="s">
        <v>1433</v>
      </c>
      <c r="I492" t="s">
        <v>880</v>
      </c>
    </row>
    <row r="493" spans="1:9">
      <c r="A493" t="s">
        <v>136</v>
      </c>
      <c r="B493">
        <v>2</v>
      </c>
      <c r="C493">
        <v>1</v>
      </c>
      <c r="D493">
        <v>0</v>
      </c>
      <c r="E493" t="s">
        <v>1438</v>
      </c>
      <c r="F493" t="s">
        <v>627</v>
      </c>
      <c r="G493" t="s">
        <v>835</v>
      </c>
      <c r="H493" t="s">
        <v>1433</v>
      </c>
      <c r="I493" t="s">
        <v>880</v>
      </c>
    </row>
    <row r="494" spans="1:9">
      <c r="A494" t="s">
        <v>139</v>
      </c>
      <c r="B494">
        <v>0</v>
      </c>
      <c r="C494">
        <v>0</v>
      </c>
      <c r="D494">
        <v>0</v>
      </c>
      <c r="E494" t="s">
        <v>1439</v>
      </c>
      <c r="F494" t="s">
        <v>628</v>
      </c>
      <c r="G494" t="s">
        <v>884</v>
      </c>
      <c r="H494" t="s">
        <v>885</v>
      </c>
      <c r="I494" t="s">
        <v>847</v>
      </c>
    </row>
    <row r="495" spans="1:9">
      <c r="A495" t="s">
        <v>139</v>
      </c>
      <c r="B495">
        <v>1</v>
      </c>
      <c r="C495">
        <v>0</v>
      </c>
      <c r="D495">
        <v>0</v>
      </c>
      <c r="E495" t="s">
        <v>1440</v>
      </c>
      <c r="F495" t="s">
        <v>629</v>
      </c>
      <c r="G495" t="s">
        <v>884</v>
      </c>
      <c r="H495" t="s">
        <v>885</v>
      </c>
      <c r="I495" t="s">
        <v>847</v>
      </c>
    </row>
    <row r="496" spans="1:9">
      <c r="A496" t="s">
        <v>139</v>
      </c>
      <c r="B496">
        <v>1</v>
      </c>
      <c r="C496">
        <v>1</v>
      </c>
      <c r="D496">
        <v>0</v>
      </c>
      <c r="E496" t="s">
        <v>1441</v>
      </c>
      <c r="F496" t="s">
        <v>1442</v>
      </c>
      <c r="G496" t="s">
        <v>884</v>
      </c>
      <c r="H496" t="s">
        <v>885</v>
      </c>
      <c r="I496" t="s">
        <v>847</v>
      </c>
    </row>
    <row r="497" spans="1:9">
      <c r="A497" t="s">
        <v>139</v>
      </c>
      <c r="B497">
        <v>1</v>
      </c>
      <c r="C497">
        <v>1</v>
      </c>
      <c r="D497">
        <v>0</v>
      </c>
      <c r="E497" t="s">
        <v>1441</v>
      </c>
      <c r="F497" t="s">
        <v>1443</v>
      </c>
      <c r="G497" t="s">
        <v>884</v>
      </c>
      <c r="H497" t="s">
        <v>885</v>
      </c>
      <c r="I497" t="s">
        <v>847</v>
      </c>
    </row>
    <row r="498" spans="1:9">
      <c r="A498" t="s">
        <v>139</v>
      </c>
      <c r="B498">
        <v>1</v>
      </c>
      <c r="C498">
        <v>1</v>
      </c>
      <c r="D498">
        <v>0</v>
      </c>
      <c r="E498" t="s">
        <v>1441</v>
      </c>
      <c r="F498" t="s">
        <v>1444</v>
      </c>
      <c r="G498" t="s">
        <v>884</v>
      </c>
      <c r="H498" t="s">
        <v>885</v>
      </c>
      <c r="I498" t="s">
        <v>847</v>
      </c>
    </row>
    <row r="499" spans="1:9">
      <c r="A499" t="s">
        <v>139</v>
      </c>
      <c r="B499">
        <v>1</v>
      </c>
      <c r="C499">
        <v>1</v>
      </c>
      <c r="D499">
        <v>0</v>
      </c>
      <c r="E499" t="s">
        <v>1441</v>
      </c>
      <c r="F499" t="s">
        <v>1445</v>
      </c>
      <c r="G499" t="s">
        <v>884</v>
      </c>
      <c r="H499" t="s">
        <v>885</v>
      </c>
      <c r="I499" t="s">
        <v>847</v>
      </c>
    </row>
    <row r="500" spans="1:9">
      <c r="A500" t="s">
        <v>139</v>
      </c>
      <c r="B500">
        <v>2</v>
      </c>
      <c r="C500">
        <v>0</v>
      </c>
      <c r="D500">
        <v>0</v>
      </c>
      <c r="E500" t="s">
        <v>1446</v>
      </c>
      <c r="F500" t="s">
        <v>631</v>
      </c>
      <c r="G500" t="s">
        <v>884</v>
      </c>
      <c r="H500" t="s">
        <v>885</v>
      </c>
      <c r="I500" t="s">
        <v>847</v>
      </c>
    </row>
    <row r="501" spans="1:9">
      <c r="A501" t="s">
        <v>139</v>
      </c>
      <c r="B501">
        <v>2</v>
      </c>
      <c r="C501">
        <v>1</v>
      </c>
      <c r="D501">
        <v>0</v>
      </c>
      <c r="E501" t="s">
        <v>1447</v>
      </c>
      <c r="F501" t="s">
        <v>1448</v>
      </c>
      <c r="G501" t="s">
        <v>884</v>
      </c>
      <c r="H501" t="s">
        <v>885</v>
      </c>
      <c r="I501" t="s">
        <v>847</v>
      </c>
    </row>
    <row r="502" spans="1:9">
      <c r="A502" t="s">
        <v>139</v>
      </c>
      <c r="B502">
        <v>2</v>
      </c>
      <c r="C502">
        <v>1</v>
      </c>
      <c r="D502">
        <v>0</v>
      </c>
      <c r="E502" t="s">
        <v>1447</v>
      </c>
      <c r="F502" t="s">
        <v>1449</v>
      </c>
      <c r="G502" t="s">
        <v>884</v>
      </c>
      <c r="H502" t="s">
        <v>885</v>
      </c>
      <c r="I502" t="s">
        <v>847</v>
      </c>
    </row>
    <row r="503" spans="1:9">
      <c r="A503" t="s">
        <v>139</v>
      </c>
      <c r="B503">
        <v>3</v>
      </c>
      <c r="C503">
        <v>0</v>
      </c>
      <c r="D503">
        <v>0</v>
      </c>
      <c r="E503" t="s">
        <v>1450</v>
      </c>
      <c r="F503" t="s">
        <v>633</v>
      </c>
      <c r="G503" t="s">
        <v>884</v>
      </c>
      <c r="H503" t="s">
        <v>885</v>
      </c>
      <c r="I503" t="s">
        <v>847</v>
      </c>
    </row>
    <row r="504" spans="1:9">
      <c r="A504" t="s">
        <v>139</v>
      </c>
      <c r="B504">
        <v>3</v>
      </c>
      <c r="C504">
        <v>1</v>
      </c>
      <c r="D504">
        <v>0</v>
      </c>
      <c r="E504" t="s">
        <v>1451</v>
      </c>
      <c r="F504" t="s">
        <v>1452</v>
      </c>
      <c r="G504" t="s">
        <v>884</v>
      </c>
      <c r="H504" t="s">
        <v>885</v>
      </c>
      <c r="I504" t="s">
        <v>847</v>
      </c>
    </row>
    <row r="505" spans="1:9">
      <c r="A505" t="s">
        <v>139</v>
      </c>
      <c r="B505">
        <v>3</v>
      </c>
      <c r="C505">
        <v>1</v>
      </c>
      <c r="D505">
        <v>0</v>
      </c>
      <c r="E505" t="s">
        <v>1451</v>
      </c>
      <c r="F505" t="s">
        <v>1453</v>
      </c>
      <c r="G505" t="s">
        <v>884</v>
      </c>
      <c r="H505" t="s">
        <v>885</v>
      </c>
      <c r="I505" t="s">
        <v>847</v>
      </c>
    </row>
    <row r="506" spans="1:9">
      <c r="A506" t="s">
        <v>143</v>
      </c>
      <c r="B506">
        <v>0</v>
      </c>
      <c r="C506">
        <v>0</v>
      </c>
      <c r="D506">
        <v>0</v>
      </c>
      <c r="E506" t="s">
        <v>1454</v>
      </c>
      <c r="F506" t="s">
        <v>635</v>
      </c>
      <c r="G506" t="s">
        <v>874</v>
      </c>
      <c r="H506" t="s">
        <v>875</v>
      </c>
      <c r="I506" t="s">
        <v>847</v>
      </c>
    </row>
    <row r="507" spans="1:9">
      <c r="A507" t="s">
        <v>143</v>
      </c>
      <c r="B507">
        <v>1</v>
      </c>
      <c r="C507">
        <v>0</v>
      </c>
      <c r="D507">
        <v>0</v>
      </c>
      <c r="E507" t="s">
        <v>1455</v>
      </c>
      <c r="F507" t="s">
        <v>636</v>
      </c>
      <c r="G507" t="s">
        <v>874</v>
      </c>
      <c r="H507" t="s">
        <v>875</v>
      </c>
      <c r="I507" t="s">
        <v>847</v>
      </c>
    </row>
    <row r="508" spans="1:9">
      <c r="A508" t="s">
        <v>143</v>
      </c>
      <c r="B508">
        <v>1</v>
      </c>
      <c r="C508">
        <v>1</v>
      </c>
      <c r="D508">
        <v>0</v>
      </c>
      <c r="E508" t="s">
        <v>1456</v>
      </c>
      <c r="F508" t="s">
        <v>637</v>
      </c>
      <c r="G508" t="s">
        <v>874</v>
      </c>
      <c r="H508" t="s">
        <v>875</v>
      </c>
      <c r="I508" t="s">
        <v>847</v>
      </c>
    </row>
    <row r="509" spans="1:9">
      <c r="A509" t="s">
        <v>143</v>
      </c>
      <c r="B509">
        <v>2</v>
      </c>
      <c r="C509">
        <v>0</v>
      </c>
      <c r="D509">
        <v>0</v>
      </c>
      <c r="E509" t="s">
        <v>1457</v>
      </c>
      <c r="F509" t="s">
        <v>638</v>
      </c>
      <c r="G509" t="s">
        <v>874</v>
      </c>
      <c r="H509" t="s">
        <v>875</v>
      </c>
      <c r="I509" t="s">
        <v>847</v>
      </c>
    </row>
    <row r="510" spans="1:9">
      <c r="A510" t="s">
        <v>143</v>
      </c>
      <c r="B510">
        <v>2</v>
      </c>
      <c r="C510">
        <v>1</v>
      </c>
      <c r="D510">
        <v>0</v>
      </c>
      <c r="E510" t="s">
        <v>1458</v>
      </c>
      <c r="F510" t="s">
        <v>1459</v>
      </c>
      <c r="G510" t="s">
        <v>874</v>
      </c>
      <c r="H510" t="s">
        <v>875</v>
      </c>
      <c r="I510" t="s">
        <v>847</v>
      </c>
    </row>
    <row r="511" spans="1:9">
      <c r="A511" t="s">
        <v>143</v>
      </c>
      <c r="B511">
        <v>2</v>
      </c>
      <c r="C511">
        <v>1</v>
      </c>
      <c r="D511">
        <v>1</v>
      </c>
      <c r="E511" t="s">
        <v>1460</v>
      </c>
      <c r="F511" t="s">
        <v>640</v>
      </c>
      <c r="G511" t="s">
        <v>874</v>
      </c>
      <c r="H511" t="s">
        <v>875</v>
      </c>
      <c r="I511" t="s">
        <v>847</v>
      </c>
    </row>
    <row r="512" spans="1:9">
      <c r="A512" t="s">
        <v>143</v>
      </c>
      <c r="B512">
        <v>2</v>
      </c>
      <c r="C512">
        <v>1</v>
      </c>
      <c r="D512">
        <v>2</v>
      </c>
      <c r="E512" t="s">
        <v>1461</v>
      </c>
      <c r="F512" t="s">
        <v>641</v>
      </c>
      <c r="G512" t="s">
        <v>874</v>
      </c>
      <c r="H512" t="s">
        <v>875</v>
      </c>
      <c r="I512" t="s">
        <v>847</v>
      </c>
    </row>
    <row r="513" spans="1:9">
      <c r="A513" t="s">
        <v>143</v>
      </c>
      <c r="B513">
        <v>2</v>
      </c>
      <c r="C513">
        <v>1</v>
      </c>
      <c r="D513">
        <v>3</v>
      </c>
      <c r="E513" t="s">
        <v>1462</v>
      </c>
      <c r="F513" t="s">
        <v>642</v>
      </c>
      <c r="G513" t="s">
        <v>874</v>
      </c>
      <c r="H513" t="s">
        <v>875</v>
      </c>
      <c r="I513" t="s">
        <v>847</v>
      </c>
    </row>
    <row r="514" spans="1:9">
      <c r="A514" t="s">
        <v>143</v>
      </c>
      <c r="B514">
        <v>2</v>
      </c>
      <c r="C514">
        <v>1</v>
      </c>
      <c r="D514">
        <v>4</v>
      </c>
      <c r="E514" t="s">
        <v>1463</v>
      </c>
      <c r="F514" t="s">
        <v>643</v>
      </c>
      <c r="G514" t="s">
        <v>874</v>
      </c>
      <c r="H514" t="s">
        <v>875</v>
      </c>
      <c r="I514" t="s">
        <v>847</v>
      </c>
    </row>
    <row r="515" spans="1:9">
      <c r="A515" t="s">
        <v>143</v>
      </c>
      <c r="B515">
        <v>2</v>
      </c>
      <c r="C515">
        <v>1</v>
      </c>
      <c r="D515">
        <v>5</v>
      </c>
      <c r="E515" t="s">
        <v>1464</v>
      </c>
      <c r="F515" t="s">
        <v>644</v>
      </c>
      <c r="G515" t="s">
        <v>874</v>
      </c>
      <c r="H515" t="s">
        <v>875</v>
      </c>
      <c r="I515" t="s">
        <v>847</v>
      </c>
    </row>
    <row r="516" spans="1:9">
      <c r="A516" t="s">
        <v>143</v>
      </c>
      <c r="B516">
        <v>3</v>
      </c>
      <c r="C516">
        <v>0</v>
      </c>
      <c r="D516">
        <v>0</v>
      </c>
      <c r="E516" t="s">
        <v>1465</v>
      </c>
      <c r="F516" t="s">
        <v>645</v>
      </c>
      <c r="G516" t="s">
        <v>874</v>
      </c>
      <c r="H516" t="s">
        <v>875</v>
      </c>
      <c r="I516" t="s">
        <v>847</v>
      </c>
    </row>
    <row r="517" spans="1:9">
      <c r="A517" t="s">
        <v>143</v>
      </c>
      <c r="B517">
        <v>3</v>
      </c>
      <c r="C517">
        <v>1</v>
      </c>
      <c r="D517">
        <v>0</v>
      </c>
      <c r="E517" t="s">
        <v>1466</v>
      </c>
      <c r="F517" t="s">
        <v>646</v>
      </c>
      <c r="G517" t="s">
        <v>874</v>
      </c>
      <c r="H517" t="s">
        <v>875</v>
      </c>
      <c r="I517" t="s">
        <v>847</v>
      </c>
    </row>
    <row r="518" spans="1:9">
      <c r="A518" t="s">
        <v>143</v>
      </c>
      <c r="B518">
        <v>3</v>
      </c>
      <c r="C518">
        <v>1</v>
      </c>
      <c r="D518">
        <v>1</v>
      </c>
      <c r="E518" t="s">
        <v>1467</v>
      </c>
      <c r="F518" t="s">
        <v>647</v>
      </c>
      <c r="G518" t="s">
        <v>874</v>
      </c>
      <c r="H518" t="s">
        <v>875</v>
      </c>
      <c r="I518" t="s">
        <v>847</v>
      </c>
    </row>
    <row r="519" spans="1:9">
      <c r="A519" t="s">
        <v>143</v>
      </c>
      <c r="B519">
        <v>3</v>
      </c>
      <c r="C519">
        <v>1</v>
      </c>
      <c r="D519">
        <v>2</v>
      </c>
      <c r="E519" t="s">
        <v>1468</v>
      </c>
      <c r="F519" t="s">
        <v>648</v>
      </c>
      <c r="G519" t="s">
        <v>874</v>
      </c>
      <c r="H519" t="s">
        <v>875</v>
      </c>
      <c r="I519" t="s">
        <v>847</v>
      </c>
    </row>
    <row r="520" spans="1:9">
      <c r="A520" t="s">
        <v>143</v>
      </c>
      <c r="B520">
        <v>3</v>
      </c>
      <c r="C520">
        <v>1</v>
      </c>
      <c r="D520">
        <v>3</v>
      </c>
      <c r="E520" t="s">
        <v>1469</v>
      </c>
      <c r="F520" t="s">
        <v>649</v>
      </c>
      <c r="G520" t="s">
        <v>874</v>
      </c>
      <c r="H520" t="s">
        <v>875</v>
      </c>
      <c r="I520" t="s">
        <v>847</v>
      </c>
    </row>
    <row r="521" spans="1:9">
      <c r="A521" t="s">
        <v>143</v>
      </c>
      <c r="B521">
        <v>3</v>
      </c>
      <c r="C521">
        <v>2</v>
      </c>
      <c r="D521">
        <v>0</v>
      </c>
      <c r="E521" t="s">
        <v>1470</v>
      </c>
      <c r="F521" t="s">
        <v>650</v>
      </c>
      <c r="G521" t="s">
        <v>874</v>
      </c>
      <c r="H521" t="s">
        <v>875</v>
      </c>
      <c r="I521" t="s">
        <v>847</v>
      </c>
    </row>
    <row r="522" spans="1:9">
      <c r="A522" t="s">
        <v>143</v>
      </c>
      <c r="B522">
        <v>3</v>
      </c>
      <c r="C522">
        <v>2</v>
      </c>
      <c r="D522">
        <v>1</v>
      </c>
      <c r="E522" t="s">
        <v>1471</v>
      </c>
      <c r="F522" t="s">
        <v>651</v>
      </c>
      <c r="G522" t="s">
        <v>874</v>
      </c>
      <c r="H522" t="s">
        <v>875</v>
      </c>
      <c r="I522" t="s">
        <v>847</v>
      </c>
    </row>
    <row r="523" spans="1:9">
      <c r="A523" t="s">
        <v>143</v>
      </c>
      <c r="B523">
        <v>3</v>
      </c>
      <c r="C523">
        <v>2</v>
      </c>
      <c r="D523">
        <v>2</v>
      </c>
      <c r="E523" t="s">
        <v>1472</v>
      </c>
      <c r="F523" t="s">
        <v>652</v>
      </c>
      <c r="G523" t="s">
        <v>874</v>
      </c>
      <c r="H523" t="s">
        <v>875</v>
      </c>
      <c r="I523" t="s">
        <v>847</v>
      </c>
    </row>
    <row r="524" spans="1:9">
      <c r="A524" t="s">
        <v>143</v>
      </c>
      <c r="B524">
        <v>3</v>
      </c>
      <c r="C524">
        <v>3</v>
      </c>
      <c r="D524">
        <v>0</v>
      </c>
      <c r="E524" t="s">
        <v>1473</v>
      </c>
      <c r="F524" t="s">
        <v>653</v>
      </c>
      <c r="G524" t="s">
        <v>874</v>
      </c>
      <c r="H524" t="s">
        <v>875</v>
      </c>
      <c r="I524" t="s">
        <v>847</v>
      </c>
    </row>
    <row r="525" spans="1:9">
      <c r="A525" t="s">
        <v>146</v>
      </c>
      <c r="B525">
        <v>0</v>
      </c>
      <c r="C525">
        <v>0</v>
      </c>
      <c r="D525">
        <v>0</v>
      </c>
      <c r="E525" t="s">
        <v>1474</v>
      </c>
      <c r="F525" t="s">
        <v>654</v>
      </c>
      <c r="G525" t="s">
        <v>859</v>
      </c>
      <c r="H525" t="s">
        <v>1475</v>
      </c>
      <c r="I525" t="s">
        <v>862</v>
      </c>
    </row>
    <row r="526" spans="1:9">
      <c r="A526" t="s">
        <v>146</v>
      </c>
      <c r="B526">
        <v>1</v>
      </c>
      <c r="C526">
        <v>0</v>
      </c>
      <c r="D526">
        <v>0</v>
      </c>
      <c r="E526" t="s">
        <v>1476</v>
      </c>
      <c r="F526" t="s">
        <v>655</v>
      </c>
      <c r="G526" t="s">
        <v>859</v>
      </c>
      <c r="H526" t="s">
        <v>1475</v>
      </c>
      <c r="I526" t="s">
        <v>862</v>
      </c>
    </row>
    <row r="527" spans="1:9">
      <c r="A527" t="s">
        <v>146</v>
      </c>
      <c r="B527">
        <v>1</v>
      </c>
      <c r="C527">
        <v>1</v>
      </c>
      <c r="D527">
        <v>0</v>
      </c>
      <c r="E527" t="s">
        <v>1477</v>
      </c>
      <c r="F527" t="s">
        <v>656</v>
      </c>
      <c r="G527" t="s">
        <v>859</v>
      </c>
      <c r="H527" t="s">
        <v>1475</v>
      </c>
      <c r="I527" t="s">
        <v>862</v>
      </c>
    </row>
    <row r="528" spans="1:9">
      <c r="A528" t="s">
        <v>146</v>
      </c>
      <c r="B528">
        <v>1</v>
      </c>
      <c r="C528">
        <v>2</v>
      </c>
      <c r="D528">
        <v>0</v>
      </c>
      <c r="E528" t="s">
        <v>1478</v>
      </c>
      <c r="F528" t="s">
        <v>657</v>
      </c>
      <c r="G528" t="s">
        <v>859</v>
      </c>
      <c r="H528" t="s">
        <v>1475</v>
      </c>
      <c r="I528" t="s">
        <v>862</v>
      </c>
    </row>
    <row r="529" spans="1:9">
      <c r="A529" t="s">
        <v>146</v>
      </c>
      <c r="B529">
        <v>2</v>
      </c>
      <c r="C529">
        <v>0</v>
      </c>
      <c r="D529">
        <v>0</v>
      </c>
      <c r="E529" t="s">
        <v>1479</v>
      </c>
      <c r="F529" t="s">
        <v>658</v>
      </c>
      <c r="G529" t="s">
        <v>859</v>
      </c>
      <c r="H529" t="s">
        <v>1475</v>
      </c>
      <c r="I529" t="s">
        <v>862</v>
      </c>
    </row>
    <row r="530" spans="1:9">
      <c r="A530" t="s">
        <v>146</v>
      </c>
      <c r="B530">
        <v>2</v>
      </c>
      <c r="C530">
        <v>1</v>
      </c>
      <c r="D530">
        <v>0</v>
      </c>
      <c r="E530" t="s">
        <v>1480</v>
      </c>
      <c r="F530" t="s">
        <v>659</v>
      </c>
      <c r="G530" t="s">
        <v>859</v>
      </c>
      <c r="H530" t="s">
        <v>1475</v>
      </c>
      <c r="I530" t="s">
        <v>862</v>
      </c>
    </row>
    <row r="531" spans="1:9">
      <c r="A531" t="s">
        <v>146</v>
      </c>
      <c r="B531">
        <v>2</v>
      </c>
      <c r="C531">
        <v>2</v>
      </c>
      <c r="D531">
        <v>0</v>
      </c>
      <c r="E531" t="s">
        <v>1481</v>
      </c>
      <c r="F531" t="s">
        <v>660</v>
      </c>
      <c r="G531" t="s">
        <v>859</v>
      </c>
      <c r="H531" t="s">
        <v>1475</v>
      </c>
      <c r="I531" t="s">
        <v>862</v>
      </c>
    </row>
    <row r="532" spans="1:9">
      <c r="A532" t="s">
        <v>146</v>
      </c>
      <c r="B532">
        <v>2</v>
      </c>
      <c r="C532">
        <v>3</v>
      </c>
      <c r="D532">
        <v>0</v>
      </c>
      <c r="E532" t="s">
        <v>1482</v>
      </c>
      <c r="F532" t="s">
        <v>661</v>
      </c>
      <c r="G532" t="s">
        <v>859</v>
      </c>
      <c r="H532" t="s">
        <v>1475</v>
      </c>
      <c r="I532" t="s">
        <v>862</v>
      </c>
    </row>
    <row r="533" spans="1:9">
      <c r="A533" t="s">
        <v>146</v>
      </c>
      <c r="B533">
        <v>3</v>
      </c>
      <c r="C533">
        <v>0</v>
      </c>
      <c r="D533">
        <v>0</v>
      </c>
      <c r="E533" t="s">
        <v>1483</v>
      </c>
      <c r="F533" t="s">
        <v>662</v>
      </c>
      <c r="G533" t="s">
        <v>859</v>
      </c>
      <c r="H533" t="s">
        <v>1475</v>
      </c>
      <c r="I533" t="s">
        <v>862</v>
      </c>
    </row>
    <row r="534" spans="1:9">
      <c r="A534" t="s">
        <v>146</v>
      </c>
      <c r="B534">
        <v>3</v>
      </c>
      <c r="C534">
        <v>1</v>
      </c>
      <c r="D534">
        <v>0</v>
      </c>
      <c r="E534" t="s">
        <v>1484</v>
      </c>
      <c r="F534" t="s">
        <v>1485</v>
      </c>
      <c r="G534" t="s">
        <v>859</v>
      </c>
      <c r="H534" t="s">
        <v>1475</v>
      </c>
      <c r="I534" t="s">
        <v>862</v>
      </c>
    </row>
    <row r="535" spans="1:9">
      <c r="A535" t="s">
        <v>146</v>
      </c>
      <c r="B535">
        <v>3</v>
      </c>
      <c r="C535">
        <v>1</v>
      </c>
      <c r="D535">
        <v>0</v>
      </c>
      <c r="E535" t="s">
        <v>1484</v>
      </c>
      <c r="F535" t="s">
        <v>1486</v>
      </c>
      <c r="G535" t="s">
        <v>859</v>
      </c>
      <c r="H535" t="s">
        <v>1475</v>
      </c>
      <c r="I535" t="s">
        <v>862</v>
      </c>
    </row>
    <row r="536" spans="1:9">
      <c r="A536" t="s">
        <v>146</v>
      </c>
      <c r="B536">
        <v>3</v>
      </c>
      <c r="C536">
        <v>1</v>
      </c>
      <c r="D536">
        <v>0</v>
      </c>
      <c r="E536" t="s">
        <v>1484</v>
      </c>
      <c r="F536" t="s">
        <v>1487</v>
      </c>
      <c r="G536" t="s">
        <v>859</v>
      </c>
      <c r="H536" t="s">
        <v>1475</v>
      </c>
      <c r="I536" t="s">
        <v>862</v>
      </c>
    </row>
    <row r="537" spans="1:9">
      <c r="A537" t="s">
        <v>146</v>
      </c>
      <c r="B537">
        <v>3</v>
      </c>
      <c r="C537">
        <v>1</v>
      </c>
      <c r="D537">
        <v>0</v>
      </c>
      <c r="E537" t="s">
        <v>1484</v>
      </c>
      <c r="F537" t="s">
        <v>1488</v>
      </c>
      <c r="G537" t="s">
        <v>859</v>
      </c>
      <c r="H537" t="s">
        <v>1475</v>
      </c>
      <c r="I537" t="s">
        <v>862</v>
      </c>
    </row>
    <row r="538" spans="1:9">
      <c r="A538" t="s">
        <v>146</v>
      </c>
      <c r="B538">
        <v>3</v>
      </c>
      <c r="C538">
        <v>2</v>
      </c>
      <c r="D538">
        <v>0</v>
      </c>
      <c r="E538" t="s">
        <v>1489</v>
      </c>
      <c r="F538" t="s">
        <v>664</v>
      </c>
      <c r="G538" t="s">
        <v>859</v>
      </c>
      <c r="H538" t="s">
        <v>1475</v>
      </c>
      <c r="I538" t="s">
        <v>862</v>
      </c>
    </row>
    <row r="539" spans="1:9">
      <c r="A539" t="s">
        <v>146</v>
      </c>
      <c r="B539">
        <v>3</v>
      </c>
      <c r="C539">
        <v>3</v>
      </c>
      <c r="D539">
        <v>0</v>
      </c>
      <c r="E539" t="s">
        <v>1490</v>
      </c>
      <c r="F539" t="s">
        <v>1491</v>
      </c>
      <c r="G539" t="s">
        <v>859</v>
      </c>
      <c r="H539" t="s">
        <v>1475</v>
      </c>
      <c r="I539" t="s">
        <v>862</v>
      </c>
    </row>
    <row r="540" spans="1:9">
      <c r="A540" t="s">
        <v>146</v>
      </c>
      <c r="B540">
        <v>3</v>
      </c>
      <c r="C540">
        <v>3</v>
      </c>
      <c r="D540">
        <v>0</v>
      </c>
      <c r="E540" t="s">
        <v>1490</v>
      </c>
      <c r="F540" t="s">
        <v>1492</v>
      </c>
      <c r="G540" t="s">
        <v>859</v>
      </c>
      <c r="H540" t="s">
        <v>1475</v>
      </c>
      <c r="I540" t="s">
        <v>862</v>
      </c>
    </row>
    <row r="541" spans="1:9">
      <c r="A541" t="s">
        <v>146</v>
      </c>
      <c r="B541">
        <v>3</v>
      </c>
      <c r="C541">
        <v>3</v>
      </c>
      <c r="D541">
        <v>0</v>
      </c>
      <c r="E541" t="s">
        <v>1490</v>
      </c>
      <c r="F541" t="s">
        <v>1493</v>
      </c>
      <c r="G541" t="s">
        <v>859</v>
      </c>
      <c r="H541" t="s">
        <v>1475</v>
      </c>
      <c r="I541" t="s">
        <v>862</v>
      </c>
    </row>
    <row r="542" spans="1:9">
      <c r="A542" t="s">
        <v>146</v>
      </c>
      <c r="B542">
        <v>3</v>
      </c>
      <c r="C542">
        <v>4</v>
      </c>
      <c r="D542">
        <v>0</v>
      </c>
      <c r="E542" t="s">
        <v>1494</v>
      </c>
      <c r="F542" t="s">
        <v>666</v>
      </c>
      <c r="G542" t="s">
        <v>859</v>
      </c>
      <c r="H542" t="s">
        <v>1475</v>
      </c>
      <c r="I542" t="s">
        <v>862</v>
      </c>
    </row>
    <row r="543" spans="1:9">
      <c r="A543" t="s">
        <v>146</v>
      </c>
      <c r="B543">
        <v>4</v>
      </c>
      <c r="C543">
        <v>0</v>
      </c>
      <c r="D543">
        <v>0</v>
      </c>
      <c r="E543" t="s">
        <v>1495</v>
      </c>
      <c r="F543" t="s">
        <v>667</v>
      </c>
      <c r="G543" t="s">
        <v>859</v>
      </c>
      <c r="H543" t="s">
        <v>1475</v>
      </c>
      <c r="I543" t="s">
        <v>862</v>
      </c>
    </row>
    <row r="544" spans="1:9">
      <c r="A544" t="s">
        <v>146</v>
      </c>
      <c r="B544">
        <v>4</v>
      </c>
      <c r="C544">
        <v>1</v>
      </c>
      <c r="D544">
        <v>0</v>
      </c>
      <c r="E544" t="s">
        <v>1496</v>
      </c>
      <c r="F544" t="s">
        <v>668</v>
      </c>
      <c r="G544" t="s">
        <v>859</v>
      </c>
      <c r="H544" t="s">
        <v>1475</v>
      </c>
      <c r="I544" t="s">
        <v>862</v>
      </c>
    </row>
    <row r="545" spans="1:9">
      <c r="A545" t="s">
        <v>146</v>
      </c>
      <c r="B545">
        <v>4</v>
      </c>
      <c r="C545">
        <v>2</v>
      </c>
      <c r="D545">
        <v>0</v>
      </c>
      <c r="E545" t="s">
        <v>1497</v>
      </c>
      <c r="F545" t="s">
        <v>669</v>
      </c>
      <c r="G545" t="s">
        <v>859</v>
      </c>
      <c r="H545" t="s">
        <v>1475</v>
      </c>
      <c r="I545" t="s">
        <v>862</v>
      </c>
    </row>
    <row r="546" spans="1:9">
      <c r="A546" t="s">
        <v>146</v>
      </c>
      <c r="B546">
        <v>4</v>
      </c>
      <c r="C546">
        <v>3</v>
      </c>
      <c r="D546">
        <v>0</v>
      </c>
      <c r="E546" t="s">
        <v>1498</v>
      </c>
      <c r="F546" t="s">
        <v>670</v>
      </c>
      <c r="G546" t="s">
        <v>859</v>
      </c>
      <c r="H546" t="s">
        <v>1475</v>
      </c>
      <c r="I546" t="s">
        <v>862</v>
      </c>
    </row>
    <row r="547" spans="1:9">
      <c r="A547" t="s">
        <v>146</v>
      </c>
      <c r="B547">
        <v>5</v>
      </c>
      <c r="C547">
        <v>0</v>
      </c>
      <c r="D547">
        <v>0</v>
      </c>
      <c r="E547" t="s">
        <v>1499</v>
      </c>
      <c r="F547" t="s">
        <v>671</v>
      </c>
      <c r="G547" t="s">
        <v>859</v>
      </c>
      <c r="H547" t="s">
        <v>1475</v>
      </c>
      <c r="I547" t="s">
        <v>862</v>
      </c>
    </row>
    <row r="548" spans="1:9">
      <c r="A548" t="s">
        <v>146</v>
      </c>
      <c r="B548">
        <v>5</v>
      </c>
      <c r="C548">
        <v>1</v>
      </c>
      <c r="D548">
        <v>0</v>
      </c>
      <c r="E548" t="s">
        <v>1500</v>
      </c>
      <c r="F548" t="s">
        <v>672</v>
      </c>
      <c r="G548" t="s">
        <v>859</v>
      </c>
      <c r="H548" t="s">
        <v>1475</v>
      </c>
      <c r="I548" t="s">
        <v>862</v>
      </c>
    </row>
    <row r="549" spans="1:9">
      <c r="A549" t="s">
        <v>146</v>
      </c>
      <c r="B549">
        <v>5</v>
      </c>
      <c r="C549">
        <v>2</v>
      </c>
      <c r="D549">
        <v>0</v>
      </c>
      <c r="E549" t="s">
        <v>1501</v>
      </c>
      <c r="F549" t="s">
        <v>673</v>
      </c>
      <c r="G549" t="s">
        <v>859</v>
      </c>
      <c r="H549" t="s">
        <v>1475</v>
      </c>
      <c r="I549" t="s">
        <v>862</v>
      </c>
    </row>
    <row r="550" spans="1:9">
      <c r="A550" t="s">
        <v>146</v>
      </c>
      <c r="B550">
        <v>5</v>
      </c>
      <c r="C550">
        <v>3</v>
      </c>
      <c r="D550">
        <v>0</v>
      </c>
      <c r="E550" t="s">
        <v>1502</v>
      </c>
      <c r="F550" t="s">
        <v>674</v>
      </c>
      <c r="G550" t="s">
        <v>859</v>
      </c>
      <c r="H550" t="s">
        <v>1475</v>
      </c>
      <c r="I550" t="s">
        <v>862</v>
      </c>
    </row>
    <row r="551" spans="1:9">
      <c r="A551" t="s">
        <v>146</v>
      </c>
      <c r="B551">
        <v>6</v>
      </c>
      <c r="C551">
        <v>0</v>
      </c>
      <c r="D551">
        <v>0</v>
      </c>
      <c r="E551" t="s">
        <v>1503</v>
      </c>
      <c r="F551" t="s">
        <v>675</v>
      </c>
      <c r="G551" t="s">
        <v>859</v>
      </c>
      <c r="H551" t="s">
        <v>1475</v>
      </c>
      <c r="I551" t="s">
        <v>862</v>
      </c>
    </row>
    <row r="552" spans="1:9">
      <c r="A552" t="s">
        <v>146</v>
      </c>
      <c r="B552">
        <v>6</v>
      </c>
      <c r="C552">
        <v>1</v>
      </c>
      <c r="D552">
        <v>0</v>
      </c>
      <c r="E552" t="s">
        <v>1504</v>
      </c>
      <c r="F552" t="s">
        <v>676</v>
      </c>
      <c r="G552" t="s">
        <v>859</v>
      </c>
      <c r="H552" t="s">
        <v>1475</v>
      </c>
      <c r="I552" t="s">
        <v>862</v>
      </c>
    </row>
    <row r="553" spans="1:9">
      <c r="A553" t="s">
        <v>146</v>
      </c>
      <c r="B553">
        <v>7</v>
      </c>
      <c r="C553">
        <v>0</v>
      </c>
      <c r="D553">
        <v>0</v>
      </c>
      <c r="E553" t="s">
        <v>1505</v>
      </c>
      <c r="F553" t="s">
        <v>677</v>
      </c>
      <c r="G553" t="s">
        <v>859</v>
      </c>
      <c r="H553" t="s">
        <v>1475</v>
      </c>
      <c r="I553" t="s">
        <v>862</v>
      </c>
    </row>
    <row r="554" spans="1:9">
      <c r="A554" t="s">
        <v>146</v>
      </c>
      <c r="B554">
        <v>7</v>
      </c>
      <c r="C554">
        <v>1</v>
      </c>
      <c r="D554">
        <v>0</v>
      </c>
      <c r="E554" t="s">
        <v>1506</v>
      </c>
      <c r="F554" t="s">
        <v>678</v>
      </c>
      <c r="G554" t="s">
        <v>859</v>
      </c>
      <c r="H554" t="s">
        <v>1475</v>
      </c>
      <c r="I554" t="s">
        <v>862</v>
      </c>
    </row>
    <row r="555" spans="1:9">
      <c r="A555" t="s">
        <v>146</v>
      </c>
      <c r="B555">
        <v>7</v>
      </c>
      <c r="C555">
        <v>2</v>
      </c>
      <c r="D555">
        <v>0</v>
      </c>
      <c r="E555" t="s">
        <v>1507</v>
      </c>
      <c r="F555" t="s">
        <v>1508</v>
      </c>
      <c r="G555" t="s">
        <v>859</v>
      </c>
      <c r="H555" t="s">
        <v>1475</v>
      </c>
      <c r="I555" t="s">
        <v>862</v>
      </c>
    </row>
    <row r="556" spans="1:9">
      <c r="A556" t="s">
        <v>146</v>
      </c>
      <c r="B556">
        <v>7</v>
      </c>
      <c r="C556">
        <v>2</v>
      </c>
      <c r="D556">
        <v>0</v>
      </c>
      <c r="E556" t="s">
        <v>1507</v>
      </c>
      <c r="F556" t="s">
        <v>1509</v>
      </c>
      <c r="G556" t="s">
        <v>859</v>
      </c>
      <c r="H556" t="s">
        <v>1475</v>
      </c>
      <c r="I556" t="s">
        <v>862</v>
      </c>
    </row>
    <row r="557" spans="1:9">
      <c r="A557" t="s">
        <v>146</v>
      </c>
      <c r="B557">
        <v>7</v>
      </c>
      <c r="C557">
        <v>3</v>
      </c>
      <c r="D557">
        <v>0</v>
      </c>
      <c r="E557" t="s">
        <v>1510</v>
      </c>
      <c r="F557" t="s">
        <v>1511</v>
      </c>
      <c r="G557" t="s">
        <v>859</v>
      </c>
      <c r="H557" t="s">
        <v>1475</v>
      </c>
      <c r="I557" t="s">
        <v>862</v>
      </c>
    </row>
    <row r="558" spans="1:9">
      <c r="A558" t="s">
        <v>146</v>
      </c>
      <c r="B558">
        <v>7</v>
      </c>
      <c r="C558">
        <v>3</v>
      </c>
      <c r="D558">
        <v>0</v>
      </c>
      <c r="E558" t="s">
        <v>1510</v>
      </c>
      <c r="F558" t="s">
        <v>1512</v>
      </c>
      <c r="G558" t="s">
        <v>859</v>
      </c>
      <c r="H558" t="s">
        <v>1475</v>
      </c>
      <c r="I558" t="s">
        <v>862</v>
      </c>
    </row>
    <row r="559" spans="1:9">
      <c r="A559" t="s">
        <v>146</v>
      </c>
      <c r="B559">
        <v>7</v>
      </c>
      <c r="C559">
        <v>4</v>
      </c>
      <c r="D559">
        <v>0</v>
      </c>
      <c r="E559" t="s">
        <v>1513</v>
      </c>
      <c r="F559" t="s">
        <v>681</v>
      </c>
      <c r="G559" t="s">
        <v>859</v>
      </c>
      <c r="H559" t="s">
        <v>1475</v>
      </c>
      <c r="I559" t="s">
        <v>862</v>
      </c>
    </row>
    <row r="560" spans="1:9">
      <c r="A560" t="s">
        <v>146</v>
      </c>
      <c r="B560">
        <v>7</v>
      </c>
      <c r="C560">
        <v>5</v>
      </c>
      <c r="D560">
        <v>0</v>
      </c>
      <c r="E560" t="s">
        <v>1514</v>
      </c>
      <c r="F560" t="s">
        <v>682</v>
      </c>
      <c r="G560" t="s">
        <v>859</v>
      </c>
      <c r="H560" t="s">
        <v>1475</v>
      </c>
      <c r="I560" t="s">
        <v>862</v>
      </c>
    </row>
    <row r="561" spans="1:9">
      <c r="A561" t="s">
        <v>146</v>
      </c>
      <c r="B561">
        <v>8</v>
      </c>
      <c r="C561">
        <v>0</v>
      </c>
      <c r="D561">
        <v>0</v>
      </c>
      <c r="E561" t="s">
        <v>1515</v>
      </c>
      <c r="F561" t="s">
        <v>683</v>
      </c>
      <c r="G561" t="s">
        <v>859</v>
      </c>
      <c r="H561" t="s">
        <v>1475</v>
      </c>
      <c r="I561" t="s">
        <v>862</v>
      </c>
    </row>
    <row r="562" spans="1:9">
      <c r="A562" t="s">
        <v>146</v>
      </c>
      <c r="B562">
        <v>8</v>
      </c>
      <c r="C562">
        <v>1</v>
      </c>
      <c r="D562">
        <v>0</v>
      </c>
      <c r="E562" t="s">
        <v>1516</v>
      </c>
      <c r="F562" t="s">
        <v>684</v>
      </c>
      <c r="G562" t="s">
        <v>859</v>
      </c>
      <c r="H562" t="s">
        <v>1475</v>
      </c>
      <c r="I562" t="s">
        <v>862</v>
      </c>
    </row>
    <row r="563" spans="1:9">
      <c r="A563" t="s">
        <v>146</v>
      </c>
      <c r="B563">
        <v>9</v>
      </c>
      <c r="C563">
        <v>0</v>
      </c>
      <c r="D563">
        <v>0</v>
      </c>
      <c r="E563" t="s">
        <v>1517</v>
      </c>
      <c r="F563" t="s">
        <v>685</v>
      </c>
      <c r="G563" t="s">
        <v>859</v>
      </c>
      <c r="H563" t="s">
        <v>1475</v>
      </c>
      <c r="I563" t="s">
        <v>862</v>
      </c>
    </row>
    <row r="564" spans="1:9">
      <c r="A564" t="s">
        <v>146</v>
      </c>
      <c r="B564">
        <v>9</v>
      </c>
      <c r="C564">
        <v>1</v>
      </c>
      <c r="D564">
        <v>0</v>
      </c>
      <c r="E564" t="s">
        <v>1518</v>
      </c>
      <c r="F564" t="s">
        <v>686</v>
      </c>
      <c r="G564" t="s">
        <v>859</v>
      </c>
      <c r="H564" t="s">
        <v>1475</v>
      </c>
      <c r="I564" t="s">
        <v>862</v>
      </c>
    </row>
    <row r="565" spans="1:9">
      <c r="A565" t="s">
        <v>155</v>
      </c>
      <c r="B565">
        <v>0</v>
      </c>
      <c r="C565">
        <v>0</v>
      </c>
      <c r="D565">
        <v>0</v>
      </c>
      <c r="E565" t="s">
        <v>1519</v>
      </c>
      <c r="F565" t="s">
        <v>687</v>
      </c>
      <c r="G565" t="s">
        <v>867</v>
      </c>
      <c r="H565" t="s">
        <v>1520</v>
      </c>
      <c r="I565" t="s">
        <v>852</v>
      </c>
    </row>
    <row r="566" spans="1:9">
      <c r="A566" t="s">
        <v>155</v>
      </c>
      <c r="B566">
        <v>1</v>
      </c>
      <c r="C566">
        <v>0</v>
      </c>
      <c r="D566">
        <v>0</v>
      </c>
      <c r="E566" t="s">
        <v>1521</v>
      </c>
      <c r="F566" t="s">
        <v>688</v>
      </c>
      <c r="G566" t="s">
        <v>867</v>
      </c>
      <c r="H566" t="s">
        <v>1520</v>
      </c>
      <c r="I566" t="s">
        <v>852</v>
      </c>
    </row>
    <row r="567" spans="1:9">
      <c r="A567" t="s">
        <v>155</v>
      </c>
      <c r="B567">
        <v>1</v>
      </c>
      <c r="C567">
        <v>1</v>
      </c>
      <c r="D567">
        <v>0</v>
      </c>
      <c r="E567" t="s">
        <v>1522</v>
      </c>
      <c r="F567" t="s">
        <v>1523</v>
      </c>
      <c r="G567" t="s">
        <v>867</v>
      </c>
      <c r="H567" t="s">
        <v>1520</v>
      </c>
      <c r="I567" t="s">
        <v>852</v>
      </c>
    </row>
    <row r="568" spans="1:9">
      <c r="A568" t="s">
        <v>155</v>
      </c>
      <c r="B568">
        <v>1</v>
      </c>
      <c r="C568">
        <v>1</v>
      </c>
      <c r="D568">
        <v>0</v>
      </c>
      <c r="E568" t="s">
        <v>1522</v>
      </c>
      <c r="F568" t="s">
        <v>1524</v>
      </c>
      <c r="G568" t="s">
        <v>867</v>
      </c>
      <c r="H568" t="s">
        <v>1520</v>
      </c>
      <c r="I568" t="s">
        <v>852</v>
      </c>
    </row>
    <row r="569" spans="1:9">
      <c r="A569" t="s">
        <v>155</v>
      </c>
      <c r="B569">
        <v>1</v>
      </c>
      <c r="C569">
        <v>2</v>
      </c>
      <c r="D569">
        <v>0</v>
      </c>
      <c r="E569" t="s">
        <v>1525</v>
      </c>
      <c r="F569" t="s">
        <v>1526</v>
      </c>
      <c r="G569" t="s">
        <v>867</v>
      </c>
      <c r="H569" t="s">
        <v>1520</v>
      </c>
      <c r="I569" t="s">
        <v>852</v>
      </c>
    </row>
    <row r="570" spans="1:9">
      <c r="A570" t="s">
        <v>155</v>
      </c>
      <c r="B570">
        <v>1</v>
      </c>
      <c r="C570">
        <v>2</v>
      </c>
      <c r="D570">
        <v>0</v>
      </c>
      <c r="E570" t="s">
        <v>1525</v>
      </c>
      <c r="F570" t="s">
        <v>1527</v>
      </c>
      <c r="G570" t="s">
        <v>867</v>
      </c>
      <c r="H570" t="s">
        <v>1520</v>
      </c>
      <c r="I570" t="s">
        <v>852</v>
      </c>
    </row>
    <row r="571" spans="1:9">
      <c r="A571" t="s">
        <v>155</v>
      </c>
      <c r="B571">
        <v>1</v>
      </c>
      <c r="C571">
        <v>3</v>
      </c>
      <c r="D571">
        <v>0</v>
      </c>
      <c r="E571" t="s">
        <v>1528</v>
      </c>
      <c r="F571" t="s">
        <v>691</v>
      </c>
      <c r="G571" t="s">
        <v>867</v>
      </c>
      <c r="H571" t="s">
        <v>1520</v>
      </c>
      <c r="I571" t="s">
        <v>852</v>
      </c>
    </row>
    <row r="572" spans="1:9">
      <c r="A572" t="s">
        <v>155</v>
      </c>
      <c r="B572">
        <v>1</v>
      </c>
      <c r="C572">
        <v>4</v>
      </c>
      <c r="D572">
        <v>0</v>
      </c>
      <c r="E572" t="s">
        <v>1529</v>
      </c>
      <c r="F572" t="s">
        <v>692</v>
      </c>
      <c r="G572" t="s">
        <v>867</v>
      </c>
      <c r="H572" t="s">
        <v>1520</v>
      </c>
      <c r="I572" t="s">
        <v>852</v>
      </c>
    </row>
    <row r="573" spans="1:9">
      <c r="A573" t="s">
        <v>155</v>
      </c>
      <c r="B573">
        <v>2</v>
      </c>
      <c r="C573">
        <v>0</v>
      </c>
      <c r="D573">
        <v>0</v>
      </c>
      <c r="E573" t="s">
        <v>1530</v>
      </c>
      <c r="F573" t="s">
        <v>693</v>
      </c>
      <c r="G573" t="s">
        <v>867</v>
      </c>
      <c r="H573" t="s">
        <v>1520</v>
      </c>
      <c r="I573" t="s">
        <v>852</v>
      </c>
    </row>
    <row r="574" spans="1:9">
      <c r="A574" t="s">
        <v>155</v>
      </c>
      <c r="B574">
        <v>2</v>
      </c>
      <c r="C574">
        <v>1</v>
      </c>
      <c r="D574">
        <v>0</v>
      </c>
      <c r="E574" t="s">
        <v>1531</v>
      </c>
      <c r="F574" t="s">
        <v>1532</v>
      </c>
      <c r="G574" t="s">
        <v>867</v>
      </c>
      <c r="H574" t="s">
        <v>1520</v>
      </c>
      <c r="I574" t="s">
        <v>852</v>
      </c>
    </row>
    <row r="575" spans="1:9">
      <c r="A575" t="s">
        <v>155</v>
      </c>
      <c r="B575">
        <v>2</v>
      </c>
      <c r="C575">
        <v>1</v>
      </c>
      <c r="D575">
        <v>0</v>
      </c>
      <c r="E575" t="s">
        <v>1531</v>
      </c>
      <c r="F575" t="s">
        <v>1533</v>
      </c>
      <c r="G575" t="s">
        <v>867</v>
      </c>
      <c r="H575" t="s">
        <v>1520</v>
      </c>
      <c r="I575" t="s">
        <v>852</v>
      </c>
    </row>
    <row r="576" spans="1:9">
      <c r="A576" t="s">
        <v>155</v>
      </c>
      <c r="B576">
        <v>2</v>
      </c>
      <c r="C576">
        <v>2</v>
      </c>
      <c r="D576">
        <v>0</v>
      </c>
      <c r="E576" t="s">
        <v>1534</v>
      </c>
      <c r="F576" t="s">
        <v>695</v>
      </c>
      <c r="G576" t="s">
        <v>867</v>
      </c>
      <c r="H576" t="s">
        <v>1520</v>
      </c>
      <c r="I576" t="s">
        <v>852</v>
      </c>
    </row>
    <row r="577" spans="1:9">
      <c r="A577" t="s">
        <v>155</v>
      </c>
      <c r="B577">
        <v>2</v>
      </c>
      <c r="C577">
        <v>3</v>
      </c>
      <c r="D577">
        <v>0</v>
      </c>
      <c r="E577" t="s">
        <v>1535</v>
      </c>
      <c r="F577" t="s">
        <v>696</v>
      </c>
      <c r="G577" t="s">
        <v>867</v>
      </c>
      <c r="H577" t="s">
        <v>1520</v>
      </c>
      <c r="I577" t="s">
        <v>852</v>
      </c>
    </row>
    <row r="578" spans="1:9">
      <c r="A578" t="s">
        <v>155</v>
      </c>
      <c r="B578">
        <v>3</v>
      </c>
      <c r="C578">
        <v>0</v>
      </c>
      <c r="D578">
        <v>0</v>
      </c>
      <c r="E578" t="s">
        <v>1536</v>
      </c>
      <c r="F578" t="s">
        <v>697</v>
      </c>
      <c r="G578" t="s">
        <v>867</v>
      </c>
      <c r="H578" t="s">
        <v>1520</v>
      </c>
      <c r="I578" t="s">
        <v>852</v>
      </c>
    </row>
    <row r="579" spans="1:9">
      <c r="A579" t="s">
        <v>155</v>
      </c>
      <c r="B579">
        <v>3</v>
      </c>
      <c r="C579">
        <v>1</v>
      </c>
      <c r="D579">
        <v>0</v>
      </c>
      <c r="E579" t="s">
        <v>1537</v>
      </c>
      <c r="F579" t="s">
        <v>1538</v>
      </c>
      <c r="G579" t="s">
        <v>867</v>
      </c>
      <c r="H579" t="s">
        <v>1520</v>
      </c>
      <c r="I579" t="s">
        <v>852</v>
      </c>
    </row>
    <row r="580" spans="1:9">
      <c r="A580" t="s">
        <v>155</v>
      </c>
      <c r="B580">
        <v>3</v>
      </c>
      <c r="C580">
        <v>1</v>
      </c>
      <c r="D580">
        <v>0</v>
      </c>
      <c r="E580" t="s">
        <v>1537</v>
      </c>
      <c r="F580" t="s">
        <v>1539</v>
      </c>
      <c r="G580" t="s">
        <v>867</v>
      </c>
      <c r="H580" t="s">
        <v>1520</v>
      </c>
      <c r="I580" t="s">
        <v>852</v>
      </c>
    </row>
    <row r="581" spans="1:9">
      <c r="A581" t="s">
        <v>155</v>
      </c>
      <c r="B581">
        <v>3</v>
      </c>
      <c r="C581">
        <v>2</v>
      </c>
      <c r="D581">
        <v>0</v>
      </c>
      <c r="E581" t="s">
        <v>1540</v>
      </c>
      <c r="F581" t="s">
        <v>1541</v>
      </c>
      <c r="G581" t="s">
        <v>867</v>
      </c>
      <c r="H581" t="s">
        <v>1520</v>
      </c>
      <c r="I581" t="s">
        <v>852</v>
      </c>
    </row>
    <row r="582" spans="1:9">
      <c r="A582" t="s">
        <v>155</v>
      </c>
      <c r="B582">
        <v>3</v>
      </c>
      <c r="C582">
        <v>2</v>
      </c>
      <c r="D582">
        <v>0</v>
      </c>
      <c r="E582" t="s">
        <v>1540</v>
      </c>
      <c r="F582" t="s">
        <v>1542</v>
      </c>
      <c r="G582" t="s">
        <v>867</v>
      </c>
      <c r="H582" t="s">
        <v>1520</v>
      </c>
      <c r="I582" t="s">
        <v>852</v>
      </c>
    </row>
    <row r="583" spans="1:9">
      <c r="A583" t="s">
        <v>155</v>
      </c>
      <c r="B583">
        <v>4</v>
      </c>
      <c r="C583">
        <v>0</v>
      </c>
      <c r="D583">
        <v>0</v>
      </c>
      <c r="E583" t="s">
        <v>1543</v>
      </c>
      <c r="F583" t="s">
        <v>700</v>
      </c>
      <c r="G583" t="s">
        <v>867</v>
      </c>
      <c r="H583" t="s">
        <v>1520</v>
      </c>
      <c r="I583" t="s">
        <v>852</v>
      </c>
    </row>
    <row r="584" spans="1:9">
      <c r="A584" t="s">
        <v>155</v>
      </c>
      <c r="B584">
        <v>4</v>
      </c>
      <c r="C584">
        <v>1</v>
      </c>
      <c r="D584">
        <v>0</v>
      </c>
      <c r="E584" t="s">
        <v>1544</v>
      </c>
      <c r="F584" t="s">
        <v>1545</v>
      </c>
      <c r="G584" t="s">
        <v>867</v>
      </c>
      <c r="H584" t="s">
        <v>1520</v>
      </c>
      <c r="I584" t="s">
        <v>852</v>
      </c>
    </row>
    <row r="585" spans="1:9">
      <c r="A585" t="s">
        <v>155</v>
      </c>
      <c r="B585">
        <v>4</v>
      </c>
      <c r="C585">
        <v>1</v>
      </c>
      <c r="D585">
        <v>1</v>
      </c>
      <c r="E585" t="s">
        <v>1546</v>
      </c>
      <c r="F585" t="s">
        <v>702</v>
      </c>
      <c r="G585" t="s">
        <v>867</v>
      </c>
      <c r="H585" t="s">
        <v>1520</v>
      </c>
      <c r="I585" t="s">
        <v>852</v>
      </c>
    </row>
    <row r="586" spans="1:9">
      <c r="A586" t="s">
        <v>155</v>
      </c>
      <c r="B586">
        <v>4</v>
      </c>
      <c r="C586">
        <v>1</v>
      </c>
      <c r="D586">
        <v>2</v>
      </c>
      <c r="E586" t="s">
        <v>1547</v>
      </c>
      <c r="F586" t="s">
        <v>703</v>
      </c>
      <c r="G586" t="s">
        <v>867</v>
      </c>
      <c r="H586" t="s">
        <v>1520</v>
      </c>
      <c r="I586" t="s">
        <v>852</v>
      </c>
    </row>
    <row r="587" spans="1:9">
      <c r="A587" t="s">
        <v>155</v>
      </c>
      <c r="B587">
        <v>4</v>
      </c>
      <c r="C587">
        <v>1</v>
      </c>
      <c r="D587">
        <v>3</v>
      </c>
      <c r="E587" t="s">
        <v>1548</v>
      </c>
      <c r="F587" t="s">
        <v>704</v>
      </c>
      <c r="G587" t="s">
        <v>867</v>
      </c>
      <c r="H587" t="s">
        <v>1520</v>
      </c>
      <c r="I587" t="s">
        <v>852</v>
      </c>
    </row>
    <row r="588" spans="1:9">
      <c r="A588" t="s">
        <v>155</v>
      </c>
      <c r="B588">
        <v>4</v>
      </c>
      <c r="C588">
        <v>1</v>
      </c>
      <c r="D588">
        <v>4</v>
      </c>
      <c r="E588" t="s">
        <v>1549</v>
      </c>
      <c r="F588" t="s">
        <v>1550</v>
      </c>
      <c r="G588" t="s">
        <v>867</v>
      </c>
      <c r="H588" t="s">
        <v>1520</v>
      </c>
      <c r="I588" t="s">
        <v>852</v>
      </c>
    </row>
    <row r="589" spans="1:9">
      <c r="A589" t="s">
        <v>155</v>
      </c>
      <c r="B589">
        <v>4</v>
      </c>
      <c r="C589">
        <v>1</v>
      </c>
      <c r="D589">
        <v>4</v>
      </c>
      <c r="E589" t="s">
        <v>1549</v>
      </c>
      <c r="F589" t="s">
        <v>1551</v>
      </c>
      <c r="G589" t="s">
        <v>867</v>
      </c>
      <c r="H589" t="s">
        <v>1520</v>
      </c>
      <c r="I589" t="s">
        <v>852</v>
      </c>
    </row>
    <row r="590" spans="1:9">
      <c r="A590" t="s">
        <v>155</v>
      </c>
      <c r="B590">
        <v>4</v>
      </c>
      <c r="C590">
        <v>1</v>
      </c>
      <c r="D590">
        <v>5</v>
      </c>
      <c r="E590" t="s">
        <v>1552</v>
      </c>
      <c r="F590" t="s">
        <v>706</v>
      </c>
      <c r="G590" t="s">
        <v>867</v>
      </c>
      <c r="H590" t="s">
        <v>1520</v>
      </c>
      <c r="I590" t="s">
        <v>852</v>
      </c>
    </row>
    <row r="591" spans="1:9">
      <c r="A591" t="s">
        <v>155</v>
      </c>
      <c r="B591">
        <v>5</v>
      </c>
      <c r="C591">
        <v>0</v>
      </c>
      <c r="D591">
        <v>0</v>
      </c>
      <c r="E591" t="s">
        <v>1553</v>
      </c>
      <c r="F591" t="s">
        <v>707</v>
      </c>
      <c r="G591" t="s">
        <v>867</v>
      </c>
      <c r="H591" t="s">
        <v>1520</v>
      </c>
      <c r="I591" t="s">
        <v>852</v>
      </c>
    </row>
    <row r="592" spans="1:9">
      <c r="A592" t="s">
        <v>155</v>
      </c>
      <c r="B592">
        <v>5</v>
      </c>
      <c r="C592">
        <v>1</v>
      </c>
      <c r="D592">
        <v>0</v>
      </c>
      <c r="E592" t="s">
        <v>1554</v>
      </c>
      <c r="F592" t="s">
        <v>708</v>
      </c>
      <c r="G592" t="s">
        <v>867</v>
      </c>
      <c r="H592" t="s">
        <v>1520</v>
      </c>
      <c r="I592" t="s">
        <v>852</v>
      </c>
    </row>
    <row r="593" spans="1:9">
      <c r="A593" t="s">
        <v>155</v>
      </c>
      <c r="B593">
        <v>6</v>
      </c>
      <c r="C593">
        <v>0</v>
      </c>
      <c r="D593">
        <v>0</v>
      </c>
      <c r="E593" t="s">
        <v>1555</v>
      </c>
      <c r="F593" t="s">
        <v>709</v>
      </c>
      <c r="G593" t="s">
        <v>867</v>
      </c>
      <c r="H593" t="s">
        <v>1520</v>
      </c>
      <c r="I593" t="s">
        <v>852</v>
      </c>
    </row>
    <row r="594" spans="1:9">
      <c r="A594" t="s">
        <v>155</v>
      </c>
      <c r="B594">
        <v>6</v>
      </c>
      <c r="C594">
        <v>1</v>
      </c>
      <c r="D594">
        <v>0</v>
      </c>
      <c r="E594" t="s">
        <v>1556</v>
      </c>
      <c r="F594" t="s">
        <v>710</v>
      </c>
      <c r="G594" t="s">
        <v>867</v>
      </c>
      <c r="H594" t="s">
        <v>1520</v>
      </c>
      <c r="I594" t="s">
        <v>852</v>
      </c>
    </row>
    <row r="595" spans="1:9">
      <c r="A595" t="s">
        <v>155</v>
      </c>
      <c r="B595">
        <v>7</v>
      </c>
      <c r="C595">
        <v>0</v>
      </c>
      <c r="D595">
        <v>0</v>
      </c>
      <c r="E595" t="s">
        <v>1557</v>
      </c>
      <c r="F595" t="s">
        <v>711</v>
      </c>
      <c r="G595" t="s">
        <v>867</v>
      </c>
      <c r="H595" t="s">
        <v>1520</v>
      </c>
      <c r="I595" t="s">
        <v>852</v>
      </c>
    </row>
    <row r="596" spans="1:9">
      <c r="A596" t="s">
        <v>155</v>
      </c>
      <c r="B596">
        <v>7</v>
      </c>
      <c r="C596">
        <v>1</v>
      </c>
      <c r="D596">
        <v>0</v>
      </c>
      <c r="E596" t="s">
        <v>1558</v>
      </c>
      <c r="F596" t="s">
        <v>1559</v>
      </c>
      <c r="G596" t="s">
        <v>867</v>
      </c>
      <c r="H596" t="s">
        <v>1520</v>
      </c>
      <c r="I596" t="s">
        <v>852</v>
      </c>
    </row>
    <row r="597" spans="1:9">
      <c r="A597" t="s">
        <v>155</v>
      </c>
      <c r="B597">
        <v>7</v>
      </c>
      <c r="C597">
        <v>1</v>
      </c>
      <c r="D597">
        <v>0</v>
      </c>
      <c r="E597" t="s">
        <v>1558</v>
      </c>
      <c r="F597" t="s">
        <v>1560</v>
      </c>
      <c r="G597" t="s">
        <v>867</v>
      </c>
      <c r="H597" t="s">
        <v>1520</v>
      </c>
      <c r="I597" t="s">
        <v>852</v>
      </c>
    </row>
    <row r="598" spans="1:9">
      <c r="A598" t="s">
        <v>155</v>
      </c>
      <c r="B598">
        <v>7</v>
      </c>
      <c r="C598">
        <v>2</v>
      </c>
      <c r="D598">
        <v>0</v>
      </c>
      <c r="E598" t="s">
        <v>1561</v>
      </c>
      <c r="F598" t="s">
        <v>1562</v>
      </c>
      <c r="G598" t="s">
        <v>867</v>
      </c>
      <c r="H598" t="s">
        <v>1520</v>
      </c>
      <c r="I598" t="s">
        <v>852</v>
      </c>
    </row>
    <row r="599" spans="1:9">
      <c r="A599" t="s">
        <v>155</v>
      </c>
      <c r="B599">
        <v>7</v>
      </c>
      <c r="C599">
        <v>2</v>
      </c>
      <c r="D599">
        <v>0</v>
      </c>
      <c r="E599" t="s">
        <v>1561</v>
      </c>
      <c r="F599" t="s">
        <v>1563</v>
      </c>
      <c r="G599" t="s">
        <v>867</v>
      </c>
      <c r="H599" t="s">
        <v>1520</v>
      </c>
      <c r="I599" t="s">
        <v>852</v>
      </c>
    </row>
    <row r="600" spans="1:9">
      <c r="A600" t="s">
        <v>155</v>
      </c>
      <c r="B600">
        <v>8</v>
      </c>
      <c r="C600">
        <v>0</v>
      </c>
      <c r="D600">
        <v>0</v>
      </c>
      <c r="E600" t="s">
        <v>1564</v>
      </c>
      <c r="F600" t="s">
        <v>714</v>
      </c>
      <c r="G600" t="s">
        <v>867</v>
      </c>
      <c r="H600" t="s">
        <v>1520</v>
      </c>
      <c r="I600" t="s">
        <v>852</v>
      </c>
    </row>
    <row r="601" spans="1:9">
      <c r="A601" t="s">
        <v>155</v>
      </c>
      <c r="B601">
        <v>8</v>
      </c>
      <c r="C601">
        <v>1</v>
      </c>
      <c r="D601">
        <v>0</v>
      </c>
      <c r="E601" t="s">
        <v>1565</v>
      </c>
      <c r="F601" t="s">
        <v>715</v>
      </c>
      <c r="G601" t="s">
        <v>867</v>
      </c>
      <c r="H601" t="s">
        <v>1520</v>
      </c>
      <c r="I601" t="s">
        <v>852</v>
      </c>
    </row>
    <row r="602" spans="1:9">
      <c r="A602" t="s">
        <v>155</v>
      </c>
      <c r="B602">
        <v>9</v>
      </c>
      <c r="C602">
        <v>0</v>
      </c>
      <c r="D602">
        <v>0</v>
      </c>
      <c r="E602" t="s">
        <v>1566</v>
      </c>
      <c r="F602" t="s">
        <v>716</v>
      </c>
      <c r="G602" t="s">
        <v>867</v>
      </c>
      <c r="H602" t="s">
        <v>1520</v>
      </c>
      <c r="I602" t="s">
        <v>852</v>
      </c>
    </row>
    <row r="603" spans="1:9">
      <c r="A603" t="s">
        <v>155</v>
      </c>
      <c r="B603">
        <v>9</v>
      </c>
      <c r="C603">
        <v>1</v>
      </c>
      <c r="D603">
        <v>0</v>
      </c>
      <c r="E603" t="s">
        <v>1567</v>
      </c>
      <c r="F603" t="s">
        <v>717</v>
      </c>
      <c r="G603" t="s">
        <v>867</v>
      </c>
      <c r="H603" t="s">
        <v>1520</v>
      </c>
      <c r="I603" t="s">
        <v>852</v>
      </c>
    </row>
    <row r="604" spans="1:9">
      <c r="A604" t="s">
        <v>155</v>
      </c>
      <c r="B604">
        <v>10</v>
      </c>
      <c r="C604">
        <v>0</v>
      </c>
      <c r="D604">
        <v>0</v>
      </c>
      <c r="E604" t="s">
        <v>1568</v>
      </c>
      <c r="F604" t="s">
        <v>718</v>
      </c>
      <c r="G604" t="s">
        <v>867</v>
      </c>
      <c r="H604" t="s">
        <v>1520</v>
      </c>
      <c r="I604" t="s">
        <v>852</v>
      </c>
    </row>
    <row r="605" spans="1:9">
      <c r="A605" t="s">
        <v>155</v>
      </c>
      <c r="B605">
        <v>10</v>
      </c>
      <c r="C605">
        <v>1</v>
      </c>
      <c r="D605">
        <v>0</v>
      </c>
      <c r="E605" t="s">
        <v>1569</v>
      </c>
      <c r="F605" t="s">
        <v>719</v>
      </c>
      <c r="G605" t="s">
        <v>867</v>
      </c>
      <c r="H605" t="s">
        <v>1520</v>
      </c>
      <c r="I605" t="s">
        <v>852</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David Parry</dc:creator>
  <cp:keywords/>
  <dc:description/>
  <cp:lastModifiedBy/>
  <cp:revision/>
  <dcterms:created xsi:type="dcterms:W3CDTF">2024-11-25T12:32:17Z</dcterms:created>
  <dcterms:modified xsi:type="dcterms:W3CDTF">2026-05-18T09:22:51Z</dcterms:modified>
  <cp:category/>
  <cp:contentStatus/>
</cp:coreProperties>
</file>