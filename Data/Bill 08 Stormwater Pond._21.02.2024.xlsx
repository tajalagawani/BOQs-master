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defaultThemeVersion="124226"/>
  <mc:AlternateContent xmlns:mc="http://schemas.openxmlformats.org/markup-compatibility/2006">
    <mc:Choice Requires="x15">
      <x15ac:absPath xmlns:x15ac="http://schemas.microsoft.com/office/spreadsheetml/2010/11/ac" url="N:\Tender\2022\BLDG\T061-22 NKHL RFQ700887 Modification&amp;Redev Wrks Nakheel Mall-Al Khail\2. COMM\4. Sub.&amp;PTC\24.02.21 - Final BoQ - Amended\"/>
    </mc:Choice>
  </mc:AlternateContent>
  <xr:revisionPtr revIDLastSave="0" documentId="13_ncr:1_{360464E7-FA5D-42AF-B2E0-F73861D7A3FC}" xr6:coauthVersionLast="47" xr6:coauthVersionMax="47" xr10:uidLastSave="{00000000-0000-0000-0000-000000000000}"/>
  <bookViews>
    <workbookView xWindow="-108" yWindow="-108" windowWidth="23256" windowHeight="12456" activeTab="1" xr2:uid="{00000000-000D-0000-FFFF-FFFF00000000}"/>
  </bookViews>
  <sheets>
    <sheet name="Fly-Bill 8" sheetId="3" r:id="rId1"/>
    <sheet name="Bill 8" sheetId="2" r:id="rId2"/>
    <sheet name="Bill 8-Sum" sheetId="5" r:id="rId3"/>
  </sheets>
  <externalReferences>
    <externalReference r:id="rId4"/>
  </externalReferences>
  <definedNames>
    <definedName name="_xlnm._FilterDatabase" localSheetId="1" hidden="1">'Bill 8'!$A$1:$F$102</definedName>
    <definedName name="_xlnm._FilterDatabase" localSheetId="2" hidden="1">'Bill 8-Sum'!$A$1:$E$49</definedName>
    <definedName name="AA">'[1]AR-1'!#REF!</definedName>
    <definedName name="B2B">#REF!</definedName>
    <definedName name="B3B">#REF!</definedName>
    <definedName name="BB">#REF!</definedName>
    <definedName name="CC">'[1]AR-1'!#REF!</definedName>
    <definedName name="G1G">'[1]4-ME'!#REF!</definedName>
    <definedName name="G2G">'[1]4-ME'!#REF!</definedName>
    <definedName name="KK">'[1]4-ME'!#REF!</definedName>
    <definedName name="_xlnm.Print_Area" localSheetId="1">'Bill 8'!$A$1:$F$150</definedName>
    <definedName name="_xlnm.Print_Area" localSheetId="2">'Bill 8-Sum'!$A$1:$D$49</definedName>
    <definedName name="_xlnm.Print_Area" localSheetId="0">'Fly-Bill 8'!$A$1:$J$50</definedName>
    <definedName name="_xlnm.Print_Titles" localSheetId="1">'Bill 8'!$1:$2</definedName>
    <definedName name="_xlnm.Print_Titles" localSheetId="2">'Bill 8-Sum'!$1:$3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5" i="2" l="1"/>
  <c r="F63" i="2"/>
  <c r="F61" i="2"/>
  <c r="F99" i="2"/>
  <c r="F88" i="2"/>
  <c r="F86" i="2"/>
  <c r="F67" i="2"/>
  <c r="F57" i="2"/>
  <c r="F51" i="2"/>
  <c r="F49" i="2"/>
  <c r="F32" i="2"/>
  <c r="F30" i="2"/>
  <c r="F20" i="2"/>
  <c r="F14" i="2"/>
  <c r="F12" i="2"/>
  <c r="F24" i="2"/>
  <c r="F43" i="2" l="1"/>
  <c r="F108" i="2" s="1"/>
  <c r="F102" i="2"/>
  <c r="F112" i="2" s="1"/>
  <c r="F82" i="2"/>
  <c r="F110" i="2" l="1"/>
  <c r="F150" i="2" l="1"/>
  <c r="D8" i="5" l="1"/>
  <c r="D48" i="5" s="1"/>
</calcChain>
</file>

<file path=xl/sharedStrings.xml><?xml version="1.0" encoding="utf-8"?>
<sst xmlns="http://schemas.openxmlformats.org/spreadsheetml/2006/main" count="102" uniqueCount="67">
  <si>
    <t>Item</t>
  </si>
  <si>
    <t>Description</t>
  </si>
  <si>
    <t>Qty</t>
  </si>
  <si>
    <t>Unit</t>
  </si>
  <si>
    <t>Rate</t>
  </si>
  <si>
    <t>Amount</t>
  </si>
  <si>
    <t>334100 - STORM DRAINAGE</t>
  </si>
  <si>
    <t>Excavation</t>
  </si>
  <si>
    <t>Excavate trenches not exceeding 3.50 m including backfilling using suitable materials, compaction, dewatering, shoring , removal of excess materials, and completing the work as required by the drawings and specifications, etc.</t>
  </si>
  <si>
    <t>A</t>
  </si>
  <si>
    <t>m</t>
  </si>
  <si>
    <t>B</t>
  </si>
  <si>
    <t>Pipe works</t>
  </si>
  <si>
    <t>GRP pipes; including all fittings laid in trenches as specified and reinstatement of the road etc.,</t>
  </si>
  <si>
    <t>C</t>
  </si>
  <si>
    <t>300 mm diameter</t>
  </si>
  <si>
    <t>uPVC pipes; including all fittings laid in trenches as specified and reinstatement of the road etc.,</t>
  </si>
  <si>
    <t>D</t>
  </si>
  <si>
    <t xml:space="preserve">150 mm diameter </t>
  </si>
  <si>
    <t>Pipe bedding</t>
  </si>
  <si>
    <t>Granular Bedding and surround as specified and detailed on  drawings</t>
  </si>
  <si>
    <t>E</t>
  </si>
  <si>
    <t>150 mm diameter</t>
  </si>
  <si>
    <t>F</t>
  </si>
  <si>
    <t xml:space="preserve">300 mm diameter </t>
  </si>
  <si>
    <t>To Collection</t>
  </si>
  <si>
    <t>Concrete surround/Protection under roads as specified and detailed on  drawings</t>
  </si>
  <si>
    <t>Manholes and road gullies</t>
  </si>
  <si>
    <t xml:space="preserve">Manholes complete with all fittings and accessories as detailed on the drawings including excavation, backfilling, disposal of surplus materials, concrete, steel bars, thermal protection, frame, cover, channels, benching reinstatement of the road etc. as specified </t>
  </si>
  <si>
    <t>G</t>
  </si>
  <si>
    <t>Depth Not exceeding 4.0 m</t>
  </si>
  <si>
    <t>Nr</t>
  </si>
  <si>
    <t>STORM WATER STORAGE SYSTEM</t>
  </si>
  <si>
    <t>Earthwork excavation for storm water storage system</t>
  </si>
  <si>
    <t>Polypropylene Geocellular Units - Total 1000 mm deep</t>
  </si>
  <si>
    <t>Geotextile Membrane</t>
  </si>
  <si>
    <t xml:space="preserve">Inlet chamber to Geocellular tank complete with all fittings and accessories as detailed on the drawings including excavation, backfilling, disposal of surplus materials, concrete, steel bars, thermal protection, frame, cover, GRP ladder, channels, benching reinstatement of the road etc. as specified </t>
  </si>
  <si>
    <t xml:space="preserve">Outlet chamber from Geocellular tank complete with all fittings and accessories as detailed on the drawings including excavation, backfilling, disposal of surplus materials, concrete, steel bars, thermal protection, frame, covers, 300mm non-rising stem penstock, GRP ladder, channels, benching reinstatement of the road etc. as specified </t>
  </si>
  <si>
    <t>CONNECTION TO EXISTING SYSTEM</t>
  </si>
  <si>
    <t>BILL NO. 8</t>
  </si>
  <si>
    <t>STORMWATER POND CONNECTION</t>
  </si>
  <si>
    <r>
      <t>m</t>
    </r>
    <r>
      <rPr>
        <vertAlign val="superscript"/>
        <sz val="11"/>
        <rFont val="Arial"/>
        <family val="2"/>
      </rPr>
      <t>3</t>
    </r>
  </si>
  <si>
    <r>
      <t>m</t>
    </r>
    <r>
      <rPr>
        <vertAlign val="superscript"/>
        <sz val="11"/>
        <rFont val="Arial"/>
        <family val="2"/>
      </rPr>
      <t>2</t>
    </r>
  </si>
  <si>
    <t>Full survey for the public park including conditional survey of existing landscape items (softscape and hardscape), preparation of inventory for all possibly reused items, dismantling, storage and Demolition works for existing landscape items , and reinstatement of the affected public park to the previous condition all in full coordination and as directed by the Employer</t>
  </si>
  <si>
    <t>Connection to the existing system, including pipes, fittings, benching, accessories, excavation, backfilling; and all necessary works to fulfil the work requirements, removable of End caps, Demolition of excess lines, making good to existing surfaces and reinstatement of the road and all required approvals.</t>
  </si>
  <si>
    <t>The Contractor is to detail below any additional items (with quantities and rates) that are not shown in the drawings, or mentioned in the specifications and deemed required to complete the works and build-up of the lump sum price for this section. This lump sum price for the tender shall be deemed to include all the items necessary to complete the works and no subsequent claim for any additional item as mentioned herein will be entertained.</t>
  </si>
  <si>
    <t>Stormwater gravity pipes 300 mm diameter</t>
  </si>
  <si>
    <t>Stormwater pressure pipes 150 mm diameter</t>
  </si>
  <si>
    <t>334100 - STORM DRAINAGE (Cont'd)</t>
  </si>
  <si>
    <t>COLLECTION</t>
  </si>
  <si>
    <t>Page 8/B/1</t>
  </si>
  <si>
    <t>Page 8/B/2</t>
  </si>
  <si>
    <t>Page 8/B/3</t>
  </si>
  <si>
    <t>Carried to Summary</t>
  </si>
  <si>
    <t>AED</t>
  </si>
  <si>
    <t>Page Nr.</t>
  </si>
  <si>
    <t>Amount 
AED</t>
  </si>
  <si>
    <t>SUMMARY</t>
  </si>
  <si>
    <t>SITE WORK</t>
  </si>
  <si>
    <t>TO MAIN SUMMARY</t>
  </si>
  <si>
    <t>8/B/1 - 8/B/4</t>
  </si>
  <si>
    <t>TOTAL FOR BILL NO. 8 - STORM WATER POND CONNECTION</t>
  </si>
  <si>
    <t>Included</t>
  </si>
  <si>
    <t/>
  </si>
  <si>
    <t>Quantity Adjustments</t>
  </si>
  <si>
    <t>Variance in quantity following in-house Quantity Take Off</t>
  </si>
  <si>
    <t>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</si>
</sst>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_);_(* \(#,##0.00\);_(* &quot;-&quot;??_);_(@_)"/>
  </numFmts>
  <fonts count="24" x14ac:knownFonts="1">
    <font>
      <sz val="11"/>
      <color theme="1"/>
      <name val="Calibri"/>
      <family val="2"/>
      <scheme val="minor"/>
    </font>
    <font>
      <sz val="11"/>
      <color theme="1"/>
      <name val="Calibri"/>
      <family val="2"/>
      <scheme val="minor"/>
    </font>
    <font>
      <sz val="10"/>
      <name val="Arial"/>
      <family val="2"/>
    </font>
    <font>
      <sz val="12"/>
      <name val="Times New Roman"/>
      <family val="1"/>
    </font>
    <font>
      <sz val="10"/>
      <name val="MS Sans Serif"/>
      <family val="2"/>
    </font>
    <font>
      <b/>
      <u/>
      <sz val="12"/>
      <name val="Times New Roman"/>
      <family val="1"/>
      <charset val="178"/>
    </font>
    <font>
      <u/>
      <sz val="12"/>
      <name val="Times New Roman"/>
      <family val="1"/>
      <charset val="178"/>
    </font>
    <font>
      <sz val="12"/>
      <color theme="1"/>
      <name val="Times New Roman"/>
      <family val="2"/>
    </font>
    <font>
      <sz val="12"/>
      <name val="Times New Roman"/>
      <family val="1"/>
      <charset val="178"/>
    </font>
    <font>
      <sz val="11"/>
      <name val="Times New Roman"/>
      <family val="1"/>
    </font>
    <font>
      <u/>
      <sz val="11"/>
      <color indexed="8"/>
      <name val="Arial"/>
      <family val="2"/>
    </font>
    <font>
      <sz val="11"/>
      <color indexed="8"/>
      <name val="Arial"/>
      <family val="2"/>
    </font>
    <font>
      <b/>
      <sz val="11"/>
      <name val="Arial"/>
      <family val="2"/>
    </font>
    <font>
      <sz val="11"/>
      <name val="Arial"/>
      <family val="2"/>
    </font>
    <font>
      <u/>
      <sz val="11"/>
      <name val="Arial"/>
      <family val="2"/>
    </font>
    <font>
      <sz val="11"/>
      <color rgb="FFFF0000"/>
      <name val="Arial"/>
      <family val="2"/>
    </font>
    <font>
      <b/>
      <sz val="11"/>
      <color rgb="FFFF0000"/>
      <name val="Arial"/>
      <family val="2"/>
    </font>
    <font>
      <vertAlign val="superscript"/>
      <sz val="11"/>
      <name val="Arial"/>
      <family val="2"/>
    </font>
    <font>
      <sz val="10"/>
      <color theme="1"/>
      <name val="Arial"/>
      <family val="2"/>
    </font>
    <font>
      <sz val="8"/>
      <name val="Calibri"/>
      <family val="2"/>
      <scheme val="minor"/>
    </font>
    <font>
      <sz val="10"/>
      <color theme="0"/>
      <name val="Arial"/>
      <family val="2"/>
    </font>
    <font>
      <b/>
      <sz val="9"/>
      <color theme="0"/>
      <name val="Arial"/>
      <family val="2"/>
    </font>
    <font>
      <sz val="9"/>
      <name val="Arial"/>
      <family val="2"/>
    </font>
    <font>
      <strike/>
      <sz val="11"/>
      <name val="Arial"/>
      <family val="2"/>
    </font>
  </fonts>
  <fills count="2">
    <fill>
      <patternFill patternType="none"/>
    </fill>
    <fill>
      <patternFill patternType="gray125"/>
    </fill>
  </fills>
  <borders count="10">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diagonal/>
    </border>
    <border>
      <left/>
      <right/>
      <top style="thin">
        <color auto="1"/>
      </top>
      <bottom/>
      <diagonal/>
    </border>
    <border>
      <left style="thin">
        <color auto="1"/>
      </left>
      <right/>
      <top/>
      <bottom/>
      <diagonal/>
    </border>
    <border>
      <left/>
      <right style="thin">
        <color auto="1"/>
      </right>
      <top/>
      <bottom style="thin">
        <color auto="1"/>
      </bottom>
      <diagonal/>
    </border>
  </borders>
  <cellStyleXfs count="29">
    <xf numFmtId="0" fontId="0" fillId="0" borderId="0"/>
    <xf numFmtId="0" fontId="2" fillId="0" borderId="0"/>
    <xf numFmtId="0" fontId="3" fillId="0" borderId="1" applyFont="0" applyBorder="0" applyAlignment="0">
      <alignment wrapText="1"/>
    </xf>
    <xf numFmtId="0" fontId="4" fillId="0" borderId="0"/>
    <xf numFmtId="164" fontId="2"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xf numFmtId="0" fontId="5" fillId="0" borderId="0">
      <alignment vertical="top" wrapText="1"/>
    </xf>
    <xf numFmtId="0" fontId="6" fillId="0" borderId="0">
      <alignment vertical="top" wrapText="1"/>
    </xf>
    <xf numFmtId="0" fontId="6" fillId="0" borderId="0">
      <alignment wrapText="1"/>
    </xf>
    <xf numFmtId="0" fontId="3" fillId="0" borderId="1" applyBorder="0">
      <alignment wrapText="1"/>
    </xf>
    <xf numFmtId="0" fontId="3" fillId="0" borderId="0"/>
    <xf numFmtId="0" fontId="1" fillId="0" borderId="0"/>
    <xf numFmtId="0" fontId="7" fillId="0" borderId="0"/>
    <xf numFmtId="0" fontId="1" fillId="0" borderId="0"/>
    <xf numFmtId="0" fontId="1" fillId="0" borderId="0"/>
    <xf numFmtId="0" fontId="3" fillId="0" borderId="0"/>
    <xf numFmtId="0" fontId="2" fillId="0" borderId="0"/>
    <xf numFmtId="0" fontId="2" fillId="0" borderId="0"/>
    <xf numFmtId="0" fontId="8" fillId="0" borderId="0">
      <alignment wrapText="1"/>
    </xf>
    <xf numFmtId="0" fontId="1" fillId="0" borderId="0"/>
    <xf numFmtId="0" fontId="2" fillId="0" borderId="0"/>
    <xf numFmtId="0" fontId="3" fillId="0" borderId="0"/>
    <xf numFmtId="0" fontId="9" fillId="0" borderId="0"/>
    <xf numFmtId="0" fontId="1" fillId="0" borderId="0"/>
    <xf numFmtId="0" fontId="2" fillId="0" borderId="0"/>
    <xf numFmtId="43" fontId="1" fillId="0" borderId="0" applyFont="0" applyFill="0" applyBorder="0" applyAlignment="0" applyProtection="0"/>
    <xf numFmtId="0" fontId="2" fillId="0" borderId="0"/>
    <xf numFmtId="43" fontId="1" fillId="0" borderId="0" applyFont="0" applyFill="0" applyBorder="0" applyAlignment="0" applyProtection="0"/>
  </cellStyleXfs>
  <cellXfs count="158">
    <xf numFmtId="0" fontId="0" fillId="0" borderId="0" xfId="0"/>
    <xf numFmtId="0" fontId="1" fillId="0" borderId="0" xfId="24"/>
    <xf numFmtId="0" fontId="12" fillId="0" borderId="8" xfId="25" applyFont="1" applyBorder="1" applyAlignment="1" applyProtection="1">
      <alignment horizontal="center" vertical="center" wrapText="1"/>
      <protection locked="0"/>
    </xf>
    <xf numFmtId="0" fontId="12" fillId="0" borderId="0" xfId="25" applyFont="1" applyProtection="1">
      <protection locked="0"/>
    </xf>
    <xf numFmtId="0" fontId="12" fillId="0" borderId="0" xfId="25" applyFont="1" applyAlignment="1" applyProtection="1">
      <alignment vertical="center" wrapText="1"/>
      <protection locked="0"/>
    </xf>
    <xf numFmtId="0" fontId="13" fillId="0" borderId="0" xfId="25" applyFont="1" applyAlignment="1" applyProtection="1">
      <alignment wrapText="1"/>
      <protection locked="0"/>
    </xf>
    <xf numFmtId="43" fontId="15" fillId="0" borderId="3" xfId="26" applyFont="1" applyFill="1" applyBorder="1" applyAlignment="1" applyProtection="1">
      <alignment horizontal="center" vertical="top" wrapText="1"/>
      <protection locked="0"/>
    </xf>
    <xf numFmtId="0" fontId="12" fillId="0" borderId="0" xfId="25" applyFont="1" applyAlignment="1" applyProtection="1">
      <alignment horizontal="center" vertical="top" wrapText="1"/>
      <protection locked="0"/>
    </xf>
    <xf numFmtId="43" fontId="15" fillId="0" borderId="5" xfId="26" applyFont="1" applyFill="1" applyBorder="1" applyAlignment="1" applyProtection="1">
      <alignment horizontal="center" vertical="top" wrapText="1"/>
      <protection locked="0"/>
    </xf>
    <xf numFmtId="43" fontId="12" fillId="0" borderId="5" xfId="26" applyFont="1" applyFill="1" applyBorder="1" applyAlignment="1" applyProtection="1">
      <alignment horizontal="center" vertical="top" wrapText="1"/>
      <protection locked="0"/>
    </xf>
    <xf numFmtId="43" fontId="13" fillId="0" borderId="5" xfId="26" applyFont="1" applyFill="1" applyBorder="1" applyAlignment="1" applyProtection="1">
      <alignment horizontal="center" vertical="top" wrapText="1"/>
      <protection locked="0"/>
    </xf>
    <xf numFmtId="0" fontId="13" fillId="0" borderId="0" xfId="25" applyFont="1" applyAlignment="1" applyProtection="1">
      <alignment horizontal="center" vertical="top" wrapText="1"/>
      <protection locked="0"/>
    </xf>
    <xf numFmtId="0" fontId="13" fillId="0" borderId="0" xfId="25" applyFont="1" applyProtection="1">
      <protection locked="0"/>
    </xf>
    <xf numFmtId="0" fontId="1" fillId="0" borderId="0" xfId="24" applyProtection="1">
      <protection locked="0"/>
    </xf>
    <xf numFmtId="0" fontId="18" fillId="0" borderId="0" xfId="24" applyFont="1" applyProtection="1">
      <protection locked="0"/>
    </xf>
    <xf numFmtId="43" fontId="13" fillId="0" borderId="4" xfId="26" applyFont="1" applyFill="1" applyBorder="1" applyAlignment="1" applyProtection="1">
      <alignment horizontal="center" wrapText="1"/>
      <protection locked="0"/>
    </xf>
    <xf numFmtId="43" fontId="13" fillId="0" borderId="5" xfId="26" applyFont="1" applyFill="1" applyBorder="1" applyAlignment="1" applyProtection="1">
      <alignment horizontal="center" wrapText="1"/>
      <protection locked="0"/>
    </xf>
    <xf numFmtId="0" fontId="20" fillId="0" borderId="0" xfId="27" applyFont="1" applyAlignment="1" applyProtection="1">
      <alignment vertical="center"/>
      <protection locked="0"/>
    </xf>
    <xf numFmtId="0" fontId="21" fillId="0" borderId="0" xfId="27" applyFont="1" applyAlignment="1" applyProtection="1">
      <alignment horizontal="left" vertical="top" wrapText="1"/>
      <protection locked="0"/>
    </xf>
    <xf numFmtId="1" fontId="2" fillId="0" borderId="0" xfId="25" applyNumberFormat="1" applyAlignment="1" applyProtection="1">
      <alignment horizontal="center" vertical="top"/>
      <protection locked="0"/>
    </xf>
    <xf numFmtId="43" fontId="2" fillId="0" borderId="0" xfId="26" applyFont="1" applyFill="1" applyAlignment="1" applyProtection="1">
      <alignment vertical="top"/>
      <protection locked="0"/>
    </xf>
    <xf numFmtId="0" fontId="2" fillId="0" borderId="0" xfId="25" applyAlignment="1" applyProtection="1">
      <alignment vertical="top"/>
      <protection locked="0"/>
    </xf>
    <xf numFmtId="0" fontId="22" fillId="0" borderId="0" xfId="27" applyFont="1" applyAlignment="1" applyProtection="1">
      <alignment horizontal="left" vertical="top"/>
      <protection locked="0"/>
    </xf>
    <xf numFmtId="0" fontId="22" fillId="0" borderId="0" xfId="27" applyFont="1" applyAlignment="1" applyProtection="1">
      <alignment vertical="top" wrapText="1"/>
      <protection locked="0"/>
    </xf>
    <xf numFmtId="2" fontId="22" fillId="0" borderId="0" xfId="27" applyNumberFormat="1" applyFont="1" applyAlignment="1" applyProtection="1">
      <alignment horizontal="left" vertical="top"/>
      <protection locked="0"/>
    </xf>
    <xf numFmtId="49" fontId="13" fillId="0" borderId="0" xfId="25" applyNumberFormat="1" applyFont="1" applyAlignment="1" applyProtection="1">
      <alignment horizontal="center"/>
      <protection locked="0"/>
    </xf>
    <xf numFmtId="43" fontId="13" fillId="0" borderId="0" xfId="26" applyFont="1" applyFill="1" applyAlignment="1" applyProtection="1">
      <alignment horizontal="center" vertical="top" wrapText="1"/>
      <protection locked="0"/>
    </xf>
    <xf numFmtId="0" fontId="13" fillId="0" borderId="3" xfId="25" applyFont="1" applyBorder="1" applyAlignment="1">
      <alignment wrapText="1"/>
    </xf>
    <xf numFmtId="0" fontId="13" fillId="0" borderId="0" xfId="25" applyFont="1" applyAlignment="1">
      <alignment wrapText="1"/>
    </xf>
    <xf numFmtId="49" fontId="13" fillId="0" borderId="3" xfId="25" applyNumberFormat="1" applyFont="1" applyBorder="1" applyAlignment="1">
      <alignment horizontal="center" wrapText="1"/>
    </xf>
    <xf numFmtId="0" fontId="13" fillId="0" borderId="5" xfId="25" applyFont="1" applyBorder="1" applyAlignment="1">
      <alignment wrapText="1"/>
    </xf>
    <xf numFmtId="49" fontId="13" fillId="0" borderId="5" xfId="25" applyNumberFormat="1" applyFont="1" applyBorder="1" applyAlignment="1">
      <alignment horizontal="center" wrapText="1"/>
    </xf>
    <xf numFmtId="0" fontId="14" fillId="0" borderId="0" xfId="25" applyFont="1" applyAlignment="1">
      <alignment horizontal="center" wrapText="1"/>
    </xf>
    <xf numFmtId="0" fontId="13" fillId="0" borderId="0" xfId="25" applyFont="1" applyAlignment="1">
      <alignment horizontal="left" wrapText="1" indent="2"/>
    </xf>
    <xf numFmtId="49" fontId="13" fillId="0" borderId="5" xfId="25" applyNumberFormat="1" applyFont="1" applyBorder="1" applyAlignment="1">
      <alignment horizontal="center"/>
    </xf>
    <xf numFmtId="0" fontId="13" fillId="0" borderId="0" xfId="25" applyFont="1" applyAlignment="1">
      <alignment horizontal="left" indent="2"/>
    </xf>
    <xf numFmtId="0" fontId="13" fillId="0" borderId="5" xfId="25" applyFont="1" applyBorder="1"/>
    <xf numFmtId="0" fontId="13" fillId="0" borderId="0" xfId="25" applyFont="1"/>
    <xf numFmtId="0" fontId="13" fillId="0" borderId="4" xfId="25" applyFont="1" applyBorder="1"/>
    <xf numFmtId="0" fontId="13" fillId="0" borderId="9" xfId="25" applyFont="1" applyBorder="1"/>
    <xf numFmtId="49" fontId="13" fillId="0" borderId="4" xfId="25" applyNumberFormat="1" applyFont="1" applyBorder="1" applyAlignment="1">
      <alignment horizontal="center" wrapText="1"/>
    </xf>
    <xf numFmtId="0" fontId="12" fillId="0" borderId="0" xfId="25" applyFont="1" applyAlignment="1">
      <alignment vertical="top" wrapText="1"/>
    </xf>
    <xf numFmtId="49" fontId="12" fillId="0" borderId="7" xfId="25" applyNumberFormat="1" applyFont="1" applyBorder="1" applyAlignment="1">
      <alignment horizontal="center" wrapText="1"/>
    </xf>
    <xf numFmtId="0" fontId="13" fillId="0" borderId="0" xfId="25" applyFont="1" applyAlignment="1">
      <alignment horizontal="center" vertical="top" wrapText="1"/>
    </xf>
    <xf numFmtId="0" fontId="12" fillId="0" borderId="0" xfId="25" applyFont="1" applyAlignment="1">
      <alignment horizontal="right"/>
    </xf>
    <xf numFmtId="49" fontId="12" fillId="0" borderId="0" xfId="25" applyNumberFormat="1" applyFont="1" applyAlignment="1">
      <alignment horizontal="center" wrapText="1"/>
    </xf>
    <xf numFmtId="0" fontId="12" fillId="0" borderId="0" xfId="25" applyFont="1" applyAlignment="1">
      <alignment horizontal="left" vertical="top" wrapText="1"/>
    </xf>
    <xf numFmtId="0" fontId="12" fillId="0" borderId="0" xfId="1" applyFont="1" applyAlignment="1" applyProtection="1">
      <alignment horizontal="center" vertical="top"/>
      <protection locked="0"/>
    </xf>
    <xf numFmtId="0" fontId="12" fillId="0" borderId="0" xfId="1" applyFont="1" applyAlignment="1" applyProtection="1">
      <alignment vertical="top"/>
      <protection locked="0"/>
    </xf>
    <xf numFmtId="0" fontId="13" fillId="0" borderId="0" xfId="1" applyFont="1" applyAlignment="1" applyProtection="1">
      <alignment vertical="top"/>
      <protection locked="0"/>
    </xf>
    <xf numFmtId="0" fontId="13" fillId="0" borderId="0" xfId="1" applyFont="1" applyProtection="1">
      <protection locked="0"/>
    </xf>
    <xf numFmtId="0" fontId="15" fillId="0" borderId="0" xfId="1" applyFont="1" applyAlignment="1" applyProtection="1">
      <alignment vertical="top"/>
      <protection locked="0"/>
    </xf>
    <xf numFmtId="1" fontId="13" fillId="0" borderId="0" xfId="1" applyNumberFormat="1" applyFont="1" applyAlignment="1" applyProtection="1">
      <alignment horizontal="center"/>
      <protection locked="0"/>
    </xf>
    <xf numFmtId="1" fontId="15" fillId="0" borderId="0" xfId="1" applyNumberFormat="1" applyFont="1" applyAlignment="1" applyProtection="1">
      <alignment horizontal="center"/>
      <protection locked="0"/>
    </xf>
    <xf numFmtId="0" fontId="16" fillId="0" borderId="0" xfId="1" applyFont="1" applyAlignment="1" applyProtection="1">
      <alignment vertical="top"/>
      <protection locked="0"/>
    </xf>
    <xf numFmtId="0" fontId="13" fillId="0" borderId="0" xfId="1" applyFont="1" applyAlignment="1" applyProtection="1">
      <alignment horizontal="center" vertical="center"/>
      <protection locked="0"/>
    </xf>
    <xf numFmtId="0" fontId="13" fillId="0" borderId="0" xfId="1" applyFont="1" applyAlignment="1" applyProtection="1">
      <alignment vertical="center" wrapText="1"/>
      <protection locked="0"/>
    </xf>
    <xf numFmtId="0" fontId="13" fillId="0" borderId="4" xfId="1" applyFont="1" applyBorder="1" applyAlignment="1">
      <alignment horizontal="center" vertical="center"/>
    </xf>
    <xf numFmtId="0" fontId="13" fillId="0" borderId="3" xfId="1" applyFont="1" applyBorder="1" applyAlignment="1">
      <alignment horizontal="center" vertical="center" wrapText="1"/>
    </xf>
    <xf numFmtId="0" fontId="13" fillId="0" borderId="3" xfId="1" applyFont="1" applyBorder="1" applyAlignment="1">
      <alignment vertical="center" wrapText="1"/>
    </xf>
    <xf numFmtId="0" fontId="14" fillId="0" borderId="5" xfId="17" applyFont="1" applyBorder="1" applyAlignment="1">
      <alignment horizontal="center" vertical="center" wrapText="1"/>
    </xf>
    <xf numFmtId="0" fontId="14" fillId="0" borderId="5" xfId="21" applyFont="1" applyBorder="1" applyAlignment="1">
      <alignment vertical="center" wrapText="1"/>
    </xf>
    <xf numFmtId="0" fontId="13" fillId="0" borderId="5" xfId="1" applyFont="1" applyBorder="1" applyAlignment="1">
      <alignment horizontal="center" vertical="center"/>
    </xf>
    <xf numFmtId="0" fontId="14" fillId="0" borderId="5" xfId="1" applyFont="1" applyBorder="1" applyAlignment="1">
      <alignment vertical="center" wrapText="1"/>
    </xf>
    <xf numFmtId="0" fontId="13" fillId="0" borderId="5" xfId="1" applyFont="1" applyBorder="1" applyAlignment="1">
      <alignment vertical="center" wrapText="1"/>
    </xf>
    <xf numFmtId="0" fontId="15" fillId="0" borderId="5" xfId="1" applyFont="1" applyBorder="1" applyAlignment="1">
      <alignment horizontal="center" vertical="center"/>
    </xf>
    <xf numFmtId="0" fontId="15" fillId="0" borderId="5" xfId="1" applyFont="1" applyBorder="1" applyAlignment="1">
      <alignment vertical="center" wrapText="1"/>
    </xf>
    <xf numFmtId="0" fontId="15" fillId="0" borderId="4" xfId="1" applyFont="1" applyBorder="1" applyAlignment="1">
      <alignment horizontal="center" vertical="center"/>
    </xf>
    <xf numFmtId="0" fontId="15" fillId="0" borderId="4" xfId="1" applyFont="1" applyBorder="1" applyAlignment="1">
      <alignment vertical="center" wrapText="1"/>
    </xf>
    <xf numFmtId="0" fontId="16" fillId="0" borderId="2" xfId="1" applyFont="1" applyBorder="1" applyAlignment="1">
      <alignment horizontal="center" vertical="center"/>
    </xf>
    <xf numFmtId="0" fontId="13" fillId="0" borderId="2" xfId="1" applyFont="1" applyBorder="1" applyAlignment="1">
      <alignment horizontal="right" vertical="center" wrapText="1"/>
    </xf>
    <xf numFmtId="0" fontId="13" fillId="0" borderId="5" xfId="1" applyFont="1" applyBorder="1" applyAlignment="1">
      <alignment horizontal="center" vertical="top"/>
    </xf>
    <xf numFmtId="0" fontId="13" fillId="0" borderId="5" xfId="1" applyFont="1" applyBorder="1" applyAlignment="1">
      <alignment vertical="center"/>
    </xf>
    <xf numFmtId="0" fontId="13" fillId="0" borderId="5" xfId="23" applyFont="1" applyBorder="1" applyAlignment="1">
      <alignment horizontal="center" vertical="top"/>
    </xf>
    <xf numFmtId="0" fontId="14" fillId="0" borderId="5" xfId="23" applyFont="1" applyBorder="1" applyAlignment="1">
      <alignment vertical="center" wrapText="1"/>
    </xf>
    <xf numFmtId="0" fontId="11" fillId="0" borderId="5" xfId="3" applyFont="1" applyBorder="1" applyAlignment="1">
      <alignment vertical="center" wrapText="1"/>
    </xf>
    <xf numFmtId="0" fontId="11" fillId="0" borderId="5" xfId="3" applyFont="1" applyBorder="1" applyAlignment="1">
      <alignment horizontal="center" vertical="top" wrapText="1"/>
    </xf>
    <xf numFmtId="0" fontId="13" fillId="0" borderId="4" xfId="1" applyFont="1" applyBorder="1" applyAlignment="1">
      <alignment vertical="center" wrapText="1"/>
    </xf>
    <xf numFmtId="0" fontId="15" fillId="0" borderId="4" xfId="1" applyFont="1" applyBorder="1" applyAlignment="1">
      <alignment vertical="top"/>
    </xf>
    <xf numFmtId="0" fontId="16" fillId="0" borderId="7" xfId="1" applyFont="1" applyBorder="1" applyAlignment="1">
      <alignment horizontal="center" vertical="center"/>
    </xf>
    <xf numFmtId="0" fontId="13" fillId="0" borderId="7" xfId="1" applyFont="1" applyBorder="1" applyAlignment="1">
      <alignment horizontal="right" vertical="center" wrapText="1"/>
    </xf>
    <xf numFmtId="0" fontId="14" fillId="0" borderId="5" xfId="1" applyFont="1" applyBorder="1" applyAlignment="1">
      <alignment horizontal="right" vertical="center" wrapText="1"/>
    </xf>
    <xf numFmtId="0" fontId="13" fillId="0" borderId="5" xfId="21" applyFont="1" applyBorder="1" applyAlignment="1">
      <alignment horizontal="right" vertical="center" wrapText="1"/>
    </xf>
    <xf numFmtId="0" fontId="10" fillId="0" borderId="0" xfId="24" applyFont="1" applyAlignment="1">
      <alignment vertical="top"/>
    </xf>
    <xf numFmtId="0" fontId="10" fillId="0" borderId="0" xfId="24" applyFont="1" applyAlignment="1">
      <alignment horizontal="center" vertical="top"/>
    </xf>
    <xf numFmtId="0" fontId="10" fillId="0" borderId="0" xfId="24" applyFont="1" applyAlignment="1">
      <alignment horizontal="center" vertical="top" wrapText="1"/>
    </xf>
    <xf numFmtId="0" fontId="10" fillId="0" borderId="0" xfId="24" applyFont="1" applyAlignment="1">
      <alignment vertical="top" wrapText="1"/>
    </xf>
    <xf numFmtId="4" fontId="10" fillId="0" borderId="0" xfId="24" applyNumberFormat="1" applyFont="1"/>
    <xf numFmtId="0" fontId="11" fillId="0" borderId="0" xfId="24" applyFont="1" applyAlignment="1">
      <alignment horizontal="center" vertical="top"/>
    </xf>
    <xf numFmtId="0" fontId="11" fillId="0" borderId="0" xfId="24" applyFont="1" applyAlignment="1">
      <alignment vertical="top" wrapText="1"/>
    </xf>
    <xf numFmtId="3" fontId="11" fillId="0" borderId="0" xfId="24" applyNumberFormat="1" applyFont="1" applyAlignment="1">
      <alignment horizontal="right"/>
    </xf>
    <xf numFmtId="3" fontId="11" fillId="0" borderId="0" xfId="24" applyNumberFormat="1" applyFont="1" applyAlignment="1">
      <alignment horizontal="center"/>
    </xf>
    <xf numFmtId="4" fontId="11" fillId="0" borderId="0" xfId="24" applyNumberFormat="1" applyFont="1" applyAlignment="1">
      <alignment horizontal="right"/>
    </xf>
    <xf numFmtId="43" fontId="13" fillId="0" borderId="3" xfId="28" applyFont="1" applyBorder="1" applyAlignment="1" applyProtection="1">
      <alignment vertical="center" wrapText="1"/>
      <protection locked="0"/>
    </xf>
    <xf numFmtId="43" fontId="13" fillId="0" borderId="5" xfId="28" applyFont="1" applyBorder="1" applyAlignment="1" applyProtection="1">
      <alignment vertical="center" wrapText="1"/>
      <protection locked="0"/>
    </xf>
    <xf numFmtId="43" fontId="13" fillId="0" borderId="5" xfId="28" applyFont="1" applyBorder="1" applyAlignment="1" applyProtection="1">
      <alignment vertical="center"/>
      <protection locked="0"/>
    </xf>
    <xf numFmtId="43" fontId="13" fillId="0" borderId="4" xfId="28" applyFont="1" applyBorder="1" applyAlignment="1" applyProtection="1">
      <alignment vertical="center"/>
      <protection locked="0"/>
    </xf>
    <xf numFmtId="43" fontId="13" fillId="0" borderId="0" xfId="28" applyFont="1" applyAlignment="1" applyProtection="1">
      <alignment vertical="center"/>
      <protection locked="0"/>
    </xf>
    <xf numFmtId="43" fontId="12" fillId="0" borderId="2" xfId="28" applyFont="1" applyBorder="1" applyAlignment="1" applyProtection="1">
      <alignment vertical="center"/>
      <protection locked="0"/>
    </xf>
    <xf numFmtId="43" fontId="13" fillId="0" borderId="4" xfId="28" applyFont="1" applyBorder="1" applyAlignment="1" applyProtection="1">
      <alignment vertical="top"/>
      <protection locked="0"/>
    </xf>
    <xf numFmtId="43" fontId="13" fillId="0" borderId="2" xfId="28" applyFont="1" applyBorder="1" applyAlignment="1" applyProtection="1">
      <alignment vertical="center"/>
      <protection locked="0"/>
    </xf>
    <xf numFmtId="43" fontId="13" fillId="0" borderId="2" xfId="28" applyFont="1" applyBorder="1" applyAlignment="1" applyProtection="1">
      <alignment horizontal="center" vertical="center"/>
      <protection locked="0"/>
    </xf>
    <xf numFmtId="43" fontId="13" fillId="0" borderId="5" xfId="25" applyNumberFormat="1" applyFont="1" applyBorder="1"/>
    <xf numFmtId="0" fontId="23" fillId="0" borderId="5" xfId="1" applyFont="1" applyBorder="1" applyAlignment="1">
      <alignment horizontal="center" vertical="top"/>
    </xf>
    <xf numFmtId="0" fontId="23" fillId="0" borderId="5" xfId="1" applyFont="1" applyBorder="1" applyAlignment="1">
      <alignment vertical="center" wrapText="1"/>
    </xf>
    <xf numFmtId="43" fontId="23" fillId="0" borderId="5" xfId="28" applyFont="1" applyBorder="1" applyAlignment="1" applyProtection="1">
      <alignment vertical="center"/>
      <protection locked="0"/>
    </xf>
    <xf numFmtId="0" fontId="10" fillId="0" borderId="0" xfId="24" applyFont="1" applyAlignment="1">
      <alignment horizontal="center" vertical="top" wrapText="1"/>
    </xf>
    <xf numFmtId="0" fontId="13" fillId="0" borderId="3" xfId="1" applyFont="1" applyBorder="1" applyAlignment="1">
      <alignment horizontal="center" vertical="center"/>
    </xf>
    <xf numFmtId="0" fontId="13" fillId="0" borderId="4" xfId="1" applyFont="1" applyBorder="1" applyAlignment="1">
      <alignment horizontal="center" vertical="center"/>
    </xf>
    <xf numFmtId="4" fontId="13" fillId="0" borderId="3" xfId="1" applyNumberFormat="1" applyFont="1" applyBorder="1" applyAlignment="1">
      <alignment horizontal="center" vertical="center" wrapText="1"/>
    </xf>
    <xf numFmtId="4" fontId="13" fillId="0" borderId="4" xfId="1" applyNumberFormat="1" applyFont="1" applyBorder="1" applyAlignment="1">
      <alignment horizontal="center" vertical="center" wrapText="1"/>
    </xf>
    <xf numFmtId="0" fontId="13" fillId="0" borderId="3" xfId="25" applyFont="1" applyBorder="1" applyAlignment="1">
      <alignment horizontal="center" vertical="center" wrapText="1"/>
    </xf>
    <xf numFmtId="0" fontId="13" fillId="0" borderId="4" xfId="25" applyFont="1" applyBorder="1" applyAlignment="1">
      <alignment horizontal="center" vertical="center" wrapText="1"/>
    </xf>
    <xf numFmtId="49" fontId="13" fillId="0" borderId="3" xfId="25" applyNumberFormat="1" applyFont="1" applyBorder="1" applyAlignment="1">
      <alignment horizontal="center" vertical="center" wrapText="1"/>
    </xf>
    <xf numFmtId="49" fontId="13" fillId="0" borderId="4" xfId="25" applyNumberFormat="1" applyFont="1" applyBorder="1" applyAlignment="1">
      <alignment horizontal="center" vertical="center" wrapText="1"/>
    </xf>
    <xf numFmtId="43" fontId="13" fillId="0" borderId="3" xfId="26" applyFont="1" applyFill="1" applyBorder="1" applyAlignment="1" applyProtection="1">
      <alignment horizontal="center" vertical="center" wrapText="1"/>
      <protection locked="0"/>
    </xf>
    <xf numFmtId="43" fontId="13" fillId="0" borderId="4" xfId="26" applyFont="1" applyFill="1" applyBorder="1" applyAlignment="1" applyProtection="1">
      <alignment horizontal="center" vertical="center" wrapText="1"/>
      <protection locked="0"/>
    </xf>
    <xf numFmtId="3" fontId="13" fillId="0" borderId="3" xfId="1" applyNumberFormat="1" applyFont="1" applyFill="1" applyBorder="1" applyAlignment="1">
      <alignment horizontal="center" vertical="center"/>
    </xf>
    <xf numFmtId="0" fontId="13" fillId="0" borderId="3" xfId="1" applyFont="1" applyFill="1" applyBorder="1" applyAlignment="1">
      <alignment horizontal="center" vertical="center"/>
    </xf>
    <xf numFmtId="43" fontId="13" fillId="0" borderId="2" xfId="28" applyFont="1" applyFill="1" applyBorder="1" applyAlignment="1" applyProtection="1">
      <alignment horizontal="center" vertical="center" wrapText="1"/>
      <protection locked="0"/>
    </xf>
    <xf numFmtId="3" fontId="13" fillId="0" borderId="4" xfId="1" applyNumberFormat="1" applyFont="1" applyFill="1" applyBorder="1" applyAlignment="1">
      <alignment horizontal="center" vertical="center"/>
    </xf>
    <xf numFmtId="0" fontId="13" fillId="0" borderId="4" xfId="1" applyFont="1" applyFill="1" applyBorder="1" applyAlignment="1">
      <alignment horizontal="center" vertical="center"/>
    </xf>
    <xf numFmtId="3" fontId="13" fillId="0" borderId="3" xfId="1" applyNumberFormat="1" applyFont="1" applyFill="1" applyBorder="1" applyAlignment="1">
      <alignment horizontal="right" vertical="center" wrapText="1"/>
    </xf>
    <xf numFmtId="0" fontId="13" fillId="0" borderId="3" xfId="1" applyFont="1" applyFill="1" applyBorder="1" applyAlignment="1">
      <alignment horizontal="center" vertical="center" wrapText="1"/>
    </xf>
    <xf numFmtId="43" fontId="13" fillId="0" borderId="3" xfId="28" applyFont="1" applyFill="1" applyBorder="1" applyAlignment="1" applyProtection="1">
      <alignment vertical="center" wrapText="1"/>
      <protection locked="0"/>
    </xf>
    <xf numFmtId="3" fontId="14" fillId="0" borderId="5" xfId="17" applyNumberFormat="1" applyFont="1" applyFill="1" applyBorder="1" applyAlignment="1">
      <alignment horizontal="right" vertical="center" wrapText="1"/>
    </xf>
    <xf numFmtId="0" fontId="14" fillId="0" borderId="5" xfId="17" applyFont="1" applyFill="1" applyBorder="1" applyAlignment="1">
      <alignment horizontal="center" vertical="center" wrapText="1"/>
    </xf>
    <xf numFmtId="43" fontId="13" fillId="0" borderId="5" xfId="28" applyFont="1" applyFill="1" applyBorder="1" applyAlignment="1" applyProtection="1">
      <alignment vertical="center" wrapText="1"/>
      <protection locked="0"/>
    </xf>
    <xf numFmtId="3" fontId="13" fillId="0" borderId="5" xfId="1" applyNumberFormat="1" applyFont="1" applyFill="1" applyBorder="1" applyAlignment="1">
      <alignment horizontal="right" vertical="center"/>
    </xf>
    <xf numFmtId="1" fontId="13" fillId="0" borderId="5" xfId="1" applyNumberFormat="1" applyFont="1" applyFill="1" applyBorder="1" applyAlignment="1">
      <alignment horizontal="center" vertical="center"/>
    </xf>
    <xf numFmtId="43" fontId="13" fillId="0" borderId="5" xfId="28" applyFont="1" applyFill="1" applyBorder="1" applyAlignment="1" applyProtection="1">
      <alignment vertical="center"/>
      <protection locked="0"/>
    </xf>
    <xf numFmtId="3" fontId="13" fillId="0" borderId="5" xfId="21" applyNumberFormat="1" applyFont="1" applyFill="1" applyBorder="1" applyAlignment="1">
      <alignment horizontal="right" vertical="center"/>
    </xf>
    <xf numFmtId="3" fontId="15" fillId="0" borderId="5" xfId="21" applyNumberFormat="1" applyFont="1" applyFill="1" applyBorder="1" applyAlignment="1">
      <alignment horizontal="right" vertical="center"/>
    </xf>
    <xf numFmtId="1" fontId="15" fillId="0" borderId="5" xfId="1" applyNumberFormat="1" applyFont="1" applyFill="1" applyBorder="1" applyAlignment="1">
      <alignment horizontal="center" vertical="center"/>
    </xf>
    <xf numFmtId="3" fontId="15" fillId="0" borderId="4" xfId="1" applyNumberFormat="1" applyFont="1" applyFill="1" applyBorder="1" applyAlignment="1">
      <alignment horizontal="right" vertical="center"/>
    </xf>
    <xf numFmtId="1" fontId="15" fillId="0" borderId="4" xfId="1" applyNumberFormat="1" applyFont="1" applyFill="1" applyBorder="1" applyAlignment="1">
      <alignment horizontal="center" vertical="center"/>
    </xf>
    <xf numFmtId="43" fontId="13" fillId="0" borderId="4" xfId="28" applyFont="1" applyFill="1" applyBorder="1" applyAlignment="1" applyProtection="1">
      <alignment vertical="center"/>
      <protection locked="0"/>
    </xf>
    <xf numFmtId="3" fontId="16" fillId="0" borderId="2" xfId="1" applyNumberFormat="1" applyFont="1" applyFill="1" applyBorder="1" applyAlignment="1">
      <alignment horizontal="right" vertical="center"/>
    </xf>
    <xf numFmtId="1" fontId="16" fillId="0" borderId="2" xfId="1" applyNumberFormat="1" applyFont="1" applyFill="1" applyBorder="1" applyAlignment="1">
      <alignment horizontal="center" vertical="center"/>
    </xf>
    <xf numFmtId="43" fontId="12" fillId="0" borderId="2" xfId="28" applyFont="1" applyFill="1" applyBorder="1" applyAlignment="1" applyProtection="1">
      <alignment vertical="center"/>
      <protection locked="0"/>
    </xf>
    <xf numFmtId="3" fontId="13" fillId="0" borderId="5" xfId="23" applyNumberFormat="1" applyFont="1" applyFill="1" applyBorder="1" applyAlignment="1">
      <alignment horizontal="right" vertical="center"/>
    </xf>
    <xf numFmtId="1" fontId="13" fillId="0" borderId="5" xfId="23" applyNumberFormat="1" applyFont="1" applyFill="1" applyBorder="1" applyAlignment="1">
      <alignment horizontal="center" vertical="center"/>
    </xf>
    <xf numFmtId="3" fontId="11" fillId="0" borderId="5" xfId="3" applyNumberFormat="1" applyFont="1" applyFill="1" applyBorder="1" applyAlignment="1">
      <alignment horizontal="right" vertical="center" wrapText="1"/>
    </xf>
    <xf numFmtId="3" fontId="13" fillId="0" borderId="4" xfId="1" applyNumberFormat="1" applyFont="1" applyFill="1" applyBorder="1" applyAlignment="1">
      <alignment horizontal="right" vertical="center"/>
    </xf>
    <xf numFmtId="1" fontId="13" fillId="0" borderId="4" xfId="1" applyNumberFormat="1" applyFont="1" applyFill="1" applyBorder="1" applyAlignment="1">
      <alignment horizontal="center" vertical="center"/>
    </xf>
    <xf numFmtId="0" fontId="13" fillId="0" borderId="5" xfId="1" applyFont="1" applyFill="1" applyBorder="1" applyAlignment="1">
      <alignment horizontal="center" vertical="center"/>
    </xf>
    <xf numFmtId="3" fontId="23" fillId="0" borderId="5" xfId="1" applyNumberFormat="1" applyFont="1" applyFill="1" applyBorder="1" applyAlignment="1">
      <alignment horizontal="right" vertical="center"/>
    </xf>
    <xf numFmtId="0" fontId="23" fillId="0" borderId="5" xfId="1" applyFont="1" applyFill="1" applyBorder="1" applyAlignment="1">
      <alignment horizontal="center" vertical="center"/>
    </xf>
    <xf numFmtId="43" fontId="23" fillId="0" borderId="5" xfId="28" applyFont="1" applyFill="1" applyBorder="1" applyAlignment="1" applyProtection="1">
      <alignment vertical="center"/>
      <protection locked="0"/>
    </xf>
    <xf numFmtId="3" fontId="15" fillId="0" borderId="4" xfId="1" applyNumberFormat="1" applyFont="1" applyFill="1" applyBorder="1" applyAlignment="1">
      <alignment horizontal="right" vertical="top"/>
    </xf>
    <xf numFmtId="0" fontId="15" fillId="0" borderId="4" xfId="1" applyFont="1" applyFill="1" applyBorder="1" applyAlignment="1">
      <alignment vertical="top"/>
    </xf>
    <xf numFmtId="43" fontId="13" fillId="0" borderId="4" xfId="28" applyFont="1" applyFill="1" applyBorder="1" applyAlignment="1" applyProtection="1">
      <alignment vertical="top"/>
      <protection locked="0"/>
    </xf>
    <xf numFmtId="3" fontId="16" fillId="0" borderId="7" xfId="1" applyNumberFormat="1" applyFont="1" applyFill="1" applyBorder="1" applyAlignment="1">
      <alignment horizontal="right" vertical="center"/>
    </xf>
    <xf numFmtId="1" fontId="16" fillId="0" borderId="7" xfId="1" applyNumberFormat="1" applyFont="1" applyFill="1" applyBorder="1" applyAlignment="1">
      <alignment horizontal="center" vertical="center"/>
    </xf>
    <xf numFmtId="43" fontId="13" fillId="0" borderId="6" xfId="28" applyFont="1" applyFill="1" applyBorder="1" applyAlignment="1" applyProtection="1">
      <alignment horizontal="center" vertical="center"/>
      <protection locked="0"/>
    </xf>
    <xf numFmtId="3" fontId="13" fillId="0" borderId="0" xfId="1" applyNumberFormat="1" applyFont="1" applyFill="1" applyAlignment="1" applyProtection="1">
      <alignment horizontal="right" vertical="center"/>
      <protection locked="0"/>
    </xf>
    <xf numFmtId="0" fontId="13" fillId="0" borderId="0" xfId="1" applyFont="1" applyFill="1" applyAlignment="1" applyProtection="1">
      <alignment horizontal="center" vertical="center"/>
      <protection locked="0"/>
    </xf>
    <xf numFmtId="43" fontId="13" fillId="0" borderId="0" xfId="28" applyFont="1" applyFill="1" applyAlignment="1" applyProtection="1">
      <alignment vertical="center"/>
      <protection locked="0"/>
    </xf>
  </cellXfs>
  <cellStyles count="29">
    <cellStyle name="Comma" xfId="28" builtinId="3"/>
    <cellStyle name="Comma 2" xfId="4" xr:uid="{00000000-0005-0000-0000-000000000000}"/>
    <cellStyle name="Comma 2 2" xfId="5" xr:uid="{00000000-0005-0000-0000-000001000000}"/>
    <cellStyle name="Comma 3" xfId="6" xr:uid="{00000000-0005-0000-0000-000002000000}"/>
    <cellStyle name="Comma 3 2" xfId="26" xr:uid="{439A90DA-A51D-41E5-ABE0-481C7F280892}"/>
    <cellStyle name="Description" xfId="2" xr:uid="{00000000-0005-0000-0000-000003000000}"/>
    <cellStyle name="Header 1" xfId="7" xr:uid="{00000000-0005-0000-0000-000004000000}"/>
    <cellStyle name="Header 2" xfId="8" xr:uid="{00000000-0005-0000-0000-000005000000}"/>
    <cellStyle name="Header 3" xfId="9" xr:uid="{00000000-0005-0000-0000-000006000000}"/>
    <cellStyle name="Item" xfId="10" xr:uid="{00000000-0005-0000-0000-000007000000}"/>
    <cellStyle name="Normal" xfId="0" builtinId="0"/>
    <cellStyle name="Normal 2" xfId="11" xr:uid="{00000000-0005-0000-0000-000009000000}"/>
    <cellStyle name="Normal 2 2" xfId="1" xr:uid="{00000000-0005-0000-0000-00000A000000}"/>
    <cellStyle name="Normal 2 3 2 3 2 2" xfId="12" xr:uid="{00000000-0005-0000-0000-00000B000000}"/>
    <cellStyle name="Normal 25 4 2 3 3 3" xfId="13" xr:uid="{00000000-0005-0000-0000-00000C000000}"/>
    <cellStyle name="Normal 28 2 3" xfId="14" xr:uid="{00000000-0005-0000-0000-00000D000000}"/>
    <cellStyle name="Normal 28 2 3 2" xfId="15" xr:uid="{00000000-0005-0000-0000-00000E000000}"/>
    <cellStyle name="Normal 3" xfId="16" xr:uid="{00000000-0005-0000-0000-00000F000000}"/>
    <cellStyle name="Normal 3 2" xfId="22" xr:uid="{00000000-0005-0000-0000-000010000000}"/>
    <cellStyle name="Normal 3 3" xfId="24" xr:uid="{71D4828A-A600-4D33-A06D-6617FEC09036}"/>
    <cellStyle name="Normal 3 3 2" xfId="25" xr:uid="{8319AA5B-8797-416B-BE0B-52FD5C128BC2}"/>
    <cellStyle name="Normal 4" xfId="17" xr:uid="{00000000-0005-0000-0000-000011000000}"/>
    <cellStyle name="Normal 4 8 2" xfId="18" xr:uid="{00000000-0005-0000-0000-000012000000}"/>
    <cellStyle name="Normal 5" xfId="19" xr:uid="{00000000-0005-0000-0000-000013000000}"/>
    <cellStyle name="Normal 6" xfId="20" xr:uid="{00000000-0005-0000-0000-000014000000}"/>
    <cellStyle name="Normal_BOQenv" xfId="3" xr:uid="{00000000-0005-0000-0000-000015000000}"/>
    <cellStyle name="Normal_Boq-Y0205-2 EXTERNAL WORKS 2" xfId="21" xr:uid="{00000000-0005-0000-0000-000017000000}"/>
    <cellStyle name="Normal_D0562-BOQ-SUBSTATION" xfId="23" xr:uid="{00000000-0005-0000-0000-000019000000}"/>
    <cellStyle name="Normal_INT-CERT 2_1" xfId="27" xr:uid="{73E1711B-5956-44B2-8C21-807CAB6E190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01-DAR\01-DataBase\01-EXCEL\R007-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ST"/>
      <sheetName val="2-AR"/>
      <sheetName val="3-EL"/>
      <sheetName val="4-ME"/>
      <sheetName val="Summary"/>
      <sheetName val="Summary-B"/>
      <sheetName val="ST-B"/>
      <sheetName val="AR-B"/>
      <sheetName val="EL-B"/>
      <sheetName val="ME-B"/>
      <sheetName val="C-01"/>
      <sheetName val="AR-1"/>
      <sheetName val="C-02"/>
      <sheetName val="Arae"/>
      <sheetName val="Global"/>
      <sheetName val="Mat"/>
      <sheetName val="BOQ-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75CA5-DFE8-43D3-A5D6-79F973CF5B0C}">
  <dimension ref="A1:J50"/>
  <sheetViews>
    <sheetView view="pageBreakPreview" topLeftCell="A13" zoomScaleNormal="100" zoomScaleSheetLayoutView="100" workbookViewId="0">
      <selection activeCell="A24" sqref="A24:J24"/>
    </sheetView>
  </sheetViews>
  <sheetFormatPr defaultColWidth="8.6640625" defaultRowHeight="14.4" x14ac:dyDescent="0.3"/>
  <cols>
    <col min="1" max="16384" width="8.6640625" style="1"/>
  </cols>
  <sheetData>
    <row r="1" spans="1:10" x14ac:dyDescent="0.3">
      <c r="A1" s="83"/>
      <c r="B1" s="83"/>
      <c r="C1" s="83"/>
      <c r="D1" s="83"/>
      <c r="E1" s="83"/>
      <c r="F1" s="83"/>
      <c r="G1" s="83"/>
      <c r="H1" s="83"/>
      <c r="I1" s="83"/>
      <c r="J1" s="83"/>
    </row>
    <row r="2" spans="1:10" x14ac:dyDescent="0.3">
      <c r="A2" s="83"/>
      <c r="B2" s="83"/>
      <c r="C2" s="83"/>
      <c r="D2" s="83"/>
      <c r="E2" s="83"/>
      <c r="F2" s="83"/>
      <c r="G2" s="83"/>
      <c r="H2" s="83"/>
      <c r="I2" s="83"/>
      <c r="J2" s="83"/>
    </row>
    <row r="3" spans="1:10" x14ac:dyDescent="0.3">
      <c r="A3" s="83"/>
      <c r="B3" s="83"/>
      <c r="C3" s="83"/>
      <c r="D3" s="83"/>
      <c r="E3" s="83"/>
      <c r="F3" s="83"/>
      <c r="G3" s="83"/>
      <c r="H3" s="83"/>
      <c r="I3" s="83"/>
      <c r="J3" s="83"/>
    </row>
    <row r="4" spans="1:10" x14ac:dyDescent="0.3">
      <c r="A4" s="83"/>
      <c r="B4" s="83"/>
      <c r="C4" s="83"/>
      <c r="D4" s="83"/>
      <c r="E4" s="83"/>
      <c r="F4" s="83"/>
      <c r="G4" s="83"/>
      <c r="H4" s="83"/>
      <c r="I4" s="83"/>
      <c r="J4" s="83"/>
    </row>
    <row r="5" spans="1:10" x14ac:dyDescent="0.3">
      <c r="A5" s="83"/>
      <c r="B5" s="83"/>
      <c r="C5" s="83"/>
      <c r="D5" s="83"/>
      <c r="E5" s="83"/>
      <c r="F5" s="83"/>
      <c r="G5" s="83"/>
      <c r="H5" s="83"/>
      <c r="I5" s="83"/>
      <c r="J5" s="83"/>
    </row>
    <row r="6" spans="1:10" x14ac:dyDescent="0.3">
      <c r="A6" s="83"/>
      <c r="B6" s="83"/>
      <c r="C6" s="83"/>
      <c r="D6" s="83"/>
      <c r="E6" s="83"/>
      <c r="F6" s="83"/>
      <c r="G6" s="83"/>
      <c r="H6" s="83"/>
      <c r="I6" s="83"/>
      <c r="J6" s="83"/>
    </row>
    <row r="7" spans="1:10" x14ac:dyDescent="0.3">
      <c r="A7" s="83"/>
      <c r="B7" s="83"/>
      <c r="C7" s="83"/>
      <c r="D7" s="83"/>
      <c r="E7" s="83"/>
      <c r="F7" s="83"/>
      <c r="G7" s="83"/>
      <c r="H7" s="83"/>
      <c r="I7" s="83"/>
      <c r="J7" s="83"/>
    </row>
    <row r="8" spans="1:10" x14ac:dyDescent="0.3">
      <c r="A8" s="83"/>
      <c r="B8" s="83"/>
      <c r="C8" s="83"/>
      <c r="D8" s="83"/>
      <c r="E8" s="83"/>
      <c r="F8" s="83"/>
      <c r="G8" s="83"/>
      <c r="H8" s="83"/>
      <c r="I8" s="83"/>
      <c r="J8" s="83"/>
    </row>
    <row r="9" spans="1:10" x14ac:dyDescent="0.3">
      <c r="A9" s="83"/>
      <c r="B9" s="83"/>
      <c r="C9" s="83"/>
      <c r="D9" s="83"/>
      <c r="E9" s="83"/>
      <c r="F9" s="83"/>
      <c r="G9" s="83"/>
      <c r="H9" s="83"/>
      <c r="I9" s="83"/>
      <c r="J9" s="83"/>
    </row>
    <row r="10" spans="1:10" x14ac:dyDescent="0.3">
      <c r="A10" s="83"/>
      <c r="B10" s="83"/>
      <c r="C10" s="83"/>
      <c r="D10" s="83"/>
      <c r="E10" s="83"/>
      <c r="F10" s="83"/>
      <c r="G10" s="83"/>
      <c r="H10" s="83"/>
      <c r="I10" s="83"/>
      <c r="J10" s="83"/>
    </row>
    <row r="11" spans="1:10" x14ac:dyDescent="0.3">
      <c r="A11" s="83"/>
      <c r="B11" s="83"/>
      <c r="C11" s="83"/>
      <c r="D11" s="83"/>
      <c r="E11" s="83"/>
      <c r="F11" s="83"/>
      <c r="G11" s="83"/>
      <c r="H11" s="83"/>
      <c r="I11" s="83"/>
      <c r="J11" s="83"/>
    </row>
    <row r="12" spans="1:10" x14ac:dyDescent="0.3">
      <c r="A12" s="83"/>
      <c r="B12" s="83"/>
      <c r="C12" s="83"/>
      <c r="D12" s="83"/>
      <c r="E12" s="83"/>
      <c r="F12" s="83"/>
      <c r="G12" s="83"/>
      <c r="H12" s="83"/>
      <c r="I12" s="83"/>
      <c r="J12" s="83"/>
    </row>
    <row r="13" spans="1:10" x14ac:dyDescent="0.3">
      <c r="A13" s="83"/>
      <c r="B13" s="83"/>
      <c r="C13" s="83"/>
      <c r="D13" s="83"/>
      <c r="E13" s="83"/>
      <c r="F13" s="83"/>
      <c r="G13" s="83"/>
      <c r="H13" s="83"/>
      <c r="I13" s="83"/>
      <c r="J13" s="83"/>
    </row>
    <row r="14" spans="1:10" x14ac:dyDescent="0.3">
      <c r="A14" s="84"/>
      <c r="B14" s="84"/>
      <c r="C14" s="84"/>
      <c r="D14" s="84"/>
      <c r="E14" s="84"/>
      <c r="F14" s="84"/>
      <c r="G14" s="84"/>
      <c r="H14" s="84"/>
      <c r="I14" s="84"/>
      <c r="J14" s="84"/>
    </row>
    <row r="15" spans="1:10" x14ac:dyDescent="0.3">
      <c r="A15" s="84"/>
      <c r="B15" s="84"/>
      <c r="C15" s="84"/>
      <c r="D15" s="84"/>
      <c r="E15" s="84"/>
      <c r="F15" s="84"/>
      <c r="G15" s="84"/>
      <c r="H15" s="84"/>
      <c r="I15" s="84"/>
      <c r="J15" s="84"/>
    </row>
    <row r="16" spans="1:10" x14ac:dyDescent="0.3">
      <c r="A16" s="83"/>
      <c r="B16" s="83"/>
      <c r="C16" s="83"/>
      <c r="D16" s="83"/>
      <c r="E16" s="83"/>
      <c r="F16" s="83"/>
      <c r="G16" s="83"/>
      <c r="H16" s="83"/>
      <c r="I16" s="83"/>
      <c r="J16" s="83"/>
    </row>
    <row r="17" spans="1:10" x14ac:dyDescent="0.3">
      <c r="A17" s="83"/>
      <c r="B17" s="83"/>
      <c r="C17" s="83"/>
      <c r="D17" s="83"/>
      <c r="E17" s="83"/>
      <c r="F17" s="83"/>
      <c r="G17" s="83"/>
      <c r="H17" s="83"/>
      <c r="I17" s="83"/>
      <c r="J17" s="83"/>
    </row>
    <row r="18" spans="1:10" x14ac:dyDescent="0.3">
      <c r="A18" s="83"/>
      <c r="B18" s="83"/>
      <c r="C18" s="83"/>
      <c r="D18" s="83"/>
      <c r="E18" s="83"/>
      <c r="F18" s="83"/>
      <c r="G18" s="83"/>
      <c r="H18" s="83"/>
      <c r="I18" s="83"/>
      <c r="J18" s="83"/>
    </row>
    <row r="19" spans="1:10" x14ac:dyDescent="0.3">
      <c r="A19" s="83"/>
      <c r="B19" s="83"/>
      <c r="C19" s="83"/>
      <c r="D19" s="83"/>
      <c r="E19" s="83"/>
      <c r="F19" s="83"/>
      <c r="G19" s="83"/>
      <c r="H19" s="83"/>
      <c r="I19" s="83"/>
      <c r="J19" s="83"/>
    </row>
    <row r="20" spans="1:10" x14ac:dyDescent="0.3">
      <c r="A20" s="83"/>
      <c r="B20" s="83"/>
      <c r="C20" s="83"/>
      <c r="D20" s="83"/>
      <c r="E20" s="83"/>
      <c r="F20" s="83"/>
      <c r="G20" s="83"/>
      <c r="H20" s="83"/>
      <c r="I20" s="83"/>
      <c r="J20" s="83"/>
    </row>
    <row r="21" spans="1:10" x14ac:dyDescent="0.3">
      <c r="A21" s="83"/>
      <c r="B21" s="83"/>
      <c r="C21" s="83"/>
      <c r="D21" s="83"/>
      <c r="E21" s="83"/>
      <c r="F21" s="83"/>
      <c r="G21" s="83"/>
      <c r="H21" s="83"/>
      <c r="I21" s="83"/>
      <c r="J21" s="83"/>
    </row>
    <row r="22" spans="1:10" x14ac:dyDescent="0.3">
      <c r="A22" s="106" t="s">
        <v>39</v>
      </c>
      <c r="B22" s="106"/>
      <c r="C22" s="106"/>
      <c r="D22" s="106"/>
      <c r="E22" s="106"/>
      <c r="F22" s="106"/>
      <c r="G22" s="106"/>
      <c r="H22" s="106"/>
      <c r="I22" s="106"/>
      <c r="J22" s="106"/>
    </row>
    <row r="23" spans="1:10" x14ac:dyDescent="0.3">
      <c r="A23" s="86"/>
      <c r="B23" s="86"/>
      <c r="C23" s="86"/>
      <c r="D23" s="86"/>
      <c r="E23" s="86"/>
      <c r="F23" s="86"/>
      <c r="G23" s="86"/>
      <c r="H23" s="86"/>
      <c r="I23" s="86"/>
      <c r="J23" s="86"/>
    </row>
    <row r="24" spans="1:10" ht="15" customHeight="1" x14ac:dyDescent="0.3">
      <c r="A24" s="106" t="s">
        <v>40</v>
      </c>
      <c r="B24" s="106"/>
      <c r="C24" s="106"/>
      <c r="D24" s="106"/>
      <c r="E24" s="106"/>
      <c r="F24" s="106"/>
      <c r="G24" s="106"/>
      <c r="H24" s="106"/>
      <c r="I24" s="106"/>
      <c r="J24" s="106"/>
    </row>
    <row r="25" spans="1:10" x14ac:dyDescent="0.3">
      <c r="A25" s="86"/>
      <c r="B25" s="86"/>
      <c r="C25" s="86"/>
      <c r="D25" s="86"/>
      <c r="E25" s="86"/>
      <c r="F25" s="86"/>
      <c r="G25" s="86"/>
      <c r="H25" s="86"/>
      <c r="I25" s="86"/>
      <c r="J25" s="86"/>
    </row>
    <row r="26" spans="1:10" x14ac:dyDescent="0.3">
      <c r="A26" s="86"/>
      <c r="B26" s="86"/>
      <c r="C26" s="86"/>
      <c r="D26" s="86"/>
      <c r="E26" s="86"/>
      <c r="F26" s="86"/>
      <c r="G26" s="86"/>
      <c r="H26" s="86"/>
      <c r="I26" s="86"/>
      <c r="J26" s="86"/>
    </row>
    <row r="27" spans="1:10" x14ac:dyDescent="0.3">
      <c r="A27" s="87"/>
      <c r="B27" s="87"/>
      <c r="C27" s="87"/>
      <c r="D27" s="87"/>
      <c r="E27" s="87"/>
      <c r="F27" s="87"/>
      <c r="G27" s="87"/>
      <c r="H27" s="87"/>
      <c r="I27" s="87"/>
      <c r="J27" s="87"/>
    </row>
    <row r="28" spans="1:10" x14ac:dyDescent="0.3">
      <c r="A28" s="86"/>
      <c r="B28" s="86"/>
      <c r="C28" s="86"/>
      <c r="D28" s="86"/>
      <c r="E28" s="86"/>
      <c r="F28" s="86"/>
      <c r="G28" s="86"/>
      <c r="H28" s="86"/>
      <c r="I28" s="86"/>
      <c r="J28" s="86"/>
    </row>
    <row r="29" spans="1:10" x14ac:dyDescent="0.3">
      <c r="A29" s="86"/>
      <c r="B29" s="86"/>
      <c r="C29" s="86"/>
      <c r="D29" s="86"/>
      <c r="E29" s="86"/>
      <c r="F29" s="86"/>
      <c r="G29" s="86"/>
      <c r="H29" s="86"/>
      <c r="I29" s="86"/>
      <c r="J29" s="86"/>
    </row>
    <row r="30" spans="1:10" x14ac:dyDescent="0.3">
      <c r="A30" s="86"/>
      <c r="B30" s="86"/>
      <c r="C30" s="86"/>
      <c r="D30" s="86"/>
      <c r="E30" s="86"/>
      <c r="F30" s="86"/>
      <c r="G30" s="86"/>
      <c r="H30" s="86"/>
      <c r="I30" s="86"/>
      <c r="J30" s="86"/>
    </row>
    <row r="31" spans="1:10" x14ac:dyDescent="0.3">
      <c r="A31" s="85"/>
      <c r="B31" s="85"/>
      <c r="C31" s="85"/>
      <c r="D31" s="85"/>
      <c r="E31" s="85"/>
      <c r="F31" s="85"/>
      <c r="G31" s="85"/>
      <c r="H31" s="85"/>
      <c r="I31" s="85"/>
      <c r="J31" s="85"/>
    </row>
    <row r="32" spans="1:10" x14ac:dyDescent="0.3">
      <c r="A32" s="85"/>
      <c r="B32" s="85"/>
      <c r="C32" s="85"/>
      <c r="D32" s="85"/>
      <c r="E32" s="85"/>
      <c r="F32" s="85"/>
      <c r="G32" s="85"/>
      <c r="H32" s="85"/>
      <c r="I32" s="85"/>
      <c r="J32" s="85"/>
    </row>
    <row r="33" spans="1:10" x14ac:dyDescent="0.3">
      <c r="A33" s="86"/>
      <c r="B33" s="86"/>
      <c r="C33" s="86"/>
      <c r="D33" s="86"/>
      <c r="E33" s="86"/>
      <c r="F33" s="86"/>
      <c r="G33" s="86"/>
      <c r="H33" s="86"/>
      <c r="I33" s="86"/>
      <c r="J33" s="86"/>
    </row>
    <row r="34" spans="1:10" x14ac:dyDescent="0.3">
      <c r="A34" s="86"/>
      <c r="B34" s="86"/>
      <c r="C34" s="86"/>
      <c r="D34" s="86"/>
      <c r="E34" s="86"/>
      <c r="F34" s="86"/>
      <c r="G34" s="86"/>
      <c r="H34" s="86"/>
      <c r="I34" s="86"/>
      <c r="J34" s="86"/>
    </row>
    <row r="35" spans="1:10" x14ac:dyDescent="0.3">
      <c r="A35" s="86"/>
      <c r="B35" s="86"/>
      <c r="C35" s="86"/>
      <c r="D35" s="86"/>
      <c r="E35" s="86"/>
      <c r="F35" s="86"/>
      <c r="G35" s="86"/>
      <c r="H35" s="86"/>
      <c r="I35" s="86"/>
      <c r="J35" s="86"/>
    </row>
    <row r="36" spans="1:10" x14ac:dyDescent="0.3">
      <c r="A36" s="86"/>
      <c r="B36" s="86"/>
      <c r="C36" s="86"/>
      <c r="D36" s="86"/>
      <c r="E36" s="86"/>
      <c r="F36" s="86"/>
      <c r="G36" s="86"/>
      <c r="H36" s="86"/>
      <c r="I36" s="86"/>
      <c r="J36" s="86"/>
    </row>
    <row r="37" spans="1:10" x14ac:dyDescent="0.3">
      <c r="A37" s="86"/>
      <c r="B37" s="86"/>
      <c r="C37" s="86"/>
      <c r="D37" s="86"/>
      <c r="E37" s="86"/>
      <c r="F37" s="86"/>
      <c r="G37" s="86"/>
      <c r="H37" s="86"/>
      <c r="I37" s="86"/>
      <c r="J37" s="86"/>
    </row>
    <row r="38" spans="1:10" x14ac:dyDescent="0.3">
      <c r="A38" s="86"/>
      <c r="B38" s="86"/>
      <c r="C38" s="86"/>
      <c r="D38" s="86"/>
      <c r="E38" s="86"/>
      <c r="F38" s="86"/>
      <c r="G38" s="86"/>
      <c r="H38" s="86"/>
      <c r="I38" s="86"/>
      <c r="J38" s="86"/>
    </row>
    <row r="39" spans="1:10" x14ac:dyDescent="0.3">
      <c r="A39" s="86"/>
      <c r="B39" s="86"/>
      <c r="C39" s="86"/>
      <c r="D39" s="86"/>
      <c r="E39" s="86"/>
      <c r="F39" s="86"/>
      <c r="G39" s="86"/>
      <c r="H39" s="86"/>
      <c r="I39" s="86"/>
      <c r="J39" s="86"/>
    </row>
    <row r="40" spans="1:10" x14ac:dyDescent="0.3">
      <c r="A40" s="86"/>
      <c r="B40" s="86"/>
      <c r="C40" s="86"/>
      <c r="D40" s="86"/>
      <c r="E40" s="86"/>
      <c r="F40" s="86"/>
      <c r="G40" s="86"/>
      <c r="H40" s="86"/>
      <c r="I40" s="86"/>
      <c r="J40" s="86"/>
    </row>
    <row r="41" spans="1:10" x14ac:dyDescent="0.3">
      <c r="A41" s="86"/>
      <c r="B41" s="86"/>
      <c r="C41" s="86"/>
      <c r="D41" s="86"/>
      <c r="E41" s="86"/>
      <c r="F41" s="86"/>
      <c r="G41" s="86"/>
      <c r="H41" s="86"/>
      <c r="I41" s="86"/>
      <c r="J41" s="86"/>
    </row>
    <row r="42" spans="1:10" x14ac:dyDescent="0.3">
      <c r="A42" s="88"/>
      <c r="B42" s="89"/>
      <c r="C42" s="90"/>
      <c r="D42" s="91"/>
      <c r="E42" s="92"/>
      <c r="F42" s="92"/>
    </row>
    <row r="43" spans="1:10" x14ac:dyDescent="0.3">
      <c r="A43" s="88"/>
      <c r="B43" s="89"/>
      <c r="C43" s="90"/>
      <c r="D43" s="91"/>
      <c r="E43" s="92"/>
      <c r="F43" s="92"/>
    </row>
    <row r="44" spans="1:10" x14ac:dyDescent="0.3">
      <c r="A44" s="88"/>
      <c r="B44" s="89"/>
      <c r="C44" s="90"/>
      <c r="D44" s="91"/>
      <c r="E44" s="92"/>
      <c r="F44" s="92"/>
    </row>
    <row r="45" spans="1:10" x14ac:dyDescent="0.3">
      <c r="A45" s="88"/>
      <c r="B45" s="89"/>
      <c r="C45" s="90"/>
      <c r="D45" s="91"/>
      <c r="E45" s="92"/>
      <c r="F45" s="92"/>
    </row>
    <row r="46" spans="1:10" x14ac:dyDescent="0.3">
      <c r="A46" s="88"/>
      <c r="B46" s="89"/>
      <c r="C46" s="90"/>
      <c r="D46" s="91"/>
      <c r="E46" s="92"/>
      <c r="F46" s="92"/>
    </row>
    <row r="47" spans="1:10" x14ac:dyDescent="0.3">
      <c r="A47" s="88"/>
      <c r="B47" s="89"/>
      <c r="C47" s="90"/>
      <c r="D47" s="91"/>
      <c r="E47" s="92"/>
      <c r="F47" s="92"/>
    </row>
    <row r="48" spans="1:10" x14ac:dyDescent="0.3">
      <c r="A48" s="88"/>
      <c r="B48" s="89"/>
      <c r="C48" s="90"/>
      <c r="D48" s="91"/>
      <c r="E48" s="92"/>
      <c r="F48" s="92"/>
    </row>
    <row r="49" spans="1:6" x14ac:dyDescent="0.3">
      <c r="A49" s="88"/>
      <c r="B49" s="89"/>
      <c r="C49" s="90"/>
      <c r="D49" s="91"/>
      <c r="E49" s="92"/>
      <c r="F49" s="92"/>
    </row>
    <row r="50" spans="1:6" x14ac:dyDescent="0.3">
      <c r="A50" s="88"/>
      <c r="B50" s="89"/>
      <c r="C50" s="90"/>
      <c r="D50" s="91"/>
      <c r="E50" s="92"/>
      <c r="F50" s="92"/>
    </row>
  </sheetData>
  <mergeCells count="2">
    <mergeCell ref="A22:J22"/>
    <mergeCell ref="A24:J24"/>
  </mergeCells>
  <printOptions horizontalCentered="1"/>
  <pageMargins left="0.66929133858267698" right="0.196850393700787" top="0.82677165354330695" bottom="0.47" header="0.196850393700787" footer="0.2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50"/>
  <sheetViews>
    <sheetView tabSelected="1" view="pageBreakPreview" zoomScaleNormal="100" zoomScaleSheetLayoutView="100" workbookViewId="0">
      <selection activeCell="C1" sqref="C1:E1048576"/>
    </sheetView>
  </sheetViews>
  <sheetFormatPr defaultColWidth="9.109375" defaultRowHeight="13.8" x14ac:dyDescent="0.3"/>
  <cols>
    <col min="1" max="1" width="7" style="55" customWidth="1"/>
    <col min="2" max="2" width="52.44140625" style="56" customWidth="1"/>
    <col min="3" max="3" width="9" style="155" customWidth="1"/>
    <col min="4" max="4" width="5.5546875" style="156" customWidth="1"/>
    <col min="5" max="5" width="13" style="157" customWidth="1"/>
    <col min="6" max="6" width="15" style="97" customWidth="1"/>
    <col min="7" max="16384" width="9.109375" style="49"/>
  </cols>
  <sheetData>
    <row r="1" spans="1:6" s="47" customFormat="1" x14ac:dyDescent="0.3">
      <c r="A1" s="107" t="s">
        <v>0</v>
      </c>
      <c r="B1" s="109" t="s">
        <v>1</v>
      </c>
      <c r="C1" s="117" t="s">
        <v>2</v>
      </c>
      <c r="D1" s="118" t="s">
        <v>3</v>
      </c>
      <c r="E1" s="119" t="s">
        <v>4</v>
      </c>
      <c r="F1" s="100" t="s">
        <v>5</v>
      </c>
    </row>
    <row r="2" spans="1:6" s="48" customFormat="1" x14ac:dyDescent="0.3">
      <c r="A2" s="108"/>
      <c r="B2" s="110"/>
      <c r="C2" s="120"/>
      <c r="D2" s="121"/>
      <c r="E2" s="119" t="s">
        <v>54</v>
      </c>
      <c r="F2" s="101" t="s">
        <v>54</v>
      </c>
    </row>
    <row r="3" spans="1:6" x14ac:dyDescent="0.3">
      <c r="A3" s="58"/>
      <c r="B3" s="59"/>
      <c r="C3" s="122"/>
      <c r="D3" s="123"/>
      <c r="E3" s="124"/>
      <c r="F3" s="93"/>
    </row>
    <row r="4" spans="1:6" x14ac:dyDescent="0.3">
      <c r="A4" s="60"/>
      <c r="B4" s="61" t="s">
        <v>40</v>
      </c>
      <c r="C4" s="125"/>
      <c r="D4" s="126"/>
      <c r="E4" s="127"/>
      <c r="F4" s="94"/>
    </row>
    <row r="5" spans="1:6" x14ac:dyDescent="0.3">
      <c r="A5" s="60"/>
      <c r="B5" s="61"/>
      <c r="C5" s="125"/>
      <c r="D5" s="126"/>
      <c r="E5" s="127"/>
      <c r="F5" s="94"/>
    </row>
    <row r="6" spans="1:6" s="50" customFormat="1" x14ac:dyDescent="0.25">
      <c r="A6" s="62"/>
      <c r="B6" s="63" t="s">
        <v>6</v>
      </c>
      <c r="C6" s="128"/>
      <c r="D6" s="129"/>
      <c r="E6" s="130"/>
      <c r="F6" s="95"/>
    </row>
    <row r="7" spans="1:6" s="50" customFormat="1" x14ac:dyDescent="0.25">
      <c r="A7" s="62"/>
      <c r="B7" s="64"/>
      <c r="C7" s="128"/>
      <c r="D7" s="129"/>
      <c r="E7" s="130"/>
      <c r="F7" s="95"/>
    </row>
    <row r="8" spans="1:6" x14ac:dyDescent="0.3">
      <c r="A8" s="62"/>
      <c r="B8" s="63" t="s">
        <v>7</v>
      </c>
      <c r="C8" s="131"/>
      <c r="D8" s="129"/>
      <c r="E8" s="130"/>
      <c r="F8" s="95"/>
    </row>
    <row r="9" spans="1:6" x14ac:dyDescent="0.3">
      <c r="A9" s="62"/>
      <c r="B9" s="63"/>
      <c r="C9" s="131"/>
      <c r="D9" s="129"/>
      <c r="E9" s="130"/>
      <c r="F9" s="95"/>
    </row>
    <row r="10" spans="1:6" ht="69" x14ac:dyDescent="0.3">
      <c r="A10" s="62"/>
      <c r="B10" s="63" t="s">
        <v>8</v>
      </c>
      <c r="C10" s="131"/>
      <c r="D10" s="129"/>
      <c r="E10" s="130"/>
      <c r="F10" s="95"/>
    </row>
    <row r="11" spans="1:6" x14ac:dyDescent="0.3">
      <c r="A11" s="62"/>
      <c r="B11" s="63"/>
      <c r="C11" s="131"/>
      <c r="D11" s="129"/>
      <c r="E11" s="130"/>
      <c r="F11" s="95"/>
    </row>
    <row r="12" spans="1:6" x14ac:dyDescent="0.3">
      <c r="A12" s="62" t="s">
        <v>9</v>
      </c>
      <c r="B12" s="64" t="s">
        <v>46</v>
      </c>
      <c r="C12" s="131">
        <v>280</v>
      </c>
      <c r="D12" s="129" t="s">
        <v>10</v>
      </c>
      <c r="E12" s="130">
        <v>2036.45</v>
      </c>
      <c r="F12" s="95">
        <f>+C12*E12</f>
        <v>570206</v>
      </c>
    </row>
    <row r="13" spans="1:6" x14ac:dyDescent="0.3">
      <c r="A13" s="62"/>
      <c r="B13" s="63"/>
      <c r="C13" s="131"/>
      <c r="D13" s="129"/>
      <c r="E13" s="130"/>
      <c r="F13" s="95"/>
    </row>
    <row r="14" spans="1:6" s="51" customFormat="1" x14ac:dyDescent="0.3">
      <c r="A14" s="62" t="s">
        <v>11</v>
      </c>
      <c r="B14" s="64" t="s">
        <v>47</v>
      </c>
      <c r="C14" s="131">
        <v>80</v>
      </c>
      <c r="D14" s="129" t="s">
        <v>10</v>
      </c>
      <c r="E14" s="130">
        <v>1944.08</v>
      </c>
      <c r="F14" s="95">
        <f>+C14*E14</f>
        <v>155526.39999999999</v>
      </c>
    </row>
    <row r="15" spans="1:6" s="51" customFormat="1" x14ac:dyDescent="0.3">
      <c r="A15" s="65"/>
      <c r="B15" s="66"/>
      <c r="C15" s="132"/>
      <c r="D15" s="133"/>
      <c r="E15" s="130"/>
      <c r="F15" s="95"/>
    </row>
    <row r="16" spans="1:6" s="52" customFormat="1" x14ac:dyDescent="0.25">
      <c r="A16" s="62"/>
      <c r="B16" s="63" t="s">
        <v>12</v>
      </c>
      <c r="C16" s="131"/>
      <c r="D16" s="129"/>
      <c r="E16" s="130"/>
      <c r="F16" s="95"/>
    </row>
    <row r="17" spans="1:6" s="52" customFormat="1" x14ac:dyDescent="0.25">
      <c r="A17" s="62"/>
      <c r="B17" s="64"/>
      <c r="C17" s="131"/>
      <c r="D17" s="129"/>
      <c r="E17" s="130"/>
      <c r="F17" s="95"/>
    </row>
    <row r="18" spans="1:6" s="52" customFormat="1" ht="27.6" x14ac:dyDescent="0.25">
      <c r="A18" s="62"/>
      <c r="B18" s="63" t="s">
        <v>13</v>
      </c>
      <c r="C18" s="131"/>
      <c r="D18" s="129"/>
      <c r="E18" s="130"/>
      <c r="F18" s="95"/>
    </row>
    <row r="19" spans="1:6" s="52" customFormat="1" x14ac:dyDescent="0.25">
      <c r="A19" s="62"/>
      <c r="B19" s="63"/>
      <c r="C19" s="131"/>
      <c r="D19" s="129"/>
      <c r="E19" s="130"/>
      <c r="F19" s="95"/>
    </row>
    <row r="20" spans="1:6" s="52" customFormat="1" x14ac:dyDescent="0.25">
      <c r="A20" s="62" t="s">
        <v>14</v>
      </c>
      <c r="B20" s="64" t="s">
        <v>15</v>
      </c>
      <c r="C20" s="131">
        <v>280</v>
      </c>
      <c r="D20" s="129" t="s">
        <v>10</v>
      </c>
      <c r="E20" s="130">
        <v>157.59</v>
      </c>
      <c r="F20" s="95">
        <f>+C20*E20</f>
        <v>44125.200000000004</v>
      </c>
    </row>
    <row r="21" spans="1:6" s="52" customFormat="1" x14ac:dyDescent="0.25">
      <c r="A21" s="62"/>
      <c r="B21" s="63"/>
      <c r="C21" s="131"/>
      <c r="D21" s="129"/>
      <c r="E21" s="130"/>
      <c r="F21" s="95"/>
    </row>
    <row r="22" spans="1:6" s="52" customFormat="1" ht="27.6" x14ac:dyDescent="0.25">
      <c r="A22" s="62"/>
      <c r="B22" s="63" t="s">
        <v>16</v>
      </c>
      <c r="C22" s="131"/>
      <c r="D22" s="129"/>
      <c r="E22" s="130"/>
      <c r="F22" s="95"/>
    </row>
    <row r="23" spans="1:6" s="52" customFormat="1" x14ac:dyDescent="0.25">
      <c r="A23" s="62"/>
      <c r="B23" s="63"/>
      <c r="C23" s="131"/>
      <c r="D23" s="129"/>
      <c r="E23" s="130"/>
      <c r="F23" s="95"/>
    </row>
    <row r="24" spans="1:6" s="53" customFormat="1" x14ac:dyDescent="0.25">
      <c r="A24" s="62" t="s">
        <v>17</v>
      </c>
      <c r="B24" s="64" t="s">
        <v>18</v>
      </c>
      <c r="C24" s="131">
        <v>80</v>
      </c>
      <c r="D24" s="129" t="s">
        <v>10</v>
      </c>
      <c r="E24" s="130">
        <v>109.74</v>
      </c>
      <c r="F24" s="95">
        <f>+C24*E24</f>
        <v>8779.1999999999989</v>
      </c>
    </row>
    <row r="25" spans="1:6" s="53" customFormat="1" x14ac:dyDescent="0.25">
      <c r="A25" s="65"/>
      <c r="B25" s="66"/>
      <c r="C25" s="132"/>
      <c r="D25" s="133"/>
      <c r="E25" s="130"/>
      <c r="F25" s="95"/>
    </row>
    <row r="26" spans="1:6" x14ac:dyDescent="0.3">
      <c r="A26" s="62"/>
      <c r="B26" s="63" t="s">
        <v>19</v>
      </c>
      <c r="C26" s="128"/>
      <c r="D26" s="129"/>
      <c r="E26" s="130"/>
      <c r="F26" s="95"/>
    </row>
    <row r="27" spans="1:6" x14ac:dyDescent="0.3">
      <c r="A27" s="62"/>
      <c r="B27" s="64"/>
      <c r="C27" s="128"/>
      <c r="D27" s="129"/>
      <c r="E27" s="130"/>
      <c r="F27" s="95"/>
    </row>
    <row r="28" spans="1:6" ht="27.6" x14ac:dyDescent="0.3">
      <c r="A28" s="62"/>
      <c r="B28" s="63" t="s">
        <v>20</v>
      </c>
      <c r="C28" s="128"/>
      <c r="D28" s="129"/>
      <c r="E28" s="130"/>
      <c r="F28" s="95"/>
    </row>
    <row r="29" spans="1:6" x14ac:dyDescent="0.3">
      <c r="A29" s="62"/>
      <c r="B29" s="64"/>
      <c r="C29" s="128"/>
      <c r="D29" s="129"/>
      <c r="E29" s="130"/>
      <c r="F29" s="95"/>
    </row>
    <row r="30" spans="1:6" x14ac:dyDescent="0.3">
      <c r="A30" s="62" t="s">
        <v>21</v>
      </c>
      <c r="B30" s="64" t="s">
        <v>22</v>
      </c>
      <c r="C30" s="131">
        <v>60</v>
      </c>
      <c r="D30" s="129" t="s">
        <v>10</v>
      </c>
      <c r="E30" s="130">
        <v>42.3</v>
      </c>
      <c r="F30" s="95">
        <f>+C30*E30</f>
        <v>2538</v>
      </c>
    </row>
    <row r="31" spans="1:6" x14ac:dyDescent="0.3">
      <c r="A31" s="62"/>
      <c r="B31" s="63"/>
      <c r="C31" s="131"/>
      <c r="D31" s="129"/>
      <c r="E31" s="130"/>
      <c r="F31" s="95"/>
    </row>
    <row r="32" spans="1:6" s="51" customFormat="1" x14ac:dyDescent="0.3">
      <c r="A32" s="62" t="s">
        <v>23</v>
      </c>
      <c r="B32" s="64" t="s">
        <v>24</v>
      </c>
      <c r="C32" s="131">
        <v>200</v>
      </c>
      <c r="D32" s="129" t="s">
        <v>10</v>
      </c>
      <c r="E32" s="130">
        <v>64.569999999999993</v>
      </c>
      <c r="F32" s="95">
        <f>+C32*E32</f>
        <v>12913.999999999998</v>
      </c>
    </row>
    <row r="33" spans="1:6" s="51" customFormat="1" x14ac:dyDescent="0.3">
      <c r="A33" s="62"/>
      <c r="B33" s="64"/>
      <c r="C33" s="131"/>
      <c r="D33" s="129"/>
      <c r="E33" s="130"/>
      <c r="F33" s="95"/>
    </row>
    <row r="34" spans="1:6" s="51" customFormat="1" x14ac:dyDescent="0.3">
      <c r="A34" s="62"/>
      <c r="B34" s="64"/>
      <c r="C34" s="131"/>
      <c r="D34" s="129"/>
      <c r="E34" s="130"/>
      <c r="F34" s="95"/>
    </row>
    <row r="35" spans="1:6" s="51" customFormat="1" x14ac:dyDescent="0.3">
      <c r="A35" s="62"/>
      <c r="B35" s="64"/>
      <c r="C35" s="131"/>
      <c r="D35" s="129"/>
      <c r="E35" s="130"/>
      <c r="F35" s="95"/>
    </row>
    <row r="36" spans="1:6" s="51" customFormat="1" x14ac:dyDescent="0.3">
      <c r="A36" s="62"/>
      <c r="B36" s="64"/>
      <c r="C36" s="131"/>
      <c r="D36" s="129"/>
      <c r="E36" s="130"/>
      <c r="F36" s="95"/>
    </row>
    <row r="37" spans="1:6" s="51" customFormat="1" x14ac:dyDescent="0.3">
      <c r="A37" s="62"/>
      <c r="B37" s="64"/>
      <c r="C37" s="131"/>
      <c r="D37" s="129"/>
      <c r="E37" s="130"/>
      <c r="F37" s="95"/>
    </row>
    <row r="38" spans="1:6" s="51" customFormat="1" x14ac:dyDescent="0.3">
      <c r="A38" s="62"/>
      <c r="B38" s="64"/>
      <c r="C38" s="131"/>
      <c r="D38" s="129"/>
      <c r="E38" s="130"/>
      <c r="F38" s="95"/>
    </row>
    <row r="39" spans="1:6" s="51" customFormat="1" x14ac:dyDescent="0.3">
      <c r="A39" s="62"/>
      <c r="B39" s="64"/>
      <c r="C39" s="131"/>
      <c r="D39" s="129"/>
      <c r="E39" s="130"/>
      <c r="F39" s="95"/>
    </row>
    <row r="40" spans="1:6" s="51" customFormat="1" x14ac:dyDescent="0.3">
      <c r="A40" s="62"/>
      <c r="B40" s="64"/>
      <c r="C40" s="131"/>
      <c r="D40" s="129"/>
      <c r="E40" s="130"/>
      <c r="F40" s="95"/>
    </row>
    <row r="41" spans="1:6" s="51" customFormat="1" x14ac:dyDescent="0.3">
      <c r="A41" s="62"/>
      <c r="B41" s="64"/>
      <c r="C41" s="131"/>
      <c r="D41" s="129"/>
      <c r="E41" s="130"/>
      <c r="F41" s="95"/>
    </row>
    <row r="42" spans="1:6" s="51" customFormat="1" x14ac:dyDescent="0.3">
      <c r="A42" s="67"/>
      <c r="B42" s="68"/>
      <c r="C42" s="134"/>
      <c r="D42" s="135"/>
      <c r="E42" s="136"/>
      <c r="F42" s="96"/>
    </row>
    <row r="43" spans="1:6" s="54" customFormat="1" ht="36" customHeight="1" x14ac:dyDescent="0.3">
      <c r="A43" s="69"/>
      <c r="B43" s="70" t="s">
        <v>25</v>
      </c>
      <c r="C43" s="137"/>
      <c r="D43" s="138"/>
      <c r="E43" s="139"/>
      <c r="F43" s="100">
        <f>SUM(F10:F42)</f>
        <v>794088.79999999993</v>
      </c>
    </row>
    <row r="44" spans="1:6" s="50" customFormat="1" x14ac:dyDescent="0.25">
      <c r="A44" s="62"/>
      <c r="B44" s="64"/>
      <c r="C44" s="128"/>
      <c r="D44" s="129"/>
      <c r="E44" s="130"/>
      <c r="F44" s="95"/>
    </row>
    <row r="45" spans="1:6" s="50" customFormat="1" x14ac:dyDescent="0.25">
      <c r="A45" s="62"/>
      <c r="B45" s="63" t="s">
        <v>48</v>
      </c>
      <c r="C45" s="128"/>
      <c r="D45" s="129"/>
      <c r="E45" s="130"/>
      <c r="F45" s="95"/>
    </row>
    <row r="46" spans="1:6" s="50" customFormat="1" x14ac:dyDescent="0.25">
      <c r="A46" s="62"/>
      <c r="B46" s="64"/>
      <c r="C46" s="128"/>
      <c r="D46" s="129"/>
      <c r="E46" s="130"/>
      <c r="F46" s="95"/>
    </row>
    <row r="47" spans="1:6" ht="27.6" x14ac:dyDescent="0.3">
      <c r="A47" s="62"/>
      <c r="B47" s="63" t="s">
        <v>26</v>
      </c>
      <c r="C47" s="128"/>
      <c r="D47" s="129"/>
      <c r="E47" s="130"/>
      <c r="F47" s="95"/>
    </row>
    <row r="48" spans="1:6" x14ac:dyDescent="0.3">
      <c r="A48" s="71"/>
      <c r="B48" s="64"/>
      <c r="C48" s="128"/>
      <c r="D48" s="129"/>
      <c r="E48" s="130"/>
      <c r="F48" s="95"/>
    </row>
    <row r="49" spans="1:6" x14ac:dyDescent="0.3">
      <c r="A49" s="71" t="s">
        <v>9</v>
      </c>
      <c r="B49" s="64" t="s">
        <v>22</v>
      </c>
      <c r="C49" s="131">
        <v>20</v>
      </c>
      <c r="D49" s="129" t="s">
        <v>10</v>
      </c>
      <c r="E49" s="130">
        <v>398.26</v>
      </c>
      <c r="F49" s="95">
        <f>+C49*E49</f>
        <v>7965.2</v>
      </c>
    </row>
    <row r="50" spans="1:6" x14ac:dyDescent="0.3">
      <c r="A50" s="71"/>
      <c r="B50" s="63"/>
      <c r="C50" s="131"/>
      <c r="D50" s="129"/>
      <c r="E50" s="130"/>
      <c r="F50" s="95"/>
    </row>
    <row r="51" spans="1:6" s="51" customFormat="1" x14ac:dyDescent="0.3">
      <c r="A51" s="71" t="s">
        <v>11</v>
      </c>
      <c r="B51" s="64" t="s">
        <v>24</v>
      </c>
      <c r="C51" s="131">
        <v>80</v>
      </c>
      <c r="D51" s="129" t="s">
        <v>10</v>
      </c>
      <c r="E51" s="130">
        <v>552.77</v>
      </c>
      <c r="F51" s="95">
        <f>+C51*E51</f>
        <v>44221.599999999999</v>
      </c>
    </row>
    <row r="52" spans="1:6" s="51" customFormat="1" x14ac:dyDescent="0.3">
      <c r="A52" s="71"/>
      <c r="B52" s="64"/>
      <c r="C52" s="131"/>
      <c r="D52" s="129"/>
      <c r="E52" s="130"/>
      <c r="F52" s="95"/>
    </row>
    <row r="53" spans="1:6" x14ac:dyDescent="0.3">
      <c r="A53" s="71"/>
      <c r="B53" s="63" t="s">
        <v>27</v>
      </c>
      <c r="C53" s="128"/>
      <c r="D53" s="129"/>
      <c r="E53" s="130"/>
      <c r="F53" s="95"/>
    </row>
    <row r="54" spans="1:6" x14ac:dyDescent="0.3">
      <c r="A54" s="71"/>
      <c r="B54" s="72"/>
      <c r="C54" s="128"/>
      <c r="D54" s="129"/>
      <c r="E54" s="130"/>
      <c r="F54" s="95"/>
    </row>
    <row r="55" spans="1:6" ht="69" x14ac:dyDescent="0.3">
      <c r="A55" s="71"/>
      <c r="B55" s="63" t="s">
        <v>28</v>
      </c>
      <c r="C55" s="131"/>
      <c r="D55" s="129"/>
      <c r="E55" s="130"/>
      <c r="F55" s="95"/>
    </row>
    <row r="56" spans="1:6" x14ac:dyDescent="0.3">
      <c r="A56" s="71"/>
      <c r="B56" s="64"/>
      <c r="C56" s="131"/>
      <c r="D56" s="129"/>
      <c r="E56" s="130"/>
      <c r="F56" s="95"/>
    </row>
    <row r="57" spans="1:6" x14ac:dyDescent="0.3">
      <c r="A57" s="71" t="s">
        <v>14</v>
      </c>
      <c r="B57" s="64" t="s">
        <v>30</v>
      </c>
      <c r="C57" s="131">
        <v>3</v>
      </c>
      <c r="D57" s="129" t="s">
        <v>31</v>
      </c>
      <c r="E57" s="130">
        <v>26106.57</v>
      </c>
      <c r="F57" s="95">
        <f>+C57*E57</f>
        <v>78319.709999999992</v>
      </c>
    </row>
    <row r="58" spans="1:6" x14ac:dyDescent="0.3">
      <c r="A58" s="71"/>
      <c r="B58" s="63"/>
      <c r="C58" s="131"/>
      <c r="D58" s="129"/>
      <c r="E58" s="130"/>
      <c r="F58" s="95"/>
    </row>
    <row r="59" spans="1:6" x14ac:dyDescent="0.3">
      <c r="A59" s="73"/>
      <c r="B59" s="74" t="s">
        <v>32</v>
      </c>
      <c r="C59" s="140"/>
      <c r="D59" s="141"/>
      <c r="E59" s="130"/>
      <c r="F59" s="95"/>
    </row>
    <row r="60" spans="1:6" x14ac:dyDescent="0.3">
      <c r="A60" s="73"/>
      <c r="B60" s="75"/>
      <c r="C60" s="140"/>
      <c r="D60" s="141"/>
      <c r="E60" s="130"/>
      <c r="F60" s="95"/>
    </row>
    <row r="61" spans="1:6" ht="16.2" x14ac:dyDescent="0.3">
      <c r="A61" s="73" t="s">
        <v>17</v>
      </c>
      <c r="B61" s="75" t="s">
        <v>33</v>
      </c>
      <c r="C61" s="140">
        <v>7140</v>
      </c>
      <c r="D61" s="141" t="s">
        <v>41</v>
      </c>
      <c r="E61" s="130">
        <v>90.35</v>
      </c>
      <c r="F61" s="95">
        <f>+C61*E61</f>
        <v>645099</v>
      </c>
    </row>
    <row r="62" spans="1:6" x14ac:dyDescent="0.3">
      <c r="A62" s="73"/>
      <c r="B62" s="75"/>
      <c r="C62" s="140"/>
      <c r="D62" s="141"/>
      <c r="E62" s="130"/>
      <c r="F62" s="95"/>
    </row>
    <row r="63" spans="1:6" ht="16.2" x14ac:dyDescent="0.3">
      <c r="A63" s="73" t="s">
        <v>21</v>
      </c>
      <c r="B63" s="75" t="s">
        <v>34</v>
      </c>
      <c r="C63" s="140">
        <v>3570</v>
      </c>
      <c r="D63" s="141" t="s">
        <v>42</v>
      </c>
      <c r="E63" s="130">
        <v>728.08</v>
      </c>
      <c r="F63" s="95">
        <f>+C63*E63</f>
        <v>2599245.6</v>
      </c>
    </row>
    <row r="64" spans="1:6" x14ac:dyDescent="0.3">
      <c r="A64" s="73"/>
      <c r="B64" s="75"/>
      <c r="C64" s="140"/>
      <c r="D64" s="141"/>
      <c r="E64" s="130"/>
      <c r="F64" s="95"/>
    </row>
    <row r="65" spans="1:6" ht="16.2" x14ac:dyDescent="0.3">
      <c r="A65" s="76" t="s">
        <v>23</v>
      </c>
      <c r="B65" s="75" t="s">
        <v>35</v>
      </c>
      <c r="C65" s="142">
        <v>11141</v>
      </c>
      <c r="D65" s="141" t="s">
        <v>42</v>
      </c>
      <c r="E65" s="130">
        <v>6.46</v>
      </c>
      <c r="F65" s="95">
        <f>+C65*E65</f>
        <v>71970.86</v>
      </c>
    </row>
    <row r="66" spans="1:6" x14ac:dyDescent="0.3">
      <c r="A66" s="71"/>
      <c r="B66" s="64"/>
      <c r="C66" s="128"/>
      <c r="D66" s="129"/>
      <c r="E66" s="130"/>
      <c r="F66" s="95"/>
    </row>
    <row r="67" spans="1:6" ht="82.8" x14ac:dyDescent="0.3">
      <c r="A67" s="71" t="s">
        <v>29</v>
      </c>
      <c r="B67" s="64" t="s">
        <v>36</v>
      </c>
      <c r="C67" s="128">
        <v>1</v>
      </c>
      <c r="D67" s="129" t="s">
        <v>31</v>
      </c>
      <c r="E67" s="130">
        <v>8905.9</v>
      </c>
      <c r="F67" s="95">
        <f>+C67*E67</f>
        <v>8905.9</v>
      </c>
    </row>
    <row r="68" spans="1:6" x14ac:dyDescent="0.3">
      <c r="A68" s="62"/>
      <c r="B68" s="63"/>
      <c r="C68" s="128"/>
      <c r="D68" s="129"/>
      <c r="E68" s="130"/>
      <c r="F68" s="95"/>
    </row>
    <row r="69" spans="1:6" x14ac:dyDescent="0.3">
      <c r="A69" s="62"/>
      <c r="B69" s="63"/>
      <c r="C69" s="128"/>
      <c r="D69" s="129"/>
      <c r="E69" s="130"/>
      <c r="F69" s="95"/>
    </row>
    <row r="70" spans="1:6" x14ac:dyDescent="0.3">
      <c r="A70" s="62"/>
      <c r="B70" s="63"/>
      <c r="C70" s="128"/>
      <c r="D70" s="129"/>
      <c r="E70" s="130"/>
      <c r="F70" s="95"/>
    </row>
    <row r="71" spans="1:6" x14ac:dyDescent="0.3">
      <c r="A71" s="62"/>
      <c r="B71" s="63"/>
      <c r="C71" s="128"/>
      <c r="D71" s="129"/>
      <c r="E71" s="130"/>
      <c r="F71" s="95"/>
    </row>
    <row r="72" spans="1:6" x14ac:dyDescent="0.3">
      <c r="A72" s="62"/>
      <c r="B72" s="63"/>
      <c r="C72" s="128"/>
      <c r="D72" s="129"/>
      <c r="E72" s="130"/>
      <c r="F72" s="95"/>
    </row>
    <row r="73" spans="1:6" x14ac:dyDescent="0.3">
      <c r="A73" s="62"/>
      <c r="B73" s="63"/>
      <c r="C73" s="128"/>
      <c r="D73" s="129"/>
      <c r="E73" s="130"/>
      <c r="F73" s="95"/>
    </row>
    <row r="74" spans="1:6" x14ac:dyDescent="0.3">
      <c r="A74" s="62"/>
      <c r="B74" s="63"/>
      <c r="C74" s="128"/>
      <c r="D74" s="129"/>
      <c r="E74" s="130"/>
      <c r="F74" s="95"/>
    </row>
    <row r="75" spans="1:6" x14ac:dyDescent="0.3">
      <c r="A75" s="62"/>
      <c r="B75" s="63"/>
      <c r="C75" s="128"/>
      <c r="D75" s="129"/>
      <c r="E75" s="130"/>
      <c r="F75" s="95"/>
    </row>
    <row r="76" spans="1:6" x14ac:dyDescent="0.3">
      <c r="A76" s="62"/>
      <c r="B76" s="63"/>
      <c r="C76" s="128"/>
      <c r="D76" s="129"/>
      <c r="E76" s="130"/>
      <c r="F76" s="95"/>
    </row>
    <row r="77" spans="1:6" x14ac:dyDescent="0.3">
      <c r="A77" s="62"/>
      <c r="B77" s="63"/>
      <c r="C77" s="128"/>
      <c r="D77" s="129"/>
      <c r="E77" s="130"/>
      <c r="F77" s="95"/>
    </row>
    <row r="78" spans="1:6" x14ac:dyDescent="0.3">
      <c r="A78" s="62"/>
      <c r="B78" s="63"/>
      <c r="C78" s="128"/>
      <c r="D78" s="129"/>
      <c r="E78" s="130"/>
      <c r="F78" s="95"/>
    </row>
    <row r="79" spans="1:6" x14ac:dyDescent="0.3">
      <c r="A79" s="62"/>
      <c r="B79" s="63"/>
      <c r="C79" s="128"/>
      <c r="D79" s="129"/>
      <c r="E79" s="130"/>
      <c r="F79" s="95"/>
    </row>
    <row r="80" spans="1:6" x14ac:dyDescent="0.3">
      <c r="A80" s="62"/>
      <c r="B80" s="63"/>
      <c r="C80" s="128"/>
      <c r="D80" s="129"/>
      <c r="E80" s="130"/>
      <c r="F80" s="95"/>
    </row>
    <row r="81" spans="1:6" x14ac:dyDescent="0.3">
      <c r="A81" s="57"/>
      <c r="B81" s="77"/>
      <c r="C81" s="143"/>
      <c r="D81" s="144"/>
      <c r="E81" s="136"/>
      <c r="F81" s="96"/>
    </row>
    <row r="82" spans="1:6" s="54" customFormat="1" ht="36" customHeight="1" x14ac:dyDescent="0.3">
      <c r="A82" s="69"/>
      <c r="B82" s="70" t="s">
        <v>25</v>
      </c>
      <c r="C82" s="137"/>
      <c r="D82" s="138"/>
      <c r="E82" s="139"/>
      <c r="F82" s="100">
        <f>SUM(F47:F81)</f>
        <v>3455727.87</v>
      </c>
    </row>
    <row r="83" spans="1:6" s="50" customFormat="1" x14ac:dyDescent="0.25">
      <c r="A83" s="62"/>
      <c r="B83" s="64"/>
      <c r="C83" s="128"/>
      <c r="D83" s="129"/>
      <c r="E83" s="130"/>
      <c r="F83" s="95"/>
    </row>
    <row r="84" spans="1:6" s="50" customFormat="1" x14ac:dyDescent="0.25">
      <c r="A84" s="62"/>
      <c r="B84" s="63" t="s">
        <v>48</v>
      </c>
      <c r="C84" s="128"/>
      <c r="D84" s="129"/>
      <c r="E84" s="130"/>
      <c r="F84" s="95"/>
    </row>
    <row r="85" spans="1:6" s="50" customFormat="1" x14ac:dyDescent="0.25">
      <c r="A85" s="62"/>
      <c r="B85" s="64"/>
      <c r="C85" s="128"/>
      <c r="D85" s="129"/>
      <c r="E85" s="130"/>
      <c r="F85" s="95"/>
    </row>
    <row r="86" spans="1:6" ht="96.6" x14ac:dyDescent="0.3">
      <c r="A86" s="71" t="s">
        <v>9</v>
      </c>
      <c r="B86" s="64" t="s">
        <v>37</v>
      </c>
      <c r="C86" s="128">
        <v>1</v>
      </c>
      <c r="D86" s="129" t="s">
        <v>31</v>
      </c>
      <c r="E86" s="130">
        <v>8905.9</v>
      </c>
      <c r="F86" s="95">
        <f>+C86*E86</f>
        <v>8905.9</v>
      </c>
    </row>
    <row r="87" spans="1:6" x14ac:dyDescent="0.3">
      <c r="A87" s="71"/>
      <c r="B87" s="64"/>
      <c r="C87" s="128"/>
      <c r="D87" s="129"/>
      <c r="E87" s="130"/>
      <c r="F87" s="95"/>
    </row>
    <row r="88" spans="1:6" ht="96.6" x14ac:dyDescent="0.3">
      <c r="A88" s="71" t="s">
        <v>11</v>
      </c>
      <c r="B88" s="64" t="s">
        <v>43</v>
      </c>
      <c r="C88" s="128">
        <v>1</v>
      </c>
      <c r="D88" s="129" t="s">
        <v>0</v>
      </c>
      <c r="E88" s="130">
        <v>5384.7</v>
      </c>
      <c r="F88" s="95">
        <f>+C88*E88</f>
        <v>5384.7</v>
      </c>
    </row>
    <row r="89" spans="1:6" x14ac:dyDescent="0.3">
      <c r="A89" s="71"/>
      <c r="B89" s="61"/>
      <c r="C89" s="131"/>
      <c r="D89" s="145"/>
      <c r="E89" s="130"/>
      <c r="F89" s="95"/>
    </row>
    <row r="90" spans="1:6" x14ac:dyDescent="0.3">
      <c r="A90" s="71"/>
      <c r="B90" s="63" t="s">
        <v>38</v>
      </c>
      <c r="C90" s="128"/>
      <c r="D90" s="145"/>
      <c r="E90" s="130"/>
      <c r="F90" s="95"/>
    </row>
    <row r="91" spans="1:6" x14ac:dyDescent="0.3">
      <c r="A91" s="71"/>
      <c r="B91" s="64"/>
      <c r="C91" s="128"/>
      <c r="D91" s="145"/>
      <c r="E91" s="130"/>
      <c r="F91" s="95"/>
    </row>
    <row r="92" spans="1:6" ht="82.8" x14ac:dyDescent="0.3">
      <c r="A92" s="71" t="s">
        <v>14</v>
      </c>
      <c r="B92" s="64" t="s">
        <v>44</v>
      </c>
      <c r="C92" s="128">
        <v>1</v>
      </c>
      <c r="D92" s="145" t="s">
        <v>0</v>
      </c>
      <c r="E92" s="130"/>
      <c r="F92" s="95" t="s">
        <v>62</v>
      </c>
    </row>
    <row r="93" spans="1:6" x14ac:dyDescent="0.3">
      <c r="A93" s="71"/>
      <c r="B93" s="64"/>
      <c r="C93" s="128"/>
      <c r="D93" s="145"/>
      <c r="E93" s="130"/>
      <c r="F93" s="95"/>
    </row>
    <row r="94" spans="1:6" ht="124.2" x14ac:dyDescent="0.3">
      <c r="A94" s="71" t="s">
        <v>17</v>
      </c>
      <c r="B94" s="64" t="s">
        <v>45</v>
      </c>
      <c r="C94" s="128">
        <v>1</v>
      </c>
      <c r="D94" s="145" t="s">
        <v>0</v>
      </c>
      <c r="E94" s="130"/>
      <c r="F94" s="95"/>
    </row>
    <row r="95" spans="1:6" x14ac:dyDescent="0.3">
      <c r="A95" s="71"/>
      <c r="B95" s="64"/>
      <c r="C95" s="128"/>
      <c r="D95" s="145"/>
      <c r="E95" s="130"/>
      <c r="F95" s="95"/>
    </row>
    <row r="96" spans="1:6" x14ac:dyDescent="0.3">
      <c r="A96" s="71"/>
      <c r="B96" s="64"/>
      <c r="C96" s="128"/>
      <c r="D96" s="145"/>
      <c r="E96" s="130"/>
      <c r="F96" s="95"/>
    </row>
    <row r="97" spans="1:6" x14ac:dyDescent="0.3">
      <c r="A97" s="71" t="s">
        <v>63</v>
      </c>
      <c r="B97" s="63" t="s">
        <v>64</v>
      </c>
      <c r="C97" s="128"/>
      <c r="D97" s="145"/>
      <c r="E97" s="130"/>
      <c r="F97" s="95"/>
    </row>
    <row r="98" spans="1:6" x14ac:dyDescent="0.3">
      <c r="A98" s="71"/>
      <c r="B98" s="64"/>
      <c r="C98" s="128"/>
      <c r="D98" s="145"/>
      <c r="E98" s="130"/>
      <c r="F98" s="95"/>
    </row>
    <row r="99" spans="1:6" x14ac:dyDescent="0.3">
      <c r="A99" s="103" t="s">
        <v>11</v>
      </c>
      <c r="B99" s="104" t="s">
        <v>65</v>
      </c>
      <c r="C99" s="146">
        <v>1</v>
      </c>
      <c r="D99" s="147" t="s">
        <v>66</v>
      </c>
      <c r="E99" s="148"/>
      <c r="F99" s="105">
        <f>+C99*E99</f>
        <v>0</v>
      </c>
    </row>
    <row r="100" spans="1:6" x14ac:dyDescent="0.3">
      <c r="A100" s="71"/>
      <c r="B100" s="64"/>
      <c r="C100" s="128"/>
      <c r="D100" s="145"/>
      <c r="E100" s="130"/>
      <c r="F100" s="95"/>
    </row>
    <row r="101" spans="1:6" s="51" customFormat="1" x14ac:dyDescent="0.3">
      <c r="A101" s="78"/>
      <c r="B101" s="78"/>
      <c r="C101" s="149"/>
      <c r="D101" s="150"/>
      <c r="E101" s="151"/>
      <c r="F101" s="99"/>
    </row>
    <row r="102" spans="1:6" s="48" customFormat="1" ht="36" customHeight="1" x14ac:dyDescent="0.3">
      <c r="A102" s="79"/>
      <c r="B102" s="80" t="s">
        <v>25</v>
      </c>
      <c r="C102" s="152"/>
      <c r="D102" s="153"/>
      <c r="E102" s="154" t="s">
        <v>54</v>
      </c>
      <c r="F102" s="98">
        <f>SUM(F85:F100)</f>
        <v>14290.599999999999</v>
      </c>
    </row>
    <row r="103" spans="1:6" x14ac:dyDescent="0.3">
      <c r="A103" s="62"/>
      <c r="B103" s="64"/>
      <c r="C103" s="128"/>
      <c r="D103" s="129"/>
      <c r="E103" s="130"/>
      <c r="F103" s="95"/>
    </row>
    <row r="104" spans="1:6" x14ac:dyDescent="0.3">
      <c r="A104" s="62"/>
      <c r="B104" s="64"/>
      <c r="C104" s="128"/>
      <c r="D104" s="129"/>
      <c r="E104" s="130"/>
      <c r="F104" s="95"/>
    </row>
    <row r="105" spans="1:6" x14ac:dyDescent="0.3">
      <c r="A105" s="62"/>
      <c r="B105" s="64"/>
      <c r="C105" s="128"/>
      <c r="D105" s="129"/>
      <c r="E105" s="130"/>
      <c r="F105" s="95"/>
    </row>
    <row r="106" spans="1:6" x14ac:dyDescent="0.3">
      <c r="A106" s="62"/>
      <c r="B106" s="81" t="s">
        <v>49</v>
      </c>
      <c r="C106" s="128"/>
      <c r="D106" s="129"/>
      <c r="E106" s="130"/>
      <c r="F106" s="95"/>
    </row>
    <row r="107" spans="1:6" x14ac:dyDescent="0.3">
      <c r="A107" s="62"/>
      <c r="B107" s="64"/>
      <c r="C107" s="128"/>
      <c r="D107" s="129"/>
      <c r="E107" s="130"/>
      <c r="F107" s="95"/>
    </row>
    <row r="108" spans="1:6" x14ac:dyDescent="0.3">
      <c r="A108" s="62"/>
      <c r="B108" s="82" t="s">
        <v>50</v>
      </c>
      <c r="C108" s="131"/>
      <c r="D108" s="145"/>
      <c r="E108" s="130"/>
      <c r="F108" s="95">
        <f>+F43</f>
        <v>794088.79999999993</v>
      </c>
    </row>
    <row r="109" spans="1:6" x14ac:dyDescent="0.3">
      <c r="A109" s="62"/>
      <c r="B109" s="64"/>
      <c r="C109" s="128"/>
      <c r="D109" s="145"/>
      <c r="E109" s="130"/>
      <c r="F109" s="95"/>
    </row>
    <row r="110" spans="1:6" x14ac:dyDescent="0.3">
      <c r="A110" s="62"/>
      <c r="B110" s="82" t="s">
        <v>51</v>
      </c>
      <c r="C110" s="128"/>
      <c r="D110" s="145"/>
      <c r="E110" s="130"/>
      <c r="F110" s="95">
        <f>+F82</f>
        <v>3455727.87</v>
      </c>
    </row>
    <row r="111" spans="1:6" x14ac:dyDescent="0.3">
      <c r="A111" s="62"/>
      <c r="B111" s="64"/>
      <c r="C111" s="128"/>
      <c r="D111" s="145"/>
      <c r="E111" s="130"/>
      <c r="F111" s="95"/>
    </row>
    <row r="112" spans="1:6" x14ac:dyDescent="0.3">
      <c r="A112" s="62"/>
      <c r="B112" s="82" t="s">
        <v>52</v>
      </c>
      <c r="C112" s="128"/>
      <c r="D112" s="145"/>
      <c r="E112" s="130"/>
      <c r="F112" s="95">
        <f>+F102</f>
        <v>14290.599999999999</v>
      </c>
    </row>
    <row r="113" spans="1:6" x14ac:dyDescent="0.3">
      <c r="A113" s="62"/>
      <c r="B113" s="82"/>
      <c r="C113" s="128"/>
      <c r="D113" s="145"/>
      <c r="E113" s="130"/>
      <c r="F113" s="95"/>
    </row>
    <row r="114" spans="1:6" x14ac:dyDescent="0.3">
      <c r="A114" s="62"/>
      <c r="B114" s="82"/>
      <c r="C114" s="128"/>
      <c r="D114" s="145"/>
      <c r="E114" s="130"/>
      <c r="F114" s="95"/>
    </row>
    <row r="115" spans="1:6" x14ac:dyDescent="0.3">
      <c r="A115" s="62"/>
      <c r="B115" s="82"/>
      <c r="C115" s="128"/>
      <c r="D115" s="145"/>
      <c r="E115" s="130"/>
      <c r="F115" s="95"/>
    </row>
    <row r="116" spans="1:6" x14ac:dyDescent="0.3">
      <c r="A116" s="62"/>
      <c r="B116" s="82"/>
      <c r="C116" s="128"/>
      <c r="D116" s="145"/>
      <c r="E116" s="130"/>
      <c r="F116" s="95"/>
    </row>
    <row r="117" spans="1:6" x14ac:dyDescent="0.3">
      <c r="A117" s="62"/>
      <c r="B117" s="82"/>
      <c r="C117" s="128"/>
      <c r="D117" s="145"/>
      <c r="E117" s="130"/>
      <c r="F117" s="95"/>
    </row>
    <row r="118" spans="1:6" x14ac:dyDescent="0.3">
      <c r="A118" s="62"/>
      <c r="B118" s="82"/>
      <c r="C118" s="128"/>
      <c r="D118" s="145"/>
      <c r="E118" s="130"/>
      <c r="F118" s="95"/>
    </row>
    <row r="119" spans="1:6" x14ac:dyDescent="0.3">
      <c r="A119" s="62"/>
      <c r="B119" s="82"/>
      <c r="C119" s="128"/>
      <c r="D119" s="145"/>
      <c r="E119" s="130"/>
      <c r="F119" s="95"/>
    </row>
    <row r="120" spans="1:6" x14ac:dyDescent="0.3">
      <c r="A120" s="62"/>
      <c r="B120" s="82"/>
      <c r="C120" s="128"/>
      <c r="D120" s="145"/>
      <c r="E120" s="130"/>
      <c r="F120" s="95"/>
    </row>
    <row r="121" spans="1:6" x14ac:dyDescent="0.3">
      <c r="A121" s="62"/>
      <c r="B121" s="82"/>
      <c r="C121" s="128"/>
      <c r="D121" s="145"/>
      <c r="E121" s="130"/>
      <c r="F121" s="95"/>
    </row>
    <row r="122" spans="1:6" x14ac:dyDescent="0.3">
      <c r="A122" s="62"/>
      <c r="B122" s="82"/>
      <c r="C122" s="128"/>
      <c r="D122" s="145"/>
      <c r="E122" s="130"/>
      <c r="F122" s="95"/>
    </row>
    <row r="123" spans="1:6" x14ac:dyDescent="0.3">
      <c r="A123" s="62"/>
      <c r="B123" s="82"/>
      <c r="C123" s="128"/>
      <c r="D123" s="145"/>
      <c r="E123" s="130"/>
      <c r="F123" s="95"/>
    </row>
    <row r="124" spans="1:6" x14ac:dyDescent="0.3">
      <c r="A124" s="62"/>
      <c r="B124" s="82"/>
      <c r="C124" s="128"/>
      <c r="D124" s="145"/>
      <c r="E124" s="130"/>
      <c r="F124" s="95"/>
    </row>
    <row r="125" spans="1:6" x14ac:dyDescent="0.3">
      <c r="A125" s="62"/>
      <c r="B125" s="82"/>
      <c r="C125" s="128"/>
      <c r="D125" s="145"/>
      <c r="E125" s="130"/>
      <c r="F125" s="95"/>
    </row>
    <row r="126" spans="1:6" x14ac:dyDescent="0.3">
      <c r="A126" s="62"/>
      <c r="B126" s="82"/>
      <c r="C126" s="128"/>
      <c r="D126" s="145"/>
      <c r="E126" s="130"/>
      <c r="F126" s="95"/>
    </row>
    <row r="127" spans="1:6" x14ac:dyDescent="0.3">
      <c r="A127" s="62"/>
      <c r="B127" s="82"/>
      <c r="C127" s="128"/>
      <c r="D127" s="145"/>
      <c r="E127" s="130"/>
      <c r="F127" s="95"/>
    </row>
    <row r="128" spans="1:6" x14ac:dyDescent="0.3">
      <c r="A128" s="62"/>
      <c r="B128" s="82"/>
      <c r="C128" s="128"/>
      <c r="D128" s="145"/>
      <c r="E128" s="130"/>
      <c r="F128" s="95"/>
    </row>
    <row r="129" spans="1:6" x14ac:dyDescent="0.3">
      <c r="A129" s="62"/>
      <c r="B129" s="82"/>
      <c r="C129" s="128"/>
      <c r="D129" s="145"/>
      <c r="E129" s="130"/>
      <c r="F129" s="95"/>
    </row>
    <row r="130" spans="1:6" x14ac:dyDescent="0.3">
      <c r="A130" s="62"/>
      <c r="B130" s="82"/>
      <c r="C130" s="128"/>
      <c r="D130" s="145"/>
      <c r="E130" s="130"/>
      <c r="F130" s="95"/>
    </row>
    <row r="131" spans="1:6" x14ac:dyDescent="0.3">
      <c r="A131" s="62"/>
      <c r="B131" s="82"/>
      <c r="C131" s="128"/>
      <c r="D131" s="145"/>
      <c r="E131" s="130"/>
      <c r="F131" s="95"/>
    </row>
    <row r="132" spans="1:6" x14ac:dyDescent="0.3">
      <c r="A132" s="62"/>
      <c r="B132" s="82"/>
      <c r="C132" s="128"/>
      <c r="D132" s="145"/>
      <c r="E132" s="130"/>
      <c r="F132" s="95"/>
    </row>
    <row r="133" spans="1:6" x14ac:dyDescent="0.3">
      <c r="A133" s="62"/>
      <c r="B133" s="82"/>
      <c r="C133" s="128"/>
      <c r="D133" s="145"/>
      <c r="E133" s="130"/>
      <c r="F133" s="95"/>
    </row>
    <row r="134" spans="1:6" x14ac:dyDescent="0.3">
      <c r="A134" s="62"/>
      <c r="B134" s="82"/>
      <c r="C134" s="128"/>
      <c r="D134" s="145"/>
      <c r="E134" s="130"/>
      <c r="F134" s="95"/>
    </row>
    <row r="135" spans="1:6" x14ac:dyDescent="0.3">
      <c r="A135" s="62"/>
      <c r="B135" s="82"/>
      <c r="C135" s="128"/>
      <c r="D135" s="145"/>
      <c r="E135" s="130"/>
      <c r="F135" s="95"/>
    </row>
    <row r="136" spans="1:6" x14ac:dyDescent="0.3">
      <c r="A136" s="62"/>
      <c r="B136" s="82"/>
      <c r="C136" s="128"/>
      <c r="D136" s="145"/>
      <c r="E136" s="130"/>
      <c r="F136" s="95"/>
    </row>
    <row r="137" spans="1:6" x14ac:dyDescent="0.3">
      <c r="A137" s="62"/>
      <c r="B137" s="82"/>
      <c r="C137" s="128"/>
      <c r="D137" s="145"/>
      <c r="E137" s="130"/>
      <c r="F137" s="95"/>
    </row>
    <row r="138" spans="1:6" x14ac:dyDescent="0.3">
      <c r="A138" s="62"/>
      <c r="B138" s="82"/>
      <c r="C138" s="128"/>
      <c r="D138" s="145"/>
      <c r="E138" s="130"/>
      <c r="F138" s="95"/>
    </row>
    <row r="139" spans="1:6" x14ac:dyDescent="0.3">
      <c r="A139" s="62"/>
      <c r="B139" s="82"/>
      <c r="C139" s="128"/>
      <c r="D139" s="145"/>
      <c r="E139" s="130"/>
      <c r="F139" s="95"/>
    </row>
    <row r="140" spans="1:6" x14ac:dyDescent="0.3">
      <c r="A140" s="62"/>
      <c r="B140" s="82"/>
      <c r="C140" s="128"/>
      <c r="D140" s="145"/>
      <c r="E140" s="130"/>
      <c r="F140" s="95"/>
    </row>
    <row r="141" spans="1:6" x14ac:dyDescent="0.3">
      <c r="A141" s="62"/>
      <c r="B141" s="82"/>
      <c r="C141" s="128"/>
      <c r="D141" s="145"/>
      <c r="E141" s="130"/>
      <c r="F141" s="95"/>
    </row>
    <row r="142" spans="1:6" x14ac:dyDescent="0.3">
      <c r="A142" s="62"/>
      <c r="B142" s="82"/>
      <c r="C142" s="128"/>
      <c r="D142" s="145"/>
      <c r="E142" s="130"/>
      <c r="F142" s="95"/>
    </row>
    <row r="143" spans="1:6" x14ac:dyDescent="0.3">
      <c r="A143" s="62"/>
      <c r="B143" s="82"/>
      <c r="C143" s="128"/>
      <c r="D143" s="145"/>
      <c r="E143" s="130"/>
      <c r="F143" s="95"/>
    </row>
    <row r="144" spans="1:6" x14ac:dyDescent="0.3">
      <c r="A144" s="62"/>
      <c r="B144" s="82"/>
      <c r="C144" s="128"/>
      <c r="D144" s="145"/>
      <c r="E144" s="130"/>
      <c r="F144" s="95"/>
    </row>
    <row r="145" spans="1:6" x14ac:dyDescent="0.3">
      <c r="A145" s="62"/>
      <c r="B145" s="82"/>
      <c r="C145" s="128"/>
      <c r="D145" s="145"/>
      <c r="E145" s="130"/>
      <c r="F145" s="95"/>
    </row>
    <row r="146" spans="1:6" x14ac:dyDescent="0.3">
      <c r="A146" s="62"/>
      <c r="B146" s="82"/>
      <c r="C146" s="128"/>
      <c r="D146" s="145"/>
      <c r="E146" s="130"/>
      <c r="F146" s="95"/>
    </row>
    <row r="147" spans="1:6" x14ac:dyDescent="0.3">
      <c r="A147" s="62"/>
      <c r="B147" s="82"/>
      <c r="C147" s="128"/>
      <c r="D147" s="145"/>
      <c r="E147" s="130"/>
      <c r="F147" s="95"/>
    </row>
    <row r="148" spans="1:6" x14ac:dyDescent="0.3">
      <c r="A148" s="62"/>
      <c r="B148" s="64"/>
      <c r="C148" s="128"/>
      <c r="D148" s="145"/>
      <c r="E148" s="130"/>
      <c r="F148" s="95"/>
    </row>
    <row r="149" spans="1:6" s="51" customFormat="1" x14ac:dyDescent="0.3">
      <c r="A149" s="78"/>
      <c r="B149" s="78"/>
      <c r="C149" s="149"/>
      <c r="D149" s="150"/>
      <c r="E149" s="151"/>
      <c r="F149" s="99"/>
    </row>
    <row r="150" spans="1:6" s="48" customFormat="1" ht="36" customHeight="1" x14ac:dyDescent="0.3">
      <c r="A150" s="69"/>
      <c r="B150" s="70" t="s">
        <v>53</v>
      </c>
      <c r="C150" s="137"/>
      <c r="D150" s="138"/>
      <c r="E150" s="139"/>
      <c r="F150" s="98">
        <f>SUM(F105:F148)</f>
        <v>4264107.2699999996</v>
      </c>
    </row>
  </sheetData>
  <autoFilter ref="A1:F102" xr:uid="{00000000-0001-0000-0100-000000000000}"/>
  <mergeCells count="4">
    <mergeCell ref="A1:A2"/>
    <mergeCell ref="B1:B2"/>
    <mergeCell ref="C1:C2"/>
    <mergeCell ref="D1:D2"/>
  </mergeCells>
  <phoneticPr fontId="19" type="noConversion"/>
  <dataValidations count="1">
    <dataValidation type="textLength" allowBlank="1" showInputMessage="1" showErrorMessage="1" sqref="E1:E4 A1:B1 A3:B3" xr:uid="{00000000-0002-0000-0100-000000000000}">
      <formula1>1</formula1>
      <formula2>1000</formula2>
    </dataValidation>
  </dataValidations>
  <printOptions horizontalCentered="1"/>
  <pageMargins left="0.51181102362204722" right="0.51181102362204722" top="1.1811023622047245" bottom="0.74803149606299213" header="0.31496062992125984" footer="0.31496062992125984"/>
  <pageSetup paperSize="9" scale="90" fitToHeight="0" orientation="portrait" r:id="rId1"/>
  <headerFooter>
    <oddHeader>&amp;R&amp;"Arial,Regular"&amp;U
BILL NO. 8 - STORMWATER POND CONNECTION
SITE WORK</oddHeader>
    <oddFooter>&amp;L&amp;"Arial,Regular"&amp;8DMS 148704 BOQ - Nakheel Mall Al Khail TA16&amp;C&amp;"Arial,Regular"&amp;9B8/B/&amp;P</oddFooter>
  </headerFooter>
  <rowBreaks count="3" manualBreakCount="3">
    <brk id="43" max="5" man="1"/>
    <brk id="82" max="5" man="1"/>
    <brk id="102"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90EFE-8C3B-408E-9F30-8C5157F4B989}">
  <dimension ref="A1:L99"/>
  <sheetViews>
    <sheetView view="pageBreakPreview" topLeftCell="A30" zoomScale="90" zoomScaleNormal="90" zoomScaleSheetLayoutView="90" zoomScalePageLayoutView="85" workbookViewId="0">
      <selection activeCell="D48" sqref="D48"/>
    </sheetView>
  </sheetViews>
  <sheetFormatPr defaultColWidth="8.6640625" defaultRowHeight="13.8" x14ac:dyDescent="0.25"/>
  <cols>
    <col min="1" max="1" width="5.6640625" style="12" customWidth="1"/>
    <col min="2" max="2" width="55.6640625" style="12" customWidth="1"/>
    <col min="3" max="3" width="18.6640625" style="25" customWidth="1"/>
    <col min="4" max="4" width="15.6640625" style="26" customWidth="1"/>
    <col min="5" max="5" width="27.44140625" style="11" customWidth="1"/>
    <col min="6" max="16384" width="8.6640625" style="12"/>
  </cols>
  <sheetData>
    <row r="1" spans="1:5" s="3" customFormat="1" ht="18.75" customHeight="1" x14ac:dyDescent="0.25">
      <c r="A1" s="111" t="s">
        <v>0</v>
      </c>
      <c r="B1" s="111" t="s">
        <v>1</v>
      </c>
      <c r="C1" s="113" t="s">
        <v>55</v>
      </c>
      <c r="D1" s="115" t="s">
        <v>56</v>
      </c>
      <c r="E1" s="2"/>
    </row>
    <row r="2" spans="1:5" s="4" customFormat="1" ht="18.75" customHeight="1" x14ac:dyDescent="0.3">
      <c r="A2" s="112"/>
      <c r="B2" s="112"/>
      <c r="C2" s="114"/>
      <c r="D2" s="116"/>
      <c r="E2" s="2"/>
    </row>
    <row r="3" spans="1:5" s="5" customFormat="1" ht="14.25" customHeight="1" x14ac:dyDescent="0.25">
      <c r="A3" s="27"/>
      <c r="B3" s="28"/>
      <c r="C3" s="29"/>
      <c r="D3" s="6"/>
      <c r="E3" s="7"/>
    </row>
    <row r="4" spans="1:5" s="5" customFormat="1" ht="14.25" customHeight="1" x14ac:dyDescent="0.25">
      <c r="A4" s="30"/>
      <c r="B4" s="28"/>
      <c r="C4" s="31"/>
      <c r="D4" s="8"/>
      <c r="E4" s="7"/>
    </row>
    <row r="5" spans="1:5" s="5" customFormat="1" ht="14.25" customHeight="1" x14ac:dyDescent="0.25">
      <c r="A5" s="30"/>
      <c r="B5" s="32" t="s">
        <v>57</v>
      </c>
      <c r="C5" s="31"/>
      <c r="D5" s="9"/>
      <c r="E5" s="7"/>
    </row>
    <row r="6" spans="1:5" s="5" customFormat="1" ht="14.25" customHeight="1" x14ac:dyDescent="0.25">
      <c r="A6" s="30"/>
      <c r="B6" s="33"/>
      <c r="C6" s="31"/>
      <c r="D6" s="9"/>
      <c r="E6" s="7"/>
    </row>
    <row r="7" spans="1:5" s="5" customFormat="1" ht="14.25" customHeight="1" x14ac:dyDescent="0.25">
      <c r="A7" s="30"/>
      <c r="B7" s="33"/>
      <c r="C7" s="31"/>
      <c r="D7" s="9"/>
      <c r="E7" s="7"/>
    </row>
    <row r="8" spans="1:5" s="5" customFormat="1" ht="14.25" customHeight="1" x14ac:dyDescent="0.25">
      <c r="A8" s="30"/>
      <c r="B8" s="33" t="s">
        <v>58</v>
      </c>
      <c r="C8" s="34" t="s">
        <v>60</v>
      </c>
      <c r="D8" s="10">
        <f>+'Bill 8'!F150</f>
        <v>4264107.2699999996</v>
      </c>
      <c r="E8" s="7"/>
    </row>
    <row r="9" spans="1:5" s="5" customFormat="1" ht="14.25" customHeight="1" x14ac:dyDescent="0.25">
      <c r="A9" s="30"/>
      <c r="B9" s="33"/>
      <c r="C9" s="31"/>
      <c r="D9" s="10"/>
      <c r="E9" s="7"/>
    </row>
    <row r="10" spans="1:5" s="5" customFormat="1" ht="14.25" customHeight="1" x14ac:dyDescent="0.25">
      <c r="A10" s="30"/>
      <c r="B10" s="33"/>
      <c r="C10" s="31"/>
      <c r="D10" s="10"/>
      <c r="E10" s="7"/>
    </row>
    <row r="11" spans="1:5" s="5" customFormat="1" ht="14.25" customHeight="1" x14ac:dyDescent="0.25">
      <c r="A11" s="30"/>
      <c r="B11" s="35"/>
      <c r="C11" s="34"/>
      <c r="D11" s="10"/>
      <c r="E11" s="7"/>
    </row>
    <row r="12" spans="1:5" s="5" customFormat="1" ht="14.25" customHeight="1" x14ac:dyDescent="0.25">
      <c r="A12" s="30"/>
      <c r="B12" s="35"/>
      <c r="C12" s="34"/>
      <c r="D12" s="10"/>
      <c r="E12" s="7"/>
    </row>
    <row r="13" spans="1:5" s="5" customFormat="1" ht="14.25" customHeight="1" x14ac:dyDescent="0.25">
      <c r="A13" s="30"/>
      <c r="B13" s="35"/>
      <c r="C13" s="34"/>
      <c r="D13" s="10"/>
      <c r="E13" s="7"/>
    </row>
    <row r="14" spans="1:5" s="5" customFormat="1" ht="14.25" customHeight="1" x14ac:dyDescent="0.25">
      <c r="A14" s="30"/>
      <c r="B14" s="35"/>
      <c r="C14" s="34"/>
      <c r="D14" s="10"/>
      <c r="E14" s="7"/>
    </row>
    <row r="15" spans="1:5" s="5" customFormat="1" ht="14.25" customHeight="1" x14ac:dyDescent="0.25">
      <c r="A15" s="30"/>
      <c r="B15" s="35"/>
      <c r="C15" s="34"/>
      <c r="D15" s="10"/>
      <c r="E15" s="7"/>
    </row>
    <row r="16" spans="1:5" s="5" customFormat="1" ht="14.25" customHeight="1" x14ac:dyDescent="0.25">
      <c r="A16" s="30"/>
      <c r="B16" s="35"/>
      <c r="C16" s="34"/>
      <c r="D16" s="10"/>
      <c r="E16" s="7"/>
    </row>
    <row r="17" spans="1:5" s="5" customFormat="1" ht="14.25" customHeight="1" x14ac:dyDescent="0.25">
      <c r="A17" s="30"/>
      <c r="B17" s="35"/>
      <c r="C17" s="34"/>
      <c r="D17" s="10"/>
      <c r="E17" s="7"/>
    </row>
    <row r="18" spans="1:5" ht="14.25" customHeight="1" x14ac:dyDescent="0.25">
      <c r="A18" s="36"/>
      <c r="B18" s="35"/>
      <c r="C18" s="34"/>
      <c r="D18" s="10"/>
    </row>
    <row r="19" spans="1:5" ht="14.25" customHeight="1" x14ac:dyDescent="0.25">
      <c r="A19" s="36"/>
      <c r="B19" s="35"/>
      <c r="C19" s="34"/>
      <c r="D19" s="10"/>
    </row>
    <row r="20" spans="1:5" s="5" customFormat="1" ht="14.25" customHeight="1" x14ac:dyDescent="0.25">
      <c r="A20" s="30"/>
      <c r="B20" s="35"/>
      <c r="C20" s="34"/>
      <c r="D20" s="10"/>
      <c r="E20" s="7"/>
    </row>
    <row r="21" spans="1:5" ht="14.25" customHeight="1" x14ac:dyDescent="0.25">
      <c r="A21" s="36"/>
      <c r="B21" s="35"/>
      <c r="C21" s="34"/>
      <c r="D21" s="10"/>
    </row>
    <row r="22" spans="1:5" ht="14.25" customHeight="1" x14ac:dyDescent="0.25">
      <c r="A22" s="36"/>
      <c r="B22" s="35"/>
      <c r="C22" s="34"/>
      <c r="D22" s="10"/>
    </row>
    <row r="23" spans="1:5" ht="14.25" customHeight="1" x14ac:dyDescent="0.25">
      <c r="A23" s="36"/>
      <c r="B23" s="35"/>
      <c r="C23" s="34"/>
      <c r="D23" s="10"/>
    </row>
    <row r="24" spans="1:5" ht="14.25" customHeight="1" x14ac:dyDescent="0.25">
      <c r="A24" s="36"/>
      <c r="B24" s="35"/>
      <c r="C24" s="34"/>
      <c r="D24" s="10"/>
    </row>
    <row r="25" spans="1:5" ht="14.25" customHeight="1" x14ac:dyDescent="0.25">
      <c r="A25" s="36"/>
      <c r="B25" s="35"/>
      <c r="C25" s="34"/>
      <c r="D25" s="10"/>
    </row>
    <row r="26" spans="1:5" ht="14.25" customHeight="1" x14ac:dyDescent="0.25">
      <c r="A26" s="36"/>
      <c r="B26" s="35"/>
      <c r="C26" s="34"/>
      <c r="D26" s="10"/>
    </row>
    <row r="27" spans="1:5" ht="14.25" customHeight="1" x14ac:dyDescent="0.25">
      <c r="A27" s="36"/>
      <c r="B27" s="35"/>
      <c r="C27" s="34"/>
      <c r="D27" s="10"/>
    </row>
    <row r="28" spans="1:5" ht="14.25" customHeight="1" x14ac:dyDescent="0.25">
      <c r="A28" s="36"/>
      <c r="B28" s="35"/>
      <c r="C28" s="34"/>
      <c r="D28" s="10"/>
    </row>
    <row r="29" spans="1:5" ht="14.25" customHeight="1" x14ac:dyDescent="0.25">
      <c r="A29" s="36"/>
      <c r="B29" s="35"/>
      <c r="C29" s="34"/>
      <c r="D29" s="10"/>
    </row>
    <row r="30" spans="1:5" ht="14.25" customHeight="1" x14ac:dyDescent="0.25">
      <c r="A30" s="36"/>
      <c r="B30" s="35"/>
      <c r="C30" s="34"/>
      <c r="D30" s="10"/>
    </row>
    <row r="31" spans="1:5" s="11" customFormat="1" ht="14.25" customHeight="1" x14ac:dyDescent="0.25">
      <c r="A31" s="36"/>
      <c r="B31" s="35"/>
      <c r="C31" s="34"/>
      <c r="D31" s="10"/>
    </row>
    <row r="32" spans="1:5" s="11" customFormat="1" ht="14.25" customHeight="1" x14ac:dyDescent="0.25">
      <c r="A32" s="36"/>
      <c r="B32" s="35"/>
      <c r="C32" s="34"/>
      <c r="D32" s="10"/>
    </row>
    <row r="33" spans="1:12" s="11" customFormat="1" ht="14.25" customHeight="1" x14ac:dyDescent="0.25">
      <c r="A33" s="36"/>
      <c r="B33" s="35"/>
      <c r="C33" s="34"/>
      <c r="D33" s="10"/>
    </row>
    <row r="34" spans="1:12" s="11" customFormat="1" ht="14.25" customHeight="1" x14ac:dyDescent="0.25">
      <c r="A34" s="36"/>
      <c r="B34" s="35"/>
      <c r="C34" s="34"/>
      <c r="D34" s="10"/>
    </row>
    <row r="35" spans="1:12" s="11" customFormat="1" ht="14.25" customHeight="1" x14ac:dyDescent="0.25">
      <c r="A35" s="36"/>
      <c r="B35" s="35"/>
      <c r="C35" s="34"/>
      <c r="D35" s="10"/>
    </row>
    <row r="36" spans="1:12" s="11" customFormat="1" ht="14.25" customHeight="1" x14ac:dyDescent="0.25">
      <c r="A36" s="36"/>
      <c r="B36" s="35"/>
      <c r="C36" s="34"/>
      <c r="D36" s="10"/>
    </row>
    <row r="37" spans="1:12" s="11" customFormat="1" ht="14.25" customHeight="1" x14ac:dyDescent="0.25">
      <c r="A37" s="36"/>
      <c r="B37" s="35"/>
      <c r="C37" s="34"/>
      <c r="D37" s="10"/>
    </row>
    <row r="38" spans="1:12" s="11" customFormat="1" ht="14.25" customHeight="1" x14ac:dyDescent="0.25">
      <c r="A38" s="36"/>
      <c r="B38" s="35"/>
      <c r="C38" s="34"/>
      <c r="D38" s="10"/>
    </row>
    <row r="39" spans="1:12" s="11" customFormat="1" ht="14.25" customHeight="1" x14ac:dyDescent="0.25">
      <c r="A39" s="36"/>
      <c r="B39" s="35"/>
      <c r="C39" s="34"/>
      <c r="D39" s="10"/>
    </row>
    <row r="40" spans="1:12" s="11" customFormat="1" ht="14.25" customHeight="1" x14ac:dyDescent="0.25">
      <c r="A40" s="36"/>
      <c r="B40" s="35"/>
      <c r="C40" s="34"/>
      <c r="D40" s="10"/>
    </row>
    <row r="41" spans="1:12" s="11" customFormat="1" ht="14.25" customHeight="1" x14ac:dyDescent="0.25">
      <c r="A41" s="36"/>
      <c r="B41" s="35"/>
      <c r="C41" s="34"/>
      <c r="D41" s="10"/>
    </row>
    <row r="42" spans="1:12" s="13" customFormat="1" ht="14.4" x14ac:dyDescent="0.3">
      <c r="A42" s="102"/>
      <c r="B42" s="35"/>
      <c r="C42" s="34"/>
      <c r="D42" s="10"/>
      <c r="F42" s="14"/>
      <c r="G42" s="14"/>
      <c r="H42" s="14"/>
      <c r="I42" s="14"/>
      <c r="J42" s="14"/>
      <c r="K42" s="14"/>
      <c r="L42" s="14"/>
    </row>
    <row r="43" spans="1:12" s="13" customFormat="1" ht="14.4" x14ac:dyDescent="0.3">
      <c r="A43" s="36"/>
      <c r="B43" s="35"/>
      <c r="C43" s="34"/>
      <c r="D43" s="10"/>
      <c r="F43" s="14"/>
      <c r="G43" s="14"/>
      <c r="H43" s="14"/>
      <c r="I43" s="14"/>
      <c r="J43" s="14"/>
      <c r="K43" s="14"/>
      <c r="L43" s="14"/>
    </row>
    <row r="44" spans="1:12" s="13" customFormat="1" ht="14.4" x14ac:dyDescent="0.3">
      <c r="A44" s="36"/>
      <c r="B44" s="35"/>
      <c r="C44" s="34"/>
      <c r="D44" s="10"/>
    </row>
    <row r="45" spans="1:12" s="11" customFormat="1" ht="14.25" customHeight="1" x14ac:dyDescent="0.25">
      <c r="A45" s="36"/>
      <c r="B45" s="37"/>
      <c r="C45" s="34"/>
      <c r="D45" s="10"/>
    </row>
    <row r="46" spans="1:12" s="11" customFormat="1" ht="14.25" customHeight="1" x14ac:dyDescent="0.25">
      <c r="A46" s="38"/>
      <c r="B46" s="39"/>
      <c r="C46" s="40"/>
      <c r="D46" s="15"/>
    </row>
    <row r="47" spans="1:12" s="11" customFormat="1" ht="27.6" x14ac:dyDescent="0.25">
      <c r="A47" s="37"/>
      <c r="B47" s="41" t="s">
        <v>61</v>
      </c>
      <c r="C47" s="42"/>
      <c r="D47" s="16"/>
    </row>
    <row r="48" spans="1:12" x14ac:dyDescent="0.25">
      <c r="A48" s="43"/>
      <c r="B48" s="44" t="s">
        <v>59</v>
      </c>
      <c r="C48" s="45" t="s">
        <v>54</v>
      </c>
      <c r="D48" s="16">
        <f>SUM(D5:D43)</f>
        <v>4264107.2699999996</v>
      </c>
    </row>
    <row r="49" spans="1:4" ht="14.25" customHeight="1" x14ac:dyDescent="0.25">
      <c r="A49" s="43"/>
      <c r="B49" s="46"/>
      <c r="C49" s="45"/>
      <c r="D49" s="15"/>
    </row>
    <row r="51" spans="1:4" s="21" customFormat="1" ht="13.2" x14ac:dyDescent="0.3">
      <c r="A51" s="17"/>
      <c r="B51" s="18"/>
      <c r="C51" s="19"/>
      <c r="D51" s="20"/>
    </row>
    <row r="52" spans="1:4" s="21" customFormat="1" ht="13.2" x14ac:dyDescent="0.3">
      <c r="A52" s="22"/>
      <c r="B52" s="23"/>
      <c r="C52" s="19"/>
      <c r="D52" s="20"/>
    </row>
    <row r="53" spans="1:4" s="21" customFormat="1" ht="13.2" x14ac:dyDescent="0.3">
      <c r="A53" s="22"/>
      <c r="B53" s="23"/>
      <c r="C53" s="19"/>
      <c r="D53" s="20"/>
    </row>
    <row r="54" spans="1:4" s="21" customFormat="1" ht="13.2" x14ac:dyDescent="0.3">
      <c r="A54" s="22"/>
      <c r="B54" s="23"/>
      <c r="C54" s="19"/>
      <c r="D54" s="20"/>
    </row>
    <row r="55" spans="1:4" s="21" customFormat="1" ht="13.2" x14ac:dyDescent="0.3">
      <c r="A55" s="22"/>
      <c r="B55" s="23"/>
      <c r="C55" s="19"/>
      <c r="D55" s="20"/>
    </row>
    <row r="56" spans="1:4" s="21" customFormat="1" ht="13.2" x14ac:dyDescent="0.3">
      <c r="A56" s="22"/>
      <c r="B56" s="23"/>
      <c r="C56" s="19"/>
      <c r="D56" s="20"/>
    </row>
    <row r="57" spans="1:4" s="21" customFormat="1" ht="13.2" x14ac:dyDescent="0.3">
      <c r="A57" s="22"/>
      <c r="B57" s="23"/>
      <c r="C57" s="19"/>
      <c r="D57" s="20"/>
    </row>
    <row r="58" spans="1:4" s="21" customFormat="1" ht="13.2" x14ac:dyDescent="0.3">
      <c r="A58" s="22"/>
      <c r="B58" s="23"/>
      <c r="C58" s="19"/>
      <c r="D58" s="20"/>
    </row>
    <row r="59" spans="1:4" s="21" customFormat="1" ht="13.2" x14ac:dyDescent="0.3">
      <c r="A59" s="22"/>
      <c r="B59" s="23"/>
      <c r="C59" s="19"/>
      <c r="D59" s="20"/>
    </row>
    <row r="60" spans="1:4" s="21" customFormat="1" ht="13.2" x14ac:dyDescent="0.3">
      <c r="A60" s="22"/>
      <c r="B60" s="23"/>
      <c r="C60" s="19"/>
      <c r="D60" s="20"/>
    </row>
    <row r="61" spans="1:4" s="21" customFormat="1" ht="13.2" x14ac:dyDescent="0.3">
      <c r="A61" s="22"/>
      <c r="B61" s="23"/>
      <c r="C61" s="19"/>
      <c r="D61" s="20"/>
    </row>
    <row r="62" spans="1:4" s="21" customFormat="1" ht="13.2" x14ac:dyDescent="0.3">
      <c r="A62" s="22"/>
      <c r="B62" s="23"/>
      <c r="C62" s="19"/>
      <c r="D62" s="20"/>
    </row>
    <row r="63" spans="1:4" s="21" customFormat="1" ht="13.2" x14ac:dyDescent="0.3">
      <c r="A63" s="22"/>
      <c r="B63" s="23"/>
      <c r="C63" s="19"/>
      <c r="D63" s="20"/>
    </row>
    <row r="64" spans="1:4" s="21" customFormat="1" ht="13.2" x14ac:dyDescent="0.3">
      <c r="A64" s="22"/>
      <c r="B64" s="23"/>
      <c r="C64" s="19"/>
      <c r="D64" s="20"/>
    </row>
    <row r="65" spans="1:4" s="21" customFormat="1" ht="13.2" x14ac:dyDescent="0.3">
      <c r="A65" s="22"/>
      <c r="B65" s="23"/>
      <c r="C65" s="19"/>
      <c r="D65" s="20"/>
    </row>
    <row r="66" spans="1:4" s="21" customFormat="1" ht="13.2" x14ac:dyDescent="0.3">
      <c r="A66" s="22"/>
      <c r="B66" s="23"/>
      <c r="C66" s="19"/>
      <c r="D66" s="20"/>
    </row>
    <row r="67" spans="1:4" s="21" customFormat="1" ht="13.2" x14ac:dyDescent="0.3">
      <c r="A67" s="22"/>
      <c r="B67" s="23"/>
      <c r="C67" s="19"/>
      <c r="D67" s="20"/>
    </row>
    <row r="68" spans="1:4" s="21" customFormat="1" ht="13.2" x14ac:dyDescent="0.3">
      <c r="A68" s="22"/>
      <c r="B68" s="23"/>
      <c r="C68" s="19"/>
      <c r="D68" s="20"/>
    </row>
    <row r="69" spans="1:4" s="21" customFormat="1" ht="13.2" x14ac:dyDescent="0.3">
      <c r="A69" s="22"/>
      <c r="B69" s="23"/>
      <c r="C69" s="19"/>
      <c r="D69" s="20"/>
    </row>
    <row r="70" spans="1:4" s="21" customFormat="1" ht="13.2" x14ac:dyDescent="0.3">
      <c r="A70" s="22"/>
      <c r="B70" s="23"/>
      <c r="C70" s="19"/>
      <c r="D70" s="20"/>
    </row>
    <row r="71" spans="1:4" s="21" customFormat="1" ht="13.2" x14ac:dyDescent="0.3">
      <c r="A71" s="22"/>
      <c r="B71" s="23"/>
      <c r="C71" s="19"/>
      <c r="D71" s="20"/>
    </row>
    <row r="72" spans="1:4" s="21" customFormat="1" ht="13.2" x14ac:dyDescent="0.3">
      <c r="A72" s="22"/>
      <c r="B72" s="23"/>
      <c r="C72" s="19"/>
      <c r="D72" s="20"/>
    </row>
    <row r="73" spans="1:4" s="21" customFormat="1" ht="13.2" x14ac:dyDescent="0.3">
      <c r="A73" s="22"/>
      <c r="B73" s="23"/>
      <c r="C73" s="19"/>
      <c r="D73" s="20"/>
    </row>
    <row r="74" spans="1:4" s="21" customFormat="1" ht="13.2" x14ac:dyDescent="0.3">
      <c r="A74" s="24"/>
      <c r="B74" s="23"/>
      <c r="C74" s="19"/>
      <c r="D74" s="20"/>
    </row>
    <row r="75" spans="1:4" s="21" customFormat="1" ht="13.2" x14ac:dyDescent="0.3">
      <c r="A75" s="24"/>
      <c r="B75" s="23"/>
      <c r="C75" s="19"/>
      <c r="D75" s="20"/>
    </row>
    <row r="76" spans="1:4" s="21" customFormat="1" ht="13.2" x14ac:dyDescent="0.3">
      <c r="A76" s="24"/>
      <c r="B76" s="23"/>
      <c r="C76" s="19"/>
      <c r="D76" s="20"/>
    </row>
    <row r="77" spans="1:4" s="21" customFormat="1" ht="13.2" x14ac:dyDescent="0.3">
      <c r="A77" s="24"/>
      <c r="B77" s="23"/>
      <c r="C77" s="19"/>
      <c r="D77" s="20"/>
    </row>
    <row r="78" spans="1:4" s="21" customFormat="1" ht="13.2" x14ac:dyDescent="0.3">
      <c r="A78" s="24"/>
      <c r="B78" s="23"/>
      <c r="C78" s="19"/>
      <c r="D78" s="20"/>
    </row>
    <row r="79" spans="1:4" s="21" customFormat="1" ht="13.2" x14ac:dyDescent="0.3">
      <c r="A79" s="22"/>
      <c r="B79" s="23"/>
      <c r="C79" s="19"/>
      <c r="D79" s="20"/>
    </row>
    <row r="80" spans="1:4" s="21" customFormat="1" ht="13.2" x14ac:dyDescent="0.3">
      <c r="A80" s="22"/>
      <c r="B80" s="23"/>
      <c r="C80" s="19"/>
      <c r="D80" s="20"/>
    </row>
    <row r="81" spans="1:4" s="21" customFormat="1" ht="13.2" x14ac:dyDescent="0.3">
      <c r="A81" s="22"/>
      <c r="B81" s="23"/>
      <c r="C81" s="19"/>
      <c r="D81" s="20"/>
    </row>
    <row r="82" spans="1:4" s="21" customFormat="1" ht="13.2" x14ac:dyDescent="0.3">
      <c r="A82" s="22"/>
      <c r="B82" s="23"/>
      <c r="C82" s="19"/>
      <c r="D82" s="20"/>
    </row>
    <row r="83" spans="1:4" s="21" customFormat="1" ht="13.2" x14ac:dyDescent="0.3">
      <c r="A83" s="22"/>
      <c r="B83" s="23"/>
      <c r="C83" s="19"/>
      <c r="D83" s="20"/>
    </row>
    <row r="84" spans="1:4" s="21" customFormat="1" ht="13.2" x14ac:dyDescent="0.3">
      <c r="A84" s="22"/>
      <c r="B84" s="23"/>
      <c r="C84" s="19"/>
      <c r="D84" s="20"/>
    </row>
    <row r="85" spans="1:4" s="21" customFormat="1" ht="13.2" x14ac:dyDescent="0.3">
      <c r="A85" s="22"/>
      <c r="B85" s="23"/>
      <c r="C85" s="19"/>
      <c r="D85" s="20"/>
    </row>
    <row r="86" spans="1:4" s="21" customFormat="1" ht="13.2" x14ac:dyDescent="0.3">
      <c r="A86" s="22"/>
      <c r="B86" s="23"/>
      <c r="C86" s="19"/>
      <c r="D86" s="20"/>
    </row>
    <row r="87" spans="1:4" s="21" customFormat="1" ht="13.2" x14ac:dyDescent="0.3">
      <c r="A87" s="22"/>
      <c r="B87" s="23"/>
      <c r="C87" s="19"/>
      <c r="D87" s="20"/>
    </row>
    <row r="88" spans="1:4" s="21" customFormat="1" ht="13.2" x14ac:dyDescent="0.3">
      <c r="A88" s="22"/>
      <c r="B88" s="23"/>
      <c r="C88" s="19"/>
      <c r="D88" s="20"/>
    </row>
    <row r="89" spans="1:4" s="21" customFormat="1" ht="13.2" x14ac:dyDescent="0.3">
      <c r="A89" s="22"/>
      <c r="B89" s="23"/>
      <c r="C89" s="19"/>
      <c r="D89" s="20"/>
    </row>
    <row r="90" spans="1:4" s="21" customFormat="1" ht="13.2" x14ac:dyDescent="0.3">
      <c r="A90" s="22"/>
      <c r="B90" s="23"/>
      <c r="C90" s="19"/>
      <c r="D90" s="20"/>
    </row>
    <row r="91" spans="1:4" s="21" customFormat="1" ht="13.2" x14ac:dyDescent="0.3">
      <c r="A91" s="22"/>
      <c r="B91" s="23"/>
      <c r="C91" s="19"/>
      <c r="D91" s="20"/>
    </row>
    <row r="92" spans="1:4" s="21" customFormat="1" ht="13.2" x14ac:dyDescent="0.3">
      <c r="A92" s="22"/>
      <c r="B92" s="23"/>
      <c r="C92" s="19"/>
      <c r="D92" s="20"/>
    </row>
    <row r="93" spans="1:4" s="21" customFormat="1" ht="13.2" x14ac:dyDescent="0.3">
      <c r="A93" s="22"/>
      <c r="B93" s="23"/>
      <c r="C93" s="19"/>
      <c r="D93" s="20"/>
    </row>
    <row r="94" spans="1:4" s="21" customFormat="1" ht="13.2" x14ac:dyDescent="0.3">
      <c r="A94" s="22"/>
      <c r="B94" s="23"/>
      <c r="C94" s="19"/>
      <c r="D94" s="20"/>
    </row>
    <row r="95" spans="1:4" s="21" customFormat="1" ht="13.2" x14ac:dyDescent="0.3">
      <c r="C95" s="19"/>
      <c r="D95" s="20"/>
    </row>
    <row r="99" spans="1:4" s="11" customFormat="1" x14ac:dyDescent="0.25">
      <c r="A99" s="12"/>
      <c r="B99" s="12"/>
      <c r="C99" s="25"/>
      <c r="D99" s="26"/>
    </row>
  </sheetData>
  <mergeCells count="4">
    <mergeCell ref="A1:A2"/>
    <mergeCell ref="B1:B2"/>
    <mergeCell ref="C1:C2"/>
    <mergeCell ref="D1:D2"/>
  </mergeCells>
  <pageMargins left="0.6692913385826772" right="0.19685039370078741" top="0.82677165354330717" bottom="0.47244094488188981" header="0.19685039370078741" footer="0.23622047244094491"/>
  <pageSetup paperSize="9" scale="98" orientation="portrait" r:id="rId1"/>
  <headerFooter>
    <oddHeader>&amp;R&amp;U
&amp;"Arial,Regular"BILL NO. 8 - STORMWATER POND CONNECTION
AL KHAIL MALL REFURBISHMENT</oddHeader>
    <oddFooter>&amp;L&amp;"Arial,Regular"&amp;9DMS 148704 BOQ - Nakheel Mall Al Khail TA16&amp;C&amp;"Arial,Regular"&amp;9 8/SUM</oddFooter>
  </headerFooter>
  <colBreaks count="1" manualBreakCount="1">
    <brk id="4" max="41"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EF1AB537AC9E47B3E67E62C11EDC34" ma:contentTypeVersion="6" ma:contentTypeDescription="Create a new document." ma:contentTypeScope="" ma:versionID="2393c6d2fbf1c3b1fcf0524f3ce13afe">
  <xsd:schema xmlns:xsd="http://www.w3.org/2001/XMLSchema" xmlns:xs="http://www.w3.org/2001/XMLSchema" xmlns:p="http://schemas.microsoft.com/office/2006/metadata/properties" xmlns:ns2="29343c2e-0cc4-4aa9-a004-66d03d634282" xmlns:ns3="303d1388-59d5-4b44-81d6-4cb28e15e614" targetNamespace="http://schemas.microsoft.com/office/2006/metadata/properties" ma:root="true" ma:fieldsID="42acea1767e65b62021b29439736a286" ns2:_="" ns3:_="">
    <xsd:import namespace="29343c2e-0cc4-4aa9-a004-66d03d634282"/>
    <xsd:import namespace="303d1388-59d5-4b44-81d6-4cb28e15e61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343c2e-0cc4-4aa9-a004-66d03d63428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03d1388-59d5-4b44-81d6-4cb28e15e61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8532942-8FBC-4F29-8BAA-D40F3E89EBCD}"/>
</file>

<file path=customXml/itemProps2.xml><?xml version="1.0" encoding="utf-8"?>
<ds:datastoreItem xmlns:ds="http://schemas.openxmlformats.org/officeDocument/2006/customXml" ds:itemID="{EFB56FEC-B3A9-4882-8F66-B9F4F8315209}"/>
</file>

<file path=customXml/itemProps3.xml><?xml version="1.0" encoding="utf-8"?>
<ds:datastoreItem xmlns:ds="http://schemas.openxmlformats.org/officeDocument/2006/customXml" ds:itemID="{D4B7CAB8-790C-4977-AECE-F39A7B9DF3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Fly-Bill 8</vt:lpstr>
      <vt:lpstr>Bill 8</vt:lpstr>
      <vt:lpstr>Bill 8-Sum</vt:lpstr>
      <vt:lpstr>'Bill 8'!Print_Area</vt:lpstr>
      <vt:lpstr>'Bill 8-Sum'!Print_Area</vt:lpstr>
      <vt:lpstr>'Fly-Bill 8'!Print_Area</vt:lpstr>
      <vt:lpstr>'Bill 8'!Print_Titles</vt:lpstr>
      <vt:lpstr>'Bill 8-Sum'!Print_Titles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Shivprasad Kondi</dc:creator>
  <cp:keywords/>
  <dc:description/>
  <cp:lastModifiedBy>Monvi Carlo Osorio</cp:lastModifiedBy>
  <cp:revision/>
  <cp:lastPrinted>2024-02-21T10:15:30Z</cp:lastPrinted>
  <dcterms:created xsi:type="dcterms:W3CDTF">2015-09-07T14:01:26Z</dcterms:created>
  <dcterms:modified xsi:type="dcterms:W3CDTF">2024-02-21T10:15:33Z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0x010100D3EF1AB537AC9E47B3E67E62C11EDC34</vt:lpwstr>
  </property>
</Properties>
</file>