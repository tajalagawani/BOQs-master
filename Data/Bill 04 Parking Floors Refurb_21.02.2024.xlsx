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codeName="ThisWorkbook" defaultThemeVersion="124226"/>
  <mc:AlternateContent xmlns:mc="http://schemas.openxmlformats.org/markup-compatibility/2006">
    <mc:Choice Requires="x15">
      <x15ac:absPath xmlns:x15ac="http://schemas.microsoft.com/office/spreadsheetml/2010/11/ac" url="N:\Tender\2022\BLDG\T061-22 NKHL RFQ700887 Modification&amp;Redev Wrks Nakheel Mall-Al Khail\2. COMM\4. Sub.&amp;PTC\24.02.21 - Final BoQ - Amended\"/>
    </mc:Choice>
  </mc:AlternateContent>
  <xr:revisionPtr revIDLastSave="0" documentId="13_ncr:1_{9289C56A-86C1-4FC3-B35A-201B7A773F8A}" xr6:coauthVersionLast="47" xr6:coauthVersionMax="47" xr10:uidLastSave="{00000000-0000-0000-0000-000000000000}"/>
  <bookViews>
    <workbookView xWindow="-108" yWindow="-108" windowWidth="23256" windowHeight="12456" tabRatio="940" firstSheet="4" activeTab="11" xr2:uid="{00000000-000D-0000-FFFF-FFFF00000000}"/>
  </bookViews>
  <sheets>
    <sheet name="Fly-Bill 4" sheetId="20" r:id="rId1"/>
    <sheet name="Bill 4 Concrete" sheetId="33" r:id="rId2"/>
    <sheet name="Bill 4 - Masonry" sheetId="34" r:id="rId3"/>
    <sheet name="Bill 4 Woodwork" sheetId="36" r:id="rId4"/>
    <sheet name="Bill 4 - Thermal and Moisture" sheetId="37" r:id="rId5"/>
    <sheet name="Bill 4 Doors and Windows" sheetId="38" r:id="rId6"/>
    <sheet name="Bill 4 - Finishes" sheetId="39" r:id="rId7"/>
    <sheet name="Bill 4 - Accessories" sheetId="40" r:id="rId8"/>
    <sheet name="Bill 4 - Furnishings" sheetId="41" r:id="rId9"/>
    <sheet name="Bill 4 - Mechanical" sheetId="42" r:id="rId10"/>
    <sheet name="Bill 4 - Electrical" sheetId="43" r:id="rId11"/>
    <sheet name="Bill 4-Sum" sheetId="21" r:id="rId12"/>
  </sheets>
  <definedNames>
    <definedName name="_xlnm._FilterDatabase" localSheetId="7" hidden="1">'Bill 4 - Accessories'!$A$4:$F$334</definedName>
    <definedName name="_xlnm._FilterDatabase" localSheetId="10" hidden="1">'Bill 4 - Electrical'!$A$4:$F$1250</definedName>
    <definedName name="_xlnm._FilterDatabase" localSheetId="6" hidden="1">'Bill 4 - Finishes'!$A$4:$F$291</definedName>
    <definedName name="_xlnm._FilterDatabase" localSheetId="8" hidden="1">'Bill 4 - Furnishings'!$A$4:$F$150</definedName>
    <definedName name="_xlnm._FilterDatabase" localSheetId="2" hidden="1">'Bill 4 - Masonry'!$A$4:$F$137</definedName>
    <definedName name="_xlnm._FilterDatabase" localSheetId="9" hidden="1">'Bill 4 - Mechanical'!$A$4:$F$1433</definedName>
    <definedName name="_xlnm._FilterDatabase" localSheetId="4" hidden="1">'Bill 4 - Thermal and Moisture'!$A$4:$F$144</definedName>
    <definedName name="_xlnm._FilterDatabase" localSheetId="1" hidden="1">'Bill 4 Concrete'!$A$4:$F$243</definedName>
    <definedName name="_xlnm._FilterDatabase" localSheetId="5" hidden="1">'Bill 4 Doors and Windows'!$A$4:$F$223</definedName>
    <definedName name="_xlnm._FilterDatabase" localSheetId="3" hidden="1">'Bill 4 Woodwork'!$A$4:$F$138</definedName>
    <definedName name="_xlnm._FilterDatabase" localSheetId="11" hidden="1">'Bill 4-Sum'!$A$1:$E$47</definedName>
    <definedName name="_xlnm.Print_Area" localSheetId="7">'Bill 4 - Accessories'!$A$1:$G$334</definedName>
    <definedName name="_xlnm.Print_Area" localSheetId="10">'Bill 4 - Electrical'!$A$1:$G$1250</definedName>
    <definedName name="_xlnm.Print_Area" localSheetId="6">'Bill 4 - Finishes'!$A$1:$G$291</definedName>
    <definedName name="_xlnm.Print_Area" localSheetId="8">'Bill 4 - Furnishings'!$A$1:$F$150</definedName>
    <definedName name="_xlnm.Print_Area" localSheetId="2">'Bill 4 - Masonry'!$A$1:$F$137</definedName>
    <definedName name="_xlnm.Print_Area" localSheetId="9">'Bill 4 - Mechanical'!$A$1:$G$1484</definedName>
    <definedName name="_xlnm.Print_Area" localSheetId="4">'Bill 4 - Thermal and Moisture'!$A$1:$F$144</definedName>
    <definedName name="_xlnm.Print_Area" localSheetId="1">'Bill 4 Concrete'!$A$1:$F$243</definedName>
    <definedName name="_xlnm.Print_Area" localSheetId="5">'Bill 4 Doors and Windows'!$A$1:$G$223</definedName>
    <definedName name="_xlnm.Print_Area" localSheetId="3">'Bill 4 Woodwork'!$A$1:$G$138</definedName>
    <definedName name="_xlnm.Print_Area" localSheetId="11">'Bill 4-Sum'!$A$1:$D$47</definedName>
    <definedName name="_xlnm.Print_Area" localSheetId="0">'Fly-Bill 4'!$A$1:$J$50</definedName>
    <definedName name="_xlnm.Print_Titles" localSheetId="7">'Bill 4 - Accessories'!$1:$3</definedName>
    <definedName name="_xlnm.Print_Titles" localSheetId="10">'Bill 4 - Electrical'!$1:$3</definedName>
    <definedName name="_xlnm.Print_Titles" localSheetId="6">'Bill 4 - Finishes'!$1:$3</definedName>
    <definedName name="_xlnm.Print_Titles" localSheetId="8">'Bill 4 - Furnishings'!$1:$3</definedName>
    <definedName name="_xlnm.Print_Titles" localSheetId="2">'Bill 4 - Masonry'!$1:$3</definedName>
    <definedName name="_xlnm.Print_Titles" localSheetId="9">'Bill 4 - Mechanical'!$1:$3</definedName>
    <definedName name="_xlnm.Print_Titles" localSheetId="4">'Bill 4 - Thermal and Moisture'!$1:$3</definedName>
    <definedName name="_xlnm.Print_Titles" localSheetId="1">'Bill 4 Concrete'!$1:$3</definedName>
    <definedName name="_xlnm.Print_Titles" localSheetId="5">'Bill 4 Doors and Windows'!$1:$3</definedName>
    <definedName name="_xlnm.Print_Titles" localSheetId="3">'Bill 4 Woodwork'!$1:$3</definedName>
    <definedName name="_xlnm.Print_Titles" localSheetId="11">'Bill 4-Sum'!$1:$3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11" i="39" l="1"/>
  <c r="F209" i="39"/>
  <c r="F1110" i="43" l="1"/>
  <c r="F245" i="40"/>
  <c r="F895" i="43"/>
  <c r="F206" i="43"/>
  <c r="F559" i="42"/>
  <c r="F557" i="42"/>
  <c r="F555" i="42"/>
  <c r="F553" i="42"/>
  <c r="F551" i="42"/>
  <c r="F549" i="42"/>
  <c r="F547" i="42"/>
  <c r="F1073" i="43"/>
  <c r="F901" i="43"/>
  <c r="F1352" i="42"/>
  <c r="F1290" i="42"/>
  <c r="F60" i="41"/>
  <c r="F221" i="39" l="1"/>
  <c r="F217" i="39"/>
  <c r="F56" i="34"/>
  <c r="F51" i="34"/>
  <c r="F151" i="33"/>
  <c r="F1344" i="42"/>
  <c r="F838" i="42"/>
  <c r="F64" i="41"/>
  <c r="F229" i="39"/>
  <c r="F207" i="39"/>
  <c r="F142" i="38"/>
  <c r="F60" i="37"/>
  <c r="F55" i="37"/>
  <c r="F50" i="36"/>
  <c r="F1101" i="43"/>
  <c r="F1060" i="43"/>
  <c r="F1029" i="43"/>
  <c r="F920" i="43"/>
  <c r="F878" i="43"/>
  <c r="F1106" i="43"/>
  <c r="F1147" i="43" s="1"/>
  <c r="F935" i="43"/>
  <c r="F933" i="43"/>
  <c r="F808" i="43"/>
  <c r="F804" i="43"/>
  <c r="F802" i="43"/>
  <c r="F800" i="43"/>
  <c r="F798" i="43"/>
  <c r="F796" i="43"/>
  <c r="F787" i="43"/>
  <c r="F785" i="43"/>
  <c r="F783" i="43"/>
  <c r="F781" i="43"/>
  <c r="F777" i="43"/>
  <c r="F775" i="43"/>
  <c r="F773" i="43"/>
  <c r="F771" i="43"/>
  <c r="F769" i="43"/>
  <c r="F767" i="43"/>
  <c r="F765" i="43"/>
  <c r="F763" i="43"/>
  <c r="F761" i="43"/>
  <c r="F759" i="43"/>
  <c r="F705" i="43"/>
  <c r="F703" i="43"/>
  <c r="F701" i="43"/>
  <c r="F691" i="43"/>
  <c r="F689" i="43"/>
  <c r="F687" i="43"/>
  <c r="F685" i="43"/>
  <c r="F683" i="43"/>
  <c r="F679" i="43"/>
  <c r="F677" i="43"/>
  <c r="F671" i="43"/>
  <c r="F662" i="43"/>
  <c r="F660" i="43"/>
  <c r="F658" i="43"/>
  <c r="F656" i="43"/>
  <c r="F654" i="43"/>
  <c r="F652" i="43"/>
  <c r="F650" i="43"/>
  <c r="F648" i="43"/>
  <c r="F644" i="43"/>
  <c r="F642" i="43"/>
  <c r="F640" i="43"/>
  <c r="F638" i="43"/>
  <c r="F636" i="43"/>
  <c r="F625" i="43"/>
  <c r="F623" i="43"/>
  <c r="F621" i="43"/>
  <c r="F619" i="43"/>
  <c r="F617" i="43"/>
  <c r="F615" i="43"/>
  <c r="F613" i="43"/>
  <c r="F611" i="43"/>
  <c r="F607" i="43"/>
  <c r="F605" i="43"/>
  <c r="F603" i="43"/>
  <c r="F601" i="43"/>
  <c r="F592" i="43"/>
  <c r="F590" i="43"/>
  <c r="F588" i="43"/>
  <c r="F586" i="43"/>
  <c r="F580" i="43"/>
  <c r="F578" i="43"/>
  <c r="F576" i="43"/>
  <c r="F574" i="43"/>
  <c r="F524" i="43"/>
  <c r="F522" i="43"/>
  <c r="F520" i="43"/>
  <c r="F518" i="43"/>
  <c r="F505" i="43"/>
  <c r="F503" i="43"/>
  <c r="F501" i="43"/>
  <c r="F499" i="43"/>
  <c r="F497" i="43"/>
  <c r="F493" i="43"/>
  <c r="F491" i="43"/>
  <c r="F489" i="43"/>
  <c r="F483" i="43"/>
  <c r="F481" i="43"/>
  <c r="F479" i="43"/>
  <c r="F477" i="43"/>
  <c r="F475" i="43"/>
  <c r="F473" i="43"/>
  <c r="F471" i="43"/>
  <c r="F462" i="43"/>
  <c r="F458" i="43"/>
  <c r="F456" i="43"/>
  <c r="F452" i="43"/>
  <c r="F403" i="43"/>
  <c r="F401" i="43"/>
  <c r="F399" i="43"/>
  <c r="F397" i="43"/>
  <c r="F395" i="43"/>
  <c r="F391" i="43"/>
  <c r="F389" i="43"/>
  <c r="F387" i="43"/>
  <c r="F385" i="43"/>
  <c r="F381" i="43"/>
  <c r="F379" i="43"/>
  <c r="F375" i="43"/>
  <c r="F373" i="43"/>
  <c r="F359" i="43"/>
  <c r="F355" i="43"/>
  <c r="F351" i="43"/>
  <c r="F349" i="43"/>
  <c r="F347" i="43"/>
  <c r="F345" i="43"/>
  <c r="F343" i="43"/>
  <c r="F341" i="43"/>
  <c r="F339" i="43"/>
  <c r="F335" i="43"/>
  <c r="F333" i="43"/>
  <c r="F331" i="43"/>
  <c r="F329" i="43"/>
  <c r="F327" i="43"/>
  <c r="F325" i="43"/>
  <c r="F323" i="43"/>
  <c r="F321" i="43"/>
  <c r="F319" i="43"/>
  <c r="F308" i="43"/>
  <c r="F306" i="43"/>
  <c r="F304" i="43"/>
  <c r="F302" i="43"/>
  <c r="F300" i="43"/>
  <c r="F298" i="43"/>
  <c r="F296" i="43"/>
  <c r="F294" i="43"/>
  <c r="F292" i="43"/>
  <c r="F290" i="43"/>
  <c r="F288" i="43"/>
  <c r="F286" i="43"/>
  <c r="F284" i="43"/>
  <c r="F282" i="43"/>
  <c r="F280" i="43"/>
  <c r="F278" i="43"/>
  <c r="F276" i="43"/>
  <c r="F272" i="43"/>
  <c r="F270" i="43"/>
  <c r="F257" i="43"/>
  <c r="F253" i="43"/>
  <c r="F251" i="43"/>
  <c r="F249" i="43"/>
  <c r="F247" i="43"/>
  <c r="F245" i="43"/>
  <c r="F243" i="43"/>
  <c r="F241" i="43"/>
  <c r="F239" i="43"/>
  <c r="F237" i="43"/>
  <c r="F235" i="43"/>
  <c r="F233" i="43"/>
  <c r="F231" i="43"/>
  <c r="F229" i="43"/>
  <c r="F227" i="43"/>
  <c r="F225" i="43"/>
  <c r="F223" i="43"/>
  <c r="F221" i="43"/>
  <c r="F200" i="43"/>
  <c r="F196" i="43"/>
  <c r="F194" i="43"/>
  <c r="F192" i="43"/>
  <c r="F188" i="43"/>
  <c r="F184" i="43"/>
  <c r="F180" i="43"/>
  <c r="F178" i="43"/>
  <c r="F159" i="43"/>
  <c r="F157" i="43"/>
  <c r="F153" i="43"/>
  <c r="F151" i="43"/>
  <c r="F149" i="43"/>
  <c r="F147" i="43"/>
  <c r="F143" i="43"/>
  <c r="F139" i="43"/>
  <c r="F137" i="43"/>
  <c r="F135" i="43"/>
  <c r="F133" i="43"/>
  <c r="F129" i="43"/>
  <c r="F127" i="43"/>
  <c r="F117" i="43"/>
  <c r="F111" i="43"/>
  <c r="F109" i="43"/>
  <c r="F105" i="43"/>
  <c r="F101" i="43"/>
  <c r="F97" i="43"/>
  <c r="F93" i="43"/>
  <c r="F89" i="43"/>
  <c r="F74" i="43"/>
  <c r="F72" i="43"/>
  <c r="F68" i="43"/>
  <c r="F66" i="43"/>
  <c r="F62" i="43"/>
  <c r="F60" i="43"/>
  <c r="F58" i="43"/>
  <c r="F56" i="43"/>
  <c r="F54" i="43"/>
  <c r="F52" i="43"/>
  <c r="F48" i="43"/>
  <c r="F46" i="43"/>
  <c r="F42" i="43"/>
  <c r="F32" i="43"/>
  <c r="F28" i="43"/>
  <c r="F26" i="43"/>
  <c r="F24" i="43"/>
  <c r="F22" i="43"/>
  <c r="F20" i="43"/>
  <c r="F18" i="43"/>
  <c r="F1335" i="42"/>
  <c r="F1285" i="42"/>
  <c r="F221" i="42"/>
  <c r="F1340" i="42"/>
  <c r="F1220" i="42"/>
  <c r="F1218" i="42"/>
  <c r="F1214" i="42"/>
  <c r="F1212" i="42"/>
  <c r="F1172" i="42"/>
  <c r="F1117" i="42"/>
  <c r="F1101" i="42"/>
  <c r="F1099" i="42"/>
  <c r="F1097" i="42"/>
  <c r="F1095" i="42"/>
  <c r="F1093" i="42"/>
  <c r="F1080" i="42"/>
  <c r="F1078" i="42"/>
  <c r="F1076" i="42"/>
  <c r="F1074" i="42"/>
  <c r="F1072" i="42"/>
  <c r="F1070" i="42"/>
  <c r="F1068" i="42"/>
  <c r="F1064" i="42"/>
  <c r="F1062" i="42"/>
  <c r="F1058" i="42"/>
  <c r="F1056" i="42"/>
  <c r="F1054" i="42"/>
  <c r="F1052" i="42"/>
  <c r="F1050" i="42"/>
  <c r="F1040" i="42"/>
  <c r="F1038" i="42"/>
  <c r="F1036" i="42"/>
  <c r="F1034" i="42"/>
  <c r="F1030" i="42"/>
  <c r="F1028" i="42"/>
  <c r="F1026" i="42"/>
  <c r="F1024" i="42"/>
  <c r="F1022" i="42"/>
  <c r="F1020" i="42"/>
  <c r="F1018" i="42"/>
  <c r="F1001" i="42"/>
  <c r="F999" i="42"/>
  <c r="F997" i="42"/>
  <c r="F995" i="42"/>
  <c r="F991" i="42"/>
  <c r="F989" i="42"/>
  <c r="F985" i="42"/>
  <c r="F983" i="42"/>
  <c r="F979" i="42"/>
  <c r="F968" i="42"/>
  <c r="F964" i="42"/>
  <c r="F960" i="42"/>
  <c r="F958" i="42"/>
  <c r="F956" i="42"/>
  <c r="F954" i="42"/>
  <c r="F952" i="42"/>
  <c r="F950" i="42"/>
  <c r="F948" i="42"/>
  <c r="F946" i="42"/>
  <c r="F944" i="42"/>
  <c r="F933" i="42"/>
  <c r="F931" i="42"/>
  <c r="F929" i="42"/>
  <c r="F927" i="42"/>
  <c r="F925" i="42"/>
  <c r="F923" i="42"/>
  <c r="F921" i="42"/>
  <c r="F919" i="42"/>
  <c r="F917" i="42"/>
  <c r="F915" i="42"/>
  <c r="F913" i="42"/>
  <c r="F911" i="42"/>
  <c r="F909" i="42"/>
  <c r="F907" i="42"/>
  <c r="F897" i="42"/>
  <c r="F895" i="42"/>
  <c r="F893" i="42"/>
  <c r="F891" i="42"/>
  <c r="F889" i="42"/>
  <c r="F887" i="42"/>
  <c r="F885" i="42"/>
  <c r="F883" i="42"/>
  <c r="F881" i="42"/>
  <c r="F879" i="42"/>
  <c r="F873" i="42"/>
  <c r="F871" i="42"/>
  <c r="F860" i="42"/>
  <c r="F858" i="42"/>
  <c r="F856" i="42"/>
  <c r="F852" i="42"/>
  <c r="F850" i="42"/>
  <c r="F848" i="42"/>
  <c r="F846" i="42"/>
  <c r="F844" i="42"/>
  <c r="F842" i="42"/>
  <c r="F840" i="42"/>
  <c r="F836" i="42"/>
  <c r="F834" i="42"/>
  <c r="F832" i="42"/>
  <c r="F830" i="42"/>
  <c r="F828" i="42"/>
  <c r="F826" i="42"/>
  <c r="F824" i="42"/>
  <c r="F822" i="42"/>
  <c r="F820" i="42"/>
  <c r="F818" i="42"/>
  <c r="F809" i="42"/>
  <c r="F807" i="42"/>
  <c r="F805" i="42"/>
  <c r="F803" i="42"/>
  <c r="F801" i="42"/>
  <c r="F799" i="42"/>
  <c r="F797" i="42"/>
  <c r="F795" i="42"/>
  <c r="F791" i="42"/>
  <c r="F789" i="42"/>
  <c r="F783" i="42"/>
  <c r="F781" i="42"/>
  <c r="F779" i="42"/>
  <c r="F775" i="42"/>
  <c r="F773" i="42"/>
  <c r="F771" i="42"/>
  <c r="F769" i="42"/>
  <c r="F760" i="42"/>
  <c r="F758" i="42"/>
  <c r="F756" i="42"/>
  <c r="F754" i="42"/>
  <c r="F752" i="42"/>
  <c r="F748" i="42"/>
  <c r="F746" i="42"/>
  <c r="F744" i="42"/>
  <c r="F740" i="42"/>
  <c r="F736" i="42"/>
  <c r="F734" i="42"/>
  <c r="F732" i="42"/>
  <c r="F730" i="42"/>
  <c r="F728" i="42"/>
  <c r="F726" i="42"/>
  <c r="F724" i="42"/>
  <c r="F722" i="42"/>
  <c r="F720" i="42"/>
  <c r="F718" i="42"/>
  <c r="F692" i="42"/>
  <c r="F690" i="42"/>
  <c r="F688" i="42"/>
  <c r="F686" i="42"/>
  <c r="F684" i="42"/>
  <c r="F682" i="42"/>
  <c r="F680" i="42"/>
  <c r="F678" i="42"/>
  <c r="F672" i="42"/>
  <c r="F670" i="42"/>
  <c r="F668" i="42"/>
  <c r="F657" i="42"/>
  <c r="F655" i="42"/>
  <c r="F653" i="42"/>
  <c r="F651" i="42"/>
  <c r="F647" i="42"/>
  <c r="F645" i="42"/>
  <c r="F643" i="42"/>
  <c r="F641" i="42"/>
  <c r="F639" i="42"/>
  <c r="F637" i="42"/>
  <c r="F635" i="42"/>
  <c r="F633" i="42"/>
  <c r="F631" i="42"/>
  <c r="F629" i="42"/>
  <c r="F627" i="42"/>
  <c r="F625" i="42"/>
  <c r="F614" i="42"/>
  <c r="F612" i="42"/>
  <c r="F610" i="42"/>
  <c r="F608" i="42"/>
  <c r="F606" i="42"/>
  <c r="F604" i="42"/>
  <c r="F602" i="42"/>
  <c r="F600" i="42"/>
  <c r="F598" i="42"/>
  <c r="F596" i="42"/>
  <c r="F594" i="42"/>
  <c r="F592" i="42"/>
  <c r="F565" i="42"/>
  <c r="F563" i="42"/>
  <c r="F491" i="42"/>
  <c r="F480" i="42"/>
  <c r="F476" i="42"/>
  <c r="F472" i="42"/>
  <c r="F470" i="42"/>
  <c r="F468" i="42"/>
  <c r="F466" i="42"/>
  <c r="F464" i="42"/>
  <c r="F460" i="42"/>
  <c r="F458" i="42"/>
  <c r="F456" i="42"/>
  <c r="F454" i="42"/>
  <c r="F452" i="42"/>
  <c r="F450" i="42"/>
  <c r="F448" i="42"/>
  <c r="F446" i="42"/>
  <c r="F444" i="42"/>
  <c r="F427" i="42"/>
  <c r="F425" i="42"/>
  <c r="F423" i="42"/>
  <c r="F421" i="42"/>
  <c r="F419" i="42"/>
  <c r="F370" i="42"/>
  <c r="F368" i="42"/>
  <c r="F366" i="42"/>
  <c r="F364" i="42"/>
  <c r="F362" i="42"/>
  <c r="F338" i="42"/>
  <c r="F336" i="42"/>
  <c r="F334" i="42"/>
  <c r="F328" i="42"/>
  <c r="F326" i="42"/>
  <c r="F324" i="42"/>
  <c r="F322" i="42"/>
  <c r="F320" i="42"/>
  <c r="F318" i="42"/>
  <c r="F316" i="42"/>
  <c r="F314" i="42"/>
  <c r="F304" i="42"/>
  <c r="F302" i="42"/>
  <c r="F300" i="42"/>
  <c r="F298" i="42"/>
  <c r="F296" i="42"/>
  <c r="F294" i="42"/>
  <c r="F292" i="42"/>
  <c r="F290" i="42"/>
  <c r="F286" i="42"/>
  <c r="F284" i="42"/>
  <c r="F282" i="42"/>
  <c r="F278" i="42"/>
  <c r="F276" i="42"/>
  <c r="F274" i="42"/>
  <c r="F272" i="42"/>
  <c r="F270" i="42"/>
  <c r="F256" i="42"/>
  <c r="F254" i="42"/>
  <c r="F252" i="42"/>
  <c r="F250" i="42"/>
  <c r="F248" i="42"/>
  <c r="F246" i="42"/>
  <c r="F244" i="42"/>
  <c r="F242" i="42"/>
  <c r="F240" i="42"/>
  <c r="F238" i="42"/>
  <c r="F236" i="42"/>
  <c r="F179" i="42"/>
  <c r="F177" i="42"/>
  <c r="F175" i="42"/>
  <c r="F173" i="42"/>
  <c r="F167" i="42"/>
  <c r="F165" i="42"/>
  <c r="F163" i="42"/>
  <c r="F161" i="42"/>
  <c r="F159" i="42"/>
  <c r="F155" i="42"/>
  <c r="F153" i="42"/>
  <c r="F151" i="42"/>
  <c r="F149" i="42"/>
  <c r="F139" i="42"/>
  <c r="F137" i="42"/>
  <c r="F135" i="42"/>
  <c r="F133" i="42"/>
  <c r="F131" i="42"/>
  <c r="F129" i="42"/>
  <c r="F127" i="42"/>
  <c r="F125" i="42"/>
  <c r="F123" i="42"/>
  <c r="F121" i="42"/>
  <c r="F119" i="42"/>
  <c r="F117" i="42"/>
  <c r="F115" i="42"/>
  <c r="F113" i="42"/>
  <c r="F109" i="42"/>
  <c r="F107" i="42"/>
  <c r="F105" i="42"/>
  <c r="F103" i="42"/>
  <c r="F99" i="42"/>
  <c r="F89" i="42"/>
  <c r="F87" i="42"/>
  <c r="F83" i="42"/>
  <c r="F79" i="42"/>
  <c r="F77" i="42"/>
  <c r="F75" i="42"/>
  <c r="F73" i="42"/>
  <c r="F71" i="42"/>
  <c r="F67" i="42"/>
  <c r="F65" i="42"/>
  <c r="F63" i="42"/>
  <c r="F61" i="42"/>
  <c r="F59" i="42"/>
  <c r="F57" i="42"/>
  <c r="F51" i="42"/>
  <c r="F49" i="42"/>
  <c r="F40" i="42"/>
  <c r="F38" i="42"/>
  <c r="F34" i="42"/>
  <c r="F32" i="42"/>
  <c r="F30" i="42"/>
  <c r="F26" i="42"/>
  <c r="F24" i="42"/>
  <c r="F22" i="42"/>
  <c r="F20" i="42"/>
  <c r="F56" i="41"/>
  <c r="F18" i="41"/>
  <c r="F16" i="41"/>
  <c r="F14" i="41"/>
  <c r="F242" i="40"/>
  <c r="F211" i="40"/>
  <c r="F207" i="40"/>
  <c r="F187" i="40"/>
  <c r="F183" i="40"/>
  <c r="F179" i="40"/>
  <c r="F175" i="40"/>
  <c r="F157" i="40"/>
  <c r="F153" i="40"/>
  <c r="F149" i="40"/>
  <c r="F133" i="40"/>
  <c r="F129" i="40"/>
  <c r="F125" i="40"/>
  <c r="F119" i="40"/>
  <c r="F117" i="40"/>
  <c r="F115" i="40"/>
  <c r="F111" i="40"/>
  <c r="F57" i="40"/>
  <c r="F55" i="40"/>
  <c r="F22" i="40"/>
  <c r="F16" i="40"/>
  <c r="F14" i="40"/>
  <c r="F189" i="39"/>
  <c r="F187" i="39"/>
  <c r="F185" i="39"/>
  <c r="F183" i="39"/>
  <c r="F181" i="39"/>
  <c r="F177" i="39"/>
  <c r="F175" i="39"/>
  <c r="F173" i="39"/>
  <c r="F140" i="39"/>
  <c r="F138" i="39"/>
  <c r="F136" i="39"/>
  <c r="F134" i="39"/>
  <c r="F130" i="39"/>
  <c r="F111" i="39"/>
  <c r="F101" i="39"/>
  <c r="F97" i="39"/>
  <c r="F95" i="39"/>
  <c r="F91" i="39"/>
  <c r="F87" i="39"/>
  <c r="F85" i="39"/>
  <c r="F74" i="39"/>
  <c r="F72" i="39"/>
  <c r="F70" i="39"/>
  <c r="F68" i="39"/>
  <c r="F64" i="39"/>
  <c r="F62" i="39"/>
  <c r="F30" i="39"/>
  <c r="F28" i="39"/>
  <c r="F24" i="39"/>
  <c r="F22" i="39"/>
  <c r="F133" i="38"/>
  <c r="F111" i="38"/>
  <c r="F109" i="38"/>
  <c r="F107" i="38"/>
  <c r="F105" i="38"/>
  <c r="F103" i="38"/>
  <c r="F101" i="38"/>
  <c r="F99" i="38"/>
  <c r="F97" i="38"/>
  <c r="F95" i="38"/>
  <c r="F93" i="38"/>
  <c r="F91" i="38"/>
  <c r="F54" i="38"/>
  <c r="F52" i="38"/>
  <c r="F50" i="38"/>
  <c r="F48" i="38"/>
  <c r="F34" i="38"/>
  <c r="F32" i="38"/>
  <c r="F30" i="38"/>
  <c r="F28" i="38"/>
  <c r="F26" i="38"/>
  <c r="F24" i="38"/>
  <c r="F22" i="38"/>
  <c r="F20" i="38"/>
  <c r="F18" i="38"/>
  <c r="F16" i="38"/>
  <c r="F14" i="38"/>
  <c r="F53" i="37"/>
  <c r="F22" i="37"/>
  <c r="F18" i="37"/>
  <c r="F16" i="37"/>
  <c r="F46" i="36"/>
  <c r="F24" i="36"/>
  <c r="F22" i="36"/>
  <c r="F20" i="36"/>
  <c r="F16" i="36"/>
  <c r="F48" i="34"/>
  <c r="F16" i="34"/>
  <c r="F14" i="34"/>
  <c r="F106" i="33"/>
  <c r="F104" i="33"/>
  <c r="F89" i="33"/>
  <c r="F87" i="33"/>
  <c r="F85" i="33"/>
  <c r="F83" i="33"/>
  <c r="F81" i="33"/>
  <c r="F79" i="33"/>
  <c r="F77" i="33"/>
  <c r="F73" i="33"/>
  <c r="F71" i="33"/>
  <c r="F69" i="33"/>
  <c r="F67" i="33"/>
  <c r="F65" i="33"/>
  <c r="F63" i="33"/>
  <c r="F59" i="33"/>
  <c r="F57" i="33"/>
  <c r="F55" i="33"/>
  <c r="F47" i="33"/>
  <c r="F45" i="33"/>
  <c r="F43" i="33"/>
  <c r="F41" i="33"/>
  <c r="F39" i="33"/>
  <c r="F37" i="33"/>
  <c r="F35" i="33"/>
  <c r="F33" i="33"/>
  <c r="F31" i="33"/>
  <c r="F29" i="33"/>
  <c r="F27" i="33"/>
  <c r="F25" i="33"/>
  <c r="F23" i="33"/>
  <c r="F19" i="33"/>
  <c r="F17" i="33"/>
  <c r="F192" i="33" l="1"/>
  <c r="F203" i="33" s="1"/>
  <c r="F1209" i="43"/>
  <c r="F283" i="40"/>
  <c r="F300" i="40" s="1"/>
  <c r="F171" i="38"/>
  <c r="F182" i="38" s="1"/>
  <c r="F1394" i="42"/>
  <c r="F1453" i="42"/>
  <c r="F263" i="42"/>
  <c r="F1396" i="42" s="1"/>
  <c r="F41" i="38"/>
  <c r="F176" i="38" s="1"/>
  <c r="F1213" i="43"/>
  <c r="F1190" i="43"/>
  <c r="F1207" i="43"/>
  <c r="F961" i="43"/>
  <c r="F1211" i="43"/>
  <c r="F1192" i="43"/>
  <c r="F746" i="43"/>
  <c r="F666" i="43"/>
  <c r="F596" i="43"/>
  <c r="F559" i="43"/>
  <c r="F1381" i="42"/>
  <c r="F1455" i="42"/>
  <c r="F1193" i="42"/>
  <c r="F1157" i="42"/>
  <c r="F902" i="42"/>
  <c r="F764" i="42"/>
  <c r="F618" i="42"/>
  <c r="F532" i="42"/>
  <c r="F437" i="42"/>
  <c r="F400" i="42"/>
  <c r="F98" i="41"/>
  <c r="F51" i="41"/>
  <c r="F128" i="38"/>
  <c r="F86" i="34"/>
  <c r="F93" i="34" s="1"/>
  <c r="F43" i="34"/>
  <c r="F91" i="34" s="1"/>
  <c r="F840" i="43"/>
  <c r="F86" i="36"/>
  <c r="F999" i="43"/>
  <c r="F791" i="43"/>
  <c r="F696" i="43"/>
  <c r="F631" i="43"/>
  <c r="F513" i="43"/>
  <c r="F466" i="43"/>
  <c r="F415" i="43"/>
  <c r="F364" i="43"/>
  <c r="F314" i="43"/>
  <c r="F263" i="43"/>
  <c r="F214" i="43"/>
  <c r="F171" i="43"/>
  <c r="F122" i="43"/>
  <c r="F82" i="43"/>
  <c r="F37" i="43"/>
  <c r="F1240" i="42"/>
  <c r="F1110" i="42"/>
  <c r="F1084" i="42"/>
  <c r="F1045" i="42"/>
  <c r="F1009" i="42"/>
  <c r="F972" i="42"/>
  <c r="F939" i="42"/>
  <c r="F864" i="42"/>
  <c r="F813" i="42"/>
  <c r="F713" i="42"/>
  <c r="F663" i="42"/>
  <c r="F577" i="42"/>
  <c r="F484" i="42"/>
  <c r="F353" i="42"/>
  <c r="F309" i="42"/>
  <c r="F183" i="42"/>
  <c r="F144" i="42"/>
  <c r="F94" i="42"/>
  <c r="F44" i="42"/>
  <c r="F237" i="40"/>
  <c r="F298" i="40" s="1"/>
  <c r="F98" i="40"/>
  <c r="F290" i="40" s="1"/>
  <c r="F168" i="40"/>
  <c r="F294" i="40" s="1"/>
  <c r="F200" i="40"/>
  <c r="F296" i="40" s="1"/>
  <c r="F136" i="40"/>
  <c r="F292" i="40" s="1"/>
  <c r="F50" i="40"/>
  <c r="F288" i="40" s="1"/>
  <c r="F240" i="39"/>
  <c r="F198" i="39"/>
  <c r="F154" i="39"/>
  <c r="F115" i="39"/>
  <c r="F80" i="39"/>
  <c r="F43" i="39"/>
  <c r="F84" i="38"/>
  <c r="F48" i="37"/>
  <c r="F93" i="37"/>
  <c r="F41" i="36"/>
  <c r="F146" i="33"/>
  <c r="F97" i="33"/>
  <c r="F50" i="33"/>
  <c r="F1205" i="43" l="1"/>
  <c r="F1194" i="43"/>
  <c r="F1188" i="43"/>
  <c r="F1186" i="43"/>
  <c r="F1184" i="43"/>
  <c r="F1182" i="43"/>
  <c r="F1180" i="43"/>
  <c r="F1178" i="43"/>
  <c r="F1176" i="43"/>
  <c r="F1174" i="43"/>
  <c r="F1172" i="43"/>
  <c r="F1170" i="43"/>
  <c r="F1168" i="43"/>
  <c r="F1166" i="43"/>
  <c r="F1164" i="43"/>
  <c r="F1162" i="43"/>
  <c r="F1160" i="43"/>
  <c r="F1158" i="43"/>
  <c r="F1156" i="43"/>
  <c r="F1154" i="43"/>
  <c r="F1152" i="43"/>
  <c r="F1457" i="42"/>
  <c r="F1451" i="42"/>
  <c r="F1449" i="42"/>
  <c r="F1447" i="42"/>
  <c r="F1445" i="42"/>
  <c r="F1443" i="42"/>
  <c r="F1441" i="42"/>
  <c r="F1439" i="42"/>
  <c r="F1428" i="42"/>
  <c r="F1426" i="42"/>
  <c r="F1424" i="42"/>
  <c r="F1422" i="42"/>
  <c r="F1420" i="42"/>
  <c r="F1418" i="42"/>
  <c r="F1416" i="42"/>
  <c r="F1414" i="42"/>
  <c r="F1412" i="42"/>
  <c r="F1410" i="42"/>
  <c r="F1408" i="42"/>
  <c r="F1406" i="42"/>
  <c r="F1404" i="42"/>
  <c r="F1402" i="42"/>
  <c r="F1400" i="42"/>
  <c r="F1398" i="42"/>
  <c r="F1392" i="42"/>
  <c r="F1390" i="42"/>
  <c r="F1388" i="42"/>
  <c r="F1386" i="42"/>
  <c r="F105" i="41"/>
  <c r="F103" i="41"/>
  <c r="F255" i="39"/>
  <c r="F253" i="39"/>
  <c r="F251" i="39"/>
  <c r="F249" i="39"/>
  <c r="F247" i="39"/>
  <c r="F245" i="39"/>
  <c r="F180" i="38"/>
  <c r="F178" i="38"/>
  <c r="F100" i="37"/>
  <c r="F98" i="37"/>
  <c r="F93" i="36"/>
  <c r="F91" i="36"/>
  <c r="F136" i="34"/>
  <c r="D11" i="21" s="1"/>
  <c r="F201" i="33"/>
  <c r="F199" i="33"/>
  <c r="F197" i="33"/>
  <c r="F333" i="40"/>
  <c r="D25" i="21" s="1"/>
  <c r="F143" i="37" l="1"/>
  <c r="D16" i="21" s="1"/>
  <c r="F1198" i="43"/>
  <c r="F1203" i="43" s="1"/>
  <c r="F1432" i="42"/>
  <c r="F1435" i="42" s="1"/>
  <c r="F1483" i="42" s="1"/>
  <c r="F149" i="41"/>
  <c r="D28" i="21" s="1"/>
  <c r="F290" i="39"/>
  <c r="D22" i="21" s="1"/>
  <c r="F222" i="38"/>
  <c r="F137" i="36"/>
  <c r="F242" i="33"/>
  <c r="F1249" i="43" l="1"/>
  <c r="D34" i="21" s="1"/>
  <c r="D31" i="21"/>
  <c r="D19" i="21"/>
  <c r="D13" i="21"/>
  <c r="D8" i="21"/>
  <c r="D46" i="21" l="1"/>
</calcChain>
</file>

<file path=xl/sharedStrings.xml><?xml version="1.0" encoding="utf-8"?>
<sst xmlns="http://schemas.openxmlformats.org/spreadsheetml/2006/main" count="3945" uniqueCount="1241">
  <si>
    <t>Description</t>
  </si>
  <si>
    <t>Rate</t>
  </si>
  <si>
    <t>B</t>
  </si>
  <si>
    <t>A</t>
  </si>
  <si>
    <t>m²</t>
  </si>
  <si>
    <t>C</t>
  </si>
  <si>
    <t>Item</t>
  </si>
  <si>
    <t>m³</t>
  </si>
  <si>
    <t>D</t>
  </si>
  <si>
    <t>E</t>
  </si>
  <si>
    <t>F</t>
  </si>
  <si>
    <t>m</t>
  </si>
  <si>
    <t>G</t>
  </si>
  <si>
    <t>H</t>
  </si>
  <si>
    <t>110mm diameter</t>
  </si>
  <si>
    <t>Nr.</t>
  </si>
  <si>
    <t>J</t>
  </si>
  <si>
    <t>K</t>
  </si>
  <si>
    <t>L</t>
  </si>
  <si>
    <t>M</t>
  </si>
  <si>
    <t>GENERALLY</t>
  </si>
  <si>
    <t>CONCRETE WORK</t>
  </si>
  <si>
    <t>N</t>
  </si>
  <si>
    <t>P</t>
  </si>
  <si>
    <t>t</t>
  </si>
  <si>
    <t>Q</t>
  </si>
  <si>
    <t>SUNDRIES</t>
  </si>
  <si>
    <t>THERMAL AND MOISTURE PROTECTION</t>
  </si>
  <si>
    <t>Note: Refer to the following</t>
  </si>
  <si>
    <t>FINISHES</t>
  </si>
  <si>
    <t>ACCESSORIES</t>
  </si>
  <si>
    <t>R</t>
  </si>
  <si>
    <t>MECHANICAL ENGINEERING INSTALLATIONS</t>
  </si>
  <si>
    <t>S</t>
  </si>
  <si>
    <t>150mm diameter</t>
  </si>
  <si>
    <t>Allow for inspection, testing and commissioning including all off-site and factory testing; inspections to demonstrate compliance with relevant specifications and standards; operating the completed installations; submitting all relevant test record sheets at the completion of the installations</t>
  </si>
  <si>
    <t>Allow for providing comprehensive equipment documentation including operating instructions and maintenance manuals, record documents, warranties, guarantees, drawings and the like</t>
  </si>
  <si>
    <t>Allow for planning and coordinating with relevant statutory authorities and with all other trades</t>
  </si>
  <si>
    <t>Allow for liaison with obtaining approvals and attendance on DEWA, other statutory bodies and service providers as required</t>
  </si>
  <si>
    <t>Allow for marking the positions of and cutting or forming holes, mortices, chases or the like and all making good</t>
  </si>
  <si>
    <t>Allow for supplying and fixing all brackets, clamps and other fixing devices including building in or cutting and pinning and all making good</t>
  </si>
  <si>
    <t>Allow for all incidental work including factory finishing, fixing to all backgrounds by appropriate means and all making good</t>
  </si>
  <si>
    <t>ELECTRICAL ENGINEERING INSTALLATIONS</t>
  </si>
  <si>
    <t>LIGHTING INSTALLATION</t>
  </si>
  <si>
    <t>Allow for all supports, fixings, anchors and insulating blocks where not included above or elsewhere</t>
  </si>
  <si>
    <t>Allow for all identification including painting, marking and labeling</t>
  </si>
  <si>
    <t>Allow for providing in suitable quantities all special tools, operating handles and keys or other equipment necessary for installation, maintenance or operation of the completed installation</t>
  </si>
  <si>
    <t xml:space="preserve"> Quantity</t>
  </si>
  <si>
    <t>Unit</t>
  </si>
  <si>
    <t>Amount</t>
  </si>
  <si>
    <t>AED</t>
  </si>
  <si>
    <t>To Collection</t>
  </si>
  <si>
    <t>COLLECTION</t>
  </si>
  <si>
    <t>Page Nr.</t>
  </si>
  <si>
    <t>Amount 
AED</t>
  </si>
  <si>
    <t>SUMMARY</t>
  </si>
  <si>
    <t>TO MAIN SUMMARY</t>
  </si>
  <si>
    <t>66</t>
  </si>
  <si>
    <t>6</t>
  </si>
  <si>
    <t>22</t>
  </si>
  <si>
    <t>11</t>
  </si>
  <si>
    <t>9</t>
  </si>
  <si>
    <t>45</t>
  </si>
  <si>
    <t>152</t>
  </si>
  <si>
    <t>2</t>
  </si>
  <si>
    <t>16</t>
  </si>
  <si>
    <t>4</t>
  </si>
  <si>
    <t>10</t>
  </si>
  <si>
    <t>12</t>
  </si>
  <si>
    <t>30</t>
  </si>
  <si>
    <t>54</t>
  </si>
  <si>
    <t>21</t>
  </si>
  <si>
    <t>34</t>
  </si>
  <si>
    <t>3</t>
  </si>
  <si>
    <t>23</t>
  </si>
  <si>
    <t>14</t>
  </si>
  <si>
    <t>5</t>
  </si>
  <si>
    <t>44</t>
  </si>
  <si>
    <t>31</t>
  </si>
  <si>
    <t>32</t>
  </si>
  <si>
    <t>39</t>
  </si>
  <si>
    <t>18</t>
  </si>
  <si>
    <t>7</t>
  </si>
  <si>
    <t>33</t>
  </si>
  <si>
    <t>28</t>
  </si>
  <si>
    <t>43</t>
  </si>
  <si>
    <t>19</t>
  </si>
  <si>
    <t>101</t>
  </si>
  <si>
    <t>24</t>
  </si>
  <si>
    <t>FURNISHINGS</t>
  </si>
  <si>
    <t>20</t>
  </si>
  <si>
    <t>50</t>
  </si>
  <si>
    <t>38</t>
  </si>
  <si>
    <t>13</t>
  </si>
  <si>
    <t>68</t>
  </si>
  <si>
    <t>53</t>
  </si>
  <si>
    <t>Carried To Summary</t>
  </si>
  <si>
    <t>Accessories; including fixings, supports, hangers and all ancillary works as necessary</t>
  </si>
  <si>
    <t>LIGHTING INSTALLATION (Cont´d)</t>
  </si>
  <si>
    <t>Allow for training the Employer's Staff to operate and maintain the Electrical Engineering Installations</t>
  </si>
  <si>
    <t>Allow for all incidental work to the Electrical Engineering Installations where not included above or elsewhere</t>
  </si>
  <si>
    <t>62</t>
  </si>
  <si>
    <t>17</t>
  </si>
  <si>
    <t>71</t>
  </si>
  <si>
    <t>1</t>
  </si>
  <si>
    <t>222</t>
  </si>
  <si>
    <t>Note: Refer to the following:</t>
  </si>
  <si>
    <t>171</t>
  </si>
  <si>
    <t>15</t>
  </si>
  <si>
    <t>29</t>
  </si>
  <si>
    <t>41</t>
  </si>
  <si>
    <t>92</t>
  </si>
  <si>
    <t>98</t>
  </si>
  <si>
    <t>86</t>
  </si>
  <si>
    <t>REINFORCED CONCRETE</t>
  </si>
  <si>
    <t>Reinforced concrete; compressive strength 60 MPa with cement type CEM I+GGBS</t>
  </si>
  <si>
    <t>Walls</t>
  </si>
  <si>
    <t>Shuttering; including supports, finish and all ancillary works as necessary</t>
  </si>
  <si>
    <t>Allow for any other works which are not included above and which are required to complete the Thermal and Moisture Protection in accordance with the Specification and the drawings (Tenderer to list below):</t>
  </si>
  <si>
    <t>Allow for any other works which are not included above and which are required to complete the Finishes in accordance with the Specification and the drawings (Tenderer to list below):</t>
  </si>
  <si>
    <t>PARKING ACCESSORIES</t>
  </si>
  <si>
    <t>Parking accessories; including all ancillary works as necessary</t>
  </si>
  <si>
    <t>Allow for any other works which are not included above and which are required to complete the Accessories in accordance with the Specification and the drawings (Tenderer to list below):</t>
  </si>
  <si>
    <t>Allow for any other works which are not included above and which are required to complete the Furnishings in accordance with the Specification and the drawings (Tenderer to list below):</t>
  </si>
  <si>
    <t>DRAINAGE INSTALLATION</t>
  </si>
  <si>
    <t>1) Drawing Nr. D-12200 to D-12259, D-13100 to D-13110 and 3D View Al-Khail R20 Plumb; all inclusive</t>
  </si>
  <si>
    <t>2) Drainage general notes, symbols and legends and Drainage equipment schedule Drawing Nr. D-09102 and D-00050</t>
  </si>
  <si>
    <t>3) Al Khail Avenue Mall Redevelopment - Mechanical Specification dated March 28, 2022</t>
  </si>
  <si>
    <t>uPVC pipework; including fittings, supports and ancillary work as necessary</t>
  </si>
  <si>
    <t>Rainwater pipework</t>
  </si>
  <si>
    <t>250mm diameter</t>
  </si>
  <si>
    <t>Waste pipework</t>
  </si>
  <si>
    <t>100mm diameter</t>
  </si>
  <si>
    <t>89</t>
  </si>
  <si>
    <t>200mm diameter</t>
  </si>
  <si>
    <t>Soil pipework</t>
  </si>
  <si>
    <t>DRAINAGE INSTALLATION (Cont´d)</t>
  </si>
  <si>
    <t>Vent pipework</t>
  </si>
  <si>
    <t>80mm diameter</t>
  </si>
  <si>
    <t>POWER INSTALLATION</t>
  </si>
  <si>
    <t>2) Al Khail Avenue Mall Redevelopment Electrical Specifications dated March 28, 2022</t>
  </si>
  <si>
    <t>XLPE cables including earth connectivity conductor cables, terminations, lugs, supports and all ancillary work</t>
  </si>
  <si>
    <t>POWER INSTALLATION (Cont´d)</t>
  </si>
  <si>
    <t>Equipment; including supports and all ancillary work as necessary</t>
  </si>
  <si>
    <t>Isolating switch</t>
  </si>
  <si>
    <t>40A TP weatherproof isolator</t>
  </si>
  <si>
    <t>Final sub-circuits and all ancillary installations complete; including cabling, containment and terminations as necessary (primary containment measured elsewhere)</t>
  </si>
  <si>
    <t>Connection unit points</t>
  </si>
  <si>
    <t>Final sub-circuits and auxiliary installations complete; including cabling, containment and terminations as necessary</t>
  </si>
  <si>
    <t>Light fittings; including fixings, supports, hangers and all ancillary works as necessary</t>
  </si>
  <si>
    <t>SECURITY SYSTEM INSTALLATION</t>
  </si>
  <si>
    <t>Camera points</t>
  </si>
  <si>
    <t>WORK INCIDENTAL AND BWIC</t>
  </si>
  <si>
    <t>Work Incidental to Electrical Engineering Installations</t>
  </si>
  <si>
    <t>Builders work in connection (BWIC) with Electrical Engineering Installations</t>
  </si>
  <si>
    <t>Allow for all BWIC with Electrical Engineering Installations where not included above or elsewhere</t>
  </si>
  <si>
    <t>Allow for any other works which are not included above and which are required to complete the Electrical Engineering Installations in accordance with the Specification and the drawings (Tenderer to list below):</t>
  </si>
  <si>
    <t>1. Drawing Reference Nr. S-00011 and S-60001</t>
  </si>
  <si>
    <t>2. Structures Specification dated 28 March 2022</t>
  </si>
  <si>
    <t>Plain poured concrete; compressive strength 15 MPa with cement type SRPC</t>
  </si>
  <si>
    <t>Blinding; 100mm thick</t>
  </si>
  <si>
    <t>Concrete screed</t>
  </si>
  <si>
    <t>Slab on grade; 200mm thick</t>
  </si>
  <si>
    <t>Suspended slab; 200mm thick</t>
  </si>
  <si>
    <t>Suspended slab; 300mm thick</t>
  </si>
  <si>
    <t>Suspended slab; 350mm thick</t>
  </si>
  <si>
    <t>Suspended slab; 400mm thick</t>
  </si>
  <si>
    <t>Suspended slab; 450mm thick</t>
  </si>
  <si>
    <t>73</t>
  </si>
  <si>
    <t>Suspended slab; 700mm thick</t>
  </si>
  <si>
    <t>Suspended slab; 900mm thick</t>
  </si>
  <si>
    <t>Beams</t>
  </si>
  <si>
    <t>40</t>
  </si>
  <si>
    <t>Upstand</t>
  </si>
  <si>
    <t>Columns</t>
  </si>
  <si>
    <t>Columns; curved</t>
  </si>
  <si>
    <t>Walls; 300mm  thick</t>
  </si>
  <si>
    <t>REINFORCED CONCRETE (Cont´d)</t>
  </si>
  <si>
    <t>Walls; 350mm  thick</t>
  </si>
  <si>
    <t>Walls; 450mm  thick</t>
  </si>
  <si>
    <t>75</t>
  </si>
  <si>
    <t>Walls; 600mm  thick</t>
  </si>
  <si>
    <t>Reinforcement; various diameter; high yield deformed type 2; 460N/mm2; shall comply to ASTM 615 or BS4449</t>
  </si>
  <si>
    <t>Slab on grade</t>
  </si>
  <si>
    <t>Suspended slab</t>
  </si>
  <si>
    <t>Soffits of suspended slab</t>
  </si>
  <si>
    <t>Sides and soffits of beams</t>
  </si>
  <si>
    <t>182</t>
  </si>
  <si>
    <t>Sides of upstand</t>
  </si>
  <si>
    <t>Sides of columns</t>
  </si>
  <si>
    <t>Sides of columns; curved</t>
  </si>
  <si>
    <t>Sides of walls</t>
  </si>
  <si>
    <t>Edges; not exceeding 300mm</t>
  </si>
  <si>
    <t xml:space="preserve">Composite slab; including reinforcement and all ancillary as necessary </t>
  </si>
  <si>
    <t>Type CS1; 150mm thick</t>
  </si>
  <si>
    <t>120mm thick</t>
  </si>
  <si>
    <t>Allow for any other works which are not included above and which are required to complete the Concrete Works in accordance with the Specification and the drawings (Tenderer to list below):</t>
  </si>
  <si>
    <t>Page 4/C/1</t>
  </si>
  <si>
    <t>Page 4/C/2</t>
  </si>
  <si>
    <t>Page 4/C/3</t>
  </si>
  <si>
    <t>Page 4/C/4</t>
  </si>
  <si>
    <t>MASONRY</t>
  </si>
  <si>
    <t>WALLS AND PIERS</t>
  </si>
  <si>
    <t>1. Drawing Reference Nr. A-700 to A-710 and A-962</t>
  </si>
  <si>
    <t>Hollow concrete block wall; bedded and jointed in cement and sand mortar; including damp proof courses, insulation, fire rating, mesh, grouts, lintels, posts, reinforcement, fixings, anchors, ties, accessories, plaster (measured separately) and all ancillary works as necessary</t>
  </si>
  <si>
    <t>Type 2; 200mm thick; 2hour fire rated; RW55; to external</t>
  </si>
  <si>
    <t>1,883</t>
  </si>
  <si>
    <t>Type 2; 200mm thick; 2hour fire rated; RW55; to internal</t>
  </si>
  <si>
    <t>Allow for any other works which are not included above and which are required to complete the Masonry in accordance with the Specification and the drawings (Tenderer to list below):</t>
  </si>
  <si>
    <t>Page 4/D/1</t>
  </si>
  <si>
    <t>Page 4/D/2</t>
  </si>
  <si>
    <t>80</t>
  </si>
  <si>
    <t>48</t>
  </si>
  <si>
    <t>T</t>
  </si>
  <si>
    <t>WOODWORK</t>
  </si>
  <si>
    <t>COMPOSITE ITEMS</t>
  </si>
  <si>
    <t>1. Interior FF&amp;E Schedule and Mood Boards dated April 2022</t>
  </si>
  <si>
    <t>2. Drawing Reference Nr. ID-600 series</t>
  </si>
  <si>
    <t>Wheelchair self service cabinet; comprising solid countertop type SS-02, stainless steel panel type MT-06, plastic laminate strip laminate type PL-04, metal skirting and fascia type MT-02; including signage (by Others), fixings and all ancillary works as necessary</t>
  </si>
  <si>
    <t>I-WCS-01; overall size 1106 x 1153 x 1530mm high</t>
  </si>
  <si>
    <t>FHC cabinet; including stainless steel doors, finishes, metal skirting, backing, ironmongery, fixings and all ancillary works as necessary</t>
  </si>
  <si>
    <t>Overall size 800 x 350 x 1800mm high</t>
  </si>
  <si>
    <t>177</t>
  </si>
  <si>
    <t>Skirting; 100mm high; type MT-02</t>
  </si>
  <si>
    <t>To walls; white metal type MT-08</t>
  </si>
  <si>
    <t>Allow for any other works which are not included above and which are required to complete the Woodwork in accordance with the Specification and the drawings (Tenderer to list below):</t>
  </si>
  <si>
    <t>Page 4/F/1</t>
  </si>
  <si>
    <t>Page 4/F/2</t>
  </si>
  <si>
    <t>COVERINGS AND LININGS</t>
  </si>
  <si>
    <t>Cold-applied waterproofing system; including surface preparation and all ancillary works as necessary; as Detail 8 Drawing Nr. A-951</t>
  </si>
  <si>
    <t>To wet areas</t>
  </si>
  <si>
    <t>1,038</t>
  </si>
  <si>
    <t>Turning-ups / skirting; 200mm high</t>
  </si>
  <si>
    <t>1,234</t>
  </si>
  <si>
    <t>Waterproofing; including surface preparation, protection, accessories and all ancillary works as necessary</t>
  </si>
  <si>
    <t>Waterproofing membrane; to slab on grade</t>
  </si>
  <si>
    <t>Page 4/G/1</t>
  </si>
  <si>
    <t>Page 4/G/2</t>
  </si>
  <si>
    <t>DOORS AND WINDOWS</t>
  </si>
  <si>
    <t>DOORS</t>
  </si>
  <si>
    <t>1. Drawing Reference Nr. ID-900 series, A-800 to A-801</t>
  </si>
  <si>
    <t>Hollow metal doors and frames; building into brick, block concrete walls and gypsum partitions; including ironmongery (measured separately), finishes, architrave, weatherstripping and all necessary fixings and accessories</t>
  </si>
  <si>
    <t>Type DS-04; 1100 x 2200mm high; single leaf door</t>
  </si>
  <si>
    <t>Type DS-06; 1200 x 2200mm high; single leaf door</t>
  </si>
  <si>
    <t>8</t>
  </si>
  <si>
    <t>Type DS-08; 1600 x 2200mm high; double leaf door</t>
  </si>
  <si>
    <t>Type DS-10; 1800 x 2200mm high; double leaf door; FR-90min.</t>
  </si>
  <si>
    <t>Type DS-12; 1250 x 2140mm high; single leaf door</t>
  </si>
  <si>
    <t>Type DS-17; 2000 x 2200mm high; double leaf door</t>
  </si>
  <si>
    <t>Type GR-502; 1800 x 2140mm</t>
  </si>
  <si>
    <t>1800 x 2140mm high (assumed as metal door)</t>
  </si>
  <si>
    <t>1100 x 2140mm high (assumed as metal door)</t>
  </si>
  <si>
    <t>1250 x 2140mm high (assumed as metal door)</t>
  </si>
  <si>
    <t>1250 x 2923mm high (assumed as metal door)</t>
  </si>
  <si>
    <t>DOORS (Cont´d)</t>
  </si>
  <si>
    <t>Glass doors; building into brick, block concrete walls and gypsum partitions; including sliding door system, frames, ironmongery, finishes, architrave, weatherstripping and all necessary fixings and accessories</t>
  </si>
  <si>
    <t>Type DG-01; 4100 x 2286mm high</t>
  </si>
  <si>
    <t>Type DG-02; 1473 x 2896mm high</t>
  </si>
  <si>
    <t>1200 x 3373mm high (assumed as glass door)</t>
  </si>
  <si>
    <t>4267 x 4267mm high (assumed as glass door)</t>
  </si>
  <si>
    <t>IRONMONGERY</t>
  </si>
  <si>
    <t>Ironmongery; for metal doors; including all ancillary works as necessary</t>
  </si>
  <si>
    <t>Allow for any other works which are not included above and which are required to complete the Doors and Windows in accordance with the Specification and the drawings (Tenderer to list below):</t>
  </si>
  <si>
    <t>Page 4/H/1</t>
  </si>
  <si>
    <t>Page 4/H/2</t>
  </si>
  <si>
    <t>Page 4/H/3</t>
  </si>
  <si>
    <t>Page 4/H/4</t>
  </si>
  <si>
    <t>BACKGROUNDS</t>
  </si>
  <si>
    <t>1. Typical Detail Reference No. ID-500 series, A-951 to 953</t>
  </si>
  <si>
    <t>2. Room finishes schedule Reference No. A-820</t>
  </si>
  <si>
    <t>3. Material Schedule G-004</t>
  </si>
  <si>
    <t>4. Drawings listed on Drawing Nr. ID-000 and G-001, all inclusive</t>
  </si>
  <si>
    <t>5. Interior Architectural Specification Document 000110 dated 22 April 2022, all inclusive</t>
  </si>
  <si>
    <t>Sand cement screed; including surface preparation and all ancillary works as necessary</t>
  </si>
  <si>
    <t>Screed; to receive tile</t>
  </si>
  <si>
    <t>Screed; to receive epoxy paint</t>
  </si>
  <si>
    <t>Cement plaster; including surface preparation and all ancillary works as necessary</t>
  </si>
  <si>
    <t>Wall plaster; 15mm thick; to receive tiles</t>
  </si>
  <si>
    <t>Wall plaster; 15mm thick; to receive paint</t>
  </si>
  <si>
    <t>INTERNAL FINISHINGS</t>
  </si>
  <si>
    <t>Full bodied anti-slip floor tiles; laid on cement and sand screed (measured separately); including adhesive mortar, grout, joint and edge treatment sealer and all ancillary works as necessary</t>
  </si>
  <si>
    <t>Type PC-01; 9mm thick</t>
  </si>
  <si>
    <t>1,184</t>
  </si>
  <si>
    <t>Skirting; type PC-01</t>
  </si>
  <si>
    <t>590</t>
  </si>
  <si>
    <t>Porcelain floor tiles; laid on cement and sand screed (measured separately); including adhesive mortar, grout, joint and edge treatment sealer and all ancillary works as necessary</t>
  </si>
  <si>
    <t>Type TL-01/TL-02/TL-03; 10mm thick</t>
  </si>
  <si>
    <t>Type TL-06; 600 x 600 x 10mm thick</t>
  </si>
  <si>
    <t>Skirting; type TL-01/TL-02/TL-03; 100mm high</t>
  </si>
  <si>
    <t>Skirting; type TL-06; 100mm high</t>
  </si>
  <si>
    <t>Stainless steel skirting; including adhesive, fixings and all ancillary works as necessary</t>
  </si>
  <si>
    <t>INTERNAL FINISHINGS (Cont´d)</t>
  </si>
  <si>
    <t>Type MT-01; 100mm high</t>
  </si>
  <si>
    <t>Type MT-02; 100mm high; in dark grey color; T22 Onyx Black Grane FPR finish</t>
  </si>
  <si>
    <t>285</t>
  </si>
  <si>
    <t>Full bodied anti-slip floor tiles; render on cement and sand plaster (measured separately); including adhesive mortar, grout, joint and edge treatment sealer and all ancillary works as necessary</t>
  </si>
  <si>
    <t>410</t>
  </si>
  <si>
    <t>Porcelain wall tiles; render on cement plaster (measured separately); including adhesive mortar, grout, joint and edge treatment sealer and all ancillary works as necessary</t>
  </si>
  <si>
    <t>Type TL-01; 600 x 300 x 10mm thick</t>
  </si>
  <si>
    <t>132</t>
  </si>
  <si>
    <t>Type TL-06; 600 x 300 x 10mm thick</t>
  </si>
  <si>
    <t>Stainless steel wall panel; including supports, fixings and all ancillary works as necessary</t>
  </si>
  <si>
    <t>Type MT-02; 20mm thick; dark grey metal; in T22 onyx black granex FPR finish</t>
  </si>
  <si>
    <t>Glass wall; including fixings and all ancillary works as necessary</t>
  </si>
  <si>
    <t>2500mm high</t>
  </si>
  <si>
    <t>322</t>
  </si>
  <si>
    <t>Graphic wall; including fixings and all ancillary works as necessary</t>
  </si>
  <si>
    <t>Hammered metal ceiling; fixed to gypsum board (measured separately)</t>
  </si>
  <si>
    <t>Type MT-05</t>
  </si>
  <si>
    <t>SUSPENDED CEILINGS</t>
  </si>
  <si>
    <t>1. Drawing Reference Nr. ID-300 series, all inclusive</t>
  </si>
  <si>
    <t>2. Drawing Reference Nr. ID-500 series, all inclusive</t>
  </si>
  <si>
    <t>3. Architectural Specification dated April 22, 2022</t>
  </si>
  <si>
    <t>Tegular layin ceiling system; in mineral fiber grid ceilings; acoustically treated; semi matt finished; including proprietary ceiling suspension system, access panel, aluminum corner bead, accessories, shadow gaps and all ancillary works as necessary</t>
  </si>
  <si>
    <t>Type MF-01; 600 x 600mm; not exceeding 500mm</t>
  </si>
  <si>
    <t>773</t>
  </si>
  <si>
    <t>Gypsum board ceiling; including ceiling suspension system, shadow gap, trims, access panels and all necessary fixings and accessories</t>
  </si>
  <si>
    <t>Ceilings; not exceeding 500mm</t>
  </si>
  <si>
    <t>Bulkhead; 50mm high</t>
  </si>
  <si>
    <t>Bulkhead; 50mm high; curved</t>
  </si>
  <si>
    <t>Lightcove; 400mm total girth</t>
  </si>
  <si>
    <t>DECORATIONS</t>
  </si>
  <si>
    <t>Epoxy paint; including surface preparation, prime, finish coat and all ancillary works as necessary</t>
  </si>
  <si>
    <t>Type EP-01; to floors</t>
  </si>
  <si>
    <t>Type EP-01; to walls</t>
  </si>
  <si>
    <t>Skirting; type EP-101; 100mm high</t>
  </si>
  <si>
    <t>Paint; including surface preparation, prime, finish coat and all ancillary works as necessary</t>
  </si>
  <si>
    <t>Type PT-01; to plastered walls</t>
  </si>
  <si>
    <t>Type PT-01; to slab soffit</t>
  </si>
  <si>
    <t>Type PT-01; to gypsum ceiling</t>
  </si>
  <si>
    <t>Type PT-01; to bulkhead</t>
  </si>
  <si>
    <t>Type PT-01; to lightcove</t>
  </si>
  <si>
    <t>Page 4/J/1</t>
  </si>
  <si>
    <t>Page 4/J/2</t>
  </si>
  <si>
    <t>Page 4/J/3</t>
  </si>
  <si>
    <t>Page 4/J/4</t>
  </si>
  <si>
    <t>Page 4/J/5</t>
  </si>
  <si>
    <t>Page 4/J/6</t>
  </si>
  <si>
    <t>PARTITIONS</t>
  </si>
  <si>
    <t>Drywall partition; including metal studs, supports and all ancillary works as necessary</t>
  </si>
  <si>
    <t>Type 3; 150mm thick; to external</t>
  </si>
  <si>
    <t>124</t>
  </si>
  <si>
    <t>Type 3; 150mm thick; to internal</t>
  </si>
  <si>
    <t>1,250</t>
  </si>
  <si>
    <t>Allow cubicle partition to B1 male staff toilet</t>
  </si>
  <si>
    <t>Allow cubicle partition to B1 female staff toilet</t>
  </si>
  <si>
    <t>Allow urinal partition to B1 male staff toilet</t>
  </si>
  <si>
    <t>SANITARY ACCESSORIES</t>
  </si>
  <si>
    <t>Allow sanitary accessories to B1  male staff toilet</t>
  </si>
  <si>
    <t>Allow sanitary accessories to B1  female staff toilet</t>
  </si>
  <si>
    <t>Note : refer to the following</t>
  </si>
  <si>
    <t>1. Drawing Reference Nr. A-950</t>
  </si>
  <si>
    <t>Parking space line - ADA; 2700 x 5500mm</t>
  </si>
  <si>
    <t>Single parking space line; 2500 x 5500mm</t>
  </si>
  <si>
    <t>Single parking space line; 2700 x 5500mm</t>
  </si>
  <si>
    <t>3,518</t>
  </si>
  <si>
    <t>Single parking space line; motor bike; 1500 x 5500mm</t>
  </si>
  <si>
    <t>103</t>
  </si>
  <si>
    <t>Direction arrows</t>
  </si>
  <si>
    <t>144</t>
  </si>
  <si>
    <t>Roof ladder</t>
  </si>
  <si>
    <t>Wheel stopper</t>
  </si>
  <si>
    <t>3,851</t>
  </si>
  <si>
    <t>Column guards</t>
  </si>
  <si>
    <t>Column guards (RATE ONLY)</t>
  </si>
  <si>
    <t>Crash guards; 4m long x 200mm high; high impact resistance rubber profiled fixed to wall with chemical anchor</t>
  </si>
  <si>
    <t>Crash guards; 4m long x 200mm high; high impact resistance rubber profiled fixed to wall with chemical anchor (RATE ONLY)</t>
  </si>
  <si>
    <t>Speed humps</t>
  </si>
  <si>
    <t>Speed humps (RATE ONLY)</t>
  </si>
  <si>
    <t>SIGNAGE AND WAYFINDING</t>
  </si>
  <si>
    <t>1.  100% Detailed Design - EGD, Project Sign Type Family Sheet No. G-2</t>
  </si>
  <si>
    <t>Interior Signage</t>
  </si>
  <si>
    <t>Wall mounted signage; comprising  aluminum sign cabinet with internal structure and push-through acrylic letters and graphics with internal LED illumination including ancillary works complete as described in the specification; as Sheet G-12 Upper Roof Signage Location Plan</t>
  </si>
  <si>
    <t>Type p01; parking entry / exit ID; size 700 x 3800 x 300mm</t>
  </si>
  <si>
    <t>Nr</t>
  </si>
  <si>
    <t>Wall mounted signage; comprising  aluminum sign panel, internal structure including ancillary works complete as described in the specification; as Sheet G-9 B1 Signage Location Plan to Sheet G-12 Upper Roof Signage Location Plan</t>
  </si>
  <si>
    <t>Type i08; elevator level ID; size 750 x 450 x 20mm</t>
  </si>
  <si>
    <t>Ceiling mounted signage; comprising double-sided sign panel with acrylic faces, internal aluminum structure including ancillary works complete as described in the specification; as Sheet G-9 B1 Signage Location Plan to Sheet G-12 Upper Roof Signage Location Plan</t>
  </si>
  <si>
    <t>Type p02; primary vehicular directional signs; size 400 x 2100 x 100mm</t>
  </si>
  <si>
    <t>SIGNAGE AND WAYFINDING (Cont´d)</t>
  </si>
  <si>
    <t>Floor mounted signage; comprising double-sided sign panel with acrylic faces, internal aluminum structure including ancillary works complete as described in the specification; as Sheet G-12 Upper Roof Signage Location Plan</t>
  </si>
  <si>
    <t>Type p02.1; primary vehicular directional signs; size 1200 x 900 mm</t>
  </si>
  <si>
    <t>Painted graphics to existing columns including ancillary works complete as described in the specification; as Sheet G-9 B1 Signage Location Plan to Sheet G-11 Lower Roof Signage Location Plan</t>
  </si>
  <si>
    <t>Type p03; column ID; 850mm high</t>
  </si>
  <si>
    <t>Digitally printed wall graphic applied directly to walls including ancillary works complete as described in the specification; as Sheet G-9 B1 Signage Location Plan to Sheet G-12 Upper Roof Signage Location Plan</t>
  </si>
  <si>
    <t>Type p04; wall graphics /directional signs; size 2600 x 4100mm</t>
  </si>
  <si>
    <t>Digitally printed glass graphic applied directly to glass walls including ancillary works complete as described in the specification; as Sheet G-9 B1 Signage Location Plan to Sheet G-12 Upper Roof Signage Location Plan</t>
  </si>
  <si>
    <t>Type p05; glass graphics; size 850 x 3900mm</t>
  </si>
  <si>
    <t>Floor mounted signage; comprising  aluminum pylon with applied aluminum letter forms with acrylic faces, internal structure, and LED illumination including ancillary works complete as described in the specification; as Sheet G-1 B2 Signage Location Plan</t>
  </si>
  <si>
    <t>Type p06; valet ID signs; size 1800 x 200 x 200mm</t>
  </si>
  <si>
    <t>Floor mounted signage; comprising aluminum cabinet with applied aluminum letter forms with acrylic faces, internal structure, LED illumination, and digital parking space counter display boards including ancillary works complete as described in the specification; as Sheet G-9 B1 Signage Location Plan</t>
  </si>
  <si>
    <t>Type p07; parking space level ID; size 1000 x 400 x 100mm</t>
  </si>
  <si>
    <t>Page 4/K/1</t>
  </si>
  <si>
    <t>Page 4/K/2</t>
  </si>
  <si>
    <t>Page 4/K/3</t>
  </si>
  <si>
    <t>Page 4/K/4</t>
  </si>
  <si>
    <t>Page 4/K/5</t>
  </si>
  <si>
    <t>Page 4/K/6</t>
  </si>
  <si>
    <t>Page 4/K/7</t>
  </si>
  <si>
    <t>LOOSE FURNITURE</t>
  </si>
  <si>
    <t>Loose furniture; including all ancillary works as necessary</t>
  </si>
  <si>
    <t>Type I-BA-03: bench seating</t>
  </si>
  <si>
    <t>Type I-WB-02: recycling &amp; waste bin</t>
  </si>
  <si>
    <t>Planter</t>
  </si>
  <si>
    <t>Page 4/M/1</t>
  </si>
  <si>
    <t>Page 4/M/2</t>
  </si>
  <si>
    <t>Note: Please refer to the following:</t>
  </si>
  <si>
    <t>88</t>
  </si>
  <si>
    <t>160mm diameter</t>
  </si>
  <si>
    <t>138</t>
  </si>
  <si>
    <t>Accessories; including supports and ancillary work as necessary</t>
  </si>
  <si>
    <t>Roof drain; 2" diameter</t>
  </si>
  <si>
    <t>Roof drain; 4" diameter</t>
  </si>
  <si>
    <t>Roof side drain; 4" diameter</t>
  </si>
  <si>
    <t>Flexible elastomeric insulation, 13mm thick to rainwater pipes including support, accessories and other ancillary works as necessary</t>
  </si>
  <si>
    <t>50mm diameter</t>
  </si>
  <si>
    <t>1,463</t>
  </si>
  <si>
    <t>1,075</t>
  </si>
  <si>
    <t>319</t>
  </si>
  <si>
    <t>561</t>
  </si>
  <si>
    <t>Kitchen waste pipework</t>
  </si>
  <si>
    <t>1,913</t>
  </si>
  <si>
    <t>142</t>
  </si>
  <si>
    <t>306</t>
  </si>
  <si>
    <t>Condensate drain pipework</t>
  </si>
  <si>
    <t>25mm diameter</t>
  </si>
  <si>
    <t>122</t>
  </si>
  <si>
    <t>65mm diameter</t>
  </si>
  <si>
    <t>Trench drain; 6500 x 400mm</t>
  </si>
  <si>
    <t>Trench drain; 500 x 500mm</t>
  </si>
  <si>
    <t>Funnel drain; 305 x 305mm</t>
  </si>
  <si>
    <t>Elevator pit 300 x 300mm</t>
  </si>
  <si>
    <t>Floor drain; 80mm diameter</t>
  </si>
  <si>
    <t>Floor drain; 110mm diameter</t>
  </si>
  <si>
    <t>Clean out; 80mm diameter</t>
  </si>
  <si>
    <t>Clean out; 100mm diameter</t>
  </si>
  <si>
    <t>Clean out; 150mm diameter</t>
  </si>
  <si>
    <t>Clean out; 200mm diameter</t>
  </si>
  <si>
    <t>Floor clean out; 100mm diameter</t>
  </si>
  <si>
    <t>End cap; 75mm diameter</t>
  </si>
  <si>
    <t>End cap; 80mm diameter</t>
  </si>
  <si>
    <t>U</t>
  </si>
  <si>
    <t>End cap; 100mm diameter</t>
  </si>
  <si>
    <t>End cap; 200mm diameter</t>
  </si>
  <si>
    <t>Sand trap; 1000 x 1000mm</t>
  </si>
  <si>
    <t>GRP tank 5700 x 2000 x 1000mm</t>
  </si>
  <si>
    <t>Butterfly valve; 100mm diameter</t>
  </si>
  <si>
    <t>Equipment; including supports and ancillary work as necessary</t>
  </si>
  <si>
    <t>SP-M-BS2-01-21 &amp; 22, 1 duty &amp; 1 standby; submersible pump 5l/s flow rate with 1.5 total bar head</t>
  </si>
  <si>
    <t>GI-M-BS1-01-06, 1 set with 2 lifting station; capacity of 25l/s</t>
  </si>
  <si>
    <t>GI-M-BS1-01-07, 1 set with 2 lifting station; capacity of 25l/s</t>
  </si>
  <si>
    <t>GI-M-BS1-01-08, 1 set with 2 lifting station; capacity of 25l/s</t>
  </si>
  <si>
    <t>GI-M-BS1-01-09, 1 set with lifting station; capacity of 10l/s</t>
  </si>
  <si>
    <t>Acoustic lagging insulation; including supports, accessories and other ancillary works as necessary</t>
  </si>
  <si>
    <t>SANITARY FIXTURES AND FITTNGS</t>
  </si>
  <si>
    <t>1) Drawing Nr. ID-800 series</t>
  </si>
  <si>
    <t>2) Interior Sanitaryware and Accessories Schedule dated April 22, 2022</t>
  </si>
  <si>
    <t xml:space="preserve"> </t>
  </si>
  <si>
    <t>Allow sanitary fittings; including all waste and overflow outlets, all connections and supports and sealing around with silicone-based sealant  to Basement 1 male staff toilet</t>
  </si>
  <si>
    <t>Allow sanitary fittings; including all waste and overflow outlets, all connections and supports and sealing around with silicone-based sealant  to Basement 1 female staff toilet</t>
  </si>
  <si>
    <t>Allow sanitary fixtures; including all waste and overflow outlets, all connections and supports and sealing around with silicone-based sealant to Basement 1 male staff toilet</t>
  </si>
  <si>
    <t>Allow sanitary fixtures; including all waste and overflow outlets, all connections and supports and sealing around with silicone-based sealant to Basement 1 female staff toilet</t>
  </si>
  <si>
    <t>WATER SUPPLY INSTALLATION</t>
  </si>
  <si>
    <t>1) Drawing Nr. W-12400 to W-12454, W-13100 to W-13106 and 3D View Al-Khail R20 Plumb; all inclusive</t>
  </si>
  <si>
    <t>2) Water services general notes, symbols and legends and Water equipment schedule Drawing Nr. W-09302 and W-00040</t>
  </si>
  <si>
    <t>PPR pipework; for cold water supply, including fittings, supports and ancillary work as necessary</t>
  </si>
  <si>
    <t>15mm diameter</t>
  </si>
  <si>
    <t>20mm diameter</t>
  </si>
  <si>
    <t>87</t>
  </si>
  <si>
    <t>330</t>
  </si>
  <si>
    <t>32mm diameter</t>
  </si>
  <si>
    <t>202</t>
  </si>
  <si>
    <t>40mm diameter</t>
  </si>
  <si>
    <t>998</t>
  </si>
  <si>
    <t>2,068</t>
  </si>
  <si>
    <t>1,268</t>
  </si>
  <si>
    <t>75mm diameter</t>
  </si>
  <si>
    <t>314</t>
  </si>
  <si>
    <t>WATER SUPPLY INSTALLATION (Cont´d)</t>
  </si>
  <si>
    <t>PPR pipework; for hot water supply, including fittings, supports and ancillary work as necessary</t>
  </si>
  <si>
    <t>26</t>
  </si>
  <si>
    <t>PPR pipework; for hot water return, including fittings, supports and ancillary work as necessary</t>
  </si>
  <si>
    <t>Accessories; including hangers, supports, pipe connections and ancillary work as necessary</t>
  </si>
  <si>
    <t>Gate valve; 20mm diameter</t>
  </si>
  <si>
    <t>Gate valve; 32mm diameter</t>
  </si>
  <si>
    <t>Gate valve; 40mm diameter</t>
  </si>
  <si>
    <t>Gate valve; 50mm diameter</t>
  </si>
  <si>
    <t>Gate valve; 65mm diameter</t>
  </si>
  <si>
    <t>70</t>
  </si>
  <si>
    <t>Gate valve; 80mm diameter</t>
  </si>
  <si>
    <t>Gate valve; 160mm diameter</t>
  </si>
  <si>
    <t>Gate valve, flanged; 20mm diameter</t>
  </si>
  <si>
    <t>Gate valve, threaded; 20mm diameter</t>
  </si>
  <si>
    <t>Globe valve, threaded; 15mm diameter</t>
  </si>
  <si>
    <t>Globe valve, threaded; 25mm diameter</t>
  </si>
  <si>
    <t>Butterfly valve; 40mm diameter</t>
  </si>
  <si>
    <t>Butterfly valve; 50mm diameter</t>
  </si>
  <si>
    <t>Butterfly valve; 65mm diameter</t>
  </si>
  <si>
    <t>Butterfly valve; 110mm diameter</t>
  </si>
  <si>
    <t>Hose bib; 15mm diameter</t>
  </si>
  <si>
    <t>Water meter assembly; 75mm dia</t>
  </si>
  <si>
    <t>65</t>
  </si>
  <si>
    <t xml:space="preserve">Equipment, including valve assembly, vibration mount, electrical wiring and termination, control panel, hangers, supports and ancillary work as necessary </t>
  </si>
  <si>
    <t xml:space="preserve">HWCS-01, 1duty &amp; 1standby; Hot water recirculation pump set, 0.5l/s flow rate with 1.5 total bar head </t>
  </si>
  <si>
    <t>ET-01; Expansion tank-hot water circulation set, 100L capacity with max operating pressure of 10bar</t>
  </si>
  <si>
    <t>GRP water tank 3000 x 2000 x 2000mm</t>
  </si>
  <si>
    <t>Thermal insulation to domestic water and recirculated hot water; including supports, accessories and other ancillary works as necessary</t>
  </si>
  <si>
    <t>Flexible elastomeric insulation, 13mm thick to hot water supply</t>
  </si>
  <si>
    <t>35</t>
  </si>
  <si>
    <t>FIRE FIGHTING INSTALLATION</t>
  </si>
  <si>
    <t>1. All existing information (As-built and/or IFC), has been provided by the client. Any discrepancy between the  existing information and actual on-site conditions must be verified and rectified by the general contractor. The contractor may allow for an intrusive survey before the commencement of any construction works on site.</t>
  </si>
  <si>
    <t>2) Drawing Nr. F-12100 to D-12154 and 3D View Al-Khail R20 Fire; all inclusive</t>
  </si>
  <si>
    <t xml:space="preserve">3) General notes, abbreviations, legends and symbols and Miscellaneous details Drawing Nr. F-00001 and F-00020 to F-00023 </t>
  </si>
  <si>
    <t>4) Al Khail Avenue Mall Redevelopment - Mechanical Specification dated March 28, 2022</t>
  </si>
  <si>
    <t>Galvanized steel iron pipework; including fittings, markings, painting materials, fire stops, supports and all ancillary work as necessary</t>
  </si>
  <si>
    <t>Fire hydrant pipe</t>
  </si>
  <si>
    <t>FIRE FIGHTING INSTALLATION (Cont´d)</t>
  </si>
  <si>
    <t>Sprinkler pipe</t>
  </si>
  <si>
    <t>440</t>
  </si>
  <si>
    <t>85</t>
  </si>
  <si>
    <t>42</t>
  </si>
  <si>
    <t>Accessories; including hangers, supports and ancillary work as necessary</t>
  </si>
  <si>
    <t>Supervisory switch valve; 100mm diameter</t>
  </si>
  <si>
    <t>Sprinkler head; pendant</t>
  </si>
  <si>
    <t>151</t>
  </si>
  <si>
    <t>Sprinkler head; side wall</t>
  </si>
  <si>
    <t>Sprinkler head; upright</t>
  </si>
  <si>
    <t>597</t>
  </si>
  <si>
    <t>Sprinkler head; concealed non hosted</t>
  </si>
  <si>
    <t>Fire hose reel cabinet; including hose reel, valves, cabinet, fire extinguishers, supports, accessories, and all ancillary works as necessary</t>
  </si>
  <si>
    <t>Fire hose cabinet - size 800 x 800 x 360mm</t>
  </si>
  <si>
    <t>Fire extinguisher</t>
  </si>
  <si>
    <t>5.0kg CO2 type; portable</t>
  </si>
  <si>
    <t xml:space="preserve">FM 200 fire extinguishing system; including tanks, pipes, controls, valves, fixing accessories and all ancillary works as necessary </t>
  </si>
  <si>
    <t>From grid line A9 and A11 to grid line X9 and X10</t>
  </si>
  <si>
    <t>m2</t>
  </si>
  <si>
    <t>GAS INSTALLATION</t>
  </si>
  <si>
    <t>1) Drawing Nr. G-12600 to G-12624 and 3D View Al-Khail R20 Plumb; all inclusive</t>
  </si>
  <si>
    <t>2) Gas services general notes, symbols and legends  G-09502</t>
  </si>
  <si>
    <t>Carbon steel with sleeve; including fittings, supports and ancillary work as necessary</t>
  </si>
  <si>
    <t>135</t>
  </si>
  <si>
    <t>140</t>
  </si>
  <si>
    <t>125mm diameter</t>
  </si>
  <si>
    <t>HVAC INSTALLATION</t>
  </si>
  <si>
    <t>1) Drawing Nr. M-00030 to M-00053, M-12300 to M-12394, M-12400 to M-12494, M-12600 to M-12694, M-13050 to M-13302 and 3D View Al-Khail R20 Mech; all inclusive</t>
  </si>
  <si>
    <t>2) General notes, abbreviations, legends and symbols, Miscellaneous details and Equipment schedule Drawing Nr. M-00010, M-00020 to M-00026 and M-00080 to M-00082</t>
  </si>
  <si>
    <t>Chilled water pipeworks; including fittings, hangers, supports, valves, painting materials, labelling and all ancillary works as necessary</t>
  </si>
  <si>
    <t>CHWS/R; size 20mm diameter</t>
  </si>
  <si>
    <t>1,156</t>
  </si>
  <si>
    <t>CHWS/R; size 25mm diameter</t>
  </si>
  <si>
    <t>354</t>
  </si>
  <si>
    <t>CHWS/R; size 32mm diameter</t>
  </si>
  <si>
    <t>450</t>
  </si>
  <si>
    <t>CHWS/R; size 40mm diameter</t>
  </si>
  <si>
    <t>266</t>
  </si>
  <si>
    <t>CHWS/R; size 50mm diameter</t>
  </si>
  <si>
    <t>240</t>
  </si>
  <si>
    <t>CHWS/R; size 65mm diameter</t>
  </si>
  <si>
    <t>126</t>
  </si>
  <si>
    <t>CHWS/R; size 80mm diameter</t>
  </si>
  <si>
    <t>93</t>
  </si>
  <si>
    <t>CHWS/R; size 96mm diameter</t>
  </si>
  <si>
    <t>CHWS/R; size 100mm diameter</t>
  </si>
  <si>
    <t>CHWS/R; size 150mm diameter</t>
  </si>
  <si>
    <t>CHWS/R; size 300mm diameter</t>
  </si>
  <si>
    <t>167</t>
  </si>
  <si>
    <t>CHWS/R; size 400mm diameter</t>
  </si>
  <si>
    <t>294</t>
  </si>
  <si>
    <t>HVAC INSTALLATION (Cont´d)</t>
  </si>
  <si>
    <t>Mineral fiber thermal pipe insulation 50mm thick; including aluminium jacketing, adhesives, joints, markings, tapes, accessories and all ancillary works as necessary</t>
  </si>
  <si>
    <t>Galvanized steel sheet, including fittings, splitter dampers with rods, access panels, joints, stiffeners, supports, hangers, labelling and all ancillary works as necessary</t>
  </si>
  <si>
    <t>Supply air ductwork</t>
  </si>
  <si>
    <t>397</t>
  </si>
  <si>
    <t>Return air ductwork</t>
  </si>
  <si>
    <t>209</t>
  </si>
  <si>
    <t>Fresh air ductwork</t>
  </si>
  <si>
    <t>298</t>
  </si>
  <si>
    <t>Extract air ductwork</t>
  </si>
  <si>
    <t>673</t>
  </si>
  <si>
    <t>Carpark make-up air ductwork</t>
  </si>
  <si>
    <t>393</t>
  </si>
  <si>
    <t>Kitchen exhaust air ductwork</t>
  </si>
  <si>
    <t>1,843</t>
  </si>
  <si>
    <t>Kitchen make-up air ductwork</t>
  </si>
  <si>
    <t>1,244</t>
  </si>
  <si>
    <t>Accessories; including all hangers, supports and ancillary work as necessary</t>
  </si>
  <si>
    <t>Volume control damper</t>
  </si>
  <si>
    <t>150 x 100mm</t>
  </si>
  <si>
    <t>150 x 150mm</t>
  </si>
  <si>
    <t>200 x 150mm</t>
  </si>
  <si>
    <t>250 x 150mm</t>
  </si>
  <si>
    <t>250 x 200mm</t>
  </si>
  <si>
    <t>250 x 250mm</t>
  </si>
  <si>
    <t>300 x 100mm</t>
  </si>
  <si>
    <t>300 x 200mm</t>
  </si>
  <si>
    <t>350 x 100mm</t>
  </si>
  <si>
    <t>350 x 250mm</t>
  </si>
  <si>
    <t>400 x 150mm</t>
  </si>
  <si>
    <t>600 x 200mm</t>
  </si>
  <si>
    <t>800 x 400mm</t>
  </si>
  <si>
    <t>1150 x 300mm</t>
  </si>
  <si>
    <t>1350 x 400mm</t>
  </si>
  <si>
    <t>1500 x 600mm</t>
  </si>
  <si>
    <t>1800 x 400mm</t>
  </si>
  <si>
    <t>Fire damper</t>
  </si>
  <si>
    <t>Motorised smoke fire damper</t>
  </si>
  <si>
    <t>1500 x 1200mm</t>
  </si>
  <si>
    <t>2100 x 900mm</t>
  </si>
  <si>
    <t>Motorised damper</t>
  </si>
  <si>
    <t>300 x 150mm</t>
  </si>
  <si>
    <t>300 x 250mm</t>
  </si>
  <si>
    <t>400 x 350mm</t>
  </si>
  <si>
    <t>450 x 350mm</t>
  </si>
  <si>
    <t>550 x 550mm</t>
  </si>
  <si>
    <t>600 x 250mm</t>
  </si>
  <si>
    <t>1000 x 600mm</t>
  </si>
  <si>
    <t>Sound attenuator</t>
  </si>
  <si>
    <t>700 x 250mm</t>
  </si>
  <si>
    <t>1400 x 1200mm</t>
  </si>
  <si>
    <t>Grills, diffusers and louvers, including all hangers, supports and ancillary work as necessary</t>
  </si>
  <si>
    <t>Louvre discharge</t>
  </si>
  <si>
    <t>300 x 450mm</t>
  </si>
  <si>
    <t>Louvre intake w/ sandtrap</t>
  </si>
  <si>
    <t>500 x 3600mm</t>
  </si>
  <si>
    <t>500 x 4400mm</t>
  </si>
  <si>
    <t>550 x 2000mm</t>
  </si>
  <si>
    <t>550 x 2350mm</t>
  </si>
  <si>
    <t>550 x 3050mm</t>
  </si>
  <si>
    <t>550 x 3400mm</t>
  </si>
  <si>
    <t>700 x 1700mm</t>
  </si>
  <si>
    <t>700 x 3500mm</t>
  </si>
  <si>
    <t>750 x 700mm</t>
  </si>
  <si>
    <t>750 x 3650mm</t>
  </si>
  <si>
    <t>800 x 3650mm</t>
  </si>
  <si>
    <t>900 x 2350mm</t>
  </si>
  <si>
    <t>900 x 3050mm</t>
  </si>
  <si>
    <t>900 x 3500mm</t>
  </si>
  <si>
    <t>1050 x 2000mm</t>
  </si>
  <si>
    <t>1050 x 3500mm</t>
  </si>
  <si>
    <t>1100 x 3600mm</t>
  </si>
  <si>
    <t>1150 x 2000mm</t>
  </si>
  <si>
    <t>1150 x 3400mm</t>
  </si>
  <si>
    <t>1450 x 5200mm</t>
  </si>
  <si>
    <t>1600 x 3500mm</t>
  </si>
  <si>
    <t>1900 x 1700mm</t>
  </si>
  <si>
    <t>3000 x 1500mm</t>
  </si>
  <si>
    <t>6000 x 2500mm</t>
  </si>
  <si>
    <t>600 x 2200mm</t>
  </si>
  <si>
    <t>1000 x 2200mm</t>
  </si>
  <si>
    <t>Extract grille</t>
  </si>
  <si>
    <t>600 x 300mm</t>
  </si>
  <si>
    <t>V</t>
  </si>
  <si>
    <t>W</t>
  </si>
  <si>
    <t>Supply ceiling diffuser</t>
  </si>
  <si>
    <t>225 x 225mm</t>
  </si>
  <si>
    <t>300 x 300mm</t>
  </si>
  <si>
    <t xml:space="preserve">Fan coil units (FCU); including controls, valve sets, vibration isolators, electrical wiring, terminations, hangers, thermostat, labelling, supports and all ancillary work as necessary </t>
  </si>
  <si>
    <t>Fan coil unit</t>
  </si>
  <si>
    <t>FCU-B1-01 (Ducted type); 98 l/s air flowrate, 2.00 kw cooling capacity</t>
  </si>
  <si>
    <t>FCU-B1-02 (Ducted type); 90 l/s air flowrate, 1.80 kw cooling capacity</t>
  </si>
  <si>
    <t>FCU-B1-03 (Ducted type); 134 l/s air flowrate, 3.15 kw cooling capacity</t>
  </si>
  <si>
    <t>FCU-B1-04  (Ducted type); 160 l/s air flowrate, 3.70 kw cooling capacity</t>
  </si>
  <si>
    <t>FCU-B1-05 (Decorative type); 212l/s air flowrate, 3.60 kw cooling capacity</t>
  </si>
  <si>
    <t>FCU-B1-06 (Decorative type); 94l/s air flowrate, 1.50 kw cooling capacity</t>
  </si>
  <si>
    <t>FCU-B1-07 (Decorative type); 93l/s air flowrate, 1.50 kw cooling capacity</t>
  </si>
  <si>
    <t>FCU-B1-08 (Decorative type); 100l/s air flowrate, 1.60 kw cooling capacity</t>
  </si>
  <si>
    <t>FCU-B1-09 (Decorative type); 100l/s air flowrate, 1.70 kw cooling capacity</t>
  </si>
  <si>
    <t>FCU-B1-10 (Ducted type); 65 l/s air flowrate, 1.40 kw cooling capacity</t>
  </si>
  <si>
    <t>FCU-B1-11 (Ducted type); 59 l/s air flowrate, 1.30 kw cooling capacity</t>
  </si>
  <si>
    <t>FCU-B1-12 (Ducted type); 55 l/s air flowrate, 1.20 kw cooling capacity</t>
  </si>
  <si>
    <t>FCU-B1-13 (Decorative type); 99l/s air flowrate, 2.20 kw cooling capacity</t>
  </si>
  <si>
    <t>FCU-B1-14 (Decorative type); 75l/s air flowrate, 1.40 kw cooling capacity</t>
  </si>
  <si>
    <t>FCU-B1-15 (Ducted type); 75 l/s air flowrate, 1.50 kw cooling capacity</t>
  </si>
  <si>
    <t>FCU-B1-16 (Ducted type); 133 l/s air flowrate, 2.50 kw cooling capacity</t>
  </si>
  <si>
    <t>FCU-B2-01 (Ducted type); 156 l/s air flowrate, 2.90 kw cooling capacity</t>
  </si>
  <si>
    <t>FCU-B2-02 (Decorative type); 178l/s air flowrate, 3.60 kw cooling capacity</t>
  </si>
  <si>
    <t>FCU-TF-01 (Ducted type); 119 l/s air flowrate, 2.30 kw cooling capacity</t>
  </si>
  <si>
    <t>FCU-TF-02 (Ducted type); 206 l/s air flowrate, 3.95 kw cooling capacity</t>
  </si>
  <si>
    <t>FCU-TF-03 (Decorative type); 175 l/s air flowrate, 3.42 kw cooling capacity</t>
  </si>
  <si>
    <t>FCU-TF-04 (Ducted type); 229 l/s air flowrate, 4.80 kw cooling capacity</t>
  </si>
  <si>
    <t>FCU-TF-05 (Decorative type); 108 l/s air flowrate, 2.40 kw cooling capacity</t>
  </si>
  <si>
    <t>FCU-TF-06 (Ducted type); 594 l/s air flowrate, 10.88 kw cooling capacity</t>
  </si>
  <si>
    <t>FCU-TF-07 (Decorative type); 214 l/s air flowrate, 3.90 kw cooling capacity</t>
  </si>
  <si>
    <t>FCU-LR-01 (Ducted type); 94 l/s air flowrate, 1.90 kw cooling capacity</t>
  </si>
  <si>
    <t>FCU-LR-02 (Ducted type); 233 l/s air flowrate, 4.65 kw cooling capacity</t>
  </si>
  <si>
    <t>FCU-LR-03 (Ducted type); 330 l/s air flowrate, 6.60 kw cooling capacity</t>
  </si>
  <si>
    <t>FCU-LR-04 (Decorative type); 167 l/s air flowrate, 3.40 kw cooling capacity</t>
  </si>
  <si>
    <t>FCU-LR-05 (Ducted type); 335 l/s air flowrate, 6.30 kw cooling capacity</t>
  </si>
  <si>
    <t>FCU-LR-06 (Ducted type); 385 l/s air flowrate, 7.28 kw cooling capacity</t>
  </si>
  <si>
    <t>FCU-LR-07 (Ducted type); 335 l/s air flowrate, 6.30 kw cooling capacity</t>
  </si>
  <si>
    <t>FCU-LR-08 (Decorative type); 504 l/s air flowrate, 9.10 kw cooling capacity</t>
  </si>
  <si>
    <t xml:space="preserve">Re-heat air handling unit (RAHU); including controls, valve sets, vibration isolators, flexible connections, gauge, electrical wiring, labelling, supports and all ancillary work as necessary </t>
  </si>
  <si>
    <t xml:space="preserve">RAHU-UR-01; 5860 l/s air flowrate, 320 kw cooling capacity </t>
  </si>
  <si>
    <t xml:space="preserve">Fresh air handling unit (FAHU); including controls, valve sets, vibration isolators, flexible connections, gauges, electrical wiring, labelling, supports and all ancillary work as necessary </t>
  </si>
  <si>
    <t>FAHU-B1-01; 838 L/S air flowrate, 66.3 kw cooling capacity</t>
  </si>
  <si>
    <t xml:space="preserve">Air handling unit (AHU); including controls, valve sets, vibration isolators, flexible connections, gauges, electrical wiring, labelling, supports and all ancillary work as necessary </t>
  </si>
  <si>
    <t xml:space="preserve">AHU-LR-01; 10,990 l/s air flowrate; 271.7 kw cooling capacity </t>
  </si>
  <si>
    <t>Air curtain</t>
  </si>
  <si>
    <t>AC-RF-01 TO 16; 1110 l/s air flowrate, 0.64 kw motor capacity</t>
  </si>
  <si>
    <t>AC-UF-01 TO 03; 1110 l/s air flowrate, 0.64 kw motor capacity</t>
  </si>
  <si>
    <t>Allow existing AHU unit for dismantled/relocation; including calibration and modification, making good and all ancillary works as necessary</t>
  </si>
  <si>
    <t>AHU-M-RF-01</t>
  </si>
  <si>
    <t>AHU-M-RF-02</t>
  </si>
  <si>
    <t>Allow for existing RAHU units for re-balancing re-commissioning including calibration, modifications, and all ancillary works as necessary</t>
  </si>
  <si>
    <t>RAHU-M-UR-01 to 20</t>
  </si>
  <si>
    <t>RAHU-M-RF-01</t>
  </si>
  <si>
    <t>RAHU-M-RF-02</t>
  </si>
  <si>
    <t>RAHU-M-RF-03</t>
  </si>
  <si>
    <t>Ventilation fans; including all controls, VFD's supports, gauge, flexible connections, accessories, mountings, vibration isolators, wiring, labelling, supports and all ancillary works as necessary</t>
  </si>
  <si>
    <t>Extract fan</t>
  </si>
  <si>
    <t>EF-B1-01; 652 l/s air flowrate, 0.75 kw motor capacity</t>
  </si>
  <si>
    <t>EF-B1-02; 135 l/s air flowrate, 0.2 kw motor capacity</t>
  </si>
  <si>
    <t>EF-B1-03; 240 l/s air flowrate, 0.2 kw motor capacity</t>
  </si>
  <si>
    <t>EF-LR-01; 155 l/s air flowrate, 0.2 kw motor capacity</t>
  </si>
  <si>
    <t>EF-LR-02; 265 l/s air flowrate, 0.2 kw motor capacity</t>
  </si>
  <si>
    <t>EF-UR-01; 250 l/s air flowrate, 0.2 kw motor capacity</t>
  </si>
  <si>
    <t>EF-UR-02; 575 l/s air flowrate, 0.75 kw motor capacity</t>
  </si>
  <si>
    <t>Pressurization fans</t>
  </si>
  <si>
    <t>EPF-TR-01 to 03; 8650 l/s air flowrate, 7.5 kw motor capacity</t>
  </si>
  <si>
    <t>EPF-TR-04; 6200 l/s air flowrate, 5.5 kw motor capacity</t>
  </si>
  <si>
    <t>EPF-TR-05; 8650 l/s air flowrate, 7.5 kw motor capacity</t>
  </si>
  <si>
    <t>EPF-TR-06; 8650 l/s air flowrate, 7.5 kw motor capacity</t>
  </si>
  <si>
    <t>EPF-TR-07; 6200 l/s air flowrate, 5.5 kw motor capacity</t>
  </si>
  <si>
    <t>EPF-TR-08 to 10; 8650 l/s air flowrate, 7.5 kw motor capacity</t>
  </si>
  <si>
    <t>EPF-TR-11; 11350 l/s air flowrate, 11 kw motor capacity</t>
  </si>
  <si>
    <t>EPF-TR-12; 16550 l/s air flowrate, 15 kw motor capacity</t>
  </si>
  <si>
    <t>EPF-TR-13; 11350 l/s air flowrate, 11 kw motor capacity</t>
  </si>
  <si>
    <t>Smoke fans</t>
  </si>
  <si>
    <t>SEF-LR-01; 20000 l/s air flowrate, 22 kw power capacity</t>
  </si>
  <si>
    <t>SEF-UR-01; 20000 l/s air flowrate, 22 kw power capacity</t>
  </si>
  <si>
    <t>Mineral-fiber blanket thermal insulation; including adhesives, test hole, fasteners, aluminum cladding, related fixing accessories, and all ancillary works as necessary (refer to duct insulation specification section 230713 page 1 to 13</t>
  </si>
  <si>
    <t>Allow for earthing and bonding as specified; in particular all ductwork systems shall be provided with earth continuity protection at all joints</t>
  </si>
  <si>
    <t>Allow for all supports, fixings, anchors, insulating blocks and anti-vibration devices where not included above or elsewhere</t>
  </si>
  <si>
    <t>Allow for all identification including painting, marking and labeling, including labeling all valves</t>
  </si>
  <si>
    <t>Allow for flushing, cleaning, sterilization and chlorination of the completed installations as necessary</t>
  </si>
  <si>
    <t>Allow for providing in suitable quantities all special tools, operating handles and keys or other equipment necessary for installation, maintenance or operation of the completed installations</t>
  </si>
  <si>
    <t>Allow for providing spares for Mechanical Engineering Installations</t>
  </si>
  <si>
    <t>Allow for training the Employer's Staff to operate and maintain the Mechanical Engineering Installations</t>
  </si>
  <si>
    <t>WORK INCIDENTAL TO MECHANICAL ENGINEERING INSTALLATIONS</t>
  </si>
  <si>
    <t>Incidental work</t>
  </si>
  <si>
    <t>Allow for cutting or forming holes, mortices, chases or the like and making good</t>
  </si>
  <si>
    <t>Allow for supplying and fixing all sleeves, frames and built-in fire stoppers for building into concrete structures and masonry walls</t>
  </si>
  <si>
    <t>Allow for supplying and fixing all brackets, clamps and other fixing devices</t>
  </si>
  <si>
    <t>Allow for fire stopping all pipes, ducts and the like at penetrations through fire walls and other structures and making good</t>
  </si>
  <si>
    <t>Allow for all incidental work including factory finishing, fixing to all backgrounds by appropriate means, cutting and pinning, marking the position of all holes, chases and the like and all making good</t>
  </si>
  <si>
    <t>WORK INCIDENTAL TO MECHANICAL ENGINEERING INSTALLATIONS (Cont´d)</t>
  </si>
  <si>
    <t>Protective painting</t>
  </si>
  <si>
    <t>Allow for all protective painting for each of the following installations:</t>
  </si>
  <si>
    <t>Rainwater drainage</t>
  </si>
  <si>
    <t>Foul and waste water drainage and vent</t>
  </si>
  <si>
    <t>Domestic cold and hot water system</t>
  </si>
  <si>
    <t>Liquefied petroleum gas</t>
  </si>
  <si>
    <t>Fire protection system</t>
  </si>
  <si>
    <t>Chilled water system</t>
  </si>
  <si>
    <t>Condensate water drainage</t>
  </si>
  <si>
    <t>Irrigation system</t>
  </si>
  <si>
    <t>Heating, ventilation and air conditioning system</t>
  </si>
  <si>
    <t>Building management system</t>
  </si>
  <si>
    <t>Other incidental work</t>
  </si>
  <si>
    <t>Allow for all incidental work to the Mechanical Engineering Installations where not included above or elsewhere</t>
  </si>
  <si>
    <t>Allow for all decorative painting including removing protective coatings or wrappings and cleaning and polishing exposed surfaces for each of the following installations</t>
  </si>
  <si>
    <t>Building automation system</t>
  </si>
  <si>
    <t>BWIC</t>
  </si>
  <si>
    <t>Builder's work in connection (BWIC) with Mechanical Engineering Installations</t>
  </si>
  <si>
    <t>Allow for any other works which are not included above and which are required to complete the Mechanical Engineering Installations in accordance with the Specification and the drawings (Tenderer to list below):</t>
  </si>
  <si>
    <t>SUNDRIES (Cont´d)</t>
  </si>
  <si>
    <t>Allow for vibration and noise control where not included above or elsewhere</t>
  </si>
  <si>
    <t>Allow for providing connection from existing BMS system to Mechanical Engineering Installations as required in drawings and specifications</t>
  </si>
  <si>
    <t>Page 4/Q/1</t>
  </si>
  <si>
    <t>Page 4/Q/2</t>
  </si>
  <si>
    <t>Page 4/Q/3</t>
  </si>
  <si>
    <t>Page 4/Q/4</t>
  </si>
  <si>
    <t>Page 4/Q/5</t>
  </si>
  <si>
    <t>Page 4/Q/6</t>
  </si>
  <si>
    <t>Page 4/Q/7</t>
  </si>
  <si>
    <t>Page 4/Q/8</t>
  </si>
  <si>
    <t>Page 4/Q/9</t>
  </si>
  <si>
    <t>Page 4/Q/10</t>
  </si>
  <si>
    <t>Page 4/Q/11</t>
  </si>
  <si>
    <t>Page 4/Q/12</t>
  </si>
  <si>
    <t>Page 4/Q/13</t>
  </si>
  <si>
    <t>Page 4/Q/14</t>
  </si>
  <si>
    <t>Page 4/Q/15</t>
  </si>
  <si>
    <t>Page 4/Q/16</t>
  </si>
  <si>
    <t>Page 4/Q/17</t>
  </si>
  <si>
    <t>Page 4/Q/18</t>
  </si>
  <si>
    <t>Page 4/Q/19</t>
  </si>
  <si>
    <t>Page 4/Q/20</t>
  </si>
  <si>
    <t>Page 4/Q/21</t>
  </si>
  <si>
    <t>Page 4/Q/22</t>
  </si>
  <si>
    <t>Page 4/Q/23</t>
  </si>
  <si>
    <t>Brought Forward</t>
  </si>
  <si>
    <t>Page 4/Q/24</t>
  </si>
  <si>
    <t>Page 4/Q/25</t>
  </si>
  <si>
    <t>Page 4/Q/26</t>
  </si>
  <si>
    <t>Page 4/Q/27</t>
  </si>
  <si>
    <t>Page 4/Q/28</t>
  </si>
  <si>
    <t>Page 4/Q/29</t>
  </si>
  <si>
    <t>Page 4/Q/30</t>
  </si>
  <si>
    <t>Page 4/Q/31</t>
  </si>
  <si>
    <t>Page 4/Q/32</t>
  </si>
  <si>
    <t>1) Drawing Nr. E-00003 to 10200, E-12500 to 12554, E-12730 to 12784, E-12925 to 12979, E-12860 to 12879 and Al Khail_R20_ELEC_LT: 3D View; all inclusive</t>
  </si>
  <si>
    <t>1 x 2C x 4mm² CU/XLPE/LSOH + 1 x 1C x 4mm² CU/LSOH ECC</t>
  </si>
  <si>
    <t>From MCP-M-01-1B01 to 2x16A weatherproof isolator for EF-B1-02</t>
  </si>
  <si>
    <t>From MCP-M-01-1B01 to 2x16A weatherproof isolator for EF-B1-03</t>
  </si>
  <si>
    <t>From MCP-M-04-RF01 to 2x16A weatherproof isolator for EF-LR-01</t>
  </si>
  <si>
    <t>From MCP-M-04-RF01 to 2x16A weatherproof isolator for EF-LR-02</t>
  </si>
  <si>
    <t>From MCP-M-04-UR01 to 2x16A weatherproof isolator for EF-UR-01</t>
  </si>
  <si>
    <t>From MCP-M-04-UR01 to 2x16A weatherproof isolator for EF-UR-02</t>
  </si>
  <si>
    <t>1 x 4C x 4mm² CU/XLPE/LSOH + 1 x 1C x 4mm² CU/LSOH ECC</t>
  </si>
  <si>
    <t>From MCP-M-01-UR02 to VFD for recovery wheel</t>
  </si>
  <si>
    <t>1 x 4C x 4mm² CU/XLPE/SWA/PVC + 1 x 1C x 4mm² CU/PVC ECC</t>
  </si>
  <si>
    <t>From SMDB-S-04-B1-SF to 20A weatherproof isolator for HWCS-01</t>
  </si>
  <si>
    <t>1 x 4C x 6mm² CU/XLPE/LSOH + 1 x 1C x 6mm² CU/LSOH ECC</t>
  </si>
  <si>
    <t>From EMCP-M-01-UR01 to VFD for EPF-UR-08</t>
  </si>
  <si>
    <t>From EMCP-M-01-UR01 to VFD for EPF-UR-09</t>
  </si>
  <si>
    <t>1 x 4C x 10mm² CU/XLPE/SWA/PVC + 1 x 1C x 10mm² CU/PVC ECC</t>
  </si>
  <si>
    <t>From SMDB-S-01-1B01 to FP-07</t>
  </si>
  <si>
    <t>100</t>
  </si>
  <si>
    <t>From SMDB-S-04-1B02 to FP-05</t>
  </si>
  <si>
    <t>From SMDB-S-04-B1-SF to 40A weatherproof isolator for EWH-06</t>
  </si>
  <si>
    <t>From SMDB-S-04-B1-SF to DB-S--04-1B08</t>
  </si>
  <si>
    <t>From SMDB-S-04-RF01 to DB-S-04-RF07</t>
  </si>
  <si>
    <t>From SMDB-S-04-UR01 to DB-S-04-UR03</t>
  </si>
  <si>
    <t>1 x 4C x 16mm² CU/XLPE/SWA/PVC + 1 x 1C x 16mm² CU/PVC ECC</t>
  </si>
  <si>
    <t>From SMDB-S-01-1B01 to FP-04</t>
  </si>
  <si>
    <t>From SMDB-S-04-B1-SF to DB-S--04-1B07</t>
  </si>
  <si>
    <t>1 x 4C x 25mm² CU/XLPE/LSOH + 1 x 1C x 16mm² CU/LSOH ECC</t>
  </si>
  <si>
    <t>From MCP-M-04-RF01 to VFD for AHU-M-LR-01</t>
  </si>
  <si>
    <t>From MCP-M-04-RF01 to VFD for AHU-M-RF-01</t>
  </si>
  <si>
    <t>1 x 4C x 25mm² CU/XLPE/SWA/LSOH + 1 x 1C x 16mm² CU/LSOH ECC</t>
  </si>
  <si>
    <t>From MDB-Z1-01-02 to MCP-M-01-UR02</t>
  </si>
  <si>
    <t>1 x 4C x 35mm² CU/XLPE/SWA/LSOH + 1 x 1C x 25mm² CU/PVC ECC</t>
  </si>
  <si>
    <t>From ESMDB-S-05-101 to 4x63A weatherproof isolator for BS1 escalator</t>
  </si>
  <si>
    <t>200</t>
  </si>
  <si>
    <t xml:space="preserve">1 x 4C x 70mm² CU/XLPE/SWA/LSOH + 1 x 1C x 35mm² ECC </t>
  </si>
  <si>
    <t>From MDB-Z4-09-04 to MCP-M-04-RF01</t>
  </si>
  <si>
    <t>1 x 4C x 95mm² CU/XLPE/SWA/PVC + 1 x 1C x 50mm² CU/PVC ECC</t>
  </si>
  <si>
    <t>From MDB-Z4-09-04 to SMDB-S-04-B1-SF</t>
  </si>
  <si>
    <t>1 x 4C x 185mm² CU/XLPE/SWA/PVC + 1 x 1C x 95mm² CU/PVC ECC</t>
  </si>
  <si>
    <t>From MDB-Z2-05-01 to MCP-M-02-RF01</t>
  </si>
  <si>
    <t>155</t>
  </si>
  <si>
    <t>2 x 3C x 16mm² CU/XLPE/LSOH + 1 x 1C x 16mm² CU/LSOH ECC</t>
  </si>
  <si>
    <t>From MCP-M-01-UR02 to 6x63A weatherproof isolator for exhaust fan</t>
  </si>
  <si>
    <t>From MCP-M-01-UR02 to 6x63A weatherproof isolator for supply fan</t>
  </si>
  <si>
    <t>Fire rated cables including earth connectivity conductor cables, terminations, lugs, supports and all ancillary work</t>
  </si>
  <si>
    <t>1 x 4C x 6mm² FR6 + 1 x 1C x 6mm² FR ECC</t>
  </si>
  <si>
    <t>From EMCC-M-05-UR02 to VFD for EPF-TR-05</t>
  </si>
  <si>
    <t>From EMCC-M-05-UR02 to VFD for EPF-TR-06</t>
  </si>
  <si>
    <t>From EMCC-M-05-UR02 to VFD for EPF-UR-07</t>
  </si>
  <si>
    <t>1 x 4C x 10mm² FR6 + 1 x 1C x 10mm² FR ECC</t>
  </si>
  <si>
    <t>From EMCC-M-04-2B02 to 3x40A weatherproof isolator for sump pump</t>
  </si>
  <si>
    <t>From EMCP-M-02-RF01 to VFD for EPF-TR-01</t>
  </si>
  <si>
    <t>From EMCP-M-02-RF01 to VFD for EPF-TR-02</t>
  </si>
  <si>
    <t>From EMCP-M-04-RF02 to VFD for EPF-TR-04</t>
  </si>
  <si>
    <t>1 x 4C x 16mm² FR6 + 1 x 1C x 10mm² FR ECC</t>
  </si>
  <si>
    <t>From EMCP-M-02-301 to VFD for AHU-M-TF-01</t>
  </si>
  <si>
    <t>1 x 4C x 16mm² FR6 + 1 x 1C x 16mm² FR ECC</t>
  </si>
  <si>
    <t>From EMCP-M-02-RF02 to VFD EPF-TR-11</t>
  </si>
  <si>
    <t>From EMCP-M-02-RF02 to VFD for EPF-TR-03</t>
  </si>
  <si>
    <t>From EMCP-M-02-RF02 to VFD for EPF-TR-10</t>
  </si>
  <si>
    <t>From EMCP-M-04-RF03 to VFD for EPF-LR-13</t>
  </si>
  <si>
    <t>1 x 4C x 25mm² FR6 + 1 x 1C x 16mm² FR ECC</t>
  </si>
  <si>
    <t>From EMCC-M-05-UR02 to VFD for EPF-TR-12</t>
  </si>
  <si>
    <t>From EMCP-M-01-1B02 to 6x125A weatherproof isolator for EPF-UR-09</t>
  </si>
  <si>
    <t>1 x 4C x 70mm² FR6/SWA + 1 x 1C x 35mm² FR ECC</t>
  </si>
  <si>
    <t>From EMDB-03-01 to EMCP-M-04-RF03</t>
  </si>
  <si>
    <t>From ESMDB-02-G02 to EMCP-M-02-RF02</t>
  </si>
  <si>
    <t>1 x 4C x 70mm² FR6/SWA + 1 x 1C x 35mm² FRE</t>
  </si>
  <si>
    <t>From EMDB-01-01 to EMCP-M-01-UR01</t>
  </si>
  <si>
    <t>1 x 4C x 95mm² FR6 + 1 x 1C x 50mm² FR ECC</t>
  </si>
  <si>
    <t>From ESMDB-01-G01 to EMCP-M-01-1B02</t>
  </si>
  <si>
    <t>2 x 3C x 25mm² FR6 + 1 x 1C x 16mm² FR ECC</t>
  </si>
  <si>
    <t>From EMCP-M-01-UR01 to 6x80A weatherproof isolator for SEF-M-UR-01</t>
  </si>
  <si>
    <t>From EMCP-M-02-RF02 to 6x63A weatherproof isolator for SEF-M-LR-01</t>
  </si>
  <si>
    <t>From EMCP-M-04-RF03 to 6x80A weatherproof isolator for SEF-M-LR-01</t>
  </si>
  <si>
    <t>Busbar including earth connectivity conductor cables, terminations, lugs, supports and all ancillary work</t>
  </si>
  <si>
    <t>1600A TPN busbar</t>
  </si>
  <si>
    <t>244</t>
  </si>
  <si>
    <t>Containment; including fittings, supports and all ancillary work as necessary</t>
  </si>
  <si>
    <t>LV cable trunking</t>
  </si>
  <si>
    <t>100 x 100 mm wide, 2 compartment cable trunking</t>
  </si>
  <si>
    <t>LV cable tray</t>
  </si>
  <si>
    <t>50 x 50mm wide cable tray</t>
  </si>
  <si>
    <t>201</t>
  </si>
  <si>
    <t>50 x 75mm wide cable tray</t>
  </si>
  <si>
    <t>50 x 100mm wide cable tray</t>
  </si>
  <si>
    <t>270</t>
  </si>
  <si>
    <t>50 x 150mm wide cable tray</t>
  </si>
  <si>
    <t>2,003</t>
  </si>
  <si>
    <t>50 x 225mm wide cable tray</t>
  </si>
  <si>
    <t>370</t>
  </si>
  <si>
    <t>50 x 300mm wide cable tray</t>
  </si>
  <si>
    <t>602</t>
  </si>
  <si>
    <t>50 x 450mm wide cable tray</t>
  </si>
  <si>
    <t>523</t>
  </si>
  <si>
    <t>50 x 600mm wide cable tray</t>
  </si>
  <si>
    <t>633</t>
  </si>
  <si>
    <t>50 x 750mm wide cable tray</t>
  </si>
  <si>
    <t>67</t>
  </si>
  <si>
    <t>50 x 900mm wide cable tray</t>
  </si>
  <si>
    <t>100 x 100mm wide cable tray</t>
  </si>
  <si>
    <t>190</t>
  </si>
  <si>
    <t>100 x 150mm wide cable tray</t>
  </si>
  <si>
    <t>100 x 200mm wide cable tray</t>
  </si>
  <si>
    <t>104</t>
  </si>
  <si>
    <t>100 x 300mm wide cable tray</t>
  </si>
  <si>
    <t>100 x 600mm wide cable tray</t>
  </si>
  <si>
    <t>100 x 750mm wide cable tray</t>
  </si>
  <si>
    <t>100 x 900mm wide cable tray</t>
  </si>
  <si>
    <t>353</t>
  </si>
  <si>
    <t>ELV cable trunking</t>
  </si>
  <si>
    <t>100 x 100mm GI trunking</t>
  </si>
  <si>
    <t>Sub-main distribution board</t>
  </si>
  <si>
    <t>SMDB-S-04-B1-SF; TCL = 90.32kW</t>
  </si>
  <si>
    <t>SMDB-AN-UR-001; TCL = 484.92kW</t>
  </si>
  <si>
    <t>Modification of sub-main distribution board</t>
  </si>
  <si>
    <t>SMDB-S-01-1B01; TCL = 48.73kW</t>
  </si>
  <si>
    <t>SMDB-S-04-1B02; TCL = 15.20kW</t>
  </si>
  <si>
    <t>SMDB-SH-01-G01; TCL = 124.80kW</t>
  </si>
  <si>
    <t>SMDB-SH-01-G02; TCL = 250kW</t>
  </si>
  <si>
    <t>SMDB-SH-01-G03; TCL = 184kW</t>
  </si>
  <si>
    <t>SMDB-SH-01-G04; TCL = 304kW</t>
  </si>
  <si>
    <t>SMDB-SH-01-G05; TCL = 270.56kW</t>
  </si>
  <si>
    <t>SMDB-SH-01-G06; TCL = 148.53kW</t>
  </si>
  <si>
    <t>SMDB-SH-04-G01; TCL = 183.28kW</t>
  </si>
  <si>
    <t>SMDB-SH-04-G02; TCL = 135.64kW</t>
  </si>
  <si>
    <t>SMDB-SH-04-G03; TCL = 176.66kW</t>
  </si>
  <si>
    <t>SMDB-SH-04-G04; TCL = 285.54kW</t>
  </si>
  <si>
    <t>SMDB-SH-04-G05; TCL = 299.20kW</t>
  </si>
  <si>
    <t>SMDB-SH-05-G01; TCL = 87.50kW</t>
  </si>
  <si>
    <t>SMDB-SH-05-G02; TCL = 97.44kW</t>
  </si>
  <si>
    <t>SMDB-SH-05-G03; TCL = 115.52kW</t>
  </si>
  <si>
    <t>SMDB-SH-05-G04; TCL = 65.10kW</t>
  </si>
  <si>
    <t>SMDB-S-01-B2-FB1; TCL = 78.24kW</t>
  </si>
  <si>
    <t>SMDB-S-01-B2-FB2; TCL = 51.20kW</t>
  </si>
  <si>
    <t>SMDB-S-04-B2-FB1; TCL = 98.60kW</t>
  </si>
  <si>
    <t>SMDB-S-05-B2-FB1; TCL = 65.63kW</t>
  </si>
  <si>
    <t>SMDB-S-01-301; TCL = 41.94kW</t>
  </si>
  <si>
    <t>SMDB-S-01-RF01; TCL = 74.57kW</t>
  </si>
  <si>
    <t>SMDB-S-01-RF02; TCL = 30.30kW</t>
  </si>
  <si>
    <t>SMDB-S-04-RF01; TCL = 54.81kW</t>
  </si>
  <si>
    <t>SMDB-S-04-UR01; TCL = 43.65kW</t>
  </si>
  <si>
    <t>Distribution board</t>
  </si>
  <si>
    <t>DB-S-04-1B07; TCL = 30.35kW</t>
  </si>
  <si>
    <t>DB-S-04-1B08; TCL = 6kW</t>
  </si>
  <si>
    <t>DB-S-01-RF07; TCL = 9.34kW</t>
  </si>
  <si>
    <t>DB-S-01-RF08; TCL = 8.80kW</t>
  </si>
  <si>
    <t>DB-S-01-RF09; TCL = 32.16kW</t>
  </si>
  <si>
    <t>DB-S-04-RF07; TCL = 10.82kW</t>
  </si>
  <si>
    <t>DB-S-04-UR03: TCL = 12.64kW</t>
  </si>
  <si>
    <t>Emergency motor control center</t>
  </si>
  <si>
    <t>EMCC-M-05-UR02; TCL = 44kW</t>
  </si>
  <si>
    <t>Modification of emergency motor control center</t>
  </si>
  <si>
    <t>EMCC-M-04-2B02; TCL = 224kW</t>
  </si>
  <si>
    <t>Motor circuit protector</t>
  </si>
  <si>
    <t>MCP-M-02-RF01; TCL = 136.70kW</t>
  </si>
  <si>
    <t>MCP-M-04-RF01; TCL = 60.40kW</t>
  </si>
  <si>
    <t>MCP-M-01-UR02; TCL = 36.60kW</t>
  </si>
  <si>
    <t>Modification of motor circuit protector</t>
  </si>
  <si>
    <t>MCP-M-01-1B01; TCL = 22.66kW</t>
  </si>
  <si>
    <t>MCP-M-04-UR01; TCL = 121.99kW</t>
  </si>
  <si>
    <t>Emergency motor circuit protector</t>
  </si>
  <si>
    <t>EMCP-M-01-1B02; TCL = 105kW</t>
  </si>
  <si>
    <t>EMCP-M-02-RF02; TCL = 63kW</t>
  </si>
  <si>
    <t>EMCP-M-04-RF03; TCL = 62.49kW</t>
  </si>
  <si>
    <t>EMCP-M-01-UR01; TCL = 74kW</t>
  </si>
  <si>
    <t>Modification of emergency motor circuit protector</t>
  </si>
  <si>
    <t>EMCP-M-02-301; TCL = 75.27kW</t>
  </si>
  <si>
    <t>EMCP-M-02-301; TCL = 79.26kW</t>
  </si>
  <si>
    <t>EMCP-M-02-RF01; TCL = 183.7kW</t>
  </si>
  <si>
    <t>EMCP-M-04-RF02; TCL = 156.96kW</t>
  </si>
  <si>
    <t>EMCP-M-04-UR01; TCL = 172.15kW</t>
  </si>
  <si>
    <t>Variable frequency drive</t>
  </si>
  <si>
    <t>VFD for AHU-M-TF-01; TCL = 15kW</t>
  </si>
  <si>
    <t>VFD for AHU-M-LR-01; TCL = 30kW</t>
  </si>
  <si>
    <t>VFD for AHU-M-RF-01; TCL = 15kW</t>
  </si>
  <si>
    <t>VFD for EPF-LR-13; TCL = 11kW</t>
  </si>
  <si>
    <t>VFD for EPF-TR-01; TCL = 7.50kW</t>
  </si>
  <si>
    <t>VFD for EPF-TR-02; TCL = 7.50kW</t>
  </si>
  <si>
    <t>VFD for EPF-TR-03; TCL = 7.5kW</t>
  </si>
  <si>
    <t>VFD for EPF-TR-04; TCL = 5.5kW</t>
  </si>
  <si>
    <t>VFD for EPF-TR-05; TCL = 7.5kW</t>
  </si>
  <si>
    <t>VFD for EPF-TR-06; TCL = 7.5kW</t>
  </si>
  <si>
    <t>VFD for EPF-TR-10; TCL = 7.5kW</t>
  </si>
  <si>
    <t>VFD for EPF-TR-11; TCL = 11kW</t>
  </si>
  <si>
    <t>VFD for EPF-TR-12; TCL = 15kW</t>
  </si>
  <si>
    <t>VFD for EPF-UR-07; TCL = 5.5kW</t>
  </si>
  <si>
    <t>VFD for EPF-UR-08; TCL = 7.5kW</t>
  </si>
  <si>
    <t>VFD for EPF-UR-09; TCL = 7.5kW</t>
  </si>
  <si>
    <t>VFD for Recovery Wheel; TCL = 0.50kW</t>
  </si>
  <si>
    <t>Kilowatt-hour meter</t>
  </si>
  <si>
    <t>kWh meter</t>
  </si>
  <si>
    <t>CT meter</t>
  </si>
  <si>
    <t>200/5A CT meter</t>
  </si>
  <si>
    <t>300/5A CT meter</t>
  </si>
  <si>
    <t>2 x 16A SP weatherproof isolator</t>
  </si>
  <si>
    <t>3 x 40A TP weatherproof isolator</t>
  </si>
  <si>
    <t>4 x 63A TP weatherproof isolator</t>
  </si>
  <si>
    <t>6 x 63A TP weatherproof isolator</t>
  </si>
  <si>
    <t>6 x 80A TP weatherproof isolator</t>
  </si>
  <si>
    <t>6 x 125A TP weatherproof isolator</t>
  </si>
  <si>
    <t>20A TP weatherproof isolator</t>
  </si>
  <si>
    <t>Small Power</t>
  </si>
  <si>
    <t>Socket outlet points</t>
  </si>
  <si>
    <t>145</t>
  </si>
  <si>
    <t>123</t>
  </si>
  <si>
    <t>Floor box points</t>
  </si>
  <si>
    <t>13A single switch socket outlet</t>
  </si>
  <si>
    <t>52</t>
  </si>
  <si>
    <t>13A single switch socket outlet, explosion proof</t>
  </si>
  <si>
    <t>20A SP industrial socket outlet</t>
  </si>
  <si>
    <t>20A twin socket outlet</t>
  </si>
  <si>
    <t>77</t>
  </si>
  <si>
    <t>32A TP industrial socket outlet</t>
  </si>
  <si>
    <t>Connection unit</t>
  </si>
  <si>
    <t>Connection unit with switch</t>
  </si>
  <si>
    <t>Type FB3; under screed floor box with 2 no. of twin power socket and 2 no. of data points with fiber optic cable (data outlet with fiber optic cable measured separately)</t>
  </si>
  <si>
    <t>Type FB4; under screed floor box with 2 no. of twin power socket and 2 no. of twin RJ45 (data outlet measured separately)</t>
  </si>
  <si>
    <t>1) Drawing Nr. E-00003 to 00030, E-12560 to 12624, E-00300, AKA-CDM-ZZ-B1-DR-LT-120 to XX-DR-LT-166 and Al Khail_R20_LTG_LT: 3D View; all inclusive</t>
  </si>
  <si>
    <t>2) Lighting Fixture Schedule - Interior dated March 30, 2022 and Lighting Fixture Control Schedule- Interior dated April 1, 2022</t>
  </si>
  <si>
    <t>3) Al Khail Avenue Mall Redevelopment Electrical Specifications dated March 28, 2022</t>
  </si>
  <si>
    <t>Interior light points</t>
  </si>
  <si>
    <t>1,749</t>
  </si>
  <si>
    <t>Interior linear light points</t>
  </si>
  <si>
    <t>2,392</t>
  </si>
  <si>
    <t>BOH light points</t>
  </si>
  <si>
    <t>686</t>
  </si>
  <si>
    <t>Light switch points</t>
  </si>
  <si>
    <t>Interior lighting</t>
  </si>
  <si>
    <t>Type IL1; 36W ceiling recessed downlights, 3000 lm, IP20 rating</t>
  </si>
  <si>
    <t>638</t>
  </si>
  <si>
    <t>Type IL1A; 28W surface mounted downlight within ceiling slot, 3100 lm, IP20 rating</t>
  </si>
  <si>
    <t>Type IL3; 10.6W/m side-bend flexible linear LED tape light, 1200 lm/m, IP67 rating</t>
  </si>
  <si>
    <t>960</t>
  </si>
  <si>
    <t>Type IL6; 10W timeless mini downlights, 749 lm, IP20 rating</t>
  </si>
  <si>
    <t>511</t>
  </si>
  <si>
    <t>Type IL13; 35W surface mounted linear light, 1144 lm/m, IP67 rating</t>
  </si>
  <si>
    <t>Type IL13A; 35W surface mounted linear LED light, 3000K, 1144 lm/m, CRI 90, white finish, IP67 rating</t>
  </si>
  <si>
    <t>914</t>
  </si>
  <si>
    <t>Type IL15; 80W surface mounted projectors, 7585 lm/m, IP66 rating</t>
  </si>
  <si>
    <t>592</t>
  </si>
  <si>
    <t>Type IL16; 30W linear fixture at atrium skylight, 1176 lm/m, IP68 rating</t>
  </si>
  <si>
    <t>347</t>
  </si>
  <si>
    <t>BOH lighting</t>
  </si>
  <si>
    <t>Type B1; 54W LED wall mounted linear light</t>
  </si>
  <si>
    <t>Type D4; 54W circular big surface light</t>
  </si>
  <si>
    <t>Type DL4; 27W recessed LED down light, 90+CRI die cast aluminum body, recessed diffusing lens and lower reflector, 2000 lm, 4000K, IP44 rating</t>
  </si>
  <si>
    <t>207</t>
  </si>
  <si>
    <t>Type DL5; recessed circular LED down light, aluminum injection housing with aluminum heat sink, UV resistant, non yellowing, opal white diffuser, 1100lm, 4000K, IP44 rating</t>
  </si>
  <si>
    <t>58</t>
  </si>
  <si>
    <t>Type L1; 54W LED normal linear light</t>
  </si>
  <si>
    <t>Type P1; pole light with single lighting fixture</t>
  </si>
  <si>
    <t>Type P11; pole light with back  to back lighting fixture</t>
  </si>
  <si>
    <t>Type RL5; 36W 3D recessed LED luminaire, white sheet steel body with electrostatic powder coating, with prismatic structured opal white diffuser, 4350lm, 4000K, IP44 rating</t>
  </si>
  <si>
    <t>Type SF5; 2 x 13W surface mounted luminaire, tough injection moulded prismatic UV resistant polycarbonate diffuser, IP55</t>
  </si>
  <si>
    <t>Type SL11; 26W LED wall/ceiling mounted luminaire with sheet steel heat sink/reflector painted in white color, L1600 x W110 x H90mm body in polycarbonate grey and UV stabilised polycarbonate diffuser, 3090lm, 4000K, IP66</t>
  </si>
  <si>
    <t>Type SL18; 36W LED ceiling luminaire with polycarbonate body, and satin opal polycarbonate diffuser. L1277mm X W104mm X H84mm, 4290lm, 4000K, IP66 rating</t>
  </si>
  <si>
    <t>165</t>
  </si>
  <si>
    <t>Type SL33; 9W wall mounted rectangular light</t>
  </si>
  <si>
    <t>Type SL39; 47W LED surface /pendant mounted luminaire with fitting sheet steel powder - coated,aluminum anodised frame, plastic diffuser L598 X B598 X H49mm , 4000K, IP40 rating</t>
  </si>
  <si>
    <t>Lighting switches; including supports and ancillary work as necessary</t>
  </si>
  <si>
    <t>1 gang 1 way switch</t>
  </si>
  <si>
    <t>1 gang 1 way switch; weatherproof</t>
  </si>
  <si>
    <t>1 gang 2 way switch; weatherproof</t>
  </si>
  <si>
    <t>2 gang 1 way switch</t>
  </si>
  <si>
    <t>2 gang 2 way switch</t>
  </si>
  <si>
    <t>2 gang 2 way switch; weatherproof</t>
  </si>
  <si>
    <t>Occupancy sensor</t>
  </si>
  <si>
    <t>Occupancy Sensor: PIR</t>
  </si>
  <si>
    <t>Allow for shaft lights and switches including cables, containments, terminations to power supply, fixings and all ancillary works as necessary</t>
  </si>
  <si>
    <t>Emergency lighting system</t>
  </si>
  <si>
    <t>Emergency light points</t>
  </si>
  <si>
    <t>224</t>
  </si>
  <si>
    <t>Emergency exit light points</t>
  </si>
  <si>
    <t>Type E1; rectangular surface mounted emergency luminaires in polycarbonate enclosure, IP65 with clear cover &amp; 18W lamp along with addressable electronic ballast</t>
  </si>
  <si>
    <t>161</t>
  </si>
  <si>
    <t>Type E5: surface mounted emergency luminaires in polycarbonate enclosure, IP65 with clear cover &amp; 11W lamp along with addressable electronic ballast</t>
  </si>
  <si>
    <t>Type E1S1: rectangle surface mounted emergency luminaires in polycarbonate enclosure, with clear cover &amp; 11W lamp.it is also fitted with low loss addressable electronic ballast. suspended by 1m and 1.5m</t>
  </si>
  <si>
    <t>Type E2; rectangular recess mounted emergency luminaires in polycarbonate enclosure, with clear cover &amp; 11W lamp along with addressable electronic ballast</t>
  </si>
  <si>
    <t>Type EX1; wall mounted, right arrow exit sign</t>
  </si>
  <si>
    <t>Type EX1_NEW WP; ceiling mounted, down arrow exit sign</t>
  </si>
  <si>
    <t>Type EX2; wall mounted, down arrow exit sign</t>
  </si>
  <si>
    <t>Type EX4; wall mounted, down arrow exit sign</t>
  </si>
  <si>
    <t>FIRE DETECTION AND ALARM SYSTEM</t>
  </si>
  <si>
    <t>1) Drawing Nr. E-00003 to 00012, E-12675 to 12729, F-12000 to 12105 and Al Khail_R20_ELEC_LT: 3D View; all inclusive</t>
  </si>
  <si>
    <t>Ceiling/surface mounted smoke detector</t>
  </si>
  <si>
    <t>Ceiling void mounted smoke detector</t>
  </si>
  <si>
    <t>Heat detector</t>
  </si>
  <si>
    <t>Ceiling mounted fire alarm strobe</t>
  </si>
  <si>
    <t>Wall mounted fire alarm strobe</t>
  </si>
  <si>
    <t>Interface unit</t>
  </si>
  <si>
    <t>Fireman telephone:</t>
  </si>
  <si>
    <t>Ceiling Speaker, EVACS</t>
  </si>
  <si>
    <t>25</t>
  </si>
  <si>
    <t>Wall Speaker, EVACS</t>
  </si>
  <si>
    <t>Fire alarm control module relay; Ref CM</t>
  </si>
  <si>
    <t>FIRE DETECTION AND ALARM SYSTEM (Cont´d)</t>
  </si>
  <si>
    <t>Equipment; including fixings, supports, hangers and all ancillary works as necessary</t>
  </si>
  <si>
    <t>TELECOM INSTALLATION</t>
  </si>
  <si>
    <t>1) Drawing Nr. E-00003 to 00012, T-12555 to 12664 and Al Khail_R20_ELEC_LT: 3D View; all inclusive</t>
  </si>
  <si>
    <t>1 duplex RJ45 outlet and 2 core fiber optic cable, wall mounted, Ref: 2D W</t>
  </si>
  <si>
    <t>Single RJ45 outlet, ceiling mounted, Ref: 1D C</t>
  </si>
  <si>
    <t>Single RJ45 outlet, ceiling mounted, Ref: additional for WAP</t>
  </si>
  <si>
    <t>Single RJ45 outlet, wall mounted, Ref: 1T W</t>
  </si>
  <si>
    <t>Twin RJ45 outlet, Ref: 1T D1</t>
  </si>
  <si>
    <t>Single RJ45 outlet, wall mounted, Ref: 1D W</t>
  </si>
  <si>
    <t>Wifi access point Ref: WAP</t>
  </si>
  <si>
    <t>Ref: FB3; under screed floor box with 2 no. of twin power socket, 2 no. of data points with fiber optic cable (floor box and socket outlet measured separately)</t>
  </si>
  <si>
    <t>Ref: FB4; under screed floor box with 2 no. of twin power socket, 2 no. of twin RJ45 (floor box and socket outlet measured separately)</t>
  </si>
  <si>
    <t>Ceiling mounted TETRA antenna</t>
  </si>
  <si>
    <t>TELECOM INSTALLATION (Cont´d)</t>
  </si>
  <si>
    <t>1) Drawing Nr. E-00003 to 00012 and E-12785 to 12844; all inclusive</t>
  </si>
  <si>
    <t>Access control points</t>
  </si>
  <si>
    <t>Ceiling type indoor dome camera, detection; Ref: T1 CD</t>
  </si>
  <si>
    <t>Ceiling type indoor dome camera, identification; Ref: T1 CI</t>
  </si>
  <si>
    <t>46</t>
  </si>
  <si>
    <t>Ceiling type indoor dome camera, recognition; Ref: T1 CR</t>
  </si>
  <si>
    <t>Wall mounted indoor dome camera, detection; Ref: T6 WD</t>
  </si>
  <si>
    <t>Dome IP camera, wall mounted</t>
  </si>
  <si>
    <t>Access control; including supports and ancillary work as necessary</t>
  </si>
  <si>
    <t>Type DC; access control electromagnetic lock</t>
  </si>
  <si>
    <t>PARKING MANAGEMENT SYSTEM</t>
  </si>
  <si>
    <t>1) Drawing Nr. E-00003 to 00012 and E-12900 to 12924; all inclusive</t>
  </si>
  <si>
    <t>Parking sensor points</t>
  </si>
  <si>
    <t>577</t>
  </si>
  <si>
    <t>Parking sensor</t>
  </si>
  <si>
    <t>100 x 100mm wide cable tray parking management</t>
  </si>
  <si>
    <t>7,390</t>
  </si>
  <si>
    <t>100 x 150mm wide cable tray parking management</t>
  </si>
  <si>
    <t>575</t>
  </si>
  <si>
    <t>100 x 200mm wide cable tray parking management</t>
  </si>
  <si>
    <t>100 x 300mm wide cable tray parking management</t>
  </si>
  <si>
    <t>2,726</t>
  </si>
  <si>
    <t>Allow for testing and commissioning to ensure the new devices works with the existing system and all ancillary works as necessary</t>
  </si>
  <si>
    <t>Allow for providing spares for the Electrical Engineering Installation</t>
  </si>
  <si>
    <t xml:space="preserve">Allow for providing connection from existing BMS system to Electrical Engineering Installation as required in drawings and specifications </t>
  </si>
  <si>
    <t>Allow for fire stopping all cables, conduit, trucking, cable tray and the like at penetrations through fire walls and other structures and making good</t>
  </si>
  <si>
    <t>Allow for all protective painting including removing protective coatings or wrappings and cleaning exposed surfaces for Electrical installations.</t>
  </si>
  <si>
    <t>WORK INCIDENTAL AND BWIC (Cont´d)</t>
  </si>
  <si>
    <t>Allow for all decorative painting including removing protective coatings or wrappings and cleaning exposed surfaces for Electrical installations.</t>
  </si>
  <si>
    <t>Page 4/R/1</t>
  </si>
  <si>
    <t>Page 4/R/2</t>
  </si>
  <si>
    <t>Page 4/R/3</t>
  </si>
  <si>
    <t>Page 4/R/4</t>
  </si>
  <si>
    <t>Page 4/R/5</t>
  </si>
  <si>
    <t>Page 4/R/6</t>
  </si>
  <si>
    <t>Page 4/R/7</t>
  </si>
  <si>
    <t>Page 4/R/8</t>
  </si>
  <si>
    <t>Page 4/R/9</t>
  </si>
  <si>
    <t>Page 4/R/10</t>
  </si>
  <si>
    <t>Page 4/R/11</t>
  </si>
  <si>
    <t>Page 4/R/12</t>
  </si>
  <si>
    <t>Page 4/R/13</t>
  </si>
  <si>
    <t>Page 4/R/14</t>
  </si>
  <si>
    <t>Page 4/R/15</t>
  </si>
  <si>
    <t>Page 4/R/16</t>
  </si>
  <si>
    <t>Page 4/R/17</t>
  </si>
  <si>
    <t>Page 4/R/18</t>
  </si>
  <si>
    <t>Page 4/R/19</t>
  </si>
  <si>
    <t>Page 4/R/20</t>
  </si>
  <si>
    <t>Page 4/R/21</t>
  </si>
  <si>
    <t>Page 4/R/22</t>
  </si>
  <si>
    <t>Page 4/R/23</t>
  </si>
  <si>
    <t>Page 4/R/24</t>
  </si>
  <si>
    <t>Page 4/R/25</t>
  </si>
  <si>
    <t>Page 4/R/26</t>
  </si>
  <si>
    <t>Page 4/R/27</t>
  </si>
  <si>
    <t>Carried to Summary</t>
  </si>
  <si>
    <t>4/C/1 - 4/C/4</t>
  </si>
  <si>
    <t>4/D/1 - 4/D/2</t>
  </si>
  <si>
    <t>4/F/1 - 4/F/2</t>
  </si>
  <si>
    <t>4/G/1 - 4/G/2</t>
  </si>
  <si>
    <t>4/H/1 - 4/H/4</t>
  </si>
  <si>
    <t>4/J/1 - 4/J/6</t>
  </si>
  <si>
    <t>4/K/1 - 4/K/7</t>
  </si>
  <si>
    <t>4/M/1 - 4/M/2</t>
  </si>
  <si>
    <t>4/Q1/1 - 4/Q1/32</t>
  </si>
  <si>
    <t>4/R/1 - 4/R/27</t>
  </si>
  <si>
    <t>BILL NO. 4</t>
  </si>
  <si>
    <t>TOTAL FOR BILL NO. 4 -PARKING FLOORS REFURBISHMENT</t>
  </si>
  <si>
    <t>PARKING FLOORS REFURBISHMENT</t>
  </si>
  <si>
    <t>Flexible elastomeric insulation, 19mm thick to
condensate drain pipework; including supports,
accessories and other ancillary works as
necessary</t>
  </si>
  <si>
    <t>SCREENS / CURTAIN WALLS</t>
  </si>
  <si>
    <t>To parking lobby</t>
  </si>
  <si>
    <t>Glass wall; including extruded mullion profile, gaskets, thermal insulation, waterproofing membrane, ironmongery, accessories and all ancillary works as necessary</t>
  </si>
  <si>
    <t>Extra over sliding door; size 2000 x 22000mm including mechanism</t>
  </si>
  <si>
    <t>Quantity Adjustments</t>
  </si>
  <si>
    <t>Variance in quantity following in-house Quantity Take Off</t>
  </si>
  <si>
    <t>item</t>
  </si>
  <si>
    <t>3mm thick protectiob board to vertical surfaces</t>
  </si>
  <si>
    <t>FIRE CURTAINS</t>
  </si>
  <si>
    <t>2-hour rated fire curtains to lift and escalator lobbies glass enclosures</t>
  </si>
  <si>
    <t>Removal of existing floor finishes for lift and escalator lobbies at parking</t>
  </si>
  <si>
    <t>Included</t>
  </si>
  <si>
    <t>N/A</t>
  </si>
  <si>
    <t>LPG System</t>
  </si>
  <si>
    <t>Supply Installation of LPG System</t>
  </si>
  <si>
    <t>Included in Provisional Sum (Bill No. 6) as clarified</t>
  </si>
  <si>
    <t>Thermal insulated blockwall enclosing skylight well / void from Level 3 up to skylights (A317, A318 and A319)</t>
  </si>
  <si>
    <t>200mm thick; Type 2</t>
  </si>
  <si>
    <t>Wall plaster; 15mm thick; to receive paint (to skylight well / void from Level 3 up to skylights -A317, A318 and A319)</t>
  </si>
  <si>
    <t>Type PT-01; to plastered walls (to skylight well / void from Level 3 up to skylights -A317, A318 and A319)</t>
  </si>
  <si>
    <t>Crash rail along perimiter of skylight wells at levels 3 and lower roof</t>
  </si>
  <si>
    <t>Fire Fighting</t>
  </si>
  <si>
    <t>Deluge Fire Sprinkler System</t>
  </si>
  <si>
    <t>Deleted - Please Refer to Client VE Item 56</t>
  </si>
  <si>
    <t>Refer to Bill No. 6 - Provisional Sum</t>
  </si>
  <si>
    <t>PRELIMINARIES</t>
  </si>
  <si>
    <t>Preliminaries for MEP Works within Bill No. 4 Section Q</t>
  </si>
  <si>
    <t>Preliminaries for MEP Works within Bill No. 4 Section R</t>
  </si>
  <si>
    <t>VE Ref.</t>
  </si>
  <si>
    <t>** VE Reference "EM-" denotes items raised by Client in the VE Schedule</t>
  </si>
  <si>
    <t>EM-17</t>
  </si>
  <si>
    <t>EM-18 EM-20</t>
  </si>
  <si>
    <t>EM-24</t>
  </si>
  <si>
    <t>EM-56</t>
  </si>
  <si>
    <t>MC-08</t>
  </si>
  <si>
    <t>** VE Reference "EM-" denotes items raised by Client in the VE Schedule and "MC-" denotes items raised by Dutco in the VE Schedule</t>
  </si>
  <si>
    <t>EM-41</t>
  </si>
  <si>
    <t>EM-45</t>
  </si>
  <si>
    <t>EM-35</t>
  </si>
  <si>
    <t>EM-38</t>
  </si>
  <si>
    <t>EM-71</t>
  </si>
  <si>
    <t>EM-39
EM-73</t>
  </si>
  <si>
    <t>EM-50</t>
  </si>
  <si>
    <t>Deleted - Refer to PTC-25 Rev 1 Item 4.0</t>
  </si>
  <si>
    <t>Supply and installation 900mm high painted mild steel of RAL 860-3 colour handrails</t>
  </si>
  <si>
    <t>Rate Only</t>
  </si>
  <si>
    <t>PTC26</t>
  </si>
  <si>
    <t>EM-57</t>
  </si>
  <si>
    <t>EM-51
EM-57</t>
  </si>
  <si>
    <t>EM-33</t>
  </si>
  <si>
    <t>EM-48</t>
  </si>
  <si>
    <t>EM-65</t>
  </si>
  <si>
    <t>Rate Only - 
Refer P/Sum</t>
  </si>
  <si>
    <t>PTC 26</t>
  </si>
  <si>
    <t>Demolition</t>
  </si>
  <si>
    <t>Removal of existing Wall finishes for lift and escalator lobbies at parking</t>
  </si>
  <si>
    <t>Removal of existing Ceiling finishes for lift and escalator lobbies at parking</t>
  </si>
  <si>
    <t>Finishes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</si>
</sst>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0_);_(* \(#,##0.00\);_(* &quot;-&quot;??_);_(@_)"/>
  </numFmts>
  <fonts count="33" x14ac:knownFonts="1">
    <font>
      <sz val="10"/>
      <name val="Arial"/>
    </font>
    <font>
      <sz val="11"/>
      <color theme="1"/>
      <name val="Calibri"/>
      <family val="2"/>
      <scheme val="minor"/>
    </font>
    <font>
      <sz val="11"/>
      <color theme="1"/>
      <name val="Calibri"/>
      <family val="2"/>
      <scheme val="minor"/>
    </font>
    <font>
      <sz val="10"/>
      <name val="Arial"/>
      <family val="2"/>
    </font>
    <font>
      <sz val="11"/>
      <name val="Arial"/>
      <family val="2"/>
    </font>
    <font>
      <u/>
      <sz val="11"/>
      <name val="Arial"/>
      <family val="2"/>
    </font>
    <font>
      <sz val="11"/>
      <color theme="1"/>
      <name val="Calibri"/>
      <family val="2"/>
      <scheme val="minor"/>
    </font>
    <font>
      <sz val="11"/>
      <color theme="1"/>
      <name val="Arial"/>
      <family val="2"/>
    </font>
    <font>
      <sz val="11"/>
      <color indexed="8"/>
      <name val="Arial"/>
      <family val="2"/>
    </font>
    <font>
      <u/>
      <sz val="11"/>
      <color indexed="8"/>
      <name val="Arial"/>
      <family val="2"/>
    </font>
    <font>
      <b/>
      <sz val="11"/>
      <name val="Arial"/>
      <family val="2"/>
    </font>
    <font>
      <sz val="11"/>
      <color rgb="FFFF0000"/>
      <name val="Arial"/>
      <family val="2"/>
    </font>
    <font>
      <sz val="10"/>
      <color theme="0"/>
      <name val="Arial"/>
      <family val="2"/>
    </font>
    <font>
      <b/>
      <sz val="9"/>
      <color theme="0"/>
      <name val="Arial"/>
      <family val="2"/>
    </font>
    <font>
      <sz val="9"/>
      <name val="Arial"/>
      <family val="2"/>
    </font>
    <font>
      <u/>
      <sz val="11"/>
      <color rgb="FF000000"/>
      <name val="Arial"/>
      <family val="2"/>
    </font>
    <font>
      <sz val="11"/>
      <color rgb="FF000000"/>
      <name val="Arial"/>
      <family val="2"/>
    </font>
    <font>
      <sz val="8"/>
      <name val="Arial"/>
      <family val="2"/>
    </font>
    <font>
      <u/>
      <sz val="10"/>
      <name val="Arial"/>
      <family val="2"/>
    </font>
    <font>
      <sz val="10"/>
      <name val="Arial"/>
      <family val="2"/>
    </font>
    <font>
      <b/>
      <sz val="11"/>
      <color theme="1"/>
      <name val="Calibri"/>
      <family val="2"/>
      <scheme val="minor"/>
    </font>
    <font>
      <b/>
      <sz val="11"/>
      <name val="Calibri"/>
      <family val="2"/>
      <scheme val="minor"/>
    </font>
    <font>
      <b/>
      <sz val="11"/>
      <color rgb="FFFF0000"/>
      <name val="Arial"/>
      <family val="2"/>
    </font>
    <font>
      <sz val="11"/>
      <name val="Calibri"/>
      <family val="2"/>
      <scheme val="minor"/>
    </font>
    <font>
      <b/>
      <sz val="10"/>
      <name val="Arial"/>
      <family val="2"/>
    </font>
    <font>
      <b/>
      <sz val="10"/>
      <color rgb="FFFF0000"/>
      <name val="Arial"/>
      <family val="2"/>
    </font>
    <font>
      <i/>
      <sz val="10"/>
      <color rgb="FFFF0000"/>
      <name val="Arial"/>
      <family val="2"/>
    </font>
    <font>
      <i/>
      <sz val="11"/>
      <color rgb="FFFF0000"/>
      <name val="Arial"/>
      <family val="2"/>
    </font>
    <font>
      <sz val="8"/>
      <color rgb="FFFF0000"/>
      <name val="Arial"/>
      <family val="2"/>
    </font>
    <font>
      <strike/>
      <sz val="11"/>
      <name val="Arial"/>
      <family val="2"/>
    </font>
    <font>
      <strike/>
      <sz val="10"/>
      <name val="Arial"/>
      <family val="2"/>
    </font>
    <font>
      <strike/>
      <sz val="11"/>
      <color rgb="FFFF0000"/>
      <name val="Arial"/>
      <family val="2"/>
    </font>
    <font>
      <strike/>
      <sz val="11"/>
      <color rgb="FF000000"/>
      <name val="Arial"/>
      <family val="2"/>
    </font>
  </fonts>
  <fills count="3">
    <fill>
      <patternFill patternType="none"/>
    </fill>
    <fill>
      <patternFill patternType="gray125"/>
    </fill>
    <fill>
      <patternFill patternType="solid">
        <fgColor rgb="FFFFFFFF"/>
        <bgColor indexed="64"/>
      </patternFill>
    </fill>
  </fills>
  <borders count="15">
    <border>
      <left/>
      <right/>
      <top/>
      <bottom/>
      <diagonal/>
    </border>
    <border>
      <left style="thin">
        <color auto="1"/>
      </left>
      <right style="thin">
        <color auto="1"/>
      </right>
      <top/>
      <bottom/>
      <diagonal/>
    </border>
    <border>
      <left style="thin">
        <color auto="1"/>
      </left>
      <right style="double">
        <color auto="1"/>
      </right>
      <top/>
      <bottom/>
      <diagonal/>
    </border>
    <border>
      <left style="double">
        <color auto="1"/>
      </left>
      <right style="thin">
        <color auto="1"/>
      </right>
      <top/>
      <bottom/>
      <diagonal/>
    </border>
    <border>
      <left style="thin">
        <color indexed="64"/>
      </left>
      <right style="thin">
        <color indexed="64"/>
      </right>
      <top style="thin">
        <color indexed="64"/>
      </top>
      <bottom/>
      <diagonal/>
    </border>
    <border>
      <left style="thin">
        <color indexed="64"/>
      </left>
      <right style="double">
        <color indexed="64"/>
      </right>
      <top style="thin">
        <color indexed="64"/>
      </top>
      <bottom/>
      <diagonal/>
    </border>
    <border>
      <left style="double">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double">
        <color auto="1"/>
      </right>
      <top/>
      <bottom style="thin">
        <color auto="1"/>
      </bottom>
      <diagonal/>
    </border>
    <border>
      <left style="double">
        <color auto="1"/>
      </left>
      <right style="thin">
        <color auto="1"/>
      </right>
      <top/>
      <bottom style="thin">
        <color auto="1"/>
      </bottom>
      <diagonal/>
    </border>
    <border>
      <left style="thin">
        <color auto="1"/>
      </left>
      <right/>
      <top/>
      <bottom/>
      <diagonal/>
    </border>
    <border>
      <left/>
      <right style="thin">
        <color auto="1"/>
      </right>
      <top/>
      <bottom/>
      <diagonal/>
    </border>
    <border>
      <left/>
      <right/>
      <top style="thin">
        <color indexed="64"/>
      </top>
      <bottom/>
      <diagonal/>
    </border>
    <border>
      <left/>
      <right style="thin">
        <color indexed="64"/>
      </right>
      <top style="thin">
        <color indexed="64"/>
      </top>
      <bottom/>
      <diagonal/>
    </border>
    <border>
      <left/>
      <right style="thin">
        <color auto="1"/>
      </right>
      <top/>
      <bottom style="thin">
        <color auto="1"/>
      </bottom>
      <diagonal/>
    </border>
  </borders>
  <cellStyleXfs count="22">
    <xf numFmtId="0" fontId="0" fillId="0" borderId="0"/>
    <xf numFmtId="0" fontId="6" fillId="0" borderId="0"/>
    <xf numFmtId="164" fontId="3" fillId="0" borderId="0" applyFont="0" applyFill="0" applyBorder="0" applyAlignment="0" applyProtection="0"/>
    <xf numFmtId="164" fontId="6" fillId="0" borderId="0" applyFont="0" applyFill="0" applyBorder="0" applyAlignment="0" applyProtection="0"/>
    <xf numFmtId="0" fontId="2" fillId="0" borderId="0"/>
    <xf numFmtId="0" fontId="3" fillId="0" borderId="0"/>
    <xf numFmtId="43" fontId="2" fillId="0" borderId="0" applyFont="0" applyFill="0" applyBorder="0" applyAlignment="0" applyProtection="0"/>
    <xf numFmtId="0" fontId="3" fillId="0" borderId="0"/>
    <xf numFmtId="43" fontId="1" fillId="0" borderId="0" applyFont="0" applyFill="0" applyBorder="0" applyAlignment="0" applyProtection="0"/>
    <xf numFmtId="43" fontId="1" fillId="0" borderId="0" applyFont="0" applyFill="0" applyBorder="0" applyAlignment="0" applyProtection="0"/>
    <xf numFmtId="0" fontId="3" fillId="0" borderId="0"/>
    <xf numFmtId="0" fontId="3" fillId="0" borderId="0"/>
    <xf numFmtId="0" fontId="3" fillId="0" borderId="0"/>
    <xf numFmtId="0" fontId="15" fillId="2" borderId="0">
      <alignment horizontal="center" vertical="center"/>
    </xf>
    <xf numFmtId="0" fontId="15" fillId="2" borderId="0">
      <alignment horizontal="left" vertical="center"/>
    </xf>
    <xf numFmtId="0" fontId="16" fillId="2" borderId="0">
      <alignment horizontal="center" vertical="top"/>
    </xf>
    <xf numFmtId="0" fontId="16" fillId="2" borderId="0">
      <alignment horizontal="left" vertical="top"/>
    </xf>
    <xf numFmtId="0" fontId="16" fillId="2" borderId="0">
      <alignment horizontal="center"/>
    </xf>
    <xf numFmtId="0" fontId="15" fillId="2" borderId="0">
      <alignment horizontal="left" vertical="top"/>
    </xf>
    <xf numFmtId="0" fontId="16" fillId="2" borderId="0">
      <alignment horizontal="center" vertical="top"/>
    </xf>
    <xf numFmtId="0" fontId="16" fillId="2" borderId="0">
      <alignment horizontal="center"/>
    </xf>
    <xf numFmtId="43" fontId="19" fillId="0" borderId="0" applyFont="0" applyFill="0" applyBorder="0" applyAlignment="0" applyProtection="0"/>
  </cellStyleXfs>
  <cellXfs count="238">
    <xf numFmtId="0" fontId="0" fillId="0" borderId="0" xfId="0"/>
    <xf numFmtId="0" fontId="9" fillId="0" borderId="0" xfId="4" applyFont="1" applyAlignment="1">
      <alignment vertical="top"/>
    </xf>
    <xf numFmtId="0" fontId="2" fillId="0" borderId="0" xfId="4"/>
    <xf numFmtId="0" fontId="9" fillId="0" borderId="0" xfId="4" applyFont="1" applyAlignment="1">
      <alignment horizontal="center" vertical="top"/>
    </xf>
    <xf numFmtId="0" fontId="9" fillId="0" borderId="0" xfId="4" applyFont="1" applyAlignment="1">
      <alignment vertical="top" wrapText="1"/>
    </xf>
    <xf numFmtId="4" fontId="9" fillId="0" borderId="0" xfId="4" applyNumberFormat="1" applyFont="1"/>
    <xf numFmtId="0" fontId="9" fillId="0" borderId="0" xfId="4" applyFont="1" applyAlignment="1">
      <alignment horizontal="center" vertical="top" wrapText="1"/>
    </xf>
    <xf numFmtId="0" fontId="8" fillId="0" borderId="0" xfId="4" applyFont="1" applyAlignment="1">
      <alignment horizontal="center" vertical="top"/>
    </xf>
    <xf numFmtId="0" fontId="8" fillId="0" borderId="0" xfId="4" applyFont="1" applyAlignment="1">
      <alignment vertical="top" wrapText="1"/>
    </xf>
    <xf numFmtId="3" fontId="8" fillId="0" borderId="0" xfId="4" applyNumberFormat="1" applyFont="1" applyAlignment="1">
      <alignment horizontal="right"/>
    </xf>
    <xf numFmtId="3" fontId="8" fillId="0" borderId="0" xfId="4" applyNumberFormat="1" applyFont="1" applyAlignment="1">
      <alignment horizontal="center"/>
    </xf>
    <xf numFmtId="4" fontId="8" fillId="0" borderId="0" xfId="4" applyNumberFormat="1" applyFont="1" applyAlignment="1">
      <alignment horizontal="right"/>
    </xf>
    <xf numFmtId="0" fontId="10" fillId="0" borderId="10" xfId="5" applyFont="1" applyBorder="1" applyAlignment="1" applyProtection="1">
      <alignment horizontal="center" vertical="center" wrapText="1"/>
      <protection locked="0"/>
    </xf>
    <xf numFmtId="0" fontId="10" fillId="0" borderId="0" xfId="5" applyFont="1" applyProtection="1">
      <protection locked="0"/>
    </xf>
    <xf numFmtId="0" fontId="10" fillId="0" borderId="0" xfId="5" applyFont="1" applyAlignment="1" applyProtection="1">
      <alignment vertical="center" wrapText="1"/>
      <protection locked="0"/>
    </xf>
    <xf numFmtId="43" fontId="11" fillId="0" borderId="4" xfId="6" applyFont="1" applyFill="1" applyBorder="1" applyAlignment="1" applyProtection="1">
      <alignment horizontal="center" vertical="top" wrapText="1"/>
      <protection locked="0"/>
    </xf>
    <xf numFmtId="0" fontId="10" fillId="0" borderId="0" xfId="5" applyFont="1" applyAlignment="1" applyProtection="1">
      <alignment horizontal="center" vertical="top" wrapText="1"/>
      <protection locked="0"/>
    </xf>
    <xf numFmtId="0" fontId="4" fillId="0" borderId="0" xfId="5" applyFont="1" applyAlignment="1" applyProtection="1">
      <alignment wrapText="1"/>
      <protection locked="0"/>
    </xf>
    <xf numFmtId="43" fontId="11" fillId="0" borderId="1" xfId="6" applyFont="1" applyFill="1" applyBorder="1" applyAlignment="1" applyProtection="1">
      <alignment horizontal="center" vertical="top" wrapText="1"/>
      <protection locked="0"/>
    </xf>
    <xf numFmtId="43" fontId="10" fillId="0" borderId="1" xfId="6" applyFont="1" applyFill="1" applyBorder="1" applyAlignment="1" applyProtection="1">
      <alignment horizontal="center" vertical="top" wrapText="1"/>
      <protection locked="0"/>
    </xf>
    <xf numFmtId="43" fontId="4" fillId="0" borderId="1" xfId="6" applyFont="1" applyFill="1" applyBorder="1" applyAlignment="1" applyProtection="1">
      <alignment horizontal="center" vertical="top" wrapText="1"/>
      <protection locked="0"/>
    </xf>
    <xf numFmtId="0" fontId="4" fillId="0" borderId="0" xfId="5" applyFont="1" applyAlignment="1" applyProtection="1">
      <alignment horizontal="center" vertical="top" wrapText="1"/>
      <protection locked="0"/>
    </xf>
    <xf numFmtId="0" fontId="4" fillId="0" borderId="0" xfId="5" applyFont="1" applyProtection="1">
      <protection locked="0"/>
    </xf>
    <xf numFmtId="43" fontId="4" fillId="0" borderId="7" xfId="6" applyFont="1" applyFill="1" applyBorder="1" applyAlignment="1" applyProtection="1">
      <alignment horizontal="center" wrapText="1"/>
      <protection locked="0"/>
    </xf>
    <xf numFmtId="43" fontId="4" fillId="0" borderId="1" xfId="6" applyFont="1" applyFill="1" applyBorder="1" applyAlignment="1" applyProtection="1">
      <alignment horizontal="center" wrapText="1"/>
      <protection locked="0"/>
    </xf>
    <xf numFmtId="43" fontId="3" fillId="0" borderId="0" xfId="6" applyFont="1" applyFill="1" applyAlignment="1" applyProtection="1">
      <alignment vertical="top"/>
      <protection locked="0"/>
    </xf>
    <xf numFmtId="0" fontId="3" fillId="0" borderId="0" xfId="5" applyAlignment="1" applyProtection="1">
      <alignment vertical="top"/>
      <protection locked="0"/>
    </xf>
    <xf numFmtId="43" fontId="4" fillId="0" borderId="0" xfId="6" applyFont="1" applyFill="1" applyAlignment="1" applyProtection="1">
      <alignment horizontal="center" vertical="top" wrapText="1"/>
      <protection locked="0"/>
    </xf>
    <xf numFmtId="0" fontId="2" fillId="0" borderId="0" xfId="4" applyProtection="1">
      <protection locked="0"/>
    </xf>
    <xf numFmtId="0" fontId="6" fillId="0" borderId="0" xfId="1" applyAlignment="1">
      <alignment vertical="center" wrapText="1"/>
    </xf>
    <xf numFmtId="0" fontId="7" fillId="0" borderId="1" xfId="1" applyFont="1" applyBorder="1" applyAlignment="1">
      <alignment horizontal="center" vertical="top" wrapText="1"/>
    </xf>
    <xf numFmtId="0" fontId="7" fillId="0" borderId="0" xfId="1" applyFont="1" applyAlignment="1">
      <alignment horizontal="left" vertical="top" wrapText="1"/>
    </xf>
    <xf numFmtId="0" fontId="0" fillId="0" borderId="1" xfId="0" applyBorder="1" applyAlignment="1">
      <alignment horizontal="center" vertical="top" wrapText="1"/>
    </xf>
    <xf numFmtId="0" fontId="15" fillId="0" borderId="1" xfId="13" applyFill="1" applyBorder="1" applyAlignment="1">
      <alignment horizontal="center" vertical="center" wrapText="1"/>
    </xf>
    <xf numFmtId="0" fontId="4" fillId="0" borderId="0" xfId="0" applyFont="1" applyAlignment="1">
      <alignment wrapText="1"/>
    </xf>
    <xf numFmtId="0" fontId="15" fillId="0" borderId="1" xfId="13" applyFill="1" applyBorder="1" applyAlignment="1">
      <alignment vertical="center" wrapText="1"/>
    </xf>
    <xf numFmtId="0" fontId="15" fillId="0" borderId="1" xfId="14" applyFill="1" applyBorder="1" applyAlignment="1">
      <alignment vertical="center" wrapText="1"/>
    </xf>
    <xf numFmtId="0" fontId="0" fillId="0" borderId="1" xfId="0" applyBorder="1" applyAlignment="1">
      <alignment vertical="center" wrapText="1"/>
    </xf>
    <xf numFmtId="0" fontId="0" fillId="0" borderId="1" xfId="0" applyBorder="1" applyAlignment="1">
      <alignment wrapText="1"/>
    </xf>
    <xf numFmtId="0" fontId="16" fillId="0" borderId="1" xfId="19" applyFill="1" applyBorder="1" applyAlignment="1">
      <alignment horizontal="center" vertical="top" wrapText="1"/>
    </xf>
    <xf numFmtId="0" fontId="16" fillId="0" borderId="1" xfId="15" applyFill="1" applyBorder="1" applyAlignment="1">
      <alignment vertical="top" wrapText="1"/>
    </xf>
    <xf numFmtId="0" fontId="16" fillId="0" borderId="1" xfId="17" applyFill="1" applyBorder="1" applyAlignment="1">
      <alignment horizontal="center" wrapText="1"/>
    </xf>
    <xf numFmtId="0" fontId="16" fillId="0" borderId="2" xfId="17" applyFill="1" applyBorder="1" applyAlignment="1">
      <alignment horizontal="center" wrapText="1"/>
    </xf>
    <xf numFmtId="0" fontId="16" fillId="0" borderId="1" xfId="16" applyFill="1" applyBorder="1" applyAlignment="1">
      <alignment vertical="top" wrapText="1"/>
    </xf>
    <xf numFmtId="0" fontId="4" fillId="0" borderId="12" xfId="1" applyFont="1" applyBorder="1" applyAlignment="1">
      <alignment horizontal="center" vertical="top" wrapText="1"/>
    </xf>
    <xf numFmtId="0" fontId="5" fillId="0" borderId="12" xfId="1" applyFont="1" applyBorder="1" applyAlignment="1">
      <alignment horizontal="left" vertical="top" wrapText="1" indent="1"/>
    </xf>
    <xf numFmtId="0" fontId="4" fillId="0" borderId="0" xfId="1" applyFont="1" applyAlignment="1">
      <alignment horizontal="center" vertical="top" wrapText="1"/>
    </xf>
    <xf numFmtId="0" fontId="5" fillId="0" borderId="0" xfId="1" applyFont="1" applyAlignment="1">
      <alignment horizontal="left" vertical="top" wrapText="1" indent="1"/>
    </xf>
    <xf numFmtId="0" fontId="15" fillId="0" borderId="0" xfId="0" applyFont="1" applyAlignment="1">
      <alignment horizontal="right"/>
    </xf>
    <xf numFmtId="0" fontId="16" fillId="0" borderId="0" xfId="0" applyFont="1" applyAlignment="1">
      <alignment horizontal="right"/>
    </xf>
    <xf numFmtId="0" fontId="4" fillId="0" borderId="0" xfId="0" applyFont="1" applyAlignment="1">
      <alignment horizontal="center" vertical="top" wrapText="1"/>
    </xf>
    <xf numFmtId="0" fontId="4" fillId="0" borderId="0" xfId="0" applyFont="1" applyAlignment="1">
      <alignment vertical="top" wrapText="1"/>
    </xf>
    <xf numFmtId="0" fontId="15" fillId="0" borderId="1" xfId="16" applyFont="1" applyFill="1" applyBorder="1" applyAlignment="1">
      <alignment vertical="top" wrapText="1"/>
    </xf>
    <xf numFmtId="0" fontId="0" fillId="0" borderId="1" xfId="0" applyBorder="1" applyAlignment="1" applyProtection="1">
      <alignment horizontal="center" vertical="top" wrapText="1"/>
      <protection locked="0"/>
    </xf>
    <xf numFmtId="0" fontId="0" fillId="0" borderId="1" xfId="0" applyBorder="1" applyAlignment="1" applyProtection="1">
      <alignment wrapText="1"/>
      <protection locked="0"/>
    </xf>
    <xf numFmtId="0" fontId="16" fillId="0" borderId="1" xfId="19" applyFill="1" applyBorder="1" applyAlignment="1" applyProtection="1">
      <alignment horizontal="center" vertical="top" wrapText="1"/>
      <protection locked="0"/>
    </xf>
    <xf numFmtId="0" fontId="16" fillId="0" borderId="1" xfId="16" applyFill="1" applyBorder="1" applyAlignment="1" applyProtection="1">
      <alignment vertical="top" wrapText="1"/>
      <protection locked="0"/>
    </xf>
    <xf numFmtId="0" fontId="16" fillId="0" borderId="1" xfId="17" applyFill="1" applyBorder="1" applyAlignment="1" applyProtection="1">
      <alignment horizontal="center" wrapText="1"/>
      <protection locked="0"/>
    </xf>
    <xf numFmtId="0" fontId="16" fillId="0" borderId="2" xfId="17" applyFill="1" applyBorder="1" applyAlignment="1" applyProtection="1">
      <alignment horizontal="center" wrapText="1"/>
      <protection locked="0"/>
    </xf>
    <xf numFmtId="0" fontId="16" fillId="0" borderId="1" xfId="15" applyFill="1" applyBorder="1" applyAlignment="1" applyProtection="1">
      <alignment vertical="top" wrapText="1"/>
      <protection locked="0"/>
    </xf>
    <xf numFmtId="0" fontId="15" fillId="0" borderId="1" xfId="13" applyFill="1" applyBorder="1" applyAlignment="1" applyProtection="1">
      <alignment horizontal="center" vertical="center" wrapText="1"/>
      <protection locked="0"/>
    </xf>
    <xf numFmtId="0" fontId="15" fillId="0" borderId="1" xfId="14" applyFill="1" applyBorder="1" applyAlignment="1" applyProtection="1">
      <alignment vertical="center" wrapText="1"/>
      <protection locked="0"/>
    </xf>
    <xf numFmtId="0" fontId="0" fillId="0" borderId="1" xfId="0" applyBorder="1" applyAlignment="1" applyProtection="1">
      <alignment vertical="center" wrapText="1"/>
      <protection locked="0"/>
    </xf>
    <xf numFmtId="0" fontId="16" fillId="0" borderId="1" xfId="15" applyFill="1" applyBorder="1" applyAlignment="1">
      <alignment vertical="top"/>
    </xf>
    <xf numFmtId="0" fontId="15" fillId="0" borderId="1" xfId="13" applyFill="1" applyBorder="1" applyAlignment="1">
      <alignment vertical="center"/>
    </xf>
    <xf numFmtId="0" fontId="16" fillId="0" borderId="1" xfId="16" applyFill="1" applyBorder="1" applyAlignment="1">
      <alignment vertical="top"/>
    </xf>
    <xf numFmtId="0" fontId="4" fillId="0" borderId="4" xfId="5" applyFont="1" applyBorder="1" applyAlignment="1">
      <alignment wrapText="1"/>
    </xf>
    <xf numFmtId="0" fontId="4" fillId="0" borderId="0" xfId="5" applyFont="1" applyAlignment="1">
      <alignment wrapText="1"/>
    </xf>
    <xf numFmtId="49" fontId="4" fillId="0" borderId="4" xfId="5" applyNumberFormat="1" applyFont="1" applyBorder="1" applyAlignment="1">
      <alignment horizontal="center" wrapText="1"/>
    </xf>
    <xf numFmtId="0" fontId="4" fillId="0" borderId="1" xfId="5" applyFont="1" applyBorder="1" applyAlignment="1">
      <alignment wrapText="1"/>
    </xf>
    <xf numFmtId="49" fontId="4" fillId="0" borderId="1" xfId="5" applyNumberFormat="1" applyFont="1" applyBorder="1" applyAlignment="1">
      <alignment horizontal="center" wrapText="1"/>
    </xf>
    <xf numFmtId="0" fontId="5" fillId="0" borderId="0" xfId="5" applyFont="1" applyAlignment="1">
      <alignment horizontal="center" wrapText="1"/>
    </xf>
    <xf numFmtId="0" fontId="4" fillId="0" borderId="0" xfId="5" applyFont="1" applyAlignment="1">
      <alignment horizontal="left" wrapText="1" indent="2"/>
    </xf>
    <xf numFmtId="0" fontId="4" fillId="0" borderId="0" xfId="5" applyFont="1" applyAlignment="1">
      <alignment horizontal="left" indent="2"/>
    </xf>
    <xf numFmtId="49" fontId="4" fillId="0" borderId="1" xfId="5" applyNumberFormat="1" applyFont="1" applyBorder="1" applyAlignment="1">
      <alignment horizontal="center"/>
    </xf>
    <xf numFmtId="0" fontId="4" fillId="0" borderId="1" xfId="5" applyFont="1" applyBorder="1"/>
    <xf numFmtId="0" fontId="4" fillId="0" borderId="0" xfId="5" applyFont="1"/>
    <xf numFmtId="0" fontId="4" fillId="0" borderId="7" xfId="5" applyFont="1" applyBorder="1"/>
    <xf numFmtId="0" fontId="4" fillId="0" borderId="14" xfId="5" applyFont="1" applyBorder="1"/>
    <xf numFmtId="49" fontId="4" fillId="0" borderId="7" xfId="5" applyNumberFormat="1" applyFont="1" applyBorder="1" applyAlignment="1">
      <alignment horizontal="center" wrapText="1"/>
    </xf>
    <xf numFmtId="0" fontId="10" fillId="0" borderId="0" xfId="5" applyFont="1" applyAlignment="1">
      <alignment vertical="top" wrapText="1"/>
    </xf>
    <xf numFmtId="49" fontId="10" fillId="0" borderId="12" xfId="5" applyNumberFormat="1" applyFont="1" applyBorder="1" applyAlignment="1">
      <alignment horizontal="center" wrapText="1"/>
    </xf>
    <xf numFmtId="0" fontId="4" fillId="0" borderId="0" xfId="5" applyFont="1" applyAlignment="1">
      <alignment horizontal="center" vertical="top" wrapText="1"/>
    </xf>
    <xf numFmtId="0" fontId="10" fillId="0" borderId="0" xfId="5" applyFont="1" applyAlignment="1">
      <alignment horizontal="right"/>
    </xf>
    <xf numFmtId="49" fontId="10" fillId="0" borderId="0" xfId="5" applyNumberFormat="1" applyFont="1" applyAlignment="1">
      <alignment horizontal="center" wrapText="1"/>
    </xf>
    <xf numFmtId="0" fontId="10" fillId="0" borderId="0" xfId="5" applyFont="1" applyAlignment="1">
      <alignment horizontal="left" vertical="top" wrapText="1"/>
    </xf>
    <xf numFmtId="0" fontId="12" fillId="0" borderId="0" xfId="7" applyFont="1" applyAlignment="1">
      <alignment vertical="center"/>
    </xf>
    <xf numFmtId="0" fontId="13" fillId="0" borderId="0" xfId="7" applyFont="1" applyAlignment="1">
      <alignment horizontal="left" vertical="top" wrapText="1"/>
    </xf>
    <xf numFmtId="1" fontId="3" fillId="0" borderId="0" xfId="5" applyNumberFormat="1" applyAlignment="1">
      <alignment horizontal="center" vertical="top"/>
    </xf>
    <xf numFmtId="0" fontId="14" fillId="0" borderId="0" xfId="7" applyFont="1" applyAlignment="1">
      <alignment horizontal="left" vertical="top"/>
    </xf>
    <xf numFmtId="0" fontId="14" fillId="0" borderId="0" xfId="7" applyFont="1" applyAlignment="1">
      <alignment vertical="top" wrapText="1"/>
    </xf>
    <xf numFmtId="2" fontId="14" fillId="0" borderId="0" xfId="7" applyNumberFormat="1" applyFont="1" applyAlignment="1">
      <alignment horizontal="left" vertical="top"/>
    </xf>
    <xf numFmtId="0" fontId="3" fillId="0" borderId="0" xfId="5" applyAlignment="1">
      <alignment vertical="top"/>
    </xf>
    <xf numFmtId="49" fontId="4" fillId="0" borderId="0" xfId="5" applyNumberFormat="1" applyFont="1" applyAlignment="1">
      <alignment horizontal="center"/>
    </xf>
    <xf numFmtId="43" fontId="7" fillId="0" borderId="4" xfId="21" applyFont="1" applyBorder="1" applyAlignment="1" applyProtection="1">
      <alignment horizontal="center" vertical="center" wrapText="1"/>
      <protection locked="0"/>
    </xf>
    <xf numFmtId="43" fontId="7" fillId="0" borderId="7" xfId="21" applyFont="1" applyBorder="1" applyAlignment="1" applyProtection="1">
      <alignment horizontal="center" vertical="center" wrapText="1"/>
      <protection locked="0"/>
    </xf>
    <xf numFmtId="43" fontId="7" fillId="0" borderId="1" xfId="21" applyFont="1" applyBorder="1" applyAlignment="1" applyProtection="1">
      <alignment horizontal="center" wrapText="1"/>
      <protection locked="0"/>
    </xf>
    <xf numFmtId="43" fontId="4" fillId="0" borderId="1" xfId="21" applyFont="1" applyBorder="1" applyAlignment="1" applyProtection="1">
      <alignment horizontal="right" wrapText="1"/>
      <protection locked="0"/>
    </xf>
    <xf numFmtId="43" fontId="4" fillId="0" borderId="4" xfId="21" applyFont="1" applyFill="1" applyBorder="1" applyAlignment="1" applyProtection="1">
      <alignment horizontal="center" wrapText="1"/>
      <protection locked="0"/>
    </xf>
    <xf numFmtId="43" fontId="4" fillId="0" borderId="1" xfId="21" applyFont="1" applyFill="1" applyBorder="1" applyAlignment="1" applyProtection="1">
      <alignment horizontal="center" wrapText="1"/>
      <protection locked="0"/>
    </xf>
    <xf numFmtId="43" fontId="4" fillId="0" borderId="7" xfId="21" applyFont="1" applyFill="1" applyBorder="1" applyAlignment="1" applyProtection="1">
      <alignment horizontal="center" wrapText="1"/>
      <protection locked="0"/>
    </xf>
    <xf numFmtId="43" fontId="4" fillId="0" borderId="0" xfId="21" applyFont="1" applyAlignment="1" applyProtection="1">
      <alignment horizontal="right" wrapText="1"/>
      <protection locked="0"/>
    </xf>
    <xf numFmtId="0" fontId="20" fillId="0" borderId="0" xfId="0" applyFont="1" applyAlignment="1">
      <alignment vertical="top" wrapText="1"/>
    </xf>
    <xf numFmtId="0" fontId="3" fillId="0" borderId="1" xfId="0" applyFont="1" applyBorder="1" applyAlignment="1" applyProtection="1">
      <alignment wrapText="1"/>
      <protection locked="0"/>
    </xf>
    <xf numFmtId="0" fontId="21" fillId="0" borderId="0" xfId="0" applyFont="1" applyAlignment="1">
      <alignment vertical="top" wrapText="1"/>
    </xf>
    <xf numFmtId="0" fontId="5" fillId="0" borderId="1" xfId="13" applyFont="1" applyFill="1" applyBorder="1" applyAlignment="1" applyProtection="1">
      <alignment horizontal="center" vertical="center" wrapText="1"/>
      <protection locked="0"/>
    </xf>
    <xf numFmtId="0" fontId="4" fillId="0" borderId="1" xfId="19" applyFont="1" applyFill="1" applyBorder="1" applyAlignment="1">
      <alignment horizontal="center" vertical="top" wrapText="1"/>
    </xf>
    <xf numFmtId="0" fontId="4" fillId="0" borderId="1" xfId="15" applyFont="1" applyFill="1" applyBorder="1" applyAlignment="1">
      <alignment vertical="top" wrapText="1"/>
    </xf>
    <xf numFmtId="0" fontId="4" fillId="0" borderId="1" xfId="17" applyFont="1" applyFill="1" applyBorder="1" applyAlignment="1">
      <alignment horizontal="center" wrapText="1"/>
    </xf>
    <xf numFmtId="0" fontId="4" fillId="0" borderId="2" xfId="17" applyFont="1" applyFill="1" applyBorder="1" applyAlignment="1">
      <alignment horizontal="center" wrapText="1"/>
    </xf>
    <xf numFmtId="43" fontId="22" fillId="0" borderId="1" xfId="21" applyFont="1" applyBorder="1" applyAlignment="1" applyProtection="1">
      <alignment horizontal="right" wrapText="1"/>
      <protection locked="0"/>
    </xf>
    <xf numFmtId="0" fontId="11" fillId="0" borderId="0" xfId="0" applyFont="1" applyAlignment="1">
      <alignment wrapText="1"/>
    </xf>
    <xf numFmtId="0" fontId="3" fillId="0" borderId="1" xfId="0" applyFont="1" applyBorder="1" applyAlignment="1" applyProtection="1">
      <alignment horizontal="center" vertical="top" wrapText="1"/>
      <protection locked="0"/>
    </xf>
    <xf numFmtId="0" fontId="4" fillId="0" borderId="1" xfId="19" applyFont="1" applyFill="1" applyBorder="1" applyAlignment="1" applyProtection="1">
      <alignment horizontal="center" vertical="top" wrapText="1"/>
      <protection locked="0"/>
    </xf>
    <xf numFmtId="0" fontId="4" fillId="0" borderId="1" xfId="15" applyFont="1" applyFill="1" applyBorder="1" applyAlignment="1" applyProtection="1">
      <alignment vertical="top" wrapText="1"/>
      <protection locked="0"/>
    </xf>
    <xf numFmtId="0" fontId="4" fillId="0" borderId="1" xfId="17" applyFont="1" applyFill="1" applyBorder="1" applyAlignment="1" applyProtection="1">
      <alignment horizontal="center" wrapText="1"/>
      <protection locked="0"/>
    </xf>
    <xf numFmtId="0" fontId="4" fillId="0" borderId="2" xfId="17" applyFont="1" applyFill="1" applyBorder="1" applyAlignment="1" applyProtection="1">
      <alignment horizontal="center" wrapText="1"/>
      <protection locked="0"/>
    </xf>
    <xf numFmtId="43" fontId="4" fillId="0" borderId="13" xfId="21" applyFont="1" applyFill="1" applyBorder="1" applyAlignment="1" applyProtection="1">
      <alignment horizontal="center" wrapText="1"/>
      <protection locked="0"/>
    </xf>
    <xf numFmtId="43" fontId="4" fillId="0" borderId="11" xfId="21" applyFont="1" applyFill="1" applyBorder="1" applyAlignment="1" applyProtection="1">
      <alignment horizontal="center" wrapText="1"/>
      <protection locked="0"/>
    </xf>
    <xf numFmtId="0" fontId="23" fillId="0" borderId="0" xfId="0" applyFont="1" applyAlignment="1">
      <alignment vertical="top" wrapText="1"/>
    </xf>
    <xf numFmtId="0" fontId="4" fillId="0" borderId="1" xfId="13" applyFont="1" applyFill="1" applyBorder="1" applyAlignment="1" applyProtection="1">
      <alignment horizontal="left" vertical="center" wrapText="1"/>
      <protection locked="0"/>
    </xf>
    <xf numFmtId="0" fontId="5" fillId="0" borderId="0" xfId="13" applyFont="1" applyFill="1" applyAlignment="1" applyProtection="1">
      <alignment horizontal="center" vertical="center" wrapText="1"/>
      <protection locked="0"/>
    </xf>
    <xf numFmtId="0" fontId="4" fillId="0" borderId="0" xfId="13" applyFont="1" applyFill="1" applyAlignment="1" applyProtection="1">
      <alignment horizontal="left" vertical="center" wrapText="1"/>
      <protection locked="0"/>
    </xf>
    <xf numFmtId="43" fontId="4" fillId="0" borderId="1" xfId="21" applyFont="1" applyBorder="1" applyAlignment="1" applyProtection="1">
      <alignment horizontal="center" wrapText="1"/>
      <protection locked="0"/>
    </xf>
    <xf numFmtId="43" fontId="4" fillId="0" borderId="1" xfId="21" applyFont="1" applyBorder="1" applyAlignment="1" applyProtection="1">
      <alignment horizontal="left" wrapText="1"/>
      <protection locked="0"/>
    </xf>
    <xf numFmtId="0" fontId="0" fillId="0" borderId="0" xfId="0" applyAlignment="1">
      <alignment wrapText="1"/>
    </xf>
    <xf numFmtId="0" fontId="3" fillId="0" borderId="0" xfId="0" applyFont="1" applyAlignment="1">
      <alignment wrapText="1"/>
    </xf>
    <xf numFmtId="43" fontId="4" fillId="0" borderId="1" xfId="21" applyFont="1" applyFill="1" applyBorder="1" applyAlignment="1" applyProtection="1">
      <alignment horizontal="right" wrapText="1"/>
      <protection locked="0"/>
    </xf>
    <xf numFmtId="43" fontId="11" fillId="0" borderId="1" xfId="21" applyFont="1" applyBorder="1" applyAlignment="1" applyProtection="1">
      <alignment horizontal="right" wrapText="1"/>
      <protection locked="0"/>
    </xf>
    <xf numFmtId="43" fontId="11" fillId="0" borderId="1" xfId="21" applyFont="1" applyBorder="1" applyAlignment="1" applyProtection="1">
      <alignment horizontal="center" wrapText="1"/>
      <protection locked="0"/>
    </xf>
    <xf numFmtId="43" fontId="11" fillId="0" borderId="4" xfId="21" applyFont="1" applyFill="1" applyBorder="1" applyAlignment="1" applyProtection="1">
      <alignment horizontal="center" wrapText="1"/>
      <protection locked="0"/>
    </xf>
    <xf numFmtId="43" fontId="11" fillId="0" borderId="1" xfId="21" applyFont="1" applyFill="1" applyBorder="1" applyAlignment="1" applyProtection="1">
      <alignment horizontal="center" wrapText="1"/>
      <protection locked="0"/>
    </xf>
    <xf numFmtId="43" fontId="11" fillId="0" borderId="7" xfId="21" applyFont="1" applyFill="1" applyBorder="1" applyAlignment="1" applyProtection="1">
      <alignment horizontal="center" wrapText="1"/>
      <protection locked="0"/>
    </xf>
    <xf numFmtId="43" fontId="11" fillId="0" borderId="0" xfId="21" applyFont="1" applyAlignment="1" applyProtection="1">
      <alignment horizontal="right" wrapText="1"/>
      <protection locked="0"/>
    </xf>
    <xf numFmtId="0" fontId="26" fillId="0" borderId="1" xfId="0" applyFont="1" applyBorder="1" applyAlignment="1">
      <alignment wrapText="1"/>
    </xf>
    <xf numFmtId="0" fontId="27" fillId="0" borderId="1" xfId="15" applyFont="1" applyFill="1" applyBorder="1" applyAlignment="1">
      <alignment vertical="top" wrapText="1"/>
    </xf>
    <xf numFmtId="43" fontId="11" fillId="0" borderId="1" xfId="21" applyFont="1" applyBorder="1" applyAlignment="1" applyProtection="1">
      <alignment horizontal="left" wrapText="1"/>
      <protection locked="0"/>
    </xf>
    <xf numFmtId="0" fontId="27" fillId="0" borderId="1" xfId="13" applyFont="1" applyFill="1" applyBorder="1" applyAlignment="1">
      <alignment horizontal="left" vertical="center" wrapText="1"/>
    </xf>
    <xf numFmtId="43" fontId="28" fillId="0" borderId="1" xfId="21" applyFont="1" applyBorder="1" applyAlignment="1" applyProtection="1">
      <alignment horizontal="right" wrapText="1"/>
      <protection locked="0"/>
    </xf>
    <xf numFmtId="43" fontId="11" fillId="0" borderId="1" xfId="21" applyFont="1" applyBorder="1" applyAlignment="1" applyProtection="1">
      <alignment horizontal="right" vertical="center" wrapText="1"/>
      <protection locked="0"/>
    </xf>
    <xf numFmtId="0" fontId="16" fillId="0" borderId="1" xfId="17" applyFill="1" applyBorder="1" applyAlignment="1">
      <alignment horizontal="center" vertical="top" wrapText="1"/>
    </xf>
    <xf numFmtId="0" fontId="16" fillId="0" borderId="2" xfId="17" applyFill="1" applyBorder="1" applyAlignment="1">
      <alignment horizontal="center" vertical="top" wrapText="1"/>
    </xf>
    <xf numFmtId="43" fontId="4" fillId="0" borderId="1" xfId="21" applyFont="1" applyBorder="1" applyAlignment="1" applyProtection="1">
      <alignment horizontal="right" vertical="top" wrapText="1"/>
      <protection locked="0"/>
    </xf>
    <xf numFmtId="0" fontId="29" fillId="0" borderId="1" xfId="19" applyFont="1" applyFill="1" applyBorder="1" applyAlignment="1" applyProtection="1">
      <alignment horizontal="center" vertical="top" wrapText="1"/>
      <protection locked="0"/>
    </xf>
    <xf numFmtId="0" fontId="29" fillId="0" borderId="1" xfId="15" applyFont="1" applyFill="1" applyBorder="1" applyAlignment="1" applyProtection="1">
      <alignment vertical="top" wrapText="1"/>
      <protection locked="0"/>
    </xf>
    <xf numFmtId="0" fontId="29" fillId="0" borderId="1" xfId="17" applyFont="1" applyFill="1" applyBorder="1" applyAlignment="1" applyProtection="1">
      <alignment horizontal="center" wrapText="1"/>
      <protection locked="0"/>
    </xf>
    <xf numFmtId="0" fontId="29" fillId="0" borderId="2" xfId="17" applyFont="1" applyFill="1" applyBorder="1" applyAlignment="1" applyProtection="1">
      <alignment horizontal="center" wrapText="1"/>
      <protection locked="0"/>
    </xf>
    <xf numFmtId="43" fontId="29" fillId="0" borderId="1" xfId="21" applyFont="1" applyBorder="1" applyAlignment="1" applyProtection="1">
      <alignment horizontal="right" wrapText="1"/>
      <protection locked="0"/>
    </xf>
    <xf numFmtId="0" fontId="30" fillId="0" borderId="1" xfId="0" applyFont="1" applyBorder="1" applyAlignment="1" applyProtection="1">
      <alignment horizontal="center" vertical="top" wrapText="1"/>
      <protection locked="0"/>
    </xf>
    <xf numFmtId="0" fontId="30" fillId="0" borderId="1" xfId="0" applyFont="1" applyBorder="1" applyAlignment="1" applyProtection="1">
      <alignment wrapText="1"/>
      <protection locked="0"/>
    </xf>
    <xf numFmtId="43" fontId="31" fillId="0" borderId="1" xfId="21" applyFont="1" applyBorder="1" applyAlignment="1" applyProtection="1">
      <alignment horizontal="right" wrapText="1"/>
      <protection locked="0"/>
    </xf>
    <xf numFmtId="0" fontId="32" fillId="0" borderId="1" xfId="19" applyFont="1" applyFill="1" applyBorder="1" applyAlignment="1" applyProtection="1">
      <alignment horizontal="center" vertical="top" wrapText="1"/>
      <protection locked="0"/>
    </xf>
    <xf numFmtId="0" fontId="32" fillId="0" borderId="1" xfId="15" applyFont="1" applyFill="1" applyBorder="1" applyAlignment="1" applyProtection="1">
      <alignment vertical="top" wrapText="1"/>
      <protection locked="0"/>
    </xf>
    <xf numFmtId="0" fontId="32" fillId="0" borderId="1" xfId="17" applyFont="1" applyFill="1" applyBorder="1" applyAlignment="1" applyProtection="1">
      <alignment horizontal="center" wrapText="1"/>
      <protection locked="0"/>
    </xf>
    <xf numFmtId="0" fontId="32" fillId="0" borderId="2" xfId="17" applyFont="1" applyFill="1" applyBorder="1" applyAlignment="1" applyProtection="1">
      <alignment horizontal="center" wrapText="1"/>
      <protection locked="0"/>
    </xf>
    <xf numFmtId="0" fontId="29" fillId="0" borderId="1" xfId="19" applyFont="1" applyFill="1" applyBorder="1" applyAlignment="1">
      <alignment horizontal="center" vertical="top" wrapText="1"/>
    </xf>
    <xf numFmtId="0" fontId="29" fillId="0" borderId="1" xfId="15" applyFont="1" applyFill="1" applyBorder="1" applyAlignment="1">
      <alignment vertical="top" wrapText="1"/>
    </xf>
    <xf numFmtId="0" fontId="29" fillId="0" borderId="1" xfId="17" applyFont="1" applyFill="1" applyBorder="1" applyAlignment="1">
      <alignment horizontal="center" wrapText="1"/>
    </xf>
    <xf numFmtId="0" fontId="29" fillId="0" borderId="2" xfId="17" applyFont="1" applyFill="1" applyBorder="1" applyAlignment="1">
      <alignment horizontal="center" wrapText="1"/>
    </xf>
    <xf numFmtId="0" fontId="32" fillId="0" borderId="1" xfId="19" applyFont="1" applyFill="1" applyBorder="1" applyAlignment="1">
      <alignment horizontal="center" vertical="top" wrapText="1"/>
    </xf>
    <xf numFmtId="0" fontId="32" fillId="0" borderId="1" xfId="15" applyFont="1" applyFill="1" applyBorder="1" applyAlignment="1">
      <alignment vertical="top" wrapText="1"/>
    </xf>
    <xf numFmtId="0" fontId="32" fillId="0" borderId="2" xfId="17" applyFont="1" applyFill="1" applyBorder="1" applyAlignment="1">
      <alignment horizontal="center" wrapText="1"/>
    </xf>
    <xf numFmtId="43" fontId="11" fillId="0" borderId="1" xfId="21" applyFont="1" applyBorder="1" applyAlignment="1" applyProtection="1">
      <alignment horizontal="right" vertical="top" wrapText="1"/>
      <protection locked="0"/>
    </xf>
    <xf numFmtId="0" fontId="9" fillId="0" borderId="0" xfId="4" applyFont="1" applyAlignment="1">
      <alignment horizontal="center" vertical="top" wrapText="1"/>
    </xf>
    <xf numFmtId="0" fontId="7" fillId="0" borderId="4" xfId="1" applyFont="1" applyBorder="1" applyAlignment="1">
      <alignment horizontal="center" vertical="center" wrapText="1"/>
    </xf>
    <xf numFmtId="0" fontId="7" fillId="0" borderId="7" xfId="1" applyFont="1" applyBorder="1" applyAlignment="1">
      <alignment horizontal="center" vertical="center" wrapText="1"/>
    </xf>
    <xf numFmtId="164" fontId="25" fillId="0" borderId="4" xfId="2" applyFont="1" applyFill="1" applyBorder="1" applyAlignment="1" applyProtection="1">
      <alignment horizontal="center" vertical="center" wrapText="1"/>
      <protection locked="0"/>
    </xf>
    <xf numFmtId="164" fontId="25" fillId="0" borderId="7" xfId="2" applyFont="1" applyFill="1" applyBorder="1" applyAlignment="1" applyProtection="1">
      <alignment horizontal="center" vertical="center" wrapText="1"/>
      <protection locked="0"/>
    </xf>
    <xf numFmtId="0" fontId="4" fillId="0" borderId="4" xfId="5" applyFont="1" applyBorder="1" applyAlignment="1">
      <alignment horizontal="center" vertical="center" wrapText="1"/>
    </xf>
    <xf numFmtId="0" fontId="4" fillId="0" borderId="7" xfId="5" applyFont="1" applyBorder="1" applyAlignment="1">
      <alignment horizontal="center" vertical="center" wrapText="1"/>
    </xf>
    <xf numFmtId="49" fontId="4" fillId="0" borderId="4" xfId="5" applyNumberFormat="1" applyFont="1" applyBorder="1" applyAlignment="1">
      <alignment horizontal="center" vertical="center" wrapText="1"/>
    </xf>
    <xf numFmtId="49" fontId="4" fillId="0" borderId="7" xfId="5" applyNumberFormat="1" applyFont="1" applyBorder="1" applyAlignment="1">
      <alignment horizontal="center" vertical="center" wrapText="1"/>
    </xf>
    <xf numFmtId="43" fontId="4" fillId="0" borderId="4" xfId="6" applyFont="1" applyFill="1" applyBorder="1" applyAlignment="1" applyProtection="1">
      <alignment horizontal="center" vertical="center" wrapText="1"/>
      <protection locked="0"/>
    </xf>
    <xf numFmtId="43" fontId="4" fillId="0" borderId="7" xfId="6" applyFont="1" applyFill="1" applyBorder="1" applyAlignment="1" applyProtection="1">
      <alignment horizontal="center" vertical="center" wrapText="1"/>
      <protection locked="0"/>
    </xf>
    <xf numFmtId="0" fontId="7" fillId="0" borderId="4" xfId="1" applyFont="1" applyFill="1" applyBorder="1" applyAlignment="1">
      <alignment horizontal="center" vertical="center" wrapText="1"/>
    </xf>
    <xf numFmtId="0" fontId="7" fillId="0" borderId="4" xfId="1" applyFont="1" applyFill="1" applyBorder="1" applyAlignment="1">
      <alignment horizontal="center" vertical="center"/>
    </xf>
    <xf numFmtId="0" fontId="7" fillId="0" borderId="5" xfId="1" applyFont="1" applyFill="1" applyBorder="1" applyAlignment="1">
      <alignment horizontal="center" vertical="center" wrapText="1"/>
    </xf>
    <xf numFmtId="43" fontId="7" fillId="0" borderId="6" xfId="21" applyFont="1" applyFill="1" applyBorder="1" applyAlignment="1" applyProtection="1">
      <alignment horizontal="center" vertical="center" wrapText="1"/>
      <protection locked="0"/>
    </xf>
    <xf numFmtId="0" fontId="7" fillId="0" borderId="7" xfId="1" applyFont="1" applyFill="1" applyBorder="1" applyAlignment="1">
      <alignment horizontal="center" vertical="center" wrapText="1"/>
    </xf>
    <xf numFmtId="0" fontId="7" fillId="0" borderId="7" xfId="1" applyFont="1" applyFill="1" applyBorder="1" applyAlignment="1">
      <alignment horizontal="center" vertical="center"/>
    </xf>
    <xf numFmtId="0" fontId="7" fillId="0" borderId="8" xfId="1" applyFont="1" applyFill="1" applyBorder="1" applyAlignment="1">
      <alignment horizontal="center" vertical="center" wrapText="1"/>
    </xf>
    <xf numFmtId="43" fontId="7" fillId="0" borderId="9" xfId="21" applyFont="1" applyFill="1" applyBorder="1" applyAlignment="1" applyProtection="1">
      <alignment horizontal="center" vertical="center" wrapText="1"/>
      <protection locked="0"/>
    </xf>
    <xf numFmtId="0" fontId="7" fillId="0" borderId="1" xfId="1" applyFont="1" applyFill="1" applyBorder="1" applyAlignment="1">
      <alignment horizontal="center" vertical="top" wrapText="1"/>
    </xf>
    <xf numFmtId="0" fontId="7" fillId="0" borderId="0" xfId="1" applyFont="1" applyFill="1" applyAlignment="1">
      <alignment horizontal="left" vertical="top" wrapText="1"/>
    </xf>
    <xf numFmtId="0" fontId="7" fillId="0" borderId="1" xfId="1" applyFont="1" applyFill="1" applyBorder="1" applyAlignment="1">
      <alignment horizontal="center"/>
    </xf>
    <xf numFmtId="0" fontId="7" fillId="0" borderId="2" xfId="1" applyFont="1" applyFill="1" applyBorder="1" applyAlignment="1">
      <alignment horizontal="center" wrapText="1"/>
    </xf>
    <xf numFmtId="43" fontId="7" fillId="0" borderId="3" xfId="21" applyFont="1" applyFill="1" applyBorder="1" applyAlignment="1" applyProtection="1">
      <alignment horizontal="center" wrapText="1"/>
      <protection locked="0"/>
    </xf>
    <xf numFmtId="0" fontId="0" fillId="0" borderId="1" xfId="0" applyFill="1" applyBorder="1" applyAlignment="1">
      <alignment horizontal="center" vertical="top" wrapText="1"/>
    </xf>
    <xf numFmtId="0" fontId="0" fillId="0" borderId="1" xfId="0" applyFill="1" applyBorder="1" applyAlignment="1">
      <alignment horizontal="center" wrapText="1"/>
    </xf>
    <xf numFmtId="0" fontId="0" fillId="0" borderId="2" xfId="0" applyFill="1" applyBorder="1" applyAlignment="1">
      <alignment horizontal="center" wrapText="1"/>
    </xf>
    <xf numFmtId="43" fontId="4" fillId="0" borderId="3" xfId="21" applyFont="1" applyFill="1" applyBorder="1" applyAlignment="1" applyProtection="1">
      <alignment horizontal="center" wrapText="1"/>
      <protection locked="0"/>
    </xf>
    <xf numFmtId="0" fontId="0" fillId="0" borderId="1" xfId="0" applyFill="1" applyBorder="1" applyAlignment="1">
      <alignment vertical="center" wrapText="1"/>
    </xf>
    <xf numFmtId="0" fontId="0" fillId="0" borderId="1" xfId="0" applyFill="1" applyBorder="1" applyAlignment="1">
      <alignment wrapText="1"/>
    </xf>
    <xf numFmtId="0" fontId="4" fillId="0" borderId="12" xfId="1" applyFont="1" applyFill="1" applyBorder="1" applyAlignment="1">
      <alignment horizontal="center" vertical="top" wrapText="1"/>
    </xf>
    <xf numFmtId="0" fontId="5" fillId="0" borderId="12" xfId="1" applyFont="1" applyFill="1" applyBorder="1" applyAlignment="1">
      <alignment horizontal="left" vertical="top" wrapText="1" indent="1"/>
    </xf>
    <xf numFmtId="37" fontId="4" fillId="0" borderId="12" xfId="1" applyNumberFormat="1" applyFont="1" applyFill="1" applyBorder="1" applyAlignment="1">
      <alignment horizontal="center" wrapText="1"/>
    </xf>
    <xf numFmtId="0" fontId="4" fillId="0" borderId="12" xfId="1" applyFont="1" applyFill="1" applyBorder="1" applyAlignment="1">
      <alignment horizontal="center" wrapText="1"/>
    </xf>
    <xf numFmtId="0" fontId="4" fillId="0" borderId="0" xfId="1" applyFont="1" applyFill="1" applyAlignment="1">
      <alignment horizontal="center" vertical="top" wrapText="1"/>
    </xf>
    <xf numFmtId="0" fontId="5" fillId="0" borderId="0" xfId="1" applyFont="1" applyFill="1" applyAlignment="1">
      <alignment horizontal="left" vertical="top" wrapText="1" indent="1"/>
    </xf>
    <xf numFmtId="0" fontId="4" fillId="0" borderId="0" xfId="1" applyFont="1" applyFill="1" applyAlignment="1">
      <alignment horizontal="center"/>
    </xf>
    <xf numFmtId="43" fontId="4" fillId="0" borderId="0" xfId="21" applyFont="1" applyFill="1" applyAlignment="1" applyProtection="1">
      <alignment horizontal="center" wrapText="1"/>
      <protection locked="0"/>
    </xf>
    <xf numFmtId="37" fontId="4" fillId="0" borderId="0" xfId="1" applyNumberFormat="1" applyFont="1" applyFill="1" applyAlignment="1">
      <alignment horizontal="center" wrapText="1"/>
    </xf>
    <xf numFmtId="0" fontId="4" fillId="0" borderId="0" xfId="1" applyFont="1" applyFill="1" applyAlignment="1">
      <alignment horizontal="center" wrapText="1"/>
    </xf>
    <xf numFmtId="0" fontId="0" fillId="0" borderId="2" xfId="0" applyFill="1" applyBorder="1" applyAlignment="1">
      <alignment wrapText="1"/>
    </xf>
    <xf numFmtId="0" fontId="0" fillId="0" borderId="1" xfId="0" applyFill="1" applyBorder="1" applyAlignment="1" applyProtection="1">
      <alignment horizontal="center" vertical="top" wrapText="1"/>
      <protection locked="0"/>
    </xf>
    <xf numFmtId="0" fontId="0" fillId="0" borderId="1" xfId="0" applyFill="1" applyBorder="1" applyAlignment="1" applyProtection="1">
      <alignment wrapText="1"/>
      <protection locked="0"/>
    </xf>
    <xf numFmtId="0" fontId="0" fillId="0" borderId="1" xfId="0" applyFill="1" applyBorder="1" applyAlignment="1" applyProtection="1">
      <alignment horizontal="center" wrapText="1"/>
      <protection locked="0"/>
    </xf>
    <xf numFmtId="0" fontId="0" fillId="0" borderId="2" xfId="0" applyFill="1" applyBorder="1" applyAlignment="1" applyProtection="1">
      <alignment horizontal="center" wrapText="1"/>
      <protection locked="0"/>
    </xf>
    <xf numFmtId="0" fontId="0" fillId="0" borderId="2" xfId="0" applyFill="1" applyBorder="1" applyAlignment="1" applyProtection="1">
      <alignment wrapText="1"/>
      <protection locked="0"/>
    </xf>
    <xf numFmtId="0" fontId="15" fillId="0" borderId="0" xfId="0" applyFont="1" applyFill="1" applyAlignment="1">
      <alignment horizontal="right"/>
    </xf>
    <xf numFmtId="0" fontId="16" fillId="0" borderId="0" xfId="0" applyFont="1" applyFill="1" applyAlignment="1">
      <alignment horizontal="right"/>
    </xf>
    <xf numFmtId="0" fontId="4" fillId="0" borderId="0" xfId="0" applyFont="1" applyFill="1" applyAlignment="1">
      <alignment horizontal="center" vertical="top" wrapText="1"/>
    </xf>
    <xf numFmtId="0" fontId="4" fillId="0" borderId="0" xfId="0" applyFont="1" applyFill="1" applyAlignment="1">
      <alignment vertical="top" wrapText="1"/>
    </xf>
    <xf numFmtId="0" fontId="4" fillId="0" borderId="0" xfId="0" applyFont="1" applyFill="1" applyAlignment="1">
      <alignment horizontal="center"/>
    </xf>
    <xf numFmtId="0" fontId="4" fillId="0" borderId="0" xfId="0" applyFont="1" applyFill="1" applyAlignment="1">
      <alignment horizontal="center" wrapText="1"/>
    </xf>
    <xf numFmtId="0" fontId="23" fillId="0" borderId="0" xfId="0" applyFont="1" applyFill="1" applyAlignment="1">
      <alignment vertical="top" wrapText="1"/>
    </xf>
    <xf numFmtId="43" fontId="29" fillId="0" borderId="3" xfId="21" applyFont="1" applyFill="1" applyBorder="1" applyAlignment="1" applyProtection="1">
      <alignment horizontal="center" wrapText="1"/>
      <protection locked="0"/>
    </xf>
    <xf numFmtId="0" fontId="3" fillId="0" borderId="1" xfId="0" applyFont="1" applyFill="1" applyBorder="1" applyAlignment="1" applyProtection="1">
      <alignment horizontal="center" wrapText="1"/>
      <protection locked="0"/>
    </xf>
    <xf numFmtId="0" fontId="3" fillId="0" borderId="2" xfId="0" applyFont="1" applyFill="1" applyBorder="1" applyAlignment="1" applyProtection="1">
      <alignment horizontal="center" wrapText="1"/>
      <protection locked="0"/>
    </xf>
    <xf numFmtId="0" fontId="30" fillId="0" borderId="1" xfId="0" applyFont="1" applyFill="1" applyBorder="1" applyAlignment="1" applyProtection="1">
      <alignment horizontal="center" wrapText="1"/>
      <protection locked="0"/>
    </xf>
    <xf numFmtId="0" fontId="30" fillId="0" borderId="2" xfId="0" applyFont="1" applyFill="1" applyBorder="1" applyAlignment="1" applyProtection="1">
      <alignment horizontal="center" wrapText="1"/>
      <protection locked="0"/>
    </xf>
    <xf numFmtId="0" fontId="3" fillId="0" borderId="1" xfId="0" applyFont="1" applyFill="1" applyBorder="1" applyAlignment="1" applyProtection="1">
      <alignment wrapText="1"/>
      <protection locked="0"/>
    </xf>
    <xf numFmtId="0" fontId="3" fillId="0" borderId="2" xfId="0" applyFont="1" applyFill="1" applyBorder="1" applyAlignment="1" applyProtection="1">
      <alignment wrapText="1"/>
      <protection locked="0"/>
    </xf>
    <xf numFmtId="0" fontId="30" fillId="0" borderId="1" xfId="0" applyFont="1" applyFill="1" applyBorder="1" applyAlignment="1" applyProtection="1">
      <alignment wrapText="1"/>
      <protection locked="0"/>
    </xf>
    <xf numFmtId="0" fontId="30" fillId="0" borderId="2" xfId="0" applyFont="1" applyFill="1" applyBorder="1" applyAlignment="1" applyProtection="1">
      <alignment wrapText="1"/>
      <protection locked="0"/>
    </xf>
    <xf numFmtId="0" fontId="26" fillId="0" borderId="1" xfId="0" applyFont="1" applyFill="1" applyBorder="1" applyAlignment="1">
      <alignment wrapText="1"/>
    </xf>
    <xf numFmtId="43" fontId="11" fillId="0" borderId="3" xfId="21" applyFont="1" applyFill="1" applyBorder="1" applyAlignment="1" applyProtection="1">
      <alignment horizontal="center" wrapText="1"/>
      <protection locked="0"/>
    </xf>
    <xf numFmtId="0" fontId="21" fillId="0" borderId="0" xfId="0" applyFont="1" applyFill="1" applyAlignment="1">
      <alignment vertical="top" wrapText="1"/>
    </xf>
    <xf numFmtId="0" fontId="4" fillId="0" borderId="1" xfId="19" applyFont="1" applyFill="1" applyBorder="1" applyAlignment="1">
      <alignment horizontal="center" vertical="center" wrapText="1"/>
    </xf>
    <xf numFmtId="0" fontId="0" fillId="0" borderId="1" xfId="0" applyFill="1" applyBorder="1" applyAlignment="1" applyProtection="1">
      <alignment vertical="center" wrapText="1"/>
      <protection locked="0"/>
    </xf>
    <xf numFmtId="0" fontId="18" fillId="0" borderId="1" xfId="0" applyFont="1" applyFill="1" applyBorder="1" applyAlignment="1">
      <alignment wrapText="1"/>
    </xf>
    <xf numFmtId="43" fontId="4" fillId="0" borderId="3" xfId="21" applyFont="1" applyFill="1" applyBorder="1" applyAlignment="1" applyProtection="1">
      <alignment horizontal="center" vertical="top" wrapText="1"/>
      <protection locked="0"/>
    </xf>
    <xf numFmtId="4" fontId="0" fillId="0" borderId="0" xfId="0" applyNumberFormat="1" applyFill="1" applyAlignment="1">
      <alignment horizontal="right" vertical="top"/>
    </xf>
    <xf numFmtId="0" fontId="20" fillId="0" borderId="0" xfId="0" applyFont="1" applyFill="1" applyAlignment="1">
      <alignment vertical="top" wrapText="1"/>
    </xf>
    <xf numFmtId="0" fontId="24" fillId="0" borderId="1" xfId="0" applyFont="1" applyFill="1" applyBorder="1" applyAlignment="1" applyProtection="1">
      <alignment wrapText="1"/>
      <protection locked="0"/>
    </xf>
    <xf numFmtId="0" fontId="3" fillId="0" borderId="1" xfId="0" applyFont="1" applyFill="1" applyBorder="1" applyAlignment="1" applyProtection="1">
      <alignment horizontal="center" vertical="top" wrapText="1"/>
      <protection locked="0"/>
    </xf>
    <xf numFmtId="0" fontId="3" fillId="0" borderId="1" xfId="0" applyFont="1" applyFill="1" applyBorder="1" applyAlignment="1" applyProtection="1">
      <alignment vertical="top" wrapText="1"/>
      <protection locked="0"/>
    </xf>
    <xf numFmtId="0" fontId="0" fillId="0" borderId="2" xfId="0" applyFill="1" applyBorder="1" applyAlignment="1" applyProtection="1">
      <alignment horizontal="center" vertical="top" wrapText="1"/>
      <protection locked="0"/>
    </xf>
  </cellXfs>
  <cellStyles count="22">
    <cellStyle name="Comma" xfId="21" builtinId="3"/>
    <cellStyle name="Comma 2" xfId="3" xr:uid="{9C1CE4B5-736F-488E-9190-69946E416BEF}"/>
    <cellStyle name="Comma 3" xfId="6" xr:uid="{0964C275-693B-45D9-930D-B0B6CA6D2227}"/>
    <cellStyle name="Comma 3 4 2" xfId="8" xr:uid="{EEE54344-5F7C-4C31-B00E-AFCF8061C0D2}"/>
    <cellStyle name="Comma 4" xfId="2" xr:uid="{9767EF44-2F48-4FFF-8187-AB1A10C1DEDF}"/>
    <cellStyle name="Comma 8" xfId="9" xr:uid="{B5E891AB-A4C0-4CF1-A16A-A2AB7676F69F}"/>
    <cellStyle name="Normal" xfId="0" builtinId="0"/>
    <cellStyle name="Normal 10" xfId="11" xr:uid="{4C5E2F10-25A3-4CD8-AF92-8B72B5701FFD}"/>
    <cellStyle name="Normal 2" xfId="1" xr:uid="{38CC561F-389E-47C8-84CF-FD57F51E001A}"/>
    <cellStyle name="Normal 3" xfId="4" xr:uid="{5DC4DB59-0803-40AF-B6C2-ECA63432D50A}"/>
    <cellStyle name="Normal 3 2 2" xfId="12" xr:uid="{95ED1FB5-89F2-4657-9A54-9CC08F10E0A1}"/>
    <cellStyle name="Normal 3 3" xfId="5" xr:uid="{19CC8511-B21C-49DD-B4C1-F12F3F42A50C}"/>
    <cellStyle name="Normal 4" xfId="10" xr:uid="{097AA3C1-C4A0-4E49-A0DE-48AE16728481}"/>
    <cellStyle name="Normal_INT-CERT 2_1" xfId="7" xr:uid="{D5FEA537-7DB2-42CF-81A4-D8F84C6C27C0}"/>
    <cellStyle name="S10" xfId="19" xr:uid="{3E54056C-0E93-420B-B98A-84B25FC9045C}"/>
    <cellStyle name="S11" xfId="15" xr:uid="{60CD8397-E6DC-4928-A7DF-D3FE894E07EC}"/>
    <cellStyle name="S12" xfId="16" xr:uid="{EFFE06F0-1A6F-4FE5-9F3C-ACDAF554F326}"/>
    <cellStyle name="S13" xfId="18" xr:uid="{A1A56BCE-3BEA-40E5-ACA2-C6FFB02D573F}"/>
    <cellStyle name="S6" xfId="13" xr:uid="{0C165EBF-857B-4D3E-A83C-87ACA73EC9E7}"/>
    <cellStyle name="S7" xfId="14" xr:uid="{1006E85D-DCA0-48FA-914C-A12AB3D04815}"/>
    <cellStyle name="S8" xfId="17" xr:uid="{2111EA60-EDA4-4B0F-9B54-FFB02EBE932F}"/>
    <cellStyle name="S9" xfId="20" xr:uid="{D15C826D-A85A-46EC-BA24-880AD23DBE8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4</xdr:col>
      <xdr:colOff>161363</xdr:colOff>
      <xdr:row>108</xdr:row>
      <xdr:rowOff>44823</xdr:rowOff>
    </xdr:from>
    <xdr:to>
      <xdr:col>4</xdr:col>
      <xdr:colOff>726140</xdr:colOff>
      <xdr:row>116</xdr:row>
      <xdr:rowOff>89647</xdr:rowOff>
    </xdr:to>
    <xdr:sp macro="" textlink="">
      <xdr:nvSpPr>
        <xdr:cNvPr id="2" name="Right Brace 1">
          <a:extLst>
            <a:ext uri="{FF2B5EF4-FFF2-40B4-BE49-F238E27FC236}">
              <a16:creationId xmlns:a16="http://schemas.microsoft.com/office/drawing/2014/main" id="{241793AC-6995-3637-7827-8DD04222C665}"/>
            </a:ext>
          </a:extLst>
        </xdr:cNvPr>
        <xdr:cNvSpPr/>
      </xdr:nvSpPr>
      <xdr:spPr>
        <a:xfrm>
          <a:off x="4894728" y="20269199"/>
          <a:ext cx="564777" cy="216946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AE"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E0812-0458-4DB3-8754-2173B795A728}">
  <sheetPr codeName="Sheet1"/>
  <dimension ref="A1:J50"/>
  <sheetViews>
    <sheetView view="pageBreakPreview" topLeftCell="A34" zoomScaleNormal="100" zoomScaleSheetLayoutView="100" workbookViewId="0">
      <selection activeCell="H35" sqref="H35"/>
    </sheetView>
  </sheetViews>
  <sheetFormatPr defaultColWidth="8.6640625" defaultRowHeight="14.4" x14ac:dyDescent="0.3"/>
  <cols>
    <col min="1" max="16384" width="8.6640625" style="2"/>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x14ac:dyDescent="0.3">
      <c r="A3" s="1"/>
      <c r="B3" s="1"/>
      <c r="C3" s="1"/>
      <c r="D3" s="1"/>
      <c r="E3" s="1"/>
      <c r="F3" s="1"/>
      <c r="G3" s="1"/>
      <c r="H3" s="1"/>
      <c r="I3" s="1"/>
      <c r="J3" s="1"/>
    </row>
    <row r="4" spans="1:10" x14ac:dyDescent="0.3">
      <c r="A4" s="1"/>
      <c r="B4" s="1"/>
      <c r="C4" s="1"/>
      <c r="D4" s="1"/>
      <c r="E4" s="1"/>
      <c r="F4" s="1"/>
      <c r="G4" s="1"/>
      <c r="H4" s="1"/>
      <c r="I4" s="1"/>
      <c r="J4" s="1"/>
    </row>
    <row r="5" spans="1:10" x14ac:dyDescent="0.3">
      <c r="A5" s="1"/>
      <c r="B5" s="1"/>
      <c r="C5" s="1"/>
      <c r="D5" s="1"/>
      <c r="E5" s="1"/>
      <c r="F5" s="1"/>
      <c r="G5" s="1"/>
      <c r="H5" s="1"/>
      <c r="I5" s="1"/>
      <c r="J5" s="1"/>
    </row>
    <row r="6" spans="1:10" x14ac:dyDescent="0.3">
      <c r="A6" s="1"/>
      <c r="B6" s="1"/>
      <c r="C6" s="1"/>
      <c r="D6" s="1"/>
      <c r="E6" s="1"/>
      <c r="F6" s="1"/>
      <c r="G6" s="1"/>
      <c r="H6" s="1"/>
      <c r="I6" s="1"/>
      <c r="J6" s="1"/>
    </row>
    <row r="7" spans="1:10" x14ac:dyDescent="0.3">
      <c r="A7" s="1"/>
      <c r="B7" s="1"/>
      <c r="C7" s="1"/>
      <c r="D7" s="1"/>
      <c r="E7" s="1"/>
      <c r="F7" s="1"/>
      <c r="G7" s="1"/>
      <c r="H7" s="1"/>
      <c r="I7" s="1"/>
      <c r="J7" s="1"/>
    </row>
    <row r="8" spans="1:10" x14ac:dyDescent="0.3">
      <c r="A8" s="1"/>
      <c r="B8" s="1"/>
      <c r="C8" s="1"/>
      <c r="D8" s="1"/>
      <c r="E8" s="1"/>
      <c r="F8" s="1"/>
      <c r="G8" s="1"/>
      <c r="H8" s="1"/>
      <c r="I8" s="1"/>
      <c r="J8" s="1"/>
    </row>
    <row r="9" spans="1:10" x14ac:dyDescent="0.3">
      <c r="A9" s="1"/>
      <c r="B9" s="1"/>
      <c r="C9" s="1"/>
      <c r="D9" s="1"/>
      <c r="E9" s="1"/>
      <c r="F9" s="1"/>
      <c r="G9" s="1"/>
      <c r="H9" s="1"/>
      <c r="I9" s="1"/>
      <c r="J9" s="1"/>
    </row>
    <row r="10" spans="1:10" x14ac:dyDescent="0.3">
      <c r="A10" s="1"/>
      <c r="B10" s="1"/>
      <c r="C10" s="1"/>
      <c r="D10" s="1"/>
      <c r="E10" s="1"/>
      <c r="F10" s="1"/>
      <c r="G10" s="1"/>
      <c r="H10" s="1"/>
      <c r="I10" s="1"/>
      <c r="J10" s="1"/>
    </row>
    <row r="11" spans="1:10" x14ac:dyDescent="0.3">
      <c r="A11" s="1"/>
      <c r="B11" s="1"/>
      <c r="C11" s="1"/>
      <c r="D11" s="1"/>
      <c r="E11" s="1"/>
      <c r="F11" s="1"/>
      <c r="G11" s="1"/>
      <c r="H11" s="1"/>
      <c r="I11" s="1"/>
      <c r="J11" s="1"/>
    </row>
    <row r="12" spans="1:10" x14ac:dyDescent="0.3">
      <c r="A12" s="1"/>
      <c r="B12" s="1"/>
      <c r="C12" s="1"/>
      <c r="D12" s="1"/>
      <c r="E12" s="1"/>
      <c r="F12" s="1"/>
      <c r="G12" s="1"/>
      <c r="H12" s="1"/>
      <c r="I12" s="1"/>
      <c r="J12" s="1"/>
    </row>
    <row r="13" spans="1:10" x14ac:dyDescent="0.3">
      <c r="A13" s="1"/>
      <c r="B13" s="1"/>
      <c r="C13" s="1"/>
      <c r="D13" s="1"/>
      <c r="E13" s="1"/>
      <c r="F13" s="1"/>
      <c r="G13" s="1"/>
      <c r="H13" s="1"/>
      <c r="I13" s="1"/>
      <c r="J13" s="1"/>
    </row>
    <row r="14" spans="1:10" x14ac:dyDescent="0.3">
      <c r="A14" s="3"/>
      <c r="B14" s="3"/>
      <c r="C14" s="3"/>
      <c r="D14" s="3"/>
      <c r="E14" s="3"/>
      <c r="F14" s="3"/>
      <c r="G14" s="3"/>
      <c r="H14" s="3"/>
      <c r="I14" s="3"/>
      <c r="J14" s="3"/>
    </row>
    <row r="15" spans="1:10" x14ac:dyDescent="0.3">
      <c r="A15" s="3"/>
      <c r="B15" s="3"/>
      <c r="C15" s="3"/>
      <c r="D15" s="3"/>
      <c r="E15" s="3"/>
      <c r="F15" s="3"/>
      <c r="G15" s="3"/>
      <c r="H15" s="3"/>
      <c r="I15" s="3"/>
      <c r="J15" s="3"/>
    </row>
    <row r="16" spans="1:10" x14ac:dyDescent="0.3">
      <c r="A16" s="1"/>
      <c r="B16" s="1"/>
      <c r="C16" s="1"/>
      <c r="D16" s="1"/>
      <c r="E16" s="1"/>
      <c r="F16" s="1"/>
      <c r="G16" s="1"/>
      <c r="H16" s="1"/>
      <c r="I16" s="1"/>
      <c r="J16" s="1"/>
    </row>
    <row r="17" spans="1:10" x14ac:dyDescent="0.3">
      <c r="A17" s="1"/>
      <c r="B17" s="1"/>
      <c r="C17" s="1"/>
      <c r="D17" s="1"/>
      <c r="E17" s="1"/>
      <c r="F17" s="1"/>
      <c r="G17" s="1"/>
      <c r="H17" s="1"/>
      <c r="I17" s="1"/>
      <c r="J17" s="1"/>
    </row>
    <row r="18" spans="1:10" x14ac:dyDescent="0.3">
      <c r="A18" s="1"/>
      <c r="B18" s="1"/>
      <c r="C18" s="1"/>
      <c r="D18" s="1"/>
      <c r="E18" s="1"/>
      <c r="F18" s="1"/>
      <c r="G18" s="1"/>
      <c r="H18" s="1"/>
      <c r="I18" s="1"/>
      <c r="J18" s="1"/>
    </row>
    <row r="19" spans="1:10" x14ac:dyDescent="0.3">
      <c r="A19" s="1"/>
      <c r="B19" s="1"/>
      <c r="C19" s="1"/>
      <c r="D19" s="1"/>
      <c r="E19" s="1"/>
      <c r="F19" s="1"/>
      <c r="G19" s="1"/>
      <c r="H19" s="1"/>
      <c r="I19" s="1"/>
      <c r="J19" s="1"/>
    </row>
    <row r="20" spans="1:10" x14ac:dyDescent="0.3">
      <c r="A20" s="1"/>
      <c r="B20" s="1"/>
      <c r="C20" s="1"/>
      <c r="D20" s="1"/>
      <c r="E20" s="1"/>
      <c r="F20" s="1"/>
      <c r="G20" s="1"/>
      <c r="H20" s="1"/>
      <c r="I20" s="1"/>
      <c r="J20" s="1"/>
    </row>
    <row r="21" spans="1:10" x14ac:dyDescent="0.3">
      <c r="A21" s="1"/>
      <c r="B21" s="1"/>
      <c r="C21" s="1"/>
      <c r="D21" s="1"/>
      <c r="E21" s="1"/>
      <c r="F21" s="1"/>
      <c r="G21" s="1"/>
      <c r="H21" s="1"/>
      <c r="I21" s="1"/>
      <c r="J21" s="1"/>
    </row>
    <row r="22" spans="1:10" x14ac:dyDescent="0.3">
      <c r="A22" s="163" t="s">
        <v>1179</v>
      </c>
      <c r="B22" s="163"/>
      <c r="C22" s="163"/>
      <c r="D22" s="163"/>
      <c r="E22" s="163"/>
      <c r="F22" s="163"/>
      <c r="G22" s="163"/>
      <c r="H22" s="163"/>
      <c r="I22" s="163"/>
      <c r="J22" s="163"/>
    </row>
    <row r="23" spans="1:10" x14ac:dyDescent="0.3">
      <c r="A23" s="4"/>
      <c r="B23" s="4"/>
      <c r="C23" s="4"/>
      <c r="D23" s="4"/>
      <c r="E23" s="4"/>
      <c r="F23" s="4"/>
      <c r="G23" s="4"/>
      <c r="H23" s="4"/>
      <c r="I23" s="4"/>
      <c r="J23" s="4"/>
    </row>
    <row r="24" spans="1:10" ht="15" customHeight="1" x14ac:dyDescent="0.3">
      <c r="A24" s="163" t="s">
        <v>1181</v>
      </c>
      <c r="B24" s="163"/>
      <c r="C24" s="163"/>
      <c r="D24" s="163"/>
      <c r="E24" s="163"/>
      <c r="F24" s="163"/>
      <c r="G24" s="163"/>
      <c r="H24" s="163"/>
      <c r="I24" s="163"/>
      <c r="J24" s="163"/>
    </row>
    <row r="25" spans="1:10" x14ac:dyDescent="0.3">
      <c r="A25" s="4"/>
      <c r="B25" s="4"/>
      <c r="C25" s="4"/>
      <c r="D25" s="4"/>
      <c r="E25" s="4"/>
      <c r="F25" s="4"/>
      <c r="G25" s="4"/>
      <c r="H25" s="4"/>
      <c r="I25" s="4"/>
      <c r="J25" s="4"/>
    </row>
    <row r="26" spans="1:10" x14ac:dyDescent="0.3">
      <c r="A26" s="4"/>
      <c r="B26" s="4"/>
      <c r="C26" s="4"/>
      <c r="D26" s="4"/>
      <c r="E26" s="4"/>
      <c r="F26" s="4"/>
      <c r="G26" s="4"/>
      <c r="H26" s="4"/>
      <c r="I26" s="4"/>
      <c r="J26" s="4"/>
    </row>
    <row r="27" spans="1:10" x14ac:dyDescent="0.3">
      <c r="A27" s="5"/>
      <c r="B27" s="5"/>
      <c r="C27" s="5"/>
      <c r="D27" s="5"/>
      <c r="E27" s="5"/>
      <c r="F27" s="5"/>
      <c r="G27" s="5"/>
      <c r="H27" s="5"/>
      <c r="I27" s="5"/>
      <c r="J27" s="5"/>
    </row>
    <row r="28" spans="1:10" x14ac:dyDescent="0.3">
      <c r="A28" s="4"/>
      <c r="B28" s="4"/>
      <c r="C28" s="4"/>
      <c r="D28" s="4"/>
      <c r="E28" s="4"/>
      <c r="F28" s="4"/>
      <c r="G28" s="4"/>
      <c r="H28" s="4"/>
      <c r="I28" s="4"/>
      <c r="J28" s="4"/>
    </row>
    <row r="29" spans="1:10" x14ac:dyDescent="0.3">
      <c r="A29" s="4"/>
      <c r="B29" s="4"/>
      <c r="C29" s="4"/>
      <c r="D29" s="4"/>
      <c r="E29" s="4"/>
      <c r="F29" s="4"/>
      <c r="G29" s="4"/>
      <c r="H29" s="4"/>
      <c r="I29" s="4"/>
      <c r="J29" s="4"/>
    </row>
    <row r="30" spans="1:10" x14ac:dyDescent="0.3">
      <c r="A30" s="4"/>
      <c r="B30" s="4"/>
      <c r="C30" s="4"/>
      <c r="D30" s="4"/>
      <c r="E30" s="4"/>
      <c r="F30" s="4"/>
      <c r="G30" s="4"/>
      <c r="H30" s="4"/>
      <c r="I30" s="4"/>
      <c r="J30" s="4"/>
    </row>
    <row r="31" spans="1:10" x14ac:dyDescent="0.3">
      <c r="A31" s="6"/>
      <c r="B31" s="6"/>
      <c r="C31" s="6"/>
      <c r="D31" s="6"/>
      <c r="E31" s="6"/>
      <c r="F31" s="6"/>
      <c r="G31" s="6"/>
      <c r="H31" s="6"/>
      <c r="I31" s="6"/>
      <c r="J31" s="6"/>
    </row>
    <row r="32" spans="1:10" x14ac:dyDescent="0.3">
      <c r="A32" s="6"/>
      <c r="B32" s="6"/>
      <c r="C32" s="6"/>
      <c r="D32" s="6"/>
      <c r="E32" s="6"/>
      <c r="F32" s="6"/>
      <c r="G32" s="6"/>
      <c r="H32" s="6"/>
      <c r="I32" s="6"/>
      <c r="J32" s="6"/>
    </row>
    <row r="33" spans="1:10" x14ac:dyDescent="0.3">
      <c r="A33" s="4"/>
      <c r="B33" s="4"/>
      <c r="C33" s="4"/>
      <c r="D33" s="4"/>
      <c r="E33" s="4"/>
      <c r="F33" s="4"/>
      <c r="G33" s="4"/>
      <c r="H33" s="4"/>
      <c r="I33" s="4"/>
      <c r="J33" s="4"/>
    </row>
    <row r="34" spans="1:10" x14ac:dyDescent="0.3">
      <c r="A34" s="4"/>
      <c r="B34" s="4"/>
      <c r="C34" s="4"/>
      <c r="D34" s="4"/>
      <c r="E34" s="4"/>
      <c r="F34" s="4"/>
      <c r="G34" s="4"/>
      <c r="H34" s="4"/>
      <c r="I34" s="4"/>
      <c r="J34" s="4"/>
    </row>
    <row r="35" spans="1:10" x14ac:dyDescent="0.3">
      <c r="A35" s="4"/>
      <c r="B35" s="4"/>
      <c r="C35" s="4"/>
      <c r="D35" s="4"/>
      <c r="E35" s="4"/>
      <c r="F35" s="4"/>
      <c r="G35" s="4"/>
      <c r="H35" s="4"/>
      <c r="I35" s="4"/>
      <c r="J35" s="4"/>
    </row>
    <row r="36" spans="1:10" x14ac:dyDescent="0.3">
      <c r="A36" s="4"/>
      <c r="B36" s="4"/>
      <c r="C36" s="4"/>
      <c r="D36" s="4"/>
      <c r="E36" s="4"/>
      <c r="F36" s="4"/>
      <c r="G36" s="4"/>
      <c r="H36" s="4"/>
      <c r="I36" s="4"/>
      <c r="J36" s="4"/>
    </row>
    <row r="37" spans="1:10" x14ac:dyDescent="0.3">
      <c r="A37" s="4"/>
      <c r="B37" s="4"/>
      <c r="C37" s="4"/>
      <c r="D37" s="4"/>
      <c r="E37" s="4"/>
      <c r="F37" s="4"/>
      <c r="G37" s="4"/>
      <c r="H37" s="4"/>
      <c r="I37" s="4"/>
      <c r="J37" s="4"/>
    </row>
    <row r="38" spans="1:10" x14ac:dyDescent="0.3">
      <c r="A38" s="4"/>
      <c r="B38" s="4"/>
      <c r="C38" s="4"/>
      <c r="D38" s="4"/>
      <c r="E38" s="4"/>
      <c r="F38" s="4"/>
      <c r="G38" s="4"/>
      <c r="H38" s="4"/>
      <c r="I38" s="4"/>
      <c r="J38" s="4"/>
    </row>
    <row r="39" spans="1:10" x14ac:dyDescent="0.3">
      <c r="A39" s="4"/>
      <c r="B39" s="4"/>
      <c r="C39" s="4"/>
      <c r="D39" s="4"/>
      <c r="E39" s="4"/>
      <c r="F39" s="4"/>
      <c r="G39" s="4"/>
      <c r="H39" s="4"/>
      <c r="I39" s="4"/>
      <c r="J39" s="4"/>
    </row>
    <row r="40" spans="1:10" x14ac:dyDescent="0.3">
      <c r="A40" s="4"/>
      <c r="B40" s="4"/>
      <c r="C40" s="4"/>
      <c r="D40" s="4"/>
      <c r="E40" s="4"/>
      <c r="F40" s="4"/>
      <c r="G40" s="4"/>
      <c r="H40" s="4"/>
      <c r="I40" s="4"/>
      <c r="J40" s="4"/>
    </row>
    <row r="41" spans="1:10" x14ac:dyDescent="0.3">
      <c r="A41" s="4"/>
      <c r="B41" s="4"/>
      <c r="C41" s="4"/>
      <c r="D41" s="4"/>
      <c r="E41" s="4"/>
      <c r="F41" s="4"/>
      <c r="G41" s="4"/>
      <c r="H41" s="4"/>
      <c r="I41" s="4"/>
      <c r="J41" s="4"/>
    </row>
    <row r="42" spans="1:10" x14ac:dyDescent="0.3">
      <c r="A42" s="7"/>
      <c r="B42" s="8"/>
      <c r="C42" s="9"/>
      <c r="D42" s="10"/>
      <c r="E42" s="11"/>
      <c r="F42" s="11"/>
    </row>
    <row r="43" spans="1:10" x14ac:dyDescent="0.3">
      <c r="A43" s="7"/>
      <c r="B43" s="8"/>
      <c r="C43" s="9"/>
      <c r="D43" s="10"/>
      <c r="E43" s="11"/>
      <c r="F43" s="11"/>
    </row>
    <row r="44" spans="1:10" x14ac:dyDescent="0.3">
      <c r="A44" s="7"/>
      <c r="B44" s="8"/>
      <c r="C44" s="9"/>
      <c r="D44" s="10"/>
      <c r="E44" s="11"/>
      <c r="F44" s="11"/>
    </row>
    <row r="45" spans="1:10" x14ac:dyDescent="0.3">
      <c r="A45" s="7"/>
      <c r="B45" s="8"/>
      <c r="C45" s="9"/>
      <c r="D45" s="10"/>
      <c r="E45" s="11"/>
      <c r="F45" s="11"/>
    </row>
    <row r="46" spans="1:10" x14ac:dyDescent="0.3">
      <c r="A46" s="7"/>
      <c r="B46" s="8"/>
      <c r="C46" s="9"/>
      <c r="D46" s="10"/>
      <c r="E46" s="11"/>
      <c r="F46" s="11"/>
    </row>
    <row r="47" spans="1:10" x14ac:dyDescent="0.3">
      <c r="A47" s="7"/>
      <c r="B47" s="8"/>
      <c r="C47" s="9"/>
      <c r="D47" s="10"/>
      <c r="E47" s="11"/>
      <c r="F47" s="11"/>
    </row>
    <row r="48" spans="1:10" x14ac:dyDescent="0.3">
      <c r="A48" s="7"/>
      <c r="B48" s="8"/>
      <c r="C48" s="9"/>
      <c r="D48" s="10"/>
      <c r="E48" s="11"/>
      <c r="F48" s="11"/>
    </row>
    <row r="49" spans="1:6" x14ac:dyDescent="0.3">
      <c r="A49" s="7"/>
      <c r="B49" s="8"/>
      <c r="C49" s="9"/>
      <c r="D49" s="10"/>
      <c r="E49" s="11"/>
      <c r="F49" s="11"/>
    </row>
    <row r="50" spans="1:6" x14ac:dyDescent="0.3">
      <c r="A50" s="7"/>
      <c r="B50" s="8"/>
      <c r="C50" s="9"/>
      <c r="D50" s="10"/>
      <c r="E50" s="11"/>
      <c r="F50" s="11"/>
    </row>
  </sheetData>
  <mergeCells count="2">
    <mergeCell ref="A22:J22"/>
    <mergeCell ref="A24:J24"/>
  </mergeCells>
  <printOptions horizontalCentered="1"/>
  <pageMargins left="0.66929133858267698" right="0.196850393700787" top="0.82677165354330695" bottom="0.47" header="0.196850393700787" footer="0.2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8E908-94AE-441D-BA42-CB7604239EB2}">
  <sheetPr codeName="Sheet3"/>
  <dimension ref="A1:F243"/>
  <sheetViews>
    <sheetView view="pageBreakPreview" zoomScale="85" zoomScaleNormal="100" zoomScaleSheetLayoutView="85" zoomScalePageLayoutView="70" workbookViewId="0">
      <selection activeCell="A43" sqref="A1:E1048576"/>
    </sheetView>
  </sheetViews>
  <sheetFormatPr defaultColWidth="9.33203125" defaultRowHeight="13.8" x14ac:dyDescent="0.25"/>
  <cols>
    <col min="1" max="1" width="5.6640625" style="211" customWidth="1"/>
    <col min="2" max="2" width="45.33203125" style="212" customWidth="1"/>
    <col min="3" max="3" width="9.6640625" style="213" customWidth="1"/>
    <col min="4" max="4" width="6.6640625" style="214" customWidth="1"/>
    <col min="5" max="5" width="14.33203125" style="200" customWidth="1"/>
    <col min="6" max="6" width="15.6640625" style="101" customWidth="1"/>
    <col min="7" max="16384" width="9.33203125" style="34"/>
  </cols>
  <sheetData>
    <row r="1" spans="1:6" s="29" customFormat="1" ht="14.4" x14ac:dyDescent="0.25">
      <c r="A1" s="174" t="s">
        <v>6</v>
      </c>
      <c r="B1" s="174" t="s">
        <v>0</v>
      </c>
      <c r="C1" s="175" t="s">
        <v>47</v>
      </c>
      <c r="D1" s="176" t="s">
        <v>48</v>
      </c>
      <c r="E1" s="177" t="s">
        <v>1</v>
      </c>
      <c r="F1" s="94" t="s">
        <v>49</v>
      </c>
    </row>
    <row r="2" spans="1:6" s="29" customFormat="1" ht="14.4" x14ac:dyDescent="0.25">
      <c r="A2" s="178"/>
      <c r="B2" s="178"/>
      <c r="C2" s="179"/>
      <c r="D2" s="180"/>
      <c r="E2" s="181" t="s">
        <v>50</v>
      </c>
      <c r="F2" s="95" t="s">
        <v>50</v>
      </c>
    </row>
    <row r="3" spans="1:6" s="29" customFormat="1" ht="14.4" x14ac:dyDescent="0.25">
      <c r="A3" s="182"/>
      <c r="B3" s="183"/>
      <c r="C3" s="184"/>
      <c r="D3" s="185"/>
      <c r="E3" s="186"/>
      <c r="F3" s="96"/>
    </row>
    <row r="4" spans="1:6" x14ac:dyDescent="0.25">
      <c r="A4" s="187"/>
      <c r="B4" s="33" t="s">
        <v>21</v>
      </c>
      <c r="C4" s="188"/>
      <c r="D4" s="189"/>
      <c r="E4" s="190"/>
      <c r="F4" s="97"/>
    </row>
    <row r="5" spans="1:6" x14ac:dyDescent="0.25">
      <c r="A5" s="187"/>
      <c r="B5" s="35"/>
      <c r="C5" s="188"/>
      <c r="D5" s="189"/>
      <c r="E5" s="190"/>
      <c r="F5" s="97"/>
    </row>
    <row r="6" spans="1:6" x14ac:dyDescent="0.25">
      <c r="A6" s="187"/>
      <c r="B6" s="36" t="s">
        <v>114</v>
      </c>
      <c r="C6" s="188"/>
      <c r="D6" s="189"/>
      <c r="E6" s="190"/>
      <c r="F6" s="97"/>
    </row>
    <row r="7" spans="1:6" x14ac:dyDescent="0.25">
      <c r="A7" s="187"/>
      <c r="B7" s="191"/>
      <c r="C7" s="188"/>
      <c r="D7" s="189"/>
      <c r="E7" s="190"/>
      <c r="F7" s="97"/>
    </row>
    <row r="8" spans="1:6" x14ac:dyDescent="0.25">
      <c r="A8" s="187"/>
      <c r="B8" s="192"/>
      <c r="C8" s="188"/>
      <c r="D8" s="189"/>
      <c r="E8" s="190"/>
      <c r="F8" s="97"/>
    </row>
    <row r="9" spans="1:6" x14ac:dyDescent="0.25">
      <c r="A9" s="39"/>
      <c r="B9" s="40" t="s">
        <v>106</v>
      </c>
      <c r="C9" s="41"/>
      <c r="D9" s="42"/>
      <c r="E9" s="190"/>
      <c r="F9" s="97"/>
    </row>
    <row r="10" spans="1:6" x14ac:dyDescent="0.25">
      <c r="A10" s="187"/>
      <c r="B10" s="192"/>
      <c r="C10" s="188"/>
      <c r="D10" s="189"/>
      <c r="E10" s="190"/>
      <c r="F10" s="97"/>
    </row>
    <row r="11" spans="1:6" x14ac:dyDescent="0.25">
      <c r="A11" s="39"/>
      <c r="B11" s="63" t="s">
        <v>157</v>
      </c>
      <c r="C11" s="41"/>
      <c r="D11" s="42"/>
      <c r="E11" s="190"/>
      <c r="F11" s="97"/>
    </row>
    <row r="12" spans="1:6" x14ac:dyDescent="0.25">
      <c r="A12" s="187"/>
      <c r="B12" s="192"/>
      <c r="C12" s="188"/>
      <c r="D12" s="189"/>
      <c r="E12" s="190"/>
      <c r="F12" s="97"/>
    </row>
    <row r="13" spans="1:6" x14ac:dyDescent="0.25">
      <c r="A13" s="39"/>
      <c r="B13" s="63" t="s">
        <v>158</v>
      </c>
      <c r="C13" s="41"/>
      <c r="D13" s="42"/>
      <c r="E13" s="190"/>
      <c r="F13" s="97"/>
    </row>
    <row r="14" spans="1:6" x14ac:dyDescent="0.25">
      <c r="A14" s="187"/>
      <c r="B14" s="192"/>
      <c r="C14" s="188"/>
      <c r="D14" s="189"/>
      <c r="E14" s="190"/>
      <c r="F14" s="97"/>
    </row>
    <row r="15" spans="1:6" ht="27.6" x14ac:dyDescent="0.25">
      <c r="A15" s="39"/>
      <c r="B15" s="43" t="s">
        <v>159</v>
      </c>
      <c r="C15" s="41"/>
      <c r="D15" s="42"/>
      <c r="E15" s="190"/>
      <c r="F15" s="97"/>
    </row>
    <row r="16" spans="1:6" x14ac:dyDescent="0.25">
      <c r="A16" s="187"/>
      <c r="B16" s="192"/>
      <c r="C16" s="188"/>
      <c r="D16" s="189"/>
      <c r="E16" s="190"/>
      <c r="F16" s="97"/>
    </row>
    <row r="17" spans="1:6" x14ac:dyDescent="0.25">
      <c r="A17" s="39" t="s">
        <v>3</v>
      </c>
      <c r="B17" s="40" t="s">
        <v>160</v>
      </c>
      <c r="C17" s="41">
        <v>78</v>
      </c>
      <c r="D17" s="42" t="s">
        <v>7</v>
      </c>
      <c r="E17" s="190">
        <v>395.25</v>
      </c>
      <c r="F17" s="97">
        <f>C17*E17</f>
        <v>30829.5</v>
      </c>
    </row>
    <row r="18" spans="1:6" x14ac:dyDescent="0.25">
      <c r="A18" s="187"/>
      <c r="B18" s="192"/>
      <c r="C18" s="188"/>
      <c r="D18" s="189"/>
      <c r="E18" s="190"/>
      <c r="F18" s="97"/>
    </row>
    <row r="19" spans="1:6" x14ac:dyDescent="0.25">
      <c r="A19" s="39" t="s">
        <v>2</v>
      </c>
      <c r="B19" s="40" t="s">
        <v>161</v>
      </c>
      <c r="C19" s="41">
        <v>5</v>
      </c>
      <c r="D19" s="42" t="s">
        <v>7</v>
      </c>
      <c r="E19" s="190">
        <v>563.21</v>
      </c>
      <c r="F19" s="97">
        <f>C19*E19</f>
        <v>2816.05</v>
      </c>
    </row>
    <row r="20" spans="1:6" x14ac:dyDescent="0.25">
      <c r="A20" s="187"/>
      <c r="B20" s="192"/>
      <c r="C20" s="188"/>
      <c r="D20" s="189"/>
      <c r="E20" s="190"/>
      <c r="F20" s="97"/>
    </row>
    <row r="21" spans="1:6" ht="27.6" x14ac:dyDescent="0.25">
      <c r="A21" s="39"/>
      <c r="B21" s="52" t="s">
        <v>115</v>
      </c>
      <c r="C21" s="41"/>
      <c r="D21" s="42"/>
      <c r="E21" s="190"/>
      <c r="F21" s="97"/>
    </row>
    <row r="22" spans="1:6" x14ac:dyDescent="0.25">
      <c r="A22" s="187"/>
      <c r="B22" s="192"/>
      <c r="C22" s="188"/>
      <c r="D22" s="189"/>
      <c r="E22" s="190"/>
      <c r="F22" s="97"/>
    </row>
    <row r="23" spans="1:6" x14ac:dyDescent="0.25">
      <c r="A23" s="39" t="s">
        <v>5</v>
      </c>
      <c r="B23" s="40" t="s">
        <v>162</v>
      </c>
      <c r="C23" s="41">
        <v>273</v>
      </c>
      <c r="D23" s="42" t="s">
        <v>7</v>
      </c>
      <c r="E23" s="190">
        <v>404.64</v>
      </c>
      <c r="F23" s="97">
        <f>C23*E23</f>
        <v>110466.72</v>
      </c>
    </row>
    <row r="24" spans="1:6" x14ac:dyDescent="0.25">
      <c r="A24" s="187"/>
      <c r="B24" s="192"/>
      <c r="C24" s="188"/>
      <c r="D24" s="189"/>
      <c r="E24" s="190"/>
      <c r="F24" s="97"/>
    </row>
    <row r="25" spans="1:6" x14ac:dyDescent="0.25">
      <c r="A25" s="39" t="s">
        <v>8</v>
      </c>
      <c r="B25" s="40" t="s">
        <v>163</v>
      </c>
      <c r="C25" s="41">
        <v>7</v>
      </c>
      <c r="D25" s="42" t="s">
        <v>7</v>
      </c>
      <c r="E25" s="190">
        <v>417.06</v>
      </c>
      <c r="F25" s="97">
        <f>C25*E25</f>
        <v>2919.42</v>
      </c>
    </row>
    <row r="26" spans="1:6" x14ac:dyDescent="0.25">
      <c r="A26" s="187"/>
      <c r="B26" s="192"/>
      <c r="C26" s="188"/>
      <c r="D26" s="189"/>
      <c r="E26" s="190"/>
      <c r="F26" s="97"/>
    </row>
    <row r="27" spans="1:6" x14ac:dyDescent="0.25">
      <c r="A27" s="39" t="s">
        <v>9</v>
      </c>
      <c r="B27" s="40" t="s">
        <v>164</v>
      </c>
      <c r="C27" s="41">
        <v>45</v>
      </c>
      <c r="D27" s="42" t="s">
        <v>7</v>
      </c>
      <c r="E27" s="190">
        <v>417.06</v>
      </c>
      <c r="F27" s="97">
        <f>C27*E27</f>
        <v>18767.7</v>
      </c>
    </row>
    <row r="28" spans="1:6" x14ac:dyDescent="0.25">
      <c r="A28" s="187"/>
      <c r="B28" s="192"/>
      <c r="C28" s="188"/>
      <c r="D28" s="189"/>
      <c r="E28" s="190"/>
      <c r="F28" s="97"/>
    </row>
    <row r="29" spans="1:6" x14ac:dyDescent="0.25">
      <c r="A29" s="39" t="s">
        <v>10</v>
      </c>
      <c r="B29" s="40" t="s">
        <v>165</v>
      </c>
      <c r="C29" s="41">
        <v>0</v>
      </c>
      <c r="D29" s="42" t="s">
        <v>7</v>
      </c>
      <c r="E29" s="190">
        <v>404.64</v>
      </c>
      <c r="F29" s="97">
        <f>C29*E29</f>
        <v>0</v>
      </c>
    </row>
    <row r="30" spans="1:6" x14ac:dyDescent="0.25">
      <c r="A30" s="187"/>
      <c r="B30" s="192"/>
      <c r="C30" s="188"/>
      <c r="D30" s="189"/>
      <c r="E30" s="190"/>
      <c r="F30" s="97"/>
    </row>
    <row r="31" spans="1:6" x14ac:dyDescent="0.25">
      <c r="A31" s="39" t="s">
        <v>12</v>
      </c>
      <c r="B31" s="40" t="s">
        <v>166</v>
      </c>
      <c r="C31" s="41">
        <v>56</v>
      </c>
      <c r="D31" s="42" t="s">
        <v>7</v>
      </c>
      <c r="E31" s="190">
        <v>417.06</v>
      </c>
      <c r="F31" s="97">
        <f>C31*E31</f>
        <v>23355.360000000001</v>
      </c>
    </row>
    <row r="32" spans="1:6" x14ac:dyDescent="0.25">
      <c r="A32" s="187"/>
      <c r="B32" s="192"/>
      <c r="C32" s="188"/>
      <c r="D32" s="189"/>
      <c r="E32" s="190"/>
      <c r="F32" s="97"/>
    </row>
    <row r="33" spans="1:6" x14ac:dyDescent="0.25">
      <c r="A33" s="39" t="s">
        <v>13</v>
      </c>
      <c r="B33" s="40" t="s">
        <v>167</v>
      </c>
      <c r="C33" s="41">
        <v>0</v>
      </c>
      <c r="D33" s="42" t="s">
        <v>7</v>
      </c>
      <c r="E33" s="190">
        <v>417.06</v>
      </c>
      <c r="F33" s="97">
        <f>C33*E33</f>
        <v>0</v>
      </c>
    </row>
    <row r="34" spans="1:6" x14ac:dyDescent="0.25">
      <c r="A34" s="187"/>
      <c r="B34" s="192"/>
      <c r="C34" s="188"/>
      <c r="D34" s="189"/>
      <c r="E34" s="190"/>
      <c r="F34" s="97"/>
    </row>
    <row r="35" spans="1:6" x14ac:dyDescent="0.25">
      <c r="A35" s="39" t="s">
        <v>16</v>
      </c>
      <c r="B35" s="40" t="s">
        <v>169</v>
      </c>
      <c r="C35" s="41">
        <v>0</v>
      </c>
      <c r="D35" s="42" t="s">
        <v>7</v>
      </c>
      <c r="E35" s="190">
        <v>417.06</v>
      </c>
      <c r="F35" s="97">
        <f>C35*E35</f>
        <v>0</v>
      </c>
    </row>
    <row r="36" spans="1:6" x14ac:dyDescent="0.25">
      <c r="A36" s="187"/>
      <c r="B36" s="192"/>
      <c r="C36" s="188"/>
      <c r="D36" s="189"/>
      <c r="E36" s="190"/>
      <c r="F36" s="97"/>
    </row>
    <row r="37" spans="1:6" x14ac:dyDescent="0.25">
      <c r="A37" s="39" t="s">
        <v>17</v>
      </c>
      <c r="B37" s="40" t="s">
        <v>170</v>
      </c>
      <c r="C37" s="41">
        <v>0</v>
      </c>
      <c r="D37" s="42" t="s">
        <v>7</v>
      </c>
      <c r="E37" s="190">
        <v>417.06</v>
      </c>
      <c r="F37" s="97">
        <f>C37*E37</f>
        <v>0</v>
      </c>
    </row>
    <row r="38" spans="1:6" x14ac:dyDescent="0.25">
      <c r="A38" s="187"/>
      <c r="B38" s="192"/>
      <c r="C38" s="188"/>
      <c r="D38" s="189"/>
      <c r="E38" s="190"/>
      <c r="F38" s="97"/>
    </row>
    <row r="39" spans="1:6" x14ac:dyDescent="0.25">
      <c r="A39" s="39" t="s">
        <v>18</v>
      </c>
      <c r="B39" s="40" t="s">
        <v>171</v>
      </c>
      <c r="C39" s="41">
        <v>0</v>
      </c>
      <c r="D39" s="42" t="s">
        <v>7</v>
      </c>
      <c r="E39" s="190">
        <v>408.53</v>
      </c>
      <c r="F39" s="97">
        <f>C39*E39</f>
        <v>0</v>
      </c>
    </row>
    <row r="40" spans="1:6" x14ac:dyDescent="0.25">
      <c r="A40" s="187"/>
      <c r="B40" s="192"/>
      <c r="C40" s="188"/>
      <c r="D40" s="189"/>
      <c r="E40" s="190"/>
      <c r="F40" s="97"/>
    </row>
    <row r="41" spans="1:6" x14ac:dyDescent="0.25">
      <c r="A41" s="39" t="s">
        <v>19</v>
      </c>
      <c r="B41" s="40" t="s">
        <v>173</v>
      </c>
      <c r="C41" s="41">
        <v>142</v>
      </c>
      <c r="D41" s="42" t="s">
        <v>7</v>
      </c>
      <c r="E41" s="190">
        <v>411.46</v>
      </c>
      <c r="F41" s="97">
        <f>C41*E41</f>
        <v>58427.32</v>
      </c>
    </row>
    <row r="42" spans="1:6" x14ac:dyDescent="0.25">
      <c r="A42" s="187"/>
      <c r="B42" s="192"/>
      <c r="C42" s="188"/>
      <c r="D42" s="189"/>
      <c r="E42" s="190"/>
      <c r="F42" s="97"/>
    </row>
    <row r="43" spans="1:6" x14ac:dyDescent="0.25">
      <c r="A43" s="39" t="s">
        <v>22</v>
      </c>
      <c r="B43" s="40" t="s">
        <v>174</v>
      </c>
      <c r="C43" s="41">
        <v>156</v>
      </c>
      <c r="D43" s="42" t="s">
        <v>7</v>
      </c>
      <c r="E43" s="190">
        <v>411.46</v>
      </c>
      <c r="F43" s="97">
        <f>C43*E43</f>
        <v>64187.759999999995</v>
      </c>
    </row>
    <row r="44" spans="1:6" x14ac:dyDescent="0.25">
      <c r="A44" s="187"/>
      <c r="B44" s="192"/>
      <c r="C44" s="188"/>
      <c r="D44" s="189"/>
      <c r="E44" s="190"/>
      <c r="F44" s="97"/>
    </row>
    <row r="45" spans="1:6" x14ac:dyDescent="0.25">
      <c r="A45" s="39" t="s">
        <v>23</v>
      </c>
      <c r="B45" s="40" t="s">
        <v>175</v>
      </c>
      <c r="C45" s="41">
        <v>21</v>
      </c>
      <c r="D45" s="42" t="s">
        <v>7</v>
      </c>
      <c r="E45" s="190">
        <v>411.46</v>
      </c>
      <c r="F45" s="97">
        <f>C45*E45</f>
        <v>8640.66</v>
      </c>
    </row>
    <row r="46" spans="1:6" x14ac:dyDescent="0.25">
      <c r="A46" s="187"/>
      <c r="B46" s="192"/>
      <c r="C46" s="188"/>
      <c r="D46" s="189"/>
      <c r="E46" s="190"/>
      <c r="F46" s="97"/>
    </row>
    <row r="47" spans="1:6" x14ac:dyDescent="0.25">
      <c r="A47" s="39" t="s">
        <v>25</v>
      </c>
      <c r="B47" s="40" t="s">
        <v>176</v>
      </c>
      <c r="C47" s="41">
        <v>300</v>
      </c>
      <c r="D47" s="42" t="s">
        <v>7</v>
      </c>
      <c r="E47" s="190">
        <v>411.46</v>
      </c>
      <c r="F47" s="97">
        <f>C47*E47</f>
        <v>123438</v>
      </c>
    </row>
    <row r="48" spans="1:6" x14ac:dyDescent="0.25">
      <c r="A48" s="187"/>
      <c r="B48" s="192"/>
      <c r="C48" s="188"/>
      <c r="D48" s="189"/>
      <c r="E48" s="190"/>
      <c r="F48" s="97"/>
    </row>
    <row r="49" spans="1:6" x14ac:dyDescent="0.25">
      <c r="A49" s="193"/>
      <c r="B49" s="194"/>
      <c r="C49" s="195"/>
      <c r="D49" s="196"/>
      <c r="E49" s="117"/>
      <c r="F49" s="98"/>
    </row>
    <row r="50" spans="1:6" x14ac:dyDescent="0.25">
      <c r="A50" s="197"/>
      <c r="B50" s="198"/>
      <c r="C50" s="199" t="s">
        <v>51</v>
      </c>
      <c r="D50" s="199"/>
      <c r="E50" s="200" t="s">
        <v>50</v>
      </c>
      <c r="F50" s="99">
        <f>SUM(F16:F48)</f>
        <v>443848.49000000005</v>
      </c>
    </row>
    <row r="51" spans="1:6" x14ac:dyDescent="0.25">
      <c r="A51" s="197"/>
      <c r="B51" s="198"/>
      <c r="C51" s="201"/>
      <c r="D51" s="202"/>
      <c r="E51" s="118"/>
      <c r="F51" s="100"/>
    </row>
    <row r="52" spans="1:6" x14ac:dyDescent="0.25">
      <c r="A52" s="187"/>
      <c r="B52" s="192"/>
      <c r="C52" s="188"/>
      <c r="D52" s="189"/>
      <c r="E52" s="190"/>
      <c r="F52" s="97"/>
    </row>
    <row r="53" spans="1:6" x14ac:dyDescent="0.25">
      <c r="A53" s="187"/>
      <c r="B53" s="36" t="s">
        <v>177</v>
      </c>
      <c r="C53" s="188"/>
      <c r="D53" s="189"/>
      <c r="E53" s="190"/>
      <c r="F53" s="97"/>
    </row>
    <row r="54" spans="1:6" x14ac:dyDescent="0.25">
      <c r="A54" s="187"/>
      <c r="B54" s="192"/>
      <c r="C54" s="188"/>
      <c r="D54" s="189"/>
      <c r="E54" s="190"/>
      <c r="F54" s="97"/>
    </row>
    <row r="55" spans="1:6" x14ac:dyDescent="0.25">
      <c r="A55" s="39" t="s">
        <v>3</v>
      </c>
      <c r="B55" s="40" t="s">
        <v>178</v>
      </c>
      <c r="C55" s="41">
        <v>218</v>
      </c>
      <c r="D55" s="42" t="s">
        <v>7</v>
      </c>
      <c r="E55" s="190">
        <v>411.46</v>
      </c>
      <c r="F55" s="97">
        <f>C55*E55</f>
        <v>89698.28</v>
      </c>
    </row>
    <row r="56" spans="1:6" x14ac:dyDescent="0.25">
      <c r="A56" s="187"/>
      <c r="B56" s="192"/>
      <c r="C56" s="188"/>
      <c r="D56" s="189"/>
      <c r="E56" s="190"/>
      <c r="F56" s="97"/>
    </row>
    <row r="57" spans="1:6" x14ac:dyDescent="0.25">
      <c r="A57" s="39" t="s">
        <v>2</v>
      </c>
      <c r="B57" s="40" t="s">
        <v>179</v>
      </c>
      <c r="C57" s="41">
        <v>64</v>
      </c>
      <c r="D57" s="42" t="s">
        <v>7</v>
      </c>
      <c r="E57" s="190">
        <v>411.46</v>
      </c>
      <c r="F57" s="97">
        <f>C57*E57</f>
        <v>26333.439999999999</v>
      </c>
    </row>
    <row r="58" spans="1:6" x14ac:dyDescent="0.25">
      <c r="A58" s="187"/>
      <c r="B58" s="192"/>
      <c r="C58" s="188"/>
      <c r="D58" s="189"/>
      <c r="E58" s="190"/>
      <c r="F58" s="97"/>
    </row>
    <row r="59" spans="1:6" x14ac:dyDescent="0.25">
      <c r="A59" s="39" t="s">
        <v>5</v>
      </c>
      <c r="B59" s="40" t="s">
        <v>181</v>
      </c>
      <c r="C59" s="41">
        <v>0</v>
      </c>
      <c r="D59" s="42" t="s">
        <v>7</v>
      </c>
      <c r="E59" s="190">
        <v>411.46</v>
      </c>
      <c r="F59" s="97">
        <f>C59*E59</f>
        <v>0</v>
      </c>
    </row>
    <row r="60" spans="1:6" x14ac:dyDescent="0.25">
      <c r="A60" s="187"/>
      <c r="B60" s="192"/>
      <c r="C60" s="188"/>
      <c r="D60" s="189"/>
      <c r="E60" s="190"/>
      <c r="F60" s="97"/>
    </row>
    <row r="61" spans="1:6" ht="41.4" x14ac:dyDescent="0.25">
      <c r="A61" s="39"/>
      <c r="B61" s="43" t="s">
        <v>182</v>
      </c>
      <c r="C61" s="41"/>
      <c r="D61" s="42"/>
      <c r="E61" s="190"/>
      <c r="F61" s="97"/>
    </row>
    <row r="62" spans="1:6" x14ac:dyDescent="0.25">
      <c r="A62" s="187"/>
      <c r="B62" s="192"/>
      <c r="C62" s="188"/>
      <c r="D62" s="189"/>
      <c r="E62" s="190"/>
      <c r="F62" s="97"/>
    </row>
    <row r="63" spans="1:6" x14ac:dyDescent="0.25">
      <c r="A63" s="39" t="s">
        <v>8</v>
      </c>
      <c r="B63" s="40" t="s">
        <v>183</v>
      </c>
      <c r="C63" s="41">
        <v>36.11</v>
      </c>
      <c r="D63" s="42" t="s">
        <v>24</v>
      </c>
      <c r="E63" s="190">
        <v>4382.1099999999997</v>
      </c>
      <c r="F63" s="97">
        <f>C63*E63</f>
        <v>158237.99209999997</v>
      </c>
    </row>
    <row r="64" spans="1:6" x14ac:dyDescent="0.25">
      <c r="A64" s="187"/>
      <c r="B64" s="192"/>
      <c r="C64" s="188"/>
      <c r="D64" s="189"/>
      <c r="E64" s="190"/>
      <c r="F64" s="97"/>
    </row>
    <row r="65" spans="1:6" x14ac:dyDescent="0.25">
      <c r="A65" s="39" t="s">
        <v>9</v>
      </c>
      <c r="B65" s="40" t="s">
        <v>184</v>
      </c>
      <c r="C65" s="41">
        <v>13.899999999999999</v>
      </c>
      <c r="D65" s="42" t="s">
        <v>24</v>
      </c>
      <c r="E65" s="190">
        <v>4431.91</v>
      </c>
      <c r="F65" s="97">
        <f>C65*E65</f>
        <v>61603.548999999992</v>
      </c>
    </row>
    <row r="66" spans="1:6" x14ac:dyDescent="0.25">
      <c r="A66" s="187"/>
      <c r="B66" s="192"/>
      <c r="C66" s="188"/>
      <c r="D66" s="189"/>
      <c r="E66" s="190"/>
      <c r="F66" s="97"/>
    </row>
    <row r="67" spans="1:6" x14ac:dyDescent="0.25">
      <c r="A67" s="39" t="s">
        <v>10</v>
      </c>
      <c r="B67" s="40" t="s">
        <v>171</v>
      </c>
      <c r="C67" s="41">
        <v>0</v>
      </c>
      <c r="D67" s="42" t="s">
        <v>24</v>
      </c>
      <c r="E67" s="190">
        <v>4431.91</v>
      </c>
      <c r="F67" s="97">
        <f>C67*E67</f>
        <v>0</v>
      </c>
    </row>
    <row r="68" spans="1:6" x14ac:dyDescent="0.25">
      <c r="A68" s="187"/>
      <c r="B68" s="192"/>
      <c r="C68" s="188"/>
      <c r="D68" s="189"/>
      <c r="E68" s="190"/>
      <c r="F68" s="97"/>
    </row>
    <row r="69" spans="1:6" x14ac:dyDescent="0.25">
      <c r="A69" s="39" t="s">
        <v>12</v>
      </c>
      <c r="B69" s="40" t="s">
        <v>173</v>
      </c>
      <c r="C69" s="41">
        <v>21.05</v>
      </c>
      <c r="D69" s="42" t="s">
        <v>24</v>
      </c>
      <c r="E69" s="190">
        <v>4431.91</v>
      </c>
      <c r="F69" s="97">
        <f>C69*E69</f>
        <v>93291.705499999996</v>
      </c>
    </row>
    <row r="70" spans="1:6" x14ac:dyDescent="0.25">
      <c r="A70" s="187"/>
      <c r="B70" s="192"/>
      <c r="C70" s="188"/>
      <c r="D70" s="189"/>
      <c r="E70" s="190"/>
      <c r="F70" s="97"/>
    </row>
    <row r="71" spans="1:6" x14ac:dyDescent="0.25">
      <c r="A71" s="39" t="s">
        <v>13</v>
      </c>
      <c r="B71" s="40" t="s">
        <v>174</v>
      </c>
      <c r="C71" s="41">
        <v>57.199999999999996</v>
      </c>
      <c r="D71" s="42" t="s">
        <v>24</v>
      </c>
      <c r="E71" s="190">
        <v>4431.91</v>
      </c>
      <c r="F71" s="97">
        <f>C71*E71</f>
        <v>253505.25199999998</v>
      </c>
    </row>
    <row r="72" spans="1:6" x14ac:dyDescent="0.25">
      <c r="A72" s="187"/>
      <c r="B72" s="192"/>
      <c r="C72" s="188"/>
      <c r="D72" s="189"/>
      <c r="E72" s="190"/>
      <c r="F72" s="97"/>
    </row>
    <row r="73" spans="1:6" x14ac:dyDescent="0.25">
      <c r="A73" s="39" t="s">
        <v>16</v>
      </c>
      <c r="B73" s="40" t="s">
        <v>116</v>
      </c>
      <c r="C73" s="41">
        <v>66.67</v>
      </c>
      <c r="D73" s="42" t="s">
        <v>24</v>
      </c>
      <c r="E73" s="190">
        <v>4431.91</v>
      </c>
      <c r="F73" s="97">
        <f>C73*E73</f>
        <v>295475.43969999999</v>
      </c>
    </row>
    <row r="74" spans="1:6" x14ac:dyDescent="0.25">
      <c r="A74" s="187"/>
      <c r="B74" s="192"/>
      <c r="C74" s="188"/>
      <c r="D74" s="189"/>
      <c r="E74" s="190"/>
      <c r="F74" s="97"/>
    </row>
    <row r="75" spans="1:6" ht="27.6" x14ac:dyDescent="0.25">
      <c r="A75" s="39"/>
      <c r="B75" s="43" t="s">
        <v>117</v>
      </c>
      <c r="C75" s="41"/>
      <c r="D75" s="42"/>
      <c r="E75" s="190"/>
      <c r="F75" s="97"/>
    </row>
    <row r="76" spans="1:6" x14ac:dyDescent="0.25">
      <c r="A76" s="187"/>
      <c r="B76" s="192"/>
      <c r="C76" s="188"/>
      <c r="D76" s="189"/>
      <c r="E76" s="190"/>
      <c r="F76" s="97"/>
    </row>
    <row r="77" spans="1:6" x14ac:dyDescent="0.25">
      <c r="A77" s="39" t="s">
        <v>17</v>
      </c>
      <c r="B77" s="40" t="s">
        <v>185</v>
      </c>
      <c r="C77" s="41">
        <v>327</v>
      </c>
      <c r="D77" s="42" t="s">
        <v>4</v>
      </c>
      <c r="E77" s="190">
        <v>135.71</v>
      </c>
      <c r="F77" s="97">
        <f>C77*E77</f>
        <v>44377.170000000006</v>
      </c>
    </row>
    <row r="78" spans="1:6" x14ac:dyDescent="0.25">
      <c r="A78" s="187"/>
      <c r="B78" s="192"/>
      <c r="C78" s="188"/>
      <c r="D78" s="189"/>
      <c r="E78" s="190"/>
      <c r="F78" s="97"/>
    </row>
    <row r="79" spans="1:6" x14ac:dyDescent="0.25">
      <c r="A79" s="39" t="s">
        <v>18</v>
      </c>
      <c r="B79" s="40" t="s">
        <v>186</v>
      </c>
      <c r="C79" s="41">
        <v>0</v>
      </c>
      <c r="D79" s="42" t="s">
        <v>4</v>
      </c>
      <c r="E79" s="190">
        <v>148.36000000000001</v>
      </c>
      <c r="F79" s="97">
        <f>C79*E79</f>
        <v>0</v>
      </c>
    </row>
    <row r="80" spans="1:6" x14ac:dyDescent="0.25">
      <c r="A80" s="187"/>
      <c r="B80" s="192"/>
      <c r="C80" s="188"/>
      <c r="D80" s="189"/>
      <c r="E80" s="190"/>
      <c r="F80" s="97"/>
    </row>
    <row r="81" spans="1:6" x14ac:dyDescent="0.25">
      <c r="A81" s="39" t="s">
        <v>19</v>
      </c>
      <c r="B81" s="40" t="s">
        <v>188</v>
      </c>
      <c r="C81" s="41">
        <v>1170</v>
      </c>
      <c r="D81" s="42" t="s">
        <v>4</v>
      </c>
      <c r="E81" s="190">
        <v>150.18</v>
      </c>
      <c r="F81" s="97">
        <f>C81*E81</f>
        <v>175710.6</v>
      </c>
    </row>
    <row r="82" spans="1:6" x14ac:dyDescent="0.25">
      <c r="A82" s="187"/>
      <c r="B82" s="192"/>
      <c r="C82" s="188"/>
      <c r="D82" s="189"/>
      <c r="E82" s="190"/>
      <c r="F82" s="97"/>
    </row>
    <row r="83" spans="1:6" x14ac:dyDescent="0.25">
      <c r="A83" s="39" t="s">
        <v>22</v>
      </c>
      <c r="B83" s="40" t="s">
        <v>189</v>
      </c>
      <c r="C83" s="41">
        <v>722</v>
      </c>
      <c r="D83" s="42" t="s">
        <v>4</v>
      </c>
      <c r="E83" s="190">
        <v>138.34</v>
      </c>
      <c r="F83" s="97">
        <f>C83*E83</f>
        <v>99881.48</v>
      </c>
    </row>
    <row r="84" spans="1:6" x14ac:dyDescent="0.25">
      <c r="A84" s="187"/>
      <c r="B84" s="192"/>
      <c r="C84" s="188"/>
      <c r="D84" s="189"/>
      <c r="E84" s="190"/>
      <c r="F84" s="97"/>
    </row>
    <row r="85" spans="1:6" x14ac:dyDescent="0.25">
      <c r="A85" s="39" t="s">
        <v>23</v>
      </c>
      <c r="B85" s="40" t="s">
        <v>190</v>
      </c>
      <c r="C85" s="41">
        <v>107</v>
      </c>
      <c r="D85" s="42" t="s">
        <v>4</v>
      </c>
      <c r="E85" s="190">
        <v>236.5</v>
      </c>
      <c r="F85" s="97">
        <f>C85*E85</f>
        <v>25305.5</v>
      </c>
    </row>
    <row r="86" spans="1:6" x14ac:dyDescent="0.25">
      <c r="A86" s="187"/>
      <c r="B86" s="192"/>
      <c r="C86" s="188"/>
      <c r="D86" s="189"/>
      <c r="E86" s="190"/>
      <c r="F86" s="97"/>
    </row>
    <row r="87" spans="1:6" x14ac:dyDescent="0.25">
      <c r="A87" s="39" t="s">
        <v>25</v>
      </c>
      <c r="B87" s="40" t="s">
        <v>191</v>
      </c>
      <c r="C87" s="41">
        <v>2528</v>
      </c>
      <c r="D87" s="42" t="s">
        <v>4</v>
      </c>
      <c r="E87" s="190">
        <v>153.13</v>
      </c>
      <c r="F87" s="97">
        <f>C87*E87</f>
        <v>387112.64</v>
      </c>
    </row>
    <row r="88" spans="1:6" x14ac:dyDescent="0.25">
      <c r="A88" s="187"/>
      <c r="B88" s="192"/>
      <c r="C88" s="188"/>
      <c r="D88" s="189"/>
      <c r="E88" s="190"/>
      <c r="F88" s="97"/>
    </row>
    <row r="89" spans="1:6" x14ac:dyDescent="0.25">
      <c r="A89" s="39" t="s">
        <v>31</v>
      </c>
      <c r="B89" s="40" t="s">
        <v>192</v>
      </c>
      <c r="C89" s="41">
        <v>80</v>
      </c>
      <c r="D89" s="42" t="s">
        <v>11</v>
      </c>
      <c r="E89" s="190">
        <v>44.51</v>
      </c>
      <c r="F89" s="97">
        <f>C89*E89</f>
        <v>3560.7999999999997</v>
      </c>
    </row>
    <row r="90" spans="1:6" x14ac:dyDescent="0.25">
      <c r="A90" s="39"/>
      <c r="B90" s="40"/>
      <c r="C90" s="41"/>
      <c r="D90" s="42"/>
      <c r="E90" s="190"/>
      <c r="F90" s="97"/>
    </row>
    <row r="91" spans="1:6" x14ac:dyDescent="0.25">
      <c r="A91" s="187"/>
      <c r="B91" s="192"/>
      <c r="C91" s="188"/>
      <c r="D91" s="189"/>
      <c r="E91" s="190"/>
      <c r="F91" s="97"/>
    </row>
    <row r="92" spans="1:6" x14ac:dyDescent="0.25">
      <c r="A92" s="39"/>
      <c r="B92" s="40"/>
      <c r="C92" s="41"/>
      <c r="D92" s="42"/>
      <c r="E92" s="190"/>
      <c r="F92" s="97"/>
    </row>
    <row r="93" spans="1:6" x14ac:dyDescent="0.25">
      <c r="A93" s="39"/>
      <c r="B93" s="40"/>
      <c r="C93" s="41"/>
      <c r="D93" s="42"/>
      <c r="E93" s="190"/>
      <c r="F93" s="97"/>
    </row>
    <row r="94" spans="1:6" x14ac:dyDescent="0.25">
      <c r="A94" s="187"/>
      <c r="B94" s="192"/>
      <c r="C94" s="188"/>
      <c r="D94" s="189"/>
      <c r="E94" s="190"/>
      <c r="F94" s="97"/>
    </row>
    <row r="95" spans="1:6" x14ac:dyDescent="0.25">
      <c r="A95" s="39"/>
      <c r="B95" s="43"/>
      <c r="C95" s="41"/>
      <c r="D95" s="42"/>
      <c r="E95" s="190"/>
      <c r="F95" s="97"/>
    </row>
    <row r="96" spans="1:6" x14ac:dyDescent="0.25">
      <c r="A96" s="193"/>
      <c r="B96" s="194"/>
      <c r="C96" s="195"/>
      <c r="D96" s="196"/>
      <c r="E96" s="117"/>
      <c r="F96" s="98"/>
    </row>
    <row r="97" spans="1:6" x14ac:dyDescent="0.25">
      <c r="A97" s="197"/>
      <c r="B97" s="198"/>
      <c r="C97" s="199" t="s">
        <v>51</v>
      </c>
      <c r="D97" s="199"/>
      <c r="E97" s="200" t="s">
        <v>50</v>
      </c>
      <c r="F97" s="99">
        <f>SUM(F53:F92)</f>
        <v>1714093.8483</v>
      </c>
    </row>
    <row r="98" spans="1:6" x14ac:dyDescent="0.25">
      <c r="A98" s="197"/>
      <c r="B98" s="198"/>
      <c r="C98" s="201"/>
      <c r="D98" s="202"/>
      <c r="E98" s="118"/>
      <c r="F98" s="100"/>
    </row>
    <row r="99" spans="1:6" x14ac:dyDescent="0.25">
      <c r="A99" s="192"/>
      <c r="B99" s="33"/>
      <c r="C99" s="192"/>
      <c r="D99" s="203"/>
      <c r="E99" s="190"/>
      <c r="F99" s="97"/>
    </row>
    <row r="100" spans="1:6" x14ac:dyDescent="0.25">
      <c r="A100" s="187"/>
      <c r="B100" s="36" t="s">
        <v>177</v>
      </c>
      <c r="C100" s="188"/>
      <c r="D100" s="189"/>
      <c r="E100" s="190"/>
      <c r="F100" s="97"/>
    </row>
    <row r="101" spans="1:6" x14ac:dyDescent="0.25">
      <c r="A101" s="187"/>
      <c r="B101" s="191"/>
      <c r="C101" s="188"/>
      <c r="D101" s="189"/>
      <c r="E101" s="190"/>
      <c r="F101" s="97"/>
    </row>
    <row r="102" spans="1:6" ht="27.6" x14ac:dyDescent="0.25">
      <c r="A102" s="39"/>
      <c r="B102" s="43" t="s">
        <v>193</v>
      </c>
      <c r="C102" s="41"/>
      <c r="D102" s="42"/>
      <c r="E102" s="190"/>
      <c r="F102" s="97"/>
    </row>
    <row r="103" spans="1:6" x14ac:dyDescent="0.25">
      <c r="A103" s="187"/>
      <c r="B103" s="192"/>
      <c r="C103" s="188"/>
      <c r="D103" s="189"/>
      <c r="E103" s="190"/>
      <c r="F103" s="97"/>
    </row>
    <row r="104" spans="1:6" x14ac:dyDescent="0.25">
      <c r="A104" s="39" t="s">
        <v>3</v>
      </c>
      <c r="B104" s="40" t="s">
        <v>194</v>
      </c>
      <c r="C104" s="41">
        <v>4380</v>
      </c>
      <c r="D104" s="42" t="s">
        <v>4</v>
      </c>
      <c r="E104" s="190">
        <v>287.49</v>
      </c>
      <c r="F104" s="97">
        <f>C104*E104</f>
        <v>1259206.2</v>
      </c>
    </row>
    <row r="105" spans="1:6" x14ac:dyDescent="0.25">
      <c r="A105" s="187"/>
      <c r="B105" s="192"/>
      <c r="C105" s="188"/>
      <c r="D105" s="189"/>
      <c r="E105" s="190"/>
      <c r="F105" s="97"/>
    </row>
    <row r="106" spans="1:6" x14ac:dyDescent="0.25">
      <c r="A106" s="39" t="s">
        <v>2</v>
      </c>
      <c r="B106" s="40" t="s">
        <v>195</v>
      </c>
      <c r="C106" s="41">
        <v>237</v>
      </c>
      <c r="D106" s="42" t="s">
        <v>4</v>
      </c>
      <c r="E106" s="190">
        <v>274.98</v>
      </c>
      <c r="F106" s="97">
        <f>C106*E106</f>
        <v>65170.26</v>
      </c>
    </row>
    <row r="107" spans="1:6" x14ac:dyDescent="0.25">
      <c r="A107" s="192"/>
      <c r="B107" s="33"/>
      <c r="C107" s="192"/>
      <c r="D107" s="203"/>
      <c r="E107" s="190"/>
      <c r="F107" s="97"/>
    </row>
    <row r="108" spans="1:6" x14ac:dyDescent="0.25">
      <c r="A108" s="187"/>
      <c r="B108" s="36"/>
      <c r="C108" s="188"/>
      <c r="D108" s="189"/>
      <c r="E108" s="190"/>
      <c r="F108" s="97"/>
    </row>
    <row r="109" spans="1:6" x14ac:dyDescent="0.25">
      <c r="A109" s="187"/>
      <c r="B109" s="192"/>
      <c r="C109" s="188"/>
      <c r="D109" s="189"/>
      <c r="E109" s="190"/>
      <c r="F109" s="97"/>
    </row>
    <row r="110" spans="1:6" x14ac:dyDescent="0.25">
      <c r="A110" s="39"/>
      <c r="B110" s="43"/>
      <c r="C110" s="41"/>
      <c r="D110" s="42"/>
      <c r="E110" s="190"/>
      <c r="F110" s="97"/>
    </row>
    <row r="111" spans="1:6" x14ac:dyDescent="0.25">
      <c r="A111" s="187"/>
      <c r="B111" s="192"/>
      <c r="C111" s="188"/>
      <c r="D111" s="189"/>
      <c r="E111" s="190"/>
      <c r="F111" s="97"/>
    </row>
    <row r="112" spans="1:6" x14ac:dyDescent="0.25">
      <c r="A112" s="39"/>
      <c r="B112" s="40"/>
      <c r="C112" s="41"/>
      <c r="D112" s="42"/>
      <c r="E112" s="190"/>
      <c r="F112" s="97"/>
    </row>
    <row r="113" spans="1:6" x14ac:dyDescent="0.25">
      <c r="A113" s="187"/>
      <c r="B113" s="192"/>
      <c r="C113" s="188"/>
      <c r="D113" s="189"/>
      <c r="E113" s="190"/>
      <c r="F113" s="97"/>
    </row>
    <row r="114" spans="1:6" x14ac:dyDescent="0.25">
      <c r="A114" s="39"/>
      <c r="B114" s="40"/>
      <c r="C114" s="41"/>
      <c r="D114" s="42"/>
      <c r="E114" s="190"/>
      <c r="F114" s="97"/>
    </row>
    <row r="115" spans="1:6" x14ac:dyDescent="0.25">
      <c r="A115" s="187"/>
      <c r="B115" s="192"/>
      <c r="C115" s="188"/>
      <c r="D115" s="189"/>
      <c r="E115" s="190"/>
      <c r="F115" s="97"/>
    </row>
    <row r="116" spans="1:6" x14ac:dyDescent="0.25">
      <c r="A116" s="39"/>
      <c r="B116" s="43"/>
      <c r="C116" s="41"/>
      <c r="D116" s="42"/>
      <c r="E116" s="190"/>
      <c r="F116" s="97"/>
    </row>
    <row r="117" spans="1:6" x14ac:dyDescent="0.25">
      <c r="A117" s="187"/>
      <c r="B117" s="192"/>
      <c r="C117" s="188"/>
      <c r="D117" s="189"/>
      <c r="E117" s="190"/>
      <c r="F117" s="97"/>
    </row>
    <row r="118" spans="1:6" x14ac:dyDescent="0.25">
      <c r="A118" s="39"/>
      <c r="B118" s="40"/>
      <c r="C118" s="41"/>
      <c r="D118" s="42"/>
      <c r="E118" s="190"/>
      <c r="F118" s="97"/>
    </row>
    <row r="119" spans="1:6" x14ac:dyDescent="0.25">
      <c r="A119" s="187"/>
      <c r="B119" s="192"/>
      <c r="C119" s="188"/>
      <c r="D119" s="189"/>
      <c r="E119" s="190"/>
      <c r="F119" s="97"/>
    </row>
    <row r="120" spans="1:6" x14ac:dyDescent="0.25">
      <c r="A120" s="39"/>
      <c r="B120" s="40"/>
      <c r="C120" s="41"/>
      <c r="D120" s="42"/>
      <c r="E120" s="190"/>
      <c r="F120" s="97"/>
    </row>
    <row r="121" spans="1:6" x14ac:dyDescent="0.25">
      <c r="A121" s="187"/>
      <c r="B121" s="192"/>
      <c r="C121" s="188"/>
      <c r="D121" s="189"/>
      <c r="E121" s="190"/>
      <c r="F121" s="97"/>
    </row>
    <row r="122" spans="1:6" x14ac:dyDescent="0.25">
      <c r="A122" s="39"/>
      <c r="B122" s="40"/>
      <c r="C122" s="41"/>
      <c r="D122" s="42"/>
      <c r="E122" s="190"/>
      <c r="F122" s="97"/>
    </row>
    <row r="123" spans="1:6" x14ac:dyDescent="0.25">
      <c r="A123" s="187"/>
      <c r="B123" s="192"/>
      <c r="C123" s="188"/>
      <c r="D123" s="189"/>
      <c r="E123" s="190"/>
      <c r="F123" s="97"/>
    </row>
    <row r="124" spans="1:6" x14ac:dyDescent="0.25">
      <c r="A124" s="39"/>
      <c r="B124" s="43"/>
      <c r="C124" s="41"/>
      <c r="D124" s="42"/>
      <c r="E124" s="190"/>
      <c r="F124" s="97"/>
    </row>
    <row r="125" spans="1:6" x14ac:dyDescent="0.25">
      <c r="A125" s="187"/>
      <c r="B125" s="192"/>
      <c r="C125" s="188"/>
      <c r="D125" s="189"/>
      <c r="E125" s="190"/>
      <c r="F125" s="97"/>
    </row>
    <row r="126" spans="1:6" x14ac:dyDescent="0.25">
      <c r="A126" s="39"/>
      <c r="B126" s="40"/>
      <c r="C126" s="41"/>
      <c r="D126" s="42"/>
      <c r="E126" s="190"/>
      <c r="F126" s="97"/>
    </row>
    <row r="127" spans="1:6" x14ac:dyDescent="0.25">
      <c r="A127" s="187"/>
      <c r="B127" s="192"/>
      <c r="C127" s="188"/>
      <c r="D127" s="189"/>
      <c r="E127" s="190"/>
      <c r="F127" s="97"/>
    </row>
    <row r="128" spans="1:6" x14ac:dyDescent="0.25">
      <c r="A128" s="39"/>
      <c r="B128" s="40"/>
      <c r="C128" s="41"/>
      <c r="D128" s="42"/>
      <c r="E128" s="190"/>
      <c r="F128" s="97"/>
    </row>
    <row r="129" spans="1:6" x14ac:dyDescent="0.25">
      <c r="A129" s="187"/>
      <c r="B129" s="192"/>
      <c r="C129" s="188"/>
      <c r="D129" s="189"/>
      <c r="E129" s="190"/>
      <c r="F129" s="97"/>
    </row>
    <row r="130" spans="1:6" x14ac:dyDescent="0.25">
      <c r="A130" s="39"/>
      <c r="B130" s="43"/>
      <c r="C130" s="41"/>
      <c r="D130" s="42"/>
      <c r="E130" s="190"/>
      <c r="F130" s="97"/>
    </row>
    <row r="131" spans="1:6" x14ac:dyDescent="0.25">
      <c r="A131" s="187"/>
      <c r="B131" s="192"/>
      <c r="C131" s="188"/>
      <c r="D131" s="189"/>
      <c r="E131" s="190"/>
      <c r="F131" s="97"/>
    </row>
    <row r="132" spans="1:6" x14ac:dyDescent="0.25">
      <c r="A132" s="39"/>
      <c r="B132" s="40"/>
      <c r="C132" s="41"/>
      <c r="D132" s="42"/>
      <c r="E132" s="190"/>
      <c r="F132" s="97"/>
    </row>
    <row r="133" spans="1:6" x14ac:dyDescent="0.25">
      <c r="A133" s="192"/>
      <c r="B133" s="33"/>
      <c r="C133" s="192"/>
      <c r="D133" s="203"/>
      <c r="E133" s="190"/>
      <c r="F133" s="97"/>
    </row>
    <row r="134" spans="1:6" x14ac:dyDescent="0.25">
      <c r="A134" s="192"/>
      <c r="B134" s="33"/>
      <c r="C134" s="192"/>
      <c r="D134" s="203"/>
      <c r="E134" s="190"/>
      <c r="F134" s="97"/>
    </row>
    <row r="135" spans="1:6" x14ac:dyDescent="0.25">
      <c r="A135" s="192"/>
      <c r="B135" s="33"/>
      <c r="C135" s="192"/>
      <c r="D135" s="203"/>
      <c r="E135" s="190"/>
      <c r="F135" s="97"/>
    </row>
    <row r="136" spans="1:6" x14ac:dyDescent="0.25">
      <c r="A136" s="192"/>
      <c r="B136" s="33"/>
      <c r="C136" s="192"/>
      <c r="D136" s="203"/>
      <c r="E136" s="190"/>
      <c r="F136" s="97"/>
    </row>
    <row r="137" spans="1:6" x14ac:dyDescent="0.25">
      <c r="A137" s="192"/>
      <c r="B137" s="33"/>
      <c r="C137" s="192"/>
      <c r="D137" s="203"/>
      <c r="E137" s="190"/>
      <c r="F137" s="97"/>
    </row>
    <row r="138" spans="1:6" x14ac:dyDescent="0.25">
      <c r="A138" s="192"/>
      <c r="B138" s="33"/>
      <c r="C138" s="192"/>
      <c r="D138" s="203"/>
      <c r="E138" s="190"/>
      <c r="F138" s="97"/>
    </row>
    <row r="139" spans="1:6" x14ac:dyDescent="0.25">
      <c r="A139" s="192"/>
      <c r="B139" s="33"/>
      <c r="C139" s="192"/>
      <c r="D139" s="203"/>
      <c r="E139" s="190"/>
      <c r="F139" s="97"/>
    </row>
    <row r="140" spans="1:6" x14ac:dyDescent="0.25">
      <c r="A140" s="192"/>
      <c r="B140" s="33"/>
      <c r="C140" s="192"/>
      <c r="D140" s="203"/>
      <c r="E140" s="190"/>
      <c r="F140" s="97"/>
    </row>
    <row r="141" spans="1:6" x14ac:dyDescent="0.25">
      <c r="A141" s="192"/>
      <c r="B141" s="33"/>
      <c r="C141" s="192"/>
      <c r="D141" s="203"/>
      <c r="E141" s="190"/>
      <c r="F141" s="97"/>
    </row>
    <row r="142" spans="1:6" x14ac:dyDescent="0.25">
      <c r="A142" s="192"/>
      <c r="B142" s="33"/>
      <c r="C142" s="192"/>
      <c r="D142" s="203"/>
      <c r="E142" s="190"/>
      <c r="F142" s="97"/>
    </row>
    <row r="143" spans="1:6" x14ac:dyDescent="0.25">
      <c r="A143" s="187"/>
      <c r="B143" s="36"/>
      <c r="C143" s="188"/>
      <c r="D143" s="189"/>
      <c r="E143" s="190"/>
      <c r="F143" s="97"/>
    </row>
    <row r="144" spans="1:6" x14ac:dyDescent="0.25">
      <c r="A144" s="187"/>
      <c r="B144" s="192"/>
      <c r="C144" s="188"/>
      <c r="D144" s="189"/>
      <c r="E144" s="190"/>
      <c r="F144" s="97"/>
    </row>
    <row r="145" spans="1:6" x14ac:dyDescent="0.25">
      <c r="A145" s="193"/>
      <c r="B145" s="194"/>
      <c r="C145" s="195"/>
      <c r="D145" s="196"/>
      <c r="E145" s="117"/>
      <c r="F145" s="98"/>
    </row>
    <row r="146" spans="1:6" x14ac:dyDescent="0.25">
      <c r="A146" s="197"/>
      <c r="B146" s="198"/>
      <c r="C146" s="199" t="s">
        <v>51</v>
      </c>
      <c r="D146" s="199"/>
      <c r="E146" s="200" t="s">
        <v>50</v>
      </c>
      <c r="F146" s="99">
        <f>SUM(F100:F129)</f>
        <v>1324376.46</v>
      </c>
    </row>
    <row r="147" spans="1:6" x14ac:dyDescent="0.25">
      <c r="A147" s="197"/>
      <c r="B147" s="198"/>
      <c r="C147" s="201"/>
      <c r="D147" s="202"/>
      <c r="E147" s="118"/>
      <c r="F147" s="100"/>
    </row>
    <row r="148" spans="1:6" x14ac:dyDescent="0.25">
      <c r="A148" s="187"/>
      <c r="B148" s="192"/>
      <c r="C148" s="188"/>
      <c r="D148" s="189"/>
      <c r="E148" s="190"/>
      <c r="F148" s="97"/>
    </row>
    <row r="149" spans="1:6" x14ac:dyDescent="0.25">
      <c r="A149" s="187"/>
      <c r="B149" s="36" t="s">
        <v>20</v>
      </c>
      <c r="C149" s="188"/>
      <c r="D149" s="189"/>
      <c r="E149" s="190"/>
      <c r="F149" s="97"/>
    </row>
    <row r="150" spans="1:6" x14ac:dyDescent="0.25">
      <c r="A150" s="187"/>
      <c r="B150" s="192"/>
      <c r="C150" s="188"/>
      <c r="D150" s="189"/>
      <c r="E150" s="190"/>
      <c r="F150" s="97"/>
    </row>
    <row r="151" spans="1:6" ht="69" x14ac:dyDescent="0.25">
      <c r="A151" s="39" t="s">
        <v>3</v>
      </c>
      <c r="B151" s="40" t="s">
        <v>196</v>
      </c>
      <c r="C151" s="41">
        <v>1</v>
      </c>
      <c r="D151" s="42" t="s">
        <v>6</v>
      </c>
      <c r="E151" s="190"/>
      <c r="F151" s="97">
        <f>C151*E151</f>
        <v>0</v>
      </c>
    </row>
    <row r="152" spans="1:6" x14ac:dyDescent="0.25">
      <c r="A152" s="204"/>
      <c r="B152" s="205"/>
      <c r="C152" s="206"/>
      <c r="D152" s="207"/>
      <c r="E152" s="190"/>
      <c r="F152" s="97"/>
    </row>
    <row r="153" spans="1:6" x14ac:dyDescent="0.25">
      <c r="A153" s="55"/>
      <c r="B153" s="56"/>
      <c r="C153" s="57"/>
      <c r="D153" s="58"/>
      <c r="E153" s="190"/>
      <c r="F153" s="97"/>
    </row>
    <row r="154" spans="1:6" x14ac:dyDescent="0.25">
      <c r="A154" s="204"/>
      <c r="B154" s="205"/>
      <c r="C154" s="206"/>
      <c r="D154" s="207"/>
      <c r="E154" s="190"/>
      <c r="F154" s="97"/>
    </row>
    <row r="155" spans="1:6" x14ac:dyDescent="0.25">
      <c r="A155" s="55"/>
      <c r="B155" s="59"/>
      <c r="C155" s="57"/>
      <c r="D155" s="58"/>
      <c r="E155" s="190"/>
      <c r="F155" s="97"/>
    </row>
    <row r="156" spans="1:6" x14ac:dyDescent="0.25">
      <c r="A156" s="204"/>
      <c r="B156" s="205"/>
      <c r="C156" s="206"/>
      <c r="D156" s="207"/>
      <c r="E156" s="190"/>
      <c r="F156" s="97"/>
    </row>
    <row r="157" spans="1:6" x14ac:dyDescent="0.25">
      <c r="A157" s="55"/>
      <c r="B157" s="59"/>
      <c r="C157" s="57"/>
      <c r="D157" s="58"/>
      <c r="E157" s="190"/>
      <c r="F157" s="97"/>
    </row>
    <row r="158" spans="1:6" x14ac:dyDescent="0.25">
      <c r="A158" s="204"/>
      <c r="B158" s="205"/>
      <c r="C158" s="206"/>
      <c r="D158" s="207"/>
      <c r="E158" s="190"/>
      <c r="F158" s="97"/>
    </row>
    <row r="159" spans="1:6" x14ac:dyDescent="0.25">
      <c r="A159" s="55"/>
      <c r="B159" s="59"/>
      <c r="C159" s="57"/>
      <c r="D159" s="58"/>
      <c r="E159" s="190"/>
      <c r="F159" s="97"/>
    </row>
    <row r="160" spans="1:6" x14ac:dyDescent="0.25">
      <c r="A160" s="204"/>
      <c r="B160" s="205"/>
      <c r="C160" s="206"/>
      <c r="D160" s="207"/>
      <c r="E160" s="190"/>
      <c r="F160" s="97"/>
    </row>
    <row r="161" spans="1:6" x14ac:dyDescent="0.25">
      <c r="A161" s="55"/>
      <c r="B161" s="59"/>
      <c r="C161" s="57"/>
      <c r="D161" s="58"/>
      <c r="E161" s="190"/>
      <c r="F161" s="97"/>
    </row>
    <row r="162" spans="1:6" x14ac:dyDescent="0.25">
      <c r="A162" s="204"/>
      <c r="B162" s="205"/>
      <c r="C162" s="206"/>
      <c r="D162" s="207"/>
      <c r="E162" s="190"/>
      <c r="F162" s="97"/>
    </row>
    <row r="163" spans="1:6" x14ac:dyDescent="0.25">
      <c r="A163" s="55"/>
      <c r="B163" s="59"/>
      <c r="C163" s="57"/>
      <c r="D163" s="58"/>
      <c r="E163" s="190"/>
      <c r="F163" s="97"/>
    </row>
    <row r="164" spans="1:6" x14ac:dyDescent="0.25">
      <c r="A164" s="204"/>
      <c r="B164" s="205"/>
      <c r="C164" s="206"/>
      <c r="D164" s="207"/>
      <c r="E164" s="190"/>
      <c r="F164" s="97"/>
    </row>
    <row r="165" spans="1:6" x14ac:dyDescent="0.25">
      <c r="A165" s="55"/>
      <c r="B165" s="59"/>
      <c r="C165" s="57"/>
      <c r="D165" s="58"/>
      <c r="E165" s="190"/>
      <c r="F165" s="97"/>
    </row>
    <row r="166" spans="1:6" x14ac:dyDescent="0.25">
      <c r="A166" s="205"/>
      <c r="B166" s="60"/>
      <c r="C166" s="205"/>
      <c r="D166" s="208"/>
      <c r="E166" s="190"/>
      <c r="F166" s="97"/>
    </row>
    <row r="167" spans="1:6" x14ac:dyDescent="0.25">
      <c r="A167" s="205"/>
      <c r="B167" s="60"/>
      <c r="C167" s="205"/>
      <c r="D167" s="208"/>
      <c r="E167" s="190"/>
      <c r="F167" s="97"/>
    </row>
    <row r="168" spans="1:6" x14ac:dyDescent="0.25">
      <c r="A168" s="205"/>
      <c r="B168" s="60"/>
      <c r="C168" s="205"/>
      <c r="D168" s="208"/>
      <c r="E168" s="190"/>
      <c r="F168" s="97"/>
    </row>
    <row r="169" spans="1:6" x14ac:dyDescent="0.25">
      <c r="A169" s="205"/>
      <c r="B169" s="60"/>
      <c r="C169" s="205"/>
      <c r="D169" s="208"/>
      <c r="E169" s="190"/>
      <c r="F169" s="97"/>
    </row>
    <row r="170" spans="1:6" x14ac:dyDescent="0.25">
      <c r="A170" s="205"/>
      <c r="B170" s="60"/>
      <c r="C170" s="205"/>
      <c r="D170" s="208"/>
      <c r="E170" s="190"/>
      <c r="F170" s="97"/>
    </row>
    <row r="171" spans="1:6" x14ac:dyDescent="0.25">
      <c r="A171" s="205"/>
      <c r="B171" s="60"/>
      <c r="C171" s="205"/>
      <c r="D171" s="208"/>
      <c r="E171" s="190"/>
      <c r="F171" s="97"/>
    </row>
    <row r="172" spans="1:6" x14ac:dyDescent="0.25">
      <c r="A172" s="205"/>
      <c r="B172" s="60"/>
      <c r="C172" s="205"/>
      <c r="D172" s="208"/>
      <c r="E172" s="190"/>
      <c r="F172" s="97"/>
    </row>
    <row r="173" spans="1:6" x14ac:dyDescent="0.25">
      <c r="A173" s="205"/>
      <c r="B173" s="60"/>
      <c r="C173" s="205"/>
      <c r="D173" s="208"/>
      <c r="E173" s="190"/>
      <c r="F173" s="97"/>
    </row>
    <row r="174" spans="1:6" x14ac:dyDescent="0.25">
      <c r="A174" s="205"/>
      <c r="B174" s="60"/>
      <c r="C174" s="205"/>
      <c r="D174" s="208"/>
      <c r="E174" s="190"/>
      <c r="F174" s="97"/>
    </row>
    <row r="175" spans="1:6" x14ac:dyDescent="0.25">
      <c r="A175" s="205"/>
      <c r="B175" s="60"/>
      <c r="C175" s="205"/>
      <c r="D175" s="208"/>
      <c r="E175" s="190"/>
      <c r="F175" s="97"/>
    </row>
    <row r="176" spans="1:6" x14ac:dyDescent="0.25">
      <c r="A176" s="205"/>
      <c r="B176" s="60"/>
      <c r="C176" s="205"/>
      <c r="D176" s="208"/>
      <c r="E176" s="190"/>
      <c r="F176" s="97"/>
    </row>
    <row r="177" spans="1:6" x14ac:dyDescent="0.25">
      <c r="A177" s="205"/>
      <c r="B177" s="60"/>
      <c r="C177" s="205"/>
      <c r="D177" s="208"/>
      <c r="E177" s="190"/>
      <c r="F177" s="97"/>
    </row>
    <row r="178" spans="1:6" x14ac:dyDescent="0.25">
      <c r="A178" s="205"/>
      <c r="B178" s="60"/>
      <c r="C178" s="205"/>
      <c r="D178" s="208"/>
      <c r="E178" s="190"/>
      <c r="F178" s="97"/>
    </row>
    <row r="179" spans="1:6" x14ac:dyDescent="0.25">
      <c r="A179" s="205"/>
      <c r="B179" s="60"/>
      <c r="C179" s="205"/>
      <c r="D179" s="208"/>
      <c r="E179" s="190"/>
      <c r="F179" s="97"/>
    </row>
    <row r="180" spans="1:6" x14ac:dyDescent="0.25">
      <c r="A180" s="205"/>
      <c r="B180" s="60"/>
      <c r="C180" s="205"/>
      <c r="D180" s="208"/>
      <c r="E180" s="190"/>
      <c r="F180" s="97"/>
    </row>
    <row r="181" spans="1:6" x14ac:dyDescent="0.25">
      <c r="A181" s="205"/>
      <c r="B181" s="60"/>
      <c r="C181" s="205"/>
      <c r="D181" s="208"/>
      <c r="E181" s="190"/>
      <c r="F181" s="97"/>
    </row>
    <row r="182" spans="1:6" x14ac:dyDescent="0.25">
      <c r="A182" s="205"/>
      <c r="B182" s="60"/>
      <c r="C182" s="205"/>
      <c r="D182" s="208"/>
      <c r="E182" s="190"/>
      <c r="F182" s="97"/>
    </row>
    <row r="183" spans="1:6" x14ac:dyDescent="0.25">
      <c r="A183" s="204"/>
      <c r="B183" s="61"/>
      <c r="C183" s="206"/>
      <c r="D183" s="207"/>
      <c r="E183" s="190"/>
      <c r="F183" s="97"/>
    </row>
    <row r="184" spans="1:6" x14ac:dyDescent="0.25">
      <c r="A184" s="204"/>
      <c r="B184" s="205"/>
      <c r="C184" s="206"/>
      <c r="D184" s="207"/>
      <c r="E184" s="190"/>
      <c r="F184" s="97"/>
    </row>
    <row r="185" spans="1:6" x14ac:dyDescent="0.25">
      <c r="A185" s="55"/>
      <c r="B185" s="56"/>
      <c r="C185" s="57"/>
      <c r="D185" s="58"/>
      <c r="E185" s="190"/>
      <c r="F185" s="97"/>
    </row>
    <row r="186" spans="1:6" x14ac:dyDescent="0.25">
      <c r="A186" s="204"/>
      <c r="B186" s="205"/>
      <c r="C186" s="206"/>
      <c r="D186" s="207"/>
      <c r="E186" s="190"/>
      <c r="F186" s="97"/>
    </row>
    <row r="187" spans="1:6" x14ac:dyDescent="0.25">
      <c r="A187" s="55"/>
      <c r="B187" s="59"/>
      <c r="C187" s="57"/>
      <c r="D187" s="58"/>
      <c r="E187" s="190"/>
      <c r="F187" s="97"/>
    </row>
    <row r="188" spans="1:6" x14ac:dyDescent="0.25">
      <c r="A188" s="204"/>
      <c r="B188" s="205"/>
      <c r="C188" s="206"/>
      <c r="D188" s="207"/>
      <c r="E188" s="190"/>
      <c r="F188" s="97"/>
    </row>
    <row r="189" spans="1:6" x14ac:dyDescent="0.25">
      <c r="A189" s="55"/>
      <c r="B189" s="59"/>
      <c r="C189" s="57"/>
      <c r="D189" s="58"/>
      <c r="E189" s="190"/>
      <c r="F189" s="97"/>
    </row>
    <row r="190" spans="1:6" x14ac:dyDescent="0.25">
      <c r="A190" s="187"/>
      <c r="B190" s="192"/>
      <c r="C190" s="188"/>
      <c r="D190" s="189"/>
      <c r="E190" s="190"/>
      <c r="F190" s="97"/>
    </row>
    <row r="191" spans="1:6" x14ac:dyDescent="0.25">
      <c r="A191" s="193"/>
      <c r="B191" s="194"/>
      <c r="C191" s="195"/>
      <c r="D191" s="196"/>
      <c r="E191" s="117"/>
      <c r="F191" s="98"/>
    </row>
    <row r="192" spans="1:6" x14ac:dyDescent="0.25">
      <c r="A192" s="197"/>
      <c r="B192" s="198"/>
      <c r="C192" s="199" t="s">
        <v>51</v>
      </c>
      <c r="D192" s="199"/>
      <c r="E192" s="200" t="s">
        <v>50</v>
      </c>
      <c r="F192" s="99">
        <f>SUM(F150:F164)</f>
        <v>0</v>
      </c>
    </row>
    <row r="193" spans="1:6" x14ac:dyDescent="0.25">
      <c r="A193" s="197"/>
      <c r="B193" s="198"/>
      <c r="C193" s="201"/>
      <c r="D193" s="202"/>
      <c r="E193" s="118"/>
      <c r="F193" s="100"/>
    </row>
    <row r="194" spans="1:6" x14ac:dyDescent="0.25">
      <c r="A194" s="187"/>
      <c r="B194" s="192"/>
      <c r="C194" s="188"/>
      <c r="D194" s="189"/>
      <c r="E194" s="190"/>
      <c r="F194" s="97"/>
    </row>
    <row r="195" spans="1:6" x14ac:dyDescent="0.25">
      <c r="A195" s="39"/>
      <c r="B195" s="209" t="s">
        <v>52</v>
      </c>
      <c r="C195" s="41"/>
      <c r="D195" s="42"/>
      <c r="E195" s="190"/>
      <c r="F195" s="97"/>
    </row>
    <row r="196" spans="1:6" x14ac:dyDescent="0.25">
      <c r="A196" s="187"/>
      <c r="B196" s="40"/>
      <c r="C196" s="188"/>
      <c r="D196" s="189"/>
      <c r="E196" s="190"/>
      <c r="F196" s="97"/>
    </row>
    <row r="197" spans="1:6" x14ac:dyDescent="0.25">
      <c r="A197" s="39"/>
      <c r="B197" s="210" t="s">
        <v>197</v>
      </c>
      <c r="C197" s="41"/>
      <c r="D197" s="42"/>
      <c r="E197" s="190"/>
      <c r="F197" s="97">
        <f>F50</f>
        <v>443848.49000000005</v>
      </c>
    </row>
    <row r="198" spans="1:6" x14ac:dyDescent="0.25">
      <c r="A198" s="187"/>
      <c r="B198" s="40"/>
      <c r="C198" s="188"/>
      <c r="D198" s="189"/>
      <c r="E198" s="190"/>
      <c r="F198" s="97"/>
    </row>
    <row r="199" spans="1:6" x14ac:dyDescent="0.25">
      <c r="A199" s="39"/>
      <c r="B199" s="210" t="s">
        <v>198</v>
      </c>
      <c r="C199" s="41"/>
      <c r="D199" s="42"/>
      <c r="E199" s="190"/>
      <c r="F199" s="97">
        <f>F97</f>
        <v>1714093.8483</v>
      </c>
    </row>
    <row r="200" spans="1:6" x14ac:dyDescent="0.25">
      <c r="A200" s="187"/>
      <c r="B200" s="33"/>
      <c r="C200" s="188"/>
      <c r="D200" s="189"/>
      <c r="E200" s="190"/>
      <c r="F200" s="97"/>
    </row>
    <row r="201" spans="1:6" x14ac:dyDescent="0.25">
      <c r="A201" s="39"/>
      <c r="B201" s="210" t="s">
        <v>199</v>
      </c>
      <c r="C201" s="41"/>
      <c r="D201" s="42"/>
      <c r="E201" s="190"/>
      <c r="F201" s="97">
        <f>F146</f>
        <v>1324376.46</v>
      </c>
    </row>
    <row r="202" spans="1:6" x14ac:dyDescent="0.25">
      <c r="A202" s="187"/>
      <c r="B202" s="40"/>
      <c r="C202" s="188"/>
      <c r="D202" s="189"/>
      <c r="E202" s="190"/>
      <c r="F202" s="97"/>
    </row>
    <row r="203" spans="1:6" x14ac:dyDescent="0.25">
      <c r="A203" s="39"/>
      <c r="B203" s="210" t="s">
        <v>200</v>
      </c>
      <c r="C203" s="41"/>
      <c r="D203" s="42"/>
      <c r="E203" s="190"/>
      <c r="F203" s="97">
        <f>F192</f>
        <v>0</v>
      </c>
    </row>
    <row r="204" spans="1:6" x14ac:dyDescent="0.25">
      <c r="A204" s="192"/>
      <c r="B204" s="33"/>
      <c r="C204" s="192"/>
      <c r="D204" s="203"/>
      <c r="E204" s="190"/>
      <c r="F204" s="97"/>
    </row>
    <row r="205" spans="1:6" x14ac:dyDescent="0.25">
      <c r="A205" s="192"/>
      <c r="B205" s="210"/>
      <c r="C205" s="192"/>
      <c r="D205" s="203"/>
      <c r="E205" s="190"/>
      <c r="F205" s="97"/>
    </row>
    <row r="206" spans="1:6" x14ac:dyDescent="0.25">
      <c r="A206" s="192"/>
      <c r="B206" s="33"/>
      <c r="C206" s="192"/>
      <c r="D206" s="203"/>
      <c r="E206" s="190"/>
      <c r="F206" s="97"/>
    </row>
    <row r="207" spans="1:6" x14ac:dyDescent="0.25">
      <c r="A207" s="192"/>
      <c r="B207" s="33"/>
      <c r="C207" s="192"/>
      <c r="D207" s="203"/>
      <c r="E207" s="190"/>
      <c r="F207" s="97"/>
    </row>
    <row r="208" spans="1:6" x14ac:dyDescent="0.25">
      <c r="A208" s="192"/>
      <c r="B208" s="33"/>
      <c r="C208" s="192"/>
      <c r="D208" s="203"/>
      <c r="E208" s="190"/>
      <c r="F208" s="97"/>
    </row>
    <row r="209" spans="1:6" x14ac:dyDescent="0.25">
      <c r="A209" s="192"/>
      <c r="B209" s="33"/>
      <c r="C209" s="192"/>
      <c r="D209" s="203"/>
      <c r="E209" s="190"/>
      <c r="F209" s="97"/>
    </row>
    <row r="210" spans="1:6" x14ac:dyDescent="0.25">
      <c r="A210" s="192"/>
      <c r="B210" s="33"/>
      <c r="C210" s="192"/>
      <c r="D210" s="203"/>
      <c r="E210" s="190"/>
      <c r="F210" s="97"/>
    </row>
    <row r="211" spans="1:6" x14ac:dyDescent="0.25">
      <c r="A211" s="192"/>
      <c r="B211" s="33"/>
      <c r="C211" s="192"/>
      <c r="D211" s="203"/>
      <c r="E211" s="190"/>
      <c r="F211" s="97"/>
    </row>
    <row r="212" spans="1:6" x14ac:dyDescent="0.25">
      <c r="A212" s="192"/>
      <c r="B212" s="33"/>
      <c r="C212" s="192"/>
      <c r="D212" s="203"/>
      <c r="E212" s="190"/>
      <c r="F212" s="97"/>
    </row>
    <row r="213" spans="1:6" x14ac:dyDescent="0.25">
      <c r="A213" s="192"/>
      <c r="B213" s="33"/>
      <c r="C213" s="192"/>
      <c r="D213" s="203"/>
      <c r="E213" s="190"/>
      <c r="F213" s="97"/>
    </row>
    <row r="214" spans="1:6" x14ac:dyDescent="0.25">
      <c r="A214" s="192"/>
      <c r="B214" s="33"/>
      <c r="C214" s="192"/>
      <c r="D214" s="203"/>
      <c r="E214" s="190"/>
      <c r="F214" s="97"/>
    </row>
    <row r="215" spans="1:6" x14ac:dyDescent="0.25">
      <c r="A215" s="187"/>
      <c r="B215" s="36"/>
      <c r="C215" s="188"/>
      <c r="D215" s="189"/>
      <c r="E215" s="190"/>
      <c r="F215" s="97"/>
    </row>
    <row r="216" spans="1:6" x14ac:dyDescent="0.25">
      <c r="A216" s="187"/>
      <c r="B216" s="192"/>
      <c r="C216" s="188"/>
      <c r="D216" s="189"/>
      <c r="E216" s="190"/>
      <c r="F216" s="97"/>
    </row>
    <row r="217" spans="1:6" x14ac:dyDescent="0.25">
      <c r="A217" s="39"/>
      <c r="B217" s="40"/>
      <c r="C217" s="41"/>
      <c r="D217" s="42"/>
      <c r="E217" s="190"/>
      <c r="F217" s="97"/>
    </row>
    <row r="218" spans="1:6" x14ac:dyDescent="0.25">
      <c r="A218" s="192"/>
      <c r="B218" s="33"/>
      <c r="C218" s="192"/>
      <c r="D218" s="203"/>
      <c r="E218" s="190"/>
      <c r="F218" s="97"/>
    </row>
    <row r="219" spans="1:6" x14ac:dyDescent="0.25">
      <c r="A219" s="192"/>
      <c r="B219" s="33"/>
      <c r="C219" s="192"/>
      <c r="D219" s="203"/>
      <c r="E219" s="190"/>
      <c r="F219" s="97"/>
    </row>
    <row r="220" spans="1:6" x14ac:dyDescent="0.25">
      <c r="A220" s="192"/>
      <c r="B220" s="33"/>
      <c r="C220" s="192"/>
      <c r="D220" s="203"/>
      <c r="E220" s="190"/>
      <c r="F220" s="97"/>
    </row>
    <row r="221" spans="1:6" x14ac:dyDescent="0.25">
      <c r="A221" s="192"/>
      <c r="B221" s="33"/>
      <c r="C221" s="192"/>
      <c r="D221" s="203"/>
      <c r="E221" s="190"/>
      <c r="F221" s="97"/>
    </row>
    <row r="222" spans="1:6" x14ac:dyDescent="0.25">
      <c r="A222" s="192"/>
      <c r="B222" s="33"/>
      <c r="C222" s="192"/>
      <c r="D222" s="203"/>
      <c r="E222" s="190"/>
      <c r="F222" s="97"/>
    </row>
    <row r="223" spans="1:6" x14ac:dyDescent="0.25">
      <c r="A223" s="192"/>
      <c r="B223" s="33"/>
      <c r="C223" s="192"/>
      <c r="D223" s="203"/>
      <c r="E223" s="190"/>
      <c r="F223" s="97"/>
    </row>
    <row r="224" spans="1:6" x14ac:dyDescent="0.25">
      <c r="A224" s="192"/>
      <c r="B224" s="33"/>
      <c r="C224" s="192"/>
      <c r="D224" s="203"/>
      <c r="E224" s="190"/>
      <c r="F224" s="97"/>
    </row>
    <row r="225" spans="1:6" x14ac:dyDescent="0.25">
      <c r="A225" s="192"/>
      <c r="B225" s="33"/>
      <c r="C225" s="192"/>
      <c r="D225" s="203"/>
      <c r="E225" s="190"/>
      <c r="F225" s="97"/>
    </row>
    <row r="226" spans="1:6" x14ac:dyDescent="0.25">
      <c r="A226" s="192"/>
      <c r="B226" s="33"/>
      <c r="C226" s="192"/>
      <c r="D226" s="203"/>
      <c r="E226" s="190"/>
      <c r="F226" s="97"/>
    </row>
    <row r="227" spans="1:6" x14ac:dyDescent="0.25">
      <c r="A227" s="192"/>
      <c r="B227" s="33"/>
      <c r="C227" s="192"/>
      <c r="D227" s="203"/>
      <c r="E227" s="190"/>
      <c r="F227" s="97"/>
    </row>
    <row r="228" spans="1:6" x14ac:dyDescent="0.25">
      <c r="A228" s="192"/>
      <c r="B228" s="33"/>
      <c r="C228" s="192"/>
      <c r="D228" s="203"/>
      <c r="E228" s="190"/>
      <c r="F228" s="97"/>
    </row>
    <row r="229" spans="1:6" x14ac:dyDescent="0.25">
      <c r="A229" s="192"/>
      <c r="B229" s="33"/>
      <c r="C229" s="192"/>
      <c r="D229" s="203"/>
      <c r="E229" s="190"/>
      <c r="F229" s="97"/>
    </row>
    <row r="230" spans="1:6" x14ac:dyDescent="0.25">
      <c r="A230" s="192"/>
      <c r="B230" s="33"/>
      <c r="C230" s="192"/>
      <c r="D230" s="203"/>
      <c r="E230" s="190"/>
      <c r="F230" s="97"/>
    </row>
    <row r="231" spans="1:6" x14ac:dyDescent="0.25">
      <c r="A231" s="192"/>
      <c r="B231" s="33"/>
      <c r="C231" s="192"/>
      <c r="D231" s="203"/>
      <c r="E231" s="190"/>
      <c r="F231" s="97"/>
    </row>
    <row r="232" spans="1:6" x14ac:dyDescent="0.25">
      <c r="A232" s="192"/>
      <c r="B232" s="33"/>
      <c r="C232" s="192"/>
      <c r="D232" s="203"/>
      <c r="E232" s="190"/>
      <c r="F232" s="97"/>
    </row>
    <row r="233" spans="1:6" x14ac:dyDescent="0.25">
      <c r="A233" s="192"/>
      <c r="B233" s="33"/>
      <c r="C233" s="192"/>
      <c r="D233" s="203"/>
      <c r="E233" s="190"/>
      <c r="F233" s="97"/>
    </row>
    <row r="234" spans="1:6" x14ac:dyDescent="0.25">
      <c r="A234" s="192"/>
      <c r="B234" s="33"/>
      <c r="C234" s="192"/>
      <c r="D234" s="203"/>
      <c r="E234" s="190"/>
      <c r="F234" s="97"/>
    </row>
    <row r="235" spans="1:6" x14ac:dyDescent="0.25">
      <c r="A235" s="192"/>
      <c r="B235" s="33"/>
      <c r="C235" s="192"/>
      <c r="D235" s="203"/>
      <c r="E235" s="190"/>
      <c r="F235" s="97"/>
    </row>
    <row r="236" spans="1:6" x14ac:dyDescent="0.25">
      <c r="A236" s="192"/>
      <c r="B236" s="33"/>
      <c r="C236" s="192"/>
      <c r="D236" s="203"/>
      <c r="E236" s="190"/>
      <c r="F236" s="97"/>
    </row>
    <row r="237" spans="1:6" x14ac:dyDescent="0.25">
      <c r="A237" s="192"/>
      <c r="B237" s="33"/>
      <c r="C237" s="192"/>
      <c r="D237" s="203"/>
      <c r="E237" s="190"/>
      <c r="F237" s="97"/>
    </row>
    <row r="238" spans="1:6" x14ac:dyDescent="0.25">
      <c r="A238" s="192"/>
      <c r="B238" s="33"/>
      <c r="C238" s="192"/>
      <c r="D238" s="203"/>
      <c r="E238" s="190"/>
      <c r="F238" s="97"/>
    </row>
    <row r="239" spans="1:6" x14ac:dyDescent="0.25">
      <c r="A239" s="192"/>
      <c r="B239" s="33"/>
      <c r="C239" s="192"/>
      <c r="D239" s="203"/>
      <c r="E239" s="190"/>
      <c r="F239" s="97"/>
    </row>
    <row r="240" spans="1:6" x14ac:dyDescent="0.25">
      <c r="A240" s="192"/>
      <c r="B240" s="33"/>
      <c r="C240" s="192"/>
      <c r="D240" s="203"/>
      <c r="E240" s="190"/>
      <c r="F240" s="97"/>
    </row>
    <row r="241" spans="1:6" x14ac:dyDescent="0.25">
      <c r="A241" s="193"/>
      <c r="B241" s="194"/>
      <c r="C241" s="195"/>
      <c r="D241" s="196"/>
      <c r="E241" s="117"/>
      <c r="F241" s="98"/>
    </row>
    <row r="242" spans="1:6" x14ac:dyDescent="0.25">
      <c r="A242" s="197"/>
      <c r="B242" s="198"/>
      <c r="C242" s="199" t="s">
        <v>96</v>
      </c>
      <c r="D242" s="199"/>
      <c r="E242" s="200" t="s">
        <v>50</v>
      </c>
      <c r="F242" s="99">
        <f>SUM(F194:F212)</f>
        <v>3482318.7982999999</v>
      </c>
    </row>
    <row r="243" spans="1:6" x14ac:dyDescent="0.25">
      <c r="A243" s="197"/>
      <c r="B243" s="198"/>
      <c r="C243" s="201"/>
      <c r="D243" s="202"/>
      <c r="E243" s="118"/>
      <c r="F243" s="100"/>
    </row>
  </sheetData>
  <mergeCells count="4">
    <mergeCell ref="A1:A2"/>
    <mergeCell ref="B1:B2"/>
    <mergeCell ref="C1:C2"/>
    <mergeCell ref="D1:D2"/>
  </mergeCells>
  <phoneticPr fontId="17" type="noConversion"/>
  <printOptions horizontalCentered="1"/>
  <pageMargins left="0.6692913385826772" right="0.19685039370078741" top="0.82677165354330717" bottom="0.47244094488188981" header="0.19685039370078741" footer="0.23622047244094491"/>
  <pageSetup paperSize="9" scale="97" fitToHeight="0" orientation="portrait" useFirstPageNumber="1" r:id="rId1"/>
  <headerFooter>
    <oddHeader>&amp;R&amp;11&amp;U
BILL NO. 4 -PARKING FLOORS REFURBISHMENT
CONCRETE WORK</oddHeader>
    <oddFooter>&amp;L&amp;8DMS 148704 BOQ - Nakheel Mall Al Khail&amp;C4/C/&amp;P</oddFooter>
  </headerFooter>
  <rowBreaks count="4" manualBreakCount="4">
    <brk id="51" max="5" man="1"/>
    <brk id="98" max="5" man="1"/>
    <brk id="147" max="5" man="1"/>
    <brk id="193" max="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20917-0AB3-49D8-B367-AB8E6D4BF5B3}">
  <sheetPr codeName="Sheet4"/>
  <dimension ref="A1:F137"/>
  <sheetViews>
    <sheetView view="pageBreakPreview" zoomScale="85" zoomScaleNormal="100" zoomScaleSheetLayoutView="85" zoomScalePageLayoutView="70" workbookViewId="0">
      <pane ySplit="2" topLeftCell="A3" activePane="bottomLeft" state="frozen"/>
      <selection pane="bottomLeft" sqref="A1:E1048576"/>
    </sheetView>
  </sheetViews>
  <sheetFormatPr defaultColWidth="9.33203125" defaultRowHeight="13.8" x14ac:dyDescent="0.25"/>
  <cols>
    <col min="1" max="1" width="5.6640625" style="211" customWidth="1"/>
    <col min="2" max="2" width="45" style="212" customWidth="1"/>
    <col min="3" max="3" width="9.44140625" style="213" customWidth="1"/>
    <col min="4" max="4" width="6.6640625" style="214" customWidth="1"/>
    <col min="5" max="5" width="13.44140625" style="200" customWidth="1"/>
    <col min="6" max="6" width="15.6640625" style="101" customWidth="1"/>
    <col min="7" max="16384" width="9.33203125" style="34"/>
  </cols>
  <sheetData>
    <row r="1" spans="1:6" s="29" customFormat="1" ht="14.4" x14ac:dyDescent="0.25">
      <c r="A1" s="174" t="s">
        <v>6</v>
      </c>
      <c r="B1" s="174" t="s">
        <v>0</v>
      </c>
      <c r="C1" s="175" t="s">
        <v>47</v>
      </c>
      <c r="D1" s="176" t="s">
        <v>48</v>
      </c>
      <c r="E1" s="177" t="s">
        <v>1</v>
      </c>
      <c r="F1" s="94" t="s">
        <v>49</v>
      </c>
    </row>
    <row r="2" spans="1:6" s="29" customFormat="1" ht="14.4" x14ac:dyDescent="0.25">
      <c r="A2" s="178"/>
      <c r="B2" s="178"/>
      <c r="C2" s="179"/>
      <c r="D2" s="180"/>
      <c r="E2" s="181" t="s">
        <v>50</v>
      </c>
      <c r="F2" s="95" t="s">
        <v>50</v>
      </c>
    </row>
    <row r="3" spans="1:6" s="29" customFormat="1" ht="14.4" x14ac:dyDescent="0.25">
      <c r="A3" s="182"/>
      <c r="B3" s="183"/>
      <c r="C3" s="184"/>
      <c r="D3" s="185"/>
      <c r="E3" s="186"/>
      <c r="F3" s="96"/>
    </row>
    <row r="4" spans="1:6" x14ac:dyDescent="0.25">
      <c r="A4" s="187"/>
      <c r="B4" s="33" t="s">
        <v>201</v>
      </c>
      <c r="C4" s="188"/>
      <c r="D4" s="189"/>
      <c r="E4" s="190"/>
      <c r="F4" s="97"/>
    </row>
    <row r="5" spans="1:6" x14ac:dyDescent="0.25">
      <c r="A5" s="187"/>
      <c r="B5" s="35"/>
      <c r="C5" s="188"/>
      <c r="D5" s="189"/>
      <c r="E5" s="190"/>
      <c r="F5" s="97"/>
    </row>
    <row r="6" spans="1:6" x14ac:dyDescent="0.25">
      <c r="A6" s="187"/>
      <c r="B6" s="36" t="s">
        <v>202</v>
      </c>
      <c r="C6" s="188"/>
      <c r="D6" s="189"/>
      <c r="E6" s="190"/>
      <c r="F6" s="97"/>
    </row>
    <row r="7" spans="1:6" x14ac:dyDescent="0.25">
      <c r="A7" s="187"/>
      <c r="B7" s="192"/>
      <c r="C7" s="188"/>
      <c r="D7" s="189"/>
      <c r="E7" s="190"/>
      <c r="F7" s="97"/>
    </row>
    <row r="8" spans="1:6" x14ac:dyDescent="0.25">
      <c r="A8" s="39"/>
      <c r="B8" s="40" t="s">
        <v>106</v>
      </c>
      <c r="C8" s="41"/>
      <c r="D8" s="42"/>
      <c r="E8" s="190"/>
      <c r="F8" s="97"/>
    </row>
    <row r="9" spans="1:6" x14ac:dyDescent="0.25">
      <c r="A9" s="187"/>
      <c r="B9" s="192"/>
      <c r="C9" s="188"/>
      <c r="D9" s="189"/>
      <c r="E9" s="190"/>
      <c r="F9" s="97"/>
    </row>
    <row r="10" spans="1:6" ht="27.6" x14ac:dyDescent="0.25">
      <c r="A10" s="39"/>
      <c r="B10" s="40" t="s">
        <v>203</v>
      </c>
      <c r="C10" s="41"/>
      <c r="D10" s="42"/>
      <c r="E10" s="190"/>
      <c r="F10" s="97"/>
    </row>
    <row r="11" spans="1:6" x14ac:dyDescent="0.25">
      <c r="A11" s="187"/>
      <c r="B11" s="192"/>
      <c r="C11" s="188"/>
      <c r="D11" s="189"/>
      <c r="E11" s="190"/>
      <c r="F11" s="97"/>
    </row>
    <row r="12" spans="1:6" ht="82.8" x14ac:dyDescent="0.25">
      <c r="A12" s="39"/>
      <c r="B12" s="43" t="s">
        <v>204</v>
      </c>
      <c r="C12" s="41"/>
      <c r="D12" s="42"/>
      <c r="E12" s="190"/>
      <c r="F12" s="97"/>
    </row>
    <row r="13" spans="1:6" x14ac:dyDescent="0.25">
      <c r="A13" s="187"/>
      <c r="B13" s="192"/>
      <c r="C13" s="188"/>
      <c r="D13" s="189"/>
      <c r="E13" s="190"/>
      <c r="F13" s="97"/>
    </row>
    <row r="14" spans="1:6" ht="27.6" x14ac:dyDescent="0.25">
      <c r="A14" s="39" t="s">
        <v>3</v>
      </c>
      <c r="B14" s="40" t="s">
        <v>205</v>
      </c>
      <c r="C14" s="41" t="s">
        <v>206</v>
      </c>
      <c r="D14" s="42" t="s">
        <v>4</v>
      </c>
      <c r="E14" s="190">
        <v>170.19</v>
      </c>
      <c r="F14" s="97">
        <f>C14*E14</f>
        <v>320467.77</v>
      </c>
    </row>
    <row r="15" spans="1:6" x14ac:dyDescent="0.25">
      <c r="A15" s="187"/>
      <c r="B15" s="192"/>
      <c r="C15" s="188"/>
      <c r="D15" s="189"/>
      <c r="E15" s="190"/>
      <c r="F15" s="97"/>
    </row>
    <row r="16" spans="1:6" ht="27.6" x14ac:dyDescent="0.25">
      <c r="A16" s="39" t="s">
        <v>2</v>
      </c>
      <c r="B16" s="40" t="s">
        <v>207</v>
      </c>
      <c r="C16" s="41">
        <v>4531</v>
      </c>
      <c r="D16" s="42" t="s">
        <v>4</v>
      </c>
      <c r="E16" s="190">
        <v>153.63</v>
      </c>
      <c r="F16" s="97">
        <f>C16*E16</f>
        <v>696097.53</v>
      </c>
    </row>
    <row r="17" spans="1:6" x14ac:dyDescent="0.25">
      <c r="A17" s="187"/>
      <c r="B17" s="192"/>
      <c r="C17" s="188"/>
      <c r="D17" s="189"/>
      <c r="E17" s="190"/>
      <c r="F17" s="97"/>
    </row>
    <row r="18" spans="1:6" x14ac:dyDescent="0.25">
      <c r="A18" s="39"/>
      <c r="B18" s="40"/>
      <c r="C18" s="41"/>
      <c r="D18" s="42"/>
      <c r="E18" s="190"/>
      <c r="F18" s="97"/>
    </row>
    <row r="19" spans="1:6" x14ac:dyDescent="0.25">
      <c r="A19" s="187"/>
      <c r="B19" s="192"/>
      <c r="C19" s="188"/>
      <c r="D19" s="189"/>
      <c r="E19" s="190"/>
      <c r="F19" s="97"/>
    </row>
    <row r="20" spans="1:6" x14ac:dyDescent="0.25">
      <c r="A20" s="39"/>
      <c r="B20" s="40"/>
      <c r="C20" s="41"/>
      <c r="D20" s="42"/>
      <c r="E20" s="190"/>
      <c r="F20" s="97"/>
    </row>
    <row r="21" spans="1:6" x14ac:dyDescent="0.25">
      <c r="A21" s="187"/>
      <c r="B21" s="192"/>
      <c r="C21" s="188"/>
      <c r="D21" s="189"/>
      <c r="E21" s="190"/>
      <c r="F21" s="97"/>
    </row>
    <row r="22" spans="1:6" x14ac:dyDescent="0.25">
      <c r="A22" s="39"/>
      <c r="B22" s="40"/>
      <c r="C22" s="41"/>
      <c r="D22" s="42"/>
      <c r="E22" s="190"/>
      <c r="F22" s="97"/>
    </row>
    <row r="23" spans="1:6" x14ac:dyDescent="0.25">
      <c r="A23" s="187"/>
      <c r="B23" s="192"/>
      <c r="C23" s="188"/>
      <c r="D23" s="189"/>
      <c r="E23" s="190"/>
      <c r="F23" s="97"/>
    </row>
    <row r="24" spans="1:6" x14ac:dyDescent="0.25">
      <c r="A24" s="39"/>
      <c r="B24" s="40"/>
      <c r="C24" s="41"/>
      <c r="D24" s="42"/>
      <c r="E24" s="190"/>
      <c r="F24" s="97"/>
    </row>
    <row r="25" spans="1:6" x14ac:dyDescent="0.25">
      <c r="A25" s="187"/>
      <c r="B25" s="192"/>
      <c r="C25" s="188"/>
      <c r="D25" s="189"/>
      <c r="E25" s="190"/>
      <c r="F25" s="97"/>
    </row>
    <row r="26" spans="1:6" x14ac:dyDescent="0.25">
      <c r="A26" s="39"/>
      <c r="B26" s="40"/>
      <c r="C26" s="41"/>
      <c r="D26" s="42"/>
      <c r="E26" s="190"/>
      <c r="F26" s="97"/>
    </row>
    <row r="27" spans="1:6" x14ac:dyDescent="0.25">
      <c r="A27" s="187"/>
      <c r="B27" s="192"/>
      <c r="C27" s="188"/>
      <c r="D27" s="189"/>
      <c r="E27" s="190"/>
      <c r="F27" s="97"/>
    </row>
    <row r="28" spans="1:6" x14ac:dyDescent="0.25">
      <c r="A28" s="39"/>
      <c r="B28" s="40"/>
      <c r="C28" s="41"/>
      <c r="D28" s="42"/>
      <c r="E28" s="190"/>
      <c r="F28" s="97"/>
    </row>
    <row r="29" spans="1:6" x14ac:dyDescent="0.25">
      <c r="A29" s="187"/>
      <c r="B29" s="192"/>
      <c r="C29" s="188"/>
      <c r="D29" s="189"/>
      <c r="E29" s="190"/>
      <c r="F29" s="97"/>
    </row>
    <row r="30" spans="1:6" x14ac:dyDescent="0.25">
      <c r="A30" s="39"/>
      <c r="B30" s="40"/>
      <c r="C30" s="41"/>
      <c r="D30" s="42"/>
      <c r="E30" s="190"/>
      <c r="F30" s="97"/>
    </row>
    <row r="31" spans="1:6" x14ac:dyDescent="0.25">
      <c r="A31" s="39"/>
      <c r="B31" s="40"/>
      <c r="C31" s="41"/>
      <c r="D31" s="42"/>
      <c r="E31" s="190"/>
      <c r="F31" s="97"/>
    </row>
    <row r="32" spans="1:6" x14ac:dyDescent="0.25">
      <c r="A32" s="187"/>
      <c r="B32" s="192"/>
      <c r="C32" s="188"/>
      <c r="D32" s="189"/>
      <c r="E32" s="190"/>
      <c r="F32" s="97"/>
    </row>
    <row r="33" spans="1:6" x14ac:dyDescent="0.25">
      <c r="A33" s="39"/>
      <c r="B33" s="40"/>
      <c r="C33" s="41"/>
      <c r="D33" s="42"/>
      <c r="E33" s="190"/>
      <c r="F33" s="97"/>
    </row>
    <row r="34" spans="1:6" x14ac:dyDescent="0.25">
      <c r="A34" s="39"/>
      <c r="B34" s="40"/>
      <c r="C34" s="41"/>
      <c r="D34" s="42"/>
      <c r="E34" s="190"/>
      <c r="F34" s="97"/>
    </row>
    <row r="35" spans="1:6" x14ac:dyDescent="0.25">
      <c r="A35" s="192"/>
      <c r="B35" s="33"/>
      <c r="C35" s="192"/>
      <c r="D35" s="203"/>
      <c r="E35" s="190"/>
      <c r="F35" s="97"/>
    </row>
    <row r="36" spans="1:6" x14ac:dyDescent="0.25">
      <c r="A36" s="187"/>
      <c r="B36" s="36"/>
      <c r="C36" s="188"/>
      <c r="D36" s="189"/>
      <c r="E36" s="190"/>
      <c r="F36" s="97"/>
    </row>
    <row r="37" spans="1:6" x14ac:dyDescent="0.25">
      <c r="A37" s="187"/>
      <c r="B37" s="192"/>
      <c r="C37" s="188"/>
      <c r="D37" s="189"/>
      <c r="E37" s="190"/>
      <c r="F37" s="97"/>
    </row>
    <row r="38" spans="1:6" x14ac:dyDescent="0.25">
      <c r="A38" s="39"/>
      <c r="B38" s="43"/>
      <c r="C38" s="41"/>
      <c r="D38" s="42"/>
      <c r="E38" s="190"/>
      <c r="F38" s="97"/>
    </row>
    <row r="39" spans="1:6" x14ac:dyDescent="0.25">
      <c r="A39" s="187"/>
      <c r="B39" s="192"/>
      <c r="C39" s="188"/>
      <c r="D39" s="189"/>
      <c r="E39" s="190"/>
      <c r="F39" s="97"/>
    </row>
    <row r="40" spans="1:6" x14ac:dyDescent="0.25">
      <c r="A40" s="39"/>
      <c r="B40" s="40"/>
      <c r="C40" s="41"/>
      <c r="D40" s="42"/>
      <c r="E40" s="190"/>
      <c r="F40" s="97"/>
    </row>
    <row r="41" spans="1:6" x14ac:dyDescent="0.25">
      <c r="A41" s="187"/>
      <c r="B41" s="192"/>
      <c r="C41" s="188"/>
      <c r="D41" s="189"/>
      <c r="E41" s="190"/>
      <c r="F41" s="97"/>
    </row>
    <row r="42" spans="1:6" x14ac:dyDescent="0.25">
      <c r="A42" s="193"/>
      <c r="B42" s="194"/>
      <c r="C42" s="195"/>
      <c r="D42" s="196"/>
      <c r="E42" s="117"/>
      <c r="F42" s="98"/>
    </row>
    <row r="43" spans="1:6" x14ac:dyDescent="0.25">
      <c r="A43" s="197"/>
      <c r="B43" s="198"/>
      <c r="C43" s="199" t="s">
        <v>51</v>
      </c>
      <c r="D43" s="199"/>
      <c r="E43" s="200" t="s">
        <v>50</v>
      </c>
      <c r="F43" s="99">
        <f>SUM(F8:F39)</f>
        <v>1016565.3</v>
      </c>
    </row>
    <row r="44" spans="1:6" x14ac:dyDescent="0.25">
      <c r="A44" s="197"/>
      <c r="B44" s="198"/>
      <c r="C44" s="201"/>
      <c r="D44" s="202"/>
      <c r="E44" s="118"/>
      <c r="F44" s="100"/>
    </row>
    <row r="45" spans="1:6" x14ac:dyDescent="0.25">
      <c r="A45" s="187"/>
      <c r="B45" s="192"/>
      <c r="C45" s="188"/>
      <c r="D45" s="189"/>
      <c r="E45" s="190"/>
      <c r="F45" s="97"/>
    </row>
    <row r="46" spans="1:6" x14ac:dyDescent="0.25">
      <c r="A46" s="187"/>
      <c r="B46" s="36" t="s">
        <v>20</v>
      </c>
      <c r="C46" s="188"/>
      <c r="D46" s="189"/>
      <c r="E46" s="190"/>
      <c r="F46" s="97"/>
    </row>
    <row r="47" spans="1:6" x14ac:dyDescent="0.25">
      <c r="A47" s="187"/>
      <c r="B47" s="192"/>
      <c r="C47" s="188"/>
      <c r="D47" s="189"/>
      <c r="E47" s="190"/>
      <c r="F47" s="97"/>
    </row>
    <row r="48" spans="1:6" ht="55.2" x14ac:dyDescent="0.25">
      <c r="A48" s="39"/>
      <c r="B48" s="40" t="s">
        <v>208</v>
      </c>
      <c r="C48" s="41"/>
      <c r="D48" s="42" t="s">
        <v>6</v>
      </c>
      <c r="E48" s="190"/>
      <c r="F48" s="97">
        <f>C48*E48</f>
        <v>0</v>
      </c>
    </row>
    <row r="49" spans="1:6" x14ac:dyDescent="0.25">
      <c r="A49" s="187"/>
      <c r="B49" s="192"/>
      <c r="C49" s="188"/>
      <c r="D49" s="189"/>
      <c r="E49" s="190"/>
      <c r="F49" s="97"/>
    </row>
    <row r="50" spans="1:6" ht="41.4" x14ac:dyDescent="0.25">
      <c r="A50" s="55"/>
      <c r="B50" s="56" t="s">
        <v>1199</v>
      </c>
      <c r="C50" s="57"/>
      <c r="D50" s="58"/>
      <c r="E50" s="190"/>
      <c r="F50" s="97"/>
    </row>
    <row r="51" spans="1:6" x14ac:dyDescent="0.25">
      <c r="A51" s="204" t="s">
        <v>3</v>
      </c>
      <c r="B51" s="205" t="s">
        <v>1200</v>
      </c>
      <c r="C51" s="206">
        <v>1560</v>
      </c>
      <c r="D51" s="207" t="s">
        <v>4</v>
      </c>
      <c r="E51" s="190">
        <v>238.27</v>
      </c>
      <c r="F51" s="97">
        <f>+C51*E51</f>
        <v>371701.2</v>
      </c>
    </row>
    <row r="52" spans="1:6" x14ac:dyDescent="0.25">
      <c r="A52" s="204"/>
      <c r="B52" s="205"/>
      <c r="C52" s="206"/>
      <c r="D52" s="207"/>
      <c r="E52" s="190"/>
      <c r="F52" s="97"/>
    </row>
    <row r="53" spans="1:6" x14ac:dyDescent="0.25">
      <c r="A53" s="55"/>
      <c r="B53" s="59"/>
      <c r="C53" s="57"/>
      <c r="D53" s="58"/>
      <c r="E53" s="190"/>
      <c r="F53" s="97"/>
    </row>
    <row r="54" spans="1:6" ht="14.4" x14ac:dyDescent="0.25">
      <c r="A54" s="204"/>
      <c r="B54" s="215" t="s">
        <v>1187</v>
      </c>
      <c r="C54" s="206"/>
      <c r="D54" s="207"/>
      <c r="E54" s="190"/>
      <c r="F54" s="97"/>
    </row>
    <row r="55" spans="1:6" x14ac:dyDescent="0.25">
      <c r="A55" s="204"/>
      <c r="B55" s="205"/>
      <c r="C55" s="206"/>
      <c r="D55" s="207"/>
      <c r="E55" s="190"/>
      <c r="F55" s="97"/>
    </row>
    <row r="56" spans="1:6" ht="27.6" x14ac:dyDescent="0.25">
      <c r="A56" s="143" t="s">
        <v>2</v>
      </c>
      <c r="B56" s="144" t="s">
        <v>1188</v>
      </c>
      <c r="C56" s="145">
        <v>1</v>
      </c>
      <c r="D56" s="146" t="s">
        <v>1189</v>
      </c>
      <c r="E56" s="216"/>
      <c r="F56" s="147">
        <f>+C56*E56</f>
        <v>0</v>
      </c>
    </row>
    <row r="57" spans="1:6" x14ac:dyDescent="0.25">
      <c r="A57" s="204"/>
      <c r="B57" s="205"/>
      <c r="C57" s="206"/>
      <c r="D57" s="207"/>
      <c r="E57" s="190"/>
      <c r="F57" s="97"/>
    </row>
    <row r="58" spans="1:6" x14ac:dyDescent="0.25">
      <c r="A58" s="55"/>
      <c r="B58" s="56"/>
      <c r="C58" s="57"/>
      <c r="D58" s="58"/>
      <c r="E58" s="190"/>
      <c r="F58" s="97"/>
    </row>
    <row r="59" spans="1:6" x14ac:dyDescent="0.25">
      <c r="A59" s="204"/>
      <c r="B59" s="205"/>
      <c r="C59" s="206"/>
      <c r="D59" s="207"/>
      <c r="E59" s="190"/>
      <c r="F59" s="97"/>
    </row>
    <row r="60" spans="1:6" x14ac:dyDescent="0.25">
      <c r="A60" s="55"/>
      <c r="B60" s="59"/>
      <c r="C60" s="57"/>
      <c r="D60" s="58"/>
      <c r="E60" s="190"/>
      <c r="F60" s="97"/>
    </row>
    <row r="61" spans="1:6" x14ac:dyDescent="0.25">
      <c r="A61" s="205"/>
      <c r="B61" s="60"/>
      <c r="C61" s="205"/>
      <c r="D61" s="208"/>
      <c r="E61" s="190"/>
      <c r="F61" s="97"/>
    </row>
    <row r="62" spans="1:6" x14ac:dyDescent="0.25">
      <c r="A62" s="205"/>
      <c r="B62" s="60"/>
      <c r="C62" s="205"/>
      <c r="D62" s="208"/>
      <c r="E62" s="190"/>
      <c r="F62" s="97"/>
    </row>
    <row r="63" spans="1:6" x14ac:dyDescent="0.25">
      <c r="A63" s="205"/>
      <c r="B63" s="60"/>
      <c r="C63" s="205"/>
      <c r="D63" s="208"/>
      <c r="E63" s="190"/>
      <c r="F63" s="97"/>
    </row>
    <row r="64" spans="1:6" x14ac:dyDescent="0.25">
      <c r="A64" s="205"/>
      <c r="B64" s="60"/>
      <c r="C64" s="205"/>
      <c r="D64" s="208"/>
      <c r="E64" s="190"/>
      <c r="F64" s="97"/>
    </row>
    <row r="65" spans="1:6" x14ac:dyDescent="0.25">
      <c r="A65" s="205"/>
      <c r="B65" s="60"/>
      <c r="C65" s="205"/>
      <c r="D65" s="208"/>
      <c r="E65" s="190"/>
      <c r="F65" s="97"/>
    </row>
    <row r="66" spans="1:6" x14ac:dyDescent="0.25">
      <c r="A66" s="205"/>
      <c r="B66" s="60"/>
      <c r="C66" s="205"/>
      <c r="D66" s="208"/>
      <c r="E66" s="190"/>
      <c r="F66" s="97"/>
    </row>
    <row r="67" spans="1:6" x14ac:dyDescent="0.25">
      <c r="A67" s="205"/>
      <c r="B67" s="60"/>
      <c r="C67" s="205"/>
      <c r="D67" s="208"/>
      <c r="E67" s="190"/>
      <c r="F67" s="97"/>
    </row>
    <row r="68" spans="1:6" x14ac:dyDescent="0.25">
      <c r="A68" s="205"/>
      <c r="B68" s="60"/>
      <c r="C68" s="205"/>
      <c r="D68" s="208"/>
      <c r="E68" s="190"/>
      <c r="F68" s="97"/>
    </row>
    <row r="69" spans="1:6" x14ac:dyDescent="0.25">
      <c r="A69" s="205"/>
      <c r="B69" s="60"/>
      <c r="C69" s="205"/>
      <c r="D69" s="208"/>
      <c r="E69" s="190"/>
      <c r="F69" s="97"/>
    </row>
    <row r="70" spans="1:6" x14ac:dyDescent="0.25">
      <c r="A70" s="205"/>
      <c r="B70" s="60"/>
      <c r="C70" s="205"/>
      <c r="D70" s="208"/>
      <c r="E70" s="190"/>
      <c r="F70" s="97"/>
    </row>
    <row r="71" spans="1:6" x14ac:dyDescent="0.25">
      <c r="A71" s="55"/>
      <c r="B71" s="59"/>
      <c r="C71" s="57"/>
      <c r="D71" s="58"/>
      <c r="E71" s="190"/>
      <c r="F71" s="97"/>
    </row>
    <row r="72" spans="1:6" x14ac:dyDescent="0.25">
      <c r="A72" s="204"/>
      <c r="B72" s="205"/>
      <c r="C72" s="206"/>
      <c r="D72" s="207"/>
      <c r="E72" s="190"/>
      <c r="F72" s="97"/>
    </row>
    <row r="73" spans="1:6" x14ac:dyDescent="0.25">
      <c r="A73" s="55"/>
      <c r="B73" s="56"/>
      <c r="C73" s="57"/>
      <c r="D73" s="58"/>
      <c r="E73" s="190"/>
      <c r="F73" s="97"/>
    </row>
    <row r="74" spans="1:6" x14ac:dyDescent="0.25">
      <c r="A74" s="204"/>
      <c r="B74" s="205"/>
      <c r="C74" s="206"/>
      <c r="D74" s="207"/>
      <c r="E74" s="190"/>
      <c r="F74" s="97"/>
    </row>
    <row r="75" spans="1:6" x14ac:dyDescent="0.25">
      <c r="A75" s="55"/>
      <c r="B75" s="59"/>
      <c r="C75" s="57"/>
      <c r="D75" s="58"/>
      <c r="E75" s="190"/>
      <c r="F75" s="97"/>
    </row>
    <row r="76" spans="1:6" x14ac:dyDescent="0.25">
      <c r="A76" s="204"/>
      <c r="B76" s="205"/>
      <c r="C76" s="206"/>
      <c r="D76" s="207"/>
      <c r="E76" s="190"/>
      <c r="F76" s="97"/>
    </row>
    <row r="77" spans="1:6" x14ac:dyDescent="0.25">
      <c r="A77" s="204"/>
      <c r="B77" s="205"/>
      <c r="C77" s="206"/>
      <c r="D77" s="207"/>
      <c r="E77" s="190"/>
      <c r="F77" s="97"/>
    </row>
    <row r="78" spans="1:6" x14ac:dyDescent="0.25">
      <c r="A78" s="55"/>
      <c r="B78" s="59"/>
      <c r="C78" s="57"/>
      <c r="D78" s="58"/>
      <c r="E78" s="190"/>
      <c r="F78" s="97"/>
    </row>
    <row r="79" spans="1:6" x14ac:dyDescent="0.25">
      <c r="A79" s="204"/>
      <c r="B79" s="205"/>
      <c r="C79" s="206"/>
      <c r="D79" s="207"/>
      <c r="E79" s="190"/>
      <c r="F79" s="97"/>
    </row>
    <row r="80" spans="1:6" x14ac:dyDescent="0.25">
      <c r="A80" s="55"/>
      <c r="B80" s="59"/>
      <c r="C80" s="57"/>
      <c r="D80" s="58"/>
      <c r="E80" s="190"/>
      <c r="F80" s="97"/>
    </row>
    <row r="81" spans="1:6" x14ac:dyDescent="0.25">
      <c r="A81" s="204"/>
      <c r="B81" s="205"/>
      <c r="C81" s="206"/>
      <c r="D81" s="207"/>
      <c r="E81" s="190"/>
      <c r="F81" s="97"/>
    </row>
    <row r="82" spans="1:6" x14ac:dyDescent="0.25">
      <c r="A82" s="55"/>
      <c r="B82" s="59"/>
      <c r="C82" s="57"/>
      <c r="D82" s="58"/>
      <c r="E82" s="190"/>
      <c r="F82" s="97"/>
    </row>
    <row r="83" spans="1:6" x14ac:dyDescent="0.25">
      <c r="A83" s="204"/>
      <c r="B83" s="205"/>
      <c r="C83" s="206"/>
      <c r="D83" s="207"/>
      <c r="E83" s="190"/>
      <c r="F83" s="97"/>
    </row>
    <row r="84" spans="1:6" x14ac:dyDescent="0.25">
      <c r="A84" s="39"/>
      <c r="B84" s="40"/>
      <c r="C84" s="41"/>
      <c r="D84" s="42"/>
      <c r="E84" s="190"/>
      <c r="F84" s="97"/>
    </row>
    <row r="85" spans="1:6" x14ac:dyDescent="0.25">
      <c r="A85" s="193"/>
      <c r="B85" s="194"/>
      <c r="C85" s="195"/>
      <c r="D85" s="196"/>
      <c r="E85" s="117"/>
      <c r="F85" s="98"/>
    </row>
    <row r="86" spans="1:6" x14ac:dyDescent="0.25">
      <c r="A86" s="197"/>
      <c r="B86" s="198"/>
      <c r="C86" s="199" t="s">
        <v>51</v>
      </c>
      <c r="D86" s="199"/>
      <c r="E86" s="200" t="s">
        <v>50</v>
      </c>
      <c r="F86" s="99">
        <f>SUM(F47:F82)</f>
        <v>371701.2</v>
      </c>
    </row>
    <row r="87" spans="1:6" x14ac:dyDescent="0.25">
      <c r="A87" s="197"/>
      <c r="B87" s="198"/>
      <c r="C87" s="201"/>
      <c r="D87" s="202"/>
      <c r="E87" s="118"/>
      <c r="F87" s="100"/>
    </row>
    <row r="88" spans="1:6" x14ac:dyDescent="0.25">
      <c r="A88" s="39"/>
      <c r="B88" s="40"/>
      <c r="C88" s="41"/>
      <c r="D88" s="42"/>
      <c r="E88" s="190"/>
      <c r="F88" s="97"/>
    </row>
    <row r="89" spans="1:6" x14ac:dyDescent="0.25">
      <c r="A89" s="187"/>
      <c r="B89" s="209" t="s">
        <v>52</v>
      </c>
      <c r="C89" s="188"/>
      <c r="D89" s="189"/>
      <c r="E89" s="190"/>
      <c r="F89" s="97"/>
    </row>
    <row r="90" spans="1:6" x14ac:dyDescent="0.25">
      <c r="A90" s="39"/>
      <c r="B90" s="40"/>
      <c r="C90" s="41"/>
      <c r="D90" s="42"/>
      <c r="E90" s="190"/>
      <c r="F90" s="97"/>
    </row>
    <row r="91" spans="1:6" x14ac:dyDescent="0.25">
      <c r="A91" s="187"/>
      <c r="B91" s="210" t="s">
        <v>209</v>
      </c>
      <c r="C91" s="188"/>
      <c r="D91" s="189"/>
      <c r="E91" s="190"/>
      <c r="F91" s="97">
        <f>F43</f>
        <v>1016565.3</v>
      </c>
    </row>
    <row r="92" spans="1:6" x14ac:dyDescent="0.25">
      <c r="A92" s="39"/>
      <c r="B92" s="40"/>
      <c r="C92" s="41"/>
      <c r="D92" s="42"/>
      <c r="E92" s="190"/>
      <c r="F92" s="97"/>
    </row>
    <row r="93" spans="1:6" x14ac:dyDescent="0.25">
      <c r="A93" s="192"/>
      <c r="B93" s="210" t="s">
        <v>210</v>
      </c>
      <c r="C93" s="192"/>
      <c r="D93" s="203"/>
      <c r="E93" s="190"/>
      <c r="F93" s="97">
        <f>F86</f>
        <v>371701.2</v>
      </c>
    </row>
    <row r="94" spans="1:6" x14ac:dyDescent="0.25">
      <c r="A94" s="192"/>
      <c r="B94" s="33"/>
      <c r="C94" s="192"/>
      <c r="D94" s="203"/>
      <c r="E94" s="190"/>
      <c r="F94" s="97"/>
    </row>
    <row r="95" spans="1:6" x14ac:dyDescent="0.25">
      <c r="A95" s="192"/>
      <c r="B95" s="33"/>
      <c r="C95" s="192"/>
      <c r="D95" s="203"/>
      <c r="E95" s="190"/>
      <c r="F95" s="97"/>
    </row>
    <row r="96" spans="1:6" x14ac:dyDescent="0.25">
      <c r="A96" s="192"/>
      <c r="B96" s="33"/>
      <c r="C96" s="192"/>
      <c r="D96" s="203"/>
      <c r="E96" s="190"/>
      <c r="F96" s="97"/>
    </row>
    <row r="97" spans="1:6" x14ac:dyDescent="0.25">
      <c r="A97" s="192"/>
      <c r="B97" s="33"/>
      <c r="C97" s="192"/>
      <c r="D97" s="203"/>
      <c r="E97" s="190"/>
      <c r="F97" s="97"/>
    </row>
    <row r="98" spans="1:6" x14ac:dyDescent="0.25">
      <c r="A98" s="192"/>
      <c r="B98" s="33"/>
      <c r="C98" s="192"/>
      <c r="D98" s="203"/>
      <c r="E98" s="190"/>
      <c r="F98" s="97"/>
    </row>
    <row r="99" spans="1:6" x14ac:dyDescent="0.25">
      <c r="A99" s="192"/>
      <c r="B99" s="33"/>
      <c r="C99" s="192"/>
      <c r="D99" s="203"/>
      <c r="E99" s="190"/>
      <c r="F99" s="97"/>
    </row>
    <row r="100" spans="1:6" x14ac:dyDescent="0.25">
      <c r="A100" s="192"/>
      <c r="B100" s="33"/>
      <c r="C100" s="192"/>
      <c r="D100" s="203"/>
      <c r="E100" s="190"/>
      <c r="F100" s="97"/>
    </row>
    <row r="101" spans="1:6" x14ac:dyDescent="0.25">
      <c r="A101" s="192"/>
      <c r="B101" s="33"/>
      <c r="C101" s="192"/>
      <c r="D101" s="203"/>
      <c r="E101" s="190"/>
      <c r="F101" s="97"/>
    </row>
    <row r="102" spans="1:6" x14ac:dyDescent="0.25">
      <c r="A102" s="192"/>
      <c r="B102" s="33"/>
      <c r="C102" s="192"/>
      <c r="D102" s="203"/>
      <c r="E102" s="190"/>
      <c r="F102" s="97"/>
    </row>
    <row r="103" spans="1:6" x14ac:dyDescent="0.25">
      <c r="A103" s="187"/>
      <c r="B103" s="36"/>
      <c r="C103" s="188"/>
      <c r="D103" s="189"/>
      <c r="E103" s="190"/>
      <c r="F103" s="97"/>
    </row>
    <row r="104" spans="1:6" x14ac:dyDescent="0.25">
      <c r="A104" s="187"/>
      <c r="B104" s="192"/>
      <c r="C104" s="188"/>
      <c r="D104" s="189"/>
      <c r="E104" s="190"/>
      <c r="F104" s="97"/>
    </row>
    <row r="105" spans="1:6" x14ac:dyDescent="0.25">
      <c r="A105" s="39"/>
      <c r="B105" s="43"/>
      <c r="C105" s="41"/>
      <c r="D105" s="42"/>
      <c r="E105" s="190"/>
      <c r="F105" s="97"/>
    </row>
    <row r="106" spans="1:6" x14ac:dyDescent="0.25">
      <c r="A106" s="187"/>
      <c r="B106" s="192"/>
      <c r="C106" s="188"/>
      <c r="D106" s="189"/>
      <c r="E106" s="190"/>
      <c r="F106" s="97"/>
    </row>
    <row r="107" spans="1:6" x14ac:dyDescent="0.25">
      <c r="A107" s="39"/>
      <c r="B107" s="40"/>
      <c r="C107" s="41"/>
      <c r="D107" s="42"/>
      <c r="E107" s="190"/>
      <c r="F107" s="97"/>
    </row>
    <row r="108" spans="1:6" x14ac:dyDescent="0.25">
      <c r="A108" s="187"/>
      <c r="B108" s="192"/>
      <c r="C108" s="188"/>
      <c r="D108" s="189"/>
      <c r="E108" s="190"/>
      <c r="F108" s="97"/>
    </row>
    <row r="109" spans="1:6" x14ac:dyDescent="0.25">
      <c r="A109" s="39"/>
      <c r="B109" s="40"/>
      <c r="C109" s="41"/>
      <c r="D109" s="42"/>
      <c r="E109" s="190"/>
      <c r="F109" s="97"/>
    </row>
    <row r="110" spans="1:6" x14ac:dyDescent="0.25">
      <c r="A110" s="187"/>
      <c r="B110" s="192"/>
      <c r="C110" s="188"/>
      <c r="D110" s="189"/>
      <c r="E110" s="190"/>
      <c r="F110" s="97"/>
    </row>
    <row r="111" spans="1:6" x14ac:dyDescent="0.25">
      <c r="A111" s="39"/>
      <c r="B111" s="43"/>
      <c r="C111" s="41"/>
      <c r="D111" s="42"/>
      <c r="E111" s="190"/>
      <c r="F111" s="97"/>
    </row>
    <row r="112" spans="1:6" x14ac:dyDescent="0.25">
      <c r="A112" s="187"/>
      <c r="B112" s="192"/>
      <c r="C112" s="188"/>
      <c r="D112" s="189"/>
      <c r="E112" s="190"/>
      <c r="F112" s="97"/>
    </row>
    <row r="113" spans="1:6" x14ac:dyDescent="0.25">
      <c r="A113" s="39"/>
      <c r="B113" s="40"/>
      <c r="C113" s="41"/>
      <c r="D113" s="42"/>
      <c r="E113" s="190"/>
      <c r="F113" s="97"/>
    </row>
    <row r="114" spans="1:6" x14ac:dyDescent="0.25">
      <c r="A114" s="39"/>
      <c r="B114" s="40"/>
      <c r="C114" s="41"/>
      <c r="D114" s="42"/>
      <c r="E114" s="190"/>
      <c r="F114" s="97"/>
    </row>
    <row r="115" spans="1:6" x14ac:dyDescent="0.25">
      <c r="A115" s="187"/>
      <c r="B115" s="192"/>
      <c r="C115" s="188"/>
      <c r="D115" s="189"/>
      <c r="E115" s="190"/>
      <c r="F115" s="97"/>
    </row>
    <row r="116" spans="1:6" x14ac:dyDescent="0.25">
      <c r="A116" s="39"/>
      <c r="B116" s="40"/>
      <c r="C116" s="41"/>
      <c r="D116" s="42"/>
      <c r="E116" s="190"/>
      <c r="F116" s="97"/>
    </row>
    <row r="117" spans="1:6" x14ac:dyDescent="0.25">
      <c r="A117" s="187"/>
      <c r="B117" s="192"/>
      <c r="C117" s="188"/>
      <c r="D117" s="189"/>
      <c r="E117" s="190"/>
      <c r="F117" s="97"/>
    </row>
    <row r="118" spans="1:6" x14ac:dyDescent="0.25">
      <c r="A118" s="39"/>
      <c r="B118" s="43"/>
      <c r="C118" s="41"/>
      <c r="D118" s="42"/>
      <c r="E118" s="190"/>
      <c r="F118" s="97"/>
    </row>
    <row r="119" spans="1:6" x14ac:dyDescent="0.25">
      <c r="A119" s="187"/>
      <c r="B119" s="192"/>
      <c r="C119" s="188"/>
      <c r="D119" s="189"/>
      <c r="E119" s="190"/>
      <c r="F119" s="97"/>
    </row>
    <row r="120" spans="1:6" x14ac:dyDescent="0.25">
      <c r="A120" s="39"/>
      <c r="B120" s="40"/>
      <c r="C120" s="41"/>
      <c r="D120" s="42"/>
      <c r="E120" s="190"/>
      <c r="F120" s="97"/>
    </row>
    <row r="121" spans="1:6" x14ac:dyDescent="0.25">
      <c r="A121" s="187"/>
      <c r="B121" s="192"/>
      <c r="C121" s="188"/>
      <c r="D121" s="189"/>
      <c r="E121" s="190"/>
      <c r="F121" s="97"/>
    </row>
    <row r="122" spans="1:6" x14ac:dyDescent="0.25">
      <c r="A122" s="39"/>
      <c r="B122" s="40"/>
      <c r="C122" s="41"/>
      <c r="D122" s="42"/>
      <c r="E122" s="190"/>
      <c r="F122" s="97"/>
    </row>
    <row r="123" spans="1:6" x14ac:dyDescent="0.25">
      <c r="A123" s="187"/>
      <c r="B123" s="192"/>
      <c r="C123" s="188"/>
      <c r="D123" s="189"/>
      <c r="E123" s="190"/>
      <c r="F123" s="97"/>
    </row>
    <row r="124" spans="1:6" x14ac:dyDescent="0.25">
      <c r="A124" s="39"/>
      <c r="B124" s="43"/>
      <c r="C124" s="41"/>
      <c r="D124" s="42"/>
      <c r="E124" s="190"/>
      <c r="F124" s="97"/>
    </row>
    <row r="125" spans="1:6" x14ac:dyDescent="0.25">
      <c r="A125" s="187"/>
      <c r="B125" s="192"/>
      <c r="C125" s="188"/>
      <c r="D125" s="189"/>
      <c r="E125" s="190"/>
      <c r="F125" s="97"/>
    </row>
    <row r="126" spans="1:6" x14ac:dyDescent="0.25">
      <c r="A126" s="39"/>
      <c r="B126" s="40"/>
      <c r="C126" s="41"/>
      <c r="D126" s="42"/>
      <c r="E126" s="190"/>
      <c r="F126" s="97"/>
    </row>
    <row r="127" spans="1:6" x14ac:dyDescent="0.25">
      <c r="A127" s="192"/>
      <c r="B127" s="33"/>
      <c r="C127" s="192"/>
      <c r="D127" s="203"/>
      <c r="E127" s="190"/>
      <c r="F127" s="97"/>
    </row>
    <row r="128" spans="1:6" x14ac:dyDescent="0.25">
      <c r="A128" s="192"/>
      <c r="B128" s="33"/>
      <c r="C128" s="192"/>
      <c r="D128" s="203"/>
      <c r="E128" s="190"/>
      <c r="F128" s="97"/>
    </row>
    <row r="129" spans="1:6" x14ac:dyDescent="0.25">
      <c r="A129" s="192"/>
      <c r="B129" s="33"/>
      <c r="C129" s="192"/>
      <c r="D129" s="203"/>
      <c r="E129" s="190"/>
      <c r="F129" s="97"/>
    </row>
    <row r="130" spans="1:6" x14ac:dyDescent="0.25">
      <c r="A130" s="192"/>
      <c r="B130" s="33"/>
      <c r="C130" s="192"/>
      <c r="D130" s="203"/>
      <c r="E130" s="190"/>
      <c r="F130" s="97"/>
    </row>
    <row r="131" spans="1:6" x14ac:dyDescent="0.25">
      <c r="A131" s="192"/>
      <c r="B131" s="33"/>
      <c r="C131" s="192"/>
      <c r="D131" s="203"/>
      <c r="E131" s="190"/>
      <c r="F131" s="97"/>
    </row>
    <row r="132" spans="1:6" x14ac:dyDescent="0.25">
      <c r="A132" s="192"/>
      <c r="B132" s="33"/>
      <c r="C132" s="192"/>
      <c r="D132" s="203"/>
      <c r="E132" s="190"/>
      <c r="F132" s="97"/>
    </row>
    <row r="133" spans="1:6" x14ac:dyDescent="0.25">
      <c r="A133" s="192"/>
      <c r="B133" s="33"/>
      <c r="C133" s="192"/>
      <c r="D133" s="203"/>
      <c r="E133" s="190"/>
      <c r="F133" s="97"/>
    </row>
    <row r="134" spans="1:6" x14ac:dyDescent="0.25">
      <c r="A134" s="192"/>
      <c r="B134" s="33"/>
      <c r="C134" s="192"/>
      <c r="D134" s="203"/>
      <c r="E134" s="190"/>
      <c r="F134" s="97"/>
    </row>
    <row r="135" spans="1:6" x14ac:dyDescent="0.25">
      <c r="A135" s="193"/>
      <c r="B135" s="194"/>
      <c r="C135" s="195"/>
      <c r="D135" s="196"/>
      <c r="E135" s="117"/>
      <c r="F135" s="98"/>
    </row>
    <row r="136" spans="1:6" x14ac:dyDescent="0.25">
      <c r="A136" s="197"/>
      <c r="B136" s="198"/>
      <c r="C136" s="199" t="s">
        <v>51</v>
      </c>
      <c r="D136" s="199"/>
      <c r="E136" s="200" t="s">
        <v>50</v>
      </c>
      <c r="F136" s="99">
        <f>SUM(F88:F123)</f>
        <v>1388266.5</v>
      </c>
    </row>
    <row r="137" spans="1:6" x14ac:dyDescent="0.25">
      <c r="A137" s="197"/>
      <c r="B137" s="198"/>
      <c r="C137" s="201"/>
      <c r="D137" s="202"/>
      <c r="E137" s="118"/>
      <c r="F137" s="100"/>
    </row>
  </sheetData>
  <mergeCells count="4">
    <mergeCell ref="A1:A2"/>
    <mergeCell ref="B1:B2"/>
    <mergeCell ref="C1:C2"/>
    <mergeCell ref="D1:D2"/>
  </mergeCells>
  <printOptions horizontalCentered="1"/>
  <pageMargins left="0.6692913385826772" right="0.19685039370078741" top="0.82677165354330717" bottom="0.47244094488188981" header="0.19685039370078741" footer="0.23622047244094491"/>
  <pageSetup paperSize="9" fitToHeight="0" orientation="portrait" useFirstPageNumber="1" r:id="rId1"/>
  <headerFooter>
    <oddHeader>&amp;R&amp;11
&amp;UBILL NO. 4 -PARKING FLOORS REFURBISHMENT
MASONRY</oddHeader>
    <oddFooter>&amp;L&amp;8DMS 148704 BOQ - Nakheel Mall Al Khail&amp;C4/D/&amp;P</oddFooter>
  </headerFooter>
  <rowBreaks count="2" manualBreakCount="2">
    <brk id="44" max="5" man="1"/>
    <brk id="87" max="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5718D-6A5F-4AA9-856E-D38155FC61F6}">
  <sheetPr codeName="Sheet8"/>
  <dimension ref="A1:G138"/>
  <sheetViews>
    <sheetView view="pageBreakPreview" zoomScaleNormal="100" zoomScaleSheetLayoutView="100" zoomScalePageLayoutView="70" workbookViewId="0">
      <pane ySplit="2" topLeftCell="A8" activePane="bottomLeft" state="frozen"/>
      <selection activeCell="H35" sqref="H35"/>
      <selection pane="bottomLeft" activeCell="C1" sqref="C1:E1048576"/>
    </sheetView>
  </sheetViews>
  <sheetFormatPr defaultColWidth="9.33203125" defaultRowHeight="13.8" x14ac:dyDescent="0.25"/>
  <cols>
    <col min="1" max="1" width="5.6640625" style="50" customWidth="1"/>
    <col min="2" max="2" width="44.33203125" style="51" customWidth="1"/>
    <col min="3" max="3" width="10.6640625" style="213" customWidth="1"/>
    <col min="4" max="4" width="6.6640625" style="214" customWidth="1"/>
    <col min="5" max="5" width="12.44140625" style="200" customWidth="1"/>
    <col min="6" max="6" width="15.6640625" style="101" customWidth="1"/>
    <col min="7" max="7" width="7.6640625" style="133" customWidth="1"/>
    <col min="8" max="16384" width="9.33203125" style="34"/>
  </cols>
  <sheetData>
    <row r="1" spans="1:7" s="29" customFormat="1" ht="14.4" x14ac:dyDescent="0.25">
      <c r="A1" s="164" t="s">
        <v>6</v>
      </c>
      <c r="B1" s="164" t="s">
        <v>0</v>
      </c>
      <c r="C1" s="175" t="s">
        <v>47</v>
      </c>
      <c r="D1" s="176" t="s">
        <v>48</v>
      </c>
      <c r="E1" s="177" t="s">
        <v>1</v>
      </c>
      <c r="F1" s="94" t="s">
        <v>49</v>
      </c>
      <c r="G1" s="166" t="s">
        <v>1211</v>
      </c>
    </row>
    <row r="2" spans="1:7" s="29" customFormat="1" ht="14.4" x14ac:dyDescent="0.25">
      <c r="A2" s="165"/>
      <c r="B2" s="165"/>
      <c r="C2" s="179"/>
      <c r="D2" s="180"/>
      <c r="E2" s="181" t="s">
        <v>50</v>
      </c>
      <c r="F2" s="95" t="s">
        <v>50</v>
      </c>
      <c r="G2" s="167"/>
    </row>
    <row r="3" spans="1:7" s="29" customFormat="1" ht="14.4" x14ac:dyDescent="0.25">
      <c r="A3" s="30"/>
      <c r="B3" s="31"/>
      <c r="C3" s="184"/>
      <c r="D3" s="185"/>
      <c r="E3" s="186"/>
      <c r="F3" s="96"/>
      <c r="G3" s="129"/>
    </row>
    <row r="4" spans="1:7" x14ac:dyDescent="0.25">
      <c r="A4" s="32"/>
      <c r="B4" s="33" t="s">
        <v>214</v>
      </c>
      <c r="C4" s="188"/>
      <c r="D4" s="189"/>
      <c r="E4" s="190"/>
      <c r="F4" s="97"/>
      <c r="G4" s="128"/>
    </row>
    <row r="5" spans="1:7" x14ac:dyDescent="0.25">
      <c r="A5" s="32"/>
      <c r="B5" s="35"/>
      <c r="C5" s="188"/>
      <c r="D5" s="189"/>
      <c r="E5" s="190"/>
      <c r="F5" s="97"/>
      <c r="G5" s="128"/>
    </row>
    <row r="6" spans="1:7" x14ac:dyDescent="0.25">
      <c r="A6" s="32"/>
      <c r="B6" s="36" t="s">
        <v>215</v>
      </c>
      <c r="C6" s="188"/>
      <c r="D6" s="189"/>
      <c r="E6" s="190"/>
      <c r="F6" s="97"/>
      <c r="G6" s="128"/>
    </row>
    <row r="7" spans="1:7" x14ac:dyDescent="0.25">
      <c r="A7" s="32"/>
      <c r="B7" s="38"/>
      <c r="C7" s="188"/>
      <c r="D7" s="189"/>
      <c r="E7" s="190"/>
      <c r="F7" s="97"/>
      <c r="G7" s="128"/>
    </row>
    <row r="8" spans="1:7" x14ac:dyDescent="0.25">
      <c r="A8" s="39"/>
      <c r="B8" s="40" t="s">
        <v>106</v>
      </c>
      <c r="C8" s="41"/>
      <c r="D8" s="42"/>
      <c r="E8" s="190"/>
      <c r="F8" s="97"/>
      <c r="G8" s="128"/>
    </row>
    <row r="9" spans="1:7" x14ac:dyDescent="0.25">
      <c r="A9" s="32"/>
      <c r="B9" s="38"/>
      <c r="C9" s="188"/>
      <c r="D9" s="189"/>
      <c r="E9" s="190"/>
      <c r="F9" s="97"/>
      <c r="G9" s="128"/>
    </row>
    <row r="10" spans="1:7" ht="27.6" x14ac:dyDescent="0.25">
      <c r="A10" s="39"/>
      <c r="B10" s="40" t="s">
        <v>216</v>
      </c>
      <c r="C10" s="41"/>
      <c r="D10" s="42"/>
      <c r="E10" s="190"/>
      <c r="F10" s="97"/>
      <c r="G10" s="128"/>
    </row>
    <row r="11" spans="1:7" x14ac:dyDescent="0.25">
      <c r="A11" s="32"/>
      <c r="B11" s="38"/>
      <c r="C11" s="188"/>
      <c r="D11" s="189"/>
      <c r="E11" s="190"/>
      <c r="F11" s="97"/>
      <c r="G11" s="128"/>
    </row>
    <row r="12" spans="1:7" x14ac:dyDescent="0.25">
      <c r="A12" s="39"/>
      <c r="B12" s="40" t="s">
        <v>217</v>
      </c>
      <c r="C12" s="41"/>
      <c r="D12" s="42"/>
      <c r="E12" s="190"/>
      <c r="F12" s="97"/>
      <c r="G12" s="128"/>
    </row>
    <row r="13" spans="1:7" x14ac:dyDescent="0.25">
      <c r="A13" s="32"/>
      <c r="B13" s="38"/>
      <c r="C13" s="188"/>
      <c r="D13" s="189"/>
      <c r="E13" s="190"/>
      <c r="F13" s="97"/>
      <c r="G13" s="128"/>
    </row>
    <row r="14" spans="1:7" ht="82.8" x14ac:dyDescent="0.25">
      <c r="A14" s="39"/>
      <c r="B14" s="52" t="s">
        <v>218</v>
      </c>
      <c r="C14" s="41"/>
      <c r="D14" s="42"/>
      <c r="E14" s="190"/>
      <c r="F14" s="97"/>
      <c r="G14" s="128"/>
    </row>
    <row r="15" spans="1:7" x14ac:dyDescent="0.25">
      <c r="A15" s="32"/>
      <c r="B15" s="38"/>
      <c r="C15" s="188"/>
      <c r="D15" s="189"/>
      <c r="E15" s="190"/>
      <c r="F15" s="97"/>
      <c r="G15" s="128"/>
    </row>
    <row r="16" spans="1:7" ht="27.6" x14ac:dyDescent="0.25">
      <c r="A16" s="39" t="s">
        <v>3</v>
      </c>
      <c r="B16" s="40" t="s">
        <v>219</v>
      </c>
      <c r="C16" s="41" t="s">
        <v>81</v>
      </c>
      <c r="D16" s="42" t="s">
        <v>15</v>
      </c>
      <c r="E16" s="190">
        <v>3470.44</v>
      </c>
      <c r="F16" s="97">
        <f>C16*E16</f>
        <v>62467.92</v>
      </c>
      <c r="G16" s="128" t="s">
        <v>1215</v>
      </c>
    </row>
    <row r="17" spans="1:7" x14ac:dyDescent="0.25">
      <c r="A17" s="32"/>
      <c r="B17" s="38"/>
      <c r="C17" s="188"/>
      <c r="D17" s="189"/>
      <c r="E17" s="190"/>
      <c r="F17" s="97"/>
      <c r="G17" s="128"/>
    </row>
    <row r="18" spans="1:7" ht="41.4" x14ac:dyDescent="0.25">
      <c r="A18" s="39"/>
      <c r="B18" s="52" t="s">
        <v>220</v>
      </c>
      <c r="C18" s="41"/>
      <c r="D18" s="42"/>
      <c r="E18" s="190"/>
      <c r="F18" s="97"/>
      <c r="G18" s="128"/>
    </row>
    <row r="19" spans="1:7" x14ac:dyDescent="0.25">
      <c r="A19" s="32"/>
      <c r="B19" s="38"/>
      <c r="C19" s="188"/>
      <c r="D19" s="189"/>
      <c r="E19" s="190"/>
      <c r="F19" s="97"/>
      <c r="G19" s="128"/>
    </row>
    <row r="20" spans="1:7" x14ac:dyDescent="0.25">
      <c r="A20" s="39" t="s">
        <v>2</v>
      </c>
      <c r="B20" s="40" t="s">
        <v>221</v>
      </c>
      <c r="C20" s="41" t="s">
        <v>222</v>
      </c>
      <c r="D20" s="42" t="s">
        <v>15</v>
      </c>
      <c r="E20" s="190">
        <v>613.86</v>
      </c>
      <c r="F20" s="97">
        <f>C20*E20</f>
        <v>108653.22</v>
      </c>
      <c r="G20" s="128"/>
    </row>
    <row r="21" spans="1:7" x14ac:dyDescent="0.25">
      <c r="A21" s="32"/>
      <c r="B21" s="38"/>
      <c r="C21" s="188"/>
      <c r="D21" s="189"/>
      <c r="E21" s="190"/>
      <c r="F21" s="97"/>
      <c r="G21" s="128"/>
    </row>
    <row r="22" spans="1:7" x14ac:dyDescent="0.25">
      <c r="A22" s="39" t="s">
        <v>5</v>
      </c>
      <c r="B22" s="40" t="s">
        <v>223</v>
      </c>
      <c r="C22" s="41">
        <v>266</v>
      </c>
      <c r="D22" s="42" t="s">
        <v>11</v>
      </c>
      <c r="E22" s="190">
        <v>214.58</v>
      </c>
      <c r="F22" s="97">
        <f>C22*E22</f>
        <v>57078.280000000006</v>
      </c>
      <c r="G22" s="128"/>
    </row>
    <row r="23" spans="1:7" x14ac:dyDescent="0.25">
      <c r="A23" s="32"/>
      <c r="B23" s="38"/>
      <c r="C23" s="188"/>
      <c r="D23" s="189"/>
      <c r="E23" s="190"/>
      <c r="F23" s="97"/>
      <c r="G23" s="128"/>
    </row>
    <row r="24" spans="1:7" x14ac:dyDescent="0.25">
      <c r="A24" s="39" t="s">
        <v>8</v>
      </c>
      <c r="B24" s="40" t="s">
        <v>224</v>
      </c>
      <c r="C24" s="41">
        <v>922</v>
      </c>
      <c r="D24" s="42" t="s">
        <v>4</v>
      </c>
      <c r="E24" s="190">
        <v>1648.89</v>
      </c>
      <c r="F24" s="97">
        <f>C24*E24</f>
        <v>1520276.58</v>
      </c>
      <c r="G24" s="128"/>
    </row>
    <row r="25" spans="1:7" x14ac:dyDescent="0.25">
      <c r="A25" s="32"/>
      <c r="B25" s="38"/>
      <c r="C25" s="188"/>
      <c r="D25" s="189"/>
      <c r="E25" s="190"/>
      <c r="F25" s="97"/>
      <c r="G25" s="128"/>
    </row>
    <row r="26" spans="1:7" x14ac:dyDescent="0.25">
      <c r="A26" s="39"/>
      <c r="B26" s="40"/>
      <c r="C26" s="41"/>
      <c r="D26" s="42"/>
      <c r="E26" s="190"/>
      <c r="F26" s="97"/>
      <c r="G26" s="128"/>
    </row>
    <row r="27" spans="1:7" x14ac:dyDescent="0.25">
      <c r="A27" s="32"/>
      <c r="B27" s="38"/>
      <c r="C27" s="188"/>
      <c r="D27" s="189"/>
      <c r="E27" s="190"/>
      <c r="F27" s="97"/>
      <c r="G27" s="128"/>
    </row>
    <row r="28" spans="1:7" x14ac:dyDescent="0.25">
      <c r="A28" s="39"/>
      <c r="B28" s="40"/>
      <c r="C28" s="41"/>
      <c r="D28" s="42"/>
      <c r="E28" s="190"/>
      <c r="F28" s="97"/>
      <c r="G28" s="128"/>
    </row>
    <row r="29" spans="1:7" x14ac:dyDescent="0.25">
      <c r="A29" s="32"/>
      <c r="B29" s="38"/>
      <c r="C29" s="188"/>
      <c r="D29" s="189"/>
      <c r="E29" s="190"/>
      <c r="F29" s="97"/>
      <c r="G29" s="128"/>
    </row>
    <row r="30" spans="1:7" x14ac:dyDescent="0.25">
      <c r="A30" s="39"/>
      <c r="B30" s="40"/>
      <c r="C30" s="41"/>
      <c r="D30" s="42"/>
      <c r="E30" s="190"/>
      <c r="F30" s="97"/>
      <c r="G30" s="128"/>
    </row>
    <row r="31" spans="1:7" x14ac:dyDescent="0.25">
      <c r="A31" s="32"/>
      <c r="B31" s="38"/>
      <c r="C31" s="188"/>
      <c r="D31" s="189"/>
      <c r="E31" s="190"/>
      <c r="F31" s="97"/>
      <c r="G31" s="128"/>
    </row>
    <row r="32" spans="1:7" x14ac:dyDescent="0.25">
      <c r="A32" s="39"/>
      <c r="B32" s="40"/>
      <c r="C32" s="41"/>
      <c r="D32" s="42"/>
      <c r="E32" s="190"/>
      <c r="F32" s="97"/>
      <c r="G32" s="128"/>
    </row>
    <row r="33" spans="1:7" x14ac:dyDescent="0.25">
      <c r="A33" s="32"/>
      <c r="B33" s="38"/>
      <c r="C33" s="188"/>
      <c r="D33" s="189"/>
      <c r="E33" s="190"/>
      <c r="F33" s="97"/>
      <c r="G33" s="128"/>
    </row>
    <row r="34" spans="1:7" x14ac:dyDescent="0.25">
      <c r="A34" s="32"/>
      <c r="B34" s="38"/>
      <c r="C34" s="188"/>
      <c r="D34" s="189"/>
      <c r="E34" s="190"/>
      <c r="F34" s="97"/>
      <c r="G34" s="128"/>
    </row>
    <row r="35" spans="1:7" x14ac:dyDescent="0.25">
      <c r="A35" s="39"/>
      <c r="B35" s="40"/>
      <c r="C35" s="41"/>
      <c r="D35" s="42"/>
      <c r="E35" s="190"/>
      <c r="F35" s="97"/>
      <c r="G35" s="128"/>
    </row>
    <row r="36" spans="1:7" x14ac:dyDescent="0.25">
      <c r="A36" s="38"/>
      <c r="B36" s="33"/>
      <c r="C36" s="192"/>
      <c r="D36" s="203"/>
      <c r="E36" s="190"/>
      <c r="F36" s="97"/>
      <c r="G36" s="128"/>
    </row>
    <row r="37" spans="1:7" x14ac:dyDescent="0.25">
      <c r="A37" s="32"/>
      <c r="B37" s="36"/>
      <c r="C37" s="188"/>
      <c r="D37" s="189"/>
      <c r="E37" s="190"/>
      <c r="F37" s="97"/>
      <c r="G37" s="128"/>
    </row>
    <row r="38" spans="1:7" x14ac:dyDescent="0.25">
      <c r="A38" s="32"/>
      <c r="B38" s="38"/>
      <c r="C38" s="188"/>
      <c r="D38" s="189"/>
      <c r="E38" s="190"/>
      <c r="F38" s="97"/>
      <c r="G38" s="128"/>
    </row>
    <row r="39" spans="1:7" ht="28.8" x14ac:dyDescent="0.25">
      <c r="A39" s="39"/>
      <c r="B39" s="135" t="s">
        <v>1212</v>
      </c>
      <c r="C39" s="41"/>
      <c r="D39" s="42"/>
      <c r="E39" s="190"/>
      <c r="F39" s="97"/>
      <c r="G39" s="128"/>
    </row>
    <row r="40" spans="1:7" x14ac:dyDescent="0.25">
      <c r="A40" s="44"/>
      <c r="B40" s="45"/>
      <c r="C40" s="195"/>
      <c r="D40" s="196"/>
      <c r="E40" s="117"/>
      <c r="F40" s="98"/>
      <c r="G40" s="130"/>
    </row>
    <row r="41" spans="1:7" x14ac:dyDescent="0.25">
      <c r="A41" s="46"/>
      <c r="B41" s="47"/>
      <c r="C41" s="199" t="s">
        <v>51</v>
      </c>
      <c r="D41" s="199"/>
      <c r="E41" s="200" t="s">
        <v>50</v>
      </c>
      <c r="F41" s="99">
        <f>SUM(F14:F34)</f>
        <v>1748476</v>
      </c>
      <c r="G41" s="131"/>
    </row>
    <row r="42" spans="1:7" x14ac:dyDescent="0.25">
      <c r="A42" s="46"/>
      <c r="B42" s="47"/>
      <c r="C42" s="201"/>
      <c r="D42" s="202"/>
      <c r="E42" s="118"/>
      <c r="F42" s="100"/>
      <c r="G42" s="132"/>
    </row>
    <row r="43" spans="1:7" x14ac:dyDescent="0.25">
      <c r="A43" s="39"/>
      <c r="B43" s="43"/>
      <c r="C43" s="41"/>
      <c r="D43" s="42"/>
      <c r="E43" s="190"/>
      <c r="F43" s="97"/>
      <c r="G43" s="128"/>
    </row>
    <row r="44" spans="1:7" x14ac:dyDescent="0.25">
      <c r="A44" s="32"/>
      <c r="B44" s="36" t="s">
        <v>20</v>
      </c>
      <c r="C44" s="188"/>
      <c r="D44" s="189"/>
      <c r="E44" s="190"/>
      <c r="F44" s="97"/>
      <c r="G44" s="128"/>
    </row>
    <row r="45" spans="1:7" x14ac:dyDescent="0.25">
      <c r="A45" s="32"/>
      <c r="B45" s="38"/>
      <c r="C45" s="188"/>
      <c r="D45" s="189"/>
      <c r="E45" s="190"/>
      <c r="F45" s="97"/>
      <c r="G45" s="128"/>
    </row>
    <row r="46" spans="1:7" ht="69" x14ac:dyDescent="0.25">
      <c r="A46" s="39"/>
      <c r="B46" s="40" t="s">
        <v>225</v>
      </c>
      <c r="C46" s="41"/>
      <c r="D46" s="42" t="s">
        <v>6</v>
      </c>
      <c r="E46" s="190"/>
      <c r="F46" s="97">
        <f>C46*E46</f>
        <v>0</v>
      </c>
      <c r="G46" s="128"/>
    </row>
    <row r="47" spans="1:7" x14ac:dyDescent="0.25">
      <c r="A47" s="39"/>
      <c r="B47" s="43"/>
      <c r="C47" s="41"/>
      <c r="D47" s="42"/>
      <c r="E47" s="190"/>
      <c r="F47" s="97"/>
      <c r="G47" s="128"/>
    </row>
    <row r="48" spans="1:7" ht="14.4" x14ac:dyDescent="0.25">
      <c r="A48" s="112"/>
      <c r="B48" s="104" t="s">
        <v>1187</v>
      </c>
      <c r="C48" s="217"/>
      <c r="D48" s="218"/>
      <c r="E48" s="190"/>
      <c r="F48" s="97"/>
      <c r="G48" s="128"/>
    </row>
    <row r="49" spans="1:7" x14ac:dyDescent="0.25">
      <c r="A49" s="113"/>
      <c r="B49" s="114"/>
      <c r="C49" s="115"/>
      <c r="D49" s="116"/>
      <c r="E49" s="190"/>
      <c r="F49" s="97"/>
      <c r="G49" s="128"/>
    </row>
    <row r="50" spans="1:7" ht="26.4" x14ac:dyDescent="0.25">
      <c r="A50" s="148" t="s">
        <v>3</v>
      </c>
      <c r="B50" s="149" t="s">
        <v>1188</v>
      </c>
      <c r="C50" s="219">
        <v>1</v>
      </c>
      <c r="D50" s="220" t="s">
        <v>1189</v>
      </c>
      <c r="E50" s="216"/>
      <c r="F50" s="147">
        <f>C50*E50</f>
        <v>0</v>
      </c>
      <c r="G50" s="150"/>
    </row>
    <row r="51" spans="1:7" x14ac:dyDescent="0.25">
      <c r="A51" s="53"/>
      <c r="B51" s="54"/>
      <c r="C51" s="206"/>
      <c r="D51" s="207"/>
      <c r="E51" s="190"/>
      <c r="F51" s="97"/>
      <c r="G51" s="128"/>
    </row>
    <row r="52" spans="1:7" x14ac:dyDescent="0.25">
      <c r="A52" s="55"/>
      <c r="B52" s="56"/>
      <c r="C52" s="57"/>
      <c r="D52" s="58"/>
      <c r="E52" s="190"/>
      <c r="F52" s="97"/>
      <c r="G52" s="128"/>
    </row>
    <row r="53" spans="1:7" x14ac:dyDescent="0.25">
      <c r="A53" s="53"/>
      <c r="B53" s="54"/>
      <c r="C53" s="206"/>
      <c r="D53" s="207"/>
      <c r="E53" s="190"/>
      <c r="F53" s="97"/>
      <c r="G53" s="128"/>
    </row>
    <row r="54" spans="1:7" x14ac:dyDescent="0.25">
      <c r="A54" s="55"/>
      <c r="B54" s="59"/>
      <c r="C54" s="57"/>
      <c r="D54" s="58"/>
      <c r="E54" s="190"/>
      <c r="F54" s="97"/>
      <c r="G54" s="128"/>
    </row>
    <row r="55" spans="1:7" x14ac:dyDescent="0.25">
      <c r="A55" s="53"/>
      <c r="B55" s="54"/>
      <c r="C55" s="206"/>
      <c r="D55" s="207"/>
      <c r="E55" s="190"/>
      <c r="F55" s="97"/>
      <c r="G55" s="128"/>
    </row>
    <row r="56" spans="1:7" x14ac:dyDescent="0.25">
      <c r="A56" s="55"/>
      <c r="B56" s="59"/>
      <c r="C56" s="57"/>
      <c r="D56" s="58"/>
      <c r="E56" s="190"/>
      <c r="F56" s="97"/>
      <c r="G56" s="128"/>
    </row>
    <row r="57" spans="1:7" x14ac:dyDescent="0.25">
      <c r="A57" s="53"/>
      <c r="B57" s="54"/>
      <c r="C57" s="206"/>
      <c r="D57" s="207"/>
      <c r="E57" s="190"/>
      <c r="F57" s="97"/>
      <c r="G57" s="128"/>
    </row>
    <row r="58" spans="1:7" x14ac:dyDescent="0.25">
      <c r="A58" s="55"/>
      <c r="B58" s="56"/>
      <c r="C58" s="57"/>
      <c r="D58" s="58"/>
      <c r="E58" s="190"/>
      <c r="F58" s="97"/>
      <c r="G58" s="128"/>
    </row>
    <row r="59" spans="1:7" x14ac:dyDescent="0.25">
      <c r="A59" s="53"/>
      <c r="B59" s="54"/>
      <c r="C59" s="206"/>
      <c r="D59" s="207"/>
      <c r="E59" s="190"/>
      <c r="F59" s="97"/>
      <c r="G59" s="128"/>
    </row>
    <row r="60" spans="1:7" x14ac:dyDescent="0.25">
      <c r="A60" s="55"/>
      <c r="B60" s="59"/>
      <c r="C60" s="57"/>
      <c r="D60" s="58"/>
      <c r="E60" s="190"/>
      <c r="F60" s="97"/>
      <c r="G60" s="128"/>
    </row>
    <row r="61" spans="1:7" x14ac:dyDescent="0.25">
      <c r="A61" s="54"/>
      <c r="B61" s="60"/>
      <c r="C61" s="205"/>
      <c r="D61" s="208"/>
      <c r="E61" s="190"/>
      <c r="F61" s="97"/>
      <c r="G61" s="128"/>
    </row>
    <row r="62" spans="1:7" x14ac:dyDescent="0.25">
      <c r="A62" s="54"/>
      <c r="B62" s="60"/>
      <c r="C62" s="205"/>
      <c r="D62" s="208"/>
      <c r="E62" s="190"/>
      <c r="F62" s="97"/>
      <c r="G62" s="128"/>
    </row>
    <row r="63" spans="1:7" x14ac:dyDescent="0.25">
      <c r="A63" s="54"/>
      <c r="B63" s="60"/>
      <c r="C63" s="205"/>
      <c r="D63" s="208"/>
      <c r="E63" s="190"/>
      <c r="F63" s="97"/>
      <c r="G63" s="128"/>
    </row>
    <row r="64" spans="1:7" x14ac:dyDescent="0.25">
      <c r="A64" s="54"/>
      <c r="B64" s="60"/>
      <c r="C64" s="205"/>
      <c r="D64" s="208"/>
      <c r="E64" s="190"/>
      <c r="F64" s="97"/>
      <c r="G64" s="128"/>
    </row>
    <row r="65" spans="1:7" x14ac:dyDescent="0.25">
      <c r="A65" s="54"/>
      <c r="B65" s="60"/>
      <c r="C65" s="205"/>
      <c r="D65" s="208"/>
      <c r="E65" s="190"/>
      <c r="F65" s="97"/>
      <c r="G65" s="128"/>
    </row>
    <row r="66" spans="1:7" x14ac:dyDescent="0.25">
      <c r="A66" s="54"/>
      <c r="B66" s="60"/>
      <c r="C66" s="205"/>
      <c r="D66" s="208"/>
      <c r="E66" s="190"/>
      <c r="F66" s="97"/>
      <c r="G66" s="128"/>
    </row>
    <row r="67" spans="1:7" x14ac:dyDescent="0.25">
      <c r="A67" s="54"/>
      <c r="B67" s="60"/>
      <c r="C67" s="205"/>
      <c r="D67" s="208"/>
      <c r="E67" s="190"/>
      <c r="F67" s="97"/>
      <c r="G67" s="128"/>
    </row>
    <row r="68" spans="1:7" x14ac:dyDescent="0.25">
      <c r="A68" s="54"/>
      <c r="B68" s="60"/>
      <c r="C68" s="205"/>
      <c r="D68" s="208"/>
      <c r="E68" s="190"/>
      <c r="F68" s="97"/>
      <c r="G68" s="128"/>
    </row>
    <row r="69" spans="1:7" x14ac:dyDescent="0.25">
      <c r="A69" s="54"/>
      <c r="B69" s="60"/>
      <c r="C69" s="205"/>
      <c r="D69" s="208"/>
      <c r="E69" s="190"/>
      <c r="F69" s="97"/>
      <c r="G69" s="128"/>
    </row>
    <row r="70" spans="1:7" x14ac:dyDescent="0.25">
      <c r="A70" s="53"/>
      <c r="B70" s="61"/>
      <c r="C70" s="206"/>
      <c r="D70" s="207"/>
      <c r="E70" s="190"/>
      <c r="F70" s="97"/>
      <c r="G70" s="128"/>
    </row>
    <row r="71" spans="1:7" x14ac:dyDescent="0.25">
      <c r="A71" s="53"/>
      <c r="B71" s="62"/>
      <c r="C71" s="206"/>
      <c r="D71" s="207"/>
      <c r="E71" s="190"/>
      <c r="F71" s="97"/>
      <c r="G71" s="128"/>
    </row>
    <row r="72" spans="1:7" x14ac:dyDescent="0.25">
      <c r="A72" s="55"/>
      <c r="B72" s="59"/>
      <c r="C72" s="57"/>
      <c r="D72" s="58"/>
      <c r="E72" s="190"/>
      <c r="F72" s="97"/>
      <c r="G72" s="128"/>
    </row>
    <row r="73" spans="1:7" x14ac:dyDescent="0.25">
      <c r="A73" s="53"/>
      <c r="B73" s="54"/>
      <c r="C73" s="206"/>
      <c r="D73" s="207"/>
      <c r="E73" s="190"/>
      <c r="F73" s="97"/>
      <c r="G73" s="128"/>
    </row>
    <row r="74" spans="1:7" x14ac:dyDescent="0.25">
      <c r="A74" s="55"/>
      <c r="B74" s="56"/>
      <c r="C74" s="57"/>
      <c r="D74" s="58"/>
      <c r="E74" s="190"/>
      <c r="F74" s="97"/>
      <c r="G74" s="128"/>
    </row>
    <row r="75" spans="1:7" x14ac:dyDescent="0.25">
      <c r="A75" s="53"/>
      <c r="B75" s="54"/>
      <c r="C75" s="206"/>
      <c r="D75" s="207"/>
      <c r="E75" s="190"/>
      <c r="F75" s="97"/>
      <c r="G75" s="128"/>
    </row>
    <row r="76" spans="1:7" x14ac:dyDescent="0.25">
      <c r="A76" s="55"/>
      <c r="B76" s="59"/>
      <c r="C76" s="57"/>
      <c r="D76" s="58"/>
      <c r="E76" s="190"/>
      <c r="F76" s="97"/>
      <c r="G76" s="128"/>
    </row>
    <row r="77" spans="1:7" x14ac:dyDescent="0.25">
      <c r="A77" s="53"/>
      <c r="B77" s="54"/>
      <c r="C77" s="206"/>
      <c r="D77" s="207"/>
      <c r="E77" s="190"/>
      <c r="F77" s="97"/>
      <c r="G77" s="128"/>
    </row>
    <row r="78" spans="1:7" x14ac:dyDescent="0.25">
      <c r="A78" s="55"/>
      <c r="B78" s="59"/>
      <c r="C78" s="57"/>
      <c r="D78" s="58"/>
      <c r="E78" s="190"/>
      <c r="F78" s="97"/>
      <c r="G78" s="128"/>
    </row>
    <row r="79" spans="1:7" x14ac:dyDescent="0.25">
      <c r="A79" s="53"/>
      <c r="B79" s="54"/>
      <c r="C79" s="206"/>
      <c r="D79" s="207"/>
      <c r="E79" s="190"/>
      <c r="F79" s="97"/>
      <c r="G79" s="128"/>
    </row>
    <row r="80" spans="1:7" x14ac:dyDescent="0.25">
      <c r="A80" s="53"/>
      <c r="B80" s="54"/>
      <c r="C80" s="206"/>
      <c r="D80" s="207"/>
      <c r="E80" s="190"/>
      <c r="F80" s="97"/>
      <c r="G80" s="128"/>
    </row>
    <row r="81" spans="1:7" x14ac:dyDescent="0.25">
      <c r="A81" s="55"/>
      <c r="B81" s="59"/>
      <c r="C81" s="57"/>
      <c r="D81" s="58"/>
      <c r="E81" s="190"/>
      <c r="F81" s="97"/>
      <c r="G81" s="128"/>
    </row>
    <row r="82" spans="1:7" x14ac:dyDescent="0.25">
      <c r="A82" s="53"/>
      <c r="B82" s="54"/>
      <c r="C82" s="206"/>
      <c r="D82" s="207"/>
      <c r="E82" s="190"/>
      <c r="F82" s="97"/>
      <c r="G82" s="128"/>
    </row>
    <row r="83" spans="1:7" x14ac:dyDescent="0.25">
      <c r="A83" s="55"/>
      <c r="B83" s="59"/>
      <c r="C83" s="57"/>
      <c r="D83" s="58"/>
      <c r="E83" s="190"/>
      <c r="F83" s="97"/>
      <c r="G83" s="128"/>
    </row>
    <row r="84" spans="1:7" x14ac:dyDescent="0.25">
      <c r="A84" s="53"/>
      <c r="B84" s="54"/>
      <c r="C84" s="206"/>
      <c r="D84" s="207"/>
      <c r="E84" s="190"/>
      <c r="F84" s="97"/>
      <c r="G84" s="128"/>
    </row>
    <row r="85" spans="1:7" x14ac:dyDescent="0.25">
      <c r="A85" s="44"/>
      <c r="B85" s="45"/>
      <c r="C85" s="195"/>
      <c r="D85" s="196"/>
      <c r="E85" s="117"/>
      <c r="F85" s="98"/>
      <c r="G85" s="130"/>
    </row>
    <row r="86" spans="1:7" x14ac:dyDescent="0.25">
      <c r="A86" s="46"/>
      <c r="B86" s="47"/>
      <c r="C86" s="199" t="s">
        <v>51</v>
      </c>
      <c r="D86" s="199"/>
      <c r="E86" s="200" t="s">
        <v>50</v>
      </c>
      <c r="F86" s="99">
        <f>SUM(F45:F62)</f>
        <v>0</v>
      </c>
      <c r="G86" s="131"/>
    </row>
    <row r="87" spans="1:7" x14ac:dyDescent="0.25">
      <c r="A87" s="46"/>
      <c r="B87" s="47"/>
      <c r="C87" s="201"/>
      <c r="D87" s="202"/>
      <c r="E87" s="118"/>
      <c r="F87" s="100"/>
      <c r="G87" s="132"/>
    </row>
    <row r="88" spans="1:7" x14ac:dyDescent="0.25">
      <c r="A88" s="32"/>
      <c r="B88" s="38"/>
      <c r="C88" s="188"/>
      <c r="D88" s="189"/>
      <c r="E88" s="190"/>
      <c r="F88" s="97"/>
      <c r="G88" s="128"/>
    </row>
    <row r="89" spans="1:7" x14ac:dyDescent="0.25">
      <c r="A89" s="39"/>
      <c r="B89" s="48" t="s">
        <v>52</v>
      </c>
      <c r="C89" s="41"/>
      <c r="D89" s="42"/>
      <c r="E89" s="190"/>
      <c r="F89" s="97"/>
      <c r="G89" s="128"/>
    </row>
    <row r="90" spans="1:7" x14ac:dyDescent="0.25">
      <c r="A90" s="32"/>
      <c r="B90" s="40"/>
      <c r="C90" s="188"/>
      <c r="D90" s="189"/>
      <c r="E90" s="190"/>
      <c r="F90" s="97"/>
      <c r="G90" s="128"/>
    </row>
    <row r="91" spans="1:7" x14ac:dyDescent="0.25">
      <c r="A91" s="39"/>
      <c r="B91" s="49" t="s">
        <v>226</v>
      </c>
      <c r="C91" s="41"/>
      <c r="D91" s="42"/>
      <c r="E91" s="190"/>
      <c r="F91" s="97">
        <f>F41</f>
        <v>1748476</v>
      </c>
      <c r="G91" s="128"/>
    </row>
    <row r="92" spans="1:7" x14ac:dyDescent="0.25">
      <c r="A92" s="32"/>
      <c r="B92" s="40"/>
      <c r="C92" s="188"/>
      <c r="D92" s="189"/>
      <c r="E92" s="190"/>
      <c r="F92" s="97"/>
      <c r="G92" s="128"/>
    </row>
    <row r="93" spans="1:7" x14ac:dyDescent="0.25">
      <c r="A93" s="39"/>
      <c r="B93" s="49" t="s">
        <v>227</v>
      </c>
      <c r="C93" s="41"/>
      <c r="D93" s="42"/>
      <c r="E93" s="190"/>
      <c r="F93" s="97">
        <f>F86</f>
        <v>0</v>
      </c>
      <c r="G93" s="128"/>
    </row>
    <row r="94" spans="1:7" x14ac:dyDescent="0.25">
      <c r="A94" s="38"/>
      <c r="B94" s="38"/>
      <c r="C94" s="192"/>
      <c r="D94" s="203"/>
      <c r="E94" s="190"/>
      <c r="F94" s="97"/>
      <c r="G94" s="128"/>
    </row>
    <row r="95" spans="1:7" x14ac:dyDescent="0.25">
      <c r="A95" s="38"/>
      <c r="B95" s="33"/>
      <c r="C95" s="192"/>
      <c r="D95" s="203"/>
      <c r="E95" s="190"/>
      <c r="F95" s="97"/>
      <c r="G95" s="128"/>
    </row>
    <row r="96" spans="1:7" x14ac:dyDescent="0.25">
      <c r="A96" s="38"/>
      <c r="B96" s="33"/>
      <c r="C96" s="192"/>
      <c r="D96" s="203"/>
      <c r="E96" s="190"/>
      <c r="F96" s="97"/>
      <c r="G96" s="128"/>
    </row>
    <row r="97" spans="1:7" x14ac:dyDescent="0.25">
      <c r="A97" s="38"/>
      <c r="B97" s="33"/>
      <c r="C97" s="192"/>
      <c r="D97" s="203"/>
      <c r="E97" s="190"/>
      <c r="F97" s="97"/>
      <c r="G97" s="128"/>
    </row>
    <row r="98" spans="1:7" x14ac:dyDescent="0.25">
      <c r="A98" s="38"/>
      <c r="B98" s="33"/>
      <c r="C98" s="192"/>
      <c r="D98" s="203"/>
      <c r="E98" s="190"/>
      <c r="F98" s="97"/>
      <c r="G98" s="128"/>
    </row>
    <row r="99" spans="1:7" x14ac:dyDescent="0.25">
      <c r="A99" s="38"/>
      <c r="B99" s="33"/>
      <c r="C99" s="192"/>
      <c r="D99" s="203"/>
      <c r="E99" s="190"/>
      <c r="F99" s="97"/>
      <c r="G99" s="128"/>
    </row>
    <row r="100" spans="1:7" x14ac:dyDescent="0.25">
      <c r="A100" s="38"/>
      <c r="B100" s="33"/>
      <c r="C100" s="192"/>
      <c r="D100" s="203"/>
      <c r="E100" s="190"/>
      <c r="F100" s="97"/>
      <c r="G100" s="128"/>
    </row>
    <row r="101" spans="1:7" x14ac:dyDescent="0.25">
      <c r="A101" s="38"/>
      <c r="B101" s="33"/>
      <c r="C101" s="192"/>
      <c r="D101" s="203"/>
      <c r="E101" s="190"/>
      <c r="F101" s="97"/>
      <c r="G101" s="128"/>
    </row>
    <row r="102" spans="1:7" x14ac:dyDescent="0.25">
      <c r="A102" s="38"/>
      <c r="B102" s="33"/>
      <c r="C102" s="192"/>
      <c r="D102" s="203"/>
      <c r="E102" s="190"/>
      <c r="F102" s="97"/>
      <c r="G102" s="128"/>
    </row>
    <row r="103" spans="1:7" x14ac:dyDescent="0.25">
      <c r="A103" s="38"/>
      <c r="B103" s="33"/>
      <c r="C103" s="192"/>
      <c r="D103" s="203"/>
      <c r="E103" s="190"/>
      <c r="F103" s="97"/>
      <c r="G103" s="128"/>
    </row>
    <row r="104" spans="1:7" x14ac:dyDescent="0.25">
      <c r="A104" s="32"/>
      <c r="B104" s="36"/>
      <c r="C104" s="188"/>
      <c r="D104" s="189"/>
      <c r="E104" s="190"/>
      <c r="F104" s="97"/>
      <c r="G104" s="128"/>
    </row>
    <row r="105" spans="1:7" x14ac:dyDescent="0.25">
      <c r="A105" s="32"/>
      <c r="B105" s="38"/>
      <c r="C105" s="188"/>
      <c r="D105" s="189"/>
      <c r="E105" s="190"/>
      <c r="F105" s="97"/>
      <c r="G105" s="128"/>
    </row>
    <row r="106" spans="1:7" x14ac:dyDescent="0.25">
      <c r="A106" s="39"/>
      <c r="B106" s="43"/>
      <c r="C106" s="41"/>
      <c r="D106" s="42"/>
      <c r="E106" s="190"/>
      <c r="F106" s="97"/>
      <c r="G106" s="128"/>
    </row>
    <row r="107" spans="1:7" x14ac:dyDescent="0.25">
      <c r="A107" s="32"/>
      <c r="B107" s="38"/>
      <c r="C107" s="188"/>
      <c r="D107" s="189"/>
      <c r="E107" s="190"/>
      <c r="F107" s="97"/>
      <c r="G107" s="128"/>
    </row>
    <row r="108" spans="1:7" x14ac:dyDescent="0.25">
      <c r="A108" s="39"/>
      <c r="B108" s="40"/>
      <c r="C108" s="41"/>
      <c r="D108" s="42"/>
      <c r="E108" s="190"/>
      <c r="F108" s="97"/>
      <c r="G108" s="128"/>
    </row>
    <row r="109" spans="1:7" x14ac:dyDescent="0.25">
      <c r="A109" s="32"/>
      <c r="B109" s="38"/>
      <c r="C109" s="188"/>
      <c r="D109" s="189"/>
      <c r="E109" s="190"/>
      <c r="F109" s="97"/>
      <c r="G109" s="128"/>
    </row>
    <row r="110" spans="1:7" x14ac:dyDescent="0.25">
      <c r="A110" s="39"/>
      <c r="B110" s="40"/>
      <c r="C110" s="41"/>
      <c r="D110" s="42"/>
      <c r="E110" s="190"/>
      <c r="F110" s="97"/>
      <c r="G110" s="128"/>
    </row>
    <row r="111" spans="1:7" x14ac:dyDescent="0.25">
      <c r="A111" s="32"/>
      <c r="B111" s="38"/>
      <c r="C111" s="188"/>
      <c r="D111" s="189"/>
      <c r="E111" s="190"/>
      <c r="F111" s="97"/>
      <c r="G111" s="128"/>
    </row>
    <row r="112" spans="1:7" x14ac:dyDescent="0.25">
      <c r="A112" s="39"/>
      <c r="B112" s="43"/>
      <c r="C112" s="41"/>
      <c r="D112" s="42"/>
      <c r="E112" s="190"/>
      <c r="F112" s="97"/>
      <c r="G112" s="128"/>
    </row>
    <row r="113" spans="1:7" x14ac:dyDescent="0.25">
      <c r="A113" s="32"/>
      <c r="B113" s="38"/>
      <c r="C113" s="188"/>
      <c r="D113" s="189"/>
      <c r="E113" s="190"/>
      <c r="F113" s="97"/>
      <c r="G113" s="128"/>
    </row>
    <row r="114" spans="1:7" x14ac:dyDescent="0.25">
      <c r="A114" s="39"/>
      <c r="B114" s="40"/>
      <c r="C114" s="41"/>
      <c r="D114" s="42"/>
      <c r="E114" s="190"/>
      <c r="F114" s="97"/>
      <c r="G114" s="128"/>
    </row>
    <row r="115" spans="1:7" x14ac:dyDescent="0.25">
      <c r="A115" s="32"/>
      <c r="B115" s="38"/>
      <c r="C115" s="188"/>
      <c r="D115" s="189"/>
      <c r="E115" s="190"/>
      <c r="F115" s="97"/>
      <c r="G115" s="128"/>
    </row>
    <row r="116" spans="1:7" x14ac:dyDescent="0.25">
      <c r="A116" s="39"/>
      <c r="B116" s="40"/>
      <c r="C116" s="41"/>
      <c r="D116" s="42"/>
      <c r="E116" s="190"/>
      <c r="F116" s="97"/>
      <c r="G116" s="128"/>
    </row>
    <row r="117" spans="1:7" x14ac:dyDescent="0.25">
      <c r="A117" s="32"/>
      <c r="B117" s="38"/>
      <c r="C117" s="188"/>
      <c r="D117" s="189"/>
      <c r="E117" s="190"/>
      <c r="F117" s="97"/>
      <c r="G117" s="128"/>
    </row>
    <row r="118" spans="1:7" x14ac:dyDescent="0.25">
      <c r="A118" s="39"/>
      <c r="B118" s="40"/>
      <c r="C118" s="41"/>
      <c r="D118" s="42"/>
      <c r="E118" s="190"/>
      <c r="F118" s="97"/>
      <c r="G118" s="128"/>
    </row>
    <row r="119" spans="1:7" x14ac:dyDescent="0.25">
      <c r="A119" s="32"/>
      <c r="B119" s="38"/>
      <c r="C119" s="188"/>
      <c r="D119" s="189"/>
      <c r="E119" s="190"/>
      <c r="F119" s="97"/>
      <c r="G119" s="128"/>
    </row>
    <row r="120" spans="1:7" x14ac:dyDescent="0.25">
      <c r="A120" s="39"/>
      <c r="B120" s="43"/>
      <c r="C120" s="41"/>
      <c r="D120" s="42"/>
      <c r="E120" s="190"/>
      <c r="F120" s="97"/>
      <c r="G120" s="128"/>
    </row>
    <row r="121" spans="1:7" x14ac:dyDescent="0.25">
      <c r="A121" s="32"/>
      <c r="B121" s="38"/>
      <c r="C121" s="188"/>
      <c r="D121" s="189"/>
      <c r="E121" s="190"/>
      <c r="F121" s="97"/>
      <c r="G121" s="128"/>
    </row>
    <row r="122" spans="1:7" x14ac:dyDescent="0.25">
      <c r="A122" s="39"/>
      <c r="B122" s="40"/>
      <c r="C122" s="41"/>
      <c r="D122" s="42"/>
      <c r="E122" s="190"/>
      <c r="F122" s="97"/>
      <c r="G122" s="128"/>
    </row>
    <row r="123" spans="1:7" x14ac:dyDescent="0.25">
      <c r="A123" s="32"/>
      <c r="B123" s="38"/>
      <c r="C123" s="188"/>
      <c r="D123" s="189"/>
      <c r="E123" s="190"/>
      <c r="F123" s="97"/>
      <c r="G123" s="128"/>
    </row>
    <row r="124" spans="1:7" x14ac:dyDescent="0.25">
      <c r="A124" s="39"/>
      <c r="B124" s="40"/>
      <c r="C124" s="41"/>
      <c r="D124" s="42"/>
      <c r="E124" s="190"/>
      <c r="F124" s="97"/>
      <c r="G124" s="128"/>
    </row>
    <row r="125" spans="1:7" x14ac:dyDescent="0.25">
      <c r="A125" s="32"/>
      <c r="B125" s="38"/>
      <c r="C125" s="188"/>
      <c r="D125" s="189"/>
      <c r="E125" s="190"/>
      <c r="F125" s="97"/>
      <c r="G125" s="128"/>
    </row>
    <row r="126" spans="1:7" x14ac:dyDescent="0.25">
      <c r="A126" s="39"/>
      <c r="B126" s="43"/>
      <c r="C126" s="41"/>
      <c r="D126" s="42"/>
      <c r="E126" s="190"/>
      <c r="F126" s="97"/>
      <c r="G126" s="128"/>
    </row>
    <row r="127" spans="1:7" x14ac:dyDescent="0.25">
      <c r="A127" s="32"/>
      <c r="B127" s="38"/>
      <c r="C127" s="188"/>
      <c r="D127" s="189"/>
      <c r="E127" s="190"/>
      <c r="F127" s="97"/>
      <c r="G127" s="128"/>
    </row>
    <row r="128" spans="1:7" x14ac:dyDescent="0.25">
      <c r="A128" s="38"/>
      <c r="B128" s="33"/>
      <c r="C128" s="192"/>
      <c r="D128" s="203"/>
      <c r="E128" s="190"/>
      <c r="F128" s="97"/>
      <c r="G128" s="128"/>
    </row>
    <row r="129" spans="1:7" x14ac:dyDescent="0.25">
      <c r="A129" s="38"/>
      <c r="B129" s="33"/>
      <c r="C129" s="192"/>
      <c r="D129" s="203"/>
      <c r="E129" s="190"/>
      <c r="F129" s="97"/>
      <c r="G129" s="128"/>
    </row>
    <row r="130" spans="1:7" x14ac:dyDescent="0.25">
      <c r="A130" s="38"/>
      <c r="B130" s="33"/>
      <c r="C130" s="192"/>
      <c r="D130" s="203"/>
      <c r="E130" s="190"/>
      <c r="F130" s="97"/>
      <c r="G130" s="128"/>
    </row>
    <row r="131" spans="1:7" x14ac:dyDescent="0.25">
      <c r="A131" s="38"/>
      <c r="B131" s="33"/>
      <c r="C131" s="192"/>
      <c r="D131" s="203"/>
      <c r="E131" s="190"/>
      <c r="F131" s="97"/>
      <c r="G131" s="128"/>
    </row>
    <row r="132" spans="1:7" x14ac:dyDescent="0.25">
      <c r="A132" s="38"/>
      <c r="B132" s="33"/>
      <c r="C132" s="192"/>
      <c r="D132" s="203"/>
      <c r="E132" s="190"/>
      <c r="F132" s="97"/>
      <c r="G132" s="128"/>
    </row>
    <row r="133" spans="1:7" x14ac:dyDescent="0.25">
      <c r="A133" s="38"/>
      <c r="B133" s="33"/>
      <c r="C133" s="192"/>
      <c r="D133" s="203"/>
      <c r="E133" s="190"/>
      <c r="F133" s="97"/>
      <c r="G133" s="128"/>
    </row>
    <row r="134" spans="1:7" x14ac:dyDescent="0.25">
      <c r="A134" s="38"/>
      <c r="B134" s="33"/>
      <c r="C134" s="192"/>
      <c r="D134" s="203"/>
      <c r="E134" s="190"/>
      <c r="F134" s="97"/>
      <c r="G134" s="128"/>
    </row>
    <row r="135" spans="1:7" x14ac:dyDescent="0.25">
      <c r="A135" s="38"/>
      <c r="B135" s="33"/>
      <c r="C135" s="192"/>
      <c r="D135" s="203"/>
      <c r="E135" s="190"/>
      <c r="F135" s="97"/>
      <c r="G135" s="128"/>
    </row>
    <row r="136" spans="1:7" x14ac:dyDescent="0.25">
      <c r="A136" s="44"/>
      <c r="B136" s="45"/>
      <c r="C136" s="195"/>
      <c r="D136" s="196"/>
      <c r="E136" s="117"/>
      <c r="F136" s="98"/>
      <c r="G136" s="130"/>
    </row>
    <row r="137" spans="1:7" x14ac:dyDescent="0.25">
      <c r="A137" s="46"/>
      <c r="B137" s="47"/>
      <c r="C137" s="199" t="s">
        <v>96</v>
      </c>
      <c r="D137" s="199"/>
      <c r="E137" s="200" t="s">
        <v>50</v>
      </c>
      <c r="F137" s="99">
        <f>SUM(F89:F113)</f>
        <v>1748476</v>
      </c>
      <c r="G137" s="131"/>
    </row>
    <row r="138" spans="1:7" x14ac:dyDescent="0.25">
      <c r="A138" s="46"/>
      <c r="B138" s="47"/>
      <c r="C138" s="201"/>
      <c r="D138" s="202"/>
      <c r="E138" s="118"/>
      <c r="F138" s="100"/>
      <c r="G138" s="132"/>
    </row>
  </sheetData>
  <mergeCells count="5">
    <mergeCell ref="A1:A2"/>
    <mergeCell ref="B1:B2"/>
    <mergeCell ref="C1:C2"/>
    <mergeCell ref="D1:D2"/>
    <mergeCell ref="G1:G2"/>
  </mergeCells>
  <printOptions horizontalCentered="1"/>
  <pageMargins left="0.6692913385826772" right="0.19685039370078741" top="0.82677165354330717" bottom="0.47244094488188981" header="0.19685039370078741" footer="0.23622047244094491"/>
  <pageSetup paperSize="9" scale="91" fitToHeight="0" orientation="portrait" useFirstPageNumber="1" r:id="rId1"/>
  <headerFooter>
    <oddHeader>&amp;R&amp;11
&amp;UBILL NO. 4 -PARKING FLOORS REFURBISHMENT
WOODWORK</oddHeader>
    <oddFooter>&amp;L&amp;8DMS 148704 BOQ - Nakheel Mall Al Khail&amp;C4/F/&amp;P</oddFooter>
  </headerFooter>
  <rowBreaks count="2" manualBreakCount="2">
    <brk id="42" max="6" man="1"/>
    <brk id="87"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C6205-255E-4F13-AAF5-C5B6707568DF}">
  <sheetPr codeName="Sheet9"/>
  <dimension ref="A1:F144"/>
  <sheetViews>
    <sheetView view="pageBreakPreview" zoomScale="85" zoomScaleNormal="100" zoomScaleSheetLayoutView="85" zoomScalePageLayoutView="70" workbookViewId="0">
      <selection activeCell="C9" sqref="C1:E1048576"/>
    </sheetView>
  </sheetViews>
  <sheetFormatPr defaultColWidth="9.33203125" defaultRowHeight="13.8" x14ac:dyDescent="0.25"/>
  <cols>
    <col min="1" max="1" width="5.6640625" style="50" customWidth="1"/>
    <col min="2" max="2" width="45.33203125" style="51" customWidth="1"/>
    <col min="3" max="3" width="9.33203125" style="213" customWidth="1"/>
    <col min="4" max="4" width="6.6640625" style="214" customWidth="1"/>
    <col min="5" max="5" width="12.44140625" style="200" customWidth="1"/>
    <col min="6" max="6" width="15.6640625" style="101" customWidth="1"/>
    <col min="7" max="16384" width="9.33203125" style="34"/>
  </cols>
  <sheetData>
    <row r="1" spans="1:6" s="29" customFormat="1" ht="14.4" x14ac:dyDescent="0.25">
      <c r="A1" s="164" t="s">
        <v>6</v>
      </c>
      <c r="B1" s="164" t="s">
        <v>0</v>
      </c>
      <c r="C1" s="175" t="s">
        <v>47</v>
      </c>
      <c r="D1" s="176" t="s">
        <v>48</v>
      </c>
      <c r="E1" s="177" t="s">
        <v>1</v>
      </c>
      <c r="F1" s="94" t="s">
        <v>49</v>
      </c>
    </row>
    <row r="2" spans="1:6" s="29" customFormat="1" ht="14.4" x14ac:dyDescent="0.25">
      <c r="A2" s="165"/>
      <c r="B2" s="165"/>
      <c r="C2" s="179"/>
      <c r="D2" s="180"/>
      <c r="E2" s="181" t="s">
        <v>50</v>
      </c>
      <c r="F2" s="95" t="s">
        <v>50</v>
      </c>
    </row>
    <row r="3" spans="1:6" s="29" customFormat="1" ht="14.4" x14ac:dyDescent="0.25">
      <c r="A3" s="30"/>
      <c r="B3" s="31"/>
      <c r="C3" s="184"/>
      <c r="D3" s="185"/>
      <c r="E3" s="186"/>
      <c r="F3" s="96"/>
    </row>
    <row r="4" spans="1:6" x14ac:dyDescent="0.25">
      <c r="A4" s="32"/>
      <c r="B4" s="35" t="s">
        <v>27</v>
      </c>
      <c r="C4" s="188"/>
      <c r="D4" s="189"/>
      <c r="E4" s="190"/>
      <c r="F4" s="97"/>
    </row>
    <row r="5" spans="1:6" x14ac:dyDescent="0.25">
      <c r="A5" s="32"/>
      <c r="B5" s="35"/>
      <c r="C5" s="188"/>
      <c r="D5" s="189"/>
      <c r="E5" s="190"/>
      <c r="F5" s="97"/>
    </row>
    <row r="6" spans="1:6" x14ac:dyDescent="0.25">
      <c r="A6" s="32"/>
      <c r="B6" s="36" t="s">
        <v>228</v>
      </c>
      <c r="C6" s="188"/>
      <c r="D6" s="189"/>
      <c r="E6" s="190"/>
      <c r="F6" s="97"/>
    </row>
    <row r="7" spans="1:6" x14ac:dyDescent="0.25">
      <c r="A7" s="32"/>
      <c r="B7" s="38"/>
      <c r="C7" s="188"/>
      <c r="D7" s="189"/>
      <c r="E7" s="190"/>
      <c r="F7" s="97"/>
    </row>
    <row r="8" spans="1:6" x14ac:dyDescent="0.25">
      <c r="A8" s="39"/>
      <c r="B8" s="40" t="s">
        <v>106</v>
      </c>
      <c r="C8" s="41"/>
      <c r="D8" s="42"/>
      <c r="E8" s="190"/>
      <c r="F8" s="97"/>
    </row>
    <row r="9" spans="1:6" x14ac:dyDescent="0.25">
      <c r="A9" s="32"/>
      <c r="B9" s="38"/>
      <c r="C9" s="188"/>
      <c r="D9" s="189"/>
      <c r="E9" s="190"/>
      <c r="F9" s="97"/>
    </row>
    <row r="10" spans="1:6" x14ac:dyDescent="0.25">
      <c r="A10" s="39"/>
      <c r="B10" s="63" t="s">
        <v>157</v>
      </c>
      <c r="C10" s="41"/>
      <c r="D10" s="42"/>
      <c r="E10" s="190"/>
      <c r="F10" s="97"/>
    </row>
    <row r="11" spans="1:6" x14ac:dyDescent="0.25">
      <c r="A11" s="32"/>
      <c r="B11" s="38"/>
      <c r="C11" s="188"/>
      <c r="D11" s="189"/>
      <c r="E11" s="190"/>
      <c r="F11" s="97"/>
    </row>
    <row r="12" spans="1:6" x14ac:dyDescent="0.25">
      <c r="A12" s="39"/>
      <c r="B12" s="63" t="s">
        <v>158</v>
      </c>
      <c r="C12" s="41"/>
      <c r="D12" s="42"/>
      <c r="E12" s="190"/>
      <c r="F12" s="97"/>
    </row>
    <row r="13" spans="1:6" x14ac:dyDescent="0.25">
      <c r="A13" s="32"/>
      <c r="B13" s="38"/>
      <c r="C13" s="188"/>
      <c r="D13" s="189"/>
      <c r="E13" s="190"/>
      <c r="F13" s="97"/>
    </row>
    <row r="14" spans="1:6" ht="41.4" x14ac:dyDescent="0.25">
      <c r="A14" s="39"/>
      <c r="B14" s="52" t="s">
        <v>229</v>
      </c>
      <c r="C14" s="41"/>
      <c r="D14" s="42"/>
      <c r="E14" s="190"/>
      <c r="F14" s="97"/>
    </row>
    <row r="15" spans="1:6" x14ac:dyDescent="0.25">
      <c r="A15" s="32"/>
      <c r="B15" s="38"/>
      <c r="C15" s="188"/>
      <c r="D15" s="189"/>
      <c r="E15" s="190"/>
      <c r="F15" s="97"/>
    </row>
    <row r="16" spans="1:6" x14ac:dyDescent="0.25">
      <c r="A16" s="39" t="s">
        <v>3</v>
      </c>
      <c r="B16" s="40" t="s">
        <v>230</v>
      </c>
      <c r="C16" s="41" t="s">
        <v>231</v>
      </c>
      <c r="D16" s="42" t="s">
        <v>4</v>
      </c>
      <c r="E16" s="190">
        <v>23.69</v>
      </c>
      <c r="F16" s="97">
        <f>C16*E16</f>
        <v>24590.22</v>
      </c>
    </row>
    <row r="17" spans="1:6" x14ac:dyDescent="0.25">
      <c r="A17" s="32"/>
      <c r="B17" s="38"/>
      <c r="C17" s="188"/>
      <c r="D17" s="189"/>
      <c r="E17" s="190"/>
      <c r="F17" s="97"/>
    </row>
    <row r="18" spans="1:6" x14ac:dyDescent="0.25">
      <c r="A18" s="39" t="s">
        <v>2</v>
      </c>
      <c r="B18" s="40" t="s">
        <v>232</v>
      </c>
      <c r="C18" s="41" t="s">
        <v>233</v>
      </c>
      <c r="D18" s="42" t="s">
        <v>11</v>
      </c>
      <c r="E18" s="190">
        <v>10.77</v>
      </c>
      <c r="F18" s="97">
        <f>C18*E18</f>
        <v>13290.18</v>
      </c>
    </row>
    <row r="19" spans="1:6" x14ac:dyDescent="0.25">
      <c r="A19" s="32"/>
      <c r="B19" s="38"/>
      <c r="C19" s="188"/>
      <c r="D19" s="189"/>
      <c r="E19" s="190"/>
      <c r="F19" s="97"/>
    </row>
    <row r="20" spans="1:6" ht="41.4" x14ac:dyDescent="0.25">
      <c r="A20" s="39"/>
      <c r="B20" s="52" t="s">
        <v>234</v>
      </c>
      <c r="C20" s="41"/>
      <c r="D20" s="42"/>
      <c r="E20" s="190"/>
      <c r="F20" s="97"/>
    </row>
    <row r="21" spans="1:6" x14ac:dyDescent="0.25">
      <c r="A21" s="32"/>
      <c r="B21" s="38"/>
      <c r="C21" s="188"/>
      <c r="D21" s="189"/>
      <c r="E21" s="190"/>
      <c r="F21" s="97"/>
    </row>
    <row r="22" spans="1:6" x14ac:dyDescent="0.25">
      <c r="A22" s="39" t="s">
        <v>5</v>
      </c>
      <c r="B22" s="40" t="s">
        <v>235</v>
      </c>
      <c r="C22" s="41">
        <v>779</v>
      </c>
      <c r="D22" s="42" t="s">
        <v>4</v>
      </c>
      <c r="E22" s="190">
        <v>37.69</v>
      </c>
      <c r="F22" s="97">
        <f>C22*E22</f>
        <v>29360.51</v>
      </c>
    </row>
    <row r="23" spans="1:6" x14ac:dyDescent="0.25">
      <c r="A23" s="39"/>
      <c r="B23" s="40"/>
      <c r="C23" s="41"/>
      <c r="D23" s="42"/>
      <c r="E23" s="190"/>
      <c r="F23" s="97"/>
    </row>
    <row r="24" spans="1:6" x14ac:dyDescent="0.25">
      <c r="A24" s="32"/>
      <c r="B24" s="38"/>
      <c r="C24" s="188"/>
      <c r="D24" s="189"/>
      <c r="E24" s="190"/>
      <c r="F24" s="97"/>
    </row>
    <row r="25" spans="1:6" x14ac:dyDescent="0.25">
      <c r="A25" s="39"/>
      <c r="B25" s="40"/>
      <c r="C25" s="41"/>
      <c r="D25" s="42"/>
      <c r="E25" s="190"/>
      <c r="F25" s="97"/>
    </row>
    <row r="26" spans="1:6" x14ac:dyDescent="0.25">
      <c r="A26" s="32"/>
      <c r="B26" s="38"/>
      <c r="C26" s="188"/>
      <c r="D26" s="189"/>
      <c r="E26" s="190"/>
      <c r="F26" s="97"/>
    </row>
    <row r="27" spans="1:6" x14ac:dyDescent="0.25">
      <c r="A27" s="39"/>
      <c r="B27" s="40"/>
      <c r="C27" s="41"/>
      <c r="D27" s="42"/>
      <c r="E27" s="190"/>
      <c r="F27" s="97"/>
    </row>
    <row r="28" spans="1:6" x14ac:dyDescent="0.25">
      <c r="A28" s="32"/>
      <c r="B28" s="38"/>
      <c r="C28" s="188"/>
      <c r="D28" s="189"/>
      <c r="E28" s="190"/>
      <c r="F28" s="97"/>
    </row>
    <row r="29" spans="1:6" x14ac:dyDescent="0.25">
      <c r="A29" s="39"/>
      <c r="B29" s="40"/>
      <c r="C29" s="41"/>
      <c r="D29" s="42"/>
      <c r="E29" s="190"/>
      <c r="F29" s="97"/>
    </row>
    <row r="30" spans="1:6" x14ac:dyDescent="0.25">
      <c r="A30" s="32"/>
      <c r="B30" s="38"/>
      <c r="C30" s="188"/>
      <c r="D30" s="189"/>
      <c r="E30" s="190"/>
      <c r="F30" s="97"/>
    </row>
    <row r="31" spans="1:6" x14ac:dyDescent="0.25">
      <c r="A31" s="39"/>
      <c r="B31" s="40"/>
      <c r="C31" s="41"/>
      <c r="D31" s="42"/>
      <c r="E31" s="190"/>
      <c r="F31" s="97"/>
    </row>
    <row r="32" spans="1:6" x14ac:dyDescent="0.25">
      <c r="A32" s="39"/>
      <c r="B32" s="40"/>
      <c r="C32" s="41"/>
      <c r="D32" s="42"/>
      <c r="E32" s="190"/>
      <c r="F32" s="97"/>
    </row>
    <row r="33" spans="1:6" x14ac:dyDescent="0.25">
      <c r="A33" s="32"/>
      <c r="B33" s="38"/>
      <c r="C33" s="188"/>
      <c r="D33" s="189"/>
      <c r="E33" s="190"/>
      <c r="F33" s="97"/>
    </row>
    <row r="34" spans="1:6" x14ac:dyDescent="0.25">
      <c r="A34" s="39"/>
      <c r="B34" s="40"/>
      <c r="C34" s="41"/>
      <c r="D34" s="42"/>
      <c r="E34" s="190"/>
      <c r="F34" s="97"/>
    </row>
    <row r="35" spans="1:6" x14ac:dyDescent="0.25">
      <c r="A35" s="32"/>
      <c r="B35" s="38"/>
      <c r="C35" s="188"/>
      <c r="D35" s="189"/>
      <c r="E35" s="190"/>
      <c r="F35" s="97"/>
    </row>
    <row r="36" spans="1:6" x14ac:dyDescent="0.25">
      <c r="A36" s="39"/>
      <c r="B36" s="40"/>
      <c r="C36" s="41"/>
      <c r="D36" s="42"/>
      <c r="E36" s="190"/>
      <c r="F36" s="97"/>
    </row>
    <row r="37" spans="1:6" x14ac:dyDescent="0.25">
      <c r="A37" s="38"/>
      <c r="B37" s="33"/>
      <c r="C37" s="192"/>
      <c r="D37" s="203"/>
      <c r="E37" s="190"/>
      <c r="F37" s="97"/>
    </row>
    <row r="38" spans="1:6" x14ac:dyDescent="0.25">
      <c r="A38" s="32"/>
      <c r="B38" s="36"/>
      <c r="C38" s="188"/>
      <c r="D38" s="189"/>
      <c r="E38" s="190"/>
      <c r="F38" s="97"/>
    </row>
    <row r="39" spans="1:6" x14ac:dyDescent="0.25">
      <c r="A39" s="32"/>
      <c r="B39" s="38"/>
      <c r="C39" s="188"/>
      <c r="D39" s="189"/>
      <c r="E39" s="190"/>
      <c r="F39" s="97"/>
    </row>
    <row r="40" spans="1:6" x14ac:dyDescent="0.25">
      <c r="A40" s="39"/>
      <c r="B40" s="43"/>
      <c r="C40" s="41"/>
      <c r="D40" s="42"/>
      <c r="E40" s="190"/>
      <c r="F40" s="97"/>
    </row>
    <row r="41" spans="1:6" x14ac:dyDescent="0.25">
      <c r="A41" s="32"/>
      <c r="B41" s="38"/>
      <c r="C41" s="188"/>
      <c r="D41" s="189"/>
      <c r="E41" s="190"/>
      <c r="F41" s="97"/>
    </row>
    <row r="42" spans="1:6" x14ac:dyDescent="0.25">
      <c r="A42" s="39"/>
      <c r="B42" s="40"/>
      <c r="C42" s="41"/>
      <c r="D42" s="42"/>
      <c r="E42" s="190"/>
      <c r="F42" s="97"/>
    </row>
    <row r="43" spans="1:6" x14ac:dyDescent="0.25">
      <c r="A43" s="32"/>
      <c r="B43" s="38"/>
      <c r="C43" s="188"/>
      <c r="D43" s="189"/>
      <c r="E43" s="190"/>
      <c r="F43" s="97"/>
    </row>
    <row r="44" spans="1:6" x14ac:dyDescent="0.25">
      <c r="A44" s="39"/>
      <c r="B44" s="40"/>
      <c r="C44" s="41"/>
      <c r="D44" s="42"/>
      <c r="E44" s="190"/>
      <c r="F44" s="97"/>
    </row>
    <row r="45" spans="1:6" x14ac:dyDescent="0.25">
      <c r="A45" s="32"/>
      <c r="B45" s="38"/>
      <c r="C45" s="188"/>
      <c r="D45" s="189"/>
      <c r="E45" s="190"/>
      <c r="F45" s="97"/>
    </row>
    <row r="46" spans="1:6" x14ac:dyDescent="0.25">
      <c r="A46" s="39"/>
      <c r="B46" s="43"/>
      <c r="C46" s="41"/>
      <c r="D46" s="42"/>
      <c r="E46" s="190"/>
      <c r="F46" s="97"/>
    </row>
    <row r="47" spans="1:6" x14ac:dyDescent="0.25">
      <c r="A47" s="44"/>
      <c r="B47" s="45"/>
      <c r="C47" s="195"/>
      <c r="D47" s="196"/>
      <c r="E47" s="117"/>
      <c r="F47" s="98"/>
    </row>
    <row r="48" spans="1:6" x14ac:dyDescent="0.25">
      <c r="A48" s="46"/>
      <c r="B48" s="47"/>
      <c r="C48" s="199" t="s">
        <v>51</v>
      </c>
      <c r="D48" s="199"/>
      <c r="E48" s="200" t="s">
        <v>50</v>
      </c>
      <c r="F48" s="99">
        <f>SUM(F11:F40)</f>
        <v>67240.91</v>
      </c>
    </row>
    <row r="49" spans="1:6" x14ac:dyDescent="0.25">
      <c r="A49" s="46"/>
      <c r="B49" s="47"/>
      <c r="C49" s="201"/>
      <c r="D49" s="202"/>
      <c r="E49" s="118"/>
      <c r="F49" s="100"/>
    </row>
    <row r="50" spans="1:6" x14ac:dyDescent="0.25">
      <c r="A50" s="39"/>
      <c r="B50" s="43"/>
      <c r="C50" s="41"/>
      <c r="D50" s="42"/>
      <c r="E50" s="190"/>
      <c r="F50" s="97"/>
    </row>
    <row r="51" spans="1:6" x14ac:dyDescent="0.25">
      <c r="A51" s="32"/>
      <c r="B51" s="36" t="s">
        <v>20</v>
      </c>
      <c r="C51" s="188"/>
      <c r="D51" s="189"/>
      <c r="E51" s="190"/>
      <c r="F51" s="97"/>
    </row>
    <row r="52" spans="1:6" x14ac:dyDescent="0.25">
      <c r="A52" s="32"/>
      <c r="B52" s="38"/>
      <c r="C52" s="188"/>
      <c r="D52" s="189"/>
      <c r="E52" s="190"/>
      <c r="F52" s="97"/>
    </row>
    <row r="53" spans="1:6" ht="69" x14ac:dyDescent="0.25">
      <c r="A53" s="39" t="s">
        <v>3</v>
      </c>
      <c r="B53" s="40" t="s">
        <v>118</v>
      </c>
      <c r="C53" s="41"/>
      <c r="D53" s="42" t="s">
        <v>6</v>
      </c>
      <c r="E53" s="190"/>
      <c r="F53" s="97">
        <f>C53*E53</f>
        <v>0</v>
      </c>
    </row>
    <row r="54" spans="1:6" x14ac:dyDescent="0.25">
      <c r="A54" s="39"/>
      <c r="B54" s="40"/>
      <c r="C54" s="41"/>
      <c r="D54" s="42"/>
      <c r="E54" s="190"/>
      <c r="F54" s="97"/>
    </row>
    <row r="55" spans="1:6" x14ac:dyDescent="0.25">
      <c r="A55" s="53" t="s">
        <v>2</v>
      </c>
      <c r="B55" s="54" t="s">
        <v>1190</v>
      </c>
      <c r="C55" s="206">
        <v>5</v>
      </c>
      <c r="D55" s="207" t="s">
        <v>4</v>
      </c>
      <c r="E55" s="190">
        <v>22.62</v>
      </c>
      <c r="F55" s="97">
        <f>C55*E55</f>
        <v>113.10000000000001</v>
      </c>
    </row>
    <row r="56" spans="1:6" x14ac:dyDescent="0.25">
      <c r="A56" s="55"/>
      <c r="B56" s="56"/>
      <c r="C56" s="57"/>
      <c r="D56" s="58"/>
      <c r="E56" s="190"/>
      <c r="F56" s="97"/>
    </row>
    <row r="57" spans="1:6" x14ac:dyDescent="0.25">
      <c r="A57" s="53"/>
      <c r="B57" s="54"/>
      <c r="C57" s="206"/>
      <c r="D57" s="207"/>
      <c r="E57" s="190"/>
      <c r="F57" s="97"/>
    </row>
    <row r="58" spans="1:6" ht="14.4" x14ac:dyDescent="0.25">
      <c r="A58" s="55"/>
      <c r="B58" s="102" t="s">
        <v>1187</v>
      </c>
      <c r="C58" s="57"/>
      <c r="D58" s="58"/>
      <c r="E58" s="190"/>
      <c r="F58" s="97"/>
    </row>
    <row r="59" spans="1:6" x14ac:dyDescent="0.25">
      <c r="A59" s="53"/>
      <c r="B59" s="54"/>
      <c r="C59" s="206"/>
      <c r="D59" s="207"/>
      <c r="E59" s="190"/>
      <c r="F59" s="97"/>
    </row>
    <row r="60" spans="1:6" ht="27.6" x14ac:dyDescent="0.25">
      <c r="A60" s="151" t="s">
        <v>5</v>
      </c>
      <c r="B60" s="152" t="s">
        <v>1188</v>
      </c>
      <c r="C60" s="153">
        <v>1</v>
      </c>
      <c r="D60" s="154" t="s">
        <v>1189</v>
      </c>
      <c r="E60" s="216"/>
      <c r="F60" s="147">
        <f>C60*E60</f>
        <v>0</v>
      </c>
    </row>
    <row r="61" spans="1:6" x14ac:dyDescent="0.25">
      <c r="A61" s="53"/>
      <c r="B61" s="54"/>
      <c r="C61" s="206"/>
      <c r="D61" s="207"/>
      <c r="E61" s="190"/>
      <c r="F61" s="97"/>
    </row>
    <row r="62" spans="1:6" x14ac:dyDescent="0.25">
      <c r="A62" s="55"/>
      <c r="B62" s="56"/>
      <c r="C62" s="57"/>
      <c r="D62" s="58"/>
      <c r="E62" s="190"/>
      <c r="F62" s="97"/>
    </row>
    <row r="63" spans="1:6" x14ac:dyDescent="0.25">
      <c r="A63" s="53"/>
      <c r="B63" s="54"/>
      <c r="C63" s="206"/>
      <c r="D63" s="207"/>
      <c r="E63" s="190"/>
      <c r="F63" s="97"/>
    </row>
    <row r="64" spans="1:6" x14ac:dyDescent="0.25">
      <c r="A64" s="55"/>
      <c r="B64" s="59"/>
      <c r="C64" s="57"/>
      <c r="D64" s="58"/>
      <c r="E64" s="190"/>
      <c r="F64" s="97"/>
    </row>
    <row r="65" spans="1:6" x14ac:dyDescent="0.25">
      <c r="A65" s="54"/>
      <c r="B65" s="60"/>
      <c r="C65" s="205"/>
      <c r="D65" s="208"/>
      <c r="E65" s="190"/>
      <c r="F65" s="97"/>
    </row>
    <row r="66" spans="1:6" x14ac:dyDescent="0.25">
      <c r="A66" s="54"/>
      <c r="B66" s="60"/>
      <c r="C66" s="205"/>
      <c r="D66" s="208"/>
      <c r="E66" s="190"/>
      <c r="F66" s="97"/>
    </row>
    <row r="67" spans="1:6" x14ac:dyDescent="0.25">
      <c r="A67" s="54"/>
      <c r="B67" s="60"/>
      <c r="C67" s="205"/>
      <c r="D67" s="208"/>
      <c r="E67" s="190"/>
      <c r="F67" s="97"/>
    </row>
    <row r="68" spans="1:6" x14ac:dyDescent="0.25">
      <c r="A68" s="54"/>
      <c r="B68" s="60"/>
      <c r="C68" s="205"/>
      <c r="D68" s="208"/>
      <c r="E68" s="190"/>
      <c r="F68" s="97"/>
    </row>
    <row r="69" spans="1:6" x14ac:dyDescent="0.25">
      <c r="A69" s="54"/>
      <c r="B69" s="60"/>
      <c r="C69" s="205"/>
      <c r="D69" s="208"/>
      <c r="E69" s="190"/>
      <c r="F69" s="97"/>
    </row>
    <row r="70" spans="1:6" x14ac:dyDescent="0.25">
      <c r="A70" s="54"/>
      <c r="B70" s="60"/>
      <c r="C70" s="205"/>
      <c r="D70" s="208"/>
      <c r="E70" s="190"/>
      <c r="F70" s="97"/>
    </row>
    <row r="71" spans="1:6" x14ac:dyDescent="0.25">
      <c r="A71" s="54"/>
      <c r="B71" s="60"/>
      <c r="C71" s="205"/>
      <c r="D71" s="208"/>
      <c r="E71" s="190"/>
      <c r="F71" s="97"/>
    </row>
    <row r="72" spans="1:6" x14ac:dyDescent="0.25">
      <c r="A72" s="54"/>
      <c r="B72" s="60"/>
      <c r="C72" s="205"/>
      <c r="D72" s="208"/>
      <c r="E72" s="190"/>
      <c r="F72" s="97"/>
    </row>
    <row r="73" spans="1:6" x14ac:dyDescent="0.25">
      <c r="A73" s="54"/>
      <c r="B73" s="60"/>
      <c r="C73" s="205"/>
      <c r="D73" s="208"/>
      <c r="E73" s="190"/>
      <c r="F73" s="97"/>
    </row>
    <row r="74" spans="1:6" x14ac:dyDescent="0.25">
      <c r="A74" s="54"/>
      <c r="B74" s="60"/>
      <c r="C74" s="205"/>
      <c r="D74" s="208"/>
      <c r="E74" s="190"/>
      <c r="F74" s="97"/>
    </row>
    <row r="75" spans="1:6" x14ac:dyDescent="0.25">
      <c r="A75" s="53"/>
      <c r="B75" s="61"/>
      <c r="C75" s="206"/>
      <c r="D75" s="207"/>
      <c r="E75" s="190"/>
      <c r="F75" s="97"/>
    </row>
    <row r="76" spans="1:6" x14ac:dyDescent="0.25">
      <c r="A76" s="53"/>
      <c r="B76" s="62"/>
      <c r="C76" s="206"/>
      <c r="D76" s="207"/>
      <c r="E76" s="190"/>
      <c r="F76" s="97"/>
    </row>
    <row r="77" spans="1:6" x14ac:dyDescent="0.25">
      <c r="A77" s="55"/>
      <c r="B77" s="59"/>
      <c r="C77" s="57"/>
      <c r="D77" s="58"/>
      <c r="E77" s="190"/>
      <c r="F77" s="97"/>
    </row>
    <row r="78" spans="1:6" x14ac:dyDescent="0.25">
      <c r="A78" s="53"/>
      <c r="B78" s="54"/>
      <c r="C78" s="206"/>
      <c r="D78" s="207"/>
      <c r="E78" s="190"/>
      <c r="F78" s="97"/>
    </row>
    <row r="79" spans="1:6" x14ac:dyDescent="0.25">
      <c r="A79" s="55"/>
      <c r="B79" s="56"/>
      <c r="C79" s="57"/>
      <c r="D79" s="58"/>
      <c r="E79" s="190"/>
      <c r="F79" s="97"/>
    </row>
    <row r="80" spans="1:6" x14ac:dyDescent="0.25">
      <c r="A80" s="53"/>
      <c r="B80" s="54"/>
      <c r="C80" s="206"/>
      <c r="D80" s="207"/>
      <c r="E80" s="190"/>
      <c r="F80" s="97"/>
    </row>
    <row r="81" spans="1:6" x14ac:dyDescent="0.25">
      <c r="A81" s="55"/>
      <c r="B81" s="59"/>
      <c r="C81" s="57"/>
      <c r="D81" s="58"/>
      <c r="E81" s="190"/>
      <c r="F81" s="97"/>
    </row>
    <row r="82" spans="1:6" x14ac:dyDescent="0.25">
      <c r="A82" s="53"/>
      <c r="B82" s="54"/>
      <c r="C82" s="206"/>
      <c r="D82" s="207"/>
      <c r="E82" s="190"/>
      <c r="F82" s="97"/>
    </row>
    <row r="83" spans="1:6" x14ac:dyDescent="0.25">
      <c r="A83" s="55"/>
      <c r="B83" s="59"/>
      <c r="C83" s="57"/>
      <c r="D83" s="58"/>
      <c r="E83" s="190"/>
      <c r="F83" s="97"/>
    </row>
    <row r="84" spans="1:6" x14ac:dyDescent="0.25">
      <c r="A84" s="53"/>
      <c r="B84" s="54"/>
      <c r="C84" s="206"/>
      <c r="D84" s="207"/>
      <c r="E84" s="190"/>
      <c r="F84" s="97"/>
    </row>
    <row r="85" spans="1:6" x14ac:dyDescent="0.25">
      <c r="A85" s="53"/>
      <c r="B85" s="54"/>
      <c r="C85" s="206"/>
      <c r="D85" s="207"/>
      <c r="E85" s="190"/>
      <c r="F85" s="97"/>
    </row>
    <row r="86" spans="1:6" x14ac:dyDescent="0.25">
      <c r="A86" s="53"/>
      <c r="B86" s="54"/>
      <c r="C86" s="206"/>
      <c r="D86" s="207"/>
      <c r="E86" s="190"/>
      <c r="F86" s="97"/>
    </row>
    <row r="87" spans="1:6" x14ac:dyDescent="0.25">
      <c r="A87" s="55"/>
      <c r="B87" s="59"/>
      <c r="C87" s="57"/>
      <c r="D87" s="58"/>
      <c r="E87" s="190"/>
      <c r="F87" s="97"/>
    </row>
    <row r="88" spans="1:6" x14ac:dyDescent="0.25">
      <c r="A88" s="53"/>
      <c r="B88" s="54"/>
      <c r="C88" s="206"/>
      <c r="D88" s="207"/>
      <c r="E88" s="190"/>
      <c r="F88" s="97"/>
    </row>
    <row r="89" spans="1:6" x14ac:dyDescent="0.25">
      <c r="A89" s="55"/>
      <c r="B89" s="59"/>
      <c r="C89" s="57"/>
      <c r="D89" s="58"/>
      <c r="E89" s="190"/>
      <c r="F89" s="97"/>
    </row>
    <row r="90" spans="1:6" x14ac:dyDescent="0.25">
      <c r="A90" s="53"/>
      <c r="B90" s="54"/>
      <c r="C90" s="206"/>
      <c r="D90" s="207"/>
      <c r="E90" s="190"/>
      <c r="F90" s="97"/>
    </row>
    <row r="91" spans="1:6" x14ac:dyDescent="0.25">
      <c r="A91" s="55"/>
      <c r="B91" s="59"/>
      <c r="C91" s="57"/>
      <c r="D91" s="58"/>
      <c r="E91" s="190"/>
      <c r="F91" s="97"/>
    </row>
    <row r="92" spans="1:6" x14ac:dyDescent="0.25">
      <c r="A92" s="44"/>
      <c r="B92" s="45"/>
      <c r="C92" s="195"/>
      <c r="D92" s="196"/>
      <c r="E92" s="117"/>
      <c r="F92" s="98"/>
    </row>
    <row r="93" spans="1:6" x14ac:dyDescent="0.25">
      <c r="A93" s="46"/>
      <c r="B93" s="47"/>
      <c r="C93" s="199" t="s">
        <v>51</v>
      </c>
      <c r="D93" s="199"/>
      <c r="E93" s="200" t="s">
        <v>50</v>
      </c>
      <c r="F93" s="99">
        <f>SUM(F51:F67)</f>
        <v>113.10000000000001</v>
      </c>
    </row>
    <row r="94" spans="1:6" x14ac:dyDescent="0.25">
      <c r="A94" s="46"/>
      <c r="B94" s="47"/>
      <c r="C94" s="201"/>
      <c r="D94" s="202"/>
      <c r="E94" s="118"/>
      <c r="F94" s="100"/>
    </row>
    <row r="95" spans="1:6" x14ac:dyDescent="0.25">
      <c r="A95" s="39"/>
      <c r="B95" s="43"/>
      <c r="C95" s="41"/>
      <c r="D95" s="42"/>
      <c r="E95" s="190"/>
      <c r="F95" s="97"/>
    </row>
    <row r="96" spans="1:6" x14ac:dyDescent="0.25">
      <c r="A96" s="32"/>
      <c r="B96" s="48" t="s">
        <v>52</v>
      </c>
      <c r="C96" s="188"/>
      <c r="D96" s="189"/>
      <c r="E96" s="190"/>
      <c r="F96" s="97"/>
    </row>
    <row r="97" spans="1:6" x14ac:dyDescent="0.25">
      <c r="A97" s="39"/>
      <c r="B97" s="40"/>
      <c r="C97" s="41"/>
      <c r="D97" s="42"/>
      <c r="E97" s="190"/>
      <c r="F97" s="97"/>
    </row>
    <row r="98" spans="1:6" x14ac:dyDescent="0.25">
      <c r="A98" s="38"/>
      <c r="B98" s="49" t="s">
        <v>236</v>
      </c>
      <c r="C98" s="192"/>
      <c r="D98" s="203"/>
      <c r="E98" s="190"/>
      <c r="F98" s="97">
        <f>F48</f>
        <v>67240.91</v>
      </c>
    </row>
    <row r="99" spans="1:6" x14ac:dyDescent="0.25">
      <c r="A99" s="38"/>
      <c r="B99" s="40"/>
      <c r="C99" s="192"/>
      <c r="D99" s="203"/>
      <c r="E99" s="190"/>
      <c r="F99" s="97"/>
    </row>
    <row r="100" spans="1:6" x14ac:dyDescent="0.25">
      <c r="A100" s="38"/>
      <c r="B100" s="49" t="s">
        <v>237</v>
      </c>
      <c r="C100" s="192"/>
      <c r="D100" s="203"/>
      <c r="E100" s="190"/>
      <c r="F100" s="97">
        <f>F93</f>
        <v>113.10000000000001</v>
      </c>
    </row>
    <row r="101" spans="1:6" x14ac:dyDescent="0.25">
      <c r="A101" s="38"/>
      <c r="B101" s="38"/>
      <c r="C101" s="192"/>
      <c r="D101" s="203"/>
      <c r="E101" s="190"/>
      <c r="F101" s="97"/>
    </row>
    <row r="102" spans="1:6" x14ac:dyDescent="0.25">
      <c r="A102" s="38"/>
      <c r="B102" s="33"/>
      <c r="C102" s="192"/>
      <c r="D102" s="203"/>
      <c r="E102" s="190"/>
      <c r="F102" s="97"/>
    </row>
    <row r="103" spans="1:6" x14ac:dyDescent="0.25">
      <c r="A103" s="38"/>
      <c r="B103" s="33"/>
      <c r="C103" s="192"/>
      <c r="D103" s="203"/>
      <c r="E103" s="190"/>
      <c r="F103" s="97"/>
    </row>
    <row r="104" spans="1:6" x14ac:dyDescent="0.25">
      <c r="A104" s="38"/>
      <c r="B104" s="33"/>
      <c r="C104" s="192"/>
      <c r="D104" s="203"/>
      <c r="E104" s="190"/>
      <c r="F104" s="97"/>
    </row>
    <row r="105" spans="1:6" x14ac:dyDescent="0.25">
      <c r="A105" s="38"/>
      <c r="B105" s="33"/>
      <c r="C105" s="192"/>
      <c r="D105" s="203"/>
      <c r="E105" s="190"/>
      <c r="F105" s="97"/>
    </row>
    <row r="106" spans="1:6" x14ac:dyDescent="0.25">
      <c r="A106" s="38"/>
      <c r="B106" s="33"/>
      <c r="C106" s="192"/>
      <c r="D106" s="203"/>
      <c r="E106" s="190"/>
      <c r="F106" s="97"/>
    </row>
    <row r="107" spans="1:6" x14ac:dyDescent="0.25">
      <c r="A107" s="38"/>
      <c r="B107" s="33"/>
      <c r="C107" s="192"/>
      <c r="D107" s="203"/>
      <c r="E107" s="190"/>
      <c r="F107" s="97"/>
    </row>
    <row r="108" spans="1:6" x14ac:dyDescent="0.25">
      <c r="A108" s="32"/>
      <c r="B108" s="36"/>
      <c r="C108" s="188"/>
      <c r="D108" s="189"/>
      <c r="E108" s="190"/>
      <c r="F108" s="97"/>
    </row>
    <row r="109" spans="1:6" x14ac:dyDescent="0.25">
      <c r="A109" s="32"/>
      <c r="B109" s="38"/>
      <c r="C109" s="188"/>
      <c r="D109" s="189"/>
      <c r="E109" s="190"/>
      <c r="F109" s="97"/>
    </row>
    <row r="110" spans="1:6" x14ac:dyDescent="0.25">
      <c r="A110" s="39"/>
      <c r="B110" s="43"/>
      <c r="C110" s="41"/>
      <c r="D110" s="42"/>
      <c r="E110" s="190"/>
      <c r="F110" s="97"/>
    </row>
    <row r="111" spans="1:6" x14ac:dyDescent="0.25">
      <c r="A111" s="32"/>
      <c r="B111" s="38"/>
      <c r="C111" s="188"/>
      <c r="D111" s="189"/>
      <c r="E111" s="190"/>
      <c r="F111" s="97"/>
    </row>
    <row r="112" spans="1:6" x14ac:dyDescent="0.25">
      <c r="A112" s="39"/>
      <c r="B112" s="40"/>
      <c r="C112" s="41"/>
      <c r="D112" s="42"/>
      <c r="E112" s="190"/>
      <c r="F112" s="97"/>
    </row>
    <row r="113" spans="1:6" x14ac:dyDescent="0.25">
      <c r="A113" s="32"/>
      <c r="B113" s="38"/>
      <c r="C113" s="188"/>
      <c r="D113" s="189"/>
      <c r="E113" s="190"/>
      <c r="F113" s="97"/>
    </row>
    <row r="114" spans="1:6" x14ac:dyDescent="0.25">
      <c r="A114" s="39"/>
      <c r="B114" s="40"/>
      <c r="C114" s="41"/>
      <c r="D114" s="42"/>
      <c r="E114" s="190"/>
      <c r="F114" s="97"/>
    </row>
    <row r="115" spans="1:6" x14ac:dyDescent="0.25">
      <c r="A115" s="32"/>
      <c r="B115" s="38"/>
      <c r="C115" s="188"/>
      <c r="D115" s="189"/>
      <c r="E115" s="190"/>
      <c r="F115" s="97"/>
    </row>
    <row r="116" spans="1:6" x14ac:dyDescent="0.25">
      <c r="A116" s="39"/>
      <c r="B116" s="43"/>
      <c r="C116" s="41"/>
      <c r="D116" s="42"/>
      <c r="E116" s="190"/>
      <c r="F116" s="97"/>
    </row>
    <row r="117" spans="1:6" x14ac:dyDescent="0.25">
      <c r="A117" s="32"/>
      <c r="B117" s="38"/>
      <c r="C117" s="188"/>
      <c r="D117" s="189"/>
      <c r="E117" s="190"/>
      <c r="F117" s="97"/>
    </row>
    <row r="118" spans="1:6" x14ac:dyDescent="0.25">
      <c r="A118" s="39"/>
      <c r="B118" s="40"/>
      <c r="C118" s="41"/>
      <c r="D118" s="42"/>
      <c r="E118" s="190"/>
      <c r="F118" s="97"/>
    </row>
    <row r="119" spans="1:6" x14ac:dyDescent="0.25">
      <c r="A119" s="32"/>
      <c r="B119" s="38"/>
      <c r="C119" s="188"/>
      <c r="D119" s="189"/>
      <c r="E119" s="190"/>
      <c r="F119" s="97"/>
    </row>
    <row r="120" spans="1:6" x14ac:dyDescent="0.25">
      <c r="A120" s="39"/>
      <c r="B120" s="40"/>
      <c r="C120" s="41"/>
      <c r="D120" s="42"/>
      <c r="E120" s="190"/>
      <c r="F120" s="97"/>
    </row>
    <row r="121" spans="1:6" x14ac:dyDescent="0.25">
      <c r="A121" s="32"/>
      <c r="B121" s="38"/>
      <c r="C121" s="188"/>
      <c r="D121" s="189"/>
      <c r="E121" s="190"/>
      <c r="F121" s="97"/>
    </row>
    <row r="122" spans="1:6" x14ac:dyDescent="0.25">
      <c r="A122" s="39"/>
      <c r="B122" s="40"/>
      <c r="C122" s="41"/>
      <c r="D122" s="42"/>
      <c r="E122" s="190"/>
      <c r="F122" s="97"/>
    </row>
    <row r="123" spans="1:6" x14ac:dyDescent="0.25">
      <c r="A123" s="32"/>
      <c r="B123" s="38"/>
      <c r="C123" s="188"/>
      <c r="D123" s="189"/>
      <c r="E123" s="190"/>
      <c r="F123" s="97"/>
    </row>
    <row r="124" spans="1:6" x14ac:dyDescent="0.25">
      <c r="A124" s="39"/>
      <c r="B124" s="43"/>
      <c r="C124" s="41"/>
      <c r="D124" s="42"/>
      <c r="E124" s="190"/>
      <c r="F124" s="97"/>
    </row>
    <row r="125" spans="1:6" x14ac:dyDescent="0.25">
      <c r="A125" s="32"/>
      <c r="B125" s="38"/>
      <c r="C125" s="188"/>
      <c r="D125" s="189"/>
      <c r="E125" s="190"/>
      <c r="F125" s="97"/>
    </row>
    <row r="126" spans="1:6" x14ac:dyDescent="0.25">
      <c r="A126" s="39"/>
      <c r="B126" s="40"/>
      <c r="C126" s="41"/>
      <c r="D126" s="42"/>
      <c r="E126" s="190"/>
      <c r="F126" s="97"/>
    </row>
    <row r="127" spans="1:6" x14ac:dyDescent="0.25">
      <c r="A127" s="32"/>
      <c r="B127" s="38"/>
      <c r="C127" s="188"/>
      <c r="D127" s="189"/>
      <c r="E127" s="190"/>
      <c r="F127" s="97"/>
    </row>
    <row r="128" spans="1:6" x14ac:dyDescent="0.25">
      <c r="A128" s="32"/>
      <c r="B128" s="38"/>
      <c r="C128" s="188"/>
      <c r="D128" s="189"/>
      <c r="E128" s="190"/>
      <c r="F128" s="97"/>
    </row>
    <row r="129" spans="1:6" x14ac:dyDescent="0.25">
      <c r="A129" s="39"/>
      <c r="B129" s="43"/>
      <c r="C129" s="41"/>
      <c r="D129" s="42"/>
      <c r="E129" s="190"/>
      <c r="F129" s="97"/>
    </row>
    <row r="130" spans="1:6" x14ac:dyDescent="0.25">
      <c r="A130" s="39"/>
      <c r="B130" s="40"/>
      <c r="C130" s="41"/>
      <c r="D130" s="42"/>
      <c r="E130" s="190"/>
      <c r="F130" s="97"/>
    </row>
    <row r="131" spans="1:6" x14ac:dyDescent="0.25">
      <c r="A131" s="38"/>
      <c r="B131" s="33"/>
      <c r="C131" s="192"/>
      <c r="D131" s="203"/>
      <c r="E131" s="190"/>
      <c r="F131" s="97"/>
    </row>
    <row r="132" spans="1:6" x14ac:dyDescent="0.25">
      <c r="A132" s="38"/>
      <c r="B132" s="33"/>
      <c r="C132" s="192"/>
      <c r="D132" s="203"/>
      <c r="E132" s="190"/>
      <c r="F132" s="97"/>
    </row>
    <row r="133" spans="1:6" x14ac:dyDescent="0.25">
      <c r="A133" s="38"/>
      <c r="B133" s="33"/>
      <c r="C133" s="192"/>
      <c r="D133" s="203"/>
      <c r="E133" s="190"/>
      <c r="F133" s="97"/>
    </row>
    <row r="134" spans="1:6" x14ac:dyDescent="0.25">
      <c r="A134" s="38"/>
      <c r="B134" s="33"/>
      <c r="C134" s="192"/>
      <c r="D134" s="203"/>
      <c r="E134" s="190"/>
      <c r="F134" s="97"/>
    </row>
    <row r="135" spans="1:6" x14ac:dyDescent="0.25">
      <c r="A135" s="38"/>
      <c r="B135" s="33"/>
      <c r="C135" s="192"/>
      <c r="D135" s="203"/>
      <c r="E135" s="190"/>
      <c r="F135" s="97"/>
    </row>
    <row r="136" spans="1:6" x14ac:dyDescent="0.25">
      <c r="A136" s="38"/>
      <c r="B136" s="33"/>
      <c r="C136" s="192"/>
      <c r="D136" s="203"/>
      <c r="E136" s="190"/>
      <c r="F136" s="97"/>
    </row>
    <row r="137" spans="1:6" x14ac:dyDescent="0.25">
      <c r="A137" s="38"/>
      <c r="B137" s="33"/>
      <c r="C137" s="192"/>
      <c r="D137" s="203"/>
      <c r="E137" s="190"/>
      <c r="F137" s="97"/>
    </row>
    <row r="138" spans="1:6" x14ac:dyDescent="0.25">
      <c r="A138" s="38"/>
      <c r="B138" s="33"/>
      <c r="C138" s="192"/>
      <c r="D138" s="203"/>
      <c r="E138" s="190"/>
      <c r="F138" s="97"/>
    </row>
    <row r="139" spans="1:6" x14ac:dyDescent="0.25">
      <c r="A139" s="38"/>
      <c r="B139" s="33"/>
      <c r="C139" s="192"/>
      <c r="D139" s="203"/>
      <c r="E139" s="190"/>
      <c r="F139" s="97"/>
    </row>
    <row r="140" spans="1:6" x14ac:dyDescent="0.25">
      <c r="A140" s="38"/>
      <c r="B140" s="33"/>
      <c r="C140" s="192"/>
      <c r="D140" s="203"/>
      <c r="E140" s="190"/>
      <c r="F140" s="97"/>
    </row>
    <row r="141" spans="1:6" x14ac:dyDescent="0.25">
      <c r="A141" s="38"/>
      <c r="B141" s="33"/>
      <c r="C141" s="192"/>
      <c r="D141" s="203"/>
      <c r="E141" s="190"/>
      <c r="F141" s="97"/>
    </row>
    <row r="142" spans="1:6" x14ac:dyDescent="0.25">
      <c r="A142" s="44"/>
      <c r="B142" s="45"/>
      <c r="C142" s="195"/>
      <c r="D142" s="196"/>
      <c r="E142" s="117"/>
      <c r="F142" s="98"/>
    </row>
    <row r="143" spans="1:6" x14ac:dyDescent="0.25">
      <c r="A143" s="46"/>
      <c r="B143" s="47"/>
      <c r="C143" s="199" t="s">
        <v>96</v>
      </c>
      <c r="D143" s="199"/>
      <c r="E143" s="200" t="s">
        <v>50</v>
      </c>
      <c r="F143" s="99">
        <f>SUM(F96:F117)</f>
        <v>67354.010000000009</v>
      </c>
    </row>
    <row r="144" spans="1:6" x14ac:dyDescent="0.25">
      <c r="A144" s="46"/>
      <c r="B144" s="47"/>
      <c r="C144" s="201"/>
      <c r="D144" s="202"/>
      <c r="E144" s="118"/>
      <c r="F144" s="100"/>
    </row>
  </sheetData>
  <mergeCells count="4">
    <mergeCell ref="A1:A2"/>
    <mergeCell ref="B1:B2"/>
    <mergeCell ref="C1:C2"/>
    <mergeCell ref="D1:D2"/>
  </mergeCells>
  <printOptions horizontalCentered="1"/>
  <pageMargins left="0.6692913385826772" right="0.19685039370078741" top="0.82677165354330717" bottom="0.47244094488188981" header="0.19685039370078741" footer="0.23622047244094491"/>
  <pageSetup paperSize="9" fitToHeight="0" orientation="portrait" useFirstPageNumber="1" r:id="rId1"/>
  <headerFooter>
    <oddHeader>&amp;R&amp;11&amp;U
BILL NO. 4 -PARKING FLOORS REFURBISHMENT
THERMAL AND MOISTURE PROTECTION</oddHeader>
    <oddFooter>&amp;L&amp;8DMS 148704 BOQ - Nakheel Mall Al Khail&amp;C4/G/&amp;P</oddFooter>
  </headerFooter>
  <rowBreaks count="2" manualBreakCount="2">
    <brk id="49" max="5" man="1"/>
    <brk id="94" max="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B242C-87A5-4E50-A489-F95DE461A77E}">
  <sheetPr codeName="Sheet10"/>
  <dimension ref="A1:G223"/>
  <sheetViews>
    <sheetView view="pageBreakPreview" zoomScale="85" zoomScaleNormal="100" zoomScaleSheetLayoutView="85" zoomScalePageLayoutView="70" workbookViewId="0">
      <pane ySplit="2" topLeftCell="A59" activePane="bottomLeft" state="frozen"/>
      <selection activeCell="H35" sqref="H35"/>
      <selection pane="bottomLeft" activeCell="C1" sqref="C1:E1048576"/>
    </sheetView>
  </sheetViews>
  <sheetFormatPr defaultColWidth="9.33203125" defaultRowHeight="13.8" x14ac:dyDescent="0.25"/>
  <cols>
    <col min="1" max="1" width="5.6640625" style="50" customWidth="1"/>
    <col min="2" max="2" width="46" style="51" customWidth="1"/>
    <col min="3" max="3" width="10.6640625" style="213" customWidth="1"/>
    <col min="4" max="4" width="6.6640625" style="214" customWidth="1"/>
    <col min="5" max="5" width="21" style="200" customWidth="1"/>
    <col min="6" max="6" width="15.6640625" style="101" customWidth="1"/>
    <col min="7" max="7" width="7.5546875" style="101" customWidth="1"/>
    <col min="8" max="16384" width="9.33203125" style="34"/>
  </cols>
  <sheetData>
    <row r="1" spans="1:7" s="29" customFormat="1" ht="14.4" x14ac:dyDescent="0.25">
      <c r="A1" s="164" t="s">
        <v>6</v>
      </c>
      <c r="B1" s="164" t="s">
        <v>0</v>
      </c>
      <c r="C1" s="175" t="s">
        <v>47</v>
      </c>
      <c r="D1" s="176" t="s">
        <v>48</v>
      </c>
      <c r="E1" s="177" t="s">
        <v>1</v>
      </c>
      <c r="F1" s="94" t="s">
        <v>49</v>
      </c>
      <c r="G1" s="166" t="s">
        <v>1211</v>
      </c>
    </row>
    <row r="2" spans="1:7" s="29" customFormat="1" ht="14.4" x14ac:dyDescent="0.25">
      <c r="A2" s="165"/>
      <c r="B2" s="165"/>
      <c r="C2" s="179"/>
      <c r="D2" s="180"/>
      <c r="E2" s="181" t="s">
        <v>50</v>
      </c>
      <c r="F2" s="95" t="s">
        <v>50</v>
      </c>
      <c r="G2" s="167"/>
    </row>
    <row r="3" spans="1:7" s="29" customFormat="1" ht="14.4" x14ac:dyDescent="0.25">
      <c r="A3" s="30"/>
      <c r="B3" s="31"/>
      <c r="C3" s="184"/>
      <c r="D3" s="185"/>
      <c r="E3" s="186"/>
      <c r="F3" s="96"/>
      <c r="G3" s="96"/>
    </row>
    <row r="4" spans="1:7" x14ac:dyDescent="0.25">
      <c r="A4" s="32"/>
      <c r="B4" s="35" t="s">
        <v>238</v>
      </c>
      <c r="C4" s="188"/>
      <c r="D4" s="189"/>
      <c r="E4" s="190"/>
      <c r="F4" s="97"/>
      <c r="G4" s="97"/>
    </row>
    <row r="5" spans="1:7" x14ac:dyDescent="0.25">
      <c r="A5" s="32"/>
      <c r="B5" s="35"/>
      <c r="C5" s="188"/>
      <c r="D5" s="189"/>
      <c r="E5" s="190"/>
      <c r="F5" s="97"/>
      <c r="G5" s="97"/>
    </row>
    <row r="6" spans="1:7" x14ac:dyDescent="0.25">
      <c r="A6" s="32"/>
      <c r="B6" s="36" t="s">
        <v>239</v>
      </c>
      <c r="C6" s="188"/>
      <c r="D6" s="189"/>
      <c r="E6" s="190"/>
      <c r="F6" s="97"/>
      <c r="G6" s="97"/>
    </row>
    <row r="7" spans="1:7" x14ac:dyDescent="0.25">
      <c r="A7" s="32"/>
      <c r="B7" s="38"/>
      <c r="C7" s="188"/>
      <c r="D7" s="189"/>
      <c r="E7" s="190"/>
      <c r="F7" s="97"/>
      <c r="G7" s="97"/>
    </row>
    <row r="8" spans="1:7" x14ac:dyDescent="0.25">
      <c r="A8" s="39"/>
      <c r="B8" s="40" t="s">
        <v>28</v>
      </c>
      <c r="C8" s="41"/>
      <c r="D8" s="42"/>
      <c r="E8" s="190"/>
      <c r="F8" s="97"/>
      <c r="G8" s="97"/>
    </row>
    <row r="9" spans="1:7" x14ac:dyDescent="0.25">
      <c r="A9" s="32"/>
      <c r="B9" s="38"/>
      <c r="C9" s="188"/>
      <c r="D9" s="189"/>
      <c r="E9" s="190"/>
      <c r="F9" s="97"/>
      <c r="G9" s="97"/>
    </row>
    <row r="10" spans="1:7" ht="27.6" x14ac:dyDescent="0.25">
      <c r="A10" s="39"/>
      <c r="B10" s="40" t="s">
        <v>240</v>
      </c>
      <c r="C10" s="41"/>
      <c r="D10" s="42"/>
      <c r="E10" s="190"/>
      <c r="F10" s="97"/>
      <c r="G10" s="97"/>
    </row>
    <row r="11" spans="1:7" x14ac:dyDescent="0.25">
      <c r="A11" s="32"/>
      <c r="B11" s="38"/>
      <c r="C11" s="188"/>
      <c r="D11" s="189"/>
      <c r="E11" s="190"/>
      <c r="F11" s="97"/>
      <c r="G11" s="97"/>
    </row>
    <row r="12" spans="1:7" ht="69" x14ac:dyDescent="0.25">
      <c r="A12" s="39"/>
      <c r="B12" s="52" t="s">
        <v>241</v>
      </c>
      <c r="C12" s="41"/>
      <c r="D12" s="42"/>
      <c r="E12" s="190"/>
      <c r="F12" s="97"/>
      <c r="G12" s="97"/>
    </row>
    <row r="13" spans="1:7" x14ac:dyDescent="0.25">
      <c r="A13" s="32"/>
      <c r="B13" s="38"/>
      <c r="C13" s="188"/>
      <c r="D13" s="189"/>
      <c r="E13" s="190"/>
      <c r="F13" s="97"/>
      <c r="G13" s="97"/>
    </row>
    <row r="14" spans="1:7" ht="27.6" x14ac:dyDescent="0.25">
      <c r="A14" s="39" t="s">
        <v>3</v>
      </c>
      <c r="B14" s="40" t="s">
        <v>242</v>
      </c>
      <c r="C14" s="41">
        <v>12</v>
      </c>
      <c r="D14" s="42" t="s">
        <v>15</v>
      </c>
      <c r="E14" s="190">
        <v>1967.57</v>
      </c>
      <c r="F14" s="97">
        <f>C14*E14</f>
        <v>23610.84</v>
      </c>
      <c r="G14" s="97"/>
    </row>
    <row r="15" spans="1:7" x14ac:dyDescent="0.25">
      <c r="A15" s="32"/>
      <c r="B15" s="38"/>
      <c r="C15" s="188"/>
      <c r="D15" s="189"/>
      <c r="E15" s="190"/>
      <c r="F15" s="97"/>
      <c r="G15" s="97"/>
    </row>
    <row r="16" spans="1:7" ht="27.6" x14ac:dyDescent="0.25">
      <c r="A16" s="39" t="s">
        <v>2</v>
      </c>
      <c r="B16" s="40" t="s">
        <v>243</v>
      </c>
      <c r="C16" s="41" t="s">
        <v>244</v>
      </c>
      <c r="D16" s="42" t="s">
        <v>15</v>
      </c>
      <c r="E16" s="190">
        <v>2156.0300000000002</v>
      </c>
      <c r="F16" s="97">
        <f>C16*E16</f>
        <v>17248.240000000002</v>
      </c>
      <c r="G16" s="97"/>
    </row>
    <row r="17" spans="1:7" x14ac:dyDescent="0.25">
      <c r="A17" s="32"/>
      <c r="B17" s="38"/>
      <c r="C17" s="188"/>
      <c r="D17" s="189"/>
      <c r="E17" s="190"/>
      <c r="F17" s="97"/>
      <c r="G17" s="97"/>
    </row>
    <row r="18" spans="1:7" ht="27.6" x14ac:dyDescent="0.25">
      <c r="A18" s="39" t="s">
        <v>5</v>
      </c>
      <c r="B18" s="40" t="s">
        <v>245</v>
      </c>
      <c r="C18" s="41">
        <v>10</v>
      </c>
      <c r="D18" s="42" t="s">
        <v>15</v>
      </c>
      <c r="E18" s="190">
        <v>3077.89</v>
      </c>
      <c r="F18" s="97">
        <f>C18*E18</f>
        <v>30778.899999999998</v>
      </c>
      <c r="G18" s="97"/>
    </row>
    <row r="19" spans="1:7" x14ac:dyDescent="0.25">
      <c r="A19" s="32"/>
      <c r="B19" s="38"/>
      <c r="C19" s="188"/>
      <c r="D19" s="189"/>
      <c r="E19" s="190"/>
      <c r="F19" s="97"/>
      <c r="G19" s="97"/>
    </row>
    <row r="20" spans="1:7" ht="27.6" x14ac:dyDescent="0.25">
      <c r="A20" s="39" t="s">
        <v>8</v>
      </c>
      <c r="B20" s="40" t="s">
        <v>246</v>
      </c>
      <c r="C20" s="41">
        <v>0</v>
      </c>
      <c r="D20" s="42" t="s">
        <v>15</v>
      </c>
      <c r="E20" s="190">
        <v>3240.51</v>
      </c>
      <c r="F20" s="97">
        <f>C20*E20</f>
        <v>0</v>
      </c>
      <c r="G20" s="97"/>
    </row>
    <row r="21" spans="1:7" x14ac:dyDescent="0.25">
      <c r="A21" s="32"/>
      <c r="B21" s="38"/>
      <c r="C21" s="188"/>
      <c r="D21" s="189"/>
      <c r="E21" s="190"/>
      <c r="F21" s="97"/>
      <c r="G21" s="97"/>
    </row>
    <row r="22" spans="1:7" ht="27.6" x14ac:dyDescent="0.25">
      <c r="A22" s="39" t="s">
        <v>9</v>
      </c>
      <c r="B22" s="40" t="s">
        <v>247</v>
      </c>
      <c r="C22" s="41" t="s">
        <v>104</v>
      </c>
      <c r="D22" s="42" t="s">
        <v>15</v>
      </c>
      <c r="E22" s="190">
        <v>2188.34</v>
      </c>
      <c r="F22" s="97">
        <f>C22*E22</f>
        <v>2188.34</v>
      </c>
      <c r="G22" s="97"/>
    </row>
    <row r="23" spans="1:7" x14ac:dyDescent="0.25">
      <c r="A23" s="32"/>
      <c r="B23" s="38"/>
      <c r="C23" s="188"/>
      <c r="D23" s="189"/>
      <c r="E23" s="190"/>
      <c r="F23" s="97"/>
      <c r="G23" s="97"/>
    </row>
    <row r="24" spans="1:7" ht="27.6" x14ac:dyDescent="0.25">
      <c r="A24" s="39" t="s">
        <v>10</v>
      </c>
      <c r="B24" s="40" t="s">
        <v>248</v>
      </c>
      <c r="C24" s="41" t="s">
        <v>66</v>
      </c>
      <c r="D24" s="42" t="s">
        <v>15</v>
      </c>
      <c r="E24" s="190">
        <v>3222.2</v>
      </c>
      <c r="F24" s="97">
        <f>C24*E24</f>
        <v>12888.8</v>
      </c>
      <c r="G24" s="97"/>
    </row>
    <row r="25" spans="1:7" x14ac:dyDescent="0.25">
      <c r="A25" s="32"/>
      <c r="B25" s="38"/>
      <c r="C25" s="188"/>
      <c r="D25" s="189"/>
      <c r="E25" s="190"/>
      <c r="F25" s="97"/>
      <c r="G25" s="97"/>
    </row>
    <row r="26" spans="1:7" x14ac:dyDescent="0.25">
      <c r="A26" s="39" t="s">
        <v>12</v>
      </c>
      <c r="B26" s="40" t="s">
        <v>249</v>
      </c>
      <c r="C26" s="41" t="s">
        <v>104</v>
      </c>
      <c r="D26" s="42" t="s">
        <v>15</v>
      </c>
      <c r="E26" s="190">
        <v>3168.36</v>
      </c>
      <c r="F26" s="97">
        <f>C26*E26</f>
        <v>3168.36</v>
      </c>
      <c r="G26" s="97"/>
    </row>
    <row r="27" spans="1:7" x14ac:dyDescent="0.25">
      <c r="A27" s="32"/>
      <c r="B27" s="38"/>
      <c r="C27" s="188"/>
      <c r="D27" s="189"/>
      <c r="E27" s="190"/>
      <c r="F27" s="97"/>
      <c r="G27" s="97"/>
    </row>
    <row r="28" spans="1:7" x14ac:dyDescent="0.25">
      <c r="A28" s="39" t="s">
        <v>13</v>
      </c>
      <c r="B28" s="63" t="s">
        <v>250</v>
      </c>
      <c r="C28" s="41">
        <v>5</v>
      </c>
      <c r="D28" s="42" t="s">
        <v>15</v>
      </c>
      <c r="E28" s="190">
        <v>3168.36</v>
      </c>
      <c r="F28" s="97">
        <f>C28*E28</f>
        <v>15841.800000000001</v>
      </c>
      <c r="G28" s="97"/>
    </row>
    <row r="29" spans="1:7" x14ac:dyDescent="0.25">
      <c r="A29" s="32"/>
      <c r="B29" s="38"/>
      <c r="C29" s="188"/>
      <c r="D29" s="189"/>
      <c r="E29" s="190"/>
      <c r="F29" s="97"/>
      <c r="G29" s="97"/>
    </row>
    <row r="30" spans="1:7" x14ac:dyDescent="0.25">
      <c r="A30" s="39" t="s">
        <v>16</v>
      </c>
      <c r="B30" s="63" t="s">
        <v>251</v>
      </c>
      <c r="C30" s="41">
        <v>6</v>
      </c>
      <c r="D30" s="42" t="s">
        <v>15</v>
      </c>
      <c r="E30" s="190">
        <v>1956.8</v>
      </c>
      <c r="F30" s="97">
        <f>C30*E30</f>
        <v>11740.8</v>
      </c>
      <c r="G30" s="97"/>
    </row>
    <row r="31" spans="1:7" x14ac:dyDescent="0.25">
      <c r="A31" s="32"/>
      <c r="B31" s="38"/>
      <c r="C31" s="188"/>
      <c r="D31" s="189"/>
      <c r="E31" s="190"/>
      <c r="F31" s="97"/>
      <c r="G31" s="97"/>
    </row>
    <row r="32" spans="1:7" x14ac:dyDescent="0.25">
      <c r="A32" s="39" t="s">
        <v>17</v>
      </c>
      <c r="B32" s="63" t="s">
        <v>252</v>
      </c>
      <c r="C32" s="41">
        <v>3</v>
      </c>
      <c r="D32" s="42" t="s">
        <v>15</v>
      </c>
      <c r="E32" s="190">
        <v>2188.34</v>
      </c>
      <c r="F32" s="97">
        <f>C32*E32</f>
        <v>6565.02</v>
      </c>
      <c r="G32" s="97"/>
    </row>
    <row r="33" spans="1:7" x14ac:dyDescent="0.25">
      <c r="A33" s="32"/>
      <c r="B33" s="38"/>
      <c r="C33" s="188"/>
      <c r="D33" s="189"/>
      <c r="E33" s="190"/>
      <c r="F33" s="97"/>
      <c r="G33" s="97"/>
    </row>
    <row r="34" spans="1:7" x14ac:dyDescent="0.25">
      <c r="A34" s="39" t="s">
        <v>18</v>
      </c>
      <c r="B34" s="63" t="s">
        <v>253</v>
      </c>
      <c r="C34" s="41" t="s">
        <v>104</v>
      </c>
      <c r="D34" s="42" t="s">
        <v>15</v>
      </c>
      <c r="E34" s="190">
        <v>2640.66</v>
      </c>
      <c r="F34" s="97">
        <f>C34*E34</f>
        <v>2640.66</v>
      </c>
      <c r="G34" s="97"/>
    </row>
    <row r="35" spans="1:7" x14ac:dyDescent="0.25">
      <c r="A35" s="32"/>
      <c r="B35" s="38"/>
      <c r="C35" s="188"/>
      <c r="D35" s="189"/>
      <c r="E35" s="190"/>
      <c r="F35" s="97"/>
      <c r="G35" s="97"/>
    </row>
    <row r="36" spans="1:7" x14ac:dyDescent="0.25">
      <c r="A36" s="39"/>
      <c r="B36" s="40"/>
      <c r="C36" s="41"/>
      <c r="D36" s="42"/>
      <c r="E36" s="190"/>
      <c r="F36" s="97"/>
      <c r="G36" s="97"/>
    </row>
    <row r="37" spans="1:7" x14ac:dyDescent="0.25">
      <c r="A37" s="38"/>
      <c r="B37" s="33"/>
      <c r="C37" s="192"/>
      <c r="D37" s="203"/>
      <c r="E37" s="190"/>
      <c r="F37" s="97"/>
      <c r="G37" s="97"/>
    </row>
    <row r="38" spans="1:7" x14ac:dyDescent="0.25">
      <c r="A38" s="38"/>
      <c r="B38" s="33"/>
      <c r="C38" s="192"/>
      <c r="D38" s="203"/>
      <c r="E38" s="190"/>
      <c r="F38" s="97"/>
      <c r="G38" s="97"/>
    </row>
    <row r="39" spans="1:7" x14ac:dyDescent="0.25">
      <c r="A39" s="32"/>
      <c r="B39" s="36"/>
      <c r="C39" s="188"/>
      <c r="D39" s="189"/>
      <c r="E39" s="190"/>
      <c r="F39" s="97"/>
      <c r="G39" s="97"/>
    </row>
    <row r="40" spans="1:7" x14ac:dyDescent="0.25">
      <c r="A40" s="44"/>
      <c r="B40" s="45"/>
      <c r="C40" s="195"/>
      <c r="D40" s="196"/>
      <c r="E40" s="117"/>
      <c r="F40" s="98"/>
      <c r="G40" s="98"/>
    </row>
    <row r="41" spans="1:7" x14ac:dyDescent="0.25">
      <c r="A41" s="46"/>
      <c r="B41" s="47"/>
      <c r="C41" s="199" t="s">
        <v>51</v>
      </c>
      <c r="D41" s="199"/>
      <c r="E41" s="200" t="s">
        <v>50</v>
      </c>
      <c r="F41" s="99">
        <f>SUM(F13:F37)</f>
        <v>126671.76000000001</v>
      </c>
      <c r="G41" s="99"/>
    </row>
    <row r="42" spans="1:7" x14ac:dyDescent="0.25">
      <c r="A42" s="46"/>
      <c r="B42" s="47"/>
      <c r="C42" s="201"/>
      <c r="D42" s="202"/>
      <c r="E42" s="118"/>
      <c r="F42" s="100"/>
      <c r="G42" s="100"/>
    </row>
    <row r="43" spans="1:7" x14ac:dyDescent="0.25">
      <c r="A43" s="39"/>
      <c r="B43" s="40"/>
      <c r="C43" s="41"/>
      <c r="D43" s="42"/>
      <c r="E43" s="190"/>
      <c r="F43" s="97"/>
      <c r="G43" s="97"/>
    </row>
    <row r="44" spans="1:7" x14ac:dyDescent="0.25">
      <c r="A44" s="32"/>
      <c r="B44" s="36" t="s">
        <v>254</v>
      </c>
      <c r="C44" s="188"/>
      <c r="D44" s="189"/>
      <c r="E44" s="190"/>
      <c r="F44" s="97"/>
      <c r="G44" s="97"/>
    </row>
    <row r="45" spans="1:7" x14ac:dyDescent="0.25">
      <c r="A45" s="32"/>
      <c r="B45" s="38"/>
      <c r="C45" s="188"/>
      <c r="D45" s="189"/>
      <c r="E45" s="190"/>
      <c r="F45" s="97"/>
      <c r="G45" s="97"/>
    </row>
    <row r="46" spans="1:7" ht="69" x14ac:dyDescent="0.25">
      <c r="A46" s="39"/>
      <c r="B46" s="52" t="s">
        <v>255</v>
      </c>
      <c r="C46" s="41"/>
      <c r="D46" s="42"/>
      <c r="E46" s="190"/>
      <c r="F46" s="97"/>
      <c r="G46" s="97"/>
    </row>
    <row r="47" spans="1:7" x14ac:dyDescent="0.25">
      <c r="A47" s="32"/>
      <c r="B47" s="38"/>
      <c r="C47" s="188"/>
      <c r="D47" s="189"/>
      <c r="E47" s="190"/>
      <c r="F47" s="97"/>
      <c r="G47" s="97"/>
    </row>
    <row r="48" spans="1:7" x14ac:dyDescent="0.25">
      <c r="A48" s="39" t="s">
        <v>3</v>
      </c>
      <c r="B48" s="40" t="s">
        <v>256</v>
      </c>
      <c r="C48" s="41" t="s">
        <v>58</v>
      </c>
      <c r="D48" s="42" t="s">
        <v>15</v>
      </c>
      <c r="E48" s="190">
        <v>38091.449999999997</v>
      </c>
      <c r="F48" s="97">
        <f>C48*E48</f>
        <v>228548.69999999998</v>
      </c>
      <c r="G48" s="97"/>
    </row>
    <row r="49" spans="1:7" x14ac:dyDescent="0.25">
      <c r="A49" s="32"/>
      <c r="B49" s="38"/>
      <c r="C49" s="188"/>
      <c r="D49" s="189"/>
      <c r="E49" s="190"/>
      <c r="F49" s="97"/>
      <c r="G49" s="97"/>
    </row>
    <row r="50" spans="1:7" x14ac:dyDescent="0.25">
      <c r="A50" s="39" t="s">
        <v>2</v>
      </c>
      <c r="B50" s="40" t="s">
        <v>257</v>
      </c>
      <c r="C50" s="41" t="s">
        <v>64</v>
      </c>
      <c r="D50" s="42" t="s">
        <v>15</v>
      </c>
      <c r="E50" s="190">
        <v>8062.03</v>
      </c>
      <c r="F50" s="97">
        <f>C50*E50</f>
        <v>16124.06</v>
      </c>
      <c r="G50" s="97"/>
    </row>
    <row r="51" spans="1:7" x14ac:dyDescent="0.25">
      <c r="A51" s="32"/>
      <c r="B51" s="38"/>
      <c r="C51" s="188"/>
      <c r="D51" s="189"/>
      <c r="E51" s="190"/>
      <c r="F51" s="97"/>
      <c r="G51" s="97"/>
    </row>
    <row r="52" spans="1:7" x14ac:dyDescent="0.25">
      <c r="A52" s="39" t="s">
        <v>5</v>
      </c>
      <c r="B52" s="63" t="s">
        <v>258</v>
      </c>
      <c r="C52" s="41" t="s">
        <v>104</v>
      </c>
      <c r="D52" s="42" t="s">
        <v>15</v>
      </c>
      <c r="E52" s="190">
        <v>7649.37</v>
      </c>
      <c r="F52" s="97">
        <f>C52*E52</f>
        <v>7649.37</v>
      </c>
      <c r="G52" s="97"/>
    </row>
    <row r="53" spans="1:7" x14ac:dyDescent="0.25">
      <c r="A53" s="32"/>
      <c r="B53" s="38"/>
      <c r="C53" s="188"/>
      <c r="D53" s="189"/>
      <c r="E53" s="190"/>
      <c r="F53" s="97"/>
      <c r="G53" s="97"/>
    </row>
    <row r="54" spans="1:7" x14ac:dyDescent="0.25">
      <c r="A54" s="39" t="s">
        <v>8</v>
      </c>
      <c r="B54" s="63" t="s">
        <v>259</v>
      </c>
      <c r="C54" s="41" t="s">
        <v>104</v>
      </c>
      <c r="D54" s="42" t="s">
        <v>15</v>
      </c>
      <c r="E54" s="190">
        <v>34414.29</v>
      </c>
      <c r="F54" s="97">
        <f>C54*E54</f>
        <v>34414.29</v>
      </c>
      <c r="G54" s="97"/>
    </row>
    <row r="55" spans="1:7" x14ac:dyDescent="0.25">
      <c r="A55" s="39"/>
      <c r="B55" s="40"/>
      <c r="C55" s="41"/>
      <c r="D55" s="42"/>
      <c r="E55" s="190"/>
      <c r="F55" s="97"/>
      <c r="G55" s="97"/>
    </row>
    <row r="56" spans="1:7" x14ac:dyDescent="0.25">
      <c r="A56" s="32"/>
      <c r="B56" s="36" t="s">
        <v>1183</v>
      </c>
      <c r="C56" s="188"/>
      <c r="D56" s="189"/>
      <c r="E56" s="190"/>
      <c r="F56" s="97"/>
      <c r="G56" s="97"/>
    </row>
    <row r="57" spans="1:7" x14ac:dyDescent="0.25">
      <c r="A57" s="39"/>
      <c r="B57" s="36"/>
      <c r="C57" s="41"/>
      <c r="D57" s="42"/>
      <c r="E57" s="190"/>
      <c r="F57" s="97"/>
      <c r="G57" s="97"/>
    </row>
    <row r="58" spans="1:7" ht="55.2" x14ac:dyDescent="0.25">
      <c r="A58" s="32"/>
      <c r="B58" s="36" t="s">
        <v>1185</v>
      </c>
      <c r="C58" s="188"/>
      <c r="D58" s="189"/>
      <c r="E58" s="190"/>
      <c r="F58" s="97"/>
      <c r="G58" s="97"/>
    </row>
    <row r="59" spans="1:7" x14ac:dyDescent="0.25">
      <c r="A59" s="39"/>
      <c r="B59" s="40"/>
      <c r="C59" s="41"/>
      <c r="D59" s="42"/>
      <c r="E59" s="190"/>
      <c r="F59" s="97"/>
      <c r="G59" s="97"/>
    </row>
    <row r="60" spans="1:7" ht="41.4" x14ac:dyDescent="0.25">
      <c r="A60" s="39" t="s">
        <v>9</v>
      </c>
      <c r="B60" s="40" t="s">
        <v>1184</v>
      </c>
      <c r="C60" s="41">
        <v>126</v>
      </c>
      <c r="D60" s="42" t="s">
        <v>4</v>
      </c>
      <c r="E60" s="190">
        <v>6001.92</v>
      </c>
      <c r="F60" s="139" t="s">
        <v>1207</v>
      </c>
      <c r="G60" s="139" t="s">
        <v>1229</v>
      </c>
    </row>
    <row r="61" spans="1:7" x14ac:dyDescent="0.25">
      <c r="A61" s="39"/>
      <c r="B61" s="40"/>
      <c r="C61" s="41"/>
      <c r="D61" s="42"/>
      <c r="E61" s="190"/>
      <c r="F61" s="97"/>
      <c r="G61" s="97"/>
    </row>
    <row r="62" spans="1:7" ht="41.4" x14ac:dyDescent="0.25">
      <c r="A62" s="39" t="s">
        <v>10</v>
      </c>
      <c r="B62" s="40" t="s">
        <v>1186</v>
      </c>
      <c r="C62" s="41">
        <v>2</v>
      </c>
      <c r="D62" s="42" t="s">
        <v>15</v>
      </c>
      <c r="E62" s="190">
        <v>33317.83</v>
      </c>
      <c r="F62" s="139" t="s">
        <v>1207</v>
      </c>
      <c r="G62" s="139" t="s">
        <v>1229</v>
      </c>
    </row>
    <row r="63" spans="1:7" x14ac:dyDescent="0.25">
      <c r="A63" s="39"/>
      <c r="B63" s="40"/>
      <c r="C63" s="41"/>
      <c r="D63" s="42"/>
      <c r="E63" s="190"/>
      <c r="F63" s="97"/>
      <c r="G63" s="97"/>
    </row>
    <row r="64" spans="1:7" x14ac:dyDescent="0.25">
      <c r="A64" s="32"/>
      <c r="B64" s="38"/>
      <c r="C64" s="188"/>
      <c r="D64" s="189"/>
      <c r="E64" s="190"/>
      <c r="F64" s="97"/>
      <c r="G64" s="97"/>
    </row>
    <row r="65" spans="1:7" x14ac:dyDescent="0.25">
      <c r="A65" s="39"/>
      <c r="B65" s="40"/>
      <c r="C65" s="41"/>
      <c r="D65" s="42"/>
      <c r="E65" s="190"/>
      <c r="F65" s="97"/>
      <c r="G65" s="97"/>
    </row>
    <row r="66" spans="1:7" x14ac:dyDescent="0.25">
      <c r="A66" s="38"/>
      <c r="B66" s="33"/>
      <c r="C66" s="192"/>
      <c r="D66" s="203"/>
      <c r="E66" s="190"/>
      <c r="F66" s="97"/>
      <c r="G66" s="97"/>
    </row>
    <row r="67" spans="1:7" x14ac:dyDescent="0.25">
      <c r="A67" s="38"/>
      <c r="B67" s="33"/>
      <c r="C67" s="192"/>
      <c r="D67" s="203"/>
      <c r="E67" s="190"/>
      <c r="F67" s="97"/>
      <c r="G67" s="97"/>
    </row>
    <row r="68" spans="1:7" x14ac:dyDescent="0.25">
      <c r="A68" s="38"/>
      <c r="B68" s="33"/>
      <c r="C68" s="192"/>
      <c r="D68" s="203"/>
      <c r="E68" s="190"/>
      <c r="F68" s="97"/>
      <c r="G68" s="97"/>
    </row>
    <row r="69" spans="1:7" x14ac:dyDescent="0.25">
      <c r="A69" s="38"/>
      <c r="B69" s="33"/>
      <c r="C69" s="192"/>
      <c r="D69" s="203"/>
      <c r="E69" s="190"/>
      <c r="F69" s="97"/>
      <c r="G69" s="97"/>
    </row>
    <row r="70" spans="1:7" x14ac:dyDescent="0.25">
      <c r="A70" s="38"/>
      <c r="B70" s="33"/>
      <c r="C70" s="192"/>
      <c r="D70" s="203"/>
      <c r="E70" s="190"/>
      <c r="F70" s="97"/>
      <c r="G70" s="97"/>
    </row>
    <row r="71" spans="1:7" x14ac:dyDescent="0.25">
      <c r="A71" s="38"/>
      <c r="B71" s="33"/>
      <c r="C71" s="192"/>
      <c r="D71" s="203"/>
      <c r="E71" s="190"/>
      <c r="F71" s="97"/>
      <c r="G71" s="97"/>
    </row>
    <row r="72" spans="1:7" x14ac:dyDescent="0.25">
      <c r="A72" s="38"/>
      <c r="B72" s="33"/>
      <c r="C72" s="192"/>
      <c r="D72" s="203"/>
      <c r="E72" s="190"/>
      <c r="F72" s="97"/>
      <c r="G72" s="97"/>
    </row>
    <row r="73" spans="1:7" x14ac:dyDescent="0.25">
      <c r="A73" s="38"/>
      <c r="B73" s="33"/>
      <c r="C73" s="192"/>
      <c r="D73" s="203"/>
      <c r="E73" s="190"/>
      <c r="F73" s="97"/>
      <c r="G73" s="97"/>
    </row>
    <row r="74" spans="1:7" x14ac:dyDescent="0.25">
      <c r="A74" s="38"/>
      <c r="B74" s="33"/>
      <c r="C74" s="192"/>
      <c r="D74" s="203"/>
      <c r="E74" s="190"/>
      <c r="F74" s="97"/>
      <c r="G74" s="97"/>
    </row>
    <row r="75" spans="1:7" x14ac:dyDescent="0.25">
      <c r="A75" s="32"/>
      <c r="B75" s="37"/>
      <c r="C75" s="188"/>
      <c r="D75" s="189"/>
      <c r="E75" s="190"/>
      <c r="F75" s="97"/>
      <c r="G75" s="97"/>
    </row>
    <row r="76" spans="1:7" x14ac:dyDescent="0.25">
      <c r="A76" s="39"/>
      <c r="B76" s="40"/>
      <c r="C76" s="41"/>
      <c r="D76" s="42"/>
      <c r="E76" s="190"/>
      <c r="F76" s="97"/>
      <c r="G76" s="97"/>
    </row>
    <row r="77" spans="1:7" x14ac:dyDescent="0.25">
      <c r="A77" s="32"/>
      <c r="B77" s="38"/>
      <c r="C77" s="188"/>
      <c r="D77" s="189"/>
      <c r="E77" s="190"/>
      <c r="F77" s="97"/>
      <c r="G77" s="97"/>
    </row>
    <row r="78" spans="1:7" x14ac:dyDescent="0.25">
      <c r="A78" s="39"/>
      <c r="B78" s="40"/>
      <c r="C78" s="41"/>
      <c r="D78" s="42"/>
      <c r="E78" s="190"/>
      <c r="F78" s="97"/>
      <c r="G78" s="97"/>
    </row>
    <row r="79" spans="1:7" x14ac:dyDescent="0.25">
      <c r="A79" s="32"/>
      <c r="B79" s="38"/>
      <c r="C79" s="188"/>
      <c r="D79" s="189"/>
      <c r="E79" s="190"/>
      <c r="F79" s="97"/>
      <c r="G79" s="97"/>
    </row>
    <row r="80" spans="1:7" x14ac:dyDescent="0.25">
      <c r="A80" s="39"/>
      <c r="B80" s="40"/>
      <c r="C80" s="41"/>
      <c r="D80" s="42"/>
      <c r="E80" s="190"/>
      <c r="F80" s="97"/>
      <c r="G80" s="97"/>
    </row>
    <row r="81" spans="1:7" x14ac:dyDescent="0.25">
      <c r="A81" s="32"/>
      <c r="B81" s="38"/>
      <c r="C81" s="188"/>
      <c r="D81" s="189"/>
      <c r="E81" s="190"/>
      <c r="F81" s="97"/>
      <c r="G81" s="97"/>
    </row>
    <row r="82" spans="1:7" x14ac:dyDescent="0.25">
      <c r="A82" s="39"/>
      <c r="B82" s="40"/>
      <c r="C82" s="41"/>
      <c r="D82" s="42"/>
      <c r="E82" s="190"/>
      <c r="F82" s="97"/>
      <c r="G82" s="97"/>
    </row>
    <row r="83" spans="1:7" x14ac:dyDescent="0.25">
      <c r="A83" s="44"/>
      <c r="B83" s="45"/>
      <c r="C83" s="195"/>
      <c r="D83" s="196"/>
      <c r="E83" s="117"/>
      <c r="F83" s="98"/>
      <c r="G83" s="98"/>
    </row>
    <row r="84" spans="1:7" x14ac:dyDescent="0.25">
      <c r="A84" s="46"/>
      <c r="B84" s="47"/>
      <c r="C84" s="199" t="s">
        <v>51</v>
      </c>
      <c r="D84" s="199"/>
      <c r="E84" s="200" t="s">
        <v>50</v>
      </c>
      <c r="F84" s="99">
        <f>SUM(F46:F70)</f>
        <v>286736.42</v>
      </c>
      <c r="G84" s="99"/>
    </row>
    <row r="85" spans="1:7" x14ac:dyDescent="0.25">
      <c r="A85" s="46"/>
      <c r="B85" s="47"/>
      <c r="C85" s="201"/>
      <c r="D85" s="202"/>
      <c r="E85" s="118"/>
      <c r="F85" s="100"/>
      <c r="G85" s="100"/>
    </row>
    <row r="86" spans="1:7" x14ac:dyDescent="0.25">
      <c r="A86" s="39"/>
      <c r="B86" s="40"/>
      <c r="C86" s="41"/>
      <c r="D86" s="42"/>
      <c r="E86" s="190"/>
      <c r="F86" s="97"/>
      <c r="G86" s="97"/>
    </row>
    <row r="87" spans="1:7" x14ac:dyDescent="0.25">
      <c r="A87" s="32"/>
      <c r="B87" s="36" t="s">
        <v>260</v>
      </c>
      <c r="C87" s="188"/>
      <c r="D87" s="189"/>
      <c r="E87" s="190"/>
      <c r="F87" s="97"/>
      <c r="G87" s="97"/>
    </row>
    <row r="88" spans="1:7" x14ac:dyDescent="0.25">
      <c r="A88" s="32"/>
      <c r="B88" s="38"/>
      <c r="C88" s="188"/>
      <c r="D88" s="189"/>
      <c r="E88" s="190"/>
      <c r="F88" s="97"/>
      <c r="G88" s="97"/>
    </row>
    <row r="89" spans="1:7" ht="27.6" x14ac:dyDescent="0.25">
      <c r="A89" s="39"/>
      <c r="B89" s="52" t="s">
        <v>261</v>
      </c>
      <c r="C89" s="41"/>
      <c r="D89" s="42"/>
      <c r="E89" s="190"/>
      <c r="F89" s="97"/>
      <c r="G89" s="97"/>
    </row>
    <row r="90" spans="1:7" x14ac:dyDescent="0.25">
      <c r="A90" s="32"/>
      <c r="B90" s="38"/>
      <c r="C90" s="188"/>
      <c r="D90" s="189"/>
      <c r="E90" s="190"/>
      <c r="F90" s="97"/>
      <c r="G90" s="97"/>
    </row>
    <row r="91" spans="1:7" ht="27.6" x14ac:dyDescent="0.25">
      <c r="A91" s="39" t="s">
        <v>3</v>
      </c>
      <c r="B91" s="40" t="s">
        <v>242</v>
      </c>
      <c r="C91" s="41">
        <v>12</v>
      </c>
      <c r="D91" s="42" t="s">
        <v>15</v>
      </c>
      <c r="E91" s="190">
        <v>3755.29</v>
      </c>
      <c r="F91" s="97">
        <f>C91*E91</f>
        <v>45063.479999999996</v>
      </c>
      <c r="G91" s="97"/>
    </row>
    <row r="92" spans="1:7" x14ac:dyDescent="0.25">
      <c r="A92" s="32"/>
      <c r="B92" s="38"/>
      <c r="C92" s="188"/>
      <c r="D92" s="189"/>
      <c r="E92" s="190"/>
      <c r="F92" s="97"/>
      <c r="G92" s="97"/>
    </row>
    <row r="93" spans="1:7" ht="27.6" x14ac:dyDescent="0.25">
      <c r="A93" s="39" t="s">
        <v>2</v>
      </c>
      <c r="B93" s="40" t="s">
        <v>243</v>
      </c>
      <c r="C93" s="41" t="s">
        <v>244</v>
      </c>
      <c r="D93" s="42" t="s">
        <v>15</v>
      </c>
      <c r="E93" s="190">
        <v>3792.98</v>
      </c>
      <c r="F93" s="97">
        <f>C93*E93</f>
        <v>30343.84</v>
      </c>
      <c r="G93" s="97"/>
    </row>
    <row r="94" spans="1:7" x14ac:dyDescent="0.25">
      <c r="A94" s="32"/>
      <c r="B94" s="38"/>
      <c r="C94" s="188"/>
      <c r="D94" s="189"/>
      <c r="E94" s="190"/>
      <c r="F94" s="97"/>
      <c r="G94" s="97"/>
    </row>
    <row r="95" spans="1:7" ht="27.6" x14ac:dyDescent="0.25">
      <c r="A95" s="39" t="s">
        <v>5</v>
      </c>
      <c r="B95" s="40" t="s">
        <v>245</v>
      </c>
      <c r="C95" s="41">
        <v>10</v>
      </c>
      <c r="D95" s="42" t="s">
        <v>15</v>
      </c>
      <c r="E95" s="190">
        <v>2806.51</v>
      </c>
      <c r="F95" s="97">
        <f>C95*E95</f>
        <v>28065.100000000002</v>
      </c>
      <c r="G95" s="97"/>
    </row>
    <row r="96" spans="1:7" x14ac:dyDescent="0.25">
      <c r="A96" s="32"/>
      <c r="B96" s="38"/>
      <c r="C96" s="188"/>
      <c r="D96" s="189"/>
      <c r="E96" s="190"/>
      <c r="F96" s="97"/>
      <c r="G96" s="97"/>
    </row>
    <row r="97" spans="1:7" ht="27.6" x14ac:dyDescent="0.25">
      <c r="A97" s="39" t="s">
        <v>8</v>
      </c>
      <c r="B97" s="40" t="s">
        <v>246</v>
      </c>
      <c r="C97" s="41">
        <v>0</v>
      </c>
      <c r="D97" s="42" t="s">
        <v>15</v>
      </c>
      <c r="E97" s="190">
        <v>2986.35</v>
      </c>
      <c r="F97" s="97">
        <f>C97*E97</f>
        <v>0</v>
      </c>
      <c r="G97" s="97"/>
    </row>
    <row r="98" spans="1:7" x14ac:dyDescent="0.25">
      <c r="A98" s="32"/>
      <c r="B98" s="38"/>
      <c r="C98" s="188"/>
      <c r="D98" s="189"/>
      <c r="E98" s="190"/>
      <c r="F98" s="97"/>
      <c r="G98" s="97"/>
    </row>
    <row r="99" spans="1:7" ht="27.6" x14ac:dyDescent="0.25">
      <c r="A99" s="39" t="s">
        <v>9</v>
      </c>
      <c r="B99" s="40" t="s">
        <v>247</v>
      </c>
      <c r="C99" s="41" t="s">
        <v>104</v>
      </c>
      <c r="D99" s="42" t="s">
        <v>15</v>
      </c>
      <c r="E99" s="190">
        <v>4838.6899999999996</v>
      </c>
      <c r="F99" s="97">
        <f>C99*E99</f>
        <v>4838.6899999999996</v>
      </c>
      <c r="G99" s="97"/>
    </row>
    <row r="100" spans="1:7" x14ac:dyDescent="0.25">
      <c r="A100" s="32"/>
      <c r="B100" s="38"/>
      <c r="C100" s="188"/>
      <c r="D100" s="189"/>
      <c r="E100" s="190"/>
      <c r="F100" s="97"/>
      <c r="G100" s="97"/>
    </row>
    <row r="101" spans="1:7" ht="27.6" x14ac:dyDescent="0.25">
      <c r="A101" s="39" t="s">
        <v>10</v>
      </c>
      <c r="B101" s="40" t="s">
        <v>248</v>
      </c>
      <c r="C101" s="41" t="s">
        <v>66</v>
      </c>
      <c r="D101" s="42" t="s">
        <v>15</v>
      </c>
      <c r="E101" s="190">
        <v>2553.42</v>
      </c>
      <c r="F101" s="97">
        <f>C101*E101</f>
        <v>10213.68</v>
      </c>
      <c r="G101" s="97"/>
    </row>
    <row r="102" spans="1:7" x14ac:dyDescent="0.25">
      <c r="A102" s="32"/>
      <c r="B102" s="38"/>
      <c r="C102" s="188"/>
      <c r="D102" s="189"/>
      <c r="E102" s="190"/>
      <c r="F102" s="97"/>
      <c r="G102" s="97"/>
    </row>
    <row r="103" spans="1:7" x14ac:dyDescent="0.25">
      <c r="A103" s="39" t="s">
        <v>12</v>
      </c>
      <c r="B103" s="40" t="s">
        <v>249</v>
      </c>
      <c r="C103" s="41" t="s">
        <v>104</v>
      </c>
      <c r="D103" s="42" t="s">
        <v>15</v>
      </c>
      <c r="E103" s="190">
        <v>900.32</v>
      </c>
      <c r="F103" s="97">
        <f>C103*E103</f>
        <v>900.32</v>
      </c>
      <c r="G103" s="97"/>
    </row>
    <row r="104" spans="1:7" x14ac:dyDescent="0.25">
      <c r="A104" s="32"/>
      <c r="B104" s="38"/>
      <c r="C104" s="188"/>
      <c r="D104" s="189"/>
      <c r="E104" s="190"/>
      <c r="F104" s="97"/>
      <c r="G104" s="97"/>
    </row>
    <row r="105" spans="1:7" x14ac:dyDescent="0.25">
      <c r="A105" s="39" t="s">
        <v>13</v>
      </c>
      <c r="B105" s="40" t="s">
        <v>250</v>
      </c>
      <c r="C105" s="41">
        <v>5</v>
      </c>
      <c r="D105" s="42" t="s">
        <v>15</v>
      </c>
      <c r="E105" s="190">
        <v>900.32</v>
      </c>
      <c r="F105" s="97">
        <f>C105*E105</f>
        <v>4501.6000000000004</v>
      </c>
      <c r="G105" s="97"/>
    </row>
    <row r="106" spans="1:7" x14ac:dyDescent="0.25">
      <c r="A106" s="32"/>
      <c r="B106" s="38"/>
      <c r="C106" s="188"/>
      <c r="D106" s="189"/>
      <c r="E106" s="190"/>
      <c r="F106" s="97"/>
      <c r="G106" s="97"/>
    </row>
    <row r="107" spans="1:7" x14ac:dyDescent="0.25">
      <c r="A107" s="39" t="s">
        <v>16</v>
      </c>
      <c r="B107" s="40" t="s">
        <v>251</v>
      </c>
      <c r="C107" s="41">
        <v>6</v>
      </c>
      <c r="D107" s="42" t="s">
        <v>15</v>
      </c>
      <c r="E107" s="190">
        <v>1468.95</v>
      </c>
      <c r="F107" s="97">
        <f>C107*E107</f>
        <v>8813.7000000000007</v>
      </c>
      <c r="G107" s="97"/>
    </row>
    <row r="108" spans="1:7" x14ac:dyDescent="0.25">
      <c r="A108" s="32"/>
      <c r="B108" s="38"/>
      <c r="C108" s="188"/>
      <c r="D108" s="189"/>
      <c r="E108" s="190"/>
      <c r="F108" s="97"/>
      <c r="G108" s="97"/>
    </row>
    <row r="109" spans="1:7" x14ac:dyDescent="0.25">
      <c r="A109" s="39" t="s">
        <v>17</v>
      </c>
      <c r="B109" s="40" t="s">
        <v>252</v>
      </c>
      <c r="C109" s="41">
        <v>3</v>
      </c>
      <c r="D109" s="42" t="s">
        <v>15</v>
      </c>
      <c r="E109" s="190">
        <v>751.7</v>
      </c>
      <c r="F109" s="97">
        <f>C109*E109</f>
        <v>2255.1000000000004</v>
      </c>
      <c r="G109" s="97"/>
    </row>
    <row r="110" spans="1:7" x14ac:dyDescent="0.25">
      <c r="A110" s="32"/>
      <c r="B110" s="38"/>
      <c r="C110" s="188"/>
      <c r="D110" s="189"/>
      <c r="E110" s="190"/>
      <c r="F110" s="97"/>
      <c r="G110" s="97"/>
    </row>
    <row r="111" spans="1:7" x14ac:dyDescent="0.25">
      <c r="A111" s="39" t="s">
        <v>18</v>
      </c>
      <c r="B111" s="40" t="s">
        <v>253</v>
      </c>
      <c r="C111" s="41" t="s">
        <v>104</v>
      </c>
      <c r="D111" s="42" t="s">
        <v>15</v>
      </c>
      <c r="E111" s="190">
        <v>768.94</v>
      </c>
      <c r="F111" s="97">
        <f>C111*E111</f>
        <v>768.94</v>
      </c>
      <c r="G111" s="97"/>
    </row>
    <row r="112" spans="1:7" x14ac:dyDescent="0.25">
      <c r="A112" s="32"/>
      <c r="B112" s="38"/>
      <c r="C112" s="188"/>
      <c r="D112" s="189"/>
      <c r="E112" s="190"/>
      <c r="F112" s="97"/>
      <c r="G112" s="97"/>
    </row>
    <row r="113" spans="1:7" x14ac:dyDescent="0.25">
      <c r="A113" s="39"/>
      <c r="B113" s="40"/>
      <c r="C113" s="41"/>
      <c r="D113" s="42"/>
      <c r="E113" s="190"/>
      <c r="F113" s="97"/>
      <c r="G113" s="97"/>
    </row>
    <row r="114" spans="1:7" x14ac:dyDescent="0.25">
      <c r="A114" s="32"/>
      <c r="B114" s="38"/>
      <c r="C114" s="188"/>
      <c r="D114" s="189"/>
      <c r="E114" s="190"/>
      <c r="F114" s="97"/>
      <c r="G114" s="97"/>
    </row>
    <row r="115" spans="1:7" x14ac:dyDescent="0.25">
      <c r="A115" s="39"/>
      <c r="B115" s="43"/>
      <c r="C115" s="41"/>
      <c r="D115" s="42"/>
      <c r="E115" s="190"/>
      <c r="F115" s="97"/>
      <c r="G115" s="97"/>
    </row>
    <row r="116" spans="1:7" x14ac:dyDescent="0.25">
      <c r="A116" s="32"/>
      <c r="B116" s="38"/>
      <c r="C116" s="188"/>
      <c r="D116" s="189"/>
      <c r="E116" s="190"/>
      <c r="F116" s="97"/>
      <c r="G116" s="97"/>
    </row>
    <row r="117" spans="1:7" x14ac:dyDescent="0.25">
      <c r="A117" s="39"/>
      <c r="B117" s="40"/>
      <c r="C117" s="41"/>
      <c r="D117" s="42"/>
      <c r="E117" s="190"/>
      <c r="F117" s="97"/>
      <c r="G117" s="97"/>
    </row>
    <row r="118" spans="1:7" x14ac:dyDescent="0.25">
      <c r="A118" s="39"/>
      <c r="B118" s="40"/>
      <c r="C118" s="41"/>
      <c r="D118" s="42"/>
      <c r="E118" s="190"/>
      <c r="F118" s="97"/>
      <c r="G118" s="97"/>
    </row>
    <row r="119" spans="1:7" x14ac:dyDescent="0.25">
      <c r="A119" s="32"/>
      <c r="B119" s="38"/>
      <c r="C119" s="188"/>
      <c r="D119" s="189"/>
      <c r="E119" s="190"/>
      <c r="F119" s="97"/>
      <c r="G119" s="97"/>
    </row>
    <row r="120" spans="1:7" x14ac:dyDescent="0.25">
      <c r="A120" s="32"/>
      <c r="B120" s="38"/>
      <c r="C120" s="188"/>
      <c r="D120" s="189"/>
      <c r="E120" s="190"/>
      <c r="F120" s="97"/>
      <c r="G120" s="97"/>
    </row>
    <row r="121" spans="1:7" x14ac:dyDescent="0.25">
      <c r="A121" s="39"/>
      <c r="B121" s="40"/>
      <c r="C121" s="41"/>
      <c r="D121" s="42"/>
      <c r="E121" s="190"/>
      <c r="F121" s="97"/>
      <c r="G121" s="97"/>
    </row>
    <row r="122" spans="1:7" x14ac:dyDescent="0.25">
      <c r="A122" s="32"/>
      <c r="B122" s="38"/>
      <c r="C122" s="188"/>
      <c r="D122" s="189"/>
      <c r="E122" s="190"/>
      <c r="F122" s="97"/>
      <c r="G122" s="97"/>
    </row>
    <row r="123" spans="1:7" x14ac:dyDescent="0.25">
      <c r="A123" s="39"/>
      <c r="B123" s="40"/>
      <c r="C123" s="41"/>
      <c r="D123" s="42"/>
      <c r="E123" s="190"/>
      <c r="F123" s="97"/>
      <c r="G123" s="97"/>
    </row>
    <row r="124" spans="1:7" x14ac:dyDescent="0.25">
      <c r="A124" s="32"/>
      <c r="B124" s="38"/>
      <c r="C124" s="188"/>
      <c r="D124" s="189"/>
      <c r="E124" s="190"/>
      <c r="F124" s="97"/>
      <c r="G124" s="97"/>
    </row>
    <row r="125" spans="1:7" x14ac:dyDescent="0.25">
      <c r="A125" s="39"/>
      <c r="B125" s="43"/>
      <c r="C125" s="41"/>
      <c r="D125" s="42"/>
      <c r="E125" s="190"/>
      <c r="F125" s="97"/>
      <c r="G125" s="97"/>
    </row>
    <row r="126" spans="1:7" x14ac:dyDescent="0.25">
      <c r="A126" s="32"/>
      <c r="B126" s="38"/>
      <c r="C126" s="188"/>
      <c r="D126" s="189"/>
      <c r="E126" s="190"/>
      <c r="F126" s="97"/>
      <c r="G126" s="97"/>
    </row>
    <row r="127" spans="1:7" x14ac:dyDescent="0.25">
      <c r="A127" s="44"/>
      <c r="B127" s="45"/>
      <c r="C127" s="195"/>
      <c r="D127" s="196"/>
      <c r="E127" s="117"/>
      <c r="F127" s="98"/>
      <c r="G127" s="98"/>
    </row>
    <row r="128" spans="1:7" x14ac:dyDescent="0.25">
      <c r="A128" s="46"/>
      <c r="B128" s="47"/>
      <c r="C128" s="199" t="s">
        <v>51</v>
      </c>
      <c r="D128" s="199"/>
      <c r="E128" s="200" t="s">
        <v>50</v>
      </c>
      <c r="F128" s="99">
        <f>SUM(F89:F115)</f>
        <v>135764.45000000004</v>
      </c>
      <c r="G128" s="99"/>
    </row>
    <row r="129" spans="1:7" x14ac:dyDescent="0.25">
      <c r="A129" s="46"/>
      <c r="B129" s="47"/>
      <c r="C129" s="201"/>
      <c r="D129" s="202"/>
      <c r="E129" s="118"/>
      <c r="F129" s="100"/>
      <c r="G129" s="100"/>
    </row>
    <row r="130" spans="1:7" x14ac:dyDescent="0.25">
      <c r="A130" s="38"/>
      <c r="B130" s="33"/>
      <c r="C130" s="192"/>
      <c r="D130" s="203"/>
      <c r="E130" s="190"/>
      <c r="F130" s="97"/>
      <c r="G130" s="97"/>
    </row>
    <row r="131" spans="1:7" x14ac:dyDescent="0.25">
      <c r="A131" s="32"/>
      <c r="B131" s="36" t="s">
        <v>20</v>
      </c>
      <c r="C131" s="188"/>
      <c r="D131" s="189"/>
      <c r="E131" s="190"/>
      <c r="F131" s="97"/>
      <c r="G131" s="97"/>
    </row>
    <row r="132" spans="1:7" x14ac:dyDescent="0.25">
      <c r="A132" s="32"/>
      <c r="B132" s="38"/>
      <c r="C132" s="188"/>
      <c r="D132" s="189"/>
      <c r="E132" s="190"/>
      <c r="F132" s="97"/>
      <c r="G132" s="97"/>
    </row>
    <row r="133" spans="1:7" ht="69" x14ac:dyDescent="0.25">
      <c r="A133" s="39"/>
      <c r="B133" s="40" t="s">
        <v>262</v>
      </c>
      <c r="C133" s="41"/>
      <c r="D133" s="42" t="s">
        <v>6</v>
      </c>
      <c r="E133" s="190"/>
      <c r="F133" s="97">
        <f>C133*E133</f>
        <v>0</v>
      </c>
      <c r="G133" s="97"/>
    </row>
    <row r="134" spans="1:7" x14ac:dyDescent="0.25">
      <c r="A134" s="54"/>
      <c r="B134" s="60"/>
      <c r="C134" s="205"/>
      <c r="D134" s="208"/>
      <c r="E134" s="190"/>
      <c r="F134" s="97"/>
      <c r="G134" s="97"/>
    </row>
    <row r="135" spans="1:7" ht="14.4" x14ac:dyDescent="0.25">
      <c r="A135" s="103"/>
      <c r="B135" s="104" t="s">
        <v>1191</v>
      </c>
      <c r="C135" s="221"/>
      <c r="D135" s="222"/>
      <c r="E135" s="190"/>
      <c r="F135" s="97"/>
      <c r="G135" s="97"/>
    </row>
    <row r="136" spans="1:7" x14ac:dyDescent="0.25">
      <c r="A136" s="103"/>
      <c r="B136" s="105"/>
      <c r="C136" s="221"/>
      <c r="D136" s="222"/>
      <c r="E136" s="190"/>
      <c r="F136" s="97"/>
      <c r="G136" s="97"/>
    </row>
    <row r="137" spans="1:7" ht="55.2" x14ac:dyDescent="0.25">
      <c r="A137" s="106" t="s">
        <v>3</v>
      </c>
      <c r="B137" s="107" t="s">
        <v>1192</v>
      </c>
      <c r="C137" s="221">
        <v>1</v>
      </c>
      <c r="D137" s="222" t="s">
        <v>1189</v>
      </c>
      <c r="E137" s="190">
        <v>0</v>
      </c>
      <c r="F137" s="128" t="s">
        <v>1206</v>
      </c>
      <c r="G137" s="128" t="s">
        <v>1216</v>
      </c>
    </row>
    <row r="138" spans="1:7" x14ac:dyDescent="0.25">
      <c r="A138" s="103"/>
      <c r="B138" s="105"/>
      <c r="C138" s="221"/>
      <c r="D138" s="222"/>
      <c r="E138" s="190"/>
      <c r="F138" s="97"/>
      <c r="G138" s="97"/>
    </row>
    <row r="139" spans="1:7" x14ac:dyDescent="0.25">
      <c r="A139" s="103"/>
      <c r="B139" s="105"/>
      <c r="C139" s="221"/>
      <c r="D139" s="222"/>
      <c r="E139" s="190"/>
      <c r="F139" s="97"/>
      <c r="G139" s="97"/>
    </row>
    <row r="140" spans="1:7" ht="14.4" x14ac:dyDescent="0.25">
      <c r="A140" s="103"/>
      <c r="B140" s="104" t="s">
        <v>1187</v>
      </c>
      <c r="C140" s="221"/>
      <c r="D140" s="222"/>
      <c r="E140" s="190"/>
      <c r="F140" s="97"/>
      <c r="G140" s="97"/>
    </row>
    <row r="141" spans="1:7" x14ac:dyDescent="0.25">
      <c r="A141" s="103"/>
      <c r="B141" s="105"/>
      <c r="C141" s="221"/>
      <c r="D141" s="222"/>
      <c r="E141" s="190"/>
      <c r="F141" s="97"/>
      <c r="G141" s="97"/>
    </row>
    <row r="142" spans="1:7" ht="27.6" x14ac:dyDescent="0.25">
      <c r="A142" s="155" t="s">
        <v>2</v>
      </c>
      <c r="B142" s="156" t="s">
        <v>1188</v>
      </c>
      <c r="C142" s="223">
        <v>1</v>
      </c>
      <c r="D142" s="224" t="s">
        <v>1189</v>
      </c>
      <c r="E142" s="216"/>
      <c r="F142" s="147">
        <f>C142*E142</f>
        <v>0</v>
      </c>
      <c r="G142" s="147"/>
    </row>
    <row r="143" spans="1:7" x14ac:dyDescent="0.25">
      <c r="A143" s="53"/>
      <c r="B143" s="61"/>
      <c r="C143" s="206"/>
      <c r="D143" s="207"/>
      <c r="E143" s="190"/>
      <c r="F143" s="97"/>
      <c r="G143" s="97"/>
    </row>
    <row r="144" spans="1:7" x14ac:dyDescent="0.25">
      <c r="A144" s="53"/>
      <c r="B144" s="54"/>
      <c r="C144" s="206"/>
      <c r="D144" s="207"/>
      <c r="E144" s="190"/>
      <c r="F144" s="97"/>
      <c r="G144" s="97"/>
    </row>
    <row r="145" spans="1:7" x14ac:dyDescent="0.25">
      <c r="A145" s="55"/>
      <c r="B145" s="56"/>
      <c r="C145" s="57"/>
      <c r="D145" s="58"/>
      <c r="E145" s="190"/>
      <c r="F145" s="97"/>
      <c r="G145" s="97"/>
    </row>
    <row r="146" spans="1:7" x14ac:dyDescent="0.25">
      <c r="A146" s="53"/>
      <c r="B146" s="54"/>
      <c r="C146" s="206"/>
      <c r="D146" s="207"/>
      <c r="E146" s="190"/>
      <c r="F146" s="97"/>
      <c r="G146" s="97"/>
    </row>
    <row r="147" spans="1:7" x14ac:dyDescent="0.25">
      <c r="A147" s="55"/>
      <c r="B147" s="59"/>
      <c r="C147" s="57"/>
      <c r="D147" s="58"/>
      <c r="E147" s="190"/>
      <c r="F147" s="97"/>
      <c r="G147" s="97"/>
    </row>
    <row r="148" spans="1:7" x14ac:dyDescent="0.25">
      <c r="A148" s="53"/>
      <c r="B148" s="54"/>
      <c r="C148" s="206"/>
      <c r="D148" s="207"/>
      <c r="E148" s="190"/>
      <c r="F148" s="97"/>
      <c r="G148" s="97"/>
    </row>
    <row r="149" spans="1:7" x14ac:dyDescent="0.25">
      <c r="A149" s="55"/>
      <c r="B149" s="56"/>
      <c r="C149" s="57"/>
      <c r="D149" s="58"/>
      <c r="E149" s="190"/>
      <c r="F149" s="97"/>
      <c r="G149" s="97"/>
    </row>
    <row r="150" spans="1:7" x14ac:dyDescent="0.25">
      <c r="A150" s="53"/>
      <c r="B150" s="54"/>
      <c r="C150" s="206"/>
      <c r="D150" s="207"/>
      <c r="E150" s="190"/>
      <c r="F150" s="97"/>
      <c r="G150" s="97"/>
    </row>
    <row r="151" spans="1:7" x14ac:dyDescent="0.25">
      <c r="A151" s="55"/>
      <c r="B151" s="59"/>
      <c r="C151" s="57"/>
      <c r="D151" s="58"/>
      <c r="E151" s="190"/>
      <c r="F151" s="97"/>
      <c r="G151" s="97"/>
    </row>
    <row r="152" spans="1:7" x14ac:dyDescent="0.25">
      <c r="A152" s="53"/>
      <c r="B152" s="54"/>
      <c r="C152" s="206"/>
      <c r="D152" s="207"/>
      <c r="E152" s="190"/>
      <c r="F152" s="97"/>
      <c r="G152" s="97"/>
    </row>
    <row r="153" spans="1:7" x14ac:dyDescent="0.25">
      <c r="A153" s="55"/>
      <c r="B153" s="56"/>
      <c r="C153" s="57"/>
      <c r="D153" s="58"/>
      <c r="E153" s="190"/>
      <c r="F153" s="97"/>
      <c r="G153" s="97"/>
    </row>
    <row r="154" spans="1:7" x14ac:dyDescent="0.25">
      <c r="A154" s="53"/>
      <c r="B154" s="54"/>
      <c r="C154" s="206"/>
      <c r="D154" s="207"/>
      <c r="E154" s="190"/>
      <c r="F154" s="97"/>
      <c r="G154" s="97"/>
    </row>
    <row r="155" spans="1:7" x14ac:dyDescent="0.25">
      <c r="A155" s="55"/>
      <c r="B155" s="59"/>
      <c r="C155" s="57"/>
      <c r="D155" s="58"/>
      <c r="E155" s="190"/>
      <c r="F155" s="97"/>
      <c r="G155" s="97"/>
    </row>
    <row r="156" spans="1:7" x14ac:dyDescent="0.25">
      <c r="A156" s="53"/>
      <c r="B156" s="54"/>
      <c r="C156" s="206"/>
      <c r="D156" s="207"/>
      <c r="E156" s="190"/>
      <c r="F156" s="97"/>
      <c r="G156" s="97"/>
    </row>
    <row r="157" spans="1:7" x14ac:dyDescent="0.25">
      <c r="A157" s="55"/>
      <c r="B157" s="59"/>
      <c r="C157" s="57"/>
      <c r="D157" s="58"/>
      <c r="E157" s="190"/>
      <c r="F157" s="97"/>
      <c r="G157" s="97"/>
    </row>
    <row r="158" spans="1:7" x14ac:dyDescent="0.25">
      <c r="A158" s="53"/>
      <c r="B158" s="54"/>
      <c r="C158" s="206"/>
      <c r="D158" s="207"/>
      <c r="E158" s="190"/>
      <c r="F158" s="97"/>
      <c r="G158" s="97"/>
    </row>
    <row r="159" spans="1:7" x14ac:dyDescent="0.25">
      <c r="A159" s="55"/>
      <c r="B159" s="59"/>
      <c r="C159" s="57"/>
      <c r="D159" s="58"/>
      <c r="E159" s="190"/>
      <c r="F159" s="97"/>
      <c r="G159" s="97"/>
    </row>
    <row r="160" spans="1:7" x14ac:dyDescent="0.25">
      <c r="A160" s="53"/>
      <c r="B160" s="54"/>
      <c r="C160" s="206"/>
      <c r="D160" s="207"/>
      <c r="E160" s="190"/>
      <c r="F160" s="97"/>
      <c r="G160" s="97"/>
    </row>
    <row r="161" spans="1:7" x14ac:dyDescent="0.25">
      <c r="A161" s="53"/>
      <c r="B161" s="54"/>
      <c r="C161" s="206"/>
      <c r="D161" s="207"/>
      <c r="E161" s="190"/>
      <c r="F161" s="97"/>
      <c r="G161" s="97"/>
    </row>
    <row r="162" spans="1:7" x14ac:dyDescent="0.25">
      <c r="A162" s="55"/>
      <c r="B162" s="59"/>
      <c r="C162" s="57"/>
      <c r="D162" s="58"/>
      <c r="E162" s="190"/>
      <c r="F162" s="97"/>
      <c r="G162" s="97"/>
    </row>
    <row r="163" spans="1:7" x14ac:dyDescent="0.25">
      <c r="A163" s="55"/>
      <c r="B163" s="59"/>
      <c r="C163" s="57"/>
      <c r="D163" s="58"/>
      <c r="E163" s="190"/>
      <c r="F163" s="97"/>
      <c r="G163" s="97"/>
    </row>
    <row r="164" spans="1:7" x14ac:dyDescent="0.25">
      <c r="A164" s="54"/>
      <c r="B164" s="60"/>
      <c r="C164" s="205"/>
      <c r="D164" s="208"/>
      <c r="E164" s="190"/>
      <c r="F164" s="97"/>
      <c r="G164" s="97"/>
    </row>
    <row r="165" spans="1:7" x14ac:dyDescent="0.25">
      <c r="A165" s="54"/>
      <c r="B165" s="60"/>
      <c r="C165" s="205"/>
      <c r="D165" s="208"/>
      <c r="E165" s="190"/>
      <c r="F165" s="97"/>
      <c r="G165" s="97"/>
    </row>
    <row r="166" spans="1:7" x14ac:dyDescent="0.25">
      <c r="A166" s="54"/>
      <c r="B166" s="60"/>
      <c r="C166" s="205"/>
      <c r="D166" s="208"/>
      <c r="E166" s="190"/>
      <c r="F166" s="97"/>
      <c r="G166" s="97"/>
    </row>
    <row r="167" spans="1:7" x14ac:dyDescent="0.25">
      <c r="A167" s="54"/>
      <c r="B167" s="60"/>
      <c r="C167" s="205"/>
      <c r="D167" s="208"/>
      <c r="E167" s="190"/>
      <c r="F167" s="97"/>
      <c r="G167" s="97"/>
    </row>
    <row r="168" spans="1:7" x14ac:dyDescent="0.25">
      <c r="A168" s="54"/>
      <c r="B168" s="60"/>
      <c r="C168" s="205"/>
      <c r="D168" s="208"/>
      <c r="E168" s="190"/>
      <c r="F168" s="97"/>
      <c r="G168" s="97"/>
    </row>
    <row r="169" spans="1:7" ht="26.4" x14ac:dyDescent="0.25">
      <c r="A169" s="54"/>
      <c r="B169" s="134" t="s">
        <v>1212</v>
      </c>
      <c r="C169" s="205"/>
      <c r="D169" s="208"/>
      <c r="E169" s="190"/>
      <c r="F169" s="97"/>
      <c r="G169" s="97"/>
    </row>
    <row r="170" spans="1:7" x14ac:dyDescent="0.25">
      <c r="A170" s="44"/>
      <c r="B170" s="45"/>
      <c r="C170" s="195"/>
      <c r="D170" s="196"/>
      <c r="E170" s="117"/>
      <c r="F170" s="98"/>
      <c r="G170" s="98"/>
    </row>
    <row r="171" spans="1:7" x14ac:dyDescent="0.25">
      <c r="A171" s="46"/>
      <c r="B171" s="47"/>
      <c r="C171" s="199" t="s">
        <v>51</v>
      </c>
      <c r="D171" s="199"/>
      <c r="E171" s="200" t="s">
        <v>50</v>
      </c>
      <c r="F171" s="99">
        <f>SUM(F131:F153)</f>
        <v>0</v>
      </c>
      <c r="G171" s="99"/>
    </row>
    <row r="172" spans="1:7" x14ac:dyDescent="0.25">
      <c r="A172" s="46"/>
      <c r="B172" s="47"/>
      <c r="C172" s="201"/>
      <c r="D172" s="202"/>
      <c r="E172" s="118"/>
      <c r="F172" s="100"/>
      <c r="G172" s="100"/>
    </row>
    <row r="173" spans="1:7" x14ac:dyDescent="0.25">
      <c r="A173" s="38"/>
      <c r="B173" s="33"/>
      <c r="C173" s="192"/>
      <c r="D173" s="203"/>
      <c r="E173" s="190"/>
      <c r="F173" s="97"/>
      <c r="G173" s="97"/>
    </row>
    <row r="174" spans="1:7" x14ac:dyDescent="0.25">
      <c r="A174" s="38"/>
      <c r="B174" s="48" t="s">
        <v>52</v>
      </c>
      <c r="C174" s="192"/>
      <c r="D174" s="203"/>
      <c r="E174" s="190"/>
      <c r="F174" s="97"/>
      <c r="G174" s="97"/>
    </row>
    <row r="175" spans="1:7" x14ac:dyDescent="0.25">
      <c r="A175" s="38"/>
      <c r="B175" s="40"/>
      <c r="C175" s="192"/>
      <c r="D175" s="203"/>
      <c r="E175" s="190"/>
      <c r="F175" s="97"/>
      <c r="G175" s="97"/>
    </row>
    <row r="176" spans="1:7" x14ac:dyDescent="0.25">
      <c r="A176" s="32"/>
      <c r="B176" s="49" t="s">
        <v>263</v>
      </c>
      <c r="C176" s="188"/>
      <c r="D176" s="189"/>
      <c r="E176" s="190"/>
      <c r="F176" s="97">
        <f>F41</f>
        <v>126671.76000000001</v>
      </c>
      <c r="G176" s="97"/>
    </row>
    <row r="177" spans="1:7" x14ac:dyDescent="0.25">
      <c r="A177" s="32"/>
      <c r="B177" s="40"/>
      <c r="C177" s="188"/>
      <c r="D177" s="189"/>
      <c r="E177" s="190"/>
      <c r="F177" s="97"/>
      <c r="G177" s="97"/>
    </row>
    <row r="178" spans="1:7" x14ac:dyDescent="0.25">
      <c r="A178" s="39"/>
      <c r="B178" s="49" t="s">
        <v>264</v>
      </c>
      <c r="C178" s="41"/>
      <c r="D178" s="42"/>
      <c r="E178" s="190"/>
      <c r="F178" s="97">
        <f>F84</f>
        <v>286736.42</v>
      </c>
      <c r="G178" s="97"/>
    </row>
    <row r="179" spans="1:7" x14ac:dyDescent="0.25">
      <c r="A179" s="32"/>
      <c r="B179" s="38"/>
      <c r="C179" s="188"/>
      <c r="D179" s="189"/>
      <c r="E179" s="190"/>
      <c r="F179" s="97"/>
      <c r="G179" s="97"/>
    </row>
    <row r="180" spans="1:7" x14ac:dyDescent="0.25">
      <c r="A180" s="39"/>
      <c r="B180" s="49" t="s">
        <v>265</v>
      </c>
      <c r="C180" s="41"/>
      <c r="D180" s="42"/>
      <c r="E180" s="190"/>
      <c r="F180" s="97">
        <f>F128</f>
        <v>135764.45000000004</v>
      </c>
      <c r="G180" s="97"/>
    </row>
    <row r="181" spans="1:7" x14ac:dyDescent="0.25">
      <c r="A181" s="32"/>
      <c r="B181" s="40"/>
      <c r="C181" s="188"/>
      <c r="D181" s="189"/>
      <c r="E181" s="190"/>
      <c r="F181" s="97"/>
      <c r="G181" s="97"/>
    </row>
    <row r="182" spans="1:7" x14ac:dyDescent="0.25">
      <c r="A182" s="39"/>
      <c r="B182" s="49" t="s">
        <v>266</v>
      </c>
      <c r="C182" s="41"/>
      <c r="D182" s="42"/>
      <c r="E182" s="190"/>
      <c r="F182" s="97">
        <f>F171</f>
        <v>0</v>
      </c>
      <c r="G182" s="97"/>
    </row>
    <row r="183" spans="1:7" x14ac:dyDescent="0.25">
      <c r="A183" s="32"/>
      <c r="B183" s="38"/>
      <c r="C183" s="188"/>
      <c r="D183" s="189"/>
      <c r="E183" s="190"/>
      <c r="F183" s="97"/>
      <c r="G183" s="97"/>
    </row>
    <row r="184" spans="1:7" x14ac:dyDescent="0.25">
      <c r="A184" s="39"/>
      <c r="B184" s="49"/>
      <c r="C184" s="41"/>
      <c r="D184" s="42"/>
      <c r="E184" s="190"/>
      <c r="F184" s="97"/>
      <c r="G184" s="97"/>
    </row>
    <row r="185" spans="1:7" x14ac:dyDescent="0.25">
      <c r="A185" s="32"/>
      <c r="B185" s="40"/>
      <c r="C185" s="188"/>
      <c r="D185" s="189"/>
      <c r="E185" s="190"/>
      <c r="F185" s="97"/>
      <c r="G185" s="97"/>
    </row>
    <row r="186" spans="1:7" x14ac:dyDescent="0.25">
      <c r="A186" s="39"/>
      <c r="B186" s="49"/>
      <c r="C186" s="41"/>
      <c r="D186" s="42"/>
      <c r="E186" s="190"/>
      <c r="F186" s="97"/>
      <c r="G186" s="97"/>
    </row>
    <row r="187" spans="1:7" x14ac:dyDescent="0.25">
      <c r="A187" s="32"/>
      <c r="B187" s="38"/>
      <c r="C187" s="188"/>
      <c r="D187" s="189"/>
      <c r="E187" s="190"/>
      <c r="F187" s="97"/>
      <c r="G187" s="97"/>
    </row>
    <row r="188" spans="1:7" x14ac:dyDescent="0.25">
      <c r="A188" s="39"/>
      <c r="B188" s="43"/>
      <c r="C188" s="41"/>
      <c r="D188" s="42"/>
      <c r="E188" s="190"/>
      <c r="F188" s="97"/>
      <c r="G188" s="97"/>
    </row>
    <row r="189" spans="1:7" x14ac:dyDescent="0.25">
      <c r="A189" s="32"/>
      <c r="B189" s="38"/>
      <c r="C189" s="188"/>
      <c r="D189" s="189"/>
      <c r="E189" s="190"/>
      <c r="F189" s="97"/>
      <c r="G189" s="97"/>
    </row>
    <row r="190" spans="1:7" x14ac:dyDescent="0.25">
      <c r="A190" s="39"/>
      <c r="B190" s="40"/>
      <c r="C190" s="41"/>
      <c r="D190" s="42"/>
      <c r="E190" s="190"/>
      <c r="F190" s="97"/>
      <c r="G190" s="97"/>
    </row>
    <row r="191" spans="1:7" x14ac:dyDescent="0.25">
      <c r="A191" s="32"/>
      <c r="B191" s="38"/>
      <c r="C191" s="188"/>
      <c r="D191" s="189"/>
      <c r="E191" s="190"/>
      <c r="F191" s="97"/>
      <c r="G191" s="97"/>
    </row>
    <row r="192" spans="1:7" x14ac:dyDescent="0.25">
      <c r="A192" s="39"/>
      <c r="B192" s="43"/>
      <c r="C192" s="41"/>
      <c r="D192" s="42"/>
      <c r="E192" s="190"/>
      <c r="F192" s="97"/>
      <c r="G192" s="97"/>
    </row>
    <row r="193" spans="1:7" x14ac:dyDescent="0.25">
      <c r="A193" s="32"/>
      <c r="B193" s="38"/>
      <c r="C193" s="188"/>
      <c r="D193" s="189"/>
      <c r="E193" s="190"/>
      <c r="F193" s="97"/>
      <c r="G193" s="97"/>
    </row>
    <row r="194" spans="1:7" x14ac:dyDescent="0.25">
      <c r="A194" s="39"/>
      <c r="B194" s="40"/>
      <c r="C194" s="41"/>
      <c r="D194" s="42"/>
      <c r="E194" s="190"/>
      <c r="F194" s="97"/>
      <c r="G194" s="97"/>
    </row>
    <row r="195" spans="1:7" x14ac:dyDescent="0.25">
      <c r="A195" s="32"/>
      <c r="B195" s="38"/>
      <c r="C195" s="188"/>
      <c r="D195" s="189"/>
      <c r="E195" s="190"/>
      <c r="F195" s="97"/>
      <c r="G195" s="97"/>
    </row>
    <row r="196" spans="1:7" x14ac:dyDescent="0.25">
      <c r="A196" s="39"/>
      <c r="B196" s="43"/>
      <c r="C196" s="41"/>
      <c r="D196" s="42"/>
      <c r="E196" s="190"/>
      <c r="F196" s="97"/>
      <c r="G196" s="97"/>
    </row>
    <row r="197" spans="1:7" x14ac:dyDescent="0.25">
      <c r="A197" s="32"/>
      <c r="B197" s="38"/>
      <c r="C197" s="188"/>
      <c r="D197" s="189"/>
      <c r="E197" s="190"/>
      <c r="F197" s="97"/>
      <c r="G197" s="97"/>
    </row>
    <row r="198" spans="1:7" x14ac:dyDescent="0.25">
      <c r="A198" s="39"/>
      <c r="B198" s="40"/>
      <c r="C198" s="41"/>
      <c r="D198" s="42"/>
      <c r="E198" s="190"/>
      <c r="F198" s="97"/>
      <c r="G198" s="97"/>
    </row>
    <row r="199" spans="1:7" x14ac:dyDescent="0.25">
      <c r="A199" s="32"/>
      <c r="B199" s="38"/>
      <c r="C199" s="188"/>
      <c r="D199" s="189"/>
      <c r="E199" s="190"/>
      <c r="F199" s="97"/>
      <c r="G199" s="97"/>
    </row>
    <row r="200" spans="1:7" x14ac:dyDescent="0.25">
      <c r="A200" s="39"/>
      <c r="B200" s="43"/>
      <c r="C200" s="41"/>
      <c r="D200" s="42"/>
      <c r="E200" s="190"/>
      <c r="F200" s="97"/>
      <c r="G200" s="97"/>
    </row>
    <row r="201" spans="1:7" x14ac:dyDescent="0.25">
      <c r="A201" s="38"/>
      <c r="B201" s="33"/>
      <c r="C201" s="192"/>
      <c r="D201" s="203"/>
      <c r="E201" s="190"/>
      <c r="F201" s="97"/>
      <c r="G201" s="97"/>
    </row>
    <row r="202" spans="1:7" x14ac:dyDescent="0.25">
      <c r="A202" s="38"/>
      <c r="B202" s="33"/>
      <c r="C202" s="192"/>
      <c r="D202" s="203"/>
      <c r="E202" s="190"/>
      <c r="F202" s="97"/>
      <c r="G202" s="97"/>
    </row>
    <row r="203" spans="1:7" x14ac:dyDescent="0.25">
      <c r="A203" s="38"/>
      <c r="B203" s="33"/>
      <c r="C203" s="192"/>
      <c r="D203" s="203"/>
      <c r="E203" s="190"/>
      <c r="F203" s="97"/>
      <c r="G203" s="97"/>
    </row>
    <row r="204" spans="1:7" x14ac:dyDescent="0.25">
      <c r="A204" s="38"/>
      <c r="B204" s="33"/>
      <c r="C204" s="192"/>
      <c r="D204" s="203"/>
      <c r="E204" s="190"/>
      <c r="F204" s="97"/>
      <c r="G204" s="97"/>
    </row>
    <row r="205" spans="1:7" x14ac:dyDescent="0.25">
      <c r="A205" s="38"/>
      <c r="B205" s="33"/>
      <c r="C205" s="192"/>
      <c r="D205" s="203"/>
      <c r="E205" s="190"/>
      <c r="F205" s="97"/>
      <c r="G205" s="97"/>
    </row>
    <row r="206" spans="1:7" x14ac:dyDescent="0.25">
      <c r="A206" s="38"/>
      <c r="B206" s="33"/>
      <c r="C206" s="192"/>
      <c r="D206" s="203"/>
      <c r="E206" s="190"/>
      <c r="F206" s="97"/>
      <c r="G206" s="97"/>
    </row>
    <row r="207" spans="1:7" x14ac:dyDescent="0.25">
      <c r="A207" s="38"/>
      <c r="B207" s="33"/>
      <c r="C207" s="192"/>
      <c r="D207" s="203"/>
      <c r="E207" s="190"/>
      <c r="F207" s="97"/>
      <c r="G207" s="97"/>
    </row>
    <row r="208" spans="1:7" x14ac:dyDescent="0.25">
      <c r="A208" s="38"/>
      <c r="B208" s="33"/>
      <c r="C208" s="192"/>
      <c r="D208" s="203"/>
      <c r="E208" s="190"/>
      <c r="F208" s="97"/>
      <c r="G208" s="97"/>
    </row>
    <row r="209" spans="1:7" x14ac:dyDescent="0.25">
      <c r="A209" s="38"/>
      <c r="B209" s="33"/>
      <c r="C209" s="192"/>
      <c r="D209" s="203"/>
      <c r="E209" s="190"/>
      <c r="F209" s="97"/>
      <c r="G209" s="97"/>
    </row>
    <row r="210" spans="1:7" x14ac:dyDescent="0.25">
      <c r="A210" s="38"/>
      <c r="B210" s="33"/>
      <c r="C210" s="192"/>
      <c r="D210" s="203"/>
      <c r="E210" s="190"/>
      <c r="F210" s="97"/>
      <c r="G210" s="97"/>
    </row>
    <row r="211" spans="1:7" x14ac:dyDescent="0.25">
      <c r="A211" s="38"/>
      <c r="B211" s="33"/>
      <c r="C211" s="192"/>
      <c r="D211" s="203"/>
      <c r="E211" s="190"/>
      <c r="F211" s="97"/>
      <c r="G211" s="97"/>
    </row>
    <row r="212" spans="1:7" x14ac:dyDescent="0.25">
      <c r="A212" s="32"/>
      <c r="B212" s="36"/>
      <c r="C212" s="188"/>
      <c r="D212" s="189"/>
      <c r="E212" s="190"/>
      <c r="F212" s="97"/>
      <c r="G212" s="97"/>
    </row>
    <row r="213" spans="1:7" x14ac:dyDescent="0.25">
      <c r="A213" s="32"/>
      <c r="B213" s="38"/>
      <c r="C213" s="188"/>
      <c r="D213" s="189"/>
      <c r="E213" s="190"/>
      <c r="F213" s="97"/>
      <c r="G213" s="97"/>
    </row>
    <row r="214" spans="1:7" x14ac:dyDescent="0.25">
      <c r="A214" s="38"/>
      <c r="B214" s="33"/>
      <c r="C214" s="192"/>
      <c r="D214" s="203"/>
      <c r="E214" s="190"/>
      <c r="F214" s="97"/>
      <c r="G214" s="97"/>
    </row>
    <row r="215" spans="1:7" x14ac:dyDescent="0.25">
      <c r="A215" s="38"/>
      <c r="B215" s="33"/>
      <c r="C215" s="192"/>
      <c r="D215" s="203"/>
      <c r="E215" s="190"/>
      <c r="F215" s="97"/>
      <c r="G215" s="97"/>
    </row>
    <row r="216" spans="1:7" x14ac:dyDescent="0.25">
      <c r="A216" s="38"/>
      <c r="B216" s="33"/>
      <c r="C216" s="192"/>
      <c r="D216" s="203"/>
      <c r="E216" s="190"/>
      <c r="F216" s="97"/>
      <c r="G216" s="97"/>
    </row>
    <row r="217" spans="1:7" x14ac:dyDescent="0.25">
      <c r="A217" s="38"/>
      <c r="B217" s="33"/>
      <c r="C217" s="192"/>
      <c r="D217" s="203"/>
      <c r="E217" s="190"/>
      <c r="F217" s="97"/>
      <c r="G217" s="97"/>
    </row>
    <row r="218" spans="1:7" x14ac:dyDescent="0.25">
      <c r="A218" s="38"/>
      <c r="B218" s="33"/>
      <c r="C218" s="192"/>
      <c r="D218" s="203"/>
      <c r="E218" s="190"/>
      <c r="F218" s="97"/>
      <c r="G218" s="97"/>
    </row>
    <row r="219" spans="1:7" x14ac:dyDescent="0.25">
      <c r="A219" s="38"/>
      <c r="B219" s="33"/>
      <c r="C219" s="192"/>
      <c r="D219" s="203"/>
      <c r="E219" s="190"/>
      <c r="F219" s="97"/>
      <c r="G219" s="97"/>
    </row>
    <row r="220" spans="1:7" x14ac:dyDescent="0.25">
      <c r="A220" s="38"/>
      <c r="B220" s="33"/>
      <c r="C220" s="192"/>
      <c r="D220" s="203"/>
      <c r="E220" s="190"/>
      <c r="F220" s="97"/>
      <c r="G220" s="97"/>
    </row>
    <row r="221" spans="1:7" x14ac:dyDescent="0.25">
      <c r="A221" s="44"/>
      <c r="B221" s="45"/>
      <c r="C221" s="195"/>
      <c r="D221" s="196"/>
      <c r="E221" s="117"/>
      <c r="F221" s="98"/>
      <c r="G221" s="98"/>
    </row>
    <row r="222" spans="1:7" x14ac:dyDescent="0.25">
      <c r="A222" s="46"/>
      <c r="B222" s="47"/>
      <c r="C222" s="199" t="s">
        <v>96</v>
      </c>
      <c r="D222" s="199"/>
      <c r="E222" s="200" t="s">
        <v>50</v>
      </c>
      <c r="F222" s="99">
        <f>SUM(F174:F198)</f>
        <v>549172.63</v>
      </c>
      <c r="G222" s="99"/>
    </row>
    <row r="223" spans="1:7" x14ac:dyDescent="0.25">
      <c r="A223" s="46"/>
      <c r="B223" s="47"/>
      <c r="C223" s="201"/>
      <c r="D223" s="202"/>
      <c r="E223" s="118"/>
      <c r="F223" s="100"/>
      <c r="G223" s="100"/>
    </row>
  </sheetData>
  <mergeCells count="5">
    <mergeCell ref="A1:A2"/>
    <mergeCell ref="B1:B2"/>
    <mergeCell ref="C1:C2"/>
    <mergeCell ref="D1:D2"/>
    <mergeCell ref="G1:G2"/>
  </mergeCells>
  <phoneticPr fontId="17" type="noConversion"/>
  <printOptions horizontalCentered="1"/>
  <pageMargins left="0.6692913385826772" right="0.19685039370078741" top="0.82677165354330717" bottom="0.47244094488188981" header="0.19685039370078741" footer="0.23622047244094491"/>
  <pageSetup paperSize="9" scale="84" fitToHeight="0" orientation="portrait" useFirstPageNumber="1" r:id="rId1"/>
  <headerFooter>
    <oddHeader>&amp;R&amp;11
&amp;UBILL NO. 4 -PARKING FLOORS REFURBISHMENT
DOORS AND WINDOWS</oddHeader>
    <oddFooter>&amp;L&amp;8DMS 148704 BOQ - Nakheel Mall Al Khail&amp;C4/H/&amp;P</oddFooter>
  </headerFooter>
  <rowBreaks count="4" manualBreakCount="4">
    <brk id="42" max="6" man="1"/>
    <brk id="85" max="6" man="1"/>
    <brk id="129" max="6" man="1"/>
    <brk id="172" max="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B9600-A32A-4AA7-8908-55318DFA3DD5}">
  <sheetPr codeName="Sheet11"/>
  <dimension ref="A1:G291"/>
  <sheetViews>
    <sheetView view="pageBreakPreview" zoomScale="90" zoomScaleNormal="100" zoomScaleSheetLayoutView="90" zoomScalePageLayoutView="70" workbookViewId="0">
      <pane ySplit="2" topLeftCell="A99" activePane="bottomLeft" state="frozen"/>
      <selection activeCell="H35" sqref="H35"/>
      <selection pane="bottomLeft" sqref="A1:E1048576"/>
    </sheetView>
  </sheetViews>
  <sheetFormatPr defaultColWidth="9.33203125" defaultRowHeight="13.8" x14ac:dyDescent="0.25"/>
  <cols>
    <col min="1" max="1" width="5.6640625" style="211" customWidth="1"/>
    <col min="2" max="2" width="44" style="212" customWidth="1"/>
    <col min="3" max="3" width="9.33203125" style="213" customWidth="1"/>
    <col min="4" max="4" width="6.6640625" style="214" customWidth="1"/>
    <col min="5" max="5" width="15.5546875" style="200" customWidth="1"/>
    <col min="6" max="6" width="14.6640625" style="101" customWidth="1"/>
    <col min="7" max="7" width="8.6640625" style="133" customWidth="1"/>
    <col min="8" max="16384" width="9.33203125" style="34"/>
  </cols>
  <sheetData>
    <row r="1" spans="1:7" s="29" customFormat="1" ht="14.4" x14ac:dyDescent="0.25">
      <c r="A1" s="174" t="s">
        <v>6</v>
      </c>
      <c r="B1" s="174" t="s">
        <v>0</v>
      </c>
      <c r="C1" s="175" t="s">
        <v>47</v>
      </c>
      <c r="D1" s="176" t="s">
        <v>48</v>
      </c>
      <c r="E1" s="177" t="s">
        <v>1</v>
      </c>
      <c r="F1" s="94" t="s">
        <v>49</v>
      </c>
      <c r="G1" s="166" t="s">
        <v>1211</v>
      </c>
    </row>
    <row r="2" spans="1:7" s="29" customFormat="1" ht="14.4" x14ac:dyDescent="0.25">
      <c r="A2" s="178"/>
      <c r="B2" s="178"/>
      <c r="C2" s="179"/>
      <c r="D2" s="180"/>
      <c r="E2" s="181" t="s">
        <v>50</v>
      </c>
      <c r="F2" s="95" t="s">
        <v>50</v>
      </c>
      <c r="G2" s="167"/>
    </row>
    <row r="3" spans="1:7" s="29" customFormat="1" ht="14.4" x14ac:dyDescent="0.25">
      <c r="A3" s="182"/>
      <c r="B3" s="183"/>
      <c r="C3" s="184"/>
      <c r="D3" s="185"/>
      <c r="E3" s="186"/>
      <c r="F3" s="96"/>
      <c r="G3" s="129"/>
    </row>
    <row r="4" spans="1:7" x14ac:dyDescent="0.25">
      <c r="A4" s="187"/>
      <c r="B4" s="33" t="s">
        <v>29</v>
      </c>
      <c r="C4" s="188"/>
      <c r="D4" s="189"/>
      <c r="E4" s="190"/>
      <c r="F4" s="97"/>
      <c r="G4" s="128"/>
    </row>
    <row r="5" spans="1:7" x14ac:dyDescent="0.25">
      <c r="A5" s="187"/>
      <c r="B5" s="35"/>
      <c r="C5" s="188"/>
      <c r="D5" s="189"/>
      <c r="E5" s="190"/>
      <c r="F5" s="97"/>
      <c r="G5" s="128"/>
    </row>
    <row r="6" spans="1:7" x14ac:dyDescent="0.25">
      <c r="A6" s="187"/>
      <c r="B6" s="36" t="s">
        <v>267</v>
      </c>
      <c r="C6" s="188"/>
      <c r="D6" s="189"/>
      <c r="E6" s="190"/>
      <c r="F6" s="97"/>
      <c r="G6" s="128"/>
    </row>
    <row r="7" spans="1:7" x14ac:dyDescent="0.25">
      <c r="A7" s="187"/>
      <c r="B7" s="191"/>
      <c r="C7" s="188"/>
      <c r="D7" s="189"/>
      <c r="E7" s="190"/>
      <c r="F7" s="97"/>
      <c r="G7" s="128"/>
    </row>
    <row r="8" spans="1:7" x14ac:dyDescent="0.25">
      <c r="A8" s="39"/>
      <c r="B8" s="40" t="s">
        <v>28</v>
      </c>
      <c r="C8" s="41"/>
      <c r="D8" s="42"/>
      <c r="E8" s="190"/>
      <c r="F8" s="97"/>
      <c r="G8" s="128"/>
    </row>
    <row r="9" spans="1:7" x14ac:dyDescent="0.25">
      <c r="A9" s="187"/>
      <c r="B9" s="192"/>
      <c r="C9" s="188"/>
      <c r="D9" s="189"/>
      <c r="E9" s="190"/>
      <c r="F9" s="97"/>
      <c r="G9" s="128"/>
    </row>
    <row r="10" spans="1:7" ht="27.6" x14ac:dyDescent="0.25">
      <c r="A10" s="39"/>
      <c r="B10" s="40" t="s">
        <v>268</v>
      </c>
      <c r="C10" s="41"/>
      <c r="D10" s="42"/>
      <c r="E10" s="190"/>
      <c r="F10" s="97"/>
      <c r="G10" s="128"/>
    </row>
    <row r="11" spans="1:7" x14ac:dyDescent="0.25">
      <c r="A11" s="187"/>
      <c r="B11" s="192"/>
      <c r="C11" s="188"/>
      <c r="D11" s="189"/>
      <c r="E11" s="190"/>
      <c r="F11" s="97"/>
      <c r="G11" s="128"/>
    </row>
    <row r="12" spans="1:7" x14ac:dyDescent="0.25">
      <c r="A12" s="39"/>
      <c r="B12" s="63" t="s">
        <v>269</v>
      </c>
      <c r="C12" s="41"/>
      <c r="D12" s="42"/>
      <c r="E12" s="190"/>
      <c r="F12" s="97"/>
      <c r="G12" s="128"/>
    </row>
    <row r="13" spans="1:7" x14ac:dyDescent="0.25">
      <c r="A13" s="187"/>
      <c r="B13" s="192"/>
      <c r="C13" s="188"/>
      <c r="D13" s="189"/>
      <c r="E13" s="190"/>
      <c r="F13" s="97"/>
      <c r="G13" s="128"/>
    </row>
    <row r="14" spans="1:7" x14ac:dyDescent="0.25">
      <c r="A14" s="39"/>
      <c r="B14" s="40" t="s">
        <v>270</v>
      </c>
      <c r="C14" s="41"/>
      <c r="D14" s="42"/>
      <c r="E14" s="190"/>
      <c r="F14" s="97"/>
      <c r="G14" s="128"/>
    </row>
    <row r="15" spans="1:7" x14ac:dyDescent="0.25">
      <c r="A15" s="187"/>
      <c r="B15" s="192"/>
      <c r="C15" s="188"/>
      <c r="D15" s="189"/>
      <c r="E15" s="190"/>
      <c r="F15" s="97"/>
      <c r="G15" s="128"/>
    </row>
    <row r="16" spans="1:7" ht="27.6" x14ac:dyDescent="0.25">
      <c r="A16" s="39"/>
      <c r="B16" s="40" t="s">
        <v>271</v>
      </c>
      <c r="C16" s="41"/>
      <c r="D16" s="42"/>
      <c r="E16" s="190"/>
      <c r="F16" s="97"/>
      <c r="G16" s="128"/>
    </row>
    <row r="17" spans="1:7" x14ac:dyDescent="0.25">
      <c r="A17" s="187"/>
      <c r="B17" s="192"/>
      <c r="C17" s="188"/>
      <c r="D17" s="189"/>
      <c r="E17" s="190"/>
      <c r="F17" s="97"/>
      <c r="G17" s="128"/>
    </row>
    <row r="18" spans="1:7" ht="27.6" x14ac:dyDescent="0.25">
      <c r="A18" s="39"/>
      <c r="B18" s="40" t="s">
        <v>272</v>
      </c>
      <c r="C18" s="41"/>
      <c r="D18" s="42"/>
      <c r="E18" s="190"/>
      <c r="F18" s="97"/>
      <c r="G18" s="128"/>
    </row>
    <row r="19" spans="1:7" x14ac:dyDescent="0.25">
      <c r="A19" s="187"/>
      <c r="B19" s="192"/>
      <c r="C19" s="188"/>
      <c r="D19" s="189"/>
      <c r="E19" s="190"/>
      <c r="F19" s="97"/>
      <c r="G19" s="128"/>
    </row>
    <row r="20" spans="1:7" ht="41.4" x14ac:dyDescent="0.25">
      <c r="A20" s="39"/>
      <c r="B20" s="52" t="s">
        <v>273</v>
      </c>
      <c r="C20" s="41"/>
      <c r="D20" s="42"/>
      <c r="E20" s="190"/>
      <c r="F20" s="97"/>
      <c r="G20" s="128"/>
    </row>
    <row r="21" spans="1:7" x14ac:dyDescent="0.25">
      <c r="A21" s="187"/>
      <c r="B21" s="192"/>
      <c r="C21" s="188"/>
      <c r="D21" s="189"/>
      <c r="E21" s="190"/>
      <c r="F21" s="97"/>
      <c r="G21" s="128"/>
    </row>
    <row r="22" spans="1:7" x14ac:dyDescent="0.25">
      <c r="A22" s="39" t="s">
        <v>3</v>
      </c>
      <c r="B22" s="40" t="s">
        <v>274</v>
      </c>
      <c r="C22" s="41">
        <v>7433</v>
      </c>
      <c r="D22" s="42" t="s">
        <v>4</v>
      </c>
      <c r="E22" s="190">
        <v>69.77</v>
      </c>
      <c r="F22" s="97">
        <f>C22*E22</f>
        <v>518600.41</v>
      </c>
      <c r="G22" s="128"/>
    </row>
    <row r="23" spans="1:7" x14ac:dyDescent="0.25">
      <c r="A23" s="187"/>
      <c r="B23" s="192"/>
      <c r="C23" s="188"/>
      <c r="D23" s="189"/>
      <c r="E23" s="190"/>
      <c r="F23" s="97"/>
      <c r="G23" s="128"/>
    </row>
    <row r="24" spans="1:7" x14ac:dyDescent="0.25">
      <c r="A24" s="39" t="s">
        <v>2</v>
      </c>
      <c r="B24" s="40" t="s">
        <v>275</v>
      </c>
      <c r="C24" s="41">
        <v>1937</v>
      </c>
      <c r="D24" s="42" t="s">
        <v>4</v>
      </c>
      <c r="E24" s="190">
        <v>73.77</v>
      </c>
      <c r="F24" s="97">
        <f>C24*E24</f>
        <v>142892.49</v>
      </c>
      <c r="G24" s="128"/>
    </row>
    <row r="25" spans="1:7" x14ac:dyDescent="0.25">
      <c r="A25" s="187"/>
      <c r="B25" s="192"/>
      <c r="C25" s="188"/>
      <c r="D25" s="189"/>
      <c r="E25" s="190"/>
      <c r="F25" s="97"/>
      <c r="G25" s="128"/>
    </row>
    <row r="26" spans="1:7" ht="27.6" x14ac:dyDescent="0.25">
      <c r="A26" s="39"/>
      <c r="B26" s="52" t="s">
        <v>276</v>
      </c>
      <c r="C26" s="41"/>
      <c r="D26" s="42"/>
      <c r="E26" s="190"/>
      <c r="F26" s="97"/>
      <c r="G26" s="128"/>
    </row>
    <row r="27" spans="1:7" x14ac:dyDescent="0.25">
      <c r="A27" s="187"/>
      <c r="B27" s="192"/>
      <c r="C27" s="188"/>
      <c r="D27" s="189"/>
      <c r="E27" s="190"/>
      <c r="F27" s="97"/>
      <c r="G27" s="128"/>
    </row>
    <row r="28" spans="1:7" x14ac:dyDescent="0.25">
      <c r="A28" s="39" t="s">
        <v>5</v>
      </c>
      <c r="B28" s="40" t="s">
        <v>277</v>
      </c>
      <c r="C28" s="41">
        <v>1990</v>
      </c>
      <c r="D28" s="42" t="s">
        <v>4</v>
      </c>
      <c r="E28" s="190">
        <v>48.05</v>
      </c>
      <c r="F28" s="97">
        <f>C28*E28</f>
        <v>95619.5</v>
      </c>
      <c r="G28" s="128"/>
    </row>
    <row r="29" spans="1:7" x14ac:dyDescent="0.25">
      <c r="A29" s="187"/>
      <c r="B29" s="192"/>
      <c r="C29" s="188"/>
      <c r="D29" s="189"/>
      <c r="E29" s="190"/>
      <c r="F29" s="97"/>
      <c r="G29" s="128"/>
    </row>
    <row r="30" spans="1:7" ht="27.6" x14ac:dyDescent="0.25">
      <c r="A30" s="39" t="s">
        <v>8</v>
      </c>
      <c r="B30" s="40" t="s">
        <v>278</v>
      </c>
      <c r="C30" s="41">
        <v>2953</v>
      </c>
      <c r="D30" s="42" t="s">
        <v>4</v>
      </c>
      <c r="E30" s="190">
        <v>48.05</v>
      </c>
      <c r="F30" s="97">
        <f>C30*E30</f>
        <v>141891.65</v>
      </c>
      <c r="G30" s="131" t="s">
        <v>1214</v>
      </c>
    </row>
    <row r="31" spans="1:7" x14ac:dyDescent="0.25">
      <c r="A31" s="39"/>
      <c r="B31" s="40"/>
      <c r="C31" s="41"/>
      <c r="D31" s="42"/>
      <c r="E31" s="190"/>
      <c r="F31" s="97"/>
      <c r="G31" s="128"/>
    </row>
    <row r="32" spans="1:7" x14ac:dyDescent="0.25">
      <c r="A32" s="39"/>
      <c r="B32" s="40"/>
      <c r="C32" s="41"/>
      <c r="D32" s="42"/>
      <c r="E32" s="190"/>
      <c r="F32" s="97"/>
      <c r="G32" s="128"/>
    </row>
    <row r="33" spans="1:7" x14ac:dyDescent="0.25">
      <c r="A33" s="187"/>
      <c r="B33" s="192"/>
      <c r="C33" s="188"/>
      <c r="D33" s="189"/>
      <c r="E33" s="190"/>
      <c r="F33" s="97"/>
      <c r="G33" s="128"/>
    </row>
    <row r="34" spans="1:7" x14ac:dyDescent="0.25">
      <c r="A34" s="39"/>
      <c r="B34" s="40"/>
      <c r="C34" s="41"/>
      <c r="D34" s="42"/>
      <c r="E34" s="190"/>
      <c r="F34" s="97"/>
      <c r="G34" s="128"/>
    </row>
    <row r="35" spans="1:7" x14ac:dyDescent="0.25">
      <c r="A35" s="192"/>
      <c r="B35" s="33"/>
      <c r="C35" s="192"/>
      <c r="D35" s="203"/>
      <c r="E35" s="190"/>
      <c r="F35" s="97"/>
      <c r="G35" s="128"/>
    </row>
    <row r="36" spans="1:7" x14ac:dyDescent="0.25">
      <c r="A36" s="192"/>
      <c r="B36" s="33"/>
      <c r="C36" s="192"/>
      <c r="D36" s="203"/>
      <c r="E36" s="190"/>
      <c r="F36" s="97"/>
      <c r="G36" s="128"/>
    </row>
    <row r="37" spans="1:7" x14ac:dyDescent="0.25">
      <c r="A37" s="187"/>
      <c r="B37" s="192"/>
      <c r="C37" s="188"/>
      <c r="D37" s="189"/>
      <c r="E37" s="190"/>
      <c r="F37" s="97"/>
      <c r="G37" s="128"/>
    </row>
    <row r="38" spans="1:7" x14ac:dyDescent="0.25">
      <c r="A38" s="39"/>
      <c r="B38" s="43"/>
      <c r="C38" s="41"/>
      <c r="D38" s="42"/>
      <c r="E38" s="190"/>
      <c r="F38" s="97"/>
      <c r="G38" s="128"/>
    </row>
    <row r="39" spans="1:7" x14ac:dyDescent="0.25">
      <c r="A39" s="187"/>
      <c r="B39" s="192"/>
      <c r="C39" s="188"/>
      <c r="D39" s="189"/>
      <c r="E39" s="190"/>
      <c r="F39" s="97"/>
      <c r="G39" s="128"/>
    </row>
    <row r="40" spans="1:7" x14ac:dyDescent="0.25">
      <c r="A40" s="39"/>
      <c r="B40" s="40"/>
      <c r="C40" s="41"/>
      <c r="D40" s="42"/>
      <c r="E40" s="190"/>
      <c r="F40" s="97"/>
      <c r="G40" s="128"/>
    </row>
    <row r="41" spans="1:7" ht="26.4" x14ac:dyDescent="0.25">
      <c r="A41" s="187"/>
      <c r="B41" s="225" t="s">
        <v>1212</v>
      </c>
      <c r="C41" s="188"/>
      <c r="D41" s="189"/>
      <c r="E41" s="190"/>
      <c r="F41" s="97"/>
      <c r="G41" s="128"/>
    </row>
    <row r="42" spans="1:7" x14ac:dyDescent="0.25">
      <c r="A42" s="193"/>
      <c r="B42" s="194"/>
      <c r="C42" s="195"/>
      <c r="D42" s="196"/>
      <c r="E42" s="117"/>
      <c r="F42" s="98"/>
      <c r="G42" s="130"/>
    </row>
    <row r="43" spans="1:7" x14ac:dyDescent="0.25">
      <c r="A43" s="197"/>
      <c r="B43" s="198"/>
      <c r="C43" s="199" t="s">
        <v>51</v>
      </c>
      <c r="D43" s="199"/>
      <c r="E43" s="200" t="s">
        <v>50</v>
      </c>
      <c r="F43" s="99">
        <f>SUM(F20:F40)</f>
        <v>899004.04999999993</v>
      </c>
      <c r="G43" s="131"/>
    </row>
    <row r="44" spans="1:7" x14ac:dyDescent="0.25">
      <c r="A44" s="197"/>
      <c r="B44" s="198"/>
      <c r="C44" s="201"/>
      <c r="D44" s="202"/>
      <c r="E44" s="118"/>
      <c r="F44" s="100"/>
      <c r="G44" s="132"/>
    </row>
    <row r="45" spans="1:7" x14ac:dyDescent="0.25">
      <c r="A45" s="187"/>
      <c r="B45" s="192"/>
      <c r="C45" s="188"/>
      <c r="D45" s="189"/>
      <c r="E45" s="190"/>
      <c r="F45" s="97"/>
      <c r="G45" s="128"/>
    </row>
    <row r="46" spans="1:7" x14ac:dyDescent="0.25">
      <c r="A46" s="187"/>
      <c r="B46" s="36" t="s">
        <v>279</v>
      </c>
      <c r="C46" s="188"/>
      <c r="D46" s="189"/>
      <c r="E46" s="190"/>
      <c r="F46" s="97"/>
      <c r="G46" s="128"/>
    </row>
    <row r="47" spans="1:7" x14ac:dyDescent="0.25">
      <c r="A47" s="187"/>
      <c r="B47" s="192"/>
      <c r="C47" s="188"/>
      <c r="D47" s="189"/>
      <c r="E47" s="190"/>
      <c r="F47" s="97"/>
      <c r="G47" s="128"/>
    </row>
    <row r="48" spans="1:7" x14ac:dyDescent="0.25">
      <c r="A48" s="39"/>
      <c r="B48" s="40" t="s">
        <v>28</v>
      </c>
      <c r="C48" s="41"/>
      <c r="D48" s="42"/>
      <c r="E48" s="190"/>
      <c r="F48" s="97"/>
      <c r="G48" s="128"/>
    </row>
    <row r="49" spans="1:7" x14ac:dyDescent="0.25">
      <c r="A49" s="187"/>
      <c r="B49" s="192"/>
      <c r="C49" s="188"/>
      <c r="D49" s="189"/>
      <c r="E49" s="190"/>
      <c r="F49" s="97"/>
      <c r="G49" s="128"/>
    </row>
    <row r="50" spans="1:7" ht="27.6" x14ac:dyDescent="0.25">
      <c r="A50" s="39"/>
      <c r="B50" s="40" t="s">
        <v>268</v>
      </c>
      <c r="C50" s="41"/>
      <c r="D50" s="42"/>
      <c r="E50" s="190"/>
      <c r="F50" s="97"/>
      <c r="G50" s="128"/>
    </row>
    <row r="51" spans="1:7" x14ac:dyDescent="0.25">
      <c r="A51" s="187"/>
      <c r="B51" s="192"/>
      <c r="C51" s="188"/>
      <c r="D51" s="189"/>
      <c r="E51" s="190"/>
      <c r="F51" s="97"/>
      <c r="G51" s="128"/>
    </row>
    <row r="52" spans="1:7" ht="27.6" x14ac:dyDescent="0.25">
      <c r="A52" s="39"/>
      <c r="B52" s="40" t="s">
        <v>269</v>
      </c>
      <c r="C52" s="41"/>
      <c r="D52" s="42"/>
      <c r="E52" s="190"/>
      <c r="F52" s="97"/>
      <c r="G52" s="128"/>
    </row>
    <row r="53" spans="1:7" x14ac:dyDescent="0.25">
      <c r="A53" s="187"/>
      <c r="B53" s="192"/>
      <c r="C53" s="188"/>
      <c r="D53" s="189"/>
      <c r="E53" s="190"/>
      <c r="F53" s="97"/>
      <c r="G53" s="128"/>
    </row>
    <row r="54" spans="1:7" x14ac:dyDescent="0.25">
      <c r="A54" s="39"/>
      <c r="B54" s="40" t="s">
        <v>270</v>
      </c>
      <c r="C54" s="41"/>
      <c r="D54" s="42"/>
      <c r="E54" s="190"/>
      <c r="F54" s="97"/>
      <c r="G54" s="128"/>
    </row>
    <row r="55" spans="1:7" x14ac:dyDescent="0.25">
      <c r="A55" s="187"/>
      <c r="B55" s="192"/>
      <c r="C55" s="188"/>
      <c r="D55" s="189"/>
      <c r="E55" s="190"/>
      <c r="F55" s="97"/>
      <c r="G55" s="128"/>
    </row>
    <row r="56" spans="1:7" ht="27.6" x14ac:dyDescent="0.25">
      <c r="A56" s="39"/>
      <c r="B56" s="40" t="s">
        <v>271</v>
      </c>
      <c r="C56" s="41"/>
      <c r="D56" s="42"/>
      <c r="E56" s="190"/>
      <c r="F56" s="97"/>
      <c r="G56" s="128"/>
    </row>
    <row r="57" spans="1:7" x14ac:dyDescent="0.25">
      <c r="A57" s="187"/>
      <c r="B57" s="192"/>
      <c r="C57" s="188"/>
      <c r="D57" s="189"/>
      <c r="E57" s="190"/>
      <c r="F57" s="97"/>
      <c r="G57" s="128"/>
    </row>
    <row r="58" spans="1:7" ht="27.6" x14ac:dyDescent="0.25">
      <c r="A58" s="39"/>
      <c r="B58" s="40" t="s">
        <v>272</v>
      </c>
      <c r="C58" s="41"/>
      <c r="D58" s="42"/>
      <c r="E58" s="190"/>
      <c r="F58" s="97"/>
      <c r="G58" s="128"/>
    </row>
    <row r="59" spans="1:7" x14ac:dyDescent="0.25">
      <c r="A59" s="187"/>
      <c r="B59" s="192"/>
      <c r="C59" s="188"/>
      <c r="D59" s="189"/>
      <c r="E59" s="190"/>
      <c r="F59" s="97"/>
      <c r="G59" s="128"/>
    </row>
    <row r="60" spans="1:7" ht="69" x14ac:dyDescent="0.25">
      <c r="A60" s="39"/>
      <c r="B60" s="52" t="s">
        <v>280</v>
      </c>
      <c r="C60" s="41"/>
      <c r="D60" s="42"/>
      <c r="E60" s="190"/>
      <c r="F60" s="97"/>
      <c r="G60" s="128"/>
    </row>
    <row r="61" spans="1:7" x14ac:dyDescent="0.25">
      <c r="A61" s="187"/>
      <c r="B61" s="192"/>
      <c r="C61" s="188"/>
      <c r="D61" s="189"/>
      <c r="E61" s="190"/>
      <c r="F61" s="97"/>
      <c r="G61" s="128"/>
    </row>
    <row r="62" spans="1:7" x14ac:dyDescent="0.25">
      <c r="A62" s="39" t="s">
        <v>3</v>
      </c>
      <c r="B62" s="40" t="s">
        <v>281</v>
      </c>
      <c r="C62" s="41" t="s">
        <v>282</v>
      </c>
      <c r="D62" s="42" t="s">
        <v>4</v>
      </c>
      <c r="E62" s="190">
        <v>177.82</v>
      </c>
      <c r="F62" s="97">
        <f>C62*E62</f>
        <v>210538.88</v>
      </c>
      <c r="G62" s="128" t="s">
        <v>1213</v>
      </c>
    </row>
    <row r="63" spans="1:7" x14ac:dyDescent="0.25">
      <c r="A63" s="187"/>
      <c r="B63" s="192"/>
      <c r="C63" s="188"/>
      <c r="D63" s="189"/>
      <c r="E63" s="190"/>
      <c r="F63" s="97"/>
      <c r="G63" s="128"/>
    </row>
    <row r="64" spans="1:7" x14ac:dyDescent="0.25">
      <c r="A64" s="39" t="s">
        <v>2</v>
      </c>
      <c r="B64" s="40" t="s">
        <v>283</v>
      </c>
      <c r="C64" s="41" t="s">
        <v>284</v>
      </c>
      <c r="D64" s="42" t="s">
        <v>11</v>
      </c>
      <c r="E64" s="190">
        <v>74.67</v>
      </c>
      <c r="F64" s="97">
        <f>C64*E64</f>
        <v>44055.3</v>
      </c>
      <c r="G64" s="128" t="s">
        <v>1213</v>
      </c>
    </row>
    <row r="65" spans="1:7" x14ac:dyDescent="0.25">
      <c r="A65" s="187"/>
      <c r="B65" s="192"/>
      <c r="C65" s="188"/>
      <c r="D65" s="189"/>
      <c r="E65" s="190"/>
      <c r="F65" s="97"/>
      <c r="G65" s="128"/>
    </row>
    <row r="66" spans="1:7" ht="69" x14ac:dyDescent="0.25">
      <c r="A66" s="39"/>
      <c r="B66" s="52" t="s">
        <v>285</v>
      </c>
      <c r="C66" s="41"/>
      <c r="D66" s="42"/>
      <c r="E66" s="190"/>
      <c r="F66" s="97"/>
      <c r="G66" s="128"/>
    </row>
    <row r="67" spans="1:7" x14ac:dyDescent="0.25">
      <c r="A67" s="187"/>
      <c r="B67" s="192"/>
      <c r="C67" s="188"/>
      <c r="D67" s="189"/>
      <c r="E67" s="190"/>
      <c r="F67" s="97"/>
      <c r="G67" s="128"/>
    </row>
    <row r="68" spans="1:7" x14ac:dyDescent="0.25">
      <c r="A68" s="39" t="s">
        <v>5</v>
      </c>
      <c r="B68" s="40" t="s">
        <v>286</v>
      </c>
      <c r="C68" s="41">
        <v>4458</v>
      </c>
      <c r="D68" s="42" t="s">
        <v>4</v>
      </c>
      <c r="E68" s="190">
        <v>218.91</v>
      </c>
      <c r="F68" s="97">
        <f>C68*E68</f>
        <v>975900.78</v>
      </c>
      <c r="G68" s="128" t="s">
        <v>1213</v>
      </c>
    </row>
    <row r="69" spans="1:7" x14ac:dyDescent="0.25">
      <c r="A69" s="187"/>
      <c r="B69" s="192"/>
      <c r="C69" s="188"/>
      <c r="D69" s="189"/>
      <c r="E69" s="190"/>
      <c r="F69" s="97"/>
      <c r="G69" s="128"/>
    </row>
    <row r="70" spans="1:7" x14ac:dyDescent="0.25">
      <c r="A70" s="39" t="s">
        <v>8</v>
      </c>
      <c r="B70" s="40" t="s">
        <v>287</v>
      </c>
      <c r="C70" s="41">
        <v>1792</v>
      </c>
      <c r="D70" s="42" t="s">
        <v>4</v>
      </c>
      <c r="E70" s="190">
        <v>220.27</v>
      </c>
      <c r="F70" s="97">
        <f>C70*E70</f>
        <v>394723.84000000003</v>
      </c>
      <c r="G70" s="128" t="s">
        <v>1213</v>
      </c>
    </row>
    <row r="71" spans="1:7" x14ac:dyDescent="0.25">
      <c r="A71" s="187"/>
      <c r="B71" s="192"/>
      <c r="C71" s="188"/>
      <c r="D71" s="189"/>
      <c r="E71" s="190"/>
      <c r="F71" s="97"/>
      <c r="G71" s="128"/>
    </row>
    <row r="72" spans="1:7" x14ac:dyDescent="0.25">
      <c r="A72" s="39" t="s">
        <v>9</v>
      </c>
      <c r="B72" s="40" t="s">
        <v>288</v>
      </c>
      <c r="C72" s="41">
        <v>20</v>
      </c>
      <c r="D72" s="42" t="s">
        <v>11</v>
      </c>
      <c r="E72" s="190">
        <v>111.26</v>
      </c>
      <c r="F72" s="97">
        <f>C72*E72</f>
        <v>2225.2000000000003</v>
      </c>
      <c r="G72" s="128" t="s">
        <v>1213</v>
      </c>
    </row>
    <row r="73" spans="1:7" x14ac:dyDescent="0.25">
      <c r="A73" s="187"/>
      <c r="B73" s="192"/>
      <c r="C73" s="188"/>
      <c r="D73" s="189"/>
      <c r="E73" s="190"/>
      <c r="F73" s="97"/>
      <c r="G73" s="128"/>
    </row>
    <row r="74" spans="1:7" x14ac:dyDescent="0.25">
      <c r="A74" s="39" t="s">
        <v>10</v>
      </c>
      <c r="B74" s="40" t="s">
        <v>289</v>
      </c>
      <c r="C74" s="41" t="s">
        <v>61</v>
      </c>
      <c r="D74" s="42" t="s">
        <v>11</v>
      </c>
      <c r="E74" s="190">
        <v>111.09</v>
      </c>
      <c r="F74" s="97">
        <f>C74*E74</f>
        <v>999.81000000000006</v>
      </c>
      <c r="G74" s="128" t="s">
        <v>1213</v>
      </c>
    </row>
    <row r="75" spans="1:7" x14ac:dyDescent="0.25">
      <c r="A75" s="187"/>
      <c r="B75" s="192"/>
      <c r="C75" s="188"/>
      <c r="D75" s="189"/>
      <c r="E75" s="190"/>
      <c r="F75" s="97"/>
      <c r="G75" s="128"/>
    </row>
    <row r="76" spans="1:7" ht="27.6" x14ac:dyDescent="0.25">
      <c r="A76" s="39"/>
      <c r="B76" s="52" t="s">
        <v>290</v>
      </c>
      <c r="C76" s="41"/>
      <c r="D76" s="42"/>
      <c r="E76" s="190"/>
      <c r="F76" s="97"/>
      <c r="G76" s="128"/>
    </row>
    <row r="77" spans="1:7" x14ac:dyDescent="0.25">
      <c r="A77" s="39"/>
      <c r="B77" s="40"/>
      <c r="C77" s="41"/>
      <c r="D77" s="42"/>
      <c r="E77" s="190"/>
      <c r="F77" s="97"/>
      <c r="G77" s="128"/>
    </row>
    <row r="78" spans="1:7" ht="26.4" x14ac:dyDescent="0.25">
      <c r="A78" s="187"/>
      <c r="B78" s="225" t="s">
        <v>1212</v>
      </c>
      <c r="C78" s="188"/>
      <c r="D78" s="189"/>
      <c r="E78" s="190"/>
      <c r="F78" s="97"/>
      <c r="G78" s="128"/>
    </row>
    <row r="79" spans="1:7" x14ac:dyDescent="0.25">
      <c r="A79" s="193"/>
      <c r="B79" s="194"/>
      <c r="C79" s="195"/>
      <c r="D79" s="196"/>
      <c r="E79" s="117"/>
      <c r="F79" s="98"/>
      <c r="G79" s="130"/>
    </row>
    <row r="80" spans="1:7" x14ac:dyDescent="0.25">
      <c r="A80" s="197"/>
      <c r="B80" s="198"/>
      <c r="C80" s="199" t="s">
        <v>51</v>
      </c>
      <c r="D80" s="199"/>
      <c r="E80" s="200" t="s">
        <v>50</v>
      </c>
      <c r="F80" s="99">
        <f>SUM(F60:F76)</f>
        <v>1628443.81</v>
      </c>
      <c r="G80" s="131"/>
    </row>
    <row r="81" spans="1:7" x14ac:dyDescent="0.25">
      <c r="A81" s="197"/>
      <c r="B81" s="198"/>
      <c r="C81" s="201"/>
      <c r="D81" s="202"/>
      <c r="E81" s="118"/>
      <c r="F81" s="100"/>
      <c r="G81" s="132"/>
    </row>
    <row r="82" spans="1:7" x14ac:dyDescent="0.25">
      <c r="A82" s="187"/>
      <c r="B82" s="192"/>
      <c r="C82" s="188"/>
      <c r="D82" s="189"/>
      <c r="E82" s="190"/>
      <c r="F82" s="97"/>
      <c r="G82" s="128"/>
    </row>
    <row r="83" spans="1:7" x14ac:dyDescent="0.25">
      <c r="A83" s="187"/>
      <c r="B83" s="36" t="s">
        <v>291</v>
      </c>
      <c r="C83" s="188"/>
      <c r="D83" s="189"/>
      <c r="E83" s="190"/>
      <c r="F83" s="97"/>
      <c r="G83" s="128"/>
    </row>
    <row r="84" spans="1:7" x14ac:dyDescent="0.25">
      <c r="A84" s="187"/>
      <c r="B84" s="192"/>
      <c r="C84" s="188"/>
      <c r="D84" s="189"/>
      <c r="E84" s="190"/>
      <c r="F84" s="97"/>
      <c r="G84" s="128"/>
    </row>
    <row r="85" spans="1:7" x14ac:dyDescent="0.25">
      <c r="A85" s="39" t="s">
        <v>3</v>
      </c>
      <c r="B85" s="40" t="s">
        <v>292</v>
      </c>
      <c r="C85" s="41" t="s">
        <v>70</v>
      </c>
      <c r="D85" s="42" t="s">
        <v>11</v>
      </c>
      <c r="E85" s="190">
        <v>350.11</v>
      </c>
      <c r="F85" s="97">
        <f>C85*E85</f>
        <v>18905.940000000002</v>
      </c>
      <c r="G85" s="128"/>
    </row>
    <row r="86" spans="1:7" x14ac:dyDescent="0.25">
      <c r="A86" s="187"/>
      <c r="B86" s="192"/>
      <c r="C86" s="188"/>
      <c r="D86" s="189"/>
      <c r="E86" s="190"/>
      <c r="F86" s="97"/>
      <c r="G86" s="128"/>
    </row>
    <row r="87" spans="1:7" ht="27.6" x14ac:dyDescent="0.25">
      <c r="A87" s="39" t="s">
        <v>2</v>
      </c>
      <c r="B87" s="40" t="s">
        <v>293</v>
      </c>
      <c r="C87" s="41">
        <v>555</v>
      </c>
      <c r="D87" s="42" t="s">
        <v>11</v>
      </c>
      <c r="E87" s="190">
        <v>214.58</v>
      </c>
      <c r="F87" s="97">
        <f>C87*E87</f>
        <v>119091.90000000001</v>
      </c>
      <c r="G87" s="128"/>
    </row>
    <row r="88" spans="1:7" x14ac:dyDescent="0.25">
      <c r="A88" s="187"/>
      <c r="B88" s="192"/>
      <c r="C88" s="188"/>
      <c r="D88" s="189"/>
      <c r="E88" s="190"/>
      <c r="F88" s="97"/>
      <c r="G88" s="128"/>
    </row>
    <row r="89" spans="1:7" ht="69" x14ac:dyDescent="0.25">
      <c r="A89" s="39"/>
      <c r="B89" s="52" t="s">
        <v>295</v>
      </c>
      <c r="C89" s="41"/>
      <c r="D89" s="42"/>
      <c r="E89" s="190"/>
      <c r="F89" s="97"/>
      <c r="G89" s="128"/>
    </row>
    <row r="90" spans="1:7" x14ac:dyDescent="0.25">
      <c r="A90" s="187"/>
      <c r="B90" s="192"/>
      <c r="C90" s="188"/>
      <c r="D90" s="189"/>
      <c r="E90" s="190"/>
      <c r="F90" s="97"/>
      <c r="G90" s="128"/>
    </row>
    <row r="91" spans="1:7" x14ac:dyDescent="0.25">
      <c r="A91" s="39" t="s">
        <v>5</v>
      </c>
      <c r="B91" s="40" t="s">
        <v>281</v>
      </c>
      <c r="C91" s="41" t="s">
        <v>296</v>
      </c>
      <c r="D91" s="42" t="s">
        <v>4</v>
      </c>
      <c r="E91" s="190">
        <v>177.82</v>
      </c>
      <c r="F91" s="97">
        <f>C91*E91</f>
        <v>72906.2</v>
      </c>
      <c r="G91" s="128" t="s">
        <v>1213</v>
      </c>
    </row>
    <row r="92" spans="1:7" x14ac:dyDescent="0.25">
      <c r="A92" s="187"/>
      <c r="B92" s="192"/>
      <c r="C92" s="188"/>
      <c r="D92" s="189"/>
      <c r="E92" s="190"/>
      <c r="F92" s="97"/>
      <c r="G92" s="128"/>
    </row>
    <row r="93" spans="1:7" ht="55.2" x14ac:dyDescent="0.25">
      <c r="A93" s="39"/>
      <c r="B93" s="52" t="s">
        <v>297</v>
      </c>
      <c r="C93" s="41"/>
      <c r="D93" s="42"/>
      <c r="E93" s="190"/>
      <c r="F93" s="97"/>
      <c r="G93" s="128"/>
    </row>
    <row r="94" spans="1:7" x14ac:dyDescent="0.25">
      <c r="A94" s="187"/>
      <c r="B94" s="192"/>
      <c r="C94" s="188"/>
      <c r="D94" s="189"/>
      <c r="E94" s="190"/>
      <c r="F94" s="97"/>
      <c r="G94" s="128"/>
    </row>
    <row r="95" spans="1:7" x14ac:dyDescent="0.25">
      <c r="A95" s="39" t="s">
        <v>8</v>
      </c>
      <c r="B95" s="40" t="s">
        <v>298</v>
      </c>
      <c r="C95" s="41">
        <v>1689</v>
      </c>
      <c r="D95" s="42" t="s">
        <v>4</v>
      </c>
      <c r="E95" s="190">
        <v>224.16</v>
      </c>
      <c r="F95" s="97">
        <f>C95*E95</f>
        <v>378606.24</v>
      </c>
      <c r="G95" s="128" t="s">
        <v>1213</v>
      </c>
    </row>
    <row r="96" spans="1:7" x14ac:dyDescent="0.25">
      <c r="A96" s="187"/>
      <c r="B96" s="192"/>
      <c r="C96" s="188"/>
      <c r="D96" s="189"/>
      <c r="E96" s="190"/>
      <c r="F96" s="97"/>
      <c r="G96" s="128"/>
    </row>
    <row r="97" spans="1:7" x14ac:dyDescent="0.25">
      <c r="A97" s="39" t="s">
        <v>9</v>
      </c>
      <c r="B97" s="40" t="s">
        <v>300</v>
      </c>
      <c r="C97" s="41">
        <v>300</v>
      </c>
      <c r="D97" s="42" t="s">
        <v>4</v>
      </c>
      <c r="E97" s="190">
        <v>244.36</v>
      </c>
      <c r="F97" s="97">
        <f>C97*E97</f>
        <v>73308</v>
      </c>
      <c r="G97" s="128" t="s">
        <v>1213</v>
      </c>
    </row>
    <row r="98" spans="1:7" x14ac:dyDescent="0.25">
      <c r="A98" s="187"/>
      <c r="B98" s="192"/>
      <c r="C98" s="188"/>
      <c r="D98" s="189"/>
      <c r="E98" s="190"/>
      <c r="F98" s="97"/>
      <c r="G98" s="128"/>
    </row>
    <row r="99" spans="1:7" ht="27.6" x14ac:dyDescent="0.25">
      <c r="A99" s="39"/>
      <c r="B99" s="52" t="s">
        <v>301</v>
      </c>
      <c r="C99" s="41"/>
      <c r="D99" s="42"/>
      <c r="E99" s="190"/>
      <c r="F99" s="97"/>
      <c r="G99" s="128"/>
    </row>
    <row r="100" spans="1:7" x14ac:dyDescent="0.25">
      <c r="A100" s="187"/>
      <c r="B100" s="192"/>
      <c r="C100" s="188"/>
      <c r="D100" s="189"/>
      <c r="E100" s="190"/>
      <c r="F100" s="97"/>
      <c r="G100" s="128"/>
    </row>
    <row r="101" spans="1:7" ht="27.6" x14ac:dyDescent="0.25">
      <c r="A101" s="39" t="s">
        <v>10</v>
      </c>
      <c r="B101" s="40" t="s">
        <v>302</v>
      </c>
      <c r="C101" s="41">
        <v>41</v>
      </c>
      <c r="D101" s="42" t="s">
        <v>4</v>
      </c>
      <c r="E101" s="190">
        <v>3399.42</v>
      </c>
      <c r="F101" s="97">
        <f>C101*E101</f>
        <v>139376.22</v>
      </c>
      <c r="G101" s="128"/>
    </row>
    <row r="102" spans="1:7" x14ac:dyDescent="0.25">
      <c r="A102" s="187"/>
      <c r="B102" s="192"/>
      <c r="C102" s="188"/>
      <c r="D102" s="189"/>
      <c r="E102" s="190"/>
      <c r="F102" s="97"/>
      <c r="G102" s="128"/>
    </row>
    <row r="103" spans="1:7" ht="27.6" x14ac:dyDescent="0.25">
      <c r="A103" s="39"/>
      <c r="B103" s="52" t="s">
        <v>303</v>
      </c>
      <c r="C103" s="41"/>
      <c r="D103" s="42"/>
      <c r="E103" s="190"/>
      <c r="F103" s="97"/>
      <c r="G103" s="128"/>
    </row>
    <row r="104" spans="1:7" x14ac:dyDescent="0.25">
      <c r="A104" s="187"/>
      <c r="B104" s="192"/>
      <c r="C104" s="188"/>
      <c r="D104" s="189"/>
      <c r="E104" s="190"/>
      <c r="F104" s="97"/>
      <c r="G104" s="128"/>
    </row>
    <row r="105" spans="1:7" ht="55.2" x14ac:dyDescent="0.25">
      <c r="A105" s="39" t="s">
        <v>12</v>
      </c>
      <c r="B105" s="40" t="s">
        <v>304</v>
      </c>
      <c r="C105" s="41" t="s">
        <v>305</v>
      </c>
      <c r="D105" s="42" t="s">
        <v>11</v>
      </c>
      <c r="E105" s="190">
        <v>17436.79</v>
      </c>
      <c r="F105" s="139" t="s">
        <v>1207</v>
      </c>
      <c r="G105" s="139" t="s">
        <v>1229</v>
      </c>
    </row>
    <row r="106" spans="1:7" x14ac:dyDescent="0.25">
      <c r="A106" s="187"/>
      <c r="B106" s="192"/>
      <c r="C106" s="188"/>
      <c r="D106" s="189"/>
      <c r="E106" s="190"/>
      <c r="F106" s="97"/>
      <c r="G106" s="128"/>
    </row>
    <row r="107" spans="1:7" ht="27.6" x14ac:dyDescent="0.25">
      <c r="A107" s="39"/>
      <c r="B107" s="52" t="s">
        <v>306</v>
      </c>
      <c r="C107" s="41"/>
      <c r="D107" s="42"/>
      <c r="E107" s="190"/>
      <c r="F107" s="97"/>
      <c r="G107" s="128"/>
    </row>
    <row r="108" spans="1:7" s="111" customFormat="1" ht="55.2" x14ac:dyDescent="0.25">
      <c r="A108" s="106" t="s">
        <v>13</v>
      </c>
      <c r="B108" s="107" t="s">
        <v>304</v>
      </c>
      <c r="C108" s="108" t="s">
        <v>93</v>
      </c>
      <c r="D108" s="109" t="s">
        <v>11</v>
      </c>
      <c r="E108" s="226"/>
      <c r="F108" s="128" t="s">
        <v>1207</v>
      </c>
      <c r="G108" s="128"/>
    </row>
    <row r="109" spans="1:7" x14ac:dyDescent="0.25">
      <c r="A109" s="187"/>
      <c r="B109" s="192"/>
      <c r="C109" s="188"/>
      <c r="D109" s="189"/>
      <c r="E109" s="190"/>
      <c r="F109" s="97"/>
      <c r="G109" s="128"/>
    </row>
    <row r="110" spans="1:7" ht="27.6" x14ac:dyDescent="0.25">
      <c r="A110" s="39"/>
      <c r="B110" s="52" t="s">
        <v>307</v>
      </c>
      <c r="C110" s="41"/>
      <c r="D110" s="42"/>
      <c r="E110" s="190"/>
      <c r="F110" s="97"/>
      <c r="G110" s="128"/>
    </row>
    <row r="111" spans="1:7" x14ac:dyDescent="0.25">
      <c r="A111" s="39" t="s">
        <v>16</v>
      </c>
      <c r="B111" s="40" t="s">
        <v>308</v>
      </c>
      <c r="C111" s="41">
        <v>780</v>
      </c>
      <c r="D111" s="42" t="s">
        <v>4</v>
      </c>
      <c r="E111" s="190">
        <v>1265.3699999999999</v>
      </c>
      <c r="F111" s="97">
        <f>C111*E111</f>
        <v>986988.59999999986</v>
      </c>
      <c r="G111" s="128" t="s">
        <v>1217</v>
      </c>
    </row>
    <row r="112" spans="1:7" x14ac:dyDescent="0.25">
      <c r="A112" s="187"/>
      <c r="B112" s="192"/>
      <c r="C112" s="188"/>
      <c r="D112" s="189"/>
      <c r="E112" s="190"/>
      <c r="F112" s="97"/>
      <c r="G112" s="128"/>
    </row>
    <row r="113" spans="1:7" ht="39.6" x14ac:dyDescent="0.25">
      <c r="A113" s="39"/>
      <c r="B113" s="225" t="s">
        <v>1218</v>
      </c>
      <c r="C113" s="41"/>
      <c r="D113" s="42"/>
      <c r="E113" s="190"/>
      <c r="F113" s="97"/>
      <c r="G113" s="128"/>
    </row>
    <row r="114" spans="1:7" x14ac:dyDescent="0.25">
      <c r="A114" s="193"/>
      <c r="B114" s="194"/>
      <c r="C114" s="195"/>
      <c r="D114" s="196"/>
      <c r="E114" s="117"/>
      <c r="F114" s="98"/>
      <c r="G114" s="130"/>
    </row>
    <row r="115" spans="1:7" x14ac:dyDescent="0.25">
      <c r="A115" s="197"/>
      <c r="B115" s="198"/>
      <c r="C115" s="199" t="s">
        <v>51</v>
      </c>
      <c r="D115" s="199"/>
      <c r="E115" s="200" t="s">
        <v>50</v>
      </c>
      <c r="F115" s="99">
        <f>SUM(F83:F113)</f>
        <v>1789183.0999999999</v>
      </c>
      <c r="G115" s="131"/>
    </row>
    <row r="116" spans="1:7" x14ac:dyDescent="0.25">
      <c r="A116" s="197"/>
      <c r="B116" s="198"/>
      <c r="C116" s="201"/>
      <c r="D116" s="202"/>
      <c r="E116" s="118"/>
      <c r="F116" s="100"/>
      <c r="G116" s="132"/>
    </row>
    <row r="117" spans="1:7" x14ac:dyDescent="0.25">
      <c r="A117" s="187"/>
      <c r="B117" s="192"/>
      <c r="C117" s="188"/>
      <c r="D117" s="189"/>
      <c r="E117" s="190"/>
      <c r="F117" s="97"/>
      <c r="G117" s="128"/>
    </row>
    <row r="118" spans="1:7" x14ac:dyDescent="0.25">
      <c r="A118" s="187"/>
      <c r="B118" s="36" t="s">
        <v>309</v>
      </c>
      <c r="C118" s="188"/>
      <c r="D118" s="189"/>
      <c r="E118" s="190"/>
      <c r="F118" s="97"/>
      <c r="G118" s="128"/>
    </row>
    <row r="119" spans="1:7" x14ac:dyDescent="0.25">
      <c r="A119" s="187"/>
      <c r="B119" s="192"/>
      <c r="C119" s="188"/>
      <c r="D119" s="189"/>
      <c r="E119" s="190"/>
      <c r="F119" s="97"/>
      <c r="G119" s="128"/>
    </row>
    <row r="120" spans="1:7" x14ac:dyDescent="0.25">
      <c r="A120" s="39"/>
      <c r="B120" s="40" t="s">
        <v>28</v>
      </c>
      <c r="C120" s="41"/>
      <c r="D120" s="42"/>
      <c r="E120" s="190"/>
      <c r="F120" s="97"/>
      <c r="G120" s="128"/>
    </row>
    <row r="121" spans="1:7" x14ac:dyDescent="0.25">
      <c r="A121" s="187"/>
      <c r="B121" s="192"/>
      <c r="C121" s="188"/>
      <c r="D121" s="189"/>
      <c r="E121" s="190"/>
      <c r="F121" s="97"/>
      <c r="G121" s="128"/>
    </row>
    <row r="122" spans="1:7" ht="27.6" x14ac:dyDescent="0.25">
      <c r="A122" s="39"/>
      <c r="B122" s="40" t="s">
        <v>310</v>
      </c>
      <c r="C122" s="41"/>
      <c r="D122" s="42"/>
      <c r="E122" s="190"/>
      <c r="F122" s="97"/>
      <c r="G122" s="128"/>
    </row>
    <row r="123" spans="1:7" x14ac:dyDescent="0.25">
      <c r="A123" s="187"/>
      <c r="B123" s="192"/>
      <c r="C123" s="188"/>
      <c r="D123" s="189"/>
      <c r="E123" s="190"/>
      <c r="F123" s="97"/>
      <c r="G123" s="128"/>
    </row>
    <row r="124" spans="1:7" ht="27.6" x14ac:dyDescent="0.25">
      <c r="A124" s="39"/>
      <c r="B124" s="40" t="s">
        <v>311</v>
      </c>
      <c r="C124" s="41"/>
      <c r="D124" s="42"/>
      <c r="E124" s="190"/>
      <c r="F124" s="97"/>
      <c r="G124" s="128"/>
    </row>
    <row r="125" spans="1:7" x14ac:dyDescent="0.25">
      <c r="A125" s="187"/>
      <c r="B125" s="192"/>
      <c r="C125" s="188"/>
      <c r="D125" s="189"/>
      <c r="E125" s="190"/>
      <c r="F125" s="97"/>
      <c r="G125" s="128"/>
    </row>
    <row r="126" spans="1:7" x14ac:dyDescent="0.25">
      <c r="A126" s="39"/>
      <c r="B126" s="63" t="s">
        <v>312</v>
      </c>
      <c r="C126" s="41"/>
      <c r="D126" s="42"/>
      <c r="E126" s="190"/>
      <c r="F126" s="97"/>
      <c r="G126" s="128"/>
    </row>
    <row r="127" spans="1:7" x14ac:dyDescent="0.25">
      <c r="A127" s="187"/>
      <c r="B127" s="192"/>
      <c r="C127" s="188"/>
      <c r="D127" s="189"/>
      <c r="E127" s="190"/>
      <c r="F127" s="97"/>
      <c r="G127" s="128"/>
    </row>
    <row r="128" spans="1:7" ht="82.8" x14ac:dyDescent="0.25">
      <c r="A128" s="39"/>
      <c r="B128" s="52" t="s">
        <v>313</v>
      </c>
      <c r="C128" s="41"/>
      <c r="D128" s="42"/>
      <c r="E128" s="190"/>
      <c r="F128" s="97"/>
      <c r="G128" s="128"/>
    </row>
    <row r="129" spans="1:7" x14ac:dyDescent="0.25">
      <c r="A129" s="187"/>
      <c r="B129" s="192"/>
      <c r="C129" s="188"/>
      <c r="D129" s="189"/>
      <c r="E129" s="190"/>
      <c r="F129" s="97"/>
      <c r="G129" s="128"/>
    </row>
    <row r="130" spans="1:7" ht="27.6" x14ac:dyDescent="0.25">
      <c r="A130" s="39" t="s">
        <v>3</v>
      </c>
      <c r="B130" s="40" t="s">
        <v>314</v>
      </c>
      <c r="C130" s="41" t="s">
        <v>315</v>
      </c>
      <c r="D130" s="42" t="s">
        <v>4</v>
      </c>
      <c r="E130" s="190">
        <v>326.51</v>
      </c>
      <c r="F130" s="97">
        <f>C130*E130</f>
        <v>252392.22999999998</v>
      </c>
      <c r="G130" s="128"/>
    </row>
    <row r="131" spans="1:7" x14ac:dyDescent="0.25">
      <c r="A131" s="187"/>
      <c r="B131" s="192"/>
      <c r="C131" s="188"/>
      <c r="D131" s="189"/>
      <c r="E131" s="190"/>
      <c r="F131" s="97"/>
      <c r="G131" s="128"/>
    </row>
    <row r="132" spans="1:7" ht="55.2" x14ac:dyDescent="0.25">
      <c r="A132" s="39"/>
      <c r="B132" s="52" t="s">
        <v>316</v>
      </c>
      <c r="C132" s="41"/>
      <c r="D132" s="42"/>
      <c r="E132" s="190"/>
      <c r="F132" s="97"/>
      <c r="G132" s="128"/>
    </row>
    <row r="133" spans="1:7" x14ac:dyDescent="0.25">
      <c r="A133" s="187"/>
      <c r="B133" s="192"/>
      <c r="C133" s="188"/>
      <c r="D133" s="189"/>
      <c r="E133" s="190"/>
      <c r="F133" s="97"/>
      <c r="G133" s="128"/>
    </row>
    <row r="134" spans="1:7" x14ac:dyDescent="0.25">
      <c r="A134" s="39" t="s">
        <v>2</v>
      </c>
      <c r="B134" s="40" t="s">
        <v>317</v>
      </c>
      <c r="C134" s="41">
        <v>6419</v>
      </c>
      <c r="D134" s="42" t="s">
        <v>4</v>
      </c>
      <c r="E134" s="190">
        <v>73.59</v>
      </c>
      <c r="F134" s="97">
        <f>C134*E134</f>
        <v>472374.21</v>
      </c>
      <c r="G134" s="128"/>
    </row>
    <row r="135" spans="1:7" x14ac:dyDescent="0.25">
      <c r="A135" s="187"/>
      <c r="B135" s="192"/>
      <c r="C135" s="188"/>
      <c r="D135" s="189"/>
      <c r="E135" s="190"/>
      <c r="F135" s="97"/>
      <c r="G135" s="128"/>
    </row>
    <row r="136" spans="1:7" x14ac:dyDescent="0.25">
      <c r="A136" s="39" t="s">
        <v>5</v>
      </c>
      <c r="B136" s="40" t="s">
        <v>318</v>
      </c>
      <c r="C136" s="41">
        <v>570</v>
      </c>
      <c r="D136" s="42" t="s">
        <v>11</v>
      </c>
      <c r="E136" s="190">
        <v>47.31</v>
      </c>
      <c r="F136" s="97">
        <f>C136*E136</f>
        <v>26966.7</v>
      </c>
      <c r="G136" s="128"/>
    </row>
    <row r="137" spans="1:7" x14ac:dyDescent="0.25">
      <c r="A137" s="187"/>
      <c r="B137" s="192"/>
      <c r="C137" s="188"/>
      <c r="D137" s="189"/>
      <c r="E137" s="190"/>
      <c r="F137" s="97"/>
      <c r="G137" s="128"/>
    </row>
    <row r="138" spans="1:7" x14ac:dyDescent="0.25">
      <c r="A138" s="39" t="s">
        <v>8</v>
      </c>
      <c r="B138" s="40" t="s">
        <v>319</v>
      </c>
      <c r="C138" s="41">
        <v>110</v>
      </c>
      <c r="D138" s="42" t="s">
        <v>11</v>
      </c>
      <c r="E138" s="190">
        <v>89.36</v>
      </c>
      <c r="F138" s="97">
        <f>C138*E138</f>
        <v>9829.6</v>
      </c>
      <c r="G138" s="128"/>
    </row>
    <row r="139" spans="1:7" x14ac:dyDescent="0.25">
      <c r="A139" s="187"/>
      <c r="B139" s="192"/>
      <c r="C139" s="188"/>
      <c r="D139" s="189"/>
      <c r="E139" s="190"/>
      <c r="F139" s="97"/>
      <c r="G139" s="128"/>
    </row>
    <row r="140" spans="1:7" x14ac:dyDescent="0.25">
      <c r="A140" s="39" t="s">
        <v>9</v>
      </c>
      <c r="B140" s="40" t="s">
        <v>320</v>
      </c>
      <c r="C140" s="41">
        <v>243</v>
      </c>
      <c r="D140" s="42" t="s">
        <v>11</v>
      </c>
      <c r="E140" s="190">
        <v>126.16</v>
      </c>
      <c r="F140" s="97">
        <f>C140*E140</f>
        <v>30656.879999999997</v>
      </c>
      <c r="G140" s="128"/>
    </row>
    <row r="141" spans="1:7" x14ac:dyDescent="0.25">
      <c r="A141" s="187"/>
      <c r="B141" s="192"/>
      <c r="C141" s="188"/>
      <c r="D141" s="189"/>
      <c r="E141" s="190"/>
      <c r="F141" s="97"/>
      <c r="G141" s="128"/>
    </row>
    <row r="142" spans="1:7" x14ac:dyDescent="0.25">
      <c r="A142" s="39"/>
      <c r="B142" s="43"/>
      <c r="C142" s="41"/>
      <c r="D142" s="42"/>
      <c r="E142" s="190"/>
      <c r="F142" s="97"/>
      <c r="G142" s="128"/>
    </row>
    <row r="143" spans="1:7" x14ac:dyDescent="0.25">
      <c r="A143" s="39"/>
      <c r="B143" s="40"/>
      <c r="C143" s="41"/>
      <c r="D143" s="42"/>
      <c r="E143" s="190"/>
      <c r="F143" s="97"/>
      <c r="G143" s="128"/>
    </row>
    <row r="144" spans="1:7" x14ac:dyDescent="0.25">
      <c r="A144" s="39"/>
      <c r="B144" s="40"/>
      <c r="C144" s="41"/>
      <c r="D144" s="42"/>
      <c r="E144" s="190"/>
      <c r="F144" s="97"/>
      <c r="G144" s="128"/>
    </row>
    <row r="145" spans="1:7" x14ac:dyDescent="0.25">
      <c r="A145" s="39"/>
      <c r="B145" s="40"/>
      <c r="C145" s="41"/>
      <c r="D145" s="42"/>
      <c r="E145" s="190"/>
      <c r="F145" s="97"/>
      <c r="G145" s="128"/>
    </row>
    <row r="146" spans="1:7" x14ac:dyDescent="0.25">
      <c r="A146" s="39"/>
      <c r="B146" s="40"/>
      <c r="C146" s="41"/>
      <c r="D146" s="42"/>
      <c r="E146" s="190"/>
      <c r="F146" s="97"/>
      <c r="G146" s="128"/>
    </row>
    <row r="147" spans="1:7" x14ac:dyDescent="0.25">
      <c r="A147" s="39"/>
      <c r="B147" s="40"/>
      <c r="C147" s="41"/>
      <c r="D147" s="42"/>
      <c r="E147" s="190"/>
      <c r="F147" s="97"/>
      <c r="G147" s="128"/>
    </row>
    <row r="148" spans="1:7" x14ac:dyDescent="0.25">
      <c r="A148" s="39"/>
      <c r="B148" s="40"/>
      <c r="C148" s="41"/>
      <c r="D148" s="42"/>
      <c r="E148" s="190"/>
      <c r="F148" s="97"/>
      <c r="G148" s="128"/>
    </row>
    <row r="149" spans="1:7" x14ac:dyDescent="0.25">
      <c r="A149" s="39"/>
      <c r="B149" s="40"/>
      <c r="C149" s="41"/>
      <c r="D149" s="42"/>
      <c r="E149" s="190"/>
      <c r="F149" s="97"/>
      <c r="G149" s="128"/>
    </row>
    <row r="150" spans="1:7" x14ac:dyDescent="0.25">
      <c r="A150" s="39"/>
      <c r="B150" s="40"/>
      <c r="C150" s="41"/>
      <c r="D150" s="42"/>
      <c r="E150" s="190"/>
      <c r="F150" s="97"/>
      <c r="G150" s="128"/>
    </row>
    <row r="151" spans="1:7" x14ac:dyDescent="0.25">
      <c r="A151" s="187"/>
      <c r="B151" s="192"/>
      <c r="C151" s="188"/>
      <c r="D151" s="189"/>
      <c r="E151" s="190"/>
      <c r="F151" s="97"/>
      <c r="G151" s="128"/>
    </row>
    <row r="152" spans="1:7" x14ac:dyDescent="0.25">
      <c r="A152" s="39"/>
      <c r="B152" s="43"/>
      <c r="C152" s="41"/>
      <c r="D152" s="42"/>
      <c r="E152" s="190"/>
      <c r="F152" s="97"/>
      <c r="G152" s="128"/>
    </row>
    <row r="153" spans="1:7" x14ac:dyDescent="0.25">
      <c r="A153" s="193"/>
      <c r="B153" s="194"/>
      <c r="C153" s="195"/>
      <c r="D153" s="196"/>
      <c r="E153" s="117"/>
      <c r="F153" s="98"/>
      <c r="G153" s="130"/>
    </row>
    <row r="154" spans="1:7" x14ac:dyDescent="0.25">
      <c r="A154" s="197"/>
      <c r="B154" s="198"/>
      <c r="C154" s="199" t="s">
        <v>51</v>
      </c>
      <c r="D154" s="199"/>
      <c r="E154" s="200" t="s">
        <v>50</v>
      </c>
      <c r="F154" s="99">
        <f>SUM(F126:F149)</f>
        <v>792219.61999999988</v>
      </c>
      <c r="G154" s="131"/>
    </row>
    <row r="155" spans="1:7" x14ac:dyDescent="0.25">
      <c r="A155" s="197"/>
      <c r="B155" s="198"/>
      <c r="C155" s="201"/>
      <c r="D155" s="202"/>
      <c r="E155" s="118"/>
      <c r="F155" s="100"/>
      <c r="G155" s="132"/>
    </row>
    <row r="156" spans="1:7" x14ac:dyDescent="0.25">
      <c r="A156" s="192"/>
      <c r="B156" s="33"/>
      <c r="C156" s="192"/>
      <c r="D156" s="203"/>
      <c r="E156" s="190"/>
      <c r="F156" s="97"/>
      <c r="G156" s="128"/>
    </row>
    <row r="157" spans="1:7" x14ac:dyDescent="0.25">
      <c r="A157" s="187"/>
      <c r="B157" s="36" t="s">
        <v>321</v>
      </c>
      <c r="C157" s="188"/>
      <c r="D157" s="189"/>
      <c r="E157" s="190"/>
      <c r="F157" s="97"/>
      <c r="G157" s="128"/>
    </row>
    <row r="158" spans="1:7" x14ac:dyDescent="0.25">
      <c r="A158" s="187"/>
      <c r="B158" s="192"/>
      <c r="C158" s="188"/>
      <c r="D158" s="189"/>
      <c r="E158" s="190"/>
      <c r="F158" s="97"/>
      <c r="G158" s="128"/>
    </row>
    <row r="159" spans="1:7" x14ac:dyDescent="0.25">
      <c r="A159" s="39"/>
      <c r="B159" s="40" t="s">
        <v>28</v>
      </c>
      <c r="C159" s="41"/>
      <c r="D159" s="42"/>
      <c r="E159" s="190"/>
      <c r="F159" s="97"/>
      <c r="G159" s="128"/>
    </row>
    <row r="160" spans="1:7" x14ac:dyDescent="0.25">
      <c r="A160" s="187"/>
      <c r="B160" s="192"/>
      <c r="C160" s="188"/>
      <c r="D160" s="189"/>
      <c r="E160" s="190"/>
      <c r="F160" s="97"/>
      <c r="G160" s="128"/>
    </row>
    <row r="161" spans="1:7" ht="27.6" x14ac:dyDescent="0.25">
      <c r="A161" s="39"/>
      <c r="B161" s="40" t="s">
        <v>268</v>
      </c>
      <c r="C161" s="41"/>
      <c r="D161" s="42"/>
      <c r="E161" s="190"/>
      <c r="F161" s="97"/>
      <c r="G161" s="128"/>
    </row>
    <row r="162" spans="1:7" x14ac:dyDescent="0.25">
      <c r="A162" s="187"/>
      <c r="B162" s="192"/>
      <c r="C162" s="188"/>
      <c r="D162" s="189"/>
      <c r="E162" s="190"/>
      <c r="F162" s="97"/>
      <c r="G162" s="128"/>
    </row>
    <row r="163" spans="1:7" x14ac:dyDescent="0.25">
      <c r="A163" s="39"/>
      <c r="B163" s="63" t="s">
        <v>269</v>
      </c>
      <c r="C163" s="41"/>
      <c r="D163" s="42"/>
      <c r="E163" s="190"/>
      <c r="F163" s="97"/>
      <c r="G163" s="128"/>
    </row>
    <row r="164" spans="1:7" x14ac:dyDescent="0.25">
      <c r="A164" s="187"/>
      <c r="B164" s="192"/>
      <c r="C164" s="188"/>
      <c r="D164" s="189"/>
      <c r="E164" s="190"/>
      <c r="F164" s="97"/>
      <c r="G164" s="128"/>
    </row>
    <row r="165" spans="1:7" x14ac:dyDescent="0.25">
      <c r="A165" s="39"/>
      <c r="B165" s="40" t="s">
        <v>270</v>
      </c>
      <c r="C165" s="41"/>
      <c r="D165" s="42"/>
      <c r="E165" s="190"/>
      <c r="F165" s="97"/>
      <c r="G165" s="128"/>
    </row>
    <row r="166" spans="1:7" x14ac:dyDescent="0.25">
      <c r="A166" s="187"/>
      <c r="B166" s="192"/>
      <c r="C166" s="188"/>
      <c r="D166" s="189"/>
      <c r="E166" s="190"/>
      <c r="F166" s="97"/>
      <c r="G166" s="128"/>
    </row>
    <row r="167" spans="1:7" ht="27.6" x14ac:dyDescent="0.25">
      <c r="A167" s="39"/>
      <c r="B167" s="40" t="s">
        <v>271</v>
      </c>
      <c r="C167" s="41"/>
      <c r="D167" s="42"/>
      <c r="E167" s="190"/>
      <c r="F167" s="97"/>
      <c r="G167" s="128"/>
    </row>
    <row r="168" spans="1:7" x14ac:dyDescent="0.25">
      <c r="A168" s="187"/>
      <c r="B168" s="192"/>
      <c r="C168" s="188"/>
      <c r="D168" s="189"/>
      <c r="E168" s="190"/>
      <c r="F168" s="97"/>
      <c r="G168" s="128"/>
    </row>
    <row r="169" spans="1:7" ht="27.6" x14ac:dyDescent="0.25">
      <c r="A169" s="39"/>
      <c r="B169" s="40" t="s">
        <v>272</v>
      </c>
      <c r="C169" s="41"/>
      <c r="D169" s="42"/>
      <c r="E169" s="190"/>
      <c r="F169" s="97"/>
      <c r="G169" s="128"/>
    </row>
    <row r="170" spans="1:7" x14ac:dyDescent="0.25">
      <c r="A170" s="187"/>
      <c r="B170" s="192"/>
      <c r="C170" s="188"/>
      <c r="D170" s="189"/>
      <c r="E170" s="190"/>
      <c r="F170" s="97"/>
      <c r="G170" s="128"/>
    </row>
    <row r="171" spans="1:7" ht="41.4" x14ac:dyDescent="0.25">
      <c r="A171" s="39"/>
      <c r="B171" s="52" t="s">
        <v>322</v>
      </c>
      <c r="C171" s="41"/>
      <c r="D171" s="42"/>
      <c r="E171" s="190"/>
      <c r="F171" s="97"/>
      <c r="G171" s="128"/>
    </row>
    <row r="172" spans="1:7" x14ac:dyDescent="0.25">
      <c r="A172" s="187"/>
      <c r="B172" s="192"/>
      <c r="C172" s="188"/>
      <c r="D172" s="189"/>
      <c r="E172" s="190"/>
      <c r="F172" s="97"/>
      <c r="G172" s="128"/>
    </row>
    <row r="173" spans="1:7" x14ac:dyDescent="0.25">
      <c r="A173" s="39" t="s">
        <v>3</v>
      </c>
      <c r="B173" s="40" t="s">
        <v>323</v>
      </c>
      <c r="C173" s="41">
        <v>1937</v>
      </c>
      <c r="D173" s="42" t="s">
        <v>4</v>
      </c>
      <c r="E173" s="190">
        <v>33.76</v>
      </c>
      <c r="F173" s="97">
        <f>C173*E173</f>
        <v>65393.119999999995</v>
      </c>
      <c r="G173" s="128"/>
    </row>
    <row r="174" spans="1:7" x14ac:dyDescent="0.25">
      <c r="A174" s="187"/>
      <c r="B174" s="192"/>
      <c r="C174" s="188"/>
      <c r="D174" s="189"/>
      <c r="E174" s="190"/>
      <c r="F174" s="97"/>
      <c r="G174" s="128"/>
    </row>
    <row r="175" spans="1:7" x14ac:dyDescent="0.25">
      <c r="A175" s="39" t="s">
        <v>2</v>
      </c>
      <c r="B175" s="40" t="s">
        <v>324</v>
      </c>
      <c r="C175" s="41">
        <v>1571</v>
      </c>
      <c r="D175" s="42" t="s">
        <v>4</v>
      </c>
      <c r="E175" s="190">
        <v>35.81</v>
      </c>
      <c r="F175" s="97">
        <f>C175*E175</f>
        <v>56257.51</v>
      </c>
      <c r="G175" s="128"/>
    </row>
    <row r="176" spans="1:7" x14ac:dyDescent="0.25">
      <c r="A176" s="187"/>
      <c r="B176" s="192"/>
      <c r="C176" s="188"/>
      <c r="D176" s="189"/>
      <c r="E176" s="190"/>
      <c r="F176" s="97"/>
      <c r="G176" s="128"/>
    </row>
    <row r="177" spans="1:7" x14ac:dyDescent="0.25">
      <c r="A177" s="39" t="s">
        <v>5</v>
      </c>
      <c r="B177" s="40" t="s">
        <v>325</v>
      </c>
      <c r="C177" s="41">
        <v>605</v>
      </c>
      <c r="D177" s="42" t="s">
        <v>11</v>
      </c>
      <c r="E177" s="190">
        <v>14.32</v>
      </c>
      <c r="F177" s="97">
        <f>C177*E177</f>
        <v>8663.6</v>
      </c>
      <c r="G177" s="128"/>
    </row>
    <row r="178" spans="1:7" x14ac:dyDescent="0.25">
      <c r="A178" s="187"/>
      <c r="B178" s="192"/>
      <c r="C178" s="188"/>
      <c r="D178" s="189"/>
      <c r="E178" s="190"/>
      <c r="F178" s="97"/>
      <c r="G178" s="128"/>
    </row>
    <row r="179" spans="1:7" ht="27.6" x14ac:dyDescent="0.25">
      <c r="A179" s="39"/>
      <c r="B179" s="52" t="s">
        <v>326</v>
      </c>
      <c r="C179" s="41"/>
      <c r="D179" s="42"/>
      <c r="E179" s="190"/>
      <c r="F179" s="97"/>
      <c r="G179" s="128"/>
    </row>
    <row r="180" spans="1:7" x14ac:dyDescent="0.25">
      <c r="A180" s="187"/>
      <c r="B180" s="192"/>
      <c r="C180" s="188"/>
      <c r="D180" s="189"/>
      <c r="E180" s="190"/>
      <c r="F180" s="97"/>
      <c r="G180" s="128"/>
    </row>
    <row r="181" spans="1:7" x14ac:dyDescent="0.25">
      <c r="A181" s="39" t="s">
        <v>8</v>
      </c>
      <c r="B181" s="40" t="s">
        <v>327</v>
      </c>
      <c r="C181" s="41">
        <v>1240</v>
      </c>
      <c r="D181" s="42" t="s">
        <v>4</v>
      </c>
      <c r="E181" s="190">
        <v>15.51</v>
      </c>
      <c r="F181" s="97">
        <f>C181*E181</f>
        <v>19232.400000000001</v>
      </c>
      <c r="G181" s="128"/>
    </row>
    <row r="182" spans="1:7" x14ac:dyDescent="0.25">
      <c r="A182" s="187"/>
      <c r="B182" s="192"/>
      <c r="C182" s="188"/>
      <c r="D182" s="189"/>
      <c r="E182" s="190"/>
      <c r="F182" s="97"/>
      <c r="G182" s="128"/>
    </row>
    <row r="183" spans="1:7" x14ac:dyDescent="0.25">
      <c r="A183" s="39" t="s">
        <v>9</v>
      </c>
      <c r="B183" s="40" t="s">
        <v>328</v>
      </c>
      <c r="C183" s="41">
        <v>1713</v>
      </c>
      <c r="D183" s="42" t="s">
        <v>4</v>
      </c>
      <c r="E183" s="190">
        <v>15.51</v>
      </c>
      <c r="F183" s="97">
        <f>C183*E183</f>
        <v>26568.63</v>
      </c>
      <c r="G183" s="128"/>
    </row>
    <row r="184" spans="1:7" x14ac:dyDescent="0.25">
      <c r="A184" s="187"/>
      <c r="B184" s="192"/>
      <c r="C184" s="188"/>
      <c r="D184" s="189"/>
      <c r="E184" s="190"/>
      <c r="F184" s="97"/>
      <c r="G184" s="128"/>
    </row>
    <row r="185" spans="1:7" x14ac:dyDescent="0.25">
      <c r="A185" s="39" t="s">
        <v>10</v>
      </c>
      <c r="B185" s="40" t="s">
        <v>329</v>
      </c>
      <c r="C185" s="41">
        <v>6487</v>
      </c>
      <c r="D185" s="42" t="s">
        <v>4</v>
      </c>
      <c r="E185" s="190">
        <v>15.51</v>
      </c>
      <c r="F185" s="97">
        <f>C185*E185</f>
        <v>100613.37</v>
      </c>
      <c r="G185" s="128"/>
    </row>
    <row r="186" spans="1:7" x14ac:dyDescent="0.25">
      <c r="A186" s="187"/>
      <c r="B186" s="192"/>
      <c r="C186" s="188"/>
      <c r="D186" s="189"/>
      <c r="E186" s="190"/>
      <c r="F186" s="97"/>
      <c r="G186" s="128"/>
    </row>
    <row r="187" spans="1:7" x14ac:dyDescent="0.25">
      <c r="A187" s="39" t="s">
        <v>12</v>
      </c>
      <c r="B187" s="40" t="s">
        <v>330</v>
      </c>
      <c r="C187" s="41">
        <v>34</v>
      </c>
      <c r="D187" s="42" t="s">
        <v>4</v>
      </c>
      <c r="E187" s="190">
        <v>15.51</v>
      </c>
      <c r="F187" s="97">
        <f>C187*E187</f>
        <v>527.34</v>
      </c>
      <c r="G187" s="128"/>
    </row>
    <row r="188" spans="1:7" x14ac:dyDescent="0.25">
      <c r="A188" s="187"/>
      <c r="B188" s="192"/>
      <c r="C188" s="188"/>
      <c r="D188" s="189"/>
      <c r="E188" s="190"/>
      <c r="F188" s="97"/>
      <c r="G188" s="128"/>
    </row>
    <row r="189" spans="1:7" x14ac:dyDescent="0.25">
      <c r="A189" s="39" t="s">
        <v>13</v>
      </c>
      <c r="B189" s="40" t="s">
        <v>331</v>
      </c>
      <c r="C189" s="41">
        <v>97</v>
      </c>
      <c r="D189" s="42" t="s">
        <v>4</v>
      </c>
      <c r="E189" s="190">
        <v>15.51</v>
      </c>
      <c r="F189" s="97">
        <f>C189*E189</f>
        <v>1504.47</v>
      </c>
      <c r="G189" s="128"/>
    </row>
    <row r="190" spans="1:7" x14ac:dyDescent="0.25">
      <c r="A190" s="39"/>
      <c r="B190" s="40"/>
      <c r="C190" s="41"/>
      <c r="D190" s="42"/>
      <c r="E190" s="190"/>
      <c r="F190" s="97"/>
      <c r="G190" s="128"/>
    </row>
    <row r="191" spans="1:7" x14ac:dyDescent="0.25">
      <c r="A191" s="39"/>
      <c r="B191" s="43"/>
      <c r="C191" s="41"/>
      <c r="D191" s="42"/>
      <c r="E191" s="190"/>
      <c r="F191" s="97"/>
      <c r="G191" s="128"/>
    </row>
    <row r="192" spans="1:7" x14ac:dyDescent="0.25">
      <c r="A192" s="187"/>
      <c r="B192" s="192"/>
      <c r="C192" s="188"/>
      <c r="D192" s="189"/>
      <c r="E192" s="190"/>
      <c r="F192" s="97"/>
      <c r="G192" s="128"/>
    </row>
    <row r="193" spans="1:7" x14ac:dyDescent="0.25">
      <c r="A193" s="192"/>
      <c r="B193" s="33"/>
      <c r="C193" s="192"/>
      <c r="D193" s="203"/>
      <c r="E193" s="190"/>
      <c r="F193" s="97"/>
      <c r="G193" s="128"/>
    </row>
    <row r="194" spans="1:7" x14ac:dyDescent="0.25">
      <c r="A194" s="192"/>
      <c r="B194" s="33"/>
      <c r="C194" s="192"/>
      <c r="D194" s="203"/>
      <c r="E194" s="190"/>
      <c r="F194" s="97"/>
      <c r="G194" s="128"/>
    </row>
    <row r="195" spans="1:7" x14ac:dyDescent="0.25">
      <c r="A195" s="192"/>
      <c r="B195" s="33"/>
      <c r="C195" s="192"/>
      <c r="D195" s="203"/>
      <c r="E195" s="190"/>
      <c r="F195" s="97"/>
      <c r="G195" s="128"/>
    </row>
    <row r="196" spans="1:7" x14ac:dyDescent="0.25">
      <c r="A196" s="192"/>
      <c r="B196" s="33"/>
      <c r="C196" s="192"/>
      <c r="D196" s="203"/>
      <c r="E196" s="190"/>
      <c r="F196" s="97"/>
      <c r="G196" s="128"/>
    </row>
    <row r="197" spans="1:7" x14ac:dyDescent="0.25">
      <c r="A197" s="193"/>
      <c r="B197" s="194"/>
      <c r="C197" s="195"/>
      <c r="D197" s="196"/>
      <c r="E197" s="117"/>
      <c r="F197" s="98"/>
      <c r="G197" s="130"/>
    </row>
    <row r="198" spans="1:7" x14ac:dyDescent="0.25">
      <c r="A198" s="197"/>
      <c r="B198" s="198"/>
      <c r="C198" s="199" t="s">
        <v>51</v>
      </c>
      <c r="D198" s="199"/>
      <c r="E198" s="200" t="s">
        <v>50</v>
      </c>
      <c r="F198" s="99">
        <f>SUM(F171:F192)</f>
        <v>278760.44</v>
      </c>
      <c r="G198" s="131"/>
    </row>
    <row r="199" spans="1:7" x14ac:dyDescent="0.25">
      <c r="A199" s="197"/>
      <c r="B199" s="198"/>
      <c r="C199" s="201"/>
      <c r="D199" s="202"/>
      <c r="E199" s="118"/>
      <c r="F199" s="100"/>
      <c r="G199" s="132"/>
    </row>
    <row r="200" spans="1:7" x14ac:dyDescent="0.25">
      <c r="A200" s="192"/>
      <c r="B200" s="33"/>
      <c r="C200" s="192"/>
      <c r="D200" s="203"/>
      <c r="E200" s="190"/>
      <c r="F200" s="97"/>
      <c r="G200" s="128"/>
    </row>
    <row r="201" spans="1:7" x14ac:dyDescent="0.25">
      <c r="A201" s="187"/>
      <c r="B201" s="36" t="s">
        <v>20</v>
      </c>
      <c r="C201" s="188"/>
      <c r="D201" s="189"/>
      <c r="E201" s="190"/>
      <c r="F201" s="97"/>
      <c r="G201" s="128"/>
    </row>
    <row r="202" spans="1:7" x14ac:dyDescent="0.25">
      <c r="A202" s="187"/>
      <c r="B202" s="192"/>
      <c r="C202" s="188"/>
      <c r="D202" s="189"/>
      <c r="E202" s="190"/>
      <c r="F202" s="97"/>
      <c r="G202" s="128"/>
    </row>
    <row r="203" spans="1:7" ht="69" x14ac:dyDescent="0.25">
      <c r="A203" s="39"/>
      <c r="B203" s="40" t="s">
        <v>119</v>
      </c>
      <c r="C203" s="41"/>
      <c r="D203" s="42"/>
      <c r="E203" s="190"/>
      <c r="F203" s="97"/>
      <c r="G203" s="128"/>
    </row>
    <row r="204" spans="1:7" x14ac:dyDescent="0.25">
      <c r="A204" s="39"/>
      <c r="B204" s="40"/>
      <c r="C204" s="41"/>
      <c r="D204" s="42"/>
      <c r="E204" s="190"/>
      <c r="F204" s="97"/>
      <c r="G204" s="128"/>
    </row>
    <row r="205" spans="1:7" ht="14.4" x14ac:dyDescent="0.25">
      <c r="A205" s="221"/>
      <c r="B205" s="227" t="s">
        <v>1237</v>
      </c>
      <c r="C205" s="221"/>
      <c r="D205" s="222"/>
      <c r="E205" s="190"/>
      <c r="F205" s="97"/>
      <c r="G205" s="128"/>
    </row>
    <row r="206" spans="1:7" x14ac:dyDescent="0.25">
      <c r="A206" s="221"/>
      <c r="B206" s="105"/>
      <c r="C206" s="221"/>
      <c r="D206" s="222"/>
      <c r="E206" s="190"/>
      <c r="F206" s="97"/>
      <c r="G206" s="128"/>
    </row>
    <row r="207" spans="1:7" ht="27.6" x14ac:dyDescent="0.25">
      <c r="A207" s="106" t="s">
        <v>3</v>
      </c>
      <c r="B207" s="107" t="s">
        <v>1193</v>
      </c>
      <c r="C207" s="108">
        <v>5114</v>
      </c>
      <c r="D207" s="109" t="s">
        <v>4</v>
      </c>
      <c r="E207" s="190">
        <v>114.38</v>
      </c>
      <c r="F207" s="97">
        <f>C207*E207</f>
        <v>584939.31999999995</v>
      </c>
      <c r="G207" s="128"/>
    </row>
    <row r="208" spans="1:7" x14ac:dyDescent="0.25">
      <c r="A208" s="106"/>
      <c r="B208" s="107"/>
      <c r="C208" s="221"/>
      <c r="D208" s="109"/>
      <c r="E208" s="190"/>
      <c r="F208" s="97"/>
      <c r="G208" s="128"/>
    </row>
    <row r="209" spans="1:7" ht="27.6" x14ac:dyDescent="0.25">
      <c r="A209" s="106" t="s">
        <v>2</v>
      </c>
      <c r="B209" s="107" t="s">
        <v>1238</v>
      </c>
      <c r="C209" s="108">
        <v>1492</v>
      </c>
      <c r="D209" s="109" t="s">
        <v>4</v>
      </c>
      <c r="E209" s="190">
        <v>114.38</v>
      </c>
      <c r="F209" s="97">
        <f>C209*E209</f>
        <v>170654.96</v>
      </c>
      <c r="G209" s="128"/>
    </row>
    <row r="210" spans="1:7" x14ac:dyDescent="0.25">
      <c r="A210" s="221"/>
      <c r="B210" s="105"/>
      <c r="C210" s="108"/>
      <c r="D210" s="109"/>
      <c r="E210" s="190"/>
      <c r="F210" s="97"/>
      <c r="G210" s="128"/>
    </row>
    <row r="211" spans="1:7" ht="27.6" x14ac:dyDescent="0.25">
      <c r="A211" s="106" t="s">
        <v>5</v>
      </c>
      <c r="B211" s="107" t="s">
        <v>1239</v>
      </c>
      <c r="C211" s="108">
        <v>5282</v>
      </c>
      <c r="D211" s="109" t="s">
        <v>4</v>
      </c>
      <c r="E211" s="190">
        <v>21.81</v>
      </c>
      <c r="F211" s="97">
        <f>C211*E211</f>
        <v>115200.42</v>
      </c>
      <c r="G211" s="128"/>
    </row>
    <row r="212" spans="1:7" x14ac:dyDescent="0.25">
      <c r="A212" s="221"/>
      <c r="B212" s="105"/>
      <c r="C212" s="108"/>
      <c r="D212" s="109"/>
      <c r="E212" s="190"/>
      <c r="F212" s="97"/>
      <c r="G212" s="128"/>
    </row>
    <row r="213" spans="1:7" ht="14.4" x14ac:dyDescent="0.25">
      <c r="A213" s="221"/>
      <c r="B213" s="227" t="s">
        <v>1240</v>
      </c>
      <c r="C213" s="108"/>
      <c r="D213" s="109"/>
      <c r="E213" s="190"/>
      <c r="F213" s="97"/>
      <c r="G213" s="128"/>
    </row>
    <row r="214" spans="1:7" x14ac:dyDescent="0.25">
      <c r="A214" s="221"/>
      <c r="B214" s="105"/>
      <c r="C214" s="108"/>
      <c r="D214" s="109"/>
      <c r="E214" s="190"/>
      <c r="F214" s="97"/>
      <c r="G214" s="128"/>
    </row>
    <row r="215" spans="1:7" ht="31.2" customHeight="1" x14ac:dyDescent="0.25">
      <c r="A215" s="106"/>
      <c r="B215" s="120" t="s">
        <v>276</v>
      </c>
      <c r="C215" s="108"/>
      <c r="D215" s="109"/>
      <c r="E215" s="190"/>
      <c r="F215" s="97"/>
      <c r="G215" s="128"/>
    </row>
    <row r="216" spans="1:7" x14ac:dyDescent="0.25">
      <c r="A216" s="106"/>
      <c r="B216" s="105"/>
      <c r="C216" s="108"/>
      <c r="D216" s="109"/>
      <c r="E216" s="190"/>
      <c r="F216" s="97"/>
      <c r="G216" s="128"/>
    </row>
    <row r="217" spans="1:7" ht="41.4" x14ac:dyDescent="0.25">
      <c r="A217" s="106" t="s">
        <v>8</v>
      </c>
      <c r="B217" s="120" t="s">
        <v>1201</v>
      </c>
      <c r="C217" s="108">
        <v>1560</v>
      </c>
      <c r="D217" s="109" t="s">
        <v>4</v>
      </c>
      <c r="E217" s="190">
        <v>48.05</v>
      </c>
      <c r="F217" s="97">
        <f>C217*E217</f>
        <v>74958</v>
      </c>
      <c r="G217" s="128"/>
    </row>
    <row r="218" spans="1:7" x14ac:dyDescent="0.25">
      <c r="A218" s="106"/>
      <c r="B218" s="105"/>
      <c r="C218" s="108"/>
      <c r="D218" s="109"/>
      <c r="E218" s="190"/>
      <c r="F218" s="97"/>
      <c r="G218" s="128"/>
    </row>
    <row r="219" spans="1:7" ht="27.6" x14ac:dyDescent="0.25">
      <c r="A219" s="106"/>
      <c r="B219" s="122" t="s">
        <v>326</v>
      </c>
      <c r="C219" s="108"/>
      <c r="D219" s="109"/>
      <c r="E219" s="190"/>
      <c r="F219" s="97"/>
      <c r="G219" s="128"/>
    </row>
    <row r="220" spans="1:7" x14ac:dyDescent="0.25">
      <c r="A220" s="106"/>
      <c r="B220" s="121"/>
      <c r="C220" s="108"/>
      <c r="D220" s="109"/>
      <c r="E220" s="190"/>
      <c r="F220" s="97"/>
      <c r="G220" s="128"/>
    </row>
    <row r="221" spans="1:7" ht="41.4" x14ac:dyDescent="0.25">
      <c r="A221" s="106" t="s">
        <v>9</v>
      </c>
      <c r="B221" s="122" t="s">
        <v>1202</v>
      </c>
      <c r="C221" s="108">
        <v>1560</v>
      </c>
      <c r="D221" s="109" t="s">
        <v>4</v>
      </c>
      <c r="E221" s="190">
        <v>15.51</v>
      </c>
      <c r="F221" s="97">
        <f>C221*E221</f>
        <v>24195.599999999999</v>
      </c>
      <c r="G221" s="128"/>
    </row>
    <row r="222" spans="1:7" x14ac:dyDescent="0.25">
      <c r="A222" s="221"/>
      <c r="B222" s="121"/>
      <c r="C222" s="108"/>
      <c r="D222" s="109"/>
      <c r="E222" s="190"/>
      <c r="F222" s="97"/>
      <c r="G222" s="128"/>
    </row>
    <row r="223" spans="1:7" ht="27.6" x14ac:dyDescent="0.25">
      <c r="A223" s="221"/>
      <c r="B223" s="122" t="s">
        <v>303</v>
      </c>
      <c r="C223" s="108"/>
      <c r="D223" s="109"/>
      <c r="E223" s="190"/>
      <c r="F223" s="97"/>
      <c r="G223" s="128"/>
    </row>
    <row r="224" spans="1:7" x14ac:dyDescent="0.25">
      <c r="A224" s="221"/>
      <c r="B224" s="121"/>
      <c r="C224" s="108"/>
      <c r="D224" s="109"/>
      <c r="E224" s="190"/>
      <c r="F224" s="97"/>
      <c r="G224" s="128"/>
    </row>
    <row r="225" spans="1:7" ht="27.6" x14ac:dyDescent="0.25">
      <c r="A225" s="228" t="s">
        <v>10</v>
      </c>
      <c r="B225" s="122" t="s">
        <v>304</v>
      </c>
      <c r="C225" s="108">
        <v>1</v>
      </c>
      <c r="D225" s="109" t="s">
        <v>11</v>
      </c>
      <c r="E225" s="190">
        <v>17436.79</v>
      </c>
      <c r="F225" s="97" t="s">
        <v>1235</v>
      </c>
      <c r="G225" s="128" t="s">
        <v>1236</v>
      </c>
    </row>
    <row r="226" spans="1:7" x14ac:dyDescent="0.25">
      <c r="A226" s="221"/>
      <c r="B226" s="121"/>
      <c r="C226" s="108"/>
      <c r="D226" s="109"/>
      <c r="E226" s="190"/>
      <c r="F226" s="97"/>
      <c r="G226" s="128"/>
    </row>
    <row r="227" spans="1:7" ht="14.4" x14ac:dyDescent="0.25">
      <c r="A227" s="221"/>
      <c r="B227" s="227" t="s">
        <v>1187</v>
      </c>
      <c r="C227" s="108"/>
      <c r="D227" s="109"/>
      <c r="E227" s="190"/>
      <c r="F227" s="97"/>
      <c r="G227" s="128"/>
    </row>
    <row r="228" spans="1:7" x14ac:dyDescent="0.25">
      <c r="A228" s="221"/>
      <c r="B228" s="105"/>
      <c r="C228" s="108"/>
      <c r="D228" s="109"/>
      <c r="E228" s="190"/>
      <c r="F228" s="97"/>
      <c r="G228" s="128"/>
    </row>
    <row r="229" spans="1:7" ht="27.6" x14ac:dyDescent="0.25">
      <c r="A229" s="155"/>
      <c r="B229" s="156" t="s">
        <v>1188</v>
      </c>
      <c r="C229" s="157">
        <v>1</v>
      </c>
      <c r="D229" s="158" t="s">
        <v>1189</v>
      </c>
      <c r="E229" s="216"/>
      <c r="F229" s="147">
        <f>C229*E229</f>
        <v>0</v>
      </c>
      <c r="G229" s="150"/>
    </row>
    <row r="230" spans="1:7" x14ac:dyDescent="0.25">
      <c r="A230" s="205"/>
      <c r="B230" s="60"/>
      <c r="C230" s="41"/>
      <c r="D230" s="42"/>
      <c r="E230" s="190"/>
      <c r="F230" s="97"/>
      <c r="G230" s="128"/>
    </row>
    <row r="231" spans="1:7" x14ac:dyDescent="0.25">
      <c r="A231" s="205"/>
      <c r="B231" s="60"/>
      <c r="C231" s="205"/>
      <c r="D231" s="208"/>
      <c r="E231" s="190"/>
      <c r="F231" s="97"/>
      <c r="G231" s="128"/>
    </row>
    <row r="232" spans="1:7" x14ac:dyDescent="0.25">
      <c r="A232" s="205"/>
      <c r="B232" s="60"/>
      <c r="C232" s="205"/>
      <c r="D232" s="208"/>
      <c r="E232" s="190"/>
      <c r="F232" s="97"/>
      <c r="G232" s="128"/>
    </row>
    <row r="233" spans="1:7" x14ac:dyDescent="0.25">
      <c r="A233" s="205"/>
      <c r="B233" s="60"/>
      <c r="C233" s="205"/>
      <c r="D233" s="208"/>
      <c r="E233" s="190"/>
      <c r="F233" s="97"/>
      <c r="G233" s="128"/>
    </row>
    <row r="234" spans="1:7" x14ac:dyDescent="0.25">
      <c r="A234" s="205"/>
      <c r="B234" s="60"/>
      <c r="C234" s="205"/>
      <c r="D234" s="208"/>
      <c r="E234" s="190"/>
      <c r="F234" s="97"/>
      <c r="G234" s="128"/>
    </row>
    <row r="235" spans="1:7" x14ac:dyDescent="0.25">
      <c r="A235" s="205"/>
      <c r="B235" s="60"/>
      <c r="C235" s="205"/>
      <c r="D235" s="208"/>
      <c r="E235" s="190"/>
      <c r="F235" s="97"/>
      <c r="G235" s="128"/>
    </row>
    <row r="236" spans="1:7" x14ac:dyDescent="0.25">
      <c r="A236" s="205"/>
      <c r="B236" s="60"/>
      <c r="C236" s="205"/>
      <c r="D236" s="208"/>
      <c r="E236" s="190"/>
      <c r="F236" s="97"/>
      <c r="G236" s="128"/>
    </row>
    <row r="237" spans="1:7" x14ac:dyDescent="0.25">
      <c r="A237" s="205"/>
      <c r="B237" s="60"/>
      <c r="C237" s="205"/>
      <c r="D237" s="208"/>
      <c r="E237" s="190"/>
      <c r="F237" s="97"/>
      <c r="G237" s="128"/>
    </row>
    <row r="238" spans="1:7" x14ac:dyDescent="0.25">
      <c r="A238" s="205"/>
      <c r="B238" s="60"/>
      <c r="C238" s="205"/>
      <c r="D238" s="208"/>
      <c r="E238" s="190"/>
      <c r="F238" s="97"/>
      <c r="G238" s="128"/>
    </row>
    <row r="239" spans="1:7" x14ac:dyDescent="0.25">
      <c r="A239" s="193"/>
      <c r="B239" s="194"/>
      <c r="C239" s="195"/>
      <c r="D239" s="196"/>
      <c r="E239" s="117"/>
      <c r="F239" s="98"/>
      <c r="G239" s="130"/>
    </row>
    <row r="240" spans="1:7" x14ac:dyDescent="0.25">
      <c r="A240" s="197"/>
      <c r="B240" s="198"/>
      <c r="C240" s="199" t="s">
        <v>51</v>
      </c>
      <c r="D240" s="199"/>
      <c r="E240" s="200" t="s">
        <v>50</v>
      </c>
      <c r="F240" s="99">
        <f>SUM(F202:F230)</f>
        <v>969948.29999999993</v>
      </c>
      <c r="G240" s="131"/>
    </row>
    <row r="241" spans="1:7" x14ac:dyDescent="0.25">
      <c r="A241" s="197"/>
      <c r="B241" s="198"/>
      <c r="C241" s="201"/>
      <c r="D241" s="202"/>
      <c r="E241" s="118"/>
      <c r="F241" s="100"/>
      <c r="G241" s="132"/>
    </row>
    <row r="242" spans="1:7" x14ac:dyDescent="0.25">
      <c r="A242" s="192"/>
      <c r="B242" s="33"/>
      <c r="C242" s="192"/>
      <c r="D242" s="203"/>
      <c r="E242" s="190"/>
      <c r="F242" s="97"/>
      <c r="G242" s="128"/>
    </row>
    <row r="243" spans="1:7" x14ac:dyDescent="0.25">
      <c r="A243" s="192"/>
      <c r="B243" s="209" t="s">
        <v>52</v>
      </c>
      <c r="C243" s="192"/>
      <c r="D243" s="203"/>
      <c r="E243" s="190"/>
      <c r="F243" s="97"/>
      <c r="G243" s="128"/>
    </row>
    <row r="244" spans="1:7" x14ac:dyDescent="0.25">
      <c r="A244" s="192"/>
      <c r="B244" s="40"/>
      <c r="C244" s="192"/>
      <c r="D244" s="203"/>
      <c r="E244" s="190"/>
      <c r="F244" s="97"/>
      <c r="G244" s="128"/>
    </row>
    <row r="245" spans="1:7" x14ac:dyDescent="0.25">
      <c r="A245" s="187"/>
      <c r="B245" s="210" t="s">
        <v>332</v>
      </c>
      <c r="C245" s="188"/>
      <c r="D245" s="189"/>
      <c r="E245" s="190"/>
      <c r="F245" s="97">
        <f>F43</f>
        <v>899004.04999999993</v>
      </c>
      <c r="G245" s="128"/>
    </row>
    <row r="246" spans="1:7" x14ac:dyDescent="0.25">
      <c r="A246" s="187"/>
      <c r="B246" s="40"/>
      <c r="C246" s="188"/>
      <c r="D246" s="189"/>
      <c r="E246" s="190"/>
      <c r="F246" s="97"/>
      <c r="G246" s="128"/>
    </row>
    <row r="247" spans="1:7" x14ac:dyDescent="0.25">
      <c r="A247" s="39"/>
      <c r="B247" s="210" t="s">
        <v>333</v>
      </c>
      <c r="C247" s="41"/>
      <c r="D247" s="42"/>
      <c r="E247" s="190"/>
      <c r="F247" s="97">
        <f>F80</f>
        <v>1628443.81</v>
      </c>
      <c r="G247" s="128"/>
    </row>
    <row r="248" spans="1:7" x14ac:dyDescent="0.25">
      <c r="A248" s="187"/>
      <c r="B248" s="192"/>
      <c r="C248" s="188"/>
      <c r="D248" s="189"/>
      <c r="E248" s="190"/>
      <c r="F248" s="97"/>
      <c r="G248" s="128"/>
    </row>
    <row r="249" spans="1:7" x14ac:dyDescent="0.25">
      <c r="A249" s="39"/>
      <c r="B249" s="210" t="s">
        <v>334</v>
      </c>
      <c r="C249" s="41"/>
      <c r="D249" s="42"/>
      <c r="E249" s="190"/>
      <c r="F249" s="97">
        <f>F115</f>
        <v>1789183.0999999999</v>
      </c>
      <c r="G249" s="128"/>
    </row>
    <row r="250" spans="1:7" x14ac:dyDescent="0.25">
      <c r="A250" s="187"/>
      <c r="B250" s="40"/>
      <c r="C250" s="188"/>
      <c r="D250" s="189"/>
      <c r="E250" s="190"/>
      <c r="F250" s="97"/>
      <c r="G250" s="128"/>
    </row>
    <row r="251" spans="1:7" x14ac:dyDescent="0.25">
      <c r="A251" s="39"/>
      <c r="B251" s="210" t="s">
        <v>335</v>
      </c>
      <c r="C251" s="41"/>
      <c r="D251" s="42"/>
      <c r="E251" s="190"/>
      <c r="F251" s="97">
        <f>F154</f>
        <v>792219.61999999988</v>
      </c>
      <c r="G251" s="128"/>
    </row>
    <row r="252" spans="1:7" x14ac:dyDescent="0.25">
      <c r="A252" s="187"/>
      <c r="B252" s="192"/>
      <c r="C252" s="188"/>
      <c r="D252" s="189"/>
      <c r="E252" s="190"/>
      <c r="F252" s="97"/>
      <c r="G252" s="128"/>
    </row>
    <row r="253" spans="1:7" x14ac:dyDescent="0.25">
      <c r="A253" s="39"/>
      <c r="B253" s="210" t="s">
        <v>336</v>
      </c>
      <c r="C253" s="41"/>
      <c r="D253" s="42"/>
      <c r="E253" s="190"/>
      <c r="F253" s="97">
        <f>F198</f>
        <v>278760.44</v>
      </c>
      <c r="G253" s="128"/>
    </row>
    <row r="254" spans="1:7" x14ac:dyDescent="0.25">
      <c r="A254" s="187"/>
      <c r="B254" s="40"/>
      <c r="C254" s="188"/>
      <c r="D254" s="189"/>
      <c r="E254" s="190"/>
      <c r="F254" s="97"/>
      <c r="G254" s="128"/>
    </row>
    <row r="255" spans="1:7" x14ac:dyDescent="0.25">
      <c r="A255" s="39"/>
      <c r="B255" s="210" t="s">
        <v>337</v>
      </c>
      <c r="C255" s="41"/>
      <c r="D255" s="42"/>
      <c r="E255" s="190"/>
      <c r="F255" s="97">
        <f>F240</f>
        <v>969948.29999999993</v>
      </c>
      <c r="G255" s="128"/>
    </row>
    <row r="256" spans="1:7" x14ac:dyDescent="0.25">
      <c r="A256" s="187"/>
      <c r="B256" s="192"/>
      <c r="C256" s="188"/>
      <c r="D256" s="189"/>
      <c r="E256" s="190"/>
      <c r="F256" s="97"/>
      <c r="G256" s="128"/>
    </row>
    <row r="257" spans="1:7" x14ac:dyDescent="0.25">
      <c r="A257" s="39"/>
      <c r="B257" s="40"/>
      <c r="C257" s="41"/>
      <c r="D257" s="42"/>
      <c r="E257" s="190"/>
      <c r="F257" s="97"/>
      <c r="G257" s="128"/>
    </row>
    <row r="258" spans="1:7" x14ac:dyDescent="0.25">
      <c r="A258" s="187"/>
      <c r="B258" s="192"/>
      <c r="C258" s="188"/>
      <c r="D258" s="189"/>
      <c r="E258" s="190"/>
      <c r="F258" s="97"/>
      <c r="G258" s="128"/>
    </row>
    <row r="259" spans="1:7" x14ac:dyDescent="0.25">
      <c r="A259" s="39"/>
      <c r="B259" s="40"/>
      <c r="C259" s="41"/>
      <c r="D259" s="42"/>
      <c r="E259" s="190"/>
      <c r="F259" s="97"/>
      <c r="G259" s="128"/>
    </row>
    <row r="260" spans="1:7" x14ac:dyDescent="0.25">
      <c r="A260" s="187"/>
      <c r="B260" s="192"/>
      <c r="C260" s="188"/>
      <c r="D260" s="189"/>
      <c r="E260" s="190"/>
      <c r="F260" s="97"/>
      <c r="G260" s="128"/>
    </row>
    <row r="261" spans="1:7" x14ac:dyDescent="0.25">
      <c r="A261" s="39"/>
      <c r="B261" s="40"/>
      <c r="C261" s="41"/>
      <c r="D261" s="42"/>
      <c r="E261" s="190"/>
      <c r="F261" s="97"/>
      <c r="G261" s="128"/>
    </row>
    <row r="262" spans="1:7" x14ac:dyDescent="0.25">
      <c r="A262" s="187"/>
      <c r="B262" s="192"/>
      <c r="C262" s="188"/>
      <c r="D262" s="189"/>
      <c r="E262" s="190"/>
      <c r="F262" s="97"/>
      <c r="G262" s="128"/>
    </row>
    <row r="263" spans="1:7" x14ac:dyDescent="0.25">
      <c r="A263" s="39"/>
      <c r="B263" s="40"/>
      <c r="C263" s="41"/>
      <c r="D263" s="42"/>
      <c r="E263" s="190"/>
      <c r="F263" s="97"/>
      <c r="G263" s="128"/>
    </row>
    <row r="264" spans="1:7" x14ac:dyDescent="0.25">
      <c r="A264" s="192"/>
      <c r="B264" s="33"/>
      <c r="C264" s="192"/>
      <c r="D264" s="203"/>
      <c r="E264" s="190"/>
      <c r="F264" s="97"/>
      <c r="G264" s="128"/>
    </row>
    <row r="265" spans="1:7" x14ac:dyDescent="0.25">
      <c r="A265" s="192"/>
      <c r="B265" s="33"/>
      <c r="C265" s="192"/>
      <c r="D265" s="203"/>
      <c r="E265" s="190"/>
      <c r="F265" s="97"/>
      <c r="G265" s="128"/>
    </row>
    <row r="266" spans="1:7" x14ac:dyDescent="0.25">
      <c r="A266" s="192"/>
      <c r="B266" s="33"/>
      <c r="C266" s="192"/>
      <c r="D266" s="203"/>
      <c r="E266" s="190"/>
      <c r="F266" s="97"/>
      <c r="G266" s="128"/>
    </row>
    <row r="267" spans="1:7" x14ac:dyDescent="0.25">
      <c r="A267" s="192"/>
      <c r="B267" s="33"/>
      <c r="C267" s="192"/>
      <c r="D267" s="203"/>
      <c r="E267" s="190"/>
      <c r="F267" s="97"/>
      <c r="G267" s="128"/>
    </row>
    <row r="268" spans="1:7" x14ac:dyDescent="0.25">
      <c r="A268" s="192"/>
      <c r="B268" s="33"/>
      <c r="C268" s="192"/>
      <c r="D268" s="203"/>
      <c r="E268" s="190"/>
      <c r="F268" s="97"/>
      <c r="G268" s="128"/>
    </row>
    <row r="269" spans="1:7" x14ac:dyDescent="0.25">
      <c r="A269" s="192"/>
      <c r="B269" s="33"/>
      <c r="C269" s="192"/>
      <c r="D269" s="203"/>
      <c r="E269" s="190"/>
      <c r="F269" s="97"/>
      <c r="G269" s="128"/>
    </row>
    <row r="270" spans="1:7" x14ac:dyDescent="0.25">
      <c r="A270" s="192"/>
      <c r="B270" s="33"/>
      <c r="C270" s="192"/>
      <c r="D270" s="203"/>
      <c r="E270" s="190"/>
      <c r="F270" s="97"/>
      <c r="G270" s="128"/>
    </row>
    <row r="271" spans="1:7" x14ac:dyDescent="0.25">
      <c r="A271" s="192"/>
      <c r="B271" s="33"/>
      <c r="C271" s="192"/>
      <c r="D271" s="203"/>
      <c r="E271" s="190"/>
      <c r="F271" s="97"/>
      <c r="G271" s="128"/>
    </row>
    <row r="272" spans="1:7" x14ac:dyDescent="0.25">
      <c r="A272" s="192"/>
      <c r="B272" s="33"/>
      <c r="C272" s="192"/>
      <c r="D272" s="203"/>
      <c r="E272" s="190"/>
      <c r="F272" s="97"/>
      <c r="G272" s="128"/>
    </row>
    <row r="273" spans="1:7" x14ac:dyDescent="0.25">
      <c r="A273" s="192"/>
      <c r="B273" s="33"/>
      <c r="C273" s="192"/>
      <c r="D273" s="203"/>
      <c r="E273" s="190"/>
      <c r="F273" s="97"/>
      <c r="G273" s="128"/>
    </row>
    <row r="274" spans="1:7" x14ac:dyDescent="0.25">
      <c r="A274" s="192"/>
      <c r="B274" s="33"/>
      <c r="C274" s="192"/>
      <c r="D274" s="203"/>
      <c r="E274" s="190"/>
      <c r="F274" s="97"/>
      <c r="G274" s="128"/>
    </row>
    <row r="275" spans="1:7" x14ac:dyDescent="0.25">
      <c r="A275" s="192"/>
      <c r="B275" s="33"/>
      <c r="C275" s="192"/>
      <c r="D275" s="203"/>
      <c r="E275" s="190"/>
      <c r="F275" s="97"/>
      <c r="G275" s="128"/>
    </row>
    <row r="276" spans="1:7" x14ac:dyDescent="0.25">
      <c r="A276" s="192"/>
      <c r="B276" s="33"/>
      <c r="C276" s="192"/>
      <c r="D276" s="203"/>
      <c r="E276" s="190"/>
      <c r="F276" s="97"/>
      <c r="G276" s="128"/>
    </row>
    <row r="277" spans="1:7" x14ac:dyDescent="0.25">
      <c r="A277" s="192"/>
      <c r="B277" s="33"/>
      <c r="C277" s="192"/>
      <c r="D277" s="203"/>
      <c r="E277" s="190"/>
      <c r="F277" s="97"/>
      <c r="G277" s="128"/>
    </row>
    <row r="278" spans="1:7" x14ac:dyDescent="0.25">
      <c r="A278" s="192"/>
      <c r="B278" s="33"/>
      <c r="C278" s="192"/>
      <c r="D278" s="203"/>
      <c r="E278" s="190"/>
      <c r="F278" s="97"/>
      <c r="G278" s="128"/>
    </row>
    <row r="279" spans="1:7" x14ac:dyDescent="0.25">
      <c r="A279" s="192"/>
      <c r="B279" s="33"/>
      <c r="C279" s="192"/>
      <c r="D279" s="203"/>
      <c r="E279" s="190"/>
      <c r="F279" s="97"/>
      <c r="G279" s="128"/>
    </row>
    <row r="280" spans="1:7" x14ac:dyDescent="0.25">
      <c r="A280" s="192"/>
      <c r="B280" s="33"/>
      <c r="C280" s="192"/>
      <c r="D280" s="203"/>
      <c r="E280" s="190"/>
      <c r="F280" s="97"/>
      <c r="G280" s="128"/>
    </row>
    <row r="281" spans="1:7" x14ac:dyDescent="0.25">
      <c r="A281" s="192"/>
      <c r="B281" s="33"/>
      <c r="C281" s="192"/>
      <c r="D281" s="203"/>
      <c r="E281" s="190"/>
      <c r="F281" s="97"/>
      <c r="G281" s="128"/>
    </row>
    <row r="282" spans="1:7" x14ac:dyDescent="0.25">
      <c r="A282" s="192"/>
      <c r="B282" s="33"/>
      <c r="C282" s="192"/>
      <c r="D282" s="203"/>
      <c r="E282" s="190"/>
      <c r="F282" s="97"/>
      <c r="G282" s="128"/>
    </row>
    <row r="283" spans="1:7" x14ac:dyDescent="0.25">
      <c r="A283" s="192"/>
      <c r="B283" s="33"/>
      <c r="C283" s="192"/>
      <c r="D283" s="203"/>
      <c r="E283" s="190"/>
      <c r="F283" s="97"/>
      <c r="G283" s="128"/>
    </row>
    <row r="284" spans="1:7" x14ac:dyDescent="0.25">
      <c r="A284" s="187"/>
      <c r="B284" s="36"/>
      <c r="C284" s="188"/>
      <c r="D284" s="189"/>
      <c r="E284" s="190"/>
      <c r="F284" s="97"/>
      <c r="G284" s="128"/>
    </row>
    <row r="285" spans="1:7" x14ac:dyDescent="0.25">
      <c r="A285" s="187"/>
      <c r="B285" s="192"/>
      <c r="C285" s="188"/>
      <c r="D285" s="189"/>
      <c r="E285" s="190"/>
      <c r="F285" s="97"/>
      <c r="G285" s="128"/>
    </row>
    <row r="286" spans="1:7" x14ac:dyDescent="0.25">
      <c r="A286" s="39"/>
      <c r="B286" s="40"/>
      <c r="C286" s="41"/>
      <c r="D286" s="42"/>
      <c r="E286" s="190"/>
      <c r="F286" s="97"/>
      <c r="G286" s="128"/>
    </row>
    <row r="287" spans="1:7" x14ac:dyDescent="0.25">
      <c r="A287" s="187"/>
      <c r="B287" s="192"/>
      <c r="C287" s="188"/>
      <c r="D287" s="189"/>
      <c r="E287" s="190"/>
      <c r="F287" s="97"/>
      <c r="G287" s="128"/>
    </row>
    <row r="288" spans="1:7" x14ac:dyDescent="0.25">
      <c r="A288" s="39"/>
      <c r="B288" s="40"/>
      <c r="C288" s="41"/>
      <c r="D288" s="42"/>
      <c r="E288" s="190"/>
      <c r="F288" s="97"/>
      <c r="G288" s="128"/>
    </row>
    <row r="289" spans="1:7" x14ac:dyDescent="0.25">
      <c r="A289" s="193"/>
      <c r="B289" s="194"/>
      <c r="C289" s="195"/>
      <c r="D289" s="196"/>
      <c r="E289" s="117"/>
      <c r="F289" s="98"/>
      <c r="G289" s="130"/>
    </row>
    <row r="290" spans="1:7" x14ac:dyDescent="0.25">
      <c r="A290" s="197"/>
      <c r="B290" s="198"/>
      <c r="C290" s="199" t="s">
        <v>96</v>
      </c>
      <c r="D290" s="199"/>
      <c r="E290" s="200" t="s">
        <v>50</v>
      </c>
      <c r="F290" s="99">
        <f>SUM(F243:F266)</f>
        <v>6357559.3200000003</v>
      </c>
      <c r="G290" s="131"/>
    </row>
    <row r="291" spans="1:7" x14ac:dyDescent="0.25">
      <c r="A291" s="197"/>
      <c r="B291" s="198"/>
      <c r="C291" s="201"/>
      <c r="D291" s="202"/>
      <c r="E291" s="118"/>
      <c r="F291" s="100"/>
      <c r="G291" s="132"/>
    </row>
  </sheetData>
  <mergeCells count="5">
    <mergeCell ref="A1:A2"/>
    <mergeCell ref="B1:B2"/>
    <mergeCell ref="C1:C2"/>
    <mergeCell ref="D1:D2"/>
    <mergeCell ref="G1:G2"/>
  </mergeCells>
  <phoneticPr fontId="17" type="noConversion"/>
  <printOptions horizontalCentered="1"/>
  <pageMargins left="0.6692913385826772" right="0.19685039370078741" top="0.82677165354330717" bottom="0.47244094488188981" header="0.19685039370078741" footer="0.23622047244094491"/>
  <pageSetup paperSize="9" scale="86" fitToHeight="0" orientation="portrait" useFirstPageNumber="1" r:id="rId1"/>
  <headerFooter>
    <oddHeader>&amp;R&amp;11
&amp;UBILL NO. 4 -PARKING FLOORS REFURBISHMENT
FINISHES</oddHeader>
    <oddFooter>&amp;L&amp;8DMS 148704 BOQ - Nakheel Mall Al Khail&amp;C4/J/&amp;P</oddFooter>
  </headerFooter>
  <rowBreaks count="6" manualBreakCount="6">
    <brk id="44" max="6" man="1"/>
    <brk id="81" max="6" man="1"/>
    <brk id="116" max="6" man="1"/>
    <brk id="155" max="6" man="1"/>
    <brk id="199" max="6" man="1"/>
    <brk id="241" max="6"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CC111-1CA9-4811-A897-FBBD77E96820}">
  <sheetPr codeName="Sheet12"/>
  <dimension ref="A1:G334"/>
  <sheetViews>
    <sheetView view="pageBreakPreview" topLeftCell="A50" zoomScale="85" zoomScaleNormal="100" zoomScaleSheetLayoutView="85" zoomScalePageLayoutView="70" workbookViewId="0">
      <selection activeCell="B61" sqref="B61"/>
    </sheetView>
  </sheetViews>
  <sheetFormatPr defaultColWidth="9.33203125" defaultRowHeight="13.8" x14ac:dyDescent="0.25"/>
  <cols>
    <col min="1" max="1" width="5.6640625" style="211" customWidth="1"/>
    <col min="2" max="2" width="46" style="212" customWidth="1"/>
    <col min="3" max="3" width="10.6640625" style="213" customWidth="1"/>
    <col min="4" max="4" width="6.6640625" style="214" customWidth="1"/>
    <col min="5" max="5" width="12.6640625" style="200" customWidth="1"/>
    <col min="6" max="6" width="15.6640625" style="101" customWidth="1"/>
    <col min="7" max="7" width="8.33203125" style="133" customWidth="1"/>
    <col min="8" max="16384" width="9.33203125" style="34"/>
  </cols>
  <sheetData>
    <row r="1" spans="1:7" s="29" customFormat="1" ht="14.4" x14ac:dyDescent="0.25">
      <c r="A1" s="174" t="s">
        <v>6</v>
      </c>
      <c r="B1" s="174" t="s">
        <v>0</v>
      </c>
      <c r="C1" s="175" t="s">
        <v>47</v>
      </c>
      <c r="D1" s="176" t="s">
        <v>48</v>
      </c>
      <c r="E1" s="177" t="s">
        <v>1</v>
      </c>
      <c r="F1" s="94" t="s">
        <v>49</v>
      </c>
      <c r="G1" s="166" t="s">
        <v>1211</v>
      </c>
    </row>
    <row r="2" spans="1:7" s="29" customFormat="1" ht="14.4" x14ac:dyDescent="0.25">
      <c r="A2" s="178"/>
      <c r="B2" s="178"/>
      <c r="C2" s="179"/>
      <c r="D2" s="180"/>
      <c r="E2" s="181" t="s">
        <v>50</v>
      </c>
      <c r="F2" s="95" t="s">
        <v>50</v>
      </c>
      <c r="G2" s="167"/>
    </row>
    <row r="3" spans="1:7" s="29" customFormat="1" ht="14.4" x14ac:dyDescent="0.25">
      <c r="A3" s="182"/>
      <c r="B3" s="183"/>
      <c r="C3" s="184"/>
      <c r="D3" s="185"/>
      <c r="E3" s="186"/>
      <c r="F3" s="96"/>
      <c r="G3" s="129"/>
    </row>
    <row r="4" spans="1:7" x14ac:dyDescent="0.25">
      <c r="A4" s="187"/>
      <c r="B4" s="33" t="s">
        <v>30</v>
      </c>
      <c r="C4" s="188"/>
      <c r="D4" s="189"/>
      <c r="E4" s="190"/>
      <c r="F4" s="97"/>
      <c r="G4" s="128"/>
    </row>
    <row r="5" spans="1:7" x14ac:dyDescent="0.25">
      <c r="A5" s="187"/>
      <c r="B5" s="35"/>
      <c r="C5" s="188"/>
      <c r="D5" s="189"/>
      <c r="E5" s="190"/>
      <c r="F5" s="97"/>
      <c r="G5" s="128"/>
    </row>
    <row r="6" spans="1:7" x14ac:dyDescent="0.25">
      <c r="A6" s="187"/>
      <c r="B6" s="36" t="s">
        <v>338</v>
      </c>
      <c r="C6" s="188"/>
      <c r="D6" s="189"/>
      <c r="E6" s="190"/>
      <c r="F6" s="97"/>
      <c r="G6" s="128"/>
    </row>
    <row r="7" spans="1:7" x14ac:dyDescent="0.25">
      <c r="A7" s="187"/>
      <c r="B7" s="192"/>
      <c r="C7" s="188"/>
      <c r="D7" s="189"/>
      <c r="E7" s="190"/>
      <c r="F7" s="97"/>
      <c r="G7" s="128"/>
    </row>
    <row r="8" spans="1:7" x14ac:dyDescent="0.25">
      <c r="A8" s="39"/>
      <c r="B8" s="40" t="s">
        <v>106</v>
      </c>
      <c r="C8" s="41"/>
      <c r="D8" s="42"/>
      <c r="E8" s="190"/>
      <c r="F8" s="97"/>
      <c r="G8" s="128"/>
    </row>
    <row r="9" spans="1:7" x14ac:dyDescent="0.25">
      <c r="A9" s="187"/>
      <c r="B9" s="192"/>
      <c r="C9" s="188"/>
      <c r="D9" s="189"/>
      <c r="E9" s="190"/>
      <c r="F9" s="97"/>
      <c r="G9" s="128"/>
    </row>
    <row r="10" spans="1:7" ht="27.6" x14ac:dyDescent="0.25">
      <c r="A10" s="39"/>
      <c r="B10" s="40" t="s">
        <v>203</v>
      </c>
      <c r="C10" s="41"/>
      <c r="D10" s="42"/>
      <c r="E10" s="190"/>
      <c r="F10" s="97"/>
      <c r="G10" s="128"/>
    </row>
    <row r="11" spans="1:7" x14ac:dyDescent="0.25">
      <c r="A11" s="187"/>
      <c r="B11" s="192"/>
      <c r="C11" s="188"/>
      <c r="D11" s="189"/>
      <c r="E11" s="190"/>
      <c r="F11" s="97"/>
      <c r="G11" s="128"/>
    </row>
    <row r="12" spans="1:7" ht="27.6" x14ac:dyDescent="0.25">
      <c r="A12" s="39"/>
      <c r="B12" s="52" t="s">
        <v>339</v>
      </c>
      <c r="C12" s="41"/>
      <c r="D12" s="42"/>
      <c r="E12" s="190"/>
      <c r="F12" s="97"/>
      <c r="G12" s="128"/>
    </row>
    <row r="13" spans="1:7" x14ac:dyDescent="0.25">
      <c r="A13" s="187"/>
      <c r="B13" s="192"/>
      <c r="C13" s="188"/>
      <c r="D13" s="189"/>
      <c r="E13" s="190"/>
      <c r="F13" s="97"/>
      <c r="G13" s="128"/>
    </row>
    <row r="14" spans="1:7" x14ac:dyDescent="0.25">
      <c r="A14" s="39" t="s">
        <v>3</v>
      </c>
      <c r="B14" s="40" t="s">
        <v>340</v>
      </c>
      <c r="C14" s="41" t="s">
        <v>341</v>
      </c>
      <c r="D14" s="42" t="s">
        <v>4</v>
      </c>
      <c r="E14" s="190">
        <v>252.32</v>
      </c>
      <c r="F14" s="97">
        <f>C14*E14</f>
        <v>31287.68</v>
      </c>
      <c r="G14" s="128"/>
    </row>
    <row r="15" spans="1:7" x14ac:dyDescent="0.25">
      <c r="A15" s="187"/>
      <c r="B15" s="192"/>
      <c r="C15" s="188"/>
      <c r="D15" s="189"/>
      <c r="E15" s="190"/>
      <c r="F15" s="97"/>
      <c r="G15" s="128"/>
    </row>
    <row r="16" spans="1:7" x14ac:dyDescent="0.25">
      <c r="A16" s="39" t="s">
        <v>2</v>
      </c>
      <c r="B16" s="40" t="s">
        <v>342</v>
      </c>
      <c r="C16" s="41" t="s">
        <v>343</v>
      </c>
      <c r="D16" s="42" t="s">
        <v>4</v>
      </c>
      <c r="E16" s="190">
        <v>189.24</v>
      </c>
      <c r="F16" s="97">
        <f>C16*E16</f>
        <v>236550</v>
      </c>
      <c r="G16" s="128"/>
    </row>
    <row r="17" spans="1:7" x14ac:dyDescent="0.25">
      <c r="A17" s="187"/>
      <c r="B17" s="192"/>
      <c r="C17" s="188"/>
      <c r="D17" s="189"/>
      <c r="E17" s="190"/>
      <c r="F17" s="97"/>
      <c r="G17" s="128"/>
    </row>
    <row r="18" spans="1:7" x14ac:dyDescent="0.25">
      <c r="A18" s="39" t="s">
        <v>5</v>
      </c>
      <c r="B18" s="40" t="s">
        <v>344</v>
      </c>
      <c r="C18" s="41"/>
      <c r="D18" s="42" t="s">
        <v>6</v>
      </c>
      <c r="E18" s="190"/>
      <c r="F18" s="123">
        <v>22221.58</v>
      </c>
      <c r="G18" s="129"/>
    </row>
    <row r="19" spans="1:7" x14ac:dyDescent="0.25">
      <c r="A19" s="187"/>
      <c r="B19" s="192"/>
      <c r="C19" s="188"/>
      <c r="D19" s="189"/>
      <c r="E19" s="190"/>
      <c r="F19" s="97"/>
      <c r="G19" s="128"/>
    </row>
    <row r="20" spans="1:7" x14ac:dyDescent="0.25">
      <c r="A20" s="39" t="s">
        <v>8</v>
      </c>
      <c r="B20" s="40" t="s">
        <v>345</v>
      </c>
      <c r="C20" s="41"/>
      <c r="D20" s="42" t="s">
        <v>6</v>
      </c>
      <c r="E20" s="190"/>
      <c r="F20" s="123">
        <v>38887.760000000002</v>
      </c>
      <c r="G20" s="129"/>
    </row>
    <row r="21" spans="1:7" x14ac:dyDescent="0.25">
      <c r="A21" s="187"/>
      <c r="B21" s="192"/>
      <c r="C21" s="188"/>
      <c r="D21" s="189"/>
      <c r="E21" s="190"/>
      <c r="F21" s="97"/>
      <c r="G21" s="128"/>
    </row>
    <row r="22" spans="1:7" x14ac:dyDescent="0.25">
      <c r="A22" s="39" t="s">
        <v>9</v>
      </c>
      <c r="B22" s="40" t="s">
        <v>346</v>
      </c>
      <c r="C22" s="41">
        <v>1</v>
      </c>
      <c r="D22" s="42" t="s">
        <v>6</v>
      </c>
      <c r="E22" s="190">
        <v>10230.93</v>
      </c>
      <c r="F22" s="97">
        <f>C22*E22</f>
        <v>10230.93</v>
      </c>
      <c r="G22" s="128"/>
    </row>
    <row r="23" spans="1:7" x14ac:dyDescent="0.25">
      <c r="A23" s="39"/>
      <c r="B23" s="40"/>
      <c r="C23" s="41"/>
      <c r="D23" s="42"/>
      <c r="E23" s="190"/>
      <c r="F23" s="97"/>
      <c r="G23" s="128"/>
    </row>
    <row r="24" spans="1:7" x14ac:dyDescent="0.25">
      <c r="A24" s="187"/>
      <c r="B24" s="192"/>
      <c r="C24" s="188"/>
      <c r="D24" s="189"/>
      <c r="E24" s="190"/>
      <c r="F24" s="97"/>
      <c r="G24" s="128"/>
    </row>
    <row r="25" spans="1:7" x14ac:dyDescent="0.25">
      <c r="A25" s="39"/>
      <c r="B25" s="40"/>
      <c r="C25" s="41"/>
      <c r="D25" s="42"/>
      <c r="E25" s="190"/>
      <c r="F25" s="97"/>
      <c r="G25" s="128"/>
    </row>
    <row r="26" spans="1:7" x14ac:dyDescent="0.25">
      <c r="A26" s="187"/>
      <c r="B26" s="192"/>
      <c r="C26" s="188"/>
      <c r="D26" s="189"/>
      <c r="E26" s="190"/>
      <c r="F26" s="97"/>
      <c r="G26" s="128"/>
    </row>
    <row r="27" spans="1:7" x14ac:dyDescent="0.25">
      <c r="A27" s="39"/>
      <c r="B27" s="40"/>
      <c r="C27" s="41"/>
      <c r="D27" s="42"/>
      <c r="E27" s="190"/>
      <c r="F27" s="97"/>
      <c r="G27" s="128"/>
    </row>
    <row r="28" spans="1:7" x14ac:dyDescent="0.25">
      <c r="A28" s="187"/>
      <c r="B28" s="192"/>
      <c r="C28" s="188"/>
      <c r="D28" s="189"/>
      <c r="E28" s="190"/>
      <c r="F28" s="97"/>
      <c r="G28" s="128"/>
    </row>
    <row r="29" spans="1:7" x14ac:dyDescent="0.25">
      <c r="A29" s="39"/>
      <c r="B29" s="40"/>
      <c r="C29" s="41"/>
      <c r="D29" s="42"/>
      <c r="E29" s="190"/>
      <c r="F29" s="97"/>
      <c r="G29" s="128"/>
    </row>
    <row r="30" spans="1:7" x14ac:dyDescent="0.25">
      <c r="A30" s="187"/>
      <c r="B30" s="192"/>
      <c r="C30" s="188"/>
      <c r="D30" s="189"/>
      <c r="E30" s="190"/>
      <c r="F30" s="97"/>
      <c r="G30" s="128"/>
    </row>
    <row r="31" spans="1:7" x14ac:dyDescent="0.25">
      <c r="A31" s="39"/>
      <c r="B31" s="40"/>
      <c r="C31" s="41"/>
      <c r="D31" s="42"/>
      <c r="E31" s="190"/>
      <c r="F31" s="97"/>
      <c r="G31" s="128"/>
    </row>
    <row r="32" spans="1:7" x14ac:dyDescent="0.25">
      <c r="A32" s="187"/>
      <c r="B32" s="192"/>
      <c r="C32" s="188"/>
      <c r="D32" s="189"/>
      <c r="E32" s="190"/>
      <c r="F32" s="97"/>
      <c r="G32" s="128"/>
    </row>
    <row r="33" spans="1:7" x14ac:dyDescent="0.25">
      <c r="A33" s="39"/>
      <c r="B33" s="40"/>
      <c r="C33" s="41"/>
      <c r="D33" s="42"/>
      <c r="E33" s="190"/>
      <c r="F33" s="97"/>
      <c r="G33" s="128"/>
    </row>
    <row r="34" spans="1:7" x14ac:dyDescent="0.25">
      <c r="A34" s="187"/>
      <c r="B34" s="192"/>
      <c r="C34" s="188"/>
      <c r="D34" s="189"/>
      <c r="E34" s="190"/>
      <c r="F34" s="97"/>
      <c r="G34" s="128"/>
    </row>
    <row r="35" spans="1:7" x14ac:dyDescent="0.25">
      <c r="A35" s="39"/>
      <c r="B35" s="40"/>
      <c r="C35" s="41"/>
      <c r="D35" s="42"/>
      <c r="E35" s="190"/>
      <c r="F35" s="97"/>
      <c r="G35" s="128"/>
    </row>
    <row r="36" spans="1:7" x14ac:dyDescent="0.25">
      <c r="A36" s="39"/>
      <c r="B36" s="40"/>
      <c r="C36" s="41"/>
      <c r="D36" s="42"/>
      <c r="E36" s="190"/>
      <c r="F36" s="97"/>
      <c r="G36" s="128"/>
    </row>
    <row r="37" spans="1:7" x14ac:dyDescent="0.25">
      <c r="A37" s="39"/>
      <c r="B37" s="40"/>
      <c r="C37" s="41"/>
      <c r="D37" s="42"/>
      <c r="E37" s="190"/>
      <c r="F37" s="97"/>
      <c r="G37" s="128"/>
    </row>
    <row r="38" spans="1:7" x14ac:dyDescent="0.25">
      <c r="A38" s="192"/>
      <c r="B38" s="33"/>
      <c r="C38" s="192"/>
      <c r="D38" s="203"/>
      <c r="E38" s="190"/>
      <c r="F38" s="97"/>
      <c r="G38" s="128"/>
    </row>
    <row r="39" spans="1:7" x14ac:dyDescent="0.25">
      <c r="A39" s="192"/>
      <c r="B39" s="33"/>
      <c r="C39" s="192"/>
      <c r="D39" s="203"/>
      <c r="E39" s="190"/>
      <c r="F39" s="97"/>
      <c r="G39" s="128"/>
    </row>
    <row r="40" spans="1:7" x14ac:dyDescent="0.25">
      <c r="A40" s="192"/>
      <c r="B40" s="33"/>
      <c r="C40" s="192"/>
      <c r="D40" s="203"/>
      <c r="E40" s="190"/>
      <c r="F40" s="97"/>
      <c r="G40" s="128"/>
    </row>
    <row r="41" spans="1:7" x14ac:dyDescent="0.25">
      <c r="A41" s="187"/>
      <c r="B41" s="36"/>
      <c r="C41" s="188"/>
      <c r="D41" s="189"/>
      <c r="E41" s="190"/>
      <c r="F41" s="97"/>
      <c r="G41" s="128"/>
    </row>
    <row r="42" spans="1:7" x14ac:dyDescent="0.25">
      <c r="A42" s="187"/>
      <c r="B42" s="192"/>
      <c r="C42" s="188"/>
      <c r="D42" s="189"/>
      <c r="E42" s="190"/>
      <c r="F42" s="97"/>
      <c r="G42" s="128"/>
    </row>
    <row r="43" spans="1:7" x14ac:dyDescent="0.25">
      <c r="A43" s="187"/>
      <c r="B43" s="192"/>
      <c r="C43" s="188"/>
      <c r="D43" s="189"/>
      <c r="E43" s="190"/>
      <c r="F43" s="97"/>
      <c r="G43" s="128"/>
    </row>
    <row r="44" spans="1:7" x14ac:dyDescent="0.25">
      <c r="A44" s="39"/>
      <c r="B44" s="40"/>
      <c r="C44" s="41"/>
      <c r="D44" s="42"/>
      <c r="E44" s="190"/>
      <c r="F44" s="97"/>
      <c r="G44" s="128"/>
    </row>
    <row r="45" spans="1:7" x14ac:dyDescent="0.25">
      <c r="A45" s="187"/>
      <c r="B45" s="192"/>
      <c r="C45" s="188"/>
      <c r="D45" s="189"/>
      <c r="E45" s="190"/>
      <c r="F45" s="97"/>
      <c r="G45" s="128"/>
    </row>
    <row r="46" spans="1:7" x14ac:dyDescent="0.25">
      <c r="A46" s="39"/>
      <c r="B46" s="43"/>
      <c r="C46" s="41"/>
      <c r="D46" s="42"/>
      <c r="E46" s="190"/>
      <c r="F46" s="97"/>
      <c r="G46" s="128"/>
    </row>
    <row r="47" spans="1:7" x14ac:dyDescent="0.25">
      <c r="A47" s="187"/>
      <c r="B47" s="192"/>
      <c r="C47" s="188"/>
      <c r="D47" s="189"/>
      <c r="E47" s="190"/>
      <c r="F47" s="97"/>
      <c r="G47" s="128"/>
    </row>
    <row r="48" spans="1:7" x14ac:dyDescent="0.25">
      <c r="A48" s="39"/>
      <c r="B48" s="40"/>
      <c r="C48" s="41"/>
      <c r="D48" s="42"/>
      <c r="E48" s="190"/>
      <c r="F48" s="97"/>
      <c r="G48" s="128"/>
    </row>
    <row r="49" spans="1:7" x14ac:dyDescent="0.25">
      <c r="A49" s="193"/>
      <c r="B49" s="194"/>
      <c r="C49" s="195"/>
      <c r="D49" s="196"/>
      <c r="E49" s="117"/>
      <c r="F49" s="98"/>
      <c r="G49" s="130"/>
    </row>
    <row r="50" spans="1:7" x14ac:dyDescent="0.25">
      <c r="A50" s="197"/>
      <c r="B50" s="198"/>
      <c r="C50" s="199" t="s">
        <v>51</v>
      </c>
      <c r="D50" s="199"/>
      <c r="E50" s="200" t="s">
        <v>50</v>
      </c>
      <c r="F50" s="99">
        <f>SUM(F10:F33)</f>
        <v>339177.95</v>
      </c>
      <c r="G50" s="131"/>
    </row>
    <row r="51" spans="1:7" x14ac:dyDescent="0.25">
      <c r="A51" s="197"/>
      <c r="B51" s="198"/>
      <c r="C51" s="201"/>
      <c r="D51" s="202"/>
      <c r="E51" s="118"/>
      <c r="F51" s="100"/>
      <c r="G51" s="132"/>
    </row>
    <row r="52" spans="1:7" x14ac:dyDescent="0.25">
      <c r="A52" s="39"/>
      <c r="B52" s="40"/>
      <c r="C52" s="41"/>
      <c r="D52" s="42"/>
      <c r="E52" s="190"/>
      <c r="F52" s="97"/>
      <c r="G52" s="128"/>
    </row>
    <row r="53" spans="1:7" x14ac:dyDescent="0.25">
      <c r="A53" s="187"/>
      <c r="B53" s="36" t="s">
        <v>347</v>
      </c>
      <c r="C53" s="188"/>
      <c r="D53" s="189"/>
      <c r="E53" s="190"/>
      <c r="F53" s="97"/>
      <c r="G53" s="128"/>
    </row>
    <row r="54" spans="1:7" x14ac:dyDescent="0.25">
      <c r="A54" s="187"/>
      <c r="B54" s="191"/>
      <c r="C54" s="188"/>
      <c r="D54" s="189"/>
      <c r="E54" s="190"/>
      <c r="F54" s="97"/>
      <c r="G54" s="128"/>
    </row>
    <row r="55" spans="1:7" x14ac:dyDescent="0.25">
      <c r="A55" s="39" t="s">
        <v>3</v>
      </c>
      <c r="B55" s="63" t="s">
        <v>348</v>
      </c>
      <c r="C55" s="41">
        <v>1</v>
      </c>
      <c r="D55" s="42" t="s">
        <v>6</v>
      </c>
      <c r="E55" s="190">
        <v>38930.949999999997</v>
      </c>
      <c r="F55" s="97">
        <f>C55*E55</f>
        <v>38930.949999999997</v>
      </c>
      <c r="G55" s="128" t="s">
        <v>1219</v>
      </c>
    </row>
    <row r="56" spans="1:7" x14ac:dyDescent="0.25">
      <c r="A56" s="187"/>
      <c r="B56" s="192"/>
      <c r="C56" s="188"/>
      <c r="D56" s="189"/>
      <c r="E56" s="190"/>
      <c r="F56" s="97"/>
      <c r="G56" s="128"/>
    </row>
    <row r="57" spans="1:7" ht="27.6" x14ac:dyDescent="0.25">
      <c r="A57" s="39" t="s">
        <v>2</v>
      </c>
      <c r="B57" s="40" t="s">
        <v>349</v>
      </c>
      <c r="C57" s="41">
        <v>1</v>
      </c>
      <c r="D57" s="42" t="s">
        <v>6</v>
      </c>
      <c r="E57" s="190">
        <v>38262.42</v>
      </c>
      <c r="F57" s="97">
        <f>C57*E57</f>
        <v>38262.42</v>
      </c>
      <c r="G57" s="128" t="s">
        <v>1219</v>
      </c>
    </row>
    <row r="58" spans="1:7" x14ac:dyDescent="0.25">
      <c r="A58" s="39"/>
      <c r="B58" s="40"/>
      <c r="C58" s="41"/>
      <c r="D58" s="42"/>
      <c r="E58" s="190"/>
      <c r="F58" s="97"/>
      <c r="G58" s="128"/>
    </row>
    <row r="59" spans="1:7" x14ac:dyDescent="0.25">
      <c r="A59" s="187"/>
      <c r="B59" s="192"/>
      <c r="C59" s="188"/>
      <c r="D59" s="189"/>
      <c r="E59" s="190"/>
      <c r="F59" s="97"/>
      <c r="G59" s="128"/>
    </row>
    <row r="60" spans="1:7" x14ac:dyDescent="0.25">
      <c r="A60" s="39"/>
      <c r="B60" s="40"/>
      <c r="C60" s="41"/>
      <c r="D60" s="42"/>
      <c r="E60" s="190"/>
      <c r="F60" s="97"/>
      <c r="G60" s="128"/>
    </row>
    <row r="61" spans="1:7" x14ac:dyDescent="0.25">
      <c r="A61" s="187"/>
      <c r="B61" s="192"/>
      <c r="C61" s="188"/>
      <c r="D61" s="189"/>
      <c r="E61" s="190"/>
      <c r="F61" s="97"/>
      <c r="G61" s="128"/>
    </row>
    <row r="62" spans="1:7" x14ac:dyDescent="0.25">
      <c r="A62" s="39"/>
      <c r="B62" s="43"/>
      <c r="C62" s="41"/>
      <c r="D62" s="42"/>
      <c r="E62" s="190"/>
      <c r="F62" s="97"/>
      <c r="G62" s="128"/>
    </row>
    <row r="63" spans="1:7" x14ac:dyDescent="0.25">
      <c r="A63" s="187"/>
      <c r="B63" s="192"/>
      <c r="C63" s="188"/>
      <c r="D63" s="189"/>
      <c r="E63" s="190"/>
      <c r="F63" s="97"/>
      <c r="G63" s="128"/>
    </row>
    <row r="64" spans="1:7" x14ac:dyDescent="0.25">
      <c r="A64" s="39"/>
      <c r="B64" s="40"/>
      <c r="C64" s="41"/>
      <c r="D64" s="42"/>
      <c r="E64" s="190"/>
      <c r="F64" s="97"/>
      <c r="G64" s="128"/>
    </row>
    <row r="65" spans="1:7" x14ac:dyDescent="0.25">
      <c r="A65" s="192"/>
      <c r="B65" s="33"/>
      <c r="C65" s="192"/>
      <c r="D65" s="203"/>
      <c r="E65" s="190"/>
      <c r="F65" s="97"/>
      <c r="G65" s="128"/>
    </row>
    <row r="66" spans="1:7" x14ac:dyDescent="0.25">
      <c r="A66" s="192"/>
      <c r="B66" s="33"/>
      <c r="C66" s="192"/>
      <c r="D66" s="203"/>
      <c r="E66" s="190"/>
      <c r="F66" s="97"/>
      <c r="G66" s="128"/>
    </row>
    <row r="67" spans="1:7" x14ac:dyDescent="0.25">
      <c r="A67" s="192"/>
      <c r="B67" s="33"/>
      <c r="C67" s="192"/>
      <c r="D67" s="203"/>
      <c r="E67" s="190"/>
      <c r="F67" s="97"/>
      <c r="G67" s="128"/>
    </row>
    <row r="68" spans="1:7" x14ac:dyDescent="0.25">
      <c r="A68" s="192"/>
      <c r="B68" s="33"/>
      <c r="C68" s="192"/>
      <c r="D68" s="203"/>
      <c r="E68" s="190"/>
      <c r="F68" s="97"/>
      <c r="G68" s="128"/>
    </row>
    <row r="69" spans="1:7" x14ac:dyDescent="0.25">
      <c r="A69" s="192"/>
      <c r="B69" s="33"/>
      <c r="C69" s="192"/>
      <c r="D69" s="203"/>
      <c r="E69" s="190"/>
      <c r="F69" s="97"/>
      <c r="G69" s="128"/>
    </row>
    <row r="70" spans="1:7" x14ac:dyDescent="0.25">
      <c r="A70" s="192"/>
      <c r="B70" s="33"/>
      <c r="C70" s="192"/>
      <c r="D70" s="203"/>
      <c r="E70" s="190"/>
      <c r="F70" s="97"/>
      <c r="G70" s="128"/>
    </row>
    <row r="71" spans="1:7" x14ac:dyDescent="0.25">
      <c r="A71" s="192"/>
      <c r="B71" s="33"/>
      <c r="C71" s="192"/>
      <c r="D71" s="203"/>
      <c r="E71" s="190"/>
      <c r="F71" s="97"/>
      <c r="G71" s="128"/>
    </row>
    <row r="72" spans="1:7" x14ac:dyDescent="0.25">
      <c r="A72" s="192"/>
      <c r="B72" s="33"/>
      <c r="C72" s="192"/>
      <c r="D72" s="203"/>
      <c r="E72" s="190"/>
      <c r="F72" s="97"/>
      <c r="G72" s="128"/>
    </row>
    <row r="73" spans="1:7" x14ac:dyDescent="0.25">
      <c r="A73" s="192"/>
      <c r="B73" s="33"/>
      <c r="C73" s="192"/>
      <c r="D73" s="203"/>
      <c r="E73" s="190"/>
      <c r="F73" s="97"/>
      <c r="G73" s="128"/>
    </row>
    <row r="74" spans="1:7" x14ac:dyDescent="0.25">
      <c r="A74" s="192"/>
      <c r="B74" s="33"/>
      <c r="C74" s="192"/>
      <c r="D74" s="203"/>
      <c r="E74" s="190"/>
      <c r="F74" s="97"/>
      <c r="G74" s="128"/>
    </row>
    <row r="75" spans="1:7" x14ac:dyDescent="0.25">
      <c r="A75" s="187"/>
      <c r="B75" s="36"/>
      <c r="C75" s="188"/>
      <c r="D75" s="189"/>
      <c r="E75" s="190"/>
      <c r="F75" s="97"/>
      <c r="G75" s="128"/>
    </row>
    <row r="76" spans="1:7" x14ac:dyDescent="0.25">
      <c r="A76" s="187"/>
      <c r="B76" s="191"/>
      <c r="C76" s="188"/>
      <c r="D76" s="189"/>
      <c r="E76" s="190"/>
      <c r="F76" s="97"/>
      <c r="G76" s="128"/>
    </row>
    <row r="77" spans="1:7" x14ac:dyDescent="0.25">
      <c r="A77" s="39"/>
      <c r="B77" s="40"/>
      <c r="C77" s="41"/>
      <c r="D77" s="42"/>
      <c r="E77" s="190"/>
      <c r="F77" s="97"/>
      <c r="G77" s="128"/>
    </row>
    <row r="78" spans="1:7" x14ac:dyDescent="0.25">
      <c r="A78" s="187"/>
      <c r="B78" s="192"/>
      <c r="C78" s="188"/>
      <c r="D78" s="189"/>
      <c r="E78" s="190"/>
      <c r="F78" s="97"/>
      <c r="G78" s="128"/>
    </row>
    <row r="79" spans="1:7" x14ac:dyDescent="0.25">
      <c r="A79" s="39"/>
      <c r="B79" s="43"/>
      <c r="C79" s="41"/>
      <c r="D79" s="42"/>
      <c r="E79" s="190"/>
      <c r="F79" s="97"/>
      <c r="G79" s="128"/>
    </row>
    <row r="80" spans="1:7" x14ac:dyDescent="0.25">
      <c r="A80" s="187"/>
      <c r="B80" s="192"/>
      <c r="C80" s="188"/>
      <c r="D80" s="189"/>
      <c r="E80" s="190"/>
      <c r="F80" s="97"/>
      <c r="G80" s="128"/>
    </row>
    <row r="81" spans="1:7" x14ac:dyDescent="0.25">
      <c r="A81" s="39"/>
      <c r="B81" s="40"/>
      <c r="C81" s="41"/>
      <c r="D81" s="42"/>
      <c r="E81" s="190"/>
      <c r="F81" s="97"/>
      <c r="G81" s="128"/>
    </row>
    <row r="82" spans="1:7" x14ac:dyDescent="0.25">
      <c r="A82" s="187"/>
      <c r="B82" s="192"/>
      <c r="C82" s="188"/>
      <c r="D82" s="189"/>
      <c r="E82" s="190"/>
      <c r="F82" s="97"/>
      <c r="G82" s="128"/>
    </row>
    <row r="83" spans="1:7" x14ac:dyDescent="0.25">
      <c r="A83" s="39"/>
      <c r="B83" s="40"/>
      <c r="C83" s="41"/>
      <c r="D83" s="42"/>
      <c r="E83" s="190"/>
      <c r="F83" s="97"/>
      <c r="G83" s="128"/>
    </row>
    <row r="84" spans="1:7" x14ac:dyDescent="0.25">
      <c r="A84" s="187"/>
      <c r="B84" s="192"/>
      <c r="C84" s="188"/>
      <c r="D84" s="189"/>
      <c r="E84" s="190"/>
      <c r="F84" s="97"/>
      <c r="G84" s="128"/>
    </row>
    <row r="85" spans="1:7" x14ac:dyDescent="0.25">
      <c r="A85" s="39"/>
      <c r="B85" s="40"/>
      <c r="C85" s="41"/>
      <c r="D85" s="42"/>
      <c r="E85" s="190"/>
      <c r="F85" s="97"/>
      <c r="G85" s="128"/>
    </row>
    <row r="86" spans="1:7" x14ac:dyDescent="0.25">
      <c r="A86" s="187"/>
      <c r="B86" s="192"/>
      <c r="C86" s="188"/>
      <c r="D86" s="189"/>
      <c r="E86" s="190"/>
      <c r="F86" s="97"/>
      <c r="G86" s="128"/>
    </row>
    <row r="87" spans="1:7" x14ac:dyDescent="0.25">
      <c r="A87" s="39"/>
      <c r="B87" s="40"/>
      <c r="C87" s="41"/>
      <c r="D87" s="42"/>
      <c r="E87" s="190"/>
      <c r="F87" s="97"/>
      <c r="G87" s="128"/>
    </row>
    <row r="88" spans="1:7" x14ac:dyDescent="0.25">
      <c r="A88" s="39"/>
      <c r="B88" s="40"/>
      <c r="C88" s="41"/>
      <c r="D88" s="42"/>
      <c r="E88" s="190"/>
      <c r="F88" s="97"/>
      <c r="G88" s="128"/>
    </row>
    <row r="89" spans="1:7" x14ac:dyDescent="0.25">
      <c r="A89" s="187"/>
      <c r="B89" s="192"/>
      <c r="C89" s="188"/>
      <c r="D89" s="189"/>
      <c r="E89" s="190"/>
      <c r="F89" s="97"/>
      <c r="G89" s="128"/>
    </row>
    <row r="90" spans="1:7" x14ac:dyDescent="0.25">
      <c r="A90" s="39"/>
      <c r="B90" s="40"/>
      <c r="C90" s="41"/>
      <c r="D90" s="42"/>
      <c r="E90" s="190"/>
      <c r="F90" s="97"/>
      <c r="G90" s="128"/>
    </row>
    <row r="91" spans="1:7" x14ac:dyDescent="0.25">
      <c r="A91" s="39"/>
      <c r="B91" s="40"/>
      <c r="C91" s="41"/>
      <c r="D91" s="42"/>
      <c r="E91" s="190"/>
      <c r="F91" s="97"/>
      <c r="G91" s="128"/>
    </row>
    <row r="92" spans="1:7" x14ac:dyDescent="0.25">
      <c r="A92" s="187"/>
      <c r="B92" s="192"/>
      <c r="C92" s="188"/>
      <c r="D92" s="189"/>
      <c r="E92" s="190"/>
      <c r="F92" s="97"/>
      <c r="G92" s="128"/>
    </row>
    <row r="93" spans="1:7" x14ac:dyDescent="0.25">
      <c r="A93" s="39"/>
      <c r="B93" s="40"/>
      <c r="C93" s="41"/>
      <c r="D93" s="42"/>
      <c r="E93" s="190"/>
      <c r="F93" s="97"/>
      <c r="G93" s="128"/>
    </row>
    <row r="94" spans="1:7" x14ac:dyDescent="0.25">
      <c r="A94" s="187"/>
      <c r="B94" s="192"/>
      <c r="C94" s="188"/>
      <c r="D94" s="189"/>
      <c r="E94" s="190"/>
      <c r="F94" s="97"/>
      <c r="G94" s="128"/>
    </row>
    <row r="95" spans="1:7" x14ac:dyDescent="0.25">
      <c r="A95" s="187"/>
      <c r="B95" s="192"/>
      <c r="C95" s="188"/>
      <c r="D95" s="189"/>
      <c r="E95" s="190"/>
      <c r="F95" s="97"/>
      <c r="G95" s="128"/>
    </row>
    <row r="96" spans="1:7" ht="26.4" x14ac:dyDescent="0.25">
      <c r="A96" s="187"/>
      <c r="B96" s="225" t="s">
        <v>1212</v>
      </c>
      <c r="C96" s="188"/>
      <c r="D96" s="189"/>
      <c r="E96" s="190"/>
      <c r="F96" s="97"/>
      <c r="G96" s="128"/>
    </row>
    <row r="97" spans="1:7" x14ac:dyDescent="0.25">
      <c r="A97" s="193"/>
      <c r="B97" s="194"/>
      <c r="C97" s="195"/>
      <c r="D97" s="196"/>
      <c r="E97" s="117"/>
      <c r="F97" s="98"/>
      <c r="G97" s="130"/>
    </row>
    <row r="98" spans="1:7" x14ac:dyDescent="0.25">
      <c r="A98" s="197"/>
      <c r="B98" s="198"/>
      <c r="C98" s="199" t="s">
        <v>51</v>
      </c>
      <c r="D98" s="199"/>
      <c r="E98" s="200" t="s">
        <v>50</v>
      </c>
      <c r="F98" s="99">
        <f>SUM(F52:F75)</f>
        <v>77193.37</v>
      </c>
      <c r="G98" s="131"/>
    </row>
    <row r="99" spans="1:7" x14ac:dyDescent="0.25">
      <c r="A99" s="197"/>
      <c r="B99" s="198"/>
      <c r="C99" s="201"/>
      <c r="D99" s="202"/>
      <c r="E99" s="118"/>
      <c r="F99" s="100"/>
      <c r="G99" s="132"/>
    </row>
    <row r="100" spans="1:7" x14ac:dyDescent="0.25">
      <c r="A100" s="192"/>
      <c r="B100" s="33"/>
      <c r="C100" s="192"/>
      <c r="D100" s="203"/>
      <c r="E100" s="190"/>
      <c r="F100" s="97"/>
      <c r="G100" s="128"/>
    </row>
    <row r="101" spans="1:7" x14ac:dyDescent="0.25">
      <c r="A101" s="187"/>
      <c r="B101" s="36" t="s">
        <v>120</v>
      </c>
      <c r="C101" s="188"/>
      <c r="D101" s="189"/>
      <c r="E101" s="190"/>
      <c r="F101" s="97"/>
      <c r="G101" s="128"/>
    </row>
    <row r="102" spans="1:7" x14ac:dyDescent="0.25">
      <c r="A102" s="187"/>
      <c r="B102" s="192"/>
      <c r="C102" s="188"/>
      <c r="D102" s="189"/>
      <c r="E102" s="190"/>
      <c r="F102" s="97"/>
      <c r="G102" s="128"/>
    </row>
    <row r="103" spans="1:7" x14ac:dyDescent="0.25">
      <c r="A103" s="39"/>
      <c r="B103" s="40" t="s">
        <v>350</v>
      </c>
      <c r="C103" s="41"/>
      <c r="D103" s="42"/>
      <c r="E103" s="190"/>
      <c r="F103" s="97"/>
      <c r="G103" s="128"/>
    </row>
    <row r="104" spans="1:7" x14ac:dyDescent="0.25">
      <c r="A104" s="187"/>
      <c r="B104" s="192"/>
      <c r="C104" s="188"/>
      <c r="D104" s="189"/>
      <c r="E104" s="190"/>
      <c r="F104" s="97"/>
      <c r="G104" s="128"/>
    </row>
    <row r="105" spans="1:7" x14ac:dyDescent="0.25">
      <c r="A105" s="39"/>
      <c r="B105" s="40" t="s">
        <v>351</v>
      </c>
      <c r="C105" s="41"/>
      <c r="D105" s="42"/>
      <c r="E105" s="190"/>
      <c r="F105" s="97"/>
      <c r="G105" s="128"/>
    </row>
    <row r="106" spans="1:7" x14ac:dyDescent="0.25">
      <c r="A106" s="187"/>
      <c r="B106" s="192"/>
      <c r="C106" s="188"/>
      <c r="D106" s="189"/>
      <c r="E106" s="190"/>
      <c r="F106" s="97"/>
      <c r="G106" s="128"/>
    </row>
    <row r="107" spans="1:7" ht="27.6" x14ac:dyDescent="0.25">
      <c r="A107" s="39"/>
      <c r="B107" s="52" t="s">
        <v>121</v>
      </c>
      <c r="C107" s="41"/>
      <c r="D107" s="42"/>
      <c r="E107" s="190"/>
      <c r="F107" s="97"/>
      <c r="G107" s="128"/>
    </row>
    <row r="108" spans="1:7" x14ac:dyDescent="0.25">
      <c r="A108" s="187"/>
      <c r="B108" s="192"/>
      <c r="C108" s="188"/>
      <c r="D108" s="189"/>
      <c r="E108" s="190"/>
      <c r="F108" s="97"/>
      <c r="G108" s="128"/>
    </row>
    <row r="109" spans="1:7" x14ac:dyDescent="0.25">
      <c r="A109" s="39" t="s">
        <v>3</v>
      </c>
      <c r="B109" s="40" t="s">
        <v>352</v>
      </c>
      <c r="C109" s="41" t="s">
        <v>187</v>
      </c>
      <c r="D109" s="42" t="s">
        <v>15</v>
      </c>
      <c r="E109" s="190"/>
      <c r="F109" s="97"/>
      <c r="G109" s="128"/>
    </row>
    <row r="110" spans="1:7" x14ac:dyDescent="0.25">
      <c r="A110" s="187"/>
      <c r="B110" s="192"/>
      <c r="C110" s="188"/>
      <c r="D110" s="189"/>
      <c r="E110" s="190"/>
      <c r="F110" s="97"/>
      <c r="G110" s="128"/>
    </row>
    <row r="111" spans="1:7" x14ac:dyDescent="0.25">
      <c r="A111" s="39" t="s">
        <v>2</v>
      </c>
      <c r="B111" s="40" t="s">
        <v>353</v>
      </c>
      <c r="C111" s="41" t="s">
        <v>212</v>
      </c>
      <c r="D111" s="42" t="s">
        <v>15</v>
      </c>
      <c r="E111" s="190"/>
      <c r="F111" s="97">
        <f>C111*E111</f>
        <v>0</v>
      </c>
      <c r="G111" s="128"/>
    </row>
    <row r="112" spans="1:7" x14ac:dyDescent="0.25">
      <c r="A112" s="187"/>
      <c r="B112" s="192"/>
      <c r="C112" s="188"/>
      <c r="D112" s="189"/>
      <c r="E112" s="190"/>
      <c r="F112" s="97"/>
      <c r="G112" s="128"/>
    </row>
    <row r="113" spans="1:7" ht="55.2" x14ac:dyDescent="0.25">
      <c r="A113" s="39" t="s">
        <v>5</v>
      </c>
      <c r="B113" s="40" t="s">
        <v>354</v>
      </c>
      <c r="C113" s="41" t="s">
        <v>355</v>
      </c>
      <c r="D113" s="42" t="s">
        <v>15</v>
      </c>
      <c r="E113" s="190"/>
      <c r="F113" s="124" t="s">
        <v>1198</v>
      </c>
      <c r="G113" s="136"/>
    </row>
    <row r="114" spans="1:7" x14ac:dyDescent="0.25">
      <c r="A114" s="187"/>
      <c r="B114" s="192"/>
      <c r="C114" s="188"/>
      <c r="D114" s="189"/>
      <c r="E114" s="190"/>
      <c r="F114" s="97"/>
      <c r="G114" s="128"/>
    </row>
    <row r="115" spans="1:7" ht="27.6" x14ac:dyDescent="0.25">
      <c r="A115" s="39" t="s">
        <v>8</v>
      </c>
      <c r="B115" s="40" t="s">
        <v>356</v>
      </c>
      <c r="C115" s="41" t="s">
        <v>357</v>
      </c>
      <c r="D115" s="42" t="s">
        <v>15</v>
      </c>
      <c r="E115" s="190"/>
      <c r="F115" s="97">
        <f>C115*E115</f>
        <v>0</v>
      </c>
      <c r="G115" s="128"/>
    </row>
    <row r="116" spans="1:7" x14ac:dyDescent="0.25">
      <c r="A116" s="187"/>
      <c r="B116" s="192"/>
      <c r="C116" s="188"/>
      <c r="D116" s="189"/>
      <c r="E116" s="190"/>
      <c r="F116" s="97"/>
      <c r="G116" s="128"/>
    </row>
    <row r="117" spans="1:7" x14ac:dyDescent="0.25">
      <c r="A117" s="39" t="s">
        <v>9</v>
      </c>
      <c r="B117" s="40" t="s">
        <v>358</v>
      </c>
      <c r="C117" s="41" t="s">
        <v>359</v>
      </c>
      <c r="D117" s="42" t="s">
        <v>15</v>
      </c>
      <c r="E117" s="190"/>
      <c r="F117" s="97">
        <f>C117*E117</f>
        <v>0</v>
      </c>
      <c r="G117" s="128"/>
    </row>
    <row r="118" spans="1:7" x14ac:dyDescent="0.25">
      <c r="A118" s="187"/>
      <c r="B118" s="192"/>
      <c r="C118" s="188"/>
      <c r="D118" s="189"/>
      <c r="E118" s="190"/>
      <c r="F118" s="97"/>
      <c r="G118" s="128"/>
    </row>
    <row r="119" spans="1:7" x14ac:dyDescent="0.25">
      <c r="A119" s="39" t="s">
        <v>10</v>
      </c>
      <c r="B119" s="40" t="s">
        <v>360</v>
      </c>
      <c r="C119" s="41" t="s">
        <v>64</v>
      </c>
      <c r="D119" s="42" t="s">
        <v>15</v>
      </c>
      <c r="E119" s="190">
        <v>7000.11</v>
      </c>
      <c r="F119" s="97">
        <f>C119*E119</f>
        <v>14000.22</v>
      </c>
      <c r="G119" s="128"/>
    </row>
    <row r="120" spans="1:7" x14ac:dyDescent="0.25">
      <c r="A120" s="187"/>
      <c r="B120" s="192"/>
      <c r="C120" s="188"/>
      <c r="D120" s="189"/>
      <c r="E120" s="190"/>
      <c r="F120" s="97"/>
      <c r="G120" s="128"/>
    </row>
    <row r="121" spans="1:7" ht="55.2" x14ac:dyDescent="0.25">
      <c r="A121" s="39" t="s">
        <v>12</v>
      </c>
      <c r="B121" s="40" t="s">
        <v>361</v>
      </c>
      <c r="C121" s="41" t="s">
        <v>362</v>
      </c>
      <c r="D121" s="42" t="s">
        <v>15</v>
      </c>
      <c r="E121" s="190"/>
      <c r="F121" s="124" t="s">
        <v>1198</v>
      </c>
      <c r="G121" s="136"/>
    </row>
    <row r="122" spans="1:7" x14ac:dyDescent="0.25">
      <c r="A122" s="187"/>
      <c r="B122" s="192"/>
      <c r="C122" s="188"/>
      <c r="D122" s="189"/>
      <c r="E122" s="190"/>
      <c r="F122" s="97"/>
      <c r="G122" s="128"/>
    </row>
    <row r="123" spans="1:7" ht="55.2" x14ac:dyDescent="0.25">
      <c r="A123" s="39" t="s">
        <v>13</v>
      </c>
      <c r="B123" s="40" t="s">
        <v>363</v>
      </c>
      <c r="C123" s="41"/>
      <c r="D123" s="42" t="s">
        <v>6</v>
      </c>
      <c r="E123" s="190"/>
      <c r="F123" s="124" t="s">
        <v>1198</v>
      </c>
      <c r="G123" s="136"/>
    </row>
    <row r="124" spans="1:7" x14ac:dyDescent="0.25">
      <c r="A124" s="187"/>
      <c r="B124" s="192"/>
      <c r="C124" s="188"/>
      <c r="D124" s="189"/>
      <c r="E124" s="190"/>
      <c r="F124" s="97"/>
      <c r="G124" s="128"/>
    </row>
    <row r="125" spans="1:7" x14ac:dyDescent="0.25">
      <c r="A125" s="39" t="s">
        <v>16</v>
      </c>
      <c r="B125" s="40" t="s">
        <v>364</v>
      </c>
      <c r="C125" s="41"/>
      <c r="D125" s="42" t="s">
        <v>15</v>
      </c>
      <c r="E125" s="190">
        <v>118.46</v>
      </c>
      <c r="F125" s="97">
        <f>C125*E125</f>
        <v>0</v>
      </c>
      <c r="G125" s="128"/>
    </row>
    <row r="126" spans="1:7" x14ac:dyDescent="0.25">
      <c r="A126" s="187"/>
      <c r="B126" s="192"/>
      <c r="C126" s="188"/>
      <c r="D126" s="189"/>
      <c r="E126" s="190"/>
      <c r="F126" s="97"/>
      <c r="G126" s="128"/>
    </row>
    <row r="127" spans="1:7" ht="55.2" x14ac:dyDescent="0.25">
      <c r="A127" s="39" t="s">
        <v>17</v>
      </c>
      <c r="B127" s="40" t="s">
        <v>365</v>
      </c>
      <c r="C127" s="41"/>
      <c r="D127" s="42" t="s">
        <v>6</v>
      </c>
      <c r="E127" s="190"/>
      <c r="F127" s="124" t="s">
        <v>1198</v>
      </c>
      <c r="G127" s="136"/>
    </row>
    <row r="128" spans="1:7" x14ac:dyDescent="0.25">
      <c r="A128" s="187"/>
      <c r="B128" s="192"/>
      <c r="C128" s="188"/>
      <c r="D128" s="189"/>
      <c r="E128" s="190"/>
      <c r="F128" s="97"/>
      <c r="G128" s="128"/>
    </row>
    <row r="129" spans="1:7" ht="41.4" x14ac:dyDescent="0.25">
      <c r="A129" s="39" t="s">
        <v>18</v>
      </c>
      <c r="B129" s="40" t="s">
        <v>366</v>
      </c>
      <c r="C129" s="41"/>
      <c r="D129" s="42" t="s">
        <v>15</v>
      </c>
      <c r="E129" s="190">
        <v>1206.17</v>
      </c>
      <c r="F129" s="97">
        <f>C129*E129</f>
        <v>0</v>
      </c>
      <c r="G129" s="128"/>
    </row>
    <row r="130" spans="1:7" x14ac:dyDescent="0.25">
      <c r="A130" s="187"/>
      <c r="B130" s="192"/>
      <c r="C130" s="188"/>
      <c r="D130" s="189"/>
      <c r="E130" s="190"/>
      <c r="F130" s="97"/>
      <c r="G130" s="128"/>
    </row>
    <row r="131" spans="1:7" ht="55.2" x14ac:dyDescent="0.25">
      <c r="A131" s="39" t="s">
        <v>19</v>
      </c>
      <c r="B131" s="40" t="s">
        <v>367</v>
      </c>
      <c r="C131" s="41"/>
      <c r="D131" s="42" t="s">
        <v>6</v>
      </c>
      <c r="E131" s="190"/>
      <c r="F131" s="124" t="s">
        <v>1198</v>
      </c>
      <c r="G131" s="136"/>
    </row>
    <row r="132" spans="1:7" x14ac:dyDescent="0.25">
      <c r="A132" s="187"/>
      <c r="B132" s="192"/>
      <c r="C132" s="188"/>
      <c r="D132" s="189"/>
      <c r="E132" s="190"/>
      <c r="F132" s="97"/>
      <c r="G132" s="128"/>
    </row>
    <row r="133" spans="1:7" x14ac:dyDescent="0.25">
      <c r="A133" s="39" t="s">
        <v>22</v>
      </c>
      <c r="B133" s="40" t="s">
        <v>368</v>
      </c>
      <c r="C133" s="41"/>
      <c r="D133" s="42" t="s">
        <v>15</v>
      </c>
      <c r="E133" s="190">
        <v>236.93</v>
      </c>
      <c r="F133" s="97">
        <f>C133*E133</f>
        <v>0</v>
      </c>
      <c r="G133" s="128"/>
    </row>
    <row r="134" spans="1:7" x14ac:dyDescent="0.25">
      <c r="A134" s="192"/>
      <c r="B134" s="33"/>
      <c r="C134" s="192"/>
      <c r="D134" s="203"/>
      <c r="E134" s="190"/>
      <c r="F134" s="97"/>
      <c r="G134" s="128"/>
    </row>
    <row r="135" spans="1:7" x14ac:dyDescent="0.25">
      <c r="A135" s="193"/>
      <c r="B135" s="194"/>
      <c r="C135" s="195"/>
      <c r="D135" s="196"/>
      <c r="E135" s="117"/>
      <c r="F135" s="98"/>
      <c r="G135" s="130"/>
    </row>
    <row r="136" spans="1:7" x14ac:dyDescent="0.25">
      <c r="A136" s="197"/>
      <c r="B136" s="198"/>
      <c r="C136" s="199" t="s">
        <v>51</v>
      </c>
      <c r="D136" s="199"/>
      <c r="E136" s="200" t="s">
        <v>50</v>
      </c>
      <c r="F136" s="99">
        <f>SUM(F106:F134)</f>
        <v>14000.22</v>
      </c>
      <c r="G136" s="131"/>
    </row>
    <row r="137" spans="1:7" x14ac:dyDescent="0.25">
      <c r="A137" s="197"/>
      <c r="B137" s="198"/>
      <c r="C137" s="201"/>
      <c r="D137" s="202"/>
      <c r="E137" s="118"/>
      <c r="F137" s="100"/>
      <c r="G137" s="132"/>
    </row>
    <row r="138" spans="1:7" x14ac:dyDescent="0.25">
      <c r="A138" s="187"/>
      <c r="B138" s="192"/>
      <c r="C138" s="188"/>
      <c r="D138" s="189"/>
      <c r="E138" s="190"/>
      <c r="F138" s="97"/>
      <c r="G138" s="128"/>
    </row>
    <row r="139" spans="1:7" x14ac:dyDescent="0.25">
      <c r="A139" s="187"/>
      <c r="B139" s="36" t="s">
        <v>369</v>
      </c>
      <c r="C139" s="188"/>
      <c r="D139" s="189"/>
      <c r="E139" s="190"/>
      <c r="F139" s="97"/>
      <c r="G139" s="128"/>
    </row>
    <row r="140" spans="1:7" x14ac:dyDescent="0.25">
      <c r="A140" s="187"/>
      <c r="B140" s="192"/>
      <c r="C140" s="188"/>
      <c r="D140" s="189"/>
      <c r="E140" s="190"/>
      <c r="F140" s="97"/>
      <c r="G140" s="128"/>
    </row>
    <row r="141" spans="1:7" x14ac:dyDescent="0.25">
      <c r="A141" s="39"/>
      <c r="B141" s="40" t="s">
        <v>28</v>
      </c>
      <c r="C141" s="41"/>
      <c r="D141" s="42"/>
      <c r="E141" s="190"/>
      <c r="F141" s="97"/>
      <c r="G141" s="128"/>
    </row>
    <row r="142" spans="1:7" x14ac:dyDescent="0.25">
      <c r="A142" s="187"/>
      <c r="B142" s="192"/>
      <c r="C142" s="188"/>
      <c r="D142" s="189"/>
      <c r="E142" s="190"/>
      <c r="F142" s="97"/>
      <c r="G142" s="128"/>
    </row>
    <row r="143" spans="1:7" ht="27.6" x14ac:dyDescent="0.25">
      <c r="A143" s="39"/>
      <c r="B143" s="40" t="s">
        <v>370</v>
      </c>
      <c r="C143" s="41"/>
      <c r="D143" s="42"/>
      <c r="E143" s="190"/>
      <c r="F143" s="97"/>
      <c r="G143" s="128"/>
    </row>
    <row r="144" spans="1:7" x14ac:dyDescent="0.25">
      <c r="A144" s="187"/>
      <c r="B144" s="192"/>
      <c r="C144" s="188"/>
      <c r="D144" s="189"/>
      <c r="E144" s="190"/>
      <c r="F144" s="97"/>
      <c r="G144" s="128"/>
    </row>
    <row r="145" spans="1:7" x14ac:dyDescent="0.25">
      <c r="A145" s="39"/>
      <c r="B145" s="43" t="s">
        <v>371</v>
      </c>
      <c r="C145" s="41"/>
      <c r="D145" s="42"/>
      <c r="E145" s="190"/>
      <c r="F145" s="97"/>
      <c r="G145" s="128"/>
    </row>
    <row r="146" spans="1:7" x14ac:dyDescent="0.25">
      <c r="A146" s="187"/>
      <c r="B146" s="192"/>
      <c r="C146" s="188"/>
      <c r="D146" s="189"/>
      <c r="E146" s="190"/>
      <c r="F146" s="97"/>
      <c r="G146" s="128"/>
    </row>
    <row r="147" spans="1:7" ht="82.8" x14ac:dyDescent="0.25">
      <c r="A147" s="39"/>
      <c r="B147" s="52" t="s">
        <v>372</v>
      </c>
      <c r="C147" s="41"/>
      <c r="D147" s="42"/>
      <c r="E147" s="190"/>
      <c r="F147" s="97"/>
      <c r="G147" s="128"/>
    </row>
    <row r="148" spans="1:7" x14ac:dyDescent="0.25">
      <c r="A148" s="187"/>
      <c r="B148" s="192"/>
      <c r="C148" s="188"/>
      <c r="D148" s="189"/>
      <c r="E148" s="190"/>
      <c r="F148" s="97"/>
      <c r="G148" s="128"/>
    </row>
    <row r="149" spans="1:7" ht="27.6" x14ac:dyDescent="0.25">
      <c r="A149" s="39" t="s">
        <v>3</v>
      </c>
      <c r="B149" s="40" t="s">
        <v>373</v>
      </c>
      <c r="C149" s="41" t="s">
        <v>104</v>
      </c>
      <c r="D149" s="42" t="s">
        <v>374</v>
      </c>
      <c r="E149" s="190">
        <v>5745.47</v>
      </c>
      <c r="F149" s="97">
        <f>C149*E149</f>
        <v>5745.47</v>
      </c>
      <c r="G149" s="128"/>
    </row>
    <row r="150" spans="1:7" x14ac:dyDescent="0.25">
      <c r="A150" s="187"/>
      <c r="B150" s="192"/>
      <c r="C150" s="188"/>
      <c r="D150" s="189"/>
      <c r="E150" s="190"/>
      <c r="F150" s="97"/>
      <c r="G150" s="128"/>
    </row>
    <row r="151" spans="1:7" ht="69" x14ac:dyDescent="0.25">
      <c r="A151" s="39"/>
      <c r="B151" s="52" t="s">
        <v>375</v>
      </c>
      <c r="C151" s="41"/>
      <c r="D151" s="42"/>
      <c r="E151" s="190"/>
      <c r="F151" s="97"/>
      <c r="G151" s="128"/>
    </row>
    <row r="152" spans="1:7" x14ac:dyDescent="0.25">
      <c r="A152" s="187"/>
      <c r="B152" s="192"/>
      <c r="C152" s="188"/>
      <c r="D152" s="189"/>
      <c r="E152" s="190"/>
      <c r="F152" s="97"/>
      <c r="G152" s="128"/>
    </row>
    <row r="153" spans="1:7" x14ac:dyDescent="0.25">
      <c r="A153" s="39" t="s">
        <v>2</v>
      </c>
      <c r="B153" s="63" t="s">
        <v>376</v>
      </c>
      <c r="C153" s="41">
        <v>38</v>
      </c>
      <c r="D153" s="42" t="s">
        <v>374</v>
      </c>
      <c r="E153" s="190">
        <v>1034.19</v>
      </c>
      <c r="F153" s="97">
        <f>C153*E153</f>
        <v>39299.22</v>
      </c>
      <c r="G153" s="128"/>
    </row>
    <row r="154" spans="1:7" x14ac:dyDescent="0.25">
      <c r="A154" s="187"/>
      <c r="B154" s="192"/>
      <c r="C154" s="188"/>
      <c r="D154" s="189"/>
      <c r="E154" s="190"/>
      <c r="F154" s="97"/>
      <c r="G154" s="128"/>
    </row>
    <row r="155" spans="1:7" ht="82.8" x14ac:dyDescent="0.25">
      <c r="A155" s="39"/>
      <c r="B155" s="52" t="s">
        <v>377</v>
      </c>
      <c r="C155" s="41"/>
      <c r="D155" s="42"/>
      <c r="E155" s="190"/>
      <c r="F155" s="97"/>
      <c r="G155" s="128"/>
    </row>
    <row r="156" spans="1:7" x14ac:dyDescent="0.25">
      <c r="A156" s="187"/>
      <c r="B156" s="192"/>
      <c r="C156" s="188"/>
      <c r="D156" s="189"/>
      <c r="E156" s="190"/>
      <c r="F156" s="97"/>
      <c r="G156" s="128"/>
    </row>
    <row r="157" spans="1:7" ht="27.6" x14ac:dyDescent="0.25">
      <c r="A157" s="39" t="s">
        <v>5</v>
      </c>
      <c r="B157" s="40" t="s">
        <v>378</v>
      </c>
      <c r="C157" s="41">
        <v>143</v>
      </c>
      <c r="D157" s="42" t="s">
        <v>374</v>
      </c>
      <c r="E157" s="190">
        <v>2037.03</v>
      </c>
      <c r="F157" s="97">
        <f>C157*E157</f>
        <v>291295.28999999998</v>
      </c>
      <c r="G157" s="128"/>
    </row>
    <row r="158" spans="1:7" x14ac:dyDescent="0.25">
      <c r="A158" s="187"/>
      <c r="B158" s="192"/>
      <c r="C158" s="188"/>
      <c r="D158" s="189"/>
      <c r="E158" s="190"/>
      <c r="F158" s="97"/>
      <c r="G158" s="128"/>
    </row>
    <row r="159" spans="1:7" x14ac:dyDescent="0.25">
      <c r="A159" s="192"/>
      <c r="B159" s="33"/>
      <c r="C159" s="192"/>
      <c r="D159" s="203"/>
      <c r="E159" s="190"/>
      <c r="F159" s="97"/>
      <c r="G159" s="128"/>
    </row>
    <row r="160" spans="1:7" x14ac:dyDescent="0.25">
      <c r="A160" s="192"/>
      <c r="B160" s="33"/>
      <c r="C160" s="192"/>
      <c r="D160" s="203"/>
      <c r="E160" s="190"/>
      <c r="F160" s="97"/>
      <c r="G160" s="128"/>
    </row>
    <row r="161" spans="1:7" x14ac:dyDescent="0.25">
      <c r="A161" s="192"/>
      <c r="B161" s="33"/>
      <c r="C161" s="192"/>
      <c r="D161" s="203"/>
      <c r="E161" s="190"/>
      <c r="F161" s="97"/>
      <c r="G161" s="128"/>
    </row>
    <row r="162" spans="1:7" x14ac:dyDescent="0.25">
      <c r="A162" s="192"/>
      <c r="B162" s="33"/>
      <c r="C162" s="192"/>
      <c r="D162" s="203"/>
      <c r="E162" s="190"/>
      <c r="F162" s="97"/>
      <c r="G162" s="128"/>
    </row>
    <row r="163" spans="1:7" x14ac:dyDescent="0.25">
      <c r="A163" s="192"/>
      <c r="B163" s="33"/>
      <c r="C163" s="192"/>
      <c r="D163" s="203"/>
      <c r="E163" s="190"/>
      <c r="F163" s="97"/>
      <c r="G163" s="128"/>
    </row>
    <row r="164" spans="1:7" x14ac:dyDescent="0.25">
      <c r="A164" s="192"/>
      <c r="B164" s="33"/>
      <c r="C164" s="192"/>
      <c r="D164" s="203"/>
      <c r="E164" s="190"/>
      <c r="F164" s="97"/>
      <c r="G164" s="128"/>
    </row>
    <row r="165" spans="1:7" x14ac:dyDescent="0.25">
      <c r="A165" s="192"/>
      <c r="B165" s="33"/>
      <c r="C165" s="192"/>
      <c r="D165" s="203"/>
      <c r="E165" s="190"/>
      <c r="F165" s="97"/>
      <c r="G165" s="128"/>
    </row>
    <row r="166" spans="1:7" x14ac:dyDescent="0.25">
      <c r="A166" s="192"/>
      <c r="B166" s="33"/>
      <c r="C166" s="192"/>
      <c r="D166" s="203"/>
      <c r="E166" s="190"/>
      <c r="F166" s="97"/>
      <c r="G166" s="128"/>
    </row>
    <row r="167" spans="1:7" x14ac:dyDescent="0.25">
      <c r="A167" s="193"/>
      <c r="B167" s="194"/>
      <c r="C167" s="195"/>
      <c r="D167" s="196"/>
      <c r="E167" s="117"/>
      <c r="F167" s="98"/>
      <c r="G167" s="130"/>
    </row>
    <row r="168" spans="1:7" x14ac:dyDescent="0.25">
      <c r="A168" s="197"/>
      <c r="B168" s="198"/>
      <c r="C168" s="199" t="s">
        <v>51</v>
      </c>
      <c r="D168" s="199"/>
      <c r="E168" s="200" t="s">
        <v>50</v>
      </c>
      <c r="F168" s="99">
        <f>SUM(F147:F162)</f>
        <v>336339.98</v>
      </c>
      <c r="G168" s="131"/>
    </row>
    <row r="169" spans="1:7" x14ac:dyDescent="0.25">
      <c r="A169" s="197"/>
      <c r="B169" s="198"/>
      <c r="C169" s="201"/>
      <c r="D169" s="202"/>
      <c r="E169" s="118"/>
      <c r="F169" s="100"/>
      <c r="G169" s="132"/>
    </row>
    <row r="170" spans="1:7" x14ac:dyDescent="0.25">
      <c r="A170" s="192"/>
      <c r="B170" s="33"/>
      <c r="C170" s="192"/>
      <c r="D170" s="203"/>
      <c r="E170" s="190"/>
      <c r="F170" s="97"/>
      <c r="G170" s="128"/>
    </row>
    <row r="171" spans="1:7" x14ac:dyDescent="0.25">
      <c r="A171" s="187"/>
      <c r="B171" s="36" t="s">
        <v>379</v>
      </c>
      <c r="C171" s="188"/>
      <c r="D171" s="189"/>
      <c r="E171" s="190"/>
      <c r="F171" s="97"/>
      <c r="G171" s="128"/>
    </row>
    <row r="172" spans="1:7" x14ac:dyDescent="0.25">
      <c r="A172" s="187"/>
      <c r="B172" s="192"/>
      <c r="C172" s="188"/>
      <c r="D172" s="189"/>
      <c r="E172" s="190"/>
      <c r="F172" s="97"/>
      <c r="G172" s="128"/>
    </row>
    <row r="173" spans="1:7" ht="69" x14ac:dyDescent="0.25">
      <c r="A173" s="39"/>
      <c r="B173" s="52" t="s">
        <v>380</v>
      </c>
      <c r="C173" s="41"/>
      <c r="D173" s="42"/>
      <c r="E173" s="190"/>
      <c r="F173" s="97"/>
      <c r="G173" s="128"/>
    </row>
    <row r="174" spans="1:7" x14ac:dyDescent="0.25">
      <c r="A174" s="187"/>
      <c r="B174" s="192"/>
      <c r="C174" s="188"/>
      <c r="D174" s="189"/>
      <c r="E174" s="190"/>
      <c r="F174" s="97"/>
      <c r="G174" s="128"/>
    </row>
    <row r="175" spans="1:7" ht="27.6" x14ac:dyDescent="0.25">
      <c r="A175" s="39" t="s">
        <v>3</v>
      </c>
      <c r="B175" s="40" t="s">
        <v>381</v>
      </c>
      <c r="C175" s="41">
        <v>15</v>
      </c>
      <c r="D175" s="42" t="s">
        <v>374</v>
      </c>
      <c r="E175" s="190">
        <v>2611.58</v>
      </c>
      <c r="F175" s="97">
        <f>C175*E175</f>
        <v>39173.699999999997</v>
      </c>
      <c r="G175" s="128"/>
    </row>
    <row r="176" spans="1:7" x14ac:dyDescent="0.25">
      <c r="A176" s="187"/>
      <c r="B176" s="192"/>
      <c r="C176" s="188"/>
      <c r="D176" s="189"/>
      <c r="E176" s="190"/>
      <c r="F176" s="97"/>
      <c r="G176" s="128"/>
    </row>
    <row r="177" spans="1:7" ht="69" x14ac:dyDescent="0.25">
      <c r="A177" s="39"/>
      <c r="B177" s="52" t="s">
        <v>382</v>
      </c>
      <c r="C177" s="41"/>
      <c r="D177" s="42"/>
      <c r="E177" s="190"/>
      <c r="F177" s="97"/>
      <c r="G177" s="128"/>
    </row>
    <row r="178" spans="1:7" x14ac:dyDescent="0.25">
      <c r="A178" s="187"/>
      <c r="B178" s="192"/>
      <c r="C178" s="188"/>
      <c r="D178" s="189"/>
      <c r="E178" s="190"/>
      <c r="F178" s="97"/>
      <c r="G178" s="128"/>
    </row>
    <row r="179" spans="1:7" x14ac:dyDescent="0.25">
      <c r="A179" s="39" t="s">
        <v>2</v>
      </c>
      <c r="B179" s="40" t="s">
        <v>383</v>
      </c>
      <c r="C179" s="41">
        <v>840</v>
      </c>
      <c r="D179" s="42" t="s">
        <v>374</v>
      </c>
      <c r="E179" s="190">
        <v>156.69</v>
      </c>
      <c r="F179" s="97">
        <f>C179*E179</f>
        <v>131619.6</v>
      </c>
      <c r="G179" s="128"/>
    </row>
    <row r="180" spans="1:7" x14ac:dyDescent="0.25">
      <c r="A180" s="187"/>
      <c r="B180" s="192"/>
      <c r="C180" s="188"/>
      <c r="D180" s="189"/>
      <c r="E180" s="190"/>
      <c r="F180" s="97"/>
      <c r="G180" s="128"/>
    </row>
    <row r="181" spans="1:7" ht="69" x14ac:dyDescent="0.25">
      <c r="A181" s="39"/>
      <c r="B181" s="52" t="s">
        <v>384</v>
      </c>
      <c r="C181" s="41"/>
      <c r="D181" s="42"/>
      <c r="E181" s="190"/>
      <c r="F181" s="97"/>
      <c r="G181" s="128"/>
    </row>
    <row r="182" spans="1:7" x14ac:dyDescent="0.25">
      <c r="A182" s="187"/>
      <c r="B182" s="192"/>
      <c r="C182" s="188"/>
      <c r="D182" s="189"/>
      <c r="E182" s="190"/>
      <c r="F182" s="97"/>
      <c r="G182" s="128"/>
    </row>
    <row r="183" spans="1:7" ht="27.6" x14ac:dyDescent="0.25">
      <c r="A183" s="39" t="s">
        <v>5</v>
      </c>
      <c r="B183" s="40" t="s">
        <v>385</v>
      </c>
      <c r="C183" s="41">
        <v>30</v>
      </c>
      <c r="D183" s="42" t="s">
        <v>374</v>
      </c>
      <c r="E183" s="190">
        <v>2193.73</v>
      </c>
      <c r="F183" s="97">
        <f>C183*E183</f>
        <v>65811.899999999994</v>
      </c>
      <c r="G183" s="128"/>
    </row>
    <row r="184" spans="1:7" x14ac:dyDescent="0.25">
      <c r="A184" s="187"/>
      <c r="B184" s="192"/>
      <c r="C184" s="188"/>
      <c r="D184" s="189"/>
      <c r="E184" s="190"/>
      <c r="F184" s="97"/>
      <c r="G184" s="128"/>
    </row>
    <row r="185" spans="1:7" ht="69" x14ac:dyDescent="0.25">
      <c r="A185" s="39"/>
      <c r="B185" s="52" t="s">
        <v>386</v>
      </c>
      <c r="C185" s="41"/>
      <c r="D185" s="42"/>
      <c r="E185" s="190"/>
      <c r="F185" s="97"/>
      <c r="G185" s="128"/>
    </row>
    <row r="186" spans="1:7" x14ac:dyDescent="0.25">
      <c r="A186" s="187"/>
      <c r="B186" s="192"/>
      <c r="C186" s="188"/>
      <c r="D186" s="189"/>
      <c r="E186" s="190"/>
      <c r="F186" s="97"/>
      <c r="G186" s="128"/>
    </row>
    <row r="187" spans="1:7" x14ac:dyDescent="0.25">
      <c r="A187" s="39" t="s">
        <v>8</v>
      </c>
      <c r="B187" s="40" t="s">
        <v>387</v>
      </c>
      <c r="C187" s="41">
        <v>17</v>
      </c>
      <c r="D187" s="42" t="s">
        <v>374</v>
      </c>
      <c r="E187" s="190">
        <v>407.41</v>
      </c>
      <c r="F187" s="97">
        <f>C187*E187</f>
        <v>6925.97</v>
      </c>
      <c r="G187" s="128"/>
    </row>
    <row r="188" spans="1:7" x14ac:dyDescent="0.25">
      <c r="A188" s="39"/>
      <c r="B188" s="40"/>
      <c r="C188" s="41"/>
      <c r="D188" s="42"/>
      <c r="E188" s="190"/>
      <c r="F188" s="97"/>
      <c r="G188" s="128"/>
    </row>
    <row r="189" spans="1:7" x14ac:dyDescent="0.25">
      <c r="A189" s="187"/>
      <c r="B189" s="192"/>
      <c r="C189" s="188"/>
      <c r="D189" s="189"/>
      <c r="E189" s="190"/>
      <c r="F189" s="97"/>
      <c r="G189" s="128"/>
    </row>
    <row r="190" spans="1:7" x14ac:dyDescent="0.25">
      <c r="A190" s="39"/>
      <c r="B190" s="43"/>
      <c r="C190" s="41"/>
      <c r="D190" s="42"/>
      <c r="E190" s="190"/>
      <c r="F190" s="97"/>
      <c r="G190" s="128"/>
    </row>
    <row r="191" spans="1:7" x14ac:dyDescent="0.25">
      <c r="A191" s="187"/>
      <c r="B191" s="192"/>
      <c r="C191" s="188"/>
      <c r="D191" s="189"/>
      <c r="E191" s="190"/>
      <c r="F191" s="97"/>
      <c r="G191" s="128"/>
    </row>
    <row r="192" spans="1:7" x14ac:dyDescent="0.25">
      <c r="A192" s="39"/>
      <c r="B192" s="40"/>
      <c r="C192" s="41"/>
      <c r="D192" s="42"/>
      <c r="E192" s="190"/>
      <c r="F192" s="97"/>
      <c r="G192" s="128"/>
    </row>
    <row r="193" spans="1:7" x14ac:dyDescent="0.25">
      <c r="A193" s="187"/>
      <c r="B193" s="192"/>
      <c r="C193" s="188"/>
      <c r="D193" s="189"/>
      <c r="E193" s="190"/>
      <c r="F193" s="97"/>
      <c r="G193" s="128"/>
    </row>
    <row r="194" spans="1:7" x14ac:dyDescent="0.25">
      <c r="A194" s="187"/>
      <c r="B194" s="192"/>
      <c r="C194" s="188"/>
      <c r="D194" s="189"/>
      <c r="E194" s="190"/>
      <c r="F194" s="97"/>
      <c r="G194" s="128"/>
    </row>
    <row r="195" spans="1:7" x14ac:dyDescent="0.25">
      <c r="A195" s="39"/>
      <c r="B195" s="43"/>
      <c r="C195" s="41"/>
      <c r="D195" s="42"/>
      <c r="E195" s="190"/>
      <c r="F195" s="97"/>
      <c r="G195" s="128"/>
    </row>
    <row r="196" spans="1:7" x14ac:dyDescent="0.25">
      <c r="A196" s="192"/>
      <c r="B196" s="33"/>
      <c r="C196" s="192"/>
      <c r="D196" s="203"/>
      <c r="E196" s="190"/>
      <c r="F196" s="97"/>
      <c r="G196" s="128"/>
    </row>
    <row r="197" spans="1:7" x14ac:dyDescent="0.25">
      <c r="A197" s="192"/>
      <c r="B197" s="33"/>
      <c r="C197" s="192"/>
      <c r="D197" s="203"/>
      <c r="E197" s="190"/>
      <c r="F197" s="97"/>
      <c r="G197" s="128"/>
    </row>
    <row r="198" spans="1:7" x14ac:dyDescent="0.25">
      <c r="A198" s="192"/>
      <c r="B198" s="33"/>
      <c r="C198" s="192"/>
      <c r="D198" s="203"/>
      <c r="E198" s="190"/>
      <c r="F198" s="97"/>
      <c r="G198" s="128"/>
    </row>
    <row r="199" spans="1:7" x14ac:dyDescent="0.25">
      <c r="A199" s="193"/>
      <c r="B199" s="194"/>
      <c r="C199" s="195"/>
      <c r="D199" s="196"/>
      <c r="E199" s="117"/>
      <c r="F199" s="98"/>
      <c r="G199" s="130"/>
    </row>
    <row r="200" spans="1:7" x14ac:dyDescent="0.25">
      <c r="A200" s="197"/>
      <c r="B200" s="198"/>
      <c r="C200" s="199" t="s">
        <v>51</v>
      </c>
      <c r="D200" s="199"/>
      <c r="E200" s="200" t="s">
        <v>50</v>
      </c>
      <c r="F200" s="99">
        <f>SUM(F173:F193)</f>
        <v>243531.16999999998</v>
      </c>
      <c r="G200" s="131"/>
    </row>
    <row r="201" spans="1:7" x14ac:dyDescent="0.25">
      <c r="A201" s="197"/>
      <c r="B201" s="198"/>
      <c r="C201" s="201"/>
      <c r="D201" s="202"/>
      <c r="E201" s="118"/>
      <c r="F201" s="100"/>
      <c r="G201" s="132"/>
    </row>
    <row r="202" spans="1:7" x14ac:dyDescent="0.25">
      <c r="A202" s="192"/>
      <c r="B202" s="33"/>
      <c r="C202" s="192"/>
      <c r="D202" s="203"/>
      <c r="E202" s="190"/>
      <c r="F202" s="97"/>
      <c r="G202" s="128"/>
    </row>
    <row r="203" spans="1:7" x14ac:dyDescent="0.25">
      <c r="A203" s="187"/>
      <c r="B203" s="36" t="s">
        <v>379</v>
      </c>
      <c r="C203" s="188"/>
      <c r="D203" s="189"/>
      <c r="E203" s="190"/>
      <c r="F203" s="97"/>
      <c r="G203" s="128"/>
    </row>
    <row r="204" spans="1:7" x14ac:dyDescent="0.25">
      <c r="A204" s="187"/>
      <c r="B204" s="192"/>
      <c r="C204" s="188"/>
      <c r="D204" s="189"/>
      <c r="E204" s="190"/>
      <c r="F204" s="97"/>
      <c r="G204" s="128"/>
    </row>
    <row r="205" spans="1:7" ht="82.8" x14ac:dyDescent="0.25">
      <c r="A205" s="39"/>
      <c r="B205" s="52" t="s">
        <v>388</v>
      </c>
      <c r="C205" s="41"/>
      <c r="D205" s="42"/>
      <c r="E205" s="190"/>
      <c r="F205" s="97"/>
      <c r="G205" s="128"/>
    </row>
    <row r="206" spans="1:7" x14ac:dyDescent="0.25">
      <c r="A206" s="187"/>
      <c r="B206" s="192"/>
      <c r="C206" s="188"/>
      <c r="D206" s="189"/>
      <c r="E206" s="190"/>
      <c r="F206" s="97"/>
      <c r="G206" s="128"/>
    </row>
    <row r="207" spans="1:7" ht="27.6" x14ac:dyDescent="0.25">
      <c r="A207" s="39" t="s">
        <v>3</v>
      </c>
      <c r="B207" s="40" t="s">
        <v>389</v>
      </c>
      <c r="C207" s="41">
        <v>2</v>
      </c>
      <c r="D207" s="42" t="s">
        <v>374</v>
      </c>
      <c r="E207" s="190">
        <v>3278.48</v>
      </c>
      <c r="F207" s="97">
        <f>C207*E207</f>
        <v>6556.96</v>
      </c>
      <c r="G207" s="128"/>
    </row>
    <row r="208" spans="1:7" x14ac:dyDescent="0.25">
      <c r="A208" s="187"/>
      <c r="B208" s="192"/>
      <c r="C208" s="188"/>
      <c r="D208" s="189"/>
      <c r="E208" s="190"/>
      <c r="F208" s="97"/>
      <c r="G208" s="128"/>
    </row>
    <row r="209" spans="1:7" ht="96.6" x14ac:dyDescent="0.25">
      <c r="A209" s="39"/>
      <c r="B209" s="52" t="s">
        <v>390</v>
      </c>
      <c r="C209" s="41"/>
      <c r="D209" s="42"/>
      <c r="E209" s="190"/>
      <c r="F209" s="97"/>
      <c r="G209" s="128"/>
    </row>
    <row r="210" spans="1:7" x14ac:dyDescent="0.25">
      <c r="A210" s="187"/>
      <c r="B210" s="192"/>
      <c r="C210" s="188"/>
      <c r="D210" s="189"/>
      <c r="E210" s="190"/>
      <c r="F210" s="97"/>
      <c r="G210" s="128"/>
    </row>
    <row r="211" spans="1:7" ht="27.6" x14ac:dyDescent="0.25">
      <c r="A211" s="39" t="s">
        <v>2</v>
      </c>
      <c r="B211" s="40" t="s">
        <v>391</v>
      </c>
      <c r="C211" s="41">
        <v>3</v>
      </c>
      <c r="D211" s="42" t="s">
        <v>374</v>
      </c>
      <c r="E211" s="190">
        <v>301.27999999999997</v>
      </c>
      <c r="F211" s="97">
        <f>C211*E211</f>
        <v>903.83999999999992</v>
      </c>
      <c r="G211" s="128"/>
    </row>
    <row r="212" spans="1:7" x14ac:dyDescent="0.25">
      <c r="A212" s="192"/>
      <c r="B212" s="33"/>
      <c r="C212" s="192"/>
      <c r="D212" s="203"/>
      <c r="E212" s="190"/>
      <c r="F212" s="97"/>
      <c r="G212" s="128"/>
    </row>
    <row r="213" spans="1:7" x14ac:dyDescent="0.25">
      <c r="A213" s="192"/>
      <c r="B213" s="33"/>
      <c r="C213" s="192"/>
      <c r="D213" s="203"/>
      <c r="E213" s="190"/>
      <c r="F213" s="97"/>
      <c r="G213" s="128"/>
    </row>
    <row r="214" spans="1:7" x14ac:dyDescent="0.25">
      <c r="A214" s="192"/>
      <c r="B214" s="33"/>
      <c r="C214" s="192"/>
      <c r="D214" s="203"/>
      <c r="E214" s="190"/>
      <c r="F214" s="97"/>
      <c r="G214" s="128"/>
    </row>
    <row r="215" spans="1:7" x14ac:dyDescent="0.25">
      <c r="A215" s="192"/>
      <c r="B215" s="33"/>
      <c r="C215" s="192"/>
      <c r="D215" s="203"/>
      <c r="E215" s="190"/>
      <c r="F215" s="97"/>
      <c r="G215" s="128"/>
    </row>
    <row r="216" spans="1:7" x14ac:dyDescent="0.25">
      <c r="A216" s="192"/>
      <c r="B216" s="33"/>
      <c r="C216" s="192"/>
      <c r="D216" s="203"/>
      <c r="E216" s="190"/>
      <c r="F216" s="97"/>
      <c r="G216" s="128"/>
    </row>
    <row r="217" spans="1:7" x14ac:dyDescent="0.25">
      <c r="A217" s="192"/>
      <c r="B217" s="33"/>
      <c r="C217" s="192"/>
      <c r="D217" s="203"/>
      <c r="E217" s="190"/>
      <c r="F217" s="97"/>
      <c r="G217" s="128"/>
    </row>
    <row r="218" spans="1:7" x14ac:dyDescent="0.25">
      <c r="A218" s="192"/>
      <c r="B218" s="33"/>
      <c r="C218" s="192"/>
      <c r="D218" s="203"/>
      <c r="E218" s="190"/>
      <c r="F218" s="97"/>
      <c r="G218" s="128"/>
    </row>
    <row r="219" spans="1:7" x14ac:dyDescent="0.25">
      <c r="A219" s="192"/>
      <c r="B219" s="33"/>
      <c r="C219" s="192"/>
      <c r="D219" s="203"/>
      <c r="E219" s="190"/>
      <c r="F219" s="97"/>
      <c r="G219" s="128"/>
    </row>
    <row r="220" spans="1:7" x14ac:dyDescent="0.25">
      <c r="A220" s="192"/>
      <c r="B220" s="33"/>
      <c r="C220" s="192"/>
      <c r="D220" s="203"/>
      <c r="E220" s="190"/>
      <c r="F220" s="97"/>
      <c r="G220" s="128"/>
    </row>
    <row r="221" spans="1:7" x14ac:dyDescent="0.25">
      <c r="A221" s="192"/>
      <c r="B221" s="33"/>
      <c r="C221" s="192"/>
      <c r="D221" s="203"/>
      <c r="E221" s="190"/>
      <c r="F221" s="97"/>
      <c r="G221" s="128"/>
    </row>
    <row r="222" spans="1:7" x14ac:dyDescent="0.25">
      <c r="A222" s="192"/>
      <c r="B222" s="33"/>
      <c r="C222" s="192"/>
      <c r="D222" s="203"/>
      <c r="E222" s="190"/>
      <c r="F222" s="97"/>
      <c r="G222" s="128"/>
    </row>
    <row r="223" spans="1:7" x14ac:dyDescent="0.25">
      <c r="A223" s="192"/>
      <c r="B223" s="33"/>
      <c r="C223" s="192"/>
      <c r="D223" s="203"/>
      <c r="E223" s="190"/>
      <c r="F223" s="97"/>
      <c r="G223" s="128"/>
    </row>
    <row r="224" spans="1:7" x14ac:dyDescent="0.25">
      <c r="A224" s="192"/>
      <c r="B224" s="33"/>
      <c r="C224" s="192"/>
      <c r="D224" s="203"/>
      <c r="E224" s="190"/>
      <c r="F224" s="97"/>
      <c r="G224" s="128"/>
    </row>
    <row r="225" spans="1:7" x14ac:dyDescent="0.25">
      <c r="A225" s="192"/>
      <c r="B225" s="33"/>
      <c r="C225" s="192"/>
      <c r="D225" s="203"/>
      <c r="E225" s="190"/>
      <c r="F225" s="97"/>
      <c r="G225" s="128"/>
    </row>
    <row r="226" spans="1:7" x14ac:dyDescent="0.25">
      <c r="A226" s="192"/>
      <c r="B226" s="33"/>
      <c r="C226" s="192"/>
      <c r="D226" s="203"/>
      <c r="E226" s="190"/>
      <c r="F226" s="97"/>
      <c r="G226" s="128"/>
    </row>
    <row r="227" spans="1:7" x14ac:dyDescent="0.25">
      <c r="A227" s="192"/>
      <c r="B227" s="33"/>
      <c r="C227" s="192"/>
      <c r="D227" s="203"/>
      <c r="E227" s="190"/>
      <c r="F227" s="97"/>
      <c r="G227" s="128"/>
    </row>
    <row r="228" spans="1:7" x14ac:dyDescent="0.25">
      <c r="A228" s="192"/>
      <c r="B228" s="33"/>
      <c r="C228" s="192"/>
      <c r="D228" s="203"/>
      <c r="E228" s="190"/>
      <c r="F228" s="97"/>
      <c r="G228" s="128"/>
    </row>
    <row r="229" spans="1:7" x14ac:dyDescent="0.25">
      <c r="A229" s="192"/>
      <c r="B229" s="33"/>
      <c r="C229" s="192"/>
      <c r="D229" s="203"/>
      <c r="E229" s="190"/>
      <c r="F229" s="97"/>
      <c r="G229" s="128"/>
    </row>
    <row r="230" spans="1:7" x14ac:dyDescent="0.25">
      <c r="A230" s="192"/>
      <c r="B230" s="33"/>
      <c r="C230" s="192"/>
      <c r="D230" s="203"/>
      <c r="E230" s="190"/>
      <c r="F230" s="97"/>
      <c r="G230" s="128"/>
    </row>
    <row r="231" spans="1:7" x14ac:dyDescent="0.25">
      <c r="A231" s="192"/>
      <c r="B231" s="33"/>
      <c r="C231" s="192"/>
      <c r="D231" s="203"/>
      <c r="E231" s="190"/>
      <c r="F231" s="97"/>
      <c r="G231" s="128"/>
    </row>
    <row r="232" spans="1:7" x14ac:dyDescent="0.25">
      <c r="A232" s="192"/>
      <c r="B232" s="33"/>
      <c r="C232" s="192"/>
      <c r="D232" s="203"/>
      <c r="E232" s="190"/>
      <c r="F232" s="97"/>
      <c r="G232" s="128"/>
    </row>
    <row r="233" spans="1:7" x14ac:dyDescent="0.25">
      <c r="A233" s="192"/>
      <c r="B233" s="33"/>
      <c r="C233" s="192"/>
      <c r="D233" s="203"/>
      <c r="E233" s="190"/>
      <c r="F233" s="97"/>
      <c r="G233" s="128"/>
    </row>
    <row r="234" spans="1:7" x14ac:dyDescent="0.25">
      <c r="A234" s="192"/>
      <c r="B234" s="33"/>
      <c r="C234" s="192"/>
      <c r="D234" s="203"/>
      <c r="E234" s="190"/>
      <c r="F234" s="97"/>
      <c r="G234" s="128"/>
    </row>
    <row r="235" spans="1:7" x14ac:dyDescent="0.25">
      <c r="A235" s="192"/>
      <c r="B235" s="33"/>
      <c r="C235" s="192"/>
      <c r="D235" s="203"/>
      <c r="E235" s="190"/>
      <c r="F235" s="97"/>
      <c r="G235" s="128"/>
    </row>
    <row r="236" spans="1:7" x14ac:dyDescent="0.25">
      <c r="A236" s="193"/>
      <c r="B236" s="194"/>
      <c r="C236" s="195"/>
      <c r="D236" s="196"/>
      <c r="E236" s="117"/>
      <c r="F236" s="98"/>
      <c r="G236" s="130"/>
    </row>
    <row r="237" spans="1:7" x14ac:dyDescent="0.25">
      <c r="A237" s="197"/>
      <c r="B237" s="198"/>
      <c r="C237" s="199" t="s">
        <v>51</v>
      </c>
      <c r="D237" s="199"/>
      <c r="E237" s="200" t="s">
        <v>50</v>
      </c>
      <c r="F237" s="99">
        <f>SUM(F205:F220)</f>
        <v>7460.8</v>
      </c>
      <c r="G237" s="131"/>
    </row>
    <row r="238" spans="1:7" x14ac:dyDescent="0.25">
      <c r="A238" s="197"/>
      <c r="B238" s="198"/>
      <c r="C238" s="201"/>
      <c r="D238" s="202"/>
      <c r="E238" s="118"/>
      <c r="F238" s="100"/>
      <c r="G238" s="132"/>
    </row>
    <row r="239" spans="1:7" x14ac:dyDescent="0.25">
      <c r="A239" s="192"/>
      <c r="B239" s="33"/>
      <c r="C239" s="192"/>
      <c r="D239" s="203"/>
      <c r="E239" s="190"/>
      <c r="F239" s="97"/>
      <c r="G239" s="128"/>
    </row>
    <row r="240" spans="1:7" x14ac:dyDescent="0.25">
      <c r="A240" s="187"/>
      <c r="B240" s="36" t="s">
        <v>20</v>
      </c>
      <c r="C240" s="188"/>
      <c r="D240" s="189"/>
      <c r="E240" s="190"/>
      <c r="F240" s="97"/>
      <c r="G240" s="128"/>
    </row>
    <row r="241" spans="1:7" x14ac:dyDescent="0.25">
      <c r="A241" s="187"/>
      <c r="B241" s="192"/>
      <c r="C241" s="188"/>
      <c r="D241" s="189"/>
      <c r="E241" s="190"/>
      <c r="F241" s="97"/>
      <c r="G241" s="128"/>
    </row>
    <row r="242" spans="1:7" ht="55.2" x14ac:dyDescent="0.25">
      <c r="A242" s="39" t="s">
        <v>3</v>
      </c>
      <c r="B242" s="40" t="s">
        <v>122</v>
      </c>
      <c r="C242" s="41"/>
      <c r="D242" s="42" t="s">
        <v>6</v>
      </c>
      <c r="E242" s="190"/>
      <c r="F242" s="97">
        <f>C242*E242</f>
        <v>0</v>
      </c>
      <c r="G242" s="128"/>
    </row>
    <row r="243" spans="1:7" x14ac:dyDescent="0.25">
      <c r="A243" s="205"/>
      <c r="B243" s="60"/>
      <c r="C243" s="205"/>
      <c r="D243" s="208"/>
      <c r="E243" s="190"/>
      <c r="F243" s="97"/>
      <c r="G243" s="128"/>
    </row>
    <row r="244" spans="1:7" x14ac:dyDescent="0.25">
      <c r="A244" s="205"/>
      <c r="B244" s="60"/>
      <c r="C244" s="205"/>
      <c r="D244" s="208"/>
      <c r="E244" s="190"/>
      <c r="F244" s="97"/>
      <c r="G244" s="128"/>
    </row>
    <row r="245" spans="1:7" ht="27.6" x14ac:dyDescent="0.25">
      <c r="A245" s="159" t="s">
        <v>2</v>
      </c>
      <c r="B245" s="160" t="s">
        <v>1188</v>
      </c>
      <c r="C245" s="223">
        <v>1</v>
      </c>
      <c r="D245" s="161" t="s">
        <v>6</v>
      </c>
      <c r="E245" s="216"/>
      <c r="F245" s="147">
        <f>+E245*C245</f>
        <v>0</v>
      </c>
      <c r="G245" s="150"/>
    </row>
    <row r="246" spans="1:7" x14ac:dyDescent="0.25">
      <c r="A246" s="205"/>
      <c r="B246" s="60"/>
      <c r="C246" s="205"/>
      <c r="D246" s="208"/>
      <c r="E246" s="190"/>
      <c r="F246" s="97"/>
      <c r="G246" s="128"/>
    </row>
    <row r="247" spans="1:7" x14ac:dyDescent="0.25">
      <c r="A247" s="205"/>
      <c r="B247" s="60"/>
      <c r="C247" s="205"/>
      <c r="D247" s="208"/>
      <c r="E247" s="190"/>
      <c r="F247" s="97"/>
      <c r="G247" s="128"/>
    </row>
    <row r="248" spans="1:7" x14ac:dyDescent="0.25">
      <c r="A248" s="205"/>
      <c r="B248" s="60"/>
      <c r="C248" s="205"/>
      <c r="D248" s="208"/>
      <c r="E248" s="190"/>
      <c r="F248" s="97"/>
      <c r="G248" s="128"/>
    </row>
    <row r="249" spans="1:7" x14ac:dyDescent="0.25">
      <c r="A249" s="205"/>
      <c r="B249" s="60"/>
      <c r="C249" s="205"/>
      <c r="D249" s="208"/>
      <c r="E249" s="190"/>
      <c r="F249" s="97"/>
      <c r="G249" s="128"/>
    </row>
    <row r="250" spans="1:7" x14ac:dyDescent="0.25">
      <c r="A250" s="205"/>
      <c r="B250" s="60"/>
      <c r="C250" s="205"/>
      <c r="D250" s="208"/>
      <c r="E250" s="190"/>
      <c r="F250" s="97"/>
      <c r="G250" s="128"/>
    </row>
    <row r="251" spans="1:7" x14ac:dyDescent="0.25">
      <c r="A251" s="205"/>
      <c r="B251" s="60"/>
      <c r="C251" s="205"/>
      <c r="D251" s="208"/>
      <c r="E251" s="190"/>
      <c r="F251" s="97"/>
      <c r="G251" s="128"/>
    </row>
    <row r="252" spans="1:7" x14ac:dyDescent="0.25">
      <c r="A252" s="205"/>
      <c r="B252" s="60"/>
      <c r="C252" s="205"/>
      <c r="D252" s="208"/>
      <c r="E252" s="190"/>
      <c r="F252" s="97"/>
      <c r="G252" s="128"/>
    </row>
    <row r="253" spans="1:7" x14ac:dyDescent="0.25">
      <c r="A253" s="205"/>
      <c r="B253" s="60"/>
      <c r="C253" s="205"/>
      <c r="D253" s="208"/>
      <c r="E253" s="190"/>
      <c r="F253" s="97"/>
      <c r="G253" s="128"/>
    </row>
    <row r="254" spans="1:7" x14ac:dyDescent="0.25">
      <c r="A254" s="205"/>
      <c r="B254" s="60"/>
      <c r="C254" s="205"/>
      <c r="D254" s="208"/>
      <c r="E254" s="190"/>
      <c r="F254" s="97"/>
      <c r="G254" s="128"/>
    </row>
    <row r="255" spans="1:7" x14ac:dyDescent="0.25">
      <c r="A255" s="204"/>
      <c r="B255" s="61"/>
      <c r="C255" s="206"/>
      <c r="D255" s="207"/>
      <c r="E255" s="190"/>
      <c r="F255" s="97"/>
      <c r="G255" s="128"/>
    </row>
    <row r="256" spans="1:7" x14ac:dyDescent="0.25">
      <c r="A256" s="204"/>
      <c r="B256" s="229"/>
      <c r="C256" s="206"/>
      <c r="D256" s="207"/>
      <c r="E256" s="190"/>
      <c r="F256" s="97"/>
      <c r="G256" s="128"/>
    </row>
    <row r="257" spans="1:7" x14ac:dyDescent="0.25">
      <c r="A257" s="55"/>
      <c r="B257" s="56"/>
      <c r="C257" s="57"/>
      <c r="D257" s="58"/>
      <c r="E257" s="190"/>
      <c r="F257" s="97"/>
      <c r="G257" s="128"/>
    </row>
    <row r="258" spans="1:7" x14ac:dyDescent="0.25">
      <c r="A258" s="204"/>
      <c r="B258" s="205"/>
      <c r="C258" s="206"/>
      <c r="D258" s="207"/>
      <c r="E258" s="190"/>
      <c r="F258" s="97"/>
      <c r="G258" s="128"/>
    </row>
    <row r="259" spans="1:7" x14ac:dyDescent="0.25">
      <c r="A259" s="55"/>
      <c r="B259" s="59"/>
      <c r="C259" s="57"/>
      <c r="D259" s="58"/>
      <c r="E259" s="190"/>
      <c r="F259" s="97"/>
      <c r="G259" s="128"/>
    </row>
    <row r="260" spans="1:7" x14ac:dyDescent="0.25">
      <c r="A260" s="204"/>
      <c r="B260" s="205"/>
      <c r="C260" s="206"/>
      <c r="D260" s="207"/>
      <c r="E260" s="190"/>
      <c r="F260" s="97"/>
      <c r="G260" s="128"/>
    </row>
    <row r="261" spans="1:7" x14ac:dyDescent="0.25">
      <c r="A261" s="55"/>
      <c r="B261" s="59"/>
      <c r="C261" s="57"/>
      <c r="D261" s="58"/>
      <c r="E261" s="190"/>
      <c r="F261" s="97"/>
      <c r="G261" s="128"/>
    </row>
    <row r="262" spans="1:7" x14ac:dyDescent="0.25">
      <c r="A262" s="204"/>
      <c r="B262" s="205"/>
      <c r="C262" s="206"/>
      <c r="D262" s="207"/>
      <c r="E262" s="190"/>
      <c r="F262" s="97"/>
      <c r="G262" s="128"/>
    </row>
    <row r="263" spans="1:7" x14ac:dyDescent="0.25">
      <c r="A263" s="55"/>
      <c r="B263" s="59"/>
      <c r="C263" s="57"/>
      <c r="D263" s="58"/>
      <c r="E263" s="190"/>
      <c r="F263" s="97"/>
      <c r="G263" s="128"/>
    </row>
    <row r="264" spans="1:7" x14ac:dyDescent="0.25">
      <c r="A264" s="204"/>
      <c r="B264" s="205"/>
      <c r="C264" s="206"/>
      <c r="D264" s="207"/>
      <c r="E264" s="190"/>
      <c r="F264" s="97"/>
      <c r="G264" s="128"/>
    </row>
    <row r="265" spans="1:7" x14ac:dyDescent="0.25">
      <c r="A265" s="55"/>
      <c r="B265" s="59"/>
      <c r="C265" s="57"/>
      <c r="D265" s="58"/>
      <c r="E265" s="190"/>
      <c r="F265" s="97"/>
      <c r="G265" s="128"/>
    </row>
    <row r="266" spans="1:7" x14ac:dyDescent="0.25">
      <c r="A266" s="204"/>
      <c r="B266" s="205"/>
      <c r="C266" s="206"/>
      <c r="D266" s="207"/>
      <c r="E266" s="190"/>
      <c r="F266" s="97"/>
      <c r="G266" s="128"/>
    </row>
    <row r="267" spans="1:7" x14ac:dyDescent="0.25">
      <c r="A267" s="204"/>
      <c r="B267" s="205"/>
      <c r="C267" s="206"/>
      <c r="D267" s="207"/>
      <c r="E267" s="190"/>
      <c r="F267" s="97"/>
      <c r="G267" s="128"/>
    </row>
    <row r="268" spans="1:7" x14ac:dyDescent="0.25">
      <c r="A268" s="55"/>
      <c r="B268" s="59"/>
      <c r="C268" s="57"/>
      <c r="D268" s="58"/>
      <c r="E268" s="190"/>
      <c r="F268" s="97"/>
      <c r="G268" s="128"/>
    </row>
    <row r="269" spans="1:7" x14ac:dyDescent="0.25">
      <c r="A269" s="204"/>
      <c r="B269" s="205"/>
      <c r="C269" s="206"/>
      <c r="D269" s="207"/>
      <c r="E269" s="190"/>
      <c r="F269" s="97"/>
      <c r="G269" s="128"/>
    </row>
    <row r="270" spans="1:7" x14ac:dyDescent="0.25">
      <c r="A270" s="204"/>
      <c r="B270" s="205"/>
      <c r="C270" s="206"/>
      <c r="D270" s="207"/>
      <c r="E270" s="190"/>
      <c r="F270" s="97"/>
      <c r="G270" s="128"/>
    </row>
    <row r="271" spans="1:7" x14ac:dyDescent="0.25">
      <c r="A271" s="55"/>
      <c r="B271" s="59"/>
      <c r="C271" s="57"/>
      <c r="D271" s="58"/>
      <c r="E271" s="190"/>
      <c r="F271" s="97"/>
      <c r="G271" s="128"/>
    </row>
    <row r="272" spans="1:7" x14ac:dyDescent="0.25">
      <c r="A272" s="205"/>
      <c r="B272" s="60"/>
      <c r="C272" s="205"/>
      <c r="D272" s="208"/>
      <c r="E272" s="190"/>
      <c r="F272" s="97"/>
      <c r="G272" s="128"/>
    </row>
    <row r="273" spans="1:7" x14ac:dyDescent="0.25">
      <c r="A273" s="205"/>
      <c r="B273" s="60"/>
      <c r="C273" s="205"/>
      <c r="D273" s="208"/>
      <c r="E273" s="190"/>
      <c r="F273" s="97"/>
      <c r="G273" s="128"/>
    </row>
    <row r="274" spans="1:7" x14ac:dyDescent="0.25">
      <c r="A274" s="205"/>
      <c r="B274" s="60"/>
      <c r="C274" s="205"/>
      <c r="D274" s="208"/>
      <c r="E274" s="190"/>
      <c r="F274" s="97"/>
      <c r="G274" s="128"/>
    </row>
    <row r="275" spans="1:7" x14ac:dyDescent="0.25">
      <c r="A275" s="205"/>
      <c r="B275" s="60"/>
      <c r="C275" s="205"/>
      <c r="D275" s="208"/>
      <c r="E275" s="190"/>
      <c r="F275" s="97"/>
      <c r="G275" s="128"/>
    </row>
    <row r="276" spans="1:7" x14ac:dyDescent="0.25">
      <c r="A276" s="205"/>
      <c r="B276" s="60"/>
      <c r="C276" s="205"/>
      <c r="D276" s="208"/>
      <c r="E276" s="190"/>
      <c r="F276" s="97"/>
      <c r="G276" s="128"/>
    </row>
    <row r="277" spans="1:7" x14ac:dyDescent="0.25">
      <c r="A277" s="205"/>
      <c r="B277" s="60"/>
      <c r="C277" s="205"/>
      <c r="D277" s="208"/>
      <c r="E277" s="190"/>
      <c r="F277" s="97"/>
      <c r="G277" s="128"/>
    </row>
    <row r="278" spans="1:7" x14ac:dyDescent="0.25">
      <c r="A278" s="205"/>
      <c r="B278" s="60"/>
      <c r="C278" s="205"/>
      <c r="D278" s="208"/>
      <c r="E278" s="190"/>
      <c r="F278" s="97"/>
      <c r="G278" s="128"/>
    </row>
    <row r="279" spans="1:7" x14ac:dyDescent="0.25">
      <c r="A279" s="205"/>
      <c r="B279" s="60"/>
      <c r="C279" s="205"/>
      <c r="D279" s="208"/>
      <c r="E279" s="190"/>
      <c r="F279" s="97"/>
      <c r="G279" s="128"/>
    </row>
    <row r="280" spans="1:7" x14ac:dyDescent="0.25">
      <c r="A280" s="205"/>
      <c r="B280" s="60"/>
      <c r="C280" s="205"/>
      <c r="D280" s="208"/>
      <c r="E280" s="190"/>
      <c r="F280" s="97"/>
      <c r="G280" s="128"/>
    </row>
    <row r="281" spans="1:7" x14ac:dyDescent="0.25">
      <c r="A281" s="192"/>
      <c r="B281" s="33"/>
      <c r="C281" s="192"/>
      <c r="D281" s="203"/>
      <c r="E281" s="190"/>
      <c r="F281" s="97"/>
      <c r="G281" s="128"/>
    </row>
    <row r="282" spans="1:7" x14ac:dyDescent="0.25">
      <c r="A282" s="193"/>
      <c r="B282" s="194"/>
      <c r="C282" s="195"/>
      <c r="D282" s="196"/>
      <c r="E282" s="117"/>
      <c r="F282" s="98"/>
      <c r="G282" s="130"/>
    </row>
    <row r="283" spans="1:7" x14ac:dyDescent="0.25">
      <c r="A283" s="197"/>
      <c r="B283" s="198"/>
      <c r="C283" s="199" t="s">
        <v>51</v>
      </c>
      <c r="D283" s="199"/>
      <c r="E283" s="200" t="s">
        <v>50</v>
      </c>
      <c r="F283" s="99">
        <f>SUM(F241:F255)</f>
        <v>0</v>
      </c>
      <c r="G283" s="131"/>
    </row>
    <row r="284" spans="1:7" x14ac:dyDescent="0.25">
      <c r="A284" s="197"/>
      <c r="B284" s="198"/>
      <c r="C284" s="201"/>
      <c r="D284" s="202"/>
      <c r="E284" s="118"/>
      <c r="F284" s="100"/>
      <c r="G284" s="132"/>
    </row>
    <row r="285" spans="1:7" x14ac:dyDescent="0.25">
      <c r="A285" s="192"/>
      <c r="B285" s="33"/>
      <c r="C285" s="192"/>
      <c r="D285" s="203"/>
      <c r="E285" s="190"/>
      <c r="F285" s="97"/>
      <c r="G285" s="128"/>
    </row>
    <row r="286" spans="1:7" x14ac:dyDescent="0.25">
      <c r="A286" s="192"/>
      <c r="B286" s="209" t="s">
        <v>52</v>
      </c>
      <c r="C286" s="192"/>
      <c r="D286" s="203"/>
      <c r="E286" s="190"/>
      <c r="F286" s="97"/>
      <c r="G286" s="128"/>
    </row>
    <row r="287" spans="1:7" x14ac:dyDescent="0.25">
      <c r="A287" s="192"/>
      <c r="B287" s="40"/>
      <c r="C287" s="192"/>
      <c r="D287" s="203"/>
      <c r="E287" s="190"/>
      <c r="F287" s="97"/>
      <c r="G287" s="128"/>
    </row>
    <row r="288" spans="1:7" x14ac:dyDescent="0.25">
      <c r="A288" s="192"/>
      <c r="B288" s="210" t="s">
        <v>392</v>
      </c>
      <c r="C288" s="192"/>
      <c r="D288" s="203"/>
      <c r="E288" s="190"/>
      <c r="F288" s="97">
        <f>F50</f>
        <v>339177.95</v>
      </c>
      <c r="G288" s="128"/>
    </row>
    <row r="289" spans="1:7" x14ac:dyDescent="0.25">
      <c r="A289" s="192"/>
      <c r="B289" s="40"/>
      <c r="C289" s="192"/>
      <c r="D289" s="203"/>
      <c r="E289" s="190"/>
      <c r="F289" s="97"/>
      <c r="G289" s="128"/>
    </row>
    <row r="290" spans="1:7" x14ac:dyDescent="0.25">
      <c r="A290" s="192"/>
      <c r="B290" s="210" t="s">
        <v>393</v>
      </c>
      <c r="C290" s="192"/>
      <c r="D290" s="203"/>
      <c r="E290" s="190"/>
      <c r="F290" s="97">
        <f>F98</f>
        <v>77193.37</v>
      </c>
      <c r="G290" s="128"/>
    </row>
    <row r="291" spans="1:7" x14ac:dyDescent="0.25">
      <c r="A291" s="192"/>
      <c r="B291" s="192"/>
      <c r="C291" s="192"/>
      <c r="D291" s="203"/>
      <c r="E291" s="190"/>
      <c r="F291" s="97"/>
      <c r="G291" s="128"/>
    </row>
    <row r="292" spans="1:7" x14ac:dyDescent="0.25">
      <c r="A292" s="192"/>
      <c r="B292" s="210" t="s">
        <v>394</v>
      </c>
      <c r="C292" s="192"/>
      <c r="D292" s="203"/>
      <c r="E292" s="190"/>
      <c r="F292" s="97">
        <f>F136</f>
        <v>14000.22</v>
      </c>
      <c r="G292" s="128"/>
    </row>
    <row r="293" spans="1:7" x14ac:dyDescent="0.25">
      <c r="A293" s="187"/>
      <c r="B293" s="40"/>
      <c r="C293" s="188"/>
      <c r="D293" s="189"/>
      <c r="E293" s="190"/>
      <c r="F293" s="97"/>
      <c r="G293" s="128"/>
    </row>
    <row r="294" spans="1:7" x14ac:dyDescent="0.25">
      <c r="A294" s="187"/>
      <c r="B294" s="210" t="s">
        <v>395</v>
      </c>
      <c r="C294" s="188"/>
      <c r="D294" s="189"/>
      <c r="E294" s="190"/>
      <c r="F294" s="97">
        <f>F168</f>
        <v>336339.98</v>
      </c>
      <c r="G294" s="128"/>
    </row>
    <row r="295" spans="1:7" x14ac:dyDescent="0.25">
      <c r="A295" s="39"/>
      <c r="B295" s="192"/>
      <c r="C295" s="41"/>
      <c r="D295" s="42"/>
      <c r="E295" s="190"/>
      <c r="F295" s="97"/>
      <c r="G295" s="128"/>
    </row>
    <row r="296" spans="1:7" x14ac:dyDescent="0.25">
      <c r="A296" s="187"/>
      <c r="B296" s="210" t="s">
        <v>396</v>
      </c>
      <c r="C296" s="188"/>
      <c r="D296" s="189"/>
      <c r="E296" s="190"/>
      <c r="F296" s="97">
        <f>F200</f>
        <v>243531.16999999998</v>
      </c>
      <c r="G296" s="128"/>
    </row>
    <row r="297" spans="1:7" x14ac:dyDescent="0.25">
      <c r="A297" s="39"/>
      <c r="B297" s="40"/>
      <c r="C297" s="41"/>
      <c r="D297" s="42"/>
      <c r="E297" s="190"/>
      <c r="F297" s="97"/>
      <c r="G297" s="128"/>
    </row>
    <row r="298" spans="1:7" x14ac:dyDescent="0.25">
      <c r="A298" s="187"/>
      <c r="B298" s="210" t="s">
        <v>397</v>
      </c>
      <c r="C298" s="188"/>
      <c r="D298" s="189"/>
      <c r="E298" s="190"/>
      <c r="F298" s="97">
        <f>F237</f>
        <v>7460.8</v>
      </c>
      <c r="G298" s="128"/>
    </row>
    <row r="299" spans="1:7" x14ac:dyDescent="0.25">
      <c r="A299" s="39"/>
      <c r="B299" s="192"/>
      <c r="C299" s="41"/>
      <c r="D299" s="42"/>
      <c r="E299" s="190"/>
      <c r="F299" s="97"/>
      <c r="G299" s="128"/>
    </row>
    <row r="300" spans="1:7" x14ac:dyDescent="0.25">
      <c r="A300" s="187"/>
      <c r="B300" s="210" t="s">
        <v>398</v>
      </c>
      <c r="C300" s="188"/>
      <c r="D300" s="189"/>
      <c r="E300" s="190"/>
      <c r="F300" s="97">
        <f>F283</f>
        <v>0</v>
      </c>
      <c r="G300" s="128"/>
    </row>
    <row r="301" spans="1:7" x14ac:dyDescent="0.25">
      <c r="A301" s="39"/>
      <c r="B301" s="40"/>
      <c r="C301" s="41"/>
      <c r="D301" s="42"/>
      <c r="E301" s="190"/>
      <c r="F301" s="97"/>
      <c r="G301" s="128"/>
    </row>
    <row r="302" spans="1:7" x14ac:dyDescent="0.25">
      <c r="A302" s="187"/>
      <c r="B302" s="192"/>
      <c r="C302" s="188"/>
      <c r="D302" s="189"/>
      <c r="E302" s="190"/>
      <c r="F302" s="97"/>
      <c r="G302" s="128"/>
    </row>
    <row r="303" spans="1:7" x14ac:dyDescent="0.25">
      <c r="A303" s="39"/>
      <c r="B303" s="40"/>
      <c r="C303" s="41"/>
      <c r="D303" s="42"/>
      <c r="E303" s="190"/>
      <c r="F303" s="97"/>
      <c r="G303" s="128"/>
    </row>
    <row r="304" spans="1:7" x14ac:dyDescent="0.25">
      <c r="A304" s="187"/>
      <c r="B304" s="192"/>
      <c r="C304" s="188"/>
      <c r="D304" s="189"/>
      <c r="E304" s="190"/>
      <c r="F304" s="97"/>
      <c r="G304" s="128"/>
    </row>
    <row r="305" spans="1:7" x14ac:dyDescent="0.25">
      <c r="A305" s="39"/>
      <c r="B305" s="40"/>
      <c r="C305" s="41"/>
      <c r="D305" s="42"/>
      <c r="E305" s="190"/>
      <c r="F305" s="97"/>
      <c r="G305" s="128"/>
    </row>
    <row r="306" spans="1:7" x14ac:dyDescent="0.25">
      <c r="A306" s="187"/>
      <c r="B306" s="192"/>
      <c r="C306" s="188"/>
      <c r="D306" s="189"/>
      <c r="E306" s="190"/>
      <c r="F306" s="97"/>
      <c r="G306" s="128"/>
    </row>
    <row r="307" spans="1:7" x14ac:dyDescent="0.25">
      <c r="A307" s="39"/>
      <c r="B307" s="40"/>
      <c r="C307" s="41"/>
      <c r="D307" s="42"/>
      <c r="E307" s="190"/>
      <c r="F307" s="97"/>
      <c r="G307" s="128"/>
    </row>
    <row r="308" spans="1:7" x14ac:dyDescent="0.25">
      <c r="A308" s="187"/>
      <c r="B308" s="192"/>
      <c r="C308" s="188"/>
      <c r="D308" s="189"/>
      <c r="E308" s="190"/>
      <c r="F308" s="97"/>
      <c r="G308" s="128"/>
    </row>
    <row r="309" spans="1:7" x14ac:dyDescent="0.25">
      <c r="A309" s="39"/>
      <c r="B309" s="40"/>
      <c r="C309" s="41"/>
      <c r="D309" s="42"/>
      <c r="E309" s="190"/>
      <c r="F309" s="97"/>
      <c r="G309" s="128"/>
    </row>
    <row r="310" spans="1:7" x14ac:dyDescent="0.25">
      <c r="A310" s="187"/>
      <c r="B310" s="192"/>
      <c r="C310" s="188"/>
      <c r="D310" s="189"/>
      <c r="E310" s="190"/>
      <c r="F310" s="97"/>
      <c r="G310" s="128"/>
    </row>
    <row r="311" spans="1:7" x14ac:dyDescent="0.25">
      <c r="A311" s="39"/>
      <c r="B311" s="40"/>
      <c r="C311" s="41"/>
      <c r="D311" s="42"/>
      <c r="E311" s="190"/>
      <c r="F311" s="97"/>
      <c r="G311" s="128"/>
    </row>
    <row r="312" spans="1:7" x14ac:dyDescent="0.25">
      <c r="A312" s="187"/>
      <c r="B312" s="192"/>
      <c r="C312" s="188"/>
      <c r="D312" s="189"/>
      <c r="E312" s="190"/>
      <c r="F312" s="97"/>
      <c r="G312" s="128"/>
    </row>
    <row r="313" spans="1:7" x14ac:dyDescent="0.25">
      <c r="A313" s="39"/>
      <c r="B313" s="40"/>
      <c r="C313" s="41"/>
      <c r="D313" s="42"/>
      <c r="E313" s="190"/>
      <c r="F313" s="97"/>
      <c r="G313" s="128"/>
    </row>
    <row r="314" spans="1:7" x14ac:dyDescent="0.25">
      <c r="A314" s="39"/>
      <c r="B314" s="43"/>
      <c r="C314" s="41"/>
      <c r="D314" s="42"/>
      <c r="E314" s="190"/>
      <c r="F314" s="97"/>
      <c r="G314" s="128"/>
    </row>
    <row r="315" spans="1:7" x14ac:dyDescent="0.25">
      <c r="A315" s="187"/>
      <c r="B315" s="192"/>
      <c r="C315" s="188"/>
      <c r="D315" s="189"/>
      <c r="E315" s="190"/>
      <c r="F315" s="97"/>
      <c r="G315" s="128"/>
    </row>
    <row r="316" spans="1:7" x14ac:dyDescent="0.25">
      <c r="A316" s="39"/>
      <c r="B316" s="40"/>
      <c r="C316" s="41"/>
      <c r="D316" s="42"/>
      <c r="E316" s="190"/>
      <c r="F316" s="97"/>
      <c r="G316" s="128"/>
    </row>
    <row r="317" spans="1:7" x14ac:dyDescent="0.25">
      <c r="A317" s="187"/>
      <c r="B317" s="192"/>
      <c r="C317" s="188"/>
      <c r="D317" s="189"/>
      <c r="E317" s="190"/>
      <c r="F317" s="97"/>
      <c r="G317" s="128"/>
    </row>
    <row r="318" spans="1:7" x14ac:dyDescent="0.25">
      <c r="A318" s="39"/>
      <c r="B318" s="40"/>
      <c r="C318" s="41"/>
      <c r="D318" s="42"/>
      <c r="E318" s="190"/>
      <c r="F318" s="97"/>
      <c r="G318" s="128"/>
    </row>
    <row r="319" spans="1:7" x14ac:dyDescent="0.25">
      <c r="A319" s="187"/>
      <c r="B319" s="192"/>
      <c r="C319" s="188"/>
      <c r="D319" s="189"/>
      <c r="E319" s="190"/>
      <c r="F319" s="97"/>
      <c r="G319" s="128"/>
    </row>
    <row r="320" spans="1:7" x14ac:dyDescent="0.25">
      <c r="A320" s="39"/>
      <c r="B320" s="40"/>
      <c r="C320" s="41"/>
      <c r="D320" s="42"/>
      <c r="E320" s="190"/>
      <c r="F320" s="97"/>
      <c r="G320" s="128"/>
    </row>
    <row r="321" spans="1:7" x14ac:dyDescent="0.25">
      <c r="A321" s="192"/>
      <c r="B321" s="33"/>
      <c r="C321" s="192"/>
      <c r="D321" s="203"/>
      <c r="E321" s="190"/>
      <c r="F321" s="97"/>
      <c r="G321" s="128"/>
    </row>
    <row r="322" spans="1:7" x14ac:dyDescent="0.25">
      <c r="A322" s="192"/>
      <c r="B322" s="33"/>
      <c r="C322" s="192"/>
      <c r="D322" s="203"/>
      <c r="E322" s="190"/>
      <c r="F322" s="97"/>
      <c r="G322" s="128"/>
    </row>
    <row r="323" spans="1:7" x14ac:dyDescent="0.25">
      <c r="A323" s="192"/>
      <c r="B323" s="33"/>
      <c r="C323" s="192"/>
      <c r="D323" s="203"/>
      <c r="E323" s="190"/>
      <c r="F323" s="97"/>
      <c r="G323" s="128"/>
    </row>
    <row r="324" spans="1:7" x14ac:dyDescent="0.25">
      <c r="A324" s="192"/>
      <c r="B324" s="33"/>
      <c r="C324" s="192"/>
      <c r="D324" s="203"/>
      <c r="E324" s="190"/>
      <c r="F324" s="97"/>
      <c r="G324" s="128"/>
    </row>
    <row r="325" spans="1:7" x14ac:dyDescent="0.25">
      <c r="A325" s="192"/>
      <c r="B325" s="33"/>
      <c r="C325" s="192"/>
      <c r="D325" s="203"/>
      <c r="E325" s="190"/>
      <c r="F325" s="97"/>
      <c r="G325" s="128"/>
    </row>
    <row r="326" spans="1:7" x14ac:dyDescent="0.25">
      <c r="A326" s="192"/>
      <c r="B326" s="33"/>
      <c r="C326" s="192"/>
      <c r="D326" s="203"/>
      <c r="E326" s="190"/>
      <c r="F326" s="97"/>
      <c r="G326" s="128"/>
    </row>
    <row r="327" spans="1:7" x14ac:dyDescent="0.25">
      <c r="A327" s="187"/>
      <c r="B327" s="36"/>
      <c r="C327" s="188"/>
      <c r="D327" s="189"/>
      <c r="E327" s="190"/>
      <c r="F327" s="97"/>
      <c r="G327" s="128"/>
    </row>
    <row r="328" spans="1:7" x14ac:dyDescent="0.25">
      <c r="A328" s="187"/>
      <c r="B328" s="192"/>
      <c r="C328" s="188"/>
      <c r="D328" s="189"/>
      <c r="E328" s="190"/>
      <c r="F328" s="97"/>
      <c r="G328" s="128"/>
    </row>
    <row r="329" spans="1:7" x14ac:dyDescent="0.25">
      <c r="A329" s="39"/>
      <c r="B329" s="40"/>
      <c r="C329" s="41"/>
      <c r="D329" s="42"/>
      <c r="E329" s="190"/>
      <c r="F329" s="97"/>
      <c r="G329" s="128"/>
    </row>
    <row r="330" spans="1:7" x14ac:dyDescent="0.25">
      <c r="A330" s="187"/>
      <c r="B330" s="192"/>
      <c r="C330" s="188"/>
      <c r="D330" s="189"/>
      <c r="E330" s="190"/>
      <c r="F330" s="97"/>
      <c r="G330" s="128"/>
    </row>
    <row r="331" spans="1:7" x14ac:dyDescent="0.25">
      <c r="A331" s="39"/>
      <c r="B331" s="40"/>
      <c r="C331" s="41"/>
      <c r="D331" s="42"/>
      <c r="E331" s="190"/>
      <c r="F331" s="97"/>
      <c r="G331" s="128"/>
    </row>
    <row r="332" spans="1:7" x14ac:dyDescent="0.25">
      <c r="A332" s="193"/>
      <c r="B332" s="194"/>
      <c r="C332" s="195"/>
      <c r="D332" s="196"/>
      <c r="E332" s="117"/>
      <c r="F332" s="98"/>
      <c r="G332" s="130"/>
    </row>
    <row r="333" spans="1:7" x14ac:dyDescent="0.25">
      <c r="A333" s="197"/>
      <c r="B333" s="198"/>
      <c r="C333" s="199" t="s">
        <v>96</v>
      </c>
      <c r="D333" s="199"/>
      <c r="E333" s="200" t="s">
        <v>50</v>
      </c>
      <c r="F333" s="99">
        <f>SUM(F285:F307)</f>
        <v>1017703.49</v>
      </c>
      <c r="G333" s="131"/>
    </row>
    <row r="334" spans="1:7" x14ac:dyDescent="0.25">
      <c r="A334" s="197"/>
      <c r="B334" s="198"/>
      <c r="C334" s="201"/>
      <c r="D334" s="202"/>
      <c r="E334" s="118"/>
      <c r="F334" s="100"/>
      <c r="G334" s="132"/>
    </row>
  </sheetData>
  <mergeCells count="5">
    <mergeCell ref="A1:A2"/>
    <mergeCell ref="B1:B2"/>
    <mergeCell ref="C1:C2"/>
    <mergeCell ref="D1:D2"/>
    <mergeCell ref="G1:G2"/>
  </mergeCells>
  <phoneticPr fontId="17" type="noConversion"/>
  <printOptions horizontalCentered="1"/>
  <pageMargins left="0.6692913385826772" right="0.19685039370078741" top="0.82677165354330717" bottom="0.47244094488188981" header="0.19685039370078741" footer="0.23622047244094491"/>
  <pageSetup paperSize="9" scale="89" fitToHeight="0" orientation="portrait" useFirstPageNumber="1" r:id="rId1"/>
  <headerFooter>
    <oddHeader>&amp;R&amp;11
&amp;UBILL NO. 4 -PARKING FLOORS REFURBISHMENT
ACCESSORIES</oddHeader>
    <oddFooter>&amp;L&amp;8DMS 148704 BOQ - Nakheel Mall Al Khail&amp;C4/K/&amp;P</oddFooter>
  </headerFooter>
  <rowBreaks count="7" manualBreakCount="7">
    <brk id="51" max="6" man="1"/>
    <brk id="99" max="6" man="1"/>
    <brk id="137" max="6" man="1"/>
    <brk id="169" max="6" man="1"/>
    <brk id="201" max="6" man="1"/>
    <brk id="238" max="6" man="1"/>
    <brk id="284" max="6"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8A698-4599-4D3B-82FD-29CCA040AC6B}">
  <sheetPr codeName="Sheet13"/>
  <dimension ref="A1:F150"/>
  <sheetViews>
    <sheetView view="pageBreakPreview" topLeftCell="A63" zoomScaleNormal="100" zoomScaleSheetLayoutView="100" zoomScalePageLayoutView="70" workbookViewId="0">
      <selection activeCell="C1" sqref="C1:E1048576"/>
    </sheetView>
  </sheetViews>
  <sheetFormatPr defaultColWidth="9.33203125" defaultRowHeight="13.8" x14ac:dyDescent="0.25"/>
  <cols>
    <col min="1" max="1" width="5.6640625" style="50" customWidth="1"/>
    <col min="2" max="2" width="46" style="51" customWidth="1"/>
    <col min="3" max="3" width="10.6640625" style="213" customWidth="1"/>
    <col min="4" max="4" width="6.6640625" style="214" customWidth="1"/>
    <col min="5" max="5" width="12" style="200" customWidth="1"/>
    <col min="6" max="6" width="15.6640625" style="101" customWidth="1"/>
    <col min="7" max="16384" width="9.33203125" style="34"/>
  </cols>
  <sheetData>
    <row r="1" spans="1:6" s="29" customFormat="1" ht="14.4" x14ac:dyDescent="0.25">
      <c r="A1" s="164" t="s">
        <v>6</v>
      </c>
      <c r="B1" s="164" t="s">
        <v>0</v>
      </c>
      <c r="C1" s="175" t="s">
        <v>47</v>
      </c>
      <c r="D1" s="176" t="s">
        <v>48</v>
      </c>
      <c r="E1" s="177" t="s">
        <v>1</v>
      </c>
      <c r="F1" s="94" t="s">
        <v>49</v>
      </c>
    </row>
    <row r="2" spans="1:6" s="29" customFormat="1" ht="14.4" x14ac:dyDescent="0.25">
      <c r="A2" s="165"/>
      <c r="B2" s="165"/>
      <c r="C2" s="179"/>
      <c r="D2" s="180"/>
      <c r="E2" s="181" t="s">
        <v>50</v>
      </c>
      <c r="F2" s="95" t="s">
        <v>50</v>
      </c>
    </row>
    <row r="3" spans="1:6" s="29" customFormat="1" ht="14.4" x14ac:dyDescent="0.25">
      <c r="A3" s="30"/>
      <c r="B3" s="31"/>
      <c r="C3" s="184"/>
      <c r="D3" s="185"/>
      <c r="E3" s="186"/>
      <c r="F3" s="96"/>
    </row>
    <row r="4" spans="1:6" x14ac:dyDescent="0.25">
      <c r="A4" s="32"/>
      <c r="B4" s="35" t="s">
        <v>89</v>
      </c>
      <c r="C4" s="188"/>
      <c r="D4" s="189"/>
      <c r="E4" s="190"/>
      <c r="F4" s="97"/>
    </row>
    <row r="5" spans="1:6" x14ac:dyDescent="0.25">
      <c r="A5" s="32"/>
      <c r="B5" s="35"/>
      <c r="C5" s="188"/>
      <c r="D5" s="189"/>
      <c r="E5" s="190"/>
      <c r="F5" s="97"/>
    </row>
    <row r="6" spans="1:6" x14ac:dyDescent="0.25">
      <c r="A6" s="32"/>
      <c r="B6" s="36" t="s">
        <v>399</v>
      </c>
      <c r="C6" s="188"/>
      <c r="D6" s="189"/>
      <c r="E6" s="190"/>
      <c r="F6" s="97"/>
    </row>
    <row r="7" spans="1:6" x14ac:dyDescent="0.25">
      <c r="A7" s="32"/>
      <c r="B7" s="38"/>
      <c r="C7" s="188"/>
      <c r="D7" s="189"/>
      <c r="E7" s="190"/>
      <c r="F7" s="97"/>
    </row>
    <row r="8" spans="1:6" x14ac:dyDescent="0.25">
      <c r="A8" s="39"/>
      <c r="B8" s="40" t="s">
        <v>28</v>
      </c>
      <c r="C8" s="41"/>
      <c r="D8" s="42"/>
      <c r="E8" s="190"/>
      <c r="F8" s="97"/>
    </row>
    <row r="9" spans="1:6" x14ac:dyDescent="0.25">
      <c r="A9" s="32"/>
      <c r="B9" s="38"/>
      <c r="C9" s="188"/>
      <c r="D9" s="189"/>
      <c r="E9" s="190"/>
      <c r="F9" s="97"/>
    </row>
    <row r="10" spans="1:6" ht="27.6" x14ac:dyDescent="0.25">
      <c r="A10" s="39"/>
      <c r="B10" s="40" t="s">
        <v>216</v>
      </c>
      <c r="C10" s="41"/>
      <c r="D10" s="42"/>
      <c r="E10" s="190"/>
      <c r="F10" s="97"/>
    </row>
    <row r="11" spans="1:6" x14ac:dyDescent="0.25">
      <c r="A11" s="32"/>
      <c r="B11" s="38"/>
      <c r="C11" s="188"/>
      <c r="D11" s="189"/>
      <c r="E11" s="190"/>
      <c r="F11" s="97"/>
    </row>
    <row r="12" spans="1:6" ht="27.6" x14ac:dyDescent="0.25">
      <c r="A12" s="39"/>
      <c r="B12" s="52" t="s">
        <v>400</v>
      </c>
      <c r="C12" s="41"/>
      <c r="D12" s="42"/>
      <c r="E12" s="190"/>
      <c r="F12" s="97"/>
    </row>
    <row r="13" spans="1:6" x14ac:dyDescent="0.25">
      <c r="A13" s="32"/>
      <c r="B13" s="38"/>
      <c r="C13" s="188"/>
      <c r="D13" s="189"/>
      <c r="E13" s="190"/>
      <c r="F13" s="97"/>
    </row>
    <row r="14" spans="1:6" x14ac:dyDescent="0.25">
      <c r="A14" s="39" t="s">
        <v>3</v>
      </c>
      <c r="B14" s="40" t="s">
        <v>401</v>
      </c>
      <c r="C14" s="41" t="s">
        <v>79</v>
      </c>
      <c r="D14" s="42" t="s">
        <v>15</v>
      </c>
      <c r="E14" s="190">
        <v>2012.14</v>
      </c>
      <c r="F14" s="97">
        <f>C14*E14</f>
        <v>64388.480000000003</v>
      </c>
    </row>
    <row r="15" spans="1:6" x14ac:dyDescent="0.25">
      <c r="A15" s="32"/>
      <c r="B15" s="38"/>
      <c r="C15" s="188"/>
      <c r="D15" s="189"/>
      <c r="E15" s="190"/>
      <c r="F15" s="97"/>
    </row>
    <row r="16" spans="1:6" x14ac:dyDescent="0.25">
      <c r="A16" s="39" t="s">
        <v>2</v>
      </c>
      <c r="B16" s="40" t="s">
        <v>402</v>
      </c>
      <c r="C16" s="41" t="s">
        <v>80</v>
      </c>
      <c r="D16" s="42" t="s">
        <v>15</v>
      </c>
      <c r="E16" s="190">
        <v>470.12</v>
      </c>
      <c r="F16" s="97">
        <f>C16*E16</f>
        <v>18334.68</v>
      </c>
    </row>
    <row r="17" spans="1:6" x14ac:dyDescent="0.25">
      <c r="A17" s="32"/>
      <c r="B17" s="38"/>
      <c r="C17" s="188"/>
      <c r="D17" s="189"/>
      <c r="E17" s="190"/>
      <c r="F17" s="97"/>
    </row>
    <row r="18" spans="1:6" x14ac:dyDescent="0.25">
      <c r="A18" s="39" t="s">
        <v>5</v>
      </c>
      <c r="B18" s="40" t="s">
        <v>403</v>
      </c>
      <c r="C18" s="41">
        <v>24</v>
      </c>
      <c r="D18" s="42" t="s">
        <v>15</v>
      </c>
      <c r="E18" s="190">
        <v>5192.82</v>
      </c>
      <c r="F18" s="97">
        <f>C18*E18</f>
        <v>124627.68</v>
      </c>
    </row>
    <row r="19" spans="1:6" x14ac:dyDescent="0.25">
      <c r="A19" s="32"/>
      <c r="B19" s="38"/>
      <c r="C19" s="188"/>
      <c r="D19" s="189"/>
      <c r="E19" s="190"/>
      <c r="F19" s="97"/>
    </row>
    <row r="20" spans="1:6" x14ac:dyDescent="0.25">
      <c r="A20" s="39"/>
      <c r="B20" s="40"/>
      <c r="C20" s="41"/>
      <c r="D20" s="42"/>
      <c r="E20" s="190"/>
      <c r="F20" s="97"/>
    </row>
    <row r="21" spans="1:6" x14ac:dyDescent="0.25">
      <c r="A21" s="32"/>
      <c r="B21" s="38"/>
      <c r="C21" s="188"/>
      <c r="D21" s="189"/>
      <c r="E21" s="190"/>
      <c r="F21" s="97"/>
    </row>
    <row r="22" spans="1:6" x14ac:dyDescent="0.25">
      <c r="A22" s="39"/>
      <c r="B22" s="40"/>
      <c r="C22" s="41"/>
      <c r="D22" s="42"/>
      <c r="E22" s="190"/>
      <c r="F22" s="97"/>
    </row>
    <row r="23" spans="1:6" x14ac:dyDescent="0.25">
      <c r="A23" s="32"/>
      <c r="B23" s="38"/>
      <c r="C23" s="188"/>
      <c r="D23" s="189"/>
      <c r="E23" s="190"/>
      <c r="F23" s="97"/>
    </row>
    <row r="24" spans="1:6" x14ac:dyDescent="0.25">
      <c r="A24" s="39"/>
      <c r="B24" s="40"/>
      <c r="C24" s="41"/>
      <c r="D24" s="42"/>
      <c r="E24" s="190"/>
      <c r="F24" s="97"/>
    </row>
    <row r="25" spans="1:6" x14ac:dyDescent="0.25">
      <c r="A25" s="32"/>
      <c r="B25" s="38"/>
      <c r="C25" s="188"/>
      <c r="D25" s="189"/>
      <c r="E25" s="190"/>
      <c r="F25" s="97"/>
    </row>
    <row r="26" spans="1:6" x14ac:dyDescent="0.25">
      <c r="A26" s="39"/>
      <c r="B26" s="40"/>
      <c r="C26" s="41"/>
      <c r="D26" s="42"/>
      <c r="E26" s="190"/>
      <c r="F26" s="97"/>
    </row>
    <row r="27" spans="1:6" x14ac:dyDescent="0.25">
      <c r="A27" s="32"/>
      <c r="B27" s="38"/>
      <c r="C27" s="188"/>
      <c r="D27" s="189"/>
      <c r="E27" s="190"/>
      <c r="F27" s="97"/>
    </row>
    <row r="28" spans="1:6" x14ac:dyDescent="0.25">
      <c r="A28" s="39"/>
      <c r="B28" s="40"/>
      <c r="C28" s="41"/>
      <c r="D28" s="42"/>
      <c r="E28" s="190"/>
      <c r="F28" s="97"/>
    </row>
    <row r="29" spans="1:6" x14ac:dyDescent="0.25">
      <c r="A29" s="32"/>
      <c r="B29" s="38"/>
      <c r="C29" s="188"/>
      <c r="D29" s="189"/>
      <c r="E29" s="190"/>
      <c r="F29" s="97"/>
    </row>
    <row r="30" spans="1:6" x14ac:dyDescent="0.25">
      <c r="A30" s="39"/>
      <c r="B30" s="40"/>
      <c r="C30" s="41"/>
      <c r="D30" s="42"/>
      <c r="E30" s="190"/>
      <c r="F30" s="97"/>
    </row>
    <row r="31" spans="1:6" x14ac:dyDescent="0.25">
      <c r="A31" s="32"/>
      <c r="B31" s="38"/>
      <c r="C31" s="188"/>
      <c r="D31" s="189"/>
      <c r="E31" s="190"/>
      <c r="F31" s="97"/>
    </row>
    <row r="32" spans="1:6" x14ac:dyDescent="0.25">
      <c r="A32" s="39"/>
      <c r="B32" s="40"/>
      <c r="C32" s="41"/>
      <c r="D32" s="42"/>
      <c r="E32" s="190"/>
      <c r="F32" s="97"/>
    </row>
    <row r="33" spans="1:6" x14ac:dyDescent="0.25">
      <c r="A33" s="32"/>
      <c r="B33" s="38"/>
      <c r="C33" s="188"/>
      <c r="D33" s="189"/>
      <c r="E33" s="190"/>
      <c r="F33" s="97"/>
    </row>
    <row r="34" spans="1:6" x14ac:dyDescent="0.25">
      <c r="A34" s="39"/>
      <c r="B34" s="40"/>
      <c r="C34" s="41"/>
      <c r="D34" s="42"/>
      <c r="E34" s="190"/>
      <c r="F34" s="97"/>
    </row>
    <row r="35" spans="1:6" x14ac:dyDescent="0.25">
      <c r="A35" s="32"/>
      <c r="B35" s="38"/>
      <c r="C35" s="188"/>
      <c r="D35" s="189"/>
      <c r="E35" s="190"/>
      <c r="F35" s="97"/>
    </row>
    <row r="36" spans="1:6" x14ac:dyDescent="0.25">
      <c r="A36" s="39"/>
      <c r="B36" s="40"/>
      <c r="C36" s="41"/>
      <c r="D36" s="42"/>
      <c r="E36" s="190"/>
      <c r="F36" s="97"/>
    </row>
    <row r="37" spans="1:6" x14ac:dyDescent="0.25">
      <c r="A37" s="38"/>
      <c r="B37" s="33"/>
      <c r="C37" s="192"/>
      <c r="D37" s="203"/>
      <c r="E37" s="190"/>
      <c r="F37" s="97"/>
    </row>
    <row r="38" spans="1:6" x14ac:dyDescent="0.25">
      <c r="A38" s="38"/>
      <c r="B38" s="33"/>
      <c r="C38" s="192"/>
      <c r="D38" s="203"/>
      <c r="E38" s="190"/>
      <c r="F38" s="97"/>
    </row>
    <row r="39" spans="1:6" x14ac:dyDescent="0.25">
      <c r="A39" s="38"/>
      <c r="B39" s="33"/>
      <c r="C39" s="192"/>
      <c r="D39" s="203"/>
      <c r="E39" s="190"/>
      <c r="F39" s="97"/>
    </row>
    <row r="40" spans="1:6" x14ac:dyDescent="0.25">
      <c r="A40" s="32"/>
      <c r="B40" s="36"/>
      <c r="C40" s="188"/>
      <c r="D40" s="189"/>
      <c r="E40" s="190"/>
      <c r="F40" s="97"/>
    </row>
    <row r="41" spans="1:6" x14ac:dyDescent="0.25">
      <c r="A41" s="32"/>
      <c r="B41" s="36"/>
      <c r="C41" s="188"/>
      <c r="D41" s="189"/>
      <c r="E41" s="190"/>
      <c r="F41" s="97"/>
    </row>
    <row r="42" spans="1:6" x14ac:dyDescent="0.25">
      <c r="A42" s="39"/>
      <c r="B42" s="40"/>
      <c r="C42" s="41"/>
      <c r="D42" s="42"/>
      <c r="E42" s="190"/>
      <c r="F42" s="97"/>
    </row>
    <row r="43" spans="1:6" x14ac:dyDescent="0.25">
      <c r="A43" s="32"/>
      <c r="B43" s="38"/>
      <c r="C43" s="188"/>
      <c r="D43" s="189"/>
      <c r="E43" s="190"/>
      <c r="F43" s="97"/>
    </row>
    <row r="44" spans="1:6" x14ac:dyDescent="0.25">
      <c r="A44" s="39"/>
      <c r="B44" s="40"/>
      <c r="C44" s="41"/>
      <c r="D44" s="42"/>
      <c r="E44" s="190"/>
      <c r="F44" s="97"/>
    </row>
    <row r="45" spans="1:6" x14ac:dyDescent="0.25">
      <c r="A45" s="32"/>
      <c r="B45" s="38"/>
      <c r="C45" s="188"/>
      <c r="D45" s="189"/>
      <c r="E45" s="190"/>
      <c r="F45" s="97"/>
    </row>
    <row r="46" spans="1:6" x14ac:dyDescent="0.25">
      <c r="A46" s="39"/>
      <c r="B46" s="43"/>
      <c r="C46" s="41"/>
      <c r="D46" s="42"/>
      <c r="E46" s="190"/>
      <c r="F46" s="97"/>
    </row>
    <row r="47" spans="1:6" x14ac:dyDescent="0.25">
      <c r="A47" s="32"/>
      <c r="B47" s="38"/>
      <c r="C47" s="188"/>
      <c r="D47" s="189"/>
      <c r="E47" s="190"/>
      <c r="F47" s="97"/>
    </row>
    <row r="48" spans="1:6" x14ac:dyDescent="0.25">
      <c r="A48" s="39"/>
      <c r="B48" s="40"/>
      <c r="C48" s="41"/>
      <c r="D48" s="42"/>
      <c r="E48" s="190"/>
      <c r="F48" s="97"/>
    </row>
    <row r="49" spans="1:6" x14ac:dyDescent="0.25">
      <c r="A49" s="32"/>
      <c r="B49" s="38"/>
      <c r="C49" s="188"/>
      <c r="D49" s="189"/>
      <c r="E49" s="190"/>
      <c r="F49" s="97"/>
    </row>
    <row r="50" spans="1:6" x14ac:dyDescent="0.25">
      <c r="A50" s="44"/>
      <c r="B50" s="45"/>
      <c r="C50" s="195"/>
      <c r="D50" s="196"/>
      <c r="E50" s="117"/>
      <c r="F50" s="98"/>
    </row>
    <row r="51" spans="1:6" x14ac:dyDescent="0.25">
      <c r="A51" s="46"/>
      <c r="B51" s="47"/>
      <c r="C51" s="199" t="s">
        <v>51</v>
      </c>
      <c r="D51" s="199"/>
      <c r="E51" s="200" t="s">
        <v>50</v>
      </c>
      <c r="F51" s="99">
        <f>SUM(F9:F33)</f>
        <v>207350.84</v>
      </c>
    </row>
    <row r="52" spans="1:6" x14ac:dyDescent="0.25">
      <c r="A52" s="46"/>
      <c r="B52" s="47"/>
      <c r="C52" s="201"/>
      <c r="D52" s="202"/>
      <c r="E52" s="118"/>
      <c r="F52" s="100"/>
    </row>
    <row r="53" spans="1:6" x14ac:dyDescent="0.25">
      <c r="A53" s="32"/>
      <c r="B53" s="38"/>
      <c r="C53" s="188"/>
      <c r="D53" s="189"/>
      <c r="E53" s="190"/>
      <c r="F53" s="97"/>
    </row>
    <row r="54" spans="1:6" x14ac:dyDescent="0.25">
      <c r="A54" s="32"/>
      <c r="B54" s="36" t="s">
        <v>20</v>
      </c>
      <c r="C54" s="188"/>
      <c r="D54" s="189"/>
      <c r="E54" s="190"/>
      <c r="F54" s="97"/>
    </row>
    <row r="55" spans="1:6" x14ac:dyDescent="0.25">
      <c r="A55" s="32"/>
      <c r="B55" s="38"/>
      <c r="C55" s="188"/>
      <c r="D55" s="189"/>
      <c r="E55" s="190"/>
      <c r="F55" s="97"/>
    </row>
    <row r="56" spans="1:6" ht="55.2" x14ac:dyDescent="0.25">
      <c r="A56" s="39"/>
      <c r="B56" s="40" t="s">
        <v>123</v>
      </c>
      <c r="C56" s="41"/>
      <c r="D56" s="42" t="s">
        <v>6</v>
      </c>
      <c r="E56" s="190"/>
      <c r="F56" s="97">
        <f>C56*E56</f>
        <v>0</v>
      </c>
    </row>
    <row r="57" spans="1:6" x14ac:dyDescent="0.25">
      <c r="A57" s="32"/>
      <c r="B57" s="38"/>
      <c r="C57" s="188"/>
      <c r="D57" s="189"/>
      <c r="E57" s="190"/>
      <c r="F57" s="97"/>
    </row>
    <row r="58" spans="1:6" ht="26.4" x14ac:dyDescent="0.25">
      <c r="A58" s="32"/>
      <c r="B58" s="126" t="s">
        <v>1203</v>
      </c>
      <c r="C58" s="188"/>
      <c r="D58" s="189"/>
      <c r="E58" s="190"/>
      <c r="F58" s="97"/>
    </row>
    <row r="59" spans="1:6" x14ac:dyDescent="0.25">
      <c r="A59" s="32"/>
      <c r="B59" s="125"/>
      <c r="C59" s="188"/>
      <c r="D59" s="189"/>
      <c r="E59" s="190"/>
      <c r="F59" s="97"/>
    </row>
    <row r="60" spans="1:6" ht="26.4" x14ac:dyDescent="0.25">
      <c r="A60" s="32" t="s">
        <v>3</v>
      </c>
      <c r="B60" s="125" t="s">
        <v>1227</v>
      </c>
      <c r="C60" s="188">
        <v>551</v>
      </c>
      <c r="D60" s="189" t="s">
        <v>11</v>
      </c>
      <c r="E60" s="190">
        <v>1280.29</v>
      </c>
      <c r="F60" s="97">
        <f>C60*E60</f>
        <v>705439.79</v>
      </c>
    </row>
    <row r="61" spans="1:6" x14ac:dyDescent="0.25">
      <c r="A61" s="32"/>
      <c r="B61" s="125"/>
      <c r="C61" s="188"/>
      <c r="D61" s="189"/>
      <c r="E61" s="190"/>
      <c r="F61" s="97"/>
    </row>
    <row r="62" spans="1:6" ht="14.4" x14ac:dyDescent="0.25">
      <c r="A62" s="113"/>
      <c r="B62" s="119" t="s">
        <v>1187</v>
      </c>
      <c r="C62" s="115"/>
      <c r="D62" s="116"/>
      <c r="E62" s="190"/>
      <c r="F62" s="97"/>
    </row>
    <row r="63" spans="1:6" x14ac:dyDescent="0.25">
      <c r="A63" s="112"/>
      <c r="B63" s="103"/>
      <c r="C63" s="217"/>
      <c r="D63" s="218"/>
      <c r="E63" s="190"/>
      <c r="F63" s="97"/>
    </row>
    <row r="64" spans="1:6" ht="27.6" x14ac:dyDescent="0.25">
      <c r="A64" s="155" t="s">
        <v>2</v>
      </c>
      <c r="B64" s="144" t="s">
        <v>1188</v>
      </c>
      <c r="C64" s="145">
        <v>1</v>
      </c>
      <c r="D64" s="146" t="s">
        <v>1189</v>
      </c>
      <c r="E64" s="216"/>
      <c r="F64" s="147">
        <f>C64*E64</f>
        <v>0</v>
      </c>
    </row>
    <row r="65" spans="1:6" x14ac:dyDescent="0.25">
      <c r="A65" s="53"/>
      <c r="B65" s="54"/>
      <c r="C65" s="206"/>
      <c r="D65" s="207"/>
      <c r="E65" s="190"/>
      <c r="F65" s="97"/>
    </row>
    <row r="66" spans="1:6" x14ac:dyDescent="0.25">
      <c r="A66" s="55"/>
      <c r="B66" s="56"/>
      <c r="C66" s="57"/>
      <c r="D66" s="58"/>
      <c r="E66" s="190"/>
      <c r="F66" s="97"/>
    </row>
    <row r="67" spans="1:6" x14ac:dyDescent="0.25">
      <c r="A67" s="53"/>
      <c r="B67" s="54"/>
      <c r="C67" s="206"/>
      <c r="D67" s="207"/>
      <c r="E67" s="190"/>
      <c r="F67" s="97"/>
    </row>
    <row r="68" spans="1:6" x14ac:dyDescent="0.25">
      <c r="A68" s="55"/>
      <c r="B68" s="59"/>
      <c r="C68" s="57"/>
      <c r="D68" s="58"/>
      <c r="E68" s="190"/>
      <c r="F68" s="97"/>
    </row>
    <row r="69" spans="1:6" x14ac:dyDescent="0.25">
      <c r="A69" s="54"/>
      <c r="B69" s="60"/>
      <c r="C69" s="205"/>
      <c r="D69" s="208"/>
      <c r="E69" s="190"/>
      <c r="F69" s="97"/>
    </row>
    <row r="70" spans="1:6" x14ac:dyDescent="0.25">
      <c r="A70" s="54"/>
      <c r="B70" s="60"/>
      <c r="C70" s="205"/>
      <c r="D70" s="208"/>
      <c r="E70" s="190"/>
      <c r="F70" s="97"/>
    </row>
    <row r="71" spans="1:6" x14ac:dyDescent="0.25">
      <c r="A71" s="54"/>
      <c r="B71" s="60"/>
      <c r="C71" s="205"/>
      <c r="D71" s="208"/>
      <c r="E71" s="190"/>
      <c r="F71" s="97"/>
    </row>
    <row r="72" spans="1:6" x14ac:dyDescent="0.25">
      <c r="A72" s="54"/>
      <c r="B72" s="60"/>
      <c r="C72" s="205"/>
      <c r="D72" s="208"/>
      <c r="E72" s="190"/>
      <c r="F72" s="97"/>
    </row>
    <row r="73" spans="1:6" x14ac:dyDescent="0.25">
      <c r="A73" s="54"/>
      <c r="B73" s="60"/>
      <c r="C73" s="205"/>
      <c r="D73" s="208"/>
      <c r="E73" s="190"/>
      <c r="F73" s="97"/>
    </row>
    <row r="74" spans="1:6" x14ac:dyDescent="0.25">
      <c r="A74" s="54"/>
      <c r="B74" s="60"/>
      <c r="C74" s="205"/>
      <c r="D74" s="208"/>
      <c r="E74" s="190"/>
      <c r="F74" s="97"/>
    </row>
    <row r="75" spans="1:6" x14ac:dyDescent="0.25">
      <c r="A75" s="54"/>
      <c r="B75" s="60"/>
      <c r="C75" s="205"/>
      <c r="D75" s="208"/>
      <c r="E75" s="190"/>
      <c r="F75" s="97"/>
    </row>
    <row r="76" spans="1:6" x14ac:dyDescent="0.25">
      <c r="A76" s="54"/>
      <c r="B76" s="60"/>
      <c r="C76" s="205"/>
      <c r="D76" s="208"/>
      <c r="E76" s="190"/>
      <c r="F76" s="97"/>
    </row>
    <row r="77" spans="1:6" x14ac:dyDescent="0.25">
      <c r="A77" s="54"/>
      <c r="B77" s="60"/>
      <c r="C77" s="205"/>
      <c r="D77" s="208"/>
      <c r="E77" s="190"/>
      <c r="F77" s="97"/>
    </row>
    <row r="78" spans="1:6" x14ac:dyDescent="0.25">
      <c r="A78" s="54"/>
      <c r="B78" s="60"/>
      <c r="C78" s="205"/>
      <c r="D78" s="208"/>
      <c r="E78" s="190"/>
      <c r="F78" s="97"/>
    </row>
    <row r="79" spans="1:6" x14ac:dyDescent="0.25">
      <c r="A79" s="53"/>
      <c r="B79" s="61"/>
      <c r="C79" s="206"/>
      <c r="D79" s="207"/>
      <c r="E79" s="190"/>
      <c r="F79" s="97"/>
    </row>
    <row r="80" spans="1:6" x14ac:dyDescent="0.25">
      <c r="A80" s="53"/>
      <c r="B80" s="62"/>
      <c r="C80" s="206"/>
      <c r="D80" s="207"/>
      <c r="E80" s="190"/>
      <c r="F80" s="97"/>
    </row>
    <row r="81" spans="1:6" x14ac:dyDescent="0.25">
      <c r="A81" s="55"/>
      <c r="B81" s="59"/>
      <c r="C81" s="57"/>
      <c r="D81" s="58"/>
      <c r="E81" s="190"/>
      <c r="F81" s="97"/>
    </row>
    <row r="82" spans="1:6" x14ac:dyDescent="0.25">
      <c r="A82" s="53"/>
      <c r="B82" s="54"/>
      <c r="C82" s="206"/>
      <c r="D82" s="207"/>
      <c r="E82" s="190"/>
      <c r="F82" s="97"/>
    </row>
    <row r="83" spans="1:6" x14ac:dyDescent="0.25">
      <c r="A83" s="55"/>
      <c r="B83" s="56"/>
      <c r="C83" s="57"/>
      <c r="D83" s="58"/>
      <c r="E83" s="190"/>
      <c r="F83" s="97"/>
    </row>
    <row r="84" spans="1:6" x14ac:dyDescent="0.25">
      <c r="A84" s="53"/>
      <c r="B84" s="54"/>
      <c r="C84" s="206"/>
      <c r="D84" s="207"/>
      <c r="E84" s="190"/>
      <c r="F84" s="97"/>
    </row>
    <row r="85" spans="1:6" x14ac:dyDescent="0.25">
      <c r="A85" s="55"/>
      <c r="B85" s="59"/>
      <c r="C85" s="57"/>
      <c r="D85" s="58"/>
      <c r="E85" s="190"/>
      <c r="F85" s="97"/>
    </row>
    <row r="86" spans="1:6" x14ac:dyDescent="0.25">
      <c r="A86" s="53"/>
      <c r="B86" s="54"/>
      <c r="C86" s="206"/>
      <c r="D86" s="207"/>
      <c r="E86" s="190"/>
      <c r="F86" s="97"/>
    </row>
    <row r="87" spans="1:6" x14ac:dyDescent="0.25">
      <c r="A87" s="55"/>
      <c r="B87" s="59"/>
      <c r="C87" s="57"/>
      <c r="D87" s="58"/>
      <c r="E87" s="190"/>
      <c r="F87" s="97"/>
    </row>
    <row r="88" spans="1:6" x14ac:dyDescent="0.25">
      <c r="A88" s="55"/>
      <c r="B88" s="59"/>
      <c r="C88" s="57"/>
      <c r="D88" s="58"/>
      <c r="E88" s="190"/>
      <c r="F88" s="97"/>
    </row>
    <row r="89" spans="1:6" x14ac:dyDescent="0.25">
      <c r="A89" s="53"/>
      <c r="B89" s="54"/>
      <c r="C89" s="206"/>
      <c r="D89" s="207"/>
      <c r="E89" s="190"/>
      <c r="F89" s="97"/>
    </row>
    <row r="90" spans="1:6" x14ac:dyDescent="0.25">
      <c r="A90" s="55"/>
      <c r="B90" s="59"/>
      <c r="C90" s="57"/>
      <c r="D90" s="58"/>
      <c r="E90" s="190"/>
      <c r="F90" s="97"/>
    </row>
    <row r="91" spans="1:6" x14ac:dyDescent="0.25">
      <c r="A91" s="53"/>
      <c r="B91" s="54"/>
      <c r="C91" s="206"/>
      <c r="D91" s="207"/>
      <c r="E91" s="190"/>
      <c r="F91" s="97"/>
    </row>
    <row r="92" spans="1:6" ht="16.5" customHeight="1" x14ac:dyDescent="0.25">
      <c r="A92" s="55"/>
      <c r="B92" s="59"/>
      <c r="C92" s="57"/>
      <c r="D92" s="58"/>
      <c r="E92" s="190"/>
      <c r="F92" s="97"/>
    </row>
    <row r="93" spans="1:6" x14ac:dyDescent="0.25">
      <c r="A93" s="53"/>
      <c r="B93" s="54"/>
      <c r="C93" s="206"/>
      <c r="D93" s="207"/>
      <c r="E93" s="190"/>
      <c r="F93" s="97"/>
    </row>
    <row r="94" spans="1:6" x14ac:dyDescent="0.25">
      <c r="A94" s="55"/>
      <c r="B94" s="59"/>
      <c r="C94" s="57"/>
      <c r="D94" s="58"/>
      <c r="E94" s="190"/>
      <c r="F94" s="97"/>
    </row>
    <row r="95" spans="1:6" x14ac:dyDescent="0.25">
      <c r="A95" s="53"/>
      <c r="B95" s="54"/>
      <c r="C95" s="206"/>
      <c r="D95" s="207"/>
      <c r="E95" s="190"/>
      <c r="F95" s="97"/>
    </row>
    <row r="96" spans="1:6" x14ac:dyDescent="0.25">
      <c r="A96" s="55"/>
      <c r="B96" s="56"/>
      <c r="C96" s="57"/>
      <c r="D96" s="58"/>
      <c r="E96" s="190"/>
      <c r="F96" s="97"/>
    </row>
    <row r="97" spans="1:6" x14ac:dyDescent="0.25">
      <c r="A97" s="44"/>
      <c r="B97" s="45"/>
      <c r="C97" s="195"/>
      <c r="D97" s="196"/>
      <c r="E97" s="117"/>
      <c r="F97" s="98"/>
    </row>
    <row r="98" spans="1:6" x14ac:dyDescent="0.25">
      <c r="A98" s="46"/>
      <c r="B98" s="47"/>
      <c r="C98" s="199" t="s">
        <v>51</v>
      </c>
      <c r="D98" s="199"/>
      <c r="E98" s="200" t="s">
        <v>50</v>
      </c>
      <c r="F98" s="99">
        <f>SUM(F55:F78)</f>
        <v>705439.79</v>
      </c>
    </row>
    <row r="99" spans="1:6" x14ac:dyDescent="0.25">
      <c r="A99" s="46"/>
      <c r="B99" s="47"/>
      <c r="C99" s="201"/>
      <c r="D99" s="202"/>
      <c r="E99" s="118"/>
      <c r="F99" s="100"/>
    </row>
    <row r="100" spans="1:6" x14ac:dyDescent="0.25">
      <c r="A100" s="38"/>
      <c r="B100" s="33"/>
      <c r="C100" s="192"/>
      <c r="D100" s="203"/>
      <c r="E100" s="190"/>
      <c r="F100" s="97"/>
    </row>
    <row r="101" spans="1:6" x14ac:dyDescent="0.25">
      <c r="A101" s="38"/>
      <c r="B101" s="48" t="s">
        <v>52</v>
      </c>
      <c r="C101" s="192"/>
      <c r="D101" s="203"/>
      <c r="E101" s="190"/>
      <c r="F101" s="97"/>
    </row>
    <row r="102" spans="1:6" x14ac:dyDescent="0.25">
      <c r="A102" s="38"/>
      <c r="B102" s="40"/>
      <c r="C102" s="192"/>
      <c r="D102" s="203"/>
      <c r="E102" s="190"/>
      <c r="F102" s="97"/>
    </row>
    <row r="103" spans="1:6" x14ac:dyDescent="0.25">
      <c r="A103" s="38"/>
      <c r="B103" s="49" t="s">
        <v>404</v>
      </c>
      <c r="C103" s="192"/>
      <c r="D103" s="203"/>
      <c r="E103" s="190"/>
      <c r="F103" s="97">
        <f>F51</f>
        <v>207350.84</v>
      </c>
    </row>
    <row r="104" spans="1:6" x14ac:dyDescent="0.25">
      <c r="A104" s="38"/>
      <c r="B104" s="40"/>
      <c r="C104" s="192"/>
      <c r="D104" s="203"/>
      <c r="E104" s="190"/>
      <c r="F104" s="97"/>
    </row>
    <row r="105" spans="1:6" x14ac:dyDescent="0.25">
      <c r="A105" s="38"/>
      <c r="B105" s="49" t="s">
        <v>405</v>
      </c>
      <c r="C105" s="192"/>
      <c r="D105" s="203"/>
      <c r="E105" s="190"/>
      <c r="F105" s="97">
        <f>F98</f>
        <v>705439.79</v>
      </c>
    </row>
    <row r="106" spans="1:6" x14ac:dyDescent="0.25">
      <c r="A106" s="38"/>
      <c r="B106" s="38"/>
      <c r="C106" s="192"/>
      <c r="D106" s="203"/>
      <c r="E106" s="190"/>
      <c r="F106" s="97"/>
    </row>
    <row r="107" spans="1:6" x14ac:dyDescent="0.25">
      <c r="A107" s="38"/>
      <c r="B107" s="33"/>
      <c r="C107" s="192"/>
      <c r="D107" s="203"/>
      <c r="E107" s="190"/>
      <c r="F107" s="97"/>
    </row>
    <row r="108" spans="1:6" x14ac:dyDescent="0.25">
      <c r="A108" s="38"/>
      <c r="B108" s="33"/>
      <c r="C108" s="192"/>
      <c r="D108" s="203"/>
      <c r="E108" s="190"/>
      <c r="F108" s="97"/>
    </row>
    <row r="109" spans="1:6" x14ac:dyDescent="0.25">
      <c r="A109" s="32"/>
      <c r="B109" s="36"/>
      <c r="C109" s="188"/>
      <c r="D109" s="189"/>
      <c r="E109" s="190"/>
      <c r="F109" s="97"/>
    </row>
    <row r="110" spans="1:6" x14ac:dyDescent="0.25">
      <c r="A110" s="32"/>
      <c r="B110" s="38"/>
      <c r="C110" s="188"/>
      <c r="D110" s="189"/>
      <c r="E110" s="190"/>
      <c r="F110" s="97"/>
    </row>
    <row r="111" spans="1:6" x14ac:dyDescent="0.25">
      <c r="A111" s="39"/>
      <c r="B111" s="43"/>
      <c r="C111" s="41"/>
      <c r="D111" s="42"/>
      <c r="E111" s="190"/>
      <c r="F111" s="97"/>
    </row>
    <row r="112" spans="1:6" x14ac:dyDescent="0.25">
      <c r="A112" s="32"/>
      <c r="B112" s="38"/>
      <c r="C112" s="188"/>
      <c r="D112" s="189"/>
      <c r="E112" s="190"/>
      <c r="F112" s="97"/>
    </row>
    <row r="113" spans="1:6" x14ac:dyDescent="0.25">
      <c r="A113" s="39"/>
      <c r="B113" s="40"/>
      <c r="C113" s="41"/>
      <c r="D113" s="42"/>
      <c r="E113" s="190"/>
      <c r="F113" s="97"/>
    </row>
    <row r="114" spans="1:6" x14ac:dyDescent="0.25">
      <c r="A114" s="32"/>
      <c r="B114" s="38"/>
      <c r="C114" s="188"/>
      <c r="D114" s="189"/>
      <c r="E114" s="190"/>
      <c r="F114" s="97"/>
    </row>
    <row r="115" spans="1:6" x14ac:dyDescent="0.25">
      <c r="A115" s="39"/>
      <c r="B115" s="40"/>
      <c r="C115" s="41"/>
      <c r="D115" s="42"/>
      <c r="E115" s="190"/>
      <c r="F115" s="97"/>
    </row>
    <row r="116" spans="1:6" x14ac:dyDescent="0.25">
      <c r="A116" s="32"/>
      <c r="B116" s="38"/>
      <c r="C116" s="188"/>
      <c r="D116" s="189"/>
      <c r="E116" s="190"/>
      <c r="F116" s="97"/>
    </row>
    <row r="117" spans="1:6" x14ac:dyDescent="0.25">
      <c r="A117" s="39"/>
      <c r="B117" s="43"/>
      <c r="C117" s="41"/>
      <c r="D117" s="42"/>
      <c r="E117" s="190"/>
      <c r="F117" s="97"/>
    </row>
    <row r="118" spans="1:6" x14ac:dyDescent="0.25">
      <c r="A118" s="32"/>
      <c r="B118" s="38"/>
      <c r="C118" s="188"/>
      <c r="D118" s="189"/>
      <c r="E118" s="190"/>
      <c r="F118" s="97"/>
    </row>
    <row r="119" spans="1:6" x14ac:dyDescent="0.25">
      <c r="A119" s="39"/>
      <c r="B119" s="40"/>
      <c r="C119" s="41"/>
      <c r="D119" s="42"/>
      <c r="E119" s="190"/>
      <c r="F119" s="97"/>
    </row>
    <row r="120" spans="1:6" x14ac:dyDescent="0.25">
      <c r="A120" s="32"/>
      <c r="B120" s="38"/>
      <c r="C120" s="188"/>
      <c r="D120" s="189"/>
      <c r="E120" s="190"/>
      <c r="F120" s="97"/>
    </row>
    <row r="121" spans="1:6" x14ac:dyDescent="0.25">
      <c r="A121" s="39"/>
      <c r="B121" s="40"/>
      <c r="C121" s="41"/>
      <c r="D121" s="42"/>
      <c r="E121" s="190"/>
      <c r="F121" s="97"/>
    </row>
    <row r="122" spans="1:6" x14ac:dyDescent="0.25">
      <c r="A122" s="32"/>
      <c r="B122" s="38"/>
      <c r="C122" s="188"/>
      <c r="D122" s="189"/>
      <c r="E122" s="190"/>
      <c r="F122" s="97"/>
    </row>
    <row r="123" spans="1:6" x14ac:dyDescent="0.25">
      <c r="A123" s="39"/>
      <c r="B123" s="40"/>
      <c r="C123" s="41"/>
      <c r="D123" s="42"/>
      <c r="E123" s="190"/>
      <c r="F123" s="97"/>
    </row>
    <row r="124" spans="1:6" x14ac:dyDescent="0.25">
      <c r="A124" s="32"/>
      <c r="B124" s="38"/>
      <c r="C124" s="188"/>
      <c r="D124" s="189"/>
      <c r="E124" s="190"/>
      <c r="F124" s="97"/>
    </row>
    <row r="125" spans="1:6" x14ac:dyDescent="0.25">
      <c r="A125" s="39"/>
      <c r="B125" s="43"/>
      <c r="C125" s="41"/>
      <c r="D125" s="42"/>
      <c r="E125" s="190"/>
      <c r="F125" s="97"/>
    </row>
    <row r="126" spans="1:6" x14ac:dyDescent="0.25">
      <c r="A126" s="32"/>
      <c r="B126" s="38"/>
      <c r="C126" s="188"/>
      <c r="D126" s="189"/>
      <c r="E126" s="190"/>
      <c r="F126" s="97"/>
    </row>
    <row r="127" spans="1:6" x14ac:dyDescent="0.25">
      <c r="A127" s="39"/>
      <c r="B127" s="40"/>
      <c r="C127" s="41"/>
      <c r="D127" s="42"/>
      <c r="E127" s="190"/>
      <c r="F127" s="97"/>
    </row>
    <row r="128" spans="1:6" x14ac:dyDescent="0.25">
      <c r="A128" s="32"/>
      <c r="B128" s="38"/>
      <c r="C128" s="188"/>
      <c r="D128" s="189"/>
      <c r="E128" s="190"/>
      <c r="F128" s="97"/>
    </row>
    <row r="129" spans="1:6" x14ac:dyDescent="0.25">
      <c r="A129" s="39"/>
      <c r="B129" s="40"/>
      <c r="C129" s="41"/>
      <c r="D129" s="42"/>
      <c r="E129" s="190"/>
      <c r="F129" s="97"/>
    </row>
    <row r="130" spans="1:6" x14ac:dyDescent="0.25">
      <c r="A130" s="32"/>
      <c r="B130" s="38"/>
      <c r="C130" s="188"/>
      <c r="D130" s="189"/>
      <c r="E130" s="190"/>
      <c r="F130" s="97"/>
    </row>
    <row r="131" spans="1:6" x14ac:dyDescent="0.25">
      <c r="A131" s="39"/>
      <c r="B131" s="43"/>
      <c r="C131" s="41"/>
      <c r="D131" s="42"/>
      <c r="E131" s="190"/>
      <c r="F131" s="97"/>
    </row>
    <row r="132" spans="1:6" x14ac:dyDescent="0.25">
      <c r="A132" s="32"/>
      <c r="B132" s="38"/>
      <c r="C132" s="188"/>
      <c r="D132" s="189"/>
      <c r="E132" s="190"/>
      <c r="F132" s="97"/>
    </row>
    <row r="133" spans="1:6" x14ac:dyDescent="0.25">
      <c r="A133" s="39"/>
      <c r="B133" s="40"/>
      <c r="C133" s="41"/>
      <c r="D133" s="42"/>
      <c r="E133" s="190"/>
      <c r="F133" s="97"/>
    </row>
    <row r="134" spans="1:6" x14ac:dyDescent="0.25">
      <c r="A134" s="38"/>
      <c r="B134" s="33"/>
      <c r="C134" s="192"/>
      <c r="D134" s="203"/>
      <c r="E134" s="190"/>
      <c r="F134" s="97"/>
    </row>
    <row r="135" spans="1:6" x14ac:dyDescent="0.25">
      <c r="A135" s="38"/>
      <c r="B135" s="33"/>
      <c r="C135" s="192"/>
      <c r="D135" s="203"/>
      <c r="E135" s="190"/>
      <c r="F135" s="97"/>
    </row>
    <row r="136" spans="1:6" x14ac:dyDescent="0.25">
      <c r="A136" s="38"/>
      <c r="B136" s="33"/>
      <c r="C136" s="192"/>
      <c r="D136" s="203"/>
      <c r="E136" s="190"/>
      <c r="F136" s="97"/>
    </row>
    <row r="137" spans="1:6" x14ac:dyDescent="0.25">
      <c r="A137" s="38"/>
      <c r="B137" s="33"/>
      <c r="C137" s="192"/>
      <c r="D137" s="203"/>
      <c r="E137" s="190"/>
      <c r="F137" s="97"/>
    </row>
    <row r="138" spans="1:6" x14ac:dyDescent="0.25">
      <c r="A138" s="38"/>
      <c r="B138" s="33"/>
      <c r="C138" s="192"/>
      <c r="D138" s="203"/>
      <c r="E138" s="190"/>
      <c r="F138" s="97"/>
    </row>
    <row r="139" spans="1:6" x14ac:dyDescent="0.25">
      <c r="A139" s="38"/>
      <c r="B139" s="33"/>
      <c r="C139" s="192"/>
      <c r="D139" s="203"/>
      <c r="E139" s="190"/>
      <c r="F139" s="97"/>
    </row>
    <row r="140" spans="1:6" x14ac:dyDescent="0.25">
      <c r="A140" s="38"/>
      <c r="B140" s="33"/>
      <c r="C140" s="192"/>
      <c r="D140" s="203"/>
      <c r="E140" s="190"/>
      <c r="F140" s="97"/>
    </row>
    <row r="141" spans="1:6" x14ac:dyDescent="0.25">
      <c r="A141" s="38"/>
      <c r="B141" s="33"/>
      <c r="C141" s="192"/>
      <c r="D141" s="203"/>
      <c r="E141" s="190"/>
      <c r="F141" s="97"/>
    </row>
    <row r="142" spans="1:6" x14ac:dyDescent="0.25">
      <c r="A142" s="38"/>
      <c r="B142" s="33"/>
      <c r="C142" s="192"/>
      <c r="D142" s="203"/>
      <c r="E142" s="190"/>
      <c r="F142" s="97"/>
    </row>
    <row r="143" spans="1:6" x14ac:dyDescent="0.25">
      <c r="A143" s="38"/>
      <c r="B143" s="33"/>
      <c r="C143" s="192"/>
      <c r="D143" s="203"/>
      <c r="E143" s="190"/>
      <c r="F143" s="97"/>
    </row>
    <row r="144" spans="1:6" x14ac:dyDescent="0.25">
      <c r="A144" s="38"/>
      <c r="B144" s="33"/>
      <c r="C144" s="192"/>
      <c r="D144" s="203"/>
      <c r="E144" s="190"/>
      <c r="F144" s="97"/>
    </row>
    <row r="145" spans="1:6" x14ac:dyDescent="0.25">
      <c r="A145" s="32"/>
      <c r="B145" s="36"/>
      <c r="C145" s="188"/>
      <c r="D145" s="189"/>
      <c r="E145" s="190"/>
      <c r="F145" s="97"/>
    </row>
    <row r="146" spans="1:6" x14ac:dyDescent="0.25">
      <c r="A146" s="32"/>
      <c r="B146" s="38"/>
      <c r="C146" s="188"/>
      <c r="D146" s="189"/>
      <c r="E146" s="190"/>
      <c r="F146" s="97"/>
    </row>
    <row r="147" spans="1:6" x14ac:dyDescent="0.25">
      <c r="A147" s="39"/>
      <c r="B147" s="43"/>
      <c r="C147" s="41"/>
      <c r="D147" s="42"/>
      <c r="E147" s="190"/>
      <c r="F147" s="97"/>
    </row>
    <row r="148" spans="1:6" x14ac:dyDescent="0.25">
      <c r="A148" s="44"/>
      <c r="B148" s="45"/>
      <c r="C148" s="195"/>
      <c r="D148" s="196"/>
      <c r="E148" s="117"/>
      <c r="F148" s="98"/>
    </row>
    <row r="149" spans="1:6" x14ac:dyDescent="0.25">
      <c r="A149" s="46"/>
      <c r="B149" s="47"/>
      <c r="C149" s="199" t="s">
        <v>96</v>
      </c>
      <c r="D149" s="199"/>
      <c r="E149" s="200" t="s">
        <v>50</v>
      </c>
      <c r="F149" s="99">
        <f>SUM(F101:F128)</f>
        <v>912790.63</v>
      </c>
    </row>
    <row r="150" spans="1:6" x14ac:dyDescent="0.25">
      <c r="A150" s="46"/>
      <c r="B150" s="47"/>
      <c r="C150" s="201"/>
      <c r="D150" s="202"/>
      <c r="E150" s="118"/>
      <c r="F150" s="100"/>
    </row>
  </sheetData>
  <mergeCells count="4">
    <mergeCell ref="A1:A2"/>
    <mergeCell ref="B1:B2"/>
    <mergeCell ref="C1:C2"/>
    <mergeCell ref="D1:D2"/>
  </mergeCells>
  <printOptions horizontalCentered="1"/>
  <pageMargins left="0.6692913385826772" right="0.19685039370078741" top="0.82677165354330717" bottom="0.47244094488188981" header="0.19685039370078741" footer="0.23622047244094491"/>
  <pageSetup paperSize="9" scale="94" fitToHeight="0" orientation="portrait" useFirstPageNumber="1" r:id="rId1"/>
  <headerFooter>
    <oddHeader>&amp;R&amp;11
&amp;UBILL NO. 4 -PARKING FLOORS REFURBISHMENT
FURNISHINGS</oddHeader>
    <oddFooter>&amp;L&amp;8DMS 148704 BOQ - Nakheel Mall Al Khail&amp;C4/M/&amp;P</oddFooter>
  </headerFooter>
  <rowBreaks count="2" manualBreakCount="2">
    <brk id="52" max="5" man="1"/>
    <brk id="99" max="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691B0-3C0A-455C-92FD-1FF3658AAFCF}">
  <sheetPr codeName="Sheet14"/>
  <dimension ref="A1:G1484"/>
  <sheetViews>
    <sheetView view="pageBreakPreview" zoomScale="85" zoomScaleNormal="100" zoomScaleSheetLayoutView="85" zoomScalePageLayoutView="70" workbookViewId="0">
      <pane ySplit="2" topLeftCell="A35" activePane="bottomLeft" state="frozen"/>
      <selection activeCell="H35" sqref="H35"/>
      <selection pane="bottomLeft" sqref="A1:E1048576"/>
    </sheetView>
  </sheetViews>
  <sheetFormatPr defaultColWidth="9.33203125" defaultRowHeight="13.8" x14ac:dyDescent="0.25"/>
  <cols>
    <col min="1" max="1" width="5.6640625" style="211" customWidth="1"/>
    <col min="2" max="2" width="44" style="212" customWidth="1"/>
    <col min="3" max="3" width="8.6640625" style="213" customWidth="1"/>
    <col min="4" max="4" width="6.6640625" style="214" customWidth="1"/>
    <col min="5" max="5" width="14.6640625" style="200" customWidth="1"/>
    <col min="6" max="6" width="15.6640625" style="101" customWidth="1"/>
    <col min="7" max="7" width="8.5546875" style="133" customWidth="1"/>
    <col min="8" max="16384" width="9.33203125" style="34"/>
  </cols>
  <sheetData>
    <row r="1" spans="1:7" s="29" customFormat="1" ht="14.4" x14ac:dyDescent="0.25">
      <c r="A1" s="174" t="s">
        <v>6</v>
      </c>
      <c r="B1" s="174" t="s">
        <v>0</v>
      </c>
      <c r="C1" s="175" t="s">
        <v>47</v>
      </c>
      <c r="D1" s="176" t="s">
        <v>48</v>
      </c>
      <c r="E1" s="177" t="s">
        <v>1</v>
      </c>
      <c r="F1" s="94" t="s">
        <v>49</v>
      </c>
      <c r="G1" s="166" t="s">
        <v>1211</v>
      </c>
    </row>
    <row r="2" spans="1:7" s="29" customFormat="1" ht="14.4" x14ac:dyDescent="0.25">
      <c r="A2" s="178"/>
      <c r="B2" s="178"/>
      <c r="C2" s="179"/>
      <c r="D2" s="180"/>
      <c r="E2" s="181" t="s">
        <v>50</v>
      </c>
      <c r="F2" s="95" t="s">
        <v>50</v>
      </c>
      <c r="G2" s="167"/>
    </row>
    <row r="3" spans="1:7" s="29" customFormat="1" ht="14.4" x14ac:dyDescent="0.25">
      <c r="A3" s="182"/>
      <c r="B3" s="183"/>
      <c r="C3" s="184"/>
      <c r="D3" s="185"/>
      <c r="E3" s="186"/>
      <c r="F3" s="96"/>
      <c r="G3" s="129"/>
    </row>
    <row r="4" spans="1:7" x14ac:dyDescent="0.25">
      <c r="A4" s="187"/>
      <c r="B4" s="64" t="s">
        <v>32</v>
      </c>
      <c r="C4" s="188"/>
      <c r="D4" s="189"/>
      <c r="E4" s="190"/>
      <c r="F4" s="97"/>
      <c r="G4" s="128"/>
    </row>
    <row r="5" spans="1:7" x14ac:dyDescent="0.25">
      <c r="A5" s="187"/>
      <c r="B5" s="35"/>
      <c r="C5" s="188"/>
      <c r="D5" s="189"/>
      <c r="E5" s="190"/>
      <c r="F5" s="97"/>
      <c r="G5" s="128"/>
    </row>
    <row r="6" spans="1:7" x14ac:dyDescent="0.25">
      <c r="A6" s="187"/>
      <c r="B6" s="36" t="s">
        <v>124</v>
      </c>
      <c r="C6" s="188"/>
      <c r="D6" s="189"/>
      <c r="E6" s="190"/>
      <c r="F6" s="97"/>
      <c r="G6" s="128"/>
    </row>
    <row r="7" spans="1:7" x14ac:dyDescent="0.25">
      <c r="A7" s="187"/>
      <c r="B7" s="192"/>
      <c r="C7" s="188"/>
      <c r="D7" s="189"/>
      <c r="E7" s="190"/>
      <c r="F7" s="97"/>
      <c r="G7" s="128"/>
    </row>
    <row r="8" spans="1:7" x14ac:dyDescent="0.25">
      <c r="A8" s="39"/>
      <c r="B8" s="40" t="s">
        <v>406</v>
      </c>
      <c r="C8" s="41"/>
      <c r="D8" s="42"/>
      <c r="E8" s="190"/>
      <c r="F8" s="97"/>
      <c r="G8" s="128"/>
    </row>
    <row r="9" spans="1:7" x14ac:dyDescent="0.25">
      <c r="A9" s="187"/>
      <c r="B9" s="192"/>
      <c r="C9" s="188"/>
      <c r="D9" s="189"/>
      <c r="E9" s="190"/>
      <c r="F9" s="97"/>
      <c r="G9" s="128"/>
    </row>
    <row r="10" spans="1:7" ht="41.4" x14ac:dyDescent="0.25">
      <c r="A10" s="39"/>
      <c r="B10" s="40" t="s">
        <v>125</v>
      </c>
      <c r="C10" s="41"/>
      <c r="D10" s="42"/>
      <c r="E10" s="190"/>
      <c r="F10" s="97"/>
      <c r="G10" s="128"/>
    </row>
    <row r="11" spans="1:7" x14ac:dyDescent="0.25">
      <c r="A11" s="187"/>
      <c r="B11" s="192"/>
      <c r="C11" s="188"/>
      <c r="D11" s="189"/>
      <c r="E11" s="190"/>
      <c r="F11" s="97"/>
      <c r="G11" s="128"/>
    </row>
    <row r="12" spans="1:7" ht="41.4" x14ac:dyDescent="0.25">
      <c r="A12" s="39"/>
      <c r="B12" s="40" t="s">
        <v>126</v>
      </c>
      <c r="C12" s="41"/>
      <c r="D12" s="42"/>
      <c r="E12" s="190"/>
      <c r="F12" s="97"/>
      <c r="G12" s="128"/>
    </row>
    <row r="13" spans="1:7" x14ac:dyDescent="0.25">
      <c r="A13" s="187"/>
      <c r="B13" s="192"/>
      <c r="C13" s="188"/>
      <c r="D13" s="189"/>
      <c r="E13" s="190"/>
      <c r="F13" s="97"/>
      <c r="G13" s="128"/>
    </row>
    <row r="14" spans="1:7" ht="27.6" x14ac:dyDescent="0.25">
      <c r="A14" s="39"/>
      <c r="B14" s="40" t="s">
        <v>127</v>
      </c>
      <c r="C14" s="41"/>
      <c r="D14" s="42"/>
      <c r="E14" s="190"/>
      <c r="F14" s="97"/>
      <c r="G14" s="128"/>
    </row>
    <row r="15" spans="1:7" x14ac:dyDescent="0.25">
      <c r="A15" s="187"/>
      <c r="B15" s="192"/>
      <c r="C15" s="188"/>
      <c r="D15" s="189"/>
      <c r="E15" s="190"/>
      <c r="F15" s="97"/>
      <c r="G15" s="128"/>
    </row>
    <row r="16" spans="1:7" ht="27.6" x14ac:dyDescent="0.25">
      <c r="A16" s="39"/>
      <c r="B16" s="52" t="s">
        <v>128</v>
      </c>
      <c r="C16" s="41"/>
      <c r="D16" s="42"/>
      <c r="E16" s="190"/>
      <c r="F16" s="97"/>
      <c r="G16" s="128"/>
    </row>
    <row r="17" spans="1:7" x14ac:dyDescent="0.25">
      <c r="A17" s="187"/>
      <c r="B17" s="192"/>
      <c r="C17" s="188"/>
      <c r="D17" s="189"/>
      <c r="E17" s="190"/>
      <c r="F17" s="97"/>
      <c r="G17" s="128"/>
    </row>
    <row r="18" spans="1:7" x14ac:dyDescent="0.25">
      <c r="A18" s="39"/>
      <c r="B18" s="52" t="s">
        <v>129</v>
      </c>
      <c r="C18" s="41"/>
      <c r="D18" s="42"/>
      <c r="E18" s="190"/>
      <c r="F18" s="97"/>
      <c r="G18" s="128"/>
    </row>
    <row r="19" spans="1:7" x14ac:dyDescent="0.25">
      <c r="A19" s="187"/>
      <c r="B19" s="192"/>
      <c r="C19" s="188"/>
      <c r="D19" s="189"/>
      <c r="E19" s="190"/>
      <c r="F19" s="97"/>
      <c r="G19" s="128"/>
    </row>
    <row r="20" spans="1:7" x14ac:dyDescent="0.25">
      <c r="A20" s="39" t="s">
        <v>3</v>
      </c>
      <c r="B20" s="40" t="s">
        <v>14</v>
      </c>
      <c r="C20" s="41" t="s">
        <v>109</v>
      </c>
      <c r="D20" s="42" t="s">
        <v>11</v>
      </c>
      <c r="E20" s="190">
        <v>130.82</v>
      </c>
      <c r="F20" s="97">
        <f>C20*E20</f>
        <v>3793.7799999999997</v>
      </c>
      <c r="G20" s="128"/>
    </row>
    <row r="21" spans="1:7" x14ac:dyDescent="0.25">
      <c r="A21" s="187"/>
      <c r="B21" s="192"/>
      <c r="C21" s="188"/>
      <c r="D21" s="189"/>
      <c r="E21" s="190"/>
      <c r="F21" s="97"/>
      <c r="G21" s="128"/>
    </row>
    <row r="22" spans="1:7" x14ac:dyDescent="0.25">
      <c r="A22" s="39" t="s">
        <v>2</v>
      </c>
      <c r="B22" s="40" t="s">
        <v>34</v>
      </c>
      <c r="C22" s="41" t="s">
        <v>407</v>
      </c>
      <c r="D22" s="42" t="s">
        <v>11</v>
      </c>
      <c r="E22" s="190">
        <v>183.55</v>
      </c>
      <c r="F22" s="97">
        <f>C22*E22</f>
        <v>16152.400000000001</v>
      </c>
      <c r="G22" s="128"/>
    </row>
    <row r="23" spans="1:7" x14ac:dyDescent="0.25">
      <c r="A23" s="187"/>
      <c r="B23" s="192"/>
      <c r="C23" s="188"/>
      <c r="D23" s="189"/>
      <c r="E23" s="190"/>
      <c r="F23" s="97"/>
      <c r="G23" s="128"/>
    </row>
    <row r="24" spans="1:7" x14ac:dyDescent="0.25">
      <c r="A24" s="39" t="s">
        <v>5</v>
      </c>
      <c r="B24" s="40" t="s">
        <v>408</v>
      </c>
      <c r="C24" s="41" t="s">
        <v>65</v>
      </c>
      <c r="D24" s="42" t="s">
        <v>11</v>
      </c>
      <c r="E24" s="190">
        <v>183.55</v>
      </c>
      <c r="F24" s="97">
        <f>C24*E24</f>
        <v>2936.8</v>
      </c>
      <c r="G24" s="128"/>
    </row>
    <row r="25" spans="1:7" x14ac:dyDescent="0.25">
      <c r="A25" s="187"/>
      <c r="B25" s="192"/>
      <c r="C25" s="188"/>
      <c r="D25" s="189"/>
      <c r="E25" s="190"/>
      <c r="F25" s="97"/>
      <c r="G25" s="128"/>
    </row>
    <row r="26" spans="1:7" x14ac:dyDescent="0.25">
      <c r="A26" s="39" t="s">
        <v>8</v>
      </c>
      <c r="B26" s="40" t="s">
        <v>134</v>
      </c>
      <c r="C26" s="41" t="s">
        <v>409</v>
      </c>
      <c r="D26" s="42" t="s">
        <v>11</v>
      </c>
      <c r="E26" s="190">
        <v>159.77000000000001</v>
      </c>
      <c r="F26" s="97">
        <f>C26*E26</f>
        <v>22048.260000000002</v>
      </c>
      <c r="G26" s="128"/>
    </row>
    <row r="27" spans="1:7" x14ac:dyDescent="0.25">
      <c r="A27" s="187"/>
      <c r="B27" s="192"/>
      <c r="C27" s="188"/>
      <c r="D27" s="189"/>
      <c r="E27" s="190"/>
      <c r="F27" s="97"/>
      <c r="G27" s="128"/>
    </row>
    <row r="28" spans="1:7" ht="27.6" x14ac:dyDescent="0.25">
      <c r="A28" s="39"/>
      <c r="B28" s="52" t="s">
        <v>410</v>
      </c>
      <c r="C28" s="41"/>
      <c r="D28" s="42"/>
      <c r="E28" s="190"/>
      <c r="F28" s="97"/>
      <c r="G28" s="128"/>
    </row>
    <row r="29" spans="1:7" x14ac:dyDescent="0.25">
      <c r="A29" s="187"/>
      <c r="B29" s="192"/>
      <c r="C29" s="188"/>
      <c r="D29" s="189"/>
      <c r="E29" s="190"/>
      <c r="F29" s="97"/>
      <c r="G29" s="128"/>
    </row>
    <row r="30" spans="1:7" x14ac:dyDescent="0.25">
      <c r="A30" s="39" t="s">
        <v>9</v>
      </c>
      <c r="B30" s="40" t="s">
        <v>411</v>
      </c>
      <c r="C30" s="41" t="s">
        <v>64</v>
      </c>
      <c r="D30" s="42" t="s">
        <v>15</v>
      </c>
      <c r="E30" s="190">
        <v>279.82</v>
      </c>
      <c r="F30" s="97">
        <f>C30*E30</f>
        <v>559.64</v>
      </c>
      <c r="G30" s="128"/>
    </row>
    <row r="31" spans="1:7" x14ac:dyDescent="0.25">
      <c r="A31" s="187"/>
      <c r="B31" s="192"/>
      <c r="C31" s="188"/>
      <c r="D31" s="189"/>
      <c r="E31" s="190"/>
      <c r="F31" s="97"/>
      <c r="G31" s="128"/>
    </row>
    <row r="32" spans="1:7" x14ac:dyDescent="0.25">
      <c r="A32" s="39" t="s">
        <v>10</v>
      </c>
      <c r="B32" s="40" t="s">
        <v>412</v>
      </c>
      <c r="C32" s="41" t="s">
        <v>60</v>
      </c>
      <c r="D32" s="42" t="s">
        <v>15</v>
      </c>
      <c r="E32" s="190">
        <v>581.9</v>
      </c>
      <c r="F32" s="97">
        <f>C32*E32</f>
        <v>6400.9</v>
      </c>
      <c r="G32" s="128"/>
    </row>
    <row r="33" spans="1:7" x14ac:dyDescent="0.25">
      <c r="A33" s="187"/>
      <c r="B33" s="192"/>
      <c r="C33" s="188"/>
      <c r="D33" s="189"/>
      <c r="E33" s="190"/>
      <c r="F33" s="97"/>
      <c r="G33" s="128"/>
    </row>
    <row r="34" spans="1:7" x14ac:dyDescent="0.25">
      <c r="A34" s="39" t="s">
        <v>12</v>
      </c>
      <c r="B34" s="40" t="s">
        <v>413</v>
      </c>
      <c r="C34" s="41" t="s">
        <v>67</v>
      </c>
      <c r="D34" s="42" t="s">
        <v>15</v>
      </c>
      <c r="E34" s="190">
        <v>710.63</v>
      </c>
      <c r="F34" s="97">
        <f>C34*E34</f>
        <v>7106.3</v>
      </c>
      <c r="G34" s="128"/>
    </row>
    <row r="35" spans="1:7" x14ac:dyDescent="0.25">
      <c r="A35" s="187"/>
      <c r="B35" s="192"/>
      <c r="C35" s="188"/>
      <c r="D35" s="189"/>
      <c r="E35" s="190"/>
      <c r="F35" s="97"/>
      <c r="G35" s="128"/>
    </row>
    <row r="36" spans="1:7" ht="41.4" x14ac:dyDescent="0.25">
      <c r="A36" s="39"/>
      <c r="B36" s="52" t="s">
        <v>414</v>
      </c>
      <c r="C36" s="41"/>
      <c r="D36" s="42"/>
      <c r="E36" s="190"/>
      <c r="F36" s="97"/>
      <c r="G36" s="128"/>
    </row>
    <row r="37" spans="1:7" x14ac:dyDescent="0.25">
      <c r="A37" s="187"/>
      <c r="B37" s="192"/>
      <c r="C37" s="188"/>
      <c r="D37" s="189"/>
      <c r="E37" s="190"/>
      <c r="F37" s="97"/>
      <c r="G37" s="128"/>
    </row>
    <row r="38" spans="1:7" x14ac:dyDescent="0.25">
      <c r="A38" s="39" t="s">
        <v>13</v>
      </c>
      <c r="B38" s="40" t="s">
        <v>14</v>
      </c>
      <c r="C38" s="41" t="s">
        <v>109</v>
      </c>
      <c r="D38" s="42" t="s">
        <v>11</v>
      </c>
      <c r="E38" s="190">
        <v>36.6</v>
      </c>
      <c r="F38" s="97">
        <f>C38*E38</f>
        <v>1061.4000000000001</v>
      </c>
      <c r="G38" s="128"/>
    </row>
    <row r="39" spans="1:7" x14ac:dyDescent="0.25">
      <c r="A39" s="187"/>
      <c r="B39" s="192"/>
      <c r="C39" s="188"/>
      <c r="D39" s="189"/>
      <c r="E39" s="190"/>
      <c r="F39" s="97"/>
      <c r="G39" s="128"/>
    </row>
    <row r="40" spans="1:7" x14ac:dyDescent="0.25">
      <c r="A40" s="39" t="s">
        <v>16</v>
      </c>
      <c r="B40" s="40" t="s">
        <v>34</v>
      </c>
      <c r="C40" s="41" t="s">
        <v>407</v>
      </c>
      <c r="D40" s="42" t="s">
        <v>11</v>
      </c>
      <c r="E40" s="190">
        <v>43.8</v>
      </c>
      <c r="F40" s="97">
        <f>C40*E40</f>
        <v>3854.3999999999996</v>
      </c>
      <c r="G40" s="128"/>
    </row>
    <row r="41" spans="1:7" x14ac:dyDescent="0.25">
      <c r="A41" s="39"/>
      <c r="B41" s="40"/>
      <c r="C41" s="41"/>
      <c r="D41" s="42"/>
      <c r="E41" s="190"/>
      <c r="F41" s="97"/>
      <c r="G41" s="128"/>
    </row>
    <row r="42" spans="1:7" x14ac:dyDescent="0.25">
      <c r="A42" s="192"/>
      <c r="B42" s="33"/>
      <c r="C42" s="192"/>
      <c r="D42" s="203"/>
      <c r="E42" s="190"/>
      <c r="F42" s="97"/>
      <c r="G42" s="128"/>
    </row>
    <row r="43" spans="1:7" x14ac:dyDescent="0.25">
      <c r="A43" s="193"/>
      <c r="B43" s="194"/>
      <c r="C43" s="195"/>
      <c r="D43" s="196"/>
      <c r="E43" s="117"/>
      <c r="F43" s="98"/>
      <c r="G43" s="130"/>
    </row>
    <row r="44" spans="1:7" x14ac:dyDescent="0.25">
      <c r="A44" s="197"/>
      <c r="B44" s="198"/>
      <c r="C44" s="199" t="s">
        <v>51</v>
      </c>
      <c r="D44" s="199"/>
      <c r="E44" s="200" t="s">
        <v>50</v>
      </c>
      <c r="F44" s="99">
        <f>SUM(F19:F42)</f>
        <v>63913.880000000012</v>
      </c>
      <c r="G44" s="131"/>
    </row>
    <row r="45" spans="1:7" x14ac:dyDescent="0.25">
      <c r="A45" s="197"/>
      <c r="B45" s="198"/>
      <c r="C45" s="201"/>
      <c r="D45" s="202"/>
      <c r="E45" s="118"/>
      <c r="F45" s="100"/>
      <c r="G45" s="132"/>
    </row>
    <row r="46" spans="1:7" x14ac:dyDescent="0.25">
      <c r="A46" s="187"/>
      <c r="B46" s="192"/>
      <c r="C46" s="188"/>
      <c r="D46" s="189"/>
      <c r="E46" s="190"/>
      <c r="F46" s="97"/>
      <c r="G46" s="128"/>
    </row>
    <row r="47" spans="1:7" x14ac:dyDescent="0.25">
      <c r="A47" s="187"/>
      <c r="B47" s="36" t="s">
        <v>136</v>
      </c>
      <c r="C47" s="188"/>
      <c r="D47" s="189"/>
      <c r="E47" s="190"/>
      <c r="F47" s="97"/>
      <c r="G47" s="128"/>
    </row>
    <row r="48" spans="1:7" x14ac:dyDescent="0.25">
      <c r="A48" s="187"/>
      <c r="B48" s="192"/>
      <c r="C48" s="188"/>
      <c r="D48" s="189"/>
      <c r="E48" s="190"/>
      <c r="F48" s="97"/>
      <c r="G48" s="128"/>
    </row>
    <row r="49" spans="1:7" x14ac:dyDescent="0.25">
      <c r="A49" s="39" t="s">
        <v>3</v>
      </c>
      <c r="B49" s="40" t="s">
        <v>408</v>
      </c>
      <c r="C49" s="41" t="s">
        <v>65</v>
      </c>
      <c r="D49" s="42" t="s">
        <v>11</v>
      </c>
      <c r="E49" s="190">
        <v>43.8</v>
      </c>
      <c r="F49" s="97">
        <f>C49*E49</f>
        <v>700.8</v>
      </c>
      <c r="G49" s="128"/>
    </row>
    <row r="50" spans="1:7" x14ac:dyDescent="0.25">
      <c r="A50" s="187"/>
      <c r="B50" s="192"/>
      <c r="C50" s="188"/>
      <c r="D50" s="189"/>
      <c r="E50" s="190"/>
      <c r="F50" s="97"/>
      <c r="G50" s="128"/>
    </row>
    <row r="51" spans="1:7" x14ac:dyDescent="0.25">
      <c r="A51" s="39" t="s">
        <v>2</v>
      </c>
      <c r="B51" s="40" t="s">
        <v>134</v>
      </c>
      <c r="C51" s="41" t="s">
        <v>409</v>
      </c>
      <c r="D51" s="42" t="s">
        <v>11</v>
      </c>
      <c r="E51" s="190">
        <v>47.11</v>
      </c>
      <c r="F51" s="97">
        <f>C51*E51</f>
        <v>6501.18</v>
      </c>
      <c r="G51" s="128"/>
    </row>
    <row r="52" spans="1:7" x14ac:dyDescent="0.25">
      <c r="A52" s="187"/>
      <c r="B52" s="192"/>
      <c r="C52" s="188"/>
      <c r="D52" s="189"/>
      <c r="E52" s="190"/>
      <c r="F52" s="97"/>
      <c r="G52" s="128"/>
    </row>
    <row r="53" spans="1:7" ht="27.6" x14ac:dyDescent="0.25">
      <c r="A53" s="39"/>
      <c r="B53" s="52" t="s">
        <v>128</v>
      </c>
      <c r="C53" s="41"/>
      <c r="D53" s="42"/>
      <c r="E53" s="190"/>
      <c r="F53" s="97"/>
      <c r="G53" s="128"/>
    </row>
    <row r="54" spans="1:7" x14ac:dyDescent="0.25">
      <c r="A54" s="187"/>
      <c r="B54" s="192"/>
      <c r="C54" s="188"/>
      <c r="D54" s="189"/>
      <c r="E54" s="190"/>
      <c r="F54" s="97"/>
      <c r="G54" s="128"/>
    </row>
    <row r="55" spans="1:7" x14ac:dyDescent="0.25">
      <c r="A55" s="39"/>
      <c r="B55" s="52" t="s">
        <v>131</v>
      </c>
      <c r="C55" s="41"/>
      <c r="D55" s="42"/>
      <c r="E55" s="190"/>
      <c r="F55" s="97"/>
      <c r="G55" s="128"/>
    </row>
    <row r="56" spans="1:7" x14ac:dyDescent="0.25">
      <c r="A56" s="187"/>
      <c r="B56" s="192"/>
      <c r="C56" s="188"/>
      <c r="D56" s="189"/>
      <c r="E56" s="190"/>
      <c r="F56" s="97"/>
      <c r="G56" s="128"/>
    </row>
    <row r="57" spans="1:7" x14ac:dyDescent="0.25">
      <c r="A57" s="39" t="s">
        <v>5</v>
      </c>
      <c r="B57" s="40" t="s">
        <v>415</v>
      </c>
      <c r="C57" s="41" t="s">
        <v>71</v>
      </c>
      <c r="D57" s="42" t="s">
        <v>11</v>
      </c>
      <c r="E57" s="190">
        <v>57.19</v>
      </c>
      <c r="F57" s="97">
        <f>C57*E57</f>
        <v>1200.99</v>
      </c>
      <c r="G57" s="128"/>
    </row>
    <row r="58" spans="1:7" x14ac:dyDescent="0.25">
      <c r="A58" s="187"/>
      <c r="B58" s="192"/>
      <c r="C58" s="188"/>
      <c r="D58" s="189"/>
      <c r="E58" s="190"/>
      <c r="F58" s="97"/>
      <c r="G58" s="128"/>
    </row>
    <row r="59" spans="1:7" x14ac:dyDescent="0.25">
      <c r="A59" s="39" t="s">
        <v>8</v>
      </c>
      <c r="B59" s="40" t="s">
        <v>138</v>
      </c>
      <c r="C59" s="41" t="s">
        <v>407</v>
      </c>
      <c r="D59" s="42" t="s">
        <v>11</v>
      </c>
      <c r="E59" s="190">
        <v>119.7</v>
      </c>
      <c r="F59" s="97">
        <f>C59*E59</f>
        <v>10533.6</v>
      </c>
      <c r="G59" s="128"/>
    </row>
    <row r="60" spans="1:7" x14ac:dyDescent="0.25">
      <c r="A60" s="187"/>
      <c r="B60" s="192"/>
      <c r="C60" s="188"/>
      <c r="D60" s="189"/>
      <c r="E60" s="190"/>
      <c r="F60" s="97"/>
      <c r="G60" s="128"/>
    </row>
    <row r="61" spans="1:7" x14ac:dyDescent="0.25">
      <c r="A61" s="39" t="s">
        <v>9</v>
      </c>
      <c r="B61" s="40" t="s">
        <v>14</v>
      </c>
      <c r="C61" s="41" t="s">
        <v>416</v>
      </c>
      <c r="D61" s="42" t="s">
        <v>11</v>
      </c>
      <c r="E61" s="190">
        <v>130.82</v>
      </c>
      <c r="F61" s="97">
        <f>C61*E61</f>
        <v>191389.66</v>
      </c>
      <c r="G61" s="128"/>
    </row>
    <row r="62" spans="1:7" x14ac:dyDescent="0.25">
      <c r="A62" s="187"/>
      <c r="B62" s="192"/>
      <c r="C62" s="188"/>
      <c r="D62" s="189"/>
      <c r="E62" s="190"/>
      <c r="F62" s="97"/>
      <c r="G62" s="128"/>
    </row>
    <row r="63" spans="1:7" x14ac:dyDescent="0.25">
      <c r="A63" s="39" t="s">
        <v>10</v>
      </c>
      <c r="B63" s="40" t="s">
        <v>34</v>
      </c>
      <c r="C63" s="41" t="s">
        <v>417</v>
      </c>
      <c r="D63" s="42" t="s">
        <v>11</v>
      </c>
      <c r="E63" s="190">
        <v>183.55</v>
      </c>
      <c r="F63" s="97">
        <f>C63*E63</f>
        <v>197316.25</v>
      </c>
      <c r="G63" s="128"/>
    </row>
    <row r="64" spans="1:7" x14ac:dyDescent="0.25">
      <c r="A64" s="187"/>
      <c r="B64" s="192"/>
      <c r="C64" s="188"/>
      <c r="D64" s="189"/>
      <c r="E64" s="190"/>
      <c r="F64" s="97"/>
      <c r="G64" s="128"/>
    </row>
    <row r="65" spans="1:7" x14ac:dyDescent="0.25">
      <c r="A65" s="39" t="s">
        <v>12</v>
      </c>
      <c r="B65" s="40" t="s">
        <v>408</v>
      </c>
      <c r="C65" s="41" t="s">
        <v>180</v>
      </c>
      <c r="D65" s="42" t="s">
        <v>11</v>
      </c>
      <c r="E65" s="190">
        <v>183.55</v>
      </c>
      <c r="F65" s="97">
        <f>C65*E65</f>
        <v>13766.25</v>
      </c>
      <c r="G65" s="128"/>
    </row>
    <row r="66" spans="1:7" x14ac:dyDescent="0.25">
      <c r="A66" s="187"/>
      <c r="B66" s="192"/>
      <c r="C66" s="188"/>
      <c r="D66" s="189"/>
      <c r="E66" s="190"/>
      <c r="F66" s="97"/>
      <c r="G66" s="128"/>
    </row>
    <row r="67" spans="1:7" x14ac:dyDescent="0.25">
      <c r="A67" s="39" t="s">
        <v>13</v>
      </c>
      <c r="B67" s="40" t="s">
        <v>134</v>
      </c>
      <c r="C67" s="41" t="s">
        <v>88</v>
      </c>
      <c r="D67" s="42" t="s">
        <v>11</v>
      </c>
      <c r="E67" s="190">
        <v>159.77000000000001</v>
      </c>
      <c r="F67" s="97">
        <f>C67*E67</f>
        <v>3834.4800000000005</v>
      </c>
      <c r="G67" s="128"/>
    </row>
    <row r="68" spans="1:7" x14ac:dyDescent="0.25">
      <c r="A68" s="187"/>
      <c r="B68" s="192"/>
      <c r="C68" s="188"/>
      <c r="D68" s="189"/>
      <c r="E68" s="190"/>
      <c r="F68" s="97"/>
      <c r="G68" s="128"/>
    </row>
    <row r="69" spans="1:7" x14ac:dyDescent="0.25">
      <c r="A69" s="39"/>
      <c r="B69" s="52" t="s">
        <v>135</v>
      </c>
      <c r="C69" s="41"/>
      <c r="D69" s="42"/>
      <c r="E69" s="190"/>
      <c r="F69" s="97"/>
      <c r="G69" s="128"/>
    </row>
    <row r="70" spans="1:7" x14ac:dyDescent="0.25">
      <c r="A70" s="187"/>
      <c r="B70" s="192"/>
      <c r="C70" s="188"/>
      <c r="D70" s="189"/>
      <c r="E70" s="190"/>
      <c r="F70" s="97"/>
      <c r="G70" s="128"/>
    </row>
    <row r="71" spans="1:7" x14ac:dyDescent="0.25">
      <c r="A71" s="39" t="s">
        <v>16</v>
      </c>
      <c r="B71" s="40" t="s">
        <v>415</v>
      </c>
      <c r="C71" s="41" t="s">
        <v>66</v>
      </c>
      <c r="D71" s="42" t="s">
        <v>11</v>
      </c>
      <c r="E71" s="190">
        <v>57.19</v>
      </c>
      <c r="F71" s="97">
        <f>C71*E71</f>
        <v>228.76</v>
      </c>
      <c r="G71" s="128"/>
    </row>
    <row r="72" spans="1:7" x14ac:dyDescent="0.25">
      <c r="A72" s="187"/>
      <c r="B72" s="192"/>
      <c r="C72" s="188"/>
      <c r="D72" s="189"/>
      <c r="E72" s="190"/>
      <c r="F72" s="97"/>
      <c r="G72" s="128"/>
    </row>
    <row r="73" spans="1:7" x14ac:dyDescent="0.25">
      <c r="A73" s="39" t="s">
        <v>17</v>
      </c>
      <c r="B73" s="40" t="s">
        <v>14</v>
      </c>
      <c r="C73" s="41" t="s">
        <v>418</v>
      </c>
      <c r="D73" s="42" t="s">
        <v>11</v>
      </c>
      <c r="E73" s="190">
        <v>130.82</v>
      </c>
      <c r="F73" s="97">
        <f>C73*E73</f>
        <v>41731.579999999994</v>
      </c>
      <c r="G73" s="128"/>
    </row>
    <row r="74" spans="1:7" x14ac:dyDescent="0.25">
      <c r="A74" s="187"/>
      <c r="B74" s="192"/>
      <c r="C74" s="188"/>
      <c r="D74" s="189"/>
      <c r="E74" s="190"/>
      <c r="F74" s="97"/>
      <c r="G74" s="128"/>
    </row>
    <row r="75" spans="1:7" x14ac:dyDescent="0.25">
      <c r="A75" s="39" t="s">
        <v>18</v>
      </c>
      <c r="B75" s="40" t="s">
        <v>34</v>
      </c>
      <c r="C75" s="41" t="s">
        <v>419</v>
      </c>
      <c r="D75" s="42" t="s">
        <v>11</v>
      </c>
      <c r="E75" s="190">
        <v>183.55</v>
      </c>
      <c r="F75" s="97">
        <f>C75*E75</f>
        <v>102971.55</v>
      </c>
      <c r="G75" s="128"/>
    </row>
    <row r="76" spans="1:7" x14ac:dyDescent="0.25">
      <c r="A76" s="187"/>
      <c r="B76" s="192"/>
      <c r="C76" s="188"/>
      <c r="D76" s="189"/>
      <c r="E76" s="190"/>
      <c r="F76" s="97"/>
      <c r="G76" s="128"/>
    </row>
    <row r="77" spans="1:7" x14ac:dyDescent="0.25">
      <c r="A77" s="39" t="s">
        <v>19</v>
      </c>
      <c r="B77" s="40" t="s">
        <v>408</v>
      </c>
      <c r="C77" s="41" t="s">
        <v>103</v>
      </c>
      <c r="D77" s="42" t="s">
        <v>11</v>
      </c>
      <c r="E77" s="190">
        <v>183.55</v>
      </c>
      <c r="F77" s="97">
        <f>C77*E77</f>
        <v>13032.050000000001</v>
      </c>
      <c r="G77" s="128"/>
    </row>
    <row r="78" spans="1:7" x14ac:dyDescent="0.25">
      <c r="A78" s="187"/>
      <c r="B78" s="192"/>
      <c r="C78" s="188"/>
      <c r="D78" s="189"/>
      <c r="E78" s="190"/>
      <c r="F78" s="97"/>
      <c r="G78" s="128"/>
    </row>
    <row r="79" spans="1:7" x14ac:dyDescent="0.25">
      <c r="A79" s="39" t="s">
        <v>22</v>
      </c>
      <c r="B79" s="40" t="s">
        <v>134</v>
      </c>
      <c r="C79" s="41" t="s">
        <v>113</v>
      </c>
      <c r="D79" s="42" t="s">
        <v>11</v>
      </c>
      <c r="E79" s="190">
        <v>159.77000000000001</v>
      </c>
      <c r="F79" s="97">
        <f>C79*E79</f>
        <v>13740.220000000001</v>
      </c>
      <c r="G79" s="128"/>
    </row>
    <row r="80" spans="1:7" x14ac:dyDescent="0.25">
      <c r="A80" s="187"/>
      <c r="B80" s="192"/>
      <c r="C80" s="188"/>
      <c r="D80" s="189"/>
      <c r="E80" s="190"/>
      <c r="F80" s="97"/>
      <c r="G80" s="128"/>
    </row>
    <row r="81" spans="1:7" x14ac:dyDescent="0.25">
      <c r="A81" s="39"/>
      <c r="B81" s="52" t="s">
        <v>420</v>
      </c>
      <c r="C81" s="41"/>
      <c r="D81" s="42"/>
      <c r="E81" s="190"/>
      <c r="F81" s="97"/>
      <c r="G81" s="128"/>
    </row>
    <row r="82" spans="1:7" x14ac:dyDescent="0.25">
      <c r="A82" s="187"/>
      <c r="B82" s="192"/>
      <c r="C82" s="188"/>
      <c r="D82" s="189"/>
      <c r="E82" s="190"/>
      <c r="F82" s="97"/>
      <c r="G82" s="128"/>
    </row>
    <row r="83" spans="1:7" x14ac:dyDescent="0.25">
      <c r="A83" s="39" t="s">
        <v>23</v>
      </c>
      <c r="B83" s="40" t="s">
        <v>138</v>
      </c>
      <c r="C83" s="41" t="s">
        <v>421</v>
      </c>
      <c r="D83" s="42" t="s">
        <v>11</v>
      </c>
      <c r="E83" s="190">
        <v>127.04</v>
      </c>
      <c r="F83" s="97">
        <f>C83*E83</f>
        <v>243027.52000000002</v>
      </c>
      <c r="G83" s="128"/>
    </row>
    <row r="84" spans="1:7" x14ac:dyDescent="0.25">
      <c r="A84" s="187"/>
      <c r="B84" s="192"/>
      <c r="C84" s="188"/>
      <c r="D84" s="189"/>
      <c r="E84" s="190"/>
      <c r="F84" s="97"/>
      <c r="G84" s="128"/>
    </row>
    <row r="85" spans="1:7" x14ac:dyDescent="0.25">
      <c r="A85" s="39"/>
      <c r="B85" s="52" t="s">
        <v>137</v>
      </c>
      <c r="C85" s="41"/>
      <c r="D85" s="42"/>
      <c r="E85" s="190"/>
      <c r="F85" s="97"/>
      <c r="G85" s="128"/>
    </row>
    <row r="86" spans="1:7" x14ac:dyDescent="0.25">
      <c r="A86" s="187"/>
      <c r="B86" s="192"/>
      <c r="C86" s="188"/>
      <c r="D86" s="189"/>
      <c r="E86" s="190"/>
      <c r="F86" s="97"/>
      <c r="G86" s="128"/>
    </row>
    <row r="87" spans="1:7" x14ac:dyDescent="0.25">
      <c r="A87" s="39" t="s">
        <v>25</v>
      </c>
      <c r="B87" s="40" t="s">
        <v>138</v>
      </c>
      <c r="C87" s="41" t="s">
        <v>422</v>
      </c>
      <c r="D87" s="42" t="s">
        <v>11</v>
      </c>
      <c r="E87" s="190">
        <v>119.7</v>
      </c>
      <c r="F87" s="97">
        <f>C87*E87</f>
        <v>16997.400000000001</v>
      </c>
      <c r="G87" s="128"/>
    </row>
    <row r="88" spans="1:7" x14ac:dyDescent="0.25">
      <c r="A88" s="187"/>
      <c r="B88" s="192"/>
      <c r="C88" s="188"/>
      <c r="D88" s="189"/>
      <c r="E88" s="190"/>
      <c r="F88" s="97"/>
      <c r="G88" s="128"/>
    </row>
    <row r="89" spans="1:7" x14ac:dyDescent="0.25">
      <c r="A89" s="39" t="s">
        <v>31</v>
      </c>
      <c r="B89" s="40" t="s">
        <v>14</v>
      </c>
      <c r="C89" s="41" t="s">
        <v>423</v>
      </c>
      <c r="D89" s="42" t="s">
        <v>11</v>
      </c>
      <c r="E89" s="190">
        <v>130.82</v>
      </c>
      <c r="F89" s="97">
        <f>C89*E89</f>
        <v>40030.92</v>
      </c>
      <c r="G89" s="128"/>
    </row>
    <row r="90" spans="1:7" x14ac:dyDescent="0.25">
      <c r="A90" s="39"/>
      <c r="B90" s="40"/>
      <c r="C90" s="41"/>
      <c r="D90" s="42"/>
      <c r="E90" s="190"/>
      <c r="F90" s="97"/>
      <c r="G90" s="128"/>
    </row>
    <row r="91" spans="1:7" x14ac:dyDescent="0.25">
      <c r="A91" s="187"/>
      <c r="B91" s="192"/>
      <c r="C91" s="188"/>
      <c r="D91" s="189"/>
      <c r="E91" s="190"/>
      <c r="F91" s="97"/>
      <c r="G91" s="128"/>
    </row>
    <row r="92" spans="1:7" x14ac:dyDescent="0.25">
      <c r="A92" s="39"/>
      <c r="B92" s="40"/>
      <c r="C92" s="41"/>
      <c r="D92" s="42"/>
      <c r="E92" s="190"/>
      <c r="F92" s="97"/>
      <c r="G92" s="128"/>
    </row>
    <row r="93" spans="1:7" x14ac:dyDescent="0.25">
      <c r="A93" s="193"/>
      <c r="B93" s="194"/>
      <c r="C93" s="195"/>
      <c r="D93" s="196"/>
      <c r="E93" s="117"/>
      <c r="F93" s="98"/>
      <c r="G93" s="130"/>
    </row>
    <row r="94" spans="1:7" x14ac:dyDescent="0.25">
      <c r="A94" s="197"/>
      <c r="B94" s="198"/>
      <c r="C94" s="199" t="s">
        <v>51</v>
      </c>
      <c r="D94" s="199"/>
      <c r="E94" s="200" t="s">
        <v>50</v>
      </c>
      <c r="F94" s="99">
        <f>SUM(F47:F91)</f>
        <v>897003.21000000008</v>
      </c>
      <c r="G94" s="131"/>
    </row>
    <row r="95" spans="1:7" x14ac:dyDescent="0.25">
      <c r="A95" s="197"/>
      <c r="B95" s="198"/>
      <c r="C95" s="201"/>
      <c r="D95" s="202"/>
      <c r="E95" s="118"/>
      <c r="F95" s="100"/>
      <c r="G95" s="132"/>
    </row>
    <row r="96" spans="1:7" x14ac:dyDescent="0.25">
      <c r="A96" s="39"/>
      <c r="B96" s="40"/>
      <c r="C96" s="41"/>
      <c r="D96" s="42"/>
      <c r="E96" s="190"/>
      <c r="F96" s="97"/>
      <c r="G96" s="128"/>
    </row>
    <row r="97" spans="1:7" x14ac:dyDescent="0.25">
      <c r="A97" s="187"/>
      <c r="B97" s="36" t="s">
        <v>136</v>
      </c>
      <c r="C97" s="188"/>
      <c r="D97" s="189"/>
      <c r="E97" s="190"/>
      <c r="F97" s="97"/>
      <c r="G97" s="128"/>
    </row>
    <row r="98" spans="1:7" x14ac:dyDescent="0.25">
      <c r="A98" s="187"/>
      <c r="B98" s="192"/>
      <c r="C98" s="188"/>
      <c r="D98" s="189"/>
      <c r="E98" s="190"/>
      <c r="F98" s="97"/>
      <c r="G98" s="128"/>
    </row>
    <row r="99" spans="1:7" x14ac:dyDescent="0.25">
      <c r="A99" s="39" t="s">
        <v>3</v>
      </c>
      <c r="B99" s="40" t="s">
        <v>34</v>
      </c>
      <c r="C99" s="41" t="s">
        <v>79</v>
      </c>
      <c r="D99" s="42" t="s">
        <v>11</v>
      </c>
      <c r="E99" s="190">
        <v>183.55</v>
      </c>
      <c r="F99" s="97">
        <f>C99*E99</f>
        <v>5873.6</v>
      </c>
      <c r="G99" s="128"/>
    </row>
    <row r="100" spans="1:7" x14ac:dyDescent="0.25">
      <c r="A100" s="187"/>
      <c r="B100" s="192"/>
      <c r="C100" s="188"/>
      <c r="D100" s="189"/>
      <c r="E100" s="190"/>
      <c r="F100" s="97"/>
      <c r="G100" s="128"/>
    </row>
    <row r="101" spans="1:7" x14ac:dyDescent="0.25">
      <c r="A101" s="39"/>
      <c r="B101" s="52" t="s">
        <v>424</v>
      </c>
      <c r="C101" s="41"/>
      <c r="D101" s="42"/>
      <c r="E101" s="190"/>
      <c r="F101" s="97"/>
      <c r="G101" s="128"/>
    </row>
    <row r="102" spans="1:7" x14ac:dyDescent="0.25">
      <c r="A102" s="187"/>
      <c r="B102" s="192"/>
      <c r="C102" s="188"/>
      <c r="D102" s="189"/>
      <c r="E102" s="190"/>
      <c r="F102" s="97"/>
      <c r="G102" s="128"/>
    </row>
    <row r="103" spans="1:7" x14ac:dyDescent="0.25">
      <c r="A103" s="39" t="s">
        <v>2</v>
      </c>
      <c r="B103" s="40" t="s">
        <v>425</v>
      </c>
      <c r="C103" s="41" t="s">
        <v>65</v>
      </c>
      <c r="D103" s="42" t="s">
        <v>11</v>
      </c>
      <c r="E103" s="190">
        <v>52.92</v>
      </c>
      <c r="F103" s="97">
        <f>C103*E103</f>
        <v>846.72</v>
      </c>
      <c r="G103" s="128"/>
    </row>
    <row r="104" spans="1:7" x14ac:dyDescent="0.25">
      <c r="A104" s="187"/>
      <c r="B104" s="192"/>
      <c r="C104" s="188"/>
      <c r="D104" s="189"/>
      <c r="E104" s="190"/>
      <c r="F104" s="97"/>
      <c r="G104" s="128"/>
    </row>
    <row r="105" spans="1:7" x14ac:dyDescent="0.25">
      <c r="A105" s="39" t="s">
        <v>5</v>
      </c>
      <c r="B105" s="40" t="s">
        <v>415</v>
      </c>
      <c r="C105" s="41" t="s">
        <v>426</v>
      </c>
      <c r="D105" s="42" t="s">
        <v>11</v>
      </c>
      <c r="E105" s="190">
        <v>86.52</v>
      </c>
      <c r="F105" s="97">
        <f>C105*E105</f>
        <v>10555.439999999999</v>
      </c>
      <c r="G105" s="128"/>
    </row>
    <row r="106" spans="1:7" x14ac:dyDescent="0.25">
      <c r="A106" s="187"/>
      <c r="B106" s="192"/>
      <c r="C106" s="188"/>
      <c r="D106" s="189"/>
      <c r="E106" s="190"/>
      <c r="F106" s="97"/>
      <c r="G106" s="128"/>
    </row>
    <row r="107" spans="1:7" x14ac:dyDescent="0.25">
      <c r="A107" s="39" t="s">
        <v>8</v>
      </c>
      <c r="B107" s="40" t="s">
        <v>427</v>
      </c>
      <c r="C107" s="41" t="s">
        <v>90</v>
      </c>
      <c r="D107" s="42" t="s">
        <v>11</v>
      </c>
      <c r="E107" s="190">
        <v>88.41</v>
      </c>
      <c r="F107" s="97">
        <f>C107*E107</f>
        <v>1768.1999999999998</v>
      </c>
      <c r="G107" s="128"/>
    </row>
    <row r="108" spans="1:7" x14ac:dyDescent="0.25">
      <c r="A108" s="187"/>
      <c r="B108" s="192"/>
      <c r="C108" s="188"/>
      <c r="D108" s="189"/>
      <c r="E108" s="190"/>
      <c r="F108" s="97"/>
      <c r="G108" s="128"/>
    </row>
    <row r="109" spans="1:7" x14ac:dyDescent="0.25">
      <c r="A109" s="39" t="s">
        <v>9</v>
      </c>
      <c r="B109" s="40" t="s">
        <v>138</v>
      </c>
      <c r="C109" s="41" t="s">
        <v>72</v>
      </c>
      <c r="D109" s="42" t="s">
        <v>11</v>
      </c>
      <c r="E109" s="190">
        <v>134.69</v>
      </c>
      <c r="F109" s="97">
        <f>C109*E109</f>
        <v>4579.46</v>
      </c>
      <c r="G109" s="128"/>
    </row>
    <row r="110" spans="1:7" x14ac:dyDescent="0.25">
      <c r="A110" s="187"/>
      <c r="B110" s="192"/>
      <c r="C110" s="188"/>
      <c r="D110" s="189"/>
      <c r="E110" s="190"/>
      <c r="F110" s="97"/>
      <c r="G110" s="128"/>
    </row>
    <row r="111" spans="1:7" ht="27.6" x14ac:dyDescent="0.25">
      <c r="A111" s="39"/>
      <c r="B111" s="52" t="s">
        <v>410</v>
      </c>
      <c r="C111" s="41"/>
      <c r="D111" s="42"/>
      <c r="E111" s="190"/>
      <c r="F111" s="97"/>
      <c r="G111" s="128"/>
    </row>
    <row r="112" spans="1:7" x14ac:dyDescent="0.25">
      <c r="A112" s="187"/>
      <c r="B112" s="192"/>
      <c r="C112" s="188"/>
      <c r="D112" s="189"/>
      <c r="E112" s="190"/>
      <c r="F112" s="97"/>
      <c r="G112" s="128"/>
    </row>
    <row r="113" spans="1:7" x14ac:dyDescent="0.25">
      <c r="A113" s="39" t="s">
        <v>10</v>
      </c>
      <c r="B113" s="40" t="s">
        <v>428</v>
      </c>
      <c r="C113" s="41" t="s">
        <v>64</v>
      </c>
      <c r="D113" s="42" t="s">
        <v>15</v>
      </c>
      <c r="E113" s="190">
        <v>2146.65</v>
      </c>
      <c r="F113" s="97">
        <f>C113*E113</f>
        <v>4293.3</v>
      </c>
      <c r="G113" s="128"/>
    </row>
    <row r="114" spans="1:7" x14ac:dyDescent="0.25">
      <c r="A114" s="187"/>
      <c r="B114" s="192"/>
      <c r="C114" s="188"/>
      <c r="D114" s="189"/>
      <c r="E114" s="190"/>
      <c r="F114" s="97"/>
      <c r="G114" s="128"/>
    </row>
    <row r="115" spans="1:7" x14ac:dyDescent="0.25">
      <c r="A115" s="39" t="s">
        <v>12</v>
      </c>
      <c r="B115" s="40" t="s">
        <v>429</v>
      </c>
      <c r="C115" s="41" t="s">
        <v>64</v>
      </c>
      <c r="D115" s="42" t="s">
        <v>15</v>
      </c>
      <c r="E115" s="190">
        <v>2146.65</v>
      </c>
      <c r="F115" s="97">
        <f>C115*E115</f>
        <v>4293.3</v>
      </c>
      <c r="G115" s="128"/>
    </row>
    <row r="116" spans="1:7" x14ac:dyDescent="0.25">
      <c r="A116" s="187"/>
      <c r="B116" s="192"/>
      <c r="C116" s="188"/>
      <c r="D116" s="189"/>
      <c r="E116" s="190"/>
      <c r="F116" s="97"/>
      <c r="G116" s="128"/>
    </row>
    <row r="117" spans="1:7" x14ac:dyDescent="0.25">
      <c r="A117" s="39" t="s">
        <v>13</v>
      </c>
      <c r="B117" s="40" t="s">
        <v>430</v>
      </c>
      <c r="C117" s="41" t="s">
        <v>244</v>
      </c>
      <c r="D117" s="42" t="s">
        <v>15</v>
      </c>
      <c r="E117" s="190">
        <v>631.73</v>
      </c>
      <c r="F117" s="97">
        <f>C117*E117</f>
        <v>5053.84</v>
      </c>
      <c r="G117" s="128"/>
    </row>
    <row r="118" spans="1:7" x14ac:dyDescent="0.25">
      <c r="A118" s="187"/>
      <c r="B118" s="192"/>
      <c r="C118" s="188"/>
      <c r="D118" s="189"/>
      <c r="E118" s="190"/>
      <c r="F118" s="97"/>
      <c r="G118" s="128"/>
    </row>
    <row r="119" spans="1:7" x14ac:dyDescent="0.25">
      <c r="A119" s="39" t="s">
        <v>16</v>
      </c>
      <c r="B119" s="40" t="s">
        <v>431</v>
      </c>
      <c r="C119" s="41" t="s">
        <v>76</v>
      </c>
      <c r="D119" s="42" t="s">
        <v>15</v>
      </c>
      <c r="E119" s="190">
        <v>8524.4599999999991</v>
      </c>
      <c r="F119" s="97">
        <f>C119*E119</f>
        <v>42622.299999999996</v>
      </c>
      <c r="G119" s="128"/>
    </row>
    <row r="120" spans="1:7" x14ac:dyDescent="0.25">
      <c r="A120" s="187"/>
      <c r="B120" s="192"/>
      <c r="C120" s="188"/>
      <c r="D120" s="189"/>
      <c r="E120" s="190"/>
      <c r="F120" s="97"/>
      <c r="G120" s="128"/>
    </row>
    <row r="121" spans="1:7" x14ac:dyDescent="0.25">
      <c r="A121" s="39" t="s">
        <v>17</v>
      </c>
      <c r="B121" s="40" t="s">
        <v>432</v>
      </c>
      <c r="C121" s="41" t="s">
        <v>72</v>
      </c>
      <c r="D121" s="42" t="s">
        <v>15</v>
      </c>
      <c r="E121" s="190">
        <v>457.13</v>
      </c>
      <c r="F121" s="97">
        <f>C121*E121</f>
        <v>15542.42</v>
      </c>
      <c r="G121" s="128"/>
    </row>
    <row r="122" spans="1:7" x14ac:dyDescent="0.25">
      <c r="A122" s="187"/>
      <c r="B122" s="192"/>
      <c r="C122" s="188"/>
      <c r="D122" s="189"/>
      <c r="E122" s="190"/>
      <c r="F122" s="97"/>
      <c r="G122" s="128"/>
    </row>
    <row r="123" spans="1:7" x14ac:dyDescent="0.25">
      <c r="A123" s="39" t="s">
        <v>18</v>
      </c>
      <c r="B123" s="40" t="s">
        <v>433</v>
      </c>
      <c r="C123" s="41" t="s">
        <v>76</v>
      </c>
      <c r="D123" s="42" t="s">
        <v>15</v>
      </c>
      <c r="E123" s="190">
        <v>499.09</v>
      </c>
      <c r="F123" s="97">
        <f>C123*E123</f>
        <v>2495.4499999999998</v>
      </c>
      <c r="G123" s="128"/>
    </row>
    <row r="124" spans="1:7" x14ac:dyDescent="0.25">
      <c r="A124" s="187"/>
      <c r="B124" s="192"/>
      <c r="C124" s="188"/>
      <c r="D124" s="189"/>
      <c r="E124" s="190"/>
      <c r="F124" s="97"/>
      <c r="G124" s="128"/>
    </row>
    <row r="125" spans="1:7" x14ac:dyDescent="0.25">
      <c r="A125" s="39" t="s">
        <v>19</v>
      </c>
      <c r="B125" s="40" t="s">
        <v>434</v>
      </c>
      <c r="C125" s="41" t="s">
        <v>64</v>
      </c>
      <c r="D125" s="42" t="s">
        <v>15</v>
      </c>
      <c r="E125" s="190">
        <v>90.43</v>
      </c>
      <c r="F125" s="97">
        <f>C125*E125</f>
        <v>180.86</v>
      </c>
      <c r="G125" s="128"/>
    </row>
    <row r="126" spans="1:7" x14ac:dyDescent="0.25">
      <c r="A126" s="187"/>
      <c r="B126" s="192"/>
      <c r="C126" s="188"/>
      <c r="D126" s="189"/>
      <c r="E126" s="190"/>
      <c r="F126" s="97"/>
      <c r="G126" s="128"/>
    </row>
    <row r="127" spans="1:7" x14ac:dyDescent="0.25">
      <c r="A127" s="39" t="s">
        <v>22</v>
      </c>
      <c r="B127" s="40" t="s">
        <v>435</v>
      </c>
      <c r="C127" s="41" t="s">
        <v>71</v>
      </c>
      <c r="D127" s="42" t="s">
        <v>15</v>
      </c>
      <c r="E127" s="190">
        <v>86.94</v>
      </c>
      <c r="F127" s="97">
        <f>C127*E127</f>
        <v>1825.74</v>
      </c>
      <c r="G127" s="128"/>
    </row>
    <row r="128" spans="1:7" x14ac:dyDescent="0.25">
      <c r="A128" s="187"/>
      <c r="B128" s="192"/>
      <c r="C128" s="188"/>
      <c r="D128" s="189"/>
      <c r="E128" s="190"/>
      <c r="F128" s="97"/>
      <c r="G128" s="128"/>
    </row>
    <row r="129" spans="1:7" x14ac:dyDescent="0.25">
      <c r="A129" s="39" t="s">
        <v>23</v>
      </c>
      <c r="B129" s="40" t="s">
        <v>436</v>
      </c>
      <c r="C129" s="41" t="s">
        <v>172</v>
      </c>
      <c r="D129" s="42" t="s">
        <v>15</v>
      </c>
      <c r="E129" s="190">
        <v>194.82</v>
      </c>
      <c r="F129" s="97">
        <f>C129*E129</f>
        <v>7792.7999999999993</v>
      </c>
      <c r="G129" s="128"/>
    </row>
    <row r="130" spans="1:7" x14ac:dyDescent="0.25">
      <c r="A130" s="187"/>
      <c r="B130" s="192"/>
      <c r="C130" s="188"/>
      <c r="D130" s="189"/>
      <c r="E130" s="190"/>
      <c r="F130" s="97"/>
      <c r="G130" s="128"/>
    </row>
    <row r="131" spans="1:7" x14ac:dyDescent="0.25">
      <c r="A131" s="39" t="s">
        <v>25</v>
      </c>
      <c r="B131" s="40" t="s">
        <v>437</v>
      </c>
      <c r="C131" s="41" t="s">
        <v>76</v>
      </c>
      <c r="D131" s="42" t="s">
        <v>15</v>
      </c>
      <c r="E131" s="190">
        <v>487.18</v>
      </c>
      <c r="F131" s="97">
        <f>C131*E131</f>
        <v>2435.9</v>
      </c>
      <c r="G131" s="128"/>
    </row>
    <row r="132" spans="1:7" x14ac:dyDescent="0.25">
      <c r="A132" s="187"/>
      <c r="B132" s="192"/>
      <c r="C132" s="188"/>
      <c r="D132" s="189"/>
      <c r="E132" s="190"/>
      <c r="F132" s="97"/>
      <c r="G132" s="128"/>
    </row>
    <row r="133" spans="1:7" x14ac:dyDescent="0.25">
      <c r="A133" s="39" t="s">
        <v>31</v>
      </c>
      <c r="B133" s="40" t="s">
        <v>438</v>
      </c>
      <c r="C133" s="41" t="s">
        <v>66</v>
      </c>
      <c r="D133" s="42" t="s">
        <v>15</v>
      </c>
      <c r="E133" s="190">
        <v>531.04999999999995</v>
      </c>
      <c r="F133" s="97">
        <f>C133*E133</f>
        <v>2124.1999999999998</v>
      </c>
      <c r="G133" s="128"/>
    </row>
    <row r="134" spans="1:7" x14ac:dyDescent="0.25">
      <c r="A134" s="187"/>
      <c r="B134" s="192"/>
      <c r="C134" s="188"/>
      <c r="D134" s="189"/>
      <c r="E134" s="190"/>
      <c r="F134" s="97"/>
      <c r="G134" s="128"/>
    </row>
    <row r="135" spans="1:7" x14ac:dyDescent="0.25">
      <c r="A135" s="39" t="s">
        <v>33</v>
      </c>
      <c r="B135" s="40" t="s">
        <v>439</v>
      </c>
      <c r="C135" s="41" t="s">
        <v>66</v>
      </c>
      <c r="D135" s="42" t="s">
        <v>15</v>
      </c>
      <c r="E135" s="190">
        <v>28.74</v>
      </c>
      <c r="F135" s="97">
        <f>C135*E135</f>
        <v>114.96</v>
      </c>
      <c r="G135" s="128"/>
    </row>
    <row r="136" spans="1:7" x14ac:dyDescent="0.25">
      <c r="A136" s="187"/>
      <c r="B136" s="192"/>
      <c r="C136" s="188"/>
      <c r="D136" s="189"/>
      <c r="E136" s="190"/>
      <c r="F136" s="97"/>
      <c r="G136" s="128"/>
    </row>
    <row r="137" spans="1:7" x14ac:dyDescent="0.25">
      <c r="A137" s="39" t="s">
        <v>213</v>
      </c>
      <c r="B137" s="40" t="s">
        <v>440</v>
      </c>
      <c r="C137" s="41" t="s">
        <v>73</v>
      </c>
      <c r="D137" s="42" t="s">
        <v>15</v>
      </c>
      <c r="E137" s="190">
        <v>28.74</v>
      </c>
      <c r="F137" s="97">
        <f>C137*E137</f>
        <v>86.22</v>
      </c>
      <c r="G137" s="128"/>
    </row>
    <row r="138" spans="1:7" x14ac:dyDescent="0.25">
      <c r="A138" s="187"/>
      <c r="B138" s="192"/>
      <c r="C138" s="188"/>
      <c r="D138" s="189"/>
      <c r="E138" s="190"/>
      <c r="F138" s="97"/>
      <c r="G138" s="128"/>
    </row>
    <row r="139" spans="1:7" x14ac:dyDescent="0.25">
      <c r="A139" s="39" t="s">
        <v>441</v>
      </c>
      <c r="B139" s="40" t="s">
        <v>442</v>
      </c>
      <c r="C139" s="41" t="s">
        <v>67</v>
      </c>
      <c r="D139" s="42" t="s">
        <v>15</v>
      </c>
      <c r="E139" s="190">
        <v>33.299999999999997</v>
      </c>
      <c r="F139" s="97">
        <f>C139*E139</f>
        <v>333</v>
      </c>
      <c r="G139" s="128"/>
    </row>
    <row r="140" spans="1:7" x14ac:dyDescent="0.25">
      <c r="A140" s="192"/>
      <c r="B140" s="33"/>
      <c r="C140" s="192"/>
      <c r="D140" s="203"/>
      <c r="E140" s="190"/>
      <c r="F140" s="97"/>
      <c r="G140" s="128"/>
    </row>
    <row r="141" spans="1:7" x14ac:dyDescent="0.25">
      <c r="A141" s="192"/>
      <c r="B141" s="33"/>
      <c r="C141" s="192"/>
      <c r="D141" s="203"/>
      <c r="E141" s="190"/>
      <c r="F141" s="97"/>
      <c r="G141" s="128"/>
    </row>
    <row r="142" spans="1:7" x14ac:dyDescent="0.25">
      <c r="A142" s="192"/>
      <c r="B142" s="33"/>
      <c r="C142" s="192"/>
      <c r="D142" s="203"/>
      <c r="E142" s="190"/>
      <c r="F142" s="97"/>
      <c r="G142" s="128"/>
    </row>
    <row r="143" spans="1:7" x14ac:dyDescent="0.25">
      <c r="A143" s="193"/>
      <c r="B143" s="194"/>
      <c r="C143" s="195"/>
      <c r="D143" s="196"/>
      <c r="E143" s="117"/>
      <c r="F143" s="98"/>
      <c r="G143" s="130"/>
    </row>
    <row r="144" spans="1:7" x14ac:dyDescent="0.25">
      <c r="A144" s="197"/>
      <c r="B144" s="198"/>
      <c r="C144" s="199" t="s">
        <v>51</v>
      </c>
      <c r="D144" s="199"/>
      <c r="E144" s="200" t="s">
        <v>50</v>
      </c>
      <c r="F144" s="99">
        <f>SUM(F97:F140)</f>
        <v>112817.71</v>
      </c>
      <c r="G144" s="131"/>
    </row>
    <row r="145" spans="1:7" x14ac:dyDescent="0.25">
      <c r="A145" s="197"/>
      <c r="B145" s="198"/>
      <c r="C145" s="201"/>
      <c r="D145" s="202"/>
      <c r="E145" s="118"/>
      <c r="F145" s="100"/>
      <c r="G145" s="132"/>
    </row>
    <row r="146" spans="1:7" x14ac:dyDescent="0.25">
      <c r="A146" s="192"/>
      <c r="B146" s="33"/>
      <c r="C146" s="192"/>
      <c r="D146" s="203"/>
      <c r="E146" s="190"/>
      <c r="F146" s="97"/>
      <c r="G146" s="128"/>
    </row>
    <row r="147" spans="1:7" x14ac:dyDescent="0.25">
      <c r="A147" s="187"/>
      <c r="B147" s="36" t="s">
        <v>136</v>
      </c>
      <c r="C147" s="188"/>
      <c r="D147" s="189"/>
      <c r="E147" s="190"/>
      <c r="F147" s="97"/>
      <c r="G147" s="128"/>
    </row>
    <row r="148" spans="1:7" x14ac:dyDescent="0.25">
      <c r="A148" s="187"/>
      <c r="B148" s="192"/>
      <c r="C148" s="188"/>
      <c r="D148" s="189"/>
      <c r="E148" s="190"/>
      <c r="F148" s="97"/>
      <c r="G148" s="128"/>
    </row>
    <row r="149" spans="1:7" x14ac:dyDescent="0.25">
      <c r="A149" s="39" t="s">
        <v>3</v>
      </c>
      <c r="B149" s="40" t="s">
        <v>443</v>
      </c>
      <c r="C149" s="41" t="s">
        <v>60</v>
      </c>
      <c r="D149" s="42" t="s">
        <v>15</v>
      </c>
      <c r="E149" s="190">
        <v>98.15</v>
      </c>
      <c r="F149" s="97">
        <f>C149*E149</f>
        <v>1079.6500000000001</v>
      </c>
      <c r="G149" s="128"/>
    </row>
    <row r="150" spans="1:7" x14ac:dyDescent="0.25">
      <c r="A150" s="187"/>
      <c r="B150" s="192"/>
      <c r="C150" s="188"/>
      <c r="D150" s="189"/>
      <c r="E150" s="190"/>
      <c r="F150" s="97"/>
      <c r="G150" s="128"/>
    </row>
    <row r="151" spans="1:7" x14ac:dyDescent="0.25">
      <c r="A151" s="39" t="s">
        <v>2</v>
      </c>
      <c r="B151" s="40" t="s">
        <v>444</v>
      </c>
      <c r="C151" s="41" t="s">
        <v>60</v>
      </c>
      <c r="D151" s="42" t="s">
        <v>15</v>
      </c>
      <c r="E151" s="190">
        <v>1980.24</v>
      </c>
      <c r="F151" s="97">
        <f>C151*E151</f>
        <v>21782.639999999999</v>
      </c>
      <c r="G151" s="128"/>
    </row>
    <row r="152" spans="1:7" x14ac:dyDescent="0.25">
      <c r="A152" s="187"/>
      <c r="B152" s="192"/>
      <c r="C152" s="188"/>
      <c r="D152" s="189"/>
      <c r="E152" s="190"/>
      <c r="F152" s="97"/>
      <c r="G152" s="128"/>
    </row>
    <row r="153" spans="1:7" x14ac:dyDescent="0.25">
      <c r="A153" s="39" t="s">
        <v>5</v>
      </c>
      <c r="B153" s="40" t="s">
        <v>445</v>
      </c>
      <c r="C153" s="41" t="s">
        <v>104</v>
      </c>
      <c r="D153" s="42" t="s">
        <v>15</v>
      </c>
      <c r="E153" s="190">
        <v>19358.939999999999</v>
      </c>
      <c r="F153" s="97">
        <f>C153*E153</f>
        <v>19358.939999999999</v>
      </c>
      <c r="G153" s="128"/>
    </row>
    <row r="154" spans="1:7" x14ac:dyDescent="0.25">
      <c r="A154" s="187"/>
      <c r="B154" s="192"/>
      <c r="C154" s="188"/>
      <c r="D154" s="189"/>
      <c r="E154" s="190"/>
      <c r="F154" s="97"/>
      <c r="G154" s="128"/>
    </row>
    <row r="155" spans="1:7" x14ac:dyDescent="0.25">
      <c r="A155" s="39" t="s">
        <v>8</v>
      </c>
      <c r="B155" s="40" t="s">
        <v>446</v>
      </c>
      <c r="C155" s="41" t="s">
        <v>64</v>
      </c>
      <c r="D155" s="42" t="s">
        <v>15</v>
      </c>
      <c r="E155" s="190">
        <v>1018.13</v>
      </c>
      <c r="F155" s="97">
        <f>C155*E155</f>
        <v>2036.26</v>
      </c>
      <c r="G155" s="128"/>
    </row>
    <row r="156" spans="1:7" x14ac:dyDescent="0.25">
      <c r="A156" s="187"/>
      <c r="B156" s="192"/>
      <c r="C156" s="188"/>
      <c r="D156" s="189"/>
      <c r="E156" s="190"/>
      <c r="F156" s="97"/>
      <c r="G156" s="128"/>
    </row>
    <row r="157" spans="1:7" ht="27.6" x14ac:dyDescent="0.25">
      <c r="A157" s="39"/>
      <c r="B157" s="52" t="s">
        <v>447</v>
      </c>
      <c r="C157" s="41"/>
      <c r="D157" s="42"/>
      <c r="E157" s="190"/>
      <c r="F157" s="97"/>
      <c r="G157" s="128"/>
    </row>
    <row r="158" spans="1:7" x14ac:dyDescent="0.25">
      <c r="A158" s="187"/>
      <c r="B158" s="192"/>
      <c r="C158" s="188"/>
      <c r="D158" s="189"/>
      <c r="E158" s="190"/>
      <c r="F158" s="97"/>
      <c r="G158" s="128"/>
    </row>
    <row r="159" spans="1:7" ht="41.4" x14ac:dyDescent="0.25">
      <c r="A159" s="39" t="s">
        <v>9</v>
      </c>
      <c r="B159" s="40" t="s">
        <v>448</v>
      </c>
      <c r="C159" s="41" t="s">
        <v>104</v>
      </c>
      <c r="D159" s="42" t="s">
        <v>15</v>
      </c>
      <c r="E159" s="190">
        <v>35877.46</v>
      </c>
      <c r="F159" s="97">
        <f>C159*E159</f>
        <v>35877.46</v>
      </c>
      <c r="G159" s="128"/>
    </row>
    <row r="160" spans="1:7" x14ac:dyDescent="0.25">
      <c r="A160" s="187"/>
      <c r="B160" s="192"/>
      <c r="C160" s="188"/>
      <c r="D160" s="189"/>
      <c r="E160" s="190"/>
      <c r="F160" s="97"/>
      <c r="G160" s="128"/>
    </row>
    <row r="161" spans="1:7" ht="27.6" x14ac:dyDescent="0.25">
      <c r="A161" s="39" t="s">
        <v>10</v>
      </c>
      <c r="B161" s="40" t="s">
        <v>449</v>
      </c>
      <c r="C161" s="41" t="s">
        <v>104</v>
      </c>
      <c r="D161" s="42" t="s">
        <v>15</v>
      </c>
      <c r="E161" s="190">
        <v>90592.06</v>
      </c>
      <c r="F161" s="97">
        <f>C161*E161</f>
        <v>90592.06</v>
      </c>
      <c r="G161" s="128"/>
    </row>
    <row r="162" spans="1:7" x14ac:dyDescent="0.25">
      <c r="A162" s="187"/>
      <c r="B162" s="192"/>
      <c r="C162" s="188"/>
      <c r="D162" s="189"/>
      <c r="E162" s="190"/>
      <c r="F162" s="97"/>
      <c r="G162" s="128"/>
    </row>
    <row r="163" spans="1:7" ht="27.6" x14ac:dyDescent="0.25">
      <c r="A163" s="39" t="s">
        <v>12</v>
      </c>
      <c r="B163" s="40" t="s">
        <v>450</v>
      </c>
      <c r="C163" s="41" t="s">
        <v>104</v>
      </c>
      <c r="D163" s="42" t="s">
        <v>15</v>
      </c>
      <c r="E163" s="190">
        <v>90592.06</v>
      </c>
      <c r="F163" s="97">
        <f>C163*E163</f>
        <v>90592.06</v>
      </c>
      <c r="G163" s="128"/>
    </row>
    <row r="164" spans="1:7" x14ac:dyDescent="0.25">
      <c r="A164" s="187"/>
      <c r="B164" s="192"/>
      <c r="C164" s="188"/>
      <c r="D164" s="189"/>
      <c r="E164" s="190"/>
      <c r="F164" s="97"/>
      <c r="G164" s="128"/>
    </row>
    <row r="165" spans="1:7" ht="27.6" x14ac:dyDescent="0.25">
      <c r="A165" s="39" t="s">
        <v>13</v>
      </c>
      <c r="B165" s="40" t="s">
        <v>451</v>
      </c>
      <c r="C165" s="41" t="s">
        <v>104</v>
      </c>
      <c r="D165" s="42" t="s">
        <v>15</v>
      </c>
      <c r="E165" s="190">
        <v>90592.06</v>
      </c>
      <c r="F165" s="97">
        <f>C165*E165</f>
        <v>90592.06</v>
      </c>
      <c r="G165" s="128"/>
    </row>
    <row r="166" spans="1:7" x14ac:dyDescent="0.25">
      <c r="A166" s="187"/>
      <c r="B166" s="192"/>
      <c r="C166" s="188"/>
      <c r="D166" s="189"/>
      <c r="E166" s="190"/>
      <c r="F166" s="97"/>
      <c r="G166" s="128"/>
    </row>
    <row r="167" spans="1:7" ht="27.6" x14ac:dyDescent="0.25">
      <c r="A167" s="39" t="s">
        <v>16</v>
      </c>
      <c r="B167" s="40" t="s">
        <v>452</v>
      </c>
      <c r="C167" s="41" t="s">
        <v>104</v>
      </c>
      <c r="D167" s="42" t="s">
        <v>15</v>
      </c>
      <c r="E167" s="190">
        <v>40535.93</v>
      </c>
      <c r="F167" s="97">
        <f>C167*E167</f>
        <v>40535.93</v>
      </c>
      <c r="G167" s="128"/>
    </row>
    <row r="168" spans="1:7" x14ac:dyDescent="0.25">
      <c r="A168" s="187"/>
      <c r="B168" s="192"/>
      <c r="C168" s="188"/>
      <c r="D168" s="189"/>
      <c r="E168" s="190"/>
      <c r="F168" s="97"/>
      <c r="G168" s="128"/>
    </row>
    <row r="169" spans="1:7" ht="41.4" x14ac:dyDescent="0.25">
      <c r="A169" s="39"/>
      <c r="B169" s="52" t="s">
        <v>453</v>
      </c>
      <c r="C169" s="41"/>
      <c r="D169" s="42"/>
      <c r="E169" s="190"/>
      <c r="F169" s="97"/>
      <c r="G169" s="128"/>
    </row>
    <row r="170" spans="1:7" x14ac:dyDescent="0.25">
      <c r="A170" s="187"/>
      <c r="B170" s="192"/>
      <c r="C170" s="188"/>
      <c r="D170" s="189"/>
      <c r="E170" s="190"/>
      <c r="F170" s="97"/>
      <c r="G170" s="128"/>
    </row>
    <row r="171" spans="1:7" ht="55.2" x14ac:dyDescent="0.25">
      <c r="A171" s="39"/>
      <c r="B171" s="52" t="s">
        <v>1182</v>
      </c>
      <c r="C171" s="41"/>
      <c r="D171" s="42"/>
      <c r="E171" s="190"/>
      <c r="F171" s="97"/>
      <c r="G171" s="128"/>
    </row>
    <row r="172" spans="1:7" x14ac:dyDescent="0.25">
      <c r="A172" s="187"/>
      <c r="B172" s="192"/>
      <c r="C172" s="188"/>
      <c r="D172" s="189"/>
      <c r="E172" s="190"/>
      <c r="F172" s="97"/>
      <c r="G172" s="128"/>
    </row>
    <row r="173" spans="1:7" x14ac:dyDescent="0.25">
      <c r="A173" s="39" t="s">
        <v>17</v>
      </c>
      <c r="B173" s="40" t="s">
        <v>425</v>
      </c>
      <c r="C173" s="41" t="s">
        <v>65</v>
      </c>
      <c r="D173" s="42" t="s">
        <v>11</v>
      </c>
      <c r="E173" s="190">
        <v>16.34</v>
      </c>
      <c r="F173" s="97">
        <f>C173*E173</f>
        <v>261.44</v>
      </c>
      <c r="G173" s="128"/>
    </row>
    <row r="174" spans="1:7" x14ac:dyDescent="0.25">
      <c r="A174" s="187"/>
      <c r="B174" s="192"/>
      <c r="C174" s="188"/>
      <c r="D174" s="189"/>
      <c r="E174" s="190"/>
      <c r="F174" s="97"/>
      <c r="G174" s="128"/>
    </row>
    <row r="175" spans="1:7" x14ac:dyDescent="0.25">
      <c r="A175" s="39" t="s">
        <v>18</v>
      </c>
      <c r="B175" s="40" t="s">
        <v>415</v>
      </c>
      <c r="C175" s="41" t="s">
        <v>426</v>
      </c>
      <c r="D175" s="42" t="s">
        <v>11</v>
      </c>
      <c r="E175" s="190">
        <v>22.02</v>
      </c>
      <c r="F175" s="97">
        <f>C175*E175</f>
        <v>2686.44</v>
      </c>
      <c r="G175" s="128"/>
    </row>
    <row r="176" spans="1:7" x14ac:dyDescent="0.25">
      <c r="A176" s="187"/>
      <c r="B176" s="192"/>
      <c r="C176" s="188"/>
      <c r="D176" s="189"/>
      <c r="E176" s="190"/>
      <c r="F176" s="97"/>
      <c r="G176" s="128"/>
    </row>
    <row r="177" spans="1:7" x14ac:dyDescent="0.25">
      <c r="A177" s="39" t="s">
        <v>19</v>
      </c>
      <c r="B177" s="40" t="s">
        <v>427</v>
      </c>
      <c r="C177" s="41" t="s">
        <v>90</v>
      </c>
      <c r="D177" s="42" t="s">
        <v>11</v>
      </c>
      <c r="E177" s="190">
        <v>24.12</v>
      </c>
      <c r="F177" s="97">
        <f>C177*E177</f>
        <v>482.40000000000003</v>
      </c>
      <c r="G177" s="128"/>
    </row>
    <row r="178" spans="1:7" x14ac:dyDescent="0.25">
      <c r="A178" s="187"/>
      <c r="B178" s="192"/>
      <c r="C178" s="188"/>
      <c r="D178" s="189"/>
      <c r="E178" s="190"/>
      <c r="F178" s="97"/>
      <c r="G178" s="128"/>
    </row>
    <row r="179" spans="1:7" x14ac:dyDescent="0.25">
      <c r="A179" s="39" t="s">
        <v>22</v>
      </c>
      <c r="B179" s="40" t="s">
        <v>138</v>
      </c>
      <c r="C179" s="41" t="s">
        <v>72</v>
      </c>
      <c r="D179" s="42" t="s">
        <v>11</v>
      </c>
      <c r="E179" s="190">
        <v>27.24</v>
      </c>
      <c r="F179" s="97">
        <f>C179*E179</f>
        <v>926.16</v>
      </c>
      <c r="G179" s="128"/>
    </row>
    <row r="180" spans="1:7" x14ac:dyDescent="0.25">
      <c r="A180" s="192"/>
      <c r="B180" s="33"/>
      <c r="C180" s="192"/>
      <c r="D180" s="203"/>
      <c r="E180" s="190"/>
      <c r="F180" s="97"/>
      <c r="G180" s="128"/>
    </row>
    <row r="181" spans="1:7" x14ac:dyDescent="0.25">
      <c r="A181" s="192"/>
      <c r="B181" s="33"/>
      <c r="C181" s="192"/>
      <c r="D181" s="203"/>
      <c r="E181" s="190"/>
      <c r="F181" s="97"/>
      <c r="G181" s="128"/>
    </row>
    <row r="182" spans="1:7" x14ac:dyDescent="0.25">
      <c r="A182" s="193"/>
      <c r="B182" s="194"/>
      <c r="C182" s="195"/>
      <c r="D182" s="196"/>
      <c r="E182" s="117"/>
      <c r="F182" s="98"/>
      <c r="G182" s="130"/>
    </row>
    <row r="183" spans="1:7" x14ac:dyDescent="0.25">
      <c r="A183" s="197"/>
      <c r="B183" s="198"/>
      <c r="C183" s="199" t="s">
        <v>51</v>
      </c>
      <c r="D183" s="199"/>
      <c r="E183" s="200" t="s">
        <v>50</v>
      </c>
      <c r="F183" s="99">
        <f>SUM(F148:F180)</f>
        <v>396803.5</v>
      </c>
      <c r="G183" s="131"/>
    </row>
    <row r="184" spans="1:7" x14ac:dyDescent="0.25">
      <c r="A184" s="197"/>
      <c r="B184" s="198"/>
      <c r="C184" s="201"/>
      <c r="D184" s="202"/>
      <c r="E184" s="118"/>
      <c r="F184" s="100"/>
      <c r="G184" s="132"/>
    </row>
    <row r="185" spans="1:7" x14ac:dyDescent="0.25">
      <c r="A185" s="39"/>
      <c r="B185" s="43"/>
      <c r="C185" s="41"/>
      <c r="D185" s="42"/>
      <c r="E185" s="190"/>
      <c r="F185" s="97"/>
      <c r="G185" s="128"/>
    </row>
    <row r="186" spans="1:7" x14ac:dyDescent="0.25">
      <c r="A186" s="187"/>
      <c r="B186" s="36" t="s">
        <v>454</v>
      </c>
      <c r="C186" s="188"/>
      <c r="D186" s="189"/>
      <c r="E186" s="190"/>
      <c r="F186" s="97"/>
      <c r="G186" s="128"/>
    </row>
    <row r="187" spans="1:7" x14ac:dyDescent="0.25">
      <c r="A187" s="187"/>
      <c r="B187" s="192"/>
      <c r="C187" s="188"/>
      <c r="D187" s="189"/>
      <c r="E187" s="190"/>
      <c r="F187" s="97"/>
      <c r="G187" s="128"/>
    </row>
    <row r="188" spans="1:7" x14ac:dyDescent="0.25">
      <c r="A188" s="39"/>
      <c r="B188" s="40" t="s">
        <v>406</v>
      </c>
      <c r="C188" s="41"/>
      <c r="D188" s="42"/>
      <c r="E188" s="190"/>
      <c r="F188" s="97"/>
      <c r="G188" s="128"/>
    </row>
    <row r="189" spans="1:7" x14ac:dyDescent="0.25">
      <c r="A189" s="187"/>
      <c r="B189" s="192"/>
      <c r="C189" s="188"/>
      <c r="D189" s="189"/>
      <c r="E189" s="190"/>
      <c r="F189" s="97"/>
      <c r="G189" s="128"/>
    </row>
    <row r="190" spans="1:7" x14ac:dyDescent="0.25">
      <c r="A190" s="39"/>
      <c r="B190" s="40" t="s">
        <v>455</v>
      </c>
      <c r="C190" s="41"/>
      <c r="D190" s="42"/>
      <c r="E190" s="190"/>
      <c r="F190" s="97"/>
      <c r="G190" s="128"/>
    </row>
    <row r="191" spans="1:7" x14ac:dyDescent="0.25">
      <c r="A191" s="187"/>
      <c r="B191" s="192"/>
      <c r="C191" s="188"/>
      <c r="D191" s="189"/>
      <c r="E191" s="190"/>
      <c r="F191" s="97"/>
      <c r="G191" s="128"/>
    </row>
    <row r="192" spans="1:7" ht="27.6" x14ac:dyDescent="0.25">
      <c r="A192" s="39"/>
      <c r="B192" s="40" t="s">
        <v>456</v>
      </c>
      <c r="C192" s="41" t="s">
        <v>457</v>
      </c>
      <c r="D192" s="42"/>
      <c r="E192" s="190"/>
      <c r="F192" s="97"/>
      <c r="G192" s="128"/>
    </row>
    <row r="193" spans="1:7" x14ac:dyDescent="0.25">
      <c r="A193" s="187"/>
      <c r="B193" s="192"/>
      <c r="C193" s="188"/>
      <c r="D193" s="189"/>
      <c r="E193" s="190"/>
      <c r="F193" s="97"/>
      <c r="G193" s="128"/>
    </row>
    <row r="194" spans="1:7" ht="55.2" x14ac:dyDescent="0.25">
      <c r="A194" s="39" t="s">
        <v>3</v>
      </c>
      <c r="B194" s="40" t="s">
        <v>458</v>
      </c>
      <c r="C194" s="41"/>
      <c r="D194" s="42" t="s">
        <v>6</v>
      </c>
      <c r="E194" s="190"/>
      <c r="F194" s="97" t="s">
        <v>1194</v>
      </c>
      <c r="G194" s="128"/>
    </row>
    <row r="195" spans="1:7" x14ac:dyDescent="0.25">
      <c r="A195" s="187"/>
      <c r="B195" s="192"/>
      <c r="C195" s="188"/>
      <c r="D195" s="189"/>
      <c r="E195" s="190"/>
      <c r="F195" s="97"/>
      <c r="G195" s="128"/>
    </row>
    <row r="196" spans="1:7" ht="55.2" x14ac:dyDescent="0.25">
      <c r="A196" s="39" t="s">
        <v>2</v>
      </c>
      <c r="B196" s="40" t="s">
        <v>459</v>
      </c>
      <c r="C196" s="41"/>
      <c r="D196" s="42" t="s">
        <v>6</v>
      </c>
      <c r="E196" s="190"/>
      <c r="F196" s="97" t="s">
        <v>1194</v>
      </c>
      <c r="G196" s="128"/>
    </row>
    <row r="197" spans="1:7" x14ac:dyDescent="0.25">
      <c r="A197" s="187"/>
      <c r="B197" s="192"/>
      <c r="C197" s="188"/>
      <c r="D197" s="189"/>
      <c r="E197" s="190"/>
      <c r="F197" s="97"/>
      <c r="G197" s="128"/>
    </row>
    <row r="198" spans="1:7" ht="55.2" x14ac:dyDescent="0.25">
      <c r="A198" s="39" t="s">
        <v>5</v>
      </c>
      <c r="B198" s="40" t="s">
        <v>460</v>
      </c>
      <c r="C198" s="41"/>
      <c r="D198" s="42" t="s">
        <v>6</v>
      </c>
      <c r="E198" s="190"/>
      <c r="F198" s="97" t="s">
        <v>1194</v>
      </c>
      <c r="G198" s="128"/>
    </row>
    <row r="199" spans="1:7" x14ac:dyDescent="0.25">
      <c r="A199" s="187"/>
      <c r="B199" s="192"/>
      <c r="C199" s="188"/>
      <c r="D199" s="189"/>
      <c r="E199" s="190"/>
      <c r="F199" s="97"/>
      <c r="G199" s="128"/>
    </row>
    <row r="200" spans="1:7" ht="55.2" x14ac:dyDescent="0.25">
      <c r="A200" s="39" t="s">
        <v>8</v>
      </c>
      <c r="B200" s="40" t="s">
        <v>461</v>
      </c>
      <c r="C200" s="41"/>
      <c r="D200" s="42" t="s">
        <v>6</v>
      </c>
      <c r="E200" s="190"/>
      <c r="F200" s="97" t="s">
        <v>1194</v>
      </c>
      <c r="G200" s="128"/>
    </row>
    <row r="201" spans="1:7" x14ac:dyDescent="0.25">
      <c r="A201" s="39"/>
      <c r="B201" s="40"/>
      <c r="C201" s="41"/>
      <c r="D201" s="42"/>
      <c r="E201" s="190"/>
      <c r="F201" s="97"/>
      <c r="G201" s="128"/>
    </row>
    <row r="202" spans="1:7" x14ac:dyDescent="0.25">
      <c r="A202" s="187"/>
      <c r="B202" s="192"/>
      <c r="C202" s="188"/>
      <c r="D202" s="189"/>
      <c r="E202" s="190"/>
      <c r="F202" s="97"/>
      <c r="G202" s="128"/>
    </row>
    <row r="203" spans="1:7" x14ac:dyDescent="0.25">
      <c r="A203" s="39"/>
      <c r="B203" s="43"/>
      <c r="C203" s="41"/>
      <c r="D203" s="42"/>
      <c r="E203" s="190"/>
      <c r="F203" s="97"/>
      <c r="G203" s="128"/>
    </row>
    <row r="204" spans="1:7" x14ac:dyDescent="0.25">
      <c r="A204" s="187"/>
      <c r="B204" s="192"/>
      <c r="C204" s="188"/>
      <c r="D204" s="189"/>
      <c r="E204" s="190"/>
      <c r="F204" s="97"/>
      <c r="G204" s="128"/>
    </row>
    <row r="205" spans="1:7" x14ac:dyDescent="0.25">
      <c r="A205" s="39"/>
      <c r="B205" s="40"/>
      <c r="C205" s="41"/>
      <c r="D205" s="42"/>
      <c r="E205" s="190"/>
      <c r="F205" s="97"/>
      <c r="G205" s="128"/>
    </row>
    <row r="206" spans="1:7" x14ac:dyDescent="0.25">
      <c r="A206" s="187"/>
      <c r="B206" s="192"/>
      <c r="C206" s="188"/>
      <c r="D206" s="189"/>
      <c r="E206" s="190"/>
      <c r="F206" s="97"/>
      <c r="G206" s="128"/>
    </row>
    <row r="207" spans="1:7" x14ac:dyDescent="0.25">
      <c r="A207" s="39"/>
      <c r="B207" s="43"/>
      <c r="C207" s="41"/>
      <c r="D207" s="42"/>
      <c r="E207" s="190"/>
      <c r="F207" s="97"/>
      <c r="G207" s="128"/>
    </row>
    <row r="208" spans="1:7" x14ac:dyDescent="0.25">
      <c r="A208" s="192"/>
      <c r="B208" s="33"/>
      <c r="C208" s="192"/>
      <c r="D208" s="203"/>
      <c r="E208" s="190"/>
      <c r="F208" s="97"/>
      <c r="G208" s="128"/>
    </row>
    <row r="209" spans="1:7" x14ac:dyDescent="0.25">
      <c r="A209" s="192"/>
      <c r="B209" s="33"/>
      <c r="C209" s="192"/>
      <c r="D209" s="203"/>
      <c r="E209" s="190"/>
      <c r="F209" s="97"/>
      <c r="G209" s="128"/>
    </row>
    <row r="210" spans="1:7" x14ac:dyDescent="0.25">
      <c r="A210" s="192"/>
      <c r="B210" s="33"/>
      <c r="C210" s="192"/>
      <c r="D210" s="203"/>
      <c r="E210" s="190"/>
      <c r="F210" s="97"/>
      <c r="G210" s="128"/>
    </row>
    <row r="211" spans="1:7" x14ac:dyDescent="0.25">
      <c r="A211" s="192"/>
      <c r="B211" s="33"/>
      <c r="C211" s="192"/>
      <c r="D211" s="203"/>
      <c r="E211" s="190"/>
      <c r="F211" s="97"/>
      <c r="G211" s="128"/>
    </row>
    <row r="212" spans="1:7" x14ac:dyDescent="0.25">
      <c r="A212" s="192"/>
      <c r="B212" s="33"/>
      <c r="C212" s="192"/>
      <c r="D212" s="203"/>
      <c r="E212" s="190"/>
      <c r="F212" s="97"/>
      <c r="G212" s="128"/>
    </row>
    <row r="213" spans="1:7" x14ac:dyDescent="0.25">
      <c r="A213" s="192"/>
      <c r="B213" s="33"/>
      <c r="C213" s="192"/>
      <c r="D213" s="203"/>
      <c r="E213" s="190"/>
      <c r="F213" s="97"/>
      <c r="G213" s="128"/>
    </row>
    <row r="214" spans="1:7" x14ac:dyDescent="0.25">
      <c r="A214" s="192"/>
      <c r="B214" s="33"/>
      <c r="C214" s="192"/>
      <c r="D214" s="203"/>
      <c r="E214" s="190"/>
      <c r="F214" s="97"/>
      <c r="G214" s="128"/>
    </row>
    <row r="215" spans="1:7" x14ac:dyDescent="0.25">
      <c r="A215" s="192"/>
      <c r="B215" s="33"/>
      <c r="C215" s="192"/>
      <c r="D215" s="203"/>
      <c r="E215" s="190"/>
      <c r="F215" s="97"/>
      <c r="G215" s="128"/>
    </row>
    <row r="216" spans="1:7" x14ac:dyDescent="0.25">
      <c r="A216" s="187"/>
      <c r="B216" s="36"/>
      <c r="C216" s="188"/>
      <c r="D216" s="189"/>
      <c r="E216" s="190"/>
      <c r="F216" s="97"/>
      <c r="G216" s="128"/>
    </row>
    <row r="217" spans="1:7" x14ac:dyDescent="0.25">
      <c r="A217" s="187"/>
      <c r="B217" s="192"/>
      <c r="C217" s="188"/>
      <c r="D217" s="189"/>
      <c r="E217" s="190"/>
      <c r="F217" s="97"/>
      <c r="G217" s="128"/>
    </row>
    <row r="218" spans="1:7" x14ac:dyDescent="0.25">
      <c r="A218" s="39"/>
      <c r="B218" s="40"/>
      <c r="C218" s="41"/>
      <c r="D218" s="42"/>
      <c r="E218" s="190"/>
      <c r="F218" s="97"/>
      <c r="G218" s="128"/>
    </row>
    <row r="219" spans="1:7" x14ac:dyDescent="0.25">
      <c r="A219" s="192"/>
      <c r="B219" s="33"/>
      <c r="C219" s="192"/>
      <c r="D219" s="203"/>
      <c r="E219" s="190"/>
      <c r="F219" s="97"/>
      <c r="G219" s="128"/>
    </row>
    <row r="220" spans="1:7" x14ac:dyDescent="0.25">
      <c r="A220" s="193"/>
      <c r="B220" s="194"/>
      <c r="C220" s="195"/>
      <c r="D220" s="196"/>
      <c r="E220" s="117"/>
      <c r="F220" s="98"/>
      <c r="G220" s="130"/>
    </row>
    <row r="221" spans="1:7" x14ac:dyDescent="0.25">
      <c r="A221" s="197"/>
      <c r="B221" s="198"/>
      <c r="C221" s="199" t="s">
        <v>51</v>
      </c>
      <c r="D221" s="199"/>
      <c r="E221" s="200" t="s">
        <v>50</v>
      </c>
      <c r="F221" s="99">
        <f>SUM(F191:F207)</f>
        <v>0</v>
      </c>
      <c r="G221" s="131"/>
    </row>
    <row r="222" spans="1:7" x14ac:dyDescent="0.25">
      <c r="A222" s="197"/>
      <c r="B222" s="198"/>
      <c r="C222" s="201"/>
      <c r="D222" s="202"/>
      <c r="E222" s="118"/>
      <c r="F222" s="100"/>
      <c r="G222" s="132"/>
    </row>
    <row r="223" spans="1:7" x14ac:dyDescent="0.25">
      <c r="A223" s="192"/>
      <c r="B223" s="33"/>
      <c r="C223" s="192"/>
      <c r="D223" s="203"/>
      <c r="E223" s="190"/>
      <c r="F223" s="97"/>
      <c r="G223" s="128"/>
    </row>
    <row r="224" spans="1:7" x14ac:dyDescent="0.25">
      <c r="A224" s="187"/>
      <c r="B224" s="36" t="s">
        <v>462</v>
      </c>
      <c r="C224" s="188"/>
      <c r="D224" s="189"/>
      <c r="E224" s="190"/>
      <c r="F224" s="97"/>
      <c r="G224" s="128"/>
    </row>
    <row r="225" spans="1:7" x14ac:dyDescent="0.25">
      <c r="A225" s="187"/>
      <c r="B225" s="192"/>
      <c r="C225" s="188"/>
      <c r="D225" s="189"/>
      <c r="E225" s="190"/>
      <c r="F225" s="97"/>
      <c r="G225" s="128"/>
    </row>
    <row r="226" spans="1:7" x14ac:dyDescent="0.25">
      <c r="A226" s="39"/>
      <c r="B226" s="40" t="s">
        <v>406</v>
      </c>
      <c r="C226" s="41"/>
      <c r="D226" s="42"/>
      <c r="E226" s="190"/>
      <c r="F226" s="97"/>
      <c r="G226" s="128"/>
    </row>
    <row r="227" spans="1:7" x14ac:dyDescent="0.25">
      <c r="A227" s="187"/>
      <c r="B227" s="192"/>
      <c r="C227" s="188"/>
      <c r="D227" s="189"/>
      <c r="E227" s="190"/>
      <c r="F227" s="97"/>
      <c r="G227" s="128"/>
    </row>
    <row r="228" spans="1:7" ht="41.4" x14ac:dyDescent="0.25">
      <c r="A228" s="39"/>
      <c r="B228" s="40" t="s">
        <v>463</v>
      </c>
      <c r="C228" s="41"/>
      <c r="D228" s="42"/>
      <c r="E228" s="190"/>
      <c r="F228" s="97"/>
      <c r="G228" s="128"/>
    </row>
    <row r="229" spans="1:7" x14ac:dyDescent="0.25">
      <c r="A229" s="187"/>
      <c r="B229" s="192"/>
      <c r="C229" s="188"/>
      <c r="D229" s="189"/>
      <c r="E229" s="190"/>
      <c r="F229" s="97"/>
      <c r="G229" s="128"/>
    </row>
    <row r="230" spans="1:7" ht="41.4" x14ac:dyDescent="0.25">
      <c r="A230" s="39"/>
      <c r="B230" s="40" t="s">
        <v>464</v>
      </c>
      <c r="C230" s="41"/>
      <c r="D230" s="42"/>
      <c r="E230" s="190"/>
      <c r="F230" s="97"/>
      <c r="G230" s="128"/>
    </row>
    <row r="231" spans="1:7" x14ac:dyDescent="0.25">
      <c r="A231" s="187"/>
      <c r="B231" s="192"/>
      <c r="C231" s="188"/>
      <c r="D231" s="189"/>
      <c r="E231" s="190"/>
      <c r="F231" s="97"/>
      <c r="G231" s="128"/>
    </row>
    <row r="232" spans="1:7" ht="27.6" x14ac:dyDescent="0.25">
      <c r="A232" s="39"/>
      <c r="B232" s="40" t="s">
        <v>127</v>
      </c>
      <c r="C232" s="41"/>
      <c r="D232" s="42"/>
      <c r="E232" s="190"/>
      <c r="F232" s="97"/>
      <c r="G232" s="128"/>
    </row>
    <row r="233" spans="1:7" x14ac:dyDescent="0.25">
      <c r="A233" s="187"/>
      <c r="B233" s="192"/>
      <c r="C233" s="188"/>
      <c r="D233" s="189"/>
      <c r="E233" s="190"/>
      <c r="F233" s="97"/>
      <c r="G233" s="128"/>
    </row>
    <row r="234" spans="1:7" ht="41.4" x14ac:dyDescent="0.25">
      <c r="A234" s="39"/>
      <c r="B234" s="52" t="s">
        <v>465</v>
      </c>
      <c r="C234" s="41"/>
      <c r="D234" s="42"/>
      <c r="E234" s="190"/>
      <c r="F234" s="97"/>
      <c r="G234" s="128"/>
    </row>
    <row r="235" spans="1:7" x14ac:dyDescent="0.25">
      <c r="A235" s="187"/>
      <c r="B235" s="192"/>
      <c r="C235" s="188"/>
      <c r="D235" s="189"/>
      <c r="E235" s="190"/>
      <c r="F235" s="97"/>
      <c r="G235" s="128"/>
    </row>
    <row r="236" spans="1:7" x14ac:dyDescent="0.25">
      <c r="A236" s="39" t="s">
        <v>3</v>
      </c>
      <c r="B236" s="40" t="s">
        <v>466</v>
      </c>
      <c r="C236" s="41" t="s">
        <v>62</v>
      </c>
      <c r="D236" s="42" t="s">
        <v>11</v>
      </c>
      <c r="E236" s="190">
        <v>47</v>
      </c>
      <c r="F236" s="97">
        <f>C236*E236</f>
        <v>2115</v>
      </c>
      <c r="G236" s="128" t="s">
        <v>1220</v>
      </c>
    </row>
    <row r="237" spans="1:7" x14ac:dyDescent="0.25">
      <c r="A237" s="187"/>
      <c r="B237" s="192"/>
      <c r="C237" s="188"/>
      <c r="D237" s="189"/>
      <c r="E237" s="190"/>
      <c r="F237" s="97"/>
      <c r="G237" s="128"/>
    </row>
    <row r="238" spans="1:7" x14ac:dyDescent="0.25">
      <c r="A238" s="39" t="s">
        <v>2</v>
      </c>
      <c r="B238" s="40" t="s">
        <v>467</v>
      </c>
      <c r="C238" s="41" t="s">
        <v>468</v>
      </c>
      <c r="D238" s="42" t="s">
        <v>11</v>
      </c>
      <c r="E238" s="190">
        <v>50.45</v>
      </c>
      <c r="F238" s="97">
        <f>C238*E238</f>
        <v>4389.1500000000005</v>
      </c>
      <c r="G238" s="128" t="s">
        <v>1220</v>
      </c>
    </row>
    <row r="239" spans="1:7" x14ac:dyDescent="0.25">
      <c r="A239" s="187"/>
      <c r="B239" s="192"/>
      <c r="C239" s="188"/>
      <c r="D239" s="189"/>
      <c r="E239" s="190"/>
      <c r="F239" s="97"/>
      <c r="G239" s="128"/>
    </row>
    <row r="240" spans="1:7" x14ac:dyDescent="0.25">
      <c r="A240" s="39" t="s">
        <v>5</v>
      </c>
      <c r="B240" s="40" t="s">
        <v>425</v>
      </c>
      <c r="C240" s="41" t="s">
        <v>469</v>
      </c>
      <c r="D240" s="42" t="s">
        <v>11</v>
      </c>
      <c r="E240" s="190">
        <v>54.6</v>
      </c>
      <c r="F240" s="97">
        <f>C240*E240</f>
        <v>18018</v>
      </c>
      <c r="G240" s="128" t="s">
        <v>1220</v>
      </c>
    </row>
    <row r="241" spans="1:7" x14ac:dyDescent="0.25">
      <c r="A241" s="187"/>
      <c r="B241" s="192"/>
      <c r="C241" s="188"/>
      <c r="D241" s="189"/>
      <c r="E241" s="190"/>
      <c r="F241" s="97"/>
      <c r="G241" s="128"/>
    </row>
    <row r="242" spans="1:7" x14ac:dyDescent="0.25">
      <c r="A242" s="39" t="s">
        <v>8</v>
      </c>
      <c r="B242" s="40" t="s">
        <v>470</v>
      </c>
      <c r="C242" s="41" t="s">
        <v>471</v>
      </c>
      <c r="D242" s="42" t="s">
        <v>11</v>
      </c>
      <c r="E242" s="190">
        <v>71.45</v>
      </c>
      <c r="F242" s="97">
        <f>C242*E242</f>
        <v>14432.900000000001</v>
      </c>
      <c r="G242" s="128" t="s">
        <v>1220</v>
      </c>
    </row>
    <row r="243" spans="1:7" x14ac:dyDescent="0.25">
      <c r="A243" s="187"/>
      <c r="B243" s="192"/>
      <c r="C243" s="188"/>
      <c r="D243" s="189"/>
      <c r="E243" s="190"/>
      <c r="F243" s="97"/>
      <c r="G243" s="128"/>
    </row>
    <row r="244" spans="1:7" x14ac:dyDescent="0.25">
      <c r="A244" s="39" t="s">
        <v>9</v>
      </c>
      <c r="B244" s="40" t="s">
        <v>472</v>
      </c>
      <c r="C244" s="41" t="s">
        <v>473</v>
      </c>
      <c r="D244" s="42" t="s">
        <v>11</v>
      </c>
      <c r="E244" s="190">
        <v>78.3</v>
      </c>
      <c r="F244" s="97">
        <f>C244*E244</f>
        <v>78143.399999999994</v>
      </c>
      <c r="G244" s="128" t="s">
        <v>1220</v>
      </c>
    </row>
    <row r="245" spans="1:7" x14ac:dyDescent="0.25">
      <c r="A245" s="187"/>
      <c r="B245" s="192"/>
      <c r="C245" s="188"/>
      <c r="D245" s="189"/>
      <c r="E245" s="190"/>
      <c r="F245" s="97"/>
      <c r="G245" s="128"/>
    </row>
    <row r="246" spans="1:7" x14ac:dyDescent="0.25">
      <c r="A246" s="39" t="s">
        <v>10</v>
      </c>
      <c r="B246" s="40" t="s">
        <v>415</v>
      </c>
      <c r="C246" s="41" t="s">
        <v>474</v>
      </c>
      <c r="D246" s="42" t="s">
        <v>11</v>
      </c>
      <c r="E246" s="190">
        <v>95.01</v>
      </c>
      <c r="F246" s="97">
        <f>C246*E246</f>
        <v>196480.68000000002</v>
      </c>
      <c r="G246" s="128" t="s">
        <v>1220</v>
      </c>
    </row>
    <row r="247" spans="1:7" x14ac:dyDescent="0.25">
      <c r="A247" s="187"/>
      <c r="B247" s="192"/>
      <c r="C247" s="188"/>
      <c r="D247" s="189"/>
      <c r="E247" s="190"/>
      <c r="F247" s="97"/>
      <c r="G247" s="128"/>
    </row>
    <row r="248" spans="1:7" x14ac:dyDescent="0.25">
      <c r="A248" s="39" t="s">
        <v>12</v>
      </c>
      <c r="B248" s="40" t="s">
        <v>427</v>
      </c>
      <c r="C248" s="41" t="s">
        <v>475</v>
      </c>
      <c r="D248" s="42" t="s">
        <v>11</v>
      </c>
      <c r="E248" s="190">
        <v>125.98</v>
      </c>
      <c r="F248" s="97">
        <f>C248*E248</f>
        <v>159742.64000000001</v>
      </c>
      <c r="G248" s="128" t="s">
        <v>1220</v>
      </c>
    </row>
    <row r="249" spans="1:7" x14ac:dyDescent="0.25">
      <c r="A249" s="187"/>
      <c r="B249" s="192"/>
      <c r="C249" s="188"/>
      <c r="D249" s="189"/>
      <c r="E249" s="190"/>
      <c r="F249" s="97"/>
      <c r="G249" s="128"/>
    </row>
    <row r="250" spans="1:7" x14ac:dyDescent="0.25">
      <c r="A250" s="39" t="s">
        <v>13</v>
      </c>
      <c r="B250" s="40" t="s">
        <v>476</v>
      </c>
      <c r="C250" s="41" t="s">
        <v>62</v>
      </c>
      <c r="D250" s="42" t="s">
        <v>11</v>
      </c>
      <c r="E250" s="190">
        <v>137.99</v>
      </c>
      <c r="F250" s="97">
        <f>C250*E250</f>
        <v>6209.55</v>
      </c>
      <c r="G250" s="128" t="s">
        <v>1220</v>
      </c>
    </row>
    <row r="251" spans="1:7" x14ac:dyDescent="0.25">
      <c r="A251" s="187"/>
      <c r="B251" s="192"/>
      <c r="C251" s="188"/>
      <c r="D251" s="189"/>
      <c r="E251" s="190"/>
      <c r="F251" s="97"/>
      <c r="G251" s="128"/>
    </row>
    <row r="252" spans="1:7" x14ac:dyDescent="0.25">
      <c r="A252" s="39" t="s">
        <v>16</v>
      </c>
      <c r="B252" s="40" t="s">
        <v>138</v>
      </c>
      <c r="C252" s="41" t="s">
        <v>477</v>
      </c>
      <c r="D252" s="42" t="s">
        <v>11</v>
      </c>
      <c r="E252" s="190">
        <v>137.99</v>
      </c>
      <c r="F252" s="97">
        <f>C252*E252</f>
        <v>43328.86</v>
      </c>
      <c r="G252" s="128" t="s">
        <v>1220</v>
      </c>
    </row>
    <row r="253" spans="1:7" x14ac:dyDescent="0.25">
      <c r="A253" s="187"/>
      <c r="B253" s="192"/>
      <c r="C253" s="188"/>
      <c r="D253" s="189"/>
      <c r="E253" s="190"/>
      <c r="F253" s="97"/>
      <c r="G253" s="128"/>
    </row>
    <row r="254" spans="1:7" x14ac:dyDescent="0.25">
      <c r="A254" s="39" t="s">
        <v>17</v>
      </c>
      <c r="B254" s="40" t="s">
        <v>14</v>
      </c>
      <c r="C254" s="41" t="s">
        <v>86</v>
      </c>
      <c r="D254" s="42" t="s">
        <v>11</v>
      </c>
      <c r="E254" s="190">
        <v>216.48</v>
      </c>
      <c r="F254" s="97">
        <f>C254*E254</f>
        <v>4113.12</v>
      </c>
      <c r="G254" s="128" t="s">
        <v>1220</v>
      </c>
    </row>
    <row r="255" spans="1:7" x14ac:dyDescent="0.25">
      <c r="A255" s="187"/>
      <c r="B255" s="192"/>
      <c r="C255" s="188"/>
      <c r="D255" s="189"/>
      <c r="E255" s="190"/>
      <c r="F255" s="97"/>
      <c r="G255" s="128"/>
    </row>
    <row r="256" spans="1:7" x14ac:dyDescent="0.25">
      <c r="A256" s="39" t="s">
        <v>18</v>
      </c>
      <c r="B256" s="40" t="s">
        <v>408</v>
      </c>
      <c r="C256" s="41" t="s">
        <v>61</v>
      </c>
      <c r="D256" s="42" t="s">
        <v>11</v>
      </c>
      <c r="E256" s="190">
        <v>378.64</v>
      </c>
      <c r="F256" s="97">
        <f>C256*E256</f>
        <v>3407.7599999999998</v>
      </c>
      <c r="G256" s="128" t="s">
        <v>1220</v>
      </c>
    </row>
    <row r="257" spans="1:7" x14ac:dyDescent="0.25">
      <c r="A257" s="192"/>
      <c r="B257" s="33"/>
      <c r="C257" s="192"/>
      <c r="D257" s="203"/>
      <c r="E257" s="190"/>
      <c r="F257" s="97"/>
      <c r="G257" s="128"/>
    </row>
    <row r="258" spans="1:7" x14ac:dyDescent="0.25">
      <c r="A258" s="192"/>
      <c r="B258" s="33"/>
      <c r="C258" s="192"/>
      <c r="D258" s="203"/>
      <c r="E258" s="190"/>
      <c r="F258" s="97"/>
      <c r="G258" s="128"/>
    </row>
    <row r="259" spans="1:7" x14ac:dyDescent="0.25">
      <c r="A259" s="192"/>
      <c r="B259" s="33"/>
      <c r="C259" s="192"/>
      <c r="D259" s="203"/>
      <c r="E259" s="190"/>
      <c r="F259" s="97"/>
      <c r="G259" s="128"/>
    </row>
    <row r="260" spans="1:7" x14ac:dyDescent="0.25">
      <c r="A260" s="192"/>
      <c r="B260" s="33"/>
      <c r="C260" s="192"/>
      <c r="D260" s="203"/>
      <c r="E260" s="190"/>
      <c r="F260" s="97"/>
      <c r="G260" s="128"/>
    </row>
    <row r="261" spans="1:7" ht="28.8" x14ac:dyDescent="0.25">
      <c r="A261" s="192"/>
      <c r="B261" s="137" t="s">
        <v>1212</v>
      </c>
      <c r="C261" s="192"/>
      <c r="D261" s="203"/>
      <c r="E261" s="190"/>
      <c r="F261" s="97"/>
      <c r="G261" s="128"/>
    </row>
    <row r="262" spans="1:7" x14ac:dyDescent="0.25">
      <c r="A262" s="193"/>
      <c r="B262" s="194"/>
      <c r="C262" s="195"/>
      <c r="D262" s="196"/>
      <c r="E262" s="117"/>
      <c r="F262" s="98"/>
      <c r="G262" s="130"/>
    </row>
    <row r="263" spans="1:7" x14ac:dyDescent="0.25">
      <c r="A263" s="197"/>
      <c r="B263" s="198"/>
      <c r="C263" s="199" t="s">
        <v>51</v>
      </c>
      <c r="D263" s="199"/>
      <c r="E263" s="200" t="s">
        <v>50</v>
      </c>
      <c r="F263" s="99">
        <f>SUM(F234:F259)</f>
        <v>530381.06000000006</v>
      </c>
      <c r="G263" s="131"/>
    </row>
    <row r="264" spans="1:7" x14ac:dyDescent="0.25">
      <c r="A264" s="197"/>
      <c r="B264" s="198"/>
      <c r="C264" s="201"/>
      <c r="D264" s="202"/>
      <c r="E264" s="118"/>
      <c r="F264" s="100"/>
      <c r="G264" s="132"/>
    </row>
    <row r="265" spans="1:7" x14ac:dyDescent="0.25">
      <c r="A265" s="187"/>
      <c r="B265" s="192"/>
      <c r="C265" s="188"/>
      <c r="D265" s="189"/>
      <c r="E265" s="190"/>
      <c r="F265" s="97"/>
      <c r="G265" s="128"/>
    </row>
    <row r="266" spans="1:7" x14ac:dyDescent="0.25">
      <c r="A266" s="187"/>
      <c r="B266" s="36" t="s">
        <v>478</v>
      </c>
      <c r="C266" s="188"/>
      <c r="D266" s="189"/>
      <c r="E266" s="190"/>
      <c r="F266" s="97"/>
      <c r="G266" s="128"/>
    </row>
    <row r="267" spans="1:7" x14ac:dyDescent="0.25">
      <c r="A267" s="187"/>
      <c r="B267" s="191"/>
      <c r="C267" s="188"/>
      <c r="D267" s="189"/>
      <c r="E267" s="190"/>
      <c r="F267" s="97"/>
      <c r="G267" s="128"/>
    </row>
    <row r="268" spans="1:7" ht="41.4" x14ac:dyDescent="0.25">
      <c r="A268" s="39"/>
      <c r="B268" s="52" t="s">
        <v>479</v>
      </c>
      <c r="C268" s="41"/>
      <c r="D268" s="42"/>
      <c r="E268" s="190"/>
      <c r="F268" s="97"/>
      <c r="G268" s="128"/>
    </row>
    <row r="269" spans="1:7" x14ac:dyDescent="0.25">
      <c r="A269" s="187"/>
      <c r="B269" s="192"/>
      <c r="C269" s="188"/>
      <c r="D269" s="189"/>
      <c r="E269" s="190"/>
      <c r="F269" s="97"/>
      <c r="G269" s="128"/>
    </row>
    <row r="270" spans="1:7" x14ac:dyDescent="0.25">
      <c r="A270" s="39" t="s">
        <v>3</v>
      </c>
      <c r="B270" s="40" t="s">
        <v>466</v>
      </c>
      <c r="C270" s="41" t="s">
        <v>480</v>
      </c>
      <c r="D270" s="42" t="s">
        <v>11</v>
      </c>
      <c r="E270" s="190">
        <v>48.13</v>
      </c>
      <c r="F270" s="97">
        <f>C270*E270</f>
        <v>1251.3800000000001</v>
      </c>
      <c r="G270" s="128"/>
    </row>
    <row r="271" spans="1:7" x14ac:dyDescent="0.25">
      <c r="A271" s="187"/>
      <c r="B271" s="192"/>
      <c r="C271" s="188"/>
      <c r="D271" s="189"/>
      <c r="E271" s="190"/>
      <c r="F271" s="97"/>
      <c r="G271" s="128"/>
    </row>
    <row r="272" spans="1:7" x14ac:dyDescent="0.25">
      <c r="A272" s="39" t="s">
        <v>2</v>
      </c>
      <c r="B272" s="40" t="s">
        <v>467</v>
      </c>
      <c r="C272" s="41" t="s">
        <v>90</v>
      </c>
      <c r="D272" s="42" t="s">
        <v>11</v>
      </c>
      <c r="E272" s="190">
        <v>54.55</v>
      </c>
      <c r="F272" s="97">
        <f>C272*E272</f>
        <v>1091</v>
      </c>
      <c r="G272" s="128"/>
    </row>
    <row r="273" spans="1:7" x14ac:dyDescent="0.25">
      <c r="A273" s="187"/>
      <c r="B273" s="192"/>
      <c r="C273" s="188"/>
      <c r="D273" s="189"/>
      <c r="E273" s="190"/>
      <c r="F273" s="97"/>
      <c r="G273" s="128"/>
    </row>
    <row r="274" spans="1:7" x14ac:dyDescent="0.25">
      <c r="A274" s="39" t="s">
        <v>5</v>
      </c>
      <c r="B274" s="40" t="s">
        <v>425</v>
      </c>
      <c r="C274" s="41" t="s">
        <v>64</v>
      </c>
      <c r="D274" s="42" t="s">
        <v>11</v>
      </c>
      <c r="E274" s="190">
        <v>58.8</v>
      </c>
      <c r="F274" s="97">
        <f>C274*E274</f>
        <v>117.6</v>
      </c>
      <c r="G274" s="128"/>
    </row>
    <row r="275" spans="1:7" x14ac:dyDescent="0.25">
      <c r="A275" s="187"/>
      <c r="B275" s="192"/>
      <c r="C275" s="188"/>
      <c r="D275" s="189"/>
      <c r="E275" s="190"/>
      <c r="F275" s="97"/>
      <c r="G275" s="128"/>
    </row>
    <row r="276" spans="1:7" x14ac:dyDescent="0.25">
      <c r="A276" s="39" t="s">
        <v>8</v>
      </c>
      <c r="B276" s="40" t="s">
        <v>470</v>
      </c>
      <c r="C276" s="41" t="s">
        <v>68</v>
      </c>
      <c r="D276" s="42" t="s">
        <v>11</v>
      </c>
      <c r="E276" s="190">
        <v>99.13</v>
      </c>
      <c r="F276" s="97">
        <f>C276*E276</f>
        <v>1189.56</v>
      </c>
      <c r="G276" s="128"/>
    </row>
    <row r="277" spans="1:7" x14ac:dyDescent="0.25">
      <c r="A277" s="187"/>
      <c r="B277" s="192"/>
      <c r="C277" s="188"/>
      <c r="D277" s="189"/>
      <c r="E277" s="190"/>
      <c r="F277" s="97"/>
      <c r="G277" s="128"/>
    </row>
    <row r="278" spans="1:7" x14ac:dyDescent="0.25">
      <c r="A278" s="39" t="s">
        <v>9</v>
      </c>
      <c r="B278" s="40" t="s">
        <v>415</v>
      </c>
      <c r="C278" s="41" t="s">
        <v>86</v>
      </c>
      <c r="D278" s="42" t="s">
        <v>11</v>
      </c>
      <c r="E278" s="190">
        <v>111.31</v>
      </c>
      <c r="F278" s="97">
        <f>C278*E278</f>
        <v>2114.89</v>
      </c>
      <c r="G278" s="128"/>
    </row>
    <row r="279" spans="1:7" x14ac:dyDescent="0.25">
      <c r="A279" s="187"/>
      <c r="B279" s="192"/>
      <c r="C279" s="188"/>
      <c r="D279" s="189"/>
      <c r="E279" s="190"/>
      <c r="F279" s="97"/>
      <c r="G279" s="128"/>
    </row>
    <row r="280" spans="1:7" ht="41.4" x14ac:dyDescent="0.25">
      <c r="A280" s="39"/>
      <c r="B280" s="52" t="s">
        <v>481</v>
      </c>
      <c r="C280" s="41"/>
      <c r="D280" s="42"/>
      <c r="E280" s="190"/>
      <c r="F280" s="97"/>
      <c r="G280" s="128"/>
    </row>
    <row r="281" spans="1:7" x14ac:dyDescent="0.25">
      <c r="A281" s="187"/>
      <c r="B281" s="192"/>
      <c r="C281" s="188"/>
      <c r="D281" s="189"/>
      <c r="E281" s="190"/>
      <c r="F281" s="97"/>
      <c r="G281" s="128"/>
    </row>
    <row r="282" spans="1:7" x14ac:dyDescent="0.25">
      <c r="A282" s="39" t="s">
        <v>10</v>
      </c>
      <c r="B282" s="40" t="s">
        <v>466</v>
      </c>
      <c r="C282" s="41" t="s">
        <v>61</v>
      </c>
      <c r="D282" s="42" t="s">
        <v>11</v>
      </c>
      <c r="E282" s="190">
        <v>48.13</v>
      </c>
      <c r="F282" s="97">
        <f>C282*E282</f>
        <v>433.17</v>
      </c>
      <c r="G282" s="128"/>
    </row>
    <row r="283" spans="1:7" x14ac:dyDescent="0.25">
      <c r="A283" s="187"/>
      <c r="B283" s="192"/>
      <c r="C283" s="188"/>
      <c r="D283" s="189"/>
      <c r="E283" s="190"/>
      <c r="F283" s="97"/>
      <c r="G283" s="128"/>
    </row>
    <row r="284" spans="1:7" x14ac:dyDescent="0.25">
      <c r="A284" s="39" t="s">
        <v>12</v>
      </c>
      <c r="B284" s="40" t="s">
        <v>467</v>
      </c>
      <c r="C284" s="41" t="s">
        <v>84</v>
      </c>
      <c r="D284" s="42" t="s">
        <v>11</v>
      </c>
      <c r="E284" s="190">
        <v>54.55</v>
      </c>
      <c r="F284" s="97">
        <f>C284*E284</f>
        <v>1527.3999999999999</v>
      </c>
      <c r="G284" s="128"/>
    </row>
    <row r="285" spans="1:7" x14ac:dyDescent="0.25">
      <c r="A285" s="187"/>
      <c r="B285" s="192"/>
      <c r="C285" s="188"/>
      <c r="D285" s="189"/>
      <c r="E285" s="190"/>
      <c r="F285" s="97"/>
      <c r="G285" s="128"/>
    </row>
    <row r="286" spans="1:7" x14ac:dyDescent="0.25">
      <c r="A286" s="39" t="s">
        <v>13</v>
      </c>
      <c r="B286" s="40" t="s">
        <v>470</v>
      </c>
      <c r="C286" s="41" t="s">
        <v>71</v>
      </c>
      <c r="D286" s="42" t="s">
        <v>11</v>
      </c>
      <c r="E286" s="190">
        <v>99.13</v>
      </c>
      <c r="F286" s="97">
        <f>C286*E286</f>
        <v>2081.73</v>
      </c>
      <c r="G286" s="128"/>
    </row>
    <row r="287" spans="1:7" x14ac:dyDescent="0.25">
      <c r="A287" s="187"/>
      <c r="B287" s="192"/>
      <c r="C287" s="188"/>
      <c r="D287" s="189"/>
      <c r="E287" s="190"/>
      <c r="F287" s="97"/>
      <c r="G287" s="128"/>
    </row>
    <row r="288" spans="1:7" ht="27.6" x14ac:dyDescent="0.25">
      <c r="A288" s="39"/>
      <c r="B288" s="52" t="s">
        <v>482</v>
      </c>
      <c r="C288" s="41"/>
      <c r="D288" s="42"/>
      <c r="E288" s="190"/>
      <c r="F288" s="97"/>
      <c r="G288" s="128"/>
    </row>
    <row r="289" spans="1:7" x14ac:dyDescent="0.25">
      <c r="A289" s="187"/>
      <c r="B289" s="192"/>
      <c r="C289" s="188"/>
      <c r="D289" s="189"/>
      <c r="E289" s="190"/>
      <c r="F289" s="97"/>
      <c r="G289" s="128"/>
    </row>
    <row r="290" spans="1:7" x14ac:dyDescent="0.25">
      <c r="A290" s="39" t="s">
        <v>16</v>
      </c>
      <c r="B290" s="40" t="s">
        <v>483</v>
      </c>
      <c r="C290" s="41" t="s">
        <v>104</v>
      </c>
      <c r="D290" s="42" t="s">
        <v>15</v>
      </c>
      <c r="E290" s="190">
        <v>119.27</v>
      </c>
      <c r="F290" s="97">
        <f>C290*E290</f>
        <v>119.27</v>
      </c>
      <c r="G290" s="128"/>
    </row>
    <row r="291" spans="1:7" x14ac:dyDescent="0.25">
      <c r="A291" s="187"/>
      <c r="B291" s="192"/>
      <c r="C291" s="188"/>
      <c r="D291" s="189"/>
      <c r="E291" s="190"/>
      <c r="F291" s="97"/>
      <c r="G291" s="128"/>
    </row>
    <row r="292" spans="1:7" x14ac:dyDescent="0.25">
      <c r="A292" s="39" t="s">
        <v>17</v>
      </c>
      <c r="B292" s="40" t="s">
        <v>484</v>
      </c>
      <c r="C292" s="41" t="s">
        <v>82</v>
      </c>
      <c r="D292" s="42" t="s">
        <v>15</v>
      </c>
      <c r="E292" s="190">
        <v>284.60000000000002</v>
      </c>
      <c r="F292" s="97">
        <f>C292*E292</f>
        <v>1992.2000000000003</v>
      </c>
      <c r="G292" s="128"/>
    </row>
    <row r="293" spans="1:7" x14ac:dyDescent="0.25">
      <c r="A293" s="187"/>
      <c r="B293" s="192"/>
      <c r="C293" s="188"/>
      <c r="D293" s="189"/>
      <c r="E293" s="190"/>
      <c r="F293" s="97"/>
      <c r="G293" s="128"/>
    </row>
    <row r="294" spans="1:7" x14ac:dyDescent="0.25">
      <c r="A294" s="39" t="s">
        <v>18</v>
      </c>
      <c r="B294" s="40" t="s">
        <v>485</v>
      </c>
      <c r="C294" s="41" t="s">
        <v>72</v>
      </c>
      <c r="D294" s="42" t="s">
        <v>15</v>
      </c>
      <c r="E294" s="190">
        <v>328.78</v>
      </c>
      <c r="F294" s="97">
        <f>C294*E294</f>
        <v>11178.519999999999</v>
      </c>
      <c r="G294" s="128"/>
    </row>
    <row r="295" spans="1:7" x14ac:dyDescent="0.25">
      <c r="A295" s="187"/>
      <c r="B295" s="192"/>
      <c r="C295" s="188"/>
      <c r="D295" s="189"/>
      <c r="E295" s="190"/>
      <c r="F295" s="97"/>
      <c r="G295" s="128"/>
    </row>
    <row r="296" spans="1:7" x14ac:dyDescent="0.25">
      <c r="A296" s="39" t="s">
        <v>19</v>
      </c>
      <c r="B296" s="40" t="s">
        <v>486</v>
      </c>
      <c r="C296" s="41" t="s">
        <v>70</v>
      </c>
      <c r="D296" s="42" t="s">
        <v>15</v>
      </c>
      <c r="E296" s="190">
        <v>504.71</v>
      </c>
      <c r="F296" s="97">
        <f>C296*E296</f>
        <v>27254.34</v>
      </c>
      <c r="G296" s="128"/>
    </row>
    <row r="297" spans="1:7" x14ac:dyDescent="0.25">
      <c r="A297" s="187"/>
      <c r="B297" s="192"/>
      <c r="C297" s="188"/>
      <c r="D297" s="189"/>
      <c r="E297" s="190"/>
      <c r="F297" s="97"/>
      <c r="G297" s="128"/>
    </row>
    <row r="298" spans="1:7" x14ac:dyDescent="0.25">
      <c r="A298" s="39" t="s">
        <v>22</v>
      </c>
      <c r="B298" s="40" t="s">
        <v>487</v>
      </c>
      <c r="C298" s="41" t="s">
        <v>488</v>
      </c>
      <c r="D298" s="42" t="s">
        <v>15</v>
      </c>
      <c r="E298" s="190">
        <v>911.16</v>
      </c>
      <c r="F298" s="97">
        <f>C298*E298</f>
        <v>63781.2</v>
      </c>
      <c r="G298" s="128"/>
    </row>
    <row r="299" spans="1:7" x14ac:dyDescent="0.25">
      <c r="A299" s="187"/>
      <c r="B299" s="192"/>
      <c r="C299" s="188"/>
      <c r="D299" s="189"/>
      <c r="E299" s="190"/>
      <c r="F299" s="97"/>
      <c r="G299" s="128"/>
    </row>
    <row r="300" spans="1:7" x14ac:dyDescent="0.25">
      <c r="A300" s="39" t="s">
        <v>23</v>
      </c>
      <c r="B300" s="40" t="s">
        <v>489</v>
      </c>
      <c r="C300" s="41" t="s">
        <v>73</v>
      </c>
      <c r="D300" s="42" t="s">
        <v>15</v>
      </c>
      <c r="E300" s="190">
        <v>1212.44</v>
      </c>
      <c r="F300" s="97">
        <f>C300*E300</f>
        <v>3637.32</v>
      </c>
      <c r="G300" s="128"/>
    </row>
    <row r="301" spans="1:7" x14ac:dyDescent="0.25">
      <c r="A301" s="187"/>
      <c r="B301" s="192"/>
      <c r="C301" s="188"/>
      <c r="D301" s="189"/>
      <c r="E301" s="190"/>
      <c r="F301" s="97"/>
      <c r="G301" s="128"/>
    </row>
    <row r="302" spans="1:7" x14ac:dyDescent="0.25">
      <c r="A302" s="39" t="s">
        <v>25</v>
      </c>
      <c r="B302" s="40" t="s">
        <v>490</v>
      </c>
      <c r="C302" s="41" t="s">
        <v>104</v>
      </c>
      <c r="D302" s="42" t="s">
        <v>15</v>
      </c>
      <c r="E302" s="190">
        <v>2286.61</v>
      </c>
      <c r="F302" s="97">
        <f>C302*E302</f>
        <v>2286.61</v>
      </c>
      <c r="G302" s="128"/>
    </row>
    <row r="303" spans="1:7" x14ac:dyDescent="0.25">
      <c r="A303" s="187"/>
      <c r="B303" s="192"/>
      <c r="C303" s="188"/>
      <c r="D303" s="189"/>
      <c r="E303" s="190"/>
      <c r="F303" s="97"/>
      <c r="G303" s="128"/>
    </row>
    <row r="304" spans="1:7" x14ac:dyDescent="0.25">
      <c r="A304" s="39" t="s">
        <v>31</v>
      </c>
      <c r="B304" s="40" t="s">
        <v>491</v>
      </c>
      <c r="C304" s="41" t="s">
        <v>104</v>
      </c>
      <c r="D304" s="42" t="s">
        <v>15</v>
      </c>
      <c r="E304" s="190">
        <v>119.27</v>
      </c>
      <c r="F304" s="97">
        <f>C304*E304</f>
        <v>119.27</v>
      </c>
      <c r="G304" s="128"/>
    </row>
    <row r="305" spans="1:7" x14ac:dyDescent="0.25">
      <c r="A305" s="187"/>
      <c r="B305" s="192"/>
      <c r="C305" s="188"/>
      <c r="D305" s="189"/>
      <c r="E305" s="190"/>
      <c r="F305" s="97"/>
      <c r="G305" s="128"/>
    </row>
    <row r="306" spans="1:7" x14ac:dyDescent="0.25">
      <c r="A306" s="39"/>
      <c r="B306" s="43"/>
      <c r="C306" s="41"/>
      <c r="D306" s="42"/>
      <c r="E306" s="190"/>
      <c r="F306" s="97"/>
      <c r="G306" s="128"/>
    </row>
    <row r="307" spans="1:7" x14ac:dyDescent="0.25">
      <c r="A307" s="187"/>
      <c r="B307" s="192"/>
      <c r="C307" s="188"/>
      <c r="D307" s="189"/>
      <c r="E307" s="190"/>
      <c r="F307" s="97"/>
      <c r="G307" s="128"/>
    </row>
    <row r="308" spans="1:7" x14ac:dyDescent="0.25">
      <c r="A308" s="193"/>
      <c r="B308" s="194"/>
      <c r="C308" s="195"/>
      <c r="D308" s="196"/>
      <c r="E308" s="117"/>
      <c r="F308" s="98"/>
      <c r="G308" s="130"/>
    </row>
    <row r="309" spans="1:7" x14ac:dyDescent="0.25">
      <c r="A309" s="197"/>
      <c r="B309" s="198"/>
      <c r="C309" s="199" t="s">
        <v>51</v>
      </c>
      <c r="D309" s="199"/>
      <c r="E309" s="200" t="s">
        <v>50</v>
      </c>
      <c r="F309" s="99">
        <f>SUM(F268:F305)</f>
        <v>120175.46</v>
      </c>
      <c r="G309" s="131"/>
    </row>
    <row r="310" spans="1:7" x14ac:dyDescent="0.25">
      <c r="A310" s="197"/>
      <c r="B310" s="198"/>
      <c r="C310" s="201"/>
      <c r="D310" s="202"/>
      <c r="E310" s="118"/>
      <c r="F310" s="100"/>
      <c r="G310" s="132"/>
    </row>
    <row r="311" spans="1:7" x14ac:dyDescent="0.25">
      <c r="A311" s="187"/>
      <c r="B311" s="192"/>
      <c r="C311" s="188"/>
      <c r="D311" s="189"/>
      <c r="E311" s="190"/>
      <c r="F311" s="97"/>
      <c r="G311" s="128"/>
    </row>
    <row r="312" spans="1:7" x14ac:dyDescent="0.25">
      <c r="A312" s="187"/>
      <c r="B312" s="36" t="s">
        <v>478</v>
      </c>
      <c r="C312" s="188"/>
      <c r="D312" s="189"/>
      <c r="E312" s="190"/>
      <c r="F312" s="97"/>
      <c r="G312" s="128"/>
    </row>
    <row r="313" spans="1:7" x14ac:dyDescent="0.25">
      <c r="A313" s="187"/>
      <c r="B313" s="191"/>
      <c r="C313" s="188"/>
      <c r="D313" s="189"/>
      <c r="E313" s="190"/>
      <c r="F313" s="97"/>
      <c r="G313" s="128"/>
    </row>
    <row r="314" spans="1:7" x14ac:dyDescent="0.25">
      <c r="A314" s="39" t="s">
        <v>3</v>
      </c>
      <c r="B314" s="40" t="s">
        <v>492</v>
      </c>
      <c r="C314" s="41" t="s">
        <v>64</v>
      </c>
      <c r="D314" s="42" t="s">
        <v>15</v>
      </c>
      <c r="E314" s="190">
        <v>119.27</v>
      </c>
      <c r="F314" s="97">
        <f>C314*E314</f>
        <v>238.54</v>
      </c>
      <c r="G314" s="128"/>
    </row>
    <row r="315" spans="1:7" x14ac:dyDescent="0.25">
      <c r="A315" s="187"/>
      <c r="B315" s="192"/>
      <c r="C315" s="188"/>
      <c r="D315" s="189"/>
      <c r="E315" s="190"/>
      <c r="F315" s="97"/>
      <c r="G315" s="128"/>
    </row>
    <row r="316" spans="1:7" x14ac:dyDescent="0.25">
      <c r="A316" s="39" t="s">
        <v>2</v>
      </c>
      <c r="B316" s="40" t="s">
        <v>493</v>
      </c>
      <c r="C316" s="41" t="s">
        <v>58</v>
      </c>
      <c r="D316" s="42" t="s">
        <v>15</v>
      </c>
      <c r="E316" s="190">
        <v>273.48</v>
      </c>
      <c r="F316" s="97">
        <f>C316*E316</f>
        <v>1640.88</v>
      </c>
      <c r="G316" s="128"/>
    </row>
    <row r="317" spans="1:7" x14ac:dyDescent="0.25">
      <c r="A317" s="187"/>
      <c r="B317" s="192"/>
      <c r="C317" s="188"/>
      <c r="D317" s="189"/>
      <c r="E317" s="190"/>
      <c r="F317" s="97"/>
      <c r="G317" s="128"/>
    </row>
    <row r="318" spans="1:7" x14ac:dyDescent="0.25">
      <c r="A318" s="39" t="s">
        <v>5</v>
      </c>
      <c r="B318" s="40" t="s">
        <v>494</v>
      </c>
      <c r="C318" s="41" t="s">
        <v>76</v>
      </c>
      <c r="D318" s="42" t="s">
        <v>15</v>
      </c>
      <c r="E318" s="190">
        <v>480.2</v>
      </c>
      <c r="F318" s="97">
        <f>C318*E318</f>
        <v>2401</v>
      </c>
      <c r="G318" s="128"/>
    </row>
    <row r="319" spans="1:7" x14ac:dyDescent="0.25">
      <c r="A319" s="187"/>
      <c r="B319" s="192"/>
      <c r="C319" s="188"/>
      <c r="D319" s="189"/>
      <c r="E319" s="190"/>
      <c r="F319" s="97"/>
      <c r="G319" s="128"/>
    </row>
    <row r="320" spans="1:7" x14ac:dyDescent="0.25">
      <c r="A320" s="39" t="s">
        <v>8</v>
      </c>
      <c r="B320" s="40" t="s">
        <v>495</v>
      </c>
      <c r="C320" s="41" t="s">
        <v>104</v>
      </c>
      <c r="D320" s="42" t="s">
        <v>15</v>
      </c>
      <c r="E320" s="190">
        <v>340.59</v>
      </c>
      <c r="F320" s="97">
        <f>C320*E320</f>
        <v>340.59</v>
      </c>
      <c r="G320" s="128"/>
    </row>
    <row r="321" spans="1:7" x14ac:dyDescent="0.25">
      <c r="A321" s="187"/>
      <c r="B321" s="192"/>
      <c r="C321" s="188"/>
      <c r="D321" s="189"/>
      <c r="E321" s="190"/>
      <c r="F321" s="97"/>
      <c r="G321" s="128"/>
    </row>
    <row r="322" spans="1:7" x14ac:dyDescent="0.25">
      <c r="A322" s="39" t="s">
        <v>9</v>
      </c>
      <c r="B322" s="40" t="s">
        <v>496</v>
      </c>
      <c r="C322" s="41" t="s">
        <v>104</v>
      </c>
      <c r="D322" s="42" t="s">
        <v>15</v>
      </c>
      <c r="E322" s="190">
        <v>485.9</v>
      </c>
      <c r="F322" s="97">
        <f>C322*E322</f>
        <v>485.9</v>
      </c>
      <c r="G322" s="128"/>
    </row>
    <row r="323" spans="1:7" x14ac:dyDescent="0.25">
      <c r="A323" s="187"/>
      <c r="B323" s="192"/>
      <c r="C323" s="188"/>
      <c r="D323" s="189"/>
      <c r="E323" s="190"/>
      <c r="F323" s="97"/>
      <c r="G323" s="128"/>
    </row>
    <row r="324" spans="1:7" x14ac:dyDescent="0.25">
      <c r="A324" s="39" t="s">
        <v>10</v>
      </c>
      <c r="B324" s="40" t="s">
        <v>497</v>
      </c>
      <c r="C324" s="41" t="s">
        <v>104</v>
      </c>
      <c r="D324" s="42" t="s">
        <v>15</v>
      </c>
      <c r="E324" s="190">
        <v>790.21</v>
      </c>
      <c r="F324" s="97">
        <f>C324*E324</f>
        <v>790.21</v>
      </c>
      <c r="G324" s="128"/>
    </row>
    <row r="325" spans="1:7" x14ac:dyDescent="0.25">
      <c r="A325" s="187"/>
      <c r="B325" s="192"/>
      <c r="C325" s="188"/>
      <c r="D325" s="189"/>
      <c r="E325" s="190"/>
      <c r="F325" s="97"/>
      <c r="G325" s="128"/>
    </row>
    <row r="326" spans="1:7" x14ac:dyDescent="0.25">
      <c r="A326" s="39" t="s">
        <v>12</v>
      </c>
      <c r="B326" s="40" t="s">
        <v>498</v>
      </c>
      <c r="C326" s="41" t="s">
        <v>64</v>
      </c>
      <c r="D326" s="42" t="s">
        <v>15</v>
      </c>
      <c r="E326" s="190">
        <v>2291</v>
      </c>
      <c r="F326" s="97">
        <f>C326*E326</f>
        <v>4582</v>
      </c>
      <c r="G326" s="128"/>
    </row>
    <row r="327" spans="1:7" x14ac:dyDescent="0.25">
      <c r="A327" s="187"/>
      <c r="B327" s="192"/>
      <c r="C327" s="188"/>
      <c r="D327" s="189"/>
      <c r="E327" s="190"/>
      <c r="F327" s="97"/>
      <c r="G327" s="128"/>
    </row>
    <row r="328" spans="1:7" x14ac:dyDescent="0.25">
      <c r="A328" s="39" t="s">
        <v>13</v>
      </c>
      <c r="B328" s="40" t="s">
        <v>499</v>
      </c>
      <c r="C328" s="41" t="s">
        <v>76</v>
      </c>
      <c r="D328" s="42" t="s">
        <v>15</v>
      </c>
      <c r="E328" s="190">
        <v>370.43</v>
      </c>
      <c r="F328" s="97">
        <f>C328*E328</f>
        <v>1852.15</v>
      </c>
      <c r="G328" s="128"/>
    </row>
    <row r="329" spans="1:7" x14ac:dyDescent="0.25">
      <c r="A329" s="187"/>
      <c r="B329" s="192"/>
      <c r="C329" s="188"/>
      <c r="D329" s="189"/>
      <c r="E329" s="190"/>
      <c r="F329" s="97"/>
      <c r="G329" s="128"/>
    </row>
    <row r="330" spans="1:7" ht="41.4" x14ac:dyDescent="0.25">
      <c r="A330" s="39" t="s">
        <v>16</v>
      </c>
      <c r="B330" s="40" t="s">
        <v>500</v>
      </c>
      <c r="C330" s="41" t="s">
        <v>501</v>
      </c>
      <c r="D330" s="42" t="s">
        <v>15</v>
      </c>
      <c r="E330" s="190"/>
      <c r="F330" s="128" t="s">
        <v>1226</v>
      </c>
      <c r="G330" s="128"/>
    </row>
    <row r="331" spans="1:7" x14ac:dyDescent="0.25">
      <c r="A331" s="187"/>
      <c r="B331" s="192"/>
      <c r="C331" s="188"/>
      <c r="D331" s="189"/>
      <c r="E331" s="190"/>
      <c r="F331" s="97"/>
      <c r="G331" s="128"/>
    </row>
    <row r="332" spans="1:7" ht="55.2" x14ac:dyDescent="0.25">
      <c r="A332" s="39"/>
      <c r="B332" s="52" t="s">
        <v>502</v>
      </c>
      <c r="C332" s="41"/>
      <c r="D332" s="42"/>
      <c r="E332" s="190"/>
      <c r="F332" s="97"/>
      <c r="G332" s="128"/>
    </row>
    <row r="333" spans="1:7" x14ac:dyDescent="0.25">
      <c r="A333" s="187"/>
      <c r="B333" s="192"/>
      <c r="C333" s="188"/>
      <c r="D333" s="189"/>
      <c r="E333" s="190"/>
      <c r="F333" s="97"/>
      <c r="G333" s="128"/>
    </row>
    <row r="334" spans="1:7" ht="41.4" x14ac:dyDescent="0.25">
      <c r="A334" s="39" t="s">
        <v>17</v>
      </c>
      <c r="B334" s="40" t="s">
        <v>503</v>
      </c>
      <c r="C334" s="41" t="s">
        <v>64</v>
      </c>
      <c r="D334" s="42" t="s">
        <v>15</v>
      </c>
      <c r="E334" s="190">
        <v>30034.12</v>
      </c>
      <c r="F334" s="97">
        <f>C334*E334</f>
        <v>60068.24</v>
      </c>
      <c r="G334" s="128"/>
    </row>
    <row r="335" spans="1:7" x14ac:dyDescent="0.25">
      <c r="A335" s="187"/>
      <c r="B335" s="192"/>
      <c r="C335" s="188"/>
      <c r="D335" s="189"/>
      <c r="E335" s="190"/>
      <c r="F335" s="97"/>
      <c r="G335" s="128"/>
    </row>
    <row r="336" spans="1:7" ht="41.4" x14ac:dyDescent="0.25">
      <c r="A336" s="39" t="s">
        <v>18</v>
      </c>
      <c r="B336" s="40" t="s">
        <v>504</v>
      </c>
      <c r="C336" s="41" t="s">
        <v>104</v>
      </c>
      <c r="D336" s="42" t="s">
        <v>15</v>
      </c>
      <c r="E336" s="190">
        <v>1234.29</v>
      </c>
      <c r="F336" s="97">
        <f>C336*E336</f>
        <v>1234.29</v>
      </c>
      <c r="G336" s="128"/>
    </row>
    <row r="337" spans="1:7" x14ac:dyDescent="0.25">
      <c r="A337" s="187"/>
      <c r="B337" s="192"/>
      <c r="C337" s="188"/>
      <c r="D337" s="189"/>
      <c r="E337" s="190"/>
      <c r="F337" s="97"/>
      <c r="G337" s="128"/>
    </row>
    <row r="338" spans="1:7" x14ac:dyDescent="0.25">
      <c r="A338" s="39" t="s">
        <v>19</v>
      </c>
      <c r="B338" s="40" t="s">
        <v>505</v>
      </c>
      <c r="C338" s="41" t="s">
        <v>104</v>
      </c>
      <c r="D338" s="42" t="s">
        <v>15</v>
      </c>
      <c r="E338" s="190">
        <v>20676.080000000002</v>
      </c>
      <c r="F338" s="97">
        <f>C338*E338</f>
        <v>20676.080000000002</v>
      </c>
      <c r="G338" s="128"/>
    </row>
    <row r="339" spans="1:7" x14ac:dyDescent="0.25">
      <c r="A339" s="187"/>
      <c r="B339" s="36"/>
      <c r="C339" s="188"/>
      <c r="D339" s="189"/>
      <c r="E339" s="190"/>
      <c r="F339" s="97"/>
      <c r="G339" s="128"/>
    </row>
    <row r="340" spans="1:7" x14ac:dyDescent="0.25">
      <c r="A340" s="187"/>
      <c r="B340" s="192"/>
      <c r="C340" s="188"/>
      <c r="D340" s="189"/>
      <c r="E340" s="190"/>
      <c r="F340" s="97"/>
      <c r="G340" s="128"/>
    </row>
    <row r="341" spans="1:7" x14ac:dyDescent="0.25">
      <c r="A341" s="39"/>
      <c r="B341" s="40"/>
      <c r="C341" s="41"/>
      <c r="D341" s="42"/>
      <c r="E341" s="190"/>
      <c r="F341" s="97"/>
      <c r="G341" s="128"/>
    </row>
    <row r="342" spans="1:7" x14ac:dyDescent="0.25">
      <c r="A342" s="187"/>
      <c r="B342" s="192"/>
      <c r="C342" s="188"/>
      <c r="D342" s="189"/>
      <c r="E342" s="190"/>
      <c r="F342" s="97"/>
      <c r="G342" s="128"/>
    </row>
    <row r="343" spans="1:7" x14ac:dyDescent="0.25">
      <c r="A343" s="39"/>
      <c r="B343" s="40"/>
      <c r="C343" s="41"/>
      <c r="D343" s="42"/>
      <c r="E343" s="190"/>
      <c r="F343" s="97"/>
      <c r="G343" s="128"/>
    </row>
    <row r="344" spans="1:7" x14ac:dyDescent="0.25">
      <c r="A344" s="187"/>
      <c r="B344" s="192"/>
      <c r="C344" s="188"/>
      <c r="D344" s="189"/>
      <c r="E344" s="190"/>
      <c r="F344" s="97"/>
      <c r="G344" s="128"/>
    </row>
    <row r="345" spans="1:7" x14ac:dyDescent="0.25">
      <c r="A345" s="39"/>
      <c r="B345" s="43"/>
      <c r="C345" s="41"/>
      <c r="D345" s="42"/>
      <c r="E345" s="190"/>
      <c r="F345" s="97"/>
      <c r="G345" s="128"/>
    </row>
    <row r="346" spans="1:7" x14ac:dyDescent="0.25">
      <c r="A346" s="187"/>
      <c r="B346" s="192"/>
      <c r="C346" s="188"/>
      <c r="D346" s="189"/>
      <c r="E346" s="190"/>
      <c r="F346" s="97"/>
      <c r="G346" s="128"/>
    </row>
    <row r="347" spans="1:7" x14ac:dyDescent="0.25">
      <c r="A347" s="187"/>
      <c r="B347" s="192"/>
      <c r="C347" s="188"/>
      <c r="D347" s="189"/>
      <c r="E347" s="190"/>
      <c r="F347" s="97"/>
      <c r="G347" s="128"/>
    </row>
    <row r="348" spans="1:7" x14ac:dyDescent="0.25">
      <c r="A348" s="192"/>
      <c r="B348" s="33"/>
      <c r="C348" s="192"/>
      <c r="D348" s="203"/>
      <c r="E348" s="190"/>
      <c r="F348" s="97"/>
      <c r="G348" s="128"/>
    </row>
    <row r="349" spans="1:7" x14ac:dyDescent="0.25">
      <c r="A349" s="192"/>
      <c r="B349" s="33"/>
      <c r="C349" s="192"/>
      <c r="D349" s="203"/>
      <c r="E349" s="190"/>
      <c r="F349" s="97"/>
      <c r="G349" s="128"/>
    </row>
    <row r="350" spans="1:7" x14ac:dyDescent="0.25">
      <c r="A350" s="192"/>
      <c r="B350" s="33"/>
      <c r="C350" s="192"/>
      <c r="D350" s="203"/>
      <c r="E350" s="190"/>
      <c r="F350" s="97"/>
      <c r="G350" s="128"/>
    </row>
    <row r="351" spans="1:7" x14ac:dyDescent="0.25">
      <c r="A351" s="192"/>
      <c r="B351" s="33"/>
      <c r="C351" s="192"/>
      <c r="D351" s="203"/>
      <c r="E351" s="190"/>
      <c r="F351" s="97"/>
      <c r="G351" s="128"/>
    </row>
    <row r="352" spans="1:7" x14ac:dyDescent="0.25">
      <c r="A352" s="193"/>
      <c r="B352" s="194"/>
      <c r="C352" s="195"/>
      <c r="D352" s="196"/>
      <c r="E352" s="117"/>
      <c r="F352" s="98"/>
      <c r="G352" s="130"/>
    </row>
    <row r="353" spans="1:7" x14ac:dyDescent="0.25">
      <c r="A353" s="197"/>
      <c r="B353" s="198"/>
      <c r="C353" s="199" t="s">
        <v>51</v>
      </c>
      <c r="D353" s="199"/>
      <c r="E353" s="200" t="s">
        <v>50</v>
      </c>
      <c r="F353" s="99">
        <f>SUM(F312:F347)</f>
        <v>94309.87999999999</v>
      </c>
      <c r="G353" s="131"/>
    </row>
    <row r="354" spans="1:7" x14ac:dyDescent="0.25">
      <c r="A354" s="197"/>
      <c r="B354" s="198"/>
      <c r="C354" s="201"/>
      <c r="D354" s="202"/>
      <c r="E354" s="118"/>
      <c r="F354" s="100"/>
      <c r="G354" s="132"/>
    </row>
    <row r="355" spans="1:7" x14ac:dyDescent="0.25">
      <c r="A355" s="192"/>
      <c r="B355" s="33"/>
      <c r="C355" s="192"/>
      <c r="D355" s="203"/>
      <c r="E355" s="190"/>
      <c r="F355" s="97"/>
      <c r="G355" s="128"/>
    </row>
    <row r="356" spans="1:7" x14ac:dyDescent="0.25">
      <c r="A356" s="187"/>
      <c r="B356" s="36" t="s">
        <v>478</v>
      </c>
      <c r="C356" s="188"/>
      <c r="D356" s="189"/>
      <c r="E356" s="190"/>
      <c r="F356" s="97"/>
      <c r="G356" s="128"/>
    </row>
    <row r="357" spans="1:7" x14ac:dyDescent="0.25">
      <c r="A357" s="187"/>
      <c r="B357" s="192"/>
      <c r="C357" s="188"/>
      <c r="D357" s="189"/>
      <c r="E357" s="190"/>
      <c r="F357" s="97"/>
      <c r="G357" s="128"/>
    </row>
    <row r="358" spans="1:7" ht="55.2" x14ac:dyDescent="0.25">
      <c r="A358" s="39"/>
      <c r="B358" s="52" t="s">
        <v>506</v>
      </c>
      <c r="C358" s="41"/>
      <c r="D358" s="42"/>
      <c r="E358" s="190"/>
      <c r="F358" s="97"/>
      <c r="G358" s="128"/>
    </row>
    <row r="359" spans="1:7" x14ac:dyDescent="0.25">
      <c r="A359" s="187"/>
      <c r="B359" s="192"/>
      <c r="C359" s="188"/>
      <c r="D359" s="189"/>
      <c r="E359" s="190"/>
      <c r="F359" s="97"/>
      <c r="G359" s="128"/>
    </row>
    <row r="360" spans="1:7" ht="27.6" x14ac:dyDescent="0.25">
      <c r="A360" s="39"/>
      <c r="B360" s="52" t="s">
        <v>507</v>
      </c>
      <c r="C360" s="41"/>
      <c r="D360" s="42"/>
      <c r="E360" s="190"/>
      <c r="F360" s="97"/>
      <c r="G360" s="128"/>
    </row>
    <row r="361" spans="1:7" x14ac:dyDescent="0.25">
      <c r="A361" s="187"/>
      <c r="B361" s="192"/>
      <c r="C361" s="188"/>
      <c r="D361" s="189"/>
      <c r="E361" s="190"/>
      <c r="F361" s="97"/>
      <c r="G361" s="128"/>
    </row>
    <row r="362" spans="1:7" x14ac:dyDescent="0.25">
      <c r="A362" s="39" t="s">
        <v>3</v>
      </c>
      <c r="B362" s="40" t="s">
        <v>466</v>
      </c>
      <c r="C362" s="41" t="s">
        <v>508</v>
      </c>
      <c r="D362" s="42" t="s">
        <v>11</v>
      </c>
      <c r="E362" s="190">
        <v>11.94</v>
      </c>
      <c r="F362" s="97">
        <f>C362*E362</f>
        <v>417.9</v>
      </c>
      <c r="G362" s="128"/>
    </row>
    <row r="363" spans="1:7" x14ac:dyDescent="0.25">
      <c r="A363" s="187"/>
      <c r="B363" s="192"/>
      <c r="C363" s="188"/>
      <c r="D363" s="189"/>
      <c r="E363" s="190"/>
      <c r="F363" s="97"/>
      <c r="G363" s="128"/>
    </row>
    <row r="364" spans="1:7" x14ac:dyDescent="0.25">
      <c r="A364" s="39" t="s">
        <v>2</v>
      </c>
      <c r="B364" s="40" t="s">
        <v>467</v>
      </c>
      <c r="C364" s="41" t="s">
        <v>212</v>
      </c>
      <c r="D364" s="42" t="s">
        <v>11</v>
      </c>
      <c r="E364" s="190">
        <v>11.98</v>
      </c>
      <c r="F364" s="97">
        <f>C364*E364</f>
        <v>575.04</v>
      </c>
      <c r="G364" s="128"/>
    </row>
    <row r="365" spans="1:7" x14ac:dyDescent="0.25">
      <c r="A365" s="187"/>
      <c r="B365" s="192"/>
      <c r="C365" s="188"/>
      <c r="D365" s="189"/>
      <c r="E365" s="190"/>
      <c r="F365" s="97"/>
      <c r="G365" s="128"/>
    </row>
    <row r="366" spans="1:7" x14ac:dyDescent="0.25">
      <c r="A366" s="39" t="s">
        <v>5</v>
      </c>
      <c r="B366" s="40" t="s">
        <v>425</v>
      </c>
      <c r="C366" s="41" t="s">
        <v>64</v>
      </c>
      <c r="D366" s="42" t="s">
        <v>11</v>
      </c>
      <c r="E366" s="190">
        <v>12.9</v>
      </c>
      <c r="F366" s="97">
        <f>C366*E366</f>
        <v>25.8</v>
      </c>
      <c r="G366" s="128"/>
    </row>
    <row r="367" spans="1:7" x14ac:dyDescent="0.25">
      <c r="A367" s="187"/>
      <c r="B367" s="192"/>
      <c r="C367" s="188"/>
      <c r="D367" s="189"/>
      <c r="E367" s="190"/>
      <c r="F367" s="97"/>
      <c r="G367" s="128"/>
    </row>
    <row r="368" spans="1:7" x14ac:dyDescent="0.25">
      <c r="A368" s="39" t="s">
        <v>8</v>
      </c>
      <c r="B368" s="40" t="s">
        <v>470</v>
      </c>
      <c r="C368" s="41" t="s">
        <v>83</v>
      </c>
      <c r="D368" s="42" t="s">
        <v>11</v>
      </c>
      <c r="E368" s="190">
        <v>14.22</v>
      </c>
      <c r="F368" s="97">
        <f>C368*E368</f>
        <v>469.26000000000005</v>
      </c>
      <c r="G368" s="128"/>
    </row>
    <row r="369" spans="1:7" x14ac:dyDescent="0.25">
      <c r="A369" s="187"/>
      <c r="B369" s="192"/>
      <c r="C369" s="188"/>
      <c r="D369" s="189"/>
      <c r="E369" s="190"/>
      <c r="F369" s="97"/>
      <c r="G369" s="128"/>
    </row>
    <row r="370" spans="1:7" x14ac:dyDescent="0.25">
      <c r="A370" s="39" t="s">
        <v>9</v>
      </c>
      <c r="B370" s="40" t="s">
        <v>415</v>
      </c>
      <c r="C370" s="41" t="s">
        <v>86</v>
      </c>
      <c r="D370" s="42" t="s">
        <v>11</v>
      </c>
      <c r="E370" s="190">
        <v>17.78</v>
      </c>
      <c r="F370" s="97">
        <f>C370*E370</f>
        <v>337.82000000000005</v>
      </c>
      <c r="G370" s="128"/>
    </row>
    <row r="371" spans="1:7" x14ac:dyDescent="0.25">
      <c r="A371" s="192"/>
      <c r="B371" s="33"/>
      <c r="C371" s="192"/>
      <c r="D371" s="203"/>
      <c r="E371" s="190"/>
      <c r="F371" s="97"/>
      <c r="G371" s="128"/>
    </row>
    <row r="372" spans="1:7" x14ac:dyDescent="0.25">
      <c r="A372" s="192"/>
      <c r="B372" s="33"/>
      <c r="C372" s="192"/>
      <c r="D372" s="203"/>
      <c r="E372" s="190"/>
      <c r="F372" s="97"/>
      <c r="G372" s="128"/>
    </row>
    <row r="373" spans="1:7" x14ac:dyDescent="0.25">
      <c r="A373" s="192"/>
      <c r="B373" s="33"/>
      <c r="C373" s="192"/>
      <c r="D373" s="203"/>
      <c r="E373" s="190"/>
      <c r="F373" s="97"/>
      <c r="G373" s="128"/>
    </row>
    <row r="374" spans="1:7" x14ac:dyDescent="0.25">
      <c r="A374" s="192"/>
      <c r="B374" s="33"/>
      <c r="C374" s="192"/>
      <c r="D374" s="203"/>
      <c r="E374" s="190"/>
      <c r="F374" s="97"/>
      <c r="G374" s="128"/>
    </row>
    <row r="375" spans="1:7" x14ac:dyDescent="0.25">
      <c r="A375" s="192"/>
      <c r="B375" s="33"/>
      <c r="C375" s="192"/>
      <c r="D375" s="203"/>
      <c r="E375" s="190"/>
      <c r="F375" s="97"/>
      <c r="G375" s="128"/>
    </row>
    <row r="376" spans="1:7" x14ac:dyDescent="0.25">
      <c r="A376" s="192"/>
      <c r="B376" s="33"/>
      <c r="C376" s="192"/>
      <c r="D376" s="203"/>
      <c r="E376" s="190"/>
      <c r="F376" s="97"/>
      <c r="G376" s="128"/>
    </row>
    <row r="377" spans="1:7" x14ac:dyDescent="0.25">
      <c r="A377" s="192"/>
      <c r="B377" s="33"/>
      <c r="C377" s="192"/>
      <c r="D377" s="203"/>
      <c r="E377" s="190"/>
      <c r="F377" s="97"/>
      <c r="G377" s="128"/>
    </row>
    <row r="378" spans="1:7" x14ac:dyDescent="0.25">
      <c r="A378" s="192"/>
      <c r="B378" s="33"/>
      <c r="C378" s="192"/>
      <c r="D378" s="203"/>
      <c r="E378" s="190"/>
      <c r="F378" s="97"/>
      <c r="G378" s="128"/>
    </row>
    <row r="379" spans="1:7" x14ac:dyDescent="0.25">
      <c r="A379" s="192"/>
      <c r="B379" s="33"/>
      <c r="C379" s="192"/>
      <c r="D379" s="203"/>
      <c r="E379" s="190"/>
      <c r="F379" s="97"/>
      <c r="G379" s="128"/>
    </row>
    <row r="380" spans="1:7" x14ac:dyDescent="0.25">
      <c r="A380" s="192"/>
      <c r="B380" s="33"/>
      <c r="C380" s="192"/>
      <c r="D380" s="203"/>
      <c r="E380" s="190"/>
      <c r="F380" s="97"/>
      <c r="G380" s="128"/>
    </row>
    <row r="381" spans="1:7" x14ac:dyDescent="0.25">
      <c r="A381" s="192"/>
      <c r="B381" s="33"/>
      <c r="C381" s="192"/>
      <c r="D381" s="203"/>
      <c r="E381" s="190"/>
      <c r="F381" s="97"/>
      <c r="G381" s="128"/>
    </row>
    <row r="382" spans="1:7" x14ac:dyDescent="0.25">
      <c r="A382" s="187"/>
      <c r="B382" s="36"/>
      <c r="C382" s="188"/>
      <c r="D382" s="189"/>
      <c r="E382" s="190"/>
      <c r="F382" s="97"/>
      <c r="G382" s="128"/>
    </row>
    <row r="383" spans="1:7" x14ac:dyDescent="0.25">
      <c r="A383" s="187"/>
      <c r="B383" s="192"/>
      <c r="C383" s="188"/>
      <c r="D383" s="189"/>
      <c r="E383" s="190"/>
      <c r="F383" s="97"/>
      <c r="G383" s="128"/>
    </row>
    <row r="384" spans="1:7" x14ac:dyDescent="0.25">
      <c r="A384" s="39"/>
      <c r="B384" s="40"/>
      <c r="C384" s="41"/>
      <c r="D384" s="42"/>
      <c r="E384" s="190"/>
      <c r="F384" s="97"/>
      <c r="G384" s="128"/>
    </row>
    <row r="385" spans="1:7" x14ac:dyDescent="0.25">
      <c r="A385" s="187"/>
      <c r="B385" s="192"/>
      <c r="C385" s="188"/>
      <c r="D385" s="189"/>
      <c r="E385" s="190"/>
      <c r="F385" s="97"/>
      <c r="G385" s="128"/>
    </row>
    <row r="386" spans="1:7" x14ac:dyDescent="0.25">
      <c r="A386" s="39"/>
      <c r="B386" s="40"/>
      <c r="C386" s="41"/>
      <c r="D386" s="42"/>
      <c r="E386" s="190"/>
      <c r="F386" s="97"/>
      <c r="G386" s="128"/>
    </row>
    <row r="387" spans="1:7" x14ac:dyDescent="0.25">
      <c r="A387" s="187"/>
      <c r="B387" s="192"/>
      <c r="C387" s="188"/>
      <c r="D387" s="189"/>
      <c r="E387" s="190"/>
      <c r="F387" s="97"/>
      <c r="G387" s="128"/>
    </row>
    <row r="388" spans="1:7" x14ac:dyDescent="0.25">
      <c r="A388" s="39"/>
      <c r="B388" s="40"/>
      <c r="C388" s="41"/>
      <c r="D388" s="42"/>
      <c r="E388" s="190"/>
      <c r="F388" s="97"/>
      <c r="G388" s="128"/>
    </row>
    <row r="389" spans="1:7" x14ac:dyDescent="0.25">
      <c r="A389" s="187"/>
      <c r="B389" s="192"/>
      <c r="C389" s="188"/>
      <c r="D389" s="189"/>
      <c r="E389" s="190"/>
      <c r="F389" s="97"/>
      <c r="G389" s="128"/>
    </row>
    <row r="390" spans="1:7" x14ac:dyDescent="0.25">
      <c r="A390" s="39"/>
      <c r="B390" s="40"/>
      <c r="C390" s="41"/>
      <c r="D390" s="42"/>
      <c r="E390" s="190"/>
      <c r="F390" s="97"/>
      <c r="G390" s="128"/>
    </row>
    <row r="391" spans="1:7" x14ac:dyDescent="0.25">
      <c r="A391" s="187"/>
      <c r="B391" s="192"/>
      <c r="C391" s="188"/>
      <c r="D391" s="189"/>
      <c r="E391" s="190"/>
      <c r="F391" s="97"/>
      <c r="G391" s="128"/>
    </row>
    <row r="392" spans="1:7" x14ac:dyDescent="0.25">
      <c r="A392" s="39"/>
      <c r="B392" s="40"/>
      <c r="C392" s="41"/>
      <c r="D392" s="42"/>
      <c r="E392" s="190"/>
      <c r="F392" s="97"/>
      <c r="G392" s="128"/>
    </row>
    <row r="393" spans="1:7" x14ac:dyDescent="0.25">
      <c r="A393" s="187"/>
      <c r="B393" s="192"/>
      <c r="C393" s="188"/>
      <c r="D393" s="189"/>
      <c r="E393" s="190"/>
      <c r="F393" s="97"/>
      <c r="G393" s="128"/>
    </row>
    <row r="394" spans="1:7" x14ac:dyDescent="0.25">
      <c r="A394" s="187"/>
      <c r="B394" s="192"/>
      <c r="C394" s="188"/>
      <c r="D394" s="189"/>
      <c r="E394" s="190"/>
      <c r="F394" s="97"/>
      <c r="G394" s="128"/>
    </row>
    <row r="395" spans="1:7" x14ac:dyDescent="0.25">
      <c r="A395" s="187"/>
      <c r="B395" s="192"/>
      <c r="C395" s="188"/>
      <c r="D395" s="189"/>
      <c r="E395" s="190"/>
      <c r="F395" s="97"/>
      <c r="G395" s="128"/>
    </row>
    <row r="396" spans="1:7" x14ac:dyDescent="0.25">
      <c r="A396" s="39"/>
      <c r="B396" s="43"/>
      <c r="C396" s="41"/>
      <c r="D396" s="42"/>
      <c r="E396" s="190"/>
      <c r="F396" s="97"/>
      <c r="G396" s="128"/>
    </row>
    <row r="397" spans="1:7" x14ac:dyDescent="0.25">
      <c r="A397" s="187"/>
      <c r="B397" s="192"/>
      <c r="C397" s="188"/>
      <c r="D397" s="189"/>
      <c r="E397" s="190"/>
      <c r="F397" s="97"/>
      <c r="G397" s="128"/>
    </row>
    <row r="398" spans="1:7" x14ac:dyDescent="0.25">
      <c r="A398" s="39"/>
      <c r="B398" s="40"/>
      <c r="C398" s="41"/>
      <c r="D398" s="42"/>
      <c r="E398" s="190"/>
      <c r="F398" s="97"/>
      <c r="G398" s="128"/>
    </row>
    <row r="399" spans="1:7" x14ac:dyDescent="0.25">
      <c r="A399" s="193"/>
      <c r="B399" s="194"/>
      <c r="C399" s="195"/>
      <c r="D399" s="196"/>
      <c r="E399" s="117"/>
      <c r="F399" s="98"/>
      <c r="G399" s="130"/>
    </row>
    <row r="400" spans="1:7" x14ac:dyDescent="0.25">
      <c r="A400" s="197"/>
      <c r="B400" s="198"/>
      <c r="C400" s="199" t="s">
        <v>51</v>
      </c>
      <c r="D400" s="199"/>
      <c r="E400" s="200" t="s">
        <v>50</v>
      </c>
      <c r="F400" s="99">
        <f>SUM(F358:F382)</f>
        <v>1825.8200000000002</v>
      </c>
      <c r="G400" s="131"/>
    </row>
    <row r="401" spans="1:7" x14ac:dyDescent="0.25">
      <c r="A401" s="197"/>
      <c r="B401" s="198"/>
      <c r="C401" s="201"/>
      <c r="D401" s="202"/>
      <c r="E401" s="118"/>
      <c r="F401" s="100"/>
      <c r="G401" s="132"/>
    </row>
    <row r="402" spans="1:7" x14ac:dyDescent="0.25">
      <c r="A402" s="192"/>
      <c r="B402" s="33"/>
      <c r="C402" s="192"/>
      <c r="D402" s="203"/>
      <c r="E402" s="190"/>
      <c r="F402" s="97"/>
      <c r="G402" s="128"/>
    </row>
    <row r="403" spans="1:7" x14ac:dyDescent="0.25">
      <c r="A403" s="187"/>
      <c r="B403" s="36" t="s">
        <v>509</v>
      </c>
      <c r="C403" s="188"/>
      <c r="D403" s="189"/>
      <c r="E403" s="190"/>
      <c r="F403" s="97"/>
      <c r="G403" s="128"/>
    </row>
    <row r="404" spans="1:7" x14ac:dyDescent="0.25">
      <c r="A404" s="187"/>
      <c r="B404" s="192"/>
      <c r="C404" s="188"/>
      <c r="D404" s="189"/>
      <c r="E404" s="190"/>
      <c r="F404" s="97"/>
      <c r="G404" s="128"/>
    </row>
    <row r="405" spans="1:7" x14ac:dyDescent="0.25">
      <c r="A405" s="39"/>
      <c r="B405" s="40" t="s">
        <v>106</v>
      </c>
      <c r="C405" s="41"/>
      <c r="D405" s="42"/>
      <c r="E405" s="190"/>
      <c r="F405" s="97"/>
      <c r="G405" s="128"/>
    </row>
    <row r="406" spans="1:7" x14ac:dyDescent="0.25">
      <c r="A406" s="187"/>
      <c r="B406" s="192"/>
      <c r="C406" s="188"/>
      <c r="D406" s="189"/>
      <c r="E406" s="190"/>
      <c r="F406" s="97"/>
      <c r="G406" s="128"/>
    </row>
    <row r="407" spans="1:7" ht="110.4" x14ac:dyDescent="0.25">
      <c r="A407" s="39"/>
      <c r="B407" s="40" t="s">
        <v>510</v>
      </c>
      <c r="C407" s="41"/>
      <c r="D407" s="42"/>
      <c r="E407" s="190"/>
      <c r="F407" s="97"/>
      <c r="G407" s="128"/>
    </row>
    <row r="408" spans="1:7" x14ac:dyDescent="0.25">
      <c r="A408" s="187"/>
      <c r="B408" s="192"/>
      <c r="C408" s="188"/>
      <c r="D408" s="189"/>
      <c r="E408" s="190"/>
      <c r="F408" s="97"/>
      <c r="G408" s="128"/>
    </row>
    <row r="409" spans="1:7" ht="27.6" x14ac:dyDescent="0.25">
      <c r="A409" s="39"/>
      <c r="B409" s="40" t="s">
        <v>511</v>
      </c>
      <c r="C409" s="41"/>
      <c r="D409" s="42"/>
      <c r="E409" s="190"/>
      <c r="F409" s="97"/>
      <c r="G409" s="128"/>
    </row>
    <row r="410" spans="1:7" x14ac:dyDescent="0.25">
      <c r="A410" s="187"/>
      <c r="B410" s="192"/>
      <c r="C410" s="188"/>
      <c r="D410" s="189"/>
      <c r="E410" s="190"/>
      <c r="F410" s="97"/>
      <c r="G410" s="128"/>
    </row>
    <row r="411" spans="1:7" ht="41.4" x14ac:dyDescent="0.25">
      <c r="A411" s="39"/>
      <c r="B411" s="40" t="s">
        <v>512</v>
      </c>
      <c r="C411" s="41"/>
      <c r="D411" s="42"/>
      <c r="E411" s="190"/>
      <c r="F411" s="97"/>
      <c r="G411" s="128"/>
    </row>
    <row r="412" spans="1:7" x14ac:dyDescent="0.25">
      <c r="A412" s="187"/>
      <c r="B412" s="192"/>
      <c r="C412" s="188"/>
      <c r="D412" s="189"/>
      <c r="E412" s="190"/>
      <c r="F412" s="97"/>
      <c r="G412" s="128"/>
    </row>
    <row r="413" spans="1:7" ht="27.6" x14ac:dyDescent="0.25">
      <c r="A413" s="39"/>
      <c r="B413" s="40" t="s">
        <v>513</v>
      </c>
      <c r="C413" s="41"/>
      <c r="D413" s="42"/>
      <c r="E413" s="190"/>
      <c r="F413" s="97"/>
      <c r="G413" s="128"/>
    </row>
    <row r="414" spans="1:7" x14ac:dyDescent="0.25">
      <c r="A414" s="187"/>
      <c r="B414" s="192"/>
      <c r="C414" s="188"/>
      <c r="D414" s="189"/>
      <c r="E414" s="190"/>
      <c r="F414" s="97"/>
      <c r="G414" s="128"/>
    </row>
    <row r="415" spans="1:7" ht="41.4" x14ac:dyDescent="0.25">
      <c r="A415" s="39"/>
      <c r="B415" s="52" t="s">
        <v>514</v>
      </c>
      <c r="C415" s="41"/>
      <c r="D415" s="42"/>
      <c r="E415" s="190"/>
      <c r="F415" s="97"/>
      <c r="G415" s="128"/>
    </row>
    <row r="416" spans="1:7" x14ac:dyDescent="0.25">
      <c r="A416" s="187"/>
      <c r="B416" s="192"/>
      <c r="C416" s="188"/>
      <c r="D416" s="189"/>
      <c r="E416" s="190"/>
      <c r="F416" s="97"/>
      <c r="G416" s="128"/>
    </row>
    <row r="417" spans="1:7" x14ac:dyDescent="0.25">
      <c r="A417" s="39"/>
      <c r="B417" s="52" t="s">
        <v>515</v>
      </c>
      <c r="C417" s="41"/>
      <c r="D417" s="42"/>
      <c r="E417" s="190"/>
      <c r="F417" s="97"/>
      <c r="G417" s="128"/>
    </row>
    <row r="418" spans="1:7" x14ac:dyDescent="0.25">
      <c r="A418" s="187"/>
      <c r="B418" s="230"/>
      <c r="C418" s="188"/>
      <c r="D418" s="189"/>
      <c r="E418" s="190"/>
      <c r="F418" s="97"/>
      <c r="G418" s="128"/>
    </row>
    <row r="419" spans="1:7" x14ac:dyDescent="0.25">
      <c r="A419" s="39" t="s">
        <v>3</v>
      </c>
      <c r="B419" s="40" t="s">
        <v>427</v>
      </c>
      <c r="C419" s="41" t="s">
        <v>423</v>
      </c>
      <c r="D419" s="42" t="s">
        <v>11</v>
      </c>
      <c r="E419" s="190">
        <v>154.17117647058802</v>
      </c>
      <c r="F419" s="97">
        <f>C419*E419</f>
        <v>47176.379999999932</v>
      </c>
      <c r="G419" s="128" t="s">
        <v>1230</v>
      </c>
    </row>
    <row r="420" spans="1:7" x14ac:dyDescent="0.25">
      <c r="A420" s="187"/>
      <c r="B420" s="192"/>
      <c r="C420" s="188"/>
      <c r="D420" s="189"/>
      <c r="E420" s="190"/>
      <c r="F420" s="97"/>
      <c r="G420" s="128"/>
    </row>
    <row r="421" spans="1:7" x14ac:dyDescent="0.25">
      <c r="A421" s="39" t="s">
        <v>2</v>
      </c>
      <c r="B421" s="40" t="s">
        <v>132</v>
      </c>
      <c r="C421" s="41" t="s">
        <v>57</v>
      </c>
      <c r="D421" s="42" t="s">
        <v>11</v>
      </c>
      <c r="E421" s="190">
        <v>215.500909090909</v>
      </c>
      <c r="F421" s="97">
        <f>C421*E421</f>
        <v>14223.059999999994</v>
      </c>
      <c r="G421" s="128" t="s">
        <v>1230</v>
      </c>
    </row>
    <row r="422" spans="1:7" x14ac:dyDescent="0.25">
      <c r="A422" s="187"/>
      <c r="B422" s="192"/>
      <c r="C422" s="188"/>
      <c r="D422" s="189"/>
      <c r="E422" s="190"/>
      <c r="F422" s="97"/>
      <c r="G422" s="128"/>
    </row>
    <row r="423" spans="1:7" x14ac:dyDescent="0.25">
      <c r="A423" s="39" t="s">
        <v>5</v>
      </c>
      <c r="B423" s="40" t="s">
        <v>34</v>
      </c>
      <c r="C423" s="41" t="s">
        <v>105</v>
      </c>
      <c r="D423" s="42" t="s">
        <v>11</v>
      </c>
      <c r="E423" s="190">
        <v>308.33117117117104</v>
      </c>
      <c r="F423" s="97">
        <f>C423*E423</f>
        <v>68449.519999999975</v>
      </c>
      <c r="G423" s="128" t="s">
        <v>1230</v>
      </c>
    </row>
    <row r="424" spans="1:7" x14ac:dyDescent="0.25">
      <c r="A424" s="187"/>
      <c r="B424" s="192"/>
      <c r="C424" s="188"/>
      <c r="D424" s="189"/>
      <c r="E424" s="190"/>
      <c r="F424" s="97"/>
      <c r="G424" s="128"/>
    </row>
    <row r="425" spans="1:7" x14ac:dyDescent="0.25">
      <c r="A425" s="39" t="s">
        <v>8</v>
      </c>
      <c r="B425" s="40" t="s">
        <v>134</v>
      </c>
      <c r="C425" s="41" t="s">
        <v>93</v>
      </c>
      <c r="D425" s="42" t="s">
        <v>11</v>
      </c>
      <c r="E425" s="190">
        <v>512.36153846153798</v>
      </c>
      <c r="F425" s="97">
        <f>C425*E425</f>
        <v>6660.6999999999935</v>
      </c>
      <c r="G425" s="128" t="s">
        <v>1230</v>
      </c>
    </row>
    <row r="426" spans="1:7" x14ac:dyDescent="0.25">
      <c r="A426" s="187"/>
      <c r="B426" s="192"/>
      <c r="C426" s="188"/>
      <c r="D426" s="189"/>
      <c r="E426" s="190"/>
      <c r="F426" s="97"/>
      <c r="G426" s="128"/>
    </row>
    <row r="427" spans="1:7" x14ac:dyDescent="0.25">
      <c r="A427" s="39" t="s">
        <v>9</v>
      </c>
      <c r="B427" s="40" t="s">
        <v>130</v>
      </c>
      <c r="C427" s="41" t="s">
        <v>426</v>
      </c>
      <c r="D427" s="42" t="s">
        <v>11</v>
      </c>
      <c r="E427" s="190">
        <v>599.42508196721303</v>
      </c>
      <c r="F427" s="97">
        <f>C427*E427</f>
        <v>73129.859999999986</v>
      </c>
      <c r="G427" s="128" t="s">
        <v>1230</v>
      </c>
    </row>
    <row r="428" spans="1:7" x14ac:dyDescent="0.25">
      <c r="A428" s="187"/>
      <c r="B428" s="192"/>
      <c r="C428" s="188"/>
      <c r="D428" s="189"/>
      <c r="E428" s="190"/>
      <c r="F428" s="97"/>
      <c r="G428" s="128"/>
    </row>
    <row r="429" spans="1:7" x14ac:dyDescent="0.25">
      <c r="A429" s="39"/>
      <c r="B429" s="40"/>
      <c r="C429" s="41"/>
      <c r="D429" s="42"/>
      <c r="E429" s="190"/>
      <c r="F429" s="97"/>
      <c r="G429" s="128"/>
    </row>
    <row r="430" spans="1:7" x14ac:dyDescent="0.25">
      <c r="A430" s="187"/>
      <c r="B430" s="192"/>
      <c r="C430" s="188"/>
      <c r="D430" s="189"/>
      <c r="E430" s="190"/>
      <c r="F430" s="97"/>
      <c r="G430" s="128"/>
    </row>
    <row r="431" spans="1:7" x14ac:dyDescent="0.25">
      <c r="A431" s="39"/>
      <c r="B431" s="40"/>
      <c r="C431" s="41"/>
      <c r="D431" s="42"/>
      <c r="E431" s="190"/>
      <c r="F431" s="97"/>
      <c r="G431" s="128"/>
    </row>
    <row r="432" spans="1:7" x14ac:dyDescent="0.25">
      <c r="A432" s="39"/>
      <c r="B432" s="40"/>
      <c r="C432" s="41"/>
      <c r="D432" s="42"/>
      <c r="E432" s="190"/>
      <c r="F432" s="97"/>
      <c r="G432" s="128"/>
    </row>
    <row r="433" spans="1:7" x14ac:dyDescent="0.25">
      <c r="A433" s="187"/>
      <c r="B433" s="192"/>
      <c r="C433" s="188"/>
      <c r="D433" s="189"/>
      <c r="E433" s="190"/>
      <c r="F433" s="97"/>
      <c r="G433" s="128"/>
    </row>
    <row r="434" spans="1:7" x14ac:dyDescent="0.25">
      <c r="A434" s="39"/>
      <c r="B434" s="40"/>
      <c r="C434" s="41"/>
      <c r="D434" s="42"/>
      <c r="E434" s="190"/>
      <c r="F434" s="97"/>
      <c r="G434" s="128"/>
    </row>
    <row r="435" spans="1:7" x14ac:dyDescent="0.25">
      <c r="A435" s="187"/>
      <c r="B435" s="192"/>
      <c r="C435" s="188"/>
      <c r="D435" s="189"/>
      <c r="E435" s="190"/>
      <c r="F435" s="97"/>
      <c r="G435" s="128"/>
    </row>
    <row r="436" spans="1:7" x14ac:dyDescent="0.25">
      <c r="A436" s="193"/>
      <c r="B436" s="194"/>
      <c r="C436" s="195"/>
      <c r="D436" s="196"/>
      <c r="E436" s="117"/>
      <c r="F436" s="98"/>
      <c r="G436" s="130"/>
    </row>
    <row r="437" spans="1:7" x14ac:dyDescent="0.25">
      <c r="A437" s="197"/>
      <c r="B437" s="198"/>
      <c r="C437" s="199" t="s">
        <v>51</v>
      </c>
      <c r="D437" s="199"/>
      <c r="E437" s="200" t="s">
        <v>50</v>
      </c>
      <c r="F437" s="99">
        <f>SUM(F415:F434)</f>
        <v>209639.51999999987</v>
      </c>
      <c r="G437" s="131"/>
    </row>
    <row r="438" spans="1:7" x14ac:dyDescent="0.25">
      <c r="A438" s="197"/>
      <c r="B438" s="198"/>
      <c r="C438" s="201"/>
      <c r="D438" s="202"/>
      <c r="E438" s="118"/>
      <c r="F438" s="100"/>
      <c r="G438" s="132"/>
    </row>
    <row r="439" spans="1:7" x14ac:dyDescent="0.25">
      <c r="A439" s="187"/>
      <c r="B439" s="192"/>
      <c r="C439" s="188"/>
      <c r="D439" s="189"/>
      <c r="E439" s="190"/>
      <c r="F439" s="97"/>
      <c r="G439" s="128"/>
    </row>
    <row r="440" spans="1:7" x14ac:dyDescent="0.25">
      <c r="A440" s="187"/>
      <c r="B440" s="36" t="s">
        <v>516</v>
      </c>
      <c r="C440" s="188"/>
      <c r="D440" s="189"/>
      <c r="E440" s="190"/>
      <c r="F440" s="97"/>
      <c r="G440" s="128"/>
    </row>
    <row r="441" spans="1:7" x14ac:dyDescent="0.25">
      <c r="A441" s="187"/>
      <c r="B441" s="192"/>
      <c r="C441" s="188"/>
      <c r="D441" s="189"/>
      <c r="E441" s="190"/>
      <c r="F441" s="97"/>
      <c r="G441" s="128"/>
    </row>
    <row r="442" spans="1:7" x14ac:dyDescent="0.25">
      <c r="A442" s="39"/>
      <c r="B442" s="52" t="s">
        <v>517</v>
      </c>
      <c r="C442" s="41"/>
      <c r="D442" s="42"/>
      <c r="E442" s="190"/>
      <c r="F442" s="97"/>
      <c r="G442" s="128"/>
    </row>
    <row r="443" spans="1:7" x14ac:dyDescent="0.25">
      <c r="A443" s="187"/>
      <c r="B443" s="192"/>
      <c r="C443" s="188"/>
      <c r="D443" s="189"/>
      <c r="E443" s="190"/>
      <c r="F443" s="97"/>
      <c r="G443" s="128"/>
    </row>
    <row r="444" spans="1:7" x14ac:dyDescent="0.25">
      <c r="A444" s="39" t="s">
        <v>3</v>
      </c>
      <c r="B444" s="40" t="s">
        <v>425</v>
      </c>
      <c r="C444" s="41" t="s">
        <v>518</v>
      </c>
      <c r="D444" s="42" t="s">
        <v>11</v>
      </c>
      <c r="E444" s="190">
        <v>56.558500000000002</v>
      </c>
      <c r="F444" s="97">
        <f>C444*E444</f>
        <v>24885.74</v>
      </c>
      <c r="G444" s="128" t="s">
        <v>1230</v>
      </c>
    </row>
    <row r="445" spans="1:7" x14ac:dyDescent="0.25">
      <c r="A445" s="187"/>
      <c r="B445" s="192"/>
      <c r="C445" s="188"/>
      <c r="D445" s="189"/>
      <c r="E445" s="190"/>
      <c r="F445" s="97"/>
      <c r="G445" s="128"/>
    </row>
    <row r="446" spans="1:7" x14ac:dyDescent="0.25">
      <c r="A446" s="39" t="s">
        <v>2</v>
      </c>
      <c r="B446" s="40" t="s">
        <v>470</v>
      </c>
      <c r="C446" s="41" t="s">
        <v>211</v>
      </c>
      <c r="D446" s="42" t="s">
        <v>11</v>
      </c>
      <c r="E446" s="190">
        <v>69.769499999999994</v>
      </c>
      <c r="F446" s="97">
        <f>C446*E446</f>
        <v>5581.5599999999995</v>
      </c>
      <c r="G446" s="128" t="s">
        <v>1230</v>
      </c>
    </row>
    <row r="447" spans="1:7" x14ac:dyDescent="0.25">
      <c r="A447" s="187"/>
      <c r="B447" s="192"/>
      <c r="C447" s="188"/>
      <c r="D447" s="189"/>
      <c r="E447" s="190"/>
      <c r="F447" s="97"/>
      <c r="G447" s="128"/>
    </row>
    <row r="448" spans="1:7" x14ac:dyDescent="0.25">
      <c r="A448" s="39" t="s">
        <v>5</v>
      </c>
      <c r="B448" s="40" t="s">
        <v>472</v>
      </c>
      <c r="C448" s="41" t="s">
        <v>133</v>
      </c>
      <c r="D448" s="42" t="s">
        <v>11</v>
      </c>
      <c r="E448" s="190">
        <v>103.111797752809</v>
      </c>
      <c r="F448" s="97">
        <f>C448*E448</f>
        <v>9176.9500000000007</v>
      </c>
      <c r="G448" s="128" t="s">
        <v>1230</v>
      </c>
    </row>
    <row r="449" spans="1:7" x14ac:dyDescent="0.25">
      <c r="A449" s="187"/>
      <c r="B449" s="192"/>
      <c r="C449" s="188"/>
      <c r="D449" s="189"/>
      <c r="E449" s="190"/>
      <c r="F449" s="97"/>
      <c r="G449" s="128"/>
    </row>
    <row r="450" spans="1:7" x14ac:dyDescent="0.25">
      <c r="A450" s="39" t="s">
        <v>8</v>
      </c>
      <c r="B450" s="40" t="s">
        <v>415</v>
      </c>
      <c r="C450" s="41" t="s">
        <v>111</v>
      </c>
      <c r="D450" s="42" t="s">
        <v>11</v>
      </c>
      <c r="E450" s="190">
        <v>115.23521739130399</v>
      </c>
      <c r="F450" s="97">
        <f>C450*E450</f>
        <v>10601.639999999967</v>
      </c>
      <c r="G450" s="128" t="s">
        <v>1230</v>
      </c>
    </row>
    <row r="451" spans="1:7" x14ac:dyDescent="0.25">
      <c r="A451" s="187"/>
      <c r="B451" s="192"/>
      <c r="C451" s="188"/>
      <c r="D451" s="189"/>
      <c r="E451" s="190"/>
      <c r="F451" s="97"/>
      <c r="G451" s="128"/>
    </row>
    <row r="452" spans="1:7" x14ac:dyDescent="0.25">
      <c r="A452" s="39" t="s">
        <v>9</v>
      </c>
      <c r="B452" s="40" t="s">
        <v>427</v>
      </c>
      <c r="C452" s="41" t="s">
        <v>91</v>
      </c>
      <c r="D452" s="42" t="s">
        <v>11</v>
      </c>
      <c r="E452" s="190">
        <v>155.08360000000002</v>
      </c>
      <c r="F452" s="97">
        <f>C452*E452</f>
        <v>7754.1800000000012</v>
      </c>
      <c r="G452" s="128" t="s">
        <v>1230</v>
      </c>
    </row>
    <row r="453" spans="1:7" x14ac:dyDescent="0.25">
      <c r="A453" s="187"/>
      <c r="B453" s="192"/>
      <c r="C453" s="188"/>
      <c r="D453" s="189"/>
      <c r="E453" s="190"/>
      <c r="F453" s="97"/>
      <c r="G453" s="128"/>
    </row>
    <row r="454" spans="1:7" x14ac:dyDescent="0.25">
      <c r="A454" s="39" t="s">
        <v>10</v>
      </c>
      <c r="B454" s="40" t="s">
        <v>138</v>
      </c>
      <c r="C454" s="41" t="s">
        <v>519</v>
      </c>
      <c r="D454" s="42" t="s">
        <v>11</v>
      </c>
      <c r="E454" s="190">
        <v>186.80435294117598</v>
      </c>
      <c r="F454" s="97">
        <f>C454*E454</f>
        <v>15878.369999999959</v>
      </c>
      <c r="G454" s="128" t="s">
        <v>1230</v>
      </c>
    </row>
    <row r="455" spans="1:7" x14ac:dyDescent="0.25">
      <c r="A455" s="187"/>
      <c r="B455" s="192"/>
      <c r="C455" s="188"/>
      <c r="D455" s="189"/>
      <c r="E455" s="190"/>
      <c r="F455" s="97"/>
      <c r="G455" s="128"/>
    </row>
    <row r="456" spans="1:7" x14ac:dyDescent="0.25">
      <c r="A456" s="39" t="s">
        <v>12</v>
      </c>
      <c r="B456" s="40" t="s">
        <v>132</v>
      </c>
      <c r="C456" s="41" t="s">
        <v>95</v>
      </c>
      <c r="D456" s="42" t="s">
        <v>11</v>
      </c>
      <c r="E456" s="190">
        <v>213.87245283018899</v>
      </c>
      <c r="F456" s="97">
        <f>C456*E456</f>
        <v>11335.240000000016</v>
      </c>
      <c r="G456" s="128" t="s">
        <v>1230</v>
      </c>
    </row>
    <row r="457" spans="1:7" x14ac:dyDescent="0.25">
      <c r="A457" s="187"/>
      <c r="B457" s="192"/>
      <c r="C457" s="188"/>
      <c r="D457" s="189"/>
      <c r="E457" s="190"/>
      <c r="F457" s="97"/>
      <c r="G457" s="128"/>
    </row>
    <row r="458" spans="1:7" x14ac:dyDescent="0.25">
      <c r="A458" s="39" t="s">
        <v>13</v>
      </c>
      <c r="B458" s="40" t="s">
        <v>34</v>
      </c>
      <c r="C458" s="41" t="s">
        <v>72</v>
      </c>
      <c r="D458" s="42" t="s">
        <v>11</v>
      </c>
      <c r="E458" s="190">
        <v>306.24823529411805</v>
      </c>
      <c r="F458" s="97">
        <f>C458*E458</f>
        <v>10412.440000000013</v>
      </c>
      <c r="G458" s="128" t="s">
        <v>1230</v>
      </c>
    </row>
    <row r="459" spans="1:7" x14ac:dyDescent="0.25">
      <c r="A459" s="187"/>
      <c r="B459" s="192"/>
      <c r="C459" s="188"/>
      <c r="D459" s="189"/>
      <c r="E459" s="190"/>
      <c r="F459" s="97"/>
      <c r="G459" s="128"/>
    </row>
    <row r="460" spans="1:7" x14ac:dyDescent="0.25">
      <c r="A460" s="39" t="s">
        <v>16</v>
      </c>
      <c r="B460" s="40" t="s">
        <v>134</v>
      </c>
      <c r="C460" s="41" t="s">
        <v>520</v>
      </c>
      <c r="D460" s="42" t="s">
        <v>11</v>
      </c>
      <c r="E460" s="190">
        <v>523.16095238095204</v>
      </c>
      <c r="F460" s="97">
        <f>C460*E460</f>
        <v>21972.759999999987</v>
      </c>
      <c r="G460" s="128" t="s">
        <v>1230</v>
      </c>
    </row>
    <row r="461" spans="1:7" x14ac:dyDescent="0.25">
      <c r="A461" s="187"/>
      <c r="B461" s="192"/>
      <c r="C461" s="188"/>
      <c r="D461" s="189"/>
      <c r="E461" s="190"/>
      <c r="F461" s="97"/>
      <c r="G461" s="128"/>
    </row>
    <row r="462" spans="1:7" ht="27.6" x14ac:dyDescent="0.25">
      <c r="A462" s="39"/>
      <c r="B462" s="52" t="s">
        <v>521</v>
      </c>
      <c r="C462" s="41"/>
      <c r="D462" s="42"/>
      <c r="E462" s="190"/>
      <c r="F462" s="97"/>
      <c r="G462" s="128"/>
    </row>
    <row r="463" spans="1:7" x14ac:dyDescent="0.25">
      <c r="A463" s="187"/>
      <c r="B463" s="192"/>
      <c r="C463" s="188"/>
      <c r="D463" s="189"/>
      <c r="E463" s="190"/>
      <c r="F463" s="97"/>
      <c r="G463" s="128"/>
    </row>
    <row r="464" spans="1:7" x14ac:dyDescent="0.25">
      <c r="A464" s="39" t="s">
        <v>17</v>
      </c>
      <c r="B464" s="40" t="s">
        <v>522</v>
      </c>
      <c r="C464" s="41" t="s">
        <v>104</v>
      </c>
      <c r="D464" s="42" t="s">
        <v>15</v>
      </c>
      <c r="E464" s="190">
        <v>3789.13</v>
      </c>
      <c r="F464" s="97">
        <f>C464*E464</f>
        <v>3789.13</v>
      </c>
      <c r="G464" s="128" t="s">
        <v>1230</v>
      </c>
    </row>
    <row r="465" spans="1:7" x14ac:dyDescent="0.25">
      <c r="A465" s="187"/>
      <c r="B465" s="192"/>
      <c r="C465" s="188"/>
      <c r="D465" s="189"/>
      <c r="E465" s="190"/>
      <c r="F465" s="97"/>
      <c r="G465" s="128"/>
    </row>
    <row r="466" spans="1:7" x14ac:dyDescent="0.25">
      <c r="A466" s="39" t="s">
        <v>18</v>
      </c>
      <c r="B466" s="40" t="s">
        <v>523</v>
      </c>
      <c r="C466" s="41" t="s">
        <v>524</v>
      </c>
      <c r="D466" s="42" t="s">
        <v>15</v>
      </c>
      <c r="E466" s="190">
        <v>53.129403973509895</v>
      </c>
      <c r="F466" s="97">
        <f>C466*E466</f>
        <v>8022.5399999999945</v>
      </c>
      <c r="G466" s="128" t="s">
        <v>1230</v>
      </c>
    </row>
    <row r="467" spans="1:7" x14ac:dyDescent="0.25">
      <c r="A467" s="187"/>
      <c r="B467" s="192"/>
      <c r="C467" s="188"/>
      <c r="D467" s="189"/>
      <c r="E467" s="190"/>
      <c r="F467" s="97"/>
      <c r="G467" s="128"/>
    </row>
    <row r="468" spans="1:7" x14ac:dyDescent="0.25">
      <c r="A468" s="39" t="s">
        <v>19</v>
      </c>
      <c r="B468" s="40" t="s">
        <v>525</v>
      </c>
      <c r="C468" s="41" t="s">
        <v>67</v>
      </c>
      <c r="D468" s="42" t="s">
        <v>15</v>
      </c>
      <c r="E468" s="190">
        <v>50.25</v>
      </c>
      <c r="F468" s="97">
        <f>C468*E468</f>
        <v>502.5</v>
      </c>
      <c r="G468" s="128" t="s">
        <v>1230</v>
      </c>
    </row>
    <row r="469" spans="1:7" x14ac:dyDescent="0.25">
      <c r="A469" s="187"/>
      <c r="B469" s="192"/>
      <c r="C469" s="188"/>
      <c r="D469" s="189"/>
      <c r="E469" s="190"/>
      <c r="F469" s="97"/>
      <c r="G469" s="128"/>
    </row>
    <row r="470" spans="1:7" x14ac:dyDescent="0.25">
      <c r="A470" s="39" t="s">
        <v>22</v>
      </c>
      <c r="B470" s="40" t="s">
        <v>526</v>
      </c>
      <c r="C470" s="41" t="s">
        <v>527</v>
      </c>
      <c r="D470" s="42" t="s">
        <v>15</v>
      </c>
      <c r="E470" s="190">
        <v>34.290804020100502</v>
      </c>
      <c r="F470" s="97">
        <f>C470*E470</f>
        <v>20471.61</v>
      </c>
      <c r="G470" s="128" t="s">
        <v>1230</v>
      </c>
    </row>
    <row r="471" spans="1:7" x14ac:dyDescent="0.25">
      <c r="A471" s="187"/>
      <c r="B471" s="192"/>
      <c r="C471" s="188"/>
      <c r="D471" s="189"/>
      <c r="E471" s="190"/>
      <c r="F471" s="97"/>
      <c r="G471" s="128"/>
    </row>
    <row r="472" spans="1:7" x14ac:dyDescent="0.25">
      <c r="A472" s="39" t="s">
        <v>23</v>
      </c>
      <c r="B472" s="40" t="s">
        <v>528</v>
      </c>
      <c r="C472" s="41" t="s">
        <v>212</v>
      </c>
      <c r="D472" s="42" t="s">
        <v>15</v>
      </c>
      <c r="E472" s="190">
        <v>53.678333333333299</v>
      </c>
      <c r="F472" s="97">
        <f>C472*E472</f>
        <v>2576.5599999999986</v>
      </c>
      <c r="G472" s="128" t="s">
        <v>1230</v>
      </c>
    </row>
    <row r="473" spans="1:7" x14ac:dyDescent="0.25">
      <c r="A473" s="187"/>
      <c r="B473" s="192"/>
      <c r="C473" s="188"/>
      <c r="D473" s="189"/>
      <c r="E473" s="190"/>
      <c r="F473" s="97"/>
      <c r="G473" s="128"/>
    </row>
    <row r="474" spans="1:7" ht="55.2" x14ac:dyDescent="0.25">
      <c r="A474" s="39"/>
      <c r="B474" s="52" t="s">
        <v>529</v>
      </c>
      <c r="C474" s="41"/>
      <c r="D474" s="42"/>
      <c r="E474" s="190"/>
      <c r="F474" s="97"/>
      <c r="G474" s="128"/>
    </row>
    <row r="475" spans="1:7" x14ac:dyDescent="0.25">
      <c r="A475" s="187"/>
      <c r="B475" s="192"/>
      <c r="C475" s="188"/>
      <c r="D475" s="189"/>
      <c r="E475" s="190"/>
      <c r="F475" s="97"/>
      <c r="G475" s="128"/>
    </row>
    <row r="476" spans="1:7" ht="27.6" x14ac:dyDescent="0.25">
      <c r="A476" s="39" t="s">
        <v>25</v>
      </c>
      <c r="B476" s="40" t="s">
        <v>530</v>
      </c>
      <c r="C476" s="140" t="s">
        <v>488</v>
      </c>
      <c r="D476" s="141" t="s">
        <v>15</v>
      </c>
      <c r="E476" s="231">
        <v>5349.4824285714294</v>
      </c>
      <c r="F476" s="142">
        <f>C476*E476</f>
        <v>374463.77000000008</v>
      </c>
      <c r="G476" s="128" t="s">
        <v>1231</v>
      </c>
    </row>
    <row r="477" spans="1:7" x14ac:dyDescent="0.25">
      <c r="A477" s="187"/>
      <c r="B477" s="192"/>
      <c r="C477" s="188"/>
      <c r="D477" s="189"/>
      <c r="E477" s="190"/>
      <c r="F477" s="97"/>
      <c r="G477" s="128"/>
    </row>
    <row r="478" spans="1:7" x14ac:dyDescent="0.25">
      <c r="A478" s="39"/>
      <c r="B478" s="52" t="s">
        <v>531</v>
      </c>
      <c r="C478" s="41"/>
      <c r="D478" s="42"/>
      <c r="E478" s="190"/>
      <c r="F478" s="97"/>
      <c r="G478" s="128"/>
    </row>
    <row r="479" spans="1:7" x14ac:dyDescent="0.25">
      <c r="A479" s="187"/>
      <c r="B479" s="192"/>
      <c r="C479" s="188"/>
      <c r="D479" s="189"/>
      <c r="E479" s="190"/>
      <c r="F479" s="97"/>
      <c r="G479" s="128"/>
    </row>
    <row r="480" spans="1:7" x14ac:dyDescent="0.25">
      <c r="A480" s="39" t="s">
        <v>31</v>
      </c>
      <c r="B480" s="40" t="s">
        <v>532</v>
      </c>
      <c r="C480" s="41" t="s">
        <v>104</v>
      </c>
      <c r="D480" s="42" t="s">
        <v>15</v>
      </c>
      <c r="E480" s="190">
        <v>291.19</v>
      </c>
      <c r="F480" s="97">
        <f>C480*E480</f>
        <v>291.19</v>
      </c>
      <c r="G480" s="128"/>
    </row>
    <row r="481" spans="1:7" x14ac:dyDescent="0.25">
      <c r="A481" s="187"/>
      <c r="B481" s="192"/>
      <c r="C481" s="188"/>
      <c r="D481" s="189"/>
      <c r="E481" s="190"/>
      <c r="F481" s="97"/>
      <c r="G481" s="128"/>
    </row>
    <row r="482" spans="1:7" ht="26.4" x14ac:dyDescent="0.25">
      <c r="A482" s="187"/>
      <c r="B482" s="225" t="s">
        <v>1212</v>
      </c>
      <c r="C482" s="188"/>
      <c r="D482" s="189"/>
      <c r="E482" s="190"/>
      <c r="F482" s="97"/>
      <c r="G482" s="128"/>
    </row>
    <row r="483" spans="1:7" x14ac:dyDescent="0.25">
      <c r="A483" s="193"/>
      <c r="B483" s="194"/>
      <c r="C483" s="195"/>
      <c r="D483" s="196"/>
      <c r="E483" s="117"/>
      <c r="F483" s="98"/>
      <c r="G483" s="130"/>
    </row>
    <row r="484" spans="1:7" x14ac:dyDescent="0.25">
      <c r="A484" s="197"/>
      <c r="B484" s="198"/>
      <c r="C484" s="199" t="s">
        <v>51</v>
      </c>
      <c r="D484" s="199"/>
      <c r="E484" s="200" t="s">
        <v>50</v>
      </c>
      <c r="F484" s="99">
        <f>SUM(F442:F481)</f>
        <v>527716.17999999993</v>
      </c>
      <c r="G484" s="131"/>
    </row>
    <row r="485" spans="1:7" x14ac:dyDescent="0.25">
      <c r="A485" s="197"/>
      <c r="B485" s="198"/>
      <c r="C485" s="201"/>
      <c r="D485" s="202"/>
      <c r="E485" s="118"/>
      <c r="F485" s="100"/>
      <c r="G485" s="132"/>
    </row>
    <row r="486" spans="1:7" x14ac:dyDescent="0.25">
      <c r="A486" s="187"/>
      <c r="B486" s="192"/>
      <c r="C486" s="188"/>
      <c r="D486" s="189"/>
      <c r="E486" s="190"/>
      <c r="F486" s="97"/>
      <c r="G486" s="128"/>
    </row>
    <row r="487" spans="1:7" x14ac:dyDescent="0.25">
      <c r="A487" s="187"/>
      <c r="B487" s="36" t="s">
        <v>516</v>
      </c>
      <c r="C487" s="188"/>
      <c r="D487" s="189"/>
      <c r="E487" s="190"/>
      <c r="F487" s="97"/>
      <c r="G487" s="128"/>
    </row>
    <row r="488" spans="1:7" x14ac:dyDescent="0.25">
      <c r="A488" s="187"/>
      <c r="B488" s="191"/>
      <c r="C488" s="188"/>
      <c r="D488" s="189"/>
      <c r="E488" s="190"/>
      <c r="F488" s="97"/>
      <c r="G488" s="128"/>
    </row>
    <row r="489" spans="1:7" ht="55.2" x14ac:dyDescent="0.25">
      <c r="A489" s="39"/>
      <c r="B489" s="52" t="s">
        <v>533</v>
      </c>
      <c r="C489" s="41"/>
      <c r="D489" s="42"/>
      <c r="E489" s="190"/>
      <c r="F489" s="97"/>
      <c r="G489" s="128"/>
    </row>
    <row r="490" spans="1:7" x14ac:dyDescent="0.25">
      <c r="A490" s="187"/>
      <c r="B490" s="192"/>
      <c r="C490" s="188"/>
      <c r="D490" s="189"/>
      <c r="E490" s="190"/>
      <c r="F490" s="97"/>
      <c r="G490" s="128"/>
    </row>
    <row r="491" spans="1:7" x14ac:dyDescent="0.25">
      <c r="A491" s="39" t="s">
        <v>3</v>
      </c>
      <c r="B491" s="63" t="s">
        <v>534</v>
      </c>
      <c r="C491" s="41" t="s">
        <v>77</v>
      </c>
      <c r="D491" s="42" t="s">
        <v>535</v>
      </c>
      <c r="E491" s="190">
        <v>1787.22</v>
      </c>
      <c r="F491" s="97">
        <f>C491*E491</f>
        <v>78637.680000000008</v>
      </c>
      <c r="G491" s="128"/>
    </row>
    <row r="492" spans="1:7" x14ac:dyDescent="0.25">
      <c r="A492" s="39"/>
      <c r="B492" s="43"/>
      <c r="C492" s="41"/>
      <c r="D492" s="42"/>
      <c r="E492" s="190"/>
      <c r="F492" s="97"/>
      <c r="G492" s="128"/>
    </row>
    <row r="493" spans="1:7" x14ac:dyDescent="0.25">
      <c r="A493" s="187"/>
      <c r="B493" s="192"/>
      <c r="C493" s="188"/>
      <c r="D493" s="189"/>
      <c r="E493" s="190"/>
      <c r="F493" s="97"/>
      <c r="G493" s="128"/>
    </row>
    <row r="494" spans="1:7" x14ac:dyDescent="0.25">
      <c r="A494" s="39"/>
      <c r="B494" s="40"/>
      <c r="C494" s="41"/>
      <c r="D494" s="42"/>
      <c r="E494" s="190"/>
      <c r="F494" s="97"/>
      <c r="G494" s="128"/>
    </row>
    <row r="495" spans="1:7" x14ac:dyDescent="0.25">
      <c r="A495" s="187"/>
      <c r="B495" s="192"/>
      <c r="C495" s="188"/>
      <c r="D495" s="189"/>
      <c r="E495" s="190"/>
      <c r="F495" s="97"/>
      <c r="G495" s="128"/>
    </row>
    <row r="496" spans="1:7" x14ac:dyDescent="0.25">
      <c r="A496" s="39"/>
      <c r="B496" s="40"/>
      <c r="C496" s="41"/>
      <c r="D496" s="42"/>
      <c r="E496" s="190"/>
      <c r="F496" s="97"/>
      <c r="G496" s="128"/>
    </row>
    <row r="497" spans="1:7" x14ac:dyDescent="0.25">
      <c r="A497" s="187"/>
      <c r="B497" s="192"/>
      <c r="C497" s="188"/>
      <c r="D497" s="189"/>
      <c r="E497" s="190"/>
      <c r="F497" s="97"/>
      <c r="G497" s="128"/>
    </row>
    <row r="498" spans="1:7" x14ac:dyDescent="0.25">
      <c r="A498" s="39"/>
      <c r="B498" s="40"/>
      <c r="C498" s="41"/>
      <c r="D498" s="42"/>
      <c r="E498" s="190"/>
      <c r="F498" s="97"/>
      <c r="G498" s="128"/>
    </row>
    <row r="499" spans="1:7" x14ac:dyDescent="0.25">
      <c r="A499" s="187"/>
      <c r="B499" s="192"/>
      <c r="C499" s="188"/>
      <c r="D499" s="189"/>
      <c r="E499" s="190"/>
      <c r="F499" s="97"/>
      <c r="G499" s="128"/>
    </row>
    <row r="500" spans="1:7" x14ac:dyDescent="0.25">
      <c r="A500" s="39"/>
      <c r="B500" s="40"/>
      <c r="C500" s="41"/>
      <c r="D500" s="42"/>
      <c r="E500" s="190"/>
      <c r="F500" s="97"/>
      <c r="G500" s="128"/>
    </row>
    <row r="501" spans="1:7" x14ac:dyDescent="0.25">
      <c r="A501" s="187"/>
      <c r="B501" s="192"/>
      <c r="C501" s="188"/>
      <c r="D501" s="189"/>
      <c r="E501" s="190"/>
      <c r="F501" s="97"/>
      <c r="G501" s="128"/>
    </row>
    <row r="502" spans="1:7" x14ac:dyDescent="0.25">
      <c r="A502" s="39"/>
      <c r="B502" s="40"/>
      <c r="C502" s="41"/>
      <c r="D502" s="42"/>
      <c r="E502" s="190"/>
      <c r="F502" s="97"/>
      <c r="G502" s="128"/>
    </row>
    <row r="503" spans="1:7" x14ac:dyDescent="0.25">
      <c r="A503" s="187"/>
      <c r="B503" s="192"/>
      <c r="C503" s="188"/>
      <c r="D503" s="189"/>
      <c r="E503" s="190"/>
      <c r="F503" s="97"/>
      <c r="G503" s="128"/>
    </row>
    <row r="504" spans="1:7" x14ac:dyDescent="0.25">
      <c r="A504" s="39"/>
      <c r="B504" s="40"/>
      <c r="C504" s="41"/>
      <c r="D504" s="42"/>
      <c r="E504" s="190"/>
      <c r="F504" s="97"/>
      <c r="G504" s="128"/>
    </row>
    <row r="505" spans="1:7" x14ac:dyDescent="0.25">
      <c r="A505" s="187"/>
      <c r="B505" s="192"/>
      <c r="C505" s="188"/>
      <c r="D505" s="189"/>
      <c r="E505" s="190"/>
      <c r="F505" s="97"/>
      <c r="G505" s="128"/>
    </row>
    <row r="506" spans="1:7" x14ac:dyDescent="0.25">
      <c r="A506" s="39"/>
      <c r="B506" s="40"/>
      <c r="C506" s="41"/>
      <c r="D506" s="42"/>
      <c r="E506" s="190"/>
      <c r="F506" s="97"/>
      <c r="G506" s="128"/>
    </row>
    <row r="507" spans="1:7" x14ac:dyDescent="0.25">
      <c r="A507" s="187"/>
      <c r="B507" s="192"/>
      <c r="C507" s="188"/>
      <c r="D507" s="189"/>
      <c r="E507" s="190"/>
      <c r="F507" s="97"/>
      <c r="G507" s="128"/>
    </row>
    <row r="508" spans="1:7" x14ac:dyDescent="0.25">
      <c r="A508" s="39"/>
      <c r="B508" s="40"/>
      <c r="C508" s="41"/>
      <c r="D508" s="42"/>
      <c r="E508" s="190"/>
      <c r="F508" s="97"/>
      <c r="G508" s="128"/>
    </row>
    <row r="509" spans="1:7" x14ac:dyDescent="0.25">
      <c r="A509" s="187"/>
      <c r="B509" s="192"/>
      <c r="C509" s="188"/>
      <c r="D509" s="189"/>
      <c r="E509" s="190"/>
      <c r="F509" s="97"/>
      <c r="G509" s="128"/>
    </row>
    <row r="510" spans="1:7" x14ac:dyDescent="0.25">
      <c r="A510" s="39"/>
      <c r="B510" s="40"/>
      <c r="C510" s="41"/>
      <c r="D510" s="42"/>
      <c r="E510" s="190"/>
      <c r="F510" s="97"/>
      <c r="G510" s="128"/>
    </row>
    <row r="511" spans="1:7" x14ac:dyDescent="0.25">
      <c r="A511" s="187"/>
      <c r="B511" s="192"/>
      <c r="C511" s="188"/>
      <c r="D511" s="189"/>
      <c r="E511" s="190"/>
      <c r="F511" s="97"/>
      <c r="G511" s="128"/>
    </row>
    <row r="512" spans="1:7" x14ac:dyDescent="0.25">
      <c r="A512" s="39"/>
      <c r="B512" s="43"/>
      <c r="C512" s="41"/>
      <c r="D512" s="42"/>
      <c r="E512" s="190"/>
      <c r="F512" s="97"/>
      <c r="G512" s="128"/>
    </row>
    <row r="513" spans="1:7" x14ac:dyDescent="0.25">
      <c r="A513" s="187"/>
      <c r="B513" s="192"/>
      <c r="C513" s="188"/>
      <c r="D513" s="189"/>
      <c r="E513" s="190"/>
      <c r="F513" s="97"/>
      <c r="G513" s="128"/>
    </row>
    <row r="514" spans="1:7" x14ac:dyDescent="0.25">
      <c r="A514" s="39"/>
      <c r="B514" s="40"/>
      <c r="C514" s="41"/>
      <c r="D514" s="42"/>
      <c r="E514" s="190"/>
      <c r="F514" s="97"/>
      <c r="G514" s="128"/>
    </row>
    <row r="515" spans="1:7" x14ac:dyDescent="0.25">
      <c r="A515" s="187"/>
      <c r="B515" s="192"/>
      <c r="C515" s="188"/>
      <c r="D515" s="189"/>
      <c r="E515" s="190"/>
      <c r="F515" s="97"/>
      <c r="G515" s="128"/>
    </row>
    <row r="516" spans="1:7" x14ac:dyDescent="0.25">
      <c r="A516" s="39"/>
      <c r="B516" s="40"/>
      <c r="C516" s="41"/>
      <c r="D516" s="42"/>
      <c r="E516" s="190"/>
      <c r="F516" s="97"/>
      <c r="G516" s="128"/>
    </row>
    <row r="517" spans="1:7" x14ac:dyDescent="0.25">
      <c r="A517" s="187"/>
      <c r="B517" s="192"/>
      <c r="C517" s="188"/>
      <c r="D517" s="189"/>
      <c r="E517" s="190"/>
      <c r="F517" s="97"/>
      <c r="G517" s="128"/>
    </row>
    <row r="518" spans="1:7" x14ac:dyDescent="0.25">
      <c r="A518" s="39"/>
      <c r="B518" s="40"/>
      <c r="C518" s="41"/>
      <c r="D518" s="42"/>
      <c r="E518" s="190"/>
      <c r="F518" s="97"/>
      <c r="G518" s="128"/>
    </row>
    <row r="519" spans="1:7" x14ac:dyDescent="0.25">
      <c r="A519" s="187"/>
      <c r="B519" s="192"/>
      <c r="C519" s="188"/>
      <c r="D519" s="189"/>
      <c r="E519" s="190"/>
      <c r="F519" s="97"/>
      <c r="G519" s="128"/>
    </row>
    <row r="520" spans="1:7" x14ac:dyDescent="0.25">
      <c r="A520" s="187"/>
      <c r="B520" s="192"/>
      <c r="C520" s="188"/>
      <c r="D520" s="189"/>
      <c r="E520" s="190"/>
      <c r="F520" s="97"/>
      <c r="G520" s="128"/>
    </row>
    <row r="521" spans="1:7" x14ac:dyDescent="0.25">
      <c r="A521" s="187"/>
      <c r="B521" s="192"/>
      <c r="C521" s="188"/>
      <c r="D521" s="189"/>
      <c r="E521" s="190"/>
      <c r="F521" s="97"/>
      <c r="G521" s="128"/>
    </row>
    <row r="522" spans="1:7" x14ac:dyDescent="0.25">
      <c r="A522" s="187"/>
      <c r="B522" s="192"/>
      <c r="C522" s="188"/>
      <c r="D522" s="189"/>
      <c r="E522" s="190"/>
      <c r="F522" s="97"/>
      <c r="G522" s="128"/>
    </row>
    <row r="523" spans="1:7" x14ac:dyDescent="0.25">
      <c r="A523" s="187"/>
      <c r="B523" s="192"/>
      <c r="C523" s="188"/>
      <c r="D523" s="189"/>
      <c r="E523" s="190"/>
      <c r="F523" s="97"/>
      <c r="G523" s="128"/>
    </row>
    <row r="524" spans="1:7" x14ac:dyDescent="0.25">
      <c r="A524" s="187"/>
      <c r="B524" s="192"/>
      <c r="C524" s="188"/>
      <c r="D524" s="189"/>
      <c r="E524" s="190"/>
      <c r="F524" s="97"/>
      <c r="G524" s="128"/>
    </row>
    <row r="525" spans="1:7" x14ac:dyDescent="0.25">
      <c r="A525" s="187"/>
      <c r="B525" s="192"/>
      <c r="C525" s="188"/>
      <c r="D525" s="189"/>
      <c r="E525" s="190"/>
      <c r="F525" s="97"/>
      <c r="G525" s="128"/>
    </row>
    <row r="526" spans="1:7" x14ac:dyDescent="0.25">
      <c r="A526" s="187"/>
      <c r="B526" s="192"/>
      <c r="C526" s="188"/>
      <c r="D526" s="189"/>
      <c r="E526" s="190"/>
      <c r="F526" s="97"/>
      <c r="G526" s="128"/>
    </row>
    <row r="527" spans="1:7" x14ac:dyDescent="0.25">
      <c r="A527" s="187"/>
      <c r="B527" s="36"/>
      <c r="C527" s="188"/>
      <c r="D527" s="189"/>
      <c r="E527" s="190"/>
      <c r="F527" s="97"/>
      <c r="G527" s="128"/>
    </row>
    <row r="528" spans="1:7" x14ac:dyDescent="0.25">
      <c r="A528" s="39"/>
      <c r="B528" s="40"/>
      <c r="C528" s="41"/>
      <c r="D528" s="42"/>
      <c r="E528" s="190"/>
      <c r="F528" s="97"/>
      <c r="G528" s="128"/>
    </row>
    <row r="529" spans="1:7" x14ac:dyDescent="0.25">
      <c r="A529" s="187"/>
      <c r="B529" s="192"/>
      <c r="C529" s="188"/>
      <c r="D529" s="189"/>
      <c r="E529" s="190"/>
      <c r="F529" s="97"/>
      <c r="G529" s="128"/>
    </row>
    <row r="530" spans="1:7" x14ac:dyDescent="0.25">
      <c r="A530" s="39"/>
      <c r="B530" s="40"/>
      <c r="C530" s="41"/>
      <c r="D530" s="42"/>
      <c r="E530" s="190"/>
      <c r="F530" s="97"/>
      <c r="G530" s="128"/>
    </row>
    <row r="531" spans="1:7" x14ac:dyDescent="0.25">
      <c r="A531" s="193"/>
      <c r="B531" s="194"/>
      <c r="C531" s="195"/>
      <c r="D531" s="196"/>
      <c r="E531" s="117"/>
      <c r="F531" s="98"/>
      <c r="G531" s="130"/>
    </row>
    <row r="532" spans="1:7" x14ac:dyDescent="0.25">
      <c r="A532" s="197"/>
      <c r="B532" s="198"/>
      <c r="C532" s="199" t="s">
        <v>51</v>
      </c>
      <c r="D532" s="199"/>
      <c r="E532" s="200" t="s">
        <v>50</v>
      </c>
      <c r="F532" s="99">
        <f>SUM(F487:F511)</f>
        <v>78637.680000000008</v>
      </c>
      <c r="G532" s="131"/>
    </row>
    <row r="533" spans="1:7" x14ac:dyDescent="0.25">
      <c r="A533" s="197"/>
      <c r="B533" s="198"/>
      <c r="C533" s="201"/>
      <c r="D533" s="202"/>
      <c r="E533" s="118"/>
      <c r="F533" s="100"/>
      <c r="G533" s="132"/>
    </row>
    <row r="534" spans="1:7" x14ac:dyDescent="0.25">
      <c r="A534" s="187"/>
      <c r="B534" s="192"/>
      <c r="C534" s="188"/>
      <c r="D534" s="189"/>
      <c r="E534" s="190"/>
      <c r="F534" s="97"/>
      <c r="G534" s="128"/>
    </row>
    <row r="535" spans="1:7" x14ac:dyDescent="0.25">
      <c r="A535" s="187"/>
      <c r="B535" s="36" t="s">
        <v>536</v>
      </c>
      <c r="C535" s="188"/>
      <c r="D535" s="189"/>
      <c r="E535" s="190"/>
      <c r="F535" s="97"/>
      <c r="G535" s="128"/>
    </row>
    <row r="536" spans="1:7" x14ac:dyDescent="0.25">
      <c r="A536" s="187"/>
      <c r="B536" s="192"/>
      <c r="C536" s="188"/>
      <c r="D536" s="189"/>
      <c r="E536" s="190"/>
      <c r="F536" s="97"/>
      <c r="G536" s="128"/>
    </row>
    <row r="537" spans="1:7" x14ac:dyDescent="0.25">
      <c r="A537" s="39"/>
      <c r="B537" s="40" t="s">
        <v>406</v>
      </c>
      <c r="C537" s="41"/>
      <c r="D537" s="42"/>
      <c r="E537" s="190"/>
      <c r="F537" s="97"/>
      <c r="G537" s="128"/>
    </row>
    <row r="538" spans="1:7" x14ac:dyDescent="0.25">
      <c r="A538" s="187"/>
      <c r="B538" s="192"/>
      <c r="C538" s="188"/>
      <c r="D538" s="189"/>
      <c r="E538" s="190"/>
      <c r="F538" s="97"/>
      <c r="G538" s="128"/>
    </row>
    <row r="539" spans="1:7" ht="27.6" x14ac:dyDescent="0.25">
      <c r="A539" s="39"/>
      <c r="B539" s="40" t="s">
        <v>537</v>
      </c>
      <c r="C539" s="41"/>
      <c r="D539" s="42"/>
      <c r="E539" s="190"/>
      <c r="F539" s="97"/>
      <c r="G539" s="128"/>
    </row>
    <row r="540" spans="1:7" x14ac:dyDescent="0.25">
      <c r="A540" s="187"/>
      <c r="B540" s="192"/>
      <c r="C540" s="188"/>
      <c r="D540" s="189"/>
      <c r="E540" s="190"/>
      <c r="F540" s="97"/>
      <c r="G540" s="128"/>
    </row>
    <row r="541" spans="1:7" ht="27.6" x14ac:dyDescent="0.25">
      <c r="A541" s="39"/>
      <c r="B541" s="40" t="s">
        <v>538</v>
      </c>
      <c r="C541" s="41"/>
      <c r="D541" s="42"/>
      <c r="E541" s="190"/>
      <c r="F541" s="97"/>
      <c r="G541" s="128"/>
    </row>
    <row r="542" spans="1:7" x14ac:dyDescent="0.25">
      <c r="A542" s="187"/>
      <c r="B542" s="192"/>
      <c r="C542" s="188"/>
      <c r="D542" s="189"/>
      <c r="E542" s="190"/>
      <c r="F542" s="97"/>
      <c r="G542" s="128"/>
    </row>
    <row r="543" spans="1:7" ht="27.6" x14ac:dyDescent="0.25">
      <c r="A543" s="39"/>
      <c r="B543" s="40" t="s">
        <v>127</v>
      </c>
      <c r="C543" s="41"/>
      <c r="D543" s="42"/>
      <c r="E543" s="190"/>
      <c r="F543" s="97"/>
      <c r="G543" s="128"/>
    </row>
    <row r="544" spans="1:7" x14ac:dyDescent="0.25">
      <c r="A544" s="187"/>
      <c r="B544" s="192"/>
      <c r="C544" s="188"/>
      <c r="D544" s="189"/>
      <c r="E544" s="190"/>
      <c r="F544" s="97"/>
      <c r="G544" s="128"/>
    </row>
    <row r="545" spans="1:7" ht="27.6" x14ac:dyDescent="0.25">
      <c r="A545" s="39"/>
      <c r="B545" s="52" t="s">
        <v>539</v>
      </c>
      <c r="C545" s="41"/>
      <c r="D545" s="42"/>
      <c r="E545" s="190"/>
      <c r="F545" s="97"/>
      <c r="G545" s="128"/>
    </row>
    <row r="546" spans="1:7" x14ac:dyDescent="0.25">
      <c r="A546" s="187"/>
      <c r="B546" s="192"/>
      <c r="C546" s="188"/>
      <c r="D546" s="189"/>
      <c r="E546" s="190"/>
      <c r="F546" s="97"/>
      <c r="G546" s="128"/>
    </row>
    <row r="547" spans="1:7" x14ac:dyDescent="0.25">
      <c r="A547" s="39" t="s">
        <v>3</v>
      </c>
      <c r="B547" s="40" t="s">
        <v>470</v>
      </c>
      <c r="C547" s="41" t="s">
        <v>540</v>
      </c>
      <c r="D547" s="42" t="s">
        <v>11</v>
      </c>
      <c r="E547" s="190">
        <v>158.65</v>
      </c>
      <c r="F547" s="97">
        <f>C547*E547</f>
        <v>21417.75</v>
      </c>
      <c r="G547" s="128"/>
    </row>
    <row r="548" spans="1:7" x14ac:dyDescent="0.25">
      <c r="A548" s="187"/>
      <c r="B548" s="192"/>
      <c r="C548" s="188"/>
      <c r="D548" s="189"/>
      <c r="E548" s="190"/>
      <c r="F548" s="97"/>
      <c r="G548" s="128"/>
    </row>
    <row r="549" spans="1:7" x14ac:dyDescent="0.25">
      <c r="A549" s="39" t="s">
        <v>2</v>
      </c>
      <c r="B549" s="40" t="s">
        <v>472</v>
      </c>
      <c r="C549" s="41" t="s">
        <v>113</v>
      </c>
      <c r="D549" s="42" t="s">
        <v>11</v>
      </c>
      <c r="E549" s="190">
        <v>252.38</v>
      </c>
      <c r="F549" s="97">
        <f>C549*E549</f>
        <v>21704.68</v>
      </c>
      <c r="G549" s="128"/>
    </row>
    <row r="550" spans="1:7" x14ac:dyDescent="0.25">
      <c r="A550" s="187"/>
      <c r="B550" s="192"/>
      <c r="C550" s="188"/>
      <c r="D550" s="189"/>
      <c r="E550" s="190"/>
      <c r="F550" s="97"/>
      <c r="G550" s="128"/>
    </row>
    <row r="551" spans="1:7" x14ac:dyDescent="0.25">
      <c r="A551" s="39" t="s">
        <v>5</v>
      </c>
      <c r="B551" s="40" t="s">
        <v>415</v>
      </c>
      <c r="C551" s="41" t="s">
        <v>541</v>
      </c>
      <c r="D551" s="42" t="s">
        <v>11</v>
      </c>
      <c r="E551" s="190">
        <v>260.41000000000003</v>
      </c>
      <c r="F551" s="97">
        <f>C551*E551</f>
        <v>36457.4</v>
      </c>
      <c r="G551" s="128"/>
    </row>
    <row r="552" spans="1:7" x14ac:dyDescent="0.25">
      <c r="A552" s="187"/>
      <c r="B552" s="192"/>
      <c r="C552" s="188"/>
      <c r="D552" s="189"/>
      <c r="E552" s="190"/>
      <c r="F552" s="97"/>
      <c r="G552" s="128"/>
    </row>
    <row r="553" spans="1:7" x14ac:dyDescent="0.25">
      <c r="A553" s="39" t="s">
        <v>8</v>
      </c>
      <c r="B553" s="40" t="s">
        <v>427</v>
      </c>
      <c r="C553" s="41" t="s">
        <v>93</v>
      </c>
      <c r="D553" s="42" t="s">
        <v>11</v>
      </c>
      <c r="E553" s="190">
        <v>359.6</v>
      </c>
      <c r="F553" s="97">
        <f>C553*E553</f>
        <v>4674.8</v>
      </c>
      <c r="G553" s="128"/>
    </row>
    <row r="554" spans="1:7" x14ac:dyDescent="0.25">
      <c r="A554" s="187"/>
      <c r="B554" s="192"/>
      <c r="C554" s="188"/>
      <c r="D554" s="189"/>
      <c r="E554" s="190"/>
      <c r="F554" s="97"/>
      <c r="G554" s="128"/>
    </row>
    <row r="555" spans="1:7" x14ac:dyDescent="0.25">
      <c r="A555" s="39" t="s">
        <v>9</v>
      </c>
      <c r="B555" s="40" t="s">
        <v>542</v>
      </c>
      <c r="C555" s="41" t="s">
        <v>520</v>
      </c>
      <c r="D555" s="42" t="s">
        <v>11</v>
      </c>
      <c r="E555" s="190">
        <v>719.18</v>
      </c>
      <c r="F555" s="97">
        <f>C555*E555</f>
        <v>30205.559999999998</v>
      </c>
      <c r="G555" s="128"/>
    </row>
    <row r="556" spans="1:7" x14ac:dyDescent="0.25">
      <c r="A556" s="187"/>
      <c r="B556" s="192"/>
      <c r="C556" s="188"/>
      <c r="D556" s="189"/>
      <c r="E556" s="190"/>
      <c r="F556" s="97"/>
      <c r="G556" s="128"/>
    </row>
    <row r="557" spans="1:7" x14ac:dyDescent="0.25">
      <c r="A557" s="39" t="s">
        <v>10</v>
      </c>
      <c r="B557" s="40" t="s">
        <v>34</v>
      </c>
      <c r="C557" s="41" t="s">
        <v>299</v>
      </c>
      <c r="D557" s="42" t="s">
        <v>11</v>
      </c>
      <c r="E557" s="190">
        <v>719.18</v>
      </c>
      <c r="F557" s="97">
        <f>C557*E557</f>
        <v>94931.76</v>
      </c>
      <c r="G557" s="128"/>
    </row>
    <row r="558" spans="1:7" x14ac:dyDescent="0.25">
      <c r="A558" s="187"/>
      <c r="B558" s="192"/>
      <c r="C558" s="188"/>
      <c r="D558" s="189"/>
      <c r="E558" s="190"/>
      <c r="F558" s="97"/>
      <c r="G558" s="128"/>
    </row>
    <row r="559" spans="1:7" x14ac:dyDescent="0.25">
      <c r="A559" s="39" t="s">
        <v>12</v>
      </c>
      <c r="B559" s="40" t="s">
        <v>130</v>
      </c>
      <c r="C559" s="41" t="s">
        <v>109</v>
      </c>
      <c r="D559" s="42" t="s">
        <v>11</v>
      </c>
      <c r="E559" s="190">
        <v>1099.5899999999999</v>
      </c>
      <c r="F559" s="97">
        <f>C559*E559</f>
        <v>31888.109999999997</v>
      </c>
      <c r="G559" s="128"/>
    </row>
    <row r="560" spans="1:7" x14ac:dyDescent="0.25">
      <c r="A560" s="187"/>
      <c r="B560" s="192"/>
      <c r="C560" s="188"/>
      <c r="D560" s="189"/>
      <c r="E560" s="190"/>
      <c r="F560" s="97"/>
      <c r="G560" s="128"/>
    </row>
    <row r="561" spans="1:7" ht="27.6" x14ac:dyDescent="0.25">
      <c r="A561" s="39"/>
      <c r="B561" s="52" t="s">
        <v>482</v>
      </c>
      <c r="C561" s="41"/>
      <c r="D561" s="42"/>
      <c r="E561" s="190"/>
      <c r="F561" s="97"/>
      <c r="G561" s="128"/>
    </row>
    <row r="562" spans="1:7" x14ac:dyDescent="0.25">
      <c r="A562" s="187"/>
      <c r="B562" s="192"/>
      <c r="C562" s="188"/>
      <c r="D562" s="189"/>
      <c r="E562" s="190"/>
      <c r="F562" s="97"/>
      <c r="G562" s="128"/>
    </row>
    <row r="563" spans="1:7" x14ac:dyDescent="0.25">
      <c r="A563" s="39" t="s">
        <v>13</v>
      </c>
      <c r="B563" s="40" t="s">
        <v>484</v>
      </c>
      <c r="C563" s="41" t="s">
        <v>76</v>
      </c>
      <c r="D563" s="42" t="s">
        <v>15</v>
      </c>
      <c r="E563" s="190">
        <v>284.60000000000002</v>
      </c>
      <c r="F563" s="97">
        <f t="shared" ref="F563" si="0">C563*E563</f>
        <v>1423</v>
      </c>
      <c r="G563" s="128"/>
    </row>
    <row r="564" spans="1:7" x14ac:dyDescent="0.25">
      <c r="A564" s="187"/>
      <c r="B564" s="192"/>
      <c r="C564" s="188"/>
      <c r="D564" s="189"/>
      <c r="E564" s="190"/>
      <c r="F564" s="97"/>
      <c r="G564" s="128"/>
    </row>
    <row r="565" spans="1:7" x14ac:dyDescent="0.25">
      <c r="A565" s="39" t="s">
        <v>16</v>
      </c>
      <c r="B565" s="40" t="s">
        <v>485</v>
      </c>
      <c r="C565" s="41" t="s">
        <v>66</v>
      </c>
      <c r="D565" s="42" t="s">
        <v>15</v>
      </c>
      <c r="E565" s="190">
        <v>328.79</v>
      </c>
      <c r="F565" s="97">
        <f t="shared" ref="F565" si="1">C565*E565</f>
        <v>1315.16</v>
      </c>
      <c r="G565" s="128"/>
    </row>
    <row r="566" spans="1:7" x14ac:dyDescent="0.25">
      <c r="A566" s="187"/>
      <c r="B566" s="192"/>
      <c r="C566" s="188"/>
      <c r="D566" s="189"/>
      <c r="E566" s="190"/>
      <c r="F566" s="97"/>
      <c r="G566" s="128"/>
    </row>
    <row r="567" spans="1:7" x14ac:dyDescent="0.25">
      <c r="A567" s="187"/>
      <c r="B567" s="192"/>
      <c r="C567" s="188"/>
      <c r="D567" s="189"/>
      <c r="E567" s="190"/>
      <c r="F567" s="97"/>
      <c r="G567" s="128"/>
    </row>
    <row r="568" spans="1:7" x14ac:dyDescent="0.25">
      <c r="A568" s="187"/>
      <c r="B568" s="192"/>
      <c r="C568" s="188"/>
      <c r="D568" s="189"/>
      <c r="E568" s="190"/>
      <c r="F568" s="97"/>
      <c r="G568" s="128"/>
    </row>
    <row r="569" spans="1:7" x14ac:dyDescent="0.25">
      <c r="A569" s="187"/>
      <c r="B569" s="192"/>
      <c r="C569" s="188"/>
      <c r="D569" s="189"/>
      <c r="E569" s="190"/>
      <c r="F569" s="97"/>
      <c r="G569" s="128"/>
    </row>
    <row r="570" spans="1:7" x14ac:dyDescent="0.25">
      <c r="A570" s="187"/>
      <c r="B570" s="192"/>
      <c r="C570" s="188"/>
      <c r="D570" s="189"/>
      <c r="E570" s="190"/>
      <c r="F570" s="97"/>
      <c r="G570" s="128"/>
    </row>
    <row r="571" spans="1:7" x14ac:dyDescent="0.25">
      <c r="A571" s="187"/>
      <c r="B571" s="36"/>
      <c r="C571" s="188"/>
      <c r="D571" s="189"/>
      <c r="E571" s="190"/>
      <c r="F571" s="97"/>
      <c r="G571" s="128"/>
    </row>
    <row r="572" spans="1:7" x14ac:dyDescent="0.25">
      <c r="A572" s="187"/>
      <c r="B572" s="192"/>
      <c r="C572" s="188"/>
      <c r="D572" s="189"/>
      <c r="E572" s="190"/>
      <c r="F572" s="97"/>
      <c r="G572" s="128"/>
    </row>
    <row r="573" spans="1:7" x14ac:dyDescent="0.25">
      <c r="A573" s="39"/>
      <c r="B573" s="40"/>
      <c r="C573" s="41"/>
      <c r="D573" s="42"/>
      <c r="E573" s="190"/>
      <c r="F573" s="97"/>
      <c r="G573" s="128"/>
    </row>
    <row r="574" spans="1:7" x14ac:dyDescent="0.25">
      <c r="A574" s="187"/>
      <c r="B574" s="192"/>
      <c r="C574" s="188"/>
      <c r="D574" s="189"/>
      <c r="E574" s="190"/>
      <c r="F574" s="97"/>
      <c r="G574" s="128"/>
    </row>
    <row r="575" spans="1:7" x14ac:dyDescent="0.25">
      <c r="A575" s="39"/>
      <c r="B575" s="40"/>
      <c r="C575" s="41"/>
      <c r="D575" s="42"/>
      <c r="E575" s="190"/>
      <c r="F575" s="97"/>
      <c r="G575" s="128"/>
    </row>
    <row r="576" spans="1:7" x14ac:dyDescent="0.25">
      <c r="A576" s="193"/>
      <c r="B576" s="194"/>
      <c r="C576" s="195"/>
      <c r="D576" s="196"/>
      <c r="E576" s="117"/>
      <c r="F576" s="98"/>
      <c r="G576" s="130"/>
    </row>
    <row r="577" spans="1:7" x14ac:dyDescent="0.25">
      <c r="A577" s="197"/>
      <c r="B577" s="198"/>
      <c r="C577" s="199" t="s">
        <v>51</v>
      </c>
      <c r="D577" s="199"/>
      <c r="E577" s="200" t="s">
        <v>50</v>
      </c>
      <c r="F577" s="99">
        <f>SUM(F545:F573)</f>
        <v>244018.22</v>
      </c>
      <c r="G577" s="131"/>
    </row>
    <row r="578" spans="1:7" x14ac:dyDescent="0.25">
      <c r="A578" s="197"/>
      <c r="B578" s="198"/>
      <c r="C578" s="201"/>
      <c r="D578" s="202"/>
      <c r="E578" s="118"/>
      <c r="F578" s="100"/>
      <c r="G578" s="132"/>
    </row>
    <row r="579" spans="1:7" x14ac:dyDescent="0.25">
      <c r="A579" s="39"/>
      <c r="B579" s="40"/>
      <c r="C579" s="41"/>
      <c r="D579" s="42"/>
      <c r="E579" s="190"/>
      <c r="F579" s="97"/>
      <c r="G579" s="128"/>
    </row>
    <row r="580" spans="1:7" x14ac:dyDescent="0.25">
      <c r="A580" s="187"/>
      <c r="B580" s="36" t="s">
        <v>543</v>
      </c>
      <c r="C580" s="188"/>
      <c r="D580" s="189"/>
      <c r="E580" s="190"/>
      <c r="F580" s="97"/>
      <c r="G580" s="128"/>
    </row>
    <row r="581" spans="1:7" x14ac:dyDescent="0.25">
      <c r="A581" s="187"/>
      <c r="B581" s="192"/>
      <c r="C581" s="188"/>
      <c r="D581" s="189"/>
      <c r="E581" s="190"/>
      <c r="F581" s="97"/>
      <c r="G581" s="128"/>
    </row>
    <row r="582" spans="1:7" x14ac:dyDescent="0.25">
      <c r="A582" s="39"/>
      <c r="B582" s="40" t="s">
        <v>406</v>
      </c>
      <c r="C582" s="41"/>
      <c r="D582" s="42"/>
      <c r="E582" s="190"/>
      <c r="F582" s="97"/>
      <c r="G582" s="128"/>
    </row>
    <row r="583" spans="1:7" x14ac:dyDescent="0.25">
      <c r="A583" s="187"/>
      <c r="B583" s="192"/>
      <c r="C583" s="188"/>
      <c r="D583" s="189"/>
      <c r="E583" s="190"/>
      <c r="F583" s="97"/>
      <c r="G583" s="128"/>
    </row>
    <row r="584" spans="1:7" ht="55.2" x14ac:dyDescent="0.25">
      <c r="A584" s="39"/>
      <c r="B584" s="40" t="s">
        <v>544</v>
      </c>
      <c r="C584" s="41"/>
      <c r="D584" s="42"/>
      <c r="E584" s="190"/>
      <c r="F584" s="97"/>
      <c r="G584" s="128"/>
    </row>
    <row r="585" spans="1:7" x14ac:dyDescent="0.25">
      <c r="A585" s="187"/>
      <c r="B585" s="192"/>
      <c r="C585" s="188"/>
      <c r="D585" s="189"/>
      <c r="E585" s="190"/>
      <c r="F585" s="97"/>
      <c r="G585" s="128"/>
    </row>
    <row r="586" spans="1:7" ht="55.2" x14ac:dyDescent="0.25">
      <c r="A586" s="39"/>
      <c r="B586" s="40" t="s">
        <v>545</v>
      </c>
      <c r="C586" s="41"/>
      <c r="D586" s="42"/>
      <c r="E586" s="190"/>
      <c r="F586" s="97"/>
      <c r="G586" s="128"/>
    </row>
    <row r="587" spans="1:7" x14ac:dyDescent="0.25">
      <c r="A587" s="187"/>
      <c r="B587" s="192"/>
      <c r="C587" s="188"/>
      <c r="D587" s="189"/>
      <c r="E587" s="190"/>
      <c r="F587" s="97"/>
      <c r="G587" s="128"/>
    </row>
    <row r="588" spans="1:7" ht="27.6" x14ac:dyDescent="0.25">
      <c r="A588" s="39"/>
      <c r="B588" s="40" t="s">
        <v>127</v>
      </c>
      <c r="C588" s="41"/>
      <c r="D588" s="42"/>
      <c r="E588" s="190"/>
      <c r="F588" s="97"/>
      <c r="G588" s="128"/>
    </row>
    <row r="589" spans="1:7" x14ac:dyDescent="0.25">
      <c r="A589" s="187"/>
      <c r="B589" s="192"/>
      <c r="C589" s="188"/>
      <c r="D589" s="189"/>
      <c r="E589" s="190"/>
      <c r="F589" s="97"/>
      <c r="G589" s="128"/>
    </row>
    <row r="590" spans="1:7" ht="41.4" x14ac:dyDescent="0.25">
      <c r="A590" s="39"/>
      <c r="B590" s="52" t="s">
        <v>546</v>
      </c>
      <c r="C590" s="41"/>
      <c r="D590" s="42"/>
      <c r="E590" s="190"/>
      <c r="F590" s="97"/>
      <c r="G590" s="128"/>
    </row>
    <row r="591" spans="1:7" x14ac:dyDescent="0.25">
      <c r="A591" s="187"/>
      <c r="B591" s="192"/>
      <c r="C591" s="188"/>
      <c r="D591" s="189"/>
      <c r="E591" s="190"/>
      <c r="F591" s="97"/>
      <c r="G591" s="128"/>
    </row>
    <row r="592" spans="1:7" x14ac:dyDescent="0.25">
      <c r="A592" s="39" t="s">
        <v>3</v>
      </c>
      <c r="B592" s="40" t="s">
        <v>547</v>
      </c>
      <c r="C592" s="41" t="s">
        <v>548</v>
      </c>
      <c r="D592" s="42" t="s">
        <v>11</v>
      </c>
      <c r="E592" s="190">
        <v>51.29</v>
      </c>
      <c r="F592" s="97">
        <f t="shared" ref="F592" si="2">C592*E592</f>
        <v>59291.24</v>
      </c>
      <c r="G592" s="128" t="s">
        <v>1233</v>
      </c>
    </row>
    <row r="593" spans="1:7" x14ac:dyDescent="0.25">
      <c r="A593" s="187"/>
      <c r="B593" s="192"/>
      <c r="C593" s="188"/>
      <c r="D593" s="189"/>
      <c r="E593" s="190"/>
      <c r="F593" s="97"/>
      <c r="G593" s="128"/>
    </row>
    <row r="594" spans="1:7" x14ac:dyDescent="0.25">
      <c r="A594" s="39" t="s">
        <v>2</v>
      </c>
      <c r="B594" s="40" t="s">
        <v>549</v>
      </c>
      <c r="C594" s="41" t="s">
        <v>550</v>
      </c>
      <c r="D594" s="42" t="s">
        <v>11</v>
      </c>
      <c r="E594" s="190">
        <v>64.11</v>
      </c>
      <c r="F594" s="97">
        <f t="shared" ref="F594" si="3">C594*E594</f>
        <v>22694.94</v>
      </c>
      <c r="G594" s="128" t="s">
        <v>1233</v>
      </c>
    </row>
    <row r="595" spans="1:7" x14ac:dyDescent="0.25">
      <c r="A595" s="187"/>
      <c r="B595" s="192"/>
      <c r="C595" s="188"/>
      <c r="D595" s="189"/>
      <c r="E595" s="190"/>
      <c r="F595" s="97"/>
      <c r="G595" s="128"/>
    </row>
    <row r="596" spans="1:7" x14ac:dyDescent="0.25">
      <c r="A596" s="39" t="s">
        <v>5</v>
      </c>
      <c r="B596" s="40" t="s">
        <v>551</v>
      </c>
      <c r="C596" s="41" t="s">
        <v>552</v>
      </c>
      <c r="D596" s="42" t="s">
        <v>11</v>
      </c>
      <c r="E596" s="190">
        <v>64.11</v>
      </c>
      <c r="F596" s="97">
        <f t="shared" ref="F596" si="4">C596*E596</f>
        <v>28849.5</v>
      </c>
      <c r="G596" s="128" t="s">
        <v>1233</v>
      </c>
    </row>
    <row r="597" spans="1:7" x14ac:dyDescent="0.25">
      <c r="A597" s="187"/>
      <c r="B597" s="192"/>
      <c r="C597" s="188"/>
      <c r="D597" s="189"/>
      <c r="E597" s="190"/>
      <c r="F597" s="97"/>
      <c r="G597" s="128"/>
    </row>
    <row r="598" spans="1:7" x14ac:dyDescent="0.25">
      <c r="A598" s="39" t="s">
        <v>8</v>
      </c>
      <c r="B598" s="40" t="s">
        <v>553</v>
      </c>
      <c r="C598" s="41" t="s">
        <v>554</v>
      </c>
      <c r="D598" s="42" t="s">
        <v>11</v>
      </c>
      <c r="E598" s="190">
        <v>99.45</v>
      </c>
      <c r="F598" s="97">
        <f t="shared" ref="F598" si="5">C598*E598</f>
        <v>26453.7</v>
      </c>
      <c r="G598" s="128" t="s">
        <v>1233</v>
      </c>
    </row>
    <row r="599" spans="1:7" x14ac:dyDescent="0.25">
      <c r="A599" s="187"/>
      <c r="B599" s="192"/>
      <c r="C599" s="188"/>
      <c r="D599" s="189"/>
      <c r="E599" s="190"/>
      <c r="F599" s="97"/>
      <c r="G599" s="128"/>
    </row>
    <row r="600" spans="1:7" x14ac:dyDescent="0.25">
      <c r="A600" s="39" t="s">
        <v>9</v>
      </c>
      <c r="B600" s="40" t="s">
        <v>555</v>
      </c>
      <c r="C600" s="41" t="s">
        <v>556</v>
      </c>
      <c r="D600" s="42" t="s">
        <v>11</v>
      </c>
      <c r="E600" s="190">
        <v>120.68</v>
      </c>
      <c r="F600" s="97">
        <f t="shared" ref="F600" si="6">C600*E600</f>
        <v>28963.200000000001</v>
      </c>
      <c r="G600" s="128" t="s">
        <v>1233</v>
      </c>
    </row>
    <row r="601" spans="1:7" x14ac:dyDescent="0.25">
      <c r="A601" s="187"/>
      <c r="B601" s="192"/>
      <c r="C601" s="188"/>
      <c r="D601" s="189"/>
      <c r="E601" s="190"/>
      <c r="F601" s="97"/>
      <c r="G601" s="128"/>
    </row>
    <row r="602" spans="1:7" x14ac:dyDescent="0.25">
      <c r="A602" s="39" t="s">
        <v>10</v>
      </c>
      <c r="B602" s="40" t="s">
        <v>557</v>
      </c>
      <c r="C602" s="41" t="s">
        <v>558</v>
      </c>
      <c r="D602" s="42" t="s">
        <v>11</v>
      </c>
      <c r="E602" s="190">
        <v>226.57</v>
      </c>
      <c r="F602" s="97">
        <f t="shared" ref="F602" si="7">C602*E602</f>
        <v>28547.82</v>
      </c>
      <c r="G602" s="128" t="s">
        <v>1233</v>
      </c>
    </row>
    <row r="603" spans="1:7" x14ac:dyDescent="0.25">
      <c r="A603" s="187"/>
      <c r="B603" s="192"/>
      <c r="C603" s="188"/>
      <c r="D603" s="189"/>
      <c r="E603" s="190"/>
      <c r="F603" s="97"/>
      <c r="G603" s="128"/>
    </row>
    <row r="604" spans="1:7" x14ac:dyDescent="0.25">
      <c r="A604" s="39" t="s">
        <v>12</v>
      </c>
      <c r="B604" s="40" t="s">
        <v>559</v>
      </c>
      <c r="C604" s="41" t="s">
        <v>560</v>
      </c>
      <c r="D604" s="42" t="s">
        <v>11</v>
      </c>
      <c r="E604" s="190">
        <v>316.23</v>
      </c>
      <c r="F604" s="97">
        <f t="shared" ref="F604" si="8">C604*E604</f>
        <v>29409.390000000003</v>
      </c>
      <c r="G604" s="128" t="s">
        <v>1233</v>
      </c>
    </row>
    <row r="605" spans="1:7" x14ac:dyDescent="0.25">
      <c r="A605" s="187"/>
      <c r="B605" s="192"/>
      <c r="C605" s="188"/>
      <c r="D605" s="189"/>
      <c r="E605" s="190"/>
      <c r="F605" s="97"/>
      <c r="G605" s="128"/>
    </row>
    <row r="606" spans="1:7" x14ac:dyDescent="0.25">
      <c r="A606" s="39" t="s">
        <v>13</v>
      </c>
      <c r="B606" s="40" t="s">
        <v>561</v>
      </c>
      <c r="C606" s="41" t="s">
        <v>57</v>
      </c>
      <c r="D606" s="42" t="s">
        <v>11</v>
      </c>
      <c r="E606" s="190">
        <v>409.17</v>
      </c>
      <c r="F606" s="97">
        <f t="shared" ref="F606" si="9">C606*E606</f>
        <v>27005.22</v>
      </c>
      <c r="G606" s="128" t="s">
        <v>1233</v>
      </c>
    </row>
    <row r="607" spans="1:7" x14ac:dyDescent="0.25">
      <c r="A607" s="187"/>
      <c r="B607" s="192"/>
      <c r="C607" s="188"/>
      <c r="D607" s="189"/>
      <c r="E607" s="190"/>
      <c r="F607" s="97"/>
      <c r="G607" s="128"/>
    </row>
    <row r="608" spans="1:7" x14ac:dyDescent="0.25">
      <c r="A608" s="39" t="s">
        <v>16</v>
      </c>
      <c r="B608" s="40" t="s">
        <v>562</v>
      </c>
      <c r="C608" s="41" t="s">
        <v>294</v>
      </c>
      <c r="D608" s="42" t="s">
        <v>11</v>
      </c>
      <c r="E608" s="190">
        <v>409.17</v>
      </c>
      <c r="F608" s="97">
        <f t="shared" ref="F608" si="10">C608*E608</f>
        <v>116613.45000000001</v>
      </c>
      <c r="G608" s="128" t="s">
        <v>1233</v>
      </c>
    </row>
    <row r="609" spans="1:7" x14ac:dyDescent="0.25">
      <c r="A609" s="187"/>
      <c r="B609" s="192"/>
      <c r="C609" s="188"/>
      <c r="D609" s="189"/>
      <c r="E609" s="190"/>
      <c r="F609" s="97"/>
      <c r="G609" s="128"/>
    </row>
    <row r="610" spans="1:7" x14ac:dyDescent="0.25">
      <c r="A610" s="39" t="s">
        <v>17</v>
      </c>
      <c r="B610" s="40" t="s">
        <v>563</v>
      </c>
      <c r="C610" s="41" t="s">
        <v>62</v>
      </c>
      <c r="D610" s="42" t="s">
        <v>11</v>
      </c>
      <c r="E610" s="190">
        <v>587.87</v>
      </c>
      <c r="F610" s="97">
        <f t="shared" ref="F610" si="11">C610*E610</f>
        <v>26454.15</v>
      </c>
      <c r="G610" s="128" t="s">
        <v>1233</v>
      </c>
    </row>
    <row r="611" spans="1:7" x14ac:dyDescent="0.25">
      <c r="A611" s="187"/>
      <c r="B611" s="192"/>
      <c r="C611" s="188"/>
      <c r="D611" s="189"/>
      <c r="E611" s="190"/>
      <c r="F611" s="97"/>
      <c r="G611" s="128"/>
    </row>
    <row r="612" spans="1:7" x14ac:dyDescent="0.25">
      <c r="A612" s="39" t="s">
        <v>18</v>
      </c>
      <c r="B612" s="40" t="s">
        <v>564</v>
      </c>
      <c r="C612" s="41" t="s">
        <v>565</v>
      </c>
      <c r="D612" s="42" t="s">
        <v>11</v>
      </c>
      <c r="E612" s="190">
        <v>1349.31</v>
      </c>
      <c r="F612" s="97">
        <f t="shared" ref="F612" si="12">C612*E612</f>
        <v>225334.77</v>
      </c>
      <c r="G612" s="128" t="s">
        <v>1233</v>
      </c>
    </row>
    <row r="613" spans="1:7" x14ac:dyDescent="0.25">
      <c r="A613" s="187"/>
      <c r="B613" s="192"/>
      <c r="C613" s="188"/>
      <c r="D613" s="189"/>
      <c r="E613" s="190"/>
      <c r="F613" s="97"/>
      <c r="G613" s="128"/>
    </row>
    <row r="614" spans="1:7" x14ac:dyDescent="0.25">
      <c r="A614" s="39" t="s">
        <v>19</v>
      </c>
      <c r="B614" s="40" t="s">
        <v>566</v>
      </c>
      <c r="C614" s="41" t="s">
        <v>567</v>
      </c>
      <c r="D614" s="42" t="s">
        <v>11</v>
      </c>
      <c r="E614" s="190">
        <v>2006.83</v>
      </c>
      <c r="F614" s="97">
        <f t="shared" ref="F614" si="13">C614*E614</f>
        <v>590008.02</v>
      </c>
      <c r="G614" s="128" t="s">
        <v>1233</v>
      </c>
    </row>
    <row r="615" spans="1:7" x14ac:dyDescent="0.25">
      <c r="A615" s="187"/>
      <c r="B615" s="192"/>
      <c r="C615" s="188"/>
      <c r="D615" s="189"/>
      <c r="E615" s="190"/>
      <c r="F615" s="97"/>
      <c r="G615" s="128"/>
    </row>
    <row r="616" spans="1:7" x14ac:dyDescent="0.25">
      <c r="A616" s="39"/>
      <c r="B616" s="40"/>
      <c r="C616" s="41"/>
      <c r="D616" s="42"/>
      <c r="E616" s="190"/>
      <c r="F616" s="97"/>
      <c r="G616" s="128"/>
    </row>
    <row r="617" spans="1:7" x14ac:dyDescent="0.25">
      <c r="A617" s="193"/>
      <c r="B617" s="194"/>
      <c r="C617" s="195"/>
      <c r="D617" s="196"/>
      <c r="E617" s="117"/>
      <c r="F617" s="98"/>
      <c r="G617" s="130"/>
    </row>
    <row r="618" spans="1:7" x14ac:dyDescent="0.25">
      <c r="A618" s="197"/>
      <c r="B618" s="198"/>
      <c r="C618" s="199" t="s">
        <v>51</v>
      </c>
      <c r="D618" s="199"/>
      <c r="E618" s="200" t="s">
        <v>50</v>
      </c>
      <c r="F618" s="99">
        <f>SUM(F590:F616)</f>
        <v>1209625.4000000001</v>
      </c>
      <c r="G618" s="131"/>
    </row>
    <row r="619" spans="1:7" x14ac:dyDescent="0.25">
      <c r="A619" s="197"/>
      <c r="B619" s="198"/>
      <c r="C619" s="201"/>
      <c r="D619" s="202"/>
      <c r="E619" s="118"/>
      <c r="F619" s="100"/>
      <c r="G619" s="132"/>
    </row>
    <row r="620" spans="1:7" x14ac:dyDescent="0.25">
      <c r="A620" s="39"/>
      <c r="B620" s="40"/>
      <c r="C620" s="41"/>
      <c r="D620" s="42"/>
      <c r="E620" s="190"/>
      <c r="F620" s="97"/>
      <c r="G620" s="128"/>
    </row>
    <row r="621" spans="1:7" x14ac:dyDescent="0.25">
      <c r="A621" s="187"/>
      <c r="B621" s="36" t="s">
        <v>568</v>
      </c>
      <c r="C621" s="188"/>
      <c r="D621" s="189"/>
      <c r="E621" s="190"/>
      <c r="F621" s="97"/>
      <c r="G621" s="128"/>
    </row>
    <row r="622" spans="1:7" x14ac:dyDescent="0.25">
      <c r="A622" s="187"/>
      <c r="B622" s="192"/>
      <c r="C622" s="188"/>
      <c r="D622" s="189"/>
      <c r="E622" s="190"/>
      <c r="F622" s="97"/>
      <c r="G622" s="128"/>
    </row>
    <row r="623" spans="1:7" ht="55.2" x14ac:dyDescent="0.25">
      <c r="A623" s="39"/>
      <c r="B623" s="52" t="s">
        <v>569</v>
      </c>
      <c r="C623" s="41"/>
      <c r="D623" s="42"/>
      <c r="E623" s="190"/>
      <c r="F623" s="97"/>
      <c r="G623" s="128"/>
    </row>
    <row r="624" spans="1:7" x14ac:dyDescent="0.25">
      <c r="A624" s="187"/>
      <c r="B624" s="192"/>
      <c r="C624" s="188"/>
      <c r="D624" s="189"/>
      <c r="E624" s="190"/>
      <c r="F624" s="97"/>
      <c r="G624" s="128"/>
    </row>
    <row r="625" spans="1:7" x14ac:dyDescent="0.25">
      <c r="A625" s="39" t="s">
        <v>3</v>
      </c>
      <c r="B625" s="40" t="s">
        <v>547</v>
      </c>
      <c r="C625" s="41" t="s">
        <v>548</v>
      </c>
      <c r="D625" s="42" t="s">
        <v>11</v>
      </c>
      <c r="E625" s="190">
        <v>37.58</v>
      </c>
      <c r="F625" s="97">
        <f t="shared" ref="F625" si="14">C625*E625</f>
        <v>43442.479999999996</v>
      </c>
      <c r="G625" s="128"/>
    </row>
    <row r="626" spans="1:7" x14ac:dyDescent="0.25">
      <c r="A626" s="187"/>
      <c r="B626" s="192"/>
      <c r="C626" s="188"/>
      <c r="D626" s="189"/>
      <c r="E626" s="190"/>
      <c r="F626" s="97"/>
      <c r="G626" s="128"/>
    </row>
    <row r="627" spans="1:7" x14ac:dyDescent="0.25">
      <c r="A627" s="39" t="s">
        <v>2</v>
      </c>
      <c r="B627" s="40" t="s">
        <v>549</v>
      </c>
      <c r="C627" s="41" t="s">
        <v>550</v>
      </c>
      <c r="D627" s="42" t="s">
        <v>11</v>
      </c>
      <c r="E627" s="190">
        <v>40.43</v>
      </c>
      <c r="F627" s="97">
        <f t="shared" ref="F627" si="15">C627*E627</f>
        <v>14312.22</v>
      </c>
      <c r="G627" s="128"/>
    </row>
    <row r="628" spans="1:7" x14ac:dyDescent="0.25">
      <c r="A628" s="187"/>
      <c r="B628" s="192"/>
      <c r="C628" s="188"/>
      <c r="D628" s="189"/>
      <c r="E628" s="190"/>
      <c r="F628" s="97"/>
      <c r="G628" s="128"/>
    </row>
    <row r="629" spans="1:7" x14ac:dyDescent="0.25">
      <c r="A629" s="39" t="s">
        <v>5</v>
      </c>
      <c r="B629" s="40" t="s">
        <v>551</v>
      </c>
      <c r="C629" s="41" t="s">
        <v>552</v>
      </c>
      <c r="D629" s="42" t="s">
        <v>11</v>
      </c>
      <c r="E629" s="190">
        <v>44.85</v>
      </c>
      <c r="F629" s="97">
        <f t="shared" ref="F629" si="16">C629*E629</f>
        <v>20182.5</v>
      </c>
      <c r="G629" s="128"/>
    </row>
    <row r="630" spans="1:7" x14ac:dyDescent="0.25">
      <c r="A630" s="187"/>
      <c r="B630" s="192"/>
      <c r="C630" s="188"/>
      <c r="D630" s="189"/>
      <c r="E630" s="190"/>
      <c r="F630" s="97"/>
      <c r="G630" s="128"/>
    </row>
    <row r="631" spans="1:7" x14ac:dyDescent="0.25">
      <c r="A631" s="39" t="s">
        <v>8</v>
      </c>
      <c r="B631" s="40" t="s">
        <v>553</v>
      </c>
      <c r="C631" s="41" t="s">
        <v>554</v>
      </c>
      <c r="D631" s="42" t="s">
        <v>11</v>
      </c>
      <c r="E631" s="190">
        <v>47.79</v>
      </c>
      <c r="F631" s="97">
        <f t="shared" ref="F631" si="17">C631*E631</f>
        <v>12712.14</v>
      </c>
      <c r="G631" s="128"/>
    </row>
    <row r="632" spans="1:7" x14ac:dyDescent="0.25">
      <c r="A632" s="187"/>
      <c r="B632" s="192"/>
      <c r="C632" s="188"/>
      <c r="D632" s="189"/>
      <c r="E632" s="190"/>
      <c r="F632" s="97"/>
      <c r="G632" s="128"/>
    </row>
    <row r="633" spans="1:7" x14ac:dyDescent="0.25">
      <c r="A633" s="39" t="s">
        <v>9</v>
      </c>
      <c r="B633" s="40" t="s">
        <v>555</v>
      </c>
      <c r="C633" s="41" t="s">
        <v>556</v>
      </c>
      <c r="D633" s="42" t="s">
        <v>11</v>
      </c>
      <c r="E633" s="190">
        <v>52.01</v>
      </c>
      <c r="F633" s="97">
        <f t="shared" ref="F633" si="18">C633*E633</f>
        <v>12482.4</v>
      </c>
      <c r="G633" s="128"/>
    </row>
    <row r="634" spans="1:7" x14ac:dyDescent="0.25">
      <c r="A634" s="187"/>
      <c r="B634" s="192"/>
      <c r="C634" s="188"/>
      <c r="D634" s="189"/>
      <c r="E634" s="190"/>
      <c r="F634" s="97"/>
      <c r="G634" s="128"/>
    </row>
    <row r="635" spans="1:7" x14ac:dyDescent="0.25">
      <c r="A635" s="39" t="s">
        <v>10</v>
      </c>
      <c r="B635" s="40" t="s">
        <v>557</v>
      </c>
      <c r="C635" s="41" t="s">
        <v>558</v>
      </c>
      <c r="D635" s="42" t="s">
        <v>11</v>
      </c>
      <c r="E635" s="190">
        <v>57.91</v>
      </c>
      <c r="F635" s="97">
        <f t="shared" ref="F635" si="19">C635*E635</f>
        <v>7296.66</v>
      </c>
      <c r="G635" s="128"/>
    </row>
    <row r="636" spans="1:7" x14ac:dyDescent="0.25">
      <c r="A636" s="187"/>
      <c r="B636" s="192"/>
      <c r="C636" s="188"/>
      <c r="D636" s="189"/>
      <c r="E636" s="190"/>
      <c r="F636" s="97"/>
      <c r="G636" s="128"/>
    </row>
    <row r="637" spans="1:7" x14ac:dyDescent="0.25">
      <c r="A637" s="39" t="s">
        <v>12</v>
      </c>
      <c r="B637" s="40" t="s">
        <v>559</v>
      </c>
      <c r="C637" s="41" t="s">
        <v>560</v>
      </c>
      <c r="D637" s="42" t="s">
        <v>11</v>
      </c>
      <c r="E637" s="190">
        <v>63.58</v>
      </c>
      <c r="F637" s="97">
        <f t="shared" ref="F637" si="20">C637*E637</f>
        <v>5912.94</v>
      </c>
      <c r="G637" s="128"/>
    </row>
    <row r="638" spans="1:7" x14ac:dyDescent="0.25">
      <c r="A638" s="187"/>
      <c r="B638" s="192"/>
      <c r="C638" s="188"/>
      <c r="D638" s="189"/>
      <c r="E638" s="190"/>
      <c r="F638" s="97"/>
      <c r="G638" s="128"/>
    </row>
    <row r="639" spans="1:7" x14ac:dyDescent="0.25">
      <c r="A639" s="39" t="s">
        <v>13</v>
      </c>
      <c r="B639" s="40" t="s">
        <v>561</v>
      </c>
      <c r="C639" s="41" t="s">
        <v>57</v>
      </c>
      <c r="D639" s="42" t="s">
        <v>11</v>
      </c>
      <c r="E639" s="190">
        <v>74.790000000000006</v>
      </c>
      <c r="F639" s="97">
        <f t="shared" ref="F639" si="21">C639*E639</f>
        <v>4936.1400000000003</v>
      </c>
      <c r="G639" s="128"/>
    </row>
    <row r="640" spans="1:7" x14ac:dyDescent="0.25">
      <c r="A640" s="187"/>
      <c r="B640" s="192"/>
      <c r="C640" s="188"/>
      <c r="D640" s="189"/>
      <c r="E640" s="190"/>
      <c r="F640" s="97"/>
      <c r="G640" s="128"/>
    </row>
    <row r="641" spans="1:7" x14ac:dyDescent="0.25">
      <c r="A641" s="39" t="s">
        <v>16</v>
      </c>
      <c r="B641" s="40" t="s">
        <v>562</v>
      </c>
      <c r="C641" s="41" t="s">
        <v>294</v>
      </c>
      <c r="D641" s="42" t="s">
        <v>11</v>
      </c>
      <c r="E641" s="190">
        <v>74.790000000000006</v>
      </c>
      <c r="F641" s="97">
        <f t="shared" ref="F641" si="22">C641*E641</f>
        <v>21315.15</v>
      </c>
      <c r="G641" s="128"/>
    </row>
    <row r="642" spans="1:7" x14ac:dyDescent="0.25">
      <c r="A642" s="187"/>
      <c r="B642" s="192"/>
      <c r="C642" s="188"/>
      <c r="D642" s="189"/>
      <c r="E642" s="190"/>
      <c r="F642" s="97"/>
      <c r="G642" s="128"/>
    </row>
    <row r="643" spans="1:7" x14ac:dyDescent="0.25">
      <c r="A643" s="39" t="s">
        <v>17</v>
      </c>
      <c r="B643" s="40" t="s">
        <v>563</v>
      </c>
      <c r="C643" s="41" t="s">
        <v>62</v>
      </c>
      <c r="D643" s="42" t="s">
        <v>11</v>
      </c>
      <c r="E643" s="190">
        <v>92.1</v>
      </c>
      <c r="F643" s="97">
        <f t="shared" ref="F643" si="23">C643*E643</f>
        <v>4144.5</v>
      </c>
      <c r="G643" s="128"/>
    </row>
    <row r="644" spans="1:7" x14ac:dyDescent="0.25">
      <c r="A644" s="187"/>
      <c r="B644" s="192"/>
      <c r="C644" s="188"/>
      <c r="D644" s="189"/>
      <c r="E644" s="190"/>
      <c r="F644" s="97"/>
      <c r="G644" s="128"/>
    </row>
    <row r="645" spans="1:7" x14ac:dyDescent="0.25">
      <c r="A645" s="39" t="s">
        <v>18</v>
      </c>
      <c r="B645" s="40" t="s">
        <v>564</v>
      </c>
      <c r="C645" s="41" t="s">
        <v>565</v>
      </c>
      <c r="D645" s="42" t="s">
        <v>11</v>
      </c>
      <c r="E645" s="190">
        <v>158.22</v>
      </c>
      <c r="F645" s="97">
        <f t="shared" ref="F645" si="24">C645*E645</f>
        <v>26422.74</v>
      </c>
      <c r="G645" s="128"/>
    </row>
    <row r="646" spans="1:7" x14ac:dyDescent="0.25">
      <c r="A646" s="187"/>
      <c r="B646" s="192"/>
      <c r="C646" s="188"/>
      <c r="D646" s="189"/>
      <c r="E646" s="190"/>
      <c r="F646" s="97"/>
      <c r="G646" s="128"/>
    </row>
    <row r="647" spans="1:7" x14ac:dyDescent="0.25">
      <c r="A647" s="39" t="s">
        <v>19</v>
      </c>
      <c r="B647" s="40" t="s">
        <v>566</v>
      </c>
      <c r="C647" s="41" t="s">
        <v>567</v>
      </c>
      <c r="D647" s="42" t="s">
        <v>11</v>
      </c>
      <c r="E647" s="190">
        <v>212.72</v>
      </c>
      <c r="F647" s="97">
        <f t="shared" ref="F647" si="25">C647*E647</f>
        <v>62539.68</v>
      </c>
      <c r="G647" s="128"/>
    </row>
    <row r="648" spans="1:7" x14ac:dyDescent="0.25">
      <c r="A648" s="187"/>
      <c r="B648" s="192"/>
      <c r="C648" s="188"/>
      <c r="D648" s="189"/>
      <c r="E648" s="190"/>
      <c r="F648" s="97"/>
      <c r="G648" s="128"/>
    </row>
    <row r="649" spans="1:7" ht="55.2" x14ac:dyDescent="0.25">
      <c r="A649" s="39"/>
      <c r="B649" s="52" t="s">
        <v>570</v>
      </c>
      <c r="C649" s="41"/>
      <c r="D649" s="42"/>
      <c r="E649" s="190"/>
      <c r="F649" s="97"/>
      <c r="G649" s="128"/>
    </row>
    <row r="650" spans="1:7" x14ac:dyDescent="0.25">
      <c r="A650" s="187"/>
      <c r="B650" s="192"/>
      <c r="C650" s="188"/>
      <c r="D650" s="189"/>
      <c r="E650" s="190"/>
      <c r="F650" s="97"/>
      <c r="G650" s="128"/>
    </row>
    <row r="651" spans="1:7" x14ac:dyDescent="0.25">
      <c r="A651" s="39" t="s">
        <v>22</v>
      </c>
      <c r="B651" s="40" t="s">
        <v>571</v>
      </c>
      <c r="C651" s="41" t="s">
        <v>572</v>
      </c>
      <c r="D651" s="42" t="s">
        <v>4</v>
      </c>
      <c r="E651" s="190">
        <v>128.94999999999999</v>
      </c>
      <c r="F651" s="97">
        <f t="shared" ref="F651" si="26">C651*E651</f>
        <v>51193.149999999994</v>
      </c>
      <c r="G651" s="128"/>
    </row>
    <row r="652" spans="1:7" x14ac:dyDescent="0.25">
      <c r="A652" s="187"/>
      <c r="B652" s="192"/>
      <c r="C652" s="188"/>
      <c r="D652" s="189"/>
      <c r="E652" s="190"/>
      <c r="F652" s="97"/>
      <c r="G652" s="128"/>
    </row>
    <row r="653" spans="1:7" x14ac:dyDescent="0.25">
      <c r="A653" s="39" t="s">
        <v>23</v>
      </c>
      <c r="B653" s="40" t="s">
        <v>573</v>
      </c>
      <c r="C653" s="41" t="s">
        <v>574</v>
      </c>
      <c r="D653" s="42" t="s">
        <v>4</v>
      </c>
      <c r="E653" s="190">
        <v>128.94999999999999</v>
      </c>
      <c r="F653" s="97">
        <f t="shared" ref="F653" si="27">C653*E653</f>
        <v>26950.55</v>
      </c>
      <c r="G653" s="128"/>
    </row>
    <row r="654" spans="1:7" x14ac:dyDescent="0.25">
      <c r="A654" s="187"/>
      <c r="B654" s="192"/>
      <c r="C654" s="188"/>
      <c r="D654" s="189"/>
      <c r="E654" s="190"/>
      <c r="F654" s="97"/>
      <c r="G654" s="128"/>
    </row>
    <row r="655" spans="1:7" x14ac:dyDescent="0.25">
      <c r="A655" s="39" t="s">
        <v>25</v>
      </c>
      <c r="B655" s="40" t="s">
        <v>575</v>
      </c>
      <c r="C655" s="41" t="s">
        <v>576</v>
      </c>
      <c r="D655" s="42" t="s">
        <v>4</v>
      </c>
      <c r="E655" s="190">
        <v>128.94999999999999</v>
      </c>
      <c r="F655" s="97">
        <f t="shared" ref="F655" si="28">C655*E655</f>
        <v>38427.1</v>
      </c>
      <c r="G655" s="128"/>
    </row>
    <row r="656" spans="1:7" x14ac:dyDescent="0.25">
      <c r="A656" s="187"/>
      <c r="B656" s="192"/>
      <c r="C656" s="188"/>
      <c r="D656" s="189"/>
      <c r="E656" s="190"/>
      <c r="F656" s="97"/>
      <c r="G656" s="128"/>
    </row>
    <row r="657" spans="1:7" x14ac:dyDescent="0.25">
      <c r="A657" s="39" t="s">
        <v>31</v>
      </c>
      <c r="B657" s="40" t="s">
        <v>577</v>
      </c>
      <c r="C657" s="41" t="s">
        <v>578</v>
      </c>
      <c r="D657" s="42" t="s">
        <v>4</v>
      </c>
      <c r="E657" s="190">
        <v>128.94999999999999</v>
      </c>
      <c r="F657" s="97">
        <f t="shared" ref="F657" si="29">C657*E657</f>
        <v>86783.349999999991</v>
      </c>
      <c r="G657" s="128"/>
    </row>
    <row r="658" spans="1:7" x14ac:dyDescent="0.25">
      <c r="A658" s="187"/>
      <c r="B658" s="191"/>
      <c r="C658" s="188"/>
      <c r="D658" s="189"/>
      <c r="E658" s="190"/>
      <c r="F658" s="97"/>
      <c r="G658" s="128"/>
    </row>
    <row r="659" spans="1:7" x14ac:dyDescent="0.25">
      <c r="A659" s="39"/>
      <c r="B659" s="43"/>
      <c r="C659" s="41"/>
      <c r="D659" s="42"/>
      <c r="E659" s="190"/>
      <c r="F659" s="97"/>
      <c r="G659" s="128"/>
    </row>
    <row r="660" spans="1:7" x14ac:dyDescent="0.25">
      <c r="A660" s="187"/>
      <c r="B660" s="192"/>
      <c r="C660" s="188"/>
      <c r="D660" s="189"/>
      <c r="E660" s="190"/>
      <c r="F660" s="97"/>
      <c r="G660" s="128"/>
    </row>
    <row r="661" spans="1:7" x14ac:dyDescent="0.25">
      <c r="A661" s="39"/>
      <c r="B661" s="40"/>
      <c r="C661" s="41"/>
      <c r="D661" s="42"/>
      <c r="E661" s="190"/>
      <c r="F661" s="97"/>
      <c r="G661" s="128"/>
    </row>
    <row r="662" spans="1:7" x14ac:dyDescent="0.25">
      <c r="A662" s="193"/>
      <c r="B662" s="194"/>
      <c r="C662" s="195"/>
      <c r="D662" s="196"/>
      <c r="E662" s="117"/>
      <c r="F662" s="98"/>
      <c r="G662" s="130"/>
    </row>
    <row r="663" spans="1:7" x14ac:dyDescent="0.25">
      <c r="A663" s="197"/>
      <c r="B663" s="198"/>
      <c r="C663" s="199" t="s">
        <v>51</v>
      </c>
      <c r="D663" s="199"/>
      <c r="E663" s="200" t="s">
        <v>50</v>
      </c>
      <c r="F663" s="99">
        <f>SUM(F623:F659)</f>
        <v>439053.6999999999</v>
      </c>
      <c r="G663" s="131"/>
    </row>
    <row r="664" spans="1:7" x14ac:dyDescent="0.25">
      <c r="A664" s="197"/>
      <c r="B664" s="198"/>
      <c r="C664" s="201"/>
      <c r="D664" s="202"/>
      <c r="E664" s="118"/>
      <c r="F664" s="100"/>
      <c r="G664" s="132"/>
    </row>
    <row r="665" spans="1:7" x14ac:dyDescent="0.25">
      <c r="A665" s="39"/>
      <c r="B665" s="40"/>
      <c r="C665" s="41"/>
      <c r="D665" s="42"/>
      <c r="E665" s="190"/>
      <c r="F665" s="97"/>
      <c r="G665" s="128"/>
    </row>
    <row r="666" spans="1:7" x14ac:dyDescent="0.25">
      <c r="A666" s="187"/>
      <c r="B666" s="36" t="s">
        <v>568</v>
      </c>
      <c r="C666" s="188"/>
      <c r="D666" s="189"/>
      <c r="E666" s="190"/>
      <c r="F666" s="97"/>
      <c r="G666" s="128"/>
    </row>
    <row r="667" spans="1:7" x14ac:dyDescent="0.25">
      <c r="A667" s="187"/>
      <c r="B667" s="191"/>
      <c r="C667" s="188"/>
      <c r="D667" s="189"/>
      <c r="E667" s="190"/>
      <c r="F667" s="97"/>
      <c r="G667" s="128"/>
    </row>
    <row r="668" spans="1:7" x14ac:dyDescent="0.25">
      <c r="A668" s="39" t="s">
        <v>3</v>
      </c>
      <c r="B668" s="40" t="s">
        <v>579</v>
      </c>
      <c r="C668" s="41" t="s">
        <v>580</v>
      </c>
      <c r="D668" s="42" t="s">
        <v>4</v>
      </c>
      <c r="E668" s="190">
        <v>128.94999999999999</v>
      </c>
      <c r="F668" s="97">
        <f t="shared" ref="F668" si="30">C668*E668</f>
        <v>50677.35</v>
      </c>
      <c r="G668" s="128"/>
    </row>
    <row r="669" spans="1:7" x14ac:dyDescent="0.25">
      <c r="A669" s="187"/>
      <c r="B669" s="192"/>
      <c r="C669" s="188"/>
      <c r="D669" s="189"/>
      <c r="E669" s="190"/>
      <c r="F669" s="97"/>
      <c r="G669" s="128"/>
    </row>
    <row r="670" spans="1:7" x14ac:dyDescent="0.25">
      <c r="A670" s="39" t="s">
        <v>2</v>
      </c>
      <c r="B670" s="40" t="s">
        <v>581</v>
      </c>
      <c r="C670" s="41" t="s">
        <v>582</v>
      </c>
      <c r="D670" s="42" t="s">
        <v>4</v>
      </c>
      <c r="E670" s="190">
        <v>423.63</v>
      </c>
      <c r="F670" s="97">
        <f t="shared" ref="F670" si="31">C670*E670</f>
        <v>780750.09</v>
      </c>
      <c r="G670" s="128"/>
    </row>
    <row r="671" spans="1:7" x14ac:dyDescent="0.25">
      <c r="A671" s="187"/>
      <c r="B671" s="192"/>
      <c r="C671" s="188"/>
      <c r="D671" s="189"/>
      <c r="E671" s="190"/>
      <c r="F671" s="97"/>
      <c r="G671" s="128"/>
    </row>
    <row r="672" spans="1:7" x14ac:dyDescent="0.25">
      <c r="A672" s="39" t="s">
        <v>5</v>
      </c>
      <c r="B672" s="40" t="s">
        <v>583</v>
      </c>
      <c r="C672" s="41" t="s">
        <v>584</v>
      </c>
      <c r="D672" s="42" t="s">
        <v>4</v>
      </c>
      <c r="E672" s="190">
        <v>423.63</v>
      </c>
      <c r="F672" s="97">
        <f t="shared" ref="F672" si="32">C672*E672</f>
        <v>526995.72</v>
      </c>
      <c r="G672" s="128"/>
    </row>
    <row r="673" spans="1:7" x14ac:dyDescent="0.25">
      <c r="A673" s="187"/>
      <c r="B673" s="192"/>
      <c r="C673" s="188"/>
      <c r="D673" s="189"/>
      <c r="E673" s="190"/>
      <c r="F673" s="97"/>
      <c r="G673" s="128"/>
    </row>
    <row r="674" spans="1:7" ht="27.6" x14ac:dyDescent="0.25">
      <c r="A674" s="39"/>
      <c r="B674" s="52" t="s">
        <v>585</v>
      </c>
      <c r="C674" s="41"/>
      <c r="D674" s="42"/>
      <c r="E674" s="190"/>
      <c r="F674" s="97"/>
      <c r="G674" s="128"/>
    </row>
    <row r="675" spans="1:7" x14ac:dyDescent="0.25">
      <c r="A675" s="187"/>
      <c r="B675" s="192"/>
      <c r="C675" s="188"/>
      <c r="D675" s="189"/>
      <c r="E675" s="190"/>
      <c r="F675" s="97"/>
      <c r="G675" s="128"/>
    </row>
    <row r="676" spans="1:7" x14ac:dyDescent="0.25">
      <c r="A676" s="39"/>
      <c r="B676" s="52" t="s">
        <v>586</v>
      </c>
      <c r="C676" s="41"/>
      <c r="D676" s="42"/>
      <c r="E676" s="190"/>
      <c r="F676" s="97"/>
      <c r="G676" s="128"/>
    </row>
    <row r="677" spans="1:7" x14ac:dyDescent="0.25">
      <c r="A677" s="187"/>
      <c r="B677" s="192"/>
      <c r="C677" s="188"/>
      <c r="D677" s="189"/>
      <c r="E677" s="190"/>
      <c r="F677" s="97"/>
      <c r="G677" s="128"/>
    </row>
    <row r="678" spans="1:7" x14ac:dyDescent="0.25">
      <c r="A678" s="39" t="s">
        <v>8</v>
      </c>
      <c r="B678" s="40" t="s">
        <v>130</v>
      </c>
      <c r="C678" s="41" t="s">
        <v>104</v>
      </c>
      <c r="D678" s="42" t="s">
        <v>15</v>
      </c>
      <c r="E678" s="190">
        <v>155.16999999999999</v>
      </c>
      <c r="F678" s="97">
        <f t="shared" ref="F678" si="33">C678*E678</f>
        <v>155.16999999999999</v>
      </c>
      <c r="G678" s="128"/>
    </row>
    <row r="679" spans="1:7" x14ac:dyDescent="0.25">
      <c r="A679" s="187"/>
      <c r="B679" s="192"/>
      <c r="C679" s="188"/>
      <c r="D679" s="189"/>
      <c r="E679" s="190"/>
      <c r="F679" s="97"/>
      <c r="G679" s="128"/>
    </row>
    <row r="680" spans="1:7" x14ac:dyDescent="0.25">
      <c r="A680" s="39" t="s">
        <v>9</v>
      </c>
      <c r="B680" s="40" t="s">
        <v>587</v>
      </c>
      <c r="C680" s="41" t="s">
        <v>104</v>
      </c>
      <c r="D680" s="42" t="s">
        <v>15</v>
      </c>
      <c r="E680" s="190">
        <v>65.12</v>
      </c>
      <c r="F680" s="97">
        <f t="shared" ref="F680:F692" si="34">C680*E680</f>
        <v>65.12</v>
      </c>
      <c r="G680" s="128"/>
    </row>
    <row r="681" spans="1:7" x14ac:dyDescent="0.25">
      <c r="A681" s="187"/>
      <c r="B681" s="192"/>
      <c r="C681" s="188"/>
      <c r="D681" s="189"/>
      <c r="E681" s="190"/>
      <c r="F681" s="97"/>
      <c r="G681" s="128"/>
    </row>
    <row r="682" spans="1:7" x14ac:dyDescent="0.25">
      <c r="A682" s="39" t="s">
        <v>10</v>
      </c>
      <c r="B682" s="40" t="s">
        <v>588</v>
      </c>
      <c r="C682" s="41" t="s">
        <v>77</v>
      </c>
      <c r="D682" s="42" t="s">
        <v>15</v>
      </c>
      <c r="E682" s="190">
        <v>74.02</v>
      </c>
      <c r="F682" s="97">
        <f t="shared" si="34"/>
        <v>3256.8799999999997</v>
      </c>
      <c r="G682" s="128"/>
    </row>
    <row r="683" spans="1:7" x14ac:dyDescent="0.25">
      <c r="A683" s="187"/>
      <c r="B683" s="192"/>
      <c r="C683" s="188"/>
      <c r="D683" s="189"/>
      <c r="E683" s="190"/>
      <c r="F683" s="97"/>
      <c r="G683" s="128"/>
    </row>
    <row r="684" spans="1:7" x14ac:dyDescent="0.25">
      <c r="A684" s="39" t="s">
        <v>12</v>
      </c>
      <c r="B684" s="40" t="s">
        <v>589</v>
      </c>
      <c r="C684" s="41" t="s">
        <v>61</v>
      </c>
      <c r="D684" s="42" t="s">
        <v>15</v>
      </c>
      <c r="E684" s="190">
        <v>86.66</v>
      </c>
      <c r="F684" s="97">
        <f t="shared" si="34"/>
        <v>779.93999999999994</v>
      </c>
      <c r="G684" s="128"/>
    </row>
    <row r="685" spans="1:7" x14ac:dyDescent="0.25">
      <c r="A685" s="187"/>
      <c r="B685" s="192"/>
      <c r="C685" s="188"/>
      <c r="D685" s="189"/>
      <c r="E685" s="190"/>
      <c r="F685" s="97"/>
      <c r="G685" s="128"/>
    </row>
    <row r="686" spans="1:7" x14ac:dyDescent="0.25">
      <c r="A686" s="39" t="s">
        <v>13</v>
      </c>
      <c r="B686" s="40" t="s">
        <v>590</v>
      </c>
      <c r="C686" s="41" t="s">
        <v>67</v>
      </c>
      <c r="D686" s="42" t="s">
        <v>15</v>
      </c>
      <c r="E686" s="190">
        <v>94.67</v>
      </c>
      <c r="F686" s="97">
        <f t="shared" si="34"/>
        <v>946.7</v>
      </c>
      <c r="G686" s="128"/>
    </row>
    <row r="687" spans="1:7" x14ac:dyDescent="0.25">
      <c r="A687" s="187"/>
      <c r="B687" s="192"/>
      <c r="C687" s="188"/>
      <c r="D687" s="189"/>
      <c r="E687" s="190"/>
      <c r="F687" s="97"/>
      <c r="G687" s="128"/>
    </row>
    <row r="688" spans="1:7" x14ac:dyDescent="0.25">
      <c r="A688" s="39" t="s">
        <v>16</v>
      </c>
      <c r="B688" s="40" t="s">
        <v>591</v>
      </c>
      <c r="C688" s="41" t="s">
        <v>58</v>
      </c>
      <c r="D688" s="42" t="s">
        <v>15</v>
      </c>
      <c r="E688" s="190">
        <v>105.87</v>
      </c>
      <c r="F688" s="97">
        <f t="shared" si="34"/>
        <v>635.22</v>
      </c>
      <c r="G688" s="128"/>
    </row>
    <row r="689" spans="1:7" x14ac:dyDescent="0.25">
      <c r="A689" s="187"/>
      <c r="B689" s="192"/>
      <c r="C689" s="188"/>
      <c r="D689" s="189"/>
      <c r="E689" s="190"/>
      <c r="F689" s="97"/>
      <c r="G689" s="128"/>
    </row>
    <row r="690" spans="1:7" x14ac:dyDescent="0.25">
      <c r="A690" s="39" t="s">
        <v>17</v>
      </c>
      <c r="B690" s="40" t="s">
        <v>592</v>
      </c>
      <c r="C690" s="41" t="s">
        <v>104</v>
      </c>
      <c r="D690" s="42" t="s">
        <v>15</v>
      </c>
      <c r="E690" s="190">
        <v>118.69</v>
      </c>
      <c r="F690" s="97">
        <f t="shared" si="34"/>
        <v>118.69</v>
      </c>
      <c r="G690" s="128"/>
    </row>
    <row r="691" spans="1:7" x14ac:dyDescent="0.25">
      <c r="A691" s="187"/>
      <c r="B691" s="192"/>
      <c r="C691" s="188"/>
      <c r="D691" s="189"/>
      <c r="E691" s="190"/>
      <c r="F691" s="97"/>
      <c r="G691" s="128"/>
    </row>
    <row r="692" spans="1:7" x14ac:dyDescent="0.25">
      <c r="A692" s="39" t="s">
        <v>18</v>
      </c>
      <c r="B692" s="40" t="s">
        <v>593</v>
      </c>
      <c r="C692" s="41" t="s">
        <v>104</v>
      </c>
      <c r="D692" s="42" t="s">
        <v>15</v>
      </c>
      <c r="E692" s="190">
        <v>102.68</v>
      </c>
      <c r="F692" s="97">
        <f t="shared" si="34"/>
        <v>102.68</v>
      </c>
      <c r="G692" s="128"/>
    </row>
    <row r="693" spans="1:7" x14ac:dyDescent="0.25">
      <c r="A693" s="187"/>
      <c r="B693" s="192"/>
      <c r="C693" s="188"/>
      <c r="D693" s="189"/>
      <c r="E693" s="190"/>
      <c r="F693" s="97"/>
      <c r="G693" s="128"/>
    </row>
    <row r="694" spans="1:7" x14ac:dyDescent="0.25">
      <c r="A694" s="39"/>
      <c r="B694" s="40"/>
      <c r="C694" s="41"/>
      <c r="D694" s="42"/>
      <c r="E694" s="190"/>
      <c r="F694" s="97"/>
      <c r="G694" s="128"/>
    </row>
    <row r="695" spans="1:7" x14ac:dyDescent="0.25">
      <c r="A695" s="187"/>
      <c r="B695" s="192"/>
      <c r="C695" s="188"/>
      <c r="D695" s="189"/>
      <c r="E695" s="190"/>
      <c r="F695" s="97"/>
      <c r="G695" s="128"/>
    </row>
    <row r="696" spans="1:7" x14ac:dyDescent="0.25">
      <c r="A696" s="39"/>
      <c r="B696" s="40"/>
      <c r="C696" s="41"/>
      <c r="D696" s="42"/>
      <c r="E696" s="190"/>
      <c r="F696" s="97"/>
      <c r="G696" s="128"/>
    </row>
    <row r="697" spans="1:7" x14ac:dyDescent="0.25">
      <c r="A697" s="187"/>
      <c r="B697" s="192"/>
      <c r="C697" s="188"/>
      <c r="D697" s="189"/>
      <c r="E697" s="190"/>
      <c r="F697" s="97"/>
      <c r="G697" s="128"/>
    </row>
    <row r="698" spans="1:7" x14ac:dyDescent="0.25">
      <c r="A698" s="39"/>
      <c r="B698" s="40"/>
      <c r="C698" s="41"/>
      <c r="D698" s="42"/>
      <c r="E698" s="190"/>
      <c r="F698" s="97"/>
      <c r="G698" s="128"/>
    </row>
    <row r="699" spans="1:7" x14ac:dyDescent="0.25">
      <c r="A699" s="187"/>
      <c r="B699" s="192"/>
      <c r="C699" s="188"/>
      <c r="D699" s="189"/>
      <c r="E699" s="190"/>
      <c r="F699" s="97"/>
      <c r="G699" s="128"/>
    </row>
    <row r="700" spans="1:7" x14ac:dyDescent="0.25">
      <c r="A700" s="39"/>
      <c r="B700" s="43"/>
      <c r="C700" s="41"/>
      <c r="D700" s="42"/>
      <c r="E700" s="190"/>
      <c r="F700" s="97"/>
      <c r="G700" s="128"/>
    </row>
    <row r="701" spans="1:7" x14ac:dyDescent="0.25">
      <c r="A701" s="187"/>
      <c r="B701" s="192"/>
      <c r="C701" s="188"/>
      <c r="D701" s="189"/>
      <c r="E701" s="190"/>
      <c r="F701" s="97"/>
      <c r="G701" s="128"/>
    </row>
    <row r="702" spans="1:7" x14ac:dyDescent="0.25">
      <c r="A702" s="39"/>
      <c r="B702" s="40"/>
      <c r="C702" s="41"/>
      <c r="D702" s="42"/>
      <c r="E702" s="190"/>
      <c r="F702" s="97"/>
      <c r="G702" s="128"/>
    </row>
    <row r="703" spans="1:7" x14ac:dyDescent="0.25">
      <c r="A703" s="187"/>
      <c r="B703" s="192"/>
      <c r="C703" s="188"/>
      <c r="D703" s="189"/>
      <c r="E703" s="190"/>
      <c r="F703" s="97"/>
      <c r="G703" s="128"/>
    </row>
    <row r="704" spans="1:7" x14ac:dyDescent="0.25">
      <c r="A704" s="39"/>
      <c r="B704" s="40"/>
      <c r="C704" s="41"/>
      <c r="D704" s="42"/>
      <c r="E704" s="190"/>
      <c r="F704" s="97"/>
      <c r="G704" s="128"/>
    </row>
    <row r="705" spans="1:7" x14ac:dyDescent="0.25">
      <c r="A705" s="187"/>
      <c r="B705" s="192"/>
      <c r="C705" s="188"/>
      <c r="D705" s="189"/>
      <c r="E705" s="190"/>
      <c r="F705" s="97"/>
      <c r="G705" s="128"/>
    </row>
    <row r="706" spans="1:7" x14ac:dyDescent="0.25">
      <c r="A706" s="39"/>
      <c r="B706" s="40"/>
      <c r="C706" s="41"/>
      <c r="D706" s="42"/>
      <c r="E706" s="190"/>
      <c r="F706" s="97"/>
      <c r="G706" s="128"/>
    </row>
    <row r="707" spans="1:7" x14ac:dyDescent="0.25">
      <c r="A707" s="187"/>
      <c r="B707" s="192"/>
      <c r="C707" s="188"/>
      <c r="D707" s="189"/>
      <c r="E707" s="190"/>
      <c r="F707" s="97"/>
      <c r="G707" s="128"/>
    </row>
    <row r="708" spans="1:7" x14ac:dyDescent="0.25">
      <c r="A708" s="39"/>
      <c r="B708" s="40"/>
      <c r="C708" s="41"/>
      <c r="D708" s="42"/>
      <c r="E708" s="190"/>
      <c r="F708" s="97"/>
      <c r="G708" s="128"/>
    </row>
    <row r="709" spans="1:7" x14ac:dyDescent="0.25">
      <c r="A709" s="187"/>
      <c r="B709" s="192"/>
      <c r="C709" s="188"/>
      <c r="D709" s="189"/>
      <c r="E709" s="190"/>
      <c r="F709" s="97"/>
      <c r="G709" s="128"/>
    </row>
    <row r="710" spans="1:7" x14ac:dyDescent="0.25">
      <c r="A710" s="39"/>
      <c r="B710" s="40"/>
      <c r="C710" s="41"/>
      <c r="D710" s="42"/>
      <c r="E710" s="190"/>
      <c r="F710" s="97"/>
      <c r="G710" s="128"/>
    </row>
    <row r="711" spans="1:7" x14ac:dyDescent="0.25">
      <c r="A711" s="187"/>
      <c r="B711" s="192"/>
      <c r="C711" s="188"/>
      <c r="D711" s="189"/>
      <c r="E711" s="190"/>
      <c r="F711" s="97"/>
      <c r="G711" s="128"/>
    </row>
    <row r="712" spans="1:7" x14ac:dyDescent="0.25">
      <c r="A712" s="193"/>
      <c r="B712" s="194"/>
      <c r="C712" s="195"/>
      <c r="D712" s="196"/>
      <c r="E712" s="117"/>
      <c r="F712" s="98"/>
      <c r="G712" s="130"/>
    </row>
    <row r="713" spans="1:7" x14ac:dyDescent="0.25">
      <c r="A713" s="197"/>
      <c r="B713" s="198"/>
      <c r="C713" s="199" t="s">
        <v>51</v>
      </c>
      <c r="D713" s="199"/>
      <c r="E713" s="200" t="s">
        <v>50</v>
      </c>
      <c r="F713" s="99">
        <f>SUM(F667:F698)</f>
        <v>1364483.5599999996</v>
      </c>
      <c r="G713" s="131"/>
    </row>
    <row r="714" spans="1:7" x14ac:dyDescent="0.25">
      <c r="A714" s="197"/>
      <c r="B714" s="198"/>
      <c r="C714" s="201"/>
      <c r="D714" s="202"/>
      <c r="E714" s="118"/>
      <c r="F714" s="100"/>
      <c r="G714" s="132"/>
    </row>
    <row r="715" spans="1:7" x14ac:dyDescent="0.25">
      <c r="A715" s="187"/>
      <c r="B715" s="192"/>
      <c r="C715" s="188"/>
      <c r="D715" s="189"/>
      <c r="E715" s="190"/>
      <c r="F715" s="97"/>
      <c r="G715" s="128"/>
    </row>
    <row r="716" spans="1:7" x14ac:dyDescent="0.25">
      <c r="A716" s="187"/>
      <c r="B716" s="36" t="s">
        <v>568</v>
      </c>
      <c r="C716" s="188"/>
      <c r="D716" s="189"/>
      <c r="E716" s="190"/>
      <c r="F716" s="97"/>
      <c r="G716" s="128"/>
    </row>
    <row r="717" spans="1:7" x14ac:dyDescent="0.25">
      <c r="A717" s="187"/>
      <c r="B717" s="192"/>
      <c r="C717" s="188"/>
      <c r="D717" s="189"/>
      <c r="E717" s="190"/>
      <c r="F717" s="97"/>
      <c r="G717" s="128"/>
    </row>
    <row r="718" spans="1:7" x14ac:dyDescent="0.25">
      <c r="A718" s="39" t="s">
        <v>3</v>
      </c>
      <c r="B718" s="40" t="s">
        <v>594</v>
      </c>
      <c r="C718" s="41" t="s">
        <v>73</v>
      </c>
      <c r="D718" s="42" t="s">
        <v>15</v>
      </c>
      <c r="E718" s="190">
        <v>114.68</v>
      </c>
      <c r="F718" s="97">
        <f t="shared" ref="F718" si="35">C718*E718</f>
        <v>344.04</v>
      </c>
      <c r="G718" s="128"/>
    </row>
    <row r="719" spans="1:7" x14ac:dyDescent="0.25">
      <c r="A719" s="187"/>
      <c r="B719" s="192"/>
      <c r="C719" s="188"/>
      <c r="D719" s="189"/>
      <c r="E719" s="190"/>
      <c r="F719" s="97"/>
      <c r="G719" s="128"/>
    </row>
    <row r="720" spans="1:7" x14ac:dyDescent="0.25">
      <c r="A720" s="39" t="s">
        <v>2</v>
      </c>
      <c r="B720" s="40" t="s">
        <v>595</v>
      </c>
      <c r="C720" s="41" t="s">
        <v>66</v>
      </c>
      <c r="D720" s="42" t="s">
        <v>15</v>
      </c>
      <c r="E720" s="190">
        <v>108.28</v>
      </c>
      <c r="F720" s="97">
        <f t="shared" ref="F720" si="36">C720*E720</f>
        <v>433.12</v>
      </c>
      <c r="G720" s="128"/>
    </row>
    <row r="721" spans="1:7" x14ac:dyDescent="0.25">
      <c r="A721" s="187"/>
      <c r="B721" s="192"/>
      <c r="C721" s="188"/>
      <c r="D721" s="189"/>
      <c r="E721" s="190"/>
      <c r="F721" s="97"/>
      <c r="G721" s="128"/>
    </row>
    <row r="722" spans="1:7" x14ac:dyDescent="0.25">
      <c r="A722" s="39" t="s">
        <v>5</v>
      </c>
      <c r="B722" s="40" t="s">
        <v>596</v>
      </c>
      <c r="C722" s="41" t="s">
        <v>64</v>
      </c>
      <c r="D722" s="42" t="s">
        <v>15</v>
      </c>
      <c r="E722" s="190">
        <v>136.30000000000001</v>
      </c>
      <c r="F722" s="97">
        <f t="shared" ref="F722" si="37">C722*E722</f>
        <v>272.60000000000002</v>
      </c>
      <c r="G722" s="128"/>
    </row>
    <row r="723" spans="1:7" x14ac:dyDescent="0.25">
      <c r="A723" s="187"/>
      <c r="B723" s="192"/>
      <c r="C723" s="188"/>
      <c r="D723" s="189"/>
      <c r="E723" s="190"/>
      <c r="F723" s="97"/>
      <c r="G723" s="128"/>
    </row>
    <row r="724" spans="1:7" x14ac:dyDescent="0.25">
      <c r="A724" s="39" t="s">
        <v>8</v>
      </c>
      <c r="B724" s="40" t="s">
        <v>597</v>
      </c>
      <c r="C724" s="41" t="s">
        <v>104</v>
      </c>
      <c r="D724" s="42" t="s">
        <v>15</v>
      </c>
      <c r="E724" s="190">
        <v>137.69999999999999</v>
      </c>
      <c r="F724" s="97">
        <f t="shared" ref="F724" si="38">C724*E724</f>
        <v>137.69999999999999</v>
      </c>
      <c r="G724" s="128"/>
    </row>
    <row r="725" spans="1:7" x14ac:dyDescent="0.25">
      <c r="A725" s="187"/>
      <c r="B725" s="192"/>
      <c r="C725" s="188"/>
      <c r="D725" s="189"/>
      <c r="E725" s="190"/>
      <c r="F725" s="97"/>
      <c r="G725" s="128"/>
    </row>
    <row r="726" spans="1:7" x14ac:dyDescent="0.25">
      <c r="A726" s="39" t="s">
        <v>9</v>
      </c>
      <c r="B726" s="40" t="s">
        <v>598</v>
      </c>
      <c r="C726" s="41" t="s">
        <v>104</v>
      </c>
      <c r="D726" s="42" t="s">
        <v>15</v>
      </c>
      <c r="E726" s="190">
        <v>192.74</v>
      </c>
      <c r="F726" s="97">
        <f t="shared" ref="F726" si="39">C726*E726</f>
        <v>192.74</v>
      </c>
      <c r="G726" s="128"/>
    </row>
    <row r="727" spans="1:7" x14ac:dyDescent="0.25">
      <c r="A727" s="187"/>
      <c r="B727" s="192"/>
      <c r="C727" s="188"/>
      <c r="D727" s="189"/>
      <c r="E727" s="190"/>
      <c r="F727" s="97"/>
      <c r="G727" s="128"/>
    </row>
    <row r="728" spans="1:7" x14ac:dyDescent="0.25">
      <c r="A728" s="39" t="s">
        <v>10</v>
      </c>
      <c r="B728" s="40" t="s">
        <v>599</v>
      </c>
      <c r="C728" s="41" t="s">
        <v>244</v>
      </c>
      <c r="D728" s="42" t="s">
        <v>15</v>
      </c>
      <c r="E728" s="190">
        <v>299.42</v>
      </c>
      <c r="F728" s="97">
        <f t="shared" ref="F728" si="40">C728*E728</f>
        <v>2395.36</v>
      </c>
      <c r="G728" s="128"/>
    </row>
    <row r="729" spans="1:7" x14ac:dyDescent="0.25">
      <c r="A729" s="187"/>
      <c r="B729" s="192"/>
      <c r="C729" s="188"/>
      <c r="D729" s="189"/>
      <c r="E729" s="190"/>
      <c r="F729" s="97"/>
      <c r="G729" s="128"/>
    </row>
    <row r="730" spans="1:7" x14ac:dyDescent="0.25">
      <c r="A730" s="39" t="s">
        <v>12</v>
      </c>
      <c r="B730" s="40" t="s">
        <v>600</v>
      </c>
      <c r="C730" s="41" t="s">
        <v>82</v>
      </c>
      <c r="D730" s="42" t="s">
        <v>15</v>
      </c>
      <c r="E730" s="190">
        <v>227.17</v>
      </c>
      <c r="F730" s="97">
        <f t="shared" ref="F730" si="41">C730*E730</f>
        <v>1590.1899999999998</v>
      </c>
      <c r="G730" s="128"/>
    </row>
    <row r="731" spans="1:7" x14ac:dyDescent="0.25">
      <c r="A731" s="187"/>
      <c r="B731" s="192"/>
      <c r="C731" s="188"/>
      <c r="D731" s="189"/>
      <c r="E731" s="190"/>
      <c r="F731" s="97"/>
      <c r="G731" s="128"/>
    </row>
    <row r="732" spans="1:7" x14ac:dyDescent="0.25">
      <c r="A732" s="39" t="s">
        <v>13</v>
      </c>
      <c r="B732" s="40" t="s">
        <v>601</v>
      </c>
      <c r="C732" s="41" t="s">
        <v>59</v>
      </c>
      <c r="D732" s="42" t="s">
        <v>15</v>
      </c>
      <c r="E732" s="190">
        <v>350.25</v>
      </c>
      <c r="F732" s="97">
        <f t="shared" ref="F732" si="42">C732*E732</f>
        <v>7705.5</v>
      </c>
      <c r="G732" s="128"/>
    </row>
    <row r="733" spans="1:7" x14ac:dyDescent="0.25">
      <c r="A733" s="187"/>
      <c r="B733" s="192"/>
      <c r="C733" s="188"/>
      <c r="D733" s="189"/>
      <c r="E733" s="190"/>
      <c r="F733" s="97"/>
      <c r="G733" s="128"/>
    </row>
    <row r="734" spans="1:7" x14ac:dyDescent="0.25">
      <c r="A734" s="39" t="s">
        <v>16</v>
      </c>
      <c r="B734" s="40" t="s">
        <v>602</v>
      </c>
      <c r="C734" s="41" t="s">
        <v>104</v>
      </c>
      <c r="D734" s="42" t="s">
        <v>15</v>
      </c>
      <c r="E734" s="190">
        <v>603.52</v>
      </c>
      <c r="F734" s="97">
        <f t="shared" ref="F734" si="43">C734*E734</f>
        <v>603.52</v>
      </c>
      <c r="G734" s="128"/>
    </row>
    <row r="735" spans="1:7" x14ac:dyDescent="0.25">
      <c r="A735" s="187"/>
      <c r="B735" s="192"/>
      <c r="C735" s="188"/>
      <c r="D735" s="189"/>
      <c r="E735" s="190"/>
      <c r="F735" s="97"/>
      <c r="G735" s="128"/>
    </row>
    <row r="736" spans="1:7" x14ac:dyDescent="0.25">
      <c r="A736" s="39" t="s">
        <v>17</v>
      </c>
      <c r="B736" s="40" t="s">
        <v>603</v>
      </c>
      <c r="C736" s="41" t="s">
        <v>76</v>
      </c>
      <c r="D736" s="42" t="s">
        <v>15</v>
      </c>
      <c r="E736" s="190">
        <v>571.49</v>
      </c>
      <c r="F736" s="97">
        <f t="shared" ref="F736" si="44">C736*E736</f>
        <v>2857.45</v>
      </c>
      <c r="G736" s="128"/>
    </row>
    <row r="737" spans="1:7" x14ac:dyDescent="0.25">
      <c r="A737" s="187"/>
      <c r="B737" s="192"/>
      <c r="C737" s="188"/>
      <c r="D737" s="189"/>
      <c r="E737" s="190"/>
      <c r="F737" s="97"/>
      <c r="G737" s="128"/>
    </row>
    <row r="738" spans="1:7" x14ac:dyDescent="0.25">
      <c r="A738" s="39"/>
      <c r="B738" s="52" t="s">
        <v>604</v>
      </c>
      <c r="C738" s="41"/>
      <c r="D738" s="42"/>
      <c r="E738" s="190"/>
      <c r="F738" s="97"/>
      <c r="G738" s="128"/>
    </row>
    <row r="739" spans="1:7" x14ac:dyDescent="0.25">
      <c r="A739" s="187"/>
      <c r="B739" s="192"/>
      <c r="C739" s="188"/>
      <c r="D739" s="189"/>
      <c r="E739" s="190"/>
      <c r="F739" s="97"/>
      <c r="G739" s="128"/>
    </row>
    <row r="740" spans="1:7" x14ac:dyDescent="0.25">
      <c r="A740" s="39" t="s">
        <v>18</v>
      </c>
      <c r="B740" s="40" t="s">
        <v>602</v>
      </c>
      <c r="C740" s="41" t="s">
        <v>104</v>
      </c>
      <c r="D740" s="42" t="s">
        <v>15</v>
      </c>
      <c r="E740" s="232">
        <v>792.49</v>
      </c>
      <c r="F740" s="97">
        <f t="shared" ref="F740" si="45">C740*E740</f>
        <v>792.49</v>
      </c>
      <c r="G740" s="128"/>
    </row>
    <row r="741" spans="1:7" x14ac:dyDescent="0.25">
      <c r="A741" s="187"/>
      <c r="B741" s="192"/>
      <c r="C741" s="188"/>
      <c r="D741" s="189"/>
      <c r="E741" s="190"/>
      <c r="F741" s="97"/>
      <c r="G741" s="128"/>
    </row>
    <row r="742" spans="1:7" x14ac:dyDescent="0.25">
      <c r="A742" s="39"/>
      <c r="B742" s="52" t="s">
        <v>605</v>
      </c>
      <c r="C742" s="41"/>
      <c r="D742" s="42"/>
      <c r="E742" s="190"/>
      <c r="F742" s="97"/>
      <c r="G742" s="128"/>
    </row>
    <row r="743" spans="1:7" x14ac:dyDescent="0.25">
      <c r="A743" s="187"/>
      <c r="B743" s="192"/>
      <c r="C743" s="188"/>
      <c r="D743" s="189"/>
      <c r="E743" s="190"/>
      <c r="F743" s="97"/>
      <c r="G743" s="128"/>
    </row>
    <row r="744" spans="1:7" x14ac:dyDescent="0.25">
      <c r="A744" s="39" t="s">
        <v>19</v>
      </c>
      <c r="B744" s="40" t="s">
        <v>587</v>
      </c>
      <c r="C744" s="41" t="s">
        <v>64</v>
      </c>
      <c r="D744" s="42" t="s">
        <v>15</v>
      </c>
      <c r="E744" s="190">
        <v>1349.82</v>
      </c>
      <c r="F744" s="97">
        <f t="shared" ref="F744" si="46">C744*E744</f>
        <v>2699.64</v>
      </c>
      <c r="G744" s="128"/>
    </row>
    <row r="745" spans="1:7" x14ac:dyDescent="0.25">
      <c r="A745" s="187"/>
      <c r="B745" s="192"/>
      <c r="C745" s="188"/>
      <c r="D745" s="189"/>
      <c r="E745" s="190"/>
      <c r="F745" s="97"/>
      <c r="G745" s="128"/>
    </row>
    <row r="746" spans="1:7" x14ac:dyDescent="0.25">
      <c r="A746" s="39" t="s">
        <v>22</v>
      </c>
      <c r="B746" s="40" t="s">
        <v>606</v>
      </c>
      <c r="C746" s="41" t="s">
        <v>104</v>
      </c>
      <c r="D746" s="42" t="s">
        <v>15</v>
      </c>
      <c r="E746" s="190">
        <v>3933.87</v>
      </c>
      <c r="F746" s="97">
        <f t="shared" ref="F746" si="47">C746*E746</f>
        <v>3933.87</v>
      </c>
      <c r="G746" s="128"/>
    </row>
    <row r="747" spans="1:7" x14ac:dyDescent="0.25">
      <c r="A747" s="187"/>
      <c r="B747" s="192"/>
      <c r="C747" s="188"/>
      <c r="D747" s="189"/>
      <c r="E747" s="190"/>
      <c r="F747" s="97"/>
      <c r="G747" s="128"/>
    </row>
    <row r="748" spans="1:7" x14ac:dyDescent="0.25">
      <c r="A748" s="39" t="s">
        <v>23</v>
      </c>
      <c r="B748" s="40" t="s">
        <v>607</v>
      </c>
      <c r="C748" s="41" t="s">
        <v>64</v>
      </c>
      <c r="D748" s="42" t="s">
        <v>15</v>
      </c>
      <c r="E748" s="190">
        <v>6146.92</v>
      </c>
      <c r="F748" s="97">
        <f t="shared" ref="F748" si="48">C748*E748</f>
        <v>12293.84</v>
      </c>
      <c r="G748" s="128"/>
    </row>
    <row r="749" spans="1:7" x14ac:dyDescent="0.25">
      <c r="A749" s="187"/>
      <c r="B749" s="192"/>
      <c r="C749" s="188"/>
      <c r="D749" s="189"/>
      <c r="E749" s="190"/>
      <c r="F749" s="97"/>
      <c r="G749" s="128"/>
    </row>
    <row r="750" spans="1:7" x14ac:dyDescent="0.25">
      <c r="A750" s="39"/>
      <c r="B750" s="52" t="s">
        <v>608</v>
      </c>
      <c r="C750" s="41"/>
      <c r="D750" s="42"/>
      <c r="E750" s="190"/>
      <c r="F750" s="97"/>
      <c r="G750" s="128"/>
    </row>
    <row r="751" spans="1:7" x14ac:dyDescent="0.25">
      <c r="A751" s="187"/>
      <c r="B751" s="192"/>
      <c r="C751" s="188"/>
      <c r="D751" s="189"/>
      <c r="E751" s="190"/>
      <c r="F751" s="97"/>
      <c r="G751" s="128"/>
    </row>
    <row r="752" spans="1:7" x14ac:dyDescent="0.25">
      <c r="A752" s="39" t="s">
        <v>25</v>
      </c>
      <c r="B752" s="40" t="s">
        <v>591</v>
      </c>
      <c r="C752" s="41" t="s">
        <v>104</v>
      </c>
      <c r="D752" s="42" t="s">
        <v>15</v>
      </c>
      <c r="E752" s="190">
        <v>1442.46</v>
      </c>
      <c r="F752" s="97">
        <f t="shared" ref="F752" si="49">C752*E752</f>
        <v>1442.46</v>
      </c>
      <c r="G752" s="128"/>
    </row>
    <row r="753" spans="1:7" x14ac:dyDescent="0.25">
      <c r="A753" s="187"/>
      <c r="B753" s="192"/>
      <c r="C753" s="188"/>
      <c r="D753" s="189"/>
      <c r="E753" s="190"/>
      <c r="F753" s="97"/>
      <c r="G753" s="128"/>
    </row>
    <row r="754" spans="1:7" x14ac:dyDescent="0.25">
      <c r="A754" s="39" t="s">
        <v>31</v>
      </c>
      <c r="B754" s="40" t="s">
        <v>609</v>
      </c>
      <c r="C754" s="41" t="s">
        <v>104</v>
      </c>
      <c r="D754" s="42" t="s">
        <v>15</v>
      </c>
      <c r="E754" s="190">
        <v>1764.84</v>
      </c>
      <c r="F754" s="97">
        <f t="shared" ref="F754" si="50">C754*E754</f>
        <v>1764.84</v>
      </c>
      <c r="G754" s="128"/>
    </row>
    <row r="755" spans="1:7" x14ac:dyDescent="0.25">
      <c r="A755" s="187"/>
      <c r="B755" s="192"/>
      <c r="C755" s="188"/>
      <c r="D755" s="189"/>
      <c r="E755" s="190"/>
      <c r="F755" s="97"/>
      <c r="G755" s="128"/>
    </row>
    <row r="756" spans="1:7" x14ac:dyDescent="0.25">
      <c r="A756" s="39" t="s">
        <v>33</v>
      </c>
      <c r="B756" s="40" t="s">
        <v>610</v>
      </c>
      <c r="C756" s="41" t="s">
        <v>104</v>
      </c>
      <c r="D756" s="42" t="s">
        <v>15</v>
      </c>
      <c r="E756" s="190">
        <v>1896.34</v>
      </c>
      <c r="F756" s="97">
        <f t="shared" ref="F756" si="51">C756*E756</f>
        <v>1896.34</v>
      </c>
      <c r="G756" s="128"/>
    </row>
    <row r="757" spans="1:7" x14ac:dyDescent="0.25">
      <c r="A757" s="187"/>
      <c r="B757" s="192"/>
      <c r="C757" s="188"/>
      <c r="D757" s="189"/>
      <c r="E757" s="190"/>
      <c r="F757" s="97"/>
      <c r="G757" s="128"/>
    </row>
    <row r="758" spans="1:7" x14ac:dyDescent="0.25">
      <c r="A758" s="39" t="s">
        <v>213</v>
      </c>
      <c r="B758" s="40" t="s">
        <v>596</v>
      </c>
      <c r="C758" s="41" t="s">
        <v>104</v>
      </c>
      <c r="D758" s="42" t="s">
        <v>15</v>
      </c>
      <c r="E758" s="190">
        <v>1934.25</v>
      </c>
      <c r="F758" s="97">
        <f t="shared" ref="F758" si="52">C758*E758</f>
        <v>1934.25</v>
      </c>
      <c r="G758" s="128"/>
    </row>
    <row r="759" spans="1:7" x14ac:dyDescent="0.25">
      <c r="A759" s="187"/>
      <c r="B759" s="192"/>
      <c r="C759" s="188"/>
      <c r="D759" s="189"/>
      <c r="E759" s="190"/>
      <c r="F759" s="97"/>
      <c r="G759" s="128"/>
    </row>
    <row r="760" spans="1:7" x14ac:dyDescent="0.25">
      <c r="A760" s="39" t="s">
        <v>441</v>
      </c>
      <c r="B760" s="40" t="s">
        <v>611</v>
      </c>
      <c r="C760" s="41" t="s">
        <v>104</v>
      </c>
      <c r="D760" s="42" t="s">
        <v>15</v>
      </c>
      <c r="E760" s="190">
        <v>2032.6</v>
      </c>
      <c r="F760" s="97">
        <f t="shared" ref="F760" si="53">C760*E760</f>
        <v>2032.6</v>
      </c>
      <c r="G760" s="128"/>
    </row>
    <row r="761" spans="1:7" x14ac:dyDescent="0.25">
      <c r="A761" s="187"/>
      <c r="B761" s="192"/>
      <c r="C761" s="188"/>
      <c r="D761" s="189"/>
      <c r="E761" s="190"/>
      <c r="F761" s="97"/>
      <c r="G761" s="128"/>
    </row>
    <row r="762" spans="1:7" x14ac:dyDescent="0.25">
      <c r="A762" s="187"/>
      <c r="B762" s="192"/>
      <c r="C762" s="188"/>
      <c r="D762" s="189"/>
      <c r="E762" s="190"/>
      <c r="F762" s="97"/>
      <c r="G762" s="128"/>
    </row>
    <row r="763" spans="1:7" x14ac:dyDescent="0.25">
      <c r="A763" s="193"/>
      <c r="B763" s="194"/>
      <c r="C763" s="195"/>
      <c r="D763" s="196"/>
      <c r="E763" s="117"/>
      <c r="F763" s="98"/>
      <c r="G763" s="130"/>
    </row>
    <row r="764" spans="1:7" x14ac:dyDescent="0.25">
      <c r="A764" s="197"/>
      <c r="B764" s="198"/>
      <c r="C764" s="199" t="s">
        <v>51</v>
      </c>
      <c r="D764" s="199"/>
      <c r="E764" s="200" t="s">
        <v>50</v>
      </c>
      <c r="F764" s="99">
        <f>SUM(F717:F761)</f>
        <v>45322.549999999988</v>
      </c>
      <c r="G764" s="131"/>
    </row>
    <row r="765" spans="1:7" x14ac:dyDescent="0.25">
      <c r="A765" s="197"/>
      <c r="B765" s="198"/>
      <c r="C765" s="201"/>
      <c r="D765" s="202"/>
      <c r="E765" s="118"/>
      <c r="F765" s="100"/>
      <c r="G765" s="132"/>
    </row>
    <row r="766" spans="1:7" x14ac:dyDescent="0.25">
      <c r="A766" s="39"/>
      <c r="B766" s="40"/>
      <c r="C766" s="41"/>
      <c r="D766" s="42"/>
      <c r="E766" s="190"/>
      <c r="F766" s="97"/>
      <c r="G766" s="128"/>
    </row>
    <row r="767" spans="1:7" x14ac:dyDescent="0.25">
      <c r="A767" s="187"/>
      <c r="B767" s="36" t="s">
        <v>568</v>
      </c>
      <c r="C767" s="188"/>
      <c r="D767" s="189"/>
      <c r="E767" s="190"/>
      <c r="F767" s="97"/>
      <c r="G767" s="128"/>
    </row>
    <row r="768" spans="1:7" x14ac:dyDescent="0.25">
      <c r="A768" s="187"/>
      <c r="B768" s="192"/>
      <c r="C768" s="188"/>
      <c r="D768" s="189"/>
      <c r="E768" s="190"/>
      <c r="F768" s="97"/>
      <c r="G768" s="128"/>
    </row>
    <row r="769" spans="1:7" x14ac:dyDescent="0.25">
      <c r="A769" s="39" t="s">
        <v>3</v>
      </c>
      <c r="B769" s="40" t="s">
        <v>612</v>
      </c>
      <c r="C769" s="41" t="s">
        <v>104</v>
      </c>
      <c r="D769" s="42" t="s">
        <v>15</v>
      </c>
      <c r="E769" s="190">
        <v>2065.39</v>
      </c>
      <c r="F769" s="97">
        <f t="shared" ref="F769" si="54">C769*E769</f>
        <v>2065.39</v>
      </c>
      <c r="G769" s="128"/>
    </row>
    <row r="770" spans="1:7" x14ac:dyDescent="0.25">
      <c r="A770" s="187"/>
      <c r="B770" s="192"/>
      <c r="C770" s="188"/>
      <c r="D770" s="189"/>
      <c r="E770" s="190"/>
      <c r="F770" s="97"/>
      <c r="G770" s="128"/>
    </row>
    <row r="771" spans="1:7" x14ac:dyDescent="0.25">
      <c r="A771" s="39" t="s">
        <v>2</v>
      </c>
      <c r="B771" s="40" t="s">
        <v>613</v>
      </c>
      <c r="C771" s="41" t="s">
        <v>64</v>
      </c>
      <c r="D771" s="42" t="s">
        <v>15</v>
      </c>
      <c r="E771" s="190">
        <v>2262.11</v>
      </c>
      <c r="F771" s="97">
        <f t="shared" ref="F771" si="55">C771*E771</f>
        <v>4524.22</v>
      </c>
      <c r="G771" s="128"/>
    </row>
    <row r="772" spans="1:7" x14ac:dyDescent="0.25">
      <c r="A772" s="187"/>
      <c r="B772" s="192"/>
      <c r="C772" s="188"/>
      <c r="D772" s="189"/>
      <c r="E772" s="190"/>
      <c r="F772" s="97"/>
      <c r="G772" s="128"/>
    </row>
    <row r="773" spans="1:7" x14ac:dyDescent="0.25">
      <c r="A773" s="39" t="s">
        <v>5</v>
      </c>
      <c r="B773" s="40" t="s">
        <v>614</v>
      </c>
      <c r="C773" s="41" t="s">
        <v>64</v>
      </c>
      <c r="D773" s="42" t="s">
        <v>15</v>
      </c>
      <c r="E773" s="190">
        <v>2122.5700000000002</v>
      </c>
      <c r="F773" s="97">
        <f t="shared" ref="F773" si="56">C773*E773</f>
        <v>4245.1400000000003</v>
      </c>
      <c r="G773" s="128"/>
    </row>
    <row r="774" spans="1:7" x14ac:dyDescent="0.25">
      <c r="A774" s="187"/>
      <c r="B774" s="192"/>
      <c r="C774" s="188"/>
      <c r="D774" s="189"/>
      <c r="E774" s="190"/>
      <c r="F774" s="97"/>
      <c r="G774" s="128"/>
    </row>
    <row r="775" spans="1:7" x14ac:dyDescent="0.25">
      <c r="A775" s="39" t="s">
        <v>8</v>
      </c>
      <c r="B775" s="40" t="s">
        <v>615</v>
      </c>
      <c r="C775" s="41" t="s">
        <v>104</v>
      </c>
      <c r="D775" s="42" t="s">
        <v>15</v>
      </c>
      <c r="E775" s="190">
        <v>1896.34</v>
      </c>
      <c r="F775" s="97">
        <f t="shared" ref="F775" si="57">C775*E775</f>
        <v>1896.34</v>
      </c>
      <c r="G775" s="128"/>
    </row>
    <row r="776" spans="1:7" x14ac:dyDescent="0.25">
      <c r="A776" s="187"/>
      <c r="B776" s="192"/>
      <c r="C776" s="188"/>
      <c r="D776" s="189"/>
      <c r="E776" s="190"/>
      <c r="F776" s="97"/>
      <c r="G776" s="128"/>
    </row>
    <row r="777" spans="1:7" x14ac:dyDescent="0.25">
      <c r="A777" s="39"/>
      <c r="B777" s="52" t="s">
        <v>616</v>
      </c>
      <c r="C777" s="41"/>
      <c r="D777" s="42"/>
      <c r="E777" s="190"/>
      <c r="F777" s="97"/>
      <c r="G777" s="128"/>
    </row>
    <row r="778" spans="1:7" x14ac:dyDescent="0.25">
      <c r="A778" s="187"/>
      <c r="B778" s="192"/>
      <c r="C778" s="188"/>
      <c r="D778" s="189"/>
      <c r="E778" s="190"/>
      <c r="F778" s="97"/>
      <c r="G778" s="128"/>
    </row>
    <row r="779" spans="1:7" x14ac:dyDescent="0.25">
      <c r="A779" s="39" t="s">
        <v>9</v>
      </c>
      <c r="B779" s="40" t="s">
        <v>617</v>
      </c>
      <c r="C779" s="41" t="s">
        <v>104</v>
      </c>
      <c r="D779" s="42" t="s">
        <v>15</v>
      </c>
      <c r="E779" s="190">
        <v>1211.68</v>
      </c>
      <c r="F779" s="97">
        <f t="shared" ref="F779" si="58">C779*E779</f>
        <v>1211.68</v>
      </c>
      <c r="G779" s="128"/>
    </row>
    <row r="780" spans="1:7" x14ac:dyDescent="0.25">
      <c r="A780" s="187"/>
      <c r="B780" s="192"/>
      <c r="C780" s="188"/>
      <c r="D780" s="189"/>
      <c r="E780" s="190"/>
      <c r="F780" s="97"/>
      <c r="G780" s="128"/>
    </row>
    <row r="781" spans="1:7" x14ac:dyDescent="0.25">
      <c r="A781" s="39" t="s">
        <v>10</v>
      </c>
      <c r="B781" s="40" t="s">
        <v>618</v>
      </c>
      <c r="C781" s="41" t="s">
        <v>104</v>
      </c>
      <c r="D781" s="42" t="s">
        <v>15</v>
      </c>
      <c r="E781" s="190">
        <v>3351.67</v>
      </c>
      <c r="F781" s="97">
        <f t="shared" ref="F781" si="59">C781*E781</f>
        <v>3351.67</v>
      </c>
      <c r="G781" s="128"/>
    </row>
    <row r="782" spans="1:7" x14ac:dyDescent="0.25">
      <c r="A782" s="187"/>
      <c r="B782" s="192"/>
      <c r="C782" s="188"/>
      <c r="D782" s="189"/>
      <c r="E782" s="190"/>
      <c r="F782" s="97"/>
      <c r="G782" s="128"/>
    </row>
    <row r="783" spans="1:7" x14ac:dyDescent="0.25">
      <c r="A783" s="39" t="s">
        <v>12</v>
      </c>
      <c r="B783" s="40" t="s">
        <v>602</v>
      </c>
      <c r="C783" s="41" t="s">
        <v>64</v>
      </c>
      <c r="D783" s="42" t="s">
        <v>15</v>
      </c>
      <c r="E783" s="190">
        <v>3499.54</v>
      </c>
      <c r="F783" s="97">
        <f t="shared" ref="F783" si="60">C783*E783</f>
        <v>6999.08</v>
      </c>
      <c r="G783" s="128"/>
    </row>
    <row r="784" spans="1:7" x14ac:dyDescent="0.25">
      <c r="A784" s="187"/>
      <c r="B784" s="192"/>
      <c r="C784" s="188"/>
      <c r="D784" s="189"/>
      <c r="E784" s="190"/>
      <c r="F784" s="97"/>
      <c r="G784" s="128"/>
    </row>
    <row r="785" spans="1:7" ht="41.4" x14ac:dyDescent="0.25">
      <c r="A785" s="39"/>
      <c r="B785" s="52" t="s">
        <v>619</v>
      </c>
      <c r="C785" s="41"/>
      <c r="D785" s="42"/>
      <c r="E785" s="190"/>
      <c r="F785" s="97"/>
      <c r="G785" s="128"/>
    </row>
    <row r="786" spans="1:7" x14ac:dyDescent="0.25">
      <c r="A786" s="187"/>
      <c r="B786" s="192"/>
      <c r="C786" s="188"/>
      <c r="D786" s="189"/>
      <c r="E786" s="190"/>
      <c r="F786" s="97"/>
      <c r="G786" s="128"/>
    </row>
    <row r="787" spans="1:7" x14ac:dyDescent="0.25">
      <c r="A787" s="39"/>
      <c r="B787" s="52" t="s">
        <v>620</v>
      </c>
      <c r="C787" s="41"/>
      <c r="D787" s="42"/>
      <c r="E787" s="190"/>
      <c r="F787" s="97"/>
      <c r="G787" s="128"/>
    </row>
    <row r="788" spans="1:7" x14ac:dyDescent="0.25">
      <c r="A788" s="187"/>
      <c r="B788" s="192"/>
      <c r="C788" s="188"/>
      <c r="D788" s="189"/>
      <c r="E788" s="190"/>
      <c r="F788" s="97"/>
      <c r="G788" s="128"/>
    </row>
    <row r="789" spans="1:7" x14ac:dyDescent="0.25">
      <c r="A789" s="39" t="s">
        <v>13</v>
      </c>
      <c r="B789" s="40" t="s">
        <v>621</v>
      </c>
      <c r="C789" s="41" t="s">
        <v>104</v>
      </c>
      <c r="D789" s="42" t="s">
        <v>15</v>
      </c>
      <c r="E789" s="190">
        <v>140.03</v>
      </c>
      <c r="F789" s="97">
        <f t="shared" ref="F789" si="61">C789*E789</f>
        <v>140.03</v>
      </c>
      <c r="G789" s="128"/>
    </row>
    <row r="790" spans="1:7" x14ac:dyDescent="0.25">
      <c r="A790" s="187"/>
      <c r="B790" s="192"/>
      <c r="C790" s="188"/>
      <c r="D790" s="189"/>
      <c r="E790" s="190"/>
      <c r="F790" s="97"/>
      <c r="G790" s="128"/>
    </row>
    <row r="791" spans="1:7" x14ac:dyDescent="0.25">
      <c r="A791" s="39" t="s">
        <v>16</v>
      </c>
      <c r="B791" s="40" t="s">
        <v>596</v>
      </c>
      <c r="C791" s="41" t="s">
        <v>104</v>
      </c>
      <c r="D791" s="42" t="s">
        <v>15</v>
      </c>
      <c r="E791" s="190">
        <v>98.85</v>
      </c>
      <c r="F791" s="97">
        <f t="shared" ref="F791" si="62">C791*E791</f>
        <v>98.85</v>
      </c>
      <c r="G791" s="128"/>
    </row>
    <row r="792" spans="1:7" x14ac:dyDescent="0.25">
      <c r="A792" s="187"/>
      <c r="B792" s="192"/>
      <c r="C792" s="188"/>
      <c r="D792" s="189"/>
      <c r="E792" s="190"/>
      <c r="F792" s="97"/>
      <c r="G792" s="128"/>
    </row>
    <row r="793" spans="1:7" x14ac:dyDescent="0.25">
      <c r="A793" s="39"/>
      <c r="B793" s="52" t="s">
        <v>622</v>
      </c>
      <c r="C793" s="41"/>
      <c r="D793" s="42"/>
      <c r="E793" s="190"/>
      <c r="F793" s="97"/>
      <c r="G793" s="128"/>
    </row>
    <row r="794" spans="1:7" x14ac:dyDescent="0.25">
      <c r="A794" s="187"/>
      <c r="B794" s="192"/>
      <c r="C794" s="188"/>
      <c r="D794" s="189"/>
      <c r="E794" s="190"/>
      <c r="F794" s="97"/>
      <c r="G794" s="128"/>
    </row>
    <row r="795" spans="1:7" x14ac:dyDescent="0.25">
      <c r="A795" s="39" t="s">
        <v>17</v>
      </c>
      <c r="B795" s="40" t="s">
        <v>623</v>
      </c>
      <c r="C795" s="41" t="s">
        <v>104</v>
      </c>
      <c r="D795" s="42" t="s">
        <v>15</v>
      </c>
      <c r="E795" s="190">
        <v>1803.01</v>
      </c>
      <c r="F795" s="97">
        <f t="shared" ref="F795" si="63">C795*E795</f>
        <v>1803.01</v>
      </c>
      <c r="G795" s="128"/>
    </row>
    <row r="796" spans="1:7" x14ac:dyDescent="0.25">
      <c r="A796" s="187"/>
      <c r="B796" s="192"/>
      <c r="C796" s="188"/>
      <c r="D796" s="189"/>
      <c r="E796" s="190"/>
      <c r="F796" s="97"/>
      <c r="G796" s="128"/>
    </row>
    <row r="797" spans="1:7" x14ac:dyDescent="0.25">
      <c r="A797" s="39" t="s">
        <v>18</v>
      </c>
      <c r="B797" s="40" t="s">
        <v>624</v>
      </c>
      <c r="C797" s="41" t="s">
        <v>64</v>
      </c>
      <c r="D797" s="42" t="s">
        <v>15</v>
      </c>
      <c r="E797" s="190">
        <v>2203.6799999999998</v>
      </c>
      <c r="F797" s="97">
        <f t="shared" ref="F797" si="64">C797*E797</f>
        <v>4407.3599999999997</v>
      </c>
      <c r="G797" s="128"/>
    </row>
    <row r="798" spans="1:7" x14ac:dyDescent="0.25">
      <c r="A798" s="187"/>
      <c r="B798" s="192"/>
      <c r="C798" s="188"/>
      <c r="D798" s="189"/>
      <c r="E798" s="190"/>
      <c r="F798" s="97"/>
      <c r="G798" s="128"/>
    </row>
    <row r="799" spans="1:7" x14ac:dyDescent="0.25">
      <c r="A799" s="39" t="s">
        <v>19</v>
      </c>
      <c r="B799" s="40" t="s">
        <v>625</v>
      </c>
      <c r="C799" s="41" t="s">
        <v>76</v>
      </c>
      <c r="D799" s="42" t="s">
        <v>15</v>
      </c>
      <c r="E799" s="190">
        <v>1101.83</v>
      </c>
      <c r="F799" s="97">
        <f t="shared" ref="F799" si="65">C799*E799</f>
        <v>5509.15</v>
      </c>
      <c r="G799" s="128"/>
    </row>
    <row r="800" spans="1:7" x14ac:dyDescent="0.25">
      <c r="A800" s="187"/>
      <c r="B800" s="192"/>
      <c r="C800" s="188"/>
      <c r="D800" s="189"/>
      <c r="E800" s="190"/>
      <c r="F800" s="97"/>
      <c r="G800" s="128"/>
    </row>
    <row r="801" spans="1:7" x14ac:dyDescent="0.25">
      <c r="A801" s="39" t="s">
        <v>22</v>
      </c>
      <c r="B801" s="40" t="s">
        <v>626</v>
      </c>
      <c r="C801" s="41" t="s">
        <v>64</v>
      </c>
      <c r="D801" s="42" t="s">
        <v>15</v>
      </c>
      <c r="E801" s="190">
        <v>1302.17</v>
      </c>
      <c r="F801" s="97">
        <f t="shared" ref="F801" si="66">C801*E801</f>
        <v>2604.34</v>
      </c>
      <c r="G801" s="128"/>
    </row>
    <row r="802" spans="1:7" x14ac:dyDescent="0.25">
      <c r="A802" s="187"/>
      <c r="B802" s="192"/>
      <c r="C802" s="188"/>
      <c r="D802" s="189"/>
      <c r="E802" s="190"/>
      <c r="F802" s="97"/>
      <c r="G802" s="128"/>
    </row>
    <row r="803" spans="1:7" x14ac:dyDescent="0.25">
      <c r="A803" s="39" t="s">
        <v>23</v>
      </c>
      <c r="B803" s="40" t="s">
        <v>627</v>
      </c>
      <c r="C803" s="41" t="s">
        <v>64</v>
      </c>
      <c r="D803" s="42" t="s">
        <v>15</v>
      </c>
      <c r="E803" s="190">
        <v>1702.83</v>
      </c>
      <c r="F803" s="97">
        <f t="shared" ref="F803" si="67">C803*E803</f>
        <v>3405.66</v>
      </c>
      <c r="G803" s="128"/>
    </row>
    <row r="804" spans="1:7" x14ac:dyDescent="0.25">
      <c r="A804" s="187"/>
      <c r="B804" s="192"/>
      <c r="C804" s="188"/>
      <c r="D804" s="189"/>
      <c r="E804" s="190"/>
      <c r="F804" s="97"/>
      <c r="G804" s="128"/>
    </row>
    <row r="805" spans="1:7" x14ac:dyDescent="0.25">
      <c r="A805" s="39" t="s">
        <v>25</v>
      </c>
      <c r="B805" s="40" t="s">
        <v>628</v>
      </c>
      <c r="C805" s="41" t="s">
        <v>73</v>
      </c>
      <c r="D805" s="42" t="s">
        <v>15</v>
      </c>
      <c r="E805" s="190">
        <v>1903.17</v>
      </c>
      <c r="F805" s="97">
        <f t="shared" ref="F805" si="68">C805*E805</f>
        <v>5709.51</v>
      </c>
      <c r="G805" s="128"/>
    </row>
    <row r="806" spans="1:7" x14ac:dyDescent="0.25">
      <c r="A806" s="187"/>
      <c r="B806" s="192"/>
      <c r="C806" s="188"/>
      <c r="D806" s="189"/>
      <c r="E806" s="190"/>
      <c r="F806" s="97"/>
      <c r="G806" s="128"/>
    </row>
    <row r="807" spans="1:7" x14ac:dyDescent="0.25">
      <c r="A807" s="39" t="s">
        <v>31</v>
      </c>
      <c r="B807" s="40" t="s">
        <v>629</v>
      </c>
      <c r="C807" s="41" t="s">
        <v>104</v>
      </c>
      <c r="D807" s="42" t="s">
        <v>15</v>
      </c>
      <c r="E807" s="190">
        <v>1202</v>
      </c>
      <c r="F807" s="97">
        <f t="shared" ref="F807" si="69">C807*E807</f>
        <v>1202</v>
      </c>
      <c r="G807" s="128"/>
    </row>
    <row r="808" spans="1:7" x14ac:dyDescent="0.25">
      <c r="A808" s="187"/>
      <c r="B808" s="192"/>
      <c r="C808" s="188"/>
      <c r="D808" s="189"/>
      <c r="E808" s="190"/>
      <c r="F808" s="97"/>
      <c r="G808" s="128"/>
    </row>
    <row r="809" spans="1:7" x14ac:dyDescent="0.25">
      <c r="A809" s="39" t="s">
        <v>33</v>
      </c>
      <c r="B809" s="40" t="s">
        <v>630</v>
      </c>
      <c r="C809" s="41" t="s">
        <v>104</v>
      </c>
      <c r="D809" s="42" t="s">
        <v>15</v>
      </c>
      <c r="E809" s="190">
        <v>2504.17</v>
      </c>
      <c r="F809" s="97">
        <f t="shared" ref="F809" si="70">C809*E809</f>
        <v>2504.17</v>
      </c>
      <c r="G809" s="128"/>
    </row>
    <row r="810" spans="1:7" x14ac:dyDescent="0.25">
      <c r="A810" s="187"/>
      <c r="B810" s="192"/>
      <c r="C810" s="188"/>
      <c r="D810" s="189"/>
      <c r="E810" s="190"/>
      <c r="F810" s="97"/>
      <c r="G810" s="128"/>
    </row>
    <row r="811" spans="1:7" x14ac:dyDescent="0.25">
      <c r="A811" s="39"/>
      <c r="B811" s="40"/>
      <c r="C811" s="41"/>
      <c r="D811" s="42"/>
      <c r="E811" s="190"/>
      <c r="F811" s="97"/>
      <c r="G811" s="128"/>
    </row>
    <row r="812" spans="1:7" x14ac:dyDescent="0.25">
      <c r="A812" s="193"/>
      <c r="B812" s="194"/>
      <c r="C812" s="195"/>
      <c r="D812" s="196"/>
      <c r="E812" s="117"/>
      <c r="F812" s="98"/>
      <c r="G812" s="130"/>
    </row>
    <row r="813" spans="1:7" x14ac:dyDescent="0.25">
      <c r="A813" s="197"/>
      <c r="B813" s="198"/>
      <c r="C813" s="199" t="s">
        <v>51</v>
      </c>
      <c r="D813" s="199"/>
      <c r="E813" s="200" t="s">
        <v>50</v>
      </c>
      <c r="F813" s="99">
        <f>SUM(F767:F810)</f>
        <v>51677.599999999999</v>
      </c>
      <c r="G813" s="131"/>
    </row>
    <row r="814" spans="1:7" x14ac:dyDescent="0.25">
      <c r="A814" s="197"/>
      <c r="B814" s="198"/>
      <c r="C814" s="201"/>
      <c r="D814" s="202"/>
      <c r="E814" s="118"/>
      <c r="F814" s="100"/>
      <c r="G814" s="132"/>
    </row>
    <row r="815" spans="1:7" x14ac:dyDescent="0.25">
      <c r="A815" s="187"/>
      <c r="B815" s="192"/>
      <c r="C815" s="188"/>
      <c r="D815" s="189"/>
      <c r="E815" s="190"/>
      <c r="F815" s="97"/>
      <c r="G815" s="128"/>
    </row>
    <row r="816" spans="1:7" x14ac:dyDescent="0.25">
      <c r="A816" s="187"/>
      <c r="B816" s="36" t="s">
        <v>568</v>
      </c>
      <c r="C816" s="188"/>
      <c r="D816" s="189"/>
      <c r="E816" s="190"/>
      <c r="F816" s="97"/>
      <c r="G816" s="128"/>
    </row>
    <row r="817" spans="1:7" x14ac:dyDescent="0.25">
      <c r="A817" s="187"/>
      <c r="B817" s="192"/>
      <c r="C817" s="188"/>
      <c r="D817" s="189"/>
      <c r="E817" s="190"/>
      <c r="F817" s="97"/>
      <c r="G817" s="128"/>
    </row>
    <row r="818" spans="1:7" x14ac:dyDescent="0.25">
      <c r="A818" s="39" t="s">
        <v>3</v>
      </c>
      <c r="B818" s="40" t="s">
        <v>631</v>
      </c>
      <c r="C818" s="41" t="s">
        <v>104</v>
      </c>
      <c r="D818" s="42" t="s">
        <v>15</v>
      </c>
      <c r="E818" s="190">
        <v>570.95000000000005</v>
      </c>
      <c r="F818" s="97">
        <f t="shared" ref="F818" si="71">C818*E818</f>
        <v>570.95000000000005</v>
      </c>
      <c r="G818" s="128"/>
    </row>
    <row r="819" spans="1:7" x14ac:dyDescent="0.25">
      <c r="A819" s="187"/>
      <c r="B819" s="192"/>
      <c r="C819" s="188"/>
      <c r="D819" s="189"/>
      <c r="E819" s="190"/>
      <c r="F819" s="97"/>
      <c r="G819" s="128"/>
    </row>
    <row r="820" spans="1:7" x14ac:dyDescent="0.25">
      <c r="A820" s="39" t="s">
        <v>2</v>
      </c>
      <c r="B820" s="40" t="s">
        <v>632</v>
      </c>
      <c r="C820" s="41" t="s">
        <v>104</v>
      </c>
      <c r="D820" s="42" t="s">
        <v>15</v>
      </c>
      <c r="E820" s="190">
        <v>2754.6</v>
      </c>
      <c r="F820" s="97">
        <f t="shared" ref="F820" si="72">C820*E820</f>
        <v>2754.6</v>
      </c>
      <c r="G820" s="128"/>
    </row>
    <row r="821" spans="1:7" x14ac:dyDescent="0.25">
      <c r="A821" s="187"/>
      <c r="B821" s="192"/>
      <c r="C821" s="188"/>
      <c r="D821" s="189"/>
      <c r="E821" s="190"/>
      <c r="F821" s="97"/>
      <c r="G821" s="128"/>
    </row>
    <row r="822" spans="1:7" x14ac:dyDescent="0.25">
      <c r="A822" s="39" t="s">
        <v>5</v>
      </c>
      <c r="B822" s="40" t="s">
        <v>633</v>
      </c>
      <c r="C822" s="41" t="s">
        <v>104</v>
      </c>
      <c r="D822" s="42" t="s">
        <v>15</v>
      </c>
      <c r="E822" s="190">
        <v>2954.93</v>
      </c>
      <c r="F822" s="97">
        <f t="shared" ref="F822" si="73">C822*E822</f>
        <v>2954.93</v>
      </c>
      <c r="G822" s="128"/>
    </row>
    <row r="823" spans="1:7" x14ac:dyDescent="0.25">
      <c r="A823" s="187"/>
      <c r="B823" s="192"/>
      <c r="C823" s="188"/>
      <c r="D823" s="189"/>
      <c r="E823" s="190"/>
      <c r="F823" s="97"/>
      <c r="G823" s="128"/>
    </row>
    <row r="824" spans="1:7" x14ac:dyDescent="0.25">
      <c r="A824" s="39" t="s">
        <v>8</v>
      </c>
      <c r="B824" s="40" t="s">
        <v>634</v>
      </c>
      <c r="C824" s="41" t="s">
        <v>66</v>
      </c>
      <c r="D824" s="42" t="s">
        <v>15</v>
      </c>
      <c r="E824" s="190">
        <v>2133.5500000000002</v>
      </c>
      <c r="F824" s="97">
        <f t="shared" ref="F824" si="74">C824*E824</f>
        <v>8534.2000000000007</v>
      </c>
      <c r="G824" s="128"/>
    </row>
    <row r="825" spans="1:7" x14ac:dyDescent="0.25">
      <c r="A825" s="187"/>
      <c r="B825" s="192"/>
      <c r="C825" s="188"/>
      <c r="D825" s="189"/>
      <c r="E825" s="190"/>
      <c r="F825" s="97"/>
      <c r="G825" s="128"/>
    </row>
    <row r="826" spans="1:7" x14ac:dyDescent="0.25">
      <c r="A826" s="39" t="s">
        <v>9</v>
      </c>
      <c r="B826" s="40" t="s">
        <v>635</v>
      </c>
      <c r="C826" s="41" t="s">
        <v>64</v>
      </c>
      <c r="D826" s="42" t="s">
        <v>15</v>
      </c>
      <c r="E826" s="190">
        <v>2754.6</v>
      </c>
      <c r="F826" s="97">
        <f t="shared" ref="F826" si="75">C826*E826</f>
        <v>5509.2</v>
      </c>
      <c r="G826" s="128"/>
    </row>
    <row r="827" spans="1:7" x14ac:dyDescent="0.25">
      <c r="A827" s="187"/>
      <c r="B827" s="192"/>
      <c r="C827" s="188"/>
      <c r="D827" s="189"/>
      <c r="E827" s="190"/>
      <c r="F827" s="97"/>
      <c r="G827" s="128"/>
    </row>
    <row r="828" spans="1:7" x14ac:dyDescent="0.25">
      <c r="A828" s="39" t="s">
        <v>10</v>
      </c>
      <c r="B828" s="40" t="s">
        <v>636</v>
      </c>
      <c r="C828" s="41" t="s">
        <v>104</v>
      </c>
      <c r="D828" s="42" t="s">
        <v>15</v>
      </c>
      <c r="E828" s="190">
        <v>3155.26</v>
      </c>
      <c r="F828" s="97">
        <f t="shared" ref="F828" si="76">C828*E828</f>
        <v>3155.26</v>
      </c>
      <c r="G828" s="128"/>
    </row>
    <row r="829" spans="1:7" x14ac:dyDescent="0.25">
      <c r="A829" s="187"/>
      <c r="B829" s="192"/>
      <c r="C829" s="188"/>
      <c r="D829" s="189"/>
      <c r="E829" s="190"/>
      <c r="F829" s="97"/>
      <c r="G829" s="128"/>
    </row>
    <row r="830" spans="1:7" x14ac:dyDescent="0.25">
      <c r="A830" s="39" t="s">
        <v>12</v>
      </c>
      <c r="B830" s="40" t="s">
        <v>637</v>
      </c>
      <c r="C830" s="41" t="s">
        <v>64</v>
      </c>
      <c r="D830" s="42" t="s">
        <v>15</v>
      </c>
      <c r="E830" s="190">
        <v>2103.5</v>
      </c>
      <c r="F830" s="97">
        <f t="shared" ref="F830" si="77">C830*E830</f>
        <v>4207</v>
      </c>
      <c r="G830" s="128"/>
    </row>
    <row r="831" spans="1:7" x14ac:dyDescent="0.25">
      <c r="A831" s="187"/>
      <c r="B831" s="192"/>
      <c r="C831" s="188"/>
      <c r="D831" s="189"/>
      <c r="E831" s="190"/>
      <c r="F831" s="97"/>
      <c r="G831" s="128"/>
    </row>
    <row r="832" spans="1:7" x14ac:dyDescent="0.25">
      <c r="A832" s="39" t="s">
        <v>13</v>
      </c>
      <c r="B832" s="40" t="s">
        <v>638</v>
      </c>
      <c r="C832" s="41" t="s">
        <v>104</v>
      </c>
      <c r="D832" s="42" t="s">
        <v>15</v>
      </c>
      <c r="E832" s="190">
        <v>3706.18</v>
      </c>
      <c r="F832" s="97">
        <f t="shared" ref="F832" si="78">C832*E832</f>
        <v>3706.18</v>
      </c>
      <c r="G832" s="128"/>
    </row>
    <row r="833" spans="1:7" x14ac:dyDescent="0.25">
      <c r="A833" s="187"/>
      <c r="B833" s="192"/>
      <c r="C833" s="188"/>
      <c r="D833" s="189"/>
      <c r="E833" s="190"/>
      <c r="F833" s="97"/>
      <c r="G833" s="128"/>
    </row>
    <row r="834" spans="1:7" x14ac:dyDescent="0.25">
      <c r="A834" s="39" t="s">
        <v>16</v>
      </c>
      <c r="B834" s="40" t="s">
        <v>639</v>
      </c>
      <c r="C834" s="41" t="s">
        <v>104</v>
      </c>
      <c r="D834" s="42" t="s">
        <v>15</v>
      </c>
      <c r="E834" s="190">
        <v>3966.61</v>
      </c>
      <c r="F834" s="97">
        <f t="shared" ref="F834" si="79">C834*E834</f>
        <v>3966.61</v>
      </c>
      <c r="G834" s="128"/>
    </row>
    <row r="835" spans="1:7" x14ac:dyDescent="0.25">
      <c r="A835" s="187"/>
      <c r="B835" s="192"/>
      <c r="C835" s="188"/>
      <c r="D835" s="189"/>
      <c r="E835" s="190"/>
      <c r="F835" s="97"/>
      <c r="G835" s="128"/>
    </row>
    <row r="836" spans="1:7" x14ac:dyDescent="0.25">
      <c r="A836" s="39" t="s">
        <v>17</v>
      </c>
      <c r="B836" s="40" t="s">
        <v>640</v>
      </c>
      <c r="C836" s="41" t="s">
        <v>64</v>
      </c>
      <c r="D836" s="42" t="s">
        <v>15</v>
      </c>
      <c r="E836" s="190">
        <v>2303.84</v>
      </c>
      <c r="F836" s="97">
        <f t="shared" ref="F836:F838" si="80">C836*E836</f>
        <v>4607.68</v>
      </c>
      <c r="G836" s="128"/>
    </row>
    <row r="837" spans="1:7" x14ac:dyDescent="0.25">
      <c r="A837" s="187"/>
      <c r="B837" s="192"/>
      <c r="C837" s="188"/>
      <c r="D837" s="189"/>
      <c r="E837" s="190"/>
      <c r="F837" s="97"/>
      <c r="G837" s="128"/>
    </row>
    <row r="838" spans="1:7" x14ac:dyDescent="0.25">
      <c r="A838" s="39" t="s">
        <v>18</v>
      </c>
      <c r="B838" s="40" t="s">
        <v>641</v>
      </c>
      <c r="C838" s="41" t="s">
        <v>73</v>
      </c>
      <c r="D838" s="42" t="s">
        <v>15</v>
      </c>
      <c r="E838" s="190">
        <v>3916.53</v>
      </c>
      <c r="F838" s="97">
        <f t="shared" si="80"/>
        <v>11749.59</v>
      </c>
      <c r="G838" s="128"/>
    </row>
    <row r="839" spans="1:7" x14ac:dyDescent="0.25">
      <c r="A839" s="187"/>
      <c r="B839" s="192"/>
      <c r="C839" s="188"/>
      <c r="D839" s="189"/>
      <c r="E839" s="190"/>
      <c r="F839" s="97"/>
      <c r="G839" s="128"/>
    </row>
    <row r="840" spans="1:7" x14ac:dyDescent="0.25">
      <c r="A840" s="39" t="s">
        <v>19</v>
      </c>
      <c r="B840" s="40" t="s">
        <v>642</v>
      </c>
      <c r="C840" s="41" t="s">
        <v>64</v>
      </c>
      <c r="D840" s="42" t="s">
        <v>15</v>
      </c>
      <c r="E840" s="190">
        <v>7552.59</v>
      </c>
      <c r="F840" s="97">
        <f t="shared" ref="F840" si="81">C840*E840</f>
        <v>15105.18</v>
      </c>
      <c r="G840" s="128"/>
    </row>
    <row r="841" spans="1:7" x14ac:dyDescent="0.25">
      <c r="A841" s="187"/>
      <c r="B841" s="192"/>
      <c r="C841" s="188"/>
      <c r="D841" s="189"/>
      <c r="E841" s="190"/>
      <c r="F841" s="97"/>
      <c r="G841" s="128"/>
    </row>
    <row r="842" spans="1:7" x14ac:dyDescent="0.25">
      <c r="A842" s="39" t="s">
        <v>22</v>
      </c>
      <c r="B842" s="40" t="s">
        <v>643</v>
      </c>
      <c r="C842" s="41" t="s">
        <v>64</v>
      </c>
      <c r="D842" s="42" t="s">
        <v>15</v>
      </c>
      <c r="E842" s="190">
        <v>5609.35</v>
      </c>
      <c r="F842" s="97">
        <f t="shared" ref="F842:F852" si="82">C842*E842</f>
        <v>11218.7</v>
      </c>
      <c r="G842" s="128"/>
    </row>
    <row r="843" spans="1:7" x14ac:dyDescent="0.25">
      <c r="A843" s="187"/>
      <c r="B843" s="192"/>
      <c r="C843" s="188"/>
      <c r="D843" s="189"/>
      <c r="E843" s="190"/>
      <c r="F843" s="97"/>
      <c r="G843" s="128"/>
    </row>
    <row r="844" spans="1:7" x14ac:dyDescent="0.25">
      <c r="A844" s="39" t="s">
        <v>23</v>
      </c>
      <c r="B844" s="40" t="s">
        <v>644</v>
      </c>
      <c r="C844" s="41" t="s">
        <v>104</v>
      </c>
      <c r="D844" s="42" t="s">
        <v>15</v>
      </c>
      <c r="E844" s="190">
        <v>3235.4</v>
      </c>
      <c r="F844" s="97">
        <f t="shared" si="82"/>
        <v>3235.4</v>
      </c>
      <c r="G844" s="128"/>
    </row>
    <row r="845" spans="1:7" x14ac:dyDescent="0.25">
      <c r="A845" s="187"/>
      <c r="B845" s="192"/>
      <c r="C845" s="188"/>
      <c r="D845" s="189"/>
      <c r="E845" s="190"/>
      <c r="F845" s="97"/>
      <c r="G845" s="128"/>
    </row>
    <row r="846" spans="1:7" x14ac:dyDescent="0.25">
      <c r="A846" s="39" t="s">
        <v>25</v>
      </c>
      <c r="B846" s="40" t="s">
        <v>645</v>
      </c>
      <c r="C846" s="41" t="s">
        <v>104</v>
      </c>
      <c r="D846" s="42" t="s">
        <v>15</v>
      </c>
      <c r="E846" s="190">
        <v>4507.51</v>
      </c>
      <c r="F846" s="97">
        <f t="shared" si="82"/>
        <v>4507.51</v>
      </c>
      <c r="G846" s="128"/>
    </row>
    <row r="847" spans="1:7" x14ac:dyDescent="0.25">
      <c r="A847" s="187"/>
      <c r="B847" s="192"/>
      <c r="C847" s="188"/>
      <c r="D847" s="189"/>
      <c r="E847" s="190"/>
      <c r="F847" s="97"/>
      <c r="G847" s="128"/>
    </row>
    <row r="848" spans="1:7" x14ac:dyDescent="0.25">
      <c r="A848" s="39" t="s">
        <v>31</v>
      </c>
      <c r="B848" s="40" t="s">
        <v>646</v>
      </c>
      <c r="C848" s="41" t="s">
        <v>64</v>
      </c>
      <c r="D848" s="42" t="s">
        <v>15</v>
      </c>
      <c r="E848" s="190">
        <v>15025.05</v>
      </c>
      <c r="F848" s="97">
        <f t="shared" si="82"/>
        <v>30050.1</v>
      </c>
      <c r="G848" s="128"/>
    </row>
    <row r="849" spans="1:7" x14ac:dyDescent="0.25">
      <c r="A849" s="187"/>
      <c r="B849" s="192"/>
      <c r="C849" s="188"/>
      <c r="D849" s="189"/>
      <c r="E849" s="190"/>
      <c r="F849" s="97"/>
      <c r="G849" s="128"/>
    </row>
    <row r="850" spans="1:7" x14ac:dyDescent="0.25">
      <c r="A850" s="39" t="s">
        <v>33</v>
      </c>
      <c r="B850" s="40" t="s">
        <v>647</v>
      </c>
      <c r="C850" s="41" t="s">
        <v>64</v>
      </c>
      <c r="D850" s="42" t="s">
        <v>15</v>
      </c>
      <c r="E850" s="190">
        <v>1352.26</v>
      </c>
      <c r="F850" s="97">
        <f t="shared" si="82"/>
        <v>2704.52</v>
      </c>
      <c r="G850" s="128"/>
    </row>
    <row r="851" spans="1:7" x14ac:dyDescent="0.25">
      <c r="A851" s="187"/>
      <c r="B851" s="192"/>
      <c r="C851" s="188"/>
      <c r="D851" s="189"/>
      <c r="E851" s="190"/>
      <c r="F851" s="97"/>
      <c r="G851" s="128"/>
    </row>
    <row r="852" spans="1:7" x14ac:dyDescent="0.25">
      <c r="A852" s="39" t="s">
        <v>213</v>
      </c>
      <c r="B852" s="40" t="s">
        <v>648</v>
      </c>
      <c r="C852" s="41" t="s">
        <v>104</v>
      </c>
      <c r="D852" s="42" t="s">
        <v>15</v>
      </c>
      <c r="E852" s="190">
        <v>2203.6799999999998</v>
      </c>
      <c r="F852" s="97">
        <f t="shared" si="82"/>
        <v>2203.6799999999998</v>
      </c>
      <c r="G852" s="128"/>
    </row>
    <row r="853" spans="1:7" x14ac:dyDescent="0.25">
      <c r="A853" s="187"/>
      <c r="B853" s="192"/>
      <c r="C853" s="188"/>
      <c r="D853" s="189"/>
      <c r="E853" s="190"/>
      <c r="F853" s="97"/>
      <c r="G853" s="128"/>
    </row>
    <row r="854" spans="1:7" x14ac:dyDescent="0.25">
      <c r="A854" s="39"/>
      <c r="B854" s="52" t="s">
        <v>649</v>
      </c>
      <c r="C854" s="41"/>
      <c r="D854" s="42"/>
      <c r="E854" s="190"/>
      <c r="F854" s="97"/>
      <c r="G854" s="128"/>
    </row>
    <row r="855" spans="1:7" x14ac:dyDescent="0.25">
      <c r="A855" s="187"/>
      <c r="B855" s="192"/>
      <c r="C855" s="188"/>
      <c r="D855" s="189"/>
      <c r="E855" s="190"/>
      <c r="F855" s="97"/>
      <c r="G855" s="128"/>
    </row>
    <row r="856" spans="1:7" x14ac:dyDescent="0.25">
      <c r="A856" s="39" t="s">
        <v>441</v>
      </c>
      <c r="B856" s="40" t="s">
        <v>650</v>
      </c>
      <c r="C856" s="41" t="s">
        <v>66</v>
      </c>
      <c r="D856" s="42" t="s">
        <v>15</v>
      </c>
      <c r="E856" s="190">
        <v>159.44</v>
      </c>
      <c r="F856" s="97">
        <f t="shared" ref="F856" si="83">C856*E856</f>
        <v>637.76</v>
      </c>
      <c r="G856" s="128"/>
    </row>
    <row r="857" spans="1:7" x14ac:dyDescent="0.25">
      <c r="A857" s="187"/>
      <c r="B857" s="192"/>
      <c r="C857" s="188"/>
      <c r="D857" s="189"/>
      <c r="E857" s="190"/>
      <c r="F857" s="97"/>
      <c r="G857" s="128"/>
    </row>
    <row r="858" spans="1:7" x14ac:dyDescent="0.25">
      <c r="A858" s="39" t="s">
        <v>651</v>
      </c>
      <c r="B858" s="40" t="s">
        <v>617</v>
      </c>
      <c r="C858" s="41" t="s">
        <v>104</v>
      </c>
      <c r="D858" s="42" t="s">
        <v>15</v>
      </c>
      <c r="E858" s="190">
        <v>158.82</v>
      </c>
      <c r="F858" s="97">
        <f t="shared" ref="F858" si="84">C858*E858</f>
        <v>158.82</v>
      </c>
      <c r="G858" s="128"/>
    </row>
    <row r="859" spans="1:7" x14ac:dyDescent="0.25">
      <c r="A859" s="187"/>
      <c r="B859" s="192"/>
      <c r="C859" s="188"/>
      <c r="D859" s="189"/>
      <c r="E859" s="190"/>
      <c r="F859" s="97"/>
      <c r="G859" s="128"/>
    </row>
    <row r="860" spans="1:7" x14ac:dyDescent="0.25">
      <c r="A860" s="39" t="s">
        <v>652</v>
      </c>
      <c r="B860" s="40" t="s">
        <v>600</v>
      </c>
      <c r="C860" s="41" t="s">
        <v>82</v>
      </c>
      <c r="D860" s="42" t="s">
        <v>15</v>
      </c>
      <c r="E860" s="190">
        <v>221.72</v>
      </c>
      <c r="F860" s="97">
        <f t="shared" ref="F860" si="85">C860*E860</f>
        <v>1552.04</v>
      </c>
      <c r="G860" s="128"/>
    </row>
    <row r="861" spans="1:7" x14ac:dyDescent="0.25">
      <c r="A861" s="187"/>
      <c r="B861" s="192"/>
      <c r="C861" s="188"/>
      <c r="D861" s="189"/>
      <c r="E861" s="190"/>
      <c r="F861" s="97"/>
      <c r="G861" s="128"/>
    </row>
    <row r="862" spans="1:7" x14ac:dyDescent="0.25">
      <c r="A862" s="39"/>
      <c r="B862" s="40"/>
      <c r="C862" s="41"/>
      <c r="D862" s="42"/>
      <c r="E862" s="190"/>
      <c r="F862" s="97"/>
      <c r="G862" s="128"/>
    </row>
    <row r="863" spans="1:7" x14ac:dyDescent="0.25">
      <c r="A863" s="193"/>
      <c r="B863" s="194"/>
      <c r="C863" s="195"/>
      <c r="D863" s="196"/>
      <c r="E863" s="117"/>
      <c r="F863" s="98"/>
      <c r="G863" s="130"/>
    </row>
    <row r="864" spans="1:7" x14ac:dyDescent="0.25">
      <c r="A864" s="197"/>
      <c r="B864" s="198"/>
      <c r="C864" s="199" t="s">
        <v>51</v>
      </c>
      <c r="D864" s="199"/>
      <c r="E864" s="200" t="s">
        <v>50</v>
      </c>
      <c r="F864" s="99">
        <f>SUM(F817:F861)</f>
        <v>123089.90999999999</v>
      </c>
      <c r="G864" s="131"/>
    </row>
    <row r="865" spans="1:7" x14ac:dyDescent="0.25">
      <c r="A865" s="197"/>
      <c r="B865" s="198"/>
      <c r="C865" s="201"/>
      <c r="D865" s="202"/>
      <c r="E865" s="118"/>
      <c r="F865" s="100"/>
      <c r="G865" s="132"/>
    </row>
    <row r="866" spans="1:7" x14ac:dyDescent="0.25">
      <c r="A866" s="39"/>
      <c r="B866" s="40"/>
      <c r="C866" s="41"/>
      <c r="D866" s="42"/>
      <c r="E866" s="190"/>
      <c r="F866" s="97"/>
      <c r="G866" s="128"/>
    </row>
    <row r="867" spans="1:7" x14ac:dyDescent="0.25">
      <c r="A867" s="187"/>
      <c r="B867" s="36" t="s">
        <v>568</v>
      </c>
      <c r="C867" s="188"/>
      <c r="D867" s="189"/>
      <c r="E867" s="190"/>
      <c r="F867" s="97"/>
      <c r="G867" s="128"/>
    </row>
    <row r="868" spans="1:7" x14ac:dyDescent="0.25">
      <c r="A868" s="187"/>
      <c r="B868" s="192"/>
      <c r="C868" s="188"/>
      <c r="D868" s="189"/>
      <c r="E868" s="190"/>
      <c r="F868" s="97"/>
      <c r="G868" s="128"/>
    </row>
    <row r="869" spans="1:7" x14ac:dyDescent="0.25">
      <c r="A869" s="39"/>
      <c r="B869" s="52" t="s">
        <v>653</v>
      </c>
      <c r="C869" s="41"/>
      <c r="D869" s="42"/>
      <c r="E869" s="190"/>
      <c r="F869" s="97"/>
      <c r="G869" s="128"/>
    </row>
    <row r="870" spans="1:7" x14ac:dyDescent="0.25">
      <c r="A870" s="187"/>
      <c r="B870" s="192"/>
      <c r="C870" s="188"/>
      <c r="D870" s="189"/>
      <c r="E870" s="190"/>
      <c r="F870" s="97"/>
      <c r="G870" s="128"/>
    </row>
    <row r="871" spans="1:7" x14ac:dyDescent="0.25">
      <c r="A871" s="39" t="s">
        <v>3</v>
      </c>
      <c r="B871" s="40" t="s">
        <v>654</v>
      </c>
      <c r="C871" s="41" t="s">
        <v>65</v>
      </c>
      <c r="D871" s="42" t="s">
        <v>15</v>
      </c>
      <c r="E871" s="190">
        <v>179.48</v>
      </c>
      <c r="F871" s="97">
        <f>C871*E871</f>
        <v>2871.68</v>
      </c>
      <c r="G871" s="128"/>
    </row>
    <row r="872" spans="1:7" x14ac:dyDescent="0.25">
      <c r="A872" s="187"/>
      <c r="B872" s="192"/>
      <c r="C872" s="188"/>
      <c r="D872" s="189"/>
      <c r="E872" s="190"/>
      <c r="F872" s="97"/>
      <c r="G872" s="128"/>
    </row>
    <row r="873" spans="1:7" x14ac:dyDescent="0.25">
      <c r="A873" s="39" t="s">
        <v>2</v>
      </c>
      <c r="B873" s="40" t="s">
        <v>655</v>
      </c>
      <c r="C873" s="41" t="s">
        <v>66</v>
      </c>
      <c r="D873" s="42" t="s">
        <v>15</v>
      </c>
      <c r="E873" s="190">
        <v>228.76</v>
      </c>
      <c r="F873" s="97">
        <f>C873*E873</f>
        <v>915.04</v>
      </c>
      <c r="G873" s="128"/>
    </row>
    <row r="874" spans="1:7" x14ac:dyDescent="0.25">
      <c r="A874" s="187"/>
      <c r="B874" s="192"/>
      <c r="C874" s="188"/>
      <c r="D874" s="189"/>
      <c r="E874" s="190"/>
      <c r="F874" s="97"/>
      <c r="G874" s="128"/>
    </row>
    <row r="875" spans="1:7" ht="55.2" x14ac:dyDescent="0.25">
      <c r="A875" s="39"/>
      <c r="B875" s="52" t="s">
        <v>656</v>
      </c>
      <c r="C875" s="41"/>
      <c r="D875" s="42"/>
      <c r="E875" s="190"/>
      <c r="F875" s="97"/>
      <c r="G875" s="128"/>
    </row>
    <row r="876" spans="1:7" x14ac:dyDescent="0.25">
      <c r="A876" s="187"/>
      <c r="B876" s="192"/>
      <c r="C876" s="188"/>
      <c r="D876" s="189"/>
      <c r="E876" s="190"/>
      <c r="F876" s="97"/>
      <c r="G876" s="128"/>
    </row>
    <row r="877" spans="1:7" x14ac:dyDescent="0.25">
      <c r="A877" s="39"/>
      <c r="B877" s="52" t="s">
        <v>657</v>
      </c>
      <c r="C877" s="41"/>
      <c r="D877" s="42"/>
      <c r="E877" s="190"/>
      <c r="F877" s="97"/>
      <c r="G877" s="128"/>
    </row>
    <row r="878" spans="1:7" x14ac:dyDescent="0.25">
      <c r="A878" s="187"/>
      <c r="B878" s="192"/>
      <c r="C878" s="188"/>
      <c r="D878" s="189"/>
      <c r="E878" s="190"/>
      <c r="F878" s="97"/>
      <c r="G878" s="128"/>
    </row>
    <row r="879" spans="1:7" ht="27.6" x14ac:dyDescent="0.25">
      <c r="A879" s="39" t="s">
        <v>5</v>
      </c>
      <c r="B879" s="40" t="s">
        <v>658</v>
      </c>
      <c r="C879" s="41" t="s">
        <v>104</v>
      </c>
      <c r="D879" s="42" t="s">
        <v>15</v>
      </c>
      <c r="E879" s="190">
        <v>3234.65</v>
      </c>
      <c r="F879" s="97">
        <f>C879*E879</f>
        <v>3234.65</v>
      </c>
      <c r="G879" s="128"/>
    </row>
    <row r="880" spans="1:7" x14ac:dyDescent="0.25">
      <c r="A880" s="187"/>
      <c r="B880" s="192"/>
      <c r="C880" s="188"/>
      <c r="D880" s="189"/>
      <c r="E880" s="190"/>
      <c r="F880" s="97"/>
      <c r="G880" s="128"/>
    </row>
    <row r="881" spans="1:7" ht="27.6" x14ac:dyDescent="0.25">
      <c r="A881" s="39" t="s">
        <v>8</v>
      </c>
      <c r="B881" s="40" t="s">
        <v>659</v>
      </c>
      <c r="C881" s="41" t="s">
        <v>104</v>
      </c>
      <c r="D881" s="42" t="s">
        <v>15</v>
      </c>
      <c r="E881" s="190">
        <v>3161.38</v>
      </c>
      <c r="F881" s="97">
        <f>C881*E881</f>
        <v>3161.38</v>
      </c>
      <c r="G881" s="128"/>
    </row>
    <row r="882" spans="1:7" x14ac:dyDescent="0.25">
      <c r="A882" s="187"/>
      <c r="B882" s="192"/>
      <c r="C882" s="188"/>
      <c r="D882" s="189"/>
      <c r="E882" s="190"/>
      <c r="F882" s="97"/>
      <c r="G882" s="128"/>
    </row>
    <row r="883" spans="1:7" ht="27.6" x14ac:dyDescent="0.25">
      <c r="A883" s="39" t="s">
        <v>9</v>
      </c>
      <c r="B883" s="40" t="s">
        <v>660</v>
      </c>
      <c r="C883" s="41" t="s">
        <v>64</v>
      </c>
      <c r="D883" s="42" t="s">
        <v>15</v>
      </c>
      <c r="E883" s="190">
        <v>3655.94</v>
      </c>
      <c r="F883" s="97">
        <f>C883*E883</f>
        <v>7311.88</v>
      </c>
      <c r="G883" s="128"/>
    </row>
    <row r="884" spans="1:7" x14ac:dyDescent="0.25">
      <c r="A884" s="187"/>
      <c r="B884" s="192"/>
      <c r="C884" s="188"/>
      <c r="D884" s="189"/>
      <c r="E884" s="190"/>
      <c r="F884" s="97"/>
      <c r="G884" s="128"/>
    </row>
    <row r="885" spans="1:7" ht="27.6" x14ac:dyDescent="0.25">
      <c r="A885" s="39" t="s">
        <v>10</v>
      </c>
      <c r="B885" s="40" t="s">
        <v>661</v>
      </c>
      <c r="C885" s="41" t="s">
        <v>64</v>
      </c>
      <c r="D885" s="42" t="s">
        <v>15</v>
      </c>
      <c r="E885" s="190">
        <v>3857.41</v>
      </c>
      <c r="F885" s="97">
        <f>C885*E885</f>
        <v>7714.82</v>
      </c>
      <c r="G885" s="128"/>
    </row>
    <row r="886" spans="1:7" x14ac:dyDescent="0.25">
      <c r="A886" s="187"/>
      <c r="B886" s="192"/>
      <c r="C886" s="188"/>
      <c r="D886" s="189"/>
      <c r="E886" s="190"/>
      <c r="F886" s="97"/>
      <c r="G886" s="128"/>
    </row>
    <row r="887" spans="1:7" ht="27.6" x14ac:dyDescent="0.25">
      <c r="A887" s="39" t="s">
        <v>12</v>
      </c>
      <c r="B887" s="40" t="s">
        <v>662</v>
      </c>
      <c r="C887" s="41" t="s">
        <v>104</v>
      </c>
      <c r="D887" s="42" t="s">
        <v>15</v>
      </c>
      <c r="E887" s="190">
        <v>3820.78</v>
      </c>
      <c r="F887" s="97">
        <f>C887*E887</f>
        <v>3820.78</v>
      </c>
      <c r="G887" s="128"/>
    </row>
    <row r="888" spans="1:7" x14ac:dyDescent="0.25">
      <c r="A888" s="187"/>
      <c r="B888" s="192"/>
      <c r="C888" s="188"/>
      <c r="D888" s="189"/>
      <c r="E888" s="190"/>
      <c r="F888" s="97"/>
      <c r="G888" s="128"/>
    </row>
    <row r="889" spans="1:7" ht="27.6" x14ac:dyDescent="0.25">
      <c r="A889" s="39" t="s">
        <v>13</v>
      </c>
      <c r="B889" s="40" t="s">
        <v>663</v>
      </c>
      <c r="C889" s="41" t="s">
        <v>104</v>
      </c>
      <c r="D889" s="42" t="s">
        <v>15</v>
      </c>
      <c r="E889" s="190">
        <v>3372.03</v>
      </c>
      <c r="F889" s="97">
        <f>C889*E889</f>
        <v>3372.03</v>
      </c>
      <c r="G889" s="128"/>
    </row>
    <row r="890" spans="1:7" x14ac:dyDescent="0.25">
      <c r="A890" s="187"/>
      <c r="B890" s="192"/>
      <c r="C890" s="188"/>
      <c r="D890" s="189"/>
      <c r="E890" s="190"/>
      <c r="F890" s="97"/>
      <c r="G890" s="128"/>
    </row>
    <row r="891" spans="1:7" ht="27.6" x14ac:dyDescent="0.25">
      <c r="A891" s="39" t="s">
        <v>16</v>
      </c>
      <c r="B891" s="40" t="s">
        <v>664</v>
      </c>
      <c r="C891" s="41" t="s">
        <v>104</v>
      </c>
      <c r="D891" s="42" t="s">
        <v>15</v>
      </c>
      <c r="E891" s="190">
        <v>3372.03</v>
      </c>
      <c r="F891" s="97">
        <f>C891*E891</f>
        <v>3372.03</v>
      </c>
      <c r="G891" s="128"/>
    </row>
    <row r="892" spans="1:7" x14ac:dyDescent="0.25">
      <c r="A892" s="187"/>
      <c r="B892" s="192"/>
      <c r="C892" s="188"/>
      <c r="D892" s="189"/>
      <c r="E892" s="190"/>
      <c r="F892" s="97"/>
      <c r="G892" s="128"/>
    </row>
    <row r="893" spans="1:7" ht="27.6" x14ac:dyDescent="0.25">
      <c r="A893" s="39" t="s">
        <v>17</v>
      </c>
      <c r="B893" s="40" t="s">
        <v>665</v>
      </c>
      <c r="C893" s="41" t="s">
        <v>104</v>
      </c>
      <c r="D893" s="42" t="s">
        <v>15</v>
      </c>
      <c r="E893" s="190">
        <v>3372.03</v>
      </c>
      <c r="F893" s="97">
        <f>C893*E893</f>
        <v>3372.03</v>
      </c>
      <c r="G893" s="128"/>
    </row>
    <row r="894" spans="1:7" x14ac:dyDescent="0.25">
      <c r="A894" s="187"/>
      <c r="B894" s="192"/>
      <c r="C894" s="188"/>
      <c r="D894" s="189"/>
      <c r="E894" s="190"/>
      <c r="F894" s="97"/>
      <c r="G894" s="128"/>
    </row>
    <row r="895" spans="1:7" ht="27.6" x14ac:dyDescent="0.25">
      <c r="A895" s="39" t="s">
        <v>18</v>
      </c>
      <c r="B895" s="40" t="s">
        <v>666</v>
      </c>
      <c r="C895" s="41" t="s">
        <v>104</v>
      </c>
      <c r="D895" s="42" t="s">
        <v>15</v>
      </c>
      <c r="E895" s="190">
        <v>3124.75</v>
      </c>
      <c r="F895" s="97">
        <f>C895*E895</f>
        <v>3124.75</v>
      </c>
      <c r="G895" s="128"/>
    </row>
    <row r="896" spans="1:7" x14ac:dyDescent="0.25">
      <c r="A896" s="187"/>
      <c r="B896" s="192"/>
      <c r="C896" s="188"/>
      <c r="D896" s="189"/>
      <c r="E896" s="190"/>
      <c r="F896" s="97"/>
      <c r="G896" s="128"/>
    </row>
    <row r="897" spans="1:7" ht="27.6" x14ac:dyDescent="0.25">
      <c r="A897" s="39" t="s">
        <v>19</v>
      </c>
      <c r="B897" s="40" t="s">
        <v>667</v>
      </c>
      <c r="C897" s="41" t="s">
        <v>104</v>
      </c>
      <c r="D897" s="42" t="s">
        <v>15</v>
      </c>
      <c r="E897" s="190">
        <v>3372.03</v>
      </c>
      <c r="F897" s="97">
        <f>C897*E897</f>
        <v>3372.03</v>
      </c>
      <c r="G897" s="128"/>
    </row>
    <row r="898" spans="1:7" x14ac:dyDescent="0.25">
      <c r="A898" s="187"/>
      <c r="B898" s="192"/>
      <c r="C898" s="188"/>
      <c r="D898" s="189"/>
      <c r="E898" s="190"/>
      <c r="F898" s="97"/>
      <c r="G898" s="128"/>
    </row>
    <row r="899" spans="1:7" x14ac:dyDescent="0.25">
      <c r="A899" s="39"/>
      <c r="B899" s="40"/>
      <c r="C899" s="41"/>
      <c r="D899" s="42"/>
      <c r="E899" s="190"/>
      <c r="F899" s="97"/>
      <c r="G899" s="128"/>
    </row>
    <row r="900" spans="1:7" x14ac:dyDescent="0.25">
      <c r="A900" s="39"/>
      <c r="B900" s="40"/>
      <c r="C900" s="41"/>
      <c r="D900" s="42"/>
      <c r="E900" s="190"/>
      <c r="F900" s="97"/>
      <c r="G900" s="128"/>
    </row>
    <row r="901" spans="1:7" x14ac:dyDescent="0.25">
      <c r="A901" s="193"/>
      <c r="B901" s="194"/>
      <c r="C901" s="195"/>
      <c r="D901" s="196"/>
      <c r="E901" s="117"/>
      <c r="F901" s="98"/>
      <c r="G901" s="130"/>
    </row>
    <row r="902" spans="1:7" x14ac:dyDescent="0.25">
      <c r="A902" s="197"/>
      <c r="B902" s="198"/>
      <c r="C902" s="199" t="s">
        <v>51</v>
      </c>
      <c r="D902" s="199"/>
      <c r="E902" s="200" t="s">
        <v>50</v>
      </c>
      <c r="F902" s="99">
        <f>SUM(F867:F899)</f>
        <v>45643.1</v>
      </c>
      <c r="G902" s="131"/>
    </row>
    <row r="903" spans="1:7" x14ac:dyDescent="0.25">
      <c r="A903" s="197"/>
      <c r="B903" s="198"/>
      <c r="C903" s="201"/>
      <c r="D903" s="202"/>
      <c r="E903" s="118"/>
      <c r="F903" s="100"/>
      <c r="G903" s="132"/>
    </row>
    <row r="904" spans="1:7" x14ac:dyDescent="0.25">
      <c r="A904" s="39"/>
      <c r="B904" s="40"/>
      <c r="C904" s="41"/>
      <c r="D904" s="42"/>
      <c r="E904" s="190"/>
      <c r="F904" s="97"/>
      <c r="G904" s="128"/>
    </row>
    <row r="905" spans="1:7" x14ac:dyDescent="0.25">
      <c r="A905" s="187"/>
      <c r="B905" s="36" t="s">
        <v>568</v>
      </c>
      <c r="C905" s="188"/>
      <c r="D905" s="189"/>
      <c r="E905" s="190"/>
      <c r="F905" s="97"/>
      <c r="G905" s="128"/>
    </row>
    <row r="906" spans="1:7" x14ac:dyDescent="0.25">
      <c r="A906" s="187"/>
      <c r="B906" s="192"/>
      <c r="C906" s="188"/>
      <c r="D906" s="189"/>
      <c r="E906" s="190"/>
      <c r="F906" s="97"/>
      <c r="G906" s="128"/>
    </row>
    <row r="907" spans="1:7" ht="27.6" x14ac:dyDescent="0.25">
      <c r="A907" s="39" t="s">
        <v>3</v>
      </c>
      <c r="B907" s="40" t="s">
        <v>668</v>
      </c>
      <c r="C907" s="41" t="s">
        <v>104</v>
      </c>
      <c r="D907" s="42" t="s">
        <v>15</v>
      </c>
      <c r="E907" s="190">
        <v>3372.03</v>
      </c>
      <c r="F907" s="97">
        <f>C907*E907</f>
        <v>3372.03</v>
      </c>
      <c r="G907" s="128"/>
    </row>
    <row r="908" spans="1:7" x14ac:dyDescent="0.25">
      <c r="A908" s="187"/>
      <c r="B908" s="192"/>
      <c r="C908" s="188"/>
      <c r="D908" s="189"/>
      <c r="E908" s="190"/>
      <c r="F908" s="97"/>
      <c r="G908" s="128"/>
    </row>
    <row r="909" spans="1:7" ht="27.6" x14ac:dyDescent="0.25">
      <c r="A909" s="39" t="s">
        <v>2</v>
      </c>
      <c r="B909" s="40" t="s">
        <v>669</v>
      </c>
      <c r="C909" s="41" t="s">
        <v>104</v>
      </c>
      <c r="D909" s="42" t="s">
        <v>15</v>
      </c>
      <c r="E909" s="190">
        <v>3372.03</v>
      </c>
      <c r="F909" s="97">
        <f>C909*E909</f>
        <v>3372.03</v>
      </c>
      <c r="G909" s="128"/>
    </row>
    <row r="910" spans="1:7" x14ac:dyDescent="0.25">
      <c r="A910" s="187"/>
      <c r="B910" s="192"/>
      <c r="C910" s="188"/>
      <c r="D910" s="189"/>
      <c r="E910" s="190"/>
      <c r="F910" s="97"/>
      <c r="G910" s="128"/>
    </row>
    <row r="911" spans="1:7" ht="27.6" x14ac:dyDescent="0.25">
      <c r="A911" s="39" t="s">
        <v>5</v>
      </c>
      <c r="B911" s="40" t="s">
        <v>670</v>
      </c>
      <c r="C911" s="41" t="s">
        <v>64</v>
      </c>
      <c r="D911" s="42" t="s">
        <v>15</v>
      </c>
      <c r="E911" s="190">
        <v>3307.92</v>
      </c>
      <c r="F911" s="97">
        <f>C911*E911</f>
        <v>6615.84</v>
      </c>
      <c r="G911" s="128"/>
    </row>
    <row r="912" spans="1:7" x14ac:dyDescent="0.25">
      <c r="A912" s="187"/>
      <c r="B912" s="192"/>
      <c r="C912" s="188"/>
      <c r="D912" s="189"/>
      <c r="E912" s="190"/>
      <c r="F912" s="97"/>
      <c r="G912" s="128"/>
    </row>
    <row r="913" spans="1:7" ht="27.6" x14ac:dyDescent="0.25">
      <c r="A913" s="39" t="s">
        <v>8</v>
      </c>
      <c r="B913" s="40" t="s">
        <v>671</v>
      </c>
      <c r="C913" s="41" t="s">
        <v>64</v>
      </c>
      <c r="D913" s="42" t="s">
        <v>15</v>
      </c>
      <c r="E913" s="190">
        <v>3372.03</v>
      </c>
      <c r="F913" s="97">
        <f>C913*E913</f>
        <v>6744.06</v>
      </c>
      <c r="G913" s="128"/>
    </row>
    <row r="914" spans="1:7" x14ac:dyDescent="0.25">
      <c r="A914" s="187"/>
      <c r="B914" s="192"/>
      <c r="C914" s="188"/>
      <c r="D914" s="189"/>
      <c r="E914" s="190"/>
      <c r="F914" s="97"/>
      <c r="G914" s="128"/>
    </row>
    <row r="915" spans="1:7" ht="27.6" x14ac:dyDescent="0.25">
      <c r="A915" s="39" t="s">
        <v>9</v>
      </c>
      <c r="B915" s="40" t="s">
        <v>672</v>
      </c>
      <c r="C915" s="41" t="s">
        <v>104</v>
      </c>
      <c r="D915" s="42" t="s">
        <v>15</v>
      </c>
      <c r="E915" s="190">
        <v>3372.03</v>
      </c>
      <c r="F915" s="97">
        <f>C915*E915</f>
        <v>3372.03</v>
      </c>
      <c r="G915" s="128"/>
    </row>
    <row r="916" spans="1:7" x14ac:dyDescent="0.25">
      <c r="A916" s="187"/>
      <c r="B916" s="192"/>
      <c r="C916" s="188"/>
      <c r="D916" s="189"/>
      <c r="E916" s="190"/>
      <c r="F916" s="97"/>
      <c r="G916" s="128"/>
    </row>
    <row r="917" spans="1:7" ht="27.6" x14ac:dyDescent="0.25">
      <c r="A917" s="39" t="s">
        <v>10</v>
      </c>
      <c r="B917" s="40" t="s">
        <v>673</v>
      </c>
      <c r="C917" s="41" t="s">
        <v>104</v>
      </c>
      <c r="D917" s="42" t="s">
        <v>15</v>
      </c>
      <c r="E917" s="190">
        <v>3417.82</v>
      </c>
      <c r="F917" s="97">
        <f>C917*E917</f>
        <v>3417.82</v>
      </c>
      <c r="G917" s="128"/>
    </row>
    <row r="918" spans="1:7" x14ac:dyDescent="0.25">
      <c r="A918" s="187"/>
      <c r="B918" s="192"/>
      <c r="C918" s="188"/>
      <c r="D918" s="189"/>
      <c r="E918" s="190"/>
      <c r="F918" s="97"/>
      <c r="G918" s="128"/>
    </row>
    <row r="919" spans="1:7" ht="27.6" x14ac:dyDescent="0.25">
      <c r="A919" s="39" t="s">
        <v>12</v>
      </c>
      <c r="B919" s="40" t="s">
        <v>674</v>
      </c>
      <c r="C919" s="41" t="s">
        <v>104</v>
      </c>
      <c r="D919" s="42" t="s">
        <v>15</v>
      </c>
      <c r="E919" s="190">
        <v>3564.35</v>
      </c>
      <c r="F919" s="97">
        <f>C919*E919</f>
        <v>3564.35</v>
      </c>
      <c r="G919" s="128"/>
    </row>
    <row r="920" spans="1:7" x14ac:dyDescent="0.25">
      <c r="A920" s="187"/>
      <c r="B920" s="192"/>
      <c r="C920" s="188"/>
      <c r="D920" s="189"/>
      <c r="E920" s="190"/>
      <c r="F920" s="97"/>
      <c r="G920" s="128"/>
    </row>
    <row r="921" spans="1:7" ht="27.6" x14ac:dyDescent="0.25">
      <c r="A921" s="39" t="s">
        <v>13</v>
      </c>
      <c r="B921" s="40" t="s">
        <v>675</v>
      </c>
      <c r="C921" s="41" t="s">
        <v>64</v>
      </c>
      <c r="D921" s="42" t="s">
        <v>15</v>
      </c>
      <c r="E921" s="190">
        <v>3820.78</v>
      </c>
      <c r="F921" s="97">
        <f>C921*E921</f>
        <v>7641.56</v>
      </c>
      <c r="G921" s="128"/>
    </row>
    <row r="922" spans="1:7" x14ac:dyDescent="0.25">
      <c r="A922" s="187"/>
      <c r="B922" s="192"/>
      <c r="C922" s="188"/>
      <c r="D922" s="189"/>
      <c r="E922" s="190"/>
      <c r="F922" s="97"/>
      <c r="G922" s="128"/>
    </row>
    <row r="923" spans="1:7" ht="27.6" x14ac:dyDescent="0.25">
      <c r="A923" s="39" t="s">
        <v>16</v>
      </c>
      <c r="B923" s="40" t="s">
        <v>676</v>
      </c>
      <c r="C923" s="41" t="s">
        <v>64</v>
      </c>
      <c r="D923" s="42" t="s">
        <v>15</v>
      </c>
      <c r="E923" s="190">
        <v>3344.55</v>
      </c>
      <c r="F923" s="97">
        <f>C923*E923</f>
        <v>6689.1</v>
      </c>
      <c r="G923" s="128"/>
    </row>
    <row r="924" spans="1:7" x14ac:dyDescent="0.25">
      <c r="A924" s="187"/>
      <c r="B924" s="192"/>
      <c r="C924" s="188"/>
      <c r="D924" s="189"/>
      <c r="E924" s="190"/>
      <c r="F924" s="97"/>
      <c r="G924" s="128"/>
    </row>
    <row r="925" spans="1:7" ht="27.6" x14ac:dyDescent="0.25">
      <c r="A925" s="39" t="s">
        <v>17</v>
      </c>
      <c r="B925" s="40" t="s">
        <v>677</v>
      </c>
      <c r="C925" s="41" t="s">
        <v>64</v>
      </c>
      <c r="D925" s="42" t="s">
        <v>15</v>
      </c>
      <c r="E925" s="190">
        <v>3949</v>
      </c>
      <c r="F925" s="97">
        <f>C925*E925</f>
        <v>7898</v>
      </c>
      <c r="G925" s="128"/>
    </row>
    <row r="926" spans="1:7" x14ac:dyDescent="0.25">
      <c r="A926" s="187"/>
      <c r="B926" s="192"/>
      <c r="C926" s="188"/>
      <c r="D926" s="189"/>
      <c r="E926" s="190"/>
      <c r="F926" s="97"/>
      <c r="G926" s="128"/>
    </row>
    <row r="927" spans="1:7" ht="27.6" x14ac:dyDescent="0.25">
      <c r="A927" s="39" t="s">
        <v>18</v>
      </c>
      <c r="B927" s="40" t="s">
        <v>678</v>
      </c>
      <c r="C927" s="41" t="s">
        <v>61</v>
      </c>
      <c r="D927" s="42" t="s">
        <v>15</v>
      </c>
      <c r="E927" s="190">
        <v>3754.85</v>
      </c>
      <c r="F927" s="97">
        <f>C927*E927</f>
        <v>33793.65</v>
      </c>
      <c r="G927" s="128"/>
    </row>
    <row r="928" spans="1:7" x14ac:dyDescent="0.25">
      <c r="A928" s="187"/>
      <c r="B928" s="192"/>
      <c r="C928" s="188"/>
      <c r="D928" s="189"/>
      <c r="E928" s="190"/>
      <c r="F928" s="97"/>
      <c r="G928" s="128"/>
    </row>
    <row r="929" spans="1:7" ht="27.6" x14ac:dyDescent="0.25">
      <c r="A929" s="39" t="s">
        <v>19</v>
      </c>
      <c r="B929" s="40" t="s">
        <v>679</v>
      </c>
      <c r="C929" s="41" t="s">
        <v>104</v>
      </c>
      <c r="D929" s="42" t="s">
        <v>15</v>
      </c>
      <c r="E929" s="190">
        <v>4260.38</v>
      </c>
      <c r="F929" s="97">
        <f>C929*E929</f>
        <v>4260.38</v>
      </c>
      <c r="G929" s="128"/>
    </row>
    <row r="930" spans="1:7" x14ac:dyDescent="0.25">
      <c r="A930" s="187"/>
      <c r="B930" s="192"/>
      <c r="C930" s="188"/>
      <c r="D930" s="189"/>
      <c r="E930" s="190"/>
      <c r="F930" s="97"/>
      <c r="G930" s="128"/>
    </row>
    <row r="931" spans="1:7" ht="27.6" x14ac:dyDescent="0.25">
      <c r="A931" s="39" t="s">
        <v>22</v>
      </c>
      <c r="B931" s="40" t="s">
        <v>680</v>
      </c>
      <c r="C931" s="41" t="s">
        <v>104</v>
      </c>
      <c r="D931" s="42" t="s">
        <v>15</v>
      </c>
      <c r="E931" s="190">
        <v>3381.18</v>
      </c>
      <c r="F931" s="97">
        <f>C931*E931</f>
        <v>3381.18</v>
      </c>
      <c r="G931" s="128"/>
    </row>
    <row r="932" spans="1:7" x14ac:dyDescent="0.25">
      <c r="A932" s="187"/>
      <c r="B932" s="192"/>
      <c r="C932" s="188"/>
      <c r="D932" s="189"/>
      <c r="E932" s="190"/>
      <c r="F932" s="97"/>
      <c r="G932" s="128"/>
    </row>
    <row r="933" spans="1:7" ht="27.6" x14ac:dyDescent="0.25">
      <c r="A933" s="39" t="s">
        <v>23</v>
      </c>
      <c r="B933" s="40" t="s">
        <v>681</v>
      </c>
      <c r="C933" s="41" t="s">
        <v>66</v>
      </c>
      <c r="D933" s="42" t="s">
        <v>15</v>
      </c>
      <c r="E933" s="190">
        <v>6676.76</v>
      </c>
      <c r="F933" s="97">
        <f>C933*E933</f>
        <v>26707.040000000001</v>
      </c>
      <c r="G933" s="128"/>
    </row>
    <row r="934" spans="1:7" x14ac:dyDescent="0.25">
      <c r="A934" s="187"/>
      <c r="B934" s="192"/>
      <c r="C934" s="188"/>
      <c r="D934" s="189"/>
      <c r="E934" s="190"/>
      <c r="F934" s="97"/>
      <c r="G934" s="128"/>
    </row>
    <row r="935" spans="1:7" x14ac:dyDescent="0.25">
      <c r="A935" s="187"/>
      <c r="B935" s="192"/>
      <c r="C935" s="188"/>
      <c r="D935" s="189"/>
      <c r="E935" s="190"/>
      <c r="F935" s="97"/>
      <c r="G935" s="128"/>
    </row>
    <row r="936" spans="1:7" x14ac:dyDescent="0.25">
      <c r="A936" s="187"/>
      <c r="B936" s="192"/>
      <c r="C936" s="188"/>
      <c r="D936" s="189"/>
      <c r="E936" s="190"/>
      <c r="F936" s="97"/>
      <c r="G936" s="128"/>
    </row>
    <row r="937" spans="1:7" x14ac:dyDescent="0.25">
      <c r="A937" s="187"/>
      <c r="B937" s="192"/>
      <c r="C937" s="188"/>
      <c r="D937" s="189"/>
      <c r="E937" s="190"/>
      <c r="F937" s="97"/>
      <c r="G937" s="128"/>
    </row>
    <row r="938" spans="1:7" x14ac:dyDescent="0.25">
      <c r="A938" s="193"/>
      <c r="B938" s="194"/>
      <c r="C938" s="195"/>
      <c r="D938" s="196"/>
      <c r="E938" s="117"/>
      <c r="F938" s="98"/>
      <c r="G938" s="130"/>
    </row>
    <row r="939" spans="1:7" x14ac:dyDescent="0.25">
      <c r="A939" s="197"/>
      <c r="B939" s="198"/>
      <c r="C939" s="199" t="s">
        <v>51</v>
      </c>
      <c r="D939" s="199"/>
      <c r="E939" s="200" t="s">
        <v>50</v>
      </c>
      <c r="F939" s="99">
        <f>SUM(F906:F935)</f>
        <v>120829.07</v>
      </c>
      <c r="G939" s="131"/>
    </row>
    <row r="940" spans="1:7" x14ac:dyDescent="0.25">
      <c r="A940" s="197"/>
      <c r="B940" s="198"/>
      <c r="C940" s="201"/>
      <c r="D940" s="202"/>
      <c r="E940" s="118"/>
      <c r="F940" s="100"/>
      <c r="G940" s="132"/>
    </row>
    <row r="941" spans="1:7" x14ac:dyDescent="0.25">
      <c r="A941" s="187"/>
      <c r="B941" s="36"/>
      <c r="C941" s="188"/>
      <c r="D941" s="189"/>
      <c r="E941" s="190"/>
      <c r="F941" s="97"/>
      <c r="G941" s="128"/>
    </row>
    <row r="942" spans="1:7" x14ac:dyDescent="0.25">
      <c r="A942" s="187"/>
      <c r="B942" s="36" t="s">
        <v>568</v>
      </c>
      <c r="C942" s="188"/>
      <c r="D942" s="189"/>
      <c r="E942" s="190"/>
      <c r="F942" s="97"/>
      <c r="G942" s="128"/>
    </row>
    <row r="943" spans="1:7" x14ac:dyDescent="0.25">
      <c r="A943" s="187"/>
      <c r="B943" s="192"/>
      <c r="C943" s="188"/>
      <c r="D943" s="189"/>
      <c r="E943" s="190"/>
      <c r="F943" s="97"/>
      <c r="G943" s="128"/>
    </row>
    <row r="944" spans="1:7" ht="27.6" x14ac:dyDescent="0.25">
      <c r="A944" s="39" t="s">
        <v>3</v>
      </c>
      <c r="B944" s="40" t="s">
        <v>682</v>
      </c>
      <c r="C944" s="41" t="s">
        <v>104</v>
      </c>
      <c r="D944" s="42" t="s">
        <v>15</v>
      </c>
      <c r="E944" s="190">
        <v>3930.68</v>
      </c>
      <c r="F944" s="97">
        <f>C944*E944</f>
        <v>3930.68</v>
      </c>
      <c r="G944" s="128"/>
    </row>
    <row r="945" spans="1:7" x14ac:dyDescent="0.25">
      <c r="A945" s="187"/>
      <c r="B945" s="192"/>
      <c r="C945" s="188"/>
      <c r="D945" s="189"/>
      <c r="E945" s="190"/>
      <c r="F945" s="97"/>
      <c r="G945" s="128"/>
    </row>
    <row r="946" spans="1:7" ht="27.6" x14ac:dyDescent="0.25">
      <c r="A946" s="39" t="s">
        <v>2</v>
      </c>
      <c r="B946" s="40" t="s">
        <v>683</v>
      </c>
      <c r="C946" s="41" t="s">
        <v>64</v>
      </c>
      <c r="D946" s="42" t="s">
        <v>15</v>
      </c>
      <c r="E946" s="190">
        <v>3198.02</v>
      </c>
      <c r="F946" s="97">
        <f>C946*E946</f>
        <v>6396.04</v>
      </c>
      <c r="G946" s="128"/>
    </row>
    <row r="947" spans="1:7" x14ac:dyDescent="0.25">
      <c r="A947" s="187"/>
      <c r="B947" s="192"/>
      <c r="C947" s="188"/>
      <c r="D947" s="189"/>
      <c r="E947" s="190"/>
      <c r="F947" s="97"/>
      <c r="G947" s="128"/>
    </row>
    <row r="948" spans="1:7" ht="27.6" x14ac:dyDescent="0.25">
      <c r="A948" s="39" t="s">
        <v>5</v>
      </c>
      <c r="B948" s="40" t="s">
        <v>684</v>
      </c>
      <c r="C948" s="41" t="s">
        <v>64</v>
      </c>
      <c r="D948" s="42" t="s">
        <v>15</v>
      </c>
      <c r="E948" s="190">
        <v>4205.43</v>
      </c>
      <c r="F948" s="97">
        <f>C948*E948</f>
        <v>8410.86</v>
      </c>
      <c r="G948" s="128"/>
    </row>
    <row r="949" spans="1:7" x14ac:dyDescent="0.25">
      <c r="A949" s="187"/>
      <c r="B949" s="192"/>
      <c r="C949" s="188"/>
      <c r="D949" s="189"/>
      <c r="E949" s="190"/>
      <c r="F949" s="97"/>
      <c r="G949" s="128"/>
    </row>
    <row r="950" spans="1:7" ht="27.6" x14ac:dyDescent="0.25">
      <c r="A950" s="39" t="s">
        <v>8</v>
      </c>
      <c r="B950" s="40" t="s">
        <v>685</v>
      </c>
      <c r="C950" s="41" t="s">
        <v>104</v>
      </c>
      <c r="D950" s="42" t="s">
        <v>15</v>
      </c>
      <c r="E950" s="190">
        <v>5108.8599999999997</v>
      </c>
      <c r="F950" s="97">
        <f>C950*E950</f>
        <v>5108.8599999999997</v>
      </c>
      <c r="G950" s="128"/>
    </row>
    <row r="951" spans="1:7" x14ac:dyDescent="0.25">
      <c r="A951" s="187"/>
      <c r="B951" s="192"/>
      <c r="C951" s="188"/>
      <c r="D951" s="189"/>
      <c r="E951" s="190"/>
      <c r="F951" s="97"/>
      <c r="G951" s="128"/>
    </row>
    <row r="952" spans="1:7" ht="27.6" x14ac:dyDescent="0.25">
      <c r="A952" s="39" t="s">
        <v>9</v>
      </c>
      <c r="B952" s="40" t="s">
        <v>686</v>
      </c>
      <c r="C952" s="41" t="s">
        <v>104</v>
      </c>
      <c r="D952" s="42" t="s">
        <v>15</v>
      </c>
      <c r="E952" s="190">
        <v>3747.51</v>
      </c>
      <c r="F952" s="97">
        <f>C952*E952</f>
        <v>3747.51</v>
      </c>
      <c r="G952" s="128"/>
    </row>
    <row r="953" spans="1:7" x14ac:dyDescent="0.25">
      <c r="A953" s="187"/>
      <c r="B953" s="192"/>
      <c r="C953" s="188"/>
      <c r="D953" s="189"/>
      <c r="E953" s="190"/>
      <c r="F953" s="97"/>
      <c r="G953" s="128"/>
    </row>
    <row r="954" spans="1:7" ht="27.6" x14ac:dyDescent="0.25">
      <c r="A954" s="39" t="s">
        <v>10</v>
      </c>
      <c r="B954" s="40" t="s">
        <v>687</v>
      </c>
      <c r="C954" s="41" t="s">
        <v>66</v>
      </c>
      <c r="D954" s="42" t="s">
        <v>15</v>
      </c>
      <c r="E954" s="190">
        <v>4998.96</v>
      </c>
      <c r="F954" s="97">
        <f>C954*E954</f>
        <v>19995.84</v>
      </c>
      <c r="G954" s="128"/>
    </row>
    <row r="955" spans="1:7" x14ac:dyDescent="0.25">
      <c r="A955" s="187"/>
      <c r="B955" s="192"/>
      <c r="C955" s="188"/>
      <c r="D955" s="189"/>
      <c r="E955" s="190"/>
      <c r="F955" s="97"/>
      <c r="G955" s="128"/>
    </row>
    <row r="956" spans="1:7" ht="27.6" x14ac:dyDescent="0.25">
      <c r="A956" s="39" t="s">
        <v>12</v>
      </c>
      <c r="B956" s="40" t="s">
        <v>688</v>
      </c>
      <c r="C956" s="41" t="s">
        <v>66</v>
      </c>
      <c r="D956" s="42" t="s">
        <v>15</v>
      </c>
      <c r="E956" s="190">
        <v>5357.97</v>
      </c>
      <c r="F956" s="97">
        <f>C956*E956</f>
        <v>21431.88</v>
      </c>
      <c r="G956" s="128"/>
    </row>
    <row r="957" spans="1:7" x14ac:dyDescent="0.25">
      <c r="A957" s="187"/>
      <c r="B957" s="192"/>
      <c r="C957" s="188"/>
      <c r="D957" s="189"/>
      <c r="E957" s="190"/>
      <c r="F957" s="97"/>
      <c r="G957" s="128"/>
    </row>
    <row r="958" spans="1:7" ht="27.6" x14ac:dyDescent="0.25">
      <c r="A958" s="39" t="s">
        <v>13</v>
      </c>
      <c r="B958" s="40" t="s">
        <v>689</v>
      </c>
      <c r="C958" s="41" t="s">
        <v>66</v>
      </c>
      <c r="D958" s="42" t="s">
        <v>15</v>
      </c>
      <c r="E958" s="190">
        <v>4998.96</v>
      </c>
      <c r="F958" s="97">
        <f>C958*E958</f>
        <v>19995.84</v>
      </c>
      <c r="G958" s="128"/>
    </row>
    <row r="959" spans="1:7" x14ac:dyDescent="0.25">
      <c r="A959" s="187"/>
      <c r="B959" s="192"/>
      <c r="C959" s="188"/>
      <c r="D959" s="189"/>
      <c r="E959" s="190"/>
      <c r="F959" s="97"/>
      <c r="G959" s="128"/>
    </row>
    <row r="960" spans="1:7" ht="27.6" x14ac:dyDescent="0.25">
      <c r="A960" s="39" t="s">
        <v>16</v>
      </c>
      <c r="B960" s="40" t="s">
        <v>690</v>
      </c>
      <c r="C960" s="41" t="s">
        <v>104</v>
      </c>
      <c r="D960" s="42" t="s">
        <v>15</v>
      </c>
      <c r="E960" s="190">
        <v>6839.16</v>
      </c>
      <c r="F960" s="97">
        <f>C960*E960</f>
        <v>6839.16</v>
      </c>
      <c r="G960" s="128"/>
    </row>
    <row r="961" spans="1:7" x14ac:dyDescent="0.25">
      <c r="A961" s="187"/>
      <c r="B961" s="192"/>
      <c r="C961" s="188"/>
      <c r="D961" s="189"/>
      <c r="E961" s="190"/>
      <c r="F961" s="97"/>
      <c r="G961" s="128"/>
    </row>
    <row r="962" spans="1:7" ht="55.2" x14ac:dyDescent="0.25">
      <c r="A962" s="39"/>
      <c r="B962" s="52" t="s">
        <v>691</v>
      </c>
      <c r="C962" s="41"/>
      <c r="D962" s="42"/>
      <c r="E962" s="190"/>
      <c r="F962" s="97"/>
      <c r="G962" s="128"/>
    </row>
    <row r="963" spans="1:7" x14ac:dyDescent="0.25">
      <c r="A963" s="187"/>
      <c r="B963" s="192"/>
      <c r="C963" s="188"/>
      <c r="D963" s="189"/>
      <c r="E963" s="190"/>
      <c r="F963" s="97"/>
      <c r="G963" s="128"/>
    </row>
    <row r="964" spans="1:7" ht="27.6" x14ac:dyDescent="0.25">
      <c r="A964" s="39" t="s">
        <v>17</v>
      </c>
      <c r="B964" s="40" t="s">
        <v>692</v>
      </c>
      <c r="C964" s="41" t="s">
        <v>104</v>
      </c>
      <c r="D964" s="42" t="s">
        <v>15</v>
      </c>
      <c r="E964" s="190">
        <v>259144.87</v>
      </c>
      <c r="F964" s="97">
        <f>C964*E964</f>
        <v>259144.87</v>
      </c>
      <c r="G964" s="128" t="s">
        <v>1221</v>
      </c>
    </row>
    <row r="965" spans="1:7" x14ac:dyDescent="0.25">
      <c r="A965" s="187"/>
      <c r="B965" s="192"/>
      <c r="C965" s="188"/>
      <c r="D965" s="189"/>
      <c r="E965" s="190"/>
      <c r="F965" s="97"/>
      <c r="G965" s="128"/>
    </row>
    <row r="966" spans="1:7" ht="69" x14ac:dyDescent="0.25">
      <c r="A966" s="39"/>
      <c r="B966" s="52" t="s">
        <v>693</v>
      </c>
      <c r="C966" s="41"/>
      <c r="D966" s="42"/>
      <c r="E966" s="190"/>
      <c r="F966" s="97"/>
      <c r="G966" s="128"/>
    </row>
    <row r="967" spans="1:7" x14ac:dyDescent="0.25">
      <c r="A967" s="187"/>
      <c r="B967" s="192"/>
      <c r="C967" s="188"/>
      <c r="D967" s="189"/>
      <c r="E967" s="190"/>
      <c r="F967" s="97"/>
      <c r="G967" s="128"/>
    </row>
    <row r="968" spans="1:7" ht="27.6" x14ac:dyDescent="0.25">
      <c r="A968" s="39" t="s">
        <v>18</v>
      </c>
      <c r="B968" s="40" t="s">
        <v>694</v>
      </c>
      <c r="C968" s="41" t="s">
        <v>104</v>
      </c>
      <c r="D968" s="42" t="s">
        <v>15</v>
      </c>
      <c r="E968" s="190">
        <v>65371.57</v>
      </c>
      <c r="F968" s="97">
        <f>C968*E968</f>
        <v>65371.57</v>
      </c>
      <c r="G968" s="128" t="s">
        <v>1221</v>
      </c>
    </row>
    <row r="969" spans="1:7" x14ac:dyDescent="0.25">
      <c r="A969" s="187"/>
      <c r="B969" s="192"/>
      <c r="C969" s="188"/>
      <c r="D969" s="189"/>
      <c r="E969" s="190"/>
      <c r="F969" s="97"/>
      <c r="G969" s="128"/>
    </row>
    <row r="970" spans="1:7" ht="26.4" x14ac:dyDescent="0.25">
      <c r="A970" s="187"/>
      <c r="B970" s="225" t="s">
        <v>1212</v>
      </c>
      <c r="C970" s="188"/>
      <c r="D970" s="189"/>
      <c r="E970" s="190"/>
      <c r="F970" s="97"/>
      <c r="G970" s="128"/>
    </row>
    <row r="971" spans="1:7" x14ac:dyDescent="0.25">
      <c r="A971" s="193"/>
      <c r="B971" s="194"/>
      <c r="C971" s="195"/>
      <c r="D971" s="196"/>
      <c r="E971" s="117"/>
      <c r="F971" s="98"/>
      <c r="G971" s="130"/>
    </row>
    <row r="972" spans="1:7" x14ac:dyDescent="0.25">
      <c r="A972" s="197"/>
      <c r="B972" s="198"/>
      <c r="C972" s="199" t="s">
        <v>51</v>
      </c>
      <c r="D972" s="199"/>
      <c r="E972" s="200" t="s">
        <v>50</v>
      </c>
      <c r="F972" s="99">
        <f>SUM(F943:F969)</f>
        <v>420373.11000000004</v>
      </c>
      <c r="G972" s="131"/>
    </row>
    <row r="973" spans="1:7" x14ac:dyDescent="0.25">
      <c r="A973" s="197"/>
      <c r="B973" s="198"/>
      <c r="C973" s="201"/>
      <c r="D973" s="202"/>
      <c r="E973" s="118"/>
      <c r="F973" s="100"/>
      <c r="G973" s="132"/>
    </row>
    <row r="974" spans="1:7" x14ac:dyDescent="0.25">
      <c r="A974" s="187"/>
      <c r="B974" s="192"/>
      <c r="C974" s="188"/>
      <c r="D974" s="189"/>
      <c r="E974" s="190"/>
      <c r="F974" s="97"/>
      <c r="G974" s="128"/>
    </row>
    <row r="975" spans="1:7" x14ac:dyDescent="0.25">
      <c r="A975" s="187"/>
      <c r="B975" s="36" t="s">
        <v>568</v>
      </c>
      <c r="C975" s="188"/>
      <c r="D975" s="189"/>
      <c r="E975" s="190"/>
      <c r="F975" s="97"/>
      <c r="G975" s="128"/>
    </row>
    <row r="976" spans="1:7" x14ac:dyDescent="0.25">
      <c r="A976" s="187"/>
      <c r="B976" s="192"/>
      <c r="C976" s="188"/>
      <c r="D976" s="189"/>
      <c r="E976" s="190"/>
      <c r="F976" s="97"/>
      <c r="G976" s="128"/>
    </row>
    <row r="977" spans="1:7" ht="69" x14ac:dyDescent="0.25">
      <c r="A977" s="39"/>
      <c r="B977" s="52" t="s">
        <v>695</v>
      </c>
      <c r="C977" s="41"/>
      <c r="D977" s="42"/>
      <c r="E977" s="190"/>
      <c r="F977" s="97"/>
      <c r="G977" s="128"/>
    </row>
    <row r="978" spans="1:7" x14ac:dyDescent="0.25">
      <c r="A978" s="187"/>
      <c r="B978" s="192"/>
      <c r="C978" s="188"/>
      <c r="D978" s="189"/>
      <c r="E978" s="190"/>
      <c r="F978" s="97"/>
      <c r="G978" s="128"/>
    </row>
    <row r="979" spans="1:7" ht="27.6" x14ac:dyDescent="0.25">
      <c r="A979" s="39" t="s">
        <v>3</v>
      </c>
      <c r="B979" s="40" t="s">
        <v>696</v>
      </c>
      <c r="C979" s="41" t="s">
        <v>104</v>
      </c>
      <c r="D979" s="42" t="s">
        <v>15</v>
      </c>
      <c r="E979" s="190">
        <v>142502.87</v>
      </c>
      <c r="F979" s="97">
        <f>C979*E979</f>
        <v>142502.87</v>
      </c>
      <c r="G979" s="128" t="s">
        <v>1221</v>
      </c>
    </row>
    <row r="980" spans="1:7" x14ac:dyDescent="0.25">
      <c r="A980" s="187"/>
      <c r="B980" s="192"/>
      <c r="C980" s="188"/>
      <c r="D980" s="189"/>
      <c r="E980" s="190"/>
      <c r="F980" s="97"/>
      <c r="G980" s="128"/>
    </row>
    <row r="981" spans="1:7" x14ac:dyDescent="0.25">
      <c r="A981" s="39"/>
      <c r="B981" s="43" t="s">
        <v>697</v>
      </c>
      <c r="C981" s="41"/>
      <c r="D981" s="42"/>
      <c r="E981" s="190"/>
      <c r="F981" s="97"/>
      <c r="G981" s="128"/>
    </row>
    <row r="982" spans="1:7" x14ac:dyDescent="0.25">
      <c r="A982" s="187"/>
      <c r="B982" s="192"/>
      <c r="C982" s="188"/>
      <c r="D982" s="189"/>
      <c r="E982" s="190"/>
      <c r="F982" s="97"/>
      <c r="G982" s="128"/>
    </row>
    <row r="983" spans="1:7" ht="27.6" x14ac:dyDescent="0.25">
      <c r="A983" s="39" t="s">
        <v>2</v>
      </c>
      <c r="B983" s="40" t="s">
        <v>698</v>
      </c>
      <c r="C983" s="41" t="s">
        <v>74</v>
      </c>
      <c r="D983" s="42" t="s">
        <v>15</v>
      </c>
      <c r="E983" s="190">
        <v>6809.29</v>
      </c>
      <c r="F983" s="97">
        <f>C983*E983</f>
        <v>156613.67000000001</v>
      </c>
      <c r="G983" s="128"/>
    </row>
    <row r="984" spans="1:7" x14ac:dyDescent="0.25">
      <c r="A984" s="187"/>
      <c r="B984" s="192"/>
      <c r="C984" s="188"/>
      <c r="D984" s="189"/>
      <c r="E984" s="190"/>
      <c r="F984" s="97"/>
      <c r="G984" s="128"/>
    </row>
    <row r="985" spans="1:7" ht="27.6" x14ac:dyDescent="0.25">
      <c r="A985" s="39" t="s">
        <v>5</v>
      </c>
      <c r="B985" s="40" t="s">
        <v>699</v>
      </c>
      <c r="C985" s="41" t="s">
        <v>73</v>
      </c>
      <c r="D985" s="42" t="s">
        <v>15</v>
      </c>
      <c r="E985" s="190">
        <v>6809.29</v>
      </c>
      <c r="F985" s="97">
        <f>C985*E985</f>
        <v>20427.87</v>
      </c>
      <c r="G985" s="128"/>
    </row>
    <row r="986" spans="1:7" x14ac:dyDescent="0.25">
      <c r="A986" s="187"/>
      <c r="B986" s="192"/>
      <c r="C986" s="188"/>
      <c r="D986" s="189"/>
      <c r="E986" s="190"/>
      <c r="F986" s="97"/>
      <c r="G986" s="128"/>
    </row>
    <row r="987" spans="1:7" ht="55.2" x14ac:dyDescent="0.25">
      <c r="A987" s="39"/>
      <c r="B987" s="52" t="s">
        <v>700</v>
      </c>
      <c r="C987" s="41"/>
      <c r="D987" s="42"/>
      <c r="E987" s="190"/>
      <c r="F987" s="97"/>
      <c r="G987" s="128"/>
    </row>
    <row r="988" spans="1:7" x14ac:dyDescent="0.25">
      <c r="A988" s="187"/>
      <c r="B988" s="192"/>
      <c r="C988" s="188"/>
      <c r="D988" s="189"/>
      <c r="E988" s="190"/>
      <c r="F988" s="97"/>
      <c r="G988" s="128"/>
    </row>
    <row r="989" spans="1:7" x14ac:dyDescent="0.25">
      <c r="A989" s="39" t="s">
        <v>8</v>
      </c>
      <c r="B989" s="40" t="s">
        <v>701</v>
      </c>
      <c r="C989" s="41" t="s">
        <v>104</v>
      </c>
      <c r="D989" s="42" t="s">
        <v>15</v>
      </c>
      <c r="E989" s="190">
        <v>44659.73</v>
      </c>
      <c r="F989" s="97">
        <f>C989*E989</f>
        <v>44659.73</v>
      </c>
      <c r="G989" s="128"/>
    </row>
    <row r="990" spans="1:7" x14ac:dyDescent="0.25">
      <c r="A990" s="187"/>
      <c r="B990" s="192"/>
      <c r="C990" s="188"/>
      <c r="D990" s="189"/>
      <c r="E990" s="190"/>
      <c r="F990" s="97"/>
      <c r="G990" s="128"/>
    </row>
    <row r="991" spans="1:7" x14ac:dyDescent="0.25">
      <c r="A991" s="39" t="s">
        <v>9</v>
      </c>
      <c r="B991" s="40" t="s">
        <v>702</v>
      </c>
      <c r="C991" s="41" t="s">
        <v>104</v>
      </c>
      <c r="D991" s="42" t="s">
        <v>15</v>
      </c>
      <c r="E991" s="190">
        <v>44659.73</v>
      </c>
      <c r="F991" s="97">
        <f>C991*E991</f>
        <v>44659.73</v>
      </c>
      <c r="G991" s="128"/>
    </row>
    <row r="992" spans="1:7" x14ac:dyDescent="0.25">
      <c r="A992" s="187"/>
      <c r="B992" s="192"/>
      <c r="C992" s="188"/>
      <c r="D992" s="189"/>
      <c r="E992" s="190"/>
      <c r="F992" s="97"/>
      <c r="G992" s="128"/>
    </row>
    <row r="993" spans="1:7" ht="55.2" x14ac:dyDescent="0.25">
      <c r="A993" s="39"/>
      <c r="B993" s="52" t="s">
        <v>703</v>
      </c>
      <c r="C993" s="41"/>
      <c r="D993" s="42"/>
      <c r="E993" s="190"/>
      <c r="F993" s="97"/>
      <c r="G993" s="128"/>
    </row>
    <row r="994" spans="1:7" x14ac:dyDescent="0.25">
      <c r="A994" s="187"/>
      <c r="B994" s="192"/>
      <c r="C994" s="188"/>
      <c r="D994" s="189"/>
      <c r="E994" s="190"/>
      <c r="F994" s="97"/>
      <c r="G994" s="128"/>
    </row>
    <row r="995" spans="1:7" x14ac:dyDescent="0.25">
      <c r="A995" s="39" t="s">
        <v>10</v>
      </c>
      <c r="B995" s="40" t="s">
        <v>704</v>
      </c>
      <c r="C995" s="41" t="s">
        <v>90</v>
      </c>
      <c r="D995" s="42" t="s">
        <v>15</v>
      </c>
      <c r="E995" s="190">
        <v>45680.89</v>
      </c>
      <c r="F995" s="97">
        <f>C995*E995</f>
        <v>913617.8</v>
      </c>
      <c r="G995" s="128"/>
    </row>
    <row r="996" spans="1:7" x14ac:dyDescent="0.25">
      <c r="A996" s="187"/>
      <c r="B996" s="192"/>
      <c r="C996" s="188"/>
      <c r="D996" s="189"/>
      <c r="E996" s="190"/>
      <c r="F996" s="97"/>
      <c r="G996" s="128"/>
    </row>
    <row r="997" spans="1:7" x14ac:dyDescent="0.25">
      <c r="A997" s="39" t="s">
        <v>12</v>
      </c>
      <c r="B997" s="40" t="s">
        <v>705</v>
      </c>
      <c r="C997" s="41" t="s">
        <v>104</v>
      </c>
      <c r="D997" s="42" t="s">
        <v>15</v>
      </c>
      <c r="E997" s="190">
        <v>41101.75</v>
      </c>
      <c r="F997" s="97">
        <f>C997*E997</f>
        <v>41101.75</v>
      </c>
      <c r="G997" s="128"/>
    </row>
    <row r="998" spans="1:7" x14ac:dyDescent="0.25">
      <c r="A998" s="187"/>
      <c r="B998" s="192"/>
      <c r="C998" s="188"/>
      <c r="D998" s="189"/>
      <c r="E998" s="190"/>
      <c r="F998" s="97"/>
      <c r="G998" s="128"/>
    </row>
    <row r="999" spans="1:7" x14ac:dyDescent="0.25">
      <c r="A999" s="39" t="s">
        <v>13</v>
      </c>
      <c r="B999" s="40" t="s">
        <v>706</v>
      </c>
      <c r="C999" s="41" t="s">
        <v>104</v>
      </c>
      <c r="D999" s="42" t="s">
        <v>15</v>
      </c>
      <c r="E999" s="190">
        <v>41101.75</v>
      </c>
      <c r="F999" s="97">
        <f>C999*E999</f>
        <v>41101.75</v>
      </c>
      <c r="G999" s="128"/>
    </row>
    <row r="1000" spans="1:7" x14ac:dyDescent="0.25">
      <c r="A1000" s="187"/>
      <c r="B1000" s="192"/>
      <c r="C1000" s="188"/>
      <c r="D1000" s="189"/>
      <c r="E1000" s="190"/>
      <c r="F1000" s="97"/>
      <c r="G1000" s="128"/>
    </row>
    <row r="1001" spans="1:7" x14ac:dyDescent="0.25">
      <c r="A1001" s="39" t="s">
        <v>16</v>
      </c>
      <c r="B1001" s="40" t="s">
        <v>707</v>
      </c>
      <c r="C1001" s="41" t="s">
        <v>104</v>
      </c>
      <c r="D1001" s="42" t="s">
        <v>15</v>
      </c>
      <c r="E1001" s="190">
        <v>41101.75</v>
      </c>
      <c r="F1001" s="97">
        <f>C1001*E1001</f>
        <v>41101.75</v>
      </c>
      <c r="G1001" s="128"/>
    </row>
    <row r="1002" spans="1:7" x14ac:dyDescent="0.25">
      <c r="A1002" s="39"/>
      <c r="B1002" s="40"/>
      <c r="C1002" s="41"/>
      <c r="D1002" s="42"/>
      <c r="E1002" s="190"/>
      <c r="F1002" s="97"/>
      <c r="G1002" s="128"/>
    </row>
    <row r="1003" spans="1:7" x14ac:dyDescent="0.25">
      <c r="A1003" s="187"/>
      <c r="B1003" s="192"/>
      <c r="C1003" s="188"/>
      <c r="D1003" s="189"/>
      <c r="E1003" s="190"/>
      <c r="F1003" s="97"/>
      <c r="G1003" s="128"/>
    </row>
    <row r="1004" spans="1:7" x14ac:dyDescent="0.25">
      <c r="A1004" s="187"/>
      <c r="B1004" s="192"/>
      <c r="C1004" s="188"/>
      <c r="D1004" s="189"/>
      <c r="E1004" s="190"/>
      <c r="F1004" s="97"/>
      <c r="G1004" s="128"/>
    </row>
    <row r="1005" spans="1:7" x14ac:dyDescent="0.25">
      <c r="A1005" s="39"/>
      <c r="B1005" s="40"/>
      <c r="C1005" s="41"/>
      <c r="D1005" s="42"/>
      <c r="E1005" s="190"/>
      <c r="F1005" s="97"/>
      <c r="G1005" s="128"/>
    </row>
    <row r="1006" spans="1:7" x14ac:dyDescent="0.25">
      <c r="A1006" s="39"/>
      <c r="B1006" s="40"/>
      <c r="C1006" s="41"/>
      <c r="D1006" s="42"/>
      <c r="E1006" s="190"/>
      <c r="F1006" s="97"/>
      <c r="G1006" s="128"/>
    </row>
    <row r="1007" spans="1:7" ht="26.4" x14ac:dyDescent="0.25">
      <c r="A1007" s="39"/>
      <c r="B1007" s="225" t="s">
        <v>1212</v>
      </c>
      <c r="C1007" s="41"/>
      <c r="D1007" s="42"/>
      <c r="E1007" s="190"/>
      <c r="F1007" s="97"/>
      <c r="G1007" s="128"/>
    </row>
    <row r="1008" spans="1:7" x14ac:dyDescent="0.25">
      <c r="A1008" s="193"/>
      <c r="B1008" s="194"/>
      <c r="C1008" s="195"/>
      <c r="D1008" s="196"/>
      <c r="E1008" s="117"/>
      <c r="F1008" s="98"/>
      <c r="G1008" s="130"/>
    </row>
    <row r="1009" spans="1:7" x14ac:dyDescent="0.25">
      <c r="A1009" s="197"/>
      <c r="B1009" s="198"/>
      <c r="C1009" s="199" t="s">
        <v>51</v>
      </c>
      <c r="D1009" s="199"/>
      <c r="E1009" s="200" t="s">
        <v>50</v>
      </c>
      <c r="F1009" s="99">
        <f>SUM(F977:F1005)</f>
        <v>1445786.92</v>
      </c>
      <c r="G1009" s="131"/>
    </row>
    <row r="1010" spans="1:7" x14ac:dyDescent="0.25">
      <c r="A1010" s="197"/>
      <c r="B1010" s="198"/>
      <c r="C1010" s="201"/>
      <c r="D1010" s="202"/>
      <c r="E1010" s="118"/>
      <c r="F1010" s="100"/>
      <c r="G1010" s="132"/>
    </row>
    <row r="1011" spans="1:7" x14ac:dyDescent="0.25">
      <c r="A1011" s="39"/>
      <c r="B1011" s="40"/>
      <c r="C1011" s="41"/>
      <c r="D1011" s="42"/>
      <c r="E1011" s="190"/>
      <c r="F1011" s="97"/>
      <c r="G1011" s="128"/>
    </row>
    <row r="1012" spans="1:7" x14ac:dyDescent="0.25">
      <c r="A1012" s="187"/>
      <c r="B1012" s="36" t="s">
        <v>568</v>
      </c>
      <c r="C1012" s="188"/>
      <c r="D1012" s="189"/>
      <c r="E1012" s="190"/>
      <c r="F1012" s="97"/>
      <c r="G1012" s="128"/>
    </row>
    <row r="1013" spans="1:7" x14ac:dyDescent="0.25">
      <c r="A1013" s="187"/>
      <c r="B1013" s="192"/>
      <c r="C1013" s="188"/>
      <c r="D1013" s="189"/>
      <c r="E1013" s="190"/>
      <c r="F1013" s="97"/>
      <c r="G1013" s="128"/>
    </row>
    <row r="1014" spans="1:7" ht="69" x14ac:dyDescent="0.25">
      <c r="A1014" s="39"/>
      <c r="B1014" s="52" t="s">
        <v>708</v>
      </c>
      <c r="C1014" s="41"/>
      <c r="D1014" s="42"/>
      <c r="E1014" s="190"/>
      <c r="F1014" s="97"/>
      <c r="G1014" s="128"/>
    </row>
    <row r="1015" spans="1:7" x14ac:dyDescent="0.25">
      <c r="A1015" s="187"/>
      <c r="B1015" s="192"/>
      <c r="C1015" s="188"/>
      <c r="D1015" s="189"/>
      <c r="E1015" s="190"/>
      <c r="F1015" s="97"/>
      <c r="G1015" s="128"/>
    </row>
    <row r="1016" spans="1:7" x14ac:dyDescent="0.25">
      <c r="A1016" s="39"/>
      <c r="B1016" s="52" t="s">
        <v>709</v>
      </c>
      <c r="C1016" s="41"/>
      <c r="D1016" s="42"/>
      <c r="E1016" s="190"/>
      <c r="F1016" s="97"/>
      <c r="G1016" s="128"/>
    </row>
    <row r="1017" spans="1:7" x14ac:dyDescent="0.25">
      <c r="A1017" s="187"/>
      <c r="B1017" s="192"/>
      <c r="C1017" s="188"/>
      <c r="D1017" s="189"/>
      <c r="E1017" s="190"/>
      <c r="F1017" s="97"/>
      <c r="G1017" s="128"/>
    </row>
    <row r="1018" spans="1:7" ht="27.6" x14ac:dyDescent="0.25">
      <c r="A1018" s="39" t="s">
        <v>3</v>
      </c>
      <c r="B1018" s="40" t="s">
        <v>710</v>
      </c>
      <c r="C1018" s="41" t="s">
        <v>104</v>
      </c>
      <c r="D1018" s="42" t="s">
        <v>15</v>
      </c>
      <c r="E1018" s="190">
        <v>8248.7800000000007</v>
      </c>
      <c r="F1018" s="97">
        <f>C1018*E1018</f>
        <v>8248.7800000000007</v>
      </c>
      <c r="G1018" s="128"/>
    </row>
    <row r="1019" spans="1:7" x14ac:dyDescent="0.25">
      <c r="A1019" s="187"/>
      <c r="B1019" s="192"/>
      <c r="C1019" s="188"/>
      <c r="D1019" s="189"/>
      <c r="E1019" s="190"/>
      <c r="F1019" s="97"/>
      <c r="G1019" s="128"/>
    </row>
    <row r="1020" spans="1:7" ht="27.6" x14ac:dyDescent="0.25">
      <c r="A1020" s="39" t="s">
        <v>2</v>
      </c>
      <c r="B1020" s="40" t="s">
        <v>711</v>
      </c>
      <c r="C1020" s="41" t="s">
        <v>104</v>
      </c>
      <c r="D1020" s="42" t="s">
        <v>15</v>
      </c>
      <c r="E1020" s="190">
        <v>7012</v>
      </c>
      <c r="F1020" s="97">
        <f>C1020*E1020</f>
        <v>7012</v>
      </c>
      <c r="G1020" s="128"/>
    </row>
    <row r="1021" spans="1:7" x14ac:dyDescent="0.25">
      <c r="A1021" s="187"/>
      <c r="B1021" s="192"/>
      <c r="C1021" s="188"/>
      <c r="D1021" s="189"/>
      <c r="E1021" s="190"/>
      <c r="F1021" s="97"/>
      <c r="G1021" s="128"/>
    </row>
    <row r="1022" spans="1:7" ht="27.6" x14ac:dyDescent="0.25">
      <c r="A1022" s="39" t="s">
        <v>5</v>
      </c>
      <c r="B1022" s="40" t="s">
        <v>712</v>
      </c>
      <c r="C1022" s="41" t="s">
        <v>104</v>
      </c>
      <c r="D1022" s="42" t="s">
        <v>15</v>
      </c>
      <c r="E1022" s="190">
        <v>7012</v>
      </c>
      <c r="F1022" s="97">
        <f>C1022*E1022</f>
        <v>7012</v>
      </c>
      <c r="G1022" s="128"/>
    </row>
    <row r="1023" spans="1:7" x14ac:dyDescent="0.25">
      <c r="A1023" s="187"/>
      <c r="B1023" s="192"/>
      <c r="C1023" s="188"/>
      <c r="D1023" s="189"/>
      <c r="E1023" s="190"/>
      <c r="F1023" s="97"/>
      <c r="G1023" s="128"/>
    </row>
    <row r="1024" spans="1:7" ht="27.6" x14ac:dyDescent="0.25">
      <c r="A1024" s="39" t="s">
        <v>8</v>
      </c>
      <c r="B1024" s="40" t="s">
        <v>713</v>
      </c>
      <c r="C1024" s="41" t="s">
        <v>104</v>
      </c>
      <c r="D1024" s="42" t="s">
        <v>15</v>
      </c>
      <c r="E1024" s="190">
        <v>6980.86</v>
      </c>
      <c r="F1024" s="97">
        <f>C1024*E1024</f>
        <v>6980.86</v>
      </c>
      <c r="G1024" s="128"/>
    </row>
    <row r="1025" spans="1:7" x14ac:dyDescent="0.25">
      <c r="A1025" s="187"/>
      <c r="B1025" s="192"/>
      <c r="C1025" s="188"/>
      <c r="D1025" s="189"/>
      <c r="E1025" s="190"/>
      <c r="F1025" s="97"/>
      <c r="G1025" s="128"/>
    </row>
    <row r="1026" spans="1:7" ht="27.6" x14ac:dyDescent="0.25">
      <c r="A1026" s="39" t="s">
        <v>9</v>
      </c>
      <c r="B1026" s="40" t="s">
        <v>714</v>
      </c>
      <c r="C1026" s="41" t="s">
        <v>104</v>
      </c>
      <c r="D1026" s="42" t="s">
        <v>15</v>
      </c>
      <c r="E1026" s="190">
        <v>7040.39</v>
      </c>
      <c r="F1026" s="97">
        <f>C1026*E1026</f>
        <v>7040.39</v>
      </c>
      <c r="G1026" s="128"/>
    </row>
    <row r="1027" spans="1:7" x14ac:dyDescent="0.25">
      <c r="A1027" s="187"/>
      <c r="B1027" s="192"/>
      <c r="C1027" s="188"/>
      <c r="D1027" s="189"/>
      <c r="E1027" s="190"/>
      <c r="F1027" s="97"/>
      <c r="G1027" s="128"/>
    </row>
    <row r="1028" spans="1:7" ht="27.6" x14ac:dyDescent="0.25">
      <c r="A1028" s="39" t="s">
        <v>10</v>
      </c>
      <c r="B1028" s="40" t="s">
        <v>715</v>
      </c>
      <c r="C1028" s="41" t="s">
        <v>104</v>
      </c>
      <c r="D1028" s="42" t="s">
        <v>15</v>
      </c>
      <c r="E1028" s="190">
        <v>7040.39</v>
      </c>
      <c r="F1028" s="97">
        <f>C1028*E1028</f>
        <v>7040.39</v>
      </c>
      <c r="G1028" s="128"/>
    </row>
    <row r="1029" spans="1:7" x14ac:dyDescent="0.25">
      <c r="A1029" s="187"/>
      <c r="B1029" s="192"/>
      <c r="C1029" s="188"/>
      <c r="D1029" s="189"/>
      <c r="E1029" s="190"/>
      <c r="F1029" s="97"/>
      <c r="G1029" s="128"/>
    </row>
    <row r="1030" spans="1:7" ht="27.6" x14ac:dyDescent="0.25">
      <c r="A1030" s="39" t="s">
        <v>12</v>
      </c>
      <c r="B1030" s="40" t="s">
        <v>716</v>
      </c>
      <c r="C1030" s="41" t="s">
        <v>104</v>
      </c>
      <c r="D1030" s="42" t="s">
        <v>15</v>
      </c>
      <c r="E1030" s="190">
        <v>8248.7800000000007</v>
      </c>
      <c r="F1030" s="97">
        <f>C1030*E1030</f>
        <v>8248.7800000000007</v>
      </c>
      <c r="G1030" s="128"/>
    </row>
    <row r="1031" spans="1:7" x14ac:dyDescent="0.25">
      <c r="A1031" s="187"/>
      <c r="B1031" s="192"/>
      <c r="C1031" s="188"/>
      <c r="D1031" s="189"/>
      <c r="E1031" s="190"/>
      <c r="F1031" s="97"/>
      <c r="G1031" s="128"/>
    </row>
    <row r="1032" spans="1:7" x14ac:dyDescent="0.25">
      <c r="A1032" s="39"/>
      <c r="B1032" s="52" t="s">
        <v>717</v>
      </c>
      <c r="C1032" s="41"/>
      <c r="D1032" s="42"/>
      <c r="E1032" s="190"/>
      <c r="F1032" s="97"/>
      <c r="G1032" s="128"/>
    </row>
    <row r="1033" spans="1:7" x14ac:dyDescent="0.25">
      <c r="A1033" s="187"/>
      <c r="B1033" s="192"/>
      <c r="C1033" s="188"/>
      <c r="D1033" s="189"/>
      <c r="E1033" s="190"/>
      <c r="F1033" s="97"/>
      <c r="G1033" s="128"/>
    </row>
    <row r="1034" spans="1:7" ht="27.6" x14ac:dyDescent="0.25">
      <c r="A1034" s="39" t="s">
        <v>13</v>
      </c>
      <c r="B1034" s="40" t="s">
        <v>718</v>
      </c>
      <c r="C1034" s="41" t="s">
        <v>73</v>
      </c>
      <c r="D1034" s="42" t="s">
        <v>15</v>
      </c>
      <c r="E1034" s="190">
        <v>15608.96</v>
      </c>
      <c r="F1034" s="97">
        <f>C1034*E1034</f>
        <v>46826.879999999997</v>
      </c>
      <c r="G1034" s="128"/>
    </row>
    <row r="1035" spans="1:7" x14ac:dyDescent="0.25">
      <c r="A1035" s="187"/>
      <c r="B1035" s="192"/>
      <c r="C1035" s="188"/>
      <c r="D1035" s="189"/>
      <c r="E1035" s="190"/>
      <c r="F1035" s="97"/>
      <c r="G1035" s="128"/>
    </row>
    <row r="1036" spans="1:7" ht="27.6" x14ac:dyDescent="0.25">
      <c r="A1036" s="39" t="s">
        <v>16</v>
      </c>
      <c r="B1036" s="40" t="s">
        <v>719</v>
      </c>
      <c r="C1036" s="41" t="s">
        <v>104</v>
      </c>
      <c r="D1036" s="42" t="s">
        <v>15</v>
      </c>
      <c r="E1036" s="190">
        <v>13909.93</v>
      </c>
      <c r="F1036" s="97">
        <f>C1036*E1036</f>
        <v>13909.93</v>
      </c>
      <c r="G1036" s="128"/>
    </row>
    <row r="1037" spans="1:7" x14ac:dyDescent="0.25">
      <c r="A1037" s="187"/>
      <c r="B1037" s="192"/>
      <c r="C1037" s="188"/>
      <c r="D1037" s="189"/>
      <c r="E1037" s="190"/>
      <c r="F1037" s="97"/>
      <c r="G1037" s="128"/>
    </row>
    <row r="1038" spans="1:7" ht="27.6" x14ac:dyDescent="0.25">
      <c r="A1038" s="39" t="s">
        <v>17</v>
      </c>
      <c r="B1038" s="40" t="s">
        <v>720</v>
      </c>
      <c r="C1038" s="41" t="s">
        <v>104</v>
      </c>
      <c r="D1038" s="42" t="s">
        <v>15</v>
      </c>
      <c r="E1038" s="190">
        <v>15608.05</v>
      </c>
      <c r="F1038" s="97">
        <f>C1038*E1038</f>
        <v>15608.05</v>
      </c>
      <c r="G1038" s="128"/>
    </row>
    <row r="1039" spans="1:7" x14ac:dyDescent="0.25">
      <c r="A1039" s="187"/>
      <c r="B1039" s="192"/>
      <c r="C1039" s="188"/>
      <c r="D1039" s="189"/>
      <c r="E1039" s="190"/>
      <c r="F1039" s="97"/>
      <c r="G1039" s="128"/>
    </row>
    <row r="1040" spans="1:7" ht="27.6" x14ac:dyDescent="0.25">
      <c r="A1040" s="39" t="s">
        <v>18</v>
      </c>
      <c r="B1040" s="40" t="s">
        <v>721</v>
      </c>
      <c r="C1040" s="41" t="s">
        <v>104</v>
      </c>
      <c r="D1040" s="42" t="s">
        <v>15</v>
      </c>
      <c r="E1040" s="190">
        <v>15608.05</v>
      </c>
      <c r="F1040" s="97">
        <f>C1040*E1040</f>
        <v>15608.05</v>
      </c>
      <c r="G1040" s="128"/>
    </row>
    <row r="1041" spans="1:7" x14ac:dyDescent="0.25">
      <c r="A1041" s="39"/>
      <c r="B1041" s="40"/>
      <c r="C1041" s="41"/>
      <c r="D1041" s="42"/>
      <c r="E1041" s="190"/>
      <c r="F1041" s="97"/>
      <c r="G1041" s="128"/>
    </row>
    <row r="1042" spans="1:7" x14ac:dyDescent="0.25">
      <c r="A1042" s="39"/>
      <c r="B1042" s="40"/>
      <c r="C1042" s="41"/>
      <c r="D1042" s="42"/>
      <c r="E1042" s="190"/>
      <c r="F1042" s="97"/>
      <c r="G1042" s="128"/>
    </row>
    <row r="1043" spans="1:7" x14ac:dyDescent="0.25">
      <c r="A1043" s="187"/>
      <c r="B1043" s="192"/>
      <c r="C1043" s="188"/>
      <c r="D1043" s="189"/>
      <c r="E1043" s="190"/>
      <c r="F1043" s="97"/>
      <c r="G1043" s="128"/>
    </row>
    <row r="1044" spans="1:7" x14ac:dyDescent="0.25">
      <c r="A1044" s="193"/>
      <c r="B1044" s="194"/>
      <c r="C1044" s="195"/>
      <c r="D1044" s="196"/>
      <c r="E1044" s="117"/>
      <c r="F1044" s="98"/>
      <c r="G1044" s="130"/>
    </row>
    <row r="1045" spans="1:7" x14ac:dyDescent="0.25">
      <c r="A1045" s="197"/>
      <c r="B1045" s="198"/>
      <c r="C1045" s="199" t="s">
        <v>51</v>
      </c>
      <c r="D1045" s="199"/>
      <c r="E1045" s="200" t="s">
        <v>50</v>
      </c>
      <c r="F1045" s="99">
        <f>SUM(F1015:F1042)</f>
        <v>143536.10999999999</v>
      </c>
      <c r="G1045" s="131"/>
    </row>
    <row r="1046" spans="1:7" x14ac:dyDescent="0.25">
      <c r="A1046" s="197"/>
      <c r="B1046" s="198"/>
      <c r="C1046" s="201"/>
      <c r="D1046" s="202"/>
      <c r="E1046" s="118"/>
      <c r="F1046" s="100"/>
      <c r="G1046" s="132"/>
    </row>
    <row r="1047" spans="1:7" x14ac:dyDescent="0.25">
      <c r="A1047" s="187"/>
      <c r="B1047" s="192"/>
      <c r="C1047" s="188"/>
      <c r="D1047" s="189"/>
      <c r="E1047" s="190"/>
      <c r="F1047" s="97"/>
      <c r="G1047" s="128"/>
    </row>
    <row r="1048" spans="1:7" x14ac:dyDescent="0.25">
      <c r="A1048" s="187"/>
      <c r="B1048" s="36" t="s">
        <v>568</v>
      </c>
      <c r="C1048" s="188"/>
      <c r="D1048" s="189"/>
      <c r="E1048" s="190"/>
      <c r="F1048" s="97"/>
      <c r="G1048" s="128"/>
    </row>
    <row r="1049" spans="1:7" x14ac:dyDescent="0.25">
      <c r="A1049" s="187"/>
      <c r="B1049" s="191"/>
      <c r="C1049" s="188"/>
      <c r="D1049" s="189"/>
      <c r="E1049" s="190"/>
      <c r="F1049" s="97"/>
      <c r="G1049" s="128"/>
    </row>
    <row r="1050" spans="1:7" ht="27.6" x14ac:dyDescent="0.25">
      <c r="A1050" s="39" t="s">
        <v>3</v>
      </c>
      <c r="B1050" s="40" t="s">
        <v>722</v>
      </c>
      <c r="C1050" s="41" t="s">
        <v>104</v>
      </c>
      <c r="D1050" s="42" t="s">
        <v>15</v>
      </c>
      <c r="E1050" s="190">
        <v>13909.93</v>
      </c>
      <c r="F1050" s="97">
        <f>C1050*E1050</f>
        <v>13909.93</v>
      </c>
      <c r="G1050" s="128"/>
    </row>
    <row r="1051" spans="1:7" x14ac:dyDescent="0.25">
      <c r="A1051" s="187"/>
      <c r="B1051" s="192"/>
      <c r="C1051" s="188"/>
      <c r="D1051" s="189"/>
      <c r="E1051" s="190"/>
      <c r="F1051" s="97"/>
      <c r="G1051" s="128"/>
    </row>
    <row r="1052" spans="1:7" ht="27.6" x14ac:dyDescent="0.25">
      <c r="A1052" s="39" t="s">
        <v>2</v>
      </c>
      <c r="B1052" s="40" t="s">
        <v>723</v>
      </c>
      <c r="C1052" s="41" t="s">
        <v>73</v>
      </c>
      <c r="D1052" s="42" t="s">
        <v>15</v>
      </c>
      <c r="E1052" s="190">
        <v>15608.96</v>
      </c>
      <c r="F1052" s="97">
        <f>C1052*E1052</f>
        <v>46826.879999999997</v>
      </c>
      <c r="G1052" s="128"/>
    </row>
    <row r="1053" spans="1:7" x14ac:dyDescent="0.25">
      <c r="A1053" s="187"/>
      <c r="B1053" s="192"/>
      <c r="C1053" s="188"/>
      <c r="D1053" s="189"/>
      <c r="E1053" s="190"/>
      <c r="F1053" s="97"/>
      <c r="G1053" s="128"/>
    </row>
    <row r="1054" spans="1:7" ht="27.6" x14ac:dyDescent="0.25">
      <c r="A1054" s="39" t="s">
        <v>5</v>
      </c>
      <c r="B1054" s="40" t="s">
        <v>724</v>
      </c>
      <c r="C1054" s="41" t="s">
        <v>104</v>
      </c>
      <c r="D1054" s="42" t="s">
        <v>15</v>
      </c>
      <c r="E1054" s="190">
        <v>17940.439999999999</v>
      </c>
      <c r="F1054" s="97">
        <f>C1054*E1054</f>
        <v>17940.439999999999</v>
      </c>
      <c r="G1054" s="128"/>
    </row>
    <row r="1055" spans="1:7" x14ac:dyDescent="0.25">
      <c r="A1055" s="187"/>
      <c r="B1055" s="192"/>
      <c r="C1055" s="188"/>
      <c r="D1055" s="189"/>
      <c r="E1055" s="190"/>
      <c r="F1055" s="97"/>
      <c r="G1055" s="128"/>
    </row>
    <row r="1056" spans="1:7" ht="27.6" x14ac:dyDescent="0.25">
      <c r="A1056" s="39" t="s">
        <v>8</v>
      </c>
      <c r="B1056" s="40" t="s">
        <v>725</v>
      </c>
      <c r="C1056" s="41" t="s">
        <v>104</v>
      </c>
      <c r="D1056" s="42" t="s">
        <v>15</v>
      </c>
      <c r="E1056" s="190">
        <v>24976.86</v>
      </c>
      <c r="F1056" s="97">
        <f>C1056*E1056</f>
        <v>24976.86</v>
      </c>
      <c r="G1056" s="128"/>
    </row>
    <row r="1057" spans="1:7" x14ac:dyDescent="0.25">
      <c r="A1057" s="187"/>
      <c r="B1057" s="192"/>
      <c r="C1057" s="188"/>
      <c r="D1057" s="189"/>
      <c r="E1057" s="190"/>
      <c r="F1057" s="97"/>
      <c r="G1057" s="128"/>
    </row>
    <row r="1058" spans="1:7" ht="27.6" x14ac:dyDescent="0.25">
      <c r="A1058" s="39" t="s">
        <v>9</v>
      </c>
      <c r="B1058" s="40" t="s">
        <v>726</v>
      </c>
      <c r="C1058" s="41" t="s">
        <v>104</v>
      </c>
      <c r="D1058" s="42" t="s">
        <v>15</v>
      </c>
      <c r="E1058" s="190">
        <v>17940.439999999999</v>
      </c>
      <c r="F1058" s="97">
        <f>C1058*E1058</f>
        <v>17940.439999999999</v>
      </c>
      <c r="G1058" s="128"/>
    </row>
    <row r="1059" spans="1:7" x14ac:dyDescent="0.25">
      <c r="A1059" s="187"/>
      <c r="B1059" s="192"/>
      <c r="C1059" s="188"/>
      <c r="D1059" s="189"/>
      <c r="E1059" s="190"/>
      <c r="F1059" s="97"/>
      <c r="G1059" s="128"/>
    </row>
    <row r="1060" spans="1:7" x14ac:dyDescent="0.25">
      <c r="A1060" s="39"/>
      <c r="B1060" s="52" t="s">
        <v>727</v>
      </c>
      <c r="C1060" s="41"/>
      <c r="D1060" s="42"/>
      <c r="E1060" s="190"/>
      <c r="F1060" s="97"/>
      <c r="G1060" s="128"/>
    </row>
    <row r="1061" spans="1:7" x14ac:dyDescent="0.25">
      <c r="A1061" s="187"/>
      <c r="B1061" s="192"/>
      <c r="C1061" s="188"/>
      <c r="D1061" s="189"/>
      <c r="E1061" s="190"/>
      <c r="F1061" s="97"/>
      <c r="G1061" s="128"/>
    </row>
    <row r="1062" spans="1:7" ht="27.6" x14ac:dyDescent="0.25">
      <c r="A1062" s="39" t="s">
        <v>10</v>
      </c>
      <c r="B1062" s="40" t="s">
        <v>728</v>
      </c>
      <c r="C1062" s="41" t="s">
        <v>73</v>
      </c>
      <c r="D1062" s="42" t="s">
        <v>15</v>
      </c>
      <c r="E1062" s="190">
        <v>37275.65</v>
      </c>
      <c r="F1062" s="97">
        <f>C1062*E1062</f>
        <v>111826.95000000001</v>
      </c>
      <c r="G1062" s="128"/>
    </row>
    <row r="1063" spans="1:7" x14ac:dyDescent="0.25">
      <c r="A1063" s="187"/>
      <c r="B1063" s="192"/>
      <c r="C1063" s="188"/>
      <c r="D1063" s="189"/>
      <c r="E1063" s="190"/>
      <c r="F1063" s="97"/>
      <c r="G1063" s="128"/>
    </row>
    <row r="1064" spans="1:7" ht="27.6" x14ac:dyDescent="0.25">
      <c r="A1064" s="39" t="s">
        <v>12</v>
      </c>
      <c r="B1064" s="40" t="s">
        <v>729</v>
      </c>
      <c r="C1064" s="41" t="s">
        <v>73</v>
      </c>
      <c r="D1064" s="42" t="s">
        <v>15</v>
      </c>
      <c r="E1064" s="190">
        <v>37275.65</v>
      </c>
      <c r="F1064" s="97">
        <f>C1064*E1064</f>
        <v>111826.95000000001</v>
      </c>
      <c r="G1064" s="128"/>
    </row>
    <row r="1065" spans="1:7" x14ac:dyDescent="0.25">
      <c r="A1065" s="187"/>
      <c r="B1065" s="192"/>
      <c r="C1065" s="188"/>
      <c r="D1065" s="189"/>
      <c r="E1065" s="190"/>
      <c r="F1065" s="97"/>
      <c r="G1065" s="128"/>
    </row>
    <row r="1066" spans="1:7" ht="82.8" x14ac:dyDescent="0.25">
      <c r="A1066" s="39"/>
      <c r="B1066" s="52" t="s">
        <v>730</v>
      </c>
      <c r="C1066" s="41"/>
      <c r="D1066" s="42"/>
      <c r="E1066" s="190"/>
      <c r="F1066" s="97"/>
      <c r="G1066" s="128"/>
    </row>
    <row r="1067" spans="1:7" x14ac:dyDescent="0.25">
      <c r="A1067" s="187"/>
      <c r="B1067" s="192"/>
      <c r="C1067" s="188"/>
      <c r="D1067" s="189"/>
      <c r="E1067" s="190"/>
      <c r="F1067" s="97"/>
      <c r="G1067" s="128"/>
    </row>
    <row r="1068" spans="1:7" x14ac:dyDescent="0.25">
      <c r="A1068" s="39" t="s">
        <v>13</v>
      </c>
      <c r="B1068" s="40" t="s">
        <v>571</v>
      </c>
      <c r="C1068" s="41" t="s">
        <v>572</v>
      </c>
      <c r="D1068" s="42" t="s">
        <v>4</v>
      </c>
      <c r="E1068" s="190">
        <v>109.05</v>
      </c>
      <c r="F1068" s="97">
        <f>C1068*E1068</f>
        <v>43292.85</v>
      </c>
      <c r="G1068" s="128"/>
    </row>
    <row r="1069" spans="1:7" x14ac:dyDescent="0.25">
      <c r="A1069" s="187"/>
      <c r="B1069" s="192"/>
      <c r="C1069" s="188"/>
      <c r="D1069" s="189"/>
      <c r="E1069" s="190"/>
      <c r="F1069" s="97"/>
      <c r="G1069" s="128"/>
    </row>
    <row r="1070" spans="1:7" x14ac:dyDescent="0.25">
      <c r="A1070" s="39" t="s">
        <v>16</v>
      </c>
      <c r="B1070" s="40" t="s">
        <v>573</v>
      </c>
      <c r="C1070" s="41" t="s">
        <v>574</v>
      </c>
      <c r="D1070" s="42" t="s">
        <v>4</v>
      </c>
      <c r="E1070" s="190">
        <v>97.59</v>
      </c>
      <c r="F1070" s="97">
        <f>C1070*E1070</f>
        <v>20396.310000000001</v>
      </c>
      <c r="G1070" s="128"/>
    </row>
    <row r="1071" spans="1:7" x14ac:dyDescent="0.25">
      <c r="A1071" s="187"/>
      <c r="B1071" s="192"/>
      <c r="C1071" s="188"/>
      <c r="D1071" s="189"/>
      <c r="E1071" s="190"/>
      <c r="F1071" s="97"/>
      <c r="G1071" s="128"/>
    </row>
    <row r="1072" spans="1:7" x14ac:dyDescent="0.25">
      <c r="A1072" s="39" t="s">
        <v>17</v>
      </c>
      <c r="B1072" s="40" t="s">
        <v>575</v>
      </c>
      <c r="C1072" s="41" t="s">
        <v>576</v>
      </c>
      <c r="D1072" s="42" t="s">
        <v>4</v>
      </c>
      <c r="E1072" s="190">
        <v>109.05</v>
      </c>
      <c r="F1072" s="97">
        <f>C1072*E1072</f>
        <v>32496.899999999998</v>
      </c>
      <c r="G1072" s="128"/>
    </row>
    <row r="1073" spans="1:7" x14ac:dyDescent="0.25">
      <c r="A1073" s="187"/>
      <c r="B1073" s="192"/>
      <c r="C1073" s="188"/>
      <c r="D1073" s="189"/>
      <c r="E1073" s="190"/>
      <c r="F1073" s="97"/>
      <c r="G1073" s="128"/>
    </row>
    <row r="1074" spans="1:7" x14ac:dyDescent="0.25">
      <c r="A1074" s="39" t="s">
        <v>18</v>
      </c>
      <c r="B1074" s="40" t="s">
        <v>577</v>
      </c>
      <c r="C1074" s="41" t="s">
        <v>578</v>
      </c>
      <c r="D1074" s="42" t="s">
        <v>4</v>
      </c>
      <c r="E1074" s="190">
        <v>97.59</v>
      </c>
      <c r="F1074" s="97">
        <f>C1074*E1074</f>
        <v>65678.070000000007</v>
      </c>
      <c r="G1074" s="128"/>
    </row>
    <row r="1075" spans="1:7" x14ac:dyDescent="0.25">
      <c r="A1075" s="187"/>
      <c r="B1075" s="192"/>
      <c r="C1075" s="188"/>
      <c r="D1075" s="189"/>
      <c r="E1075" s="190"/>
      <c r="F1075" s="97"/>
      <c r="G1075" s="128"/>
    </row>
    <row r="1076" spans="1:7" x14ac:dyDescent="0.25">
      <c r="A1076" s="39" t="s">
        <v>19</v>
      </c>
      <c r="B1076" s="40" t="s">
        <v>579</v>
      </c>
      <c r="C1076" s="41" t="s">
        <v>580</v>
      </c>
      <c r="D1076" s="42" t="s">
        <v>4</v>
      </c>
      <c r="E1076" s="190">
        <v>97.59</v>
      </c>
      <c r="F1076" s="97">
        <f>C1076*E1076</f>
        <v>38352.870000000003</v>
      </c>
      <c r="G1076" s="128"/>
    </row>
    <row r="1077" spans="1:7" x14ac:dyDescent="0.25">
      <c r="A1077" s="187"/>
      <c r="B1077" s="192"/>
      <c r="C1077" s="188"/>
      <c r="D1077" s="189"/>
      <c r="E1077" s="190"/>
      <c r="F1077" s="97"/>
      <c r="G1077" s="128"/>
    </row>
    <row r="1078" spans="1:7" x14ac:dyDescent="0.25">
      <c r="A1078" s="39" t="s">
        <v>22</v>
      </c>
      <c r="B1078" s="40" t="s">
        <v>581</v>
      </c>
      <c r="C1078" s="41" t="s">
        <v>582</v>
      </c>
      <c r="D1078" s="42" t="s">
        <v>4</v>
      </c>
      <c r="E1078" s="190">
        <v>118.42</v>
      </c>
      <c r="F1078" s="97">
        <f>C1078*E1078</f>
        <v>218248.06</v>
      </c>
      <c r="G1078" s="128"/>
    </row>
    <row r="1079" spans="1:7" x14ac:dyDescent="0.25">
      <c r="A1079" s="187"/>
      <c r="B1079" s="192"/>
      <c r="C1079" s="188"/>
      <c r="D1079" s="189"/>
      <c r="E1079" s="190"/>
      <c r="F1079" s="97"/>
      <c r="G1079" s="128"/>
    </row>
    <row r="1080" spans="1:7" x14ac:dyDescent="0.25">
      <c r="A1080" s="39" t="s">
        <v>23</v>
      </c>
      <c r="B1080" s="40" t="s">
        <v>583</v>
      </c>
      <c r="C1080" s="41" t="s">
        <v>584</v>
      </c>
      <c r="D1080" s="42" t="s">
        <v>4</v>
      </c>
      <c r="E1080" s="190">
        <v>118.42</v>
      </c>
      <c r="F1080" s="97">
        <f>C1080*E1080</f>
        <v>147314.48000000001</v>
      </c>
      <c r="G1080" s="128"/>
    </row>
    <row r="1081" spans="1:7" x14ac:dyDescent="0.25">
      <c r="A1081" s="187"/>
      <c r="B1081" s="192"/>
      <c r="C1081" s="188"/>
      <c r="D1081" s="189"/>
      <c r="E1081" s="190"/>
      <c r="F1081" s="97"/>
      <c r="G1081" s="128"/>
    </row>
    <row r="1082" spans="1:7" x14ac:dyDescent="0.25">
      <c r="A1082" s="187"/>
      <c r="B1082" s="192"/>
      <c r="C1082" s="188"/>
      <c r="D1082" s="189"/>
      <c r="E1082" s="190"/>
      <c r="F1082" s="97"/>
      <c r="G1082" s="128"/>
    </row>
    <row r="1083" spans="1:7" x14ac:dyDescent="0.25">
      <c r="A1083" s="193"/>
      <c r="B1083" s="194"/>
      <c r="C1083" s="195"/>
      <c r="D1083" s="196"/>
      <c r="E1083" s="117"/>
      <c r="F1083" s="98"/>
      <c r="G1083" s="130"/>
    </row>
    <row r="1084" spans="1:7" x14ac:dyDescent="0.25">
      <c r="A1084" s="197"/>
      <c r="B1084" s="198"/>
      <c r="C1084" s="199" t="s">
        <v>51</v>
      </c>
      <c r="D1084" s="199"/>
      <c r="E1084" s="200" t="s">
        <v>50</v>
      </c>
      <c r="F1084" s="99">
        <f>SUM(F1048:F1081)</f>
        <v>911027.99</v>
      </c>
      <c r="G1084" s="131"/>
    </row>
    <row r="1085" spans="1:7" x14ac:dyDescent="0.25">
      <c r="A1085" s="197"/>
      <c r="B1085" s="198"/>
      <c r="C1085" s="201"/>
      <c r="D1085" s="202"/>
      <c r="E1085" s="118"/>
      <c r="F1085" s="100"/>
      <c r="G1085" s="132"/>
    </row>
    <row r="1086" spans="1:7" x14ac:dyDescent="0.25">
      <c r="A1086" s="187"/>
      <c r="B1086" s="192"/>
      <c r="C1086" s="188"/>
      <c r="D1086" s="189"/>
      <c r="E1086" s="190"/>
      <c r="F1086" s="97"/>
      <c r="G1086" s="128"/>
    </row>
    <row r="1087" spans="1:7" x14ac:dyDescent="0.25">
      <c r="A1087" s="187"/>
      <c r="B1087" s="36" t="s">
        <v>26</v>
      </c>
      <c r="C1087" s="188"/>
      <c r="D1087" s="189"/>
      <c r="E1087" s="190"/>
      <c r="F1087" s="97"/>
      <c r="G1087" s="128"/>
    </row>
    <row r="1088" spans="1:7" x14ac:dyDescent="0.25">
      <c r="A1088" s="187"/>
      <c r="B1088" s="192"/>
      <c r="C1088" s="188"/>
      <c r="D1088" s="189"/>
      <c r="E1088" s="190"/>
      <c r="F1088" s="97"/>
      <c r="G1088" s="128"/>
    </row>
    <row r="1089" spans="1:7" ht="55.2" x14ac:dyDescent="0.25">
      <c r="A1089" s="39" t="s">
        <v>3</v>
      </c>
      <c r="B1089" s="40" t="s">
        <v>731</v>
      </c>
      <c r="C1089" s="41"/>
      <c r="D1089" s="42" t="s">
        <v>6</v>
      </c>
      <c r="E1089" s="190"/>
      <c r="F1089" s="97" t="s">
        <v>1194</v>
      </c>
      <c r="G1089" s="128"/>
    </row>
    <row r="1090" spans="1:7" x14ac:dyDescent="0.25">
      <c r="A1090" s="187"/>
      <c r="B1090" s="192"/>
      <c r="C1090" s="188"/>
      <c r="D1090" s="189"/>
      <c r="E1090" s="190"/>
      <c r="F1090" s="97"/>
      <c r="G1090" s="128"/>
    </row>
    <row r="1091" spans="1:7" ht="41.4" x14ac:dyDescent="0.25">
      <c r="A1091" s="39" t="s">
        <v>2</v>
      </c>
      <c r="B1091" s="40" t="s">
        <v>732</v>
      </c>
      <c r="C1091" s="41"/>
      <c r="D1091" s="42" t="s">
        <v>6</v>
      </c>
      <c r="E1091" s="190"/>
      <c r="F1091" s="97" t="s">
        <v>1194</v>
      </c>
      <c r="G1091" s="128"/>
    </row>
    <row r="1092" spans="1:7" x14ac:dyDescent="0.25">
      <c r="A1092" s="187"/>
      <c r="B1092" s="192"/>
      <c r="C1092" s="188"/>
      <c r="D1092" s="189"/>
      <c r="E1092" s="190"/>
      <c r="F1092" s="97"/>
      <c r="G1092" s="128"/>
    </row>
    <row r="1093" spans="1:7" ht="41.4" x14ac:dyDescent="0.25">
      <c r="A1093" s="39" t="s">
        <v>5</v>
      </c>
      <c r="B1093" s="40" t="s">
        <v>733</v>
      </c>
      <c r="C1093" s="41">
        <v>1</v>
      </c>
      <c r="D1093" s="42" t="s">
        <v>6</v>
      </c>
      <c r="E1093" s="190">
        <v>15169.58</v>
      </c>
      <c r="F1093" s="97">
        <f>C1093*E1093</f>
        <v>15169.58</v>
      </c>
      <c r="G1093" s="128"/>
    </row>
    <row r="1094" spans="1:7" x14ac:dyDescent="0.25">
      <c r="A1094" s="187"/>
      <c r="B1094" s="192"/>
      <c r="C1094" s="188"/>
      <c r="D1094" s="189"/>
      <c r="E1094" s="190"/>
      <c r="F1094" s="97"/>
      <c r="G1094" s="128"/>
    </row>
    <row r="1095" spans="1:7" ht="41.4" x14ac:dyDescent="0.25">
      <c r="A1095" s="39" t="s">
        <v>8</v>
      </c>
      <c r="B1095" s="40" t="s">
        <v>734</v>
      </c>
      <c r="C1095" s="41">
        <v>1</v>
      </c>
      <c r="D1095" s="42" t="s">
        <v>6</v>
      </c>
      <c r="E1095" s="190">
        <v>60833.98</v>
      </c>
      <c r="F1095" s="97">
        <f>C1095*E1095</f>
        <v>60833.98</v>
      </c>
      <c r="G1095" s="128"/>
    </row>
    <row r="1096" spans="1:7" x14ac:dyDescent="0.25">
      <c r="A1096" s="187"/>
      <c r="B1096" s="192"/>
      <c r="C1096" s="188"/>
      <c r="D1096" s="189"/>
      <c r="E1096" s="190"/>
      <c r="F1096" s="97"/>
      <c r="G1096" s="128"/>
    </row>
    <row r="1097" spans="1:7" ht="96.6" x14ac:dyDescent="0.25">
      <c r="A1097" s="39" t="s">
        <v>9</v>
      </c>
      <c r="B1097" s="40" t="s">
        <v>35</v>
      </c>
      <c r="C1097" s="41">
        <v>1</v>
      </c>
      <c r="D1097" s="42" t="s">
        <v>6</v>
      </c>
      <c r="E1097" s="190">
        <v>477866.18</v>
      </c>
      <c r="F1097" s="97">
        <f>C1097*E1097</f>
        <v>477866.18</v>
      </c>
      <c r="G1097" s="128"/>
    </row>
    <row r="1098" spans="1:7" x14ac:dyDescent="0.25">
      <c r="A1098" s="187"/>
      <c r="B1098" s="192"/>
      <c r="C1098" s="188"/>
      <c r="D1098" s="189"/>
      <c r="E1098" s="190"/>
      <c r="F1098" s="97"/>
      <c r="G1098" s="128"/>
    </row>
    <row r="1099" spans="1:7" ht="69" x14ac:dyDescent="0.25">
      <c r="A1099" s="39" t="s">
        <v>10</v>
      </c>
      <c r="B1099" s="40" t="s">
        <v>735</v>
      </c>
      <c r="C1099" s="41">
        <v>1</v>
      </c>
      <c r="D1099" s="42" t="s">
        <v>6</v>
      </c>
      <c r="E1099" s="190">
        <v>16459.73</v>
      </c>
      <c r="F1099" s="97">
        <f>C1099*E1099</f>
        <v>16459.73</v>
      </c>
      <c r="G1099" s="128"/>
    </row>
    <row r="1100" spans="1:7" x14ac:dyDescent="0.25">
      <c r="A1100" s="187"/>
      <c r="B1100" s="192"/>
      <c r="C1100" s="188"/>
      <c r="D1100" s="189"/>
      <c r="E1100" s="190"/>
      <c r="F1100" s="97"/>
      <c r="G1100" s="128"/>
    </row>
    <row r="1101" spans="1:7" ht="27.6" x14ac:dyDescent="0.25">
      <c r="A1101" s="39" t="s">
        <v>12</v>
      </c>
      <c r="B1101" s="40" t="s">
        <v>736</v>
      </c>
      <c r="C1101" s="41">
        <v>1</v>
      </c>
      <c r="D1101" s="42" t="s">
        <v>6</v>
      </c>
      <c r="E1101" s="190">
        <v>140138.99</v>
      </c>
      <c r="F1101" s="97">
        <f>C1101*E1101</f>
        <v>140138.99</v>
      </c>
      <c r="G1101" s="128"/>
    </row>
    <row r="1102" spans="1:7" x14ac:dyDescent="0.25">
      <c r="A1102" s="187"/>
      <c r="B1102" s="192"/>
      <c r="C1102" s="188"/>
      <c r="D1102" s="189"/>
      <c r="E1102" s="190"/>
      <c r="F1102" s="97"/>
      <c r="G1102" s="128"/>
    </row>
    <row r="1103" spans="1:7" ht="55.2" x14ac:dyDescent="0.25">
      <c r="A1103" s="39" t="s">
        <v>13</v>
      </c>
      <c r="B1103" s="40" t="s">
        <v>36</v>
      </c>
      <c r="C1103" s="41"/>
      <c r="D1103" s="42" t="s">
        <v>6</v>
      </c>
      <c r="E1103" s="190"/>
      <c r="F1103" s="97" t="s">
        <v>1194</v>
      </c>
      <c r="G1103" s="128"/>
    </row>
    <row r="1104" spans="1:7" x14ac:dyDescent="0.25">
      <c r="A1104" s="187"/>
      <c r="B1104" s="192"/>
      <c r="C1104" s="188"/>
      <c r="D1104" s="189"/>
      <c r="E1104" s="190"/>
      <c r="F1104" s="97"/>
      <c r="G1104" s="128"/>
    </row>
    <row r="1105" spans="1:7" ht="41.4" x14ac:dyDescent="0.25">
      <c r="A1105" s="39" t="s">
        <v>16</v>
      </c>
      <c r="B1105" s="40" t="s">
        <v>737</v>
      </c>
      <c r="C1105" s="41"/>
      <c r="D1105" s="42" t="s">
        <v>6</v>
      </c>
      <c r="E1105" s="190"/>
      <c r="F1105" s="97" t="s">
        <v>1194</v>
      </c>
      <c r="G1105" s="128"/>
    </row>
    <row r="1106" spans="1:7" x14ac:dyDescent="0.25">
      <c r="A1106" s="187"/>
      <c r="B1106" s="192"/>
      <c r="C1106" s="188"/>
      <c r="D1106" s="189"/>
      <c r="E1106" s="190"/>
      <c r="F1106" s="97"/>
      <c r="G1106" s="128"/>
    </row>
    <row r="1107" spans="1:7" x14ac:dyDescent="0.25">
      <c r="A1107" s="187"/>
      <c r="B1107" s="192"/>
      <c r="C1107" s="188"/>
      <c r="D1107" s="189"/>
      <c r="E1107" s="190"/>
      <c r="F1107" s="97"/>
      <c r="G1107" s="128"/>
    </row>
    <row r="1108" spans="1:7" x14ac:dyDescent="0.25">
      <c r="A1108" s="39"/>
      <c r="B1108" s="40"/>
      <c r="C1108" s="41"/>
      <c r="D1108" s="42"/>
      <c r="E1108" s="190"/>
      <c r="F1108" s="97"/>
      <c r="G1108" s="128"/>
    </row>
    <row r="1109" spans="1:7" x14ac:dyDescent="0.25">
      <c r="A1109" s="193"/>
      <c r="B1109" s="194"/>
      <c r="C1109" s="195"/>
      <c r="D1109" s="196"/>
      <c r="E1109" s="117"/>
      <c r="F1109" s="98"/>
      <c r="G1109" s="130"/>
    </row>
    <row r="1110" spans="1:7" x14ac:dyDescent="0.25">
      <c r="A1110" s="197"/>
      <c r="B1110" s="198"/>
      <c r="C1110" s="199" t="s">
        <v>51</v>
      </c>
      <c r="D1110" s="199"/>
      <c r="E1110" s="200" t="s">
        <v>50</v>
      </c>
      <c r="F1110" s="99">
        <f>SUM(F1087:F1106)</f>
        <v>710468.46</v>
      </c>
      <c r="G1110" s="131"/>
    </row>
    <row r="1111" spans="1:7" x14ac:dyDescent="0.25">
      <c r="A1111" s="197"/>
      <c r="B1111" s="198"/>
      <c r="C1111" s="201"/>
      <c r="D1111" s="202"/>
      <c r="E1111" s="118"/>
      <c r="F1111" s="100"/>
      <c r="G1111" s="132"/>
    </row>
    <row r="1112" spans="1:7" x14ac:dyDescent="0.25">
      <c r="A1112" s="39"/>
      <c r="B1112" s="40"/>
      <c r="C1112" s="41"/>
      <c r="D1112" s="42"/>
      <c r="E1112" s="190"/>
      <c r="F1112" s="97"/>
      <c r="G1112" s="128"/>
    </row>
    <row r="1113" spans="1:7" x14ac:dyDescent="0.25">
      <c r="A1113" s="187"/>
      <c r="B1113" s="36" t="s">
        <v>765</v>
      </c>
      <c r="C1113" s="188"/>
      <c r="D1113" s="189"/>
      <c r="E1113" s="190"/>
      <c r="F1113" s="97"/>
      <c r="G1113" s="128"/>
    </row>
    <row r="1114" spans="1:7" x14ac:dyDescent="0.25">
      <c r="A1114" s="187"/>
      <c r="B1114" s="192"/>
      <c r="C1114" s="188"/>
      <c r="D1114" s="189"/>
      <c r="E1114" s="190"/>
      <c r="F1114" s="97"/>
      <c r="G1114" s="128"/>
    </row>
    <row r="1115" spans="1:7" ht="27.6" x14ac:dyDescent="0.25">
      <c r="A1115" s="39" t="s">
        <v>3</v>
      </c>
      <c r="B1115" s="40" t="s">
        <v>766</v>
      </c>
      <c r="C1115" s="41"/>
      <c r="D1115" s="42" t="s">
        <v>6</v>
      </c>
      <c r="E1115" s="190"/>
      <c r="F1115" s="97" t="s">
        <v>1194</v>
      </c>
      <c r="G1115" s="128"/>
    </row>
    <row r="1116" spans="1:7" x14ac:dyDescent="0.25">
      <c r="A1116" s="187"/>
      <c r="B1116" s="192"/>
      <c r="C1116" s="188"/>
      <c r="D1116" s="189"/>
      <c r="E1116" s="190"/>
      <c r="F1116" s="97"/>
      <c r="G1116" s="128"/>
    </row>
    <row r="1117" spans="1:7" ht="55.2" x14ac:dyDescent="0.25">
      <c r="A1117" s="39" t="s">
        <v>2</v>
      </c>
      <c r="B1117" s="40" t="s">
        <v>767</v>
      </c>
      <c r="C1117" s="41">
        <v>1</v>
      </c>
      <c r="D1117" s="42" t="s">
        <v>6</v>
      </c>
      <c r="E1117" s="190">
        <v>818646.92</v>
      </c>
      <c r="F1117" s="97">
        <f>C1117*E1117</f>
        <v>818646.92</v>
      </c>
      <c r="G1117" s="128"/>
    </row>
    <row r="1118" spans="1:7" x14ac:dyDescent="0.25">
      <c r="A1118" s="187"/>
      <c r="B1118" s="192"/>
      <c r="C1118" s="188"/>
      <c r="D1118" s="189"/>
      <c r="E1118" s="190"/>
      <c r="F1118" s="97"/>
      <c r="G1118" s="128"/>
    </row>
    <row r="1119" spans="1:7" x14ac:dyDescent="0.25">
      <c r="A1119" s="39"/>
      <c r="B1119" s="40"/>
      <c r="C1119" s="41"/>
      <c r="D1119" s="42"/>
      <c r="E1119" s="190"/>
      <c r="F1119" s="97"/>
      <c r="G1119" s="128"/>
    </row>
    <row r="1120" spans="1:7" x14ac:dyDescent="0.25">
      <c r="A1120" s="187"/>
      <c r="B1120" s="192"/>
      <c r="C1120" s="188"/>
      <c r="D1120" s="189"/>
      <c r="E1120" s="190"/>
      <c r="F1120" s="97"/>
      <c r="G1120" s="128"/>
    </row>
    <row r="1121" spans="1:7" x14ac:dyDescent="0.25">
      <c r="A1121" s="39"/>
      <c r="B1121" s="40"/>
      <c r="C1121" s="41"/>
      <c r="D1121" s="42"/>
      <c r="E1121" s="190"/>
      <c r="F1121" s="97"/>
      <c r="G1121" s="128"/>
    </row>
    <row r="1122" spans="1:7" x14ac:dyDescent="0.25">
      <c r="A1122" s="187"/>
      <c r="B1122" s="192"/>
      <c r="C1122" s="188"/>
      <c r="D1122" s="189"/>
      <c r="E1122" s="190"/>
      <c r="F1122" s="97"/>
      <c r="G1122" s="128"/>
    </row>
    <row r="1123" spans="1:7" x14ac:dyDescent="0.25">
      <c r="A1123" s="39"/>
      <c r="B1123" s="40"/>
      <c r="C1123" s="41"/>
      <c r="D1123" s="42"/>
      <c r="E1123" s="190"/>
      <c r="F1123" s="97"/>
      <c r="G1123" s="128"/>
    </row>
    <row r="1124" spans="1:7" x14ac:dyDescent="0.25">
      <c r="A1124" s="187"/>
      <c r="B1124" s="192"/>
      <c r="C1124" s="188"/>
      <c r="D1124" s="189"/>
      <c r="E1124" s="190"/>
      <c r="F1124" s="97"/>
      <c r="G1124" s="128"/>
    </row>
    <row r="1125" spans="1:7" x14ac:dyDescent="0.25">
      <c r="A1125" s="39"/>
      <c r="B1125" s="40"/>
      <c r="C1125" s="41"/>
      <c r="D1125" s="42"/>
      <c r="E1125" s="190"/>
      <c r="F1125" s="97"/>
      <c r="G1125" s="128"/>
    </row>
    <row r="1126" spans="1:7" x14ac:dyDescent="0.25">
      <c r="A1126" s="187"/>
      <c r="B1126" s="192"/>
      <c r="C1126" s="188"/>
      <c r="D1126" s="189"/>
      <c r="E1126" s="190"/>
      <c r="F1126" s="97"/>
      <c r="G1126" s="128"/>
    </row>
    <row r="1127" spans="1:7" x14ac:dyDescent="0.25">
      <c r="A1127" s="39"/>
      <c r="B1127" s="40"/>
      <c r="C1127" s="41"/>
      <c r="D1127" s="42"/>
      <c r="E1127" s="190"/>
      <c r="F1127" s="97"/>
      <c r="G1127" s="128"/>
    </row>
    <row r="1128" spans="1:7" x14ac:dyDescent="0.25">
      <c r="A1128" s="187"/>
      <c r="B1128" s="192"/>
      <c r="C1128" s="188"/>
      <c r="D1128" s="189"/>
      <c r="E1128" s="190"/>
      <c r="F1128" s="97"/>
      <c r="G1128" s="128"/>
    </row>
    <row r="1129" spans="1:7" x14ac:dyDescent="0.25">
      <c r="A1129" s="39"/>
      <c r="B1129" s="40"/>
      <c r="C1129" s="41"/>
      <c r="D1129" s="42"/>
      <c r="E1129" s="190"/>
      <c r="F1129" s="97"/>
      <c r="G1129" s="128"/>
    </row>
    <row r="1130" spans="1:7" x14ac:dyDescent="0.25">
      <c r="A1130" s="187"/>
      <c r="B1130" s="192"/>
      <c r="C1130" s="188"/>
      <c r="D1130" s="189"/>
      <c r="E1130" s="190"/>
      <c r="F1130" s="97"/>
      <c r="G1130" s="128"/>
    </row>
    <row r="1131" spans="1:7" x14ac:dyDescent="0.25">
      <c r="A1131" s="187"/>
      <c r="B1131" s="192"/>
      <c r="C1131" s="188"/>
      <c r="D1131" s="189"/>
      <c r="E1131" s="190"/>
      <c r="F1131" s="97"/>
      <c r="G1131" s="128"/>
    </row>
    <row r="1132" spans="1:7" x14ac:dyDescent="0.25">
      <c r="A1132" s="187"/>
      <c r="B1132" s="192"/>
      <c r="C1132" s="188"/>
      <c r="D1132" s="189"/>
      <c r="E1132" s="190"/>
      <c r="F1132" s="97"/>
      <c r="G1132" s="128"/>
    </row>
    <row r="1133" spans="1:7" x14ac:dyDescent="0.25">
      <c r="A1133" s="187"/>
      <c r="B1133" s="192"/>
      <c r="C1133" s="188"/>
      <c r="D1133" s="189"/>
      <c r="E1133" s="190"/>
      <c r="F1133" s="97"/>
      <c r="G1133" s="128"/>
    </row>
    <row r="1134" spans="1:7" x14ac:dyDescent="0.25">
      <c r="A1134" s="187"/>
      <c r="B1134" s="192"/>
      <c r="C1134" s="188"/>
      <c r="D1134" s="189"/>
      <c r="E1134" s="190"/>
      <c r="F1134" s="97"/>
      <c r="G1134" s="128"/>
    </row>
    <row r="1135" spans="1:7" x14ac:dyDescent="0.25">
      <c r="A1135" s="187"/>
      <c r="B1135" s="192"/>
      <c r="C1135" s="188"/>
      <c r="D1135" s="189"/>
      <c r="E1135" s="190"/>
      <c r="F1135" s="97"/>
      <c r="G1135" s="128"/>
    </row>
    <row r="1136" spans="1:7" x14ac:dyDescent="0.25">
      <c r="A1136" s="187"/>
      <c r="B1136" s="36"/>
      <c r="C1136" s="188"/>
      <c r="D1136" s="189"/>
      <c r="E1136" s="190"/>
      <c r="F1136" s="97"/>
      <c r="G1136" s="128"/>
    </row>
    <row r="1137" spans="1:7" x14ac:dyDescent="0.25">
      <c r="A1137" s="187"/>
      <c r="B1137" s="192"/>
      <c r="C1137" s="188"/>
      <c r="D1137" s="189"/>
      <c r="E1137" s="190"/>
      <c r="F1137" s="97"/>
      <c r="G1137" s="128"/>
    </row>
    <row r="1138" spans="1:7" x14ac:dyDescent="0.25">
      <c r="A1138" s="39"/>
      <c r="B1138" s="40"/>
      <c r="C1138" s="41"/>
      <c r="D1138" s="42"/>
      <c r="E1138" s="190"/>
      <c r="F1138" s="97"/>
      <c r="G1138" s="128"/>
    </row>
    <row r="1139" spans="1:7" x14ac:dyDescent="0.25">
      <c r="A1139" s="187"/>
      <c r="B1139" s="192"/>
      <c r="C1139" s="188"/>
      <c r="D1139" s="189"/>
      <c r="E1139" s="190"/>
      <c r="F1139" s="97"/>
      <c r="G1139" s="128"/>
    </row>
    <row r="1140" spans="1:7" x14ac:dyDescent="0.25">
      <c r="A1140" s="39"/>
      <c r="B1140" s="40"/>
      <c r="C1140" s="41"/>
      <c r="D1140" s="42"/>
      <c r="E1140" s="190"/>
      <c r="F1140" s="97"/>
      <c r="G1140" s="128"/>
    </row>
    <row r="1141" spans="1:7" x14ac:dyDescent="0.25">
      <c r="A1141" s="187"/>
      <c r="B1141" s="192"/>
      <c r="C1141" s="188"/>
      <c r="D1141" s="189"/>
      <c r="E1141" s="190"/>
      <c r="F1141" s="97"/>
      <c r="G1141" s="128"/>
    </row>
    <row r="1142" spans="1:7" x14ac:dyDescent="0.25">
      <c r="A1142" s="39"/>
      <c r="B1142" s="40"/>
      <c r="C1142" s="41"/>
      <c r="D1142" s="42"/>
      <c r="E1142" s="190"/>
      <c r="F1142" s="97"/>
      <c r="G1142" s="128"/>
    </row>
    <row r="1143" spans="1:7" x14ac:dyDescent="0.25">
      <c r="A1143" s="187"/>
      <c r="B1143" s="192"/>
      <c r="C1143" s="188"/>
      <c r="D1143" s="189"/>
      <c r="E1143" s="190"/>
      <c r="F1143" s="97"/>
      <c r="G1143" s="128"/>
    </row>
    <row r="1144" spans="1:7" x14ac:dyDescent="0.25">
      <c r="A1144" s="39"/>
      <c r="B1144" s="40"/>
      <c r="C1144" s="41"/>
      <c r="D1144" s="42"/>
      <c r="E1144" s="190"/>
      <c r="F1144" s="97"/>
      <c r="G1144" s="128"/>
    </row>
    <row r="1145" spans="1:7" x14ac:dyDescent="0.25">
      <c r="A1145" s="187"/>
      <c r="B1145" s="192"/>
      <c r="C1145" s="188"/>
      <c r="D1145" s="189"/>
      <c r="E1145" s="190"/>
      <c r="F1145" s="97"/>
      <c r="G1145" s="128"/>
    </row>
    <row r="1146" spans="1:7" x14ac:dyDescent="0.25">
      <c r="A1146" s="39"/>
      <c r="B1146" s="40"/>
      <c r="C1146" s="41"/>
      <c r="D1146" s="42"/>
      <c r="E1146" s="190"/>
      <c r="F1146" s="97"/>
      <c r="G1146" s="128"/>
    </row>
    <row r="1147" spans="1:7" x14ac:dyDescent="0.25">
      <c r="A1147" s="187"/>
      <c r="B1147" s="192"/>
      <c r="C1147" s="188"/>
      <c r="D1147" s="189"/>
      <c r="E1147" s="190"/>
      <c r="F1147" s="97"/>
      <c r="G1147" s="128"/>
    </row>
    <row r="1148" spans="1:7" x14ac:dyDescent="0.25">
      <c r="A1148" s="39"/>
      <c r="B1148" s="40"/>
      <c r="C1148" s="41"/>
      <c r="D1148" s="42"/>
      <c r="E1148" s="190"/>
      <c r="F1148" s="97"/>
      <c r="G1148" s="128"/>
    </row>
    <row r="1149" spans="1:7" x14ac:dyDescent="0.25">
      <c r="A1149" s="187"/>
      <c r="B1149" s="192"/>
      <c r="C1149" s="188"/>
      <c r="D1149" s="189"/>
      <c r="E1149" s="190"/>
      <c r="F1149" s="97"/>
      <c r="G1149" s="128"/>
    </row>
    <row r="1150" spans="1:7" x14ac:dyDescent="0.25">
      <c r="A1150" s="39"/>
      <c r="B1150" s="40"/>
      <c r="C1150" s="41"/>
      <c r="D1150" s="42"/>
      <c r="E1150" s="190"/>
      <c r="F1150" s="97"/>
      <c r="G1150" s="128"/>
    </row>
    <row r="1151" spans="1:7" x14ac:dyDescent="0.25">
      <c r="A1151" s="39"/>
      <c r="B1151" s="40"/>
      <c r="C1151" s="41"/>
      <c r="D1151" s="42"/>
      <c r="E1151" s="190"/>
      <c r="F1151" s="97"/>
      <c r="G1151" s="128"/>
    </row>
    <row r="1152" spans="1:7" x14ac:dyDescent="0.25">
      <c r="A1152" s="39"/>
      <c r="B1152" s="40"/>
      <c r="C1152" s="41"/>
      <c r="D1152" s="42"/>
      <c r="E1152" s="190"/>
      <c r="F1152" s="97"/>
      <c r="G1152" s="128"/>
    </row>
    <row r="1153" spans="1:7" x14ac:dyDescent="0.25">
      <c r="A1153" s="39"/>
      <c r="B1153" s="40"/>
      <c r="C1153" s="41"/>
      <c r="D1153" s="42"/>
      <c r="E1153" s="190"/>
      <c r="F1153" s="97"/>
      <c r="G1153" s="128"/>
    </row>
    <row r="1154" spans="1:7" x14ac:dyDescent="0.25">
      <c r="A1154" s="39"/>
      <c r="B1154" s="40"/>
      <c r="C1154" s="41"/>
      <c r="D1154" s="42"/>
      <c r="E1154" s="190"/>
      <c r="F1154" s="97"/>
      <c r="G1154" s="128"/>
    </row>
    <row r="1155" spans="1:7" x14ac:dyDescent="0.25">
      <c r="A1155" s="39"/>
      <c r="B1155" s="40"/>
      <c r="C1155" s="41"/>
      <c r="D1155" s="42"/>
      <c r="E1155" s="190"/>
      <c r="F1155" s="97"/>
      <c r="G1155" s="128"/>
    </row>
    <row r="1156" spans="1:7" x14ac:dyDescent="0.25">
      <c r="A1156" s="193"/>
      <c r="B1156" s="194"/>
      <c r="C1156" s="195"/>
      <c r="D1156" s="196"/>
      <c r="E1156" s="117"/>
      <c r="F1156" s="98"/>
      <c r="G1156" s="130"/>
    </row>
    <row r="1157" spans="1:7" x14ac:dyDescent="0.25">
      <c r="A1157" s="197"/>
      <c r="B1157" s="198"/>
      <c r="C1157" s="199" t="s">
        <v>51</v>
      </c>
      <c r="D1157" s="199"/>
      <c r="E1157" s="200" t="s">
        <v>50</v>
      </c>
      <c r="F1157" s="99">
        <f>SUM(F1113:F1134)</f>
        <v>818646.92</v>
      </c>
      <c r="G1157" s="131"/>
    </row>
    <row r="1158" spans="1:7" x14ac:dyDescent="0.25">
      <c r="A1158" s="197"/>
      <c r="B1158" s="198"/>
      <c r="C1158" s="201"/>
      <c r="D1158" s="202"/>
      <c r="E1158" s="118"/>
      <c r="F1158" s="100"/>
      <c r="G1158" s="132"/>
    </row>
    <row r="1159" spans="1:7" x14ac:dyDescent="0.25">
      <c r="A1159" s="39"/>
      <c r="B1159" s="40"/>
      <c r="C1159" s="41"/>
      <c r="D1159" s="42"/>
      <c r="E1159" s="190"/>
      <c r="F1159" s="97"/>
      <c r="G1159" s="128"/>
    </row>
    <row r="1160" spans="1:7" ht="27.6" x14ac:dyDescent="0.25">
      <c r="A1160" s="187"/>
      <c r="B1160" s="36" t="s">
        <v>738</v>
      </c>
      <c r="C1160" s="188"/>
      <c r="D1160" s="189"/>
      <c r="E1160" s="190"/>
      <c r="F1160" s="97"/>
      <c r="G1160" s="128"/>
    </row>
    <row r="1161" spans="1:7" x14ac:dyDescent="0.25">
      <c r="A1161" s="187"/>
      <c r="B1161" s="191"/>
      <c r="C1161" s="188"/>
      <c r="D1161" s="189"/>
      <c r="E1161" s="190"/>
      <c r="F1161" s="97"/>
      <c r="G1161" s="128"/>
    </row>
    <row r="1162" spans="1:7" x14ac:dyDescent="0.25">
      <c r="A1162" s="39"/>
      <c r="B1162" s="52" t="s">
        <v>739</v>
      </c>
      <c r="C1162" s="41"/>
      <c r="D1162" s="42"/>
      <c r="E1162" s="190"/>
      <c r="F1162" s="97"/>
      <c r="G1162" s="128"/>
    </row>
    <row r="1163" spans="1:7" x14ac:dyDescent="0.25">
      <c r="A1163" s="187"/>
      <c r="B1163" s="192"/>
      <c r="C1163" s="188"/>
      <c r="D1163" s="189"/>
      <c r="E1163" s="190"/>
      <c r="F1163" s="97"/>
      <c r="G1163" s="128"/>
    </row>
    <row r="1164" spans="1:7" ht="41.4" x14ac:dyDescent="0.25">
      <c r="A1164" s="39" t="s">
        <v>3</v>
      </c>
      <c r="B1164" s="40" t="s">
        <v>37</v>
      </c>
      <c r="C1164" s="41"/>
      <c r="D1164" s="42" t="s">
        <v>6</v>
      </c>
      <c r="E1164" s="190"/>
      <c r="F1164" s="97" t="s">
        <v>1194</v>
      </c>
      <c r="G1164" s="128"/>
    </row>
    <row r="1165" spans="1:7" x14ac:dyDescent="0.25">
      <c r="A1165" s="187"/>
      <c r="B1165" s="192"/>
      <c r="C1165" s="188"/>
      <c r="D1165" s="189"/>
      <c r="E1165" s="190"/>
      <c r="F1165" s="97"/>
      <c r="G1165" s="128"/>
    </row>
    <row r="1166" spans="1:7" ht="27.6" x14ac:dyDescent="0.25">
      <c r="A1166" s="39" t="s">
        <v>2</v>
      </c>
      <c r="B1166" s="40" t="s">
        <v>740</v>
      </c>
      <c r="C1166" s="41"/>
      <c r="D1166" s="42" t="s">
        <v>6</v>
      </c>
      <c r="E1166" s="190"/>
      <c r="F1166" s="97" t="s">
        <v>1194</v>
      </c>
      <c r="G1166" s="128"/>
    </row>
    <row r="1167" spans="1:7" x14ac:dyDescent="0.25">
      <c r="A1167" s="187"/>
      <c r="B1167" s="192"/>
      <c r="C1167" s="188"/>
      <c r="D1167" s="189"/>
      <c r="E1167" s="190"/>
      <c r="F1167" s="97"/>
      <c r="G1167" s="128"/>
    </row>
    <row r="1168" spans="1:7" ht="41.4" x14ac:dyDescent="0.25">
      <c r="A1168" s="39" t="s">
        <v>5</v>
      </c>
      <c r="B1168" s="40" t="s">
        <v>741</v>
      </c>
      <c r="C1168" s="41"/>
      <c r="D1168" s="42" t="s">
        <v>6</v>
      </c>
      <c r="E1168" s="190"/>
      <c r="F1168" s="97" t="s">
        <v>1194</v>
      </c>
      <c r="G1168" s="128"/>
    </row>
    <row r="1169" spans="1:7" x14ac:dyDescent="0.25">
      <c r="A1169" s="187"/>
      <c r="B1169" s="192"/>
      <c r="C1169" s="188"/>
      <c r="D1169" s="189"/>
      <c r="E1169" s="190"/>
      <c r="F1169" s="97"/>
      <c r="G1169" s="128"/>
    </row>
    <row r="1170" spans="1:7" ht="27.6" x14ac:dyDescent="0.25">
      <c r="A1170" s="39" t="s">
        <v>8</v>
      </c>
      <c r="B1170" s="40" t="s">
        <v>742</v>
      </c>
      <c r="C1170" s="41"/>
      <c r="D1170" s="42" t="s">
        <v>6</v>
      </c>
      <c r="E1170" s="190"/>
      <c r="F1170" s="97" t="s">
        <v>1194</v>
      </c>
      <c r="G1170" s="128"/>
    </row>
    <row r="1171" spans="1:7" x14ac:dyDescent="0.25">
      <c r="A1171" s="187"/>
      <c r="B1171" s="192"/>
      <c r="C1171" s="188"/>
      <c r="D1171" s="189"/>
      <c r="E1171" s="190"/>
      <c r="F1171" s="97"/>
      <c r="G1171" s="128"/>
    </row>
    <row r="1172" spans="1:7" ht="41.4" x14ac:dyDescent="0.25">
      <c r="A1172" s="39" t="s">
        <v>9</v>
      </c>
      <c r="B1172" s="40" t="s">
        <v>743</v>
      </c>
      <c r="C1172" s="41">
        <v>1</v>
      </c>
      <c r="D1172" s="42" t="s">
        <v>6</v>
      </c>
      <c r="E1172" s="190">
        <v>50043.43</v>
      </c>
      <c r="F1172" s="97">
        <f>C1172*E1172</f>
        <v>50043.43</v>
      </c>
      <c r="G1172" s="128"/>
    </row>
    <row r="1173" spans="1:7" x14ac:dyDescent="0.25">
      <c r="A1173" s="187"/>
      <c r="B1173" s="192"/>
      <c r="C1173" s="188"/>
      <c r="D1173" s="189"/>
      <c r="E1173" s="190"/>
      <c r="F1173" s="97"/>
      <c r="G1173" s="128"/>
    </row>
    <row r="1174" spans="1:7" ht="69" x14ac:dyDescent="0.25">
      <c r="A1174" s="39" t="s">
        <v>10</v>
      </c>
      <c r="B1174" s="40" t="s">
        <v>744</v>
      </c>
      <c r="C1174" s="41"/>
      <c r="D1174" s="42" t="s">
        <v>6</v>
      </c>
      <c r="E1174" s="190"/>
      <c r="F1174" s="97" t="s">
        <v>1194</v>
      </c>
      <c r="G1174" s="128"/>
    </row>
    <row r="1175" spans="1:7" x14ac:dyDescent="0.25">
      <c r="A1175" s="187"/>
      <c r="B1175" s="192"/>
      <c r="C1175" s="188"/>
      <c r="D1175" s="189"/>
      <c r="E1175" s="190"/>
      <c r="F1175" s="97"/>
      <c r="G1175" s="128"/>
    </row>
    <row r="1176" spans="1:7" ht="41.4" x14ac:dyDescent="0.25">
      <c r="A1176" s="39" t="s">
        <v>12</v>
      </c>
      <c r="B1176" s="40" t="s">
        <v>737</v>
      </c>
      <c r="C1176" s="41"/>
      <c r="D1176" s="42" t="s">
        <v>6</v>
      </c>
      <c r="E1176" s="190"/>
      <c r="F1176" s="97" t="s">
        <v>1194</v>
      </c>
      <c r="G1176" s="128"/>
    </row>
    <row r="1177" spans="1:7" x14ac:dyDescent="0.25">
      <c r="A1177" s="187"/>
      <c r="B1177" s="192"/>
      <c r="C1177" s="188"/>
      <c r="D1177" s="189"/>
      <c r="E1177" s="190"/>
      <c r="F1177" s="97"/>
      <c r="G1177" s="128"/>
    </row>
    <row r="1178" spans="1:7" x14ac:dyDescent="0.25">
      <c r="A1178" s="187"/>
      <c r="B1178" s="192"/>
      <c r="C1178" s="188"/>
      <c r="D1178" s="189"/>
      <c r="E1178" s="190"/>
      <c r="F1178" s="97"/>
      <c r="G1178" s="128"/>
    </row>
    <row r="1179" spans="1:7" x14ac:dyDescent="0.25">
      <c r="A1179" s="187"/>
      <c r="B1179" s="192"/>
      <c r="C1179" s="188"/>
      <c r="D1179" s="189"/>
      <c r="E1179" s="190"/>
      <c r="F1179" s="97"/>
      <c r="G1179" s="128"/>
    </row>
    <row r="1180" spans="1:7" x14ac:dyDescent="0.25">
      <c r="A1180" s="187"/>
      <c r="B1180" s="192"/>
      <c r="C1180" s="188"/>
      <c r="D1180" s="189"/>
      <c r="E1180" s="190"/>
      <c r="F1180" s="97"/>
      <c r="G1180" s="128"/>
    </row>
    <row r="1181" spans="1:7" x14ac:dyDescent="0.25">
      <c r="A1181" s="187"/>
      <c r="B1181" s="36"/>
      <c r="C1181" s="188"/>
      <c r="D1181" s="189"/>
      <c r="E1181" s="190"/>
      <c r="F1181" s="97"/>
      <c r="G1181" s="128"/>
    </row>
    <row r="1182" spans="1:7" x14ac:dyDescent="0.25">
      <c r="A1182" s="187"/>
      <c r="B1182" s="192"/>
      <c r="C1182" s="188"/>
      <c r="D1182" s="189"/>
      <c r="E1182" s="190"/>
      <c r="F1182" s="97"/>
      <c r="G1182" s="128"/>
    </row>
    <row r="1183" spans="1:7" x14ac:dyDescent="0.25">
      <c r="A1183" s="39"/>
      <c r="B1183" s="40"/>
      <c r="C1183" s="41"/>
      <c r="D1183" s="42"/>
      <c r="E1183" s="190"/>
      <c r="F1183" s="97"/>
      <c r="G1183" s="128"/>
    </row>
    <row r="1184" spans="1:7" x14ac:dyDescent="0.25">
      <c r="A1184" s="187"/>
      <c r="B1184" s="192"/>
      <c r="C1184" s="188"/>
      <c r="D1184" s="189"/>
      <c r="E1184" s="190"/>
      <c r="F1184" s="97"/>
      <c r="G1184" s="128"/>
    </row>
    <row r="1185" spans="1:7" x14ac:dyDescent="0.25">
      <c r="A1185" s="39"/>
      <c r="B1185" s="40"/>
      <c r="C1185" s="41"/>
      <c r="D1185" s="42"/>
      <c r="E1185" s="190"/>
      <c r="F1185" s="97"/>
      <c r="G1185" s="128"/>
    </row>
    <row r="1186" spans="1:7" x14ac:dyDescent="0.25">
      <c r="A1186" s="187"/>
      <c r="B1186" s="192"/>
      <c r="C1186" s="188"/>
      <c r="D1186" s="189"/>
      <c r="E1186" s="190"/>
      <c r="F1186" s="97"/>
      <c r="G1186" s="128"/>
    </row>
    <row r="1187" spans="1:7" x14ac:dyDescent="0.25">
      <c r="A1187" s="187"/>
      <c r="B1187" s="192"/>
      <c r="C1187" s="188"/>
      <c r="D1187" s="189"/>
      <c r="E1187" s="190"/>
      <c r="F1187" s="97"/>
      <c r="G1187" s="128"/>
    </row>
    <row r="1188" spans="1:7" x14ac:dyDescent="0.25">
      <c r="A1188" s="39"/>
      <c r="B1188" s="40"/>
      <c r="C1188" s="41"/>
      <c r="D1188" s="42"/>
      <c r="E1188" s="190"/>
      <c r="F1188" s="97"/>
      <c r="G1188" s="128"/>
    </row>
    <row r="1189" spans="1:7" x14ac:dyDescent="0.25">
      <c r="A1189" s="39"/>
      <c r="B1189" s="40"/>
      <c r="C1189" s="41"/>
      <c r="D1189" s="42"/>
      <c r="E1189" s="190"/>
      <c r="F1189" s="97"/>
      <c r="G1189" s="128"/>
    </row>
    <row r="1190" spans="1:7" x14ac:dyDescent="0.25">
      <c r="A1190" s="187"/>
      <c r="B1190" s="192"/>
      <c r="C1190" s="188"/>
      <c r="D1190" s="189"/>
      <c r="E1190" s="190"/>
      <c r="F1190" s="97"/>
      <c r="G1190" s="128"/>
    </row>
    <row r="1191" spans="1:7" x14ac:dyDescent="0.25">
      <c r="A1191" s="39"/>
      <c r="B1191" s="40"/>
      <c r="C1191" s="41"/>
      <c r="D1191" s="42"/>
      <c r="E1191" s="190"/>
      <c r="F1191" s="97"/>
      <c r="G1191" s="128"/>
    </row>
    <row r="1192" spans="1:7" x14ac:dyDescent="0.25">
      <c r="A1192" s="193"/>
      <c r="B1192" s="194"/>
      <c r="C1192" s="195"/>
      <c r="D1192" s="196"/>
      <c r="E1192" s="117"/>
      <c r="F1192" s="98"/>
      <c r="G1192" s="130"/>
    </row>
    <row r="1193" spans="1:7" x14ac:dyDescent="0.25">
      <c r="A1193" s="197"/>
      <c r="B1193" s="198"/>
      <c r="C1193" s="199" t="s">
        <v>51</v>
      </c>
      <c r="D1193" s="199"/>
      <c r="E1193" s="200" t="s">
        <v>50</v>
      </c>
      <c r="F1193" s="99">
        <f>SUM(F1160:F1188)</f>
        <v>50043.43</v>
      </c>
      <c r="G1193" s="131"/>
    </row>
    <row r="1194" spans="1:7" x14ac:dyDescent="0.25">
      <c r="A1194" s="197"/>
      <c r="B1194" s="198"/>
      <c r="C1194" s="201"/>
      <c r="D1194" s="202"/>
      <c r="E1194" s="118"/>
      <c r="F1194" s="100"/>
      <c r="G1194" s="132"/>
    </row>
    <row r="1195" spans="1:7" x14ac:dyDescent="0.25">
      <c r="A1195" s="39"/>
      <c r="B1195" s="40"/>
      <c r="C1195" s="41"/>
      <c r="D1195" s="42"/>
      <c r="E1195" s="190"/>
      <c r="F1195" s="97"/>
      <c r="G1195" s="128"/>
    </row>
    <row r="1196" spans="1:7" ht="27.6" x14ac:dyDescent="0.25">
      <c r="A1196" s="187"/>
      <c r="B1196" s="36" t="s">
        <v>745</v>
      </c>
      <c r="C1196" s="188"/>
      <c r="D1196" s="189"/>
      <c r="E1196" s="190"/>
      <c r="F1196" s="97"/>
      <c r="G1196" s="128"/>
    </row>
    <row r="1197" spans="1:7" x14ac:dyDescent="0.25">
      <c r="A1197" s="187"/>
      <c r="B1197" s="191"/>
      <c r="C1197" s="188"/>
      <c r="D1197" s="189"/>
      <c r="E1197" s="190"/>
      <c r="F1197" s="97"/>
      <c r="G1197" s="128"/>
    </row>
    <row r="1198" spans="1:7" x14ac:dyDescent="0.25">
      <c r="A1198" s="39"/>
      <c r="B1198" s="52" t="s">
        <v>746</v>
      </c>
      <c r="C1198" s="41"/>
      <c r="D1198" s="42"/>
      <c r="E1198" s="190"/>
      <c r="F1198" s="97"/>
      <c r="G1198" s="128"/>
    </row>
    <row r="1199" spans="1:7" x14ac:dyDescent="0.25">
      <c r="A1199" s="187"/>
      <c r="B1199" s="230"/>
      <c r="C1199" s="188"/>
      <c r="D1199" s="189"/>
      <c r="E1199" s="190"/>
      <c r="F1199" s="97"/>
      <c r="G1199" s="128"/>
    </row>
    <row r="1200" spans="1:7" ht="27.6" x14ac:dyDescent="0.25">
      <c r="A1200" s="39"/>
      <c r="B1200" s="52" t="s">
        <v>747</v>
      </c>
      <c r="C1200" s="41"/>
      <c r="D1200" s="42"/>
      <c r="E1200" s="190"/>
      <c r="F1200" s="97"/>
      <c r="G1200" s="128"/>
    </row>
    <row r="1201" spans="1:7" x14ac:dyDescent="0.25">
      <c r="A1201" s="187"/>
      <c r="B1201" s="192"/>
      <c r="C1201" s="188"/>
      <c r="D1201" s="189"/>
      <c r="E1201" s="190"/>
      <c r="F1201" s="97"/>
      <c r="G1201" s="128"/>
    </row>
    <row r="1202" spans="1:7" x14ac:dyDescent="0.25">
      <c r="A1202" s="39" t="s">
        <v>3</v>
      </c>
      <c r="B1202" s="40" t="s">
        <v>748</v>
      </c>
      <c r="C1202" s="41"/>
      <c r="D1202" s="42" t="s">
        <v>6</v>
      </c>
      <c r="E1202" s="190"/>
      <c r="F1202" s="97" t="s">
        <v>1194</v>
      </c>
      <c r="G1202" s="128"/>
    </row>
    <row r="1203" spans="1:7" x14ac:dyDescent="0.25">
      <c r="A1203" s="187"/>
      <c r="B1203" s="192"/>
      <c r="C1203" s="188"/>
      <c r="D1203" s="189"/>
      <c r="E1203" s="190"/>
      <c r="F1203" s="97"/>
      <c r="G1203" s="128"/>
    </row>
    <row r="1204" spans="1:7" x14ac:dyDescent="0.25">
      <c r="A1204" s="39" t="s">
        <v>2</v>
      </c>
      <c r="B1204" s="40" t="s">
        <v>749</v>
      </c>
      <c r="C1204" s="41"/>
      <c r="D1204" s="42" t="s">
        <v>6</v>
      </c>
      <c r="E1204" s="190"/>
      <c r="F1204" s="97" t="s">
        <v>1194</v>
      </c>
      <c r="G1204" s="128"/>
    </row>
    <row r="1205" spans="1:7" x14ac:dyDescent="0.25">
      <c r="A1205" s="187"/>
      <c r="B1205" s="192"/>
      <c r="C1205" s="188"/>
      <c r="D1205" s="189"/>
      <c r="E1205" s="190"/>
      <c r="F1205" s="97"/>
      <c r="G1205" s="128"/>
    </row>
    <row r="1206" spans="1:7" x14ac:dyDescent="0.25">
      <c r="A1206" s="39" t="s">
        <v>5</v>
      </c>
      <c r="B1206" s="40" t="s">
        <v>750</v>
      </c>
      <c r="C1206" s="41"/>
      <c r="D1206" s="42" t="s">
        <v>6</v>
      </c>
      <c r="E1206" s="190"/>
      <c r="F1206" s="97" t="s">
        <v>1194</v>
      </c>
      <c r="G1206" s="128"/>
    </row>
    <row r="1207" spans="1:7" x14ac:dyDescent="0.25">
      <c r="A1207" s="187"/>
      <c r="B1207" s="192"/>
      <c r="C1207" s="188"/>
      <c r="D1207" s="189"/>
      <c r="E1207" s="190"/>
      <c r="F1207" s="97"/>
      <c r="G1207" s="128"/>
    </row>
    <row r="1208" spans="1:7" x14ac:dyDescent="0.25">
      <c r="A1208" s="39" t="s">
        <v>8</v>
      </c>
      <c r="B1208" s="40" t="s">
        <v>751</v>
      </c>
      <c r="C1208" s="41"/>
      <c r="D1208" s="42" t="s">
        <v>6</v>
      </c>
      <c r="E1208" s="190"/>
      <c r="F1208" s="97" t="s">
        <v>1194</v>
      </c>
      <c r="G1208" s="128"/>
    </row>
    <row r="1209" spans="1:7" x14ac:dyDescent="0.25">
      <c r="A1209" s="187"/>
      <c r="B1209" s="192"/>
      <c r="C1209" s="188"/>
      <c r="D1209" s="189"/>
      <c r="E1209" s="190"/>
      <c r="F1209" s="97"/>
      <c r="G1209" s="128"/>
    </row>
    <row r="1210" spans="1:7" x14ac:dyDescent="0.25">
      <c r="A1210" s="39" t="s">
        <v>9</v>
      </c>
      <c r="B1210" s="40" t="s">
        <v>752</v>
      </c>
      <c r="C1210" s="41"/>
      <c r="D1210" s="42" t="s">
        <v>6</v>
      </c>
      <c r="E1210" s="190"/>
      <c r="F1210" s="97" t="s">
        <v>1194</v>
      </c>
      <c r="G1210" s="128"/>
    </row>
    <row r="1211" spans="1:7" x14ac:dyDescent="0.25">
      <c r="A1211" s="187"/>
      <c r="B1211" s="192"/>
      <c r="C1211" s="188"/>
      <c r="D1211" s="189"/>
      <c r="E1211" s="190"/>
      <c r="F1211" s="97"/>
      <c r="G1211" s="128"/>
    </row>
    <row r="1212" spans="1:7" x14ac:dyDescent="0.25">
      <c r="A1212" s="39" t="s">
        <v>10</v>
      </c>
      <c r="B1212" s="40" t="s">
        <v>753</v>
      </c>
      <c r="C1212" s="41">
        <v>1</v>
      </c>
      <c r="D1212" s="42" t="s">
        <v>6</v>
      </c>
      <c r="E1212" s="190">
        <v>8674.7199999999993</v>
      </c>
      <c r="F1212" s="97">
        <f>C1212*E1212</f>
        <v>8674.7199999999993</v>
      </c>
      <c r="G1212" s="128"/>
    </row>
    <row r="1213" spans="1:7" x14ac:dyDescent="0.25">
      <c r="A1213" s="187"/>
      <c r="B1213" s="192"/>
      <c r="C1213" s="188"/>
      <c r="D1213" s="189"/>
      <c r="E1213" s="190"/>
      <c r="F1213" s="97"/>
      <c r="G1213" s="128"/>
    </row>
    <row r="1214" spans="1:7" x14ac:dyDescent="0.25">
      <c r="A1214" s="39" t="s">
        <v>12</v>
      </c>
      <c r="B1214" s="40" t="s">
        <v>754</v>
      </c>
      <c r="C1214" s="41">
        <v>1</v>
      </c>
      <c r="D1214" s="42" t="s">
        <v>6</v>
      </c>
      <c r="E1214" s="190">
        <v>4848.95</v>
      </c>
      <c r="F1214" s="97">
        <f>C1214*E1214</f>
        <v>4848.95</v>
      </c>
      <c r="G1214" s="128"/>
    </row>
    <row r="1215" spans="1:7" x14ac:dyDescent="0.25">
      <c r="A1215" s="187"/>
      <c r="B1215" s="192"/>
      <c r="C1215" s="188"/>
      <c r="D1215" s="189"/>
      <c r="E1215" s="190"/>
      <c r="F1215" s="97"/>
      <c r="G1215" s="128"/>
    </row>
    <row r="1216" spans="1:7" x14ac:dyDescent="0.25">
      <c r="A1216" s="39" t="s">
        <v>13</v>
      </c>
      <c r="B1216" s="40" t="s">
        <v>755</v>
      </c>
      <c r="C1216" s="41"/>
      <c r="D1216" s="42" t="s">
        <v>6</v>
      </c>
      <c r="E1216" s="190"/>
      <c r="F1216" s="97" t="s">
        <v>1194</v>
      </c>
      <c r="G1216" s="128"/>
    </row>
    <row r="1217" spans="1:7" x14ac:dyDescent="0.25">
      <c r="A1217" s="187"/>
      <c r="B1217" s="192"/>
      <c r="C1217" s="188"/>
      <c r="D1217" s="189"/>
      <c r="E1217" s="190"/>
      <c r="F1217" s="97"/>
      <c r="G1217" s="128"/>
    </row>
    <row r="1218" spans="1:7" x14ac:dyDescent="0.25">
      <c r="A1218" s="39" t="s">
        <v>16</v>
      </c>
      <c r="B1218" s="40" t="s">
        <v>756</v>
      </c>
      <c r="C1218" s="41">
        <v>1</v>
      </c>
      <c r="D1218" s="42" t="s">
        <v>6</v>
      </c>
      <c r="E1218" s="190">
        <v>13123.29</v>
      </c>
      <c r="F1218" s="97">
        <f>C1218*E1218</f>
        <v>13123.29</v>
      </c>
      <c r="G1218" s="128"/>
    </row>
    <row r="1219" spans="1:7" x14ac:dyDescent="0.25">
      <c r="A1219" s="187"/>
      <c r="B1219" s="192"/>
      <c r="C1219" s="188"/>
      <c r="D1219" s="189"/>
      <c r="E1219" s="190"/>
      <c r="F1219" s="97"/>
      <c r="G1219" s="128"/>
    </row>
    <row r="1220" spans="1:7" x14ac:dyDescent="0.25">
      <c r="A1220" s="39" t="s">
        <v>17</v>
      </c>
      <c r="B1220" s="40" t="s">
        <v>757</v>
      </c>
      <c r="C1220" s="41">
        <v>1</v>
      </c>
      <c r="D1220" s="42" t="s">
        <v>6</v>
      </c>
      <c r="E1220" s="190">
        <v>6806.32</v>
      </c>
      <c r="F1220" s="97">
        <f>C1220*E1220</f>
        <v>6806.32</v>
      </c>
      <c r="G1220" s="128"/>
    </row>
    <row r="1221" spans="1:7" x14ac:dyDescent="0.25">
      <c r="A1221" s="187"/>
      <c r="B1221" s="192"/>
      <c r="C1221" s="188"/>
      <c r="D1221" s="189"/>
      <c r="E1221" s="190"/>
      <c r="F1221" s="97"/>
      <c r="G1221" s="128"/>
    </row>
    <row r="1222" spans="1:7" x14ac:dyDescent="0.25">
      <c r="A1222" s="39"/>
      <c r="B1222" s="52" t="s">
        <v>758</v>
      </c>
      <c r="C1222" s="41"/>
      <c r="D1222" s="42"/>
      <c r="E1222" s="190"/>
      <c r="F1222" s="97"/>
      <c r="G1222" s="128"/>
    </row>
    <row r="1223" spans="1:7" x14ac:dyDescent="0.25">
      <c r="A1223" s="187"/>
      <c r="B1223" s="192"/>
      <c r="C1223" s="188"/>
      <c r="D1223" s="189"/>
      <c r="E1223" s="190"/>
      <c r="F1223" s="97"/>
      <c r="G1223" s="128"/>
    </row>
    <row r="1224" spans="1:7" ht="41.4" x14ac:dyDescent="0.25">
      <c r="A1224" s="39" t="s">
        <v>18</v>
      </c>
      <c r="B1224" s="40" t="s">
        <v>759</v>
      </c>
      <c r="C1224" s="41"/>
      <c r="D1224" s="42" t="s">
        <v>6</v>
      </c>
      <c r="E1224" s="190"/>
      <c r="F1224" s="97" t="s">
        <v>1195</v>
      </c>
      <c r="G1224" s="128"/>
    </row>
    <row r="1225" spans="1:7" x14ac:dyDescent="0.25">
      <c r="A1225" s="187"/>
      <c r="B1225" s="192"/>
      <c r="C1225" s="188"/>
      <c r="D1225" s="189"/>
      <c r="E1225" s="190"/>
      <c r="F1225" s="97"/>
      <c r="G1225" s="128"/>
    </row>
    <row r="1226" spans="1:7" x14ac:dyDescent="0.25">
      <c r="A1226" s="187"/>
      <c r="B1226" s="192"/>
      <c r="C1226" s="188"/>
      <c r="D1226" s="189"/>
      <c r="E1226" s="190"/>
      <c r="F1226" s="97"/>
      <c r="G1226" s="128"/>
    </row>
    <row r="1227" spans="1:7" x14ac:dyDescent="0.25">
      <c r="A1227" s="187"/>
      <c r="B1227" s="192"/>
      <c r="C1227" s="188"/>
      <c r="D1227" s="189"/>
      <c r="E1227" s="190"/>
      <c r="F1227" s="97"/>
      <c r="G1227" s="128"/>
    </row>
    <row r="1228" spans="1:7" x14ac:dyDescent="0.25">
      <c r="A1228" s="187"/>
      <c r="B1228" s="192"/>
      <c r="C1228" s="188"/>
      <c r="D1228" s="189"/>
      <c r="E1228" s="190"/>
      <c r="F1228" s="97"/>
      <c r="G1228" s="128"/>
    </row>
    <row r="1229" spans="1:7" x14ac:dyDescent="0.25">
      <c r="A1229" s="187"/>
      <c r="B1229" s="192"/>
      <c r="C1229" s="188"/>
      <c r="D1229" s="189"/>
      <c r="E1229" s="190"/>
      <c r="F1229" s="97"/>
      <c r="G1229" s="128"/>
    </row>
    <row r="1230" spans="1:7" x14ac:dyDescent="0.25">
      <c r="A1230" s="187"/>
      <c r="B1230" s="192"/>
      <c r="C1230" s="188"/>
      <c r="D1230" s="189"/>
      <c r="E1230" s="190"/>
      <c r="F1230" s="97"/>
      <c r="G1230" s="128"/>
    </row>
    <row r="1231" spans="1:7" x14ac:dyDescent="0.25">
      <c r="A1231" s="187"/>
      <c r="B1231" s="192"/>
      <c r="C1231" s="188"/>
      <c r="D1231" s="189"/>
      <c r="E1231" s="190"/>
      <c r="F1231" s="97"/>
      <c r="G1231" s="128"/>
    </row>
    <row r="1232" spans="1:7" x14ac:dyDescent="0.25">
      <c r="A1232" s="187"/>
      <c r="B1232" s="192"/>
      <c r="C1232" s="188"/>
      <c r="D1232" s="189"/>
      <c r="E1232" s="190"/>
      <c r="F1232" s="97"/>
      <c r="G1232" s="128"/>
    </row>
    <row r="1233" spans="1:7" x14ac:dyDescent="0.25">
      <c r="A1233" s="187"/>
      <c r="B1233" s="36"/>
      <c r="C1233" s="188"/>
      <c r="D1233" s="189"/>
      <c r="E1233" s="190"/>
      <c r="F1233" s="97"/>
      <c r="G1233" s="128"/>
    </row>
    <row r="1234" spans="1:7" x14ac:dyDescent="0.25">
      <c r="A1234" s="187"/>
      <c r="B1234" s="192"/>
      <c r="C1234" s="188"/>
      <c r="D1234" s="189"/>
      <c r="E1234" s="190"/>
      <c r="F1234" s="97"/>
      <c r="G1234" s="128"/>
    </row>
    <row r="1235" spans="1:7" x14ac:dyDescent="0.25">
      <c r="A1235" s="39"/>
      <c r="B1235" s="40"/>
      <c r="C1235" s="41"/>
      <c r="D1235" s="42"/>
      <c r="E1235" s="190"/>
      <c r="F1235" s="97"/>
      <c r="G1235" s="128"/>
    </row>
    <row r="1236" spans="1:7" x14ac:dyDescent="0.25">
      <c r="A1236" s="187"/>
      <c r="B1236" s="192"/>
      <c r="C1236" s="188"/>
      <c r="D1236" s="189"/>
      <c r="E1236" s="190"/>
      <c r="F1236" s="97"/>
      <c r="G1236" s="128"/>
    </row>
    <row r="1237" spans="1:7" x14ac:dyDescent="0.25">
      <c r="A1237" s="39"/>
      <c r="B1237" s="40"/>
      <c r="C1237" s="41"/>
      <c r="D1237" s="42"/>
      <c r="E1237" s="190"/>
      <c r="F1237" s="97"/>
      <c r="G1237" s="128"/>
    </row>
    <row r="1238" spans="1:7" x14ac:dyDescent="0.25">
      <c r="A1238" s="187"/>
      <c r="B1238" s="192"/>
      <c r="C1238" s="188"/>
      <c r="D1238" s="189"/>
      <c r="E1238" s="190"/>
      <c r="F1238" s="97"/>
      <c r="G1238" s="128"/>
    </row>
    <row r="1239" spans="1:7" x14ac:dyDescent="0.25">
      <c r="A1239" s="193"/>
      <c r="B1239" s="194"/>
      <c r="C1239" s="195"/>
      <c r="D1239" s="196"/>
      <c r="E1239" s="117"/>
      <c r="F1239" s="98"/>
      <c r="G1239" s="130"/>
    </row>
    <row r="1240" spans="1:7" x14ac:dyDescent="0.25">
      <c r="A1240" s="197"/>
      <c r="B1240" s="198"/>
      <c r="C1240" s="199" t="s">
        <v>51</v>
      </c>
      <c r="D1240" s="199"/>
      <c r="E1240" s="200" t="s">
        <v>50</v>
      </c>
      <c r="F1240" s="99">
        <f>SUM(F1200:F1235)</f>
        <v>33453.279999999999</v>
      </c>
      <c r="G1240" s="131"/>
    </row>
    <row r="1241" spans="1:7" x14ac:dyDescent="0.25">
      <c r="A1241" s="197"/>
      <c r="B1241" s="198"/>
      <c r="C1241" s="201"/>
      <c r="D1241" s="202"/>
      <c r="E1241" s="118"/>
      <c r="F1241" s="100"/>
      <c r="G1241" s="132"/>
    </row>
    <row r="1242" spans="1:7" x14ac:dyDescent="0.25">
      <c r="A1242" s="187"/>
      <c r="B1242" s="192"/>
      <c r="C1242" s="188"/>
      <c r="D1242" s="189"/>
      <c r="E1242" s="190"/>
      <c r="F1242" s="97"/>
      <c r="G1242" s="128"/>
    </row>
    <row r="1243" spans="1:7" ht="27.6" x14ac:dyDescent="0.25">
      <c r="A1243" s="187"/>
      <c r="B1243" s="36" t="s">
        <v>745</v>
      </c>
      <c r="C1243" s="188"/>
      <c r="D1243" s="189"/>
      <c r="E1243" s="190"/>
      <c r="F1243" s="97"/>
      <c r="G1243" s="128"/>
    </row>
    <row r="1244" spans="1:7" x14ac:dyDescent="0.25">
      <c r="A1244" s="187"/>
      <c r="B1244" s="191"/>
      <c r="C1244" s="188"/>
      <c r="D1244" s="189"/>
      <c r="E1244" s="190"/>
      <c r="F1244" s="97"/>
      <c r="G1244" s="128"/>
    </row>
    <row r="1245" spans="1:7" ht="55.2" x14ac:dyDescent="0.25">
      <c r="A1245" s="39"/>
      <c r="B1245" s="52" t="s">
        <v>760</v>
      </c>
      <c r="C1245" s="41"/>
      <c r="D1245" s="42"/>
      <c r="E1245" s="190"/>
      <c r="F1245" s="97"/>
      <c r="G1245" s="128"/>
    </row>
    <row r="1246" spans="1:7" x14ac:dyDescent="0.25">
      <c r="A1246" s="187"/>
      <c r="B1246" s="192"/>
      <c r="C1246" s="188"/>
      <c r="D1246" s="189"/>
      <c r="E1246" s="190"/>
      <c r="F1246" s="97"/>
      <c r="G1246" s="128"/>
    </row>
    <row r="1247" spans="1:7" x14ac:dyDescent="0.25">
      <c r="A1247" s="39" t="s">
        <v>3</v>
      </c>
      <c r="B1247" s="40" t="s">
        <v>748</v>
      </c>
      <c r="C1247" s="41"/>
      <c r="D1247" s="42" t="s">
        <v>6</v>
      </c>
      <c r="E1247" s="190"/>
      <c r="F1247" s="97" t="s">
        <v>1194</v>
      </c>
      <c r="G1247" s="128"/>
    </row>
    <row r="1248" spans="1:7" x14ac:dyDescent="0.25">
      <c r="A1248" s="187"/>
      <c r="B1248" s="192"/>
      <c r="C1248" s="188"/>
      <c r="D1248" s="189"/>
      <c r="E1248" s="190"/>
      <c r="F1248" s="97"/>
      <c r="G1248" s="128"/>
    </row>
    <row r="1249" spans="1:7" x14ac:dyDescent="0.25">
      <c r="A1249" s="39" t="s">
        <v>2</v>
      </c>
      <c r="B1249" s="40" t="s">
        <v>749</v>
      </c>
      <c r="C1249" s="41"/>
      <c r="D1249" s="42" t="s">
        <v>6</v>
      </c>
      <c r="E1249" s="190"/>
      <c r="F1249" s="97" t="s">
        <v>1194</v>
      </c>
      <c r="G1249" s="128"/>
    </row>
    <row r="1250" spans="1:7" x14ac:dyDescent="0.25">
      <c r="A1250" s="187"/>
      <c r="B1250" s="192"/>
      <c r="C1250" s="188"/>
      <c r="D1250" s="189"/>
      <c r="E1250" s="190"/>
      <c r="F1250" s="97"/>
      <c r="G1250" s="128"/>
    </row>
    <row r="1251" spans="1:7" x14ac:dyDescent="0.25">
      <c r="A1251" s="39" t="s">
        <v>5</v>
      </c>
      <c r="B1251" s="40" t="s">
        <v>750</v>
      </c>
      <c r="C1251" s="41"/>
      <c r="D1251" s="42" t="s">
        <v>6</v>
      </c>
      <c r="E1251" s="190"/>
      <c r="F1251" s="97" t="s">
        <v>1194</v>
      </c>
      <c r="G1251" s="128"/>
    </row>
    <row r="1252" spans="1:7" x14ac:dyDescent="0.25">
      <c r="A1252" s="187"/>
      <c r="B1252" s="192"/>
      <c r="C1252" s="188"/>
      <c r="D1252" s="189"/>
      <c r="E1252" s="190"/>
      <c r="F1252" s="97"/>
      <c r="G1252" s="128"/>
    </row>
    <row r="1253" spans="1:7" x14ac:dyDescent="0.25">
      <c r="A1253" s="39" t="s">
        <v>8</v>
      </c>
      <c r="B1253" s="40" t="s">
        <v>751</v>
      </c>
      <c r="C1253" s="41"/>
      <c r="D1253" s="42" t="s">
        <v>6</v>
      </c>
      <c r="E1253" s="190"/>
      <c r="F1253" s="97" t="s">
        <v>1194</v>
      </c>
      <c r="G1253" s="128"/>
    </row>
    <row r="1254" spans="1:7" x14ac:dyDescent="0.25">
      <c r="A1254" s="187"/>
      <c r="B1254" s="192"/>
      <c r="C1254" s="188"/>
      <c r="D1254" s="189"/>
      <c r="E1254" s="190"/>
      <c r="F1254" s="97"/>
      <c r="G1254" s="128"/>
    </row>
    <row r="1255" spans="1:7" x14ac:dyDescent="0.25">
      <c r="A1255" s="39" t="s">
        <v>9</v>
      </c>
      <c r="B1255" s="40" t="s">
        <v>752</v>
      </c>
      <c r="C1255" s="41"/>
      <c r="D1255" s="42" t="s">
        <v>6</v>
      </c>
      <c r="E1255" s="190"/>
      <c r="F1255" s="97" t="s">
        <v>1194</v>
      </c>
      <c r="G1255" s="128"/>
    </row>
    <row r="1256" spans="1:7" x14ac:dyDescent="0.25">
      <c r="A1256" s="187"/>
      <c r="B1256" s="192"/>
      <c r="C1256" s="188"/>
      <c r="D1256" s="189"/>
      <c r="E1256" s="190"/>
      <c r="F1256" s="97"/>
      <c r="G1256" s="128"/>
    </row>
    <row r="1257" spans="1:7" x14ac:dyDescent="0.25">
      <c r="A1257" s="39" t="s">
        <v>10</v>
      </c>
      <c r="B1257" s="40" t="s">
        <v>753</v>
      </c>
      <c r="C1257" s="41"/>
      <c r="D1257" s="42" t="s">
        <v>6</v>
      </c>
      <c r="E1257" s="190"/>
      <c r="F1257" s="97" t="s">
        <v>1194</v>
      </c>
      <c r="G1257" s="128"/>
    </row>
    <row r="1258" spans="1:7" x14ac:dyDescent="0.25">
      <c r="A1258" s="187"/>
      <c r="B1258" s="192"/>
      <c r="C1258" s="188"/>
      <c r="D1258" s="189"/>
      <c r="E1258" s="190"/>
      <c r="F1258" s="97"/>
      <c r="G1258" s="128"/>
    </row>
    <row r="1259" spans="1:7" x14ac:dyDescent="0.25">
      <c r="A1259" s="39" t="s">
        <v>12</v>
      </c>
      <c r="B1259" s="40" t="s">
        <v>754</v>
      </c>
      <c r="C1259" s="41"/>
      <c r="D1259" s="42" t="s">
        <v>6</v>
      </c>
      <c r="E1259" s="190"/>
      <c r="F1259" s="97" t="s">
        <v>1194</v>
      </c>
      <c r="G1259" s="128"/>
    </row>
    <row r="1260" spans="1:7" x14ac:dyDescent="0.25">
      <c r="A1260" s="187"/>
      <c r="B1260" s="192"/>
      <c r="C1260" s="188"/>
      <c r="D1260" s="189"/>
      <c r="E1260" s="190"/>
      <c r="F1260" s="97"/>
      <c r="G1260" s="128"/>
    </row>
    <row r="1261" spans="1:7" x14ac:dyDescent="0.25">
      <c r="A1261" s="39" t="s">
        <v>13</v>
      </c>
      <c r="B1261" s="40" t="s">
        <v>755</v>
      </c>
      <c r="C1261" s="41"/>
      <c r="D1261" s="42" t="s">
        <v>6</v>
      </c>
      <c r="E1261" s="190"/>
      <c r="F1261" s="97" t="s">
        <v>1194</v>
      </c>
      <c r="G1261" s="128"/>
    </row>
    <row r="1262" spans="1:7" x14ac:dyDescent="0.25">
      <c r="A1262" s="187"/>
      <c r="B1262" s="192"/>
      <c r="C1262" s="188"/>
      <c r="D1262" s="189"/>
      <c r="E1262" s="190"/>
      <c r="F1262" s="97"/>
      <c r="G1262" s="128"/>
    </row>
    <row r="1263" spans="1:7" x14ac:dyDescent="0.25">
      <c r="A1263" s="39" t="s">
        <v>16</v>
      </c>
      <c r="B1263" s="40" t="s">
        <v>756</v>
      </c>
      <c r="C1263" s="41"/>
      <c r="D1263" s="42" t="s">
        <v>6</v>
      </c>
      <c r="E1263" s="190"/>
      <c r="F1263" s="97" t="s">
        <v>1194</v>
      </c>
      <c r="G1263" s="128"/>
    </row>
    <row r="1264" spans="1:7" x14ac:dyDescent="0.25">
      <c r="A1264" s="187"/>
      <c r="B1264" s="192"/>
      <c r="C1264" s="188"/>
      <c r="D1264" s="189"/>
      <c r="E1264" s="190"/>
      <c r="F1264" s="97"/>
      <c r="G1264" s="128"/>
    </row>
    <row r="1265" spans="1:7" x14ac:dyDescent="0.25">
      <c r="A1265" s="39" t="s">
        <v>17</v>
      </c>
      <c r="B1265" s="40" t="s">
        <v>761</v>
      </c>
      <c r="C1265" s="41"/>
      <c r="D1265" s="42" t="s">
        <v>6</v>
      </c>
      <c r="E1265" s="190"/>
      <c r="F1265" s="97" t="s">
        <v>1194</v>
      </c>
      <c r="G1265" s="128"/>
    </row>
    <row r="1266" spans="1:7" x14ac:dyDescent="0.25">
      <c r="A1266" s="187"/>
      <c r="B1266" s="192"/>
      <c r="C1266" s="188"/>
      <c r="D1266" s="189"/>
      <c r="E1266" s="190"/>
      <c r="F1266" s="97"/>
      <c r="G1266" s="128"/>
    </row>
    <row r="1267" spans="1:7" ht="41.4" x14ac:dyDescent="0.25">
      <c r="A1267" s="39" t="s">
        <v>18</v>
      </c>
      <c r="B1267" s="40" t="s">
        <v>759</v>
      </c>
      <c r="C1267" s="41"/>
      <c r="D1267" s="42" t="s">
        <v>6</v>
      </c>
      <c r="E1267" s="190"/>
      <c r="F1267" s="97" t="s">
        <v>1195</v>
      </c>
      <c r="G1267" s="128"/>
    </row>
    <row r="1268" spans="1:7" x14ac:dyDescent="0.25">
      <c r="A1268" s="187"/>
      <c r="B1268" s="192"/>
      <c r="C1268" s="188"/>
      <c r="D1268" s="189"/>
      <c r="E1268" s="190"/>
      <c r="F1268" s="97"/>
      <c r="G1268" s="128"/>
    </row>
    <row r="1269" spans="1:7" x14ac:dyDescent="0.25">
      <c r="A1269" s="187"/>
      <c r="B1269" s="192"/>
      <c r="C1269" s="188"/>
      <c r="D1269" s="189"/>
      <c r="E1269" s="190"/>
      <c r="F1269" s="97"/>
      <c r="G1269" s="128"/>
    </row>
    <row r="1270" spans="1:7" x14ac:dyDescent="0.25">
      <c r="A1270" s="187"/>
      <c r="B1270" s="192"/>
      <c r="C1270" s="188"/>
      <c r="D1270" s="189"/>
      <c r="E1270" s="190"/>
      <c r="F1270" s="97"/>
      <c r="G1270" s="128"/>
    </row>
    <row r="1271" spans="1:7" x14ac:dyDescent="0.25">
      <c r="A1271" s="187"/>
      <c r="B1271" s="192"/>
      <c r="C1271" s="188"/>
      <c r="D1271" s="189"/>
      <c r="E1271" s="190"/>
      <c r="F1271" s="97"/>
      <c r="G1271" s="128"/>
    </row>
    <row r="1272" spans="1:7" x14ac:dyDescent="0.25">
      <c r="A1272" s="187"/>
      <c r="B1272" s="192"/>
      <c r="C1272" s="188"/>
      <c r="D1272" s="189"/>
      <c r="E1272" s="190"/>
      <c r="F1272" s="97"/>
      <c r="G1272" s="128"/>
    </row>
    <row r="1273" spans="1:7" x14ac:dyDescent="0.25">
      <c r="A1273" s="187"/>
      <c r="B1273" s="192"/>
      <c r="C1273" s="188"/>
      <c r="D1273" s="189"/>
      <c r="E1273" s="190"/>
      <c r="F1273" s="97"/>
      <c r="G1273" s="128"/>
    </row>
    <row r="1274" spans="1:7" x14ac:dyDescent="0.25">
      <c r="A1274" s="187"/>
      <c r="B1274" s="192"/>
      <c r="C1274" s="188"/>
      <c r="D1274" s="189"/>
      <c r="E1274" s="190"/>
      <c r="F1274" s="97"/>
      <c r="G1274" s="128"/>
    </row>
    <row r="1275" spans="1:7" x14ac:dyDescent="0.25">
      <c r="A1275" s="187"/>
      <c r="B1275" s="36"/>
      <c r="C1275" s="188"/>
      <c r="D1275" s="189"/>
      <c r="E1275" s="190"/>
      <c r="F1275" s="97"/>
      <c r="G1275" s="128"/>
    </row>
    <row r="1276" spans="1:7" x14ac:dyDescent="0.25">
      <c r="A1276" s="187"/>
      <c r="B1276" s="192"/>
      <c r="C1276" s="188"/>
      <c r="D1276" s="189"/>
      <c r="E1276" s="190"/>
      <c r="F1276" s="97"/>
      <c r="G1276" s="128"/>
    </row>
    <row r="1277" spans="1:7" x14ac:dyDescent="0.25">
      <c r="A1277" s="39"/>
      <c r="B1277" s="40"/>
      <c r="C1277" s="41"/>
      <c r="D1277" s="42"/>
      <c r="E1277" s="190"/>
      <c r="F1277" s="97"/>
      <c r="G1277" s="128"/>
    </row>
    <row r="1278" spans="1:7" x14ac:dyDescent="0.25">
      <c r="A1278" s="187"/>
      <c r="B1278" s="192"/>
      <c r="C1278" s="188"/>
      <c r="D1278" s="189"/>
      <c r="E1278" s="190"/>
      <c r="F1278" s="97"/>
      <c r="G1278" s="128"/>
    </row>
    <row r="1279" spans="1:7" x14ac:dyDescent="0.25">
      <c r="A1279" s="39"/>
      <c r="B1279" s="40"/>
      <c r="C1279" s="41"/>
      <c r="D1279" s="42"/>
      <c r="E1279" s="190"/>
      <c r="F1279" s="97"/>
      <c r="G1279" s="128"/>
    </row>
    <row r="1280" spans="1:7" x14ac:dyDescent="0.25">
      <c r="A1280" s="187"/>
      <c r="B1280" s="192"/>
      <c r="C1280" s="188"/>
      <c r="D1280" s="189"/>
      <c r="E1280" s="190"/>
      <c r="F1280" s="97"/>
      <c r="G1280" s="128"/>
    </row>
    <row r="1281" spans="1:7" x14ac:dyDescent="0.25">
      <c r="A1281" s="39"/>
      <c r="B1281" s="40"/>
      <c r="C1281" s="41"/>
      <c r="D1281" s="42"/>
      <c r="E1281" s="190"/>
      <c r="F1281" s="97"/>
      <c r="G1281" s="128"/>
    </row>
    <row r="1282" spans="1:7" x14ac:dyDescent="0.25">
      <c r="A1282" s="187"/>
      <c r="B1282" s="192"/>
      <c r="C1282" s="188"/>
      <c r="D1282" s="189"/>
      <c r="E1282" s="190"/>
      <c r="F1282" s="97"/>
      <c r="G1282" s="128"/>
    </row>
    <row r="1283" spans="1:7" x14ac:dyDescent="0.25">
      <c r="A1283" s="39"/>
      <c r="B1283" s="40"/>
      <c r="C1283" s="41"/>
      <c r="D1283" s="42"/>
      <c r="E1283" s="190"/>
      <c r="F1283" s="97"/>
      <c r="G1283" s="128"/>
    </row>
    <row r="1284" spans="1:7" x14ac:dyDescent="0.25">
      <c r="A1284" s="193"/>
      <c r="B1284" s="194"/>
      <c r="C1284" s="195"/>
      <c r="D1284" s="196"/>
      <c r="E1284" s="117"/>
      <c r="F1284" s="98"/>
      <c r="G1284" s="130"/>
    </row>
    <row r="1285" spans="1:7" x14ac:dyDescent="0.25">
      <c r="A1285" s="197"/>
      <c r="B1285" s="198"/>
      <c r="C1285" s="199" t="s">
        <v>51</v>
      </c>
      <c r="D1285" s="199"/>
      <c r="E1285" s="200" t="s">
        <v>50</v>
      </c>
      <c r="F1285" s="99">
        <f>SUM(F1243:F1276)</f>
        <v>0</v>
      </c>
      <c r="G1285" s="131"/>
    </row>
    <row r="1286" spans="1:7" x14ac:dyDescent="0.25">
      <c r="A1286" s="197"/>
      <c r="B1286" s="198"/>
      <c r="C1286" s="201"/>
      <c r="D1286" s="202"/>
      <c r="E1286" s="118"/>
      <c r="F1286" s="100"/>
      <c r="G1286" s="132"/>
    </row>
    <row r="1287" spans="1:7" x14ac:dyDescent="0.25">
      <c r="A1287" s="39"/>
      <c r="B1287" s="40"/>
      <c r="C1287" s="41"/>
      <c r="D1287" s="42"/>
      <c r="E1287" s="190"/>
      <c r="F1287" s="97"/>
      <c r="G1287" s="128"/>
    </row>
    <row r="1288" spans="1:7" x14ac:dyDescent="0.25">
      <c r="A1288" s="187"/>
      <c r="B1288" s="36" t="s">
        <v>762</v>
      </c>
      <c r="C1288" s="188"/>
      <c r="D1288" s="189"/>
      <c r="E1288" s="190"/>
      <c r="F1288" s="97"/>
      <c r="G1288" s="128"/>
    </row>
    <row r="1289" spans="1:7" x14ac:dyDescent="0.25">
      <c r="A1289" s="187"/>
      <c r="B1289" s="192"/>
      <c r="C1289" s="188"/>
      <c r="D1289" s="189"/>
      <c r="E1289" s="190"/>
      <c r="F1289" s="97"/>
      <c r="G1289" s="128"/>
    </row>
    <row r="1290" spans="1:7" ht="27.6" x14ac:dyDescent="0.25">
      <c r="A1290" s="39" t="s">
        <v>3</v>
      </c>
      <c r="B1290" s="40" t="s">
        <v>763</v>
      </c>
      <c r="C1290" s="41"/>
      <c r="D1290" s="42" t="s">
        <v>6</v>
      </c>
      <c r="E1290" s="190">
        <v>318446.34000000003</v>
      </c>
      <c r="F1290" s="97">
        <f>+E1290</f>
        <v>318446.34000000003</v>
      </c>
      <c r="G1290" s="128"/>
    </row>
    <row r="1291" spans="1:7" x14ac:dyDescent="0.25">
      <c r="A1291" s="39"/>
      <c r="B1291" s="40"/>
      <c r="C1291" s="41"/>
      <c r="D1291" s="42"/>
      <c r="E1291" s="190"/>
      <c r="F1291" s="97"/>
      <c r="G1291" s="128"/>
    </row>
    <row r="1292" spans="1:7" x14ac:dyDescent="0.25">
      <c r="A1292" s="187"/>
      <c r="B1292" s="192"/>
      <c r="C1292" s="188"/>
      <c r="D1292" s="189"/>
      <c r="E1292" s="190"/>
      <c r="F1292" s="97"/>
      <c r="G1292" s="128"/>
    </row>
    <row r="1293" spans="1:7" x14ac:dyDescent="0.25">
      <c r="A1293" s="39"/>
      <c r="B1293" s="40"/>
      <c r="C1293" s="41"/>
      <c r="D1293" s="42"/>
      <c r="E1293" s="190"/>
      <c r="F1293" s="97"/>
      <c r="G1293" s="128"/>
    </row>
    <row r="1294" spans="1:7" x14ac:dyDescent="0.25">
      <c r="A1294" s="187"/>
      <c r="B1294" s="192"/>
      <c r="C1294" s="188"/>
      <c r="D1294" s="189"/>
      <c r="E1294" s="190"/>
      <c r="F1294" s="97"/>
      <c r="G1294" s="128"/>
    </row>
    <row r="1295" spans="1:7" x14ac:dyDescent="0.25">
      <c r="A1295" s="39"/>
      <c r="B1295" s="40"/>
      <c r="C1295" s="41"/>
      <c r="D1295" s="42"/>
      <c r="E1295" s="190"/>
      <c r="F1295" s="97"/>
      <c r="G1295" s="128"/>
    </row>
    <row r="1296" spans="1:7" x14ac:dyDescent="0.25">
      <c r="A1296" s="187"/>
      <c r="B1296" s="192"/>
      <c r="C1296" s="188"/>
      <c r="D1296" s="189"/>
      <c r="E1296" s="190"/>
      <c r="F1296" s="97"/>
      <c r="G1296" s="128"/>
    </row>
    <row r="1297" spans="1:7" x14ac:dyDescent="0.25">
      <c r="A1297" s="39"/>
      <c r="B1297" s="40"/>
      <c r="C1297" s="41"/>
      <c r="D1297" s="42"/>
      <c r="E1297" s="190"/>
      <c r="F1297" s="97"/>
      <c r="G1297" s="128"/>
    </row>
    <row r="1298" spans="1:7" x14ac:dyDescent="0.25">
      <c r="A1298" s="187"/>
      <c r="B1298" s="192"/>
      <c r="C1298" s="188"/>
      <c r="D1298" s="189"/>
      <c r="E1298" s="190"/>
      <c r="F1298" s="97"/>
      <c r="G1298" s="128"/>
    </row>
    <row r="1299" spans="1:7" x14ac:dyDescent="0.25">
      <c r="A1299" s="39"/>
      <c r="B1299" s="40"/>
      <c r="C1299" s="41"/>
      <c r="D1299" s="42"/>
      <c r="E1299" s="190"/>
      <c r="F1299" s="97"/>
      <c r="G1299" s="128"/>
    </row>
    <row r="1300" spans="1:7" x14ac:dyDescent="0.25">
      <c r="A1300" s="187"/>
      <c r="B1300" s="192"/>
      <c r="C1300" s="188"/>
      <c r="D1300" s="189"/>
      <c r="E1300" s="190"/>
      <c r="F1300" s="97"/>
      <c r="G1300" s="128"/>
    </row>
    <row r="1301" spans="1:7" x14ac:dyDescent="0.25">
      <c r="A1301" s="39"/>
      <c r="B1301" s="40"/>
      <c r="C1301" s="41"/>
      <c r="D1301" s="42"/>
      <c r="E1301" s="190"/>
      <c r="F1301" s="97"/>
      <c r="G1301" s="128"/>
    </row>
    <row r="1302" spans="1:7" x14ac:dyDescent="0.25">
      <c r="A1302" s="187"/>
      <c r="B1302" s="192"/>
      <c r="C1302" s="188"/>
      <c r="D1302" s="189"/>
      <c r="E1302" s="190"/>
      <c r="F1302" s="97"/>
      <c r="G1302" s="128"/>
    </row>
    <row r="1303" spans="1:7" x14ac:dyDescent="0.25">
      <c r="A1303" s="39"/>
      <c r="B1303" s="40"/>
      <c r="C1303" s="41"/>
      <c r="D1303" s="42"/>
      <c r="E1303" s="190"/>
      <c r="F1303" s="97"/>
      <c r="G1303" s="128"/>
    </row>
    <row r="1304" spans="1:7" x14ac:dyDescent="0.25">
      <c r="A1304" s="187"/>
      <c r="B1304" s="192"/>
      <c r="C1304" s="188"/>
      <c r="D1304" s="189"/>
      <c r="E1304" s="190"/>
      <c r="F1304" s="97"/>
      <c r="G1304" s="128"/>
    </row>
    <row r="1305" spans="1:7" x14ac:dyDescent="0.25">
      <c r="A1305" s="39"/>
      <c r="B1305" s="40"/>
      <c r="C1305" s="41"/>
      <c r="D1305" s="42"/>
      <c r="E1305" s="190"/>
      <c r="F1305" s="97"/>
      <c r="G1305" s="128"/>
    </row>
    <row r="1306" spans="1:7" x14ac:dyDescent="0.25">
      <c r="A1306" s="187"/>
      <c r="B1306" s="192"/>
      <c r="C1306" s="188"/>
      <c r="D1306" s="189"/>
      <c r="E1306" s="190"/>
      <c r="F1306" s="97"/>
      <c r="G1306" s="128"/>
    </row>
    <row r="1307" spans="1:7" x14ac:dyDescent="0.25">
      <c r="A1307" s="39"/>
      <c r="B1307" s="40"/>
      <c r="C1307" s="41"/>
      <c r="D1307" s="42"/>
      <c r="E1307" s="190"/>
      <c r="F1307" s="97"/>
      <c r="G1307" s="128"/>
    </row>
    <row r="1308" spans="1:7" x14ac:dyDescent="0.25">
      <c r="A1308" s="187"/>
      <c r="B1308" s="192"/>
      <c r="C1308" s="188"/>
      <c r="D1308" s="189"/>
      <c r="E1308" s="190"/>
      <c r="F1308" s="97"/>
      <c r="G1308" s="128"/>
    </row>
    <row r="1309" spans="1:7" x14ac:dyDescent="0.25">
      <c r="A1309" s="39"/>
      <c r="B1309" s="40"/>
      <c r="C1309" s="41"/>
      <c r="D1309" s="42"/>
      <c r="E1309" s="190"/>
      <c r="F1309" s="97"/>
      <c r="G1309" s="128"/>
    </row>
    <row r="1310" spans="1:7" x14ac:dyDescent="0.25">
      <c r="A1310" s="187"/>
      <c r="B1310" s="192"/>
      <c r="C1310" s="188"/>
      <c r="D1310" s="189"/>
      <c r="E1310" s="190"/>
      <c r="F1310" s="97"/>
      <c r="G1310" s="128"/>
    </row>
    <row r="1311" spans="1:7" x14ac:dyDescent="0.25">
      <c r="A1311" s="39"/>
      <c r="B1311" s="40"/>
      <c r="C1311" s="41"/>
      <c r="D1311" s="42"/>
      <c r="E1311" s="190"/>
      <c r="F1311" s="97"/>
      <c r="G1311" s="128"/>
    </row>
    <row r="1312" spans="1:7" x14ac:dyDescent="0.25">
      <c r="A1312" s="187"/>
      <c r="B1312" s="192"/>
      <c r="C1312" s="188"/>
      <c r="D1312" s="189"/>
      <c r="E1312" s="190"/>
      <c r="F1312" s="97"/>
      <c r="G1312" s="128"/>
    </row>
    <row r="1313" spans="1:7" x14ac:dyDescent="0.25">
      <c r="A1313" s="39"/>
      <c r="B1313" s="40"/>
      <c r="C1313" s="41"/>
      <c r="D1313" s="42"/>
      <c r="E1313" s="190"/>
      <c r="F1313" s="97"/>
      <c r="G1313" s="128"/>
    </row>
    <row r="1314" spans="1:7" x14ac:dyDescent="0.25">
      <c r="A1314" s="187"/>
      <c r="B1314" s="192"/>
      <c r="C1314" s="188"/>
      <c r="D1314" s="189"/>
      <c r="E1314" s="190"/>
      <c r="F1314" s="97"/>
      <c r="G1314" s="128"/>
    </row>
    <row r="1315" spans="1:7" x14ac:dyDescent="0.25">
      <c r="A1315" s="187"/>
      <c r="B1315" s="192"/>
      <c r="C1315" s="188"/>
      <c r="D1315" s="189"/>
      <c r="E1315" s="190"/>
      <c r="F1315" s="97"/>
      <c r="G1315" s="128"/>
    </row>
    <row r="1316" spans="1:7" x14ac:dyDescent="0.25">
      <c r="A1316" s="187"/>
      <c r="B1316" s="192"/>
      <c r="C1316" s="188"/>
      <c r="D1316" s="189"/>
      <c r="E1316" s="190"/>
      <c r="F1316" s="97"/>
      <c r="G1316" s="128"/>
    </row>
    <row r="1317" spans="1:7" x14ac:dyDescent="0.25">
      <c r="A1317" s="187"/>
      <c r="B1317" s="192"/>
      <c r="C1317" s="188"/>
      <c r="D1317" s="189"/>
      <c r="E1317" s="190"/>
      <c r="F1317" s="97"/>
      <c r="G1317" s="128"/>
    </row>
    <row r="1318" spans="1:7" x14ac:dyDescent="0.25">
      <c r="A1318" s="187"/>
      <c r="B1318" s="192"/>
      <c r="C1318" s="188"/>
      <c r="D1318" s="189"/>
      <c r="E1318" s="190"/>
      <c r="F1318" s="97"/>
      <c r="G1318" s="128"/>
    </row>
    <row r="1319" spans="1:7" x14ac:dyDescent="0.25">
      <c r="A1319" s="187"/>
      <c r="B1319" s="192"/>
      <c r="C1319" s="188"/>
      <c r="D1319" s="189"/>
      <c r="E1319" s="190"/>
      <c r="F1319" s="97"/>
      <c r="G1319" s="128"/>
    </row>
    <row r="1320" spans="1:7" x14ac:dyDescent="0.25">
      <c r="A1320" s="187"/>
      <c r="B1320" s="192"/>
      <c r="C1320" s="188"/>
      <c r="D1320" s="189"/>
      <c r="E1320" s="190"/>
      <c r="F1320" s="97"/>
      <c r="G1320" s="128"/>
    </row>
    <row r="1321" spans="1:7" x14ac:dyDescent="0.25">
      <c r="A1321" s="187"/>
      <c r="B1321" s="192"/>
      <c r="C1321" s="188"/>
      <c r="D1321" s="189"/>
      <c r="E1321" s="190"/>
      <c r="F1321" s="97"/>
      <c r="G1321" s="128"/>
    </row>
    <row r="1322" spans="1:7" x14ac:dyDescent="0.25">
      <c r="A1322" s="187"/>
      <c r="B1322" s="192"/>
      <c r="C1322" s="188"/>
      <c r="D1322" s="189"/>
      <c r="E1322" s="190"/>
      <c r="F1322" s="97"/>
      <c r="G1322" s="128"/>
    </row>
    <row r="1323" spans="1:7" x14ac:dyDescent="0.25">
      <c r="A1323" s="187"/>
      <c r="B1323" s="192"/>
      <c r="C1323" s="188"/>
      <c r="D1323" s="189"/>
      <c r="E1323" s="190"/>
      <c r="F1323" s="97"/>
      <c r="G1323" s="128"/>
    </row>
    <row r="1324" spans="1:7" x14ac:dyDescent="0.25">
      <c r="A1324" s="187"/>
      <c r="B1324" s="192"/>
      <c r="C1324" s="188"/>
      <c r="D1324" s="189"/>
      <c r="E1324" s="190"/>
      <c r="F1324" s="97"/>
      <c r="G1324" s="128"/>
    </row>
    <row r="1325" spans="1:7" x14ac:dyDescent="0.25">
      <c r="A1325" s="187"/>
      <c r="B1325" s="36"/>
      <c r="C1325" s="188"/>
      <c r="D1325" s="189"/>
      <c r="E1325" s="190"/>
      <c r="F1325" s="97"/>
      <c r="G1325" s="128"/>
    </row>
    <row r="1326" spans="1:7" x14ac:dyDescent="0.25">
      <c r="A1326" s="187"/>
      <c r="B1326" s="192"/>
      <c r="C1326" s="188"/>
      <c r="D1326" s="189"/>
      <c r="E1326" s="190"/>
      <c r="F1326" s="97"/>
      <c r="G1326" s="128"/>
    </row>
    <row r="1327" spans="1:7" x14ac:dyDescent="0.25">
      <c r="A1327" s="39"/>
      <c r="B1327" s="40"/>
      <c r="C1327" s="41"/>
      <c r="D1327" s="42"/>
      <c r="E1327" s="190"/>
      <c r="F1327" s="97"/>
      <c r="G1327" s="128"/>
    </row>
    <row r="1328" spans="1:7" x14ac:dyDescent="0.25">
      <c r="A1328" s="39"/>
      <c r="B1328" s="40"/>
      <c r="C1328" s="41"/>
      <c r="D1328" s="42"/>
      <c r="E1328" s="190"/>
      <c r="F1328" s="97"/>
      <c r="G1328" s="128"/>
    </row>
    <row r="1329" spans="1:7" x14ac:dyDescent="0.25">
      <c r="A1329" s="187"/>
      <c r="B1329" s="192"/>
      <c r="C1329" s="188"/>
      <c r="D1329" s="189"/>
      <c r="E1329" s="190"/>
      <c r="F1329" s="97"/>
      <c r="G1329" s="128"/>
    </row>
    <row r="1330" spans="1:7" x14ac:dyDescent="0.25">
      <c r="A1330" s="39"/>
      <c r="B1330" s="40"/>
      <c r="C1330" s="41"/>
      <c r="D1330" s="42"/>
      <c r="E1330" s="190"/>
      <c r="F1330" s="97"/>
      <c r="G1330" s="128"/>
    </row>
    <row r="1331" spans="1:7" x14ac:dyDescent="0.25">
      <c r="A1331" s="187"/>
      <c r="B1331" s="192"/>
      <c r="C1331" s="188"/>
      <c r="D1331" s="189"/>
      <c r="E1331" s="190"/>
      <c r="F1331" s="97"/>
      <c r="G1331" s="128"/>
    </row>
    <row r="1332" spans="1:7" x14ac:dyDescent="0.25">
      <c r="A1332" s="39"/>
      <c r="B1332" s="40"/>
      <c r="C1332" s="41"/>
      <c r="D1332" s="42"/>
      <c r="E1332" s="190"/>
      <c r="F1332" s="97"/>
      <c r="G1332" s="128"/>
    </row>
    <row r="1333" spans="1:7" x14ac:dyDescent="0.25">
      <c r="A1333" s="187"/>
      <c r="B1333" s="192"/>
      <c r="C1333" s="188"/>
      <c r="D1333" s="189"/>
      <c r="E1333" s="190"/>
      <c r="F1333" s="97"/>
      <c r="G1333" s="128"/>
    </row>
    <row r="1334" spans="1:7" x14ac:dyDescent="0.25">
      <c r="A1334" s="193"/>
      <c r="B1334" s="194"/>
      <c r="C1334" s="195"/>
      <c r="D1334" s="196"/>
      <c r="E1334" s="117"/>
      <c r="F1334" s="98"/>
      <c r="G1334" s="130"/>
    </row>
    <row r="1335" spans="1:7" x14ac:dyDescent="0.25">
      <c r="A1335" s="197"/>
      <c r="B1335" s="198"/>
      <c r="C1335" s="199" t="s">
        <v>51</v>
      </c>
      <c r="D1335" s="199"/>
      <c r="E1335" s="200" t="s">
        <v>50</v>
      </c>
      <c r="F1335" s="99">
        <f>SUM(F1288:F1311)</f>
        <v>318446.34000000003</v>
      </c>
      <c r="G1335" s="131"/>
    </row>
    <row r="1336" spans="1:7" x14ac:dyDescent="0.25">
      <c r="A1336" s="197"/>
      <c r="B1336" s="198"/>
      <c r="C1336" s="201"/>
      <c r="D1336" s="202"/>
      <c r="E1336" s="118"/>
      <c r="F1336" s="100"/>
      <c r="G1336" s="132"/>
    </row>
    <row r="1337" spans="1:7" x14ac:dyDescent="0.25">
      <c r="A1337" s="39"/>
      <c r="B1337" s="40"/>
      <c r="C1337" s="41"/>
      <c r="D1337" s="42"/>
      <c r="E1337" s="190"/>
      <c r="F1337" s="97"/>
      <c r="G1337" s="128"/>
    </row>
    <row r="1338" spans="1:7" x14ac:dyDescent="0.25">
      <c r="A1338" s="187"/>
      <c r="B1338" s="36" t="s">
        <v>20</v>
      </c>
      <c r="C1338" s="188"/>
      <c r="D1338" s="189"/>
      <c r="E1338" s="190"/>
      <c r="F1338" s="97"/>
      <c r="G1338" s="128"/>
    </row>
    <row r="1339" spans="1:7" x14ac:dyDescent="0.25">
      <c r="A1339" s="187"/>
      <c r="B1339" s="192"/>
      <c r="C1339" s="188"/>
      <c r="D1339" s="189"/>
      <c r="E1339" s="190"/>
      <c r="F1339" s="97"/>
      <c r="G1339" s="128"/>
    </row>
    <row r="1340" spans="1:7" ht="82.8" x14ac:dyDescent="0.25">
      <c r="A1340" s="39" t="s">
        <v>3</v>
      </c>
      <c r="B1340" s="40" t="s">
        <v>764</v>
      </c>
      <c r="C1340" s="41"/>
      <c r="D1340" s="42" t="s">
        <v>6</v>
      </c>
      <c r="E1340" s="190"/>
      <c r="F1340" s="97">
        <f>C1340*E1340</f>
        <v>0</v>
      </c>
      <c r="G1340" s="128"/>
    </row>
    <row r="1341" spans="1:7" x14ac:dyDescent="0.25">
      <c r="A1341" s="39"/>
      <c r="B1341" s="40"/>
      <c r="C1341" s="41"/>
      <c r="D1341" s="42"/>
      <c r="E1341" s="190"/>
      <c r="F1341" s="97"/>
      <c r="G1341" s="128"/>
    </row>
    <row r="1342" spans="1:7" ht="14.4" x14ac:dyDescent="0.25">
      <c r="A1342" s="204"/>
      <c r="B1342" s="233" t="s">
        <v>1196</v>
      </c>
      <c r="C1342" s="206"/>
      <c r="D1342" s="207"/>
      <c r="E1342" s="190"/>
      <c r="F1342" s="97"/>
      <c r="G1342" s="128"/>
    </row>
    <row r="1343" spans="1:7" x14ac:dyDescent="0.25">
      <c r="A1343" s="55"/>
      <c r="B1343" s="59"/>
      <c r="C1343" s="57"/>
      <c r="D1343" s="58"/>
      <c r="E1343" s="190"/>
      <c r="F1343" s="97"/>
      <c r="G1343" s="128"/>
    </row>
    <row r="1344" spans="1:7" x14ac:dyDescent="0.25">
      <c r="A1344" s="204" t="s">
        <v>3</v>
      </c>
      <c r="B1344" s="205" t="s">
        <v>1197</v>
      </c>
      <c r="C1344" s="206">
        <v>1</v>
      </c>
      <c r="D1344" s="42" t="s">
        <v>6</v>
      </c>
      <c r="E1344" s="190">
        <v>256043.16</v>
      </c>
      <c r="F1344" s="97">
        <f>C1344*E1344</f>
        <v>256043.16</v>
      </c>
      <c r="G1344" s="128"/>
    </row>
    <row r="1345" spans="1:7" x14ac:dyDescent="0.25">
      <c r="A1345" s="55"/>
      <c r="B1345" s="59"/>
      <c r="C1345" s="57"/>
      <c r="D1345" s="58"/>
      <c r="E1345" s="190"/>
      <c r="F1345" s="97"/>
      <c r="G1345" s="128"/>
    </row>
    <row r="1346" spans="1:7" ht="14.4" x14ac:dyDescent="0.25">
      <c r="A1346" s="204"/>
      <c r="B1346" s="233" t="s">
        <v>1204</v>
      </c>
      <c r="C1346" s="206"/>
      <c r="D1346" s="207"/>
      <c r="E1346" s="190"/>
      <c r="F1346" s="97"/>
      <c r="G1346" s="128"/>
    </row>
    <row r="1347" spans="1:7" x14ac:dyDescent="0.25">
      <c r="A1347" s="55"/>
      <c r="B1347" s="59"/>
      <c r="C1347" s="57"/>
      <c r="D1347" s="58"/>
      <c r="E1347" s="190"/>
      <c r="F1347" s="97"/>
      <c r="G1347" s="128"/>
    </row>
    <row r="1348" spans="1:7" x14ac:dyDescent="0.25">
      <c r="A1348" s="204" t="s">
        <v>2</v>
      </c>
      <c r="B1348" s="205" t="s">
        <v>1205</v>
      </c>
      <c r="C1348" s="206">
        <v>1</v>
      </c>
      <c r="D1348" s="207" t="s">
        <v>6</v>
      </c>
      <c r="E1348" s="190">
        <v>0</v>
      </c>
      <c r="F1348" s="97" t="s">
        <v>1194</v>
      </c>
      <c r="G1348" s="128"/>
    </row>
    <row r="1349" spans="1:7" x14ac:dyDescent="0.25">
      <c r="A1349" s="55"/>
      <c r="B1349" s="59"/>
      <c r="C1349" s="57"/>
      <c r="D1349" s="58"/>
      <c r="E1349" s="190"/>
      <c r="F1349" s="97"/>
      <c r="G1349" s="128"/>
    </row>
    <row r="1350" spans="1:7" x14ac:dyDescent="0.25">
      <c r="A1350" s="204"/>
      <c r="B1350" s="234" t="s">
        <v>1208</v>
      </c>
      <c r="C1350" s="206"/>
      <c r="D1350" s="207"/>
      <c r="E1350" s="190"/>
      <c r="F1350" s="97"/>
      <c r="G1350" s="128"/>
    </row>
    <row r="1351" spans="1:7" x14ac:dyDescent="0.25">
      <c r="A1351" s="55"/>
      <c r="B1351" s="59"/>
      <c r="C1351" s="57"/>
      <c r="D1351" s="58"/>
      <c r="E1351" s="190"/>
      <c r="F1351" s="97"/>
      <c r="G1351" s="128"/>
    </row>
    <row r="1352" spans="1:7" ht="26.4" x14ac:dyDescent="0.25">
      <c r="A1352" s="204" t="s">
        <v>5</v>
      </c>
      <c r="B1352" s="221" t="s">
        <v>1209</v>
      </c>
      <c r="C1352" s="206">
        <v>1</v>
      </c>
      <c r="D1352" s="207" t="s">
        <v>6</v>
      </c>
      <c r="E1352" s="190">
        <v>2443101.89</v>
      </c>
      <c r="F1352" s="97">
        <f>C1352*E1352</f>
        <v>2443101.89</v>
      </c>
      <c r="G1352" s="128"/>
    </row>
    <row r="1353" spans="1:7" x14ac:dyDescent="0.25">
      <c r="A1353" s="55"/>
      <c r="B1353" s="59"/>
      <c r="C1353" s="57"/>
      <c r="D1353" s="58"/>
      <c r="E1353" s="190"/>
      <c r="F1353" s="97"/>
      <c r="G1353" s="128"/>
    </row>
    <row r="1354" spans="1:7" x14ac:dyDescent="0.25">
      <c r="A1354" s="204"/>
      <c r="B1354" s="205"/>
      <c r="C1354" s="206"/>
      <c r="D1354" s="207"/>
      <c r="E1354" s="190"/>
      <c r="F1354" s="97"/>
      <c r="G1354" s="128"/>
    </row>
    <row r="1355" spans="1:7" x14ac:dyDescent="0.25">
      <c r="A1355" s="55"/>
      <c r="B1355" s="59"/>
      <c r="C1355" s="57"/>
      <c r="D1355" s="58"/>
      <c r="E1355" s="190"/>
      <c r="F1355" s="97"/>
      <c r="G1355" s="128"/>
    </row>
    <row r="1356" spans="1:7" x14ac:dyDescent="0.25">
      <c r="A1356" s="204"/>
      <c r="B1356" s="205"/>
      <c r="C1356" s="206"/>
      <c r="D1356" s="207"/>
      <c r="E1356" s="190"/>
      <c r="F1356" s="97"/>
      <c r="G1356" s="128"/>
    </row>
    <row r="1357" spans="1:7" x14ac:dyDescent="0.25">
      <c r="A1357" s="55"/>
      <c r="B1357" s="59"/>
      <c r="C1357" s="57"/>
      <c r="D1357" s="58"/>
      <c r="E1357" s="190"/>
      <c r="F1357" s="97"/>
      <c r="G1357" s="128"/>
    </row>
    <row r="1358" spans="1:7" x14ac:dyDescent="0.25">
      <c r="A1358" s="204"/>
      <c r="B1358" s="205"/>
      <c r="C1358" s="206"/>
      <c r="D1358" s="207"/>
      <c r="E1358" s="190"/>
      <c r="F1358" s="97"/>
      <c r="G1358" s="128"/>
    </row>
    <row r="1359" spans="1:7" x14ac:dyDescent="0.25">
      <c r="A1359" s="55"/>
      <c r="B1359" s="59"/>
      <c r="C1359" s="57"/>
      <c r="D1359" s="58"/>
      <c r="E1359" s="190"/>
      <c r="F1359" s="97"/>
      <c r="G1359" s="128"/>
    </row>
    <row r="1360" spans="1:7" x14ac:dyDescent="0.25">
      <c r="A1360" s="204"/>
      <c r="B1360" s="205"/>
      <c r="C1360" s="206"/>
      <c r="D1360" s="207"/>
      <c r="E1360" s="190"/>
      <c r="F1360" s="97"/>
      <c r="G1360" s="128"/>
    </row>
    <row r="1361" spans="1:7" x14ac:dyDescent="0.25">
      <c r="A1361" s="55"/>
      <c r="B1361" s="59"/>
      <c r="C1361" s="57"/>
      <c r="D1361" s="58"/>
      <c r="E1361" s="190"/>
      <c r="F1361" s="97"/>
      <c r="G1361" s="128"/>
    </row>
    <row r="1362" spans="1:7" x14ac:dyDescent="0.25">
      <c r="A1362" s="204"/>
      <c r="B1362" s="205"/>
      <c r="C1362" s="206"/>
      <c r="D1362" s="207"/>
      <c r="E1362" s="190"/>
      <c r="F1362" s="97"/>
      <c r="G1362" s="128"/>
    </row>
    <row r="1363" spans="1:7" x14ac:dyDescent="0.25">
      <c r="A1363" s="55"/>
      <c r="B1363" s="59"/>
      <c r="C1363" s="57"/>
      <c r="D1363" s="58"/>
      <c r="E1363" s="190"/>
      <c r="F1363" s="97"/>
      <c r="G1363" s="128"/>
    </row>
    <row r="1364" spans="1:7" x14ac:dyDescent="0.25">
      <c r="A1364" s="204"/>
      <c r="B1364" s="205"/>
      <c r="C1364" s="206"/>
      <c r="D1364" s="207"/>
      <c r="E1364" s="190"/>
      <c r="F1364" s="97"/>
      <c r="G1364" s="128"/>
    </row>
    <row r="1365" spans="1:7" x14ac:dyDescent="0.25">
      <c r="A1365" s="204"/>
      <c r="B1365" s="205"/>
      <c r="C1365" s="206"/>
      <c r="D1365" s="207"/>
      <c r="E1365" s="190"/>
      <c r="F1365" s="97"/>
      <c r="G1365" s="128"/>
    </row>
    <row r="1366" spans="1:7" x14ac:dyDescent="0.25">
      <c r="A1366" s="204"/>
      <c r="B1366" s="205"/>
      <c r="C1366" s="206"/>
      <c r="D1366" s="207"/>
      <c r="E1366" s="190"/>
      <c r="F1366" s="97"/>
      <c r="G1366" s="128"/>
    </row>
    <row r="1367" spans="1:7" x14ac:dyDescent="0.25">
      <c r="A1367" s="204"/>
      <c r="B1367" s="205"/>
      <c r="C1367" s="206"/>
      <c r="D1367" s="207"/>
      <c r="E1367" s="190"/>
      <c r="F1367" s="97"/>
      <c r="G1367" s="128"/>
    </row>
    <row r="1368" spans="1:7" x14ac:dyDescent="0.25">
      <c r="A1368" s="204"/>
      <c r="B1368" s="205"/>
      <c r="C1368" s="206"/>
      <c r="D1368" s="207"/>
      <c r="E1368" s="190"/>
      <c r="F1368" s="97"/>
      <c r="G1368" s="128"/>
    </row>
    <row r="1369" spans="1:7" x14ac:dyDescent="0.25">
      <c r="A1369" s="204"/>
      <c r="B1369" s="205"/>
      <c r="C1369" s="206"/>
      <c r="D1369" s="207"/>
      <c r="E1369" s="190"/>
      <c r="F1369" s="97"/>
      <c r="G1369" s="128"/>
    </row>
    <row r="1370" spans="1:7" x14ac:dyDescent="0.25">
      <c r="A1370" s="204"/>
      <c r="B1370" s="205"/>
      <c r="C1370" s="206"/>
      <c r="D1370" s="207"/>
      <c r="E1370" s="190"/>
      <c r="F1370" s="97"/>
      <c r="G1370" s="128"/>
    </row>
    <row r="1371" spans="1:7" x14ac:dyDescent="0.25">
      <c r="A1371" s="204"/>
      <c r="B1371" s="205"/>
      <c r="C1371" s="206"/>
      <c r="D1371" s="207"/>
      <c r="E1371" s="190"/>
      <c r="F1371" s="97"/>
      <c r="G1371" s="128"/>
    </row>
    <row r="1372" spans="1:7" x14ac:dyDescent="0.25">
      <c r="A1372" s="204"/>
      <c r="B1372" s="205"/>
      <c r="C1372" s="206"/>
      <c r="D1372" s="207"/>
      <c r="E1372" s="190"/>
      <c r="F1372" s="97"/>
      <c r="G1372" s="128"/>
    </row>
    <row r="1373" spans="1:7" x14ac:dyDescent="0.25">
      <c r="A1373" s="204"/>
      <c r="B1373" s="205"/>
      <c r="C1373" s="206"/>
      <c r="D1373" s="207"/>
      <c r="E1373" s="190"/>
      <c r="F1373" s="97"/>
      <c r="G1373" s="128"/>
    </row>
    <row r="1374" spans="1:7" x14ac:dyDescent="0.25">
      <c r="A1374" s="204"/>
      <c r="B1374" s="205"/>
      <c r="C1374" s="206"/>
      <c r="D1374" s="207"/>
      <c r="E1374" s="190"/>
      <c r="F1374" s="97"/>
      <c r="G1374" s="128"/>
    </row>
    <row r="1375" spans="1:7" x14ac:dyDescent="0.25">
      <c r="A1375" s="55"/>
      <c r="B1375" s="59"/>
      <c r="C1375" s="57"/>
      <c r="D1375" s="58"/>
      <c r="E1375" s="190"/>
      <c r="F1375" s="97"/>
      <c r="G1375" s="128"/>
    </row>
    <row r="1376" spans="1:7" x14ac:dyDescent="0.25">
      <c r="A1376" s="55"/>
      <c r="B1376" s="59"/>
      <c r="C1376" s="57"/>
      <c r="D1376" s="58"/>
      <c r="E1376" s="190"/>
      <c r="F1376" s="97"/>
      <c r="G1376" s="128"/>
    </row>
    <row r="1377" spans="1:7" x14ac:dyDescent="0.25">
      <c r="A1377" s="204"/>
      <c r="B1377" s="205"/>
      <c r="C1377" s="206"/>
      <c r="D1377" s="207"/>
      <c r="E1377" s="190"/>
      <c r="F1377" s="97"/>
      <c r="G1377" s="128"/>
    </row>
    <row r="1378" spans="1:7" x14ac:dyDescent="0.25">
      <c r="A1378" s="55"/>
      <c r="B1378" s="59"/>
      <c r="C1378" s="57"/>
      <c r="D1378" s="58"/>
      <c r="E1378" s="190"/>
      <c r="F1378" s="97"/>
      <c r="G1378" s="128"/>
    </row>
    <row r="1379" spans="1:7" x14ac:dyDescent="0.25">
      <c r="A1379" s="187"/>
      <c r="B1379" s="192"/>
      <c r="C1379" s="188"/>
      <c r="D1379" s="189"/>
      <c r="E1379" s="190"/>
      <c r="F1379" s="97"/>
      <c r="G1379" s="128"/>
    </row>
    <row r="1380" spans="1:7" x14ac:dyDescent="0.25">
      <c r="A1380" s="193"/>
      <c r="B1380" s="194"/>
      <c r="C1380" s="195"/>
      <c r="D1380" s="196"/>
      <c r="E1380" s="117"/>
      <c r="F1380" s="98"/>
      <c r="G1380" s="130"/>
    </row>
    <row r="1381" spans="1:7" x14ac:dyDescent="0.25">
      <c r="A1381" s="197"/>
      <c r="B1381" s="198"/>
      <c r="C1381" s="199" t="s">
        <v>51</v>
      </c>
      <c r="D1381" s="199"/>
      <c r="E1381" s="200" t="s">
        <v>50</v>
      </c>
      <c r="F1381" s="99">
        <f>SUM(F1338:F1360)</f>
        <v>2699145.0500000003</v>
      </c>
      <c r="G1381" s="131"/>
    </row>
    <row r="1382" spans="1:7" x14ac:dyDescent="0.25">
      <c r="A1382" s="197"/>
      <c r="B1382" s="198"/>
      <c r="C1382" s="201"/>
      <c r="D1382" s="202"/>
      <c r="E1382" s="118"/>
      <c r="F1382" s="100"/>
      <c r="G1382" s="132"/>
    </row>
    <row r="1383" spans="1:7" x14ac:dyDescent="0.25">
      <c r="A1383" s="187"/>
      <c r="B1383" s="192"/>
      <c r="C1383" s="188"/>
      <c r="D1383" s="189"/>
      <c r="E1383" s="190"/>
      <c r="F1383" s="97"/>
      <c r="G1383" s="128"/>
    </row>
    <row r="1384" spans="1:7" x14ac:dyDescent="0.25">
      <c r="A1384" s="39"/>
      <c r="B1384" s="209" t="s">
        <v>52</v>
      </c>
      <c r="C1384" s="41"/>
      <c r="D1384" s="42"/>
      <c r="E1384" s="190"/>
      <c r="F1384" s="97"/>
      <c r="G1384" s="128"/>
    </row>
    <row r="1385" spans="1:7" x14ac:dyDescent="0.25">
      <c r="A1385" s="187"/>
      <c r="B1385" s="40"/>
      <c r="C1385" s="188"/>
      <c r="D1385" s="189"/>
      <c r="E1385" s="190"/>
      <c r="F1385" s="97"/>
      <c r="G1385" s="128"/>
    </row>
    <row r="1386" spans="1:7" x14ac:dyDescent="0.25">
      <c r="A1386" s="39"/>
      <c r="B1386" s="210" t="s">
        <v>768</v>
      </c>
      <c r="C1386" s="41"/>
      <c r="D1386" s="42"/>
      <c r="E1386" s="190"/>
      <c r="F1386" s="97">
        <f>F44</f>
        <v>63913.880000000012</v>
      </c>
      <c r="G1386" s="128"/>
    </row>
    <row r="1387" spans="1:7" x14ac:dyDescent="0.25">
      <c r="A1387" s="187"/>
      <c r="B1387" s="40"/>
      <c r="C1387" s="188"/>
      <c r="D1387" s="189"/>
      <c r="E1387" s="190"/>
      <c r="F1387" s="97"/>
      <c r="G1387" s="128"/>
    </row>
    <row r="1388" spans="1:7" x14ac:dyDescent="0.25">
      <c r="A1388" s="39"/>
      <c r="B1388" s="210" t="s">
        <v>769</v>
      </c>
      <c r="C1388" s="41"/>
      <c r="D1388" s="42"/>
      <c r="E1388" s="190"/>
      <c r="F1388" s="97">
        <f>F94</f>
        <v>897003.21000000008</v>
      </c>
      <c r="G1388" s="128"/>
    </row>
    <row r="1389" spans="1:7" x14ac:dyDescent="0.25">
      <c r="A1389" s="187"/>
      <c r="B1389" s="192"/>
      <c r="C1389" s="188"/>
      <c r="D1389" s="189"/>
      <c r="E1389" s="190"/>
      <c r="F1389" s="97"/>
      <c r="G1389" s="128"/>
    </row>
    <row r="1390" spans="1:7" x14ac:dyDescent="0.25">
      <c r="A1390" s="39"/>
      <c r="B1390" s="210" t="s">
        <v>770</v>
      </c>
      <c r="C1390" s="41"/>
      <c r="D1390" s="42"/>
      <c r="E1390" s="190"/>
      <c r="F1390" s="97">
        <f>F144</f>
        <v>112817.71</v>
      </c>
      <c r="G1390" s="128"/>
    </row>
    <row r="1391" spans="1:7" x14ac:dyDescent="0.25">
      <c r="A1391" s="187"/>
      <c r="B1391" s="40"/>
      <c r="C1391" s="188"/>
      <c r="D1391" s="189"/>
      <c r="E1391" s="190"/>
      <c r="F1391" s="97"/>
      <c r="G1391" s="128"/>
    </row>
    <row r="1392" spans="1:7" x14ac:dyDescent="0.25">
      <c r="A1392" s="39"/>
      <c r="B1392" s="210" t="s">
        <v>771</v>
      </c>
      <c r="C1392" s="41"/>
      <c r="D1392" s="42"/>
      <c r="E1392" s="190"/>
      <c r="F1392" s="97">
        <f>F183</f>
        <v>396803.5</v>
      </c>
      <c r="G1392" s="128"/>
    </row>
    <row r="1393" spans="1:7" x14ac:dyDescent="0.25">
      <c r="A1393" s="187"/>
      <c r="B1393" s="192"/>
      <c r="C1393" s="188"/>
      <c r="D1393" s="189"/>
      <c r="E1393" s="190"/>
      <c r="F1393" s="97"/>
      <c r="G1393" s="128"/>
    </row>
    <row r="1394" spans="1:7" x14ac:dyDescent="0.25">
      <c r="A1394" s="39"/>
      <c r="B1394" s="210" t="s">
        <v>772</v>
      </c>
      <c r="C1394" s="41"/>
      <c r="D1394" s="42"/>
      <c r="E1394" s="190"/>
      <c r="F1394" s="97">
        <f>F221</f>
        <v>0</v>
      </c>
      <c r="G1394" s="128"/>
    </row>
    <row r="1395" spans="1:7" x14ac:dyDescent="0.25">
      <c r="A1395" s="187"/>
      <c r="B1395" s="40"/>
      <c r="C1395" s="188"/>
      <c r="D1395" s="189"/>
      <c r="E1395" s="190"/>
      <c r="F1395" s="97"/>
      <c r="G1395" s="128"/>
    </row>
    <row r="1396" spans="1:7" x14ac:dyDescent="0.25">
      <c r="A1396" s="39"/>
      <c r="B1396" s="210" t="s">
        <v>773</v>
      </c>
      <c r="C1396" s="41"/>
      <c r="D1396" s="42"/>
      <c r="E1396" s="190"/>
      <c r="F1396" s="97">
        <f>F263</f>
        <v>530381.06000000006</v>
      </c>
      <c r="G1396" s="128"/>
    </row>
    <row r="1397" spans="1:7" x14ac:dyDescent="0.25">
      <c r="A1397" s="187"/>
      <c r="B1397" s="192"/>
      <c r="C1397" s="188"/>
      <c r="D1397" s="189"/>
      <c r="E1397" s="190"/>
      <c r="F1397" s="97"/>
      <c r="G1397" s="128"/>
    </row>
    <row r="1398" spans="1:7" x14ac:dyDescent="0.25">
      <c r="A1398" s="39"/>
      <c r="B1398" s="210" t="s">
        <v>774</v>
      </c>
      <c r="C1398" s="41"/>
      <c r="D1398" s="42"/>
      <c r="E1398" s="190"/>
      <c r="F1398" s="97">
        <f>F309</f>
        <v>120175.46</v>
      </c>
      <c r="G1398" s="128"/>
    </row>
    <row r="1399" spans="1:7" x14ac:dyDescent="0.25">
      <c r="A1399" s="187"/>
      <c r="B1399" s="40"/>
      <c r="C1399" s="188"/>
      <c r="D1399" s="189"/>
      <c r="E1399" s="190"/>
      <c r="F1399" s="97"/>
      <c r="G1399" s="128"/>
    </row>
    <row r="1400" spans="1:7" x14ac:dyDescent="0.25">
      <c r="A1400" s="39"/>
      <c r="B1400" s="210" t="s">
        <v>775</v>
      </c>
      <c r="C1400" s="41"/>
      <c r="D1400" s="42"/>
      <c r="E1400" s="190"/>
      <c r="F1400" s="97">
        <f>F353</f>
        <v>94309.87999999999</v>
      </c>
      <c r="G1400" s="128"/>
    </row>
    <row r="1401" spans="1:7" x14ac:dyDescent="0.25">
      <c r="A1401" s="187"/>
      <c r="B1401" s="192"/>
      <c r="C1401" s="188"/>
      <c r="D1401" s="189"/>
      <c r="E1401" s="190"/>
      <c r="F1401" s="97"/>
      <c r="G1401" s="128"/>
    </row>
    <row r="1402" spans="1:7" x14ac:dyDescent="0.25">
      <c r="A1402" s="39"/>
      <c r="B1402" s="210" t="s">
        <v>776</v>
      </c>
      <c r="C1402" s="41"/>
      <c r="D1402" s="42"/>
      <c r="E1402" s="190"/>
      <c r="F1402" s="97">
        <f>F400</f>
        <v>1825.8200000000002</v>
      </c>
      <c r="G1402" s="128"/>
    </row>
    <row r="1403" spans="1:7" x14ac:dyDescent="0.25">
      <c r="A1403" s="187"/>
      <c r="B1403" s="40"/>
      <c r="C1403" s="188"/>
      <c r="D1403" s="189"/>
      <c r="E1403" s="190"/>
      <c r="F1403" s="97"/>
      <c r="G1403" s="128"/>
    </row>
    <row r="1404" spans="1:7" x14ac:dyDescent="0.25">
      <c r="A1404" s="39"/>
      <c r="B1404" s="210" t="s">
        <v>777</v>
      </c>
      <c r="C1404" s="41"/>
      <c r="D1404" s="42"/>
      <c r="E1404" s="190"/>
      <c r="F1404" s="97">
        <f>F437</f>
        <v>209639.51999999987</v>
      </c>
      <c r="G1404" s="128"/>
    </row>
    <row r="1405" spans="1:7" x14ac:dyDescent="0.25">
      <c r="A1405" s="187"/>
      <c r="B1405" s="192"/>
      <c r="C1405" s="188"/>
      <c r="D1405" s="189"/>
      <c r="E1405" s="190"/>
      <c r="F1405" s="97"/>
      <c r="G1405" s="128"/>
    </row>
    <row r="1406" spans="1:7" x14ac:dyDescent="0.25">
      <c r="A1406" s="39"/>
      <c r="B1406" s="210" t="s">
        <v>778</v>
      </c>
      <c r="C1406" s="41"/>
      <c r="D1406" s="42"/>
      <c r="E1406" s="190"/>
      <c r="F1406" s="97">
        <f>F484</f>
        <v>527716.17999999993</v>
      </c>
      <c r="G1406" s="128"/>
    </row>
    <row r="1407" spans="1:7" x14ac:dyDescent="0.25">
      <c r="A1407" s="187"/>
      <c r="B1407" s="40"/>
      <c r="C1407" s="188"/>
      <c r="D1407" s="189"/>
      <c r="E1407" s="190"/>
      <c r="F1407" s="97"/>
      <c r="G1407" s="128"/>
    </row>
    <row r="1408" spans="1:7" x14ac:dyDescent="0.25">
      <c r="A1408" s="39"/>
      <c r="B1408" s="210" t="s">
        <v>779</v>
      </c>
      <c r="C1408" s="41"/>
      <c r="D1408" s="42"/>
      <c r="E1408" s="190"/>
      <c r="F1408" s="97">
        <f>F532</f>
        <v>78637.680000000008</v>
      </c>
      <c r="G1408" s="128"/>
    </row>
    <row r="1409" spans="1:7" x14ac:dyDescent="0.25">
      <c r="A1409" s="187"/>
      <c r="B1409" s="192"/>
      <c r="C1409" s="188"/>
      <c r="D1409" s="189"/>
      <c r="E1409" s="190"/>
      <c r="F1409" s="97"/>
      <c r="G1409" s="128"/>
    </row>
    <row r="1410" spans="1:7" x14ac:dyDescent="0.25">
      <c r="A1410" s="187"/>
      <c r="B1410" s="210" t="s">
        <v>780</v>
      </c>
      <c r="C1410" s="188"/>
      <c r="D1410" s="189"/>
      <c r="E1410" s="190"/>
      <c r="F1410" s="97">
        <f>F577</f>
        <v>244018.22</v>
      </c>
      <c r="G1410" s="128"/>
    </row>
    <row r="1411" spans="1:7" x14ac:dyDescent="0.25">
      <c r="A1411" s="187"/>
      <c r="B1411" s="40"/>
      <c r="C1411" s="188"/>
      <c r="D1411" s="189"/>
      <c r="E1411" s="190"/>
      <c r="F1411" s="97"/>
      <c r="G1411" s="128"/>
    </row>
    <row r="1412" spans="1:7" x14ac:dyDescent="0.25">
      <c r="A1412" s="187"/>
      <c r="B1412" s="210" t="s">
        <v>781</v>
      </c>
      <c r="C1412" s="188"/>
      <c r="D1412" s="189"/>
      <c r="E1412" s="190"/>
      <c r="F1412" s="97">
        <f>F618</f>
        <v>1209625.4000000001</v>
      </c>
      <c r="G1412" s="128"/>
    </row>
    <row r="1413" spans="1:7" x14ac:dyDescent="0.25">
      <c r="A1413" s="187"/>
      <c r="B1413" s="192"/>
      <c r="C1413" s="188"/>
      <c r="D1413" s="189"/>
      <c r="E1413" s="190"/>
      <c r="F1413" s="97"/>
      <c r="G1413" s="128"/>
    </row>
    <row r="1414" spans="1:7" x14ac:dyDescent="0.25">
      <c r="A1414" s="187"/>
      <c r="B1414" s="210" t="s">
        <v>782</v>
      </c>
      <c r="C1414" s="188"/>
      <c r="D1414" s="189"/>
      <c r="E1414" s="190"/>
      <c r="F1414" s="97">
        <f>F663</f>
        <v>439053.6999999999</v>
      </c>
      <c r="G1414" s="128"/>
    </row>
    <row r="1415" spans="1:7" x14ac:dyDescent="0.25">
      <c r="A1415" s="187"/>
      <c r="B1415" s="40"/>
      <c r="C1415" s="188"/>
      <c r="D1415" s="189"/>
      <c r="E1415" s="190"/>
      <c r="F1415" s="97"/>
      <c r="G1415" s="128"/>
    </row>
    <row r="1416" spans="1:7" x14ac:dyDescent="0.25">
      <c r="A1416" s="187"/>
      <c r="B1416" s="210" t="s">
        <v>783</v>
      </c>
      <c r="C1416" s="188"/>
      <c r="D1416" s="189"/>
      <c r="E1416" s="190"/>
      <c r="F1416" s="97">
        <f>F713</f>
        <v>1364483.5599999996</v>
      </c>
      <c r="G1416" s="128"/>
    </row>
    <row r="1417" spans="1:7" x14ac:dyDescent="0.25">
      <c r="A1417" s="187"/>
      <c r="B1417" s="192"/>
      <c r="C1417" s="188"/>
      <c r="D1417" s="189"/>
      <c r="E1417" s="190"/>
      <c r="F1417" s="97"/>
      <c r="G1417" s="128"/>
    </row>
    <row r="1418" spans="1:7" x14ac:dyDescent="0.25">
      <c r="A1418" s="187"/>
      <c r="B1418" s="210" t="s">
        <v>784</v>
      </c>
      <c r="C1418" s="188"/>
      <c r="D1418" s="189"/>
      <c r="E1418" s="190"/>
      <c r="F1418" s="97">
        <f>F764</f>
        <v>45322.549999999988</v>
      </c>
      <c r="G1418" s="128"/>
    </row>
    <row r="1419" spans="1:7" x14ac:dyDescent="0.25">
      <c r="A1419" s="187"/>
      <c r="B1419" s="40"/>
      <c r="C1419" s="188"/>
      <c r="D1419" s="189"/>
      <c r="E1419" s="190"/>
      <c r="F1419" s="97"/>
      <c r="G1419" s="128"/>
    </row>
    <row r="1420" spans="1:7" x14ac:dyDescent="0.25">
      <c r="A1420" s="187"/>
      <c r="B1420" s="210" t="s">
        <v>785</v>
      </c>
      <c r="C1420" s="188"/>
      <c r="D1420" s="189"/>
      <c r="E1420" s="190"/>
      <c r="F1420" s="97">
        <f>F813</f>
        <v>51677.599999999999</v>
      </c>
      <c r="G1420" s="128"/>
    </row>
    <row r="1421" spans="1:7" x14ac:dyDescent="0.25">
      <c r="A1421" s="39"/>
      <c r="B1421" s="192"/>
      <c r="C1421" s="41"/>
      <c r="D1421" s="42"/>
      <c r="E1421" s="190"/>
      <c r="F1421" s="97"/>
      <c r="G1421" s="128"/>
    </row>
    <row r="1422" spans="1:7" x14ac:dyDescent="0.25">
      <c r="A1422" s="187"/>
      <c r="B1422" s="210" t="s">
        <v>786</v>
      </c>
      <c r="C1422" s="188"/>
      <c r="D1422" s="189"/>
      <c r="E1422" s="190"/>
      <c r="F1422" s="97">
        <f>F864</f>
        <v>123089.90999999999</v>
      </c>
      <c r="G1422" s="128"/>
    </row>
    <row r="1423" spans="1:7" x14ac:dyDescent="0.25">
      <c r="A1423" s="39"/>
      <c r="B1423" s="40"/>
      <c r="C1423" s="41"/>
      <c r="D1423" s="42"/>
      <c r="E1423" s="190"/>
      <c r="F1423" s="97"/>
      <c r="G1423" s="128"/>
    </row>
    <row r="1424" spans="1:7" x14ac:dyDescent="0.25">
      <c r="A1424" s="187"/>
      <c r="B1424" s="210" t="s">
        <v>787</v>
      </c>
      <c r="C1424" s="188"/>
      <c r="D1424" s="189"/>
      <c r="E1424" s="190"/>
      <c r="F1424" s="97">
        <f>F902</f>
        <v>45643.1</v>
      </c>
      <c r="G1424" s="128"/>
    </row>
    <row r="1425" spans="1:7" x14ac:dyDescent="0.25">
      <c r="A1425" s="39"/>
      <c r="B1425" s="192"/>
      <c r="C1425" s="41"/>
      <c r="D1425" s="42"/>
      <c r="E1425" s="190"/>
      <c r="F1425" s="97"/>
      <c r="G1425" s="128"/>
    </row>
    <row r="1426" spans="1:7" x14ac:dyDescent="0.25">
      <c r="A1426" s="187"/>
      <c r="B1426" s="210" t="s">
        <v>788</v>
      </c>
      <c r="C1426" s="188"/>
      <c r="D1426" s="189"/>
      <c r="E1426" s="190"/>
      <c r="F1426" s="97">
        <f>F939</f>
        <v>120829.07</v>
      </c>
      <c r="G1426" s="128"/>
    </row>
    <row r="1427" spans="1:7" x14ac:dyDescent="0.25">
      <c r="A1427" s="39"/>
      <c r="B1427" s="40"/>
      <c r="C1427" s="41"/>
      <c r="D1427" s="42"/>
      <c r="E1427" s="190"/>
      <c r="F1427" s="97"/>
      <c r="G1427" s="128"/>
    </row>
    <row r="1428" spans="1:7" x14ac:dyDescent="0.25">
      <c r="A1428" s="187"/>
      <c r="B1428" s="210" t="s">
        <v>789</v>
      </c>
      <c r="C1428" s="188"/>
      <c r="D1428" s="189"/>
      <c r="E1428" s="190"/>
      <c r="F1428" s="97">
        <f>F972</f>
        <v>420373.11000000004</v>
      </c>
      <c r="G1428" s="128"/>
    </row>
    <row r="1429" spans="1:7" x14ac:dyDescent="0.25">
      <c r="A1429" s="39"/>
      <c r="B1429" s="192"/>
      <c r="C1429" s="41"/>
      <c r="D1429" s="42"/>
      <c r="E1429" s="190"/>
      <c r="F1429" s="97"/>
      <c r="G1429" s="128"/>
    </row>
    <row r="1430" spans="1:7" x14ac:dyDescent="0.25">
      <c r="A1430" s="187"/>
      <c r="B1430" s="192"/>
      <c r="C1430" s="188"/>
      <c r="D1430" s="189"/>
      <c r="E1430" s="190"/>
      <c r="F1430" s="97"/>
      <c r="G1430" s="128"/>
    </row>
    <row r="1431" spans="1:7" x14ac:dyDescent="0.25">
      <c r="A1431" s="193"/>
      <c r="B1431" s="194"/>
      <c r="C1431" s="195"/>
      <c r="D1431" s="196"/>
      <c r="E1431" s="117"/>
      <c r="F1431" s="98"/>
      <c r="G1431" s="130"/>
    </row>
    <row r="1432" spans="1:7" x14ac:dyDescent="0.25">
      <c r="A1432" s="197"/>
      <c r="B1432" s="198"/>
      <c r="C1432" s="199" t="s">
        <v>51</v>
      </c>
      <c r="D1432" s="199"/>
      <c r="E1432" s="200" t="s">
        <v>50</v>
      </c>
      <c r="F1432" s="99">
        <f>SUM(F1384:F1429)</f>
        <v>7097340.1200000001</v>
      </c>
      <c r="G1432" s="131"/>
    </row>
    <row r="1433" spans="1:7" x14ac:dyDescent="0.25">
      <c r="A1433" s="197"/>
      <c r="B1433" s="198"/>
      <c r="C1433" s="201"/>
      <c r="D1433" s="202"/>
      <c r="E1433" s="118"/>
      <c r="F1433" s="100"/>
      <c r="G1433" s="132"/>
    </row>
    <row r="1434" spans="1:7" x14ac:dyDescent="0.25">
      <c r="A1434" s="187"/>
      <c r="B1434" s="192"/>
      <c r="C1434" s="188"/>
      <c r="D1434" s="189"/>
      <c r="E1434" s="190"/>
      <c r="F1434" s="97"/>
      <c r="G1434" s="128"/>
    </row>
    <row r="1435" spans="1:7" x14ac:dyDescent="0.25">
      <c r="A1435" s="39"/>
      <c r="B1435" s="209" t="s">
        <v>52</v>
      </c>
      <c r="C1435" s="41"/>
      <c r="D1435" s="42"/>
      <c r="E1435" s="190"/>
      <c r="F1435" s="97">
        <f>+F1432</f>
        <v>7097340.1200000001</v>
      </c>
      <c r="G1435" s="128"/>
    </row>
    <row r="1436" spans="1:7" x14ac:dyDescent="0.25">
      <c r="A1436" s="187"/>
      <c r="B1436" s="192"/>
      <c r="C1436" s="188"/>
      <c r="D1436" s="189"/>
      <c r="E1436" s="190"/>
      <c r="F1436" s="97"/>
      <c r="G1436" s="128"/>
    </row>
    <row r="1437" spans="1:7" x14ac:dyDescent="0.25">
      <c r="A1437" s="39"/>
      <c r="B1437" s="40" t="s">
        <v>791</v>
      </c>
      <c r="C1437" s="41"/>
      <c r="D1437" s="42"/>
      <c r="E1437" s="190"/>
      <c r="F1437" s="97"/>
      <c r="G1437" s="128"/>
    </row>
    <row r="1438" spans="1:7" x14ac:dyDescent="0.25">
      <c r="A1438" s="187"/>
      <c r="B1438" s="192"/>
      <c r="C1438" s="188"/>
      <c r="D1438" s="189"/>
      <c r="E1438" s="190"/>
      <c r="F1438" s="97"/>
      <c r="G1438" s="128"/>
    </row>
    <row r="1439" spans="1:7" x14ac:dyDescent="0.25">
      <c r="A1439" s="39"/>
      <c r="B1439" s="210" t="s">
        <v>790</v>
      </c>
      <c r="C1439" s="41"/>
      <c r="D1439" s="42"/>
      <c r="E1439" s="190"/>
      <c r="F1439" s="97">
        <f>F1009</f>
        <v>1445786.92</v>
      </c>
      <c r="G1439" s="128"/>
    </row>
    <row r="1440" spans="1:7" x14ac:dyDescent="0.25">
      <c r="A1440" s="187"/>
      <c r="B1440" s="40"/>
      <c r="C1440" s="188"/>
      <c r="D1440" s="189"/>
      <c r="E1440" s="190"/>
      <c r="F1440" s="97"/>
      <c r="G1440" s="128"/>
    </row>
    <row r="1441" spans="1:7" x14ac:dyDescent="0.25">
      <c r="A1441" s="39"/>
      <c r="B1441" s="210" t="s">
        <v>792</v>
      </c>
      <c r="C1441" s="41"/>
      <c r="D1441" s="42"/>
      <c r="E1441" s="190"/>
      <c r="F1441" s="97">
        <f>F1045</f>
        <v>143536.10999999999</v>
      </c>
      <c r="G1441" s="128"/>
    </row>
    <row r="1442" spans="1:7" x14ac:dyDescent="0.25">
      <c r="A1442" s="187"/>
      <c r="B1442" s="192"/>
      <c r="C1442" s="188"/>
      <c r="D1442" s="189"/>
      <c r="E1442" s="190"/>
      <c r="F1442" s="97"/>
      <c r="G1442" s="128"/>
    </row>
    <row r="1443" spans="1:7" x14ac:dyDescent="0.25">
      <c r="A1443" s="39"/>
      <c r="B1443" s="210" t="s">
        <v>793</v>
      </c>
      <c r="C1443" s="41"/>
      <c r="D1443" s="42"/>
      <c r="E1443" s="190"/>
      <c r="F1443" s="97">
        <f>F1084</f>
        <v>911027.99</v>
      </c>
      <c r="G1443" s="128"/>
    </row>
    <row r="1444" spans="1:7" x14ac:dyDescent="0.25">
      <c r="A1444" s="187"/>
      <c r="B1444" s="40"/>
      <c r="C1444" s="188"/>
      <c r="D1444" s="189"/>
      <c r="E1444" s="190"/>
      <c r="F1444" s="97"/>
      <c r="G1444" s="128"/>
    </row>
    <row r="1445" spans="1:7" x14ac:dyDescent="0.25">
      <c r="A1445" s="39"/>
      <c r="B1445" s="210" t="s">
        <v>794</v>
      </c>
      <c r="C1445" s="41"/>
      <c r="D1445" s="42"/>
      <c r="E1445" s="190"/>
      <c r="F1445" s="97">
        <f>F1110</f>
        <v>710468.46</v>
      </c>
      <c r="G1445" s="128"/>
    </row>
    <row r="1446" spans="1:7" x14ac:dyDescent="0.25">
      <c r="A1446" s="187"/>
      <c r="B1446" s="192"/>
      <c r="C1446" s="188"/>
      <c r="D1446" s="189"/>
      <c r="E1446" s="190"/>
      <c r="F1446" s="97"/>
      <c r="G1446" s="128"/>
    </row>
    <row r="1447" spans="1:7" x14ac:dyDescent="0.25">
      <c r="A1447" s="39"/>
      <c r="B1447" s="210" t="s">
        <v>795</v>
      </c>
      <c r="C1447" s="41"/>
      <c r="D1447" s="42"/>
      <c r="E1447" s="190"/>
      <c r="F1447" s="97">
        <f>F1157</f>
        <v>818646.92</v>
      </c>
      <c r="G1447" s="128"/>
    </row>
    <row r="1448" spans="1:7" x14ac:dyDescent="0.25">
      <c r="A1448" s="187"/>
      <c r="B1448" s="40"/>
      <c r="C1448" s="188"/>
      <c r="D1448" s="189"/>
      <c r="E1448" s="190"/>
      <c r="F1448" s="97"/>
      <c r="G1448" s="128"/>
    </row>
    <row r="1449" spans="1:7" x14ac:dyDescent="0.25">
      <c r="A1449" s="39"/>
      <c r="B1449" s="210" t="s">
        <v>796</v>
      </c>
      <c r="C1449" s="41"/>
      <c r="D1449" s="42"/>
      <c r="E1449" s="190"/>
      <c r="F1449" s="97">
        <f>F1193</f>
        <v>50043.43</v>
      </c>
      <c r="G1449" s="128"/>
    </row>
    <row r="1450" spans="1:7" x14ac:dyDescent="0.25">
      <c r="A1450" s="187"/>
      <c r="B1450" s="192"/>
      <c r="C1450" s="188"/>
      <c r="D1450" s="189"/>
      <c r="E1450" s="190"/>
      <c r="F1450" s="97"/>
      <c r="G1450" s="128"/>
    </row>
    <row r="1451" spans="1:7" x14ac:dyDescent="0.25">
      <c r="A1451" s="39"/>
      <c r="B1451" s="210" t="s">
        <v>797</v>
      </c>
      <c r="C1451" s="41"/>
      <c r="D1451" s="42"/>
      <c r="E1451" s="190"/>
      <c r="F1451" s="97">
        <f>F1240</f>
        <v>33453.279999999999</v>
      </c>
      <c r="G1451" s="128"/>
    </row>
    <row r="1452" spans="1:7" x14ac:dyDescent="0.25">
      <c r="A1452" s="187"/>
      <c r="B1452" s="40"/>
      <c r="C1452" s="188"/>
      <c r="D1452" s="189"/>
      <c r="E1452" s="190"/>
      <c r="F1452" s="97"/>
      <c r="G1452" s="128"/>
    </row>
    <row r="1453" spans="1:7" x14ac:dyDescent="0.25">
      <c r="A1453" s="39"/>
      <c r="B1453" s="210" t="s">
        <v>798</v>
      </c>
      <c r="C1453" s="41"/>
      <c r="D1453" s="42"/>
      <c r="E1453" s="190"/>
      <c r="F1453" s="97">
        <f>F1285</f>
        <v>0</v>
      </c>
      <c r="G1453" s="128"/>
    </row>
    <row r="1454" spans="1:7" x14ac:dyDescent="0.25">
      <c r="A1454" s="187"/>
      <c r="B1454" s="192"/>
      <c r="C1454" s="188"/>
      <c r="D1454" s="189"/>
      <c r="E1454" s="190"/>
      <c r="F1454" s="97"/>
      <c r="G1454" s="128"/>
    </row>
    <row r="1455" spans="1:7" x14ac:dyDescent="0.25">
      <c r="A1455" s="39"/>
      <c r="B1455" s="210" t="s">
        <v>799</v>
      </c>
      <c r="C1455" s="41"/>
      <c r="D1455" s="42"/>
      <c r="E1455" s="190"/>
      <c r="F1455" s="97">
        <f>F1335</f>
        <v>318446.34000000003</v>
      </c>
      <c r="G1455" s="128"/>
    </row>
    <row r="1456" spans="1:7" x14ac:dyDescent="0.25">
      <c r="A1456" s="187"/>
      <c r="B1456" s="40"/>
      <c r="C1456" s="188"/>
      <c r="D1456" s="189"/>
      <c r="E1456" s="190"/>
      <c r="F1456" s="97"/>
      <c r="G1456" s="128"/>
    </row>
    <row r="1457" spans="1:7" x14ac:dyDescent="0.25">
      <c r="A1457" s="39"/>
      <c r="B1457" s="210" t="s">
        <v>800</v>
      </c>
      <c r="C1457" s="41"/>
      <c r="D1457" s="42"/>
      <c r="E1457" s="190"/>
      <c r="F1457" s="97">
        <f>F1381</f>
        <v>2699145.0500000003</v>
      </c>
      <c r="G1457" s="128"/>
    </row>
    <row r="1458" spans="1:7" x14ac:dyDescent="0.25">
      <c r="A1458" s="187"/>
      <c r="B1458" s="192"/>
      <c r="C1458" s="188"/>
      <c r="D1458" s="189"/>
      <c r="E1458" s="190"/>
      <c r="F1458" s="97"/>
      <c r="G1458" s="128"/>
    </row>
    <row r="1459" spans="1:7" x14ac:dyDescent="0.25">
      <c r="A1459" s="39"/>
      <c r="B1459" s="210"/>
      <c r="C1459" s="41"/>
      <c r="D1459" s="42"/>
      <c r="E1459" s="190"/>
      <c r="F1459" s="97"/>
      <c r="G1459" s="128"/>
    </row>
    <row r="1460" spans="1:7" x14ac:dyDescent="0.25">
      <c r="A1460" s="187"/>
      <c r="B1460" s="40"/>
      <c r="C1460" s="188"/>
      <c r="D1460" s="189"/>
      <c r="E1460" s="190"/>
      <c r="F1460" s="97"/>
      <c r="G1460" s="128"/>
    </row>
    <row r="1461" spans="1:7" x14ac:dyDescent="0.25">
      <c r="A1461" s="187"/>
      <c r="B1461" s="192"/>
      <c r="C1461" s="188"/>
      <c r="D1461" s="189"/>
      <c r="E1461" s="190"/>
      <c r="F1461" s="97"/>
      <c r="G1461" s="128"/>
    </row>
    <row r="1462" spans="1:7" x14ac:dyDescent="0.25">
      <c r="A1462" s="187"/>
      <c r="B1462" s="192"/>
      <c r="C1462" s="188"/>
      <c r="D1462" s="189"/>
      <c r="E1462" s="190"/>
      <c r="F1462" s="97"/>
      <c r="G1462" s="128"/>
    </row>
    <row r="1463" spans="1:7" x14ac:dyDescent="0.25">
      <c r="A1463" s="187"/>
      <c r="B1463" s="192"/>
      <c r="C1463" s="188"/>
      <c r="D1463" s="189"/>
      <c r="E1463" s="190"/>
      <c r="F1463" s="97"/>
      <c r="G1463" s="128"/>
    </row>
    <row r="1464" spans="1:7" x14ac:dyDescent="0.25">
      <c r="A1464" s="187"/>
      <c r="B1464" s="192"/>
      <c r="C1464" s="188"/>
      <c r="D1464" s="189"/>
      <c r="E1464" s="190"/>
      <c r="F1464" s="97"/>
      <c r="G1464" s="128"/>
    </row>
    <row r="1465" spans="1:7" x14ac:dyDescent="0.25">
      <c r="A1465" s="187"/>
      <c r="B1465" s="192"/>
      <c r="C1465" s="188"/>
      <c r="D1465" s="189"/>
      <c r="E1465" s="190"/>
      <c r="F1465" s="97"/>
      <c r="G1465" s="128"/>
    </row>
    <row r="1466" spans="1:7" x14ac:dyDescent="0.25">
      <c r="A1466" s="187"/>
      <c r="B1466" s="192"/>
      <c r="C1466" s="188"/>
      <c r="D1466" s="189"/>
      <c r="E1466" s="190"/>
      <c r="F1466" s="97"/>
      <c r="G1466" s="128"/>
    </row>
    <row r="1467" spans="1:7" x14ac:dyDescent="0.25">
      <c r="A1467" s="187"/>
      <c r="B1467" s="192"/>
      <c r="C1467" s="188"/>
      <c r="D1467" s="189"/>
      <c r="E1467" s="190"/>
      <c r="F1467" s="97"/>
      <c r="G1467" s="128"/>
    </row>
    <row r="1468" spans="1:7" x14ac:dyDescent="0.25">
      <c r="A1468" s="187"/>
      <c r="B1468" s="192"/>
      <c r="C1468" s="188"/>
      <c r="D1468" s="189"/>
      <c r="E1468" s="190"/>
      <c r="F1468" s="97"/>
      <c r="G1468" s="128"/>
    </row>
    <row r="1469" spans="1:7" x14ac:dyDescent="0.25">
      <c r="A1469" s="187"/>
      <c r="B1469" s="192"/>
      <c r="C1469" s="188"/>
      <c r="D1469" s="189"/>
      <c r="E1469" s="190"/>
      <c r="F1469" s="97"/>
      <c r="G1469" s="128"/>
    </row>
    <row r="1470" spans="1:7" x14ac:dyDescent="0.25">
      <c r="A1470" s="187"/>
      <c r="B1470" s="36"/>
      <c r="C1470" s="188"/>
      <c r="D1470" s="189"/>
      <c r="E1470" s="190"/>
      <c r="F1470" s="97"/>
      <c r="G1470" s="128"/>
    </row>
    <row r="1471" spans="1:7" x14ac:dyDescent="0.25">
      <c r="A1471" s="187"/>
      <c r="B1471" s="192"/>
      <c r="C1471" s="188"/>
      <c r="D1471" s="189"/>
      <c r="E1471" s="190"/>
      <c r="F1471" s="97"/>
      <c r="G1471" s="128"/>
    </row>
    <row r="1472" spans="1:7" x14ac:dyDescent="0.25">
      <c r="A1472" s="39"/>
      <c r="B1472" s="40"/>
      <c r="C1472" s="41"/>
      <c r="D1472" s="42"/>
      <c r="E1472" s="190"/>
      <c r="F1472" s="97"/>
      <c r="G1472" s="128"/>
    </row>
    <row r="1473" spans="1:7" x14ac:dyDescent="0.25">
      <c r="A1473" s="39"/>
      <c r="B1473" s="40"/>
      <c r="C1473" s="41"/>
      <c r="D1473" s="42"/>
      <c r="E1473" s="190"/>
      <c r="F1473" s="97"/>
      <c r="G1473" s="128"/>
    </row>
    <row r="1474" spans="1:7" x14ac:dyDescent="0.25">
      <c r="A1474" s="39"/>
      <c r="B1474" s="40"/>
      <c r="C1474" s="41"/>
      <c r="D1474" s="42"/>
      <c r="E1474" s="190"/>
      <c r="F1474" s="97"/>
      <c r="G1474" s="128"/>
    </row>
    <row r="1475" spans="1:7" x14ac:dyDescent="0.25">
      <c r="A1475" s="39"/>
      <c r="B1475" s="40"/>
      <c r="C1475" s="41"/>
      <c r="D1475" s="42"/>
      <c r="E1475" s="190"/>
      <c r="F1475" s="97"/>
      <c r="G1475" s="128"/>
    </row>
    <row r="1476" spans="1:7" x14ac:dyDescent="0.25">
      <c r="A1476" s="39"/>
      <c r="B1476" s="40"/>
      <c r="C1476" s="41"/>
      <c r="D1476" s="42"/>
      <c r="E1476" s="190"/>
      <c r="F1476" s="97"/>
      <c r="G1476" s="128"/>
    </row>
    <row r="1477" spans="1:7" x14ac:dyDescent="0.25">
      <c r="A1477" s="187"/>
      <c r="B1477" s="192"/>
      <c r="C1477" s="188"/>
      <c r="D1477" s="189"/>
      <c r="E1477" s="190"/>
      <c r="F1477" s="97"/>
      <c r="G1477" s="128"/>
    </row>
    <row r="1478" spans="1:7" x14ac:dyDescent="0.25">
      <c r="A1478" s="39"/>
      <c r="B1478" s="40"/>
      <c r="C1478" s="41"/>
      <c r="D1478" s="42"/>
      <c r="E1478" s="190"/>
      <c r="F1478" s="97"/>
      <c r="G1478" s="128"/>
    </row>
    <row r="1479" spans="1:7" x14ac:dyDescent="0.25">
      <c r="A1479" s="187"/>
      <c r="B1479" s="192"/>
      <c r="C1479" s="188"/>
      <c r="D1479" s="189"/>
      <c r="E1479" s="190"/>
      <c r="F1479" s="97"/>
      <c r="G1479" s="128"/>
    </row>
    <row r="1480" spans="1:7" x14ac:dyDescent="0.25">
      <c r="A1480" s="39"/>
      <c r="B1480" s="40"/>
      <c r="C1480" s="41"/>
      <c r="D1480" s="42"/>
      <c r="E1480" s="190"/>
      <c r="F1480" s="97"/>
      <c r="G1480" s="128"/>
    </row>
    <row r="1481" spans="1:7" x14ac:dyDescent="0.25">
      <c r="A1481" s="187"/>
      <c r="B1481" s="192"/>
      <c r="C1481" s="188"/>
      <c r="D1481" s="189"/>
      <c r="E1481" s="190"/>
      <c r="F1481" s="97"/>
      <c r="G1481" s="128"/>
    </row>
    <row r="1482" spans="1:7" x14ac:dyDescent="0.25">
      <c r="A1482" s="193"/>
      <c r="B1482" s="194"/>
      <c r="C1482" s="195"/>
      <c r="D1482" s="196"/>
      <c r="E1482" s="117"/>
      <c r="F1482" s="98"/>
      <c r="G1482" s="130"/>
    </row>
    <row r="1483" spans="1:7" x14ac:dyDescent="0.25">
      <c r="A1483" s="197"/>
      <c r="B1483" s="198"/>
      <c r="C1483" s="199" t="s">
        <v>96</v>
      </c>
      <c r="D1483" s="199"/>
      <c r="E1483" s="200" t="s">
        <v>50</v>
      </c>
      <c r="F1483" s="99">
        <f>SUM(F1435:F1466)</f>
        <v>14227894.619999997</v>
      </c>
      <c r="G1483" s="131"/>
    </row>
    <row r="1484" spans="1:7" x14ac:dyDescent="0.25">
      <c r="A1484" s="197"/>
      <c r="B1484" s="198"/>
      <c r="C1484" s="201"/>
      <c r="D1484" s="202"/>
      <c r="E1484" s="118"/>
      <c r="F1484" s="100"/>
      <c r="G1484" s="132"/>
    </row>
  </sheetData>
  <mergeCells count="5">
    <mergeCell ref="A1:A2"/>
    <mergeCell ref="B1:B2"/>
    <mergeCell ref="C1:C2"/>
    <mergeCell ref="D1:D2"/>
    <mergeCell ref="G1:G2"/>
  </mergeCells>
  <phoneticPr fontId="17" type="noConversion"/>
  <printOptions horizontalCentered="1"/>
  <pageMargins left="0.66929133858267698" right="0.196850393700787" top="0.82677165354330695" bottom="0.47" header="0.196850393700787" footer="0.24"/>
  <pageSetup paperSize="9" scale="91" fitToHeight="0" orientation="portrait" r:id="rId1"/>
  <headerFooter>
    <oddHeader>&amp;R&amp;11
&amp;UBILL NO. 4 -PARKING FLOORS REFURBISHMENT
MECHANICAL ENGINEERING INSTALLATIONS</oddHeader>
    <oddFooter>&amp;L&amp;8DMS 148704 BOQ - Nakheel Mall Al Khail&amp;C4/Q/&amp;P</oddFooter>
  </headerFooter>
  <rowBreaks count="33" manualBreakCount="33">
    <brk id="45" max="6" man="1"/>
    <brk id="95" max="6" man="1"/>
    <brk id="145" max="6" man="1"/>
    <brk id="184" max="6" man="1"/>
    <brk id="222" max="6" man="1"/>
    <brk id="264" max="6" man="1"/>
    <brk id="310" max="6" man="1"/>
    <brk id="354" max="6" man="1"/>
    <brk id="401" max="6" man="1"/>
    <brk id="438" max="6" man="1"/>
    <brk id="485" max="6" man="1"/>
    <brk id="533" max="6" man="1"/>
    <brk id="578" max="6" man="1"/>
    <brk id="619" max="6" man="1"/>
    <brk id="664" max="6" man="1"/>
    <brk id="714" max="6" man="1"/>
    <brk id="765" max="6" man="1"/>
    <brk id="814" max="6" man="1"/>
    <brk id="865" max="6" man="1"/>
    <brk id="903" max="6" man="1"/>
    <brk id="940" max="6" man="1"/>
    <brk id="973" max="6" man="1"/>
    <brk id="1010" max="6" man="1"/>
    <brk id="1046" max="6" man="1"/>
    <brk id="1085" max="6" man="1"/>
    <brk id="1111" max="6" man="1"/>
    <brk id="1158" max="6" man="1"/>
    <brk id="1194" max="6" man="1"/>
    <brk id="1241" max="6" man="1"/>
    <brk id="1286" max="6" man="1"/>
    <brk id="1336" max="6" man="1"/>
    <brk id="1382" max="6" man="1"/>
    <brk id="1433" max="6"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A64D3-A303-4DBD-A1FF-6AF558015A5C}">
  <sheetPr codeName="Sheet15"/>
  <dimension ref="A1:G1250"/>
  <sheetViews>
    <sheetView view="pageBreakPreview" zoomScale="85" zoomScaleNormal="100" zoomScaleSheetLayoutView="85" zoomScalePageLayoutView="70" workbookViewId="0">
      <pane ySplit="2" topLeftCell="A1018" activePane="bottomLeft" state="frozen"/>
      <selection activeCell="H35" sqref="H35"/>
      <selection pane="bottomLeft" sqref="A1:E1048576"/>
    </sheetView>
  </sheetViews>
  <sheetFormatPr defaultColWidth="9.33203125" defaultRowHeight="13.8" x14ac:dyDescent="0.25"/>
  <cols>
    <col min="1" max="1" width="5.6640625" style="211" customWidth="1"/>
    <col min="2" max="2" width="43.6640625" style="212" customWidth="1"/>
    <col min="3" max="3" width="8.6640625" style="213" customWidth="1"/>
    <col min="4" max="4" width="6.6640625" style="214" customWidth="1"/>
    <col min="5" max="5" width="14.33203125" style="200" customWidth="1"/>
    <col min="6" max="6" width="15.6640625" style="101" customWidth="1"/>
    <col min="7" max="7" width="8.33203125" style="133" customWidth="1"/>
    <col min="8" max="16384" width="9.33203125" style="34"/>
  </cols>
  <sheetData>
    <row r="1" spans="1:7" s="29" customFormat="1" ht="14.4" x14ac:dyDescent="0.25">
      <c r="A1" s="174" t="s">
        <v>6</v>
      </c>
      <c r="B1" s="174" t="s">
        <v>0</v>
      </c>
      <c r="C1" s="175" t="s">
        <v>47</v>
      </c>
      <c r="D1" s="176" t="s">
        <v>48</v>
      </c>
      <c r="E1" s="177" t="s">
        <v>1</v>
      </c>
      <c r="F1" s="94" t="s">
        <v>49</v>
      </c>
      <c r="G1" s="166" t="s">
        <v>1211</v>
      </c>
    </row>
    <row r="2" spans="1:7" s="29" customFormat="1" ht="14.4" x14ac:dyDescent="0.25">
      <c r="A2" s="178"/>
      <c r="B2" s="178"/>
      <c r="C2" s="179"/>
      <c r="D2" s="180"/>
      <c r="E2" s="181" t="s">
        <v>50</v>
      </c>
      <c r="F2" s="95" t="s">
        <v>50</v>
      </c>
      <c r="G2" s="167"/>
    </row>
    <row r="3" spans="1:7" s="29" customFormat="1" ht="14.4" x14ac:dyDescent="0.25">
      <c r="A3" s="182"/>
      <c r="B3" s="183"/>
      <c r="C3" s="184"/>
      <c r="D3" s="185"/>
      <c r="E3" s="186"/>
      <c r="F3" s="96"/>
      <c r="G3" s="129"/>
    </row>
    <row r="4" spans="1:7" ht="27.6" x14ac:dyDescent="0.25">
      <c r="A4" s="187"/>
      <c r="B4" s="35" t="s">
        <v>42</v>
      </c>
      <c r="C4" s="188"/>
      <c r="D4" s="189"/>
      <c r="E4" s="190"/>
      <c r="F4" s="97"/>
      <c r="G4" s="128"/>
    </row>
    <row r="5" spans="1:7" x14ac:dyDescent="0.25">
      <c r="A5" s="187"/>
      <c r="B5" s="35"/>
      <c r="C5" s="188"/>
      <c r="D5" s="189"/>
      <c r="E5" s="190"/>
      <c r="F5" s="97"/>
      <c r="G5" s="128"/>
    </row>
    <row r="6" spans="1:7" x14ac:dyDescent="0.25">
      <c r="A6" s="187"/>
      <c r="B6" s="36" t="s">
        <v>139</v>
      </c>
      <c r="C6" s="188"/>
      <c r="D6" s="189"/>
      <c r="E6" s="190"/>
      <c r="F6" s="97"/>
      <c r="G6" s="128"/>
    </row>
    <row r="7" spans="1:7" x14ac:dyDescent="0.25">
      <c r="A7" s="187"/>
      <c r="B7" s="192"/>
      <c r="C7" s="188"/>
      <c r="D7" s="189"/>
      <c r="E7" s="190"/>
      <c r="F7" s="97"/>
      <c r="G7" s="128"/>
    </row>
    <row r="8" spans="1:7" x14ac:dyDescent="0.25">
      <c r="A8" s="39"/>
      <c r="B8" s="40" t="s">
        <v>406</v>
      </c>
      <c r="C8" s="41"/>
      <c r="D8" s="42"/>
      <c r="E8" s="190"/>
      <c r="F8" s="97"/>
      <c r="G8" s="128"/>
    </row>
    <row r="9" spans="1:7" x14ac:dyDescent="0.25">
      <c r="A9" s="187"/>
      <c r="B9" s="192"/>
      <c r="C9" s="188"/>
      <c r="D9" s="189"/>
      <c r="E9" s="190"/>
      <c r="F9" s="97"/>
      <c r="G9" s="128"/>
    </row>
    <row r="10" spans="1:7" ht="55.2" x14ac:dyDescent="0.25">
      <c r="A10" s="39"/>
      <c r="B10" s="40" t="s">
        <v>801</v>
      </c>
      <c r="C10" s="41"/>
      <c r="D10" s="42"/>
      <c r="E10" s="190"/>
      <c r="F10" s="97"/>
      <c r="G10" s="128"/>
    </row>
    <row r="11" spans="1:7" x14ac:dyDescent="0.25">
      <c r="A11" s="187"/>
      <c r="B11" s="192"/>
      <c r="C11" s="188"/>
      <c r="D11" s="189"/>
      <c r="E11" s="190"/>
      <c r="F11" s="97"/>
      <c r="G11" s="128"/>
    </row>
    <row r="12" spans="1:7" ht="27.6" x14ac:dyDescent="0.25">
      <c r="A12" s="39"/>
      <c r="B12" s="40" t="s">
        <v>140</v>
      </c>
      <c r="C12" s="41"/>
      <c r="D12" s="42"/>
      <c r="E12" s="190"/>
      <c r="F12" s="97"/>
      <c r="G12" s="128"/>
    </row>
    <row r="13" spans="1:7" x14ac:dyDescent="0.25">
      <c r="A13" s="187"/>
      <c r="B13" s="192"/>
      <c r="C13" s="188"/>
      <c r="D13" s="189"/>
      <c r="E13" s="190"/>
      <c r="F13" s="97"/>
      <c r="G13" s="128"/>
    </row>
    <row r="14" spans="1:7" ht="41.4" x14ac:dyDescent="0.25">
      <c r="A14" s="39"/>
      <c r="B14" s="43" t="s">
        <v>141</v>
      </c>
      <c r="C14" s="41"/>
      <c r="D14" s="42"/>
      <c r="E14" s="190"/>
      <c r="F14" s="97"/>
      <c r="G14" s="128"/>
    </row>
    <row r="15" spans="1:7" x14ac:dyDescent="0.25">
      <c r="A15" s="187"/>
      <c r="B15" s="192"/>
      <c r="C15" s="188"/>
      <c r="D15" s="189"/>
      <c r="E15" s="190"/>
      <c r="F15" s="97"/>
      <c r="G15" s="128"/>
    </row>
    <row r="16" spans="1:7" ht="27.6" x14ac:dyDescent="0.25">
      <c r="A16" s="39"/>
      <c r="B16" s="43" t="s">
        <v>802</v>
      </c>
      <c r="C16" s="41"/>
      <c r="D16" s="42"/>
      <c r="E16" s="190"/>
      <c r="F16" s="97"/>
      <c r="G16" s="128"/>
    </row>
    <row r="17" spans="1:7" x14ac:dyDescent="0.25">
      <c r="A17" s="187"/>
      <c r="B17" s="192"/>
      <c r="C17" s="188"/>
      <c r="D17" s="189"/>
      <c r="E17" s="190"/>
      <c r="F17" s="97"/>
      <c r="G17" s="128"/>
    </row>
    <row r="18" spans="1:7" ht="27.6" x14ac:dyDescent="0.25">
      <c r="A18" s="39" t="s">
        <v>3</v>
      </c>
      <c r="B18" s="40" t="s">
        <v>803</v>
      </c>
      <c r="C18" s="41">
        <v>1</v>
      </c>
      <c r="D18" s="42" t="s">
        <v>6</v>
      </c>
      <c r="E18" s="190">
        <v>6570.14</v>
      </c>
      <c r="F18" s="97">
        <f>C18*E18</f>
        <v>6570.14</v>
      </c>
      <c r="G18" s="128"/>
    </row>
    <row r="19" spans="1:7" x14ac:dyDescent="0.25">
      <c r="A19" s="187"/>
      <c r="B19" s="192"/>
      <c r="C19" s="188"/>
      <c r="D19" s="189"/>
      <c r="E19" s="190"/>
      <c r="F19" s="97"/>
      <c r="G19" s="128"/>
    </row>
    <row r="20" spans="1:7" ht="27.6" x14ac:dyDescent="0.25">
      <c r="A20" s="39" t="s">
        <v>2</v>
      </c>
      <c r="B20" s="40" t="s">
        <v>804</v>
      </c>
      <c r="C20" s="41">
        <v>1</v>
      </c>
      <c r="D20" s="42" t="s">
        <v>6</v>
      </c>
      <c r="E20" s="190">
        <v>1314.03</v>
      </c>
      <c r="F20" s="97">
        <f>C20*E20</f>
        <v>1314.03</v>
      </c>
      <c r="G20" s="128"/>
    </row>
    <row r="21" spans="1:7" x14ac:dyDescent="0.25">
      <c r="A21" s="187"/>
      <c r="B21" s="192"/>
      <c r="C21" s="188"/>
      <c r="D21" s="189"/>
      <c r="E21" s="190"/>
      <c r="F21" s="97"/>
      <c r="G21" s="128"/>
    </row>
    <row r="22" spans="1:7" ht="27.6" x14ac:dyDescent="0.25">
      <c r="A22" s="39" t="s">
        <v>5</v>
      </c>
      <c r="B22" s="40" t="s">
        <v>805</v>
      </c>
      <c r="C22" s="41">
        <v>1</v>
      </c>
      <c r="D22" s="42" t="s">
        <v>6</v>
      </c>
      <c r="E22" s="190">
        <v>3583.71</v>
      </c>
      <c r="F22" s="97">
        <f>C22*E22</f>
        <v>3583.71</v>
      </c>
      <c r="G22" s="128"/>
    </row>
    <row r="23" spans="1:7" x14ac:dyDescent="0.25">
      <c r="A23" s="187"/>
      <c r="B23" s="192"/>
      <c r="C23" s="188"/>
      <c r="D23" s="189"/>
      <c r="E23" s="190"/>
      <c r="F23" s="97"/>
      <c r="G23" s="128"/>
    </row>
    <row r="24" spans="1:7" ht="27.6" x14ac:dyDescent="0.25">
      <c r="A24" s="39" t="s">
        <v>8</v>
      </c>
      <c r="B24" s="40" t="s">
        <v>806</v>
      </c>
      <c r="C24" s="41">
        <v>1</v>
      </c>
      <c r="D24" s="42" t="s">
        <v>6</v>
      </c>
      <c r="E24" s="190">
        <v>3583.71</v>
      </c>
      <c r="F24" s="97">
        <f>C24*E24</f>
        <v>3583.71</v>
      </c>
      <c r="G24" s="128"/>
    </row>
    <row r="25" spans="1:7" x14ac:dyDescent="0.25">
      <c r="A25" s="187"/>
      <c r="B25" s="192"/>
      <c r="C25" s="188"/>
      <c r="D25" s="189"/>
      <c r="E25" s="190"/>
      <c r="F25" s="97"/>
      <c r="G25" s="128"/>
    </row>
    <row r="26" spans="1:7" ht="27.6" x14ac:dyDescent="0.25">
      <c r="A26" s="39" t="s">
        <v>9</v>
      </c>
      <c r="B26" s="40" t="s">
        <v>807</v>
      </c>
      <c r="C26" s="41">
        <v>1</v>
      </c>
      <c r="D26" s="42" t="s">
        <v>6</v>
      </c>
      <c r="E26" s="190">
        <v>5972.85</v>
      </c>
      <c r="F26" s="97">
        <f>C26*E26</f>
        <v>5972.85</v>
      </c>
      <c r="G26" s="128"/>
    </row>
    <row r="27" spans="1:7" x14ac:dyDescent="0.25">
      <c r="A27" s="187"/>
      <c r="B27" s="192"/>
      <c r="C27" s="188"/>
      <c r="D27" s="189"/>
      <c r="E27" s="190"/>
      <c r="F27" s="97"/>
      <c r="G27" s="128"/>
    </row>
    <row r="28" spans="1:7" ht="27.6" x14ac:dyDescent="0.25">
      <c r="A28" s="39" t="s">
        <v>10</v>
      </c>
      <c r="B28" s="40" t="s">
        <v>808</v>
      </c>
      <c r="C28" s="41">
        <v>1</v>
      </c>
      <c r="D28" s="42" t="s">
        <v>6</v>
      </c>
      <c r="E28" s="190">
        <v>5972.85</v>
      </c>
      <c r="F28" s="97">
        <f>C28*E28</f>
        <v>5972.85</v>
      </c>
      <c r="G28" s="128"/>
    </row>
    <row r="29" spans="1:7" x14ac:dyDescent="0.25">
      <c r="A29" s="187"/>
      <c r="B29" s="192"/>
      <c r="C29" s="188"/>
      <c r="D29" s="189"/>
      <c r="E29" s="190"/>
      <c r="F29" s="97"/>
      <c r="G29" s="128"/>
    </row>
    <row r="30" spans="1:7" ht="27.6" x14ac:dyDescent="0.25">
      <c r="A30" s="39"/>
      <c r="B30" s="43" t="s">
        <v>809</v>
      </c>
      <c r="C30" s="41"/>
      <c r="D30" s="42"/>
      <c r="E30" s="190"/>
      <c r="F30" s="97"/>
      <c r="G30" s="128"/>
    </row>
    <row r="31" spans="1:7" x14ac:dyDescent="0.25">
      <c r="A31" s="187"/>
      <c r="B31" s="192"/>
      <c r="C31" s="188"/>
      <c r="D31" s="189"/>
      <c r="E31" s="190"/>
      <c r="F31" s="97"/>
      <c r="G31" s="128"/>
    </row>
    <row r="32" spans="1:7" ht="27.6" x14ac:dyDescent="0.25">
      <c r="A32" s="39" t="s">
        <v>12</v>
      </c>
      <c r="B32" s="40" t="s">
        <v>810</v>
      </c>
      <c r="C32" s="41">
        <v>1</v>
      </c>
      <c r="D32" s="42" t="s">
        <v>6</v>
      </c>
      <c r="E32" s="190">
        <v>4332.58</v>
      </c>
      <c r="F32" s="97">
        <f>C32*E32</f>
        <v>4332.58</v>
      </c>
      <c r="G32" s="128"/>
    </row>
    <row r="33" spans="1:7" x14ac:dyDescent="0.25">
      <c r="A33" s="187"/>
      <c r="B33" s="192"/>
      <c r="C33" s="188"/>
      <c r="D33" s="189"/>
      <c r="E33" s="190"/>
      <c r="F33" s="97"/>
      <c r="G33" s="128"/>
    </row>
    <row r="34" spans="1:7" ht="27.6" x14ac:dyDescent="0.25">
      <c r="A34" s="39"/>
      <c r="B34" s="43" t="s">
        <v>811</v>
      </c>
      <c r="C34" s="41"/>
      <c r="D34" s="42"/>
      <c r="E34" s="190"/>
      <c r="F34" s="97"/>
      <c r="G34" s="128"/>
    </row>
    <row r="35" spans="1:7" x14ac:dyDescent="0.25">
      <c r="A35" s="39"/>
      <c r="B35" s="40"/>
      <c r="C35" s="41"/>
      <c r="D35" s="42"/>
      <c r="E35" s="190"/>
      <c r="F35" s="97"/>
      <c r="G35" s="128"/>
    </row>
    <row r="36" spans="1:7" x14ac:dyDescent="0.25">
      <c r="A36" s="193"/>
      <c r="B36" s="194"/>
      <c r="C36" s="195"/>
      <c r="D36" s="196"/>
      <c r="E36" s="117"/>
      <c r="F36" s="98"/>
      <c r="G36" s="130"/>
    </row>
    <row r="37" spans="1:7" x14ac:dyDescent="0.25">
      <c r="A37" s="197"/>
      <c r="B37" s="198"/>
      <c r="C37" s="199" t="s">
        <v>51</v>
      </c>
      <c r="D37" s="199"/>
      <c r="E37" s="200" t="s">
        <v>50</v>
      </c>
      <c r="F37" s="99">
        <f>SUM(F16:F34)</f>
        <v>31329.870000000003</v>
      </c>
      <c r="G37" s="131"/>
    </row>
    <row r="38" spans="1:7" x14ac:dyDescent="0.25">
      <c r="A38" s="197"/>
      <c r="B38" s="198"/>
      <c r="C38" s="201"/>
      <c r="D38" s="202"/>
      <c r="E38" s="118"/>
      <c r="F38" s="100"/>
      <c r="G38" s="132"/>
    </row>
    <row r="39" spans="1:7" x14ac:dyDescent="0.25">
      <c r="A39" s="192"/>
      <c r="B39" s="33"/>
      <c r="C39" s="192"/>
      <c r="D39" s="203"/>
      <c r="E39" s="190"/>
      <c r="F39" s="97"/>
      <c r="G39" s="128"/>
    </row>
    <row r="40" spans="1:7" x14ac:dyDescent="0.25">
      <c r="A40" s="187"/>
      <c r="B40" s="36" t="s">
        <v>142</v>
      </c>
      <c r="C40" s="188"/>
      <c r="D40" s="189"/>
      <c r="E40" s="190"/>
      <c r="F40" s="97"/>
      <c r="G40" s="128"/>
    </row>
    <row r="41" spans="1:7" x14ac:dyDescent="0.25">
      <c r="A41" s="187"/>
      <c r="B41" s="192"/>
      <c r="C41" s="188"/>
      <c r="D41" s="189"/>
      <c r="E41" s="190"/>
      <c r="F41" s="97"/>
      <c r="G41" s="128"/>
    </row>
    <row r="42" spans="1:7" ht="27.6" x14ac:dyDescent="0.25">
      <c r="A42" s="39" t="s">
        <v>3</v>
      </c>
      <c r="B42" s="40" t="s">
        <v>812</v>
      </c>
      <c r="C42" s="41">
        <v>1</v>
      </c>
      <c r="D42" s="42" t="s">
        <v>6</v>
      </c>
      <c r="E42" s="190">
        <v>6670.06</v>
      </c>
      <c r="F42" s="97">
        <f>C42*E42</f>
        <v>6670.06</v>
      </c>
      <c r="G42" s="128"/>
    </row>
    <row r="43" spans="1:7" x14ac:dyDescent="0.25">
      <c r="A43" s="187"/>
      <c r="B43" s="192"/>
      <c r="C43" s="188"/>
      <c r="D43" s="189"/>
      <c r="E43" s="190"/>
      <c r="F43" s="97"/>
      <c r="G43" s="128"/>
    </row>
    <row r="44" spans="1:7" ht="27.6" x14ac:dyDescent="0.25">
      <c r="A44" s="39"/>
      <c r="B44" s="43" t="s">
        <v>813</v>
      </c>
      <c r="C44" s="41"/>
      <c r="D44" s="42"/>
      <c r="E44" s="190"/>
      <c r="F44" s="97"/>
      <c r="G44" s="128"/>
    </row>
    <row r="45" spans="1:7" x14ac:dyDescent="0.25">
      <c r="A45" s="187"/>
      <c r="B45" s="192"/>
      <c r="C45" s="188"/>
      <c r="D45" s="189"/>
      <c r="E45" s="190"/>
      <c r="F45" s="97"/>
      <c r="G45" s="128"/>
    </row>
    <row r="46" spans="1:7" x14ac:dyDescent="0.25">
      <c r="A46" s="39" t="s">
        <v>2</v>
      </c>
      <c r="B46" s="63" t="s">
        <v>814</v>
      </c>
      <c r="C46" s="41">
        <v>1</v>
      </c>
      <c r="D46" s="42" t="s">
        <v>6</v>
      </c>
      <c r="E46" s="190">
        <v>1472.98</v>
      </c>
      <c r="F46" s="97">
        <f>C46*E46</f>
        <v>1472.98</v>
      </c>
      <c r="G46" s="128"/>
    </row>
    <row r="47" spans="1:7" x14ac:dyDescent="0.25">
      <c r="A47" s="187"/>
      <c r="B47" s="192"/>
      <c r="C47" s="188"/>
      <c r="D47" s="189"/>
      <c r="E47" s="190"/>
      <c r="F47" s="97"/>
      <c r="G47" s="128"/>
    </row>
    <row r="48" spans="1:7" x14ac:dyDescent="0.25">
      <c r="A48" s="39" t="s">
        <v>5</v>
      </c>
      <c r="B48" s="63" t="s">
        <v>815</v>
      </c>
      <c r="C48" s="41">
        <v>1</v>
      </c>
      <c r="D48" s="42" t="s">
        <v>6</v>
      </c>
      <c r="E48" s="190">
        <v>1543.12</v>
      </c>
      <c r="F48" s="97">
        <f>C48*E48</f>
        <v>1543.12</v>
      </c>
      <c r="G48" s="128"/>
    </row>
    <row r="49" spans="1:7" x14ac:dyDescent="0.25">
      <c r="A49" s="187"/>
      <c r="B49" s="192"/>
      <c r="C49" s="188"/>
      <c r="D49" s="189"/>
      <c r="E49" s="190"/>
      <c r="F49" s="97"/>
      <c r="G49" s="128"/>
    </row>
    <row r="50" spans="1:7" ht="27.6" x14ac:dyDescent="0.25">
      <c r="A50" s="39"/>
      <c r="B50" s="43" t="s">
        <v>816</v>
      </c>
      <c r="C50" s="41"/>
      <c r="D50" s="42"/>
      <c r="E50" s="190"/>
      <c r="F50" s="97"/>
      <c r="G50" s="128"/>
    </row>
    <row r="51" spans="1:7" x14ac:dyDescent="0.25">
      <c r="A51" s="187"/>
      <c r="B51" s="192"/>
      <c r="C51" s="188"/>
      <c r="D51" s="189"/>
      <c r="E51" s="190"/>
      <c r="F51" s="97"/>
      <c r="G51" s="128"/>
    </row>
    <row r="52" spans="1:7" x14ac:dyDescent="0.25">
      <c r="A52" s="39" t="s">
        <v>8</v>
      </c>
      <c r="B52" s="40" t="s">
        <v>817</v>
      </c>
      <c r="C52" s="41" t="s">
        <v>818</v>
      </c>
      <c r="D52" s="42" t="s">
        <v>11</v>
      </c>
      <c r="E52" s="190">
        <v>44.83</v>
      </c>
      <c r="F52" s="97">
        <f>C52*E52</f>
        <v>4483</v>
      </c>
      <c r="G52" s="128"/>
    </row>
    <row r="53" spans="1:7" x14ac:dyDescent="0.25">
      <c r="A53" s="187"/>
      <c r="B53" s="192"/>
      <c r="C53" s="188"/>
      <c r="D53" s="189"/>
      <c r="E53" s="190"/>
      <c r="F53" s="97"/>
      <c r="G53" s="128"/>
    </row>
    <row r="54" spans="1:7" x14ac:dyDescent="0.25">
      <c r="A54" s="39" t="s">
        <v>9</v>
      </c>
      <c r="B54" s="40" t="s">
        <v>819</v>
      </c>
      <c r="C54" s="41" t="s">
        <v>818</v>
      </c>
      <c r="D54" s="42" t="s">
        <v>11</v>
      </c>
      <c r="E54" s="190">
        <v>44.83</v>
      </c>
      <c r="F54" s="97">
        <f>C54*E54</f>
        <v>4483</v>
      </c>
      <c r="G54" s="128"/>
    </row>
    <row r="55" spans="1:7" x14ac:dyDescent="0.25">
      <c r="A55" s="187"/>
      <c r="B55" s="192"/>
      <c r="C55" s="188"/>
      <c r="D55" s="189"/>
      <c r="E55" s="190"/>
      <c r="F55" s="97"/>
      <c r="G55" s="128"/>
    </row>
    <row r="56" spans="1:7" ht="27.6" x14ac:dyDescent="0.25">
      <c r="A56" s="39" t="s">
        <v>10</v>
      </c>
      <c r="B56" s="40" t="s">
        <v>820</v>
      </c>
      <c r="C56" s="41">
        <v>1</v>
      </c>
      <c r="D56" s="42" t="s">
        <v>6</v>
      </c>
      <c r="E56" s="190">
        <v>11207.51</v>
      </c>
      <c r="F56" s="97">
        <f>C56*E56</f>
        <v>11207.51</v>
      </c>
      <c r="G56" s="128"/>
    </row>
    <row r="57" spans="1:7" x14ac:dyDescent="0.25">
      <c r="A57" s="187"/>
      <c r="B57" s="192"/>
      <c r="C57" s="188"/>
      <c r="D57" s="189"/>
      <c r="E57" s="190"/>
      <c r="F57" s="97"/>
      <c r="G57" s="128"/>
    </row>
    <row r="58" spans="1:7" x14ac:dyDescent="0.25">
      <c r="A58" s="39" t="s">
        <v>12</v>
      </c>
      <c r="B58" s="40" t="s">
        <v>821</v>
      </c>
      <c r="C58" s="41">
        <v>1</v>
      </c>
      <c r="D58" s="42" t="s">
        <v>6</v>
      </c>
      <c r="E58" s="190">
        <v>358.64</v>
      </c>
      <c r="F58" s="97">
        <f>C58*E58</f>
        <v>358.64</v>
      </c>
      <c r="G58" s="128"/>
    </row>
    <row r="59" spans="1:7" x14ac:dyDescent="0.25">
      <c r="A59" s="187"/>
      <c r="B59" s="192"/>
      <c r="C59" s="188"/>
      <c r="D59" s="189"/>
      <c r="E59" s="190"/>
      <c r="F59" s="97"/>
      <c r="G59" s="128"/>
    </row>
    <row r="60" spans="1:7" x14ac:dyDescent="0.25">
      <c r="A60" s="39" t="s">
        <v>13</v>
      </c>
      <c r="B60" s="40" t="s">
        <v>822</v>
      </c>
      <c r="C60" s="41">
        <v>1</v>
      </c>
      <c r="D60" s="42" t="s">
        <v>6</v>
      </c>
      <c r="E60" s="190">
        <v>717.28</v>
      </c>
      <c r="F60" s="97">
        <f>C60*E60</f>
        <v>717.28</v>
      </c>
      <c r="G60" s="128"/>
    </row>
    <row r="61" spans="1:7" x14ac:dyDescent="0.25">
      <c r="A61" s="187"/>
      <c r="B61" s="192"/>
      <c r="C61" s="188"/>
      <c r="D61" s="189"/>
      <c r="E61" s="190"/>
      <c r="F61" s="97"/>
      <c r="G61" s="128"/>
    </row>
    <row r="62" spans="1:7" x14ac:dyDescent="0.25">
      <c r="A62" s="39" t="s">
        <v>16</v>
      </c>
      <c r="B62" s="40" t="s">
        <v>823</v>
      </c>
      <c r="C62" s="41">
        <v>1</v>
      </c>
      <c r="D62" s="42" t="s">
        <v>6</v>
      </c>
      <c r="E62" s="190">
        <v>717.28</v>
      </c>
      <c r="F62" s="97">
        <f>C62*E62</f>
        <v>717.28</v>
      </c>
      <c r="G62" s="128"/>
    </row>
    <row r="63" spans="1:7" x14ac:dyDescent="0.25">
      <c r="A63" s="187"/>
      <c r="B63" s="192"/>
      <c r="C63" s="188"/>
      <c r="D63" s="189"/>
      <c r="E63" s="190"/>
      <c r="F63" s="97"/>
      <c r="G63" s="128"/>
    </row>
    <row r="64" spans="1:7" ht="27.6" x14ac:dyDescent="0.25">
      <c r="A64" s="39"/>
      <c r="B64" s="43" t="s">
        <v>824</v>
      </c>
      <c r="C64" s="41"/>
      <c r="D64" s="42"/>
      <c r="E64" s="190"/>
      <c r="F64" s="97"/>
      <c r="G64" s="128"/>
    </row>
    <row r="65" spans="1:7" x14ac:dyDescent="0.25">
      <c r="A65" s="187"/>
      <c r="B65" s="192"/>
      <c r="C65" s="188"/>
      <c r="D65" s="189"/>
      <c r="E65" s="190"/>
      <c r="F65" s="97"/>
      <c r="G65" s="128"/>
    </row>
    <row r="66" spans="1:7" x14ac:dyDescent="0.25">
      <c r="A66" s="39" t="s">
        <v>17</v>
      </c>
      <c r="B66" s="40" t="s">
        <v>825</v>
      </c>
      <c r="C66" s="41" t="s">
        <v>818</v>
      </c>
      <c r="D66" s="42" t="s">
        <v>11</v>
      </c>
      <c r="E66" s="190">
        <v>54.92</v>
      </c>
      <c r="F66" s="97">
        <f>C66*E66</f>
        <v>5492</v>
      </c>
      <c r="G66" s="128"/>
    </row>
    <row r="67" spans="1:7" x14ac:dyDescent="0.25">
      <c r="A67" s="187"/>
      <c r="B67" s="192"/>
      <c r="C67" s="188"/>
      <c r="D67" s="189"/>
      <c r="E67" s="190"/>
      <c r="F67" s="97"/>
      <c r="G67" s="128"/>
    </row>
    <row r="68" spans="1:7" x14ac:dyDescent="0.25">
      <c r="A68" s="39" t="s">
        <v>18</v>
      </c>
      <c r="B68" s="40" t="s">
        <v>826</v>
      </c>
      <c r="C68" s="41">
        <v>1</v>
      </c>
      <c r="D68" s="42" t="s">
        <v>6</v>
      </c>
      <c r="E68" s="190">
        <v>384.49</v>
      </c>
      <c r="F68" s="97">
        <f>C68*E68</f>
        <v>384.49</v>
      </c>
      <c r="G68" s="128"/>
    </row>
    <row r="69" spans="1:7" x14ac:dyDescent="0.25">
      <c r="A69" s="187"/>
      <c r="B69" s="192"/>
      <c r="C69" s="188"/>
      <c r="D69" s="189"/>
      <c r="E69" s="190"/>
      <c r="F69" s="97"/>
      <c r="G69" s="128"/>
    </row>
    <row r="70" spans="1:7" ht="27.6" x14ac:dyDescent="0.25">
      <c r="A70" s="39"/>
      <c r="B70" s="43" t="s">
        <v>827</v>
      </c>
      <c r="C70" s="41"/>
      <c r="D70" s="42"/>
      <c r="E70" s="190"/>
      <c r="F70" s="97"/>
      <c r="G70" s="128"/>
    </row>
    <row r="71" spans="1:7" x14ac:dyDescent="0.25">
      <c r="A71" s="187"/>
      <c r="B71" s="192"/>
      <c r="C71" s="188"/>
      <c r="D71" s="189"/>
      <c r="E71" s="190"/>
      <c r="F71" s="97"/>
      <c r="G71" s="128"/>
    </row>
    <row r="72" spans="1:7" x14ac:dyDescent="0.25">
      <c r="A72" s="39" t="s">
        <v>19</v>
      </c>
      <c r="B72" s="63" t="s">
        <v>828</v>
      </c>
      <c r="C72" s="41">
        <v>1</v>
      </c>
      <c r="D72" s="42" t="s">
        <v>6</v>
      </c>
      <c r="E72" s="190">
        <v>5568.14</v>
      </c>
      <c r="F72" s="97">
        <f>C72*E72</f>
        <v>5568.14</v>
      </c>
      <c r="G72" s="128"/>
    </row>
    <row r="73" spans="1:7" x14ac:dyDescent="0.25">
      <c r="A73" s="187"/>
      <c r="B73" s="192"/>
      <c r="C73" s="188"/>
      <c r="D73" s="189"/>
      <c r="E73" s="190"/>
      <c r="F73" s="97"/>
      <c r="G73" s="128"/>
    </row>
    <row r="74" spans="1:7" x14ac:dyDescent="0.25">
      <c r="A74" s="39" t="s">
        <v>22</v>
      </c>
      <c r="B74" s="63" t="s">
        <v>829</v>
      </c>
      <c r="C74" s="41">
        <v>1</v>
      </c>
      <c r="D74" s="42" t="s">
        <v>6</v>
      </c>
      <c r="E74" s="190">
        <v>5568.14</v>
      </c>
      <c r="F74" s="97">
        <f>C74*E74</f>
        <v>5568.14</v>
      </c>
      <c r="G74" s="128"/>
    </row>
    <row r="75" spans="1:7" x14ac:dyDescent="0.25">
      <c r="A75" s="39"/>
      <c r="B75" s="63"/>
      <c r="C75" s="41"/>
      <c r="D75" s="42"/>
      <c r="E75" s="190"/>
      <c r="F75" s="97"/>
      <c r="G75" s="128"/>
    </row>
    <row r="76" spans="1:7" x14ac:dyDescent="0.25">
      <c r="A76" s="39"/>
      <c r="B76" s="63"/>
      <c r="C76" s="41"/>
      <c r="D76" s="42"/>
      <c r="E76" s="190"/>
      <c r="F76" s="97"/>
      <c r="G76" s="128"/>
    </row>
    <row r="77" spans="1:7" x14ac:dyDescent="0.25">
      <c r="A77" s="192"/>
      <c r="B77" s="33"/>
      <c r="C77" s="192"/>
      <c r="D77" s="203"/>
      <c r="E77" s="190"/>
      <c r="F77" s="97"/>
      <c r="G77" s="128"/>
    </row>
    <row r="78" spans="1:7" x14ac:dyDescent="0.25">
      <c r="A78" s="187"/>
      <c r="B78" s="192"/>
      <c r="C78" s="188"/>
      <c r="D78" s="189"/>
      <c r="E78" s="190"/>
      <c r="F78" s="97"/>
      <c r="G78" s="128"/>
    </row>
    <row r="79" spans="1:7" x14ac:dyDescent="0.25">
      <c r="A79" s="39"/>
      <c r="B79" s="40"/>
      <c r="C79" s="41"/>
      <c r="D79" s="42"/>
      <c r="E79" s="190"/>
      <c r="F79" s="97"/>
      <c r="G79" s="128"/>
    </row>
    <row r="80" spans="1:7" x14ac:dyDescent="0.25">
      <c r="A80" s="187"/>
      <c r="B80" s="192"/>
      <c r="C80" s="188"/>
      <c r="D80" s="189"/>
      <c r="E80" s="190"/>
      <c r="F80" s="97"/>
      <c r="G80" s="128"/>
    </row>
    <row r="81" spans="1:7" x14ac:dyDescent="0.25">
      <c r="A81" s="193"/>
      <c r="B81" s="194"/>
      <c r="C81" s="195"/>
      <c r="D81" s="196"/>
      <c r="E81" s="117"/>
      <c r="F81" s="98"/>
      <c r="G81" s="130"/>
    </row>
    <row r="82" spans="1:7" x14ac:dyDescent="0.25">
      <c r="A82" s="197"/>
      <c r="B82" s="198"/>
      <c r="C82" s="199" t="s">
        <v>51</v>
      </c>
      <c r="D82" s="199"/>
      <c r="E82" s="200" t="s">
        <v>50</v>
      </c>
      <c r="F82" s="99">
        <f>SUM(F41:F78)</f>
        <v>48665.639999999992</v>
      </c>
      <c r="G82" s="131"/>
    </row>
    <row r="83" spans="1:7" x14ac:dyDescent="0.25">
      <c r="A83" s="197"/>
      <c r="B83" s="198"/>
      <c r="C83" s="201"/>
      <c r="D83" s="202"/>
      <c r="E83" s="118"/>
      <c r="F83" s="100"/>
      <c r="G83" s="132"/>
    </row>
    <row r="84" spans="1:7" x14ac:dyDescent="0.25">
      <c r="A84" s="187"/>
      <c r="B84" s="192"/>
      <c r="C84" s="188"/>
      <c r="D84" s="189"/>
      <c r="E84" s="190"/>
      <c r="F84" s="97"/>
      <c r="G84" s="128"/>
    </row>
    <row r="85" spans="1:7" x14ac:dyDescent="0.25">
      <c r="A85" s="187"/>
      <c r="B85" s="36" t="s">
        <v>142</v>
      </c>
      <c r="C85" s="188"/>
      <c r="D85" s="189"/>
      <c r="E85" s="190"/>
      <c r="F85" s="97"/>
      <c r="G85" s="128"/>
    </row>
    <row r="86" spans="1:7" x14ac:dyDescent="0.25">
      <c r="A86" s="187"/>
      <c r="B86" s="191"/>
      <c r="C86" s="188"/>
      <c r="D86" s="189"/>
      <c r="E86" s="190"/>
      <c r="F86" s="97"/>
      <c r="G86" s="128"/>
    </row>
    <row r="87" spans="1:7" ht="27.6" x14ac:dyDescent="0.25">
      <c r="A87" s="39"/>
      <c r="B87" s="43" t="s">
        <v>830</v>
      </c>
      <c r="C87" s="41"/>
      <c r="D87" s="42"/>
      <c r="E87" s="190"/>
      <c r="F87" s="97"/>
      <c r="G87" s="128"/>
    </row>
    <row r="88" spans="1:7" x14ac:dyDescent="0.25">
      <c r="A88" s="187"/>
      <c r="B88" s="192"/>
      <c r="C88" s="188"/>
      <c r="D88" s="189"/>
      <c r="E88" s="190"/>
      <c r="F88" s="97"/>
      <c r="G88" s="128"/>
    </row>
    <row r="89" spans="1:7" x14ac:dyDescent="0.25">
      <c r="A89" s="39" t="s">
        <v>3</v>
      </c>
      <c r="B89" s="40" t="s">
        <v>831</v>
      </c>
      <c r="C89" s="41">
        <v>1</v>
      </c>
      <c r="D89" s="42" t="s">
        <v>6</v>
      </c>
      <c r="E89" s="190">
        <v>20213.13</v>
      </c>
      <c r="F89" s="97">
        <f>C89*E89</f>
        <v>20213.13</v>
      </c>
      <c r="G89" s="128"/>
    </row>
    <row r="90" spans="1:7" x14ac:dyDescent="0.25">
      <c r="A90" s="187"/>
      <c r="B90" s="192"/>
      <c r="C90" s="188"/>
      <c r="D90" s="189"/>
      <c r="E90" s="190"/>
      <c r="F90" s="97"/>
      <c r="G90" s="128"/>
    </row>
    <row r="91" spans="1:7" ht="27.6" x14ac:dyDescent="0.25">
      <c r="A91" s="39"/>
      <c r="B91" s="43" t="s">
        <v>832</v>
      </c>
      <c r="C91" s="41"/>
      <c r="D91" s="42"/>
      <c r="E91" s="190"/>
      <c r="F91" s="97"/>
      <c r="G91" s="128"/>
    </row>
    <row r="92" spans="1:7" x14ac:dyDescent="0.25">
      <c r="A92" s="187"/>
      <c r="B92" s="192"/>
      <c r="C92" s="188"/>
      <c r="D92" s="189"/>
      <c r="E92" s="190"/>
      <c r="F92" s="97"/>
      <c r="G92" s="128"/>
    </row>
    <row r="93" spans="1:7" ht="27.6" x14ac:dyDescent="0.25">
      <c r="A93" s="39" t="s">
        <v>2</v>
      </c>
      <c r="B93" s="40" t="s">
        <v>833</v>
      </c>
      <c r="C93" s="41" t="s">
        <v>834</v>
      </c>
      <c r="D93" s="42" t="s">
        <v>11</v>
      </c>
      <c r="E93" s="190">
        <v>98.27</v>
      </c>
      <c r="F93" s="97">
        <f>C93*E93</f>
        <v>19654</v>
      </c>
      <c r="G93" s="128"/>
    </row>
    <row r="94" spans="1:7" x14ac:dyDescent="0.25">
      <c r="A94" s="187"/>
      <c r="B94" s="192"/>
      <c r="C94" s="188"/>
      <c r="D94" s="189"/>
      <c r="E94" s="190"/>
      <c r="F94" s="97"/>
      <c r="G94" s="128"/>
    </row>
    <row r="95" spans="1:7" ht="27.6" x14ac:dyDescent="0.25">
      <c r="A95" s="39"/>
      <c r="B95" s="43" t="s">
        <v>835</v>
      </c>
      <c r="C95" s="41"/>
      <c r="D95" s="42"/>
      <c r="E95" s="190"/>
      <c r="F95" s="97"/>
      <c r="G95" s="128"/>
    </row>
    <row r="96" spans="1:7" x14ac:dyDescent="0.25">
      <c r="A96" s="187"/>
      <c r="B96" s="192"/>
      <c r="C96" s="188"/>
      <c r="D96" s="189"/>
      <c r="E96" s="190"/>
      <c r="F96" s="97"/>
      <c r="G96" s="128"/>
    </row>
    <row r="97" spans="1:7" x14ac:dyDescent="0.25">
      <c r="A97" s="39" t="s">
        <v>5</v>
      </c>
      <c r="B97" s="40" t="s">
        <v>836</v>
      </c>
      <c r="C97" s="41">
        <v>1</v>
      </c>
      <c r="D97" s="42" t="s">
        <v>6</v>
      </c>
      <c r="E97" s="190">
        <v>30642.49</v>
      </c>
      <c r="F97" s="97">
        <f>C97*E97</f>
        <v>30642.49</v>
      </c>
      <c r="G97" s="128"/>
    </row>
    <row r="98" spans="1:7" x14ac:dyDescent="0.25">
      <c r="A98" s="187"/>
      <c r="B98" s="192"/>
      <c r="C98" s="188"/>
      <c r="D98" s="189"/>
      <c r="E98" s="190"/>
      <c r="F98" s="97"/>
      <c r="G98" s="128"/>
    </row>
    <row r="99" spans="1:7" ht="27.6" x14ac:dyDescent="0.25">
      <c r="A99" s="39"/>
      <c r="B99" s="43" t="s">
        <v>837</v>
      </c>
      <c r="C99" s="41"/>
      <c r="D99" s="42"/>
      <c r="E99" s="190"/>
      <c r="F99" s="97"/>
      <c r="G99" s="128"/>
    </row>
    <row r="100" spans="1:7" x14ac:dyDescent="0.25">
      <c r="A100" s="187"/>
      <c r="B100" s="192"/>
      <c r="C100" s="188"/>
      <c r="D100" s="189"/>
      <c r="E100" s="190"/>
      <c r="F100" s="97"/>
      <c r="G100" s="128"/>
    </row>
    <row r="101" spans="1:7" x14ac:dyDescent="0.25">
      <c r="A101" s="39" t="s">
        <v>8</v>
      </c>
      <c r="B101" s="40" t="s">
        <v>838</v>
      </c>
      <c r="C101" s="41">
        <v>1</v>
      </c>
      <c r="D101" s="42" t="s">
        <v>6</v>
      </c>
      <c r="E101" s="190">
        <v>9096.9699999999993</v>
      </c>
      <c r="F101" s="97">
        <f>C101*E101</f>
        <v>9096.9699999999993</v>
      </c>
      <c r="G101" s="128"/>
    </row>
    <row r="102" spans="1:7" x14ac:dyDescent="0.25">
      <c r="A102" s="187"/>
      <c r="B102" s="192"/>
      <c r="C102" s="188"/>
      <c r="D102" s="189"/>
      <c r="E102" s="190"/>
      <c r="F102" s="97"/>
      <c r="G102" s="128"/>
    </row>
    <row r="103" spans="1:7" ht="27.6" x14ac:dyDescent="0.25">
      <c r="A103" s="39"/>
      <c r="B103" s="43" t="s">
        <v>839</v>
      </c>
      <c r="C103" s="41"/>
      <c r="D103" s="42"/>
      <c r="E103" s="190"/>
      <c r="F103" s="97"/>
      <c r="G103" s="128"/>
    </row>
    <row r="104" spans="1:7" x14ac:dyDescent="0.25">
      <c r="A104" s="187"/>
      <c r="B104" s="192"/>
      <c r="C104" s="188"/>
      <c r="D104" s="189"/>
      <c r="E104" s="190"/>
      <c r="F104" s="97"/>
      <c r="G104" s="128"/>
    </row>
    <row r="105" spans="1:7" x14ac:dyDescent="0.25">
      <c r="A105" s="39" t="s">
        <v>9</v>
      </c>
      <c r="B105" s="40" t="s">
        <v>840</v>
      </c>
      <c r="C105" s="41" t="s">
        <v>841</v>
      </c>
      <c r="D105" s="42" t="s">
        <v>11</v>
      </c>
      <c r="E105" s="190">
        <v>388.34</v>
      </c>
      <c r="F105" s="97">
        <f>C105*E105</f>
        <v>60192.7</v>
      </c>
      <c r="G105" s="128"/>
    </row>
    <row r="106" spans="1:7" x14ac:dyDescent="0.25">
      <c r="A106" s="187"/>
      <c r="B106" s="192"/>
      <c r="C106" s="188"/>
      <c r="D106" s="189"/>
      <c r="E106" s="190"/>
      <c r="F106" s="97"/>
      <c r="G106" s="128"/>
    </row>
    <row r="107" spans="1:7" ht="27.6" x14ac:dyDescent="0.25">
      <c r="A107" s="39"/>
      <c r="B107" s="43" t="s">
        <v>842</v>
      </c>
      <c r="C107" s="41"/>
      <c r="D107" s="42"/>
      <c r="E107" s="190"/>
      <c r="F107" s="97"/>
      <c r="G107" s="128"/>
    </row>
    <row r="108" spans="1:7" x14ac:dyDescent="0.25">
      <c r="A108" s="187"/>
      <c r="B108" s="192"/>
      <c r="C108" s="188"/>
      <c r="D108" s="189"/>
      <c r="E108" s="190"/>
      <c r="F108" s="97"/>
      <c r="G108" s="128"/>
    </row>
    <row r="109" spans="1:7" ht="27.6" x14ac:dyDescent="0.25">
      <c r="A109" s="39" t="s">
        <v>10</v>
      </c>
      <c r="B109" s="40" t="s">
        <v>843</v>
      </c>
      <c r="C109" s="41">
        <v>1</v>
      </c>
      <c r="D109" s="42" t="s">
        <v>6</v>
      </c>
      <c r="E109" s="190">
        <v>34057.31</v>
      </c>
      <c r="F109" s="97">
        <f>C109*E109</f>
        <v>34057.31</v>
      </c>
      <c r="G109" s="128"/>
    </row>
    <row r="110" spans="1:7" x14ac:dyDescent="0.25">
      <c r="A110" s="187"/>
      <c r="B110" s="192"/>
      <c r="C110" s="188"/>
      <c r="D110" s="189"/>
      <c r="E110" s="190"/>
      <c r="F110" s="97"/>
      <c r="G110" s="128"/>
    </row>
    <row r="111" spans="1:7" ht="27.6" x14ac:dyDescent="0.25">
      <c r="A111" s="39" t="s">
        <v>12</v>
      </c>
      <c r="B111" s="40" t="s">
        <v>844</v>
      </c>
      <c r="C111" s="41">
        <v>1</v>
      </c>
      <c r="D111" s="42" t="s">
        <v>6</v>
      </c>
      <c r="E111" s="190">
        <v>34057.31</v>
      </c>
      <c r="F111" s="97">
        <f>C111*E111</f>
        <v>34057.31</v>
      </c>
      <c r="G111" s="128"/>
    </row>
    <row r="112" spans="1:7" x14ac:dyDescent="0.25">
      <c r="A112" s="187"/>
      <c r="B112" s="192"/>
      <c r="C112" s="188"/>
      <c r="D112" s="189"/>
      <c r="E112" s="190"/>
      <c r="F112" s="97"/>
      <c r="G112" s="128"/>
    </row>
    <row r="113" spans="1:7" ht="41.4" x14ac:dyDescent="0.25">
      <c r="A113" s="39"/>
      <c r="B113" s="43" t="s">
        <v>845</v>
      </c>
      <c r="C113" s="41"/>
      <c r="D113" s="42"/>
      <c r="E113" s="190"/>
      <c r="F113" s="97"/>
      <c r="G113" s="128"/>
    </row>
    <row r="114" spans="1:7" x14ac:dyDescent="0.25">
      <c r="A114" s="187"/>
      <c r="B114" s="192"/>
      <c r="C114" s="188"/>
      <c r="D114" s="189"/>
      <c r="E114" s="190"/>
      <c r="F114" s="97"/>
      <c r="G114" s="128"/>
    </row>
    <row r="115" spans="1:7" x14ac:dyDescent="0.25">
      <c r="A115" s="39"/>
      <c r="B115" s="43" t="s">
        <v>846</v>
      </c>
      <c r="C115" s="41"/>
      <c r="D115" s="42"/>
      <c r="E115" s="190"/>
      <c r="F115" s="97"/>
      <c r="G115" s="128"/>
    </row>
    <row r="116" spans="1:7" x14ac:dyDescent="0.25">
      <c r="A116" s="187"/>
      <c r="B116" s="192"/>
      <c r="C116" s="188"/>
      <c r="D116" s="189"/>
      <c r="E116" s="190"/>
      <c r="F116" s="97"/>
      <c r="G116" s="128"/>
    </row>
    <row r="117" spans="1:7" x14ac:dyDescent="0.25">
      <c r="A117" s="39" t="s">
        <v>13</v>
      </c>
      <c r="B117" s="63" t="s">
        <v>847</v>
      </c>
      <c r="C117" s="41">
        <v>1</v>
      </c>
      <c r="D117" s="42" t="s">
        <v>6</v>
      </c>
      <c r="E117" s="190">
        <v>9700.98</v>
      </c>
      <c r="F117" s="97">
        <f>C117*E117</f>
        <v>9700.98</v>
      </c>
      <c r="G117" s="128"/>
    </row>
    <row r="118" spans="1:7" x14ac:dyDescent="0.25">
      <c r="A118" s="39"/>
      <c r="B118" s="40"/>
      <c r="C118" s="41"/>
      <c r="D118" s="42"/>
      <c r="E118" s="190"/>
      <c r="F118" s="97"/>
      <c r="G118" s="128"/>
    </row>
    <row r="119" spans="1:7" x14ac:dyDescent="0.25">
      <c r="A119" s="187"/>
      <c r="B119" s="192"/>
      <c r="C119" s="188"/>
      <c r="D119" s="189"/>
      <c r="E119" s="190"/>
      <c r="F119" s="97"/>
      <c r="G119" s="128"/>
    </row>
    <row r="120" spans="1:7" x14ac:dyDescent="0.25">
      <c r="A120" s="187"/>
      <c r="B120" s="192"/>
      <c r="C120" s="188"/>
      <c r="D120" s="189"/>
      <c r="E120" s="190"/>
      <c r="F120" s="97"/>
      <c r="G120" s="128"/>
    </row>
    <row r="121" spans="1:7" x14ac:dyDescent="0.25">
      <c r="A121" s="193"/>
      <c r="B121" s="194"/>
      <c r="C121" s="195"/>
      <c r="D121" s="196"/>
      <c r="E121" s="117"/>
      <c r="F121" s="98"/>
      <c r="G121" s="130"/>
    </row>
    <row r="122" spans="1:7" x14ac:dyDescent="0.25">
      <c r="A122" s="197"/>
      <c r="B122" s="198"/>
      <c r="C122" s="199" t="s">
        <v>51</v>
      </c>
      <c r="D122" s="199"/>
      <c r="E122" s="200" t="s">
        <v>50</v>
      </c>
      <c r="F122" s="99">
        <f>SUM(F85:F119)</f>
        <v>217614.89</v>
      </c>
      <c r="G122" s="131"/>
    </row>
    <row r="123" spans="1:7" x14ac:dyDescent="0.25">
      <c r="A123" s="197"/>
      <c r="B123" s="198"/>
      <c r="C123" s="201"/>
      <c r="D123" s="202"/>
      <c r="E123" s="118"/>
      <c r="F123" s="100"/>
      <c r="G123" s="132"/>
    </row>
    <row r="124" spans="1:7" x14ac:dyDescent="0.25">
      <c r="A124" s="187"/>
      <c r="B124" s="192"/>
      <c r="C124" s="188"/>
      <c r="D124" s="189"/>
      <c r="E124" s="190"/>
      <c r="F124" s="97"/>
      <c r="G124" s="128"/>
    </row>
    <row r="125" spans="1:7" x14ac:dyDescent="0.25">
      <c r="A125" s="187"/>
      <c r="B125" s="36" t="s">
        <v>142</v>
      </c>
      <c r="C125" s="188"/>
      <c r="D125" s="189"/>
      <c r="E125" s="190"/>
      <c r="F125" s="97"/>
      <c r="G125" s="128"/>
    </row>
    <row r="126" spans="1:7" x14ac:dyDescent="0.25">
      <c r="A126" s="187"/>
      <c r="B126" s="192"/>
      <c r="C126" s="188"/>
      <c r="D126" s="189"/>
      <c r="E126" s="190"/>
      <c r="F126" s="97"/>
      <c r="G126" s="128"/>
    </row>
    <row r="127" spans="1:7" x14ac:dyDescent="0.25">
      <c r="A127" s="39" t="s">
        <v>3</v>
      </c>
      <c r="B127" s="63" t="s">
        <v>848</v>
      </c>
      <c r="C127" s="41">
        <v>1</v>
      </c>
      <c r="D127" s="42" t="s">
        <v>6</v>
      </c>
      <c r="E127" s="190">
        <v>9597.7800000000007</v>
      </c>
      <c r="F127" s="97">
        <f>C127*E127</f>
        <v>9597.7800000000007</v>
      </c>
      <c r="G127" s="128"/>
    </row>
    <row r="128" spans="1:7" x14ac:dyDescent="0.25">
      <c r="A128" s="187"/>
      <c r="B128" s="192"/>
      <c r="C128" s="188"/>
      <c r="D128" s="189"/>
      <c r="E128" s="190"/>
      <c r="F128" s="97"/>
      <c r="G128" s="128"/>
    </row>
    <row r="129" spans="1:7" x14ac:dyDescent="0.25">
      <c r="A129" s="39" t="s">
        <v>2</v>
      </c>
      <c r="B129" s="63" t="s">
        <v>849</v>
      </c>
      <c r="C129" s="41">
        <v>1</v>
      </c>
      <c r="D129" s="42" t="s">
        <v>6</v>
      </c>
      <c r="E129" s="190">
        <v>8565.76</v>
      </c>
      <c r="F129" s="97">
        <f>C129*E129</f>
        <v>8565.76</v>
      </c>
      <c r="G129" s="128"/>
    </row>
    <row r="130" spans="1:7" x14ac:dyDescent="0.25">
      <c r="A130" s="187"/>
      <c r="B130" s="192"/>
      <c r="C130" s="188"/>
      <c r="D130" s="189"/>
      <c r="E130" s="190"/>
      <c r="F130" s="97"/>
      <c r="G130" s="128"/>
    </row>
    <row r="131" spans="1:7" x14ac:dyDescent="0.25">
      <c r="A131" s="39"/>
      <c r="B131" s="65" t="s">
        <v>850</v>
      </c>
      <c r="C131" s="41"/>
      <c r="D131" s="42"/>
      <c r="E131" s="190"/>
      <c r="F131" s="97"/>
      <c r="G131" s="128"/>
    </row>
    <row r="132" spans="1:7" x14ac:dyDescent="0.25">
      <c r="A132" s="187"/>
      <c r="B132" s="192"/>
      <c r="C132" s="188"/>
      <c r="D132" s="189"/>
      <c r="E132" s="190"/>
      <c r="F132" s="97"/>
      <c r="G132" s="128"/>
    </row>
    <row r="133" spans="1:7" ht="27.6" x14ac:dyDescent="0.25">
      <c r="A133" s="39" t="s">
        <v>5</v>
      </c>
      <c r="B133" s="40" t="s">
        <v>851</v>
      </c>
      <c r="C133" s="41">
        <v>1</v>
      </c>
      <c r="D133" s="42" t="s">
        <v>6</v>
      </c>
      <c r="E133" s="190">
        <v>23631.22</v>
      </c>
      <c r="F133" s="97">
        <f>C133*E133</f>
        <v>23631.22</v>
      </c>
      <c r="G133" s="128"/>
    </row>
    <row r="134" spans="1:7" x14ac:dyDescent="0.25">
      <c r="A134" s="187"/>
      <c r="B134" s="192"/>
      <c r="C134" s="188"/>
      <c r="D134" s="189"/>
      <c r="E134" s="190"/>
      <c r="F134" s="97"/>
      <c r="G134" s="128"/>
    </row>
    <row r="135" spans="1:7" x14ac:dyDescent="0.25">
      <c r="A135" s="39" t="s">
        <v>8</v>
      </c>
      <c r="B135" s="63" t="s">
        <v>852</v>
      </c>
      <c r="C135" s="41">
        <v>1</v>
      </c>
      <c r="D135" s="42" t="s">
        <v>6</v>
      </c>
      <c r="E135" s="190">
        <v>6616.74</v>
      </c>
      <c r="F135" s="97">
        <f>C135*E135</f>
        <v>6616.74</v>
      </c>
      <c r="G135" s="128"/>
    </row>
    <row r="136" spans="1:7" x14ac:dyDescent="0.25">
      <c r="A136" s="187"/>
      <c r="B136" s="192"/>
      <c r="C136" s="188"/>
      <c r="D136" s="189"/>
      <c r="E136" s="190"/>
      <c r="F136" s="97"/>
      <c r="G136" s="128"/>
    </row>
    <row r="137" spans="1:7" x14ac:dyDescent="0.25">
      <c r="A137" s="39" t="s">
        <v>9</v>
      </c>
      <c r="B137" s="63" t="s">
        <v>853</v>
      </c>
      <c r="C137" s="41">
        <v>1</v>
      </c>
      <c r="D137" s="42" t="s">
        <v>6</v>
      </c>
      <c r="E137" s="190">
        <v>6498.58</v>
      </c>
      <c r="F137" s="97">
        <f>C137*E137</f>
        <v>6498.58</v>
      </c>
      <c r="G137" s="128"/>
    </row>
    <row r="138" spans="1:7" x14ac:dyDescent="0.25">
      <c r="A138" s="187"/>
      <c r="B138" s="192"/>
      <c r="C138" s="188"/>
      <c r="D138" s="189"/>
      <c r="E138" s="190"/>
      <c r="F138" s="97"/>
      <c r="G138" s="128"/>
    </row>
    <row r="139" spans="1:7" x14ac:dyDescent="0.25">
      <c r="A139" s="39" t="s">
        <v>10</v>
      </c>
      <c r="B139" s="63" t="s">
        <v>854</v>
      </c>
      <c r="C139" s="41">
        <v>1</v>
      </c>
      <c r="D139" s="42" t="s">
        <v>6</v>
      </c>
      <c r="E139" s="190">
        <v>7443.83</v>
      </c>
      <c r="F139" s="97">
        <f>C139*E139</f>
        <v>7443.83</v>
      </c>
      <c r="G139" s="128"/>
    </row>
    <row r="140" spans="1:7" x14ac:dyDescent="0.25">
      <c r="A140" s="187"/>
      <c r="B140" s="192"/>
      <c r="C140" s="188"/>
      <c r="D140" s="189"/>
      <c r="E140" s="190"/>
      <c r="F140" s="97"/>
      <c r="G140" s="128"/>
    </row>
    <row r="141" spans="1:7" x14ac:dyDescent="0.25">
      <c r="A141" s="39"/>
      <c r="B141" s="65" t="s">
        <v>855</v>
      </c>
      <c r="C141" s="41"/>
      <c r="D141" s="42"/>
      <c r="E141" s="190"/>
      <c r="F141" s="97"/>
      <c r="G141" s="128"/>
    </row>
    <row r="142" spans="1:7" x14ac:dyDescent="0.25">
      <c r="A142" s="187"/>
      <c r="B142" s="192"/>
      <c r="C142" s="188"/>
      <c r="D142" s="189"/>
      <c r="E142" s="190"/>
      <c r="F142" s="97"/>
      <c r="G142" s="128"/>
    </row>
    <row r="143" spans="1:7" x14ac:dyDescent="0.25">
      <c r="A143" s="39" t="s">
        <v>12</v>
      </c>
      <c r="B143" s="63" t="s">
        <v>856</v>
      </c>
      <c r="C143" s="41">
        <v>1</v>
      </c>
      <c r="D143" s="42" t="s">
        <v>6</v>
      </c>
      <c r="E143" s="190">
        <v>25960.78</v>
      </c>
      <c r="F143" s="97">
        <f>C143*E143</f>
        <v>25960.78</v>
      </c>
      <c r="G143" s="128"/>
    </row>
    <row r="144" spans="1:7" x14ac:dyDescent="0.25">
      <c r="A144" s="187"/>
      <c r="B144" s="192"/>
      <c r="C144" s="188"/>
      <c r="D144" s="189"/>
      <c r="E144" s="190"/>
      <c r="F144" s="97"/>
      <c r="G144" s="128"/>
    </row>
    <row r="145" spans="1:7" x14ac:dyDescent="0.25">
      <c r="A145" s="39"/>
      <c r="B145" s="65" t="s">
        <v>857</v>
      </c>
      <c r="C145" s="41"/>
      <c r="D145" s="42"/>
      <c r="E145" s="190"/>
      <c r="F145" s="97"/>
      <c r="G145" s="128"/>
    </row>
    <row r="146" spans="1:7" x14ac:dyDescent="0.25">
      <c r="A146" s="187"/>
      <c r="B146" s="192"/>
      <c r="C146" s="188"/>
      <c r="D146" s="189"/>
      <c r="E146" s="190"/>
      <c r="F146" s="97"/>
      <c r="G146" s="128"/>
    </row>
    <row r="147" spans="1:7" x14ac:dyDescent="0.25">
      <c r="A147" s="39" t="s">
        <v>13</v>
      </c>
      <c r="B147" s="40" t="s">
        <v>858</v>
      </c>
      <c r="C147" s="41">
        <v>1</v>
      </c>
      <c r="D147" s="42" t="s">
        <v>6</v>
      </c>
      <c r="E147" s="190">
        <v>8177.65</v>
      </c>
      <c r="F147" s="97">
        <f>C147*E147</f>
        <v>8177.65</v>
      </c>
      <c r="G147" s="128"/>
    </row>
    <row r="148" spans="1:7" x14ac:dyDescent="0.25">
      <c r="A148" s="187"/>
      <c r="B148" s="192"/>
      <c r="C148" s="188"/>
      <c r="D148" s="189"/>
      <c r="E148" s="190"/>
      <c r="F148" s="97"/>
      <c r="G148" s="128"/>
    </row>
    <row r="149" spans="1:7" x14ac:dyDescent="0.25">
      <c r="A149" s="39" t="s">
        <v>16</v>
      </c>
      <c r="B149" s="63" t="s">
        <v>859</v>
      </c>
      <c r="C149" s="41">
        <v>1</v>
      </c>
      <c r="D149" s="42" t="s">
        <v>6</v>
      </c>
      <c r="E149" s="190">
        <v>29335.68</v>
      </c>
      <c r="F149" s="97">
        <f>C149*E149</f>
        <v>29335.68</v>
      </c>
      <c r="G149" s="128"/>
    </row>
    <row r="150" spans="1:7" x14ac:dyDescent="0.25">
      <c r="A150" s="187"/>
      <c r="B150" s="192"/>
      <c r="C150" s="188"/>
      <c r="D150" s="189"/>
      <c r="E150" s="190"/>
      <c r="F150" s="97"/>
      <c r="G150" s="128"/>
    </row>
    <row r="151" spans="1:7" x14ac:dyDescent="0.25">
      <c r="A151" s="39" t="s">
        <v>17</v>
      </c>
      <c r="B151" s="63" t="s">
        <v>860</v>
      </c>
      <c r="C151" s="41">
        <v>1</v>
      </c>
      <c r="D151" s="42" t="s">
        <v>6</v>
      </c>
      <c r="E151" s="190">
        <v>21158.04</v>
      </c>
      <c r="F151" s="97">
        <f>C151*E151</f>
        <v>21158.04</v>
      </c>
      <c r="G151" s="128"/>
    </row>
    <row r="152" spans="1:7" x14ac:dyDescent="0.25">
      <c r="A152" s="187"/>
      <c r="B152" s="192"/>
      <c r="C152" s="188"/>
      <c r="D152" s="189"/>
      <c r="E152" s="190"/>
      <c r="F152" s="97"/>
      <c r="G152" s="128"/>
    </row>
    <row r="153" spans="1:7" x14ac:dyDescent="0.25">
      <c r="A153" s="39" t="s">
        <v>18</v>
      </c>
      <c r="B153" s="63" t="s">
        <v>861</v>
      </c>
      <c r="C153" s="41">
        <v>1</v>
      </c>
      <c r="D153" s="42" t="s">
        <v>6</v>
      </c>
      <c r="E153" s="190">
        <v>13240</v>
      </c>
      <c r="F153" s="97">
        <f>C153*E153</f>
        <v>13240</v>
      </c>
      <c r="G153" s="128"/>
    </row>
    <row r="154" spans="1:7" x14ac:dyDescent="0.25">
      <c r="A154" s="187"/>
      <c r="B154" s="192"/>
      <c r="C154" s="188"/>
      <c r="D154" s="189"/>
      <c r="E154" s="190"/>
      <c r="F154" s="97"/>
      <c r="G154" s="128"/>
    </row>
    <row r="155" spans="1:7" x14ac:dyDescent="0.25">
      <c r="A155" s="39"/>
      <c r="B155" s="65" t="s">
        <v>862</v>
      </c>
      <c r="C155" s="41"/>
      <c r="D155" s="42"/>
      <c r="E155" s="190"/>
      <c r="F155" s="97"/>
      <c r="G155" s="128"/>
    </row>
    <row r="156" spans="1:7" x14ac:dyDescent="0.25">
      <c r="A156" s="187"/>
      <c r="B156" s="192"/>
      <c r="C156" s="188"/>
      <c r="D156" s="189"/>
      <c r="E156" s="190"/>
      <c r="F156" s="97"/>
      <c r="G156" s="128"/>
    </row>
    <row r="157" spans="1:7" x14ac:dyDescent="0.25">
      <c r="A157" s="39" t="s">
        <v>19</v>
      </c>
      <c r="B157" s="63" t="s">
        <v>863</v>
      </c>
      <c r="C157" s="41">
        <v>1</v>
      </c>
      <c r="D157" s="42" t="s">
        <v>6</v>
      </c>
      <c r="E157" s="190">
        <v>19127.09</v>
      </c>
      <c r="F157" s="97">
        <f>C157*E157</f>
        <v>19127.09</v>
      </c>
      <c r="G157" s="128"/>
    </row>
    <row r="158" spans="1:7" x14ac:dyDescent="0.25">
      <c r="A158" s="187"/>
      <c r="B158" s="192"/>
      <c r="C158" s="188"/>
      <c r="D158" s="189"/>
      <c r="E158" s="190"/>
      <c r="F158" s="97"/>
      <c r="G158" s="128"/>
    </row>
    <row r="159" spans="1:7" ht="27.6" x14ac:dyDescent="0.25">
      <c r="A159" s="39" t="s">
        <v>22</v>
      </c>
      <c r="B159" s="40" t="s">
        <v>864</v>
      </c>
      <c r="C159" s="41">
        <v>1</v>
      </c>
      <c r="D159" s="42" t="s">
        <v>6</v>
      </c>
      <c r="E159" s="190">
        <v>38736.370000000003</v>
      </c>
      <c r="F159" s="97">
        <f>C159*E159</f>
        <v>38736.370000000003</v>
      </c>
      <c r="G159" s="128"/>
    </row>
    <row r="160" spans="1:7" x14ac:dyDescent="0.25">
      <c r="A160" s="187"/>
      <c r="B160" s="192"/>
      <c r="C160" s="188"/>
      <c r="D160" s="189"/>
      <c r="E160" s="190"/>
      <c r="F160" s="97"/>
      <c r="G160" s="128"/>
    </row>
    <row r="161" spans="1:7" x14ac:dyDescent="0.25">
      <c r="A161" s="39"/>
      <c r="B161" s="40"/>
      <c r="C161" s="41"/>
      <c r="D161" s="42"/>
      <c r="E161" s="190"/>
      <c r="F161" s="97"/>
      <c r="G161" s="128"/>
    </row>
    <row r="162" spans="1:7" x14ac:dyDescent="0.25">
      <c r="A162" s="187"/>
      <c r="B162" s="192"/>
      <c r="C162" s="188"/>
      <c r="D162" s="189"/>
      <c r="E162" s="190"/>
      <c r="F162" s="97"/>
      <c r="G162" s="128"/>
    </row>
    <row r="163" spans="1:7" x14ac:dyDescent="0.25">
      <c r="A163" s="39"/>
      <c r="B163" s="40"/>
      <c r="C163" s="41"/>
      <c r="D163" s="42"/>
      <c r="E163" s="190"/>
      <c r="F163" s="97"/>
      <c r="G163" s="128"/>
    </row>
    <row r="164" spans="1:7" x14ac:dyDescent="0.25">
      <c r="A164" s="187"/>
      <c r="B164" s="192"/>
      <c r="C164" s="188"/>
      <c r="D164" s="189"/>
      <c r="E164" s="190"/>
      <c r="F164" s="97"/>
      <c r="G164" s="128"/>
    </row>
    <row r="165" spans="1:7" x14ac:dyDescent="0.25">
      <c r="A165" s="39"/>
      <c r="B165" s="40"/>
      <c r="C165" s="41"/>
      <c r="D165" s="42"/>
      <c r="E165" s="190"/>
      <c r="F165" s="97"/>
      <c r="G165" s="128"/>
    </row>
    <row r="166" spans="1:7" x14ac:dyDescent="0.25">
      <c r="A166" s="187"/>
      <c r="B166" s="192"/>
      <c r="C166" s="188"/>
      <c r="D166" s="189"/>
      <c r="E166" s="190"/>
      <c r="F166" s="97"/>
      <c r="G166" s="128"/>
    </row>
    <row r="167" spans="1:7" x14ac:dyDescent="0.25">
      <c r="A167" s="39"/>
      <c r="B167" s="40"/>
      <c r="C167" s="41"/>
      <c r="D167" s="42"/>
      <c r="E167" s="190"/>
      <c r="F167" s="97"/>
      <c r="G167" s="128"/>
    </row>
    <row r="168" spans="1:7" x14ac:dyDescent="0.25">
      <c r="A168" s="187"/>
      <c r="B168" s="192"/>
      <c r="C168" s="188"/>
      <c r="D168" s="189"/>
      <c r="E168" s="190"/>
      <c r="F168" s="97"/>
      <c r="G168" s="128"/>
    </row>
    <row r="169" spans="1:7" x14ac:dyDescent="0.25">
      <c r="A169" s="39"/>
      <c r="B169" s="40"/>
      <c r="C169" s="41"/>
      <c r="D169" s="42"/>
      <c r="E169" s="190"/>
      <c r="F169" s="97"/>
      <c r="G169" s="128"/>
    </row>
    <row r="170" spans="1:7" x14ac:dyDescent="0.25">
      <c r="A170" s="193"/>
      <c r="B170" s="194"/>
      <c r="C170" s="195"/>
      <c r="D170" s="196"/>
      <c r="E170" s="117"/>
      <c r="F170" s="98"/>
      <c r="G170" s="130"/>
    </row>
    <row r="171" spans="1:7" x14ac:dyDescent="0.25">
      <c r="A171" s="197"/>
      <c r="B171" s="198"/>
      <c r="C171" s="199" t="s">
        <v>51</v>
      </c>
      <c r="D171" s="199"/>
      <c r="E171" s="200" t="s">
        <v>50</v>
      </c>
      <c r="F171" s="99">
        <f>SUM(F125:F166)</f>
        <v>218089.52</v>
      </c>
      <c r="G171" s="131"/>
    </row>
    <row r="172" spans="1:7" x14ac:dyDescent="0.25">
      <c r="A172" s="197"/>
      <c r="B172" s="198"/>
      <c r="C172" s="201"/>
      <c r="D172" s="202"/>
      <c r="E172" s="118"/>
      <c r="F172" s="100"/>
      <c r="G172" s="132"/>
    </row>
    <row r="173" spans="1:7" x14ac:dyDescent="0.25">
      <c r="A173" s="192"/>
      <c r="B173" s="33"/>
      <c r="C173" s="192"/>
      <c r="D173" s="203"/>
      <c r="E173" s="190"/>
      <c r="F173" s="97"/>
      <c r="G173" s="128"/>
    </row>
    <row r="174" spans="1:7" x14ac:dyDescent="0.25">
      <c r="A174" s="187"/>
      <c r="B174" s="36" t="s">
        <v>142</v>
      </c>
      <c r="C174" s="188"/>
      <c r="D174" s="189"/>
      <c r="E174" s="190"/>
      <c r="F174" s="97"/>
      <c r="G174" s="128"/>
    </row>
    <row r="175" spans="1:7" x14ac:dyDescent="0.25">
      <c r="A175" s="187"/>
      <c r="B175" s="192"/>
      <c r="C175" s="188"/>
      <c r="D175" s="189"/>
      <c r="E175" s="190"/>
      <c r="F175" s="97"/>
      <c r="G175" s="128"/>
    </row>
    <row r="176" spans="1:7" ht="27.6" x14ac:dyDescent="0.25">
      <c r="A176" s="39"/>
      <c r="B176" s="43" t="s">
        <v>865</v>
      </c>
      <c r="C176" s="41"/>
      <c r="D176" s="42"/>
      <c r="E176" s="190"/>
      <c r="F176" s="97"/>
      <c r="G176" s="128"/>
    </row>
    <row r="177" spans="1:7" x14ac:dyDescent="0.25">
      <c r="A177" s="187"/>
      <c r="B177" s="192"/>
      <c r="C177" s="188"/>
      <c r="D177" s="189"/>
      <c r="E177" s="190"/>
      <c r="F177" s="97"/>
      <c r="G177" s="128"/>
    </row>
    <row r="178" spans="1:7" x14ac:dyDescent="0.25">
      <c r="A178" s="39" t="s">
        <v>3</v>
      </c>
      <c r="B178" s="40" t="s">
        <v>866</v>
      </c>
      <c r="C178" s="41">
        <v>1</v>
      </c>
      <c r="D178" s="42" t="s">
        <v>6</v>
      </c>
      <c r="E178" s="190">
        <v>80232.600000000006</v>
      </c>
      <c r="F178" s="97">
        <f>C178*E178</f>
        <v>80232.600000000006</v>
      </c>
      <c r="G178" s="128"/>
    </row>
    <row r="179" spans="1:7" x14ac:dyDescent="0.25">
      <c r="A179" s="187"/>
      <c r="B179" s="192"/>
      <c r="C179" s="188"/>
      <c r="D179" s="189"/>
      <c r="E179" s="190"/>
      <c r="F179" s="97"/>
      <c r="G179" s="128"/>
    </row>
    <row r="180" spans="1:7" x14ac:dyDescent="0.25">
      <c r="A180" s="39" t="s">
        <v>2</v>
      </c>
      <c r="B180" s="40" t="s">
        <v>867</v>
      </c>
      <c r="C180" s="41">
        <v>1</v>
      </c>
      <c r="D180" s="42" t="s">
        <v>6</v>
      </c>
      <c r="E180" s="190">
        <v>72523.42</v>
      </c>
      <c r="F180" s="97">
        <f>C180*E180</f>
        <v>72523.42</v>
      </c>
      <c r="G180" s="128"/>
    </row>
    <row r="181" spans="1:7" x14ac:dyDescent="0.25">
      <c r="A181" s="187"/>
      <c r="B181" s="192"/>
      <c r="C181" s="188"/>
      <c r="D181" s="189"/>
      <c r="E181" s="190"/>
      <c r="F181" s="97"/>
      <c r="G181" s="128"/>
    </row>
    <row r="182" spans="1:7" x14ac:dyDescent="0.25">
      <c r="A182" s="39"/>
      <c r="B182" s="65" t="s">
        <v>868</v>
      </c>
      <c r="C182" s="41"/>
      <c r="D182" s="42"/>
      <c r="E182" s="190"/>
      <c r="F182" s="97"/>
      <c r="G182" s="128"/>
    </row>
    <row r="183" spans="1:7" x14ac:dyDescent="0.25">
      <c r="A183" s="187"/>
      <c r="B183" s="192"/>
      <c r="C183" s="188"/>
      <c r="D183" s="189"/>
      <c r="E183" s="190"/>
      <c r="F183" s="97"/>
      <c r="G183" s="128"/>
    </row>
    <row r="184" spans="1:7" x14ac:dyDescent="0.25">
      <c r="A184" s="39" t="s">
        <v>5</v>
      </c>
      <c r="B184" s="40" t="s">
        <v>869</v>
      </c>
      <c r="C184" s="41">
        <v>1</v>
      </c>
      <c r="D184" s="42" t="s">
        <v>6</v>
      </c>
      <c r="E184" s="190">
        <v>81089.179999999993</v>
      </c>
      <c r="F184" s="97">
        <f>C184*E184</f>
        <v>81089.179999999993</v>
      </c>
      <c r="G184" s="128"/>
    </row>
    <row r="185" spans="1:7" x14ac:dyDescent="0.25">
      <c r="A185" s="187"/>
      <c r="B185" s="192"/>
      <c r="C185" s="188"/>
      <c r="D185" s="189"/>
      <c r="E185" s="190"/>
      <c r="F185" s="97"/>
      <c r="G185" s="128"/>
    </row>
    <row r="186" spans="1:7" x14ac:dyDescent="0.25">
      <c r="A186" s="39"/>
      <c r="B186" s="65" t="s">
        <v>870</v>
      </c>
      <c r="C186" s="41"/>
      <c r="D186" s="42"/>
      <c r="E186" s="190"/>
      <c r="F186" s="97"/>
      <c r="G186" s="128"/>
    </row>
    <row r="187" spans="1:7" x14ac:dyDescent="0.25">
      <c r="A187" s="187"/>
      <c r="B187" s="192"/>
      <c r="C187" s="188"/>
      <c r="D187" s="189"/>
      <c r="E187" s="190"/>
      <c r="F187" s="97"/>
      <c r="G187" s="128"/>
    </row>
    <row r="188" spans="1:7" x14ac:dyDescent="0.25">
      <c r="A188" s="39" t="s">
        <v>8</v>
      </c>
      <c r="B188" s="40" t="s">
        <v>871</v>
      </c>
      <c r="C188" s="41">
        <v>1</v>
      </c>
      <c r="D188" s="42" t="s">
        <v>6</v>
      </c>
      <c r="E188" s="190">
        <v>128082.91</v>
      </c>
      <c r="F188" s="97">
        <f>C188*E188</f>
        <v>128082.91</v>
      </c>
      <c r="G188" s="128"/>
    </row>
    <row r="189" spans="1:7" x14ac:dyDescent="0.25">
      <c r="A189" s="187"/>
      <c r="B189" s="192"/>
      <c r="C189" s="188"/>
      <c r="D189" s="189"/>
      <c r="E189" s="190"/>
      <c r="F189" s="97"/>
      <c r="G189" s="128"/>
    </row>
    <row r="190" spans="1:7" x14ac:dyDescent="0.25">
      <c r="A190" s="39"/>
      <c r="B190" s="65" t="s">
        <v>872</v>
      </c>
      <c r="C190" s="41"/>
      <c r="D190" s="42"/>
      <c r="E190" s="190"/>
      <c r="F190" s="97"/>
      <c r="G190" s="128"/>
    </row>
    <row r="191" spans="1:7" x14ac:dyDescent="0.25">
      <c r="A191" s="187"/>
      <c r="B191" s="192"/>
      <c r="C191" s="188"/>
      <c r="D191" s="189"/>
      <c r="E191" s="190"/>
      <c r="F191" s="97"/>
      <c r="G191" s="128"/>
    </row>
    <row r="192" spans="1:7" ht="27.6" x14ac:dyDescent="0.25">
      <c r="A192" s="39" t="s">
        <v>9</v>
      </c>
      <c r="B192" s="40" t="s">
        <v>873</v>
      </c>
      <c r="C192" s="41">
        <v>1</v>
      </c>
      <c r="D192" s="42" t="s">
        <v>6</v>
      </c>
      <c r="E192" s="190">
        <v>40044.699999999997</v>
      </c>
      <c r="F192" s="97">
        <f>C192*E192</f>
        <v>40044.699999999997</v>
      </c>
      <c r="G192" s="128"/>
    </row>
    <row r="193" spans="1:7" x14ac:dyDescent="0.25">
      <c r="A193" s="187"/>
      <c r="B193" s="192"/>
      <c r="C193" s="188"/>
      <c r="D193" s="189"/>
      <c r="E193" s="190"/>
      <c r="F193" s="97"/>
      <c r="G193" s="128"/>
    </row>
    <row r="194" spans="1:7" ht="27.6" x14ac:dyDescent="0.25">
      <c r="A194" s="39" t="s">
        <v>10</v>
      </c>
      <c r="B194" s="40" t="s">
        <v>874</v>
      </c>
      <c r="C194" s="41">
        <v>1</v>
      </c>
      <c r="D194" s="42" t="s">
        <v>6</v>
      </c>
      <c r="E194" s="190">
        <v>36230.93</v>
      </c>
      <c r="F194" s="97">
        <f>C194*E194</f>
        <v>36230.93</v>
      </c>
      <c r="G194" s="128"/>
    </row>
    <row r="195" spans="1:7" x14ac:dyDescent="0.25">
      <c r="A195" s="187"/>
      <c r="B195" s="192"/>
      <c r="C195" s="188"/>
      <c r="D195" s="189"/>
      <c r="E195" s="190"/>
      <c r="F195" s="97"/>
      <c r="G195" s="128"/>
    </row>
    <row r="196" spans="1:7" ht="27.6" x14ac:dyDescent="0.25">
      <c r="A196" s="39" t="s">
        <v>12</v>
      </c>
      <c r="B196" s="40" t="s">
        <v>875</v>
      </c>
      <c r="C196" s="41">
        <v>1</v>
      </c>
      <c r="D196" s="42" t="s">
        <v>6</v>
      </c>
      <c r="E196" s="190">
        <v>23699.919999999998</v>
      </c>
      <c r="F196" s="97">
        <f>C196*E196</f>
        <v>23699.919999999998</v>
      </c>
      <c r="G196" s="128"/>
    </row>
    <row r="197" spans="1:7" x14ac:dyDescent="0.25">
      <c r="A197" s="187"/>
      <c r="B197" s="192"/>
      <c r="C197" s="188"/>
      <c r="D197" s="189"/>
      <c r="E197" s="190"/>
      <c r="F197" s="97"/>
      <c r="G197" s="128"/>
    </row>
    <row r="198" spans="1:7" ht="41.4" x14ac:dyDescent="0.25">
      <c r="A198" s="39"/>
      <c r="B198" s="43" t="s">
        <v>876</v>
      </c>
      <c r="C198" s="41"/>
      <c r="D198" s="42"/>
      <c r="E198" s="190"/>
      <c r="F198" s="97"/>
      <c r="G198" s="128"/>
    </row>
    <row r="199" spans="1:7" x14ac:dyDescent="0.25">
      <c r="A199" s="187"/>
      <c r="B199" s="192"/>
      <c r="C199" s="188"/>
      <c r="D199" s="189"/>
      <c r="E199" s="190"/>
      <c r="F199" s="97"/>
      <c r="G199" s="128"/>
    </row>
    <row r="200" spans="1:7" x14ac:dyDescent="0.25">
      <c r="A200" s="39" t="s">
        <v>13</v>
      </c>
      <c r="B200" s="40" t="s">
        <v>877</v>
      </c>
      <c r="C200" s="41" t="s">
        <v>878</v>
      </c>
      <c r="D200" s="42" t="s">
        <v>11</v>
      </c>
      <c r="E200" s="190">
        <v>3099.44</v>
      </c>
      <c r="F200" s="97">
        <f>C200*E200</f>
        <v>756263.36</v>
      </c>
      <c r="G200" s="128"/>
    </row>
    <row r="201" spans="1:7" x14ac:dyDescent="0.25">
      <c r="A201" s="187"/>
      <c r="B201" s="192"/>
      <c r="C201" s="188"/>
      <c r="D201" s="189"/>
      <c r="E201" s="190"/>
      <c r="F201" s="97"/>
      <c r="G201" s="128"/>
    </row>
    <row r="202" spans="1:7" ht="27.6" x14ac:dyDescent="0.25">
      <c r="A202" s="39"/>
      <c r="B202" s="43" t="s">
        <v>879</v>
      </c>
      <c r="C202" s="41"/>
      <c r="D202" s="42"/>
      <c r="E202" s="190"/>
      <c r="F202" s="97"/>
      <c r="G202" s="128"/>
    </row>
    <row r="203" spans="1:7" x14ac:dyDescent="0.25">
      <c r="A203" s="187"/>
      <c r="B203" s="192"/>
      <c r="C203" s="188"/>
      <c r="D203" s="189"/>
      <c r="E203" s="190"/>
      <c r="F203" s="97"/>
      <c r="G203" s="128"/>
    </row>
    <row r="204" spans="1:7" x14ac:dyDescent="0.25">
      <c r="A204" s="39"/>
      <c r="B204" s="43" t="s">
        <v>880</v>
      </c>
      <c r="C204" s="41"/>
      <c r="D204" s="42"/>
      <c r="E204" s="190"/>
      <c r="F204" s="97"/>
      <c r="G204" s="128"/>
    </row>
    <row r="205" spans="1:7" x14ac:dyDescent="0.25">
      <c r="A205" s="187"/>
      <c r="B205" s="192"/>
      <c r="C205" s="188"/>
      <c r="D205" s="189"/>
      <c r="E205" s="190"/>
      <c r="F205" s="97"/>
      <c r="G205" s="128"/>
    </row>
    <row r="206" spans="1:7" ht="27.6" x14ac:dyDescent="0.25">
      <c r="A206" s="39" t="s">
        <v>16</v>
      </c>
      <c r="B206" s="40" t="s">
        <v>881</v>
      </c>
      <c r="C206" s="41" t="s">
        <v>94</v>
      </c>
      <c r="D206" s="42" t="s">
        <v>11</v>
      </c>
      <c r="E206" s="190">
        <v>117.05</v>
      </c>
      <c r="F206" s="97">
        <f>C206*E206</f>
        <v>7959.4</v>
      </c>
      <c r="G206" s="128"/>
    </row>
    <row r="207" spans="1:7" x14ac:dyDescent="0.25">
      <c r="A207" s="187"/>
      <c r="B207" s="192"/>
      <c r="C207" s="188"/>
      <c r="D207" s="189"/>
      <c r="F207" s="97"/>
      <c r="G207" s="128"/>
    </row>
    <row r="208" spans="1:7" x14ac:dyDescent="0.25">
      <c r="A208" s="39"/>
      <c r="B208" s="40"/>
      <c r="C208" s="41"/>
      <c r="D208" s="42"/>
      <c r="E208" s="190"/>
      <c r="F208" s="97"/>
      <c r="G208" s="128"/>
    </row>
    <row r="209" spans="1:7" x14ac:dyDescent="0.25">
      <c r="A209" s="187"/>
      <c r="B209" s="192"/>
      <c r="C209" s="188"/>
      <c r="D209" s="189"/>
      <c r="E209" s="190"/>
      <c r="F209" s="97"/>
      <c r="G209" s="128"/>
    </row>
    <row r="210" spans="1:7" x14ac:dyDescent="0.25">
      <c r="A210" s="192"/>
      <c r="B210" s="33"/>
      <c r="C210" s="192"/>
      <c r="D210" s="203"/>
      <c r="E210" s="190"/>
      <c r="F210" s="97"/>
      <c r="G210" s="128"/>
    </row>
    <row r="211" spans="1:7" x14ac:dyDescent="0.25">
      <c r="A211" s="192"/>
      <c r="B211" s="33"/>
      <c r="C211" s="192"/>
      <c r="D211" s="203"/>
      <c r="E211" s="190"/>
      <c r="F211" s="97"/>
      <c r="G211" s="128"/>
    </row>
    <row r="212" spans="1:7" x14ac:dyDescent="0.25">
      <c r="A212" s="192"/>
      <c r="B212" s="33"/>
      <c r="C212" s="192"/>
      <c r="D212" s="203"/>
      <c r="E212" s="190"/>
      <c r="F212" s="97"/>
      <c r="G212" s="128"/>
    </row>
    <row r="213" spans="1:7" x14ac:dyDescent="0.25">
      <c r="A213" s="193"/>
      <c r="B213" s="194"/>
      <c r="C213" s="195"/>
      <c r="D213" s="196"/>
      <c r="E213" s="117"/>
      <c r="F213" s="98"/>
      <c r="G213" s="130"/>
    </row>
    <row r="214" spans="1:7" x14ac:dyDescent="0.25">
      <c r="A214" s="197"/>
      <c r="B214" s="198"/>
      <c r="C214" s="199" t="s">
        <v>51</v>
      </c>
      <c r="D214" s="199"/>
      <c r="E214" s="200" t="s">
        <v>50</v>
      </c>
      <c r="F214" s="99">
        <f>SUM(F174:F210)</f>
        <v>1226126.42</v>
      </c>
      <c r="G214" s="131"/>
    </row>
    <row r="215" spans="1:7" x14ac:dyDescent="0.25">
      <c r="A215" s="197"/>
      <c r="B215" s="198"/>
      <c r="C215" s="201"/>
      <c r="D215" s="202"/>
      <c r="E215" s="118"/>
      <c r="F215" s="100"/>
      <c r="G215" s="132"/>
    </row>
    <row r="216" spans="1:7" x14ac:dyDescent="0.25">
      <c r="A216" s="192"/>
      <c r="B216" s="33"/>
      <c r="C216" s="192"/>
      <c r="D216" s="203"/>
      <c r="E216" s="190"/>
      <c r="F216" s="97"/>
      <c r="G216" s="128"/>
    </row>
    <row r="217" spans="1:7" x14ac:dyDescent="0.25">
      <c r="A217" s="187"/>
      <c r="B217" s="36" t="s">
        <v>142</v>
      </c>
      <c r="C217" s="188"/>
      <c r="D217" s="189"/>
      <c r="E217" s="190"/>
      <c r="F217" s="97"/>
      <c r="G217" s="128"/>
    </row>
    <row r="218" spans="1:7" x14ac:dyDescent="0.25">
      <c r="A218" s="187"/>
      <c r="B218" s="191"/>
      <c r="C218" s="188"/>
      <c r="D218" s="189"/>
      <c r="E218" s="190"/>
      <c r="F218" s="97"/>
      <c r="G218" s="128"/>
    </row>
    <row r="219" spans="1:7" x14ac:dyDescent="0.25">
      <c r="A219" s="39"/>
      <c r="B219" s="43" t="s">
        <v>882</v>
      </c>
      <c r="C219" s="41"/>
      <c r="D219" s="42"/>
      <c r="E219" s="190"/>
      <c r="F219" s="97"/>
      <c r="G219" s="128"/>
    </row>
    <row r="220" spans="1:7" x14ac:dyDescent="0.25">
      <c r="A220" s="187"/>
      <c r="B220" s="192"/>
      <c r="C220" s="188"/>
      <c r="D220" s="189"/>
      <c r="E220" s="190"/>
      <c r="F220" s="97"/>
      <c r="G220" s="128"/>
    </row>
    <row r="221" spans="1:7" x14ac:dyDescent="0.25">
      <c r="A221" s="39" t="s">
        <v>3</v>
      </c>
      <c r="B221" s="40" t="s">
        <v>883</v>
      </c>
      <c r="C221" s="41" t="s">
        <v>884</v>
      </c>
      <c r="D221" s="42" t="s">
        <v>11</v>
      </c>
      <c r="E221" s="190">
        <v>87.9</v>
      </c>
      <c r="F221" s="97">
        <f>C221*E221</f>
        <v>17667.900000000001</v>
      </c>
      <c r="G221" s="128" t="s">
        <v>1222</v>
      </c>
    </row>
    <row r="222" spans="1:7" x14ac:dyDescent="0.25">
      <c r="A222" s="187"/>
      <c r="B222" s="192"/>
      <c r="C222" s="188"/>
      <c r="D222" s="189"/>
      <c r="E222" s="190"/>
      <c r="F222" s="97"/>
      <c r="G222" s="128"/>
    </row>
    <row r="223" spans="1:7" x14ac:dyDescent="0.25">
      <c r="A223" s="39" t="s">
        <v>2</v>
      </c>
      <c r="B223" s="40" t="s">
        <v>885</v>
      </c>
      <c r="C223" s="41" t="s">
        <v>359</v>
      </c>
      <c r="D223" s="42" t="s">
        <v>11</v>
      </c>
      <c r="E223" s="190">
        <v>93.97</v>
      </c>
      <c r="F223" s="97">
        <f>C223*E223</f>
        <v>13531.68</v>
      </c>
      <c r="G223" s="128" t="s">
        <v>1222</v>
      </c>
    </row>
    <row r="224" spans="1:7" x14ac:dyDescent="0.25">
      <c r="A224" s="187"/>
      <c r="B224" s="192"/>
      <c r="C224" s="188"/>
      <c r="D224" s="189"/>
      <c r="E224" s="190"/>
      <c r="F224" s="97"/>
      <c r="G224" s="128"/>
    </row>
    <row r="225" spans="1:7" x14ac:dyDescent="0.25">
      <c r="A225" s="39" t="s">
        <v>5</v>
      </c>
      <c r="B225" s="40" t="s">
        <v>886</v>
      </c>
      <c r="C225" s="41" t="s">
        <v>887</v>
      </c>
      <c r="D225" s="42" t="s">
        <v>11</v>
      </c>
      <c r="E225" s="190">
        <v>98.74</v>
      </c>
      <c r="F225" s="97">
        <f>C225*E225</f>
        <v>26659.8</v>
      </c>
      <c r="G225" s="128" t="s">
        <v>1222</v>
      </c>
    </row>
    <row r="226" spans="1:7" x14ac:dyDescent="0.25">
      <c r="A226" s="187"/>
      <c r="B226" s="192"/>
      <c r="C226" s="188"/>
      <c r="D226" s="189"/>
      <c r="E226" s="190"/>
      <c r="F226" s="97"/>
      <c r="G226" s="128"/>
    </row>
    <row r="227" spans="1:7" x14ac:dyDescent="0.25">
      <c r="A227" s="39" t="s">
        <v>8</v>
      </c>
      <c r="B227" s="40" t="s">
        <v>888</v>
      </c>
      <c r="C227" s="41" t="s">
        <v>889</v>
      </c>
      <c r="D227" s="42" t="s">
        <v>11</v>
      </c>
      <c r="E227" s="190">
        <v>124.98</v>
      </c>
      <c r="F227" s="97">
        <f>C227*E227</f>
        <v>250334.94</v>
      </c>
      <c r="G227" s="128" t="s">
        <v>1222</v>
      </c>
    </row>
    <row r="228" spans="1:7" x14ac:dyDescent="0.25">
      <c r="A228" s="187"/>
      <c r="B228" s="192"/>
      <c r="C228" s="188"/>
      <c r="D228" s="189"/>
      <c r="E228" s="190"/>
      <c r="F228" s="97"/>
      <c r="G228" s="128"/>
    </row>
    <row r="229" spans="1:7" x14ac:dyDescent="0.25">
      <c r="A229" s="39" t="s">
        <v>9</v>
      </c>
      <c r="B229" s="40" t="s">
        <v>890</v>
      </c>
      <c r="C229" s="41" t="s">
        <v>891</v>
      </c>
      <c r="D229" s="42" t="s">
        <v>11</v>
      </c>
      <c r="E229" s="190">
        <v>139.05000000000001</v>
      </c>
      <c r="F229" s="97">
        <f>C229*E229</f>
        <v>51448.500000000007</v>
      </c>
      <c r="G229" s="128"/>
    </row>
    <row r="230" spans="1:7" x14ac:dyDescent="0.25">
      <c r="A230" s="187"/>
      <c r="B230" s="192"/>
      <c r="C230" s="188"/>
      <c r="D230" s="189"/>
      <c r="E230" s="190"/>
      <c r="F230" s="97"/>
      <c r="G230" s="128"/>
    </row>
    <row r="231" spans="1:7" x14ac:dyDescent="0.25">
      <c r="A231" s="39" t="s">
        <v>10</v>
      </c>
      <c r="B231" s="40" t="s">
        <v>892</v>
      </c>
      <c r="C231" s="41" t="s">
        <v>893</v>
      </c>
      <c r="D231" s="42" t="s">
        <v>11</v>
      </c>
      <c r="E231" s="190">
        <v>140.24</v>
      </c>
      <c r="F231" s="97">
        <f>C231*E231</f>
        <v>84424.48000000001</v>
      </c>
      <c r="G231" s="128"/>
    </row>
    <row r="232" spans="1:7" x14ac:dyDescent="0.25">
      <c r="A232" s="187"/>
      <c r="B232" s="192"/>
      <c r="C232" s="188"/>
      <c r="D232" s="189"/>
      <c r="E232" s="190"/>
      <c r="F232" s="97"/>
      <c r="G232" s="128"/>
    </row>
    <row r="233" spans="1:7" x14ac:dyDescent="0.25">
      <c r="A233" s="39" t="s">
        <v>12</v>
      </c>
      <c r="B233" s="40" t="s">
        <v>894</v>
      </c>
      <c r="C233" s="41" t="s">
        <v>895</v>
      </c>
      <c r="D233" s="42" t="s">
        <v>11</v>
      </c>
      <c r="E233" s="190">
        <v>187.97</v>
      </c>
      <c r="F233" s="97">
        <f>C233*E233</f>
        <v>98308.31</v>
      </c>
      <c r="G233" s="128"/>
    </row>
    <row r="234" spans="1:7" x14ac:dyDescent="0.25">
      <c r="A234" s="187"/>
      <c r="B234" s="192"/>
      <c r="C234" s="188"/>
      <c r="D234" s="189"/>
      <c r="E234" s="190"/>
      <c r="F234" s="97"/>
      <c r="G234" s="128"/>
    </row>
    <row r="235" spans="1:7" x14ac:dyDescent="0.25">
      <c r="A235" s="39" t="s">
        <v>13</v>
      </c>
      <c r="B235" s="40" t="s">
        <v>896</v>
      </c>
      <c r="C235" s="41" t="s">
        <v>897</v>
      </c>
      <c r="D235" s="42" t="s">
        <v>11</v>
      </c>
      <c r="E235" s="190">
        <v>189.45</v>
      </c>
      <c r="F235" s="97">
        <f>C235*E235</f>
        <v>119921.84999999999</v>
      </c>
      <c r="G235" s="128"/>
    </row>
    <row r="236" spans="1:7" x14ac:dyDescent="0.25">
      <c r="A236" s="187"/>
      <c r="B236" s="192"/>
      <c r="C236" s="188"/>
      <c r="D236" s="189"/>
      <c r="E236" s="190"/>
      <c r="F236" s="97"/>
      <c r="G236" s="128"/>
    </row>
    <row r="237" spans="1:7" x14ac:dyDescent="0.25">
      <c r="A237" s="39" t="s">
        <v>16</v>
      </c>
      <c r="B237" s="40" t="s">
        <v>898</v>
      </c>
      <c r="C237" s="41" t="s">
        <v>899</v>
      </c>
      <c r="D237" s="42" t="s">
        <v>11</v>
      </c>
      <c r="E237" s="190">
        <v>261.52999999999997</v>
      </c>
      <c r="F237" s="97">
        <f>C237*E237</f>
        <v>17522.509999999998</v>
      </c>
      <c r="G237" s="128"/>
    </row>
    <row r="238" spans="1:7" x14ac:dyDescent="0.25">
      <c r="A238" s="187"/>
      <c r="B238" s="192"/>
      <c r="C238" s="188"/>
      <c r="D238" s="189"/>
      <c r="E238" s="190"/>
      <c r="F238" s="97"/>
      <c r="G238" s="128"/>
    </row>
    <row r="239" spans="1:7" x14ac:dyDescent="0.25">
      <c r="A239" s="39" t="s">
        <v>17</v>
      </c>
      <c r="B239" s="40" t="s">
        <v>900</v>
      </c>
      <c r="C239" s="41" t="s">
        <v>69</v>
      </c>
      <c r="D239" s="42" t="s">
        <v>11</v>
      </c>
      <c r="E239" s="190">
        <v>391.77</v>
      </c>
      <c r="F239" s="97">
        <f>C239*E239</f>
        <v>11753.099999999999</v>
      </c>
      <c r="G239" s="128"/>
    </row>
    <row r="240" spans="1:7" x14ac:dyDescent="0.25">
      <c r="A240" s="187"/>
      <c r="B240" s="192"/>
      <c r="C240" s="188"/>
      <c r="D240" s="189"/>
      <c r="E240" s="190"/>
      <c r="F240" s="97"/>
      <c r="G240" s="128"/>
    </row>
    <row r="241" spans="1:7" x14ac:dyDescent="0.25">
      <c r="A241" s="39" t="s">
        <v>18</v>
      </c>
      <c r="B241" s="40" t="s">
        <v>901</v>
      </c>
      <c r="C241" s="41" t="s">
        <v>902</v>
      </c>
      <c r="D241" s="42" t="s">
        <v>11</v>
      </c>
      <c r="E241" s="190">
        <v>87.62</v>
      </c>
      <c r="F241" s="97">
        <f>C241*E241</f>
        <v>16647.8</v>
      </c>
      <c r="G241" s="128"/>
    </row>
    <row r="242" spans="1:7" x14ac:dyDescent="0.25">
      <c r="A242" s="187"/>
      <c r="B242" s="192"/>
      <c r="C242" s="188"/>
      <c r="D242" s="189"/>
      <c r="E242" s="190"/>
      <c r="F242" s="97"/>
      <c r="G242" s="128"/>
    </row>
    <row r="243" spans="1:7" x14ac:dyDescent="0.25">
      <c r="A243" s="39" t="s">
        <v>19</v>
      </c>
      <c r="B243" s="40" t="s">
        <v>903</v>
      </c>
      <c r="C243" s="41" t="s">
        <v>519</v>
      </c>
      <c r="D243" s="42" t="s">
        <v>11</v>
      </c>
      <c r="E243" s="190">
        <v>125.93</v>
      </c>
      <c r="F243" s="97">
        <f>C243*E243</f>
        <v>10704.050000000001</v>
      </c>
      <c r="G243" s="128"/>
    </row>
    <row r="244" spans="1:7" x14ac:dyDescent="0.25">
      <c r="A244" s="187"/>
      <c r="B244" s="192"/>
      <c r="C244" s="188"/>
      <c r="D244" s="189"/>
      <c r="E244" s="190"/>
      <c r="F244" s="97"/>
      <c r="G244" s="128"/>
    </row>
    <row r="245" spans="1:7" x14ac:dyDescent="0.25">
      <c r="A245" s="39" t="s">
        <v>22</v>
      </c>
      <c r="B245" s="40" t="s">
        <v>904</v>
      </c>
      <c r="C245" s="41" t="s">
        <v>905</v>
      </c>
      <c r="D245" s="42" t="s">
        <v>11</v>
      </c>
      <c r="E245" s="190">
        <v>128.33000000000001</v>
      </c>
      <c r="F245" s="97">
        <f>C245*E245</f>
        <v>13346.320000000002</v>
      </c>
      <c r="G245" s="128"/>
    </row>
    <row r="246" spans="1:7" x14ac:dyDescent="0.25">
      <c r="A246" s="187"/>
      <c r="B246" s="192"/>
      <c r="C246" s="188"/>
      <c r="D246" s="189"/>
      <c r="E246" s="190"/>
      <c r="F246" s="97"/>
      <c r="G246" s="128"/>
    </row>
    <row r="247" spans="1:7" x14ac:dyDescent="0.25">
      <c r="A247" s="39" t="s">
        <v>23</v>
      </c>
      <c r="B247" s="40" t="s">
        <v>906</v>
      </c>
      <c r="C247" s="41" t="s">
        <v>80</v>
      </c>
      <c r="D247" s="42" t="s">
        <v>11</v>
      </c>
      <c r="E247" s="190">
        <v>140.72</v>
      </c>
      <c r="F247" s="97">
        <f>C247*E247</f>
        <v>5488.08</v>
      </c>
      <c r="G247" s="128"/>
    </row>
    <row r="248" spans="1:7" x14ac:dyDescent="0.25">
      <c r="A248" s="187"/>
      <c r="B248" s="192"/>
      <c r="C248" s="188"/>
      <c r="D248" s="189"/>
      <c r="E248" s="190"/>
      <c r="F248" s="97"/>
      <c r="G248" s="128"/>
    </row>
    <row r="249" spans="1:7" x14ac:dyDescent="0.25">
      <c r="A249" s="39" t="s">
        <v>25</v>
      </c>
      <c r="B249" s="40" t="s">
        <v>907</v>
      </c>
      <c r="C249" s="41" t="s">
        <v>71</v>
      </c>
      <c r="D249" s="42" t="s">
        <v>11</v>
      </c>
      <c r="E249" s="190">
        <v>246.57</v>
      </c>
      <c r="F249" s="97">
        <f>C249*E249</f>
        <v>5177.97</v>
      </c>
      <c r="G249" s="128"/>
    </row>
    <row r="250" spans="1:7" x14ac:dyDescent="0.25">
      <c r="A250" s="187"/>
      <c r="B250" s="192"/>
      <c r="C250" s="188"/>
      <c r="D250" s="189"/>
      <c r="E250" s="190"/>
      <c r="F250" s="97"/>
      <c r="G250" s="128"/>
    </row>
    <row r="251" spans="1:7" x14ac:dyDescent="0.25">
      <c r="A251" s="39" t="s">
        <v>31</v>
      </c>
      <c r="B251" s="40" t="s">
        <v>908</v>
      </c>
      <c r="C251" s="41" t="s">
        <v>69</v>
      </c>
      <c r="D251" s="42" t="s">
        <v>11</v>
      </c>
      <c r="E251" s="190">
        <v>264.88</v>
      </c>
      <c r="F251" s="97">
        <f>C251*E251</f>
        <v>7946.4</v>
      </c>
      <c r="G251" s="128"/>
    </row>
    <row r="252" spans="1:7" x14ac:dyDescent="0.25">
      <c r="A252" s="187"/>
      <c r="B252" s="192"/>
      <c r="C252" s="188"/>
      <c r="D252" s="189"/>
      <c r="E252" s="190"/>
      <c r="F252" s="97"/>
      <c r="G252" s="128"/>
    </row>
    <row r="253" spans="1:7" x14ac:dyDescent="0.25">
      <c r="A253" s="39" t="s">
        <v>33</v>
      </c>
      <c r="B253" s="40" t="s">
        <v>909</v>
      </c>
      <c r="C253" s="41" t="s">
        <v>910</v>
      </c>
      <c r="D253" s="42" t="s">
        <v>11</v>
      </c>
      <c r="E253" s="190">
        <v>310.01</v>
      </c>
      <c r="F253" s="97">
        <f>C253*E253</f>
        <v>109433.53</v>
      </c>
      <c r="G253" s="128"/>
    </row>
    <row r="254" spans="1:7" x14ac:dyDescent="0.25">
      <c r="A254" s="187"/>
      <c r="B254" s="192"/>
      <c r="C254" s="188"/>
      <c r="D254" s="189"/>
      <c r="E254" s="190"/>
      <c r="F254" s="97"/>
      <c r="G254" s="128"/>
    </row>
    <row r="255" spans="1:7" x14ac:dyDescent="0.25">
      <c r="A255" s="39"/>
      <c r="B255" s="43" t="s">
        <v>911</v>
      </c>
      <c r="C255" s="41"/>
      <c r="D255" s="42"/>
      <c r="E255" s="190"/>
      <c r="F255" s="97"/>
      <c r="G255" s="128"/>
    </row>
    <row r="256" spans="1:7" x14ac:dyDescent="0.25">
      <c r="A256" s="187"/>
      <c r="B256" s="192"/>
      <c r="C256" s="188"/>
      <c r="D256" s="189"/>
      <c r="E256" s="190"/>
      <c r="F256" s="97"/>
      <c r="G256" s="128"/>
    </row>
    <row r="257" spans="1:7" x14ac:dyDescent="0.25">
      <c r="A257" s="39" t="s">
        <v>213</v>
      </c>
      <c r="B257" s="40" t="s">
        <v>912</v>
      </c>
      <c r="C257" s="41" t="s">
        <v>63</v>
      </c>
      <c r="D257" s="42" t="s">
        <v>11</v>
      </c>
      <c r="E257" s="190">
        <v>20.46</v>
      </c>
      <c r="F257" s="97">
        <f>C257*E257</f>
        <v>3109.92</v>
      </c>
      <c r="G257" s="128"/>
    </row>
    <row r="258" spans="1:7" x14ac:dyDescent="0.25">
      <c r="A258" s="187"/>
      <c r="B258" s="192"/>
      <c r="C258" s="188"/>
      <c r="D258" s="189"/>
      <c r="E258" s="190"/>
      <c r="F258" s="97"/>
      <c r="G258" s="128"/>
    </row>
    <row r="259" spans="1:7" ht="27.6" x14ac:dyDescent="0.25">
      <c r="A259" s="39"/>
      <c r="B259" s="43" t="s">
        <v>143</v>
      </c>
      <c r="C259" s="41"/>
      <c r="D259" s="42"/>
      <c r="E259" s="190"/>
      <c r="F259" s="97"/>
      <c r="G259" s="128"/>
    </row>
    <row r="260" spans="1:7" x14ac:dyDescent="0.25">
      <c r="A260" s="192"/>
      <c r="B260" s="33"/>
      <c r="C260" s="192"/>
      <c r="D260" s="203"/>
      <c r="E260" s="190"/>
      <c r="F260" s="97"/>
      <c r="G260" s="128"/>
    </row>
    <row r="261" spans="1:7" ht="28.8" x14ac:dyDescent="0.25">
      <c r="A261" s="192"/>
      <c r="B261" s="137" t="s">
        <v>1212</v>
      </c>
      <c r="C261" s="192"/>
      <c r="D261" s="203"/>
      <c r="E261" s="190"/>
      <c r="F261" s="97"/>
      <c r="G261" s="128"/>
    </row>
    <row r="262" spans="1:7" x14ac:dyDescent="0.25">
      <c r="A262" s="193"/>
      <c r="B262" s="194"/>
      <c r="C262" s="195"/>
      <c r="D262" s="196"/>
      <c r="E262" s="117"/>
      <c r="F262" s="98"/>
      <c r="G262" s="130"/>
    </row>
    <row r="263" spans="1:7" x14ac:dyDescent="0.25">
      <c r="A263" s="197"/>
      <c r="B263" s="198"/>
      <c r="C263" s="199" t="s">
        <v>51</v>
      </c>
      <c r="D263" s="199"/>
      <c r="E263" s="200" t="s">
        <v>50</v>
      </c>
      <c r="F263" s="99">
        <f>SUM(F219:F259)</f>
        <v>863427.14000000013</v>
      </c>
      <c r="G263" s="131"/>
    </row>
    <row r="264" spans="1:7" x14ac:dyDescent="0.25">
      <c r="A264" s="197"/>
      <c r="B264" s="198"/>
      <c r="C264" s="201"/>
      <c r="D264" s="202"/>
      <c r="E264" s="118"/>
      <c r="F264" s="100"/>
      <c r="G264" s="132"/>
    </row>
    <row r="265" spans="1:7" x14ac:dyDescent="0.25">
      <c r="A265" s="192"/>
      <c r="B265" s="33"/>
      <c r="C265" s="192"/>
      <c r="D265" s="203"/>
      <c r="E265" s="190"/>
      <c r="F265" s="97"/>
      <c r="G265" s="128"/>
    </row>
    <row r="266" spans="1:7" x14ac:dyDescent="0.25">
      <c r="A266" s="187"/>
      <c r="B266" s="36" t="s">
        <v>142</v>
      </c>
      <c r="C266" s="188"/>
      <c r="D266" s="189"/>
      <c r="E266" s="190"/>
      <c r="F266" s="97"/>
      <c r="G266" s="128"/>
    </row>
    <row r="267" spans="1:7" x14ac:dyDescent="0.25">
      <c r="A267" s="187"/>
      <c r="B267" s="192"/>
      <c r="C267" s="188"/>
      <c r="D267" s="189"/>
      <c r="E267" s="190"/>
      <c r="F267" s="97"/>
      <c r="G267" s="128"/>
    </row>
    <row r="268" spans="1:7" x14ac:dyDescent="0.25">
      <c r="A268" s="39"/>
      <c r="B268" s="43" t="s">
        <v>913</v>
      </c>
      <c r="C268" s="41"/>
      <c r="D268" s="42"/>
      <c r="E268" s="190"/>
      <c r="F268" s="97"/>
      <c r="G268" s="128"/>
    </row>
    <row r="269" spans="1:7" x14ac:dyDescent="0.25">
      <c r="A269" s="187"/>
      <c r="B269" s="192"/>
      <c r="C269" s="188"/>
      <c r="D269" s="189"/>
      <c r="E269" s="190"/>
      <c r="F269" s="97"/>
      <c r="G269" s="128"/>
    </row>
    <row r="270" spans="1:7" x14ac:dyDescent="0.25">
      <c r="A270" s="39" t="s">
        <v>3</v>
      </c>
      <c r="B270" s="40" t="s">
        <v>914</v>
      </c>
      <c r="C270" s="41" t="s">
        <v>104</v>
      </c>
      <c r="D270" s="42" t="s">
        <v>15</v>
      </c>
      <c r="E270" s="190">
        <v>15452.31</v>
      </c>
      <c r="F270" s="97">
        <f>C270*E270</f>
        <v>15452.31</v>
      </c>
      <c r="G270" s="128" t="s">
        <v>1232</v>
      </c>
    </row>
    <row r="271" spans="1:7" x14ac:dyDescent="0.25">
      <c r="A271" s="187"/>
      <c r="B271" s="192"/>
      <c r="C271" s="188"/>
      <c r="D271" s="189"/>
      <c r="E271" s="190"/>
      <c r="F271" s="97"/>
      <c r="G271" s="128"/>
    </row>
    <row r="272" spans="1:7" x14ac:dyDescent="0.25">
      <c r="A272" s="39" t="s">
        <v>2</v>
      </c>
      <c r="B272" s="40" t="s">
        <v>915</v>
      </c>
      <c r="C272" s="41" t="s">
        <v>104</v>
      </c>
      <c r="D272" s="42" t="s">
        <v>15</v>
      </c>
      <c r="E272" s="190">
        <v>15452.31</v>
      </c>
      <c r="F272" s="97">
        <f>C272*E272</f>
        <v>15452.31</v>
      </c>
      <c r="G272" s="128" t="s">
        <v>1232</v>
      </c>
    </row>
    <row r="273" spans="1:7" x14ac:dyDescent="0.25">
      <c r="A273" s="187"/>
      <c r="B273" s="192"/>
      <c r="C273" s="188"/>
      <c r="D273" s="189"/>
      <c r="E273" s="190"/>
      <c r="F273" s="97"/>
      <c r="G273" s="128"/>
    </row>
    <row r="274" spans="1:7" x14ac:dyDescent="0.25">
      <c r="A274" s="39"/>
      <c r="B274" s="43" t="s">
        <v>916</v>
      </c>
      <c r="C274" s="41"/>
      <c r="D274" s="42"/>
      <c r="E274" s="190"/>
      <c r="F274" s="97"/>
      <c r="G274" s="128"/>
    </row>
    <row r="275" spans="1:7" x14ac:dyDescent="0.25">
      <c r="A275" s="187"/>
      <c r="B275" s="192"/>
      <c r="C275" s="188"/>
      <c r="D275" s="189"/>
      <c r="E275" s="190"/>
      <c r="F275" s="97"/>
      <c r="G275" s="128"/>
    </row>
    <row r="276" spans="1:7" x14ac:dyDescent="0.25">
      <c r="A276" s="39" t="s">
        <v>5</v>
      </c>
      <c r="B276" s="40" t="s">
        <v>917</v>
      </c>
      <c r="C276" s="41" t="s">
        <v>104</v>
      </c>
      <c r="D276" s="42" t="s">
        <v>15</v>
      </c>
      <c r="E276" s="190">
        <v>11782.19</v>
      </c>
      <c r="F276" s="97">
        <f>C276*E276</f>
        <v>11782.19</v>
      </c>
      <c r="G276" s="128"/>
    </row>
    <row r="277" spans="1:7" x14ac:dyDescent="0.25">
      <c r="A277" s="187"/>
      <c r="B277" s="192"/>
      <c r="C277" s="188"/>
      <c r="D277" s="189"/>
      <c r="E277" s="190"/>
      <c r="F277" s="97"/>
      <c r="G277" s="128"/>
    </row>
    <row r="278" spans="1:7" x14ac:dyDescent="0.25">
      <c r="A278" s="39" t="s">
        <v>8</v>
      </c>
      <c r="B278" s="40" t="s">
        <v>918</v>
      </c>
      <c r="C278" s="41" t="s">
        <v>104</v>
      </c>
      <c r="D278" s="42" t="s">
        <v>15</v>
      </c>
      <c r="E278" s="190">
        <v>11562.25</v>
      </c>
      <c r="F278" s="97">
        <f>C278*E278</f>
        <v>11562.25</v>
      </c>
      <c r="G278" s="128"/>
    </row>
    <row r="279" spans="1:7" x14ac:dyDescent="0.25">
      <c r="A279" s="187"/>
      <c r="B279" s="192"/>
      <c r="C279" s="188"/>
      <c r="D279" s="189"/>
      <c r="E279" s="190"/>
      <c r="F279" s="97"/>
      <c r="G279" s="128"/>
    </row>
    <row r="280" spans="1:7" x14ac:dyDescent="0.25">
      <c r="A280" s="39" t="s">
        <v>9</v>
      </c>
      <c r="B280" s="40" t="s">
        <v>919</v>
      </c>
      <c r="C280" s="41" t="s">
        <v>104</v>
      </c>
      <c r="D280" s="42" t="s">
        <v>15</v>
      </c>
      <c r="E280" s="190">
        <v>11562.25</v>
      </c>
      <c r="F280" s="97">
        <f>C280*E280</f>
        <v>11562.25</v>
      </c>
      <c r="G280" s="128"/>
    </row>
    <row r="281" spans="1:7" x14ac:dyDescent="0.25">
      <c r="A281" s="187"/>
      <c r="B281" s="192"/>
      <c r="C281" s="188"/>
      <c r="D281" s="189"/>
      <c r="E281" s="190"/>
      <c r="F281" s="97"/>
      <c r="G281" s="128"/>
    </row>
    <row r="282" spans="1:7" x14ac:dyDescent="0.25">
      <c r="A282" s="39" t="s">
        <v>10</v>
      </c>
      <c r="B282" s="40" t="s">
        <v>920</v>
      </c>
      <c r="C282" s="41" t="s">
        <v>104</v>
      </c>
      <c r="D282" s="42" t="s">
        <v>15</v>
      </c>
      <c r="E282" s="190">
        <v>11562.25</v>
      </c>
      <c r="F282" s="97">
        <f>C282*E282</f>
        <v>11562.25</v>
      </c>
      <c r="G282" s="128"/>
    </row>
    <row r="283" spans="1:7" x14ac:dyDescent="0.25">
      <c r="A283" s="187"/>
      <c r="B283" s="192"/>
      <c r="C283" s="188"/>
      <c r="D283" s="189"/>
      <c r="E283" s="190"/>
      <c r="F283" s="97"/>
      <c r="G283" s="128"/>
    </row>
    <row r="284" spans="1:7" x14ac:dyDescent="0.25">
      <c r="A284" s="39" t="s">
        <v>12</v>
      </c>
      <c r="B284" s="40" t="s">
        <v>921</v>
      </c>
      <c r="C284" s="41" t="s">
        <v>104</v>
      </c>
      <c r="D284" s="42" t="s">
        <v>15</v>
      </c>
      <c r="E284" s="190">
        <v>11562.25</v>
      </c>
      <c r="F284" s="97">
        <f>C284*E284</f>
        <v>11562.25</v>
      </c>
      <c r="G284" s="128"/>
    </row>
    <row r="285" spans="1:7" x14ac:dyDescent="0.25">
      <c r="A285" s="187"/>
      <c r="B285" s="192"/>
      <c r="C285" s="188"/>
      <c r="D285" s="189"/>
      <c r="E285" s="190"/>
      <c r="F285" s="97"/>
      <c r="G285" s="128"/>
    </row>
    <row r="286" spans="1:7" x14ac:dyDescent="0.25">
      <c r="A286" s="39" t="s">
        <v>13</v>
      </c>
      <c r="B286" s="40" t="s">
        <v>922</v>
      </c>
      <c r="C286" s="41" t="s">
        <v>104</v>
      </c>
      <c r="D286" s="42" t="s">
        <v>15</v>
      </c>
      <c r="E286" s="190">
        <v>11562.25</v>
      </c>
      <c r="F286" s="97">
        <f>C286*E286</f>
        <v>11562.25</v>
      </c>
      <c r="G286" s="128"/>
    </row>
    <row r="287" spans="1:7" x14ac:dyDescent="0.25">
      <c r="A287" s="187"/>
      <c r="B287" s="192"/>
      <c r="C287" s="188"/>
      <c r="D287" s="189"/>
      <c r="E287" s="190"/>
      <c r="F287" s="97"/>
      <c r="G287" s="128"/>
    </row>
    <row r="288" spans="1:7" x14ac:dyDescent="0.25">
      <c r="A288" s="39" t="s">
        <v>16</v>
      </c>
      <c r="B288" s="40" t="s">
        <v>923</v>
      </c>
      <c r="C288" s="41" t="s">
        <v>104</v>
      </c>
      <c r="D288" s="42" t="s">
        <v>15</v>
      </c>
      <c r="E288" s="190">
        <v>11562.25</v>
      </c>
      <c r="F288" s="97">
        <f>C288*E288</f>
        <v>11562.25</v>
      </c>
      <c r="G288" s="128"/>
    </row>
    <row r="289" spans="1:7" x14ac:dyDescent="0.25">
      <c r="A289" s="187"/>
      <c r="B289" s="192"/>
      <c r="C289" s="188"/>
      <c r="D289" s="189"/>
      <c r="E289" s="190"/>
      <c r="F289" s="97"/>
      <c r="G289" s="128"/>
    </row>
    <row r="290" spans="1:7" x14ac:dyDescent="0.25">
      <c r="A290" s="39" t="s">
        <v>17</v>
      </c>
      <c r="B290" s="40" t="s">
        <v>924</v>
      </c>
      <c r="C290" s="41" t="s">
        <v>104</v>
      </c>
      <c r="D290" s="42" t="s">
        <v>15</v>
      </c>
      <c r="E290" s="190">
        <v>11562.25</v>
      </c>
      <c r="F290" s="97">
        <f>C290*E290</f>
        <v>11562.25</v>
      </c>
      <c r="G290" s="128"/>
    </row>
    <row r="291" spans="1:7" x14ac:dyDescent="0.25">
      <c r="A291" s="187"/>
      <c r="B291" s="192"/>
      <c r="C291" s="188"/>
      <c r="D291" s="189"/>
      <c r="E291" s="190"/>
      <c r="F291" s="97"/>
      <c r="G291" s="128"/>
    </row>
    <row r="292" spans="1:7" x14ac:dyDescent="0.25">
      <c r="A292" s="39" t="s">
        <v>18</v>
      </c>
      <c r="B292" s="40" t="s">
        <v>925</v>
      </c>
      <c r="C292" s="41" t="s">
        <v>104</v>
      </c>
      <c r="D292" s="42" t="s">
        <v>15</v>
      </c>
      <c r="E292" s="190">
        <v>11562.25</v>
      </c>
      <c r="F292" s="97">
        <f>C292*E292</f>
        <v>11562.25</v>
      </c>
      <c r="G292" s="128"/>
    </row>
    <row r="293" spans="1:7" x14ac:dyDescent="0.25">
      <c r="A293" s="187"/>
      <c r="B293" s="192"/>
      <c r="C293" s="188"/>
      <c r="D293" s="189"/>
      <c r="E293" s="190"/>
      <c r="F293" s="97"/>
      <c r="G293" s="128"/>
    </row>
    <row r="294" spans="1:7" x14ac:dyDescent="0.25">
      <c r="A294" s="39" t="s">
        <v>19</v>
      </c>
      <c r="B294" s="40" t="s">
        <v>926</v>
      </c>
      <c r="C294" s="41" t="s">
        <v>104</v>
      </c>
      <c r="D294" s="42" t="s">
        <v>15</v>
      </c>
      <c r="E294" s="190">
        <v>11562.25</v>
      </c>
      <c r="F294" s="97">
        <f>C294*E294</f>
        <v>11562.25</v>
      </c>
      <c r="G294" s="128"/>
    </row>
    <row r="295" spans="1:7" x14ac:dyDescent="0.25">
      <c r="A295" s="187"/>
      <c r="B295" s="192"/>
      <c r="C295" s="188"/>
      <c r="D295" s="189"/>
      <c r="E295" s="190"/>
      <c r="F295" s="97"/>
      <c r="G295" s="128"/>
    </row>
    <row r="296" spans="1:7" x14ac:dyDescent="0.25">
      <c r="A296" s="39" t="s">
        <v>22</v>
      </c>
      <c r="B296" s="40" t="s">
        <v>927</v>
      </c>
      <c r="C296" s="41" t="s">
        <v>104</v>
      </c>
      <c r="D296" s="42" t="s">
        <v>15</v>
      </c>
      <c r="E296" s="190">
        <v>11562.25</v>
      </c>
      <c r="F296" s="97">
        <f>C296*E296</f>
        <v>11562.25</v>
      </c>
      <c r="G296" s="128"/>
    </row>
    <row r="297" spans="1:7" x14ac:dyDescent="0.25">
      <c r="A297" s="187"/>
      <c r="B297" s="192"/>
      <c r="C297" s="188"/>
      <c r="D297" s="189"/>
      <c r="E297" s="190"/>
      <c r="F297" s="97"/>
      <c r="G297" s="128"/>
    </row>
    <row r="298" spans="1:7" x14ac:dyDescent="0.25">
      <c r="A298" s="39" t="s">
        <v>23</v>
      </c>
      <c r="B298" s="40" t="s">
        <v>928</v>
      </c>
      <c r="C298" s="41" t="s">
        <v>104</v>
      </c>
      <c r="D298" s="42" t="s">
        <v>15</v>
      </c>
      <c r="E298" s="190">
        <v>11562.25</v>
      </c>
      <c r="F298" s="97">
        <f>C298*E298</f>
        <v>11562.25</v>
      </c>
      <c r="G298" s="128"/>
    </row>
    <row r="299" spans="1:7" x14ac:dyDescent="0.25">
      <c r="A299" s="187"/>
      <c r="B299" s="192"/>
      <c r="C299" s="188"/>
      <c r="D299" s="189"/>
      <c r="E299" s="190"/>
      <c r="F299" s="97"/>
      <c r="G299" s="128"/>
    </row>
    <row r="300" spans="1:7" x14ac:dyDescent="0.25">
      <c r="A300" s="39" t="s">
        <v>25</v>
      </c>
      <c r="B300" s="40" t="s">
        <v>929</v>
      </c>
      <c r="C300" s="41" t="s">
        <v>104</v>
      </c>
      <c r="D300" s="42" t="s">
        <v>15</v>
      </c>
      <c r="E300" s="190">
        <v>11562.25</v>
      </c>
      <c r="F300" s="97">
        <f>C300*E300</f>
        <v>11562.25</v>
      </c>
      <c r="G300" s="128"/>
    </row>
    <row r="301" spans="1:7" x14ac:dyDescent="0.25">
      <c r="A301" s="187"/>
      <c r="B301" s="192"/>
      <c r="C301" s="188"/>
      <c r="D301" s="189"/>
      <c r="E301" s="190"/>
      <c r="F301" s="97"/>
      <c r="G301" s="128"/>
    </row>
    <row r="302" spans="1:7" x14ac:dyDescent="0.25">
      <c r="A302" s="39" t="s">
        <v>31</v>
      </c>
      <c r="B302" s="40" t="s">
        <v>930</v>
      </c>
      <c r="C302" s="41" t="s">
        <v>104</v>
      </c>
      <c r="D302" s="42" t="s">
        <v>15</v>
      </c>
      <c r="E302" s="190">
        <v>11562.25</v>
      </c>
      <c r="F302" s="97">
        <f>C302*E302</f>
        <v>11562.25</v>
      </c>
      <c r="G302" s="128"/>
    </row>
    <row r="303" spans="1:7" x14ac:dyDescent="0.25">
      <c r="A303" s="187"/>
      <c r="B303" s="192"/>
      <c r="C303" s="188"/>
      <c r="D303" s="189"/>
      <c r="E303" s="190"/>
      <c r="F303" s="97"/>
      <c r="G303" s="128"/>
    </row>
    <row r="304" spans="1:7" x14ac:dyDescent="0.25">
      <c r="A304" s="39" t="s">
        <v>33</v>
      </c>
      <c r="B304" s="40" t="s">
        <v>931</v>
      </c>
      <c r="C304" s="41" t="s">
        <v>104</v>
      </c>
      <c r="D304" s="42" t="s">
        <v>15</v>
      </c>
      <c r="E304" s="190">
        <v>11562.25</v>
      </c>
      <c r="F304" s="97">
        <f>C304*E304</f>
        <v>11562.25</v>
      </c>
      <c r="G304" s="128"/>
    </row>
    <row r="305" spans="1:7" x14ac:dyDescent="0.25">
      <c r="A305" s="187"/>
      <c r="B305" s="192"/>
      <c r="C305" s="188"/>
      <c r="D305" s="189"/>
      <c r="E305" s="190"/>
      <c r="F305" s="97"/>
      <c r="G305" s="128"/>
    </row>
    <row r="306" spans="1:7" x14ac:dyDescent="0.25">
      <c r="A306" s="39" t="s">
        <v>213</v>
      </c>
      <c r="B306" s="40" t="s">
        <v>932</v>
      </c>
      <c r="C306" s="41" t="s">
        <v>104</v>
      </c>
      <c r="D306" s="42" t="s">
        <v>15</v>
      </c>
      <c r="E306" s="190">
        <v>11562.25</v>
      </c>
      <c r="F306" s="97">
        <f>C306*E306</f>
        <v>11562.25</v>
      </c>
      <c r="G306" s="128"/>
    </row>
    <row r="307" spans="1:7" x14ac:dyDescent="0.25">
      <c r="A307" s="187"/>
      <c r="B307" s="192"/>
      <c r="C307" s="188"/>
      <c r="D307" s="189"/>
      <c r="E307" s="190"/>
      <c r="F307" s="97"/>
      <c r="G307" s="128"/>
    </row>
    <row r="308" spans="1:7" x14ac:dyDescent="0.25">
      <c r="A308" s="39" t="s">
        <v>441</v>
      </c>
      <c r="B308" s="40" t="s">
        <v>933</v>
      </c>
      <c r="C308" s="41" t="s">
        <v>104</v>
      </c>
      <c r="D308" s="42" t="s">
        <v>15</v>
      </c>
      <c r="E308" s="190">
        <v>11562.25</v>
      </c>
      <c r="F308" s="97">
        <f>C308*E308</f>
        <v>11562.25</v>
      </c>
      <c r="G308" s="128"/>
    </row>
    <row r="309" spans="1:7" x14ac:dyDescent="0.25">
      <c r="A309" s="192"/>
      <c r="B309" s="33"/>
      <c r="C309" s="192"/>
      <c r="D309" s="203"/>
      <c r="E309" s="190"/>
      <c r="F309" s="97"/>
      <c r="G309" s="128"/>
    </row>
    <row r="310" spans="1:7" x14ac:dyDescent="0.25">
      <c r="A310" s="192"/>
      <c r="B310" s="33"/>
      <c r="C310" s="192"/>
      <c r="D310" s="203"/>
      <c r="E310" s="190"/>
      <c r="F310" s="97"/>
      <c r="G310" s="128"/>
    </row>
    <row r="311" spans="1:7" x14ac:dyDescent="0.25">
      <c r="A311" s="192"/>
      <c r="B311" s="33"/>
      <c r="C311" s="192"/>
      <c r="D311" s="203"/>
      <c r="E311" s="190"/>
      <c r="F311" s="97"/>
      <c r="G311" s="128"/>
    </row>
    <row r="312" spans="1:7" x14ac:dyDescent="0.25">
      <c r="A312" s="187"/>
      <c r="B312" s="36"/>
      <c r="C312" s="188"/>
      <c r="D312" s="189"/>
      <c r="E312" s="190"/>
      <c r="F312" s="97"/>
      <c r="G312" s="128"/>
    </row>
    <row r="313" spans="1:7" x14ac:dyDescent="0.25">
      <c r="A313" s="193"/>
      <c r="B313" s="194"/>
      <c r="C313" s="195"/>
      <c r="D313" s="196"/>
      <c r="E313" s="117"/>
      <c r="F313" s="98"/>
      <c r="G313" s="130"/>
    </row>
    <row r="314" spans="1:7" x14ac:dyDescent="0.25">
      <c r="A314" s="197"/>
      <c r="B314" s="198"/>
      <c r="C314" s="199" t="s">
        <v>51</v>
      </c>
      <c r="D314" s="199"/>
      <c r="E314" s="200" t="s">
        <v>50</v>
      </c>
      <c r="F314" s="99">
        <f>SUM(F269:F309)</f>
        <v>227682.81</v>
      </c>
      <c r="G314" s="131"/>
    </row>
    <row r="315" spans="1:7" x14ac:dyDescent="0.25">
      <c r="A315" s="197"/>
      <c r="B315" s="198"/>
      <c r="C315" s="201"/>
      <c r="D315" s="202"/>
      <c r="E315" s="118"/>
      <c r="F315" s="100"/>
      <c r="G315" s="132"/>
    </row>
    <row r="316" spans="1:7" x14ac:dyDescent="0.25">
      <c r="A316" s="39"/>
      <c r="B316" s="40"/>
      <c r="C316" s="41"/>
      <c r="D316" s="42"/>
      <c r="E316" s="190"/>
      <c r="F316" s="97"/>
      <c r="G316" s="128"/>
    </row>
    <row r="317" spans="1:7" x14ac:dyDescent="0.25">
      <c r="A317" s="187"/>
      <c r="B317" s="36" t="s">
        <v>142</v>
      </c>
      <c r="C317" s="188"/>
      <c r="D317" s="189"/>
      <c r="E317" s="190"/>
      <c r="F317" s="97"/>
      <c r="G317" s="128"/>
    </row>
    <row r="318" spans="1:7" x14ac:dyDescent="0.25">
      <c r="A318" s="187"/>
      <c r="B318" s="192"/>
      <c r="C318" s="188"/>
      <c r="D318" s="189"/>
      <c r="E318" s="190"/>
      <c r="F318" s="97"/>
      <c r="G318" s="128"/>
    </row>
    <row r="319" spans="1:7" x14ac:dyDescent="0.25">
      <c r="A319" s="39" t="s">
        <v>3</v>
      </c>
      <c r="B319" s="40" t="s">
        <v>934</v>
      </c>
      <c r="C319" s="41" t="s">
        <v>104</v>
      </c>
      <c r="D319" s="42" t="s">
        <v>15</v>
      </c>
      <c r="E319" s="190">
        <v>11562.25</v>
      </c>
      <c r="F319" s="97">
        <f>C319*E319</f>
        <v>11562.25</v>
      </c>
      <c r="G319" s="128"/>
    </row>
    <row r="320" spans="1:7" x14ac:dyDescent="0.25">
      <c r="A320" s="187"/>
      <c r="B320" s="192"/>
      <c r="C320" s="188"/>
      <c r="D320" s="189"/>
      <c r="E320" s="190"/>
      <c r="F320" s="97"/>
      <c r="G320" s="128"/>
    </row>
    <row r="321" spans="1:7" x14ac:dyDescent="0.25">
      <c r="A321" s="39" t="s">
        <v>2</v>
      </c>
      <c r="B321" s="40" t="s">
        <v>935</v>
      </c>
      <c r="C321" s="41" t="s">
        <v>104</v>
      </c>
      <c r="D321" s="42" t="s">
        <v>15</v>
      </c>
      <c r="E321" s="190">
        <v>11562.25</v>
      </c>
      <c r="F321" s="97">
        <f>C321*E321</f>
        <v>11562.25</v>
      </c>
      <c r="G321" s="128"/>
    </row>
    <row r="322" spans="1:7" x14ac:dyDescent="0.25">
      <c r="A322" s="187"/>
      <c r="B322" s="192"/>
      <c r="C322" s="188"/>
      <c r="D322" s="189"/>
      <c r="E322" s="190"/>
      <c r="F322" s="97"/>
      <c r="G322" s="128"/>
    </row>
    <row r="323" spans="1:7" x14ac:dyDescent="0.25">
      <c r="A323" s="39" t="s">
        <v>5</v>
      </c>
      <c r="B323" s="40" t="s">
        <v>936</v>
      </c>
      <c r="C323" s="41" t="s">
        <v>104</v>
      </c>
      <c r="D323" s="42" t="s">
        <v>15</v>
      </c>
      <c r="E323" s="190">
        <v>11562.25</v>
      </c>
      <c r="F323" s="97">
        <f>C323*E323</f>
        <v>11562.25</v>
      </c>
      <c r="G323" s="128"/>
    </row>
    <row r="324" spans="1:7" x14ac:dyDescent="0.25">
      <c r="A324" s="187"/>
      <c r="B324" s="192"/>
      <c r="C324" s="188"/>
      <c r="D324" s="189"/>
      <c r="E324" s="190"/>
      <c r="F324" s="97"/>
      <c r="G324" s="128"/>
    </row>
    <row r="325" spans="1:7" x14ac:dyDescent="0.25">
      <c r="A325" s="39" t="s">
        <v>8</v>
      </c>
      <c r="B325" s="40" t="s">
        <v>937</v>
      </c>
      <c r="C325" s="41" t="s">
        <v>104</v>
      </c>
      <c r="D325" s="42" t="s">
        <v>15</v>
      </c>
      <c r="E325" s="190">
        <v>11562.25</v>
      </c>
      <c r="F325" s="97">
        <f>C325*E325</f>
        <v>11562.25</v>
      </c>
      <c r="G325" s="128"/>
    </row>
    <row r="326" spans="1:7" x14ac:dyDescent="0.25">
      <c r="A326" s="187"/>
      <c r="B326" s="192"/>
      <c r="C326" s="188"/>
      <c r="D326" s="189"/>
      <c r="E326" s="190"/>
      <c r="F326" s="97"/>
      <c r="G326" s="128"/>
    </row>
    <row r="327" spans="1:7" x14ac:dyDescent="0.25">
      <c r="A327" s="39" t="s">
        <v>9</v>
      </c>
      <c r="B327" s="40" t="s">
        <v>938</v>
      </c>
      <c r="C327" s="41" t="s">
        <v>104</v>
      </c>
      <c r="D327" s="42" t="s">
        <v>15</v>
      </c>
      <c r="E327" s="190">
        <v>11562.25</v>
      </c>
      <c r="F327" s="97">
        <f>C327*E327</f>
        <v>11562.25</v>
      </c>
      <c r="G327" s="128"/>
    </row>
    <row r="328" spans="1:7" x14ac:dyDescent="0.25">
      <c r="A328" s="187"/>
      <c r="B328" s="192"/>
      <c r="C328" s="188"/>
      <c r="D328" s="189"/>
      <c r="E328" s="190"/>
      <c r="F328" s="97"/>
      <c r="G328" s="128"/>
    </row>
    <row r="329" spans="1:7" x14ac:dyDescent="0.25">
      <c r="A329" s="39" t="s">
        <v>10</v>
      </c>
      <c r="B329" s="40" t="s">
        <v>939</v>
      </c>
      <c r="C329" s="41" t="s">
        <v>104</v>
      </c>
      <c r="D329" s="42" t="s">
        <v>15</v>
      </c>
      <c r="E329" s="190">
        <v>11562.25</v>
      </c>
      <c r="F329" s="97">
        <f>C329*E329</f>
        <v>11562.25</v>
      </c>
      <c r="G329" s="128"/>
    </row>
    <row r="330" spans="1:7" x14ac:dyDescent="0.25">
      <c r="A330" s="187"/>
      <c r="B330" s="192"/>
      <c r="C330" s="188"/>
      <c r="D330" s="189"/>
      <c r="E330" s="190"/>
      <c r="F330" s="97"/>
      <c r="G330" s="128"/>
    </row>
    <row r="331" spans="1:7" x14ac:dyDescent="0.25">
      <c r="A331" s="39" t="s">
        <v>12</v>
      </c>
      <c r="B331" s="40" t="s">
        <v>940</v>
      </c>
      <c r="C331" s="41" t="s">
        <v>104</v>
      </c>
      <c r="D331" s="42" t="s">
        <v>15</v>
      </c>
      <c r="E331" s="190">
        <v>11562.25</v>
      </c>
      <c r="F331" s="97">
        <f>C331*E331</f>
        <v>11562.25</v>
      </c>
      <c r="G331" s="128"/>
    </row>
    <row r="332" spans="1:7" x14ac:dyDescent="0.25">
      <c r="A332" s="187"/>
      <c r="B332" s="192"/>
      <c r="C332" s="188"/>
      <c r="D332" s="189"/>
      <c r="E332" s="190"/>
      <c r="F332" s="97"/>
      <c r="G332" s="128"/>
    </row>
    <row r="333" spans="1:7" x14ac:dyDescent="0.25">
      <c r="A333" s="39" t="s">
        <v>13</v>
      </c>
      <c r="B333" s="40" t="s">
        <v>941</v>
      </c>
      <c r="C333" s="41" t="s">
        <v>104</v>
      </c>
      <c r="D333" s="42" t="s">
        <v>15</v>
      </c>
      <c r="E333" s="190">
        <v>12189.54</v>
      </c>
      <c r="F333" s="97">
        <f>C333*E333</f>
        <v>12189.54</v>
      </c>
      <c r="G333" s="128"/>
    </row>
    <row r="334" spans="1:7" x14ac:dyDescent="0.25">
      <c r="A334" s="187"/>
      <c r="B334" s="192"/>
      <c r="C334" s="188"/>
      <c r="D334" s="189"/>
      <c r="E334" s="190"/>
      <c r="F334" s="97"/>
      <c r="G334" s="128"/>
    </row>
    <row r="335" spans="1:7" x14ac:dyDescent="0.25">
      <c r="A335" s="39" t="s">
        <v>16</v>
      </c>
      <c r="B335" s="40" t="s">
        <v>942</v>
      </c>
      <c r="C335" s="41" t="s">
        <v>104</v>
      </c>
      <c r="D335" s="42" t="s">
        <v>15</v>
      </c>
      <c r="E335" s="190">
        <v>12002.14</v>
      </c>
      <c r="F335" s="97">
        <f>C335*E335</f>
        <v>12002.14</v>
      </c>
      <c r="G335" s="128"/>
    </row>
    <row r="336" spans="1:7" x14ac:dyDescent="0.25">
      <c r="A336" s="187"/>
      <c r="B336" s="192"/>
      <c r="C336" s="188"/>
      <c r="D336" s="189"/>
      <c r="E336" s="190"/>
      <c r="F336" s="97"/>
      <c r="G336" s="128"/>
    </row>
    <row r="337" spans="1:7" x14ac:dyDescent="0.25">
      <c r="A337" s="39"/>
      <c r="B337" s="43" t="s">
        <v>943</v>
      </c>
      <c r="C337" s="41"/>
      <c r="D337" s="42"/>
      <c r="E337" s="190"/>
      <c r="F337" s="97"/>
      <c r="G337" s="128"/>
    </row>
    <row r="338" spans="1:7" x14ac:dyDescent="0.25">
      <c r="A338" s="187"/>
      <c r="B338" s="192"/>
      <c r="C338" s="188"/>
      <c r="D338" s="189"/>
      <c r="E338" s="190"/>
      <c r="F338" s="97"/>
      <c r="G338" s="128"/>
    </row>
    <row r="339" spans="1:7" x14ac:dyDescent="0.25">
      <c r="A339" s="39" t="s">
        <v>17</v>
      </c>
      <c r="B339" s="40" t="s">
        <v>944</v>
      </c>
      <c r="C339" s="41" t="s">
        <v>104</v>
      </c>
      <c r="D339" s="42" t="s">
        <v>15</v>
      </c>
      <c r="E339" s="190">
        <v>4443.3599999999997</v>
      </c>
      <c r="F339" s="97">
        <f>C339*E339</f>
        <v>4443.3599999999997</v>
      </c>
      <c r="G339" s="128" t="s">
        <v>1232</v>
      </c>
    </row>
    <row r="340" spans="1:7" x14ac:dyDescent="0.25">
      <c r="A340" s="187"/>
      <c r="B340" s="192"/>
      <c r="C340" s="188"/>
      <c r="D340" s="189"/>
      <c r="E340" s="190"/>
      <c r="F340" s="97"/>
      <c r="G340" s="128"/>
    </row>
    <row r="341" spans="1:7" x14ac:dyDescent="0.25">
      <c r="A341" s="39" t="s">
        <v>18</v>
      </c>
      <c r="B341" s="40" t="s">
        <v>945</v>
      </c>
      <c r="C341" s="41" t="s">
        <v>104</v>
      </c>
      <c r="D341" s="42" t="s">
        <v>15</v>
      </c>
      <c r="E341" s="190">
        <v>4443.3599999999997</v>
      </c>
      <c r="F341" s="97">
        <f>C341*E341</f>
        <v>4443.3599999999997</v>
      </c>
      <c r="G341" s="128" t="s">
        <v>1232</v>
      </c>
    </row>
    <row r="342" spans="1:7" x14ac:dyDescent="0.25">
      <c r="A342" s="187"/>
      <c r="B342" s="192"/>
      <c r="C342" s="188"/>
      <c r="D342" s="189"/>
      <c r="E342" s="190"/>
      <c r="F342" s="97"/>
      <c r="G342" s="128"/>
    </row>
    <row r="343" spans="1:7" x14ac:dyDescent="0.25">
      <c r="A343" s="39" t="s">
        <v>19</v>
      </c>
      <c r="B343" s="40" t="s">
        <v>946</v>
      </c>
      <c r="C343" s="41" t="s">
        <v>104</v>
      </c>
      <c r="D343" s="42" t="s">
        <v>15</v>
      </c>
      <c r="E343" s="190">
        <v>4443.3599999999997</v>
      </c>
      <c r="F343" s="97">
        <f>C343*E343</f>
        <v>4443.3599999999997</v>
      </c>
      <c r="G343" s="128" t="s">
        <v>1232</v>
      </c>
    </row>
    <row r="344" spans="1:7" x14ac:dyDescent="0.25">
      <c r="A344" s="187"/>
      <c r="B344" s="192"/>
      <c r="C344" s="188"/>
      <c r="D344" s="189"/>
      <c r="E344" s="190"/>
      <c r="F344" s="97"/>
      <c r="G344" s="128"/>
    </row>
    <row r="345" spans="1:7" x14ac:dyDescent="0.25">
      <c r="A345" s="39" t="s">
        <v>22</v>
      </c>
      <c r="B345" s="40" t="s">
        <v>947</v>
      </c>
      <c r="C345" s="41" t="s">
        <v>104</v>
      </c>
      <c r="D345" s="42" t="s">
        <v>15</v>
      </c>
      <c r="E345" s="190">
        <v>4443.3599999999997</v>
      </c>
      <c r="F345" s="97">
        <f>C345*E345</f>
        <v>4443.3599999999997</v>
      </c>
      <c r="G345" s="128" t="s">
        <v>1232</v>
      </c>
    </row>
    <row r="346" spans="1:7" x14ac:dyDescent="0.25">
      <c r="A346" s="187"/>
      <c r="B346" s="192"/>
      <c r="C346" s="188"/>
      <c r="D346" s="189"/>
      <c r="E346" s="190"/>
      <c r="F346" s="97"/>
      <c r="G346" s="128"/>
    </row>
    <row r="347" spans="1:7" x14ac:dyDescent="0.25">
      <c r="A347" s="39" t="s">
        <v>23</v>
      </c>
      <c r="B347" s="40" t="s">
        <v>948</v>
      </c>
      <c r="C347" s="41" t="s">
        <v>104</v>
      </c>
      <c r="D347" s="42" t="s">
        <v>15</v>
      </c>
      <c r="E347" s="190">
        <v>4443.3599999999997</v>
      </c>
      <c r="F347" s="97">
        <f>C347*E347</f>
        <v>4443.3599999999997</v>
      </c>
      <c r="G347" s="128" t="s">
        <v>1232</v>
      </c>
    </row>
    <row r="348" spans="1:7" x14ac:dyDescent="0.25">
      <c r="A348" s="187"/>
      <c r="B348" s="192"/>
      <c r="C348" s="188"/>
      <c r="D348" s="189"/>
      <c r="E348" s="190"/>
      <c r="F348" s="97"/>
      <c r="G348" s="128"/>
    </row>
    <row r="349" spans="1:7" x14ac:dyDescent="0.25">
      <c r="A349" s="39" t="s">
        <v>25</v>
      </c>
      <c r="B349" s="40" t="s">
        <v>949</v>
      </c>
      <c r="C349" s="41" t="s">
        <v>104</v>
      </c>
      <c r="D349" s="42" t="s">
        <v>15</v>
      </c>
      <c r="E349" s="190">
        <v>4443.3599999999997</v>
      </c>
      <c r="F349" s="97">
        <f>C349*E349</f>
        <v>4443.3599999999997</v>
      </c>
      <c r="G349" s="128" t="s">
        <v>1232</v>
      </c>
    </row>
    <row r="350" spans="1:7" x14ac:dyDescent="0.25">
      <c r="A350" s="187"/>
      <c r="B350" s="192"/>
      <c r="C350" s="188"/>
      <c r="D350" s="189"/>
      <c r="E350" s="190"/>
      <c r="F350" s="97"/>
      <c r="G350" s="128"/>
    </row>
    <row r="351" spans="1:7" x14ac:dyDescent="0.25">
      <c r="A351" s="39" t="s">
        <v>31</v>
      </c>
      <c r="B351" s="40" t="s">
        <v>950</v>
      </c>
      <c r="C351" s="41" t="s">
        <v>104</v>
      </c>
      <c r="D351" s="42" t="s">
        <v>15</v>
      </c>
      <c r="E351" s="190">
        <v>4443.3599999999997</v>
      </c>
      <c r="F351" s="97">
        <f>C351*E351</f>
        <v>4443.3599999999997</v>
      </c>
      <c r="G351" s="128" t="s">
        <v>1232</v>
      </c>
    </row>
    <row r="352" spans="1:7" x14ac:dyDescent="0.25">
      <c r="A352" s="187"/>
      <c r="B352" s="192"/>
      <c r="C352" s="188"/>
      <c r="D352" s="189"/>
      <c r="E352" s="190"/>
      <c r="F352" s="97"/>
      <c r="G352" s="128"/>
    </row>
    <row r="353" spans="1:7" x14ac:dyDescent="0.25">
      <c r="A353" s="39"/>
      <c r="B353" s="43" t="s">
        <v>951</v>
      </c>
      <c r="C353" s="41"/>
      <c r="D353" s="42"/>
      <c r="E353" s="190"/>
      <c r="F353" s="97"/>
      <c r="G353" s="128"/>
    </row>
    <row r="354" spans="1:7" x14ac:dyDescent="0.25">
      <c r="A354" s="187"/>
      <c r="B354" s="192"/>
      <c r="C354" s="188"/>
      <c r="D354" s="189"/>
      <c r="E354" s="190"/>
      <c r="F354" s="97"/>
      <c r="G354" s="128"/>
    </row>
    <row r="355" spans="1:7" x14ac:dyDescent="0.25">
      <c r="A355" s="39" t="s">
        <v>33</v>
      </c>
      <c r="B355" s="40" t="s">
        <v>952</v>
      </c>
      <c r="C355" s="41" t="s">
        <v>104</v>
      </c>
      <c r="D355" s="42" t="s">
        <v>15</v>
      </c>
      <c r="E355" s="190">
        <v>19839.61</v>
      </c>
      <c r="F355" s="97">
        <f>C355*E355</f>
        <v>19839.61</v>
      </c>
      <c r="G355" s="128" t="s">
        <v>1223</v>
      </c>
    </row>
    <row r="356" spans="1:7" x14ac:dyDescent="0.25">
      <c r="A356" s="187"/>
      <c r="B356" s="192"/>
      <c r="C356" s="188"/>
      <c r="D356" s="189"/>
      <c r="E356" s="190"/>
      <c r="F356" s="97"/>
      <c r="G356" s="128"/>
    </row>
    <row r="357" spans="1:7" x14ac:dyDescent="0.25">
      <c r="A357" s="39"/>
      <c r="B357" s="65" t="s">
        <v>953</v>
      </c>
      <c r="C357" s="41"/>
      <c r="D357" s="42"/>
      <c r="E357" s="190"/>
      <c r="F357" s="97"/>
      <c r="G357" s="128"/>
    </row>
    <row r="358" spans="1:7" x14ac:dyDescent="0.25">
      <c r="A358" s="187"/>
      <c r="B358" s="192"/>
      <c r="C358" s="188"/>
      <c r="D358" s="189"/>
      <c r="E358" s="190"/>
      <c r="F358" s="97"/>
      <c r="G358" s="128"/>
    </row>
    <row r="359" spans="1:7" x14ac:dyDescent="0.25">
      <c r="A359" s="39" t="s">
        <v>213</v>
      </c>
      <c r="B359" s="40" t="s">
        <v>954</v>
      </c>
      <c r="C359" s="41" t="s">
        <v>104</v>
      </c>
      <c r="D359" s="42" t="s">
        <v>15</v>
      </c>
      <c r="E359" s="190">
        <v>4388.05</v>
      </c>
      <c r="F359" s="97">
        <f>C359*E359</f>
        <v>4388.05</v>
      </c>
      <c r="G359" s="128"/>
    </row>
    <row r="360" spans="1:7" x14ac:dyDescent="0.25">
      <c r="A360" s="192"/>
      <c r="B360" s="33"/>
      <c r="C360" s="192"/>
      <c r="D360" s="203"/>
      <c r="E360" s="190"/>
      <c r="F360" s="97"/>
      <c r="G360" s="128"/>
    </row>
    <row r="361" spans="1:7" x14ac:dyDescent="0.25">
      <c r="A361" s="192"/>
      <c r="B361" s="33"/>
      <c r="C361" s="192"/>
      <c r="D361" s="203"/>
      <c r="E361" s="190"/>
      <c r="F361" s="97"/>
      <c r="G361" s="128"/>
    </row>
    <row r="362" spans="1:7" ht="28.8" x14ac:dyDescent="0.25">
      <c r="A362" s="192"/>
      <c r="B362" s="137" t="s">
        <v>1212</v>
      </c>
      <c r="C362" s="192"/>
      <c r="D362" s="203"/>
      <c r="E362" s="190"/>
      <c r="F362" s="97"/>
      <c r="G362" s="128"/>
    </row>
    <row r="363" spans="1:7" x14ac:dyDescent="0.25">
      <c r="A363" s="193"/>
      <c r="B363" s="194"/>
      <c r="C363" s="195"/>
      <c r="D363" s="196"/>
      <c r="E363" s="117"/>
      <c r="F363" s="98"/>
      <c r="G363" s="130"/>
    </row>
    <row r="364" spans="1:7" x14ac:dyDescent="0.25">
      <c r="A364" s="197"/>
      <c r="B364" s="198"/>
      <c r="C364" s="199" t="s">
        <v>51</v>
      </c>
      <c r="D364" s="199"/>
      <c r="E364" s="200" t="s">
        <v>50</v>
      </c>
      <c r="F364" s="99">
        <f>SUM(F318:F361)</f>
        <v>160458.60999999999</v>
      </c>
      <c r="G364" s="131"/>
    </row>
    <row r="365" spans="1:7" x14ac:dyDescent="0.25">
      <c r="A365" s="197"/>
      <c r="B365" s="198"/>
      <c r="C365" s="201"/>
      <c r="D365" s="202"/>
      <c r="E365" s="118"/>
      <c r="F365" s="100"/>
      <c r="G365" s="132"/>
    </row>
    <row r="366" spans="1:7" x14ac:dyDescent="0.25">
      <c r="A366" s="192"/>
      <c r="B366" s="33"/>
      <c r="C366" s="192"/>
      <c r="D366" s="203"/>
      <c r="E366" s="190"/>
      <c r="F366" s="97"/>
      <c r="G366" s="128"/>
    </row>
    <row r="367" spans="1:7" x14ac:dyDescent="0.25">
      <c r="A367" s="187"/>
      <c r="B367" s="36" t="s">
        <v>142</v>
      </c>
      <c r="C367" s="188"/>
      <c r="D367" s="189"/>
      <c r="E367" s="190"/>
      <c r="F367" s="97"/>
      <c r="G367" s="128"/>
    </row>
    <row r="368" spans="1:7" x14ac:dyDescent="0.25">
      <c r="A368" s="187"/>
      <c r="B368" s="192"/>
      <c r="C368" s="188"/>
      <c r="D368" s="189"/>
      <c r="E368" s="190"/>
      <c r="F368" s="97"/>
      <c r="G368" s="128"/>
    </row>
    <row r="369" spans="1:7" x14ac:dyDescent="0.25">
      <c r="A369" s="39"/>
      <c r="B369" s="43" t="s">
        <v>955</v>
      </c>
      <c r="C369" s="41"/>
      <c r="D369" s="42"/>
      <c r="E369" s="190"/>
      <c r="F369" s="97"/>
      <c r="G369" s="128"/>
    </row>
    <row r="370" spans="1:7" x14ac:dyDescent="0.25">
      <c r="A370" s="187"/>
      <c r="B370" s="192"/>
      <c r="C370" s="188"/>
      <c r="D370" s="189"/>
      <c r="E370" s="190"/>
      <c r="F370" s="97"/>
      <c r="G370" s="128"/>
    </row>
    <row r="371" spans="1:7" x14ac:dyDescent="0.25">
      <c r="A371" s="39" t="s">
        <v>3</v>
      </c>
      <c r="B371" s="40" t="s">
        <v>956</v>
      </c>
      <c r="C371" s="41" t="s">
        <v>104</v>
      </c>
      <c r="D371" s="42" t="s">
        <v>15</v>
      </c>
      <c r="E371" s="190"/>
      <c r="F371" s="97" t="s">
        <v>1195</v>
      </c>
      <c r="G371" s="128"/>
    </row>
    <row r="372" spans="1:7" x14ac:dyDescent="0.25">
      <c r="A372" s="187"/>
      <c r="B372" s="192"/>
      <c r="C372" s="188"/>
      <c r="D372" s="189"/>
      <c r="E372" s="190"/>
      <c r="F372" s="97"/>
      <c r="G372" s="128"/>
    </row>
    <row r="373" spans="1:7" x14ac:dyDescent="0.25">
      <c r="A373" s="39" t="s">
        <v>2</v>
      </c>
      <c r="B373" s="40" t="s">
        <v>957</v>
      </c>
      <c r="C373" s="41" t="s">
        <v>104</v>
      </c>
      <c r="D373" s="42" t="s">
        <v>15</v>
      </c>
      <c r="E373" s="190">
        <v>17235.849999999999</v>
      </c>
      <c r="F373" s="97">
        <f>C373*E373</f>
        <v>17235.849999999999</v>
      </c>
      <c r="G373" s="128"/>
    </row>
    <row r="374" spans="1:7" x14ac:dyDescent="0.25">
      <c r="A374" s="187"/>
      <c r="B374" s="192"/>
      <c r="C374" s="188"/>
      <c r="D374" s="189"/>
      <c r="E374" s="190"/>
      <c r="F374" s="97"/>
      <c r="G374" s="128"/>
    </row>
    <row r="375" spans="1:7" x14ac:dyDescent="0.25">
      <c r="A375" s="39" t="s">
        <v>5</v>
      </c>
      <c r="B375" s="40" t="s">
        <v>958</v>
      </c>
      <c r="C375" s="41" t="s">
        <v>104</v>
      </c>
      <c r="D375" s="42" t="s">
        <v>15</v>
      </c>
      <c r="E375" s="190">
        <v>19745.7</v>
      </c>
      <c r="F375" s="97">
        <f>C375*E375</f>
        <v>19745.7</v>
      </c>
      <c r="G375" s="128"/>
    </row>
    <row r="376" spans="1:7" x14ac:dyDescent="0.25">
      <c r="A376" s="187"/>
      <c r="B376" s="192"/>
      <c r="C376" s="188"/>
      <c r="D376" s="189"/>
      <c r="E376" s="190"/>
      <c r="F376" s="97"/>
      <c r="G376" s="128"/>
    </row>
    <row r="377" spans="1:7" x14ac:dyDescent="0.25">
      <c r="A377" s="39"/>
      <c r="B377" s="43" t="s">
        <v>959</v>
      </c>
      <c r="C377" s="41"/>
      <c r="D377" s="42"/>
      <c r="E377" s="190"/>
      <c r="F377" s="97"/>
      <c r="G377" s="128"/>
    </row>
    <row r="378" spans="1:7" x14ac:dyDescent="0.25">
      <c r="A378" s="187"/>
      <c r="B378" s="192"/>
      <c r="C378" s="188"/>
      <c r="D378" s="189"/>
      <c r="E378" s="190"/>
      <c r="F378" s="97"/>
      <c r="G378" s="128"/>
    </row>
    <row r="379" spans="1:7" x14ac:dyDescent="0.25">
      <c r="A379" s="39" t="s">
        <v>8</v>
      </c>
      <c r="B379" s="40" t="s">
        <v>960</v>
      </c>
      <c r="C379" s="41" t="s">
        <v>104</v>
      </c>
      <c r="D379" s="42" t="s">
        <v>15</v>
      </c>
      <c r="E379" s="190">
        <v>8341.36</v>
      </c>
      <c r="F379" s="97">
        <f>C379*E379</f>
        <v>8341.36</v>
      </c>
      <c r="G379" s="128"/>
    </row>
    <row r="380" spans="1:7" x14ac:dyDescent="0.25">
      <c r="A380" s="187"/>
      <c r="B380" s="192"/>
      <c r="C380" s="188"/>
      <c r="D380" s="189"/>
      <c r="E380" s="190"/>
      <c r="F380" s="97"/>
      <c r="G380" s="128"/>
    </row>
    <row r="381" spans="1:7" x14ac:dyDescent="0.25">
      <c r="A381" s="39" t="s">
        <v>9</v>
      </c>
      <c r="B381" s="40" t="s">
        <v>961</v>
      </c>
      <c r="C381" s="41" t="s">
        <v>104</v>
      </c>
      <c r="D381" s="42" t="s">
        <v>15</v>
      </c>
      <c r="E381" s="190">
        <v>4915.1499999999996</v>
      </c>
      <c r="F381" s="97">
        <f>C381*E381</f>
        <v>4915.1499999999996</v>
      </c>
      <c r="G381" s="128"/>
    </row>
    <row r="382" spans="1:7" x14ac:dyDescent="0.25">
      <c r="A382" s="187"/>
      <c r="B382" s="192"/>
      <c r="C382" s="188"/>
      <c r="D382" s="189"/>
      <c r="E382" s="190"/>
      <c r="F382" s="97"/>
      <c r="G382" s="128"/>
    </row>
    <row r="383" spans="1:7" x14ac:dyDescent="0.25">
      <c r="A383" s="39"/>
      <c r="B383" s="43" t="s">
        <v>962</v>
      </c>
      <c r="C383" s="41"/>
      <c r="D383" s="42"/>
      <c r="E383" s="190"/>
      <c r="F383" s="97"/>
      <c r="G383" s="128"/>
    </row>
    <row r="384" spans="1:7" x14ac:dyDescent="0.25">
      <c r="A384" s="187"/>
      <c r="B384" s="192"/>
      <c r="C384" s="188"/>
      <c r="D384" s="189"/>
      <c r="E384" s="190"/>
      <c r="F384" s="97"/>
      <c r="G384" s="128"/>
    </row>
    <row r="385" spans="1:7" x14ac:dyDescent="0.25">
      <c r="A385" s="39" t="s">
        <v>10</v>
      </c>
      <c r="B385" s="40" t="s">
        <v>963</v>
      </c>
      <c r="C385" s="41" t="s">
        <v>104</v>
      </c>
      <c r="D385" s="42" t="s">
        <v>15</v>
      </c>
      <c r="E385" s="190">
        <v>33980.28</v>
      </c>
      <c r="F385" s="97">
        <f>C385*E385</f>
        <v>33980.28</v>
      </c>
      <c r="G385" s="128"/>
    </row>
    <row r="386" spans="1:7" x14ac:dyDescent="0.25">
      <c r="A386" s="187"/>
      <c r="B386" s="192"/>
      <c r="C386" s="188"/>
      <c r="D386" s="189"/>
      <c r="E386" s="190"/>
      <c r="F386" s="97"/>
      <c r="G386" s="128"/>
    </row>
    <row r="387" spans="1:7" x14ac:dyDescent="0.25">
      <c r="A387" s="39" t="s">
        <v>12</v>
      </c>
      <c r="B387" s="40" t="s">
        <v>964</v>
      </c>
      <c r="C387" s="41" t="s">
        <v>104</v>
      </c>
      <c r="D387" s="42" t="s">
        <v>15</v>
      </c>
      <c r="E387" s="190">
        <v>14771.26</v>
      </c>
      <c r="F387" s="97">
        <f>C387*E387</f>
        <v>14771.26</v>
      </c>
      <c r="G387" s="128"/>
    </row>
    <row r="388" spans="1:7" x14ac:dyDescent="0.25">
      <c r="A388" s="187"/>
      <c r="B388" s="192"/>
      <c r="C388" s="188"/>
      <c r="D388" s="189"/>
      <c r="E388" s="190"/>
      <c r="F388" s="97"/>
      <c r="G388" s="128"/>
    </row>
    <row r="389" spans="1:7" x14ac:dyDescent="0.25">
      <c r="A389" s="39" t="s">
        <v>13</v>
      </c>
      <c r="B389" s="40" t="s">
        <v>965</v>
      </c>
      <c r="C389" s="41" t="s">
        <v>104</v>
      </c>
      <c r="D389" s="42" t="s">
        <v>15</v>
      </c>
      <c r="E389" s="190">
        <v>17305.43</v>
      </c>
      <c r="F389" s="97">
        <f>C389*E389</f>
        <v>17305.43</v>
      </c>
      <c r="G389" s="128"/>
    </row>
    <row r="390" spans="1:7" x14ac:dyDescent="0.25">
      <c r="A390" s="187"/>
      <c r="B390" s="192"/>
      <c r="C390" s="188"/>
      <c r="D390" s="189"/>
      <c r="E390" s="190"/>
      <c r="F390" s="97"/>
      <c r="G390" s="128"/>
    </row>
    <row r="391" spans="1:7" x14ac:dyDescent="0.25">
      <c r="A391" s="39" t="s">
        <v>16</v>
      </c>
      <c r="B391" s="40" t="s">
        <v>966</v>
      </c>
      <c r="C391" s="41" t="s">
        <v>104</v>
      </c>
      <c r="D391" s="42" t="s">
        <v>15</v>
      </c>
      <c r="E391" s="190">
        <v>19839.61</v>
      </c>
      <c r="F391" s="97">
        <f>C391*E391</f>
        <v>19839.61</v>
      </c>
      <c r="G391" s="128"/>
    </row>
    <row r="392" spans="1:7" x14ac:dyDescent="0.25">
      <c r="A392" s="187"/>
      <c r="B392" s="192"/>
      <c r="C392" s="188"/>
      <c r="D392" s="189"/>
      <c r="E392" s="190"/>
      <c r="F392" s="97"/>
      <c r="G392" s="128"/>
    </row>
    <row r="393" spans="1:7" x14ac:dyDescent="0.25">
      <c r="A393" s="39"/>
      <c r="B393" s="65" t="s">
        <v>967</v>
      </c>
      <c r="C393" s="41"/>
      <c r="D393" s="42"/>
      <c r="E393" s="190"/>
      <c r="F393" s="97"/>
      <c r="G393" s="128"/>
    </row>
    <row r="394" spans="1:7" x14ac:dyDescent="0.25">
      <c r="A394" s="187"/>
      <c r="B394" s="192"/>
      <c r="C394" s="188"/>
      <c r="D394" s="189"/>
      <c r="E394" s="190"/>
      <c r="F394" s="97"/>
      <c r="G394" s="128"/>
    </row>
    <row r="395" spans="1:7" x14ac:dyDescent="0.25">
      <c r="A395" s="39" t="s">
        <v>17</v>
      </c>
      <c r="B395" s="40" t="s">
        <v>968</v>
      </c>
      <c r="C395" s="41" t="s">
        <v>104</v>
      </c>
      <c r="D395" s="42" t="s">
        <v>15</v>
      </c>
      <c r="E395" s="190">
        <v>8341.36</v>
      </c>
      <c r="F395" s="97">
        <f>C395*E395</f>
        <v>8341.36</v>
      </c>
      <c r="G395" s="128"/>
    </row>
    <row r="396" spans="1:7" x14ac:dyDescent="0.25">
      <c r="A396" s="187"/>
      <c r="B396" s="192"/>
      <c r="C396" s="188"/>
      <c r="D396" s="189"/>
      <c r="E396" s="190"/>
      <c r="F396" s="97"/>
      <c r="G396" s="128"/>
    </row>
    <row r="397" spans="1:7" x14ac:dyDescent="0.25">
      <c r="A397" s="39" t="s">
        <v>18</v>
      </c>
      <c r="B397" s="40" t="s">
        <v>969</v>
      </c>
      <c r="C397" s="41" t="s">
        <v>104</v>
      </c>
      <c r="D397" s="42" t="s">
        <v>15</v>
      </c>
      <c r="E397" s="190">
        <v>8341.36</v>
      </c>
      <c r="F397" s="97">
        <f>C397*E397</f>
        <v>8341.36</v>
      </c>
      <c r="G397" s="128"/>
    </row>
    <row r="398" spans="1:7" x14ac:dyDescent="0.25">
      <c r="A398" s="187"/>
      <c r="B398" s="192"/>
      <c r="C398" s="188"/>
      <c r="D398" s="189"/>
      <c r="E398" s="190"/>
      <c r="F398" s="97"/>
      <c r="G398" s="128"/>
    </row>
    <row r="399" spans="1:7" x14ac:dyDescent="0.25">
      <c r="A399" s="39" t="s">
        <v>19</v>
      </c>
      <c r="B399" s="40" t="s">
        <v>970</v>
      </c>
      <c r="C399" s="41" t="s">
        <v>104</v>
      </c>
      <c r="D399" s="42" t="s">
        <v>15</v>
      </c>
      <c r="E399" s="190">
        <v>9988.57</v>
      </c>
      <c r="F399" s="97">
        <f>C399*E399</f>
        <v>9988.57</v>
      </c>
      <c r="G399" s="128"/>
    </row>
    <row r="400" spans="1:7" x14ac:dyDescent="0.25">
      <c r="A400" s="187"/>
      <c r="B400" s="192"/>
      <c r="C400" s="188"/>
      <c r="D400" s="189"/>
      <c r="E400" s="190"/>
      <c r="F400" s="97"/>
      <c r="G400" s="128"/>
    </row>
    <row r="401" spans="1:7" x14ac:dyDescent="0.25">
      <c r="A401" s="39" t="s">
        <v>22</v>
      </c>
      <c r="B401" s="40" t="s">
        <v>971</v>
      </c>
      <c r="C401" s="41" t="s">
        <v>104</v>
      </c>
      <c r="D401" s="42" t="s">
        <v>15</v>
      </c>
      <c r="E401" s="190">
        <v>8341.36</v>
      </c>
      <c r="F401" s="97">
        <f>C401*E401</f>
        <v>8341.36</v>
      </c>
      <c r="G401" s="128"/>
    </row>
    <row r="402" spans="1:7" x14ac:dyDescent="0.25">
      <c r="A402" s="187"/>
      <c r="B402" s="192"/>
      <c r="C402" s="188"/>
      <c r="D402" s="189"/>
      <c r="E402" s="190"/>
      <c r="F402" s="97"/>
      <c r="G402" s="128"/>
    </row>
    <row r="403" spans="1:7" x14ac:dyDescent="0.25">
      <c r="A403" s="39" t="s">
        <v>23</v>
      </c>
      <c r="B403" s="40" t="s">
        <v>972</v>
      </c>
      <c r="C403" s="41" t="s">
        <v>104</v>
      </c>
      <c r="D403" s="42" t="s">
        <v>15</v>
      </c>
      <c r="E403" s="190">
        <v>10185.799999999999</v>
      </c>
      <c r="F403" s="97">
        <f>C403*E403</f>
        <v>10185.799999999999</v>
      </c>
      <c r="G403" s="128"/>
    </row>
    <row r="404" spans="1:7" x14ac:dyDescent="0.25">
      <c r="A404" s="187"/>
      <c r="B404" s="192"/>
      <c r="C404" s="188"/>
      <c r="D404" s="189"/>
      <c r="E404" s="190"/>
      <c r="F404" s="97"/>
      <c r="G404" s="128"/>
    </row>
    <row r="405" spans="1:7" x14ac:dyDescent="0.25">
      <c r="A405" s="39"/>
      <c r="B405" s="43" t="s">
        <v>973</v>
      </c>
      <c r="C405" s="41"/>
      <c r="D405" s="42"/>
      <c r="E405" s="190"/>
      <c r="F405" s="97"/>
      <c r="G405" s="128"/>
    </row>
    <row r="406" spans="1:7" x14ac:dyDescent="0.25">
      <c r="A406" s="187"/>
      <c r="B406" s="192"/>
      <c r="C406" s="188"/>
      <c r="D406" s="189"/>
      <c r="E406" s="190"/>
      <c r="F406" s="97"/>
      <c r="G406" s="128"/>
    </row>
    <row r="407" spans="1:7" x14ac:dyDescent="0.25">
      <c r="A407" s="39" t="s">
        <v>25</v>
      </c>
      <c r="B407" s="40" t="s">
        <v>974</v>
      </c>
      <c r="C407" s="41" t="s">
        <v>104</v>
      </c>
      <c r="D407" s="42" t="s">
        <v>15</v>
      </c>
      <c r="E407" s="190"/>
      <c r="F407" s="97" t="s">
        <v>1194</v>
      </c>
      <c r="G407" s="128"/>
    </row>
    <row r="408" spans="1:7" x14ac:dyDescent="0.25">
      <c r="A408" s="187"/>
      <c r="B408" s="192"/>
      <c r="C408" s="188"/>
      <c r="D408" s="189"/>
      <c r="E408" s="190"/>
      <c r="F408" s="97"/>
      <c r="G408" s="128"/>
    </row>
    <row r="409" spans="1:7" x14ac:dyDescent="0.25">
      <c r="A409" s="39" t="s">
        <v>31</v>
      </c>
      <c r="B409" s="40" t="s">
        <v>975</v>
      </c>
      <c r="C409" s="41" t="s">
        <v>104</v>
      </c>
      <c r="D409" s="42" t="s">
        <v>15</v>
      </c>
      <c r="E409" s="190"/>
      <c r="F409" s="97" t="s">
        <v>1194</v>
      </c>
      <c r="G409" s="128"/>
    </row>
    <row r="410" spans="1:7" x14ac:dyDescent="0.25">
      <c r="A410" s="192"/>
      <c r="B410" s="33"/>
      <c r="C410" s="192"/>
      <c r="D410" s="203"/>
      <c r="E410" s="190"/>
      <c r="F410" s="97"/>
      <c r="G410" s="128"/>
    </row>
    <row r="411" spans="1:7" x14ac:dyDescent="0.25">
      <c r="A411" s="192"/>
      <c r="B411" s="33"/>
      <c r="C411" s="192"/>
      <c r="D411" s="203"/>
      <c r="E411" s="190"/>
      <c r="F411" s="97"/>
      <c r="G411" s="128"/>
    </row>
    <row r="412" spans="1:7" x14ac:dyDescent="0.25">
      <c r="A412" s="192"/>
      <c r="B412" s="33"/>
      <c r="C412" s="192"/>
      <c r="D412" s="203"/>
      <c r="E412" s="190"/>
      <c r="F412" s="97"/>
      <c r="G412" s="128"/>
    </row>
    <row r="413" spans="1:7" x14ac:dyDescent="0.25">
      <c r="A413" s="192"/>
      <c r="B413" s="33"/>
      <c r="C413" s="192"/>
      <c r="D413" s="203"/>
      <c r="E413" s="190"/>
      <c r="F413" s="97"/>
      <c r="G413" s="128"/>
    </row>
    <row r="414" spans="1:7" x14ac:dyDescent="0.25">
      <c r="A414" s="193"/>
      <c r="B414" s="194"/>
      <c r="C414" s="195"/>
      <c r="D414" s="196"/>
      <c r="E414" s="117"/>
      <c r="F414" s="98"/>
      <c r="G414" s="130"/>
    </row>
    <row r="415" spans="1:7" x14ac:dyDescent="0.25">
      <c r="A415" s="197"/>
      <c r="B415" s="198"/>
      <c r="C415" s="199" t="s">
        <v>51</v>
      </c>
      <c r="D415" s="199"/>
      <c r="E415" s="200" t="s">
        <v>50</v>
      </c>
      <c r="F415" s="99">
        <f>SUM(F368:F411)</f>
        <v>181333.08999999997</v>
      </c>
      <c r="G415" s="131"/>
    </row>
    <row r="416" spans="1:7" x14ac:dyDescent="0.25">
      <c r="A416" s="197"/>
      <c r="B416" s="198"/>
      <c r="C416" s="201"/>
      <c r="D416" s="202"/>
      <c r="E416" s="118"/>
      <c r="F416" s="100"/>
      <c r="G416" s="132"/>
    </row>
    <row r="417" spans="1:7" x14ac:dyDescent="0.25">
      <c r="A417" s="192"/>
      <c r="B417" s="33"/>
      <c r="C417" s="192"/>
      <c r="D417" s="203"/>
      <c r="E417" s="190"/>
      <c r="F417" s="97"/>
      <c r="G417" s="128"/>
    </row>
    <row r="418" spans="1:7" x14ac:dyDescent="0.25">
      <c r="A418" s="187"/>
      <c r="B418" s="36" t="s">
        <v>142</v>
      </c>
      <c r="C418" s="188"/>
      <c r="D418" s="189"/>
      <c r="E418" s="190"/>
      <c r="F418" s="97"/>
      <c r="G418" s="128"/>
    </row>
    <row r="419" spans="1:7" x14ac:dyDescent="0.25">
      <c r="A419" s="187"/>
      <c r="B419" s="192"/>
      <c r="C419" s="188"/>
      <c r="D419" s="189"/>
      <c r="E419" s="190"/>
      <c r="F419" s="97"/>
      <c r="G419" s="128"/>
    </row>
    <row r="420" spans="1:7" x14ac:dyDescent="0.25">
      <c r="A420" s="39" t="s">
        <v>3</v>
      </c>
      <c r="B420" s="40" t="s">
        <v>976</v>
      </c>
      <c r="C420" s="41" t="s">
        <v>104</v>
      </c>
      <c r="D420" s="42" t="s">
        <v>15</v>
      </c>
      <c r="E420" s="190"/>
      <c r="F420" s="97" t="s">
        <v>1194</v>
      </c>
      <c r="G420" s="128"/>
    </row>
    <row r="421" spans="1:7" x14ac:dyDescent="0.25">
      <c r="A421" s="187"/>
      <c r="B421" s="192"/>
      <c r="C421" s="188"/>
      <c r="D421" s="189"/>
      <c r="E421" s="190"/>
      <c r="F421" s="97"/>
      <c r="G421" s="128"/>
    </row>
    <row r="422" spans="1:7" x14ac:dyDescent="0.25">
      <c r="A422" s="39" t="s">
        <v>2</v>
      </c>
      <c r="B422" s="40" t="s">
        <v>977</v>
      </c>
      <c r="C422" s="41" t="s">
        <v>104</v>
      </c>
      <c r="D422" s="42" t="s">
        <v>15</v>
      </c>
      <c r="E422" s="190"/>
      <c r="F422" s="97" t="s">
        <v>1194</v>
      </c>
      <c r="G422" s="128"/>
    </row>
    <row r="423" spans="1:7" x14ac:dyDescent="0.25">
      <c r="A423" s="187"/>
      <c r="B423" s="192"/>
      <c r="C423" s="188"/>
      <c r="D423" s="189"/>
      <c r="E423" s="190"/>
      <c r="F423" s="97"/>
      <c r="G423" s="128"/>
    </row>
    <row r="424" spans="1:7" x14ac:dyDescent="0.25">
      <c r="A424" s="39" t="s">
        <v>5</v>
      </c>
      <c r="B424" s="40" t="s">
        <v>978</v>
      </c>
      <c r="C424" s="41" t="s">
        <v>104</v>
      </c>
      <c r="D424" s="42" t="s">
        <v>15</v>
      </c>
      <c r="E424" s="190"/>
      <c r="F424" s="97" t="s">
        <v>1194</v>
      </c>
      <c r="G424" s="128"/>
    </row>
    <row r="425" spans="1:7" x14ac:dyDescent="0.25">
      <c r="A425" s="187"/>
      <c r="B425" s="192"/>
      <c r="C425" s="188"/>
      <c r="D425" s="189"/>
      <c r="E425" s="190"/>
      <c r="F425" s="97"/>
      <c r="G425" s="128"/>
    </row>
    <row r="426" spans="1:7" x14ac:dyDescent="0.25">
      <c r="A426" s="39" t="s">
        <v>8</v>
      </c>
      <c r="B426" s="40" t="s">
        <v>979</v>
      </c>
      <c r="C426" s="41" t="s">
        <v>104</v>
      </c>
      <c r="D426" s="42" t="s">
        <v>15</v>
      </c>
      <c r="E426" s="190"/>
      <c r="F426" s="97" t="s">
        <v>1194</v>
      </c>
      <c r="G426" s="128"/>
    </row>
    <row r="427" spans="1:7" x14ac:dyDescent="0.25">
      <c r="A427" s="187"/>
      <c r="B427" s="192"/>
      <c r="C427" s="188"/>
      <c r="D427" s="189"/>
      <c r="E427" s="190"/>
      <c r="F427" s="97"/>
      <c r="G427" s="128"/>
    </row>
    <row r="428" spans="1:7" x14ac:dyDescent="0.25">
      <c r="A428" s="39" t="s">
        <v>9</v>
      </c>
      <c r="B428" s="40" t="s">
        <v>980</v>
      </c>
      <c r="C428" s="41" t="s">
        <v>104</v>
      </c>
      <c r="D428" s="42" t="s">
        <v>15</v>
      </c>
      <c r="E428" s="190"/>
      <c r="F428" s="97" t="s">
        <v>1194</v>
      </c>
      <c r="G428" s="128"/>
    </row>
    <row r="429" spans="1:7" x14ac:dyDescent="0.25">
      <c r="A429" s="187"/>
      <c r="B429" s="192"/>
      <c r="C429" s="188"/>
      <c r="D429" s="189"/>
      <c r="E429" s="190"/>
      <c r="F429" s="97"/>
      <c r="G429" s="128"/>
    </row>
    <row r="430" spans="1:7" x14ac:dyDescent="0.25">
      <c r="A430" s="39" t="s">
        <v>10</v>
      </c>
      <c r="B430" s="40" t="s">
        <v>981</v>
      </c>
      <c r="C430" s="41" t="s">
        <v>104</v>
      </c>
      <c r="D430" s="42" t="s">
        <v>15</v>
      </c>
      <c r="E430" s="190"/>
      <c r="F430" s="97" t="s">
        <v>1194</v>
      </c>
      <c r="G430" s="128"/>
    </row>
    <row r="431" spans="1:7" x14ac:dyDescent="0.25">
      <c r="A431" s="187"/>
      <c r="B431" s="192"/>
      <c r="C431" s="188"/>
      <c r="D431" s="189"/>
      <c r="E431" s="190"/>
      <c r="F431" s="97"/>
      <c r="G431" s="128"/>
    </row>
    <row r="432" spans="1:7" x14ac:dyDescent="0.25">
      <c r="A432" s="39" t="s">
        <v>12</v>
      </c>
      <c r="B432" s="40" t="s">
        <v>982</v>
      </c>
      <c r="C432" s="41" t="s">
        <v>104</v>
      </c>
      <c r="D432" s="42" t="s">
        <v>15</v>
      </c>
      <c r="E432" s="190"/>
      <c r="F432" s="97" t="s">
        <v>1194</v>
      </c>
      <c r="G432" s="128"/>
    </row>
    <row r="433" spans="1:7" x14ac:dyDescent="0.25">
      <c r="A433" s="187"/>
      <c r="B433" s="192"/>
      <c r="C433" s="188"/>
      <c r="D433" s="189"/>
      <c r="E433" s="190"/>
      <c r="F433" s="97"/>
      <c r="G433" s="128"/>
    </row>
    <row r="434" spans="1:7" x14ac:dyDescent="0.25">
      <c r="A434" s="39" t="s">
        <v>13</v>
      </c>
      <c r="B434" s="40" t="s">
        <v>983</v>
      </c>
      <c r="C434" s="41" t="s">
        <v>104</v>
      </c>
      <c r="D434" s="42" t="s">
        <v>15</v>
      </c>
      <c r="E434" s="190"/>
      <c r="F434" s="97" t="s">
        <v>1194</v>
      </c>
      <c r="G434" s="128"/>
    </row>
    <row r="435" spans="1:7" x14ac:dyDescent="0.25">
      <c r="A435" s="187"/>
      <c r="B435" s="192"/>
      <c r="C435" s="188"/>
      <c r="D435" s="189"/>
      <c r="E435" s="190"/>
      <c r="F435" s="97"/>
      <c r="G435" s="128"/>
    </row>
    <row r="436" spans="1:7" x14ac:dyDescent="0.25">
      <c r="A436" s="39" t="s">
        <v>16</v>
      </c>
      <c r="B436" s="40" t="s">
        <v>984</v>
      </c>
      <c r="C436" s="41" t="s">
        <v>104</v>
      </c>
      <c r="D436" s="42" t="s">
        <v>15</v>
      </c>
      <c r="E436" s="190"/>
      <c r="F436" s="97" t="s">
        <v>1194</v>
      </c>
      <c r="G436" s="128"/>
    </row>
    <row r="437" spans="1:7" x14ac:dyDescent="0.25">
      <c r="A437" s="187"/>
      <c r="B437" s="192"/>
      <c r="C437" s="188"/>
      <c r="D437" s="189"/>
      <c r="E437" s="190"/>
      <c r="F437" s="97"/>
      <c r="G437" s="128"/>
    </row>
    <row r="438" spans="1:7" x14ac:dyDescent="0.25">
      <c r="A438" s="39" t="s">
        <v>17</v>
      </c>
      <c r="B438" s="40" t="s">
        <v>985</v>
      </c>
      <c r="C438" s="41" t="s">
        <v>104</v>
      </c>
      <c r="D438" s="42" t="s">
        <v>15</v>
      </c>
      <c r="E438" s="190"/>
      <c r="F438" s="97" t="s">
        <v>1194</v>
      </c>
      <c r="G438" s="128"/>
    </row>
    <row r="439" spans="1:7" x14ac:dyDescent="0.25">
      <c r="A439" s="187"/>
      <c r="B439" s="192"/>
      <c r="C439" s="188"/>
      <c r="D439" s="189"/>
      <c r="E439" s="190"/>
      <c r="F439" s="97"/>
      <c r="G439" s="128"/>
    </row>
    <row r="440" spans="1:7" x14ac:dyDescent="0.25">
      <c r="A440" s="39" t="s">
        <v>18</v>
      </c>
      <c r="B440" s="40" t="s">
        <v>986</v>
      </c>
      <c r="C440" s="41" t="s">
        <v>104</v>
      </c>
      <c r="D440" s="42" t="s">
        <v>15</v>
      </c>
      <c r="E440" s="190"/>
      <c r="F440" s="97" t="s">
        <v>1194</v>
      </c>
      <c r="G440" s="128"/>
    </row>
    <row r="441" spans="1:7" x14ac:dyDescent="0.25">
      <c r="A441" s="187"/>
      <c r="B441" s="192"/>
      <c r="C441" s="188"/>
      <c r="D441" s="189"/>
      <c r="E441" s="190"/>
      <c r="F441" s="97"/>
      <c r="G441" s="128"/>
    </row>
    <row r="442" spans="1:7" x14ac:dyDescent="0.25">
      <c r="A442" s="39" t="s">
        <v>19</v>
      </c>
      <c r="B442" s="40" t="s">
        <v>987</v>
      </c>
      <c r="C442" s="41" t="s">
        <v>104</v>
      </c>
      <c r="D442" s="42" t="s">
        <v>15</v>
      </c>
      <c r="E442" s="190"/>
      <c r="F442" s="97" t="s">
        <v>1194</v>
      </c>
      <c r="G442" s="128"/>
    </row>
    <row r="443" spans="1:7" x14ac:dyDescent="0.25">
      <c r="A443" s="187"/>
      <c r="B443" s="192"/>
      <c r="C443" s="188"/>
      <c r="D443" s="189"/>
      <c r="E443" s="190"/>
      <c r="F443" s="97"/>
      <c r="G443" s="128"/>
    </row>
    <row r="444" spans="1:7" x14ac:dyDescent="0.25">
      <c r="A444" s="39" t="s">
        <v>22</v>
      </c>
      <c r="B444" s="40" t="s">
        <v>988</v>
      </c>
      <c r="C444" s="41" t="s">
        <v>104</v>
      </c>
      <c r="D444" s="42" t="s">
        <v>15</v>
      </c>
      <c r="E444" s="190"/>
      <c r="F444" s="97" t="s">
        <v>1194</v>
      </c>
      <c r="G444" s="128"/>
    </row>
    <row r="445" spans="1:7" x14ac:dyDescent="0.25">
      <c r="A445" s="187"/>
      <c r="B445" s="192"/>
      <c r="C445" s="188"/>
      <c r="D445" s="189"/>
      <c r="E445" s="190"/>
      <c r="F445" s="97"/>
      <c r="G445" s="128"/>
    </row>
    <row r="446" spans="1:7" x14ac:dyDescent="0.25">
      <c r="A446" s="39" t="s">
        <v>23</v>
      </c>
      <c r="B446" s="40" t="s">
        <v>989</v>
      </c>
      <c r="C446" s="41" t="s">
        <v>104</v>
      </c>
      <c r="D446" s="42" t="s">
        <v>15</v>
      </c>
      <c r="E446" s="190"/>
      <c r="F446" s="97" t="s">
        <v>1194</v>
      </c>
      <c r="G446" s="128"/>
    </row>
    <row r="447" spans="1:7" x14ac:dyDescent="0.25">
      <c r="A447" s="187"/>
      <c r="B447" s="192"/>
      <c r="C447" s="188"/>
      <c r="D447" s="189"/>
      <c r="E447" s="190"/>
      <c r="F447" s="97"/>
      <c r="G447" s="128"/>
    </row>
    <row r="448" spans="1:7" x14ac:dyDescent="0.25">
      <c r="A448" s="39" t="s">
        <v>25</v>
      </c>
      <c r="B448" s="40" t="s">
        <v>990</v>
      </c>
      <c r="C448" s="41" t="s">
        <v>64</v>
      </c>
      <c r="D448" s="42" t="s">
        <v>15</v>
      </c>
      <c r="E448" s="190"/>
      <c r="F448" s="97" t="s">
        <v>1194</v>
      </c>
      <c r="G448" s="128"/>
    </row>
    <row r="449" spans="1:7" x14ac:dyDescent="0.25">
      <c r="A449" s="187"/>
      <c r="B449" s="192"/>
      <c r="C449" s="188"/>
      <c r="D449" s="189"/>
      <c r="E449" s="190"/>
      <c r="F449" s="97"/>
      <c r="G449" s="128"/>
    </row>
    <row r="450" spans="1:7" x14ac:dyDescent="0.25">
      <c r="A450" s="39"/>
      <c r="B450" s="43" t="s">
        <v>991</v>
      </c>
      <c r="C450" s="41"/>
      <c r="D450" s="42"/>
      <c r="E450" s="190"/>
      <c r="F450" s="97"/>
      <c r="G450" s="128"/>
    </row>
    <row r="451" spans="1:7" x14ac:dyDescent="0.25">
      <c r="A451" s="187"/>
      <c r="B451" s="192"/>
      <c r="C451" s="188"/>
      <c r="D451" s="189"/>
      <c r="E451" s="190"/>
      <c r="F451" s="97"/>
      <c r="G451" s="128"/>
    </row>
    <row r="452" spans="1:7" x14ac:dyDescent="0.25">
      <c r="A452" s="39" t="s">
        <v>31</v>
      </c>
      <c r="B452" s="40" t="s">
        <v>992</v>
      </c>
      <c r="C452" s="41" t="s">
        <v>73</v>
      </c>
      <c r="D452" s="42" t="s">
        <v>15</v>
      </c>
      <c r="E452" s="190">
        <v>3339.99</v>
      </c>
      <c r="F452" s="97">
        <f>C452*E452</f>
        <v>10019.969999999999</v>
      </c>
      <c r="G452" s="128"/>
    </row>
    <row r="453" spans="1:7" x14ac:dyDescent="0.25">
      <c r="A453" s="187"/>
      <c r="B453" s="192"/>
      <c r="C453" s="188"/>
      <c r="D453" s="189"/>
      <c r="E453" s="190"/>
      <c r="F453" s="97"/>
      <c r="G453" s="128"/>
    </row>
    <row r="454" spans="1:7" x14ac:dyDescent="0.25">
      <c r="A454" s="39"/>
      <c r="B454" s="43" t="s">
        <v>993</v>
      </c>
      <c r="C454" s="41"/>
      <c r="D454" s="42"/>
      <c r="E454" s="190"/>
      <c r="F454" s="97"/>
      <c r="G454" s="128"/>
    </row>
    <row r="455" spans="1:7" x14ac:dyDescent="0.25">
      <c r="A455" s="187"/>
      <c r="B455" s="192"/>
      <c r="C455" s="188"/>
      <c r="D455" s="189"/>
      <c r="E455" s="190"/>
      <c r="F455" s="97"/>
      <c r="G455" s="128"/>
    </row>
    <row r="456" spans="1:7" x14ac:dyDescent="0.25">
      <c r="A456" s="39" t="s">
        <v>33</v>
      </c>
      <c r="B456" s="40" t="s">
        <v>994</v>
      </c>
      <c r="C456" s="41" t="s">
        <v>244</v>
      </c>
      <c r="D456" s="42" t="s">
        <v>15</v>
      </c>
      <c r="E456" s="190">
        <v>4637.43</v>
      </c>
      <c r="F456" s="97">
        <f>C456*E456</f>
        <v>37099.440000000002</v>
      </c>
      <c r="G456" s="128"/>
    </row>
    <row r="457" spans="1:7" x14ac:dyDescent="0.25">
      <c r="A457" s="187"/>
      <c r="B457" s="192"/>
      <c r="C457" s="188"/>
      <c r="D457" s="189"/>
      <c r="E457" s="190"/>
      <c r="F457" s="97"/>
      <c r="G457" s="128"/>
    </row>
    <row r="458" spans="1:7" x14ac:dyDescent="0.25">
      <c r="A458" s="39" t="s">
        <v>213</v>
      </c>
      <c r="B458" s="40" t="s">
        <v>995</v>
      </c>
      <c r="C458" s="41" t="s">
        <v>104</v>
      </c>
      <c r="D458" s="42" t="s">
        <v>15</v>
      </c>
      <c r="E458" s="190">
        <v>11315.85</v>
      </c>
      <c r="F458" s="97">
        <f>C458*E458</f>
        <v>11315.85</v>
      </c>
      <c r="G458" s="128"/>
    </row>
    <row r="459" spans="1:7" x14ac:dyDescent="0.25">
      <c r="A459" s="187"/>
      <c r="B459" s="192"/>
      <c r="C459" s="188"/>
      <c r="D459" s="189"/>
      <c r="E459" s="190"/>
      <c r="F459" s="97"/>
      <c r="G459" s="128"/>
    </row>
    <row r="460" spans="1:7" x14ac:dyDescent="0.25">
      <c r="A460" s="39"/>
      <c r="B460" s="43" t="s">
        <v>144</v>
      </c>
      <c r="C460" s="41"/>
      <c r="D460" s="42"/>
      <c r="E460" s="190"/>
      <c r="F460" s="97"/>
      <c r="G460" s="128"/>
    </row>
    <row r="461" spans="1:7" x14ac:dyDescent="0.25">
      <c r="A461" s="187"/>
      <c r="B461" s="192"/>
      <c r="C461" s="188"/>
      <c r="D461" s="189"/>
      <c r="E461" s="190"/>
      <c r="F461" s="97"/>
      <c r="G461" s="128"/>
    </row>
    <row r="462" spans="1:7" x14ac:dyDescent="0.25">
      <c r="A462" s="39" t="s">
        <v>441</v>
      </c>
      <c r="B462" s="40" t="s">
        <v>996</v>
      </c>
      <c r="C462" s="41" t="s">
        <v>58</v>
      </c>
      <c r="D462" s="42" t="s">
        <v>15</v>
      </c>
      <c r="E462" s="190">
        <v>368.12</v>
      </c>
      <c r="F462" s="97">
        <f>C462*E462</f>
        <v>2208.7200000000003</v>
      </c>
      <c r="G462" s="128"/>
    </row>
    <row r="463" spans="1:7" x14ac:dyDescent="0.25">
      <c r="A463" s="187"/>
      <c r="B463" s="192"/>
      <c r="C463" s="188"/>
      <c r="D463" s="189"/>
      <c r="E463" s="190"/>
      <c r="F463" s="97"/>
      <c r="G463" s="128"/>
    </row>
    <row r="464" spans="1:7" x14ac:dyDescent="0.25">
      <c r="A464" s="39"/>
      <c r="B464" s="40"/>
      <c r="C464" s="41"/>
      <c r="D464" s="42"/>
      <c r="E464" s="190"/>
      <c r="F464" s="97"/>
      <c r="G464" s="128"/>
    </row>
    <row r="465" spans="1:7" x14ac:dyDescent="0.25">
      <c r="A465" s="193"/>
      <c r="B465" s="194"/>
      <c r="C465" s="195"/>
      <c r="D465" s="196"/>
      <c r="E465" s="117"/>
      <c r="F465" s="98"/>
      <c r="G465" s="130"/>
    </row>
    <row r="466" spans="1:7" x14ac:dyDescent="0.25">
      <c r="A466" s="197"/>
      <c r="B466" s="198"/>
      <c r="C466" s="199" t="s">
        <v>51</v>
      </c>
      <c r="D466" s="199"/>
      <c r="E466" s="200" t="s">
        <v>50</v>
      </c>
      <c r="F466" s="99">
        <f>SUM(F419:F463)</f>
        <v>60643.98</v>
      </c>
      <c r="G466" s="131"/>
    </row>
    <row r="467" spans="1:7" x14ac:dyDescent="0.25">
      <c r="A467" s="197"/>
      <c r="B467" s="198"/>
      <c r="C467" s="201"/>
      <c r="D467" s="202"/>
      <c r="E467" s="118"/>
      <c r="F467" s="100"/>
      <c r="G467" s="132"/>
    </row>
    <row r="468" spans="1:7" x14ac:dyDescent="0.25">
      <c r="A468" s="39"/>
      <c r="B468" s="40"/>
      <c r="C468" s="41"/>
      <c r="D468" s="42"/>
      <c r="E468" s="190"/>
      <c r="F468" s="97"/>
      <c r="G468" s="128"/>
    </row>
    <row r="469" spans="1:7" x14ac:dyDescent="0.25">
      <c r="A469" s="187"/>
      <c r="B469" s="36" t="s">
        <v>142</v>
      </c>
      <c r="C469" s="188"/>
      <c r="D469" s="189"/>
      <c r="E469" s="190"/>
      <c r="F469" s="97"/>
      <c r="G469" s="128"/>
    </row>
    <row r="470" spans="1:7" x14ac:dyDescent="0.25">
      <c r="A470" s="187"/>
      <c r="B470" s="192"/>
      <c r="C470" s="188"/>
      <c r="D470" s="189"/>
      <c r="E470" s="190"/>
      <c r="F470" s="97"/>
      <c r="G470" s="128"/>
    </row>
    <row r="471" spans="1:7" x14ac:dyDescent="0.25">
      <c r="A471" s="39" t="s">
        <v>3</v>
      </c>
      <c r="B471" s="40" t="s">
        <v>997</v>
      </c>
      <c r="C471" s="41" t="s">
        <v>104</v>
      </c>
      <c r="D471" s="42" t="s">
        <v>15</v>
      </c>
      <c r="E471" s="190">
        <v>1360.56</v>
      </c>
      <c r="F471" s="97">
        <f>C471*E471</f>
        <v>1360.56</v>
      </c>
      <c r="G471" s="128"/>
    </row>
    <row r="472" spans="1:7" x14ac:dyDescent="0.25">
      <c r="A472" s="187"/>
      <c r="B472" s="192"/>
      <c r="C472" s="188"/>
      <c r="D472" s="189"/>
      <c r="E472" s="190"/>
      <c r="F472" s="97"/>
      <c r="G472" s="128"/>
    </row>
    <row r="473" spans="1:7" x14ac:dyDescent="0.25">
      <c r="A473" s="39" t="s">
        <v>2</v>
      </c>
      <c r="B473" s="40" t="s">
        <v>998</v>
      </c>
      <c r="C473" s="41" t="s">
        <v>67</v>
      </c>
      <c r="D473" s="42" t="s">
        <v>15</v>
      </c>
      <c r="E473" s="190">
        <v>1297.29</v>
      </c>
      <c r="F473" s="97">
        <f>C473*E473</f>
        <v>12972.9</v>
      </c>
      <c r="G473" s="128"/>
    </row>
    <row r="474" spans="1:7" x14ac:dyDescent="0.25">
      <c r="A474" s="187"/>
      <c r="B474" s="192"/>
      <c r="C474" s="188"/>
      <c r="D474" s="189"/>
      <c r="E474" s="190"/>
      <c r="F474" s="97"/>
      <c r="G474" s="128"/>
    </row>
    <row r="475" spans="1:7" x14ac:dyDescent="0.25">
      <c r="A475" s="39" t="s">
        <v>5</v>
      </c>
      <c r="B475" s="40" t="s">
        <v>999</v>
      </c>
      <c r="C475" s="41" t="s">
        <v>73</v>
      </c>
      <c r="D475" s="42" t="s">
        <v>15</v>
      </c>
      <c r="E475" s="190">
        <v>1631.09</v>
      </c>
      <c r="F475" s="97">
        <f>C475*E475</f>
        <v>4893.2699999999995</v>
      </c>
      <c r="G475" s="128"/>
    </row>
    <row r="476" spans="1:7" x14ac:dyDescent="0.25">
      <c r="A476" s="187"/>
      <c r="B476" s="192"/>
      <c r="C476" s="188"/>
      <c r="D476" s="189"/>
      <c r="E476" s="190"/>
      <c r="F476" s="97"/>
      <c r="G476" s="128"/>
    </row>
    <row r="477" spans="1:7" x14ac:dyDescent="0.25">
      <c r="A477" s="39" t="s">
        <v>8</v>
      </c>
      <c r="B477" s="40" t="s">
        <v>1000</v>
      </c>
      <c r="C477" s="41" t="s">
        <v>76</v>
      </c>
      <c r="D477" s="42" t="s">
        <v>15</v>
      </c>
      <c r="E477" s="190">
        <v>3265.58</v>
      </c>
      <c r="F477" s="97">
        <f>C477*E477</f>
        <v>16327.9</v>
      </c>
      <c r="G477" s="128"/>
    </row>
    <row r="478" spans="1:7" x14ac:dyDescent="0.25">
      <c r="A478" s="187"/>
      <c r="B478" s="192"/>
      <c r="C478" s="188"/>
      <c r="D478" s="189"/>
      <c r="E478" s="190"/>
      <c r="F478" s="97"/>
      <c r="G478" s="128"/>
    </row>
    <row r="479" spans="1:7" x14ac:dyDescent="0.25">
      <c r="A479" s="39" t="s">
        <v>9</v>
      </c>
      <c r="B479" s="40" t="s">
        <v>1001</v>
      </c>
      <c r="C479" s="41" t="s">
        <v>66</v>
      </c>
      <c r="D479" s="42" t="s">
        <v>15</v>
      </c>
      <c r="E479" s="190">
        <v>4385.46</v>
      </c>
      <c r="F479" s="97">
        <f>C479*E479</f>
        <v>17541.84</v>
      </c>
      <c r="G479" s="128"/>
    </row>
    <row r="480" spans="1:7" x14ac:dyDescent="0.25">
      <c r="A480" s="187"/>
      <c r="B480" s="192"/>
      <c r="C480" s="188"/>
      <c r="D480" s="189"/>
      <c r="E480" s="190"/>
      <c r="F480" s="97"/>
      <c r="G480" s="128"/>
    </row>
    <row r="481" spans="1:7" x14ac:dyDescent="0.25">
      <c r="A481" s="39" t="s">
        <v>10</v>
      </c>
      <c r="B481" s="40" t="s">
        <v>1002</v>
      </c>
      <c r="C481" s="41" t="s">
        <v>104</v>
      </c>
      <c r="D481" s="42" t="s">
        <v>15</v>
      </c>
      <c r="E481" s="190">
        <v>494.15</v>
      </c>
      <c r="F481" s="97">
        <f>C481*E481</f>
        <v>494.15</v>
      </c>
      <c r="G481" s="128"/>
    </row>
    <row r="482" spans="1:7" x14ac:dyDescent="0.25">
      <c r="A482" s="187"/>
      <c r="B482" s="192"/>
      <c r="C482" s="188"/>
      <c r="D482" s="189"/>
      <c r="E482" s="190"/>
      <c r="F482" s="97"/>
      <c r="G482" s="128"/>
    </row>
    <row r="483" spans="1:7" x14ac:dyDescent="0.25">
      <c r="A483" s="39" t="s">
        <v>12</v>
      </c>
      <c r="B483" s="40" t="s">
        <v>145</v>
      </c>
      <c r="C483" s="41" t="s">
        <v>104</v>
      </c>
      <c r="D483" s="42" t="s">
        <v>15</v>
      </c>
      <c r="E483" s="190">
        <v>1360.56</v>
      </c>
      <c r="F483" s="97">
        <f>C483*E483</f>
        <v>1360.56</v>
      </c>
      <c r="G483" s="128"/>
    </row>
    <row r="484" spans="1:7" x14ac:dyDescent="0.25">
      <c r="A484" s="187"/>
      <c r="B484" s="192"/>
      <c r="C484" s="188"/>
      <c r="D484" s="189"/>
      <c r="E484" s="190"/>
      <c r="F484" s="97"/>
      <c r="G484" s="128"/>
    </row>
    <row r="485" spans="1:7" x14ac:dyDescent="0.25">
      <c r="A485" s="39"/>
      <c r="B485" s="43" t="s">
        <v>1003</v>
      </c>
      <c r="C485" s="41"/>
      <c r="D485" s="42"/>
      <c r="E485" s="190"/>
      <c r="F485" s="97"/>
      <c r="G485" s="128"/>
    </row>
    <row r="486" spans="1:7" x14ac:dyDescent="0.25">
      <c r="A486" s="187"/>
      <c r="B486" s="192"/>
      <c r="C486" s="188"/>
      <c r="D486" s="189"/>
      <c r="E486" s="190"/>
      <c r="F486" s="97"/>
      <c r="G486" s="128"/>
    </row>
    <row r="487" spans="1:7" ht="55.2" x14ac:dyDescent="0.25">
      <c r="A487" s="39"/>
      <c r="B487" s="43" t="s">
        <v>146</v>
      </c>
      <c r="C487" s="41"/>
      <c r="D487" s="42"/>
      <c r="E487" s="190"/>
      <c r="F487" s="97"/>
      <c r="G487" s="128"/>
    </row>
    <row r="488" spans="1:7" x14ac:dyDescent="0.25">
      <c r="A488" s="187"/>
      <c r="B488" s="192"/>
      <c r="C488" s="188"/>
      <c r="D488" s="189"/>
      <c r="E488" s="190"/>
      <c r="F488" s="97"/>
      <c r="G488" s="128"/>
    </row>
    <row r="489" spans="1:7" x14ac:dyDescent="0.25">
      <c r="A489" s="39" t="s">
        <v>13</v>
      </c>
      <c r="B489" s="40" t="s">
        <v>1004</v>
      </c>
      <c r="C489" s="41" t="s">
        <v>1005</v>
      </c>
      <c r="D489" s="42" t="s">
        <v>15</v>
      </c>
      <c r="E489" s="190">
        <v>585.98</v>
      </c>
      <c r="F489" s="97">
        <f>C489*E489</f>
        <v>84967.1</v>
      </c>
      <c r="G489" s="128"/>
    </row>
    <row r="490" spans="1:7" x14ac:dyDescent="0.25">
      <c r="A490" s="187"/>
      <c r="B490" s="192"/>
      <c r="C490" s="188"/>
      <c r="D490" s="189"/>
      <c r="E490" s="190"/>
      <c r="F490" s="97"/>
      <c r="G490" s="128"/>
    </row>
    <row r="491" spans="1:7" x14ac:dyDescent="0.25">
      <c r="A491" s="39" t="s">
        <v>16</v>
      </c>
      <c r="B491" s="40" t="s">
        <v>147</v>
      </c>
      <c r="C491" s="41" t="s">
        <v>1006</v>
      </c>
      <c r="D491" s="42" t="s">
        <v>15</v>
      </c>
      <c r="E491" s="190">
        <v>1071.6300000000001</v>
      </c>
      <c r="F491" s="97">
        <f>C491*E491</f>
        <v>131810.49000000002</v>
      </c>
      <c r="G491" s="128"/>
    </row>
    <row r="492" spans="1:7" x14ac:dyDescent="0.25">
      <c r="A492" s="187"/>
      <c r="B492" s="192"/>
      <c r="C492" s="188"/>
      <c r="D492" s="189"/>
      <c r="E492" s="190"/>
      <c r="F492" s="97"/>
      <c r="G492" s="128"/>
    </row>
    <row r="493" spans="1:7" x14ac:dyDescent="0.25">
      <c r="A493" s="39" t="s">
        <v>17</v>
      </c>
      <c r="B493" s="40" t="s">
        <v>1007</v>
      </c>
      <c r="C493" s="41" t="s">
        <v>75</v>
      </c>
      <c r="D493" s="42" t="s">
        <v>15</v>
      </c>
      <c r="E493" s="190">
        <v>1909.24</v>
      </c>
      <c r="F493" s="97">
        <f>C493*E493</f>
        <v>26729.360000000001</v>
      </c>
      <c r="G493" s="128"/>
    </row>
    <row r="494" spans="1:7" x14ac:dyDescent="0.25">
      <c r="A494" s="187"/>
      <c r="B494" s="192"/>
      <c r="C494" s="188"/>
      <c r="D494" s="189"/>
      <c r="E494" s="190"/>
      <c r="F494" s="97"/>
      <c r="G494" s="128"/>
    </row>
    <row r="495" spans="1:7" ht="27.6" x14ac:dyDescent="0.25">
      <c r="A495" s="39"/>
      <c r="B495" s="43" t="s">
        <v>97</v>
      </c>
      <c r="C495" s="41"/>
      <c r="D495" s="42"/>
      <c r="E495" s="190"/>
      <c r="F495" s="97"/>
      <c r="G495" s="128"/>
    </row>
    <row r="496" spans="1:7" x14ac:dyDescent="0.25">
      <c r="A496" s="187"/>
      <c r="B496" s="192"/>
      <c r="C496" s="188"/>
      <c r="D496" s="189"/>
      <c r="E496" s="190"/>
      <c r="F496" s="97"/>
      <c r="G496" s="128"/>
    </row>
    <row r="497" spans="1:7" x14ac:dyDescent="0.25">
      <c r="A497" s="39" t="s">
        <v>18</v>
      </c>
      <c r="B497" s="40" t="s">
        <v>1008</v>
      </c>
      <c r="C497" s="41" t="s">
        <v>1009</v>
      </c>
      <c r="D497" s="42" t="s">
        <v>15</v>
      </c>
      <c r="E497" s="190">
        <v>101.65</v>
      </c>
      <c r="F497" s="97">
        <f>C497*E497</f>
        <v>5285.8</v>
      </c>
      <c r="G497" s="128"/>
    </row>
    <row r="498" spans="1:7" x14ac:dyDescent="0.25">
      <c r="A498" s="187"/>
      <c r="B498" s="192"/>
      <c r="C498" s="188"/>
      <c r="D498" s="189"/>
      <c r="E498" s="190"/>
      <c r="F498" s="97"/>
      <c r="G498" s="128"/>
    </row>
    <row r="499" spans="1:7" x14ac:dyDescent="0.25">
      <c r="A499" s="39" t="s">
        <v>19</v>
      </c>
      <c r="B499" s="63" t="s">
        <v>1010</v>
      </c>
      <c r="C499" s="41" t="s">
        <v>66</v>
      </c>
      <c r="D499" s="42" t="s">
        <v>15</v>
      </c>
      <c r="E499" s="190">
        <v>2679.07</v>
      </c>
      <c r="F499" s="97">
        <f>C499*E499</f>
        <v>10716.28</v>
      </c>
      <c r="G499" s="128"/>
    </row>
    <row r="500" spans="1:7" x14ac:dyDescent="0.25">
      <c r="A500" s="187"/>
      <c r="B500" s="192"/>
      <c r="C500" s="188"/>
      <c r="D500" s="189"/>
      <c r="E500" s="190"/>
      <c r="F500" s="97"/>
      <c r="G500" s="128"/>
    </row>
    <row r="501" spans="1:7" x14ac:dyDescent="0.25">
      <c r="A501" s="39" t="s">
        <v>22</v>
      </c>
      <c r="B501" s="40" t="s">
        <v>1011</v>
      </c>
      <c r="C501" s="41" t="s">
        <v>244</v>
      </c>
      <c r="D501" s="42" t="s">
        <v>15</v>
      </c>
      <c r="E501" s="190">
        <v>155.59</v>
      </c>
      <c r="F501" s="97">
        <f>C501*E501</f>
        <v>1244.72</v>
      </c>
      <c r="G501" s="128"/>
    </row>
    <row r="502" spans="1:7" x14ac:dyDescent="0.25">
      <c r="A502" s="187"/>
      <c r="B502" s="192"/>
      <c r="C502" s="188"/>
      <c r="D502" s="189"/>
      <c r="E502" s="190"/>
      <c r="F502" s="97"/>
      <c r="G502" s="128"/>
    </row>
    <row r="503" spans="1:7" x14ac:dyDescent="0.25">
      <c r="A503" s="39" t="s">
        <v>23</v>
      </c>
      <c r="B503" s="40" t="s">
        <v>1012</v>
      </c>
      <c r="C503" s="41" t="s">
        <v>1013</v>
      </c>
      <c r="D503" s="42" t="s">
        <v>15</v>
      </c>
      <c r="E503" s="190">
        <v>210.85</v>
      </c>
      <c r="F503" s="97">
        <f>C503*E503</f>
        <v>16235.449999999999</v>
      </c>
      <c r="G503" s="128"/>
    </row>
    <row r="504" spans="1:7" x14ac:dyDescent="0.25">
      <c r="A504" s="187"/>
      <c r="B504" s="192"/>
      <c r="C504" s="188"/>
      <c r="D504" s="189"/>
      <c r="E504" s="190"/>
      <c r="F504" s="97"/>
      <c r="G504" s="128"/>
    </row>
    <row r="505" spans="1:7" x14ac:dyDescent="0.25">
      <c r="A505" s="39" t="s">
        <v>25</v>
      </c>
      <c r="B505" s="40" t="s">
        <v>1014</v>
      </c>
      <c r="C505" s="41" t="s">
        <v>66</v>
      </c>
      <c r="D505" s="42" t="s">
        <v>15</v>
      </c>
      <c r="E505" s="190">
        <v>430.43</v>
      </c>
      <c r="F505" s="97">
        <f>C505*E505</f>
        <v>1721.72</v>
      </c>
      <c r="G505" s="128"/>
    </row>
    <row r="506" spans="1:7" x14ac:dyDescent="0.25">
      <c r="A506" s="187"/>
      <c r="B506" s="192"/>
      <c r="C506" s="188"/>
      <c r="D506" s="189"/>
      <c r="E506" s="190"/>
      <c r="F506" s="97"/>
      <c r="G506" s="128"/>
    </row>
    <row r="507" spans="1:7" x14ac:dyDescent="0.25">
      <c r="A507" s="39"/>
      <c r="B507" s="40"/>
      <c r="C507" s="41"/>
      <c r="D507" s="42"/>
      <c r="E507" s="190"/>
      <c r="F507" s="97"/>
      <c r="G507" s="128"/>
    </row>
    <row r="508" spans="1:7" x14ac:dyDescent="0.25">
      <c r="A508" s="187"/>
      <c r="B508" s="192"/>
      <c r="C508" s="188"/>
      <c r="D508" s="189"/>
      <c r="E508" s="190"/>
      <c r="F508" s="97"/>
      <c r="G508" s="128"/>
    </row>
    <row r="509" spans="1:7" x14ac:dyDescent="0.25">
      <c r="A509" s="39"/>
      <c r="B509" s="40"/>
      <c r="C509" s="41"/>
      <c r="D509" s="42"/>
      <c r="E509" s="190"/>
      <c r="F509" s="97"/>
      <c r="G509" s="128"/>
    </row>
    <row r="510" spans="1:7" x14ac:dyDescent="0.25">
      <c r="A510" s="187"/>
      <c r="B510" s="192"/>
      <c r="C510" s="188"/>
      <c r="D510" s="189"/>
      <c r="E510" s="190"/>
      <c r="F510" s="97"/>
      <c r="G510" s="128"/>
    </row>
    <row r="511" spans="1:7" x14ac:dyDescent="0.25">
      <c r="A511" s="39"/>
      <c r="B511" s="40"/>
      <c r="C511" s="41"/>
      <c r="D511" s="42"/>
      <c r="E511" s="190"/>
      <c r="F511" s="97"/>
      <c r="G511" s="128"/>
    </row>
    <row r="512" spans="1:7" x14ac:dyDescent="0.25">
      <c r="A512" s="193"/>
      <c r="B512" s="194"/>
      <c r="C512" s="195"/>
      <c r="D512" s="196"/>
      <c r="E512" s="117"/>
      <c r="F512" s="98"/>
      <c r="G512" s="130"/>
    </row>
    <row r="513" spans="1:7" x14ac:dyDescent="0.25">
      <c r="A513" s="197"/>
      <c r="B513" s="198"/>
      <c r="C513" s="199" t="s">
        <v>51</v>
      </c>
      <c r="D513" s="199"/>
      <c r="E513" s="200" t="s">
        <v>50</v>
      </c>
      <c r="F513" s="99">
        <f>SUM(F470:F508)</f>
        <v>333662.09999999998</v>
      </c>
      <c r="G513" s="131"/>
    </row>
    <row r="514" spans="1:7" x14ac:dyDescent="0.25">
      <c r="A514" s="197"/>
      <c r="B514" s="198"/>
      <c r="C514" s="201"/>
      <c r="D514" s="202"/>
      <c r="E514" s="118"/>
      <c r="F514" s="100"/>
      <c r="G514" s="132"/>
    </row>
    <row r="515" spans="1:7" x14ac:dyDescent="0.25">
      <c r="A515" s="39"/>
      <c r="B515" s="40"/>
      <c r="C515" s="41"/>
      <c r="D515" s="42"/>
      <c r="E515" s="190"/>
      <c r="F515" s="97"/>
      <c r="G515" s="128"/>
    </row>
    <row r="516" spans="1:7" x14ac:dyDescent="0.25">
      <c r="A516" s="187"/>
      <c r="B516" s="36" t="s">
        <v>142</v>
      </c>
      <c r="C516" s="188"/>
      <c r="D516" s="189"/>
      <c r="E516" s="190"/>
      <c r="F516" s="97"/>
      <c r="G516" s="128"/>
    </row>
    <row r="517" spans="1:7" x14ac:dyDescent="0.25">
      <c r="A517" s="187"/>
      <c r="B517" s="192"/>
      <c r="C517" s="188"/>
      <c r="D517" s="189"/>
      <c r="E517" s="190"/>
      <c r="F517" s="97"/>
      <c r="G517" s="128"/>
    </row>
    <row r="518" spans="1:7" x14ac:dyDescent="0.25">
      <c r="A518" s="39" t="s">
        <v>3</v>
      </c>
      <c r="B518" s="40" t="s">
        <v>1015</v>
      </c>
      <c r="C518" s="41" t="s">
        <v>1009</v>
      </c>
      <c r="D518" s="42" t="s">
        <v>15</v>
      </c>
      <c r="E518" s="190">
        <v>193.38</v>
      </c>
      <c r="F518" s="97">
        <f>C518*E518</f>
        <v>10055.76</v>
      </c>
      <c r="G518" s="128"/>
    </row>
    <row r="519" spans="1:7" x14ac:dyDescent="0.25">
      <c r="A519" s="187"/>
      <c r="B519" s="192"/>
      <c r="C519" s="188"/>
      <c r="D519" s="189"/>
      <c r="E519" s="190"/>
      <c r="F519" s="97"/>
      <c r="G519" s="128"/>
    </row>
    <row r="520" spans="1:7" x14ac:dyDescent="0.25">
      <c r="A520" s="39" t="s">
        <v>2</v>
      </c>
      <c r="B520" s="40" t="s">
        <v>1016</v>
      </c>
      <c r="C520" s="41" t="s">
        <v>103</v>
      </c>
      <c r="D520" s="42" t="s">
        <v>15</v>
      </c>
      <c r="E520" s="190">
        <v>166.98</v>
      </c>
      <c r="F520" s="97">
        <f>C520*E520</f>
        <v>11855.58</v>
      </c>
      <c r="G520" s="128"/>
    </row>
    <row r="521" spans="1:7" x14ac:dyDescent="0.25">
      <c r="A521" s="187"/>
      <c r="B521" s="192"/>
      <c r="C521" s="188"/>
      <c r="D521" s="189"/>
      <c r="E521" s="190"/>
      <c r="F521" s="97"/>
      <c r="G521" s="128"/>
    </row>
    <row r="522" spans="1:7" ht="55.2" x14ac:dyDescent="0.25">
      <c r="A522" s="39" t="s">
        <v>5</v>
      </c>
      <c r="B522" s="40" t="s">
        <v>1017</v>
      </c>
      <c r="C522" s="41" t="s">
        <v>64</v>
      </c>
      <c r="D522" s="42" t="s">
        <v>15</v>
      </c>
      <c r="E522" s="190">
        <v>1492.35</v>
      </c>
      <c r="F522" s="97">
        <f>C522*E522</f>
        <v>2984.7</v>
      </c>
      <c r="G522" s="128"/>
    </row>
    <row r="523" spans="1:7" x14ac:dyDescent="0.25">
      <c r="A523" s="187"/>
      <c r="B523" s="192"/>
      <c r="C523" s="188"/>
      <c r="D523" s="189"/>
      <c r="E523" s="190"/>
      <c r="F523" s="97"/>
      <c r="G523" s="128"/>
    </row>
    <row r="524" spans="1:7" ht="41.4" x14ac:dyDescent="0.25">
      <c r="A524" s="39" t="s">
        <v>8</v>
      </c>
      <c r="B524" s="40" t="s">
        <v>1018</v>
      </c>
      <c r="C524" s="41" t="s">
        <v>68</v>
      </c>
      <c r="D524" s="42" t="s">
        <v>15</v>
      </c>
      <c r="E524" s="190">
        <v>1492.35</v>
      </c>
      <c r="F524" s="97">
        <f>C524*E524</f>
        <v>17908.199999999997</v>
      </c>
      <c r="G524" s="128"/>
    </row>
    <row r="525" spans="1:7" x14ac:dyDescent="0.25">
      <c r="A525" s="39"/>
      <c r="B525" s="40"/>
      <c r="C525" s="41"/>
      <c r="D525" s="42"/>
      <c r="E525" s="190"/>
      <c r="F525" s="97"/>
      <c r="G525" s="128"/>
    </row>
    <row r="526" spans="1:7" x14ac:dyDescent="0.25">
      <c r="A526" s="187"/>
      <c r="B526" s="192"/>
      <c r="C526" s="188"/>
      <c r="D526" s="189"/>
      <c r="E526" s="190"/>
      <c r="F526" s="97"/>
      <c r="G526" s="128"/>
    </row>
    <row r="527" spans="1:7" x14ac:dyDescent="0.25">
      <c r="A527" s="39"/>
      <c r="B527" s="40"/>
      <c r="C527" s="41"/>
      <c r="D527" s="42"/>
      <c r="E527" s="190"/>
      <c r="F527" s="97"/>
      <c r="G527" s="128"/>
    </row>
    <row r="528" spans="1:7" x14ac:dyDescent="0.25">
      <c r="A528" s="187"/>
      <c r="B528" s="192"/>
      <c r="C528" s="188"/>
      <c r="D528" s="189"/>
      <c r="E528" s="190"/>
      <c r="F528" s="97"/>
      <c r="G528" s="128"/>
    </row>
    <row r="529" spans="1:7" x14ac:dyDescent="0.25">
      <c r="A529" s="187"/>
      <c r="B529" s="192"/>
      <c r="C529" s="188"/>
      <c r="D529" s="189"/>
      <c r="E529" s="190"/>
      <c r="F529" s="97"/>
      <c r="G529" s="128"/>
    </row>
    <row r="530" spans="1:7" x14ac:dyDescent="0.25">
      <c r="A530" s="187"/>
      <c r="B530" s="192"/>
      <c r="C530" s="188"/>
      <c r="D530" s="189"/>
      <c r="E530" s="190"/>
      <c r="F530" s="97"/>
      <c r="G530" s="128"/>
    </row>
    <row r="531" spans="1:7" x14ac:dyDescent="0.25">
      <c r="A531" s="187"/>
      <c r="B531" s="192"/>
      <c r="C531" s="188"/>
      <c r="D531" s="189"/>
      <c r="E531" s="190"/>
      <c r="F531" s="97"/>
      <c r="G531" s="128"/>
    </row>
    <row r="532" spans="1:7" x14ac:dyDescent="0.25">
      <c r="A532" s="187"/>
      <c r="B532" s="192"/>
      <c r="C532" s="188"/>
      <c r="D532" s="189"/>
      <c r="E532" s="190"/>
      <c r="F532" s="97"/>
      <c r="G532" s="128"/>
    </row>
    <row r="533" spans="1:7" x14ac:dyDescent="0.25">
      <c r="A533" s="187"/>
      <c r="B533" s="192"/>
      <c r="C533" s="188"/>
      <c r="D533" s="189"/>
      <c r="E533" s="190"/>
      <c r="F533" s="97"/>
      <c r="G533" s="128"/>
    </row>
    <row r="534" spans="1:7" x14ac:dyDescent="0.25">
      <c r="A534" s="187"/>
      <c r="B534" s="192"/>
      <c r="C534" s="188"/>
      <c r="D534" s="189"/>
      <c r="E534" s="190"/>
      <c r="F534" s="97"/>
      <c r="G534" s="128"/>
    </row>
    <row r="535" spans="1:7" x14ac:dyDescent="0.25">
      <c r="A535" s="187"/>
      <c r="B535" s="192"/>
      <c r="C535" s="188"/>
      <c r="D535" s="189"/>
      <c r="E535" s="190"/>
      <c r="F535" s="97"/>
      <c r="G535" s="128"/>
    </row>
    <row r="536" spans="1:7" x14ac:dyDescent="0.25">
      <c r="A536" s="187"/>
      <c r="B536" s="192"/>
      <c r="C536" s="188"/>
      <c r="D536" s="189"/>
      <c r="E536" s="190"/>
      <c r="F536" s="97"/>
      <c r="G536" s="128"/>
    </row>
    <row r="537" spans="1:7" x14ac:dyDescent="0.25">
      <c r="A537" s="187"/>
      <c r="B537" s="36"/>
      <c r="C537" s="188"/>
      <c r="D537" s="189"/>
      <c r="E537" s="190"/>
      <c r="F537" s="97"/>
      <c r="G537" s="128"/>
    </row>
    <row r="538" spans="1:7" x14ac:dyDescent="0.25">
      <c r="A538" s="187"/>
      <c r="B538" s="192"/>
      <c r="C538" s="188"/>
      <c r="D538" s="189"/>
      <c r="E538" s="190"/>
      <c r="F538" s="97"/>
      <c r="G538" s="128"/>
    </row>
    <row r="539" spans="1:7" x14ac:dyDescent="0.25">
      <c r="A539" s="39"/>
      <c r="B539" s="40"/>
      <c r="C539" s="41"/>
      <c r="D539" s="42"/>
      <c r="E539" s="190"/>
      <c r="F539" s="97"/>
      <c r="G539" s="128"/>
    </row>
    <row r="540" spans="1:7" x14ac:dyDescent="0.25">
      <c r="A540" s="187"/>
      <c r="B540" s="192"/>
      <c r="C540" s="188"/>
      <c r="D540" s="189"/>
      <c r="E540" s="190"/>
      <c r="F540" s="97"/>
      <c r="G540" s="128"/>
    </row>
    <row r="541" spans="1:7" x14ac:dyDescent="0.25">
      <c r="A541" s="39"/>
      <c r="B541" s="40"/>
      <c r="C541" s="41"/>
      <c r="D541" s="42"/>
      <c r="E541" s="190"/>
      <c r="F541" s="97"/>
      <c r="G541" s="128"/>
    </row>
    <row r="542" spans="1:7" x14ac:dyDescent="0.25">
      <c r="A542" s="187"/>
      <c r="B542" s="192"/>
      <c r="C542" s="188"/>
      <c r="D542" s="189"/>
      <c r="E542" s="190"/>
      <c r="F542" s="97"/>
      <c r="G542" s="128"/>
    </row>
    <row r="543" spans="1:7" x14ac:dyDescent="0.25">
      <c r="A543" s="39"/>
      <c r="B543" s="40"/>
      <c r="C543" s="41"/>
      <c r="D543" s="42"/>
      <c r="E543" s="190"/>
      <c r="F543" s="97"/>
      <c r="G543" s="128"/>
    </row>
    <row r="544" spans="1:7" x14ac:dyDescent="0.25">
      <c r="A544" s="187"/>
      <c r="B544" s="192"/>
      <c r="C544" s="188"/>
      <c r="D544" s="189"/>
      <c r="E544" s="190"/>
      <c r="F544" s="97"/>
      <c r="G544" s="128"/>
    </row>
    <row r="545" spans="1:7" x14ac:dyDescent="0.25">
      <c r="A545" s="39"/>
      <c r="B545" s="40"/>
      <c r="C545" s="41"/>
      <c r="D545" s="42"/>
      <c r="E545" s="190"/>
      <c r="F545" s="97"/>
      <c r="G545" s="128"/>
    </row>
    <row r="546" spans="1:7" x14ac:dyDescent="0.25">
      <c r="A546" s="187"/>
      <c r="B546" s="192"/>
      <c r="C546" s="188"/>
      <c r="D546" s="189"/>
      <c r="E546" s="190"/>
      <c r="F546" s="97"/>
      <c r="G546" s="128"/>
    </row>
    <row r="547" spans="1:7" x14ac:dyDescent="0.25">
      <c r="A547" s="39"/>
      <c r="B547" s="40"/>
      <c r="C547" s="41"/>
      <c r="D547" s="42"/>
      <c r="E547" s="190"/>
      <c r="F547" s="97"/>
      <c r="G547" s="128"/>
    </row>
    <row r="548" spans="1:7" x14ac:dyDescent="0.25">
      <c r="A548" s="187"/>
      <c r="B548" s="192"/>
      <c r="C548" s="188"/>
      <c r="D548" s="189"/>
      <c r="E548" s="190"/>
      <c r="F548" s="97"/>
      <c r="G548" s="128"/>
    </row>
    <row r="549" spans="1:7" x14ac:dyDescent="0.25">
      <c r="A549" s="39"/>
      <c r="B549" s="40"/>
      <c r="C549" s="41"/>
      <c r="D549" s="42"/>
      <c r="E549" s="190"/>
      <c r="F549" s="97"/>
      <c r="G549" s="128"/>
    </row>
    <row r="550" spans="1:7" x14ac:dyDescent="0.25">
      <c r="A550" s="187"/>
      <c r="B550" s="192"/>
      <c r="C550" s="188"/>
      <c r="D550" s="189"/>
      <c r="E550" s="190"/>
      <c r="F550" s="97"/>
      <c r="G550" s="128"/>
    </row>
    <row r="551" spans="1:7" x14ac:dyDescent="0.25">
      <c r="A551" s="39"/>
      <c r="B551" s="40"/>
      <c r="C551" s="41"/>
      <c r="D551" s="42"/>
      <c r="E551" s="190"/>
      <c r="F551" s="97"/>
      <c r="G551" s="128"/>
    </row>
    <row r="552" spans="1:7" x14ac:dyDescent="0.25">
      <c r="A552" s="187"/>
      <c r="B552" s="192"/>
      <c r="C552" s="188"/>
      <c r="D552" s="189"/>
      <c r="E552" s="190"/>
      <c r="F552" s="97"/>
      <c r="G552" s="128"/>
    </row>
    <row r="553" spans="1:7" x14ac:dyDescent="0.25">
      <c r="A553" s="187"/>
      <c r="B553" s="192"/>
      <c r="C553" s="188"/>
      <c r="D553" s="189"/>
      <c r="E553" s="190"/>
      <c r="F553" s="97"/>
      <c r="G553" s="128"/>
    </row>
    <row r="554" spans="1:7" x14ac:dyDescent="0.25">
      <c r="A554" s="187"/>
      <c r="B554" s="192"/>
      <c r="C554" s="188"/>
      <c r="D554" s="189"/>
      <c r="E554" s="190"/>
      <c r="F554" s="97"/>
      <c r="G554" s="128"/>
    </row>
    <row r="555" spans="1:7" x14ac:dyDescent="0.25">
      <c r="A555" s="39"/>
      <c r="B555" s="40"/>
      <c r="C555" s="41"/>
      <c r="D555" s="42"/>
      <c r="E555" s="190"/>
      <c r="F555" s="97"/>
      <c r="G555" s="128"/>
    </row>
    <row r="556" spans="1:7" x14ac:dyDescent="0.25">
      <c r="A556" s="187"/>
      <c r="B556" s="192"/>
      <c r="C556" s="188"/>
      <c r="D556" s="189"/>
      <c r="E556" s="190"/>
      <c r="F556" s="97"/>
      <c r="G556" s="128"/>
    </row>
    <row r="557" spans="1:7" x14ac:dyDescent="0.25">
      <c r="A557" s="39"/>
      <c r="B557" s="40"/>
      <c r="C557" s="41"/>
      <c r="D557" s="42"/>
      <c r="E557" s="190"/>
      <c r="F557" s="97"/>
      <c r="G557" s="128"/>
    </row>
    <row r="558" spans="1:7" x14ac:dyDescent="0.25">
      <c r="A558" s="193"/>
      <c r="B558" s="194"/>
      <c r="C558" s="195"/>
      <c r="D558" s="196"/>
      <c r="E558" s="117"/>
      <c r="F558" s="98"/>
      <c r="G558" s="130"/>
    </row>
    <row r="559" spans="1:7" x14ac:dyDescent="0.25">
      <c r="A559" s="197"/>
      <c r="B559" s="198"/>
      <c r="C559" s="199" t="s">
        <v>51</v>
      </c>
      <c r="D559" s="199"/>
      <c r="E559" s="200" t="s">
        <v>50</v>
      </c>
      <c r="F559" s="99">
        <f>SUM(F516:F552)</f>
        <v>42804.24</v>
      </c>
      <c r="G559" s="131"/>
    </row>
    <row r="560" spans="1:7" x14ac:dyDescent="0.25">
      <c r="A560" s="197"/>
      <c r="B560" s="198"/>
      <c r="C560" s="201"/>
      <c r="D560" s="202"/>
      <c r="E560" s="118"/>
      <c r="F560" s="100"/>
      <c r="G560" s="132"/>
    </row>
    <row r="561" spans="1:7" x14ac:dyDescent="0.25">
      <c r="A561" s="39"/>
      <c r="B561" s="40"/>
      <c r="C561" s="41"/>
      <c r="D561" s="42"/>
      <c r="E561" s="190"/>
      <c r="F561" s="97"/>
      <c r="G561" s="128"/>
    </row>
    <row r="562" spans="1:7" x14ac:dyDescent="0.25">
      <c r="A562" s="187"/>
      <c r="B562" s="36" t="s">
        <v>43</v>
      </c>
      <c r="C562" s="188"/>
      <c r="D562" s="189"/>
      <c r="E562" s="190"/>
      <c r="F562" s="97"/>
      <c r="G562" s="128"/>
    </row>
    <row r="563" spans="1:7" x14ac:dyDescent="0.25">
      <c r="A563" s="187"/>
      <c r="B563" s="192"/>
      <c r="C563" s="188"/>
      <c r="D563" s="189"/>
      <c r="E563" s="190"/>
      <c r="F563" s="97"/>
      <c r="G563" s="128"/>
    </row>
    <row r="564" spans="1:7" x14ac:dyDescent="0.25">
      <c r="A564" s="39"/>
      <c r="B564" s="40" t="s">
        <v>406</v>
      </c>
      <c r="C564" s="41"/>
      <c r="D564" s="42"/>
      <c r="E564" s="190"/>
      <c r="F564" s="97"/>
      <c r="G564" s="128"/>
    </row>
    <row r="565" spans="1:7" x14ac:dyDescent="0.25">
      <c r="A565" s="187"/>
      <c r="B565" s="192"/>
      <c r="C565" s="188"/>
      <c r="D565" s="189"/>
      <c r="E565" s="190"/>
      <c r="F565" s="97"/>
      <c r="G565" s="128"/>
    </row>
    <row r="566" spans="1:7" ht="55.2" x14ac:dyDescent="0.25">
      <c r="A566" s="39"/>
      <c r="B566" s="40" t="s">
        <v>1019</v>
      </c>
      <c r="C566" s="41"/>
      <c r="D566" s="42"/>
      <c r="E566" s="190"/>
      <c r="F566" s="97"/>
      <c r="G566" s="128"/>
    </row>
    <row r="567" spans="1:7" x14ac:dyDescent="0.25">
      <c r="A567" s="187"/>
      <c r="B567" s="192"/>
      <c r="C567" s="188"/>
      <c r="D567" s="189"/>
      <c r="E567" s="190"/>
      <c r="F567" s="97"/>
      <c r="G567" s="128"/>
    </row>
    <row r="568" spans="1:7" ht="41.4" x14ac:dyDescent="0.25">
      <c r="A568" s="39"/>
      <c r="B568" s="40" t="s">
        <v>1020</v>
      </c>
      <c r="C568" s="41"/>
      <c r="D568" s="42"/>
      <c r="E568" s="190"/>
      <c r="F568" s="97"/>
      <c r="G568" s="128"/>
    </row>
    <row r="569" spans="1:7" x14ac:dyDescent="0.25">
      <c r="A569" s="187"/>
      <c r="B569" s="192"/>
      <c r="C569" s="188"/>
      <c r="D569" s="189"/>
      <c r="E569" s="190"/>
      <c r="F569" s="97"/>
      <c r="G569" s="128"/>
    </row>
    <row r="570" spans="1:7" ht="27.6" x14ac:dyDescent="0.25">
      <c r="A570" s="39"/>
      <c r="B570" s="40" t="s">
        <v>1021</v>
      </c>
      <c r="C570" s="41"/>
      <c r="D570" s="42"/>
      <c r="E570" s="190"/>
      <c r="F570" s="97"/>
      <c r="G570" s="128"/>
    </row>
    <row r="571" spans="1:7" x14ac:dyDescent="0.25">
      <c r="A571" s="187"/>
      <c r="B571" s="192"/>
      <c r="C571" s="188"/>
      <c r="D571" s="189"/>
      <c r="E571" s="190"/>
      <c r="F571" s="97"/>
      <c r="G571" s="128"/>
    </row>
    <row r="572" spans="1:7" ht="41.4" x14ac:dyDescent="0.25">
      <c r="A572" s="39"/>
      <c r="B572" s="43" t="s">
        <v>148</v>
      </c>
      <c r="C572" s="41"/>
      <c r="D572" s="42"/>
      <c r="E572" s="190"/>
      <c r="F572" s="97"/>
      <c r="G572" s="128"/>
    </row>
    <row r="573" spans="1:7" x14ac:dyDescent="0.25">
      <c r="A573" s="187"/>
      <c r="B573" s="192"/>
      <c r="C573" s="188"/>
      <c r="D573" s="189"/>
      <c r="E573" s="190"/>
      <c r="F573" s="97"/>
      <c r="G573" s="128"/>
    </row>
    <row r="574" spans="1:7" ht="27.6" x14ac:dyDescent="0.25">
      <c r="A574" s="39" t="s">
        <v>3</v>
      </c>
      <c r="B574" s="40" t="s">
        <v>1022</v>
      </c>
      <c r="C574" s="41" t="s">
        <v>1023</v>
      </c>
      <c r="D574" s="42" t="s">
        <v>15</v>
      </c>
      <c r="E574" s="190">
        <v>377.39</v>
      </c>
      <c r="F574" s="97">
        <f>C574*E574</f>
        <v>660055.11</v>
      </c>
      <c r="G574" s="128" t="s">
        <v>1224</v>
      </c>
    </row>
    <row r="575" spans="1:7" x14ac:dyDescent="0.25">
      <c r="A575" s="187"/>
      <c r="B575" s="192"/>
      <c r="C575" s="188"/>
      <c r="D575" s="189"/>
      <c r="E575" s="190"/>
      <c r="F575" s="97"/>
      <c r="G575" s="128"/>
    </row>
    <row r="576" spans="1:7" ht="27.6" x14ac:dyDescent="0.25">
      <c r="A576" s="39" t="s">
        <v>2</v>
      </c>
      <c r="B576" s="40" t="s">
        <v>1024</v>
      </c>
      <c r="C576" s="41" t="s">
        <v>1025</v>
      </c>
      <c r="D576" s="42" t="s">
        <v>11</v>
      </c>
      <c r="E576" s="190">
        <v>125.79</v>
      </c>
      <c r="F576" s="97">
        <f>C576*E576</f>
        <v>300889.68</v>
      </c>
      <c r="G576" s="128" t="s">
        <v>1224</v>
      </c>
    </row>
    <row r="577" spans="1:7" x14ac:dyDescent="0.25">
      <c r="A577" s="187"/>
      <c r="B577" s="192"/>
      <c r="C577" s="188"/>
      <c r="D577" s="189"/>
      <c r="E577" s="190"/>
      <c r="F577" s="97"/>
      <c r="G577" s="128"/>
    </row>
    <row r="578" spans="1:7" x14ac:dyDescent="0.25">
      <c r="A578" s="39" t="s">
        <v>5</v>
      </c>
      <c r="B578" s="40" t="s">
        <v>1026</v>
      </c>
      <c r="C578" s="41" t="s">
        <v>1027</v>
      </c>
      <c r="D578" s="42" t="s">
        <v>15</v>
      </c>
      <c r="E578" s="190">
        <v>687.96</v>
      </c>
      <c r="F578" s="97">
        <f>C578*E578</f>
        <v>471940.56</v>
      </c>
      <c r="G578" s="128"/>
    </row>
    <row r="579" spans="1:7" x14ac:dyDescent="0.25">
      <c r="A579" s="187"/>
      <c r="B579" s="192"/>
      <c r="C579" s="188"/>
      <c r="D579" s="189"/>
      <c r="E579" s="190"/>
      <c r="F579" s="97"/>
      <c r="G579" s="128"/>
    </row>
    <row r="580" spans="1:7" x14ac:dyDescent="0.25">
      <c r="A580" s="39" t="s">
        <v>8</v>
      </c>
      <c r="B580" s="40" t="s">
        <v>1028</v>
      </c>
      <c r="C580" s="41" t="s">
        <v>87</v>
      </c>
      <c r="D580" s="42" t="s">
        <v>15</v>
      </c>
      <c r="E580" s="190">
        <v>676.46</v>
      </c>
      <c r="F580" s="97">
        <f>C580*E580</f>
        <v>68322.460000000006</v>
      </c>
      <c r="G580" s="128"/>
    </row>
    <row r="581" spans="1:7" x14ac:dyDescent="0.25">
      <c r="A581" s="187"/>
      <c r="B581" s="192"/>
      <c r="C581" s="188"/>
      <c r="D581" s="189"/>
      <c r="E581" s="190"/>
      <c r="F581" s="97"/>
      <c r="G581" s="128"/>
    </row>
    <row r="582" spans="1:7" ht="27.6" x14ac:dyDescent="0.25">
      <c r="A582" s="39"/>
      <c r="B582" s="43" t="s">
        <v>149</v>
      </c>
      <c r="C582" s="41"/>
      <c r="D582" s="42"/>
      <c r="E582" s="190"/>
      <c r="F582" s="97"/>
      <c r="G582" s="128"/>
    </row>
    <row r="583" spans="1:7" x14ac:dyDescent="0.25">
      <c r="A583" s="187"/>
      <c r="B583" s="192"/>
      <c r="C583" s="188"/>
      <c r="D583" s="189"/>
      <c r="E583" s="190"/>
      <c r="F583" s="97"/>
      <c r="G583" s="128"/>
    </row>
    <row r="584" spans="1:7" x14ac:dyDescent="0.25">
      <c r="A584" s="39"/>
      <c r="B584" s="43" t="s">
        <v>1029</v>
      </c>
      <c r="C584" s="41"/>
      <c r="D584" s="42"/>
      <c r="E584" s="190"/>
      <c r="F584" s="97"/>
      <c r="G584" s="128"/>
    </row>
    <row r="585" spans="1:7" x14ac:dyDescent="0.25">
      <c r="A585" s="187"/>
      <c r="B585" s="192"/>
      <c r="C585" s="188"/>
      <c r="D585" s="189"/>
      <c r="E585" s="190"/>
      <c r="F585" s="97"/>
      <c r="G585" s="128"/>
    </row>
    <row r="586" spans="1:7" ht="27.6" x14ac:dyDescent="0.25">
      <c r="A586" s="39" t="s">
        <v>9</v>
      </c>
      <c r="B586" s="40" t="s">
        <v>1030</v>
      </c>
      <c r="C586" s="41" t="s">
        <v>1031</v>
      </c>
      <c r="D586" s="42" t="s">
        <v>15</v>
      </c>
      <c r="E586" s="190">
        <v>684.36</v>
      </c>
      <c r="F586" s="97">
        <f>C586*E586</f>
        <v>436621.68</v>
      </c>
      <c r="G586" s="128" t="s">
        <v>1225</v>
      </c>
    </row>
    <row r="587" spans="1:7" x14ac:dyDescent="0.25">
      <c r="A587" s="187"/>
      <c r="B587" s="192"/>
      <c r="C587" s="188"/>
      <c r="D587" s="189"/>
      <c r="E587" s="190"/>
      <c r="F587" s="97"/>
      <c r="G587" s="128"/>
    </row>
    <row r="588" spans="1:7" ht="27.6" x14ac:dyDescent="0.25">
      <c r="A588" s="39" t="s">
        <v>10</v>
      </c>
      <c r="B588" s="40" t="s">
        <v>1032</v>
      </c>
      <c r="C588" s="41" t="s">
        <v>244</v>
      </c>
      <c r="D588" s="42" t="s">
        <v>15</v>
      </c>
      <c r="E588" s="190">
        <v>576.38</v>
      </c>
      <c r="F588" s="97">
        <f>C588*E588</f>
        <v>4611.04</v>
      </c>
      <c r="G588" s="128" t="s">
        <v>1225</v>
      </c>
    </row>
    <row r="589" spans="1:7" x14ac:dyDescent="0.25">
      <c r="A589" s="187"/>
      <c r="B589" s="192"/>
      <c r="C589" s="188"/>
      <c r="D589" s="189"/>
      <c r="E589" s="190"/>
      <c r="F589" s="97"/>
      <c r="G589" s="128"/>
    </row>
    <row r="590" spans="1:7" ht="27.6" x14ac:dyDescent="0.25">
      <c r="A590" s="39" t="s">
        <v>12</v>
      </c>
      <c r="B590" s="40" t="s">
        <v>1033</v>
      </c>
      <c r="C590" s="41" t="s">
        <v>1034</v>
      </c>
      <c r="D590" s="42" t="s">
        <v>11</v>
      </c>
      <c r="E590" s="190">
        <v>142.6</v>
      </c>
      <c r="F590" s="97">
        <f>C590*E590</f>
        <v>136896</v>
      </c>
      <c r="G590" s="128" t="s">
        <v>1225</v>
      </c>
    </row>
    <row r="591" spans="1:7" x14ac:dyDescent="0.25">
      <c r="A591" s="187"/>
      <c r="B591" s="192"/>
      <c r="C591" s="188"/>
      <c r="D591" s="189"/>
      <c r="E591" s="190"/>
      <c r="F591" s="97"/>
      <c r="G591" s="128"/>
    </row>
    <row r="592" spans="1:7" ht="27.6" x14ac:dyDescent="0.25">
      <c r="A592" s="39" t="s">
        <v>13</v>
      </c>
      <c r="B592" s="40" t="s">
        <v>1035</v>
      </c>
      <c r="C592" s="41" t="s">
        <v>1036</v>
      </c>
      <c r="D592" s="42" t="s">
        <v>15</v>
      </c>
      <c r="E592" s="190">
        <v>393.09</v>
      </c>
      <c r="F592" s="97">
        <f>C592*E592</f>
        <v>200868.99</v>
      </c>
      <c r="G592" s="128" t="s">
        <v>1225</v>
      </c>
    </row>
    <row r="593" spans="1:7" x14ac:dyDescent="0.25">
      <c r="A593" s="187"/>
      <c r="B593" s="192"/>
      <c r="C593" s="188"/>
      <c r="D593" s="189"/>
      <c r="E593" s="190"/>
      <c r="F593" s="97"/>
      <c r="G593" s="128"/>
    </row>
    <row r="594" spans="1:7" ht="28.8" x14ac:dyDescent="0.25">
      <c r="A594" s="39"/>
      <c r="B594" s="135" t="s">
        <v>1212</v>
      </c>
      <c r="C594" s="41"/>
      <c r="D594" s="42"/>
      <c r="E594" s="190"/>
      <c r="F594" s="97"/>
      <c r="G594" s="128"/>
    </row>
    <row r="595" spans="1:7" x14ac:dyDescent="0.25">
      <c r="A595" s="193"/>
      <c r="B595" s="194"/>
      <c r="C595" s="195"/>
      <c r="D595" s="196"/>
      <c r="E595" s="117"/>
      <c r="F595" s="98"/>
      <c r="G595" s="130"/>
    </row>
    <row r="596" spans="1:7" x14ac:dyDescent="0.25">
      <c r="A596" s="197"/>
      <c r="B596" s="198"/>
      <c r="C596" s="199" t="s">
        <v>51</v>
      </c>
      <c r="D596" s="199"/>
      <c r="E596" s="200" t="s">
        <v>50</v>
      </c>
      <c r="F596" s="99">
        <f>SUM(F572:F593)</f>
        <v>2280205.52</v>
      </c>
      <c r="G596" s="131"/>
    </row>
    <row r="597" spans="1:7" x14ac:dyDescent="0.25">
      <c r="A597" s="197"/>
      <c r="B597" s="198"/>
      <c r="C597" s="201"/>
      <c r="D597" s="202"/>
      <c r="E597" s="118"/>
      <c r="F597" s="100"/>
      <c r="G597" s="132"/>
    </row>
    <row r="598" spans="1:7" x14ac:dyDescent="0.25">
      <c r="A598" s="39"/>
      <c r="B598" s="40"/>
      <c r="C598" s="41"/>
      <c r="D598" s="42"/>
      <c r="E598" s="190"/>
      <c r="F598" s="97"/>
      <c r="G598" s="128"/>
    </row>
    <row r="599" spans="1:7" x14ac:dyDescent="0.25">
      <c r="A599" s="187"/>
      <c r="B599" s="36" t="s">
        <v>98</v>
      </c>
      <c r="C599" s="188"/>
      <c r="D599" s="189"/>
      <c r="E599" s="190"/>
      <c r="F599" s="97"/>
      <c r="G599" s="128"/>
    </row>
    <row r="600" spans="1:7" x14ac:dyDescent="0.25">
      <c r="A600" s="187"/>
      <c r="B600" s="192"/>
      <c r="C600" s="188"/>
      <c r="D600" s="189"/>
      <c r="E600" s="190"/>
      <c r="F600" s="97"/>
      <c r="G600" s="128"/>
    </row>
    <row r="601" spans="1:7" ht="27.6" x14ac:dyDescent="0.25">
      <c r="A601" s="39" t="s">
        <v>3</v>
      </c>
      <c r="B601" s="40" t="s">
        <v>1037</v>
      </c>
      <c r="C601" s="41" t="s">
        <v>107</v>
      </c>
      <c r="D601" s="42" t="s">
        <v>11</v>
      </c>
      <c r="E601" s="190">
        <v>489.67</v>
      </c>
      <c r="F601" s="97">
        <f>C601*E601</f>
        <v>83733.570000000007</v>
      </c>
      <c r="G601" s="128" t="s">
        <v>1225</v>
      </c>
    </row>
    <row r="602" spans="1:7" x14ac:dyDescent="0.25">
      <c r="A602" s="187"/>
      <c r="B602" s="192"/>
      <c r="C602" s="188"/>
      <c r="D602" s="189"/>
      <c r="E602" s="190"/>
      <c r="F602" s="97"/>
      <c r="G602" s="128"/>
    </row>
    <row r="603" spans="1:7" ht="41.4" x14ac:dyDescent="0.25">
      <c r="A603" s="39" t="s">
        <v>2</v>
      </c>
      <c r="B603" s="40" t="s">
        <v>1038</v>
      </c>
      <c r="C603" s="41" t="s">
        <v>1039</v>
      </c>
      <c r="D603" s="42" t="s">
        <v>11</v>
      </c>
      <c r="E603" s="190">
        <v>489.67</v>
      </c>
      <c r="F603" s="97">
        <f>C603*E603</f>
        <v>447558.38</v>
      </c>
      <c r="G603" s="128" t="s">
        <v>1225</v>
      </c>
    </row>
    <row r="604" spans="1:7" x14ac:dyDescent="0.25">
      <c r="A604" s="187"/>
      <c r="B604" s="192"/>
      <c r="C604" s="188"/>
      <c r="D604" s="189"/>
      <c r="E604" s="190"/>
      <c r="F604" s="97"/>
      <c r="G604" s="128"/>
    </row>
    <row r="605" spans="1:7" ht="27.6" x14ac:dyDescent="0.25">
      <c r="A605" s="39" t="s">
        <v>5</v>
      </c>
      <c r="B605" s="40" t="s">
        <v>1040</v>
      </c>
      <c r="C605" s="41" t="s">
        <v>1041</v>
      </c>
      <c r="D605" s="42" t="s">
        <v>15</v>
      </c>
      <c r="E605" s="190">
        <v>1643.73</v>
      </c>
      <c r="F605" s="97">
        <f>C605*E605</f>
        <v>973088.16</v>
      </c>
      <c r="G605" s="128" t="s">
        <v>1225</v>
      </c>
    </row>
    <row r="606" spans="1:7" x14ac:dyDescent="0.25">
      <c r="A606" s="187"/>
      <c r="B606" s="192"/>
      <c r="C606" s="188"/>
      <c r="D606" s="189"/>
      <c r="E606" s="190"/>
      <c r="F606" s="97"/>
      <c r="G606" s="128"/>
    </row>
    <row r="607" spans="1:7" ht="27.6" x14ac:dyDescent="0.25">
      <c r="A607" s="39" t="s">
        <v>8</v>
      </c>
      <c r="B607" s="40" t="s">
        <v>1042</v>
      </c>
      <c r="C607" s="41" t="s">
        <v>1043</v>
      </c>
      <c r="D607" s="42" t="s">
        <v>11</v>
      </c>
      <c r="E607" s="190">
        <v>1028.08</v>
      </c>
      <c r="F607" s="97">
        <f>C607*E607</f>
        <v>356743.75999999995</v>
      </c>
      <c r="G607" s="128" t="s">
        <v>1225</v>
      </c>
    </row>
    <row r="608" spans="1:7" x14ac:dyDescent="0.25">
      <c r="A608" s="187"/>
      <c r="B608" s="192"/>
      <c r="C608" s="188"/>
      <c r="D608" s="189"/>
      <c r="E608" s="190"/>
      <c r="F608" s="97"/>
      <c r="G608" s="128"/>
    </row>
    <row r="609" spans="1:7" x14ac:dyDescent="0.25">
      <c r="A609" s="39"/>
      <c r="B609" s="43" t="s">
        <v>1044</v>
      </c>
      <c r="C609" s="41"/>
      <c r="D609" s="42"/>
      <c r="E609" s="190"/>
      <c r="F609" s="97"/>
      <c r="G609" s="128"/>
    </row>
    <row r="610" spans="1:7" x14ac:dyDescent="0.25">
      <c r="A610" s="187"/>
      <c r="B610" s="192"/>
      <c r="C610" s="188"/>
      <c r="D610" s="189"/>
      <c r="E610" s="190"/>
      <c r="F610" s="97"/>
      <c r="G610" s="128"/>
    </row>
    <row r="611" spans="1:7" x14ac:dyDescent="0.25">
      <c r="A611" s="39" t="s">
        <v>9</v>
      </c>
      <c r="B611" s="40" t="s">
        <v>1045</v>
      </c>
      <c r="C611" s="41" t="s">
        <v>104</v>
      </c>
      <c r="D611" s="42" t="s">
        <v>15</v>
      </c>
      <c r="E611" s="190">
        <v>418.5</v>
      </c>
      <c r="F611" s="97">
        <f>C611*E611</f>
        <v>418.5</v>
      </c>
      <c r="G611" s="128" t="s">
        <v>1225</v>
      </c>
    </row>
    <row r="612" spans="1:7" x14ac:dyDescent="0.25">
      <c r="A612" s="187"/>
      <c r="B612" s="192"/>
      <c r="C612" s="188"/>
      <c r="D612" s="189"/>
      <c r="E612" s="190"/>
      <c r="F612" s="97"/>
      <c r="G612" s="128"/>
    </row>
    <row r="613" spans="1:7" x14ac:dyDescent="0.25">
      <c r="A613" s="39" t="s">
        <v>10</v>
      </c>
      <c r="B613" s="40" t="s">
        <v>1046</v>
      </c>
      <c r="C613" s="41" t="s">
        <v>64</v>
      </c>
      <c r="D613" s="42" t="s">
        <v>15</v>
      </c>
      <c r="E613" s="190">
        <v>426.15</v>
      </c>
      <c r="F613" s="97">
        <f>C613*E613</f>
        <v>852.3</v>
      </c>
      <c r="G613" s="128" t="s">
        <v>1225</v>
      </c>
    </row>
    <row r="614" spans="1:7" x14ac:dyDescent="0.25">
      <c r="A614" s="187"/>
      <c r="B614" s="192"/>
      <c r="C614" s="188"/>
      <c r="D614" s="189"/>
      <c r="E614" s="190"/>
      <c r="F614" s="97"/>
      <c r="G614" s="128"/>
    </row>
    <row r="615" spans="1:7" ht="55.2" x14ac:dyDescent="0.25">
      <c r="A615" s="39" t="s">
        <v>12</v>
      </c>
      <c r="B615" s="40" t="s">
        <v>1047</v>
      </c>
      <c r="C615" s="41" t="s">
        <v>1048</v>
      </c>
      <c r="D615" s="42" t="s">
        <v>15</v>
      </c>
      <c r="E615" s="190">
        <v>607.23</v>
      </c>
      <c r="F615" s="97">
        <f>C615*E615</f>
        <v>125696.61</v>
      </c>
      <c r="G615" s="128" t="s">
        <v>1225</v>
      </c>
    </row>
    <row r="616" spans="1:7" x14ac:dyDescent="0.25">
      <c r="A616" s="187"/>
      <c r="B616" s="192"/>
      <c r="C616" s="188"/>
      <c r="D616" s="189"/>
      <c r="E616" s="190"/>
      <c r="F616" s="97"/>
      <c r="G616" s="128"/>
    </row>
    <row r="617" spans="1:7" ht="55.2" x14ac:dyDescent="0.25">
      <c r="A617" s="39" t="s">
        <v>13</v>
      </c>
      <c r="B617" s="40" t="s">
        <v>1049</v>
      </c>
      <c r="C617" s="41" t="s">
        <v>1050</v>
      </c>
      <c r="D617" s="42" t="s">
        <v>15</v>
      </c>
      <c r="E617" s="190">
        <v>607.23</v>
      </c>
      <c r="F617" s="97">
        <f>C617*E617</f>
        <v>35219.340000000004</v>
      </c>
      <c r="G617" s="128" t="s">
        <v>1225</v>
      </c>
    </row>
    <row r="618" spans="1:7" x14ac:dyDescent="0.25">
      <c r="A618" s="187"/>
      <c r="B618" s="192"/>
      <c r="C618" s="188"/>
      <c r="D618" s="189"/>
      <c r="E618" s="190"/>
      <c r="F618" s="97"/>
      <c r="G618" s="128"/>
    </row>
    <row r="619" spans="1:7" x14ac:dyDescent="0.25">
      <c r="A619" s="39" t="s">
        <v>16</v>
      </c>
      <c r="B619" s="40" t="s">
        <v>1051</v>
      </c>
      <c r="C619" s="41" t="s">
        <v>72</v>
      </c>
      <c r="D619" s="42" t="s">
        <v>15</v>
      </c>
      <c r="E619" s="190">
        <v>273.63</v>
      </c>
      <c r="F619" s="97">
        <f>C619*E619</f>
        <v>9303.42</v>
      </c>
      <c r="G619" s="128" t="s">
        <v>1225</v>
      </c>
    </row>
    <row r="620" spans="1:7" x14ac:dyDescent="0.25">
      <c r="A620" s="187"/>
      <c r="B620" s="192"/>
      <c r="C620" s="188"/>
      <c r="D620" s="189"/>
      <c r="E620" s="190"/>
      <c r="F620" s="97"/>
      <c r="G620" s="128"/>
    </row>
    <row r="621" spans="1:7" x14ac:dyDescent="0.25">
      <c r="A621" s="39" t="s">
        <v>17</v>
      </c>
      <c r="B621" s="40" t="s">
        <v>1052</v>
      </c>
      <c r="C621" s="41" t="s">
        <v>64</v>
      </c>
      <c r="D621" s="42" t="s">
        <v>15</v>
      </c>
      <c r="E621" s="190">
        <v>2312.3200000000002</v>
      </c>
      <c r="F621" s="97">
        <f>C621*E621</f>
        <v>4624.6400000000003</v>
      </c>
      <c r="G621" s="128" t="s">
        <v>1225</v>
      </c>
    </row>
    <row r="622" spans="1:7" x14ac:dyDescent="0.25">
      <c r="A622" s="187"/>
      <c r="B622" s="192"/>
      <c r="C622" s="188"/>
      <c r="D622" s="189"/>
      <c r="E622" s="190"/>
      <c r="F622" s="97"/>
      <c r="G622" s="128"/>
    </row>
    <row r="623" spans="1:7" ht="27.6" x14ac:dyDescent="0.25">
      <c r="A623" s="39" t="s">
        <v>18</v>
      </c>
      <c r="B623" s="40" t="s">
        <v>1053</v>
      </c>
      <c r="C623" s="41" t="s">
        <v>82</v>
      </c>
      <c r="D623" s="42" t="s">
        <v>15</v>
      </c>
      <c r="E623" s="190">
        <v>3011.97</v>
      </c>
      <c r="F623" s="97">
        <f>C623*E623</f>
        <v>21083.789999999997</v>
      </c>
      <c r="G623" s="128" t="s">
        <v>1225</v>
      </c>
    </row>
    <row r="624" spans="1:7" x14ac:dyDescent="0.25">
      <c r="A624" s="187"/>
      <c r="B624" s="192"/>
      <c r="C624" s="188"/>
      <c r="D624" s="189"/>
      <c r="E624" s="190"/>
      <c r="F624" s="97"/>
      <c r="G624" s="128"/>
    </row>
    <row r="625" spans="1:7" ht="55.2" x14ac:dyDescent="0.25">
      <c r="A625" s="39" t="s">
        <v>19</v>
      </c>
      <c r="B625" s="40" t="s">
        <v>1054</v>
      </c>
      <c r="C625" s="41" t="s">
        <v>84</v>
      </c>
      <c r="D625" s="42" t="s">
        <v>15</v>
      </c>
      <c r="E625" s="190">
        <v>552.13</v>
      </c>
      <c r="F625" s="97">
        <f>C625*E625</f>
        <v>15459.64</v>
      </c>
      <c r="G625" s="128" t="s">
        <v>1225</v>
      </c>
    </row>
    <row r="626" spans="1:7" x14ac:dyDescent="0.25">
      <c r="A626" s="39"/>
      <c r="B626" s="40"/>
      <c r="C626" s="41"/>
      <c r="D626" s="42"/>
      <c r="E626" s="190"/>
      <c r="F626" s="97"/>
      <c r="G626" s="128"/>
    </row>
    <row r="627" spans="1:7" x14ac:dyDescent="0.25">
      <c r="A627" s="187"/>
      <c r="B627" s="192"/>
      <c r="C627" s="188"/>
      <c r="D627" s="189"/>
      <c r="E627" s="190"/>
      <c r="F627" s="97"/>
      <c r="G627" s="128"/>
    </row>
    <row r="628" spans="1:7" x14ac:dyDescent="0.25">
      <c r="A628" s="187"/>
      <c r="B628" s="192"/>
      <c r="C628" s="188"/>
      <c r="D628" s="189"/>
      <c r="E628" s="190"/>
      <c r="F628" s="97"/>
      <c r="G628" s="128"/>
    </row>
    <row r="629" spans="1:7" ht="28.8" x14ac:dyDescent="0.25">
      <c r="A629" s="187"/>
      <c r="B629" s="135" t="s">
        <v>1212</v>
      </c>
      <c r="C629" s="188"/>
      <c r="D629" s="189"/>
      <c r="E629" s="190"/>
      <c r="F629" s="97"/>
      <c r="G629" s="128"/>
    </row>
    <row r="630" spans="1:7" x14ac:dyDescent="0.25">
      <c r="A630" s="193"/>
      <c r="B630" s="194"/>
      <c r="C630" s="195"/>
      <c r="D630" s="196"/>
      <c r="E630" s="117"/>
      <c r="F630" s="98"/>
      <c r="G630" s="130"/>
    </row>
    <row r="631" spans="1:7" x14ac:dyDescent="0.25">
      <c r="A631" s="197"/>
      <c r="B631" s="198"/>
      <c r="C631" s="199" t="s">
        <v>51</v>
      </c>
      <c r="D631" s="199"/>
      <c r="E631" s="200" t="s">
        <v>50</v>
      </c>
      <c r="F631" s="99">
        <f>SUM(F600:F628)</f>
        <v>2073782.1099999999</v>
      </c>
      <c r="G631" s="131"/>
    </row>
    <row r="632" spans="1:7" x14ac:dyDescent="0.25">
      <c r="A632" s="197"/>
      <c r="B632" s="198"/>
      <c r="C632" s="201"/>
      <c r="D632" s="202"/>
      <c r="E632" s="118"/>
      <c r="F632" s="100"/>
      <c r="G632" s="132"/>
    </row>
    <row r="633" spans="1:7" x14ac:dyDescent="0.25">
      <c r="A633" s="187"/>
      <c r="B633" s="192"/>
      <c r="C633" s="188"/>
      <c r="D633" s="189"/>
      <c r="E633" s="190"/>
      <c r="F633" s="97"/>
      <c r="G633" s="128"/>
    </row>
    <row r="634" spans="1:7" x14ac:dyDescent="0.25">
      <c r="A634" s="187"/>
      <c r="B634" s="36" t="s">
        <v>98</v>
      </c>
      <c r="C634" s="188"/>
      <c r="D634" s="189"/>
      <c r="E634" s="190"/>
      <c r="F634" s="97"/>
      <c r="G634" s="128"/>
    </row>
    <row r="635" spans="1:7" x14ac:dyDescent="0.25">
      <c r="A635" s="187"/>
      <c r="B635" s="192"/>
      <c r="C635" s="188"/>
      <c r="D635" s="189"/>
      <c r="E635" s="190"/>
      <c r="F635" s="97"/>
      <c r="G635" s="128"/>
    </row>
    <row r="636" spans="1:7" ht="41.4" x14ac:dyDescent="0.25">
      <c r="A636" s="39" t="s">
        <v>3</v>
      </c>
      <c r="B636" s="40" t="s">
        <v>1055</v>
      </c>
      <c r="C636" s="41" t="s">
        <v>72</v>
      </c>
      <c r="D636" s="42" t="s">
        <v>15</v>
      </c>
      <c r="E636" s="190">
        <v>143.05000000000001</v>
      </c>
      <c r="F636" s="127">
        <f>C636*E636</f>
        <v>4863.7000000000007</v>
      </c>
      <c r="G636" s="128" t="s">
        <v>1225</v>
      </c>
    </row>
    <row r="637" spans="1:7" x14ac:dyDescent="0.25">
      <c r="A637" s="187"/>
      <c r="B637" s="192"/>
      <c r="C637" s="188"/>
      <c r="D637" s="189"/>
      <c r="E637" s="190"/>
      <c r="F637" s="97"/>
      <c r="G637" s="128"/>
    </row>
    <row r="638" spans="1:7" ht="69" x14ac:dyDescent="0.25">
      <c r="A638" s="39" t="s">
        <v>2</v>
      </c>
      <c r="B638" s="40" t="s">
        <v>1056</v>
      </c>
      <c r="C638" s="41" t="s">
        <v>508</v>
      </c>
      <c r="D638" s="42" t="s">
        <v>15</v>
      </c>
      <c r="E638" s="190">
        <v>262.61</v>
      </c>
      <c r="F638" s="97">
        <f>C638*E638</f>
        <v>9191.35</v>
      </c>
      <c r="G638" s="128" t="s">
        <v>1225</v>
      </c>
    </row>
    <row r="639" spans="1:7" x14ac:dyDescent="0.25">
      <c r="A639" s="187"/>
      <c r="B639" s="192"/>
      <c r="C639" s="188"/>
      <c r="D639" s="189"/>
      <c r="E639" s="190"/>
      <c r="F639" s="97"/>
      <c r="G639" s="128"/>
    </row>
    <row r="640" spans="1:7" ht="55.2" x14ac:dyDescent="0.25">
      <c r="A640" s="39" t="s">
        <v>5</v>
      </c>
      <c r="B640" s="40" t="s">
        <v>1057</v>
      </c>
      <c r="C640" s="41" t="s">
        <v>1058</v>
      </c>
      <c r="D640" s="42" t="s">
        <v>15</v>
      </c>
      <c r="E640" s="190">
        <v>361.77</v>
      </c>
      <c r="F640" s="97">
        <f>C640*E640</f>
        <v>59692.049999999996</v>
      </c>
      <c r="G640" s="128" t="s">
        <v>1225</v>
      </c>
    </row>
    <row r="641" spans="1:7" x14ac:dyDescent="0.25">
      <c r="A641" s="187"/>
      <c r="B641" s="192"/>
      <c r="C641" s="188"/>
      <c r="D641" s="189"/>
      <c r="E641" s="190"/>
      <c r="F641" s="97"/>
      <c r="G641" s="128"/>
    </row>
    <row r="642" spans="1:7" x14ac:dyDescent="0.25">
      <c r="A642" s="39" t="s">
        <v>8</v>
      </c>
      <c r="B642" s="40" t="s">
        <v>1059</v>
      </c>
      <c r="C642" s="41" t="s">
        <v>108</v>
      </c>
      <c r="D642" s="42" t="s">
        <v>15</v>
      </c>
      <c r="E642" s="190">
        <v>253.24</v>
      </c>
      <c r="F642" s="97">
        <f>C642*E642</f>
        <v>3798.6000000000004</v>
      </c>
      <c r="G642" s="128" t="s">
        <v>1225</v>
      </c>
    </row>
    <row r="643" spans="1:7" x14ac:dyDescent="0.25">
      <c r="A643" s="187"/>
      <c r="B643" s="192"/>
      <c r="C643" s="188"/>
      <c r="D643" s="189"/>
      <c r="E643" s="190"/>
      <c r="F643" s="97"/>
      <c r="G643" s="128"/>
    </row>
    <row r="644" spans="1:7" ht="69" x14ac:dyDescent="0.25">
      <c r="A644" s="39" t="s">
        <v>9</v>
      </c>
      <c r="B644" s="40" t="s">
        <v>1060</v>
      </c>
      <c r="C644" s="41" t="s">
        <v>112</v>
      </c>
      <c r="D644" s="42" t="s">
        <v>15</v>
      </c>
      <c r="E644" s="190">
        <v>484.5</v>
      </c>
      <c r="F644" s="97">
        <f>C644*E644</f>
        <v>47481</v>
      </c>
      <c r="G644" s="128" t="s">
        <v>1225</v>
      </c>
    </row>
    <row r="645" spans="1:7" x14ac:dyDescent="0.25">
      <c r="A645" s="187"/>
      <c r="B645" s="192"/>
      <c r="C645" s="188"/>
      <c r="D645" s="189"/>
      <c r="E645" s="190"/>
      <c r="F645" s="97"/>
      <c r="G645" s="128"/>
    </row>
    <row r="646" spans="1:7" ht="27.6" x14ac:dyDescent="0.25">
      <c r="A646" s="39"/>
      <c r="B646" s="43" t="s">
        <v>1061</v>
      </c>
      <c r="C646" s="41"/>
      <c r="D646" s="42"/>
      <c r="E646" s="190"/>
      <c r="F646" s="97"/>
      <c r="G646" s="128"/>
    </row>
    <row r="647" spans="1:7" x14ac:dyDescent="0.25">
      <c r="A647" s="187"/>
      <c r="B647" s="192"/>
      <c r="C647" s="188"/>
      <c r="D647" s="189"/>
      <c r="E647" s="190"/>
      <c r="F647" s="97"/>
      <c r="G647" s="128"/>
    </row>
    <row r="648" spans="1:7" x14ac:dyDescent="0.25">
      <c r="A648" s="39" t="s">
        <v>10</v>
      </c>
      <c r="B648" s="40" t="s">
        <v>1062</v>
      </c>
      <c r="C648" s="41" t="s">
        <v>65</v>
      </c>
      <c r="D648" s="42" t="s">
        <v>15</v>
      </c>
      <c r="E648" s="190">
        <v>41.06</v>
      </c>
      <c r="F648" s="97">
        <f>C648*E648</f>
        <v>656.96</v>
      </c>
      <c r="G648" s="128"/>
    </row>
    <row r="649" spans="1:7" x14ac:dyDescent="0.25">
      <c r="A649" s="187"/>
      <c r="B649" s="192"/>
      <c r="C649" s="188"/>
      <c r="D649" s="189"/>
      <c r="E649" s="190"/>
      <c r="F649" s="97"/>
      <c r="G649" s="128"/>
    </row>
    <row r="650" spans="1:7" x14ac:dyDescent="0.25">
      <c r="A650" s="39" t="s">
        <v>12</v>
      </c>
      <c r="B650" s="40" t="s">
        <v>1063</v>
      </c>
      <c r="C650" s="41" t="s">
        <v>92</v>
      </c>
      <c r="D650" s="42" t="s">
        <v>15</v>
      </c>
      <c r="E650" s="190">
        <v>70.459999999999994</v>
      </c>
      <c r="F650" s="97">
        <f>C650*E650</f>
        <v>2677.4799999999996</v>
      </c>
      <c r="G650" s="128"/>
    </row>
    <row r="651" spans="1:7" x14ac:dyDescent="0.25">
      <c r="A651" s="187"/>
      <c r="B651" s="192"/>
      <c r="C651" s="188"/>
      <c r="D651" s="189"/>
      <c r="E651" s="190"/>
      <c r="F651" s="97"/>
      <c r="G651" s="128"/>
    </row>
    <row r="652" spans="1:7" x14ac:dyDescent="0.25">
      <c r="A652" s="39" t="s">
        <v>13</v>
      </c>
      <c r="B652" s="40" t="s">
        <v>1064</v>
      </c>
      <c r="C652" s="41" t="s">
        <v>64</v>
      </c>
      <c r="D652" s="42" t="s">
        <v>15</v>
      </c>
      <c r="E652" s="190">
        <v>89.6</v>
      </c>
      <c r="F652" s="97">
        <f>C652*E652</f>
        <v>179.2</v>
      </c>
      <c r="G652" s="128"/>
    </row>
    <row r="653" spans="1:7" x14ac:dyDescent="0.25">
      <c r="A653" s="187"/>
      <c r="B653" s="192"/>
      <c r="C653" s="188"/>
      <c r="D653" s="189"/>
      <c r="E653" s="190"/>
      <c r="F653" s="97"/>
      <c r="G653" s="128"/>
    </row>
    <row r="654" spans="1:7" x14ac:dyDescent="0.25">
      <c r="A654" s="39" t="s">
        <v>16</v>
      </c>
      <c r="B654" s="40" t="s">
        <v>1065</v>
      </c>
      <c r="C654" s="41" t="s">
        <v>244</v>
      </c>
      <c r="D654" s="42" t="s">
        <v>15</v>
      </c>
      <c r="E654" s="190">
        <v>70.459999999999994</v>
      </c>
      <c r="F654" s="97">
        <f>C654*E654</f>
        <v>563.67999999999995</v>
      </c>
      <c r="G654" s="128"/>
    </row>
    <row r="655" spans="1:7" x14ac:dyDescent="0.25">
      <c r="A655" s="187"/>
      <c r="B655" s="192"/>
      <c r="C655" s="188"/>
      <c r="D655" s="189"/>
      <c r="E655" s="190"/>
      <c r="F655" s="97"/>
      <c r="G655" s="128"/>
    </row>
    <row r="656" spans="1:7" x14ac:dyDescent="0.25">
      <c r="A656" s="39" t="s">
        <v>17</v>
      </c>
      <c r="B656" s="40" t="s">
        <v>1066</v>
      </c>
      <c r="C656" s="41" t="s">
        <v>64</v>
      </c>
      <c r="D656" s="42" t="s">
        <v>15</v>
      </c>
      <c r="E656" s="190">
        <v>85.15</v>
      </c>
      <c r="F656" s="97">
        <f>C656*E656</f>
        <v>170.3</v>
      </c>
      <c r="G656" s="128"/>
    </row>
    <row r="657" spans="1:7" x14ac:dyDescent="0.25">
      <c r="A657" s="187"/>
      <c r="B657" s="192"/>
      <c r="C657" s="188"/>
      <c r="D657" s="189"/>
      <c r="E657" s="190"/>
      <c r="F657" s="97"/>
      <c r="G657" s="128"/>
    </row>
    <row r="658" spans="1:7" x14ac:dyDescent="0.25">
      <c r="A658" s="39" t="s">
        <v>18</v>
      </c>
      <c r="B658" s="40" t="s">
        <v>1067</v>
      </c>
      <c r="C658" s="41" t="s">
        <v>64</v>
      </c>
      <c r="D658" s="42" t="s">
        <v>15</v>
      </c>
      <c r="E658" s="190">
        <v>179.19</v>
      </c>
      <c r="F658" s="97">
        <f>C658*E658</f>
        <v>358.38</v>
      </c>
      <c r="G658" s="128"/>
    </row>
    <row r="659" spans="1:7" x14ac:dyDescent="0.25">
      <c r="A659" s="187"/>
      <c r="B659" s="192"/>
      <c r="C659" s="188"/>
      <c r="D659" s="189"/>
      <c r="E659" s="190"/>
      <c r="F659" s="97"/>
      <c r="G659" s="128"/>
    </row>
    <row r="660" spans="1:7" x14ac:dyDescent="0.25">
      <c r="A660" s="39" t="s">
        <v>19</v>
      </c>
      <c r="B660" s="40" t="s">
        <v>1068</v>
      </c>
      <c r="C660" s="41" t="s">
        <v>79</v>
      </c>
      <c r="D660" s="42" t="s">
        <v>15</v>
      </c>
      <c r="E660" s="190">
        <v>3633.69</v>
      </c>
      <c r="F660" s="97">
        <f>C660*E660</f>
        <v>116278.08</v>
      </c>
      <c r="G660" s="128"/>
    </row>
    <row r="661" spans="1:7" x14ac:dyDescent="0.25">
      <c r="A661" s="187"/>
      <c r="B661" s="192"/>
      <c r="C661" s="188"/>
      <c r="D661" s="189"/>
      <c r="E661" s="190"/>
      <c r="F661" s="97"/>
      <c r="G661" s="128"/>
    </row>
    <row r="662" spans="1:7" x14ac:dyDescent="0.25">
      <c r="A662" s="39" t="s">
        <v>22</v>
      </c>
      <c r="B662" s="40" t="s">
        <v>1069</v>
      </c>
      <c r="C662" s="41" t="s">
        <v>104</v>
      </c>
      <c r="D662" s="42" t="s">
        <v>15</v>
      </c>
      <c r="E662" s="190">
        <v>3633.69</v>
      </c>
      <c r="F662" s="97">
        <f>C662*E662</f>
        <v>3633.69</v>
      </c>
      <c r="G662" s="128"/>
    </row>
    <row r="663" spans="1:7" x14ac:dyDescent="0.25">
      <c r="A663" s="187"/>
      <c r="B663" s="192"/>
      <c r="C663" s="188"/>
      <c r="D663" s="189"/>
      <c r="E663" s="190"/>
      <c r="F663" s="97"/>
      <c r="G663" s="128"/>
    </row>
    <row r="664" spans="1:7" ht="28.8" x14ac:dyDescent="0.25">
      <c r="A664" s="187"/>
      <c r="B664" s="135" t="s">
        <v>1212</v>
      </c>
      <c r="C664" s="188"/>
      <c r="D664" s="189"/>
      <c r="E664" s="190"/>
      <c r="F664" s="97"/>
      <c r="G664" s="128"/>
    </row>
    <row r="665" spans="1:7" x14ac:dyDescent="0.25">
      <c r="A665" s="193"/>
      <c r="B665" s="194"/>
      <c r="C665" s="195"/>
      <c r="D665" s="196"/>
      <c r="E665" s="117"/>
      <c r="F665" s="98"/>
      <c r="G665" s="130"/>
    </row>
    <row r="666" spans="1:7" x14ac:dyDescent="0.25">
      <c r="A666" s="197"/>
      <c r="B666" s="198"/>
      <c r="C666" s="199" t="s">
        <v>51</v>
      </c>
      <c r="D666" s="199"/>
      <c r="E666" s="200" t="s">
        <v>50</v>
      </c>
      <c r="F666" s="99">
        <f>SUM(F636:F662)</f>
        <v>249544.47</v>
      </c>
      <c r="G666" s="131"/>
    </row>
    <row r="667" spans="1:7" x14ac:dyDescent="0.25">
      <c r="A667" s="197"/>
      <c r="B667" s="198"/>
      <c r="C667" s="201"/>
      <c r="D667" s="202"/>
      <c r="E667" s="118"/>
      <c r="F667" s="100"/>
      <c r="G667" s="132"/>
    </row>
    <row r="668" spans="1:7" x14ac:dyDescent="0.25">
      <c r="A668" s="187"/>
      <c r="B668" s="192"/>
      <c r="C668" s="188"/>
      <c r="D668" s="189"/>
      <c r="E668" s="190"/>
      <c r="F668" s="97"/>
      <c r="G668" s="128"/>
    </row>
    <row r="669" spans="1:7" x14ac:dyDescent="0.25">
      <c r="A669" s="187"/>
      <c r="B669" s="36" t="s">
        <v>98</v>
      </c>
      <c r="C669" s="188"/>
      <c r="D669" s="189"/>
      <c r="E669" s="190"/>
      <c r="F669" s="97"/>
      <c r="G669" s="128"/>
    </row>
    <row r="670" spans="1:7" x14ac:dyDescent="0.25">
      <c r="A670" s="187"/>
      <c r="B670" s="192"/>
      <c r="C670" s="188"/>
      <c r="D670" s="189"/>
      <c r="E670" s="190"/>
      <c r="F670" s="97"/>
      <c r="G670" s="128"/>
    </row>
    <row r="671" spans="1:7" ht="55.2" x14ac:dyDescent="0.25">
      <c r="A671" s="39" t="s">
        <v>3</v>
      </c>
      <c r="B671" s="40" t="s">
        <v>1070</v>
      </c>
      <c r="C671" s="41">
        <v>1</v>
      </c>
      <c r="D671" s="42" t="s">
        <v>6</v>
      </c>
      <c r="E671" s="190">
        <v>133858.23000000001</v>
      </c>
      <c r="F671" s="97">
        <f>C671*E671</f>
        <v>133858.23000000001</v>
      </c>
      <c r="G671" s="128"/>
    </row>
    <row r="672" spans="1:7" x14ac:dyDescent="0.25">
      <c r="A672" s="187"/>
      <c r="B672" s="192"/>
      <c r="C672" s="188"/>
      <c r="D672" s="189"/>
      <c r="E672" s="190"/>
      <c r="F672" s="97"/>
      <c r="G672" s="128"/>
    </row>
    <row r="673" spans="1:7" x14ac:dyDescent="0.25">
      <c r="A673" s="39"/>
      <c r="B673" s="43" t="s">
        <v>1071</v>
      </c>
      <c r="C673" s="41"/>
      <c r="D673" s="42"/>
      <c r="E673" s="190"/>
      <c r="F673" s="97"/>
      <c r="G673" s="128"/>
    </row>
    <row r="674" spans="1:7" x14ac:dyDescent="0.25">
      <c r="A674" s="187"/>
      <c r="B674" s="192"/>
      <c r="C674" s="188"/>
      <c r="D674" s="189"/>
      <c r="E674" s="190"/>
      <c r="F674" s="97"/>
      <c r="G674" s="128"/>
    </row>
    <row r="675" spans="1:7" ht="41.4" x14ac:dyDescent="0.25">
      <c r="A675" s="39"/>
      <c r="B675" s="43" t="s">
        <v>148</v>
      </c>
      <c r="C675" s="41"/>
      <c r="D675" s="42"/>
      <c r="E675" s="190"/>
      <c r="F675" s="97"/>
      <c r="G675" s="128"/>
    </row>
    <row r="676" spans="1:7" x14ac:dyDescent="0.25">
      <c r="A676" s="187"/>
      <c r="B676" s="192"/>
      <c r="C676" s="188"/>
      <c r="D676" s="189"/>
      <c r="E676" s="190"/>
      <c r="F676" s="97"/>
      <c r="G676" s="128"/>
    </row>
    <row r="677" spans="1:7" ht="27.6" x14ac:dyDescent="0.25">
      <c r="A677" s="39" t="s">
        <v>2</v>
      </c>
      <c r="B677" s="40" t="s">
        <v>1072</v>
      </c>
      <c r="C677" s="41" t="s">
        <v>1073</v>
      </c>
      <c r="D677" s="42" t="s">
        <v>15</v>
      </c>
      <c r="E677" s="190">
        <v>527.99</v>
      </c>
      <c r="F677" s="97">
        <f>C677*E677</f>
        <v>118269.76000000001</v>
      </c>
      <c r="G677" s="128" t="s">
        <v>1224</v>
      </c>
    </row>
    <row r="678" spans="1:7" x14ac:dyDescent="0.25">
      <c r="A678" s="187"/>
      <c r="B678" s="192"/>
      <c r="C678" s="188"/>
      <c r="D678" s="189"/>
      <c r="E678" s="190"/>
      <c r="F678" s="97"/>
      <c r="G678" s="128"/>
    </row>
    <row r="679" spans="1:7" ht="27.6" x14ac:dyDescent="0.25">
      <c r="A679" s="39" t="s">
        <v>5</v>
      </c>
      <c r="B679" s="40" t="s">
        <v>1074</v>
      </c>
      <c r="C679" s="41" t="s">
        <v>58</v>
      </c>
      <c r="D679" s="42" t="s">
        <v>15</v>
      </c>
      <c r="E679" s="190">
        <v>527.99</v>
      </c>
      <c r="F679" s="97">
        <f>C679*E679</f>
        <v>3167.94</v>
      </c>
      <c r="G679" s="128" t="s">
        <v>1224</v>
      </c>
    </row>
    <row r="680" spans="1:7" x14ac:dyDescent="0.25">
      <c r="A680" s="187"/>
      <c r="B680" s="192"/>
      <c r="C680" s="188"/>
      <c r="D680" s="189"/>
      <c r="E680" s="190"/>
      <c r="F680" s="97"/>
      <c r="G680" s="128"/>
    </row>
    <row r="681" spans="1:7" ht="27.6" x14ac:dyDescent="0.25">
      <c r="A681" s="39"/>
      <c r="B681" s="43" t="s">
        <v>149</v>
      </c>
      <c r="C681" s="41"/>
      <c r="D681" s="42"/>
      <c r="E681" s="190"/>
      <c r="F681" s="97"/>
      <c r="G681" s="128"/>
    </row>
    <row r="682" spans="1:7" x14ac:dyDescent="0.25">
      <c r="A682" s="187"/>
      <c r="B682" s="192"/>
      <c r="C682" s="188"/>
      <c r="D682" s="189"/>
      <c r="E682" s="190"/>
      <c r="F682" s="97"/>
      <c r="G682" s="128"/>
    </row>
    <row r="683" spans="1:7" ht="55.2" x14ac:dyDescent="0.25">
      <c r="A683" s="39" t="s">
        <v>8</v>
      </c>
      <c r="B683" s="40" t="s">
        <v>1075</v>
      </c>
      <c r="C683" s="41" t="s">
        <v>1076</v>
      </c>
      <c r="D683" s="42" t="s">
        <v>15</v>
      </c>
      <c r="E683" s="190">
        <v>1399.08</v>
      </c>
      <c r="F683" s="97">
        <f>C683*E683</f>
        <v>225251.87999999998</v>
      </c>
      <c r="G683" s="128"/>
    </row>
    <row r="684" spans="1:7" x14ac:dyDescent="0.25">
      <c r="A684" s="187"/>
      <c r="B684" s="192"/>
      <c r="C684" s="188"/>
      <c r="D684" s="189"/>
      <c r="E684" s="190"/>
      <c r="F684" s="97"/>
      <c r="G684" s="128"/>
    </row>
    <row r="685" spans="1:7" ht="55.2" x14ac:dyDescent="0.25">
      <c r="A685" s="39" t="s">
        <v>9</v>
      </c>
      <c r="B685" s="40" t="s">
        <v>1077</v>
      </c>
      <c r="C685" s="41" t="s">
        <v>65</v>
      </c>
      <c r="D685" s="42" t="s">
        <v>15</v>
      </c>
      <c r="E685" s="190">
        <v>1399.08</v>
      </c>
      <c r="F685" s="97">
        <f>C685*E685</f>
        <v>22385.279999999999</v>
      </c>
      <c r="G685" s="128"/>
    </row>
    <row r="686" spans="1:7" x14ac:dyDescent="0.25">
      <c r="A686" s="187"/>
      <c r="B686" s="192"/>
      <c r="C686" s="188"/>
      <c r="D686" s="189"/>
      <c r="E686" s="190"/>
      <c r="F686" s="97"/>
      <c r="G686" s="128"/>
    </row>
    <row r="687" spans="1:7" ht="69" x14ac:dyDescent="0.25">
      <c r="A687" s="39" t="s">
        <v>10</v>
      </c>
      <c r="B687" s="40" t="s">
        <v>1078</v>
      </c>
      <c r="C687" s="41" t="s">
        <v>69</v>
      </c>
      <c r="D687" s="42" t="s">
        <v>15</v>
      </c>
      <c r="E687" s="190">
        <v>1399.08</v>
      </c>
      <c r="F687" s="97">
        <f>C687*E687</f>
        <v>41972.399999999994</v>
      </c>
      <c r="G687" s="128"/>
    </row>
    <row r="688" spans="1:7" x14ac:dyDescent="0.25">
      <c r="A688" s="187"/>
      <c r="B688" s="192"/>
      <c r="C688" s="188"/>
      <c r="D688" s="189"/>
      <c r="E688" s="190"/>
      <c r="F688" s="97"/>
      <c r="G688" s="128"/>
    </row>
    <row r="689" spans="1:7" ht="55.2" x14ac:dyDescent="0.25">
      <c r="A689" s="39" t="s">
        <v>12</v>
      </c>
      <c r="B689" s="40" t="s">
        <v>1079</v>
      </c>
      <c r="C689" s="41" t="s">
        <v>102</v>
      </c>
      <c r="D689" s="42" t="s">
        <v>15</v>
      </c>
      <c r="E689" s="190">
        <v>1399.08</v>
      </c>
      <c r="F689" s="97">
        <f>C689*E689</f>
        <v>23784.36</v>
      </c>
      <c r="G689" s="128"/>
    </row>
    <row r="690" spans="1:7" x14ac:dyDescent="0.25">
      <c r="A690" s="187"/>
      <c r="B690" s="192"/>
      <c r="C690" s="188"/>
      <c r="D690" s="189"/>
      <c r="E690" s="190"/>
      <c r="F690" s="97"/>
      <c r="G690" s="128"/>
    </row>
    <row r="691" spans="1:7" x14ac:dyDescent="0.25">
      <c r="A691" s="39" t="s">
        <v>13</v>
      </c>
      <c r="B691" s="40" t="s">
        <v>1080</v>
      </c>
      <c r="C691" s="41" t="s">
        <v>104</v>
      </c>
      <c r="D691" s="42" t="s">
        <v>15</v>
      </c>
      <c r="E691" s="190">
        <v>1399.08</v>
      </c>
      <c r="F691" s="97">
        <f>C691*E691</f>
        <v>1399.08</v>
      </c>
      <c r="G691" s="128"/>
    </row>
    <row r="692" spans="1:7" x14ac:dyDescent="0.25">
      <c r="A692" s="187"/>
      <c r="B692" s="192"/>
      <c r="C692" s="188"/>
      <c r="D692" s="189"/>
      <c r="E692" s="190"/>
      <c r="F692" s="97"/>
      <c r="G692" s="128"/>
    </row>
    <row r="693" spans="1:7" ht="8.25" customHeight="1" x14ac:dyDescent="0.25">
      <c r="A693" s="187"/>
      <c r="B693" s="192"/>
      <c r="C693" s="188"/>
      <c r="D693" s="189"/>
      <c r="E693" s="190"/>
      <c r="F693" s="97"/>
      <c r="G693" s="128"/>
    </row>
    <row r="694" spans="1:7" ht="28.8" x14ac:dyDescent="0.25">
      <c r="A694" s="187"/>
      <c r="B694" s="135" t="s">
        <v>1212</v>
      </c>
      <c r="C694" s="188"/>
      <c r="D694" s="189"/>
      <c r="E694" s="190"/>
      <c r="F694" s="97"/>
      <c r="G694" s="128"/>
    </row>
    <row r="695" spans="1:7" x14ac:dyDescent="0.25">
      <c r="A695" s="193"/>
      <c r="B695" s="194"/>
      <c r="C695" s="195"/>
      <c r="D695" s="196"/>
      <c r="E695" s="117"/>
      <c r="F695" s="98"/>
      <c r="G695" s="130"/>
    </row>
    <row r="696" spans="1:7" x14ac:dyDescent="0.25">
      <c r="A696" s="197"/>
      <c r="B696" s="198"/>
      <c r="C696" s="199" t="s">
        <v>51</v>
      </c>
      <c r="D696" s="199"/>
      <c r="E696" s="200" t="s">
        <v>50</v>
      </c>
      <c r="F696" s="99">
        <f>SUM(F671:F693)</f>
        <v>570088.92999999993</v>
      </c>
      <c r="G696" s="131"/>
    </row>
    <row r="697" spans="1:7" x14ac:dyDescent="0.25">
      <c r="A697" s="197"/>
      <c r="B697" s="198"/>
      <c r="C697" s="201"/>
      <c r="D697" s="202"/>
      <c r="E697" s="118"/>
      <c r="F697" s="100"/>
      <c r="G697" s="132"/>
    </row>
    <row r="698" spans="1:7" x14ac:dyDescent="0.25">
      <c r="A698" s="187"/>
      <c r="B698" s="192"/>
      <c r="C698" s="188"/>
      <c r="D698" s="189"/>
      <c r="E698" s="190"/>
      <c r="F698" s="97"/>
      <c r="G698" s="128"/>
    </row>
    <row r="699" spans="1:7" x14ac:dyDescent="0.25">
      <c r="A699" s="187"/>
      <c r="B699" s="36" t="s">
        <v>98</v>
      </c>
      <c r="C699" s="188"/>
      <c r="D699" s="189"/>
      <c r="E699" s="190"/>
      <c r="F699" s="97"/>
      <c r="G699" s="128"/>
    </row>
    <row r="700" spans="1:7" x14ac:dyDescent="0.25">
      <c r="A700" s="187"/>
      <c r="B700" s="191"/>
      <c r="C700" s="188"/>
      <c r="D700" s="189"/>
      <c r="E700" s="190"/>
      <c r="F700" s="97"/>
      <c r="G700" s="128"/>
    </row>
    <row r="701" spans="1:7" ht="27.6" x14ac:dyDescent="0.25">
      <c r="A701" s="39" t="s">
        <v>3</v>
      </c>
      <c r="B701" s="40" t="s">
        <v>1081</v>
      </c>
      <c r="C701" s="41" t="s">
        <v>64</v>
      </c>
      <c r="D701" s="42" t="s">
        <v>15</v>
      </c>
      <c r="E701" s="190">
        <v>1399.08</v>
      </c>
      <c r="F701" s="97">
        <f>C701*E701</f>
        <v>2798.16</v>
      </c>
      <c r="G701" s="128"/>
    </row>
    <row r="702" spans="1:7" x14ac:dyDescent="0.25">
      <c r="A702" s="187"/>
      <c r="B702" s="192"/>
      <c r="C702" s="188"/>
      <c r="D702" s="189"/>
      <c r="E702" s="190"/>
      <c r="F702" s="97"/>
      <c r="G702" s="128"/>
    </row>
    <row r="703" spans="1:7" x14ac:dyDescent="0.25">
      <c r="A703" s="39" t="s">
        <v>2</v>
      </c>
      <c r="B703" s="40" t="s">
        <v>1082</v>
      </c>
      <c r="C703" s="41" t="s">
        <v>104</v>
      </c>
      <c r="D703" s="42" t="s">
        <v>15</v>
      </c>
      <c r="E703" s="190">
        <v>1399.08</v>
      </c>
      <c r="F703" s="97">
        <f>C703*E703</f>
        <v>1399.08</v>
      </c>
      <c r="G703" s="128"/>
    </row>
    <row r="704" spans="1:7" x14ac:dyDescent="0.25">
      <c r="A704" s="187"/>
      <c r="B704" s="192"/>
      <c r="C704" s="188"/>
      <c r="D704" s="189"/>
      <c r="E704" s="190"/>
      <c r="F704" s="97"/>
      <c r="G704" s="128"/>
    </row>
    <row r="705" spans="1:7" x14ac:dyDescent="0.25">
      <c r="A705" s="39" t="s">
        <v>5</v>
      </c>
      <c r="B705" s="40" t="s">
        <v>1083</v>
      </c>
      <c r="C705" s="41" t="s">
        <v>64</v>
      </c>
      <c r="D705" s="42" t="s">
        <v>15</v>
      </c>
      <c r="E705" s="190">
        <v>1399.08</v>
      </c>
      <c r="F705" s="97">
        <f>C705*E705</f>
        <v>2798.16</v>
      </c>
      <c r="G705" s="128"/>
    </row>
    <row r="706" spans="1:7" x14ac:dyDescent="0.25">
      <c r="A706" s="187"/>
      <c r="B706" s="192"/>
      <c r="C706" s="188"/>
      <c r="D706" s="189"/>
      <c r="E706" s="190"/>
      <c r="F706" s="97"/>
      <c r="G706" s="128"/>
    </row>
    <row r="707" spans="1:7" x14ac:dyDescent="0.25">
      <c r="A707" s="39"/>
      <c r="B707" s="40"/>
      <c r="C707" s="41"/>
      <c r="D707" s="42"/>
      <c r="E707" s="190"/>
      <c r="F707" s="97"/>
      <c r="G707" s="128"/>
    </row>
    <row r="708" spans="1:7" x14ac:dyDescent="0.25">
      <c r="A708" s="187"/>
      <c r="B708" s="192"/>
      <c r="C708" s="188"/>
      <c r="D708" s="189"/>
      <c r="E708" s="190"/>
      <c r="F708" s="97"/>
      <c r="G708" s="128"/>
    </row>
    <row r="709" spans="1:7" x14ac:dyDescent="0.25">
      <c r="A709" s="39"/>
      <c r="B709" s="40"/>
      <c r="C709" s="41"/>
      <c r="D709" s="42"/>
      <c r="E709" s="190"/>
      <c r="F709" s="97"/>
      <c r="G709" s="128"/>
    </row>
    <row r="710" spans="1:7" x14ac:dyDescent="0.25">
      <c r="A710" s="187"/>
      <c r="B710" s="192"/>
      <c r="C710" s="188"/>
      <c r="D710" s="189"/>
      <c r="E710" s="190"/>
      <c r="F710" s="97"/>
      <c r="G710" s="128"/>
    </row>
    <row r="711" spans="1:7" x14ac:dyDescent="0.25">
      <c r="A711" s="39"/>
      <c r="B711" s="40"/>
      <c r="C711" s="41"/>
      <c r="D711" s="42"/>
      <c r="E711" s="190"/>
      <c r="F711" s="97"/>
      <c r="G711" s="128"/>
    </row>
    <row r="712" spans="1:7" x14ac:dyDescent="0.25">
      <c r="A712" s="187"/>
      <c r="B712" s="192"/>
      <c r="C712" s="188"/>
      <c r="D712" s="189"/>
      <c r="E712" s="190"/>
      <c r="F712" s="97"/>
      <c r="G712" s="128"/>
    </row>
    <row r="713" spans="1:7" x14ac:dyDescent="0.25">
      <c r="A713" s="39"/>
      <c r="B713" s="40"/>
      <c r="C713" s="41"/>
      <c r="D713" s="42"/>
      <c r="E713" s="190"/>
      <c r="F713" s="97"/>
      <c r="G713" s="128"/>
    </row>
    <row r="714" spans="1:7" x14ac:dyDescent="0.25">
      <c r="A714" s="187"/>
      <c r="B714" s="192"/>
      <c r="C714" s="188"/>
      <c r="D714" s="189"/>
      <c r="E714" s="190"/>
      <c r="F714" s="97"/>
      <c r="G714" s="128"/>
    </row>
    <row r="715" spans="1:7" x14ac:dyDescent="0.25">
      <c r="A715" s="39"/>
      <c r="B715" s="40"/>
      <c r="C715" s="41"/>
      <c r="D715" s="42"/>
      <c r="E715" s="190"/>
      <c r="F715" s="97"/>
      <c r="G715" s="128"/>
    </row>
    <row r="716" spans="1:7" x14ac:dyDescent="0.25">
      <c r="A716" s="187"/>
      <c r="B716" s="192"/>
      <c r="C716" s="188"/>
      <c r="D716" s="189"/>
      <c r="E716" s="190"/>
      <c r="F716" s="97"/>
      <c r="G716" s="128"/>
    </row>
    <row r="717" spans="1:7" x14ac:dyDescent="0.25">
      <c r="A717" s="39"/>
      <c r="B717" s="43"/>
      <c r="C717" s="41"/>
      <c r="D717" s="42"/>
      <c r="E717" s="190"/>
      <c r="F717" s="97"/>
      <c r="G717" s="128"/>
    </row>
    <row r="718" spans="1:7" x14ac:dyDescent="0.25">
      <c r="A718" s="187"/>
      <c r="B718" s="192"/>
      <c r="C718" s="188"/>
      <c r="D718" s="189"/>
      <c r="E718" s="190"/>
      <c r="F718" s="97"/>
      <c r="G718" s="128"/>
    </row>
    <row r="719" spans="1:7" x14ac:dyDescent="0.25">
      <c r="A719" s="39"/>
      <c r="B719" s="40"/>
      <c r="C719" s="41"/>
      <c r="D719" s="42"/>
      <c r="E719" s="190"/>
      <c r="F719" s="97"/>
      <c r="G719" s="128"/>
    </row>
    <row r="720" spans="1:7" x14ac:dyDescent="0.25">
      <c r="A720" s="187"/>
      <c r="B720" s="192"/>
      <c r="C720" s="188"/>
      <c r="D720" s="189"/>
      <c r="E720" s="190"/>
      <c r="F720" s="97"/>
      <c r="G720" s="128"/>
    </row>
    <row r="721" spans="1:7" x14ac:dyDescent="0.25">
      <c r="A721" s="39"/>
      <c r="B721" s="40"/>
      <c r="C721" s="41"/>
      <c r="D721" s="42"/>
      <c r="E721" s="190"/>
      <c r="F721" s="97"/>
      <c r="G721" s="128"/>
    </row>
    <row r="722" spans="1:7" x14ac:dyDescent="0.25">
      <c r="A722" s="187"/>
      <c r="B722" s="192"/>
      <c r="C722" s="188"/>
      <c r="D722" s="189"/>
      <c r="E722" s="190"/>
      <c r="F722" s="97"/>
      <c r="G722" s="128"/>
    </row>
    <row r="723" spans="1:7" x14ac:dyDescent="0.25">
      <c r="A723" s="39"/>
      <c r="B723" s="40"/>
      <c r="C723" s="41"/>
      <c r="D723" s="42"/>
      <c r="E723" s="190"/>
      <c r="F723" s="97"/>
      <c r="G723" s="128"/>
    </row>
    <row r="724" spans="1:7" x14ac:dyDescent="0.25">
      <c r="A724" s="187"/>
      <c r="B724" s="192"/>
      <c r="C724" s="188"/>
      <c r="D724" s="189"/>
      <c r="E724" s="190"/>
      <c r="F724" s="97"/>
      <c r="G724" s="128"/>
    </row>
    <row r="725" spans="1:7" x14ac:dyDescent="0.25">
      <c r="A725" s="187"/>
      <c r="B725" s="192"/>
      <c r="C725" s="188"/>
      <c r="D725" s="189"/>
      <c r="E725" s="190"/>
      <c r="F725" s="97"/>
      <c r="G725" s="128"/>
    </row>
    <row r="726" spans="1:7" x14ac:dyDescent="0.25">
      <c r="A726" s="187"/>
      <c r="B726" s="192"/>
      <c r="C726" s="188"/>
      <c r="D726" s="189"/>
      <c r="E726" s="190"/>
      <c r="F726" s="97"/>
      <c r="G726" s="128"/>
    </row>
    <row r="727" spans="1:7" x14ac:dyDescent="0.25">
      <c r="A727" s="187"/>
      <c r="B727" s="192"/>
      <c r="C727" s="188"/>
      <c r="D727" s="189"/>
      <c r="E727" s="190"/>
      <c r="F727" s="97"/>
      <c r="G727" s="128"/>
    </row>
    <row r="728" spans="1:7" x14ac:dyDescent="0.25">
      <c r="A728" s="187"/>
      <c r="B728" s="192"/>
      <c r="C728" s="188"/>
      <c r="D728" s="189"/>
      <c r="E728" s="190"/>
      <c r="F728" s="97"/>
      <c r="G728" s="128"/>
    </row>
    <row r="729" spans="1:7" x14ac:dyDescent="0.25">
      <c r="A729" s="187"/>
      <c r="B729" s="192"/>
      <c r="C729" s="188"/>
      <c r="D729" s="189"/>
      <c r="E729" s="190"/>
      <c r="F729" s="97"/>
      <c r="G729" s="128"/>
    </row>
    <row r="730" spans="1:7" x14ac:dyDescent="0.25">
      <c r="A730" s="187"/>
      <c r="B730" s="192"/>
      <c r="C730" s="188"/>
      <c r="D730" s="189"/>
      <c r="E730" s="190"/>
      <c r="F730" s="97"/>
      <c r="G730" s="128"/>
    </row>
    <row r="731" spans="1:7" x14ac:dyDescent="0.25">
      <c r="A731" s="187"/>
      <c r="B731" s="192"/>
      <c r="C731" s="188"/>
      <c r="D731" s="189"/>
      <c r="E731" s="190"/>
      <c r="F731" s="97"/>
      <c r="G731" s="128"/>
    </row>
    <row r="732" spans="1:7" x14ac:dyDescent="0.25">
      <c r="A732" s="187"/>
      <c r="B732" s="192"/>
      <c r="C732" s="188"/>
      <c r="D732" s="189"/>
      <c r="E732" s="190"/>
      <c r="F732" s="97"/>
      <c r="G732" s="128"/>
    </row>
    <row r="733" spans="1:7" x14ac:dyDescent="0.25">
      <c r="A733" s="187"/>
      <c r="B733" s="192"/>
      <c r="C733" s="188"/>
      <c r="D733" s="189"/>
      <c r="E733" s="190"/>
      <c r="F733" s="97"/>
      <c r="G733" s="128"/>
    </row>
    <row r="734" spans="1:7" x14ac:dyDescent="0.25">
      <c r="A734" s="187"/>
      <c r="B734" s="36"/>
      <c r="C734" s="188"/>
      <c r="D734" s="189"/>
      <c r="E734" s="190"/>
      <c r="F734" s="97"/>
      <c r="G734" s="128"/>
    </row>
    <row r="735" spans="1:7" x14ac:dyDescent="0.25">
      <c r="A735" s="187"/>
      <c r="B735" s="192"/>
      <c r="C735" s="188"/>
      <c r="D735" s="189"/>
      <c r="E735" s="190"/>
      <c r="F735" s="97"/>
      <c r="G735" s="128"/>
    </row>
    <row r="736" spans="1:7" x14ac:dyDescent="0.25">
      <c r="A736" s="39"/>
      <c r="B736" s="40"/>
      <c r="C736" s="41"/>
      <c r="D736" s="42"/>
      <c r="E736" s="190"/>
      <c r="F736" s="97"/>
      <c r="G736" s="128"/>
    </row>
    <row r="737" spans="1:7" x14ac:dyDescent="0.25">
      <c r="A737" s="187"/>
      <c r="B737" s="192"/>
      <c r="C737" s="188"/>
      <c r="D737" s="189"/>
      <c r="E737" s="190"/>
      <c r="F737" s="97"/>
      <c r="G737" s="128"/>
    </row>
    <row r="738" spans="1:7" x14ac:dyDescent="0.25">
      <c r="A738" s="39"/>
      <c r="B738" s="40"/>
      <c r="C738" s="41"/>
      <c r="D738" s="42"/>
      <c r="E738" s="190"/>
      <c r="F738" s="97"/>
      <c r="G738" s="128"/>
    </row>
    <row r="739" spans="1:7" x14ac:dyDescent="0.25">
      <c r="A739" s="187"/>
      <c r="B739" s="192"/>
      <c r="C739" s="188"/>
      <c r="D739" s="189"/>
      <c r="E739" s="190"/>
      <c r="F739" s="97"/>
      <c r="G739" s="128"/>
    </row>
    <row r="740" spans="1:7" x14ac:dyDescent="0.25">
      <c r="A740" s="39"/>
      <c r="B740" s="40"/>
      <c r="C740" s="41"/>
      <c r="D740" s="42"/>
      <c r="E740" s="190"/>
      <c r="F740" s="97"/>
      <c r="G740" s="128"/>
    </row>
    <row r="741" spans="1:7" x14ac:dyDescent="0.25">
      <c r="A741" s="187"/>
      <c r="B741" s="192"/>
      <c r="C741" s="188"/>
      <c r="D741" s="189"/>
      <c r="E741" s="190"/>
      <c r="F741" s="97"/>
      <c r="G741" s="128"/>
    </row>
    <row r="742" spans="1:7" x14ac:dyDescent="0.25">
      <c r="A742" s="39"/>
      <c r="B742" s="40"/>
      <c r="C742" s="41"/>
      <c r="D742" s="42"/>
      <c r="E742" s="190"/>
      <c r="F742" s="97"/>
      <c r="G742" s="128"/>
    </row>
    <row r="743" spans="1:7" x14ac:dyDescent="0.25">
      <c r="A743" s="187"/>
      <c r="B743" s="192"/>
      <c r="C743" s="188"/>
      <c r="D743" s="189"/>
      <c r="E743" s="190"/>
      <c r="F743" s="97"/>
      <c r="G743" s="128"/>
    </row>
    <row r="744" spans="1:7" x14ac:dyDescent="0.25">
      <c r="A744" s="39"/>
      <c r="B744" s="40"/>
      <c r="C744" s="41"/>
      <c r="D744" s="42"/>
      <c r="E744" s="190"/>
      <c r="F744" s="97"/>
      <c r="G744" s="128"/>
    </row>
    <row r="745" spans="1:7" x14ac:dyDescent="0.25">
      <c r="A745" s="193"/>
      <c r="B745" s="194"/>
      <c r="C745" s="195"/>
      <c r="D745" s="196"/>
      <c r="E745" s="117"/>
      <c r="F745" s="98"/>
      <c r="G745" s="130"/>
    </row>
    <row r="746" spans="1:7" x14ac:dyDescent="0.25">
      <c r="A746" s="197"/>
      <c r="B746" s="198"/>
      <c r="C746" s="199" t="s">
        <v>51</v>
      </c>
      <c r="D746" s="199"/>
      <c r="E746" s="200" t="s">
        <v>50</v>
      </c>
      <c r="F746" s="99">
        <f>SUM(F700:F722)</f>
        <v>6995.4</v>
      </c>
      <c r="G746" s="131"/>
    </row>
    <row r="747" spans="1:7" x14ac:dyDescent="0.25">
      <c r="A747" s="197"/>
      <c r="B747" s="198"/>
      <c r="C747" s="201"/>
      <c r="D747" s="202"/>
      <c r="E747" s="118"/>
      <c r="F747" s="100"/>
      <c r="G747" s="132"/>
    </row>
    <row r="748" spans="1:7" x14ac:dyDescent="0.25">
      <c r="A748" s="39"/>
      <c r="B748" s="40"/>
      <c r="C748" s="41"/>
      <c r="D748" s="42"/>
      <c r="E748" s="190"/>
      <c r="F748" s="97"/>
      <c r="G748" s="128"/>
    </row>
    <row r="749" spans="1:7" x14ac:dyDescent="0.25">
      <c r="A749" s="187"/>
      <c r="B749" s="36" t="s">
        <v>1084</v>
      </c>
      <c r="C749" s="188"/>
      <c r="D749" s="189"/>
      <c r="E749" s="190"/>
      <c r="F749" s="97"/>
      <c r="G749" s="128"/>
    </row>
    <row r="750" spans="1:7" ht="8.25" customHeight="1" x14ac:dyDescent="0.25">
      <c r="A750" s="187"/>
      <c r="B750" s="192"/>
      <c r="C750" s="188"/>
      <c r="D750" s="189"/>
      <c r="E750" s="190"/>
      <c r="F750" s="97"/>
      <c r="G750" s="128"/>
    </row>
    <row r="751" spans="1:7" x14ac:dyDescent="0.25">
      <c r="A751" s="39"/>
      <c r="B751" s="40" t="s">
        <v>406</v>
      </c>
      <c r="C751" s="41"/>
      <c r="D751" s="42"/>
      <c r="E751" s="190"/>
      <c r="F751" s="97"/>
      <c r="G751" s="128"/>
    </row>
    <row r="752" spans="1:7" ht="9" customHeight="1" x14ac:dyDescent="0.25">
      <c r="A752" s="187"/>
      <c r="B752" s="192"/>
      <c r="C752" s="188"/>
      <c r="D752" s="189"/>
      <c r="E752" s="190"/>
      <c r="F752" s="97"/>
      <c r="G752" s="128"/>
    </row>
    <row r="753" spans="1:7" ht="41.4" x14ac:dyDescent="0.25">
      <c r="A753" s="39"/>
      <c r="B753" s="40" t="s">
        <v>1085</v>
      </c>
      <c r="C753" s="41"/>
      <c r="D753" s="42"/>
      <c r="E753" s="190"/>
      <c r="F753" s="97"/>
      <c r="G753" s="128"/>
    </row>
    <row r="754" spans="1:7" ht="8.25" customHeight="1" x14ac:dyDescent="0.25">
      <c r="A754" s="187"/>
      <c r="B754" s="192"/>
      <c r="C754" s="188"/>
      <c r="D754" s="189"/>
      <c r="E754" s="190"/>
      <c r="F754" s="97"/>
      <c r="G754" s="128"/>
    </row>
    <row r="755" spans="1:7" ht="32.25" customHeight="1" x14ac:dyDescent="0.25">
      <c r="A755" s="39"/>
      <c r="B755" s="40" t="s">
        <v>140</v>
      </c>
      <c r="C755" s="41"/>
      <c r="D755" s="42"/>
      <c r="E755" s="190"/>
      <c r="F755" s="97"/>
      <c r="G755" s="128"/>
    </row>
    <row r="756" spans="1:7" ht="8.25" customHeight="1" x14ac:dyDescent="0.25">
      <c r="A756" s="187"/>
      <c r="B756" s="192"/>
      <c r="C756" s="188"/>
      <c r="D756" s="189"/>
      <c r="E756" s="190"/>
      <c r="F756" s="97"/>
      <c r="G756" s="128"/>
    </row>
    <row r="757" spans="1:7" ht="41.4" x14ac:dyDescent="0.25">
      <c r="A757" s="39"/>
      <c r="B757" s="43" t="s">
        <v>148</v>
      </c>
      <c r="C757" s="41"/>
      <c r="D757" s="42"/>
      <c r="E757" s="190"/>
      <c r="F757" s="97"/>
      <c r="G757" s="128"/>
    </row>
    <row r="758" spans="1:7" x14ac:dyDescent="0.25">
      <c r="A758" s="187"/>
      <c r="B758" s="192"/>
      <c r="C758" s="188"/>
      <c r="D758" s="189"/>
      <c r="E758" s="190"/>
      <c r="F758" s="97"/>
      <c r="G758" s="128"/>
    </row>
    <row r="759" spans="1:7" ht="21" x14ac:dyDescent="0.25">
      <c r="A759" s="39" t="s">
        <v>3</v>
      </c>
      <c r="B759" s="40" t="s">
        <v>1086</v>
      </c>
      <c r="C759" s="41" t="s">
        <v>101</v>
      </c>
      <c r="D759" s="42" t="s">
        <v>15</v>
      </c>
      <c r="E759" s="190">
        <v>419.9</v>
      </c>
      <c r="F759" s="97">
        <f>C759*E759</f>
        <v>26033.8</v>
      </c>
      <c r="G759" s="138" t="s">
        <v>1224</v>
      </c>
    </row>
    <row r="760" spans="1:7" x14ac:dyDescent="0.25">
      <c r="A760" s="187"/>
      <c r="B760" s="192"/>
      <c r="C760" s="188"/>
      <c r="D760" s="189"/>
      <c r="E760" s="190"/>
      <c r="F760" s="97"/>
      <c r="G760" s="128"/>
    </row>
    <row r="761" spans="1:7" ht="21" x14ac:dyDescent="0.25">
      <c r="A761" s="39" t="s">
        <v>2</v>
      </c>
      <c r="B761" s="40" t="s">
        <v>1087</v>
      </c>
      <c r="C761" s="41" t="s">
        <v>244</v>
      </c>
      <c r="D761" s="42" t="s">
        <v>15</v>
      </c>
      <c r="E761" s="190">
        <v>546.41999999999996</v>
      </c>
      <c r="F761" s="97">
        <f>C761*E761</f>
        <v>4371.3599999999997</v>
      </c>
      <c r="G761" s="138" t="s">
        <v>1224</v>
      </c>
    </row>
    <row r="762" spans="1:7" x14ac:dyDescent="0.25">
      <c r="A762" s="187"/>
      <c r="B762" s="192"/>
      <c r="C762" s="188"/>
      <c r="D762" s="189"/>
      <c r="E762" s="190"/>
      <c r="F762" s="97"/>
      <c r="G762" s="128"/>
    </row>
    <row r="763" spans="1:7" ht="21" x14ac:dyDescent="0.25">
      <c r="A763" s="39" t="s">
        <v>5</v>
      </c>
      <c r="B763" s="40" t="s">
        <v>1088</v>
      </c>
      <c r="C763" s="41" t="s">
        <v>67</v>
      </c>
      <c r="D763" s="42" t="s">
        <v>15</v>
      </c>
      <c r="E763" s="190">
        <v>419.9</v>
      </c>
      <c r="F763" s="97">
        <f>C763*E763</f>
        <v>4199</v>
      </c>
      <c r="G763" s="138" t="s">
        <v>1224</v>
      </c>
    </row>
    <row r="764" spans="1:7" x14ac:dyDescent="0.25">
      <c r="A764" s="187"/>
      <c r="B764" s="192"/>
      <c r="C764" s="188"/>
      <c r="D764" s="189"/>
      <c r="E764" s="190"/>
      <c r="F764" s="97"/>
      <c r="G764" s="128"/>
    </row>
    <row r="765" spans="1:7" ht="21" x14ac:dyDescent="0.25">
      <c r="A765" s="39" t="s">
        <v>8</v>
      </c>
      <c r="B765" s="40" t="s">
        <v>1089</v>
      </c>
      <c r="C765" s="41" t="s">
        <v>66</v>
      </c>
      <c r="D765" s="42" t="s">
        <v>15</v>
      </c>
      <c r="E765" s="190">
        <v>446.73</v>
      </c>
      <c r="F765" s="97">
        <f>C765*E765</f>
        <v>1786.92</v>
      </c>
      <c r="G765" s="138" t="s">
        <v>1224</v>
      </c>
    </row>
    <row r="766" spans="1:7" x14ac:dyDescent="0.25">
      <c r="A766" s="187"/>
      <c r="B766" s="192"/>
      <c r="C766" s="188"/>
      <c r="D766" s="189"/>
      <c r="E766" s="190"/>
      <c r="F766" s="97"/>
      <c r="G766" s="128"/>
    </row>
    <row r="767" spans="1:7" ht="21" x14ac:dyDescent="0.25">
      <c r="A767" s="39" t="s">
        <v>9</v>
      </c>
      <c r="B767" s="40" t="s">
        <v>1090</v>
      </c>
      <c r="C767" s="41" t="s">
        <v>102</v>
      </c>
      <c r="D767" s="42" t="s">
        <v>15</v>
      </c>
      <c r="E767" s="190">
        <v>446.73</v>
      </c>
      <c r="F767" s="97">
        <f>C767*E767</f>
        <v>7594.41</v>
      </c>
      <c r="G767" s="138" t="s">
        <v>1224</v>
      </c>
    </row>
    <row r="768" spans="1:7" x14ac:dyDescent="0.25">
      <c r="A768" s="187"/>
      <c r="B768" s="192"/>
      <c r="C768" s="188"/>
      <c r="D768" s="189"/>
      <c r="E768" s="190"/>
      <c r="F768" s="97"/>
      <c r="G768" s="128"/>
    </row>
    <row r="769" spans="1:7" ht="21" x14ac:dyDescent="0.25">
      <c r="A769" s="39" t="s">
        <v>10</v>
      </c>
      <c r="B769" s="40" t="s">
        <v>1091</v>
      </c>
      <c r="C769" s="41" t="s">
        <v>104</v>
      </c>
      <c r="D769" s="42" t="s">
        <v>15</v>
      </c>
      <c r="E769" s="190">
        <v>419.9</v>
      </c>
      <c r="F769" s="97">
        <f>C769*E769</f>
        <v>419.9</v>
      </c>
      <c r="G769" s="138" t="s">
        <v>1224</v>
      </c>
    </row>
    <row r="770" spans="1:7" x14ac:dyDescent="0.25">
      <c r="A770" s="187"/>
      <c r="B770" s="192"/>
      <c r="C770" s="188"/>
      <c r="D770" s="189"/>
      <c r="E770" s="190"/>
      <c r="F770" s="97"/>
      <c r="G770" s="128"/>
    </row>
    <row r="771" spans="1:7" ht="21" x14ac:dyDescent="0.25">
      <c r="A771" s="39" t="s">
        <v>12</v>
      </c>
      <c r="B771" s="40" t="s">
        <v>1092</v>
      </c>
      <c r="C771" s="41" t="s">
        <v>104</v>
      </c>
      <c r="D771" s="42" t="s">
        <v>15</v>
      </c>
      <c r="E771" s="190">
        <v>446.73</v>
      </c>
      <c r="F771" s="97">
        <f>C771*E771</f>
        <v>446.73</v>
      </c>
      <c r="G771" s="138" t="s">
        <v>1224</v>
      </c>
    </row>
    <row r="772" spans="1:7" x14ac:dyDescent="0.25">
      <c r="A772" s="187"/>
      <c r="B772" s="192"/>
      <c r="C772" s="188"/>
      <c r="D772" s="189"/>
      <c r="E772" s="190"/>
      <c r="F772" s="97"/>
      <c r="G772" s="128"/>
    </row>
    <row r="773" spans="1:7" ht="21" x14ac:dyDescent="0.25">
      <c r="A773" s="39" t="s">
        <v>13</v>
      </c>
      <c r="B773" s="40" t="s">
        <v>1093</v>
      </c>
      <c r="C773" s="41" t="s">
        <v>1094</v>
      </c>
      <c r="D773" s="42" t="s">
        <v>15</v>
      </c>
      <c r="E773" s="190">
        <v>615.94000000000005</v>
      </c>
      <c r="F773" s="97">
        <f>C773*E773</f>
        <v>15398.500000000002</v>
      </c>
      <c r="G773" s="138" t="s">
        <v>1224</v>
      </c>
    </row>
    <row r="774" spans="1:7" x14ac:dyDescent="0.25">
      <c r="A774" s="187"/>
      <c r="B774" s="192"/>
      <c r="C774" s="188"/>
      <c r="D774" s="189"/>
      <c r="E774" s="190"/>
      <c r="F774" s="97"/>
      <c r="G774" s="128"/>
    </row>
    <row r="775" spans="1:7" ht="21" x14ac:dyDescent="0.25">
      <c r="A775" s="39" t="s">
        <v>16</v>
      </c>
      <c r="B775" s="40" t="s">
        <v>1095</v>
      </c>
      <c r="C775" s="41" t="s">
        <v>67</v>
      </c>
      <c r="D775" s="42" t="s">
        <v>15</v>
      </c>
      <c r="E775" s="190">
        <v>615.94000000000005</v>
      </c>
      <c r="F775" s="97">
        <f>C775*E775</f>
        <v>6159.4000000000005</v>
      </c>
      <c r="G775" s="138" t="s">
        <v>1224</v>
      </c>
    </row>
    <row r="776" spans="1:7" x14ac:dyDescent="0.25">
      <c r="A776" s="187"/>
      <c r="B776" s="192"/>
      <c r="C776" s="188"/>
      <c r="D776" s="189"/>
      <c r="E776" s="190"/>
      <c r="F776" s="97"/>
      <c r="G776" s="128"/>
    </row>
    <row r="777" spans="1:7" ht="21" x14ac:dyDescent="0.25">
      <c r="A777" s="39" t="s">
        <v>17</v>
      </c>
      <c r="B777" s="40" t="s">
        <v>1096</v>
      </c>
      <c r="C777" s="41" t="s">
        <v>110</v>
      </c>
      <c r="D777" s="42" t="s">
        <v>15</v>
      </c>
      <c r="E777" s="190">
        <v>419.9</v>
      </c>
      <c r="F777" s="97">
        <f>C777*E777</f>
        <v>17215.899999999998</v>
      </c>
      <c r="G777" s="138" t="s">
        <v>1224</v>
      </c>
    </row>
    <row r="778" spans="1:7" ht="11.25" customHeight="1" x14ac:dyDescent="0.25">
      <c r="A778" s="187"/>
      <c r="B778" s="192"/>
      <c r="C778" s="188"/>
      <c r="D778" s="189"/>
      <c r="E778" s="190"/>
      <c r="F778" s="97"/>
      <c r="G778" s="128"/>
    </row>
    <row r="779" spans="1:7" ht="36.75" customHeight="1" x14ac:dyDescent="0.25">
      <c r="A779" s="39"/>
      <c r="B779" s="43" t="s">
        <v>97</v>
      </c>
      <c r="C779" s="41"/>
      <c r="D779" s="42"/>
      <c r="E779" s="190"/>
      <c r="F779" s="97"/>
      <c r="G779" s="128"/>
    </row>
    <row r="780" spans="1:7" ht="5.25" customHeight="1" x14ac:dyDescent="0.25">
      <c r="A780" s="187"/>
      <c r="B780" s="192"/>
      <c r="C780" s="188"/>
      <c r="D780" s="189"/>
      <c r="E780" s="190"/>
      <c r="F780" s="97"/>
      <c r="G780" s="128"/>
    </row>
    <row r="781" spans="1:7" x14ac:dyDescent="0.25">
      <c r="A781" s="39" t="s">
        <v>18</v>
      </c>
      <c r="B781" s="40" t="s">
        <v>1086</v>
      </c>
      <c r="C781" s="41" t="s">
        <v>101</v>
      </c>
      <c r="D781" s="42" t="s">
        <v>15</v>
      </c>
      <c r="E781" s="190">
        <v>270.64999999999998</v>
      </c>
      <c r="F781" s="97">
        <f>C781*E781</f>
        <v>16780.3</v>
      </c>
      <c r="G781" s="128"/>
    </row>
    <row r="782" spans="1:7" x14ac:dyDescent="0.25">
      <c r="A782" s="187"/>
      <c r="B782" s="192"/>
      <c r="C782" s="188"/>
      <c r="D782" s="189"/>
      <c r="E782" s="190"/>
      <c r="F782" s="97"/>
      <c r="G782" s="128"/>
    </row>
    <row r="783" spans="1:7" x14ac:dyDescent="0.25">
      <c r="A783" s="39" t="s">
        <v>19</v>
      </c>
      <c r="B783" s="40" t="s">
        <v>1087</v>
      </c>
      <c r="C783" s="41" t="s">
        <v>244</v>
      </c>
      <c r="D783" s="42" t="s">
        <v>15</v>
      </c>
      <c r="E783" s="190">
        <v>403.56</v>
      </c>
      <c r="F783" s="97">
        <f>C783*E783</f>
        <v>3228.48</v>
      </c>
      <c r="G783" s="128"/>
    </row>
    <row r="784" spans="1:7" ht="8.25" customHeight="1" x14ac:dyDescent="0.25">
      <c r="A784" s="187"/>
      <c r="B784" s="192"/>
      <c r="C784" s="188"/>
      <c r="D784" s="189"/>
      <c r="E784" s="190"/>
      <c r="F784" s="97"/>
      <c r="G784" s="128"/>
    </row>
    <row r="785" spans="1:7" x14ac:dyDescent="0.25">
      <c r="A785" s="39" t="s">
        <v>22</v>
      </c>
      <c r="B785" s="40" t="s">
        <v>1088</v>
      </c>
      <c r="C785" s="41" t="s">
        <v>67</v>
      </c>
      <c r="D785" s="42" t="s">
        <v>15</v>
      </c>
      <c r="E785" s="190">
        <v>296.83999999999997</v>
      </c>
      <c r="F785" s="97">
        <f>C785*E785</f>
        <v>2968.3999999999996</v>
      </c>
      <c r="G785" s="128"/>
    </row>
    <row r="786" spans="1:7" ht="11.25" customHeight="1" x14ac:dyDescent="0.25">
      <c r="A786" s="187"/>
      <c r="B786" s="192"/>
      <c r="C786" s="188"/>
      <c r="D786" s="189"/>
      <c r="E786" s="190"/>
      <c r="F786" s="97"/>
      <c r="G786" s="128"/>
    </row>
    <row r="787" spans="1:7" x14ac:dyDescent="0.25">
      <c r="A787" s="39" t="s">
        <v>23</v>
      </c>
      <c r="B787" s="40" t="s">
        <v>1089</v>
      </c>
      <c r="C787" s="41" t="s">
        <v>66</v>
      </c>
      <c r="D787" s="42" t="s">
        <v>15</v>
      </c>
      <c r="E787" s="190">
        <v>466.16</v>
      </c>
      <c r="F787" s="97">
        <f>C787*E787</f>
        <v>1864.64</v>
      </c>
      <c r="G787" s="128"/>
    </row>
    <row r="788" spans="1:7" x14ac:dyDescent="0.25">
      <c r="A788" s="187"/>
      <c r="B788" s="192"/>
      <c r="C788" s="188"/>
      <c r="D788" s="189"/>
      <c r="E788" s="190"/>
      <c r="F788" s="97"/>
      <c r="G788" s="128"/>
    </row>
    <row r="789" spans="1:7" ht="28.8" x14ac:dyDescent="0.25">
      <c r="A789" s="39"/>
      <c r="B789" s="135" t="s">
        <v>1212</v>
      </c>
      <c r="C789" s="41"/>
      <c r="D789" s="42"/>
      <c r="E789" s="190"/>
      <c r="F789" s="97"/>
      <c r="G789" s="128"/>
    </row>
    <row r="790" spans="1:7" x14ac:dyDescent="0.25">
      <c r="A790" s="193"/>
      <c r="B790" s="194"/>
      <c r="C790" s="195"/>
      <c r="D790" s="196"/>
      <c r="E790" s="117"/>
      <c r="F790" s="98"/>
      <c r="G790" s="130"/>
    </row>
    <row r="791" spans="1:7" x14ac:dyDescent="0.25">
      <c r="A791" s="197"/>
      <c r="B791" s="198"/>
      <c r="C791" s="199" t="s">
        <v>51</v>
      </c>
      <c r="D791" s="199"/>
      <c r="E791" s="200" t="s">
        <v>50</v>
      </c>
      <c r="F791" s="99">
        <f>SUM(F758:F788)</f>
        <v>108467.73999999999</v>
      </c>
      <c r="G791" s="131"/>
    </row>
    <row r="792" spans="1:7" x14ac:dyDescent="0.25">
      <c r="A792" s="197"/>
      <c r="B792" s="198"/>
      <c r="C792" s="201"/>
      <c r="D792" s="202"/>
      <c r="E792" s="118"/>
      <c r="F792" s="100"/>
      <c r="G792" s="132"/>
    </row>
    <row r="793" spans="1:7" x14ac:dyDescent="0.25">
      <c r="A793" s="39"/>
      <c r="B793" s="40"/>
      <c r="C793" s="41"/>
      <c r="D793" s="42"/>
      <c r="E793" s="190"/>
      <c r="F793" s="97"/>
      <c r="G793" s="128"/>
    </row>
    <row r="794" spans="1:7" ht="27.6" x14ac:dyDescent="0.25">
      <c r="A794" s="187"/>
      <c r="B794" s="36" t="s">
        <v>1097</v>
      </c>
      <c r="C794" s="188"/>
      <c r="D794" s="189"/>
      <c r="E794" s="190"/>
      <c r="F794" s="97"/>
      <c r="G794" s="128"/>
    </row>
    <row r="795" spans="1:7" x14ac:dyDescent="0.25">
      <c r="A795" s="187"/>
      <c r="B795" s="192"/>
      <c r="C795" s="188"/>
      <c r="D795" s="189"/>
      <c r="E795" s="190"/>
      <c r="F795" s="97"/>
      <c r="G795" s="128"/>
    </row>
    <row r="796" spans="1:7" x14ac:dyDescent="0.25">
      <c r="A796" s="39" t="s">
        <v>3</v>
      </c>
      <c r="B796" s="40" t="s">
        <v>1090</v>
      </c>
      <c r="C796" s="41" t="s">
        <v>102</v>
      </c>
      <c r="D796" s="42" t="s">
        <v>15</v>
      </c>
      <c r="E796" s="190">
        <v>466.16</v>
      </c>
      <c r="F796" s="97">
        <f>C796*E796</f>
        <v>7924.72</v>
      </c>
      <c r="G796" s="128"/>
    </row>
    <row r="797" spans="1:7" x14ac:dyDescent="0.25">
      <c r="A797" s="187"/>
      <c r="B797" s="192"/>
      <c r="C797" s="188"/>
      <c r="D797" s="189"/>
      <c r="E797" s="190"/>
      <c r="F797" s="97"/>
      <c r="G797" s="128"/>
    </row>
    <row r="798" spans="1:7" x14ac:dyDescent="0.25">
      <c r="A798" s="39" t="s">
        <v>2</v>
      </c>
      <c r="B798" s="40" t="s">
        <v>1091</v>
      </c>
      <c r="C798" s="41" t="s">
        <v>104</v>
      </c>
      <c r="D798" s="42" t="s">
        <v>15</v>
      </c>
      <c r="E798" s="190">
        <v>301.88</v>
      </c>
      <c r="F798" s="97">
        <f>C798*E798</f>
        <v>301.88</v>
      </c>
      <c r="G798" s="128"/>
    </row>
    <row r="799" spans="1:7" x14ac:dyDescent="0.25">
      <c r="A799" s="187"/>
      <c r="B799" s="192"/>
      <c r="C799" s="188"/>
      <c r="D799" s="189"/>
      <c r="E799" s="190"/>
      <c r="F799" s="97"/>
      <c r="G799" s="128"/>
    </row>
    <row r="800" spans="1:7" x14ac:dyDescent="0.25">
      <c r="A800" s="39" t="s">
        <v>5</v>
      </c>
      <c r="B800" s="40" t="s">
        <v>1092</v>
      </c>
      <c r="C800" s="41" t="s">
        <v>104</v>
      </c>
      <c r="D800" s="42" t="s">
        <v>15</v>
      </c>
      <c r="E800" s="190">
        <v>135.62</v>
      </c>
      <c r="F800" s="97">
        <f>C800*E800</f>
        <v>135.62</v>
      </c>
      <c r="G800" s="128"/>
    </row>
    <row r="801" spans="1:7" x14ac:dyDescent="0.25">
      <c r="A801" s="187"/>
      <c r="B801" s="192"/>
      <c r="C801" s="188"/>
      <c r="D801" s="189"/>
      <c r="E801" s="190"/>
      <c r="F801" s="97"/>
      <c r="G801" s="128"/>
    </row>
    <row r="802" spans="1:7" x14ac:dyDescent="0.25">
      <c r="A802" s="39" t="s">
        <v>8</v>
      </c>
      <c r="B802" s="40" t="s">
        <v>1093</v>
      </c>
      <c r="C802" s="41" t="s">
        <v>1094</v>
      </c>
      <c r="D802" s="42" t="s">
        <v>15</v>
      </c>
      <c r="E802" s="190">
        <v>351.82</v>
      </c>
      <c r="F802" s="97">
        <f>C802*E802</f>
        <v>8795.5</v>
      </c>
      <c r="G802" s="128"/>
    </row>
    <row r="803" spans="1:7" x14ac:dyDescent="0.25">
      <c r="A803" s="187"/>
      <c r="B803" s="192"/>
      <c r="C803" s="188"/>
      <c r="D803" s="189"/>
      <c r="E803" s="190"/>
      <c r="F803" s="97"/>
      <c r="G803" s="128"/>
    </row>
    <row r="804" spans="1:7" x14ac:dyDescent="0.25">
      <c r="A804" s="39" t="s">
        <v>9</v>
      </c>
      <c r="B804" s="40" t="s">
        <v>1095</v>
      </c>
      <c r="C804" s="41" t="s">
        <v>67</v>
      </c>
      <c r="D804" s="42" t="s">
        <v>15</v>
      </c>
      <c r="E804" s="190">
        <v>576.35</v>
      </c>
      <c r="F804" s="97">
        <f>C804*E804</f>
        <v>5763.5</v>
      </c>
      <c r="G804" s="128"/>
    </row>
    <row r="805" spans="1:7" x14ac:dyDescent="0.25">
      <c r="A805" s="187"/>
      <c r="B805" s="192"/>
      <c r="C805" s="188"/>
      <c r="D805" s="189"/>
      <c r="E805" s="190"/>
      <c r="F805" s="97"/>
      <c r="G805" s="128"/>
    </row>
    <row r="806" spans="1:7" ht="27.6" x14ac:dyDescent="0.25">
      <c r="A806" s="39"/>
      <c r="B806" s="43" t="s">
        <v>1098</v>
      </c>
      <c r="C806" s="41"/>
      <c r="D806" s="42"/>
      <c r="E806" s="190"/>
      <c r="F806" s="97"/>
      <c r="G806" s="128"/>
    </row>
    <row r="807" spans="1:7" x14ac:dyDescent="0.25">
      <c r="A807" s="187"/>
      <c r="B807" s="192"/>
      <c r="C807" s="188"/>
      <c r="D807" s="189"/>
      <c r="E807" s="190"/>
      <c r="F807" s="97"/>
      <c r="G807" s="128"/>
    </row>
    <row r="808" spans="1:7" x14ac:dyDescent="0.25">
      <c r="A808" s="39" t="s">
        <v>10</v>
      </c>
      <c r="B808" s="40" t="s">
        <v>1096</v>
      </c>
      <c r="C808" s="41" t="s">
        <v>110</v>
      </c>
      <c r="D808" s="42" t="s">
        <v>15</v>
      </c>
      <c r="E808" s="190">
        <v>301.88</v>
      </c>
      <c r="F808" s="97">
        <f>C808*E808</f>
        <v>12377.08</v>
      </c>
      <c r="G808" s="128"/>
    </row>
    <row r="809" spans="1:7" x14ac:dyDescent="0.25">
      <c r="A809" s="39"/>
      <c r="B809" s="40"/>
      <c r="C809" s="41"/>
      <c r="D809" s="42"/>
      <c r="E809" s="190"/>
      <c r="F809" s="97"/>
      <c r="G809" s="128"/>
    </row>
    <row r="810" spans="1:7" x14ac:dyDescent="0.25">
      <c r="A810" s="187"/>
      <c r="B810" s="192"/>
      <c r="C810" s="188"/>
      <c r="D810" s="189"/>
      <c r="E810" s="190"/>
      <c r="F810" s="97"/>
      <c r="G810" s="128"/>
    </row>
    <row r="811" spans="1:7" x14ac:dyDescent="0.25">
      <c r="A811" s="39"/>
      <c r="B811" s="40"/>
      <c r="C811" s="41"/>
      <c r="D811" s="42"/>
      <c r="E811" s="190"/>
      <c r="F811" s="97"/>
      <c r="G811" s="128"/>
    </row>
    <row r="812" spans="1:7" x14ac:dyDescent="0.25">
      <c r="A812" s="187"/>
      <c r="B812" s="192"/>
      <c r="C812" s="188"/>
      <c r="D812" s="189"/>
      <c r="E812" s="190"/>
      <c r="F812" s="97"/>
      <c r="G812" s="128"/>
    </row>
    <row r="813" spans="1:7" x14ac:dyDescent="0.25">
      <c r="A813" s="39"/>
      <c r="B813" s="40"/>
      <c r="C813" s="41"/>
      <c r="D813" s="42"/>
      <c r="E813" s="190"/>
      <c r="F813" s="97"/>
      <c r="G813" s="128"/>
    </row>
    <row r="814" spans="1:7" x14ac:dyDescent="0.25">
      <c r="A814" s="187"/>
      <c r="B814" s="192"/>
      <c r="C814" s="188"/>
      <c r="D814" s="189"/>
      <c r="E814" s="190"/>
      <c r="F814" s="97"/>
      <c r="G814" s="128"/>
    </row>
    <row r="815" spans="1:7" x14ac:dyDescent="0.25">
      <c r="A815" s="39"/>
      <c r="B815" s="40"/>
      <c r="C815" s="41"/>
      <c r="D815" s="42"/>
      <c r="E815" s="190"/>
      <c r="F815" s="97"/>
      <c r="G815" s="128"/>
    </row>
    <row r="816" spans="1:7" x14ac:dyDescent="0.25">
      <c r="A816" s="187"/>
      <c r="B816" s="192"/>
      <c r="C816" s="188"/>
      <c r="D816" s="189"/>
      <c r="E816" s="190"/>
      <c r="F816" s="97"/>
      <c r="G816" s="128"/>
    </row>
    <row r="817" spans="1:7" x14ac:dyDescent="0.25">
      <c r="A817" s="39"/>
      <c r="B817" s="40"/>
      <c r="C817" s="41"/>
      <c r="D817" s="42"/>
      <c r="E817" s="190"/>
      <c r="F817" s="97"/>
      <c r="G817" s="128"/>
    </row>
    <row r="818" spans="1:7" x14ac:dyDescent="0.25">
      <c r="A818" s="187"/>
      <c r="B818" s="192"/>
      <c r="C818" s="188"/>
      <c r="D818" s="189"/>
      <c r="E818" s="190"/>
      <c r="F818" s="97"/>
      <c r="G818" s="128"/>
    </row>
    <row r="819" spans="1:7" x14ac:dyDescent="0.25">
      <c r="A819" s="39"/>
      <c r="B819" s="40"/>
      <c r="C819" s="41"/>
      <c r="D819" s="42"/>
      <c r="E819" s="190"/>
      <c r="F819" s="97"/>
      <c r="G819" s="128"/>
    </row>
    <row r="820" spans="1:7" x14ac:dyDescent="0.25">
      <c r="A820" s="187"/>
      <c r="B820" s="192"/>
      <c r="C820" s="188"/>
      <c r="D820" s="189"/>
      <c r="E820" s="190"/>
      <c r="F820" s="97"/>
      <c r="G820" s="128"/>
    </row>
    <row r="821" spans="1:7" x14ac:dyDescent="0.25">
      <c r="A821" s="39"/>
      <c r="B821" s="40"/>
      <c r="C821" s="41"/>
      <c r="D821" s="42"/>
      <c r="E821" s="190"/>
      <c r="F821" s="97"/>
      <c r="G821" s="128"/>
    </row>
    <row r="822" spans="1:7" x14ac:dyDescent="0.25">
      <c r="A822" s="187"/>
      <c r="B822" s="192"/>
      <c r="C822" s="188"/>
      <c r="D822" s="189"/>
      <c r="E822" s="190"/>
      <c r="F822" s="97"/>
      <c r="G822" s="128"/>
    </row>
    <row r="823" spans="1:7" x14ac:dyDescent="0.25">
      <c r="A823" s="39"/>
      <c r="B823" s="40"/>
      <c r="C823" s="41"/>
      <c r="D823" s="42"/>
      <c r="E823" s="190"/>
      <c r="F823" s="97"/>
      <c r="G823" s="128"/>
    </row>
    <row r="824" spans="1:7" x14ac:dyDescent="0.25">
      <c r="A824" s="187"/>
      <c r="B824" s="192"/>
      <c r="C824" s="188"/>
      <c r="D824" s="189"/>
      <c r="E824" s="190"/>
      <c r="F824" s="97"/>
      <c r="G824" s="128"/>
    </row>
    <row r="825" spans="1:7" x14ac:dyDescent="0.25">
      <c r="A825" s="39"/>
      <c r="B825" s="40"/>
      <c r="C825" s="41"/>
      <c r="D825" s="42"/>
      <c r="E825" s="190"/>
      <c r="F825" s="97"/>
      <c r="G825" s="128"/>
    </row>
    <row r="826" spans="1:7" x14ac:dyDescent="0.25">
      <c r="A826" s="187"/>
      <c r="B826" s="192"/>
      <c r="C826" s="188"/>
      <c r="D826" s="189"/>
      <c r="E826" s="190"/>
      <c r="F826" s="97"/>
      <c r="G826" s="128"/>
    </row>
    <row r="827" spans="1:7" x14ac:dyDescent="0.25">
      <c r="A827" s="39"/>
      <c r="B827" s="40"/>
      <c r="C827" s="41"/>
      <c r="D827" s="42"/>
      <c r="E827" s="190"/>
      <c r="F827" s="97"/>
      <c r="G827" s="128"/>
    </row>
    <row r="828" spans="1:7" x14ac:dyDescent="0.25">
      <c r="A828" s="187"/>
      <c r="B828" s="192"/>
      <c r="C828" s="188"/>
      <c r="D828" s="189"/>
      <c r="E828" s="190"/>
      <c r="F828" s="97"/>
      <c r="G828" s="128"/>
    </row>
    <row r="829" spans="1:7" x14ac:dyDescent="0.25">
      <c r="A829" s="39"/>
      <c r="B829" s="40"/>
      <c r="C829" s="41"/>
      <c r="D829" s="42"/>
      <c r="E829" s="190"/>
      <c r="F829" s="97"/>
      <c r="G829" s="128"/>
    </row>
    <row r="830" spans="1:7" x14ac:dyDescent="0.25">
      <c r="A830" s="187"/>
      <c r="B830" s="192"/>
      <c r="C830" s="188"/>
      <c r="D830" s="189"/>
      <c r="E830" s="190"/>
      <c r="F830" s="97"/>
      <c r="G830" s="128"/>
    </row>
    <row r="831" spans="1:7" x14ac:dyDescent="0.25">
      <c r="A831" s="39"/>
      <c r="B831" s="40"/>
      <c r="C831" s="41"/>
      <c r="D831" s="42"/>
      <c r="E831" s="190"/>
      <c r="F831" s="97"/>
      <c r="G831" s="128"/>
    </row>
    <row r="832" spans="1:7" x14ac:dyDescent="0.25">
      <c r="A832" s="39"/>
      <c r="B832" s="40"/>
      <c r="C832" s="41"/>
      <c r="D832" s="42"/>
      <c r="E832" s="190"/>
      <c r="F832" s="97"/>
      <c r="G832" s="128"/>
    </row>
    <row r="833" spans="1:7" x14ac:dyDescent="0.25">
      <c r="A833" s="39"/>
      <c r="B833" s="40"/>
      <c r="C833" s="41"/>
      <c r="D833" s="42"/>
      <c r="E833" s="190"/>
      <c r="F833" s="97"/>
      <c r="G833" s="128"/>
    </row>
    <row r="834" spans="1:7" x14ac:dyDescent="0.25">
      <c r="A834" s="39"/>
      <c r="B834" s="40"/>
      <c r="C834" s="41"/>
      <c r="D834" s="42"/>
      <c r="E834" s="190"/>
      <c r="F834" s="97"/>
      <c r="G834" s="128"/>
    </row>
    <row r="835" spans="1:7" x14ac:dyDescent="0.25">
      <c r="A835" s="39"/>
      <c r="B835" s="40"/>
      <c r="C835" s="41"/>
      <c r="D835" s="42"/>
      <c r="E835" s="190"/>
      <c r="F835" s="97"/>
      <c r="G835" s="128"/>
    </row>
    <row r="836" spans="1:7" x14ac:dyDescent="0.25">
      <c r="A836" s="187"/>
      <c r="B836" s="192"/>
      <c r="C836" s="188"/>
      <c r="D836" s="189"/>
      <c r="E836" s="190"/>
      <c r="F836" s="97"/>
      <c r="G836" s="128"/>
    </row>
    <row r="837" spans="1:7" x14ac:dyDescent="0.25">
      <c r="A837" s="39"/>
      <c r="B837" s="40"/>
      <c r="C837" s="41"/>
      <c r="D837" s="42"/>
      <c r="E837" s="190"/>
      <c r="F837" s="97"/>
      <c r="G837" s="128"/>
    </row>
    <row r="838" spans="1:7" x14ac:dyDescent="0.25">
      <c r="A838" s="187"/>
      <c r="B838" s="192"/>
      <c r="C838" s="188"/>
      <c r="D838" s="189"/>
      <c r="E838" s="190"/>
      <c r="F838" s="97"/>
      <c r="G838" s="128"/>
    </row>
    <row r="839" spans="1:7" x14ac:dyDescent="0.25">
      <c r="A839" s="193"/>
      <c r="B839" s="194"/>
      <c r="C839" s="195"/>
      <c r="D839" s="196"/>
      <c r="E839" s="117"/>
      <c r="F839" s="98"/>
      <c r="G839" s="130"/>
    </row>
    <row r="840" spans="1:7" x14ac:dyDescent="0.25">
      <c r="A840" s="197"/>
      <c r="B840" s="198"/>
      <c r="C840" s="199" t="s">
        <v>51</v>
      </c>
      <c r="D840" s="199"/>
      <c r="E840" s="200" t="s">
        <v>50</v>
      </c>
      <c r="F840" s="99">
        <f>SUM(F794:F832)</f>
        <v>35298.300000000003</v>
      </c>
      <c r="G840" s="131"/>
    </row>
    <row r="841" spans="1:7" x14ac:dyDescent="0.25">
      <c r="A841" s="197"/>
      <c r="B841" s="198"/>
      <c r="C841" s="201"/>
      <c r="D841" s="202"/>
      <c r="E841" s="118"/>
      <c r="F841" s="100"/>
      <c r="G841" s="132"/>
    </row>
    <row r="842" spans="1:7" x14ac:dyDescent="0.25">
      <c r="A842" s="187"/>
      <c r="B842" s="192"/>
      <c r="C842" s="188"/>
      <c r="D842" s="189"/>
      <c r="E842" s="190"/>
      <c r="F842" s="97"/>
      <c r="G842" s="128"/>
    </row>
    <row r="843" spans="1:7" x14ac:dyDescent="0.25">
      <c r="A843" s="187"/>
      <c r="B843" s="36" t="s">
        <v>1099</v>
      </c>
      <c r="C843" s="188"/>
      <c r="D843" s="189"/>
      <c r="E843" s="190"/>
      <c r="F843" s="97"/>
      <c r="G843" s="128"/>
    </row>
    <row r="844" spans="1:7" x14ac:dyDescent="0.25">
      <c r="A844" s="187"/>
      <c r="B844" s="192"/>
      <c r="C844" s="188"/>
      <c r="D844" s="189"/>
      <c r="E844" s="190"/>
      <c r="F844" s="97"/>
      <c r="G844" s="128"/>
    </row>
    <row r="845" spans="1:7" x14ac:dyDescent="0.25">
      <c r="A845" s="39"/>
      <c r="B845" s="40" t="s">
        <v>406</v>
      </c>
      <c r="C845" s="41"/>
      <c r="D845" s="42"/>
      <c r="E845" s="190"/>
      <c r="F845" s="97"/>
      <c r="G845" s="128"/>
    </row>
    <row r="846" spans="1:7" x14ac:dyDescent="0.25">
      <c r="A846" s="187"/>
      <c r="B846" s="192"/>
      <c r="C846" s="188"/>
      <c r="D846" s="189"/>
      <c r="E846" s="190"/>
      <c r="F846" s="97"/>
      <c r="G846" s="128"/>
    </row>
    <row r="847" spans="1:7" ht="41.4" x14ac:dyDescent="0.25">
      <c r="A847" s="39"/>
      <c r="B847" s="40" t="s">
        <v>1100</v>
      </c>
      <c r="C847" s="41"/>
      <c r="D847" s="42"/>
      <c r="E847" s="190"/>
      <c r="F847" s="97"/>
      <c r="G847" s="128"/>
    </row>
    <row r="848" spans="1:7" x14ac:dyDescent="0.25">
      <c r="A848" s="187"/>
      <c r="B848" s="192"/>
      <c r="C848" s="188"/>
      <c r="D848" s="189"/>
      <c r="E848" s="190"/>
      <c r="F848" s="97"/>
      <c r="G848" s="128"/>
    </row>
    <row r="849" spans="1:7" ht="27.6" x14ac:dyDescent="0.25">
      <c r="A849" s="39"/>
      <c r="B849" s="40" t="s">
        <v>140</v>
      </c>
      <c r="C849" s="41"/>
      <c r="D849" s="42"/>
      <c r="E849" s="190"/>
      <c r="F849" s="97"/>
      <c r="G849" s="128"/>
    </row>
    <row r="850" spans="1:7" x14ac:dyDescent="0.25">
      <c r="A850" s="187"/>
      <c r="B850" s="192"/>
      <c r="C850" s="188"/>
      <c r="D850" s="189"/>
      <c r="E850" s="190"/>
      <c r="F850" s="97"/>
      <c r="G850" s="128"/>
    </row>
    <row r="851" spans="1:7" ht="41.4" x14ac:dyDescent="0.25">
      <c r="A851" s="39"/>
      <c r="B851" s="43" t="s">
        <v>148</v>
      </c>
      <c r="C851" s="41"/>
      <c r="D851" s="42"/>
      <c r="E851" s="190"/>
      <c r="F851" s="97"/>
      <c r="G851" s="128"/>
    </row>
    <row r="852" spans="1:7" x14ac:dyDescent="0.25">
      <c r="A852" s="187"/>
      <c r="B852" s="192"/>
      <c r="C852" s="188"/>
      <c r="D852" s="189"/>
      <c r="E852" s="190"/>
      <c r="F852" s="97"/>
      <c r="G852" s="128"/>
    </row>
    <row r="853" spans="1:7" ht="27.6" x14ac:dyDescent="0.25">
      <c r="A853" s="39" t="s">
        <v>3</v>
      </c>
      <c r="B853" s="40" t="s">
        <v>1101</v>
      </c>
      <c r="C853" s="41" t="s">
        <v>168</v>
      </c>
      <c r="D853" s="42" t="s">
        <v>15</v>
      </c>
      <c r="E853" s="190"/>
      <c r="F853" s="97" t="s">
        <v>1194</v>
      </c>
      <c r="G853" s="128"/>
    </row>
    <row r="854" spans="1:7" x14ac:dyDescent="0.25">
      <c r="A854" s="187"/>
      <c r="B854" s="192"/>
      <c r="C854" s="188"/>
      <c r="D854" s="189"/>
      <c r="E854" s="190"/>
      <c r="F854" s="97"/>
      <c r="G854" s="128"/>
    </row>
    <row r="855" spans="1:7" x14ac:dyDescent="0.25">
      <c r="A855" s="39" t="s">
        <v>2</v>
      </c>
      <c r="B855" s="40" t="s">
        <v>1102</v>
      </c>
      <c r="C855" s="41" t="s">
        <v>426</v>
      </c>
      <c r="D855" s="42" t="s">
        <v>15</v>
      </c>
      <c r="E855" s="190"/>
      <c r="F855" s="97" t="s">
        <v>1194</v>
      </c>
      <c r="G855" s="128"/>
    </row>
    <row r="856" spans="1:7" x14ac:dyDescent="0.25">
      <c r="A856" s="187"/>
      <c r="B856" s="192"/>
      <c r="C856" s="188"/>
      <c r="D856" s="189"/>
      <c r="E856" s="190"/>
      <c r="F856" s="97"/>
      <c r="G856" s="128"/>
    </row>
    <row r="857" spans="1:7" ht="27.6" x14ac:dyDescent="0.25">
      <c r="A857" s="39" t="s">
        <v>5</v>
      </c>
      <c r="B857" s="40" t="s">
        <v>1103</v>
      </c>
      <c r="C857" s="41" t="s">
        <v>92</v>
      </c>
      <c r="D857" s="42" t="s">
        <v>15</v>
      </c>
      <c r="E857" s="190"/>
      <c r="F857" s="97" t="s">
        <v>1194</v>
      </c>
      <c r="G857" s="128"/>
    </row>
    <row r="858" spans="1:7" x14ac:dyDescent="0.25">
      <c r="A858" s="187"/>
      <c r="B858" s="192"/>
      <c r="C858" s="188"/>
      <c r="D858" s="189"/>
      <c r="E858" s="190"/>
      <c r="F858" s="97"/>
      <c r="G858" s="128"/>
    </row>
    <row r="859" spans="1:7" x14ac:dyDescent="0.25">
      <c r="A859" s="39" t="s">
        <v>8</v>
      </c>
      <c r="B859" s="40" t="s">
        <v>1104</v>
      </c>
      <c r="C859" s="41" t="s">
        <v>64</v>
      </c>
      <c r="D859" s="42" t="s">
        <v>15</v>
      </c>
      <c r="E859" s="190"/>
      <c r="F859" s="97" t="s">
        <v>1194</v>
      </c>
      <c r="G859" s="128"/>
    </row>
    <row r="860" spans="1:7" x14ac:dyDescent="0.25">
      <c r="A860" s="187"/>
      <c r="B860" s="192"/>
      <c r="C860" s="188"/>
      <c r="D860" s="189"/>
      <c r="E860" s="190"/>
      <c r="F860" s="97"/>
      <c r="G860" s="128"/>
    </row>
    <row r="861" spans="1:7" x14ac:dyDescent="0.25">
      <c r="A861" s="39" t="s">
        <v>9</v>
      </c>
      <c r="B861" s="40" t="s">
        <v>1105</v>
      </c>
      <c r="C861" s="41" t="s">
        <v>244</v>
      </c>
      <c r="D861" s="42" t="s">
        <v>15</v>
      </c>
      <c r="E861" s="190"/>
      <c r="F861" s="97" t="s">
        <v>1194</v>
      </c>
      <c r="G861" s="128"/>
    </row>
    <row r="862" spans="1:7" x14ac:dyDescent="0.25">
      <c r="A862" s="187"/>
      <c r="B862" s="192"/>
      <c r="C862" s="188"/>
      <c r="D862" s="189"/>
      <c r="E862" s="190"/>
      <c r="F862" s="97"/>
      <c r="G862" s="128"/>
    </row>
    <row r="863" spans="1:7" x14ac:dyDescent="0.25">
      <c r="A863" s="39" t="s">
        <v>10</v>
      </c>
      <c r="B863" s="40" t="s">
        <v>1106</v>
      </c>
      <c r="C863" s="41" t="s">
        <v>64</v>
      </c>
      <c r="D863" s="42" t="s">
        <v>15</v>
      </c>
      <c r="E863" s="190"/>
      <c r="F863" s="97" t="s">
        <v>1194</v>
      </c>
      <c r="G863" s="128"/>
    </row>
    <row r="864" spans="1:7" x14ac:dyDescent="0.25">
      <c r="A864" s="187"/>
      <c r="B864" s="192"/>
      <c r="C864" s="188"/>
      <c r="D864" s="189"/>
      <c r="E864" s="190"/>
      <c r="F864" s="97"/>
      <c r="G864" s="128"/>
    </row>
    <row r="865" spans="1:7" x14ac:dyDescent="0.25">
      <c r="A865" s="39" t="s">
        <v>12</v>
      </c>
      <c r="B865" s="40" t="s">
        <v>1107</v>
      </c>
      <c r="C865" s="41" t="s">
        <v>92</v>
      </c>
      <c r="D865" s="42" t="s">
        <v>15</v>
      </c>
      <c r="E865" s="190"/>
      <c r="F865" s="97" t="s">
        <v>1194</v>
      </c>
      <c r="G865" s="128"/>
    </row>
    <row r="866" spans="1:7" x14ac:dyDescent="0.25">
      <c r="A866" s="187"/>
      <c r="B866" s="192"/>
      <c r="C866" s="188"/>
      <c r="D866" s="189"/>
      <c r="E866" s="190"/>
      <c r="F866" s="97"/>
      <c r="G866" s="128"/>
    </row>
    <row r="867" spans="1:7" ht="55.2" x14ac:dyDescent="0.25">
      <c r="A867" s="39" t="s">
        <v>13</v>
      </c>
      <c r="B867" s="40" t="s">
        <v>1108</v>
      </c>
      <c r="C867" s="41" t="s">
        <v>64</v>
      </c>
      <c r="D867" s="42" t="s">
        <v>15</v>
      </c>
      <c r="E867" s="190"/>
      <c r="F867" s="97" t="s">
        <v>1194</v>
      </c>
      <c r="G867" s="128"/>
    </row>
    <row r="868" spans="1:7" x14ac:dyDescent="0.25">
      <c r="A868" s="187"/>
      <c r="B868" s="192"/>
      <c r="C868" s="188"/>
      <c r="D868" s="189"/>
      <c r="E868" s="190"/>
      <c r="F868" s="97"/>
      <c r="G868" s="128"/>
    </row>
    <row r="869" spans="1:7" ht="41.4" x14ac:dyDescent="0.25">
      <c r="A869" s="39" t="s">
        <v>16</v>
      </c>
      <c r="B869" s="40" t="s">
        <v>1109</v>
      </c>
      <c r="C869" s="41" t="s">
        <v>68</v>
      </c>
      <c r="D869" s="42" t="s">
        <v>15</v>
      </c>
      <c r="E869" s="190"/>
      <c r="F869" s="97" t="s">
        <v>1194</v>
      </c>
      <c r="G869" s="128"/>
    </row>
    <row r="870" spans="1:7" x14ac:dyDescent="0.25">
      <c r="A870" s="187"/>
      <c r="B870" s="192"/>
      <c r="C870" s="188"/>
      <c r="D870" s="189"/>
      <c r="E870" s="190"/>
      <c r="F870" s="97"/>
      <c r="G870" s="128"/>
    </row>
    <row r="871" spans="1:7" x14ac:dyDescent="0.25">
      <c r="A871" s="39" t="s">
        <v>17</v>
      </c>
      <c r="B871" s="40" t="s">
        <v>1110</v>
      </c>
      <c r="C871" s="41" t="s">
        <v>111</v>
      </c>
      <c r="D871" s="42" t="s">
        <v>15</v>
      </c>
      <c r="E871" s="190"/>
      <c r="F871" s="97" t="s">
        <v>1194</v>
      </c>
      <c r="G871" s="128"/>
    </row>
    <row r="872" spans="1:7" x14ac:dyDescent="0.25">
      <c r="A872" s="187"/>
      <c r="B872" s="192"/>
      <c r="C872" s="188"/>
      <c r="D872" s="189"/>
      <c r="E872" s="190"/>
      <c r="F872" s="97"/>
      <c r="G872" s="128"/>
    </row>
    <row r="873" spans="1:7" ht="27.6" x14ac:dyDescent="0.25">
      <c r="A873" s="39"/>
      <c r="B873" s="43" t="s">
        <v>97</v>
      </c>
      <c r="C873" s="41"/>
      <c r="D873" s="42"/>
      <c r="E873" s="190"/>
      <c r="F873" s="97"/>
      <c r="G873" s="128"/>
    </row>
    <row r="874" spans="1:7" x14ac:dyDescent="0.25">
      <c r="A874" s="187"/>
      <c r="B874" s="192"/>
      <c r="C874" s="188"/>
      <c r="D874" s="189"/>
      <c r="E874" s="190"/>
      <c r="F874" s="97"/>
      <c r="G874" s="128"/>
    </row>
    <row r="875" spans="1:7" x14ac:dyDescent="0.25">
      <c r="A875" s="187"/>
      <c r="B875" s="192"/>
      <c r="C875" s="188"/>
      <c r="D875" s="189"/>
      <c r="E875" s="190"/>
      <c r="F875" s="97"/>
      <c r="G875" s="128"/>
    </row>
    <row r="876" spans="1:7" x14ac:dyDescent="0.25">
      <c r="A876" s="187"/>
      <c r="B876" s="192"/>
      <c r="C876" s="188"/>
      <c r="D876" s="189"/>
      <c r="E876" s="190"/>
      <c r="F876" s="97"/>
      <c r="G876" s="128"/>
    </row>
    <row r="877" spans="1:7" x14ac:dyDescent="0.25">
      <c r="A877" s="193"/>
      <c r="B877" s="194"/>
      <c r="C877" s="195"/>
      <c r="D877" s="196"/>
      <c r="E877" s="117"/>
      <c r="F877" s="98"/>
      <c r="G877" s="130"/>
    </row>
    <row r="878" spans="1:7" x14ac:dyDescent="0.25">
      <c r="A878" s="197"/>
      <c r="B878" s="198"/>
      <c r="C878" s="199" t="s">
        <v>51</v>
      </c>
      <c r="D878" s="199"/>
      <c r="E878" s="200" t="s">
        <v>50</v>
      </c>
      <c r="F878" s="99">
        <f>SUM(F850:F874)</f>
        <v>0</v>
      </c>
      <c r="G878" s="131"/>
    </row>
    <row r="879" spans="1:7" x14ac:dyDescent="0.25">
      <c r="A879" s="197"/>
      <c r="B879" s="198"/>
      <c r="C879" s="201"/>
      <c r="D879" s="202"/>
      <c r="E879" s="118"/>
      <c r="F879" s="100"/>
      <c r="G879" s="132"/>
    </row>
    <row r="880" spans="1:7" x14ac:dyDescent="0.25">
      <c r="A880" s="39"/>
      <c r="B880" s="40"/>
      <c r="C880" s="41"/>
      <c r="D880" s="42"/>
      <c r="E880" s="190"/>
      <c r="F880" s="97"/>
      <c r="G880" s="128"/>
    </row>
    <row r="881" spans="1:7" x14ac:dyDescent="0.25">
      <c r="A881" s="187"/>
      <c r="B881" s="36" t="s">
        <v>1111</v>
      </c>
      <c r="C881" s="188"/>
      <c r="D881" s="189"/>
      <c r="E881" s="190"/>
      <c r="F881" s="97"/>
      <c r="G881" s="128"/>
    </row>
    <row r="882" spans="1:7" x14ac:dyDescent="0.25">
      <c r="A882" s="187"/>
      <c r="B882" s="191"/>
      <c r="C882" s="188"/>
      <c r="D882" s="189"/>
      <c r="E882" s="190"/>
      <c r="F882" s="97"/>
      <c r="G882" s="128"/>
    </row>
    <row r="883" spans="1:7" ht="27.6" x14ac:dyDescent="0.25">
      <c r="A883" s="39" t="s">
        <v>3</v>
      </c>
      <c r="B883" s="40" t="s">
        <v>1101</v>
      </c>
      <c r="C883" s="41" t="s">
        <v>168</v>
      </c>
      <c r="D883" s="42" t="s">
        <v>15</v>
      </c>
      <c r="E883" s="190"/>
      <c r="F883" s="97" t="s">
        <v>1194</v>
      </c>
      <c r="G883" s="128"/>
    </row>
    <row r="884" spans="1:7" x14ac:dyDescent="0.25">
      <c r="A884" s="187"/>
      <c r="B884" s="192"/>
      <c r="C884" s="188"/>
      <c r="D884" s="189"/>
      <c r="E884" s="190"/>
      <c r="F884" s="97"/>
      <c r="G884" s="128"/>
    </row>
    <row r="885" spans="1:7" x14ac:dyDescent="0.25">
      <c r="A885" s="39" t="s">
        <v>2</v>
      </c>
      <c r="B885" s="40" t="s">
        <v>1102</v>
      </c>
      <c r="C885" s="41" t="s">
        <v>426</v>
      </c>
      <c r="D885" s="42" t="s">
        <v>15</v>
      </c>
      <c r="E885" s="190"/>
      <c r="F885" s="97" t="s">
        <v>1194</v>
      </c>
      <c r="G885" s="128"/>
    </row>
    <row r="886" spans="1:7" x14ac:dyDescent="0.25">
      <c r="A886" s="187"/>
      <c r="B886" s="192"/>
      <c r="C886" s="188"/>
      <c r="D886" s="189"/>
      <c r="E886" s="190"/>
      <c r="F886" s="97"/>
      <c r="G886" s="128"/>
    </row>
    <row r="887" spans="1:7" ht="27.6" x14ac:dyDescent="0.25">
      <c r="A887" s="39" t="s">
        <v>5</v>
      </c>
      <c r="B887" s="40" t="s">
        <v>1103</v>
      </c>
      <c r="C887" s="41" t="s">
        <v>92</v>
      </c>
      <c r="D887" s="42" t="s">
        <v>15</v>
      </c>
      <c r="E887" s="190"/>
      <c r="F887" s="97" t="s">
        <v>1194</v>
      </c>
      <c r="G887" s="128"/>
    </row>
    <row r="888" spans="1:7" x14ac:dyDescent="0.25">
      <c r="A888" s="187"/>
      <c r="B888" s="192"/>
      <c r="C888" s="188"/>
      <c r="D888" s="189"/>
      <c r="E888" s="190"/>
      <c r="F888" s="97"/>
      <c r="G888" s="128"/>
    </row>
    <row r="889" spans="1:7" x14ac:dyDescent="0.25">
      <c r="A889" s="39" t="s">
        <v>8</v>
      </c>
      <c r="B889" s="40" t="s">
        <v>1104</v>
      </c>
      <c r="C889" s="41" t="s">
        <v>64</v>
      </c>
      <c r="D889" s="42" t="s">
        <v>15</v>
      </c>
      <c r="E889" s="190"/>
      <c r="F889" s="97" t="s">
        <v>1194</v>
      </c>
      <c r="G889" s="128"/>
    </row>
    <row r="890" spans="1:7" x14ac:dyDescent="0.25">
      <c r="A890" s="187"/>
      <c r="B890" s="192"/>
      <c r="C890" s="188"/>
      <c r="D890" s="189"/>
      <c r="E890" s="190"/>
      <c r="F890" s="97"/>
      <c r="G890" s="128"/>
    </row>
    <row r="891" spans="1:7" x14ac:dyDescent="0.25">
      <c r="A891" s="39" t="s">
        <v>9</v>
      </c>
      <c r="B891" s="40" t="s">
        <v>1105</v>
      </c>
      <c r="C891" s="41" t="s">
        <v>244</v>
      </c>
      <c r="D891" s="42" t="s">
        <v>15</v>
      </c>
      <c r="E891" s="190"/>
      <c r="F891" s="97" t="s">
        <v>1194</v>
      </c>
      <c r="G891" s="128"/>
    </row>
    <row r="892" spans="1:7" x14ac:dyDescent="0.25">
      <c r="A892" s="187"/>
      <c r="B892" s="192"/>
      <c r="C892" s="188"/>
      <c r="D892" s="189"/>
      <c r="E892" s="190"/>
      <c r="F892" s="97"/>
      <c r="G892" s="128"/>
    </row>
    <row r="893" spans="1:7" x14ac:dyDescent="0.25">
      <c r="A893" s="39" t="s">
        <v>10</v>
      </c>
      <c r="B893" s="40" t="s">
        <v>1106</v>
      </c>
      <c r="C893" s="41" t="s">
        <v>64</v>
      </c>
      <c r="D893" s="42" t="s">
        <v>15</v>
      </c>
      <c r="E893" s="190"/>
      <c r="F893" s="97" t="s">
        <v>1194</v>
      </c>
      <c r="G893" s="128"/>
    </row>
    <row r="894" spans="1:7" x14ac:dyDescent="0.25">
      <c r="A894" s="187"/>
      <c r="B894" s="192"/>
      <c r="C894" s="188"/>
      <c r="D894" s="189"/>
      <c r="E894" s="190"/>
      <c r="F894" s="110"/>
      <c r="G894" s="128"/>
    </row>
    <row r="895" spans="1:7" ht="72" customHeight="1" x14ac:dyDescent="0.25">
      <c r="A895" s="39" t="s">
        <v>12</v>
      </c>
      <c r="B895" s="40" t="s">
        <v>1107</v>
      </c>
      <c r="C895" s="41" t="s">
        <v>92</v>
      </c>
      <c r="D895" s="42" t="s">
        <v>15</v>
      </c>
      <c r="E895" s="190">
        <v>4179.3</v>
      </c>
      <c r="F895" s="97">
        <f>+E895*C895</f>
        <v>158813.4</v>
      </c>
      <c r="G895" s="128"/>
    </row>
    <row r="896" spans="1:7" x14ac:dyDescent="0.25">
      <c r="A896" s="187"/>
      <c r="B896" s="192"/>
      <c r="C896" s="188"/>
      <c r="D896" s="189"/>
      <c r="E896" s="190"/>
      <c r="F896" s="97"/>
      <c r="G896" s="128"/>
    </row>
    <row r="897" spans="1:7" ht="55.2" x14ac:dyDescent="0.25">
      <c r="A897" s="39" t="s">
        <v>13</v>
      </c>
      <c r="B897" s="40" t="s">
        <v>1108</v>
      </c>
      <c r="C897" s="41" t="s">
        <v>64</v>
      </c>
      <c r="D897" s="42" t="s">
        <v>15</v>
      </c>
      <c r="E897" s="190"/>
      <c r="F897" s="97" t="s">
        <v>1194</v>
      </c>
      <c r="G897" s="128"/>
    </row>
    <row r="898" spans="1:7" x14ac:dyDescent="0.25">
      <c r="A898" s="187"/>
      <c r="B898" s="192"/>
      <c r="C898" s="188"/>
      <c r="D898" s="189"/>
      <c r="E898" s="190"/>
      <c r="F898" s="97"/>
      <c r="G898" s="128"/>
    </row>
    <row r="899" spans="1:7" ht="41.4" x14ac:dyDescent="0.25">
      <c r="A899" s="39" t="s">
        <v>16</v>
      </c>
      <c r="B899" s="40" t="s">
        <v>1109</v>
      </c>
      <c r="C899" s="41" t="s">
        <v>68</v>
      </c>
      <c r="D899" s="42" t="s">
        <v>15</v>
      </c>
      <c r="E899" s="190"/>
      <c r="F899" s="97" t="s">
        <v>1194</v>
      </c>
      <c r="G899" s="128"/>
    </row>
    <row r="900" spans="1:7" x14ac:dyDescent="0.25">
      <c r="A900" s="187"/>
      <c r="B900" s="192"/>
      <c r="C900" s="188"/>
      <c r="D900" s="189"/>
      <c r="E900" s="190"/>
      <c r="F900" s="97"/>
      <c r="G900" s="128"/>
    </row>
    <row r="901" spans="1:7" x14ac:dyDescent="0.25">
      <c r="A901" s="39" t="s">
        <v>17</v>
      </c>
      <c r="B901" s="40" t="s">
        <v>1110</v>
      </c>
      <c r="C901" s="41" t="s">
        <v>111</v>
      </c>
      <c r="D901" s="42" t="s">
        <v>15</v>
      </c>
      <c r="E901" s="190">
        <v>2034.49</v>
      </c>
      <c r="F901" s="97">
        <f>+C901*E901</f>
        <v>187173.08</v>
      </c>
      <c r="G901" s="128"/>
    </row>
    <row r="902" spans="1:7" x14ac:dyDescent="0.25">
      <c r="A902" s="187"/>
      <c r="B902" s="192"/>
      <c r="C902" s="188"/>
      <c r="D902" s="189"/>
      <c r="E902" s="190"/>
      <c r="F902" s="97"/>
      <c r="G902" s="128"/>
    </row>
    <row r="903" spans="1:7" x14ac:dyDescent="0.25">
      <c r="A903" s="39"/>
      <c r="B903" s="40"/>
      <c r="C903" s="41"/>
      <c r="D903" s="42"/>
      <c r="E903" s="190"/>
      <c r="F903" s="97"/>
      <c r="G903" s="128"/>
    </row>
    <row r="904" spans="1:7" x14ac:dyDescent="0.25">
      <c r="A904" s="187"/>
      <c r="B904" s="192"/>
      <c r="C904" s="188"/>
      <c r="D904" s="189"/>
      <c r="E904" s="190"/>
      <c r="F904" s="97"/>
      <c r="G904" s="128"/>
    </row>
    <row r="905" spans="1:7" x14ac:dyDescent="0.25">
      <c r="A905" s="39"/>
      <c r="B905" s="40"/>
      <c r="C905" s="41"/>
      <c r="D905" s="42"/>
      <c r="E905" s="190"/>
      <c r="F905" s="97"/>
      <c r="G905" s="128"/>
    </row>
    <row r="906" spans="1:7" x14ac:dyDescent="0.25">
      <c r="A906" s="187"/>
      <c r="B906" s="192"/>
      <c r="C906" s="188"/>
      <c r="D906" s="189"/>
      <c r="E906" s="190"/>
      <c r="F906" s="97"/>
      <c r="G906" s="128"/>
    </row>
    <row r="907" spans="1:7" x14ac:dyDescent="0.25">
      <c r="A907" s="39"/>
      <c r="B907" s="40"/>
      <c r="C907" s="41"/>
      <c r="D907" s="42"/>
      <c r="E907" s="190"/>
      <c r="F907" s="97"/>
      <c r="G907" s="128"/>
    </row>
    <row r="908" spans="1:7" x14ac:dyDescent="0.25">
      <c r="A908" s="187"/>
      <c r="B908" s="192"/>
      <c r="C908" s="188"/>
      <c r="D908" s="189"/>
      <c r="E908" s="190"/>
      <c r="F908" s="97"/>
      <c r="G908" s="128"/>
    </row>
    <row r="909" spans="1:7" x14ac:dyDescent="0.25">
      <c r="A909" s="39"/>
      <c r="B909" s="40"/>
      <c r="C909" s="41"/>
      <c r="D909" s="42"/>
      <c r="E909" s="190"/>
      <c r="F909" s="97"/>
      <c r="G909" s="128"/>
    </row>
    <row r="910" spans="1:7" x14ac:dyDescent="0.25">
      <c r="A910" s="187"/>
      <c r="B910" s="192"/>
      <c r="C910" s="188"/>
      <c r="D910" s="189"/>
      <c r="E910" s="190"/>
      <c r="F910" s="97"/>
      <c r="G910" s="128"/>
    </row>
    <row r="911" spans="1:7" x14ac:dyDescent="0.25">
      <c r="A911" s="39"/>
      <c r="B911" s="40"/>
      <c r="C911" s="41"/>
      <c r="D911" s="42"/>
      <c r="E911" s="190"/>
      <c r="F911" s="97"/>
      <c r="G911" s="128"/>
    </row>
    <row r="912" spans="1:7" x14ac:dyDescent="0.25">
      <c r="A912" s="39"/>
      <c r="B912" s="40"/>
      <c r="C912" s="41"/>
      <c r="D912" s="42"/>
      <c r="E912" s="190"/>
      <c r="F912" s="97"/>
      <c r="G912" s="128"/>
    </row>
    <row r="913" spans="1:7" x14ac:dyDescent="0.25">
      <c r="A913" s="187"/>
      <c r="B913" s="192"/>
      <c r="C913" s="188"/>
      <c r="D913" s="189"/>
      <c r="E913" s="190"/>
      <c r="F913" s="97"/>
      <c r="G913" s="128"/>
    </row>
    <row r="914" spans="1:7" x14ac:dyDescent="0.25">
      <c r="A914" s="39"/>
      <c r="B914" s="40"/>
      <c r="C914" s="41"/>
      <c r="D914" s="42"/>
      <c r="E914" s="190"/>
      <c r="F914" s="97"/>
      <c r="G914" s="128"/>
    </row>
    <row r="915" spans="1:7" x14ac:dyDescent="0.25">
      <c r="A915" s="39"/>
      <c r="B915" s="40"/>
      <c r="C915" s="41"/>
      <c r="D915" s="42"/>
      <c r="E915" s="190"/>
      <c r="F915" s="97"/>
      <c r="G915" s="128"/>
    </row>
    <row r="916" spans="1:7" x14ac:dyDescent="0.25">
      <c r="A916" s="187"/>
      <c r="B916" s="192"/>
      <c r="C916" s="188"/>
      <c r="D916" s="189"/>
      <c r="E916" s="190"/>
      <c r="F916" s="97"/>
      <c r="G916" s="128"/>
    </row>
    <row r="917" spans="1:7" x14ac:dyDescent="0.25">
      <c r="A917" s="39"/>
      <c r="B917" s="40"/>
      <c r="C917" s="41"/>
      <c r="D917" s="42"/>
      <c r="E917" s="190"/>
      <c r="F917" s="97"/>
      <c r="G917" s="128"/>
    </row>
    <row r="918" spans="1:7" x14ac:dyDescent="0.25">
      <c r="A918" s="187"/>
      <c r="B918" s="192"/>
      <c r="C918" s="188"/>
      <c r="D918" s="189"/>
      <c r="E918" s="190"/>
      <c r="F918" s="97"/>
      <c r="G918" s="128"/>
    </row>
    <row r="919" spans="1:7" x14ac:dyDescent="0.25">
      <c r="A919" s="193"/>
      <c r="B919" s="194"/>
      <c r="C919" s="195"/>
      <c r="D919" s="196"/>
      <c r="E919" s="117"/>
      <c r="F919" s="98"/>
      <c r="G919" s="130"/>
    </row>
    <row r="920" spans="1:7" x14ac:dyDescent="0.25">
      <c r="A920" s="197"/>
      <c r="B920" s="198"/>
      <c r="C920" s="199" t="s">
        <v>51</v>
      </c>
      <c r="D920" s="199"/>
      <c r="E920" s="200" t="s">
        <v>50</v>
      </c>
      <c r="F920" s="99">
        <f>SUM(F881:F904)</f>
        <v>345986.48</v>
      </c>
      <c r="G920" s="131"/>
    </row>
    <row r="921" spans="1:7" x14ac:dyDescent="0.25">
      <c r="A921" s="197"/>
      <c r="B921" s="198"/>
      <c r="C921" s="201"/>
      <c r="D921" s="202"/>
      <c r="E921" s="118"/>
      <c r="F921" s="100"/>
      <c r="G921" s="132"/>
    </row>
    <row r="922" spans="1:7" x14ac:dyDescent="0.25">
      <c r="A922" s="187"/>
      <c r="B922" s="192"/>
      <c r="C922" s="188"/>
      <c r="D922" s="189"/>
      <c r="E922" s="190"/>
      <c r="F922" s="97"/>
      <c r="G922" s="128"/>
    </row>
    <row r="923" spans="1:7" x14ac:dyDescent="0.25">
      <c r="A923" s="187"/>
      <c r="B923" s="36" t="s">
        <v>150</v>
      </c>
      <c r="C923" s="188"/>
      <c r="D923" s="189"/>
      <c r="E923" s="190"/>
      <c r="F923" s="97"/>
      <c r="G923" s="128"/>
    </row>
    <row r="924" spans="1:7" x14ac:dyDescent="0.25">
      <c r="A924" s="187"/>
      <c r="B924" s="192"/>
      <c r="C924" s="188"/>
      <c r="D924" s="189"/>
      <c r="E924" s="190"/>
      <c r="F924" s="97"/>
      <c r="G924" s="128"/>
    </row>
    <row r="925" spans="1:7" x14ac:dyDescent="0.25">
      <c r="A925" s="39"/>
      <c r="B925" s="40" t="s">
        <v>406</v>
      </c>
      <c r="C925" s="41"/>
      <c r="D925" s="42"/>
      <c r="E925" s="190"/>
      <c r="F925" s="97"/>
      <c r="G925" s="128"/>
    </row>
    <row r="926" spans="1:7" x14ac:dyDescent="0.25">
      <c r="A926" s="187"/>
      <c r="B926" s="192"/>
      <c r="C926" s="188"/>
      <c r="D926" s="189"/>
      <c r="E926" s="190"/>
      <c r="F926" s="97"/>
      <c r="G926" s="128"/>
    </row>
    <row r="927" spans="1:7" ht="27.6" x14ac:dyDescent="0.25">
      <c r="A927" s="39"/>
      <c r="B927" s="40" t="s">
        <v>1112</v>
      </c>
      <c r="C927" s="41"/>
      <c r="D927" s="42"/>
      <c r="E927" s="190"/>
      <c r="F927" s="97"/>
      <c r="G927" s="128"/>
    </row>
    <row r="928" spans="1:7" x14ac:dyDescent="0.25">
      <c r="A928" s="187"/>
      <c r="B928" s="192"/>
      <c r="C928" s="188"/>
      <c r="D928" s="189"/>
      <c r="E928" s="190"/>
      <c r="F928" s="97"/>
      <c r="G928" s="128"/>
    </row>
    <row r="929" spans="1:7" ht="27.6" x14ac:dyDescent="0.25">
      <c r="A929" s="39"/>
      <c r="B929" s="40" t="s">
        <v>140</v>
      </c>
      <c r="C929" s="41"/>
      <c r="D929" s="42"/>
      <c r="E929" s="190"/>
      <c r="F929" s="97"/>
      <c r="G929" s="128"/>
    </row>
    <row r="930" spans="1:7" x14ac:dyDescent="0.25">
      <c r="A930" s="187"/>
      <c r="B930" s="192"/>
      <c r="C930" s="188"/>
      <c r="D930" s="189"/>
      <c r="E930" s="190"/>
      <c r="F930" s="97"/>
      <c r="G930" s="128"/>
    </row>
    <row r="931" spans="1:7" ht="41.4" x14ac:dyDescent="0.25">
      <c r="A931" s="39"/>
      <c r="B931" s="43" t="s">
        <v>148</v>
      </c>
      <c r="C931" s="41"/>
      <c r="D931" s="42"/>
      <c r="E931" s="190"/>
      <c r="F931" s="97"/>
      <c r="G931" s="128"/>
    </row>
    <row r="932" spans="1:7" x14ac:dyDescent="0.25">
      <c r="A932" s="187"/>
      <c r="B932" s="192"/>
      <c r="C932" s="188"/>
      <c r="D932" s="189"/>
      <c r="E932" s="190"/>
      <c r="F932" s="97"/>
      <c r="G932" s="128"/>
    </row>
    <row r="933" spans="1:7" x14ac:dyDescent="0.25">
      <c r="A933" s="39" t="s">
        <v>3</v>
      </c>
      <c r="B933" s="40" t="s">
        <v>151</v>
      </c>
      <c r="C933" s="41" t="s">
        <v>841</v>
      </c>
      <c r="D933" s="42" t="s">
        <v>15</v>
      </c>
      <c r="E933" s="190">
        <v>5908.66</v>
      </c>
      <c r="F933" s="97">
        <f>C933*E933</f>
        <v>915842.29999999993</v>
      </c>
      <c r="G933" s="128" t="s">
        <v>1234</v>
      </c>
    </row>
    <row r="934" spans="1:7" x14ac:dyDescent="0.25">
      <c r="A934" s="187"/>
      <c r="B934" s="192"/>
      <c r="C934" s="188"/>
      <c r="D934" s="189"/>
      <c r="E934" s="190"/>
      <c r="F934" s="97"/>
      <c r="G934" s="128"/>
    </row>
    <row r="935" spans="1:7" x14ac:dyDescent="0.25">
      <c r="A935" s="39" t="s">
        <v>2</v>
      </c>
      <c r="B935" s="40" t="s">
        <v>1113</v>
      </c>
      <c r="C935" s="41" t="s">
        <v>82</v>
      </c>
      <c r="D935" s="42" t="s">
        <v>15</v>
      </c>
      <c r="E935" s="190">
        <v>1462.55</v>
      </c>
      <c r="F935" s="97">
        <f>C935*E935</f>
        <v>10237.85</v>
      </c>
      <c r="G935" s="128"/>
    </row>
    <row r="936" spans="1:7" x14ac:dyDescent="0.25">
      <c r="A936" s="187"/>
      <c r="B936" s="192"/>
      <c r="C936" s="188"/>
      <c r="D936" s="189"/>
      <c r="E936" s="190"/>
      <c r="F936" s="97"/>
      <c r="G936" s="128"/>
    </row>
    <row r="937" spans="1:7" ht="27.6" x14ac:dyDescent="0.25">
      <c r="A937" s="39"/>
      <c r="B937" s="43" t="s">
        <v>97</v>
      </c>
      <c r="C937" s="41"/>
      <c r="D937" s="42"/>
      <c r="E937" s="190"/>
      <c r="F937" s="97"/>
      <c r="G937" s="128"/>
    </row>
    <row r="938" spans="1:7" x14ac:dyDescent="0.25">
      <c r="A938" s="187"/>
      <c r="B938" s="192"/>
      <c r="C938" s="188"/>
      <c r="D938" s="189"/>
      <c r="E938" s="190"/>
      <c r="F938" s="97"/>
      <c r="G938" s="128"/>
    </row>
    <row r="939" spans="1:7" ht="27.6" x14ac:dyDescent="0.25">
      <c r="A939" s="39" t="s">
        <v>5</v>
      </c>
      <c r="B939" s="40" t="s">
        <v>1114</v>
      </c>
      <c r="C939" s="41" t="s">
        <v>73</v>
      </c>
      <c r="D939" s="42" t="s">
        <v>15</v>
      </c>
      <c r="E939" s="190"/>
      <c r="F939" s="97" t="s">
        <v>1194</v>
      </c>
      <c r="G939" s="128"/>
    </row>
    <row r="940" spans="1:7" x14ac:dyDescent="0.25">
      <c r="A940" s="187"/>
      <c r="B940" s="192"/>
      <c r="C940" s="188"/>
      <c r="D940" s="189"/>
      <c r="E940" s="190"/>
      <c r="F940" s="97"/>
      <c r="G940" s="128"/>
    </row>
    <row r="941" spans="1:7" ht="27.6" x14ac:dyDescent="0.25">
      <c r="A941" s="39" t="s">
        <v>8</v>
      </c>
      <c r="B941" s="40" t="s">
        <v>1115</v>
      </c>
      <c r="C941" s="41" t="s">
        <v>1116</v>
      </c>
      <c r="D941" s="42" t="s">
        <v>15</v>
      </c>
      <c r="E941" s="190"/>
      <c r="F941" s="97" t="s">
        <v>1194</v>
      </c>
      <c r="G941" s="128"/>
    </row>
    <row r="942" spans="1:7" x14ac:dyDescent="0.25">
      <c r="A942" s="187"/>
      <c r="B942" s="192"/>
      <c r="C942" s="188"/>
      <c r="D942" s="189"/>
      <c r="E942" s="190"/>
      <c r="F942" s="97"/>
      <c r="G942" s="128"/>
    </row>
    <row r="943" spans="1:7" ht="27.6" x14ac:dyDescent="0.25">
      <c r="A943" s="39" t="s">
        <v>9</v>
      </c>
      <c r="B943" s="40" t="s">
        <v>1117</v>
      </c>
      <c r="C943" s="41" t="s">
        <v>94</v>
      </c>
      <c r="D943" s="42" t="s">
        <v>15</v>
      </c>
      <c r="E943" s="190"/>
      <c r="F943" s="97" t="s">
        <v>1194</v>
      </c>
      <c r="G943" s="128"/>
    </row>
    <row r="944" spans="1:7" x14ac:dyDescent="0.25">
      <c r="A944" s="187"/>
      <c r="B944" s="192"/>
      <c r="C944" s="188"/>
      <c r="D944" s="189"/>
      <c r="E944" s="190"/>
      <c r="F944" s="97"/>
      <c r="G944" s="128"/>
    </row>
    <row r="945" spans="1:7" ht="27.6" x14ac:dyDescent="0.25">
      <c r="A945" s="39" t="s">
        <v>10</v>
      </c>
      <c r="B945" s="40" t="s">
        <v>1118</v>
      </c>
      <c r="C945" s="41" t="s">
        <v>82</v>
      </c>
      <c r="D945" s="42" t="s">
        <v>15</v>
      </c>
      <c r="E945" s="190"/>
      <c r="F945" s="97" t="s">
        <v>1194</v>
      </c>
      <c r="G945" s="128"/>
    </row>
    <row r="946" spans="1:7" x14ac:dyDescent="0.25">
      <c r="A946" s="187"/>
      <c r="B946" s="192"/>
      <c r="C946" s="188"/>
      <c r="D946" s="189"/>
      <c r="E946" s="190"/>
      <c r="F946" s="97"/>
      <c r="G946" s="128"/>
    </row>
    <row r="947" spans="1:7" x14ac:dyDescent="0.25">
      <c r="A947" s="39" t="s">
        <v>12</v>
      </c>
      <c r="B947" s="40" t="s">
        <v>1119</v>
      </c>
      <c r="C947" s="41" t="s">
        <v>78</v>
      </c>
      <c r="D947" s="42" t="s">
        <v>15</v>
      </c>
      <c r="E947" s="190"/>
      <c r="F947" s="97" t="s">
        <v>1194</v>
      </c>
      <c r="G947" s="128"/>
    </row>
    <row r="948" spans="1:7" x14ac:dyDescent="0.25">
      <c r="A948" s="187"/>
      <c r="B948" s="192"/>
      <c r="C948" s="188"/>
      <c r="D948" s="189"/>
      <c r="E948" s="190"/>
      <c r="F948" s="97"/>
      <c r="G948" s="128"/>
    </row>
    <row r="949" spans="1:7" ht="27.6" x14ac:dyDescent="0.25">
      <c r="A949" s="39"/>
      <c r="B949" s="43" t="s">
        <v>1120</v>
      </c>
      <c r="C949" s="41"/>
      <c r="D949" s="42"/>
      <c r="E949" s="190"/>
      <c r="F949" s="97"/>
      <c r="G949" s="128"/>
    </row>
    <row r="950" spans="1:7" x14ac:dyDescent="0.25">
      <c r="A950" s="187"/>
      <c r="B950" s="192"/>
      <c r="C950" s="188"/>
      <c r="D950" s="189"/>
      <c r="E950" s="190"/>
      <c r="F950" s="97"/>
      <c r="G950" s="128"/>
    </row>
    <row r="951" spans="1:7" x14ac:dyDescent="0.25">
      <c r="A951" s="39" t="s">
        <v>13</v>
      </c>
      <c r="B951" s="40" t="s">
        <v>1121</v>
      </c>
      <c r="C951" s="41" t="s">
        <v>82</v>
      </c>
      <c r="D951" s="42" t="s">
        <v>15</v>
      </c>
      <c r="E951" s="190"/>
      <c r="F951" s="97" t="s">
        <v>1194</v>
      </c>
      <c r="G951" s="128"/>
    </row>
    <row r="952" spans="1:7" x14ac:dyDescent="0.25">
      <c r="A952" s="187"/>
      <c r="B952" s="192"/>
      <c r="C952" s="188"/>
      <c r="D952" s="189"/>
      <c r="E952" s="190"/>
      <c r="F952" s="97"/>
      <c r="G952" s="128"/>
    </row>
    <row r="953" spans="1:7" x14ac:dyDescent="0.25">
      <c r="A953" s="39"/>
      <c r="B953" s="40"/>
      <c r="C953" s="41"/>
      <c r="D953" s="42"/>
      <c r="E953" s="190"/>
      <c r="F953" s="97"/>
      <c r="G953" s="128"/>
    </row>
    <row r="954" spans="1:7" x14ac:dyDescent="0.25">
      <c r="A954" s="187"/>
      <c r="B954" s="192"/>
      <c r="C954" s="188"/>
      <c r="D954" s="189"/>
      <c r="E954" s="190"/>
      <c r="F954" s="97"/>
      <c r="G954" s="128"/>
    </row>
    <row r="955" spans="1:7" x14ac:dyDescent="0.25">
      <c r="A955" s="39"/>
      <c r="B955" s="40"/>
      <c r="C955" s="41"/>
      <c r="D955" s="42"/>
      <c r="E955" s="190"/>
      <c r="F955" s="97"/>
      <c r="G955" s="128"/>
    </row>
    <row r="956" spans="1:7" x14ac:dyDescent="0.25">
      <c r="A956" s="187"/>
      <c r="B956" s="192"/>
      <c r="C956" s="188"/>
      <c r="D956" s="189"/>
      <c r="E956" s="190"/>
      <c r="F956" s="97"/>
      <c r="G956" s="128"/>
    </row>
    <row r="957" spans="1:7" x14ac:dyDescent="0.25">
      <c r="A957" s="39"/>
      <c r="B957" s="40"/>
      <c r="C957" s="41"/>
      <c r="D957" s="42"/>
      <c r="E957" s="190"/>
      <c r="F957" s="97"/>
      <c r="G957" s="128"/>
    </row>
    <row r="958" spans="1:7" x14ac:dyDescent="0.25">
      <c r="A958" s="39"/>
      <c r="B958" s="40"/>
      <c r="C958" s="41"/>
      <c r="D958" s="42"/>
      <c r="E958" s="190"/>
      <c r="F958" s="97"/>
      <c r="G958" s="128"/>
    </row>
    <row r="959" spans="1:7" x14ac:dyDescent="0.25">
      <c r="A959" s="187"/>
      <c r="B959" s="192"/>
      <c r="C959" s="188"/>
      <c r="D959" s="189"/>
      <c r="E959" s="190"/>
      <c r="F959" s="97"/>
      <c r="G959" s="128"/>
    </row>
    <row r="960" spans="1:7" x14ac:dyDescent="0.25">
      <c r="A960" s="193"/>
      <c r="B960" s="194"/>
      <c r="C960" s="195"/>
      <c r="D960" s="196"/>
      <c r="E960" s="117"/>
      <c r="F960" s="98"/>
      <c r="G960" s="130"/>
    </row>
    <row r="961" spans="1:7" x14ac:dyDescent="0.25">
      <c r="A961" s="197"/>
      <c r="B961" s="198"/>
      <c r="C961" s="199" t="s">
        <v>51</v>
      </c>
      <c r="D961" s="199"/>
      <c r="E961" s="200" t="s">
        <v>50</v>
      </c>
      <c r="F961" s="99">
        <f>SUM(F931:F955)</f>
        <v>926080.14999999991</v>
      </c>
      <c r="G961" s="131"/>
    </row>
    <row r="962" spans="1:7" x14ac:dyDescent="0.25">
      <c r="A962" s="197"/>
      <c r="B962" s="198"/>
      <c r="C962" s="201"/>
      <c r="D962" s="202"/>
      <c r="E962" s="118"/>
      <c r="F962" s="100"/>
      <c r="G962" s="132"/>
    </row>
    <row r="963" spans="1:7" x14ac:dyDescent="0.25">
      <c r="A963" s="187"/>
      <c r="B963" s="192"/>
      <c r="C963" s="188"/>
      <c r="D963" s="189"/>
      <c r="E963" s="190"/>
      <c r="F963" s="97"/>
      <c r="G963" s="128"/>
    </row>
    <row r="964" spans="1:7" x14ac:dyDescent="0.25">
      <c r="A964" s="187"/>
      <c r="B964" s="36" t="s">
        <v>1122</v>
      </c>
      <c r="C964" s="188"/>
      <c r="D964" s="189"/>
      <c r="E964" s="190"/>
      <c r="F964" s="97"/>
      <c r="G964" s="128"/>
    </row>
    <row r="965" spans="1:7" x14ac:dyDescent="0.25">
      <c r="A965" s="187"/>
      <c r="B965" s="192"/>
      <c r="C965" s="188"/>
      <c r="D965" s="189"/>
      <c r="E965" s="190"/>
      <c r="F965" s="97"/>
      <c r="G965" s="128"/>
    </row>
    <row r="966" spans="1:7" x14ac:dyDescent="0.25">
      <c r="A966" s="39"/>
      <c r="B966" s="40" t="s">
        <v>406</v>
      </c>
      <c r="C966" s="41"/>
      <c r="D966" s="42"/>
      <c r="E966" s="190"/>
      <c r="F966" s="97"/>
      <c r="G966" s="128"/>
    </row>
    <row r="967" spans="1:7" x14ac:dyDescent="0.25">
      <c r="A967" s="187"/>
      <c r="B967" s="192"/>
      <c r="C967" s="188"/>
      <c r="D967" s="189"/>
      <c r="E967" s="190"/>
      <c r="F967" s="97"/>
      <c r="G967" s="128"/>
    </row>
    <row r="968" spans="1:7" ht="27.6" x14ac:dyDescent="0.25">
      <c r="A968" s="39"/>
      <c r="B968" s="40" t="s">
        <v>1123</v>
      </c>
      <c r="C968" s="41"/>
      <c r="D968" s="42"/>
      <c r="E968" s="190"/>
      <c r="F968" s="97"/>
      <c r="G968" s="128"/>
    </row>
    <row r="969" spans="1:7" x14ac:dyDescent="0.25">
      <c r="A969" s="187"/>
      <c r="B969" s="192"/>
      <c r="C969" s="188"/>
      <c r="D969" s="189"/>
      <c r="E969" s="190"/>
      <c r="F969" s="97"/>
      <c r="G969" s="128"/>
    </row>
    <row r="970" spans="1:7" ht="27.6" x14ac:dyDescent="0.25">
      <c r="A970" s="39"/>
      <c r="B970" s="40" t="s">
        <v>140</v>
      </c>
      <c r="C970" s="41"/>
      <c r="D970" s="42"/>
      <c r="E970" s="190"/>
      <c r="F970" s="97"/>
      <c r="G970" s="128"/>
    </row>
    <row r="971" spans="1:7" x14ac:dyDescent="0.25">
      <c r="A971" s="187"/>
      <c r="B971" s="192"/>
      <c r="C971" s="188"/>
      <c r="D971" s="189"/>
      <c r="E971" s="190"/>
      <c r="F971" s="97"/>
      <c r="G971" s="128"/>
    </row>
    <row r="972" spans="1:7" ht="55.2" x14ac:dyDescent="0.25">
      <c r="A972" s="39"/>
      <c r="B972" s="43" t="s">
        <v>146</v>
      </c>
      <c r="C972" s="41"/>
      <c r="D972" s="42"/>
      <c r="E972" s="190"/>
      <c r="F972" s="97"/>
      <c r="G972" s="128"/>
    </row>
    <row r="973" spans="1:7" x14ac:dyDescent="0.25">
      <c r="A973" s="187"/>
      <c r="B973" s="192"/>
      <c r="C973" s="188"/>
      <c r="D973" s="189"/>
      <c r="E973" s="190"/>
      <c r="F973" s="97"/>
      <c r="G973" s="128"/>
    </row>
    <row r="974" spans="1:7" x14ac:dyDescent="0.25">
      <c r="A974" s="39" t="s">
        <v>3</v>
      </c>
      <c r="B974" s="40" t="s">
        <v>1124</v>
      </c>
      <c r="C974" s="41" t="s">
        <v>1125</v>
      </c>
      <c r="D974" s="42" t="s">
        <v>15</v>
      </c>
      <c r="E974" s="190"/>
      <c r="F974" s="97" t="s">
        <v>1194</v>
      </c>
      <c r="G974" s="128"/>
    </row>
    <row r="975" spans="1:7" x14ac:dyDescent="0.25">
      <c r="A975" s="187"/>
      <c r="B975" s="192"/>
      <c r="C975" s="188"/>
      <c r="D975" s="189"/>
      <c r="E975" s="190"/>
      <c r="F975" s="97"/>
      <c r="G975" s="128"/>
    </row>
    <row r="976" spans="1:7" ht="27.6" x14ac:dyDescent="0.25">
      <c r="A976" s="39"/>
      <c r="B976" s="43" t="s">
        <v>97</v>
      </c>
      <c r="C976" s="41"/>
      <c r="D976" s="42"/>
      <c r="E976" s="190"/>
      <c r="F976" s="97"/>
      <c r="G976" s="128"/>
    </row>
    <row r="977" spans="1:7" x14ac:dyDescent="0.25">
      <c r="A977" s="187"/>
      <c r="B977" s="192"/>
      <c r="C977" s="188"/>
      <c r="D977" s="189"/>
      <c r="E977" s="190"/>
      <c r="F977" s="97"/>
      <c r="G977" s="128"/>
    </row>
    <row r="978" spans="1:7" x14ac:dyDescent="0.25">
      <c r="A978" s="39" t="s">
        <v>2</v>
      </c>
      <c r="B978" s="40" t="s">
        <v>1126</v>
      </c>
      <c r="C978" s="41" t="s">
        <v>1125</v>
      </c>
      <c r="D978" s="42" t="s">
        <v>15</v>
      </c>
      <c r="E978" s="190">
        <v>1206.4100000000001</v>
      </c>
      <c r="F978" s="97" t="s">
        <v>1228</v>
      </c>
      <c r="G978" s="128" t="s">
        <v>1229</v>
      </c>
    </row>
    <row r="979" spans="1:7" x14ac:dyDescent="0.25">
      <c r="A979" s="187"/>
      <c r="B979" s="192"/>
      <c r="C979" s="188"/>
      <c r="D979" s="189"/>
      <c r="E979" s="190"/>
      <c r="F979" s="97"/>
      <c r="G979" s="128"/>
    </row>
    <row r="980" spans="1:7" ht="27.6" x14ac:dyDescent="0.25">
      <c r="A980" s="39"/>
      <c r="B980" s="43" t="s">
        <v>879</v>
      </c>
      <c r="C980" s="41"/>
      <c r="D980" s="42"/>
      <c r="E980" s="190"/>
      <c r="F980" s="97"/>
      <c r="G980" s="128"/>
    </row>
    <row r="981" spans="1:7" x14ac:dyDescent="0.25">
      <c r="A981" s="187"/>
      <c r="B981" s="192"/>
      <c r="C981" s="188"/>
      <c r="D981" s="189"/>
      <c r="E981" s="190"/>
      <c r="F981" s="97"/>
      <c r="G981" s="128"/>
    </row>
    <row r="982" spans="1:7" ht="27.6" x14ac:dyDescent="0.25">
      <c r="A982" s="39" t="s">
        <v>5</v>
      </c>
      <c r="B982" s="40" t="s">
        <v>1127</v>
      </c>
      <c r="C982" s="41" t="s">
        <v>1128</v>
      </c>
      <c r="D982" s="42" t="s">
        <v>11</v>
      </c>
      <c r="E982" s="190">
        <v>103.44</v>
      </c>
      <c r="F982" s="97" t="s">
        <v>1228</v>
      </c>
      <c r="G982" s="128" t="s">
        <v>1229</v>
      </c>
    </row>
    <row r="983" spans="1:7" x14ac:dyDescent="0.25">
      <c r="A983" s="187"/>
      <c r="B983" s="192"/>
      <c r="C983" s="188"/>
      <c r="D983" s="189"/>
      <c r="E983" s="190"/>
      <c r="F983" s="97"/>
      <c r="G983" s="128"/>
    </row>
    <row r="984" spans="1:7" ht="27.6" x14ac:dyDescent="0.25">
      <c r="A984" s="39" t="s">
        <v>8</v>
      </c>
      <c r="B984" s="40" t="s">
        <v>1129</v>
      </c>
      <c r="C984" s="41" t="s">
        <v>1130</v>
      </c>
      <c r="D984" s="42" t="s">
        <v>11</v>
      </c>
      <c r="E984" s="190">
        <v>128.72999999999999</v>
      </c>
      <c r="F984" s="97" t="s">
        <v>1228</v>
      </c>
      <c r="G984" s="128" t="s">
        <v>1229</v>
      </c>
    </row>
    <row r="985" spans="1:7" x14ac:dyDescent="0.25">
      <c r="A985" s="187"/>
      <c r="B985" s="192"/>
      <c r="C985" s="188"/>
      <c r="D985" s="189"/>
      <c r="E985" s="190"/>
      <c r="F985" s="97"/>
      <c r="G985" s="128"/>
    </row>
    <row r="986" spans="1:7" ht="27.6" x14ac:dyDescent="0.25">
      <c r="A986" s="39" t="s">
        <v>9</v>
      </c>
      <c r="B986" s="40" t="s">
        <v>1131</v>
      </c>
      <c r="C986" s="41" t="s">
        <v>85</v>
      </c>
      <c r="D986" s="42" t="s">
        <v>11</v>
      </c>
      <c r="E986" s="190">
        <v>190.32</v>
      </c>
      <c r="F986" s="97" t="s">
        <v>1228</v>
      </c>
      <c r="G986" s="128" t="s">
        <v>1229</v>
      </c>
    </row>
    <row r="987" spans="1:7" x14ac:dyDescent="0.25">
      <c r="A987" s="187"/>
      <c r="B987" s="192"/>
      <c r="C987" s="188"/>
      <c r="D987" s="189"/>
      <c r="E987" s="190"/>
      <c r="F987" s="97"/>
      <c r="G987" s="128"/>
    </row>
    <row r="988" spans="1:7" ht="27.6" x14ac:dyDescent="0.25">
      <c r="A988" s="39" t="s">
        <v>10</v>
      </c>
      <c r="B988" s="40" t="s">
        <v>1132</v>
      </c>
      <c r="C988" s="41" t="s">
        <v>1133</v>
      </c>
      <c r="D988" s="42" t="s">
        <v>11</v>
      </c>
      <c r="E988" s="190">
        <v>140.72</v>
      </c>
      <c r="F988" s="97" t="s">
        <v>1228</v>
      </c>
      <c r="G988" s="128" t="s">
        <v>1229</v>
      </c>
    </row>
    <row r="989" spans="1:7" x14ac:dyDescent="0.25">
      <c r="A989" s="187"/>
      <c r="B989" s="192"/>
      <c r="C989" s="188"/>
      <c r="D989" s="189"/>
      <c r="E989" s="190"/>
      <c r="F989" s="97"/>
      <c r="G989" s="128"/>
    </row>
    <row r="990" spans="1:7" ht="41.4" x14ac:dyDescent="0.25">
      <c r="A990" s="39" t="s">
        <v>12</v>
      </c>
      <c r="B990" s="40" t="s">
        <v>1134</v>
      </c>
      <c r="C990" s="41"/>
      <c r="D990" s="42" t="s">
        <v>6</v>
      </c>
      <c r="E990" s="190"/>
      <c r="F990" s="97" t="s">
        <v>1228</v>
      </c>
      <c r="G990" s="128" t="s">
        <v>1229</v>
      </c>
    </row>
    <row r="991" spans="1:7" x14ac:dyDescent="0.25">
      <c r="A991" s="187"/>
      <c r="B991" s="192"/>
      <c r="C991" s="188"/>
      <c r="D991" s="189"/>
      <c r="E991" s="190"/>
      <c r="F991" s="97"/>
      <c r="G991" s="128"/>
    </row>
    <row r="992" spans="1:7" x14ac:dyDescent="0.25">
      <c r="A992" s="187"/>
      <c r="B992" s="192"/>
      <c r="C992" s="188"/>
      <c r="D992" s="189"/>
      <c r="E992" s="190"/>
      <c r="F992" s="97"/>
      <c r="G992" s="128"/>
    </row>
    <row r="993" spans="1:7" x14ac:dyDescent="0.25">
      <c r="A993" s="187"/>
      <c r="B993" s="192"/>
      <c r="C993" s="188"/>
      <c r="D993" s="189"/>
      <c r="E993" s="190"/>
      <c r="F993" s="97"/>
      <c r="G993" s="128"/>
    </row>
    <row r="994" spans="1:7" x14ac:dyDescent="0.25">
      <c r="A994" s="187"/>
      <c r="B994" s="192"/>
      <c r="C994" s="188"/>
      <c r="D994" s="189"/>
      <c r="E994" s="190"/>
      <c r="F994" s="97"/>
      <c r="G994" s="128"/>
    </row>
    <row r="995" spans="1:7" x14ac:dyDescent="0.25">
      <c r="A995" s="187"/>
      <c r="B995" s="192"/>
      <c r="C995" s="188"/>
      <c r="D995" s="189"/>
      <c r="E995" s="190"/>
      <c r="F995" s="97"/>
      <c r="G995" s="128"/>
    </row>
    <row r="996" spans="1:7" x14ac:dyDescent="0.25">
      <c r="A996" s="187"/>
      <c r="B996" s="191"/>
      <c r="C996" s="188"/>
      <c r="D996" s="189"/>
      <c r="E996" s="190"/>
      <c r="F996" s="97"/>
      <c r="G996" s="128"/>
    </row>
    <row r="997" spans="1:7" x14ac:dyDescent="0.25">
      <c r="A997" s="39"/>
      <c r="B997" s="40"/>
      <c r="C997" s="41"/>
      <c r="D997" s="42"/>
      <c r="E997" s="190"/>
      <c r="F997" s="97"/>
      <c r="G997" s="128"/>
    </row>
    <row r="998" spans="1:7" x14ac:dyDescent="0.25">
      <c r="A998" s="193"/>
      <c r="B998" s="194"/>
      <c r="C998" s="195"/>
      <c r="D998" s="196"/>
      <c r="E998" s="117"/>
      <c r="F998" s="98"/>
      <c r="G998" s="130"/>
    </row>
    <row r="999" spans="1:7" x14ac:dyDescent="0.25">
      <c r="A999" s="197"/>
      <c r="B999" s="198"/>
      <c r="C999" s="199" t="s">
        <v>51</v>
      </c>
      <c r="D999" s="199"/>
      <c r="E999" s="200" t="s">
        <v>50</v>
      </c>
      <c r="F999" s="99">
        <f>SUM(F972:F995)</f>
        <v>0</v>
      </c>
      <c r="G999" s="131"/>
    </row>
    <row r="1000" spans="1:7" x14ac:dyDescent="0.25">
      <c r="A1000" s="197"/>
      <c r="B1000" s="198"/>
      <c r="C1000" s="201"/>
      <c r="D1000" s="202"/>
      <c r="E1000" s="118"/>
      <c r="F1000" s="100"/>
      <c r="G1000" s="132"/>
    </row>
    <row r="1001" spans="1:7" x14ac:dyDescent="0.25">
      <c r="A1001" s="39"/>
      <c r="B1001" s="40"/>
      <c r="C1001" s="41"/>
      <c r="D1001" s="42"/>
      <c r="E1001" s="190"/>
      <c r="F1001" s="97"/>
      <c r="G1001" s="128"/>
    </row>
    <row r="1002" spans="1:7" x14ac:dyDescent="0.25">
      <c r="A1002" s="187"/>
      <c r="B1002" s="36" t="s">
        <v>26</v>
      </c>
      <c r="C1002" s="188"/>
      <c r="D1002" s="189"/>
      <c r="E1002" s="190"/>
      <c r="F1002" s="97"/>
      <c r="G1002" s="128"/>
    </row>
    <row r="1003" spans="1:7" x14ac:dyDescent="0.25">
      <c r="A1003" s="187"/>
      <c r="B1003" s="192"/>
      <c r="C1003" s="188"/>
      <c r="D1003" s="189"/>
      <c r="E1003" s="190"/>
      <c r="F1003" s="97"/>
      <c r="G1003" s="128"/>
    </row>
    <row r="1004" spans="1:7" ht="41.4" x14ac:dyDescent="0.25">
      <c r="A1004" s="39" t="s">
        <v>3</v>
      </c>
      <c r="B1004" s="40" t="s">
        <v>44</v>
      </c>
      <c r="C1004" s="41"/>
      <c r="D1004" s="42" t="s">
        <v>6</v>
      </c>
      <c r="E1004" s="190"/>
      <c r="F1004" s="97" t="s">
        <v>1194</v>
      </c>
      <c r="G1004" s="128"/>
    </row>
    <row r="1005" spans="1:7" x14ac:dyDescent="0.25">
      <c r="A1005" s="187"/>
      <c r="B1005" s="192"/>
      <c r="C1005" s="188"/>
      <c r="D1005" s="189"/>
      <c r="E1005" s="190"/>
      <c r="F1005" s="97"/>
      <c r="G1005" s="128"/>
    </row>
    <row r="1006" spans="1:7" ht="27.6" x14ac:dyDescent="0.25">
      <c r="A1006" s="39" t="s">
        <v>2</v>
      </c>
      <c r="B1006" s="40" t="s">
        <v>45</v>
      </c>
      <c r="C1006" s="41"/>
      <c r="D1006" s="42" t="s">
        <v>6</v>
      </c>
      <c r="E1006" s="190"/>
      <c r="F1006" s="97" t="s">
        <v>1194</v>
      </c>
      <c r="G1006" s="128"/>
    </row>
    <row r="1007" spans="1:7" x14ac:dyDescent="0.25">
      <c r="A1007" s="187"/>
      <c r="B1007" s="192"/>
      <c r="C1007" s="188"/>
      <c r="D1007" s="189"/>
      <c r="E1007" s="190"/>
      <c r="F1007" s="97"/>
      <c r="G1007" s="128"/>
    </row>
    <row r="1008" spans="1:7" ht="96.6" x14ac:dyDescent="0.25">
      <c r="A1008" s="39" t="s">
        <v>5</v>
      </c>
      <c r="B1008" s="40" t="s">
        <v>35</v>
      </c>
      <c r="C1008" s="41"/>
      <c r="D1008" s="42" t="s">
        <v>6</v>
      </c>
      <c r="E1008" s="190"/>
      <c r="F1008" s="97" t="s">
        <v>1194</v>
      </c>
      <c r="G1008" s="128"/>
    </row>
    <row r="1009" spans="1:7" x14ac:dyDescent="0.25">
      <c r="A1009" s="187"/>
      <c r="B1009" s="192"/>
      <c r="C1009" s="188"/>
      <c r="D1009" s="189"/>
      <c r="E1009" s="190"/>
      <c r="F1009" s="97"/>
      <c r="G1009" s="128"/>
    </row>
    <row r="1010" spans="1:7" ht="69" x14ac:dyDescent="0.25">
      <c r="A1010" s="39" t="s">
        <v>8</v>
      </c>
      <c r="B1010" s="40" t="s">
        <v>46</v>
      </c>
      <c r="C1010" s="41"/>
      <c r="D1010" s="42" t="s">
        <v>6</v>
      </c>
      <c r="E1010" s="190"/>
      <c r="F1010" s="97" t="s">
        <v>1194</v>
      </c>
      <c r="G1010" s="128"/>
    </row>
    <row r="1011" spans="1:7" x14ac:dyDescent="0.25">
      <c r="A1011" s="187"/>
      <c r="B1011" s="192"/>
      <c r="C1011" s="188"/>
      <c r="D1011" s="189"/>
      <c r="E1011" s="190"/>
      <c r="F1011" s="97"/>
      <c r="G1011" s="128"/>
    </row>
    <row r="1012" spans="1:7" ht="27.6" x14ac:dyDescent="0.25">
      <c r="A1012" s="39" t="s">
        <v>9</v>
      </c>
      <c r="B1012" s="40" t="s">
        <v>1135</v>
      </c>
      <c r="C1012" s="41"/>
      <c r="D1012" s="42" t="s">
        <v>6</v>
      </c>
      <c r="E1012" s="190"/>
      <c r="F1012" s="97" t="s">
        <v>1194</v>
      </c>
      <c r="G1012" s="128"/>
    </row>
    <row r="1013" spans="1:7" x14ac:dyDescent="0.25">
      <c r="A1013" s="187"/>
      <c r="B1013" s="192"/>
      <c r="C1013" s="188"/>
      <c r="D1013" s="189"/>
      <c r="E1013" s="190"/>
      <c r="F1013" s="97"/>
      <c r="G1013" s="128"/>
    </row>
    <row r="1014" spans="1:7" ht="55.2" x14ac:dyDescent="0.25">
      <c r="A1014" s="39" t="s">
        <v>10</v>
      </c>
      <c r="B1014" s="40" t="s">
        <v>36</v>
      </c>
      <c r="C1014" s="41"/>
      <c r="D1014" s="42" t="s">
        <v>6</v>
      </c>
      <c r="E1014" s="190"/>
      <c r="F1014" s="97" t="s">
        <v>1194</v>
      </c>
      <c r="G1014" s="128"/>
    </row>
    <row r="1015" spans="1:7" x14ac:dyDescent="0.25">
      <c r="A1015" s="187"/>
      <c r="B1015" s="192"/>
      <c r="C1015" s="188"/>
      <c r="D1015" s="189"/>
      <c r="E1015" s="190"/>
      <c r="F1015" s="97"/>
      <c r="G1015" s="128"/>
    </row>
    <row r="1016" spans="1:7" ht="55.2" x14ac:dyDescent="0.25">
      <c r="A1016" s="39" t="s">
        <v>12</v>
      </c>
      <c r="B1016" s="40" t="s">
        <v>1136</v>
      </c>
      <c r="C1016" s="41"/>
      <c r="D1016" s="42" t="s">
        <v>6</v>
      </c>
      <c r="E1016" s="190"/>
      <c r="F1016" s="97" t="s">
        <v>1194</v>
      </c>
      <c r="G1016" s="128"/>
    </row>
    <row r="1017" spans="1:7" x14ac:dyDescent="0.25">
      <c r="A1017" s="39"/>
      <c r="B1017" s="40"/>
      <c r="C1017" s="41"/>
      <c r="D1017" s="42"/>
      <c r="E1017" s="190"/>
      <c r="F1017" s="97"/>
      <c r="G1017" s="128"/>
    </row>
    <row r="1018" spans="1:7" x14ac:dyDescent="0.25">
      <c r="A1018" s="39"/>
      <c r="B1018" s="40"/>
      <c r="C1018" s="41"/>
      <c r="D1018" s="42"/>
      <c r="E1018" s="190"/>
      <c r="F1018" s="97"/>
      <c r="G1018" s="128"/>
    </row>
    <row r="1019" spans="1:7" x14ac:dyDescent="0.25">
      <c r="A1019" s="187"/>
      <c r="B1019" s="192"/>
      <c r="C1019" s="188"/>
      <c r="D1019" s="189"/>
      <c r="E1019" s="190"/>
      <c r="F1019" s="97"/>
      <c r="G1019" s="128"/>
    </row>
    <row r="1020" spans="1:7" x14ac:dyDescent="0.25">
      <c r="A1020" s="39"/>
      <c r="B1020" s="40"/>
      <c r="C1020" s="41"/>
      <c r="D1020" s="42"/>
      <c r="E1020" s="190"/>
      <c r="F1020" s="97"/>
      <c r="G1020" s="128"/>
    </row>
    <row r="1021" spans="1:7" x14ac:dyDescent="0.25">
      <c r="A1021" s="187"/>
      <c r="B1021" s="192"/>
      <c r="C1021" s="188"/>
      <c r="D1021" s="189"/>
      <c r="E1021" s="190"/>
      <c r="F1021" s="97"/>
      <c r="G1021" s="128"/>
    </row>
    <row r="1022" spans="1:7" x14ac:dyDescent="0.25">
      <c r="A1022" s="187"/>
      <c r="B1022" s="192"/>
      <c r="C1022" s="188"/>
      <c r="D1022" s="189"/>
      <c r="E1022" s="190"/>
      <c r="F1022" s="97"/>
      <c r="G1022" s="128"/>
    </row>
    <row r="1023" spans="1:7" x14ac:dyDescent="0.25">
      <c r="A1023" s="39"/>
      <c r="B1023" s="40"/>
      <c r="C1023" s="41"/>
      <c r="D1023" s="42"/>
      <c r="E1023" s="190"/>
      <c r="F1023" s="97"/>
      <c r="G1023" s="128"/>
    </row>
    <row r="1024" spans="1:7" x14ac:dyDescent="0.25">
      <c r="A1024" s="39"/>
      <c r="B1024" s="40"/>
      <c r="C1024" s="41"/>
      <c r="D1024" s="42"/>
      <c r="E1024" s="190"/>
      <c r="F1024" s="97"/>
      <c r="G1024" s="128"/>
    </row>
    <row r="1025" spans="1:7" x14ac:dyDescent="0.25">
      <c r="A1025" s="187"/>
      <c r="B1025" s="192"/>
      <c r="C1025" s="188"/>
      <c r="D1025" s="189"/>
      <c r="E1025" s="190"/>
      <c r="F1025" s="97"/>
      <c r="G1025" s="128"/>
    </row>
    <row r="1026" spans="1:7" x14ac:dyDescent="0.25">
      <c r="A1026" s="39"/>
      <c r="B1026" s="40"/>
      <c r="C1026" s="41"/>
      <c r="D1026" s="42"/>
      <c r="E1026" s="190"/>
      <c r="F1026" s="97"/>
      <c r="G1026" s="128"/>
    </row>
    <row r="1027" spans="1:7" x14ac:dyDescent="0.25">
      <c r="A1027" s="187"/>
      <c r="B1027" s="192"/>
      <c r="C1027" s="188"/>
      <c r="D1027" s="189"/>
      <c r="E1027" s="190"/>
      <c r="F1027" s="97"/>
      <c r="G1027" s="128"/>
    </row>
    <row r="1028" spans="1:7" x14ac:dyDescent="0.25">
      <c r="A1028" s="193"/>
      <c r="B1028" s="194"/>
      <c r="C1028" s="195"/>
      <c r="D1028" s="196"/>
      <c r="E1028" s="117"/>
      <c r="F1028" s="98"/>
      <c r="G1028" s="130"/>
    </row>
    <row r="1029" spans="1:7" x14ac:dyDescent="0.25">
      <c r="A1029" s="197"/>
      <c r="B1029" s="198"/>
      <c r="C1029" s="199" t="s">
        <v>51</v>
      </c>
      <c r="D1029" s="199"/>
      <c r="E1029" s="200" t="s">
        <v>50</v>
      </c>
      <c r="F1029" s="99">
        <f>SUM(F1003:F1022)</f>
        <v>0</v>
      </c>
      <c r="G1029" s="131"/>
    </row>
    <row r="1030" spans="1:7" x14ac:dyDescent="0.25">
      <c r="A1030" s="197"/>
      <c r="B1030" s="198"/>
      <c r="C1030" s="201"/>
      <c r="D1030" s="202"/>
      <c r="E1030" s="118"/>
      <c r="F1030" s="100"/>
      <c r="G1030" s="132"/>
    </row>
    <row r="1031" spans="1:7" x14ac:dyDescent="0.25">
      <c r="A1031" s="187"/>
      <c r="B1031" s="192"/>
      <c r="C1031" s="188"/>
      <c r="D1031" s="189"/>
      <c r="E1031" s="190"/>
      <c r="F1031" s="97"/>
      <c r="G1031" s="128"/>
    </row>
    <row r="1032" spans="1:7" x14ac:dyDescent="0.25">
      <c r="A1032" s="187"/>
      <c r="B1032" s="36" t="s">
        <v>152</v>
      </c>
      <c r="C1032" s="188"/>
      <c r="D1032" s="189"/>
      <c r="E1032" s="190"/>
      <c r="F1032" s="97"/>
      <c r="G1032" s="128"/>
    </row>
    <row r="1033" spans="1:7" x14ac:dyDescent="0.25">
      <c r="A1033" s="187"/>
      <c r="B1033" s="192"/>
      <c r="C1033" s="188"/>
      <c r="D1033" s="189"/>
      <c r="E1033" s="190"/>
      <c r="F1033" s="97"/>
      <c r="G1033" s="128"/>
    </row>
    <row r="1034" spans="1:7" ht="27.6" x14ac:dyDescent="0.25">
      <c r="A1034" s="39"/>
      <c r="B1034" s="43" t="s">
        <v>153</v>
      </c>
      <c r="C1034" s="41"/>
      <c r="D1034" s="42"/>
      <c r="E1034" s="190"/>
      <c r="F1034" s="97"/>
      <c r="G1034" s="128"/>
    </row>
    <row r="1035" spans="1:7" x14ac:dyDescent="0.25">
      <c r="A1035" s="187"/>
      <c r="B1035" s="192"/>
      <c r="C1035" s="188"/>
      <c r="D1035" s="189"/>
      <c r="E1035" s="190"/>
      <c r="F1035" s="97"/>
      <c r="G1035" s="128"/>
    </row>
    <row r="1036" spans="1:7" ht="41.4" x14ac:dyDescent="0.25">
      <c r="A1036" s="39" t="s">
        <v>3</v>
      </c>
      <c r="B1036" s="40" t="s">
        <v>37</v>
      </c>
      <c r="C1036" s="41"/>
      <c r="D1036" s="42" t="s">
        <v>6</v>
      </c>
      <c r="E1036" s="190"/>
      <c r="F1036" s="97" t="s">
        <v>1194</v>
      </c>
      <c r="G1036" s="128"/>
    </row>
    <row r="1037" spans="1:7" x14ac:dyDescent="0.25">
      <c r="A1037" s="187"/>
      <c r="B1037" s="192"/>
      <c r="C1037" s="188"/>
      <c r="D1037" s="189"/>
      <c r="E1037" s="190"/>
      <c r="F1037" s="97"/>
      <c r="G1037" s="128"/>
    </row>
    <row r="1038" spans="1:7" ht="41.4" x14ac:dyDescent="0.25">
      <c r="A1038" s="39" t="s">
        <v>2</v>
      </c>
      <c r="B1038" s="40" t="s">
        <v>38</v>
      </c>
      <c r="C1038" s="41"/>
      <c r="D1038" s="42" t="s">
        <v>6</v>
      </c>
      <c r="E1038" s="190"/>
      <c r="F1038" s="97" t="s">
        <v>1194</v>
      </c>
      <c r="G1038" s="128"/>
    </row>
    <row r="1039" spans="1:7" x14ac:dyDescent="0.25">
      <c r="A1039" s="187"/>
      <c r="B1039" s="192"/>
      <c r="C1039" s="188"/>
      <c r="D1039" s="189"/>
      <c r="E1039" s="190"/>
      <c r="F1039" s="97"/>
      <c r="G1039" s="128"/>
    </row>
    <row r="1040" spans="1:7" ht="41.4" x14ac:dyDescent="0.25">
      <c r="A1040" s="39" t="s">
        <v>5</v>
      </c>
      <c r="B1040" s="40" t="s">
        <v>39</v>
      </c>
      <c r="C1040" s="41"/>
      <c r="D1040" s="42" t="s">
        <v>6</v>
      </c>
      <c r="E1040" s="190"/>
      <c r="F1040" s="97" t="s">
        <v>1194</v>
      </c>
      <c r="G1040" s="128"/>
    </row>
    <row r="1041" spans="1:7" x14ac:dyDescent="0.25">
      <c r="A1041" s="187"/>
      <c r="B1041" s="192"/>
      <c r="C1041" s="188"/>
      <c r="D1041" s="189"/>
      <c r="E1041" s="190"/>
      <c r="F1041" s="97"/>
      <c r="G1041" s="128"/>
    </row>
    <row r="1042" spans="1:7" ht="41.4" x14ac:dyDescent="0.25">
      <c r="A1042" s="39" t="s">
        <v>8</v>
      </c>
      <c r="B1042" s="40" t="s">
        <v>741</v>
      </c>
      <c r="C1042" s="41"/>
      <c r="D1042" s="42" t="s">
        <v>6</v>
      </c>
      <c r="E1042" s="190"/>
      <c r="F1042" s="97" t="s">
        <v>1194</v>
      </c>
      <c r="G1042" s="128"/>
    </row>
    <row r="1043" spans="1:7" x14ac:dyDescent="0.25">
      <c r="A1043" s="187"/>
      <c r="B1043" s="192"/>
      <c r="C1043" s="188"/>
      <c r="D1043" s="189"/>
      <c r="E1043" s="190"/>
      <c r="F1043" s="97"/>
      <c r="G1043" s="128"/>
    </row>
    <row r="1044" spans="1:7" ht="55.2" x14ac:dyDescent="0.25">
      <c r="A1044" s="39" t="s">
        <v>9</v>
      </c>
      <c r="B1044" s="40" t="s">
        <v>40</v>
      </c>
      <c r="C1044" s="41"/>
      <c r="D1044" s="42" t="s">
        <v>6</v>
      </c>
      <c r="E1044" s="190"/>
      <c r="F1044" s="97" t="s">
        <v>1194</v>
      </c>
      <c r="G1044" s="128"/>
    </row>
    <row r="1045" spans="1:7" x14ac:dyDescent="0.25">
      <c r="A1045" s="187"/>
      <c r="B1045" s="192"/>
      <c r="C1045" s="188"/>
      <c r="D1045" s="189"/>
      <c r="E1045" s="190"/>
      <c r="F1045" s="97"/>
      <c r="G1045" s="128"/>
    </row>
    <row r="1046" spans="1:7" ht="55.2" x14ac:dyDescent="0.25">
      <c r="A1046" s="39" t="s">
        <v>10</v>
      </c>
      <c r="B1046" s="40" t="s">
        <v>1137</v>
      </c>
      <c r="C1046" s="41"/>
      <c r="D1046" s="42" t="s">
        <v>6</v>
      </c>
      <c r="E1046" s="190"/>
      <c r="F1046" s="97" t="s">
        <v>1194</v>
      </c>
      <c r="G1046" s="128"/>
    </row>
    <row r="1047" spans="1:7" x14ac:dyDescent="0.25">
      <c r="A1047" s="187"/>
      <c r="B1047" s="192"/>
      <c r="C1047" s="188"/>
      <c r="D1047" s="189"/>
      <c r="E1047" s="190"/>
      <c r="F1047" s="97"/>
      <c r="G1047" s="128"/>
    </row>
    <row r="1048" spans="1:7" ht="41.4" x14ac:dyDescent="0.25">
      <c r="A1048" s="39" t="s">
        <v>12</v>
      </c>
      <c r="B1048" s="40" t="s">
        <v>41</v>
      </c>
      <c r="C1048" s="41"/>
      <c r="D1048" s="42" t="s">
        <v>6</v>
      </c>
      <c r="E1048" s="190"/>
      <c r="F1048" s="97" t="s">
        <v>1194</v>
      </c>
      <c r="G1048" s="128"/>
    </row>
    <row r="1049" spans="1:7" x14ac:dyDescent="0.25">
      <c r="A1049" s="187"/>
      <c r="B1049" s="192"/>
      <c r="C1049" s="188"/>
      <c r="D1049" s="189"/>
      <c r="E1049" s="190"/>
      <c r="F1049" s="97"/>
      <c r="G1049" s="128"/>
    </row>
    <row r="1050" spans="1:7" ht="55.2" x14ac:dyDescent="0.25">
      <c r="A1050" s="39" t="s">
        <v>13</v>
      </c>
      <c r="B1050" s="40" t="s">
        <v>1138</v>
      </c>
      <c r="C1050" s="41"/>
      <c r="D1050" s="42" t="s">
        <v>6</v>
      </c>
      <c r="E1050" s="190"/>
      <c r="F1050" s="97" t="s">
        <v>1194</v>
      </c>
      <c r="G1050" s="128"/>
    </row>
    <row r="1051" spans="1:7" x14ac:dyDescent="0.25">
      <c r="A1051" s="187"/>
      <c r="B1051" s="192"/>
      <c r="C1051" s="188"/>
      <c r="D1051" s="189"/>
      <c r="E1051" s="190"/>
      <c r="F1051" s="97"/>
      <c r="G1051" s="128"/>
    </row>
    <row r="1052" spans="1:7" x14ac:dyDescent="0.25">
      <c r="A1052" s="39"/>
      <c r="B1052" s="40"/>
      <c r="C1052" s="41"/>
      <c r="D1052" s="42"/>
      <c r="E1052" s="190"/>
      <c r="F1052" s="97"/>
      <c r="G1052" s="128"/>
    </row>
    <row r="1053" spans="1:7" x14ac:dyDescent="0.25">
      <c r="A1053" s="39"/>
      <c r="B1053" s="40"/>
      <c r="C1053" s="41"/>
      <c r="D1053" s="42"/>
      <c r="E1053" s="190"/>
      <c r="F1053" s="97"/>
      <c r="G1053" s="128"/>
    </row>
    <row r="1054" spans="1:7" x14ac:dyDescent="0.25">
      <c r="A1054" s="39"/>
      <c r="B1054" s="40"/>
      <c r="C1054" s="41"/>
      <c r="D1054" s="42"/>
      <c r="E1054" s="190"/>
      <c r="F1054" s="97"/>
      <c r="G1054" s="128"/>
    </row>
    <row r="1055" spans="1:7" x14ac:dyDescent="0.25">
      <c r="A1055" s="187"/>
      <c r="B1055" s="192"/>
      <c r="C1055" s="188"/>
      <c r="D1055" s="189"/>
      <c r="E1055" s="190"/>
      <c r="F1055" s="97"/>
      <c r="G1055" s="128"/>
    </row>
    <row r="1056" spans="1:7" x14ac:dyDescent="0.25">
      <c r="A1056" s="39"/>
      <c r="B1056" s="40"/>
      <c r="C1056" s="41"/>
      <c r="D1056" s="42"/>
      <c r="E1056" s="190"/>
      <c r="F1056" s="97"/>
      <c r="G1056" s="128"/>
    </row>
    <row r="1057" spans="1:7" x14ac:dyDescent="0.25">
      <c r="A1057" s="187"/>
      <c r="B1057" s="192"/>
      <c r="C1057" s="188"/>
      <c r="D1057" s="189"/>
      <c r="E1057" s="190"/>
      <c r="F1057" s="97"/>
      <c r="G1057" s="128"/>
    </row>
    <row r="1058" spans="1:7" x14ac:dyDescent="0.25">
      <c r="A1058" s="39"/>
      <c r="B1058" s="40"/>
      <c r="C1058" s="41"/>
      <c r="D1058" s="42"/>
      <c r="E1058" s="190"/>
      <c r="F1058" s="97"/>
      <c r="G1058" s="128"/>
    </row>
    <row r="1059" spans="1:7" x14ac:dyDescent="0.25">
      <c r="A1059" s="193"/>
      <c r="B1059" s="194"/>
      <c r="C1059" s="195"/>
      <c r="D1059" s="196"/>
      <c r="E1059" s="117"/>
      <c r="F1059" s="98"/>
      <c r="G1059" s="130"/>
    </row>
    <row r="1060" spans="1:7" x14ac:dyDescent="0.25">
      <c r="A1060" s="197"/>
      <c r="B1060" s="198"/>
      <c r="C1060" s="199" t="s">
        <v>51</v>
      </c>
      <c r="D1060" s="199"/>
      <c r="E1060" s="200" t="s">
        <v>50</v>
      </c>
      <c r="F1060" s="99">
        <f>SUM(F1034:F1052)</f>
        <v>0</v>
      </c>
      <c r="G1060" s="131"/>
    </row>
    <row r="1061" spans="1:7" x14ac:dyDescent="0.25">
      <c r="A1061" s="197"/>
      <c r="B1061" s="198"/>
      <c r="C1061" s="201"/>
      <c r="D1061" s="202"/>
      <c r="E1061" s="118"/>
      <c r="F1061" s="100"/>
      <c r="G1061" s="132"/>
    </row>
    <row r="1062" spans="1:7" x14ac:dyDescent="0.25">
      <c r="A1062" s="39"/>
      <c r="B1062" s="40"/>
      <c r="C1062" s="41"/>
      <c r="D1062" s="42"/>
      <c r="E1062" s="190"/>
      <c r="F1062" s="97"/>
      <c r="G1062" s="128"/>
    </row>
    <row r="1063" spans="1:7" x14ac:dyDescent="0.25">
      <c r="A1063" s="187"/>
      <c r="B1063" s="36" t="s">
        <v>1139</v>
      </c>
      <c r="C1063" s="188"/>
      <c r="D1063" s="189"/>
      <c r="E1063" s="190"/>
      <c r="F1063" s="97"/>
      <c r="G1063" s="128"/>
    </row>
    <row r="1064" spans="1:7" x14ac:dyDescent="0.25">
      <c r="A1064" s="187"/>
      <c r="B1064" s="192"/>
      <c r="C1064" s="188"/>
      <c r="D1064" s="189"/>
      <c r="E1064" s="190"/>
      <c r="F1064" s="97"/>
      <c r="G1064" s="128"/>
    </row>
    <row r="1065" spans="1:7" ht="55.2" x14ac:dyDescent="0.25">
      <c r="A1065" s="39" t="s">
        <v>3</v>
      </c>
      <c r="B1065" s="40" t="s">
        <v>1140</v>
      </c>
      <c r="C1065" s="41"/>
      <c r="D1065" s="42" t="s">
        <v>6</v>
      </c>
      <c r="E1065" s="190"/>
      <c r="F1065" s="97" t="s">
        <v>1194</v>
      </c>
      <c r="G1065" s="128"/>
    </row>
    <row r="1066" spans="1:7" x14ac:dyDescent="0.25">
      <c r="A1066" s="187"/>
      <c r="B1066" s="192"/>
      <c r="C1066" s="188"/>
      <c r="D1066" s="189"/>
      <c r="E1066" s="190"/>
      <c r="F1066" s="97"/>
      <c r="G1066" s="128"/>
    </row>
    <row r="1067" spans="1:7" ht="41.4" x14ac:dyDescent="0.25">
      <c r="A1067" s="39" t="s">
        <v>2</v>
      </c>
      <c r="B1067" s="40" t="s">
        <v>99</v>
      </c>
      <c r="C1067" s="41"/>
      <c r="D1067" s="42" t="s">
        <v>6</v>
      </c>
      <c r="E1067" s="190"/>
      <c r="F1067" s="97" t="s">
        <v>1194</v>
      </c>
      <c r="G1067" s="128"/>
    </row>
    <row r="1068" spans="1:7" x14ac:dyDescent="0.25">
      <c r="A1068" s="187"/>
      <c r="B1068" s="192"/>
      <c r="C1068" s="188"/>
      <c r="D1068" s="189"/>
      <c r="E1068" s="190"/>
      <c r="F1068" s="97"/>
      <c r="G1068" s="128"/>
    </row>
    <row r="1069" spans="1:7" ht="41.4" x14ac:dyDescent="0.25">
      <c r="A1069" s="39" t="s">
        <v>5</v>
      </c>
      <c r="B1069" s="40" t="s">
        <v>100</v>
      </c>
      <c r="C1069" s="41"/>
      <c r="D1069" s="42" t="s">
        <v>6</v>
      </c>
      <c r="E1069" s="190"/>
      <c r="F1069" s="97" t="s">
        <v>1194</v>
      </c>
      <c r="G1069" s="128"/>
    </row>
    <row r="1070" spans="1:7" x14ac:dyDescent="0.25">
      <c r="A1070" s="187"/>
      <c r="B1070" s="192"/>
      <c r="C1070" s="188"/>
      <c r="D1070" s="189"/>
      <c r="E1070" s="190"/>
      <c r="F1070" s="97"/>
      <c r="G1070" s="128"/>
    </row>
    <row r="1071" spans="1:7" ht="27.6" x14ac:dyDescent="0.25">
      <c r="A1071" s="39"/>
      <c r="B1071" s="43" t="s">
        <v>154</v>
      </c>
      <c r="C1071" s="41"/>
      <c r="D1071" s="42"/>
      <c r="E1071" s="190"/>
      <c r="F1071" s="97"/>
      <c r="G1071" s="128"/>
    </row>
    <row r="1072" spans="1:7" x14ac:dyDescent="0.25">
      <c r="A1072" s="187"/>
      <c r="B1072" s="192"/>
      <c r="C1072" s="188"/>
      <c r="D1072" s="189"/>
      <c r="E1072" s="190"/>
      <c r="F1072" s="97"/>
      <c r="G1072" s="128"/>
    </row>
    <row r="1073" spans="1:7" ht="41.4" x14ac:dyDescent="0.25">
      <c r="A1073" s="39" t="s">
        <v>8</v>
      </c>
      <c r="B1073" s="40" t="s">
        <v>155</v>
      </c>
      <c r="C1073" s="41"/>
      <c r="D1073" s="42" t="s">
        <v>6</v>
      </c>
      <c r="E1073" s="190">
        <v>325966.11</v>
      </c>
      <c r="F1073" s="97">
        <f>+E1073</f>
        <v>325966.11</v>
      </c>
      <c r="G1073" s="128"/>
    </row>
    <row r="1074" spans="1:7" x14ac:dyDescent="0.25">
      <c r="A1074" s="39"/>
      <c r="B1074" s="40"/>
      <c r="C1074" s="41"/>
      <c r="D1074" s="42"/>
      <c r="E1074" s="190"/>
      <c r="F1074" s="97"/>
      <c r="G1074" s="128"/>
    </row>
    <row r="1075" spans="1:7" x14ac:dyDescent="0.25">
      <c r="A1075" s="187"/>
      <c r="B1075" s="192"/>
      <c r="C1075" s="188"/>
      <c r="D1075" s="189"/>
      <c r="E1075" s="190"/>
      <c r="F1075" s="97"/>
      <c r="G1075" s="128"/>
    </row>
    <row r="1076" spans="1:7" x14ac:dyDescent="0.25">
      <c r="A1076" s="39"/>
      <c r="B1076" s="40"/>
      <c r="C1076" s="41"/>
      <c r="D1076" s="42"/>
      <c r="E1076" s="190"/>
      <c r="F1076" s="97"/>
      <c r="G1076" s="128"/>
    </row>
    <row r="1077" spans="1:7" x14ac:dyDescent="0.25">
      <c r="A1077" s="187"/>
      <c r="B1077" s="192"/>
      <c r="C1077" s="188"/>
      <c r="D1077" s="189"/>
      <c r="E1077" s="190"/>
      <c r="F1077" s="97"/>
      <c r="G1077" s="128"/>
    </row>
    <row r="1078" spans="1:7" x14ac:dyDescent="0.25">
      <c r="A1078" s="39"/>
      <c r="B1078" s="40"/>
      <c r="C1078" s="41"/>
      <c r="D1078" s="42"/>
      <c r="E1078" s="190"/>
      <c r="F1078" s="97"/>
      <c r="G1078" s="128"/>
    </row>
    <row r="1079" spans="1:7" x14ac:dyDescent="0.25">
      <c r="A1079" s="187"/>
      <c r="B1079" s="192"/>
      <c r="C1079" s="188"/>
      <c r="D1079" s="189"/>
      <c r="E1079" s="190"/>
      <c r="F1079" s="97"/>
      <c r="G1079" s="128"/>
    </row>
    <row r="1080" spans="1:7" x14ac:dyDescent="0.25">
      <c r="A1080" s="39"/>
      <c r="B1080" s="40"/>
      <c r="C1080" s="41"/>
      <c r="D1080" s="42"/>
      <c r="E1080" s="190"/>
      <c r="F1080" s="97"/>
      <c r="G1080" s="128"/>
    </row>
    <row r="1081" spans="1:7" x14ac:dyDescent="0.25">
      <c r="A1081" s="187"/>
      <c r="B1081" s="192"/>
      <c r="C1081" s="188"/>
      <c r="D1081" s="189"/>
      <c r="E1081" s="190"/>
      <c r="F1081" s="97"/>
      <c r="G1081" s="128"/>
    </row>
    <row r="1082" spans="1:7" x14ac:dyDescent="0.25">
      <c r="A1082" s="187"/>
      <c r="B1082" s="192"/>
      <c r="C1082" s="188"/>
      <c r="D1082" s="189"/>
      <c r="E1082" s="190"/>
      <c r="F1082" s="97"/>
      <c r="G1082" s="128"/>
    </row>
    <row r="1083" spans="1:7" x14ac:dyDescent="0.25">
      <c r="A1083" s="187"/>
      <c r="B1083" s="192"/>
      <c r="C1083" s="188"/>
      <c r="D1083" s="189"/>
      <c r="E1083" s="190"/>
      <c r="F1083" s="97"/>
      <c r="G1083" s="128"/>
    </row>
    <row r="1084" spans="1:7" x14ac:dyDescent="0.25">
      <c r="A1084" s="187"/>
      <c r="B1084" s="192"/>
      <c r="C1084" s="188"/>
      <c r="D1084" s="189"/>
      <c r="E1084" s="190"/>
      <c r="F1084" s="97"/>
      <c r="G1084" s="128"/>
    </row>
    <row r="1085" spans="1:7" x14ac:dyDescent="0.25">
      <c r="A1085" s="187"/>
      <c r="B1085" s="192"/>
      <c r="C1085" s="188"/>
      <c r="D1085" s="189"/>
      <c r="E1085" s="190"/>
      <c r="F1085" s="97"/>
      <c r="G1085" s="128"/>
    </row>
    <row r="1086" spans="1:7" x14ac:dyDescent="0.25">
      <c r="A1086" s="187"/>
      <c r="B1086" s="192"/>
      <c r="C1086" s="188"/>
      <c r="D1086" s="189"/>
      <c r="E1086" s="190"/>
      <c r="F1086" s="97"/>
      <c r="G1086" s="128"/>
    </row>
    <row r="1087" spans="1:7" x14ac:dyDescent="0.25">
      <c r="A1087" s="187"/>
      <c r="B1087" s="192"/>
      <c r="C1087" s="188"/>
      <c r="D1087" s="189"/>
      <c r="E1087" s="190"/>
      <c r="F1087" s="97"/>
      <c r="G1087" s="128"/>
    </row>
    <row r="1088" spans="1:7" x14ac:dyDescent="0.25">
      <c r="A1088" s="187"/>
      <c r="B1088" s="192"/>
      <c r="C1088" s="188"/>
      <c r="D1088" s="189"/>
      <c r="E1088" s="190"/>
      <c r="F1088" s="97"/>
      <c r="G1088" s="128"/>
    </row>
    <row r="1089" spans="1:7" x14ac:dyDescent="0.25">
      <c r="A1089" s="187"/>
      <c r="B1089" s="192"/>
      <c r="C1089" s="188"/>
      <c r="D1089" s="189"/>
      <c r="E1089" s="190"/>
      <c r="F1089" s="97"/>
      <c r="G1089" s="128"/>
    </row>
    <row r="1090" spans="1:7" x14ac:dyDescent="0.25">
      <c r="A1090" s="187"/>
      <c r="B1090" s="192"/>
      <c r="C1090" s="188"/>
      <c r="D1090" s="189"/>
      <c r="E1090" s="190"/>
      <c r="F1090" s="97"/>
      <c r="G1090" s="128"/>
    </row>
    <row r="1091" spans="1:7" x14ac:dyDescent="0.25">
      <c r="A1091" s="187"/>
      <c r="B1091" s="192"/>
      <c r="C1091" s="188"/>
      <c r="D1091" s="189"/>
      <c r="E1091" s="190"/>
      <c r="F1091" s="97"/>
      <c r="G1091" s="128"/>
    </row>
    <row r="1092" spans="1:7" x14ac:dyDescent="0.25">
      <c r="A1092" s="187"/>
      <c r="B1092" s="192"/>
      <c r="C1092" s="188"/>
      <c r="D1092" s="189"/>
      <c r="E1092" s="190"/>
      <c r="F1092" s="97"/>
      <c r="G1092" s="128"/>
    </row>
    <row r="1093" spans="1:7" x14ac:dyDescent="0.25">
      <c r="A1093" s="187"/>
      <c r="B1093" s="36"/>
      <c r="C1093" s="188"/>
      <c r="D1093" s="189"/>
      <c r="E1093" s="190"/>
      <c r="F1093" s="97"/>
      <c r="G1093" s="128"/>
    </row>
    <row r="1094" spans="1:7" x14ac:dyDescent="0.25">
      <c r="A1094" s="187"/>
      <c r="B1094" s="192"/>
      <c r="C1094" s="188"/>
      <c r="D1094" s="189"/>
      <c r="E1094" s="190"/>
      <c r="F1094" s="97"/>
      <c r="G1094" s="128"/>
    </row>
    <row r="1095" spans="1:7" x14ac:dyDescent="0.25">
      <c r="A1095" s="39"/>
      <c r="B1095" s="40"/>
      <c r="C1095" s="41"/>
      <c r="D1095" s="42"/>
      <c r="E1095" s="190"/>
      <c r="F1095" s="97"/>
      <c r="G1095" s="128"/>
    </row>
    <row r="1096" spans="1:7" x14ac:dyDescent="0.25">
      <c r="A1096" s="39"/>
      <c r="B1096" s="40"/>
      <c r="C1096" s="41"/>
      <c r="D1096" s="42"/>
      <c r="E1096" s="190"/>
      <c r="F1096" s="97"/>
      <c r="G1096" s="128"/>
    </row>
    <row r="1097" spans="1:7" x14ac:dyDescent="0.25">
      <c r="A1097" s="39"/>
      <c r="B1097" s="40"/>
      <c r="C1097" s="41"/>
      <c r="D1097" s="42"/>
      <c r="E1097" s="190"/>
      <c r="F1097" s="97"/>
      <c r="G1097" s="128"/>
    </row>
    <row r="1098" spans="1:7" x14ac:dyDescent="0.25">
      <c r="A1098" s="187"/>
      <c r="B1098" s="192"/>
      <c r="C1098" s="188"/>
      <c r="D1098" s="189"/>
      <c r="E1098" s="190"/>
      <c r="F1098" s="97"/>
      <c r="G1098" s="128"/>
    </row>
    <row r="1099" spans="1:7" x14ac:dyDescent="0.25">
      <c r="A1099" s="39"/>
      <c r="B1099" s="40"/>
      <c r="C1099" s="41"/>
      <c r="D1099" s="42"/>
      <c r="E1099" s="190"/>
      <c r="F1099" s="97"/>
      <c r="G1099" s="128"/>
    </row>
    <row r="1100" spans="1:7" x14ac:dyDescent="0.25">
      <c r="A1100" s="193"/>
      <c r="B1100" s="194"/>
      <c r="C1100" s="195"/>
      <c r="D1100" s="196"/>
      <c r="E1100" s="117"/>
      <c r="F1100" s="98"/>
      <c r="G1100" s="130"/>
    </row>
    <row r="1101" spans="1:7" x14ac:dyDescent="0.25">
      <c r="A1101" s="197"/>
      <c r="B1101" s="198"/>
      <c r="C1101" s="199" t="s">
        <v>51</v>
      </c>
      <c r="D1101" s="199"/>
      <c r="E1101" s="200" t="s">
        <v>50</v>
      </c>
      <c r="F1101" s="99">
        <f>SUM(F1064:F1079)</f>
        <v>325966.11</v>
      </c>
      <c r="G1101" s="131"/>
    </row>
    <row r="1102" spans="1:7" x14ac:dyDescent="0.25">
      <c r="A1102" s="197"/>
      <c r="B1102" s="198"/>
      <c r="C1102" s="201"/>
      <c r="D1102" s="202"/>
      <c r="E1102" s="118"/>
      <c r="F1102" s="100"/>
      <c r="G1102" s="132"/>
    </row>
    <row r="1103" spans="1:7" x14ac:dyDescent="0.25">
      <c r="A1103" s="39"/>
      <c r="B1103" s="40"/>
      <c r="C1103" s="41"/>
      <c r="D1103" s="42"/>
      <c r="E1103" s="190"/>
      <c r="F1103" s="97"/>
      <c r="G1103" s="128"/>
    </row>
    <row r="1104" spans="1:7" x14ac:dyDescent="0.25">
      <c r="A1104" s="187"/>
      <c r="B1104" s="36" t="s">
        <v>20</v>
      </c>
      <c r="C1104" s="188"/>
      <c r="D1104" s="189"/>
      <c r="E1104" s="190"/>
      <c r="F1104" s="97"/>
      <c r="G1104" s="128"/>
    </row>
    <row r="1105" spans="1:7" x14ac:dyDescent="0.25">
      <c r="A1105" s="187"/>
      <c r="B1105" s="192"/>
      <c r="C1105" s="188"/>
      <c r="D1105" s="189"/>
      <c r="E1105" s="190"/>
      <c r="F1105" s="97"/>
      <c r="G1105" s="128"/>
    </row>
    <row r="1106" spans="1:7" ht="82.8" x14ac:dyDescent="0.25">
      <c r="A1106" s="39"/>
      <c r="B1106" s="40" t="s">
        <v>156</v>
      </c>
      <c r="C1106" s="41"/>
      <c r="D1106" s="42" t="s">
        <v>6</v>
      </c>
      <c r="E1106" s="190"/>
      <c r="F1106" s="97">
        <f>C1106*E1106</f>
        <v>0</v>
      </c>
      <c r="G1106" s="128"/>
    </row>
    <row r="1107" spans="1:7" x14ac:dyDescent="0.25">
      <c r="A1107" s="55"/>
      <c r="B1107" s="59"/>
      <c r="C1107" s="57"/>
      <c r="D1107" s="58"/>
      <c r="E1107" s="190"/>
      <c r="F1107" s="97"/>
      <c r="G1107" s="128"/>
    </row>
    <row r="1108" spans="1:7" ht="14.4" x14ac:dyDescent="0.25">
      <c r="A1108" s="204"/>
      <c r="B1108" s="233" t="s">
        <v>1208</v>
      </c>
      <c r="C1108" s="206"/>
      <c r="D1108" s="207"/>
      <c r="E1108" s="190"/>
      <c r="F1108" s="97"/>
      <c r="G1108" s="128"/>
    </row>
    <row r="1109" spans="1:7" x14ac:dyDescent="0.25">
      <c r="A1109" s="55"/>
      <c r="B1109" s="59"/>
      <c r="C1109" s="57"/>
      <c r="D1109" s="58"/>
      <c r="E1109" s="190"/>
      <c r="F1109" s="97"/>
      <c r="G1109" s="128"/>
    </row>
    <row r="1110" spans="1:7" s="51" customFormat="1" ht="26.4" x14ac:dyDescent="0.25">
      <c r="A1110" s="235" t="s">
        <v>2</v>
      </c>
      <c r="B1110" s="236" t="s">
        <v>1210</v>
      </c>
      <c r="C1110" s="204">
        <v>1</v>
      </c>
      <c r="D1110" s="237" t="s">
        <v>6</v>
      </c>
      <c r="E1110" s="231">
        <v>2500793.04</v>
      </c>
      <c r="F1110" s="142">
        <f>C1110*E1110</f>
        <v>2500793.04</v>
      </c>
      <c r="G1110" s="162"/>
    </row>
    <row r="1111" spans="1:7" x14ac:dyDescent="0.25">
      <c r="A1111" s="55"/>
      <c r="B1111" s="59"/>
      <c r="C1111" s="57"/>
      <c r="D1111" s="58"/>
      <c r="E1111" s="190"/>
      <c r="F1111" s="97"/>
      <c r="G1111" s="128"/>
    </row>
    <row r="1112" spans="1:7" x14ac:dyDescent="0.25">
      <c r="A1112" s="204"/>
      <c r="B1112" s="205"/>
      <c r="C1112" s="206"/>
      <c r="D1112" s="207"/>
      <c r="E1112" s="190"/>
      <c r="F1112" s="97"/>
      <c r="G1112" s="128"/>
    </row>
    <row r="1113" spans="1:7" x14ac:dyDescent="0.25">
      <c r="A1113" s="55"/>
      <c r="B1113" s="59"/>
      <c r="C1113" s="57"/>
      <c r="D1113" s="58"/>
      <c r="E1113" s="190"/>
      <c r="F1113" s="97"/>
      <c r="G1113" s="128"/>
    </row>
    <row r="1114" spans="1:7" x14ac:dyDescent="0.25">
      <c r="A1114" s="204"/>
      <c r="B1114" s="205"/>
      <c r="C1114" s="206"/>
      <c r="D1114" s="207"/>
      <c r="E1114" s="190"/>
      <c r="F1114" s="97"/>
      <c r="G1114" s="128"/>
    </row>
    <row r="1115" spans="1:7" x14ac:dyDescent="0.25">
      <c r="A1115" s="55"/>
      <c r="B1115" s="59"/>
      <c r="C1115" s="57"/>
      <c r="D1115" s="58"/>
      <c r="E1115" s="190"/>
      <c r="F1115" s="97"/>
      <c r="G1115" s="128"/>
    </row>
    <row r="1116" spans="1:7" x14ac:dyDescent="0.25">
      <c r="A1116" s="204"/>
      <c r="B1116" s="205"/>
      <c r="C1116" s="206"/>
      <c r="D1116" s="207"/>
      <c r="E1116" s="190"/>
      <c r="F1116" s="97"/>
      <c r="G1116" s="128"/>
    </row>
    <row r="1117" spans="1:7" x14ac:dyDescent="0.25">
      <c r="A1117" s="55"/>
      <c r="B1117" s="59"/>
      <c r="C1117" s="57"/>
      <c r="D1117" s="58"/>
      <c r="E1117" s="190"/>
      <c r="F1117" s="97"/>
      <c r="G1117" s="128"/>
    </row>
    <row r="1118" spans="1:7" x14ac:dyDescent="0.25">
      <c r="A1118" s="204"/>
      <c r="B1118" s="205"/>
      <c r="C1118" s="206"/>
      <c r="D1118" s="207"/>
      <c r="E1118" s="190"/>
      <c r="F1118" s="97"/>
      <c r="G1118" s="128"/>
    </row>
    <row r="1119" spans="1:7" x14ac:dyDescent="0.25">
      <c r="A1119" s="55"/>
      <c r="B1119" s="59"/>
      <c r="C1119" s="57"/>
      <c r="D1119" s="58"/>
      <c r="E1119" s="190"/>
      <c r="F1119" s="97"/>
      <c r="G1119" s="128"/>
    </row>
    <row r="1120" spans="1:7" x14ac:dyDescent="0.25">
      <c r="A1120" s="204"/>
      <c r="B1120" s="205"/>
      <c r="C1120" s="206"/>
      <c r="D1120" s="207"/>
      <c r="E1120" s="190"/>
      <c r="F1120" s="97"/>
      <c r="G1120" s="128"/>
    </row>
    <row r="1121" spans="1:7" x14ac:dyDescent="0.25">
      <c r="A1121" s="55"/>
      <c r="B1121" s="59"/>
      <c r="C1121" s="57"/>
      <c r="D1121" s="58"/>
      <c r="E1121" s="190"/>
      <c r="F1121" s="97"/>
      <c r="G1121" s="128"/>
    </row>
    <row r="1122" spans="1:7" x14ac:dyDescent="0.25">
      <c r="A1122" s="204"/>
      <c r="B1122" s="205"/>
      <c r="C1122" s="206"/>
      <c r="D1122" s="207"/>
      <c r="E1122" s="190"/>
      <c r="F1122" s="97"/>
      <c r="G1122" s="128"/>
    </row>
    <row r="1123" spans="1:7" x14ac:dyDescent="0.25">
      <c r="A1123" s="55"/>
      <c r="B1123" s="59"/>
      <c r="C1123" s="57"/>
      <c r="D1123" s="58"/>
      <c r="E1123" s="190"/>
      <c r="F1123" s="97"/>
      <c r="G1123" s="128"/>
    </row>
    <row r="1124" spans="1:7" x14ac:dyDescent="0.25">
      <c r="A1124" s="204"/>
      <c r="B1124" s="205"/>
      <c r="C1124" s="206"/>
      <c r="D1124" s="207"/>
      <c r="E1124" s="190"/>
      <c r="F1124" s="97"/>
      <c r="G1124" s="128"/>
    </row>
    <row r="1125" spans="1:7" x14ac:dyDescent="0.25">
      <c r="A1125" s="55"/>
      <c r="B1125" s="59"/>
      <c r="C1125" s="57"/>
      <c r="D1125" s="58"/>
      <c r="E1125" s="190"/>
      <c r="F1125" s="97"/>
      <c r="G1125" s="128"/>
    </row>
    <row r="1126" spans="1:7" x14ac:dyDescent="0.25">
      <c r="A1126" s="204"/>
      <c r="B1126" s="205"/>
      <c r="C1126" s="206"/>
      <c r="D1126" s="207"/>
      <c r="E1126" s="190"/>
      <c r="F1126" s="97"/>
      <c r="G1126" s="128"/>
    </row>
    <row r="1127" spans="1:7" x14ac:dyDescent="0.25">
      <c r="A1127" s="55"/>
      <c r="B1127" s="59"/>
      <c r="C1127" s="57"/>
      <c r="D1127" s="58"/>
      <c r="E1127" s="190"/>
      <c r="F1127" s="97"/>
      <c r="G1127" s="128"/>
    </row>
    <row r="1128" spans="1:7" x14ac:dyDescent="0.25">
      <c r="A1128" s="204"/>
      <c r="B1128" s="205"/>
      <c r="C1128" s="206"/>
      <c r="D1128" s="207"/>
      <c r="E1128" s="190"/>
      <c r="F1128" s="97"/>
      <c r="G1128" s="128"/>
    </row>
    <row r="1129" spans="1:7" x14ac:dyDescent="0.25">
      <c r="A1129" s="55"/>
      <c r="B1129" s="59"/>
      <c r="C1129" s="57"/>
      <c r="D1129" s="58"/>
      <c r="E1129" s="190"/>
      <c r="F1129" s="97"/>
      <c r="G1129" s="128"/>
    </row>
    <row r="1130" spans="1:7" x14ac:dyDescent="0.25">
      <c r="A1130" s="204"/>
      <c r="B1130" s="205"/>
      <c r="C1130" s="206"/>
      <c r="D1130" s="207"/>
      <c r="E1130" s="190"/>
      <c r="F1130" s="97"/>
      <c r="G1130" s="128"/>
    </row>
    <row r="1131" spans="1:7" x14ac:dyDescent="0.25">
      <c r="A1131" s="55"/>
      <c r="B1131" s="59"/>
      <c r="C1131" s="57"/>
      <c r="D1131" s="58"/>
      <c r="E1131" s="190"/>
      <c r="F1131" s="97"/>
      <c r="G1131" s="128"/>
    </row>
    <row r="1132" spans="1:7" x14ac:dyDescent="0.25">
      <c r="A1132" s="204"/>
      <c r="B1132" s="205"/>
      <c r="C1132" s="206"/>
      <c r="D1132" s="207"/>
      <c r="E1132" s="190"/>
      <c r="F1132" s="97"/>
      <c r="G1132" s="128"/>
    </row>
    <row r="1133" spans="1:7" x14ac:dyDescent="0.25">
      <c r="A1133" s="55"/>
      <c r="B1133" s="59"/>
      <c r="C1133" s="57"/>
      <c r="D1133" s="58"/>
      <c r="E1133" s="190"/>
      <c r="F1133" s="97"/>
      <c r="G1133" s="128"/>
    </row>
    <row r="1134" spans="1:7" x14ac:dyDescent="0.25">
      <c r="A1134" s="204"/>
      <c r="B1134" s="205"/>
      <c r="C1134" s="206"/>
      <c r="D1134" s="207"/>
      <c r="E1134" s="190"/>
      <c r="F1134" s="97"/>
      <c r="G1134" s="128"/>
    </row>
    <row r="1135" spans="1:7" x14ac:dyDescent="0.25">
      <c r="A1135" s="204"/>
      <c r="B1135" s="205"/>
      <c r="C1135" s="206"/>
      <c r="D1135" s="207"/>
      <c r="E1135" s="190"/>
      <c r="F1135" s="97"/>
      <c r="G1135" s="128"/>
    </row>
    <row r="1136" spans="1:7" x14ac:dyDescent="0.25">
      <c r="A1136" s="204"/>
      <c r="B1136" s="205"/>
      <c r="C1136" s="206"/>
      <c r="D1136" s="207"/>
      <c r="E1136" s="190"/>
      <c r="F1136" s="97"/>
      <c r="G1136" s="128"/>
    </row>
    <row r="1137" spans="1:7" x14ac:dyDescent="0.25">
      <c r="A1137" s="204"/>
      <c r="B1137" s="205"/>
      <c r="C1137" s="206"/>
      <c r="D1137" s="207"/>
      <c r="E1137" s="190"/>
      <c r="F1137" s="97"/>
      <c r="G1137" s="128"/>
    </row>
    <row r="1138" spans="1:7" x14ac:dyDescent="0.25">
      <c r="A1138" s="204"/>
      <c r="B1138" s="205"/>
      <c r="C1138" s="206"/>
      <c r="D1138" s="207"/>
      <c r="E1138" s="190"/>
      <c r="F1138" s="97"/>
      <c r="G1138" s="128"/>
    </row>
    <row r="1139" spans="1:7" x14ac:dyDescent="0.25">
      <c r="A1139" s="204"/>
      <c r="B1139" s="205"/>
      <c r="C1139" s="206"/>
      <c r="D1139" s="207"/>
      <c r="E1139" s="190"/>
      <c r="F1139" s="97"/>
      <c r="G1139" s="128"/>
    </row>
    <row r="1140" spans="1:7" x14ac:dyDescent="0.25">
      <c r="A1140" s="204"/>
      <c r="B1140" s="205"/>
      <c r="C1140" s="206"/>
      <c r="D1140" s="207"/>
      <c r="E1140" s="190"/>
      <c r="F1140" s="97"/>
      <c r="G1140" s="128"/>
    </row>
    <row r="1141" spans="1:7" x14ac:dyDescent="0.25">
      <c r="A1141" s="204"/>
      <c r="B1141" s="205"/>
      <c r="C1141" s="206"/>
      <c r="D1141" s="207"/>
      <c r="E1141" s="190"/>
      <c r="F1141" s="97"/>
      <c r="G1141" s="128"/>
    </row>
    <row r="1142" spans="1:7" x14ac:dyDescent="0.25">
      <c r="A1142" s="55"/>
      <c r="B1142" s="59"/>
      <c r="C1142" s="57"/>
      <c r="D1142" s="58"/>
      <c r="E1142" s="190"/>
      <c r="F1142" s="97"/>
      <c r="G1142" s="128"/>
    </row>
    <row r="1143" spans="1:7" x14ac:dyDescent="0.25">
      <c r="A1143" s="204"/>
      <c r="B1143" s="205"/>
      <c r="C1143" s="206"/>
      <c r="D1143" s="207"/>
      <c r="E1143" s="190"/>
      <c r="F1143" s="97"/>
      <c r="G1143" s="128"/>
    </row>
    <row r="1144" spans="1:7" x14ac:dyDescent="0.25">
      <c r="A1144" s="55"/>
      <c r="B1144" s="59"/>
      <c r="C1144" s="57"/>
      <c r="D1144" s="58"/>
      <c r="E1144" s="190"/>
      <c r="F1144" s="97"/>
      <c r="G1144" s="128"/>
    </row>
    <row r="1145" spans="1:7" x14ac:dyDescent="0.25">
      <c r="A1145" s="204"/>
      <c r="B1145" s="205"/>
      <c r="C1145" s="206"/>
      <c r="D1145" s="207"/>
      <c r="E1145" s="190"/>
      <c r="F1145" s="97"/>
      <c r="G1145" s="128"/>
    </row>
    <row r="1146" spans="1:7" x14ac:dyDescent="0.25">
      <c r="A1146" s="193"/>
      <c r="B1146" s="194"/>
      <c r="C1146" s="195"/>
      <c r="D1146" s="196"/>
      <c r="E1146" s="117"/>
      <c r="F1146" s="98"/>
      <c r="G1146" s="130"/>
    </row>
    <row r="1147" spans="1:7" x14ac:dyDescent="0.25">
      <c r="A1147" s="197"/>
      <c r="B1147" s="198"/>
      <c r="C1147" s="199" t="s">
        <v>51</v>
      </c>
      <c r="D1147" s="199"/>
      <c r="E1147" s="200" t="s">
        <v>50</v>
      </c>
      <c r="F1147" s="99">
        <f>SUM(F1106:F1126)</f>
        <v>2500793.04</v>
      </c>
      <c r="G1147" s="131"/>
    </row>
    <row r="1148" spans="1:7" x14ac:dyDescent="0.25">
      <c r="A1148" s="197"/>
      <c r="B1148" s="198"/>
      <c r="C1148" s="201"/>
      <c r="D1148" s="202"/>
      <c r="E1148" s="118"/>
      <c r="F1148" s="100"/>
      <c r="G1148" s="132"/>
    </row>
    <row r="1149" spans="1:7" x14ac:dyDescent="0.25">
      <c r="A1149" s="187"/>
      <c r="B1149" s="192"/>
      <c r="C1149" s="188"/>
      <c r="D1149" s="189"/>
      <c r="E1149" s="190"/>
      <c r="F1149" s="97"/>
      <c r="G1149" s="128"/>
    </row>
    <row r="1150" spans="1:7" x14ac:dyDescent="0.25">
      <c r="A1150" s="39"/>
      <c r="B1150" s="209" t="s">
        <v>52</v>
      </c>
      <c r="C1150" s="41"/>
      <c r="D1150" s="42"/>
      <c r="E1150" s="190"/>
      <c r="F1150" s="97"/>
      <c r="G1150" s="128"/>
    </row>
    <row r="1151" spans="1:7" x14ac:dyDescent="0.25">
      <c r="A1151" s="187"/>
      <c r="B1151" s="40"/>
      <c r="C1151" s="188"/>
      <c r="D1151" s="189"/>
      <c r="E1151" s="190"/>
      <c r="F1151" s="97"/>
      <c r="G1151" s="128"/>
    </row>
    <row r="1152" spans="1:7" x14ac:dyDescent="0.25">
      <c r="A1152" s="39"/>
      <c r="B1152" s="210" t="s">
        <v>1141</v>
      </c>
      <c r="C1152" s="41"/>
      <c r="D1152" s="42"/>
      <c r="E1152" s="190"/>
      <c r="F1152" s="97">
        <f>F37</f>
        <v>31329.870000000003</v>
      </c>
      <c r="G1152" s="128"/>
    </row>
    <row r="1153" spans="1:7" x14ac:dyDescent="0.25">
      <c r="A1153" s="187"/>
      <c r="B1153" s="40"/>
      <c r="C1153" s="188"/>
      <c r="D1153" s="189"/>
      <c r="E1153" s="190"/>
      <c r="F1153" s="97"/>
      <c r="G1153" s="128"/>
    </row>
    <row r="1154" spans="1:7" x14ac:dyDescent="0.25">
      <c r="A1154" s="39"/>
      <c r="B1154" s="210" t="s">
        <v>1142</v>
      </c>
      <c r="C1154" s="41"/>
      <c r="D1154" s="42"/>
      <c r="E1154" s="190"/>
      <c r="F1154" s="97">
        <f>F82</f>
        <v>48665.639999999992</v>
      </c>
      <c r="G1154" s="128"/>
    </row>
    <row r="1155" spans="1:7" x14ac:dyDescent="0.25">
      <c r="A1155" s="187"/>
      <c r="B1155" s="192"/>
      <c r="C1155" s="188"/>
      <c r="D1155" s="189"/>
      <c r="E1155" s="190"/>
      <c r="F1155" s="97"/>
      <c r="G1155" s="128"/>
    </row>
    <row r="1156" spans="1:7" x14ac:dyDescent="0.25">
      <c r="A1156" s="39"/>
      <c r="B1156" s="210" t="s">
        <v>1143</v>
      </c>
      <c r="C1156" s="41"/>
      <c r="D1156" s="42"/>
      <c r="E1156" s="190"/>
      <c r="F1156" s="97">
        <f>F122</f>
        <v>217614.89</v>
      </c>
      <c r="G1156" s="128"/>
    </row>
    <row r="1157" spans="1:7" x14ac:dyDescent="0.25">
      <c r="A1157" s="187"/>
      <c r="B1157" s="40"/>
      <c r="C1157" s="188"/>
      <c r="D1157" s="189"/>
      <c r="E1157" s="190"/>
      <c r="F1157" s="97"/>
      <c r="G1157" s="128"/>
    </row>
    <row r="1158" spans="1:7" x14ac:dyDescent="0.25">
      <c r="A1158" s="39"/>
      <c r="B1158" s="210" t="s">
        <v>1144</v>
      </c>
      <c r="C1158" s="41"/>
      <c r="D1158" s="42"/>
      <c r="E1158" s="190"/>
      <c r="F1158" s="97">
        <f>F171</f>
        <v>218089.52</v>
      </c>
      <c r="G1158" s="128"/>
    </row>
    <row r="1159" spans="1:7" x14ac:dyDescent="0.25">
      <c r="A1159" s="187"/>
      <c r="B1159" s="192"/>
      <c r="C1159" s="188"/>
      <c r="D1159" s="189"/>
      <c r="E1159" s="190"/>
      <c r="F1159" s="97"/>
      <c r="G1159" s="128"/>
    </row>
    <row r="1160" spans="1:7" x14ac:dyDescent="0.25">
      <c r="A1160" s="39"/>
      <c r="B1160" s="210" t="s">
        <v>1145</v>
      </c>
      <c r="C1160" s="41"/>
      <c r="D1160" s="42"/>
      <c r="E1160" s="190"/>
      <c r="F1160" s="97">
        <f>F214</f>
        <v>1226126.42</v>
      </c>
      <c r="G1160" s="128"/>
    </row>
    <row r="1161" spans="1:7" x14ac:dyDescent="0.25">
      <c r="A1161" s="187"/>
      <c r="B1161" s="40"/>
      <c r="C1161" s="188"/>
      <c r="D1161" s="189"/>
      <c r="E1161" s="190"/>
      <c r="F1161" s="97"/>
      <c r="G1161" s="128"/>
    </row>
    <row r="1162" spans="1:7" x14ac:dyDescent="0.25">
      <c r="A1162" s="39"/>
      <c r="B1162" s="210" t="s">
        <v>1146</v>
      </c>
      <c r="C1162" s="41"/>
      <c r="D1162" s="42"/>
      <c r="E1162" s="190"/>
      <c r="F1162" s="97">
        <f>F263</f>
        <v>863427.14000000013</v>
      </c>
      <c r="G1162" s="128"/>
    </row>
    <row r="1163" spans="1:7" x14ac:dyDescent="0.25">
      <c r="A1163" s="187"/>
      <c r="B1163" s="192"/>
      <c r="C1163" s="188"/>
      <c r="D1163" s="189"/>
      <c r="E1163" s="190"/>
      <c r="F1163" s="97"/>
      <c r="G1163" s="128"/>
    </row>
    <row r="1164" spans="1:7" x14ac:dyDescent="0.25">
      <c r="A1164" s="39"/>
      <c r="B1164" s="210" t="s">
        <v>1147</v>
      </c>
      <c r="C1164" s="41"/>
      <c r="D1164" s="42"/>
      <c r="E1164" s="190"/>
      <c r="F1164" s="97">
        <f>F314</f>
        <v>227682.81</v>
      </c>
      <c r="G1164" s="128"/>
    </row>
    <row r="1165" spans="1:7" x14ac:dyDescent="0.25">
      <c r="A1165" s="187"/>
      <c r="B1165" s="40"/>
      <c r="C1165" s="188"/>
      <c r="D1165" s="189"/>
      <c r="E1165" s="190"/>
      <c r="F1165" s="97"/>
      <c r="G1165" s="128"/>
    </row>
    <row r="1166" spans="1:7" x14ac:dyDescent="0.25">
      <c r="A1166" s="39"/>
      <c r="B1166" s="210" t="s">
        <v>1148</v>
      </c>
      <c r="C1166" s="41"/>
      <c r="D1166" s="42"/>
      <c r="E1166" s="190"/>
      <c r="F1166" s="97">
        <f>F364</f>
        <v>160458.60999999999</v>
      </c>
      <c r="G1166" s="128"/>
    </row>
    <row r="1167" spans="1:7" x14ac:dyDescent="0.25">
      <c r="A1167" s="187"/>
      <c r="B1167" s="192"/>
      <c r="C1167" s="188"/>
      <c r="D1167" s="189"/>
      <c r="E1167" s="190"/>
      <c r="F1167" s="97"/>
      <c r="G1167" s="128"/>
    </row>
    <row r="1168" spans="1:7" x14ac:dyDescent="0.25">
      <c r="A1168" s="39"/>
      <c r="B1168" s="210" t="s">
        <v>1149</v>
      </c>
      <c r="C1168" s="41"/>
      <c r="D1168" s="42"/>
      <c r="E1168" s="190"/>
      <c r="F1168" s="97">
        <f>F415</f>
        <v>181333.08999999997</v>
      </c>
      <c r="G1168" s="128"/>
    </row>
    <row r="1169" spans="1:7" x14ac:dyDescent="0.25">
      <c r="A1169" s="187"/>
      <c r="B1169" s="40"/>
      <c r="C1169" s="188"/>
      <c r="D1169" s="189"/>
      <c r="E1169" s="190"/>
      <c r="F1169" s="97"/>
      <c r="G1169" s="128"/>
    </row>
    <row r="1170" spans="1:7" x14ac:dyDescent="0.25">
      <c r="A1170" s="39"/>
      <c r="B1170" s="210" t="s">
        <v>1150</v>
      </c>
      <c r="C1170" s="41"/>
      <c r="D1170" s="42"/>
      <c r="E1170" s="190"/>
      <c r="F1170" s="97">
        <f>F466</f>
        <v>60643.98</v>
      </c>
      <c r="G1170" s="128"/>
    </row>
    <row r="1171" spans="1:7" x14ac:dyDescent="0.25">
      <c r="A1171" s="187"/>
      <c r="B1171" s="192"/>
      <c r="C1171" s="188"/>
      <c r="D1171" s="189"/>
      <c r="E1171" s="190"/>
      <c r="F1171" s="97"/>
      <c r="G1171" s="128"/>
    </row>
    <row r="1172" spans="1:7" x14ac:dyDescent="0.25">
      <c r="A1172" s="39"/>
      <c r="B1172" s="210" t="s">
        <v>1151</v>
      </c>
      <c r="C1172" s="41"/>
      <c r="D1172" s="42"/>
      <c r="E1172" s="190"/>
      <c r="F1172" s="97">
        <f>F513</f>
        <v>333662.09999999998</v>
      </c>
      <c r="G1172" s="128"/>
    </row>
    <row r="1173" spans="1:7" x14ac:dyDescent="0.25">
      <c r="A1173" s="187"/>
      <c r="B1173" s="40"/>
      <c r="C1173" s="188"/>
      <c r="D1173" s="189"/>
      <c r="E1173" s="190"/>
      <c r="F1173" s="97"/>
      <c r="G1173" s="128"/>
    </row>
    <row r="1174" spans="1:7" x14ac:dyDescent="0.25">
      <c r="A1174" s="39"/>
      <c r="B1174" s="210" t="s">
        <v>1152</v>
      </c>
      <c r="C1174" s="41"/>
      <c r="D1174" s="42"/>
      <c r="E1174" s="190"/>
      <c r="F1174" s="97">
        <f>F559</f>
        <v>42804.24</v>
      </c>
      <c r="G1174" s="128"/>
    </row>
    <row r="1175" spans="1:7" x14ac:dyDescent="0.25">
      <c r="A1175" s="187"/>
      <c r="B1175" s="192"/>
      <c r="C1175" s="188"/>
      <c r="D1175" s="189"/>
      <c r="E1175" s="190"/>
      <c r="F1175" s="97"/>
      <c r="G1175" s="128"/>
    </row>
    <row r="1176" spans="1:7" x14ac:dyDescent="0.25">
      <c r="A1176" s="39"/>
      <c r="B1176" s="210" t="s">
        <v>1153</v>
      </c>
      <c r="C1176" s="41"/>
      <c r="D1176" s="42"/>
      <c r="E1176" s="190"/>
      <c r="F1176" s="97">
        <f>F596</f>
        <v>2280205.52</v>
      </c>
      <c r="G1176" s="128"/>
    </row>
    <row r="1177" spans="1:7" x14ac:dyDescent="0.25">
      <c r="A1177" s="187"/>
      <c r="B1177" s="40"/>
      <c r="C1177" s="188"/>
      <c r="D1177" s="189"/>
      <c r="E1177" s="190"/>
      <c r="F1177" s="97"/>
      <c r="G1177" s="128"/>
    </row>
    <row r="1178" spans="1:7" x14ac:dyDescent="0.25">
      <c r="A1178" s="39"/>
      <c r="B1178" s="210" t="s">
        <v>1154</v>
      </c>
      <c r="C1178" s="41"/>
      <c r="D1178" s="42"/>
      <c r="E1178" s="190"/>
      <c r="F1178" s="97">
        <f>F631</f>
        <v>2073782.1099999999</v>
      </c>
      <c r="G1178" s="128"/>
    </row>
    <row r="1179" spans="1:7" x14ac:dyDescent="0.25">
      <c r="A1179" s="187"/>
      <c r="B1179" s="192"/>
      <c r="C1179" s="188"/>
      <c r="D1179" s="189"/>
      <c r="E1179" s="190"/>
      <c r="F1179" s="97"/>
      <c r="G1179" s="128"/>
    </row>
    <row r="1180" spans="1:7" x14ac:dyDescent="0.25">
      <c r="A1180" s="39"/>
      <c r="B1180" s="210" t="s">
        <v>1155</v>
      </c>
      <c r="C1180" s="41"/>
      <c r="D1180" s="42"/>
      <c r="E1180" s="190"/>
      <c r="F1180" s="97">
        <f>F666</f>
        <v>249544.47</v>
      </c>
      <c r="G1180" s="128"/>
    </row>
    <row r="1181" spans="1:7" x14ac:dyDescent="0.25">
      <c r="A1181" s="187"/>
      <c r="B1181" s="40"/>
      <c r="C1181" s="188"/>
      <c r="D1181" s="189"/>
      <c r="E1181" s="190"/>
      <c r="F1181" s="97"/>
      <c r="G1181" s="128"/>
    </row>
    <row r="1182" spans="1:7" x14ac:dyDescent="0.25">
      <c r="A1182" s="39"/>
      <c r="B1182" s="210" t="s">
        <v>1156</v>
      </c>
      <c r="C1182" s="41"/>
      <c r="D1182" s="42"/>
      <c r="E1182" s="190"/>
      <c r="F1182" s="97">
        <f>F696</f>
        <v>570088.92999999993</v>
      </c>
      <c r="G1182" s="128"/>
    </row>
    <row r="1183" spans="1:7" x14ac:dyDescent="0.25">
      <c r="A1183" s="187"/>
      <c r="B1183" s="192"/>
      <c r="C1183" s="188"/>
      <c r="D1183" s="189"/>
      <c r="E1183" s="190"/>
      <c r="F1183" s="97"/>
      <c r="G1183" s="128"/>
    </row>
    <row r="1184" spans="1:7" x14ac:dyDescent="0.25">
      <c r="A1184" s="187"/>
      <c r="B1184" s="210" t="s">
        <v>1157</v>
      </c>
      <c r="C1184" s="188"/>
      <c r="D1184" s="189"/>
      <c r="E1184" s="190"/>
      <c r="F1184" s="97">
        <f>F746</f>
        <v>6995.4</v>
      </c>
      <c r="G1184" s="128"/>
    </row>
    <row r="1185" spans="1:7" x14ac:dyDescent="0.25">
      <c r="A1185" s="187"/>
      <c r="B1185" s="40"/>
      <c r="C1185" s="188"/>
      <c r="D1185" s="189"/>
      <c r="E1185" s="190"/>
      <c r="F1185" s="97"/>
      <c r="G1185" s="128"/>
    </row>
    <row r="1186" spans="1:7" x14ac:dyDescent="0.25">
      <c r="A1186" s="187"/>
      <c r="B1186" s="210" t="s">
        <v>1158</v>
      </c>
      <c r="C1186" s="188"/>
      <c r="D1186" s="189"/>
      <c r="E1186" s="190"/>
      <c r="F1186" s="97">
        <f>F791</f>
        <v>108467.73999999999</v>
      </c>
      <c r="G1186" s="128"/>
    </row>
    <row r="1187" spans="1:7" x14ac:dyDescent="0.25">
      <c r="A1187" s="187"/>
      <c r="B1187" s="192"/>
      <c r="C1187" s="188"/>
      <c r="D1187" s="189"/>
      <c r="E1187" s="190"/>
      <c r="F1187" s="97"/>
      <c r="G1187" s="128"/>
    </row>
    <row r="1188" spans="1:7" x14ac:dyDescent="0.25">
      <c r="A1188" s="187"/>
      <c r="B1188" s="210" t="s">
        <v>1159</v>
      </c>
      <c r="C1188" s="188"/>
      <c r="D1188" s="189"/>
      <c r="E1188" s="190"/>
      <c r="F1188" s="97">
        <f>F840</f>
        <v>35298.300000000003</v>
      </c>
      <c r="G1188" s="128"/>
    </row>
    <row r="1189" spans="1:7" x14ac:dyDescent="0.25">
      <c r="A1189" s="187"/>
      <c r="B1189" s="40"/>
      <c r="C1189" s="188"/>
      <c r="D1189" s="189"/>
      <c r="E1189" s="190"/>
      <c r="F1189" s="97"/>
      <c r="G1189" s="128"/>
    </row>
    <row r="1190" spans="1:7" x14ac:dyDescent="0.25">
      <c r="A1190" s="187"/>
      <c r="B1190" s="210" t="s">
        <v>1160</v>
      </c>
      <c r="C1190" s="188"/>
      <c r="D1190" s="189"/>
      <c r="E1190" s="190"/>
      <c r="F1190" s="97">
        <f>F878</f>
        <v>0</v>
      </c>
      <c r="G1190" s="128"/>
    </row>
    <row r="1191" spans="1:7" x14ac:dyDescent="0.25">
      <c r="A1191" s="187"/>
      <c r="B1191" s="192"/>
      <c r="C1191" s="188"/>
      <c r="D1191" s="189"/>
      <c r="E1191" s="190"/>
      <c r="F1191" s="97"/>
      <c r="G1191" s="128"/>
    </row>
    <row r="1192" spans="1:7" x14ac:dyDescent="0.25">
      <c r="A1192" s="187"/>
      <c r="B1192" s="210" t="s">
        <v>1161</v>
      </c>
      <c r="C1192" s="188"/>
      <c r="D1192" s="189"/>
      <c r="E1192" s="190"/>
      <c r="F1192" s="97">
        <f>F920</f>
        <v>345986.48</v>
      </c>
      <c r="G1192" s="128"/>
    </row>
    <row r="1193" spans="1:7" x14ac:dyDescent="0.25">
      <c r="A1193" s="187"/>
      <c r="B1193" s="40"/>
      <c r="C1193" s="188"/>
      <c r="D1193" s="189"/>
      <c r="E1193" s="190"/>
      <c r="F1193" s="97"/>
      <c r="G1193" s="128"/>
    </row>
    <row r="1194" spans="1:7" x14ac:dyDescent="0.25">
      <c r="A1194" s="187"/>
      <c r="B1194" s="210" t="s">
        <v>1162</v>
      </c>
      <c r="C1194" s="188"/>
      <c r="D1194" s="189"/>
      <c r="E1194" s="190"/>
      <c r="F1194" s="97">
        <f>F961</f>
        <v>926080.14999999991</v>
      </c>
      <c r="G1194" s="128"/>
    </row>
    <row r="1195" spans="1:7" x14ac:dyDescent="0.25">
      <c r="A1195" s="187"/>
      <c r="B1195" s="192"/>
      <c r="C1195" s="188"/>
      <c r="D1195" s="189"/>
      <c r="E1195" s="190"/>
      <c r="F1195" s="97"/>
      <c r="G1195" s="128"/>
    </row>
    <row r="1196" spans="1:7" x14ac:dyDescent="0.25">
      <c r="A1196" s="39"/>
      <c r="B1196" s="192"/>
      <c r="C1196" s="41"/>
      <c r="D1196" s="42"/>
      <c r="E1196" s="190"/>
      <c r="F1196" s="97"/>
      <c r="G1196" s="128"/>
    </row>
    <row r="1197" spans="1:7" x14ac:dyDescent="0.25">
      <c r="A1197" s="193"/>
      <c r="B1197" s="194"/>
      <c r="C1197" s="195"/>
      <c r="D1197" s="196"/>
      <c r="E1197" s="117"/>
      <c r="F1197" s="98"/>
      <c r="G1197" s="130"/>
    </row>
    <row r="1198" spans="1:7" x14ac:dyDescent="0.25">
      <c r="A1198" s="197"/>
      <c r="B1198" s="198"/>
      <c r="C1198" s="199" t="s">
        <v>51</v>
      </c>
      <c r="D1198" s="199"/>
      <c r="E1198" s="200" t="s">
        <v>50</v>
      </c>
      <c r="F1198" s="99">
        <f>SUM(F1150:F1195)</f>
        <v>10208287.410000002</v>
      </c>
      <c r="G1198" s="131"/>
    </row>
    <row r="1199" spans="1:7" x14ac:dyDescent="0.25">
      <c r="A1199" s="197"/>
      <c r="B1199" s="198"/>
      <c r="C1199" s="201"/>
      <c r="D1199" s="202"/>
      <c r="E1199" s="118"/>
      <c r="F1199" s="100"/>
      <c r="G1199" s="132"/>
    </row>
    <row r="1200" spans="1:7" x14ac:dyDescent="0.25">
      <c r="A1200" s="39"/>
      <c r="B1200" s="192"/>
      <c r="C1200" s="41"/>
      <c r="D1200" s="42"/>
      <c r="E1200" s="190"/>
      <c r="F1200" s="97"/>
      <c r="G1200" s="128"/>
    </row>
    <row r="1201" spans="1:7" x14ac:dyDescent="0.25">
      <c r="A1201" s="187"/>
      <c r="B1201" s="209" t="s">
        <v>52</v>
      </c>
      <c r="C1201" s="188"/>
      <c r="D1201" s="189"/>
      <c r="E1201" s="190"/>
      <c r="F1201" s="97"/>
      <c r="G1201" s="128"/>
    </row>
    <row r="1202" spans="1:7" x14ac:dyDescent="0.25">
      <c r="A1202" s="39"/>
      <c r="B1202" s="192"/>
      <c r="C1202" s="41"/>
      <c r="D1202" s="42"/>
      <c r="E1202" s="190"/>
      <c r="F1202" s="97"/>
      <c r="G1202" s="128"/>
    </row>
    <row r="1203" spans="1:7" x14ac:dyDescent="0.25">
      <c r="A1203" s="187"/>
      <c r="B1203" s="40" t="s">
        <v>791</v>
      </c>
      <c r="C1203" s="188"/>
      <c r="D1203" s="189"/>
      <c r="E1203" s="190"/>
      <c r="F1203" s="97">
        <f>+F1198</f>
        <v>10208287.410000002</v>
      </c>
      <c r="G1203" s="128"/>
    </row>
    <row r="1204" spans="1:7" x14ac:dyDescent="0.25">
      <c r="A1204" s="39"/>
      <c r="B1204" s="192"/>
      <c r="C1204" s="41"/>
      <c r="D1204" s="42"/>
      <c r="E1204" s="190"/>
      <c r="F1204" s="97"/>
      <c r="G1204" s="128"/>
    </row>
    <row r="1205" spans="1:7" x14ac:dyDescent="0.25">
      <c r="A1205" s="187"/>
      <c r="B1205" s="210" t="s">
        <v>1163</v>
      </c>
      <c r="C1205" s="188"/>
      <c r="D1205" s="189"/>
      <c r="E1205" s="190"/>
      <c r="F1205" s="97">
        <f>F999</f>
        <v>0</v>
      </c>
      <c r="G1205" s="128"/>
    </row>
    <row r="1206" spans="1:7" x14ac:dyDescent="0.25">
      <c r="A1206" s="39"/>
      <c r="B1206" s="40"/>
      <c r="C1206" s="41"/>
      <c r="D1206" s="42"/>
      <c r="E1206" s="190"/>
      <c r="F1206" s="97"/>
      <c r="G1206" s="128"/>
    </row>
    <row r="1207" spans="1:7" x14ac:dyDescent="0.25">
      <c r="A1207" s="187"/>
      <c r="B1207" s="210" t="s">
        <v>1164</v>
      </c>
      <c r="C1207" s="188"/>
      <c r="D1207" s="189"/>
      <c r="E1207" s="190"/>
      <c r="F1207" s="97">
        <f>F1029</f>
        <v>0</v>
      </c>
      <c r="G1207" s="128"/>
    </row>
    <row r="1208" spans="1:7" x14ac:dyDescent="0.25">
      <c r="A1208" s="39"/>
      <c r="B1208" s="192"/>
      <c r="C1208" s="41"/>
      <c r="D1208" s="42"/>
      <c r="E1208" s="190"/>
      <c r="F1208" s="97"/>
      <c r="G1208" s="128"/>
    </row>
    <row r="1209" spans="1:7" x14ac:dyDescent="0.25">
      <c r="A1209" s="187"/>
      <c r="B1209" s="210" t="s">
        <v>1165</v>
      </c>
      <c r="C1209" s="188"/>
      <c r="D1209" s="189"/>
      <c r="E1209" s="190"/>
      <c r="F1209" s="97">
        <f>F1060</f>
        <v>0</v>
      </c>
      <c r="G1209" s="128"/>
    </row>
    <row r="1210" spans="1:7" x14ac:dyDescent="0.25">
      <c r="A1210" s="39"/>
      <c r="B1210" s="40"/>
      <c r="C1210" s="41"/>
      <c r="D1210" s="42"/>
      <c r="E1210" s="190"/>
      <c r="F1210" s="97"/>
      <c r="G1210" s="128"/>
    </row>
    <row r="1211" spans="1:7" x14ac:dyDescent="0.25">
      <c r="A1211" s="187"/>
      <c r="B1211" s="210" t="s">
        <v>1166</v>
      </c>
      <c r="C1211" s="188"/>
      <c r="D1211" s="189"/>
      <c r="E1211" s="190"/>
      <c r="F1211" s="97">
        <f>F1101</f>
        <v>325966.11</v>
      </c>
      <c r="G1211" s="128"/>
    </row>
    <row r="1212" spans="1:7" x14ac:dyDescent="0.25">
      <c r="A1212" s="39"/>
      <c r="B1212" s="192"/>
      <c r="C1212" s="41"/>
      <c r="D1212" s="42"/>
      <c r="E1212" s="190"/>
      <c r="F1212" s="97"/>
      <c r="G1212" s="128"/>
    </row>
    <row r="1213" spans="1:7" x14ac:dyDescent="0.25">
      <c r="A1213" s="187"/>
      <c r="B1213" s="210" t="s">
        <v>1167</v>
      </c>
      <c r="C1213" s="188"/>
      <c r="D1213" s="189"/>
      <c r="E1213" s="190"/>
      <c r="F1213" s="97">
        <f>F1147</f>
        <v>2500793.04</v>
      </c>
      <c r="G1213" s="128"/>
    </row>
    <row r="1214" spans="1:7" x14ac:dyDescent="0.25">
      <c r="A1214" s="39"/>
      <c r="B1214" s="40"/>
      <c r="C1214" s="41"/>
      <c r="D1214" s="42"/>
      <c r="E1214" s="190"/>
      <c r="F1214" s="97"/>
      <c r="G1214" s="128"/>
    </row>
    <row r="1215" spans="1:7" x14ac:dyDescent="0.25">
      <c r="A1215" s="187"/>
      <c r="B1215" s="210"/>
      <c r="C1215" s="188"/>
      <c r="D1215" s="189"/>
      <c r="E1215" s="190"/>
      <c r="F1215" s="97"/>
      <c r="G1215" s="128"/>
    </row>
    <row r="1216" spans="1:7" x14ac:dyDescent="0.25">
      <c r="A1216" s="39"/>
      <c r="B1216" s="192"/>
      <c r="C1216" s="41"/>
      <c r="D1216" s="42"/>
      <c r="E1216" s="190"/>
      <c r="F1216" s="97"/>
      <c r="G1216" s="128"/>
    </row>
    <row r="1217" spans="1:7" x14ac:dyDescent="0.25">
      <c r="A1217" s="187"/>
      <c r="B1217" s="210"/>
      <c r="C1217" s="188"/>
      <c r="D1217" s="189"/>
      <c r="E1217" s="190"/>
      <c r="F1217" s="97"/>
      <c r="G1217" s="128"/>
    </row>
    <row r="1218" spans="1:7" x14ac:dyDescent="0.25">
      <c r="A1218" s="39"/>
      <c r="B1218" s="40"/>
      <c r="C1218" s="41"/>
      <c r="D1218" s="42"/>
      <c r="E1218" s="190"/>
      <c r="F1218" s="97"/>
      <c r="G1218" s="128"/>
    </row>
    <row r="1219" spans="1:7" x14ac:dyDescent="0.25">
      <c r="A1219" s="187"/>
      <c r="B1219" s="210"/>
      <c r="C1219" s="188"/>
      <c r="D1219" s="189"/>
      <c r="E1219" s="190"/>
      <c r="F1219" s="97"/>
      <c r="G1219" s="128"/>
    </row>
    <row r="1220" spans="1:7" x14ac:dyDescent="0.25">
      <c r="A1220" s="39"/>
      <c r="B1220" s="192"/>
      <c r="C1220" s="41"/>
      <c r="D1220" s="42"/>
      <c r="E1220" s="190"/>
      <c r="F1220" s="97"/>
      <c r="G1220" s="128"/>
    </row>
    <row r="1221" spans="1:7" x14ac:dyDescent="0.25">
      <c r="A1221" s="187"/>
      <c r="B1221" s="210"/>
      <c r="C1221" s="188"/>
      <c r="D1221" s="189"/>
      <c r="E1221" s="190"/>
      <c r="F1221" s="97"/>
      <c r="G1221" s="128"/>
    </row>
    <row r="1222" spans="1:7" x14ac:dyDescent="0.25">
      <c r="A1222" s="39"/>
      <c r="B1222" s="40"/>
      <c r="C1222" s="41"/>
      <c r="D1222" s="42"/>
      <c r="E1222" s="190"/>
      <c r="F1222" s="97"/>
      <c r="G1222" s="128"/>
    </row>
    <row r="1223" spans="1:7" x14ac:dyDescent="0.25">
      <c r="A1223" s="187"/>
      <c r="B1223" s="210"/>
      <c r="C1223" s="188"/>
      <c r="D1223" s="189"/>
      <c r="E1223" s="190"/>
      <c r="F1223" s="97"/>
      <c r="G1223" s="128"/>
    </row>
    <row r="1224" spans="1:7" x14ac:dyDescent="0.25">
      <c r="A1224" s="187"/>
      <c r="B1224" s="192"/>
      <c r="C1224" s="188"/>
      <c r="D1224" s="189"/>
      <c r="E1224" s="190"/>
      <c r="F1224" s="97"/>
      <c r="G1224" s="128"/>
    </row>
    <row r="1225" spans="1:7" x14ac:dyDescent="0.25">
      <c r="A1225" s="187"/>
      <c r="B1225" s="192"/>
      <c r="C1225" s="188"/>
      <c r="D1225" s="189"/>
      <c r="E1225" s="190"/>
      <c r="F1225" s="97"/>
      <c r="G1225" s="128"/>
    </row>
    <row r="1226" spans="1:7" x14ac:dyDescent="0.25">
      <c r="A1226" s="187"/>
      <c r="B1226" s="192"/>
      <c r="C1226" s="188"/>
      <c r="D1226" s="189"/>
      <c r="E1226" s="190"/>
      <c r="F1226" s="97"/>
      <c r="G1226" s="128"/>
    </row>
    <row r="1227" spans="1:7" x14ac:dyDescent="0.25">
      <c r="A1227" s="187"/>
      <c r="B1227" s="192"/>
      <c r="C1227" s="188"/>
      <c r="D1227" s="189"/>
      <c r="E1227" s="190"/>
      <c r="F1227" s="97"/>
      <c r="G1227" s="128"/>
    </row>
    <row r="1228" spans="1:7" x14ac:dyDescent="0.25">
      <c r="A1228" s="187"/>
      <c r="B1228" s="192"/>
      <c r="C1228" s="188"/>
      <c r="D1228" s="189"/>
      <c r="E1228" s="190"/>
      <c r="F1228" s="97"/>
      <c r="G1228" s="128"/>
    </row>
    <row r="1229" spans="1:7" x14ac:dyDescent="0.25">
      <c r="A1229" s="187"/>
      <c r="B1229" s="192"/>
      <c r="C1229" s="188"/>
      <c r="D1229" s="189"/>
      <c r="E1229" s="190"/>
      <c r="F1229" s="97"/>
      <c r="G1229" s="128"/>
    </row>
    <row r="1230" spans="1:7" x14ac:dyDescent="0.25">
      <c r="A1230" s="187"/>
      <c r="B1230" s="192"/>
      <c r="C1230" s="188"/>
      <c r="D1230" s="189"/>
      <c r="E1230" s="190"/>
      <c r="F1230" s="97"/>
      <c r="G1230" s="128"/>
    </row>
    <row r="1231" spans="1:7" x14ac:dyDescent="0.25">
      <c r="A1231" s="187"/>
      <c r="B1231" s="192"/>
      <c r="C1231" s="188"/>
      <c r="D1231" s="189"/>
      <c r="E1231" s="190"/>
      <c r="F1231" s="97"/>
      <c r="G1231" s="128"/>
    </row>
    <row r="1232" spans="1:7" x14ac:dyDescent="0.25">
      <c r="A1232" s="187"/>
      <c r="B1232" s="192"/>
      <c r="C1232" s="188"/>
      <c r="D1232" s="189"/>
      <c r="E1232" s="190"/>
      <c r="F1232" s="97"/>
      <c r="G1232" s="128"/>
    </row>
    <row r="1233" spans="1:7" x14ac:dyDescent="0.25">
      <c r="A1233" s="187"/>
      <c r="B1233" s="192"/>
      <c r="C1233" s="188"/>
      <c r="D1233" s="189"/>
      <c r="E1233" s="190"/>
      <c r="F1233" s="97"/>
      <c r="G1233" s="128"/>
    </row>
    <row r="1234" spans="1:7" x14ac:dyDescent="0.25">
      <c r="A1234" s="187"/>
      <c r="B1234" s="192"/>
      <c r="C1234" s="188"/>
      <c r="D1234" s="189"/>
      <c r="E1234" s="190"/>
      <c r="F1234" s="97"/>
      <c r="G1234" s="128"/>
    </row>
    <row r="1235" spans="1:7" x14ac:dyDescent="0.25">
      <c r="A1235" s="187"/>
      <c r="B1235" s="192"/>
      <c r="C1235" s="188"/>
      <c r="D1235" s="189"/>
      <c r="E1235" s="190"/>
      <c r="F1235" s="97"/>
      <c r="G1235" s="128"/>
    </row>
    <row r="1236" spans="1:7" x14ac:dyDescent="0.25">
      <c r="A1236" s="187"/>
      <c r="B1236" s="36"/>
      <c r="C1236" s="188"/>
      <c r="D1236" s="189"/>
      <c r="E1236" s="190"/>
      <c r="F1236" s="97"/>
      <c r="G1236" s="128"/>
    </row>
    <row r="1237" spans="1:7" x14ac:dyDescent="0.25">
      <c r="A1237" s="187"/>
      <c r="B1237" s="192"/>
      <c r="C1237" s="188"/>
      <c r="D1237" s="189"/>
      <c r="E1237" s="190"/>
      <c r="F1237" s="97"/>
      <c r="G1237" s="128"/>
    </row>
    <row r="1238" spans="1:7" x14ac:dyDescent="0.25">
      <c r="A1238" s="187"/>
      <c r="B1238" s="192"/>
      <c r="C1238" s="188"/>
      <c r="D1238" s="189"/>
      <c r="E1238" s="190"/>
      <c r="F1238" s="97"/>
      <c r="G1238" s="128"/>
    </row>
    <row r="1239" spans="1:7" x14ac:dyDescent="0.25">
      <c r="A1239" s="39"/>
      <c r="B1239" s="40"/>
      <c r="C1239" s="41"/>
      <c r="D1239" s="42"/>
      <c r="E1239" s="190"/>
      <c r="F1239" s="97"/>
      <c r="G1239" s="128"/>
    </row>
    <row r="1240" spans="1:7" x14ac:dyDescent="0.25">
      <c r="A1240" s="187"/>
      <c r="B1240" s="192"/>
      <c r="C1240" s="188"/>
      <c r="D1240" s="189"/>
      <c r="E1240" s="190"/>
      <c r="F1240" s="97"/>
      <c r="G1240" s="128"/>
    </row>
    <row r="1241" spans="1:7" x14ac:dyDescent="0.25">
      <c r="A1241" s="187"/>
      <c r="B1241" s="192"/>
      <c r="C1241" s="188"/>
      <c r="D1241" s="189"/>
      <c r="E1241" s="190"/>
      <c r="F1241" s="97"/>
      <c r="G1241" s="128"/>
    </row>
    <row r="1242" spans="1:7" x14ac:dyDescent="0.25">
      <c r="A1242" s="187"/>
      <c r="B1242" s="192"/>
      <c r="C1242" s="188"/>
      <c r="D1242" s="189"/>
      <c r="E1242" s="190"/>
      <c r="F1242" s="97"/>
      <c r="G1242" s="128"/>
    </row>
    <row r="1243" spans="1:7" x14ac:dyDescent="0.25">
      <c r="A1243" s="187"/>
      <c r="B1243" s="192"/>
      <c r="C1243" s="188"/>
      <c r="D1243" s="189"/>
      <c r="E1243" s="190"/>
      <c r="F1243" s="97"/>
      <c r="G1243" s="128"/>
    </row>
    <row r="1244" spans="1:7" x14ac:dyDescent="0.25">
      <c r="A1244" s="39"/>
      <c r="B1244" s="40"/>
      <c r="C1244" s="41"/>
      <c r="D1244" s="42"/>
      <c r="E1244" s="190"/>
      <c r="F1244" s="97"/>
      <c r="G1244" s="128"/>
    </row>
    <row r="1245" spans="1:7" x14ac:dyDescent="0.25">
      <c r="A1245" s="187"/>
      <c r="B1245" s="192"/>
      <c r="C1245" s="188"/>
      <c r="D1245" s="189"/>
      <c r="E1245" s="190"/>
      <c r="F1245" s="97"/>
      <c r="G1245" s="128"/>
    </row>
    <row r="1246" spans="1:7" x14ac:dyDescent="0.25">
      <c r="A1246" s="39"/>
      <c r="B1246" s="40"/>
      <c r="C1246" s="41"/>
      <c r="D1246" s="42"/>
      <c r="E1246" s="190"/>
      <c r="F1246" s="97"/>
      <c r="G1246" s="128"/>
    </row>
    <row r="1247" spans="1:7" x14ac:dyDescent="0.25">
      <c r="A1247" s="187"/>
      <c r="B1247" s="192"/>
      <c r="C1247" s="188"/>
      <c r="D1247" s="189"/>
      <c r="E1247" s="190"/>
      <c r="F1247" s="97"/>
      <c r="G1247" s="128"/>
    </row>
    <row r="1248" spans="1:7" x14ac:dyDescent="0.25">
      <c r="A1248" s="193"/>
      <c r="B1248" s="194"/>
      <c r="C1248" s="195"/>
      <c r="D1248" s="196"/>
      <c r="E1248" s="117"/>
      <c r="F1248" s="98"/>
      <c r="G1248" s="130"/>
    </row>
    <row r="1249" spans="1:7" x14ac:dyDescent="0.25">
      <c r="A1249" s="197"/>
      <c r="B1249" s="198"/>
      <c r="C1249" s="199" t="s">
        <v>1168</v>
      </c>
      <c r="D1249" s="199"/>
      <c r="E1249" s="200" t="s">
        <v>50</v>
      </c>
      <c r="F1249" s="99">
        <f>SUM(F1202:F1226)</f>
        <v>13035046.560000002</v>
      </c>
      <c r="G1249" s="131"/>
    </row>
    <row r="1250" spans="1:7" x14ac:dyDescent="0.25">
      <c r="A1250" s="197"/>
      <c r="B1250" s="198"/>
      <c r="C1250" s="201"/>
      <c r="D1250" s="202"/>
      <c r="E1250" s="118"/>
      <c r="F1250" s="100"/>
      <c r="G1250" s="132"/>
    </row>
  </sheetData>
  <mergeCells count="5">
    <mergeCell ref="A1:A2"/>
    <mergeCell ref="B1:B2"/>
    <mergeCell ref="C1:C2"/>
    <mergeCell ref="D1:D2"/>
    <mergeCell ref="G1:G2"/>
  </mergeCells>
  <printOptions horizontalCentered="1"/>
  <pageMargins left="0.6692913385826772" right="0.19685039370078741" top="0.82677165354330717" bottom="0.47244094488188981" header="0.19685039370078741" footer="0.23622047244094491"/>
  <pageSetup paperSize="9" scale="91" fitToHeight="0" orientation="portrait" useFirstPageNumber="1" r:id="rId1"/>
  <headerFooter>
    <oddHeader>&amp;R&amp;11&amp;U
BILL NO. 4 -PARKING FLOORS REFURBISHMENT
ELECTRICAL ENGINEERING INSTALLATIONS</oddHeader>
    <oddFooter>&amp;L&amp;8DMS 148704 BOQ - Nakheel Mall Al Khail&amp;C4/R/&amp;P</oddFooter>
  </headerFooter>
  <rowBreaks count="28" manualBreakCount="28">
    <brk id="38" max="6" man="1"/>
    <brk id="83" max="6" man="1"/>
    <brk id="123" max="6" man="1"/>
    <brk id="172" max="6" man="1"/>
    <brk id="215" max="6" man="1"/>
    <brk id="264" max="6" man="1"/>
    <brk id="315" max="6" man="1"/>
    <brk id="365" max="6" man="1"/>
    <brk id="416" max="6" man="1"/>
    <brk id="467" max="6" man="1"/>
    <brk id="514" max="6" man="1"/>
    <brk id="560" max="6" man="1"/>
    <brk id="597" max="6" man="1"/>
    <brk id="632" max="6" man="1"/>
    <brk id="667" max="6" man="1"/>
    <brk id="697" max="6" man="1"/>
    <brk id="747" max="6" man="1"/>
    <brk id="792" max="6" man="1"/>
    <brk id="841" max="6" man="1"/>
    <brk id="879" max="6" man="1"/>
    <brk id="921" max="6" man="1"/>
    <brk id="962" max="6" man="1"/>
    <brk id="1000" max="6" man="1"/>
    <brk id="1030" max="6" man="1"/>
    <brk id="1061" max="6" man="1"/>
    <brk id="1102" max="6" man="1"/>
    <brk id="1148" max="6" man="1"/>
    <brk id="1199" max="6"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676B1-7FDB-477A-8EF5-F3279B6CE7B0}">
  <sheetPr codeName="Sheet5"/>
  <dimension ref="A1:E97"/>
  <sheetViews>
    <sheetView tabSelected="1" view="pageBreakPreview" topLeftCell="A30" zoomScale="90" zoomScaleNormal="90" zoomScaleSheetLayoutView="90" zoomScalePageLayoutView="85" workbookViewId="0">
      <selection activeCell="E45" sqref="E45"/>
    </sheetView>
  </sheetViews>
  <sheetFormatPr defaultColWidth="8.6640625" defaultRowHeight="13.8" x14ac:dyDescent="0.25"/>
  <cols>
    <col min="1" max="1" width="5.6640625" style="76" customWidth="1"/>
    <col min="2" max="2" width="55.6640625" style="76" customWidth="1"/>
    <col min="3" max="3" width="18.6640625" style="93" customWidth="1"/>
    <col min="4" max="4" width="15.6640625" style="27" customWidth="1"/>
    <col min="5" max="5" width="27.44140625" style="21" customWidth="1"/>
    <col min="6" max="16384" width="8.6640625" style="22"/>
  </cols>
  <sheetData>
    <row r="1" spans="1:5" s="13" customFormat="1" ht="18.75" customHeight="1" x14ac:dyDescent="0.25">
      <c r="A1" s="168" t="s">
        <v>6</v>
      </c>
      <c r="B1" s="168" t="s">
        <v>0</v>
      </c>
      <c r="C1" s="170" t="s">
        <v>53</v>
      </c>
      <c r="D1" s="172" t="s">
        <v>54</v>
      </c>
      <c r="E1" s="12"/>
    </row>
    <row r="2" spans="1:5" s="14" customFormat="1" ht="18.75" customHeight="1" x14ac:dyDescent="0.25">
      <c r="A2" s="169"/>
      <c r="B2" s="169"/>
      <c r="C2" s="171"/>
      <c r="D2" s="173"/>
      <c r="E2" s="12"/>
    </row>
    <row r="3" spans="1:5" s="17" customFormat="1" ht="14.25" customHeight="1" x14ac:dyDescent="0.25">
      <c r="A3" s="66"/>
      <c r="B3" s="67"/>
      <c r="C3" s="68"/>
      <c r="D3" s="15"/>
      <c r="E3" s="16"/>
    </row>
    <row r="4" spans="1:5" s="17" customFormat="1" ht="14.25" customHeight="1" x14ac:dyDescent="0.25">
      <c r="A4" s="69"/>
      <c r="B4" s="67"/>
      <c r="C4" s="70"/>
      <c r="D4" s="18"/>
      <c r="E4" s="16"/>
    </row>
    <row r="5" spans="1:5" s="17" customFormat="1" ht="14.25" customHeight="1" x14ac:dyDescent="0.25">
      <c r="A5" s="69"/>
      <c r="B5" s="71" t="s">
        <v>55</v>
      </c>
      <c r="C5" s="70"/>
      <c r="D5" s="19"/>
      <c r="E5" s="16"/>
    </row>
    <row r="6" spans="1:5" s="17" customFormat="1" ht="14.25" customHeight="1" x14ac:dyDescent="0.25">
      <c r="A6" s="69"/>
      <c r="B6" s="72"/>
      <c r="C6" s="70"/>
      <c r="D6" s="19"/>
      <c r="E6" s="16"/>
    </row>
    <row r="7" spans="1:5" s="17" customFormat="1" ht="14.25" customHeight="1" x14ac:dyDescent="0.25">
      <c r="A7" s="69"/>
      <c r="B7" s="72"/>
      <c r="C7" s="70"/>
      <c r="D7" s="19"/>
      <c r="E7" s="16"/>
    </row>
    <row r="8" spans="1:5" s="17" customFormat="1" ht="14.25" customHeight="1" x14ac:dyDescent="0.25">
      <c r="A8" s="69"/>
      <c r="B8" s="73" t="s">
        <v>21</v>
      </c>
      <c r="C8" s="74" t="s">
        <v>1169</v>
      </c>
      <c r="D8" s="20">
        <f>'Bill 4 Concrete'!F242</f>
        <v>3482318.7982999999</v>
      </c>
      <c r="E8" s="16"/>
    </row>
    <row r="9" spans="1:5" s="17" customFormat="1" ht="14.25" customHeight="1" x14ac:dyDescent="0.25">
      <c r="A9" s="69"/>
      <c r="B9" s="73"/>
      <c r="C9" s="74"/>
      <c r="D9" s="20"/>
      <c r="E9" s="16"/>
    </row>
    <row r="10" spans="1:5" s="17" customFormat="1" ht="14.25" customHeight="1" x14ac:dyDescent="0.25">
      <c r="A10" s="69"/>
      <c r="B10" s="73"/>
      <c r="C10" s="74"/>
      <c r="D10" s="20"/>
      <c r="E10" s="16"/>
    </row>
    <row r="11" spans="1:5" s="17" customFormat="1" ht="14.25" customHeight="1" x14ac:dyDescent="0.25">
      <c r="A11" s="69"/>
      <c r="B11" s="73" t="s">
        <v>201</v>
      </c>
      <c r="C11" s="74" t="s">
        <v>1170</v>
      </c>
      <c r="D11" s="20">
        <f>'Bill 4 - Masonry'!F136</f>
        <v>1388266.5</v>
      </c>
      <c r="E11" s="16"/>
    </row>
    <row r="12" spans="1:5" s="17" customFormat="1" ht="14.25" customHeight="1" x14ac:dyDescent="0.25">
      <c r="A12" s="69"/>
      <c r="B12" s="73"/>
      <c r="C12" s="74"/>
      <c r="D12" s="20"/>
      <c r="E12" s="16"/>
    </row>
    <row r="13" spans="1:5" s="17" customFormat="1" ht="14.25" customHeight="1" x14ac:dyDescent="0.25">
      <c r="A13" s="69"/>
      <c r="B13" s="73" t="s">
        <v>214</v>
      </c>
      <c r="C13" s="74" t="s">
        <v>1171</v>
      </c>
      <c r="D13" s="20">
        <f>'Bill 4 Woodwork'!F137</f>
        <v>1748476</v>
      </c>
      <c r="E13" s="16"/>
    </row>
    <row r="14" spans="1:5" s="17" customFormat="1" ht="14.25" customHeight="1" x14ac:dyDescent="0.25">
      <c r="A14" s="69"/>
      <c r="B14" s="73"/>
      <c r="C14" s="74"/>
      <c r="D14" s="20"/>
      <c r="E14" s="16"/>
    </row>
    <row r="15" spans="1:5" s="17" customFormat="1" ht="14.25" customHeight="1" x14ac:dyDescent="0.25">
      <c r="A15" s="69"/>
      <c r="B15" s="73"/>
      <c r="C15" s="74"/>
      <c r="D15" s="20"/>
      <c r="E15" s="16"/>
    </row>
    <row r="16" spans="1:5" s="17" customFormat="1" ht="14.25" customHeight="1" x14ac:dyDescent="0.25">
      <c r="A16" s="69"/>
      <c r="B16" s="73" t="s">
        <v>27</v>
      </c>
      <c r="C16" s="74" t="s">
        <v>1172</v>
      </c>
      <c r="D16" s="20">
        <f>'Bill 4 - Thermal and Moisture'!F143</f>
        <v>67354.010000000009</v>
      </c>
      <c r="E16" s="16"/>
    </row>
    <row r="17" spans="1:5" s="17" customFormat="1" ht="14.25" customHeight="1" x14ac:dyDescent="0.25">
      <c r="A17" s="69"/>
      <c r="B17" s="73"/>
      <c r="C17" s="74"/>
      <c r="D17" s="20"/>
      <c r="E17" s="16"/>
    </row>
    <row r="18" spans="1:5" s="17" customFormat="1" ht="14.25" customHeight="1" x14ac:dyDescent="0.25">
      <c r="A18" s="69"/>
      <c r="B18" s="73"/>
      <c r="C18" s="74"/>
      <c r="E18" s="16"/>
    </row>
    <row r="19" spans="1:5" s="17" customFormat="1" ht="14.25" customHeight="1" x14ac:dyDescent="0.25">
      <c r="A19" s="69"/>
      <c r="B19" s="73" t="s">
        <v>238</v>
      </c>
      <c r="C19" s="74" t="s">
        <v>1173</v>
      </c>
      <c r="D19" s="20">
        <f>'Bill 4 Doors and Windows'!F222</f>
        <v>549172.63</v>
      </c>
      <c r="E19" s="16"/>
    </row>
    <row r="20" spans="1:5" s="17" customFormat="1" ht="14.25" customHeight="1" x14ac:dyDescent="0.25">
      <c r="A20" s="69"/>
      <c r="B20" s="73"/>
      <c r="C20" s="74"/>
      <c r="D20" s="20"/>
      <c r="E20" s="16"/>
    </row>
    <row r="21" spans="1:5" s="17" customFormat="1" ht="14.25" customHeight="1" x14ac:dyDescent="0.25">
      <c r="A21" s="69"/>
      <c r="B21" s="73"/>
      <c r="C21" s="74"/>
      <c r="D21" s="20"/>
      <c r="E21" s="16"/>
    </row>
    <row r="22" spans="1:5" s="17" customFormat="1" ht="14.25" customHeight="1" x14ac:dyDescent="0.25">
      <c r="A22" s="69"/>
      <c r="B22" s="73" t="s">
        <v>29</v>
      </c>
      <c r="C22" s="74" t="s">
        <v>1174</v>
      </c>
      <c r="D22" s="20">
        <f>'Bill 4 - Finishes'!F290</f>
        <v>6357559.3200000003</v>
      </c>
      <c r="E22" s="16"/>
    </row>
    <row r="23" spans="1:5" ht="14.25" customHeight="1" x14ac:dyDescent="0.25">
      <c r="A23" s="75"/>
      <c r="B23" s="73"/>
      <c r="C23" s="74"/>
      <c r="D23" s="20"/>
    </row>
    <row r="24" spans="1:5" ht="14.25" customHeight="1" x14ac:dyDescent="0.25">
      <c r="A24" s="75"/>
      <c r="B24" s="73"/>
      <c r="C24" s="74"/>
      <c r="D24" s="20"/>
    </row>
    <row r="25" spans="1:5" s="17" customFormat="1" ht="14.25" customHeight="1" x14ac:dyDescent="0.25">
      <c r="A25" s="69"/>
      <c r="B25" s="73" t="s">
        <v>30</v>
      </c>
      <c r="C25" s="74" t="s">
        <v>1175</v>
      </c>
      <c r="D25" s="20">
        <f>'Bill 4 - Accessories'!F333</f>
        <v>1017703.49</v>
      </c>
      <c r="E25" s="16"/>
    </row>
    <row r="26" spans="1:5" ht="14.25" customHeight="1" x14ac:dyDescent="0.25">
      <c r="A26" s="75"/>
      <c r="B26" s="73"/>
      <c r="C26" s="74"/>
      <c r="D26" s="20"/>
    </row>
    <row r="27" spans="1:5" ht="14.25" customHeight="1" x14ac:dyDescent="0.25">
      <c r="A27" s="75"/>
      <c r="B27" s="73"/>
      <c r="C27" s="74"/>
      <c r="D27" s="20"/>
    </row>
    <row r="28" spans="1:5" ht="14.25" customHeight="1" x14ac:dyDescent="0.25">
      <c r="A28" s="75"/>
      <c r="B28" s="73" t="s">
        <v>89</v>
      </c>
      <c r="C28" s="74" t="s">
        <v>1176</v>
      </c>
      <c r="D28" s="20">
        <f>'Bill 4 - Furnishings'!F149</f>
        <v>912790.63</v>
      </c>
    </row>
    <row r="29" spans="1:5" ht="14.25" customHeight="1" x14ac:dyDescent="0.25">
      <c r="A29" s="75"/>
      <c r="B29" s="73"/>
      <c r="C29" s="74"/>
      <c r="D29" s="20"/>
    </row>
    <row r="30" spans="1:5" ht="14.25" customHeight="1" x14ac:dyDescent="0.25">
      <c r="A30" s="75"/>
      <c r="B30" s="73"/>
      <c r="C30" s="74"/>
      <c r="D30" s="20"/>
    </row>
    <row r="31" spans="1:5" ht="14.25" customHeight="1" x14ac:dyDescent="0.25">
      <c r="A31" s="75"/>
      <c r="B31" s="73" t="s">
        <v>32</v>
      </c>
      <c r="C31" s="74" t="s">
        <v>1177</v>
      </c>
      <c r="D31" s="20">
        <f>'Bill 4 - Mechanical'!F1483</f>
        <v>14227894.619999997</v>
      </c>
    </row>
    <row r="32" spans="1:5" ht="14.25" customHeight="1" x14ac:dyDescent="0.25">
      <c r="A32" s="75"/>
      <c r="B32" s="73"/>
      <c r="C32" s="74"/>
      <c r="D32" s="20"/>
    </row>
    <row r="33" spans="1:4" ht="14.25" customHeight="1" x14ac:dyDescent="0.25">
      <c r="A33" s="75"/>
      <c r="B33" s="73"/>
      <c r="C33" s="74"/>
      <c r="D33" s="20"/>
    </row>
    <row r="34" spans="1:4" ht="14.25" customHeight="1" x14ac:dyDescent="0.25">
      <c r="A34" s="75"/>
      <c r="B34" s="73" t="s">
        <v>42</v>
      </c>
      <c r="C34" s="74" t="s">
        <v>1178</v>
      </c>
      <c r="D34" s="20">
        <f>'Bill 4 - Electrical'!F1249</f>
        <v>13035046.560000002</v>
      </c>
    </row>
    <row r="35" spans="1:4" ht="14.25" customHeight="1" x14ac:dyDescent="0.25">
      <c r="A35" s="75"/>
      <c r="B35" s="73"/>
      <c r="C35" s="74"/>
      <c r="D35" s="20"/>
    </row>
    <row r="36" spans="1:4" s="21" customFormat="1" ht="14.25" customHeight="1" x14ac:dyDescent="0.25">
      <c r="A36" s="75"/>
      <c r="B36" s="73"/>
      <c r="C36" s="74"/>
      <c r="D36" s="20"/>
    </row>
    <row r="37" spans="1:4" s="21" customFormat="1" ht="14.25" customHeight="1" x14ac:dyDescent="0.25">
      <c r="A37" s="75"/>
      <c r="B37" s="73"/>
      <c r="C37" s="74"/>
      <c r="D37" s="20"/>
    </row>
    <row r="38" spans="1:4" s="21" customFormat="1" ht="14.25" customHeight="1" x14ac:dyDescent="0.25">
      <c r="A38" s="75"/>
      <c r="B38" s="73"/>
      <c r="C38" s="74"/>
      <c r="D38" s="20"/>
    </row>
    <row r="39" spans="1:4" s="21" customFormat="1" ht="14.25" customHeight="1" x14ac:dyDescent="0.25">
      <c r="A39" s="75"/>
      <c r="B39" s="73"/>
      <c r="C39" s="74"/>
      <c r="D39" s="20"/>
    </row>
    <row r="40" spans="1:4" s="21" customFormat="1" ht="14.25" customHeight="1" x14ac:dyDescent="0.25">
      <c r="A40" s="75"/>
      <c r="B40" s="73"/>
      <c r="C40" s="74"/>
      <c r="D40" s="20"/>
    </row>
    <row r="41" spans="1:4" s="21" customFormat="1" ht="14.25" customHeight="1" x14ac:dyDescent="0.25">
      <c r="A41" s="75"/>
      <c r="B41" s="73"/>
      <c r="C41" s="74"/>
      <c r="D41" s="20"/>
    </row>
    <row r="42" spans="1:4" s="28" customFormat="1" ht="14.4" x14ac:dyDescent="0.3">
      <c r="A42" s="75"/>
      <c r="B42" s="73"/>
      <c r="C42" s="74"/>
      <c r="D42" s="20"/>
    </row>
    <row r="43" spans="1:4" s="21" customFormat="1" ht="14.25" customHeight="1" x14ac:dyDescent="0.25">
      <c r="A43" s="75"/>
      <c r="B43" s="76"/>
      <c r="C43" s="74"/>
      <c r="D43" s="20"/>
    </row>
    <row r="44" spans="1:4" s="21" customFormat="1" ht="14.25" customHeight="1" x14ac:dyDescent="0.25">
      <c r="A44" s="77"/>
      <c r="B44" s="78"/>
      <c r="C44" s="79"/>
      <c r="D44" s="23"/>
    </row>
    <row r="45" spans="1:4" s="21" customFormat="1" ht="27.6" x14ac:dyDescent="0.25">
      <c r="A45" s="76"/>
      <c r="B45" s="80" t="s">
        <v>1180</v>
      </c>
      <c r="C45" s="81"/>
      <c r="D45" s="24"/>
    </row>
    <row r="46" spans="1:4" x14ac:dyDescent="0.25">
      <c r="A46" s="82"/>
      <c r="B46" s="83" t="s">
        <v>56</v>
      </c>
      <c r="C46" s="84" t="s">
        <v>50</v>
      </c>
      <c r="D46" s="24">
        <f>SUM(D6:D41)</f>
        <v>42786582.558300003</v>
      </c>
    </row>
    <row r="47" spans="1:4" ht="14.25" customHeight="1" x14ac:dyDescent="0.25">
      <c r="A47" s="82"/>
      <c r="B47" s="85"/>
      <c r="C47" s="84"/>
      <c r="D47" s="23"/>
    </row>
    <row r="49" spans="1:4" s="26" customFormat="1" ht="13.2" x14ac:dyDescent="0.25">
      <c r="A49" s="86"/>
      <c r="B49" s="87"/>
      <c r="C49" s="88"/>
      <c r="D49" s="25"/>
    </row>
    <row r="50" spans="1:4" s="26" customFormat="1" ht="13.2" x14ac:dyDescent="0.25">
      <c r="A50" s="89"/>
      <c r="B50" s="90"/>
      <c r="C50" s="88"/>
      <c r="D50" s="25"/>
    </row>
    <row r="51" spans="1:4" s="26" customFormat="1" ht="13.2" x14ac:dyDescent="0.25">
      <c r="A51" s="89"/>
      <c r="B51" s="90"/>
      <c r="C51" s="88"/>
      <c r="D51" s="25"/>
    </row>
    <row r="52" spans="1:4" s="26" customFormat="1" ht="13.2" x14ac:dyDescent="0.25">
      <c r="A52" s="89"/>
      <c r="B52" s="90"/>
      <c r="C52" s="88"/>
      <c r="D52" s="25"/>
    </row>
    <row r="53" spans="1:4" s="26" customFormat="1" ht="13.2" x14ac:dyDescent="0.25">
      <c r="A53" s="89"/>
      <c r="B53" s="90"/>
      <c r="C53" s="88"/>
      <c r="D53" s="25"/>
    </row>
    <row r="54" spans="1:4" s="26" customFormat="1" ht="13.2" x14ac:dyDescent="0.25">
      <c r="A54" s="89"/>
      <c r="B54" s="90"/>
      <c r="C54" s="88"/>
      <c r="D54" s="25"/>
    </row>
    <row r="55" spans="1:4" s="26" customFormat="1" ht="13.2" x14ac:dyDescent="0.25">
      <c r="A55" s="89"/>
      <c r="B55" s="90"/>
      <c r="C55" s="88"/>
      <c r="D55" s="25"/>
    </row>
    <row r="56" spans="1:4" s="26" customFormat="1" ht="13.2" x14ac:dyDescent="0.25">
      <c r="A56" s="89"/>
      <c r="B56" s="90"/>
      <c r="C56" s="88"/>
      <c r="D56" s="25"/>
    </row>
    <row r="57" spans="1:4" s="26" customFormat="1" ht="13.2" x14ac:dyDescent="0.25">
      <c r="A57" s="89"/>
      <c r="B57" s="90"/>
      <c r="C57" s="88"/>
      <c r="D57" s="25"/>
    </row>
    <row r="58" spans="1:4" s="26" customFormat="1" ht="13.2" x14ac:dyDescent="0.25">
      <c r="A58" s="89"/>
      <c r="B58" s="90"/>
      <c r="C58" s="88"/>
      <c r="D58" s="25"/>
    </row>
    <row r="59" spans="1:4" s="26" customFormat="1" ht="13.2" x14ac:dyDescent="0.25">
      <c r="A59" s="89"/>
      <c r="B59" s="90"/>
      <c r="C59" s="88"/>
      <c r="D59" s="25"/>
    </row>
    <row r="60" spans="1:4" s="26" customFormat="1" ht="13.2" x14ac:dyDescent="0.25">
      <c r="A60" s="89"/>
      <c r="B60" s="90"/>
      <c r="C60" s="88"/>
      <c r="D60" s="25"/>
    </row>
    <row r="61" spans="1:4" s="26" customFormat="1" ht="13.2" x14ac:dyDescent="0.25">
      <c r="A61" s="89"/>
      <c r="B61" s="90"/>
      <c r="C61" s="88"/>
      <c r="D61" s="25"/>
    </row>
    <row r="62" spans="1:4" s="26" customFormat="1" ht="13.2" x14ac:dyDescent="0.25">
      <c r="A62" s="89"/>
      <c r="B62" s="90"/>
      <c r="C62" s="88"/>
      <c r="D62" s="25"/>
    </row>
    <row r="63" spans="1:4" s="26" customFormat="1" ht="13.2" x14ac:dyDescent="0.25">
      <c r="A63" s="89"/>
      <c r="B63" s="90"/>
      <c r="C63" s="88"/>
      <c r="D63" s="25"/>
    </row>
    <row r="64" spans="1:4" s="26" customFormat="1" ht="13.2" x14ac:dyDescent="0.25">
      <c r="A64" s="89"/>
      <c r="B64" s="90"/>
      <c r="C64" s="88"/>
      <c r="D64" s="25"/>
    </row>
    <row r="65" spans="1:4" s="26" customFormat="1" ht="13.2" x14ac:dyDescent="0.25">
      <c r="A65" s="89"/>
      <c r="B65" s="90"/>
      <c r="C65" s="88"/>
      <c r="D65" s="25"/>
    </row>
    <row r="66" spans="1:4" s="26" customFormat="1" ht="13.2" x14ac:dyDescent="0.25">
      <c r="A66" s="89"/>
      <c r="B66" s="90"/>
      <c r="C66" s="88"/>
      <c r="D66" s="25"/>
    </row>
    <row r="67" spans="1:4" s="26" customFormat="1" ht="13.2" x14ac:dyDescent="0.25">
      <c r="A67" s="89"/>
      <c r="B67" s="90"/>
      <c r="C67" s="88"/>
      <c r="D67" s="25"/>
    </row>
    <row r="68" spans="1:4" s="26" customFormat="1" ht="13.2" x14ac:dyDescent="0.25">
      <c r="A68" s="89"/>
      <c r="B68" s="90"/>
      <c r="C68" s="88"/>
      <c r="D68" s="25"/>
    </row>
    <row r="69" spans="1:4" s="26" customFormat="1" ht="13.2" x14ac:dyDescent="0.25">
      <c r="A69" s="89"/>
      <c r="B69" s="90"/>
      <c r="C69" s="88"/>
      <c r="D69" s="25"/>
    </row>
    <row r="70" spans="1:4" s="26" customFormat="1" ht="13.2" x14ac:dyDescent="0.25">
      <c r="A70" s="89"/>
      <c r="B70" s="90"/>
      <c r="C70" s="88"/>
      <c r="D70" s="25"/>
    </row>
    <row r="71" spans="1:4" s="26" customFormat="1" ht="13.2" x14ac:dyDescent="0.25">
      <c r="A71" s="89"/>
      <c r="B71" s="90"/>
      <c r="C71" s="88"/>
      <c r="D71" s="25"/>
    </row>
    <row r="72" spans="1:4" s="26" customFormat="1" ht="13.2" x14ac:dyDescent="0.25">
      <c r="A72" s="91"/>
      <c r="B72" s="90"/>
      <c r="C72" s="88"/>
      <c r="D72" s="25"/>
    </row>
    <row r="73" spans="1:4" s="26" customFormat="1" ht="13.2" x14ac:dyDescent="0.25">
      <c r="A73" s="91"/>
      <c r="B73" s="90"/>
      <c r="C73" s="88"/>
      <c r="D73" s="25"/>
    </row>
    <row r="74" spans="1:4" s="26" customFormat="1" ht="13.2" x14ac:dyDescent="0.25">
      <c r="A74" s="91"/>
      <c r="B74" s="90"/>
      <c r="C74" s="88"/>
      <c r="D74" s="25"/>
    </row>
    <row r="75" spans="1:4" s="26" customFormat="1" ht="13.2" x14ac:dyDescent="0.25">
      <c r="A75" s="91"/>
      <c r="B75" s="90"/>
      <c r="C75" s="88"/>
      <c r="D75" s="25"/>
    </row>
    <row r="76" spans="1:4" s="26" customFormat="1" ht="13.2" x14ac:dyDescent="0.25">
      <c r="A76" s="91"/>
      <c r="B76" s="90"/>
      <c r="C76" s="88"/>
      <c r="D76" s="25"/>
    </row>
    <row r="77" spans="1:4" s="26" customFormat="1" ht="13.2" x14ac:dyDescent="0.25">
      <c r="A77" s="89"/>
      <c r="B77" s="90"/>
      <c r="C77" s="88"/>
      <c r="D77" s="25"/>
    </row>
    <row r="78" spans="1:4" s="26" customFormat="1" ht="13.2" x14ac:dyDescent="0.25">
      <c r="A78" s="89"/>
      <c r="B78" s="90"/>
      <c r="C78" s="88"/>
      <c r="D78" s="25"/>
    </row>
    <row r="79" spans="1:4" s="26" customFormat="1" ht="13.2" x14ac:dyDescent="0.25">
      <c r="A79" s="89"/>
      <c r="B79" s="90"/>
      <c r="C79" s="88"/>
      <c r="D79" s="25"/>
    </row>
    <row r="80" spans="1:4" s="26" customFormat="1" ht="13.2" x14ac:dyDescent="0.25">
      <c r="A80" s="89"/>
      <c r="B80" s="90"/>
      <c r="C80" s="88"/>
      <c r="D80" s="25"/>
    </row>
    <row r="81" spans="1:4" s="26" customFormat="1" ht="13.2" x14ac:dyDescent="0.25">
      <c r="A81" s="89"/>
      <c r="B81" s="90"/>
      <c r="C81" s="88"/>
      <c r="D81" s="25"/>
    </row>
    <row r="82" spans="1:4" s="26" customFormat="1" ht="13.2" x14ac:dyDescent="0.25">
      <c r="A82" s="89"/>
      <c r="B82" s="90"/>
      <c r="C82" s="88"/>
      <c r="D82" s="25"/>
    </row>
    <row r="83" spans="1:4" s="26" customFormat="1" ht="13.2" x14ac:dyDescent="0.25">
      <c r="A83" s="89"/>
      <c r="B83" s="90"/>
      <c r="C83" s="88"/>
      <c r="D83" s="25"/>
    </row>
    <row r="84" spans="1:4" s="26" customFormat="1" ht="13.2" x14ac:dyDescent="0.25">
      <c r="A84" s="89"/>
      <c r="B84" s="90"/>
      <c r="C84" s="88"/>
      <c r="D84" s="25"/>
    </row>
    <row r="85" spans="1:4" s="26" customFormat="1" ht="13.2" x14ac:dyDescent="0.25">
      <c r="A85" s="89"/>
      <c r="B85" s="90"/>
      <c r="C85" s="88"/>
      <c r="D85" s="25"/>
    </row>
    <row r="86" spans="1:4" s="26" customFormat="1" ht="13.2" x14ac:dyDescent="0.25">
      <c r="A86" s="89"/>
      <c r="B86" s="90"/>
      <c r="C86" s="88"/>
      <c r="D86" s="25"/>
    </row>
    <row r="87" spans="1:4" s="26" customFormat="1" ht="13.2" x14ac:dyDescent="0.25">
      <c r="A87" s="89"/>
      <c r="B87" s="90"/>
      <c r="C87" s="88"/>
      <c r="D87" s="25"/>
    </row>
    <row r="88" spans="1:4" s="26" customFormat="1" ht="13.2" x14ac:dyDescent="0.25">
      <c r="A88" s="89"/>
      <c r="B88" s="90"/>
      <c r="C88" s="88"/>
      <c r="D88" s="25"/>
    </row>
    <row r="89" spans="1:4" s="26" customFormat="1" ht="13.2" x14ac:dyDescent="0.25">
      <c r="A89" s="89"/>
      <c r="B89" s="90"/>
      <c r="C89" s="88"/>
      <c r="D89" s="25"/>
    </row>
    <row r="90" spans="1:4" s="26" customFormat="1" ht="13.2" x14ac:dyDescent="0.25">
      <c r="A90" s="89"/>
      <c r="B90" s="90"/>
      <c r="C90" s="88"/>
      <c r="D90" s="25"/>
    </row>
    <row r="91" spans="1:4" s="26" customFormat="1" ht="13.2" x14ac:dyDescent="0.25">
      <c r="A91" s="89"/>
      <c r="B91" s="90"/>
      <c r="C91" s="88"/>
      <c r="D91" s="25"/>
    </row>
    <row r="92" spans="1:4" s="26" customFormat="1" ht="13.2" x14ac:dyDescent="0.25">
      <c r="A92" s="89"/>
      <c r="B92" s="90"/>
      <c r="C92" s="88"/>
      <c r="D92" s="25"/>
    </row>
    <row r="93" spans="1:4" s="26" customFormat="1" ht="13.2" x14ac:dyDescent="0.25">
      <c r="A93" s="92"/>
      <c r="B93" s="92"/>
      <c r="C93" s="88"/>
      <c r="D93" s="25"/>
    </row>
    <row r="97" spans="1:4" s="21" customFormat="1" x14ac:dyDescent="0.25">
      <c r="A97" s="76"/>
      <c r="B97" s="76"/>
      <c r="C97" s="93"/>
      <c r="D97" s="27"/>
    </row>
  </sheetData>
  <mergeCells count="4">
    <mergeCell ref="A1:A2"/>
    <mergeCell ref="B1:B2"/>
    <mergeCell ref="C1:C2"/>
    <mergeCell ref="D1:D2"/>
  </mergeCells>
  <pageMargins left="0.66929133858267698" right="0.196850393700787" top="0.82677165354330695" bottom="0.47" header="0.196850393700787" footer="0.24"/>
  <pageSetup paperSize="9" orientation="portrait" r:id="rId1"/>
  <headerFooter>
    <oddHeader>&amp;R&amp;U
&amp;11BILL NO. 4 -PARKING FLOORS REFURBISHMENT
AL KHAIL MALL REFURBISHMENT</oddHeader>
    <oddFooter>&amp;L&amp;8DMS 148704 BOQ - Nakheel Mall Al Khail&amp;CB/4</oddFooter>
  </headerFooter>
  <colBreaks count="1" manualBreakCount="1">
    <brk id="4" max="41"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3EF1AB537AC9E47B3E67E62C11EDC34" ma:contentTypeVersion="6" ma:contentTypeDescription="Create a new document." ma:contentTypeScope="" ma:versionID="2393c6d2fbf1c3b1fcf0524f3ce13afe">
  <xsd:schema xmlns:xsd="http://www.w3.org/2001/XMLSchema" xmlns:xs="http://www.w3.org/2001/XMLSchema" xmlns:p="http://schemas.microsoft.com/office/2006/metadata/properties" xmlns:ns2="29343c2e-0cc4-4aa9-a004-66d03d634282" xmlns:ns3="303d1388-59d5-4b44-81d6-4cb28e15e614" targetNamespace="http://schemas.microsoft.com/office/2006/metadata/properties" ma:root="true" ma:fieldsID="42acea1767e65b62021b29439736a286" ns2:_="" ns3:_="">
    <xsd:import namespace="29343c2e-0cc4-4aa9-a004-66d03d634282"/>
    <xsd:import namespace="303d1388-59d5-4b44-81d6-4cb28e15e61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343c2e-0cc4-4aa9-a004-66d03d634282"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03d1388-59d5-4b44-81d6-4cb28e15e61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39FB44C-BF27-4FB8-B5EE-F35FE45F769B}"/>
</file>

<file path=customXml/itemProps2.xml><?xml version="1.0" encoding="utf-8"?>
<ds:datastoreItem xmlns:ds="http://schemas.openxmlformats.org/officeDocument/2006/customXml" ds:itemID="{20670B51-9380-496E-A251-430B3DE3C2DA}"/>
</file>

<file path=customXml/itemProps3.xml><?xml version="1.0" encoding="utf-8"?>
<ds:datastoreItem xmlns:ds="http://schemas.openxmlformats.org/officeDocument/2006/customXml" ds:itemID="{FDE715E1-F2F6-4F46-A432-A841312EF75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23</vt:i4>
      </vt:variant>
    </vt:vector>
  </HeadingPairs>
  <TitlesOfParts>
    <vt:vector size="35" baseType="lpstr">
      <vt:lpstr>Fly-Bill 4</vt:lpstr>
      <vt:lpstr>Bill 4 Concrete</vt:lpstr>
      <vt:lpstr>Bill 4 - Masonry</vt:lpstr>
      <vt:lpstr>Bill 4 Woodwork</vt:lpstr>
      <vt:lpstr>Bill 4 - Thermal and Moisture</vt:lpstr>
      <vt:lpstr>Bill 4 Doors and Windows</vt:lpstr>
      <vt:lpstr>Bill 4 - Finishes</vt:lpstr>
      <vt:lpstr>Bill 4 - Accessories</vt:lpstr>
      <vt:lpstr>Bill 4 - Furnishings</vt:lpstr>
      <vt:lpstr>Bill 4 - Mechanical</vt:lpstr>
      <vt:lpstr>Bill 4 - Electrical</vt:lpstr>
      <vt:lpstr>Bill 4-Sum</vt:lpstr>
      <vt:lpstr>'Bill 4 - Accessories'!Print_Area</vt:lpstr>
      <vt:lpstr>'Bill 4 - Electrical'!Print_Area</vt:lpstr>
      <vt:lpstr>'Bill 4 - Finishes'!Print_Area</vt:lpstr>
      <vt:lpstr>'Bill 4 - Furnishings'!Print_Area</vt:lpstr>
      <vt:lpstr>'Bill 4 - Masonry'!Print_Area</vt:lpstr>
      <vt:lpstr>'Bill 4 - Mechanical'!Print_Area</vt:lpstr>
      <vt:lpstr>'Bill 4 - Thermal and Moisture'!Print_Area</vt:lpstr>
      <vt:lpstr>'Bill 4 Concrete'!Print_Area</vt:lpstr>
      <vt:lpstr>'Bill 4 Doors and Windows'!Print_Area</vt:lpstr>
      <vt:lpstr>'Bill 4 Woodwork'!Print_Area</vt:lpstr>
      <vt:lpstr>'Bill 4-Sum'!Print_Area</vt:lpstr>
      <vt:lpstr>'Fly-Bill 4'!Print_Area</vt:lpstr>
      <vt:lpstr>'Bill 4 - Accessories'!Print_Titles</vt:lpstr>
      <vt:lpstr>'Bill 4 - Electrical'!Print_Titles</vt:lpstr>
      <vt:lpstr>'Bill 4 - Finishes'!Print_Titles</vt:lpstr>
      <vt:lpstr>'Bill 4 - Furnishings'!Print_Titles</vt:lpstr>
      <vt:lpstr>'Bill 4 - Masonry'!Print_Titles</vt:lpstr>
      <vt:lpstr>'Bill 4 - Mechanical'!Print_Titles</vt:lpstr>
      <vt:lpstr>'Bill 4 - Thermal and Moisture'!Print_Titles</vt:lpstr>
      <vt:lpstr>'Bill 4 Concrete'!Print_Titles</vt:lpstr>
      <vt:lpstr>'Bill 4 Doors and Windows'!Print_Titles</vt:lpstr>
      <vt:lpstr>'Bill 4 Woodwork'!Print_Titles</vt:lpstr>
      <vt:lpstr>'Bill 4-Sum'!Print_Titles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Mendoza</dc:creator>
  <cp:lastModifiedBy>Monvi Carlo Osorio</cp:lastModifiedBy>
  <cp:lastPrinted>2024-02-21T08:54:37Z</cp:lastPrinted>
  <dcterms:created xsi:type="dcterms:W3CDTF">2021-12-10T06:42:14Z</dcterms:created>
  <dcterms:modified xsi:type="dcterms:W3CDTF">2024-02-21T08:54:53Z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0x010100D3EF1AB537AC9E47B3E67E62C11EDC34</vt:lpwstr>
  </property>
</Properties>
</file>