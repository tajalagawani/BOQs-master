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COMMON\Tender\2022\BLDG\T061-22 NKHL RFQ700887 Modification&amp;Redev Wrks Nakheel Mall-Al Khail\2. COMM\4. Sub.&amp;PTC\24.02.21 - Final BoQ - Amended\"/>
    </mc:Choice>
  </mc:AlternateContent>
  <xr:revisionPtr revIDLastSave="0" documentId="13_ncr:1_{76F26990-98FF-4907-A6FF-A057C5A33659}" xr6:coauthVersionLast="47" xr6:coauthVersionMax="47" xr10:uidLastSave="{00000000-0000-0000-0000-000000000000}"/>
  <bookViews>
    <workbookView xWindow="-120" yWindow="-120" windowWidth="29040" windowHeight="15840" xr2:uid="{E640D07C-F780-41F7-95A9-52BDC0DDA64A}"/>
  </bookViews>
  <sheets>
    <sheet name="Bill 14 Mall Metalwork" sheetId="2" r:id="rId1"/>
    <sheet name="Bill 14 - Parking Metalwork" sheetId="5" r:id="rId2"/>
    <sheet name="Bill 14 - Additional Works" sheetId="7" r:id="rId3"/>
    <sheet name="Bill 14 - Mezzanine" sheetId="8" r:id="rId4"/>
    <sheet name="METAL SUM" sheetId="6" r:id="rId5"/>
  </sheets>
  <definedNames>
    <definedName name="_xlnm._FilterDatabase" localSheetId="2" hidden="1">'Bill 14 - Additional Works'!$A$3:$F$34</definedName>
    <definedName name="_xlnm._FilterDatabase" localSheetId="3" hidden="1">'Bill 14 - Mezzanine'!$A$1:$F$178</definedName>
    <definedName name="_xlnm._FilterDatabase" localSheetId="1" hidden="1">'Bill 14 - Parking Metalwork'!$A$1:$F$178</definedName>
    <definedName name="_xlnm._FilterDatabase" localSheetId="0" hidden="1">'Bill 14 Mall Metalwork'!$A$1:$F$435</definedName>
    <definedName name="_xlnm._FilterDatabase" localSheetId="4" hidden="1">'METAL SUM'!$D$1:$D$15</definedName>
    <definedName name="_xlnm.Print_Area" localSheetId="2">'Bill 14 - Additional Works'!$A$1:$F$34</definedName>
    <definedName name="_xlnm.Print_Area" localSheetId="3">'Bill 14 - Mezzanine'!$A$1:$F$182</definedName>
    <definedName name="_xlnm.Print_Area" localSheetId="1">'Bill 14 - Parking Metalwork'!$A$1:$F$182</definedName>
    <definedName name="_xlnm.Print_Area" localSheetId="0">'Bill 14 Mall Metalwork'!$A$1:$F$435</definedName>
    <definedName name="_xlnm.Print_Area" localSheetId="4">'METAL SUM'!$A$1:$F$15</definedName>
    <definedName name="_xlnm.Print_Titles" localSheetId="3">'Bill 14 - Mezzanine'!$1:$3</definedName>
    <definedName name="_xlnm.Print_Titles" localSheetId="1">'Bill 14 - Parking Metalwork'!$1:$3</definedName>
    <definedName name="_xlnm.Print_Titles" localSheetId="0">'Bill 14 Mall Metalwork'!$1:$3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7" l="1"/>
  <c r="G356" i="2" l="1"/>
  <c r="E356" i="2"/>
  <c r="H362" i="2" l="1"/>
  <c r="F8" i="6"/>
  <c r="F78" i="8"/>
  <c r="F30" i="8"/>
  <c r="F90" i="8"/>
  <c r="F131" i="8" s="1"/>
  <c r="F140" i="8" s="1"/>
  <c r="F74" i="8"/>
  <c r="F72" i="8"/>
  <c r="F66" i="8"/>
  <c r="F64" i="8"/>
  <c r="F62" i="8"/>
  <c r="F60" i="8"/>
  <c r="F34" i="8"/>
  <c r="F28" i="8"/>
  <c r="F22" i="8"/>
  <c r="F20" i="8"/>
  <c r="F18" i="8"/>
  <c r="F16" i="8"/>
  <c r="C12" i="7"/>
  <c r="F47" i="8" l="1"/>
  <c r="F136" i="8" s="1"/>
  <c r="F85" i="8"/>
  <c r="F138" i="8" s="1"/>
  <c r="G364" i="2"/>
  <c r="F181" i="8" l="1"/>
  <c r="F20" i="7" l="1"/>
  <c r="F14" i="7"/>
  <c r="F12" i="7"/>
  <c r="F10" i="7"/>
  <c r="F16" i="7"/>
  <c r="F92" i="5"/>
  <c r="F131" i="5" s="1"/>
  <c r="F140" i="5" s="1"/>
  <c r="F80" i="5"/>
  <c r="F78" i="5"/>
  <c r="F74" i="5"/>
  <c r="F72" i="5"/>
  <c r="F70" i="5"/>
  <c r="F68" i="5"/>
  <c r="F66" i="5"/>
  <c r="F64" i="5"/>
  <c r="F62" i="5"/>
  <c r="F60" i="5"/>
  <c r="F58" i="5"/>
  <c r="F56" i="5"/>
  <c r="F54" i="5"/>
  <c r="F52" i="5"/>
  <c r="F50" i="5"/>
  <c r="F48" i="5"/>
  <c r="F46" i="5"/>
  <c r="F44" i="5"/>
  <c r="F36" i="5"/>
  <c r="F34" i="5"/>
  <c r="F30" i="5"/>
  <c r="F28" i="5"/>
  <c r="F26" i="5"/>
  <c r="F24" i="5"/>
  <c r="F22" i="5"/>
  <c r="F20" i="5"/>
  <c r="F18" i="5"/>
  <c r="F16" i="5"/>
  <c r="F14" i="5"/>
  <c r="F12" i="5"/>
  <c r="F10" i="5"/>
  <c r="F364" i="2"/>
  <c r="F362" i="2"/>
  <c r="F358" i="2"/>
  <c r="G367" i="2" s="1"/>
  <c r="I367" i="2" s="1"/>
  <c r="F356" i="2"/>
  <c r="G366" i="2" s="1"/>
  <c r="I366" i="2" s="1"/>
  <c r="F354" i="2"/>
  <c r="F352" i="2"/>
  <c r="F350" i="2"/>
  <c r="F348" i="2"/>
  <c r="F346" i="2"/>
  <c r="F344" i="2"/>
  <c r="F336" i="2"/>
  <c r="F334" i="2"/>
  <c r="F332" i="2"/>
  <c r="F330" i="2"/>
  <c r="F328" i="2"/>
  <c r="F326" i="2"/>
  <c r="F324" i="2"/>
  <c r="F322" i="2"/>
  <c r="F320" i="2"/>
  <c r="F318" i="2"/>
  <c r="F316" i="2"/>
  <c r="F314" i="2"/>
  <c r="F312" i="2"/>
  <c r="F310" i="2"/>
  <c r="F308" i="2"/>
  <c r="F306" i="2"/>
  <c r="F304" i="2"/>
  <c r="F302" i="2"/>
  <c r="F300" i="2"/>
  <c r="F298" i="2"/>
  <c r="F296" i="2"/>
  <c r="F294" i="2"/>
  <c r="F286" i="2"/>
  <c r="F284" i="2"/>
  <c r="F282" i="2"/>
  <c r="F280" i="2"/>
  <c r="F278" i="2"/>
  <c r="F276" i="2"/>
  <c r="F274" i="2"/>
  <c r="F272" i="2"/>
  <c r="F270" i="2"/>
  <c r="F268" i="2"/>
  <c r="F266" i="2"/>
  <c r="F264" i="2"/>
  <c r="F262" i="2"/>
  <c r="F260" i="2"/>
  <c r="F258" i="2"/>
  <c r="F256" i="2"/>
  <c r="F254" i="2"/>
  <c r="F252" i="2"/>
  <c r="F250" i="2"/>
  <c r="F248" i="2"/>
  <c r="F246" i="2"/>
  <c r="F244" i="2"/>
  <c r="F236" i="2"/>
  <c r="F234" i="2"/>
  <c r="F232" i="2"/>
  <c r="F230" i="2"/>
  <c r="F228" i="2"/>
  <c r="F226" i="2"/>
  <c r="F224" i="2"/>
  <c r="F222" i="2"/>
  <c r="F220" i="2"/>
  <c r="F218" i="2"/>
  <c r="F216" i="2"/>
  <c r="F214" i="2"/>
  <c r="F212" i="2"/>
  <c r="F210" i="2"/>
  <c r="F208" i="2"/>
  <c r="F206" i="2"/>
  <c r="F204" i="2"/>
  <c r="F202" i="2"/>
  <c r="F200" i="2"/>
  <c r="F198" i="2"/>
  <c r="F196" i="2"/>
  <c r="F194" i="2"/>
  <c r="F186" i="2"/>
  <c r="F184" i="2"/>
  <c r="F182" i="2"/>
  <c r="F180" i="2"/>
  <c r="F178" i="2"/>
  <c r="F176" i="2"/>
  <c r="F174" i="2"/>
  <c r="F172" i="2"/>
  <c r="F170" i="2"/>
  <c r="F168" i="2"/>
  <c r="F166" i="2"/>
  <c r="F164" i="2"/>
  <c r="F162" i="2"/>
  <c r="F160" i="2"/>
  <c r="F158" i="2"/>
  <c r="F156" i="2"/>
  <c r="F154" i="2"/>
  <c r="F152" i="2"/>
  <c r="F150" i="2"/>
  <c r="F148" i="2"/>
  <c r="F146" i="2"/>
  <c r="F144" i="2"/>
  <c r="F136" i="2"/>
  <c r="F134" i="2"/>
  <c r="F132" i="2"/>
  <c r="F130" i="2"/>
  <c r="F128" i="2"/>
  <c r="F126" i="2"/>
  <c r="F124" i="2"/>
  <c r="F122" i="2"/>
  <c r="F120" i="2"/>
  <c r="F118" i="2"/>
  <c r="F116" i="2"/>
  <c r="F114" i="2"/>
  <c r="F112" i="2"/>
  <c r="F110" i="2"/>
  <c r="F108" i="2"/>
  <c r="F106" i="2"/>
  <c r="F104" i="2"/>
  <c r="F102" i="2"/>
  <c r="F100" i="2"/>
  <c r="F98" i="2"/>
  <c r="F96" i="2"/>
  <c r="F94" i="2"/>
  <c r="F86" i="2"/>
  <c r="F84" i="2"/>
  <c r="F82" i="2"/>
  <c r="F80" i="2"/>
  <c r="F78" i="2"/>
  <c r="F76" i="2"/>
  <c r="F74" i="2"/>
  <c r="F70" i="2"/>
  <c r="F68" i="2"/>
  <c r="F66" i="2"/>
  <c r="F64" i="2"/>
  <c r="F62" i="2"/>
  <c r="F60" i="2"/>
  <c r="F58" i="2"/>
  <c r="F56" i="2"/>
  <c r="F54" i="2"/>
  <c r="F52" i="2"/>
  <c r="F50" i="2"/>
  <c r="I362" i="2" s="1"/>
  <c r="I363" i="2" s="1"/>
  <c r="F48" i="2"/>
  <c r="F40" i="2"/>
  <c r="F38" i="2"/>
  <c r="F36" i="2"/>
  <c r="F34" i="2"/>
  <c r="F32" i="2"/>
  <c r="F30" i="2"/>
  <c r="F28" i="2"/>
  <c r="F26" i="2"/>
  <c r="F24" i="2"/>
  <c r="F22" i="2"/>
  <c r="F20" i="2"/>
  <c r="F18" i="2"/>
  <c r="F16" i="2"/>
  <c r="F14" i="2"/>
  <c r="F12" i="2"/>
  <c r="G358" i="2" l="1"/>
  <c r="H358" i="2" s="1"/>
  <c r="H356" i="2"/>
  <c r="F18" i="7"/>
  <c r="F34" i="7" s="1"/>
  <c r="F7" i="6" s="1"/>
  <c r="F87" i="5"/>
  <c r="F138" i="5" s="1"/>
  <c r="F39" i="5"/>
  <c r="F136" i="5" s="1"/>
  <c r="F43" i="2"/>
  <c r="F391" i="2" s="1"/>
  <c r="F189" i="2"/>
  <c r="F397" i="2" s="1"/>
  <c r="F89" i="2"/>
  <c r="F393" i="2" s="1"/>
  <c r="F139" i="2"/>
  <c r="F395" i="2" s="1"/>
  <c r="F339" i="2"/>
  <c r="F403" i="2" s="1"/>
  <c r="F386" i="2"/>
  <c r="F405" i="2" s="1"/>
  <c r="F289" i="2"/>
  <c r="F401" i="2" s="1"/>
  <c r="F239" i="2"/>
  <c r="F399" i="2" s="1"/>
  <c r="F181" i="5" l="1"/>
  <c r="F6" i="6" s="1"/>
  <c r="F434" i="2"/>
  <c r="F5" i="6" s="1"/>
  <c r="F15" i="6" l="1"/>
</calcChain>
</file>

<file path=xl/sharedStrings.xml><?xml version="1.0" encoding="utf-8"?>
<sst xmlns="http://schemas.openxmlformats.org/spreadsheetml/2006/main" count="767" uniqueCount="265">
  <si>
    <t>METALWORK</t>
  </si>
  <si>
    <t>Item</t>
  </si>
  <si>
    <t>Description</t>
  </si>
  <si>
    <t>Quantity</t>
  </si>
  <si>
    <t>Unit</t>
  </si>
  <si>
    <t>Rate
AED</t>
  </si>
  <si>
    <t>Amount
AED</t>
  </si>
  <si>
    <t>STRUCTURAL METALWORK</t>
  </si>
  <si>
    <t>Note: Refer to the following:</t>
  </si>
  <si>
    <t>Structural steel frame; with grade S275; conforming to AISC 360-10; including teflon, stiffeners, fixings, supports and all ancillary works as necessary</t>
  </si>
  <si>
    <t>A</t>
  </si>
  <si>
    <t>t</t>
  </si>
  <si>
    <t>B</t>
  </si>
  <si>
    <t>UB 254 x 146 x 37kg/m</t>
  </si>
  <si>
    <t>C</t>
  </si>
  <si>
    <t>UB 305 x 165 x 46kg/m</t>
  </si>
  <si>
    <t>D</t>
  </si>
  <si>
    <t>UB 406 x 178 x 54kg/m</t>
  </si>
  <si>
    <t>E</t>
  </si>
  <si>
    <t>UB 533 x 165 x 74kg/m</t>
  </si>
  <si>
    <t>F</t>
  </si>
  <si>
    <t>UB 610 x 305 x 238kg/m</t>
  </si>
  <si>
    <t>G</t>
  </si>
  <si>
    <t>UB 686 x 254 x 152kg/m</t>
  </si>
  <si>
    <t>H</t>
  </si>
  <si>
    <t>UB 1016 x 305 x 437kg/m</t>
  </si>
  <si>
    <t>J</t>
  </si>
  <si>
    <t>Baseplate; 12mm thick</t>
  </si>
  <si>
    <t>K</t>
  </si>
  <si>
    <t>Baseplate; 16mm thick</t>
  </si>
  <si>
    <t>L</t>
  </si>
  <si>
    <t>Baseplate; 25mm thick</t>
  </si>
  <si>
    <t>M</t>
  </si>
  <si>
    <t>EA 150 x 150 x 10mm thick</t>
  </si>
  <si>
    <t>N</t>
  </si>
  <si>
    <t>M16; 300mm long</t>
  </si>
  <si>
    <t>Nr.</t>
  </si>
  <si>
    <t>P</t>
  </si>
  <si>
    <t>M24; 300mm long</t>
  </si>
  <si>
    <t>Q</t>
  </si>
  <si>
    <t>Fittings</t>
  </si>
  <si>
    <t>STRUCTURAL METALWORK (Cont´d)</t>
  </si>
  <si>
    <t>Fixings</t>
  </si>
  <si>
    <t>Structural steel frame; with grade S355; conforming to AISC 360-10; including teflon, stiffeners, fixings, supports and all ancillary works as necessary</t>
  </si>
  <si>
    <t>CHS 508 x 16mm thick</t>
  </si>
  <si>
    <t>CHS 406.4 x 10mm thick</t>
  </si>
  <si>
    <t>PFC100 x 50 x 10mm thick</t>
  </si>
  <si>
    <t>PFC150 x 75 x 18mm thick</t>
  </si>
  <si>
    <t>PFC180 x 90 x 26mm thick</t>
  </si>
  <si>
    <t>PFC260 x 90 x 35mm thick</t>
  </si>
  <si>
    <t>RHS 200 x 100 x 6.3mm thick</t>
  </si>
  <si>
    <t>RHS 300 x 200 x 10mm thick</t>
  </si>
  <si>
    <t>RHS 300 x 200 x 8mm thick</t>
  </si>
  <si>
    <t>RHS 400 x 200 x 8mm thick</t>
  </si>
  <si>
    <t>R</t>
  </si>
  <si>
    <t>S</t>
  </si>
  <si>
    <t>T</t>
  </si>
  <si>
    <t>U</t>
  </si>
  <si>
    <t>UB 152 x 89 x 16kg/m</t>
  </si>
  <si>
    <t>UB 178 x 102 x 19kg/m</t>
  </si>
  <si>
    <t>UB 203 x 102 x 23kg/m</t>
  </si>
  <si>
    <t>UB 203 x 133 x 25kg/m</t>
  </si>
  <si>
    <t>UB 254 x 102 x 25kg/m</t>
  </si>
  <si>
    <t>UB 305 x 102 x 33kg/m</t>
  </si>
  <si>
    <t>UB 406 x 140 x 39kg/m</t>
  </si>
  <si>
    <t>UB 406 x 140 x 53kg/m</t>
  </si>
  <si>
    <t>UB 457 x 152 x 52kg/m</t>
  </si>
  <si>
    <t>V</t>
  </si>
  <si>
    <t>UB 457 x 152 x 60kg/m</t>
  </si>
  <si>
    <t>W</t>
  </si>
  <si>
    <t>UB 457 x 191 x 74kg/m</t>
  </si>
  <si>
    <t>X</t>
  </si>
  <si>
    <t>UB 457 x 191 x 82kg/m</t>
  </si>
  <si>
    <t>UB 457 x 191 x 89kg/m</t>
  </si>
  <si>
    <t>UB 457 x 191 x 106kg/m</t>
  </si>
  <si>
    <t>UB 457 x 191 x 133kg/m</t>
  </si>
  <si>
    <t>UB 533 x 210 x 122kg/m</t>
  </si>
  <si>
    <t>UB 533 x 312 x 182kg/m</t>
  </si>
  <si>
    <t>UB 610 x 229 x 125kg/m</t>
  </si>
  <si>
    <t>UB 610 x 305 x 179kg/m</t>
  </si>
  <si>
    <t>UB 762 x 267 x 134kg/m</t>
  </si>
  <si>
    <t>UB 762 x 267 x 197kg/m</t>
  </si>
  <si>
    <t>UB 838 x 292 x 176kg/m</t>
  </si>
  <si>
    <t>UB 914 x 419 x 343kg/m</t>
  </si>
  <si>
    <t>UB 1016 x 305 x 222kg/m</t>
  </si>
  <si>
    <t>UC 152 x 152 x 23kg/m</t>
  </si>
  <si>
    <t>UC 254 x 254 x  73kg/m</t>
  </si>
  <si>
    <t>UC 254 x 254 x 132kg/m</t>
  </si>
  <si>
    <t>UC 305 x 305 x 137kg/m</t>
  </si>
  <si>
    <t>UC 356 x 406 x 235kg/m</t>
  </si>
  <si>
    <t>Built-up section; 8mm thick metal plate</t>
  </si>
  <si>
    <t>Built-up section; 10mm thick metal plate</t>
  </si>
  <si>
    <t>Built-up section; 12mm thick metal plate</t>
  </si>
  <si>
    <t>Built-up section; 15mm thick metal plate</t>
  </si>
  <si>
    <t>Built-up section; 20mm thick metal plate</t>
  </si>
  <si>
    <t>Built-up section; 25mm thick metal plate</t>
  </si>
  <si>
    <t>Built-up section; 30mm thick metal plate</t>
  </si>
  <si>
    <t>Built-up section; 40mm thick metal plate</t>
  </si>
  <si>
    <t>Built-up section; 50mm thick metal plate</t>
  </si>
  <si>
    <t>EA 100 x 100 x 12mm thick</t>
  </si>
  <si>
    <t>EA 120 x 120 x 15mm thick</t>
  </si>
  <si>
    <t>Baseplate; 8mm thick</t>
  </si>
  <si>
    <t>Baseplate; 10mm thick</t>
  </si>
  <si>
    <t>Baseplate; 15mm thick</t>
  </si>
  <si>
    <t>Baseplate; 20mm thick</t>
  </si>
  <si>
    <t>Baseplate; 22mm thick</t>
  </si>
  <si>
    <t>Baseplate; 35mm thick</t>
  </si>
  <si>
    <t>Baseplate; 50mm thick</t>
  </si>
  <si>
    <t>Baseplate; 60mm thick</t>
  </si>
  <si>
    <t>M10; 150mm long</t>
  </si>
  <si>
    <t>M20; 200mm long</t>
  </si>
  <si>
    <t>M20; 280mm long</t>
  </si>
  <si>
    <t>M20; 300mm long</t>
  </si>
  <si>
    <t>40</t>
  </si>
  <si>
    <t>M20; 350mm long</t>
  </si>
  <si>
    <t>M24; 350mm long</t>
  </si>
  <si>
    <t>M24; 400mm long</t>
  </si>
  <si>
    <t>M24; 450mm long</t>
  </si>
  <si>
    <t>M27; 150mm long</t>
  </si>
  <si>
    <t>M30; 300mm long</t>
  </si>
  <si>
    <t>M30; 600mm long</t>
  </si>
  <si>
    <t>M30; 1250mm long</t>
  </si>
  <si>
    <t>Purlins; 242Z32</t>
  </si>
  <si>
    <t>m</t>
  </si>
  <si>
    <t>Protective treatment; including surface preparation</t>
  </si>
  <si>
    <t>Corrosion protection system</t>
  </si>
  <si>
    <t>m²</t>
  </si>
  <si>
    <r>
      <t xml:space="preserve">Fireproofing and </t>
    </r>
    <r>
      <rPr>
        <strike/>
        <sz val="11"/>
        <color rgb="FFFF0000"/>
        <rFont val="Arial"/>
        <family val="2"/>
      </rPr>
      <t>intumescent</t>
    </r>
    <r>
      <rPr>
        <sz val="11"/>
        <color rgb="FF000000"/>
        <rFont val="Arial"/>
        <family val="2"/>
      </rPr>
      <t xml:space="preserve"> </t>
    </r>
    <r>
      <rPr>
        <sz val="11"/>
        <color rgb="FFFF0000"/>
        <rFont val="Arial"/>
        <family val="2"/>
      </rPr>
      <t>cementitious</t>
    </r>
    <r>
      <rPr>
        <sz val="11"/>
        <color rgb="FF000000"/>
        <rFont val="Arial"/>
        <family val="2"/>
      </rPr>
      <t xml:space="preserve"> coating system</t>
    </r>
  </si>
  <si>
    <t>GENERALLY</t>
  </si>
  <si>
    <t>Allow for any other works which are not included above and which are required to complete the Metalwork in accordance with the Specification and the drawings (Tenderer to list below):</t>
  </si>
  <si>
    <t>COLLECTION</t>
  </si>
  <si>
    <t>Carried To Summary AED</t>
  </si>
  <si>
    <t xml:space="preserve"> Quantity</t>
  </si>
  <si>
    <t>Rate</t>
  </si>
  <si>
    <t>Amount</t>
  </si>
  <si>
    <t>AED</t>
  </si>
  <si>
    <t>CHS 193.7 x 5mm thick</t>
  </si>
  <si>
    <t>L 150 x 150 x 10mm thick</t>
  </si>
  <si>
    <t>Square tube; 500 x 1000 x 40mm thick</t>
  </si>
  <si>
    <t xml:space="preserve"> UB 305 x 165 x 54</t>
  </si>
  <si>
    <t xml:space="preserve"> UB 406 x 178 x 54</t>
  </si>
  <si>
    <t xml:space="preserve"> UB 406 x 178 x 60</t>
  </si>
  <si>
    <t xml:space="preserve"> UB 457 x 191 x 133</t>
  </si>
  <si>
    <t xml:space="preserve"> UB 533 x 210 x 122</t>
  </si>
  <si>
    <t xml:space="preserve"> UB 533 x 210 x 138</t>
  </si>
  <si>
    <t xml:space="preserve"> UB 610 x 229 x 101</t>
  </si>
  <si>
    <t xml:space="preserve"> UB 1016 x 305 x 393</t>
  </si>
  <si>
    <t>To Collection</t>
  </si>
  <si>
    <t>M16; 200mm long</t>
  </si>
  <si>
    <t>L 150 x 150 x 18mm thick</t>
  </si>
  <si>
    <t>PFC300 x 90 x 41mm thick</t>
  </si>
  <si>
    <t>RHS 400 x 200 x 12.5mm thick</t>
  </si>
  <si>
    <t>RHS 500 x 300 x 12.5mm thick</t>
  </si>
  <si>
    <t>RHS 600 x 300 x 16mm thick</t>
  </si>
  <si>
    <t>RHS 1000 x 500 x 40mm thick</t>
  </si>
  <si>
    <t>SHS 150 x 150 x 5mm thick</t>
  </si>
  <si>
    <t>SHS 150 x 150 x 10mm thick</t>
  </si>
  <si>
    <t>SHS 150 x 150 x 16mm thick</t>
  </si>
  <si>
    <t xml:space="preserve"> Square tube 400 x 1000 x 20mm thick</t>
  </si>
  <si>
    <t xml:space="preserve"> Square tube; 500 x 750 x 25mm thick</t>
  </si>
  <si>
    <t xml:space="preserve"> Square tube; 600 x 750 x 35mm thick</t>
  </si>
  <si>
    <t>UB 203 x 133 x 30kg/m</t>
  </si>
  <si>
    <t>UB 305 x 102 x 25kg/m</t>
  </si>
  <si>
    <t>UB 305 x 127 x 42kg/m</t>
  </si>
  <si>
    <t>UB 305 x 165 x 40kg/m</t>
  </si>
  <si>
    <t>UB 356 x 127 x 33kg/m</t>
  </si>
  <si>
    <t>UB 356 x 127 x 39kg/m</t>
  </si>
  <si>
    <t>UB 457 x 191 x 98kg/m</t>
  </si>
  <si>
    <t>UB 520 x 419 x 343kg/m</t>
  </si>
  <si>
    <t>UB 533 x 164 x 158kg/m</t>
  </si>
  <si>
    <t>UB 533 x 312 x 150kg/m</t>
  </si>
  <si>
    <t>UB 610 x 178 x 82kg/m</t>
  </si>
  <si>
    <t>UB 686 x 254 x 437kg/m</t>
  </si>
  <si>
    <t>UB 838 x 292 x 226kg/m</t>
  </si>
  <si>
    <t>UB 914 x 305 x 224kg/m</t>
  </si>
  <si>
    <t>UB 914 x 325/419 x 343kg/m</t>
  </si>
  <si>
    <t>UB 914 x 325 x 343kg/m</t>
  </si>
  <si>
    <t>UC 152 x 152 x 37kg/m</t>
  </si>
  <si>
    <t>UC 152 x 152 x 51kg/m</t>
  </si>
  <si>
    <t>UC 254 x 254 x 167kg/m</t>
  </si>
  <si>
    <t>UC 305 x 305 x 97kg/m</t>
  </si>
  <si>
    <t>UC 305 x 305 x 158kg/m</t>
  </si>
  <si>
    <t>UC 305 x 305 x 198kg/m</t>
  </si>
  <si>
    <t>UC 305 x 305 x 283kg/m</t>
  </si>
  <si>
    <t>UC 356 x 406 x 287kg/m</t>
  </si>
  <si>
    <t>Built-up section; 35mm thick metal plate</t>
  </si>
  <si>
    <t>PFC 300 x 300 x 25</t>
  </si>
  <si>
    <t>Baseplate; 65mm thick</t>
  </si>
  <si>
    <t>M12; 100mm long</t>
  </si>
  <si>
    <t>M20; 250mm long</t>
  </si>
  <si>
    <t>M20; 450mm long</t>
  </si>
  <si>
    <t>M20; 500mm long</t>
  </si>
  <si>
    <t>M25; 450mm long</t>
  </si>
  <si>
    <t>M30; 450mm long</t>
  </si>
  <si>
    <t>Purlins; 142Z15</t>
  </si>
  <si>
    <t>Carried To Summary</t>
  </si>
  <si>
    <t>48</t>
  </si>
  <si>
    <t>EA 120 x 120 x 8mm thick</t>
  </si>
  <si>
    <t>M24; 210mm long</t>
  </si>
  <si>
    <t xml:space="preserve"> UB 457 x 191 x 82</t>
  </si>
  <si>
    <t xml:space="preserve"> UB 533 x 210 x 92</t>
  </si>
  <si>
    <t xml:space="preserve"> UB 610 x 229 x 140</t>
  </si>
  <si>
    <t xml:space="preserve"> UB 762 x 267 x 197</t>
  </si>
  <si>
    <t xml:space="preserve"> UB 1016 x 305 x 272</t>
  </si>
  <si>
    <t xml:space="preserve"> PFC260 x 90 x 35</t>
  </si>
  <si>
    <t>Nr</t>
  </si>
  <si>
    <t xml:space="preserve"> UB 203 x 102 x 23</t>
  </si>
  <si>
    <t xml:space="preserve"> UB 305 x 127 x 37</t>
  </si>
  <si>
    <t xml:space="preserve"> UB 406 x 140 x 39</t>
  </si>
  <si>
    <t xml:space="preserve"> UB 533 x 210 x 82</t>
  </si>
  <si>
    <t xml:space="preserve"> UC 254 x 254 x 132</t>
  </si>
  <si>
    <t xml:space="preserve"> UC 305 x 305 x 97</t>
  </si>
  <si>
    <t>234</t>
  </si>
  <si>
    <t>80</t>
  </si>
  <si>
    <t>2,089</t>
  </si>
  <si>
    <t>Page Nr.</t>
  </si>
  <si>
    <t>SUMMARY</t>
  </si>
  <si>
    <t>TO MAIN SUMMARY</t>
  </si>
  <si>
    <t>Corrosion Protection System</t>
  </si>
  <si>
    <t>Fire-proofing and Cementitious Coating</t>
  </si>
  <si>
    <t>Structural Steel Work - Mall</t>
  </si>
  <si>
    <t>Structural Steel Work - Parking</t>
  </si>
  <si>
    <t>Design and Authority Approvals</t>
  </si>
  <si>
    <t>Included</t>
  </si>
  <si>
    <t>Structural Steel Works based on Drawings issued for Authority Approval</t>
  </si>
  <si>
    <t>STRUCTURAL METALWORK - ADDITIONAL WORKS</t>
  </si>
  <si>
    <t>Structural Steelworks Extra-over - Subcontractor's Design Provision</t>
  </si>
  <si>
    <t>Composite Slab - Metal Decking including Civil Works</t>
  </si>
  <si>
    <t>Purlins Associated with the additional steelwork</t>
  </si>
  <si>
    <t>Fittings &amp; Fixings for additional scope of works</t>
  </si>
  <si>
    <t>Page 14/1/1</t>
  </si>
  <si>
    <t>Page 14/1/2</t>
  </si>
  <si>
    <t>Page 14/1/3</t>
  </si>
  <si>
    <t>Page 14/1/4</t>
  </si>
  <si>
    <t>Page 14/1/5</t>
  </si>
  <si>
    <t>Page 14/1/6</t>
  </si>
  <si>
    <t>Page 14/1/7</t>
  </si>
  <si>
    <t>Page 14/1/8</t>
  </si>
  <si>
    <t>Page 14/2/1</t>
  </si>
  <si>
    <t>Page 14/2/2</t>
  </si>
  <si>
    <t>Page 14/2/3</t>
  </si>
  <si>
    <t>BILL NO. 14 - ADDITIONAL SCOPE OF WORK</t>
  </si>
  <si>
    <t>METALWORK GMP</t>
  </si>
  <si>
    <t>Additional Steel Work</t>
  </si>
  <si>
    <t>Omission of Mezzanine Floors on GF and L1</t>
  </si>
  <si>
    <t>Refer- S-12145 &amp; S-43166</t>
  </si>
  <si>
    <t>Images 5&amp;6</t>
  </si>
  <si>
    <t xml:space="preserve">1M-SB01 UB 533x165x74 </t>
  </si>
  <si>
    <t>GROUND FLOOR</t>
  </si>
  <si>
    <t xml:space="preserve">1M-SB02 UB 1016x305x437 </t>
  </si>
  <si>
    <t xml:space="preserve">1M-SB03 UB 686x254x152 </t>
  </si>
  <si>
    <t>1M-SB04 UB 610x305x238</t>
  </si>
  <si>
    <t>Fixing and Fittings</t>
  </si>
  <si>
    <t>Fireproofing and Cementitious Coating</t>
  </si>
  <si>
    <t>Composite slab; including reinforcement and all ancillary as necessary</t>
  </si>
  <si>
    <t>Composite Slab - Metal Deck including Civils</t>
  </si>
  <si>
    <t>STRUCTURAL METALWORK - OMISSION</t>
  </si>
  <si>
    <t>STRUCTURAL METALWORK - OMISSION (Cont´d)</t>
  </si>
  <si>
    <t>LEVEL 1</t>
  </si>
  <si>
    <t>Fixings and Fittings</t>
  </si>
  <si>
    <t>Page 14/4/1</t>
  </si>
  <si>
    <t>Page 14/4/2</t>
  </si>
  <si>
    <t>Page 14/4/3</t>
  </si>
  <si>
    <t>TOTAL FOR BILL NO. 14 - STRUCTURAL METAL WORK GMP</t>
  </si>
  <si>
    <t>BILL NO. 14 - STRUCTURAL METAL WORK GMP
AL KHAIL MALL REFURBISHMENT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</si>
</sst>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#,##0.0000_);\(#,##0.0000\)"/>
    <numFmt numFmtId="166" formatCode="#,##0.000000_);[Red]\(#,##0.000000\)"/>
    <numFmt numFmtId="167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00"/>
      <name val="Arial"/>
      <family val="2"/>
    </font>
    <font>
      <sz val="11"/>
      <color rgb="FF000000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trike/>
      <sz val="11"/>
      <color rgb="FFFF0000"/>
      <name val="Arial"/>
      <family val="2"/>
    </font>
    <font>
      <sz val="11"/>
      <color rgb="FFFF0000"/>
      <name val="Arial"/>
      <family val="2"/>
    </font>
    <font>
      <sz val="10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sz val="10"/>
      <color theme="1"/>
      <name val="Arial"/>
      <family val="2"/>
    </font>
    <font>
      <u/>
      <sz val="11"/>
      <color theme="1"/>
      <name val="Arial"/>
      <family val="2"/>
    </font>
    <font>
      <sz val="11"/>
      <color rgb="FF000000"/>
      <name val="Arial Narrow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9">
    <xf numFmtId="0" fontId="0" fillId="0" borderId="0"/>
    <xf numFmtId="43" fontId="1" fillId="0" borderId="0" applyFont="0" applyFill="0" applyBorder="0" applyAlignment="0" applyProtection="0"/>
    <xf numFmtId="0" fontId="2" fillId="2" borderId="0">
      <alignment horizontal="right" vertical="top"/>
    </xf>
    <xf numFmtId="0" fontId="3" fillId="2" borderId="0">
      <alignment horizontal="center" vertical="center"/>
    </xf>
    <xf numFmtId="0" fontId="2" fillId="2" borderId="0">
      <alignment horizontal="center" vertical="center"/>
    </xf>
    <xf numFmtId="0" fontId="2" fillId="2" borderId="0">
      <alignment horizontal="left" vertical="center"/>
    </xf>
    <xf numFmtId="0" fontId="3" fillId="2" borderId="0">
      <alignment horizontal="center" vertical="top"/>
    </xf>
    <xf numFmtId="0" fontId="3" fillId="2" borderId="0">
      <alignment horizontal="left" vertical="top"/>
    </xf>
    <xf numFmtId="0" fontId="3" fillId="2" borderId="0">
      <alignment horizontal="center"/>
    </xf>
    <xf numFmtId="0" fontId="2" fillId="2" borderId="0">
      <alignment horizontal="left" vertical="top"/>
    </xf>
    <xf numFmtId="0" fontId="3" fillId="2" borderId="0">
      <alignment horizontal="right" vertical="center"/>
    </xf>
    <xf numFmtId="0" fontId="3" fillId="2" borderId="0">
      <alignment horizontal="center" vertical="top"/>
    </xf>
    <xf numFmtId="0" fontId="8" fillId="0" borderId="0"/>
    <xf numFmtId="0" fontId="2" fillId="2" borderId="0">
      <alignment horizontal="right" vertical="top"/>
    </xf>
    <xf numFmtId="0" fontId="3" fillId="2" borderId="0">
      <alignment horizontal="right" vertical="top"/>
    </xf>
    <xf numFmtId="0" fontId="1" fillId="0" borderId="0"/>
    <xf numFmtId="164" fontId="8" fillId="0" borderId="0" applyFont="0" applyFill="0" applyBorder="0" applyAlignment="0" applyProtection="0"/>
    <xf numFmtId="0" fontId="2" fillId="2" borderId="0">
      <alignment horizontal="center" vertical="center"/>
    </xf>
    <xf numFmtId="0" fontId="2" fillId="2" borderId="0">
      <alignment horizontal="left" vertical="center"/>
    </xf>
    <xf numFmtId="0" fontId="3" fillId="2" borderId="0">
      <alignment horizontal="center" vertical="top"/>
    </xf>
    <xf numFmtId="0" fontId="3" fillId="2" borderId="0">
      <alignment horizontal="center"/>
    </xf>
    <xf numFmtId="0" fontId="3" fillId="2" borderId="0">
      <alignment horizontal="left" vertical="top"/>
    </xf>
    <xf numFmtId="0" fontId="8" fillId="0" borderId="0"/>
    <xf numFmtId="0" fontId="3" fillId="2" borderId="0">
      <alignment horizontal="center" vertical="center"/>
    </xf>
    <xf numFmtId="0" fontId="13" fillId="2" borderId="0">
      <alignment horizontal="center" vertical="center"/>
    </xf>
    <xf numFmtId="0" fontId="2" fillId="2" borderId="0">
      <alignment horizontal="center" vertical="top"/>
    </xf>
    <xf numFmtId="0" fontId="3" fillId="2" borderId="0">
      <alignment horizontal="left" vertical="top"/>
    </xf>
    <xf numFmtId="0" fontId="3" fillId="2" borderId="0">
      <alignment horizontal="right" vertical="center"/>
    </xf>
    <xf numFmtId="9" fontId="1" fillId="0" borderId="0" applyFont="0" applyFill="0" applyBorder="0" applyAlignment="0" applyProtection="0"/>
  </cellStyleXfs>
  <cellXfs count="191">
    <xf numFmtId="0" fontId="0" fillId="0" borderId="0" xfId="0"/>
    <xf numFmtId="0" fontId="0" fillId="0" borderId="0" xfId="0" applyAlignment="1">
      <alignment wrapText="1"/>
    </xf>
    <xf numFmtId="0" fontId="3" fillId="0" borderId="1" xfId="3" applyFill="1" applyBorder="1" applyAlignment="1">
      <alignment horizontal="center" vertical="center" wrapText="1"/>
    </xf>
    <xf numFmtId="0" fontId="3" fillId="0" borderId="2" xfId="3" applyFill="1" applyBorder="1" applyAlignment="1">
      <alignment horizontal="center" vertical="center" wrapText="1"/>
    </xf>
    <xf numFmtId="43" fontId="3" fillId="0" borderId="3" xfId="1" applyFont="1" applyFill="1" applyBorder="1" applyAlignment="1">
      <alignment horizontal="center" vertical="center" wrapText="1"/>
    </xf>
    <xf numFmtId="43" fontId="3" fillId="0" borderId="4" xfId="1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2" fillId="0" borderId="6" xfId="4" applyFill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43" fontId="0" fillId="0" borderId="6" xfId="1" applyFont="1" applyFill="1" applyBorder="1" applyAlignment="1" applyProtection="1">
      <alignment wrapText="1"/>
      <protection locked="0"/>
    </xf>
    <xf numFmtId="43" fontId="0" fillId="0" borderId="5" xfId="1" applyFont="1" applyFill="1" applyBorder="1" applyAlignment="1" applyProtection="1">
      <alignment wrapText="1"/>
      <protection locked="0"/>
    </xf>
    <xf numFmtId="0" fontId="0" fillId="0" borderId="6" xfId="0" applyBorder="1" applyAlignment="1">
      <alignment wrapText="1"/>
    </xf>
    <xf numFmtId="0" fontId="3" fillId="0" borderId="5" xfId="6" applyFill="1" applyBorder="1" applyAlignment="1">
      <alignment horizontal="center" vertical="top" wrapText="1"/>
    </xf>
    <xf numFmtId="0" fontId="3" fillId="0" borderId="6" xfId="7" applyFill="1" applyBorder="1" applyAlignment="1">
      <alignment horizontal="left" vertical="top" wrapText="1"/>
    </xf>
    <xf numFmtId="0" fontId="3" fillId="0" borderId="7" xfId="8" applyFill="1" applyBorder="1" applyAlignment="1">
      <alignment horizontal="center" wrapText="1"/>
    </xf>
    <xf numFmtId="165" fontId="0" fillId="0" borderId="0" xfId="1" applyNumberFormat="1" applyFont="1" applyFill="1" applyAlignment="1">
      <alignment wrapText="1"/>
    </xf>
    <xf numFmtId="165" fontId="0" fillId="0" borderId="0" xfId="0" applyNumberFormat="1" applyAlignment="1">
      <alignment wrapText="1"/>
    </xf>
    <xf numFmtId="0" fontId="0" fillId="0" borderId="8" xfId="0" applyBorder="1" applyAlignment="1">
      <alignment wrapText="1"/>
    </xf>
    <xf numFmtId="0" fontId="3" fillId="0" borderId="8" xfId="10" applyFill="1" applyBorder="1">
      <alignment horizontal="right" vertical="center"/>
    </xf>
    <xf numFmtId="0" fontId="3" fillId="0" borderId="8" xfId="10" applyFill="1" applyBorder="1" applyAlignment="1">
      <alignment vertical="center" wrapText="1"/>
    </xf>
    <xf numFmtId="43" fontId="3" fillId="0" borderId="4" xfId="1" applyFont="1" applyFill="1" applyBorder="1" applyAlignment="1" applyProtection="1">
      <alignment horizontal="right" vertical="center" wrapText="1"/>
      <protection locked="0"/>
    </xf>
    <xf numFmtId="43" fontId="0" fillId="0" borderId="0" xfId="1" applyFont="1" applyFill="1" applyAlignment="1">
      <alignment wrapText="1"/>
    </xf>
    <xf numFmtId="43" fontId="0" fillId="0" borderId="6" xfId="1" applyFont="1" applyFill="1" applyBorder="1" applyAlignment="1">
      <alignment wrapText="1"/>
    </xf>
    <xf numFmtId="43" fontId="0" fillId="0" borderId="5" xfId="1" applyFont="1" applyFill="1" applyBorder="1" applyAlignment="1">
      <alignment wrapText="1"/>
    </xf>
    <xf numFmtId="0" fontId="3" fillId="0" borderId="5" xfId="11" applyFill="1" applyBorder="1" applyAlignment="1">
      <alignment vertical="top" wrapText="1"/>
    </xf>
    <xf numFmtId="0" fontId="8" fillId="0" borderId="5" xfId="12" applyBorder="1" applyAlignment="1" applyProtection="1">
      <alignment horizontal="center" vertical="top" wrapText="1"/>
      <protection locked="0"/>
    </xf>
    <xf numFmtId="43" fontId="3" fillId="0" borderId="8" xfId="1" applyFont="1" applyFill="1" applyBorder="1" applyAlignment="1">
      <alignment horizontal="right" vertical="center"/>
    </xf>
    <xf numFmtId="164" fontId="5" fillId="0" borderId="13" xfId="16" applyFont="1" applyFill="1" applyBorder="1" applyAlignment="1" applyProtection="1">
      <alignment horizontal="center" vertical="center" wrapText="1"/>
      <protection locked="0"/>
    </xf>
    <xf numFmtId="164" fontId="5" fillId="0" borderId="10" xfId="16" applyFont="1" applyFill="1" applyBorder="1" applyAlignment="1" applyProtection="1">
      <alignment horizontal="center" vertical="center" wrapText="1"/>
      <protection locked="0"/>
    </xf>
    <xf numFmtId="0" fontId="1" fillId="0" borderId="0" xfId="15" applyAlignment="1">
      <alignment vertical="center" wrapText="1"/>
    </xf>
    <xf numFmtId="164" fontId="5" fillId="0" borderId="15" xfId="16" applyFont="1" applyFill="1" applyBorder="1" applyAlignment="1" applyProtection="1">
      <alignment horizontal="center" vertical="center" wrapText="1"/>
      <protection locked="0"/>
    </xf>
    <xf numFmtId="164" fontId="5" fillId="0" borderId="11" xfId="16" applyFont="1" applyFill="1" applyBorder="1" applyAlignment="1" applyProtection="1">
      <alignment horizontal="center" vertical="center" wrapText="1"/>
      <protection locked="0"/>
    </xf>
    <xf numFmtId="0" fontId="5" fillId="0" borderId="5" xfId="15" applyFont="1" applyBorder="1" applyAlignment="1">
      <alignment horizontal="center" vertical="top" wrapText="1"/>
    </xf>
    <xf numFmtId="0" fontId="5" fillId="0" borderId="0" xfId="15" applyFont="1" applyAlignment="1">
      <alignment horizontal="left" vertical="top" wrapText="1"/>
    </xf>
    <xf numFmtId="0" fontId="5" fillId="0" borderId="5" xfId="15" applyFont="1" applyBorder="1" applyAlignment="1">
      <alignment horizontal="center"/>
    </xf>
    <xf numFmtId="0" fontId="5" fillId="0" borderId="7" xfId="15" applyFont="1" applyBorder="1" applyAlignment="1">
      <alignment horizontal="center" wrapText="1"/>
    </xf>
    <xf numFmtId="164" fontId="5" fillId="0" borderId="9" xfId="16" applyFont="1" applyFill="1" applyBorder="1" applyAlignment="1" applyProtection="1">
      <alignment horizontal="center" wrapText="1"/>
      <protection locked="0"/>
    </xf>
    <xf numFmtId="164" fontId="5" fillId="0" borderId="5" xfId="16" applyFont="1" applyFill="1" applyBorder="1" applyAlignment="1" applyProtection="1">
      <alignment horizontal="center" wrapText="1"/>
      <protection locked="0"/>
    </xf>
    <xf numFmtId="0" fontId="1" fillId="0" borderId="0" xfId="15" applyAlignment="1" applyProtection="1">
      <alignment vertical="center" wrapText="1"/>
      <protection locked="0"/>
    </xf>
    <xf numFmtId="0" fontId="8" fillId="0" borderId="5" xfId="12" applyBorder="1" applyAlignment="1">
      <alignment horizontal="center" vertical="top" wrapText="1"/>
    </xf>
    <xf numFmtId="0" fontId="2" fillId="0" borderId="5" xfId="17" applyFill="1" applyBorder="1" applyAlignment="1">
      <alignment horizontal="center" vertical="center" wrapText="1"/>
    </xf>
    <xf numFmtId="0" fontId="2" fillId="0" borderId="5" xfId="17" applyFill="1" applyBorder="1" applyAlignment="1">
      <alignment vertical="center" wrapText="1"/>
    </xf>
    <xf numFmtId="0" fontId="2" fillId="0" borderId="5" xfId="18" applyFill="1" applyBorder="1" applyAlignment="1">
      <alignment vertical="center" wrapText="1"/>
    </xf>
    <xf numFmtId="0" fontId="3" fillId="0" borderId="5" xfId="19" applyFill="1" applyBorder="1" applyAlignment="1">
      <alignment horizontal="center" vertical="top" wrapText="1"/>
    </xf>
    <xf numFmtId="0" fontId="3" fillId="0" borderId="5" xfId="20" applyFill="1" applyBorder="1" applyAlignment="1">
      <alignment horizontal="center" wrapText="1"/>
    </xf>
    <xf numFmtId="0" fontId="3" fillId="0" borderId="7" xfId="20" applyFill="1" applyBorder="1" applyAlignment="1">
      <alignment horizontal="center" wrapText="1"/>
    </xf>
    <xf numFmtId="0" fontId="3" fillId="0" borderId="5" xfId="11" applyFill="1" applyBorder="1" applyAlignment="1">
      <alignment vertical="top"/>
    </xf>
    <xf numFmtId="0" fontId="3" fillId="0" borderId="5" xfId="21" applyFill="1" applyBorder="1" applyAlignment="1">
      <alignment vertical="top" wrapText="1"/>
    </xf>
    <xf numFmtId="0" fontId="9" fillId="0" borderId="8" xfId="15" applyFont="1" applyBorder="1" applyAlignment="1">
      <alignment horizontal="center" vertical="top" wrapText="1"/>
    </xf>
    <xf numFmtId="0" fontId="10" fillId="0" borderId="8" xfId="15" applyFont="1" applyBorder="1" applyAlignment="1">
      <alignment horizontal="left" vertical="top" wrapText="1" indent="1"/>
    </xf>
    <xf numFmtId="37" fontId="9" fillId="0" borderId="8" xfId="15" applyNumberFormat="1" applyFont="1" applyBorder="1" applyAlignment="1">
      <alignment horizontal="center" wrapText="1"/>
    </xf>
    <xf numFmtId="0" fontId="9" fillId="0" borderId="8" xfId="15" applyFont="1" applyBorder="1" applyAlignment="1">
      <alignment horizontal="center" wrapText="1"/>
    </xf>
    <xf numFmtId="164" fontId="9" fillId="0" borderId="16" xfId="16" applyFont="1" applyFill="1" applyBorder="1" applyAlignment="1" applyProtection="1">
      <alignment horizontal="center" wrapText="1"/>
      <protection locked="0"/>
    </xf>
    <xf numFmtId="164" fontId="9" fillId="0" borderId="10" xfId="16" applyFont="1" applyFill="1" applyBorder="1" applyAlignment="1" applyProtection="1">
      <alignment horizontal="center" wrapText="1"/>
      <protection locked="0"/>
    </xf>
    <xf numFmtId="0" fontId="9" fillId="0" borderId="0" xfId="15" applyFont="1" applyAlignment="1">
      <alignment horizontal="center" vertical="top" wrapText="1"/>
    </xf>
    <xf numFmtId="0" fontId="10" fillId="0" borderId="0" xfId="15" applyFont="1" applyAlignment="1">
      <alignment horizontal="left" vertical="top" wrapText="1" indent="1"/>
    </xf>
    <xf numFmtId="0" fontId="9" fillId="0" borderId="0" xfId="15" applyFont="1" applyAlignment="1">
      <alignment horizontal="center"/>
    </xf>
    <xf numFmtId="164" fontId="9" fillId="0" borderId="0" xfId="16" applyFont="1" applyFill="1" applyAlignment="1" applyProtection="1">
      <alignment horizontal="center" wrapText="1"/>
      <protection locked="0"/>
    </xf>
    <xf numFmtId="164" fontId="9" fillId="0" borderId="5" xfId="16" applyFont="1" applyFill="1" applyBorder="1" applyAlignment="1" applyProtection="1">
      <alignment horizontal="center" wrapText="1"/>
      <protection locked="0"/>
    </xf>
    <xf numFmtId="37" fontId="9" fillId="0" borderId="0" xfId="15" applyNumberFormat="1" applyFont="1" applyAlignment="1">
      <alignment horizontal="center" wrapText="1"/>
    </xf>
    <xf numFmtId="0" fontId="9" fillId="0" borderId="0" xfId="15" applyFont="1" applyAlignment="1">
      <alignment horizontal="center" wrapText="1"/>
    </xf>
    <xf numFmtId="164" fontId="9" fillId="0" borderId="6" xfId="16" applyFont="1" applyFill="1" applyBorder="1" applyAlignment="1" applyProtection="1">
      <alignment horizontal="center" wrapText="1"/>
      <protection locked="0"/>
    </xf>
    <xf numFmtId="164" fontId="9" fillId="0" borderId="11" xfId="16" applyFont="1" applyFill="1" applyBorder="1" applyAlignment="1" applyProtection="1">
      <alignment horizontal="center" wrapText="1"/>
      <protection locked="0"/>
    </xf>
    <xf numFmtId="164" fontId="11" fillId="0" borderId="9" xfId="16" applyFont="1" applyFill="1" applyBorder="1" applyAlignment="1" applyProtection="1">
      <alignment horizontal="center" wrapText="1"/>
      <protection locked="0"/>
    </xf>
    <xf numFmtId="164" fontId="4" fillId="0" borderId="9" xfId="16" applyFont="1" applyFill="1" applyBorder="1" applyAlignment="1" applyProtection="1">
      <alignment horizontal="center" wrapText="1"/>
      <protection locked="0"/>
    </xf>
    <xf numFmtId="164" fontId="5" fillId="0" borderId="9" xfId="16" applyFont="1" applyFill="1" applyBorder="1" applyAlignment="1">
      <alignment horizontal="center" wrapText="1"/>
    </xf>
    <xf numFmtId="0" fontId="9" fillId="0" borderId="0" xfId="12" applyFont="1" applyAlignment="1" applyProtection="1">
      <alignment wrapText="1"/>
      <protection locked="0"/>
    </xf>
    <xf numFmtId="0" fontId="2" fillId="0" borderId="5" xfId="17" applyFill="1" applyBorder="1" applyAlignment="1" applyProtection="1">
      <alignment vertical="center" wrapText="1"/>
      <protection locked="0"/>
    </xf>
    <xf numFmtId="0" fontId="9" fillId="0" borderId="8" xfId="15" applyFont="1" applyBorder="1" applyAlignment="1" applyProtection="1">
      <alignment horizontal="center" vertical="top" wrapText="1"/>
      <protection locked="0"/>
    </xf>
    <xf numFmtId="0" fontId="9" fillId="0" borderId="0" xfId="15" applyFont="1" applyAlignment="1" applyProtection="1">
      <alignment horizontal="center" vertical="top" wrapText="1"/>
      <protection locked="0"/>
    </xf>
    <xf numFmtId="0" fontId="9" fillId="0" borderId="0" xfId="12" applyFont="1" applyAlignment="1" applyProtection="1">
      <alignment horizontal="center" vertical="top" wrapText="1"/>
      <protection locked="0"/>
    </xf>
    <xf numFmtId="164" fontId="9" fillId="0" borderId="0" xfId="16" applyFont="1" applyFill="1" applyAlignment="1" applyProtection="1">
      <alignment horizontal="right" wrapText="1"/>
      <protection locked="0"/>
    </xf>
    <xf numFmtId="43" fontId="0" fillId="0" borderId="0" xfId="1" applyFont="1" applyAlignment="1">
      <alignment wrapText="1"/>
    </xf>
    <xf numFmtId="166" fontId="1" fillId="0" borderId="0" xfId="16" applyNumberFormat="1" applyFont="1" applyFill="1" applyAlignment="1">
      <alignment vertical="center" wrapText="1"/>
    </xf>
    <xf numFmtId="0" fontId="8" fillId="0" borderId="5" xfId="22" applyBorder="1" applyAlignment="1">
      <alignment horizontal="center" vertical="top" wrapText="1"/>
    </xf>
    <xf numFmtId="0" fontId="8" fillId="0" borderId="5" xfId="22" applyBorder="1" applyAlignment="1">
      <alignment horizontal="center" wrapText="1"/>
    </xf>
    <xf numFmtId="0" fontId="8" fillId="0" borderId="7" xfId="22" applyBorder="1" applyAlignment="1">
      <alignment horizontal="center" wrapText="1"/>
    </xf>
    <xf numFmtId="164" fontId="9" fillId="0" borderId="9" xfId="16" applyFont="1" applyFill="1" applyBorder="1" applyAlignment="1" applyProtection="1">
      <alignment horizontal="center" wrapText="1"/>
      <protection locked="0"/>
    </xf>
    <xf numFmtId="164" fontId="9" fillId="0" borderId="5" xfId="16" applyFont="1" applyFill="1" applyBorder="1" applyAlignment="1" applyProtection="1">
      <alignment horizontal="right" wrapText="1"/>
      <protection locked="0"/>
    </xf>
    <xf numFmtId="166" fontId="9" fillId="0" borderId="0" xfId="16" applyNumberFormat="1" applyFont="1" applyFill="1" applyAlignment="1">
      <alignment wrapText="1"/>
    </xf>
    <xf numFmtId="0" fontId="9" fillId="0" borderId="0" xfId="22" applyFont="1" applyAlignment="1">
      <alignment wrapText="1"/>
    </xf>
    <xf numFmtId="0" fontId="8" fillId="0" borderId="5" xfId="22" applyBorder="1" applyAlignment="1">
      <alignment wrapText="1"/>
    </xf>
    <xf numFmtId="164" fontId="9" fillId="0" borderId="0" xfId="22" applyNumberFormat="1" applyFont="1" applyAlignment="1">
      <alignment wrapText="1"/>
    </xf>
    <xf numFmtId="0" fontId="2" fillId="0" borderId="5" xfId="21" applyFont="1" applyFill="1" applyBorder="1" applyAlignment="1">
      <alignment vertical="top" wrapText="1"/>
    </xf>
    <xf numFmtId="0" fontId="8" fillId="0" borderId="5" xfId="22" applyBorder="1" applyAlignment="1" applyProtection="1">
      <alignment wrapText="1"/>
      <protection locked="0"/>
    </xf>
    <xf numFmtId="0" fontId="2" fillId="0" borderId="5" xfId="17" applyFill="1" applyBorder="1" applyAlignment="1" applyProtection="1">
      <alignment horizontal="center" vertical="center" wrapText="1"/>
      <protection locked="0"/>
    </xf>
    <xf numFmtId="0" fontId="8" fillId="0" borderId="7" xfId="22" applyBorder="1" applyAlignment="1" applyProtection="1">
      <alignment wrapText="1"/>
      <protection locked="0"/>
    </xf>
    <xf numFmtId="0" fontId="8" fillId="0" borderId="5" xfId="22" applyBorder="1" applyAlignment="1" applyProtection="1">
      <alignment horizontal="center" vertical="top" wrapText="1"/>
      <protection locked="0"/>
    </xf>
    <xf numFmtId="0" fontId="2" fillId="0" borderId="5" xfId="18" applyFill="1" applyBorder="1" applyAlignment="1" applyProtection="1">
      <alignment vertical="center" wrapText="1"/>
      <protection locked="0"/>
    </xf>
    <xf numFmtId="0" fontId="8" fillId="0" borderId="5" xfId="22" applyBorder="1" applyAlignment="1" applyProtection="1">
      <alignment horizontal="center" wrapText="1"/>
      <protection locked="0"/>
    </xf>
    <xf numFmtId="0" fontId="8" fillId="0" borderId="7" xfId="22" applyBorder="1" applyAlignment="1" applyProtection="1">
      <alignment horizontal="center" wrapText="1"/>
      <protection locked="0"/>
    </xf>
    <xf numFmtId="0" fontId="3" fillId="0" borderId="5" xfId="19" applyFill="1" applyBorder="1" applyAlignment="1" applyProtection="1">
      <alignment horizontal="center" vertical="top" wrapText="1"/>
      <protection locked="0"/>
    </xf>
    <xf numFmtId="0" fontId="3" fillId="0" borderId="5" xfId="21" applyFill="1" applyBorder="1" applyAlignment="1" applyProtection="1">
      <alignment vertical="top" wrapText="1"/>
      <protection locked="0"/>
    </xf>
    <xf numFmtId="0" fontId="3" fillId="0" borderId="5" xfId="20" applyFill="1" applyBorder="1" applyAlignment="1" applyProtection="1">
      <alignment horizontal="center" wrapText="1"/>
      <protection locked="0"/>
    </xf>
    <xf numFmtId="0" fontId="3" fillId="0" borderId="7" xfId="20" applyFill="1" applyBorder="1" applyAlignment="1" applyProtection="1">
      <alignment horizontal="center" wrapText="1"/>
      <protection locked="0"/>
    </xf>
    <xf numFmtId="0" fontId="3" fillId="0" borderId="5" xfId="11" applyFill="1" applyBorder="1" applyAlignment="1" applyProtection="1">
      <alignment vertical="top" wrapText="1"/>
      <protection locked="0"/>
    </xf>
    <xf numFmtId="0" fontId="8" fillId="0" borderId="7" xfId="22" applyBorder="1" applyAlignment="1">
      <alignment wrapText="1"/>
    </xf>
    <xf numFmtId="0" fontId="2" fillId="0" borderId="0" xfId="22" applyFont="1" applyAlignment="1">
      <alignment horizontal="right"/>
    </xf>
    <xf numFmtId="0" fontId="3" fillId="0" borderId="0" xfId="22" applyFont="1" applyAlignment="1">
      <alignment horizontal="right"/>
    </xf>
    <xf numFmtId="0" fontId="9" fillId="0" borderId="0" xfId="22" applyFont="1" applyAlignment="1">
      <alignment horizontal="center" vertical="top" wrapText="1"/>
    </xf>
    <xf numFmtId="0" fontId="9" fillId="0" borderId="0" xfId="22" applyFont="1" applyAlignment="1">
      <alignment vertical="top" wrapText="1"/>
    </xf>
    <xf numFmtId="0" fontId="9" fillId="0" borderId="0" xfId="22" applyFont="1" applyAlignment="1">
      <alignment horizontal="center"/>
    </xf>
    <xf numFmtId="0" fontId="9" fillId="0" borderId="0" xfId="22" applyFont="1" applyAlignment="1">
      <alignment horizontal="center" wrapText="1"/>
    </xf>
    <xf numFmtId="0" fontId="3" fillId="0" borderId="4" xfId="23" applyFill="1" applyBorder="1" applyAlignment="1">
      <alignment horizontal="center" vertical="center" wrapText="1"/>
    </xf>
    <xf numFmtId="0" fontId="3" fillId="0" borderId="17" xfId="23" applyFill="1" applyBorder="1" applyAlignment="1">
      <alignment horizontal="center" vertical="center" wrapText="1"/>
    </xf>
    <xf numFmtId="40" fontId="3" fillId="0" borderId="17" xfId="23" applyNumberFormat="1" applyFill="1" applyBorder="1" applyAlignment="1">
      <alignment horizontal="center" vertical="center" wrapText="1"/>
    </xf>
    <xf numFmtId="40" fontId="0" fillId="0" borderId="5" xfId="0" applyNumberFormat="1" applyBorder="1" applyAlignment="1">
      <alignment wrapText="1"/>
    </xf>
    <xf numFmtId="0" fontId="2" fillId="0" borderId="6" xfId="25" applyFill="1" applyBorder="1" applyAlignment="1">
      <alignment horizontal="center" vertical="top" wrapText="1"/>
    </xf>
    <xf numFmtId="40" fontId="0" fillId="0" borderId="5" xfId="0" applyNumberFormat="1" applyBorder="1" applyAlignment="1" applyProtection="1">
      <alignment wrapText="1"/>
      <protection locked="0"/>
    </xf>
    <xf numFmtId="0" fontId="3" fillId="0" borderId="6" xfId="26" applyFill="1" applyBorder="1" applyAlignment="1">
      <alignment horizontal="left" vertical="top" wrapText="1"/>
    </xf>
    <xf numFmtId="40" fontId="0" fillId="0" borderId="5" xfId="0" applyNumberFormat="1" applyBorder="1" applyAlignment="1" applyProtection="1">
      <alignment horizontal="right" vertical="top" wrapText="1"/>
      <protection locked="0"/>
    </xf>
    <xf numFmtId="0" fontId="5" fillId="0" borderId="8" xfId="0" applyFont="1" applyBorder="1" applyAlignment="1">
      <alignment vertical="top"/>
    </xf>
    <xf numFmtId="40" fontId="3" fillId="0" borderId="4" xfId="27" applyNumberFormat="1" applyFill="1" applyBorder="1" applyAlignment="1" applyProtection="1">
      <alignment horizontal="right" vertical="center" wrapText="1"/>
      <protection locked="0"/>
    </xf>
    <xf numFmtId="0" fontId="5" fillId="0" borderId="6" xfId="0" applyFont="1" applyBorder="1" applyAlignment="1">
      <alignment horizontal="center" vertical="top" wrapText="1"/>
    </xf>
    <xf numFmtId="0" fontId="5" fillId="0" borderId="18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0" fillId="0" borderId="18" xfId="0" applyBorder="1" applyAlignment="1">
      <alignment wrapText="1"/>
    </xf>
    <xf numFmtId="0" fontId="2" fillId="0" borderId="18" xfId="25" applyFill="1" applyBorder="1" applyAlignment="1">
      <alignment horizontal="center" vertical="top" wrapText="1"/>
    </xf>
    <xf numFmtId="0" fontId="2" fillId="0" borderId="0" xfId="25" applyFill="1" applyAlignment="1">
      <alignment horizontal="center" vertical="top" wrapText="1"/>
    </xf>
    <xf numFmtId="43" fontId="5" fillId="0" borderId="18" xfId="1" applyFont="1" applyBorder="1" applyAlignment="1">
      <alignment vertical="top" wrapText="1"/>
    </xf>
    <xf numFmtId="164" fontId="0" fillId="0" borderId="0" xfId="0" applyNumberFormat="1" applyAlignment="1">
      <alignment vertical="top" wrapText="1"/>
    </xf>
    <xf numFmtId="43" fontId="7" fillId="0" borderId="18" xfId="1" applyFont="1" applyBorder="1" applyAlignment="1">
      <alignment horizontal="center" vertical="top" wrapText="1"/>
    </xf>
    <xf numFmtId="43" fontId="3" fillId="0" borderId="5" xfId="1" applyFont="1" applyFill="1" applyBorder="1" applyAlignment="1">
      <alignment horizontal="center" wrapText="1"/>
    </xf>
    <xf numFmtId="0" fontId="14" fillId="0" borderId="6" xfId="26" applyFont="1" applyFill="1" applyBorder="1" applyAlignment="1">
      <alignment horizontal="left" vertical="top" wrapText="1"/>
    </xf>
    <xf numFmtId="43" fontId="15" fillId="0" borderId="18" xfId="1" applyFont="1" applyBorder="1" applyAlignment="1">
      <alignment vertical="top" wrapText="1"/>
    </xf>
    <xf numFmtId="0" fontId="5" fillId="0" borderId="0" xfId="0" applyFont="1" applyAlignment="1">
      <alignment horizontal="center" vertical="top" wrapText="1"/>
    </xf>
    <xf numFmtId="43" fontId="5" fillId="0" borderId="5" xfId="1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11" xfId="0" applyBorder="1" applyAlignment="1">
      <alignment wrapText="1"/>
    </xf>
    <xf numFmtId="0" fontId="0" fillId="0" borderId="19" xfId="0" applyBorder="1" applyAlignment="1">
      <alignment vertical="top"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19" xfId="0" applyBorder="1" applyAlignment="1">
      <alignment wrapText="1"/>
    </xf>
    <xf numFmtId="40" fontId="0" fillId="0" borderId="11" xfId="0" applyNumberFormat="1" applyBorder="1" applyAlignment="1" applyProtection="1">
      <alignment wrapText="1"/>
      <protection locked="0"/>
    </xf>
    <xf numFmtId="43" fontId="0" fillId="0" borderId="0" xfId="1" applyFont="1" applyAlignment="1">
      <alignment vertical="top" wrapText="1"/>
    </xf>
    <xf numFmtId="43" fontId="9" fillId="0" borderId="5" xfId="1" applyFont="1" applyBorder="1" applyAlignment="1">
      <alignment vertical="top" wrapText="1"/>
    </xf>
    <xf numFmtId="43" fontId="1" fillId="0" borderId="5" xfId="1" applyFont="1" applyFill="1" applyBorder="1" applyAlignment="1" applyProtection="1">
      <alignment wrapText="1"/>
      <protection locked="0"/>
    </xf>
    <xf numFmtId="167" fontId="3" fillId="0" borderId="5" xfId="1" applyNumberFormat="1" applyFont="1" applyFill="1" applyBorder="1" applyAlignment="1">
      <alignment horizontal="center" wrapText="1"/>
    </xf>
    <xf numFmtId="43" fontId="0" fillId="0" borderId="5" xfId="1" applyFont="1" applyBorder="1" applyAlignment="1">
      <alignment wrapText="1"/>
    </xf>
    <xf numFmtId="0" fontId="9" fillId="0" borderId="5" xfId="20" applyFont="1" applyFill="1" applyBorder="1" applyAlignment="1">
      <alignment horizontal="center" wrapText="1"/>
    </xf>
    <xf numFmtId="3" fontId="9" fillId="0" borderId="5" xfId="20" applyNumberFormat="1" applyFont="1" applyFill="1" applyBorder="1" applyAlignment="1">
      <alignment horizontal="center" wrapText="1"/>
    </xf>
    <xf numFmtId="0" fontId="14" fillId="0" borderId="5" xfId="11" applyFont="1" applyFill="1" applyBorder="1" applyAlignment="1">
      <alignment vertical="top" wrapText="1"/>
    </xf>
    <xf numFmtId="43" fontId="8" fillId="0" borderId="5" xfId="1" applyFont="1" applyBorder="1" applyAlignment="1">
      <alignment horizontal="center" wrapText="1"/>
    </xf>
    <xf numFmtId="0" fontId="2" fillId="0" borderId="5" xfId="11" applyFont="1" applyFill="1" applyBorder="1" applyAlignment="1">
      <alignment vertical="top" wrapText="1"/>
    </xf>
    <xf numFmtId="0" fontId="0" fillId="0" borderId="0" xfId="15" applyFont="1" applyAlignment="1" applyProtection="1">
      <alignment vertical="center" wrapText="1"/>
      <protection locked="0"/>
    </xf>
    <xf numFmtId="43" fontId="1" fillId="0" borderId="0" xfId="1" applyAlignment="1" applyProtection="1">
      <alignment vertical="center" wrapText="1"/>
      <protection locked="0"/>
    </xf>
    <xf numFmtId="164" fontId="1" fillId="0" borderId="0" xfId="15" applyNumberFormat="1" applyAlignment="1" applyProtection="1">
      <alignment vertical="center" wrapText="1"/>
      <protection locked="0"/>
    </xf>
    <xf numFmtId="10" fontId="1" fillId="0" borderId="0" xfId="28" applyNumberFormat="1" applyAlignment="1" applyProtection="1">
      <alignment vertical="center" wrapText="1"/>
      <protection locked="0"/>
    </xf>
    <xf numFmtId="43" fontId="9" fillId="0" borderId="0" xfId="1" applyFont="1" applyAlignment="1">
      <alignment wrapText="1"/>
    </xf>
    <xf numFmtId="10" fontId="9" fillId="0" borderId="0" xfId="28" applyNumberFormat="1" applyFont="1" applyAlignment="1">
      <alignment wrapText="1"/>
    </xf>
    <xf numFmtId="10" fontId="0" fillId="0" borderId="0" xfId="28" applyNumberFormat="1" applyFont="1" applyFill="1" applyAlignment="1">
      <alignment wrapText="1"/>
    </xf>
    <xf numFmtId="43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3" fillId="0" borderId="5" xfId="17" applyFont="1" applyFill="1" applyBorder="1" applyAlignment="1" applyProtection="1">
      <alignment horizontal="left" vertical="center" wrapText="1"/>
      <protection locked="0"/>
    </xf>
    <xf numFmtId="0" fontId="9" fillId="0" borderId="5" xfId="15" applyFont="1" applyBorder="1" applyAlignment="1">
      <alignment horizontal="center"/>
    </xf>
    <xf numFmtId="0" fontId="8" fillId="0" borderId="5" xfId="12" applyBorder="1" applyAlignment="1">
      <alignment horizontal="center" wrapText="1"/>
    </xf>
    <xf numFmtId="0" fontId="8" fillId="0" borderId="7" xfId="12" applyBorder="1" applyAlignment="1">
      <alignment horizontal="center" wrapText="1"/>
    </xf>
    <xf numFmtId="0" fontId="8" fillId="0" borderId="5" xfId="12" applyBorder="1" applyAlignment="1">
      <alignment wrapText="1"/>
    </xf>
    <xf numFmtId="0" fontId="8" fillId="0" borderId="5" xfId="12" applyBorder="1" applyAlignment="1">
      <alignment vertical="center" wrapText="1"/>
    </xf>
    <xf numFmtId="0" fontId="12" fillId="0" borderId="0" xfId="15" applyFont="1" applyAlignment="1">
      <alignment horizontal="right" vertical="top" wrapText="1"/>
    </xf>
    <xf numFmtId="0" fontId="5" fillId="0" borderId="0" xfId="15" applyFont="1" applyAlignment="1">
      <alignment horizontal="right" vertical="top" wrapText="1"/>
    </xf>
    <xf numFmtId="0" fontId="9" fillId="0" borderId="0" xfId="12" applyFont="1" applyAlignment="1" applyProtection="1">
      <alignment vertical="top" wrapText="1"/>
      <protection locked="0"/>
    </xf>
    <xf numFmtId="0" fontId="8" fillId="0" borderId="5" xfId="12" applyBorder="1" applyAlignment="1" applyProtection="1">
      <alignment horizontal="center" wrapText="1"/>
      <protection locked="0"/>
    </xf>
    <xf numFmtId="0" fontId="8" fillId="0" borderId="7" xfId="12" applyBorder="1" applyAlignment="1" applyProtection="1">
      <alignment horizontal="center" wrapText="1"/>
      <protection locked="0"/>
    </xf>
    <xf numFmtId="0" fontId="10" fillId="0" borderId="8" xfId="15" applyFont="1" applyBorder="1" applyAlignment="1" applyProtection="1">
      <alignment horizontal="left" vertical="top" wrapText="1" indent="1"/>
      <protection locked="0"/>
    </xf>
    <xf numFmtId="37" fontId="9" fillId="0" borderId="8" xfId="15" applyNumberFormat="1" applyFont="1" applyBorder="1" applyAlignment="1" applyProtection="1">
      <alignment horizontal="center" wrapText="1"/>
      <protection locked="0"/>
    </xf>
    <xf numFmtId="0" fontId="9" fillId="0" borderId="8" xfId="15" applyFont="1" applyBorder="1" applyAlignment="1" applyProtection="1">
      <alignment horizontal="center" wrapText="1"/>
      <protection locked="0"/>
    </xf>
    <xf numFmtId="0" fontId="10" fillId="0" borderId="0" xfId="15" applyFont="1" applyAlignment="1" applyProtection="1">
      <alignment horizontal="left" vertical="top" wrapText="1" indent="1"/>
      <protection locked="0"/>
    </xf>
    <xf numFmtId="0" fontId="9" fillId="0" borderId="0" xfId="15" applyFont="1" applyAlignment="1" applyProtection="1">
      <alignment horizontal="center"/>
      <protection locked="0"/>
    </xf>
    <xf numFmtId="37" fontId="9" fillId="0" borderId="0" xfId="15" applyNumberFormat="1" applyFont="1" applyAlignment="1" applyProtection="1">
      <alignment horizontal="center" wrapText="1"/>
      <protection locked="0"/>
    </xf>
    <xf numFmtId="0" fontId="9" fillId="0" borderId="0" xfId="15" applyFont="1" applyAlignment="1" applyProtection="1">
      <alignment horizontal="center" wrapText="1"/>
      <protection locked="0"/>
    </xf>
    <xf numFmtId="0" fontId="9" fillId="0" borderId="0" xfId="12" applyFont="1" applyAlignment="1" applyProtection="1">
      <alignment horizontal="center"/>
      <protection locked="0"/>
    </xf>
    <xf numFmtId="0" fontId="9" fillId="0" borderId="0" xfId="12" applyFont="1" applyAlignment="1" applyProtection="1">
      <alignment horizontal="center" wrapText="1"/>
      <protection locked="0"/>
    </xf>
    <xf numFmtId="0" fontId="5" fillId="0" borderId="10" xfId="15" applyFont="1" applyBorder="1" applyAlignment="1">
      <alignment horizontal="center" vertical="center" wrapText="1"/>
    </xf>
    <xf numFmtId="0" fontId="5" fillId="0" borderId="11" xfId="15" applyFont="1" applyBorder="1" applyAlignment="1">
      <alignment horizontal="center" vertical="center" wrapText="1"/>
    </xf>
    <xf numFmtId="0" fontId="9" fillId="0" borderId="10" xfId="15" applyFont="1" applyBorder="1" applyAlignment="1">
      <alignment horizontal="center" vertical="center"/>
    </xf>
    <xf numFmtId="0" fontId="9" fillId="0" borderId="11" xfId="15" applyFont="1" applyBorder="1" applyAlignment="1">
      <alignment horizontal="center" vertical="center"/>
    </xf>
    <xf numFmtId="0" fontId="5" fillId="0" borderId="12" xfId="15" applyFont="1" applyBorder="1" applyAlignment="1">
      <alignment horizontal="center" vertical="center" wrapText="1"/>
    </xf>
    <xf numFmtId="0" fontId="5" fillId="0" borderId="14" xfId="15" applyFont="1" applyBorder="1" applyAlignment="1">
      <alignment horizontal="center" vertical="center" wrapText="1"/>
    </xf>
    <xf numFmtId="0" fontId="5" fillId="0" borderId="10" xfId="15" applyFont="1" applyBorder="1" applyAlignment="1">
      <alignment horizontal="center" vertical="center"/>
    </xf>
    <xf numFmtId="0" fontId="5" fillId="0" borderId="11" xfId="15" applyFont="1" applyBorder="1" applyAlignment="1">
      <alignment horizontal="center" vertical="center"/>
    </xf>
    <xf numFmtId="0" fontId="2" fillId="0" borderId="0" xfId="2" applyFill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2" fillId="0" borderId="6" xfId="5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2" fillId="0" borderId="0" xfId="13" applyFill="1" applyAlignment="1">
      <alignment horizontal="right" vertical="top" wrapText="1"/>
    </xf>
    <xf numFmtId="0" fontId="13" fillId="0" borderId="4" xfId="24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0" fontId="0" fillId="0" borderId="11" xfId="0" applyNumberFormat="1" applyBorder="1" applyAlignment="1">
      <alignment wrapText="1"/>
    </xf>
    <xf numFmtId="164" fontId="9" fillId="0" borderId="11" xfId="16" applyFont="1" applyFill="1" applyBorder="1" applyAlignment="1" applyProtection="1">
      <alignment horizontal="right" wrapText="1"/>
      <protection locked="0"/>
    </xf>
    <xf numFmtId="43" fontId="0" fillId="0" borderId="11" xfId="1" applyFont="1" applyFill="1" applyBorder="1" applyAlignment="1">
      <alignment wrapText="1"/>
    </xf>
  </cellXfs>
  <cellStyles count="29">
    <cellStyle name="Comma" xfId="1" builtinId="3"/>
    <cellStyle name="Comma 2" xfId="16" xr:uid="{3EE145DA-CC30-4EE9-A9E7-6E4A460030E3}"/>
    <cellStyle name="Normal" xfId="0" builtinId="0"/>
    <cellStyle name="Normal 10" xfId="12" xr:uid="{548CA155-561F-4BE0-95EC-681E5B5C8EF5}"/>
    <cellStyle name="Normal 2 2" xfId="15" xr:uid="{41AF2906-C9E0-49A6-9518-B11FC7D0DF7A}"/>
    <cellStyle name="Normal 3" xfId="22" xr:uid="{903F6F0D-5AF6-4AA9-A5EA-A29DA09115F8}"/>
    <cellStyle name="Percent" xfId="28" builtinId="5"/>
    <cellStyle name="S0" xfId="2" xr:uid="{F3DA361E-F877-4A4C-A552-09610FFC26EB}"/>
    <cellStyle name="S1" xfId="3" xr:uid="{C135D4E5-1A52-4BF7-B630-6A59CE8503CF}"/>
    <cellStyle name="S10" xfId="10" xr:uid="{B5168216-F2A4-48DE-BFDE-7E813E901C54}"/>
    <cellStyle name="S10 2" xfId="19" xr:uid="{AEE95A60-370B-4418-965B-80139369F5CC}"/>
    <cellStyle name="S11" xfId="13" xr:uid="{CF75C08F-4E35-479E-A7B4-54A50D632B32}"/>
    <cellStyle name="S11 2" xfId="11" xr:uid="{FA147779-2081-499F-B032-92E78411D0D6}"/>
    <cellStyle name="S12" xfId="14" xr:uid="{7E33AA18-1B91-4DDC-9F75-84EDDF5F2D47}"/>
    <cellStyle name="S12 2" xfId="21" xr:uid="{A45F0452-83A4-49D3-9531-16310E9EA01B}"/>
    <cellStyle name="S15" xfId="23" xr:uid="{142C12B9-FB05-4203-9CAA-B66BA9C2CB8C}"/>
    <cellStyle name="S16" xfId="24" xr:uid="{ED3B5EA0-FDCA-4D9D-B8B5-D872EC6BCC6D}"/>
    <cellStyle name="S17" xfId="25" xr:uid="{8B353B53-5ED6-411A-B2D6-3821E4270556}"/>
    <cellStyle name="S18" xfId="26" xr:uid="{E04A8A46-979F-43D6-9DA2-DEFDC10541FF}"/>
    <cellStyle name="S3" xfId="4" xr:uid="{28880806-4C97-4F48-A67B-52BEA5FDE763}"/>
    <cellStyle name="S4" xfId="5" xr:uid="{5735F74C-FB1D-4335-93FE-9EC7503987A2}"/>
    <cellStyle name="S5" xfId="8" xr:uid="{7E209EFE-6C5F-43FF-9484-81CAA30DA31C}"/>
    <cellStyle name="S6" xfId="6" xr:uid="{CD5A2F10-83E5-4AE5-A1A8-3F43F8EAC517}"/>
    <cellStyle name="S6 2" xfId="17" xr:uid="{668B5DD5-DEBF-4E95-AAF5-ACC47619F175}"/>
    <cellStyle name="S7" xfId="7" xr:uid="{C585C8AC-101E-415C-8501-7EA97892EA26}"/>
    <cellStyle name="S7 2" xfId="18" xr:uid="{3309630C-2B2A-4238-9A89-999C533ECD7F}"/>
    <cellStyle name="S8" xfId="9" xr:uid="{57E1D927-4C96-412B-8BA1-6E7B0A2EE677}"/>
    <cellStyle name="S8 2" xfId="20" xr:uid="{9803696B-3CCD-49D7-8D2F-832A35E3D450}"/>
    <cellStyle name="S9" xfId="27" xr:uid="{DD6D5C0E-B437-49CF-8845-7872A27CB7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4DB9B-2D6F-4A7C-ADDE-E17A90AD749F}">
  <sheetPr>
    <tabColor rgb="FF002060"/>
  </sheetPr>
  <dimension ref="A1:I435"/>
  <sheetViews>
    <sheetView tabSelected="1" view="pageBreakPreview" topLeftCell="A103" zoomScale="70" zoomScaleNormal="100" zoomScaleSheetLayoutView="70" zoomScalePageLayoutView="70" workbookViewId="0">
      <selection activeCell="I153" sqref="I153"/>
    </sheetView>
  </sheetViews>
  <sheetFormatPr defaultColWidth="9.28515625" defaultRowHeight="14.25" x14ac:dyDescent="0.2"/>
  <cols>
    <col min="1" max="1" width="5.7109375" style="70" customWidth="1"/>
    <col min="2" max="2" width="46" style="161" customWidth="1"/>
    <col min="3" max="3" width="9.5703125" style="171" customWidth="1"/>
    <col min="4" max="4" width="6.7109375" style="172" customWidth="1"/>
    <col min="5" max="5" width="16" style="57" customWidth="1"/>
    <col min="6" max="6" width="16.28515625" style="71" customWidth="1"/>
    <col min="7" max="7" width="28.85546875" style="66" customWidth="1"/>
    <col min="8" max="8" width="12.7109375" style="66" customWidth="1"/>
    <col min="9" max="9" width="30.85546875" style="66" customWidth="1"/>
    <col min="10" max="12" width="7" style="66" customWidth="1"/>
    <col min="13" max="16384" width="9.28515625" style="66"/>
  </cols>
  <sheetData>
    <row r="1" spans="1:6" s="29" customFormat="1" ht="15" x14ac:dyDescent="0.25">
      <c r="A1" s="173" t="s">
        <v>1</v>
      </c>
      <c r="B1" s="173" t="s">
        <v>2</v>
      </c>
      <c r="C1" s="175" t="s">
        <v>132</v>
      </c>
      <c r="D1" s="177" t="s">
        <v>4</v>
      </c>
      <c r="E1" s="27" t="s">
        <v>133</v>
      </c>
      <c r="F1" s="28" t="s">
        <v>134</v>
      </c>
    </row>
    <row r="2" spans="1:6" s="29" customFormat="1" ht="15" x14ac:dyDescent="0.25">
      <c r="A2" s="174"/>
      <c r="B2" s="174"/>
      <c r="C2" s="176"/>
      <c r="D2" s="178"/>
      <c r="E2" s="30" t="s">
        <v>135</v>
      </c>
      <c r="F2" s="31" t="s">
        <v>135</v>
      </c>
    </row>
    <row r="3" spans="1:6" s="38" customFormat="1" ht="15" x14ac:dyDescent="0.2">
      <c r="A3" s="32"/>
      <c r="B3" s="33"/>
      <c r="C3" s="154"/>
      <c r="D3" s="35"/>
      <c r="E3" s="36"/>
      <c r="F3" s="37"/>
    </row>
    <row r="4" spans="1:6" s="38" customFormat="1" ht="15" x14ac:dyDescent="0.2">
      <c r="A4" s="39"/>
      <c r="B4" s="40" t="s">
        <v>0</v>
      </c>
      <c r="C4" s="155"/>
      <c r="D4" s="156"/>
      <c r="E4" s="36"/>
      <c r="F4" s="37"/>
    </row>
    <row r="5" spans="1:6" s="38" customFormat="1" ht="15" x14ac:dyDescent="0.2">
      <c r="A5" s="39"/>
      <c r="B5" s="41"/>
      <c r="C5" s="155"/>
      <c r="D5" s="156"/>
      <c r="E5" s="36"/>
      <c r="F5" s="37"/>
    </row>
    <row r="6" spans="1:6" s="38" customFormat="1" ht="15" x14ac:dyDescent="0.2">
      <c r="A6" s="39"/>
      <c r="B6" s="42" t="s">
        <v>7</v>
      </c>
      <c r="C6" s="155"/>
      <c r="D6" s="156"/>
      <c r="E6" s="36"/>
      <c r="F6" s="37"/>
    </row>
    <row r="7" spans="1:6" s="38" customFormat="1" ht="15" x14ac:dyDescent="0.2">
      <c r="A7" s="39"/>
      <c r="B7" s="157"/>
      <c r="C7" s="155"/>
      <c r="D7" s="156"/>
      <c r="E7" s="36"/>
      <c r="F7" s="37"/>
    </row>
    <row r="8" spans="1:6" s="38" customFormat="1" ht="15" x14ac:dyDescent="0.2">
      <c r="A8" s="43"/>
      <c r="B8" s="24" t="s">
        <v>8</v>
      </c>
      <c r="C8" s="139"/>
      <c r="D8" s="45"/>
      <c r="E8" s="36"/>
      <c r="F8" s="37"/>
    </row>
    <row r="9" spans="1:6" s="38" customFormat="1" ht="15" x14ac:dyDescent="0.2">
      <c r="A9" s="39"/>
      <c r="B9" s="157"/>
      <c r="C9" s="155"/>
      <c r="D9" s="156"/>
      <c r="E9" s="36"/>
      <c r="F9" s="37"/>
    </row>
    <row r="10" spans="1:6" s="38" customFormat="1" ht="57" x14ac:dyDescent="0.2">
      <c r="A10" s="43"/>
      <c r="B10" s="47" t="s">
        <v>9</v>
      </c>
      <c r="C10" s="139"/>
      <c r="D10" s="45"/>
      <c r="E10" s="36"/>
      <c r="F10" s="37"/>
    </row>
    <row r="11" spans="1:6" s="38" customFormat="1" ht="13.15" customHeight="1" x14ac:dyDescent="0.2">
      <c r="A11" s="39"/>
      <c r="B11" s="157"/>
      <c r="C11" s="155"/>
      <c r="D11" s="156"/>
      <c r="E11" s="36"/>
      <c r="F11" s="37"/>
    </row>
    <row r="12" spans="1:6" s="38" customFormat="1" ht="15" x14ac:dyDescent="0.2">
      <c r="A12" s="43" t="s">
        <v>10</v>
      </c>
      <c r="B12" s="24" t="s">
        <v>136</v>
      </c>
      <c r="C12" s="139">
        <v>1.59</v>
      </c>
      <c r="D12" s="45" t="s">
        <v>11</v>
      </c>
      <c r="E12" s="36">
        <v>12338.62</v>
      </c>
      <c r="F12" s="37">
        <f>C12*E12</f>
        <v>19618.4058</v>
      </c>
    </row>
    <row r="13" spans="1:6" s="38" customFormat="1" ht="13.15" customHeight="1" x14ac:dyDescent="0.2">
      <c r="A13" s="39"/>
      <c r="B13" s="157"/>
      <c r="C13" s="155"/>
      <c r="D13" s="156"/>
      <c r="E13" s="36"/>
      <c r="F13" s="37"/>
    </row>
    <row r="14" spans="1:6" s="38" customFormat="1" ht="15" x14ac:dyDescent="0.2">
      <c r="A14" s="43" t="s">
        <v>12</v>
      </c>
      <c r="B14" s="24" t="s">
        <v>137</v>
      </c>
      <c r="C14" s="139">
        <v>3.38</v>
      </c>
      <c r="D14" s="45" t="s">
        <v>11</v>
      </c>
      <c r="E14" s="36">
        <v>11192.68</v>
      </c>
      <c r="F14" s="37">
        <f>C14*E14</f>
        <v>37831.258399999999</v>
      </c>
    </row>
    <row r="15" spans="1:6" s="38" customFormat="1" ht="13.15" customHeight="1" x14ac:dyDescent="0.2">
      <c r="A15" s="39"/>
      <c r="B15" s="157"/>
      <c r="C15" s="155"/>
      <c r="D15" s="156"/>
      <c r="E15" s="36"/>
      <c r="F15" s="37"/>
    </row>
    <row r="16" spans="1:6" s="38" customFormat="1" ht="15" x14ac:dyDescent="0.2">
      <c r="A16" s="43" t="s">
        <v>14</v>
      </c>
      <c r="B16" s="24" t="s">
        <v>47</v>
      </c>
      <c r="C16" s="139">
        <v>2.06</v>
      </c>
      <c r="D16" s="45" t="s">
        <v>11</v>
      </c>
      <c r="E16" s="36">
        <v>11192.68</v>
      </c>
      <c r="F16" s="37">
        <f>C16*E16</f>
        <v>23056.9208</v>
      </c>
    </row>
    <row r="17" spans="1:6" s="38" customFormat="1" ht="15" x14ac:dyDescent="0.2">
      <c r="A17" s="39"/>
      <c r="B17" s="157"/>
      <c r="C17" s="155"/>
      <c r="D17" s="156"/>
      <c r="E17" s="36"/>
      <c r="F17" s="37"/>
    </row>
    <row r="18" spans="1:6" s="38" customFormat="1" ht="15" x14ac:dyDescent="0.2">
      <c r="A18" s="43" t="s">
        <v>16</v>
      </c>
      <c r="B18" s="24" t="s">
        <v>49</v>
      </c>
      <c r="C18" s="139">
        <v>0.85</v>
      </c>
      <c r="D18" s="45" t="s">
        <v>11</v>
      </c>
      <c r="E18" s="36">
        <v>11192.68</v>
      </c>
      <c r="F18" s="37">
        <f>C18*E18</f>
        <v>9513.7780000000002</v>
      </c>
    </row>
    <row r="19" spans="1:6" s="38" customFormat="1" ht="15" x14ac:dyDescent="0.2">
      <c r="A19" s="39"/>
      <c r="B19" s="157"/>
      <c r="C19" s="155"/>
      <c r="D19" s="156"/>
      <c r="E19" s="36"/>
      <c r="F19" s="37"/>
    </row>
    <row r="20" spans="1:6" s="38" customFormat="1" ht="15" x14ac:dyDescent="0.2">
      <c r="A20" s="43" t="s">
        <v>18</v>
      </c>
      <c r="B20" s="24" t="s">
        <v>138</v>
      </c>
      <c r="C20" s="139">
        <v>0.03</v>
      </c>
      <c r="D20" s="45" t="s">
        <v>11</v>
      </c>
      <c r="E20" s="36">
        <v>11192.68</v>
      </c>
      <c r="F20" s="37">
        <f>C20*E20</f>
        <v>335.78039999999999</v>
      </c>
    </row>
    <row r="21" spans="1:6" s="38" customFormat="1" ht="15" x14ac:dyDescent="0.2">
      <c r="A21" s="39"/>
      <c r="B21" s="157"/>
      <c r="C21" s="155"/>
      <c r="D21" s="156"/>
      <c r="E21" s="36"/>
      <c r="F21" s="37"/>
    </row>
    <row r="22" spans="1:6" s="38" customFormat="1" ht="15" x14ac:dyDescent="0.2">
      <c r="A22" s="43" t="s">
        <v>20</v>
      </c>
      <c r="B22" s="24" t="s">
        <v>13</v>
      </c>
      <c r="C22" s="139">
        <v>0.51</v>
      </c>
      <c r="D22" s="45" t="s">
        <v>11</v>
      </c>
      <c r="E22" s="36">
        <v>11192.68</v>
      </c>
      <c r="F22" s="37">
        <f>C22*E22</f>
        <v>5708.2668000000003</v>
      </c>
    </row>
    <row r="23" spans="1:6" s="38" customFormat="1" ht="15" x14ac:dyDescent="0.2">
      <c r="A23" s="39"/>
      <c r="B23" s="157"/>
      <c r="C23" s="155"/>
      <c r="D23" s="156"/>
      <c r="E23" s="36"/>
      <c r="F23" s="37"/>
    </row>
    <row r="24" spans="1:6" s="38" customFormat="1" ht="15" x14ac:dyDescent="0.2">
      <c r="A24" s="43" t="s">
        <v>22</v>
      </c>
      <c r="B24" s="24" t="s">
        <v>15</v>
      </c>
      <c r="C24" s="139">
        <v>1.48</v>
      </c>
      <c r="D24" s="45" t="s">
        <v>11</v>
      </c>
      <c r="E24" s="36">
        <v>11192.68</v>
      </c>
      <c r="F24" s="37">
        <f>C24*E24</f>
        <v>16565.166400000002</v>
      </c>
    </row>
    <row r="25" spans="1:6" s="38" customFormat="1" ht="15" x14ac:dyDescent="0.2">
      <c r="A25" s="39"/>
      <c r="B25" s="157"/>
      <c r="C25" s="155"/>
      <c r="D25" s="156"/>
      <c r="E25" s="36"/>
      <c r="F25" s="37"/>
    </row>
    <row r="26" spans="1:6" s="38" customFormat="1" ht="15" x14ac:dyDescent="0.2">
      <c r="A26" s="43" t="s">
        <v>24</v>
      </c>
      <c r="B26" s="24" t="s">
        <v>139</v>
      </c>
      <c r="C26" s="139">
        <v>5.31</v>
      </c>
      <c r="D26" s="45" t="s">
        <v>11</v>
      </c>
      <c r="E26" s="36">
        <v>11192.68</v>
      </c>
      <c r="F26" s="37">
        <f>C26*E26</f>
        <v>59433.130799999999</v>
      </c>
    </row>
    <row r="27" spans="1:6" s="38" customFormat="1" ht="15" x14ac:dyDescent="0.2">
      <c r="A27" s="39"/>
      <c r="B27" s="157"/>
      <c r="C27" s="155"/>
      <c r="D27" s="156"/>
      <c r="E27" s="36"/>
      <c r="F27" s="37"/>
    </row>
    <row r="28" spans="1:6" s="38" customFormat="1" ht="15" x14ac:dyDescent="0.2">
      <c r="A28" s="43" t="s">
        <v>26</v>
      </c>
      <c r="B28" s="24" t="s">
        <v>17</v>
      </c>
      <c r="C28" s="139">
        <v>4.67</v>
      </c>
      <c r="D28" s="45" t="s">
        <v>11</v>
      </c>
      <c r="E28" s="36">
        <v>11192.68</v>
      </c>
      <c r="F28" s="37">
        <f>C28*E28</f>
        <v>52269.815600000002</v>
      </c>
    </row>
    <row r="29" spans="1:6" s="38" customFormat="1" ht="15" x14ac:dyDescent="0.2">
      <c r="A29" s="39"/>
      <c r="B29" s="157"/>
      <c r="C29" s="155"/>
      <c r="D29" s="156"/>
      <c r="E29" s="36"/>
      <c r="F29" s="37"/>
    </row>
    <row r="30" spans="1:6" s="38" customFormat="1" ht="15" x14ac:dyDescent="0.2">
      <c r="A30" s="43" t="s">
        <v>28</v>
      </c>
      <c r="B30" s="24" t="s">
        <v>141</v>
      </c>
      <c r="C30" s="139">
        <v>3.23</v>
      </c>
      <c r="D30" s="45" t="s">
        <v>11</v>
      </c>
      <c r="E30" s="36">
        <v>11192.68</v>
      </c>
      <c r="F30" s="37">
        <f>C30*E30</f>
        <v>36152.356400000004</v>
      </c>
    </row>
    <row r="31" spans="1:6" s="38" customFormat="1" ht="15" x14ac:dyDescent="0.2">
      <c r="A31" s="39"/>
      <c r="B31" s="157"/>
      <c r="C31" s="155"/>
      <c r="D31" s="156"/>
      <c r="E31" s="36"/>
      <c r="F31" s="37"/>
    </row>
    <row r="32" spans="1:6" s="38" customFormat="1" ht="15" x14ac:dyDescent="0.2">
      <c r="A32" s="43" t="s">
        <v>30</v>
      </c>
      <c r="B32" s="24" t="s">
        <v>142</v>
      </c>
      <c r="C32" s="139">
        <v>22.12</v>
      </c>
      <c r="D32" s="45" t="s">
        <v>11</v>
      </c>
      <c r="E32" s="36">
        <v>11192.68</v>
      </c>
      <c r="F32" s="37">
        <f>C32*E32</f>
        <v>247582.0816</v>
      </c>
    </row>
    <row r="33" spans="1:6" s="38" customFormat="1" ht="15" x14ac:dyDescent="0.2">
      <c r="A33" s="39"/>
      <c r="B33" s="157"/>
      <c r="C33" s="155"/>
      <c r="D33" s="156"/>
      <c r="E33" s="36"/>
      <c r="F33" s="37"/>
    </row>
    <row r="34" spans="1:6" s="38" customFormat="1" ht="15" x14ac:dyDescent="0.2">
      <c r="A34" s="43" t="s">
        <v>32</v>
      </c>
      <c r="B34" s="24" t="s">
        <v>143</v>
      </c>
      <c r="C34" s="139">
        <v>2.73</v>
      </c>
      <c r="D34" s="45" t="s">
        <v>11</v>
      </c>
      <c r="E34" s="36">
        <v>11192.68</v>
      </c>
      <c r="F34" s="37">
        <f>C34*E34</f>
        <v>30556.0164</v>
      </c>
    </row>
    <row r="35" spans="1:6" s="38" customFormat="1" ht="15" x14ac:dyDescent="0.2">
      <c r="A35" s="39"/>
      <c r="B35" s="157"/>
      <c r="C35" s="155"/>
      <c r="D35" s="156"/>
      <c r="E35" s="36"/>
      <c r="F35" s="37"/>
    </row>
    <row r="36" spans="1:6" s="38" customFormat="1" ht="15" x14ac:dyDescent="0.2">
      <c r="A36" s="43" t="s">
        <v>34</v>
      </c>
      <c r="B36" s="24" t="s">
        <v>144</v>
      </c>
      <c r="C36" s="139">
        <v>14.01</v>
      </c>
      <c r="D36" s="45" t="s">
        <v>11</v>
      </c>
      <c r="E36" s="36">
        <v>11192.68</v>
      </c>
      <c r="F36" s="37">
        <f>C36*E36</f>
        <v>156809.44680000001</v>
      </c>
    </row>
    <row r="37" spans="1:6" s="38" customFormat="1" ht="15" x14ac:dyDescent="0.2">
      <c r="A37" s="39"/>
      <c r="B37" s="157"/>
      <c r="C37" s="155"/>
      <c r="D37" s="156"/>
      <c r="E37" s="36"/>
      <c r="F37" s="37"/>
    </row>
    <row r="38" spans="1:6" s="38" customFormat="1" ht="15" x14ac:dyDescent="0.2">
      <c r="A38" s="43" t="s">
        <v>37</v>
      </c>
      <c r="B38" s="24" t="s">
        <v>145</v>
      </c>
      <c r="C38" s="139">
        <v>4</v>
      </c>
      <c r="D38" s="45" t="s">
        <v>11</v>
      </c>
      <c r="E38" s="36">
        <v>11192.68</v>
      </c>
      <c r="F38" s="37">
        <f>C38*E38</f>
        <v>44770.720000000001</v>
      </c>
    </row>
    <row r="39" spans="1:6" s="38" customFormat="1" ht="15" x14ac:dyDescent="0.2">
      <c r="A39" s="39"/>
      <c r="B39" s="157"/>
      <c r="C39" s="155"/>
      <c r="D39" s="156"/>
      <c r="E39" s="36"/>
      <c r="F39" s="37"/>
    </row>
    <row r="40" spans="1:6" s="38" customFormat="1" ht="15" x14ac:dyDescent="0.2">
      <c r="A40" s="43" t="s">
        <v>39</v>
      </c>
      <c r="B40" s="24" t="s">
        <v>146</v>
      </c>
      <c r="C40" s="139">
        <v>12.82</v>
      </c>
      <c r="D40" s="45" t="s">
        <v>11</v>
      </c>
      <c r="E40" s="36">
        <v>11192.68</v>
      </c>
      <c r="F40" s="37">
        <f>C40*E40</f>
        <v>143490.15760000001</v>
      </c>
    </row>
    <row r="41" spans="1:6" s="38" customFormat="1" ht="15" x14ac:dyDescent="0.2">
      <c r="A41" s="39"/>
      <c r="B41" s="41"/>
      <c r="C41" s="155"/>
      <c r="D41" s="156"/>
      <c r="E41" s="36"/>
      <c r="F41" s="37"/>
    </row>
    <row r="42" spans="1:6" s="38" customFormat="1" ht="15" x14ac:dyDescent="0.2">
      <c r="A42" s="48"/>
      <c r="B42" s="49"/>
      <c r="C42" s="50"/>
      <c r="D42" s="51"/>
      <c r="E42" s="52"/>
      <c r="F42" s="53"/>
    </row>
    <row r="43" spans="1:6" s="38" customFormat="1" ht="15" x14ac:dyDescent="0.2">
      <c r="A43" s="54"/>
      <c r="B43" s="55"/>
      <c r="C43" s="56" t="s">
        <v>147</v>
      </c>
      <c r="D43" s="56"/>
      <c r="E43" s="57" t="s">
        <v>135</v>
      </c>
      <c r="F43" s="58">
        <f>SUM(F12:F40)</f>
        <v>883693.30180000002</v>
      </c>
    </row>
    <row r="44" spans="1:6" s="38" customFormat="1" ht="15" x14ac:dyDescent="0.2">
      <c r="A44" s="54"/>
      <c r="B44" s="55"/>
      <c r="C44" s="59"/>
      <c r="D44" s="60"/>
      <c r="E44" s="61"/>
      <c r="F44" s="62"/>
    </row>
    <row r="45" spans="1:6" s="38" customFormat="1" ht="15" x14ac:dyDescent="0.2">
      <c r="A45" s="39"/>
      <c r="B45" s="41"/>
      <c r="C45" s="155"/>
      <c r="D45" s="156"/>
      <c r="E45" s="36"/>
      <c r="F45" s="37"/>
    </row>
    <row r="46" spans="1:6" s="38" customFormat="1" ht="15" x14ac:dyDescent="0.2">
      <c r="A46" s="39"/>
      <c r="B46" s="42" t="s">
        <v>41</v>
      </c>
      <c r="C46" s="155"/>
      <c r="D46" s="156"/>
      <c r="E46" s="36"/>
      <c r="F46" s="37"/>
    </row>
    <row r="47" spans="1:6" s="38" customFormat="1" ht="15" x14ac:dyDescent="0.2">
      <c r="A47" s="39"/>
      <c r="B47" s="157"/>
      <c r="C47" s="155"/>
      <c r="D47" s="156"/>
      <c r="E47" s="36"/>
      <c r="F47" s="37"/>
    </row>
    <row r="48" spans="1:6" s="38" customFormat="1" ht="15" x14ac:dyDescent="0.2">
      <c r="A48" s="43" t="s">
        <v>10</v>
      </c>
      <c r="B48" s="24" t="s">
        <v>97</v>
      </c>
      <c r="C48" s="139">
        <v>2.82</v>
      </c>
      <c r="D48" s="45" t="s">
        <v>11</v>
      </c>
      <c r="E48" s="36">
        <v>11192.68</v>
      </c>
      <c r="F48" s="37">
        <f>C48*E48</f>
        <v>31563.357599999999</v>
      </c>
    </row>
    <row r="49" spans="1:6" s="38" customFormat="1" ht="15" x14ac:dyDescent="0.2">
      <c r="A49" s="39"/>
      <c r="B49" s="157"/>
      <c r="C49" s="155"/>
      <c r="D49" s="156"/>
      <c r="E49" s="36"/>
      <c r="F49" s="37"/>
    </row>
    <row r="50" spans="1:6" s="38" customFormat="1" ht="15" x14ac:dyDescent="0.2">
      <c r="A50" s="43" t="s">
        <v>12</v>
      </c>
      <c r="B50" s="24" t="s">
        <v>27</v>
      </c>
      <c r="C50" s="139">
        <v>0.44</v>
      </c>
      <c r="D50" s="45" t="s">
        <v>11</v>
      </c>
      <c r="E50" s="36">
        <v>10046.73</v>
      </c>
      <c r="F50" s="37">
        <f>C50*E50</f>
        <v>4420.5612000000001</v>
      </c>
    </row>
    <row r="51" spans="1:6" s="38" customFormat="1" ht="15" x14ac:dyDescent="0.2">
      <c r="A51" s="39"/>
      <c r="B51" s="157"/>
      <c r="C51" s="155"/>
      <c r="D51" s="156"/>
      <c r="E51" s="36"/>
      <c r="F51" s="37"/>
    </row>
    <row r="52" spans="1:6" s="38" customFormat="1" ht="15" x14ac:dyDescent="0.2">
      <c r="A52" s="43" t="s">
        <v>14</v>
      </c>
      <c r="B52" s="24" t="s">
        <v>29</v>
      </c>
      <c r="C52" s="139">
        <v>0.2</v>
      </c>
      <c r="D52" s="45" t="s">
        <v>11</v>
      </c>
      <c r="E52" s="36">
        <v>10046.73</v>
      </c>
      <c r="F52" s="37">
        <f>C52*E52</f>
        <v>2009.346</v>
      </c>
    </row>
    <row r="53" spans="1:6" s="38" customFormat="1" ht="15" x14ac:dyDescent="0.2">
      <c r="A53" s="39"/>
      <c r="B53" s="157"/>
      <c r="C53" s="155"/>
      <c r="D53" s="156"/>
      <c r="E53" s="36"/>
      <c r="F53" s="37"/>
    </row>
    <row r="54" spans="1:6" s="38" customFormat="1" ht="15" x14ac:dyDescent="0.2">
      <c r="A54" s="43" t="s">
        <v>16</v>
      </c>
      <c r="B54" s="24" t="s">
        <v>104</v>
      </c>
      <c r="C54" s="139">
        <v>0.45</v>
      </c>
      <c r="D54" s="45" t="s">
        <v>11</v>
      </c>
      <c r="E54" s="36">
        <v>10046.73</v>
      </c>
      <c r="F54" s="37">
        <f>C54*E54</f>
        <v>4521.0285000000003</v>
      </c>
    </row>
    <row r="55" spans="1:6" s="38" customFormat="1" ht="15" x14ac:dyDescent="0.2">
      <c r="A55" s="39"/>
      <c r="B55" s="157"/>
      <c r="C55" s="155"/>
      <c r="D55" s="156"/>
      <c r="E55" s="36"/>
      <c r="F55" s="37"/>
    </row>
    <row r="56" spans="1:6" s="38" customFormat="1" ht="15" x14ac:dyDescent="0.2">
      <c r="A56" s="43" t="s">
        <v>18</v>
      </c>
      <c r="B56" s="24" t="s">
        <v>31</v>
      </c>
      <c r="C56" s="139">
        <v>0.59</v>
      </c>
      <c r="D56" s="45" t="s">
        <v>11</v>
      </c>
      <c r="E56" s="36">
        <v>10046.73</v>
      </c>
      <c r="F56" s="37">
        <f>C56*E56</f>
        <v>5927.5706999999993</v>
      </c>
    </row>
    <row r="57" spans="1:6" s="38" customFormat="1" ht="15" x14ac:dyDescent="0.2">
      <c r="A57" s="39"/>
      <c r="B57" s="157"/>
      <c r="C57" s="155"/>
      <c r="D57" s="156"/>
      <c r="E57" s="36"/>
      <c r="F57" s="37"/>
    </row>
    <row r="58" spans="1:6" s="38" customFormat="1" ht="15" x14ac:dyDescent="0.2">
      <c r="A58" s="43" t="s">
        <v>20</v>
      </c>
      <c r="B58" s="24" t="s">
        <v>33</v>
      </c>
      <c r="C58" s="139">
        <v>0.21</v>
      </c>
      <c r="D58" s="45" t="s">
        <v>11</v>
      </c>
      <c r="E58" s="36">
        <v>11192.68</v>
      </c>
      <c r="F58" s="37">
        <f>C58*E58</f>
        <v>2350.4627999999998</v>
      </c>
    </row>
    <row r="59" spans="1:6" s="38" customFormat="1" ht="15" x14ac:dyDescent="0.2">
      <c r="A59" s="39"/>
      <c r="B59" s="157"/>
      <c r="C59" s="155"/>
      <c r="D59" s="156"/>
      <c r="E59" s="36"/>
      <c r="F59" s="37"/>
    </row>
    <row r="60" spans="1:6" s="38" customFormat="1" ht="15" x14ac:dyDescent="0.2">
      <c r="A60" s="43" t="s">
        <v>22</v>
      </c>
      <c r="B60" s="24" t="s">
        <v>148</v>
      </c>
      <c r="C60" s="139">
        <v>108</v>
      </c>
      <c r="D60" s="45" t="s">
        <v>36</v>
      </c>
      <c r="E60" s="36">
        <v>35.549999999999997</v>
      </c>
      <c r="F60" s="37">
        <f>C60*E60</f>
        <v>3839.3999999999996</v>
      </c>
    </row>
    <row r="61" spans="1:6" s="38" customFormat="1" ht="14.1" customHeight="1" x14ac:dyDescent="0.2">
      <c r="A61" s="39"/>
      <c r="B61" s="157"/>
      <c r="C61" s="155"/>
      <c r="D61" s="156"/>
      <c r="E61" s="36"/>
      <c r="F61" s="37"/>
    </row>
    <row r="62" spans="1:6" s="38" customFormat="1" ht="15" x14ac:dyDescent="0.2">
      <c r="A62" s="43" t="s">
        <v>24</v>
      </c>
      <c r="B62" s="24" t="s">
        <v>35</v>
      </c>
      <c r="C62" s="139">
        <v>116</v>
      </c>
      <c r="D62" s="45" t="s">
        <v>36</v>
      </c>
      <c r="E62" s="36">
        <v>35.549999999999997</v>
      </c>
      <c r="F62" s="37">
        <f>C62*E62</f>
        <v>4123.7999999999993</v>
      </c>
    </row>
    <row r="63" spans="1:6" s="38" customFormat="1" ht="14.1" customHeight="1" x14ac:dyDescent="0.2">
      <c r="A63" s="39"/>
      <c r="B63" s="157"/>
      <c r="C63" s="155"/>
      <c r="D63" s="156"/>
      <c r="E63" s="36"/>
      <c r="F63" s="37"/>
    </row>
    <row r="64" spans="1:6" s="38" customFormat="1" ht="15" x14ac:dyDescent="0.2">
      <c r="A64" s="43" t="s">
        <v>26</v>
      </c>
      <c r="B64" s="24" t="s">
        <v>110</v>
      </c>
      <c r="C64" s="139">
        <v>48</v>
      </c>
      <c r="D64" s="45" t="s">
        <v>36</v>
      </c>
      <c r="E64" s="36">
        <v>35.549999999999997</v>
      </c>
      <c r="F64" s="37">
        <f>C64*E64</f>
        <v>1706.3999999999999</v>
      </c>
    </row>
    <row r="65" spans="1:6" s="38" customFormat="1" ht="14.1" customHeight="1" x14ac:dyDescent="0.2">
      <c r="A65" s="39"/>
      <c r="B65" s="157"/>
      <c r="C65" s="155"/>
      <c r="D65" s="156"/>
      <c r="E65" s="36"/>
      <c r="F65" s="37"/>
    </row>
    <row r="66" spans="1:6" s="38" customFormat="1" ht="15" x14ac:dyDescent="0.2">
      <c r="A66" s="43" t="s">
        <v>28</v>
      </c>
      <c r="B66" s="24" t="s">
        <v>38</v>
      </c>
      <c r="C66" s="139">
        <v>80</v>
      </c>
      <c r="D66" s="45" t="s">
        <v>36</v>
      </c>
      <c r="E66" s="36">
        <v>35.549999999999997</v>
      </c>
      <c r="F66" s="37">
        <f>C66*E66</f>
        <v>2844</v>
      </c>
    </row>
    <row r="67" spans="1:6" s="38" customFormat="1" ht="14.1" customHeight="1" x14ac:dyDescent="0.2">
      <c r="A67" s="39"/>
      <c r="B67" s="157"/>
      <c r="C67" s="155"/>
      <c r="D67" s="156"/>
      <c r="E67" s="36"/>
      <c r="F67" s="37"/>
    </row>
    <row r="68" spans="1:6" s="38" customFormat="1" ht="15" x14ac:dyDescent="0.2">
      <c r="A68" s="43" t="s">
        <v>30</v>
      </c>
      <c r="B68" s="24" t="s">
        <v>40</v>
      </c>
      <c r="C68" s="139">
        <v>1</v>
      </c>
      <c r="D68" s="45" t="s">
        <v>1</v>
      </c>
      <c r="E68" s="63">
        <v>114595.45</v>
      </c>
      <c r="F68" s="37">
        <f>C68*E68</f>
        <v>114595.45</v>
      </c>
    </row>
    <row r="69" spans="1:6" s="38" customFormat="1" ht="14.1" customHeight="1" x14ac:dyDescent="0.2">
      <c r="A69" s="39"/>
      <c r="B69" s="157"/>
      <c r="C69" s="155"/>
      <c r="D69" s="156"/>
      <c r="E69" s="36"/>
      <c r="F69" s="37"/>
    </row>
    <row r="70" spans="1:6" s="38" customFormat="1" ht="15" x14ac:dyDescent="0.2">
      <c r="A70" s="43" t="s">
        <v>32</v>
      </c>
      <c r="B70" s="24" t="s">
        <v>42</v>
      </c>
      <c r="C70" s="139">
        <v>1</v>
      </c>
      <c r="D70" s="45" t="s">
        <v>1</v>
      </c>
      <c r="E70" s="36">
        <v>36671.339999999997</v>
      </c>
      <c r="F70" s="37">
        <f>C70*E70</f>
        <v>36671.339999999997</v>
      </c>
    </row>
    <row r="71" spans="1:6" s="38" customFormat="1" ht="14.1" customHeight="1" x14ac:dyDescent="0.2">
      <c r="A71" s="39"/>
      <c r="B71" s="157"/>
      <c r="C71" s="155"/>
      <c r="D71" s="156"/>
      <c r="E71" s="36"/>
      <c r="F71" s="37"/>
    </row>
    <row r="72" spans="1:6" s="38" customFormat="1" ht="57" x14ac:dyDescent="0.2">
      <c r="A72" s="43"/>
      <c r="B72" s="47" t="s">
        <v>43</v>
      </c>
      <c r="C72" s="139"/>
      <c r="D72" s="45"/>
      <c r="E72" s="36"/>
      <c r="F72" s="37"/>
    </row>
    <row r="73" spans="1:6" s="38" customFormat="1" ht="14.1" customHeight="1" x14ac:dyDescent="0.2">
      <c r="A73" s="39"/>
      <c r="B73" s="157"/>
      <c r="C73" s="155"/>
      <c r="D73" s="156"/>
      <c r="E73" s="36"/>
      <c r="F73" s="37"/>
    </row>
    <row r="74" spans="1:6" s="38" customFormat="1" ht="15" x14ac:dyDescent="0.2">
      <c r="A74" s="43" t="s">
        <v>34</v>
      </c>
      <c r="B74" s="24" t="s">
        <v>44</v>
      </c>
      <c r="C74" s="139">
        <v>21.29</v>
      </c>
      <c r="D74" s="45" t="s">
        <v>11</v>
      </c>
      <c r="E74" s="36">
        <v>12338.62</v>
      </c>
      <c r="F74" s="37">
        <f>C74*E74</f>
        <v>262689.21980000002</v>
      </c>
    </row>
    <row r="75" spans="1:6" s="38" customFormat="1" ht="14.1" customHeight="1" x14ac:dyDescent="0.2">
      <c r="A75" s="39"/>
      <c r="B75" s="157"/>
      <c r="C75" s="155"/>
      <c r="D75" s="156"/>
      <c r="E75" s="36"/>
      <c r="F75" s="37"/>
    </row>
    <row r="76" spans="1:6" s="38" customFormat="1" ht="15" x14ac:dyDescent="0.2">
      <c r="A76" s="43" t="s">
        <v>37</v>
      </c>
      <c r="B76" s="24" t="s">
        <v>45</v>
      </c>
      <c r="C76" s="139">
        <v>0.95</v>
      </c>
      <c r="D76" s="45" t="s">
        <v>11</v>
      </c>
      <c r="E76" s="36">
        <v>12338.62</v>
      </c>
      <c r="F76" s="37">
        <f>C76*E76</f>
        <v>11721.689</v>
      </c>
    </row>
    <row r="77" spans="1:6" s="38" customFormat="1" ht="15" x14ac:dyDescent="0.2">
      <c r="A77" s="39"/>
      <c r="B77" s="157"/>
      <c r="C77" s="155"/>
      <c r="D77" s="156"/>
      <c r="E77" s="36"/>
      <c r="F77" s="37"/>
    </row>
    <row r="78" spans="1:6" s="38" customFormat="1" ht="15" x14ac:dyDescent="0.2">
      <c r="A78" s="43" t="s">
        <v>39</v>
      </c>
      <c r="B78" s="24" t="s">
        <v>149</v>
      </c>
      <c r="C78" s="139">
        <v>0.17</v>
      </c>
      <c r="D78" s="45" t="s">
        <v>11</v>
      </c>
      <c r="E78" s="36">
        <v>11192.68</v>
      </c>
      <c r="F78" s="37">
        <f>C78*E78</f>
        <v>1902.7556000000002</v>
      </c>
    </row>
    <row r="79" spans="1:6" s="38" customFormat="1" ht="15" x14ac:dyDescent="0.2">
      <c r="A79" s="39"/>
      <c r="B79" s="157"/>
      <c r="C79" s="155"/>
      <c r="D79" s="156"/>
      <c r="E79" s="36"/>
      <c r="F79" s="37"/>
    </row>
    <row r="80" spans="1:6" s="38" customFormat="1" ht="15" x14ac:dyDescent="0.2">
      <c r="A80" s="43" t="s">
        <v>54</v>
      </c>
      <c r="B80" s="24" t="s">
        <v>46</v>
      </c>
      <c r="C80" s="139">
        <v>0.56000000000000005</v>
      </c>
      <c r="D80" s="45" t="s">
        <v>11</v>
      </c>
      <c r="E80" s="36">
        <v>11192.68</v>
      </c>
      <c r="F80" s="37">
        <f>C80*E80</f>
        <v>6267.9008000000003</v>
      </c>
    </row>
    <row r="81" spans="1:6" s="38" customFormat="1" ht="15" x14ac:dyDescent="0.2">
      <c r="A81" s="39"/>
      <c r="B81" s="157"/>
      <c r="C81" s="155"/>
      <c r="D81" s="156"/>
      <c r="E81" s="36"/>
      <c r="F81" s="37"/>
    </row>
    <row r="82" spans="1:6" s="38" customFormat="1" ht="15" x14ac:dyDescent="0.2">
      <c r="A82" s="43" t="s">
        <v>55</v>
      </c>
      <c r="B82" s="24" t="s">
        <v>48</v>
      </c>
      <c r="C82" s="139">
        <v>3.8</v>
      </c>
      <c r="D82" s="45" t="s">
        <v>11</v>
      </c>
      <c r="E82" s="36">
        <v>11192.68</v>
      </c>
      <c r="F82" s="37">
        <f>C82*E82</f>
        <v>42532.184000000001</v>
      </c>
    </row>
    <row r="83" spans="1:6" s="38" customFormat="1" ht="15" x14ac:dyDescent="0.2">
      <c r="A83" s="39"/>
      <c r="B83" s="157"/>
      <c r="C83" s="155"/>
      <c r="D83" s="156"/>
      <c r="E83" s="36"/>
      <c r="F83" s="37"/>
    </row>
    <row r="84" spans="1:6" s="38" customFormat="1" ht="15" x14ac:dyDescent="0.2">
      <c r="A84" s="43" t="s">
        <v>56</v>
      </c>
      <c r="B84" s="24" t="s">
        <v>49</v>
      </c>
      <c r="C84" s="139">
        <v>1.46</v>
      </c>
      <c r="D84" s="45" t="s">
        <v>11</v>
      </c>
      <c r="E84" s="36">
        <v>11192.68</v>
      </c>
      <c r="F84" s="37">
        <f>C84*E84</f>
        <v>16341.3128</v>
      </c>
    </row>
    <row r="85" spans="1:6" s="38" customFormat="1" ht="15" x14ac:dyDescent="0.2">
      <c r="A85" s="39"/>
      <c r="B85" s="157"/>
      <c r="C85" s="155"/>
      <c r="D85" s="156"/>
      <c r="E85" s="36"/>
      <c r="F85" s="37"/>
    </row>
    <row r="86" spans="1:6" s="38" customFormat="1" ht="15" x14ac:dyDescent="0.2">
      <c r="A86" s="43" t="s">
        <v>57</v>
      </c>
      <c r="B86" s="24" t="s">
        <v>150</v>
      </c>
      <c r="C86" s="139">
        <v>2.1800000000000002</v>
      </c>
      <c r="D86" s="45" t="s">
        <v>11</v>
      </c>
      <c r="E86" s="36">
        <v>11192.68</v>
      </c>
      <c r="F86" s="37">
        <f>C86*E86</f>
        <v>24400.042400000002</v>
      </c>
    </row>
    <row r="87" spans="1:6" s="38" customFormat="1" ht="15" x14ac:dyDescent="0.2">
      <c r="A87" s="39"/>
      <c r="B87" s="41"/>
      <c r="C87" s="155"/>
      <c r="D87" s="156"/>
      <c r="E87" s="36"/>
      <c r="F87" s="37"/>
    </row>
    <row r="88" spans="1:6" s="38" customFormat="1" ht="15" x14ac:dyDescent="0.2">
      <c r="A88" s="48"/>
      <c r="B88" s="49"/>
      <c r="C88" s="50"/>
      <c r="D88" s="51"/>
      <c r="E88" s="52"/>
      <c r="F88" s="53"/>
    </row>
    <row r="89" spans="1:6" s="38" customFormat="1" ht="15" x14ac:dyDescent="0.2">
      <c r="A89" s="54"/>
      <c r="B89" s="55"/>
      <c r="C89" s="56" t="s">
        <v>147</v>
      </c>
      <c r="D89" s="56"/>
      <c r="E89" s="57" t="s">
        <v>135</v>
      </c>
      <c r="F89" s="58">
        <f>SUM(F48:F86)</f>
        <v>580427.82120000001</v>
      </c>
    </row>
    <row r="90" spans="1:6" s="38" customFormat="1" ht="15" x14ac:dyDescent="0.2">
      <c r="A90" s="54"/>
      <c r="B90" s="55"/>
      <c r="C90" s="59"/>
      <c r="D90" s="60"/>
      <c r="E90" s="61"/>
      <c r="F90" s="62"/>
    </row>
    <row r="91" spans="1:6" s="38" customFormat="1" ht="15" x14ac:dyDescent="0.2">
      <c r="A91" s="39"/>
      <c r="B91" s="41"/>
      <c r="C91" s="155"/>
      <c r="D91" s="156"/>
      <c r="E91" s="36"/>
      <c r="F91" s="37"/>
    </row>
    <row r="92" spans="1:6" s="38" customFormat="1" ht="15" x14ac:dyDescent="0.2">
      <c r="A92" s="39"/>
      <c r="B92" s="42" t="s">
        <v>41</v>
      </c>
      <c r="C92" s="155"/>
      <c r="D92" s="156"/>
      <c r="E92" s="36"/>
      <c r="F92" s="37"/>
    </row>
    <row r="93" spans="1:6" s="38" customFormat="1" ht="15" x14ac:dyDescent="0.2">
      <c r="A93" s="39"/>
      <c r="B93" s="157"/>
      <c r="C93" s="155"/>
      <c r="D93" s="156"/>
      <c r="E93" s="36"/>
      <c r="F93" s="37"/>
    </row>
    <row r="94" spans="1:6" s="38" customFormat="1" ht="15" x14ac:dyDescent="0.2">
      <c r="A94" s="43" t="s">
        <v>10</v>
      </c>
      <c r="B94" s="24" t="s">
        <v>50</v>
      </c>
      <c r="C94" s="139">
        <v>0.18</v>
      </c>
      <c r="D94" s="45" t="s">
        <v>11</v>
      </c>
      <c r="E94" s="36">
        <v>12338.62</v>
      </c>
      <c r="F94" s="37">
        <f>C94*E94</f>
        <v>2220.9515999999999</v>
      </c>
    </row>
    <row r="95" spans="1:6" s="38" customFormat="1" ht="15" x14ac:dyDescent="0.2">
      <c r="A95" s="39"/>
      <c r="B95" s="157"/>
      <c r="C95" s="155"/>
      <c r="D95" s="156"/>
      <c r="E95" s="36"/>
      <c r="F95" s="37"/>
    </row>
    <row r="96" spans="1:6" s="38" customFormat="1" ht="15" x14ac:dyDescent="0.2">
      <c r="A96" s="43" t="s">
        <v>12</v>
      </c>
      <c r="B96" s="24" t="s">
        <v>51</v>
      </c>
      <c r="C96" s="139">
        <v>0.28999999999999998</v>
      </c>
      <c r="D96" s="45" t="s">
        <v>11</v>
      </c>
      <c r="E96" s="36">
        <v>12338.62</v>
      </c>
      <c r="F96" s="37">
        <f>C96*E96</f>
        <v>3578.1997999999999</v>
      </c>
    </row>
    <row r="97" spans="1:6" s="38" customFormat="1" ht="15" x14ac:dyDescent="0.2">
      <c r="A97" s="39"/>
      <c r="B97" s="157"/>
      <c r="C97" s="155"/>
      <c r="D97" s="156"/>
      <c r="E97" s="36"/>
      <c r="F97" s="37"/>
    </row>
    <row r="98" spans="1:6" s="38" customFormat="1" ht="15" x14ac:dyDescent="0.2">
      <c r="A98" s="43" t="s">
        <v>14</v>
      </c>
      <c r="B98" s="24" t="s">
        <v>52</v>
      </c>
      <c r="C98" s="139">
        <v>5.91</v>
      </c>
      <c r="D98" s="45" t="s">
        <v>11</v>
      </c>
      <c r="E98" s="36">
        <v>12338.62</v>
      </c>
      <c r="F98" s="37">
        <f>C98*E98</f>
        <v>72921.244200000001</v>
      </c>
    </row>
    <row r="99" spans="1:6" s="38" customFormat="1" ht="15" x14ac:dyDescent="0.2">
      <c r="A99" s="39"/>
      <c r="B99" s="157"/>
      <c r="C99" s="155"/>
      <c r="D99" s="156"/>
      <c r="E99" s="36"/>
      <c r="F99" s="37"/>
    </row>
    <row r="100" spans="1:6" s="38" customFormat="1" ht="15" x14ac:dyDescent="0.2">
      <c r="A100" s="43" t="s">
        <v>16</v>
      </c>
      <c r="B100" s="24" t="s">
        <v>53</v>
      </c>
      <c r="C100" s="139">
        <v>0.77</v>
      </c>
      <c r="D100" s="45" t="s">
        <v>11</v>
      </c>
      <c r="E100" s="36">
        <v>12338.62</v>
      </c>
      <c r="F100" s="37">
        <f>C100*E100</f>
        <v>9500.7374</v>
      </c>
    </row>
    <row r="101" spans="1:6" s="38" customFormat="1" ht="15" x14ac:dyDescent="0.2">
      <c r="A101" s="39"/>
      <c r="B101" s="157"/>
      <c r="C101" s="155"/>
      <c r="D101" s="156"/>
      <c r="E101" s="36"/>
      <c r="F101" s="37"/>
    </row>
    <row r="102" spans="1:6" s="38" customFormat="1" ht="15" x14ac:dyDescent="0.2">
      <c r="A102" s="43" t="s">
        <v>18</v>
      </c>
      <c r="B102" s="24" t="s">
        <v>151</v>
      </c>
      <c r="C102" s="139">
        <v>16.07</v>
      </c>
      <c r="D102" s="45" t="s">
        <v>11</v>
      </c>
      <c r="E102" s="36">
        <v>12338.62</v>
      </c>
      <c r="F102" s="37">
        <f>C102*E102</f>
        <v>198281.62340000001</v>
      </c>
    </row>
    <row r="103" spans="1:6" s="38" customFormat="1" ht="15" x14ac:dyDescent="0.2">
      <c r="A103" s="39"/>
      <c r="B103" s="157"/>
      <c r="C103" s="155"/>
      <c r="D103" s="156"/>
      <c r="E103" s="36"/>
      <c r="F103" s="37"/>
    </row>
    <row r="104" spans="1:6" s="38" customFormat="1" ht="15" x14ac:dyDescent="0.2">
      <c r="A104" s="43" t="s">
        <v>20</v>
      </c>
      <c r="B104" s="24" t="s">
        <v>152</v>
      </c>
      <c r="C104" s="139">
        <v>11.65</v>
      </c>
      <c r="D104" s="45" t="s">
        <v>11</v>
      </c>
      <c r="E104" s="36">
        <v>12338.62</v>
      </c>
      <c r="F104" s="37">
        <f>C104*E104</f>
        <v>143744.92300000001</v>
      </c>
    </row>
    <row r="105" spans="1:6" s="38" customFormat="1" ht="15" x14ac:dyDescent="0.2">
      <c r="A105" s="39"/>
      <c r="B105" s="157"/>
      <c r="C105" s="155"/>
      <c r="D105" s="156"/>
      <c r="E105" s="36"/>
      <c r="F105" s="37"/>
    </row>
    <row r="106" spans="1:6" s="38" customFormat="1" ht="15" x14ac:dyDescent="0.2">
      <c r="A106" s="43" t="s">
        <v>22</v>
      </c>
      <c r="B106" s="24" t="s">
        <v>153</v>
      </c>
      <c r="C106" s="139">
        <v>7.48</v>
      </c>
      <c r="D106" s="45" t="s">
        <v>11</v>
      </c>
      <c r="E106" s="36">
        <v>11192.68</v>
      </c>
      <c r="F106" s="37">
        <f>C106*E106</f>
        <v>83721.246400000004</v>
      </c>
    </row>
    <row r="107" spans="1:6" s="38" customFormat="1" ht="15" x14ac:dyDescent="0.2">
      <c r="A107" s="39"/>
      <c r="B107" s="157"/>
      <c r="C107" s="155"/>
      <c r="D107" s="156"/>
      <c r="E107" s="36"/>
      <c r="F107" s="37"/>
    </row>
    <row r="108" spans="1:6" s="38" customFormat="1" ht="15" x14ac:dyDescent="0.2">
      <c r="A108" s="43" t="s">
        <v>24</v>
      </c>
      <c r="B108" s="24" t="s">
        <v>154</v>
      </c>
      <c r="C108" s="139">
        <v>23.12</v>
      </c>
      <c r="D108" s="45" t="s">
        <v>11</v>
      </c>
      <c r="E108" s="36">
        <v>11192.68</v>
      </c>
      <c r="F108" s="37">
        <f>C108*E108</f>
        <v>258774.76160000003</v>
      </c>
    </row>
    <row r="109" spans="1:6" s="38" customFormat="1" ht="15" x14ac:dyDescent="0.2">
      <c r="A109" s="39"/>
      <c r="B109" s="157"/>
      <c r="C109" s="155"/>
      <c r="D109" s="156"/>
      <c r="E109" s="36"/>
      <c r="F109" s="37"/>
    </row>
    <row r="110" spans="1:6" s="38" customFormat="1" ht="15" x14ac:dyDescent="0.2">
      <c r="A110" s="43" t="s">
        <v>26</v>
      </c>
      <c r="B110" s="24" t="s">
        <v>155</v>
      </c>
      <c r="C110" s="139">
        <v>5.0599999999999996</v>
      </c>
      <c r="D110" s="45" t="s">
        <v>11</v>
      </c>
      <c r="E110" s="36">
        <v>12338.62</v>
      </c>
      <c r="F110" s="37">
        <f>C110*E110</f>
        <v>62433.417199999996</v>
      </c>
    </row>
    <row r="111" spans="1:6" s="38" customFormat="1" ht="13.15" customHeight="1" x14ac:dyDescent="0.2">
      <c r="A111" s="39"/>
      <c r="B111" s="157"/>
      <c r="C111" s="155"/>
      <c r="D111" s="156"/>
      <c r="E111" s="36"/>
      <c r="F111" s="37"/>
    </row>
    <row r="112" spans="1:6" s="38" customFormat="1" ht="15" x14ac:dyDescent="0.2">
      <c r="A112" s="43" t="s">
        <v>28</v>
      </c>
      <c r="B112" s="24" t="s">
        <v>156</v>
      </c>
      <c r="C112" s="139">
        <v>3.33</v>
      </c>
      <c r="D112" s="45" t="s">
        <v>11</v>
      </c>
      <c r="E112" s="36">
        <v>12338.62</v>
      </c>
      <c r="F112" s="37">
        <f>C112*E112</f>
        <v>41087.604600000006</v>
      </c>
    </row>
    <row r="113" spans="1:6" s="38" customFormat="1" ht="13.15" customHeight="1" x14ac:dyDescent="0.2">
      <c r="A113" s="39"/>
      <c r="B113" s="157"/>
      <c r="C113" s="155"/>
      <c r="D113" s="156"/>
      <c r="E113" s="36"/>
      <c r="F113" s="37"/>
    </row>
    <row r="114" spans="1:6" s="38" customFormat="1" ht="15" x14ac:dyDescent="0.2">
      <c r="A114" s="43" t="s">
        <v>30</v>
      </c>
      <c r="B114" s="24" t="s">
        <v>157</v>
      </c>
      <c r="C114" s="139">
        <v>0.11</v>
      </c>
      <c r="D114" s="45" t="s">
        <v>11</v>
      </c>
      <c r="E114" s="36">
        <v>12338.62</v>
      </c>
      <c r="F114" s="37">
        <f>C114*E114</f>
        <v>1357.2482</v>
      </c>
    </row>
    <row r="115" spans="1:6" s="38" customFormat="1" ht="13.15" customHeight="1" x14ac:dyDescent="0.2">
      <c r="A115" s="39"/>
      <c r="B115" s="157"/>
      <c r="C115" s="155"/>
      <c r="D115" s="156"/>
      <c r="E115" s="36"/>
      <c r="F115" s="37"/>
    </row>
    <row r="116" spans="1:6" s="38" customFormat="1" ht="15" x14ac:dyDescent="0.2">
      <c r="A116" s="43" t="s">
        <v>32</v>
      </c>
      <c r="B116" s="24" t="s">
        <v>158</v>
      </c>
      <c r="C116" s="139">
        <v>0.01</v>
      </c>
      <c r="D116" s="45" t="s">
        <v>11</v>
      </c>
      <c r="E116" s="36">
        <v>11192.68</v>
      </c>
      <c r="F116" s="37">
        <f>C116*E116</f>
        <v>111.9268</v>
      </c>
    </row>
    <row r="117" spans="1:6" s="38" customFormat="1" ht="13.15" customHeight="1" x14ac:dyDescent="0.2">
      <c r="A117" s="39"/>
      <c r="B117" s="157"/>
      <c r="C117" s="155"/>
      <c r="D117" s="156"/>
      <c r="E117" s="36"/>
      <c r="F117" s="37"/>
    </row>
    <row r="118" spans="1:6" s="38" customFormat="1" ht="15" x14ac:dyDescent="0.2">
      <c r="A118" s="43" t="s">
        <v>34</v>
      </c>
      <c r="B118" s="24" t="s">
        <v>159</v>
      </c>
      <c r="C118" s="139">
        <v>7.0000000000000007E-2</v>
      </c>
      <c r="D118" s="45" t="s">
        <v>11</v>
      </c>
      <c r="E118" s="36">
        <v>11192.68</v>
      </c>
      <c r="F118" s="37">
        <f>C118*E118</f>
        <v>783.48760000000004</v>
      </c>
    </row>
    <row r="119" spans="1:6" s="38" customFormat="1" ht="13.15" customHeight="1" x14ac:dyDescent="0.2">
      <c r="A119" s="39"/>
      <c r="B119" s="157"/>
      <c r="C119" s="155"/>
      <c r="D119" s="156"/>
      <c r="E119" s="36"/>
      <c r="F119" s="37"/>
    </row>
    <row r="120" spans="1:6" s="38" customFormat="1" ht="15" x14ac:dyDescent="0.2">
      <c r="A120" s="43" t="s">
        <v>37</v>
      </c>
      <c r="B120" s="24" t="s">
        <v>160</v>
      </c>
      <c r="C120" s="139">
        <v>0.04</v>
      </c>
      <c r="D120" s="45" t="s">
        <v>11</v>
      </c>
      <c r="E120" s="36">
        <v>11192.68</v>
      </c>
      <c r="F120" s="37">
        <f>C120*E120</f>
        <v>447.7072</v>
      </c>
    </row>
    <row r="121" spans="1:6" s="38" customFormat="1" ht="13.15" customHeight="1" x14ac:dyDescent="0.2">
      <c r="A121" s="39"/>
      <c r="B121" s="157"/>
      <c r="C121" s="155"/>
      <c r="D121" s="156"/>
      <c r="E121" s="36"/>
      <c r="F121" s="37"/>
    </row>
    <row r="122" spans="1:6" s="38" customFormat="1" ht="15" x14ac:dyDescent="0.2">
      <c r="A122" s="43" t="s">
        <v>39</v>
      </c>
      <c r="B122" s="24" t="s">
        <v>58</v>
      </c>
      <c r="C122" s="139">
        <v>1.81</v>
      </c>
      <c r="D122" s="45" t="s">
        <v>11</v>
      </c>
      <c r="E122" s="36">
        <v>11192.68</v>
      </c>
      <c r="F122" s="37">
        <f>C122*E122</f>
        <v>20258.750800000002</v>
      </c>
    </row>
    <row r="123" spans="1:6" s="38" customFormat="1" ht="13.15" customHeight="1" x14ac:dyDescent="0.2">
      <c r="A123" s="39"/>
      <c r="B123" s="157"/>
      <c r="C123" s="155"/>
      <c r="D123" s="156"/>
      <c r="E123" s="36"/>
      <c r="F123" s="37"/>
    </row>
    <row r="124" spans="1:6" s="38" customFormat="1" ht="15" x14ac:dyDescent="0.2">
      <c r="A124" s="43" t="s">
        <v>54</v>
      </c>
      <c r="B124" s="24" t="s">
        <v>59</v>
      </c>
      <c r="C124" s="139">
        <v>0.51</v>
      </c>
      <c r="D124" s="45" t="s">
        <v>11</v>
      </c>
      <c r="E124" s="36">
        <v>11192.68</v>
      </c>
      <c r="F124" s="37">
        <f>C124*E124</f>
        <v>5708.2668000000003</v>
      </c>
    </row>
    <row r="125" spans="1:6" s="38" customFormat="1" ht="13.15" customHeight="1" x14ac:dyDescent="0.2">
      <c r="A125" s="39"/>
      <c r="B125" s="157"/>
      <c r="C125" s="155"/>
      <c r="D125" s="156"/>
      <c r="E125" s="36"/>
      <c r="F125" s="37"/>
    </row>
    <row r="126" spans="1:6" s="38" customFormat="1" ht="15" x14ac:dyDescent="0.2">
      <c r="A126" s="43" t="s">
        <v>55</v>
      </c>
      <c r="B126" s="24" t="s">
        <v>60</v>
      </c>
      <c r="C126" s="139">
        <v>1.74</v>
      </c>
      <c r="D126" s="45" t="s">
        <v>11</v>
      </c>
      <c r="E126" s="36">
        <v>11192.68</v>
      </c>
      <c r="F126" s="37">
        <f>C126*E126</f>
        <v>19475.263200000001</v>
      </c>
    </row>
    <row r="127" spans="1:6" s="38" customFormat="1" ht="13.15" customHeight="1" x14ac:dyDescent="0.2">
      <c r="A127" s="39"/>
      <c r="B127" s="157"/>
      <c r="C127" s="155"/>
      <c r="D127" s="156"/>
      <c r="E127" s="36"/>
      <c r="F127" s="37"/>
    </row>
    <row r="128" spans="1:6" s="38" customFormat="1" ht="15" x14ac:dyDescent="0.2">
      <c r="A128" s="43" t="s">
        <v>56</v>
      </c>
      <c r="B128" s="24" t="s">
        <v>161</v>
      </c>
      <c r="C128" s="139">
        <v>0.26</v>
      </c>
      <c r="D128" s="45" t="s">
        <v>11</v>
      </c>
      <c r="E128" s="36">
        <v>11192.68</v>
      </c>
      <c r="F128" s="37">
        <f>C128*E128</f>
        <v>2910.0968000000003</v>
      </c>
    </row>
    <row r="129" spans="1:6" s="38" customFormat="1" ht="13.15" customHeight="1" x14ac:dyDescent="0.2">
      <c r="A129" s="39"/>
      <c r="B129" s="157"/>
      <c r="C129" s="155"/>
      <c r="D129" s="156"/>
      <c r="E129" s="36"/>
      <c r="F129" s="37"/>
    </row>
    <row r="130" spans="1:6" s="38" customFormat="1" ht="15" x14ac:dyDescent="0.2">
      <c r="A130" s="43" t="s">
        <v>57</v>
      </c>
      <c r="B130" s="24" t="s">
        <v>61</v>
      </c>
      <c r="C130" s="139">
        <v>4.37</v>
      </c>
      <c r="D130" s="45" t="s">
        <v>11</v>
      </c>
      <c r="E130" s="36">
        <v>11192.68</v>
      </c>
      <c r="F130" s="37">
        <f>C130*E130</f>
        <v>48912.011600000005</v>
      </c>
    </row>
    <row r="131" spans="1:6" s="38" customFormat="1" ht="13.15" customHeight="1" x14ac:dyDescent="0.2">
      <c r="A131" s="39"/>
      <c r="B131" s="157"/>
      <c r="C131" s="155"/>
      <c r="D131" s="156"/>
      <c r="E131" s="36"/>
      <c r="F131" s="37"/>
    </row>
    <row r="132" spans="1:6" s="38" customFormat="1" ht="15" x14ac:dyDescent="0.2">
      <c r="A132" s="43" t="s">
        <v>67</v>
      </c>
      <c r="B132" s="24" t="s">
        <v>62</v>
      </c>
      <c r="C132" s="139">
        <v>4.21</v>
      </c>
      <c r="D132" s="45" t="s">
        <v>11</v>
      </c>
      <c r="E132" s="36">
        <v>11192.68</v>
      </c>
      <c r="F132" s="37">
        <f>C132*E132</f>
        <v>47121.182800000002</v>
      </c>
    </row>
    <row r="133" spans="1:6" s="38" customFormat="1" ht="13.15" customHeight="1" x14ac:dyDescent="0.2">
      <c r="A133" s="39"/>
      <c r="B133" s="157"/>
      <c r="C133" s="155"/>
      <c r="D133" s="156"/>
      <c r="E133" s="36"/>
      <c r="F133" s="37"/>
    </row>
    <row r="134" spans="1:6" s="38" customFormat="1" ht="15" x14ac:dyDescent="0.2">
      <c r="A134" s="43" t="s">
        <v>69</v>
      </c>
      <c r="B134" s="24" t="s">
        <v>162</v>
      </c>
      <c r="C134" s="139">
        <v>1.63</v>
      </c>
      <c r="D134" s="45" t="s">
        <v>11</v>
      </c>
      <c r="E134" s="36">
        <v>11192.68</v>
      </c>
      <c r="F134" s="37">
        <f>C134*E134</f>
        <v>18244.0684</v>
      </c>
    </row>
    <row r="135" spans="1:6" s="38" customFormat="1" ht="13.15" customHeight="1" x14ac:dyDescent="0.2">
      <c r="A135" s="39"/>
      <c r="B135" s="157"/>
      <c r="C135" s="155"/>
      <c r="D135" s="156"/>
      <c r="E135" s="36"/>
      <c r="F135" s="37"/>
    </row>
    <row r="136" spans="1:6" s="38" customFormat="1" ht="15" x14ac:dyDescent="0.2">
      <c r="A136" s="43" t="s">
        <v>71</v>
      </c>
      <c r="B136" s="24" t="s">
        <v>63</v>
      </c>
      <c r="C136" s="139">
        <v>3.91</v>
      </c>
      <c r="D136" s="45" t="s">
        <v>11</v>
      </c>
      <c r="E136" s="36">
        <v>11192.68</v>
      </c>
      <c r="F136" s="37">
        <f>C136*E136</f>
        <v>43763.378800000006</v>
      </c>
    </row>
    <row r="137" spans="1:6" s="38" customFormat="1" ht="15" x14ac:dyDescent="0.2">
      <c r="A137" s="39"/>
      <c r="B137" s="41"/>
      <c r="C137" s="155"/>
      <c r="D137" s="156"/>
      <c r="E137" s="36"/>
      <c r="F137" s="37"/>
    </row>
    <row r="138" spans="1:6" s="38" customFormat="1" ht="15" x14ac:dyDescent="0.2">
      <c r="A138" s="48"/>
      <c r="B138" s="49"/>
      <c r="C138" s="50"/>
      <c r="D138" s="51"/>
      <c r="E138" s="52"/>
      <c r="F138" s="53"/>
    </row>
    <row r="139" spans="1:6" s="38" customFormat="1" ht="15" x14ac:dyDescent="0.2">
      <c r="A139" s="54"/>
      <c r="B139" s="55"/>
      <c r="C139" s="56" t="s">
        <v>147</v>
      </c>
      <c r="D139" s="56"/>
      <c r="E139" s="57" t="s">
        <v>135</v>
      </c>
      <c r="F139" s="58">
        <f>SUM(F94:F136)</f>
        <v>1085358.0982000001</v>
      </c>
    </row>
    <row r="140" spans="1:6" s="38" customFormat="1" ht="15" x14ac:dyDescent="0.2">
      <c r="A140" s="54"/>
      <c r="B140" s="55"/>
      <c r="C140" s="59"/>
      <c r="D140" s="60"/>
      <c r="E140" s="61"/>
      <c r="F140" s="62"/>
    </row>
    <row r="141" spans="1:6" s="38" customFormat="1" ht="15" x14ac:dyDescent="0.2">
      <c r="A141" s="39"/>
      <c r="B141" s="41"/>
      <c r="C141" s="155"/>
      <c r="D141" s="156"/>
      <c r="E141" s="36"/>
      <c r="F141" s="37"/>
    </row>
    <row r="142" spans="1:6" s="38" customFormat="1" ht="15" x14ac:dyDescent="0.2">
      <c r="A142" s="39"/>
      <c r="B142" s="42" t="s">
        <v>41</v>
      </c>
      <c r="C142" s="155"/>
      <c r="D142" s="156"/>
      <c r="E142" s="36"/>
      <c r="F142" s="37"/>
    </row>
    <row r="143" spans="1:6" s="38" customFormat="1" ht="15" x14ac:dyDescent="0.2">
      <c r="A143" s="39"/>
      <c r="B143" s="157"/>
      <c r="C143" s="155"/>
      <c r="D143" s="156"/>
      <c r="E143" s="36"/>
      <c r="F143" s="37"/>
    </row>
    <row r="144" spans="1:6" s="38" customFormat="1" ht="15" x14ac:dyDescent="0.2">
      <c r="A144" s="43" t="s">
        <v>10</v>
      </c>
      <c r="B144" s="24" t="s">
        <v>163</v>
      </c>
      <c r="C144" s="139">
        <v>2.97</v>
      </c>
      <c r="D144" s="45" t="s">
        <v>11</v>
      </c>
      <c r="E144" s="36">
        <v>11192.68</v>
      </c>
      <c r="F144" s="37">
        <f>C144*E144</f>
        <v>33242.259600000005</v>
      </c>
    </row>
    <row r="145" spans="1:6" s="38" customFormat="1" ht="15" x14ac:dyDescent="0.2">
      <c r="A145" s="39"/>
      <c r="B145" s="157"/>
      <c r="C145" s="155"/>
      <c r="D145" s="156"/>
      <c r="E145" s="36"/>
      <c r="F145" s="37"/>
    </row>
    <row r="146" spans="1:6" s="38" customFormat="1" ht="15" x14ac:dyDescent="0.2">
      <c r="A146" s="43" t="s">
        <v>12</v>
      </c>
      <c r="B146" s="24" t="s">
        <v>164</v>
      </c>
      <c r="C146" s="139">
        <v>3.84</v>
      </c>
      <c r="D146" s="45" t="s">
        <v>11</v>
      </c>
      <c r="E146" s="36">
        <v>11192.68</v>
      </c>
      <c r="F146" s="37">
        <f>C146*E146</f>
        <v>42979.891199999998</v>
      </c>
    </row>
    <row r="147" spans="1:6" s="38" customFormat="1" ht="15" x14ac:dyDescent="0.2">
      <c r="A147" s="39"/>
      <c r="B147" s="157"/>
      <c r="C147" s="155"/>
      <c r="D147" s="156"/>
      <c r="E147" s="36"/>
      <c r="F147" s="37"/>
    </row>
    <row r="148" spans="1:6" s="38" customFormat="1" ht="15" x14ac:dyDescent="0.2">
      <c r="A148" s="43" t="s">
        <v>14</v>
      </c>
      <c r="B148" s="24" t="s">
        <v>165</v>
      </c>
      <c r="C148" s="139">
        <v>2.41</v>
      </c>
      <c r="D148" s="45" t="s">
        <v>11</v>
      </c>
      <c r="E148" s="36">
        <v>11192.68</v>
      </c>
      <c r="F148" s="37">
        <f>C148*E148</f>
        <v>26974.358800000002</v>
      </c>
    </row>
    <row r="149" spans="1:6" s="38" customFormat="1" ht="15" x14ac:dyDescent="0.2">
      <c r="A149" s="39"/>
      <c r="B149" s="157"/>
      <c r="C149" s="155"/>
      <c r="D149" s="156"/>
      <c r="E149" s="36"/>
      <c r="F149" s="37"/>
    </row>
    <row r="150" spans="1:6" s="38" customFormat="1" ht="15" x14ac:dyDescent="0.2">
      <c r="A150" s="43" t="s">
        <v>16</v>
      </c>
      <c r="B150" s="24" t="s">
        <v>166</v>
      </c>
      <c r="C150" s="139">
        <v>0.33</v>
      </c>
      <c r="D150" s="45" t="s">
        <v>11</v>
      </c>
      <c r="E150" s="36">
        <v>11192.68</v>
      </c>
      <c r="F150" s="37">
        <f>C150*E150</f>
        <v>3693.5844000000002</v>
      </c>
    </row>
    <row r="151" spans="1:6" s="38" customFormat="1" ht="15" x14ac:dyDescent="0.2">
      <c r="A151" s="39"/>
      <c r="B151" s="157"/>
      <c r="C151" s="155"/>
      <c r="D151" s="156"/>
      <c r="E151" s="36"/>
      <c r="F151" s="37"/>
    </row>
    <row r="152" spans="1:6" s="38" customFormat="1" ht="15" x14ac:dyDescent="0.2">
      <c r="A152" s="43" t="s">
        <v>18</v>
      </c>
      <c r="B152" s="24" t="s">
        <v>64</v>
      </c>
      <c r="C152" s="139">
        <v>6.61</v>
      </c>
      <c r="D152" s="45" t="s">
        <v>11</v>
      </c>
      <c r="E152" s="36">
        <v>11192.68</v>
      </c>
      <c r="F152" s="37">
        <f>C152*E152</f>
        <v>73983.61480000001</v>
      </c>
    </row>
    <row r="153" spans="1:6" s="38" customFormat="1" ht="15" x14ac:dyDescent="0.2">
      <c r="A153" s="39"/>
      <c r="B153" s="157"/>
      <c r="C153" s="155"/>
      <c r="D153" s="156"/>
      <c r="E153" s="36"/>
      <c r="F153" s="37"/>
    </row>
    <row r="154" spans="1:6" s="38" customFormat="1" ht="15" x14ac:dyDescent="0.2">
      <c r="A154" s="43" t="s">
        <v>20</v>
      </c>
      <c r="B154" s="24" t="s">
        <v>65</v>
      </c>
      <c r="C154" s="139">
        <v>6.57</v>
      </c>
      <c r="D154" s="45" t="s">
        <v>11</v>
      </c>
      <c r="E154" s="36">
        <v>11192.68</v>
      </c>
      <c r="F154" s="37">
        <f>C154*E154</f>
        <v>73535.907600000006</v>
      </c>
    </row>
    <row r="155" spans="1:6" s="38" customFormat="1" ht="15" x14ac:dyDescent="0.2">
      <c r="A155" s="39"/>
      <c r="B155" s="157"/>
      <c r="C155" s="155"/>
      <c r="D155" s="156"/>
      <c r="E155" s="36"/>
      <c r="F155" s="37"/>
    </row>
    <row r="156" spans="1:6" s="38" customFormat="1" ht="15" x14ac:dyDescent="0.2">
      <c r="A156" s="43" t="s">
        <v>22</v>
      </c>
      <c r="B156" s="24" t="s">
        <v>17</v>
      </c>
      <c r="C156" s="139">
        <v>2.5099999999999998</v>
      </c>
      <c r="D156" s="45" t="s">
        <v>11</v>
      </c>
      <c r="E156" s="36">
        <v>11192.68</v>
      </c>
      <c r="F156" s="37">
        <f>C156*E156</f>
        <v>28093.626799999998</v>
      </c>
    </row>
    <row r="157" spans="1:6" s="38" customFormat="1" ht="13.15" customHeight="1" x14ac:dyDescent="0.2">
      <c r="A157" s="39"/>
      <c r="B157" s="157"/>
      <c r="C157" s="155"/>
      <c r="D157" s="156"/>
      <c r="E157" s="36"/>
      <c r="F157" s="37"/>
    </row>
    <row r="158" spans="1:6" s="38" customFormat="1" ht="15" x14ac:dyDescent="0.2">
      <c r="A158" s="43" t="s">
        <v>24</v>
      </c>
      <c r="B158" s="24" t="s">
        <v>66</v>
      </c>
      <c r="C158" s="139">
        <v>8.07</v>
      </c>
      <c r="D158" s="45" t="s">
        <v>11</v>
      </c>
      <c r="E158" s="36">
        <v>11192.68</v>
      </c>
      <c r="F158" s="37">
        <f>C158*E158</f>
        <v>90324.92760000001</v>
      </c>
    </row>
    <row r="159" spans="1:6" s="38" customFormat="1" ht="13.15" customHeight="1" x14ac:dyDescent="0.2">
      <c r="A159" s="39"/>
      <c r="B159" s="157"/>
      <c r="C159" s="155"/>
      <c r="D159" s="156"/>
      <c r="E159" s="36"/>
      <c r="F159" s="37"/>
    </row>
    <row r="160" spans="1:6" s="38" customFormat="1" ht="15" x14ac:dyDescent="0.2">
      <c r="A160" s="43" t="s">
        <v>26</v>
      </c>
      <c r="B160" s="24" t="s">
        <v>68</v>
      </c>
      <c r="C160" s="139">
        <v>10.47</v>
      </c>
      <c r="D160" s="45" t="s">
        <v>11</v>
      </c>
      <c r="E160" s="36">
        <v>11192.68</v>
      </c>
      <c r="F160" s="37">
        <f>C160*E160</f>
        <v>117187.35960000001</v>
      </c>
    </row>
    <row r="161" spans="1:6" s="38" customFormat="1" ht="13.15" customHeight="1" x14ac:dyDescent="0.2">
      <c r="A161" s="39"/>
      <c r="B161" s="157"/>
      <c r="C161" s="155"/>
      <c r="D161" s="156"/>
      <c r="E161" s="36"/>
      <c r="F161" s="37"/>
    </row>
    <row r="162" spans="1:6" s="38" customFormat="1" ht="15" x14ac:dyDescent="0.2">
      <c r="A162" s="43" t="s">
        <v>28</v>
      </c>
      <c r="B162" s="24" t="s">
        <v>70</v>
      </c>
      <c r="C162" s="139">
        <v>0.45</v>
      </c>
      <c r="D162" s="45" t="s">
        <v>11</v>
      </c>
      <c r="E162" s="36">
        <v>11192.68</v>
      </c>
      <c r="F162" s="37">
        <f>C162*E162</f>
        <v>5036.7060000000001</v>
      </c>
    </row>
    <row r="163" spans="1:6" s="38" customFormat="1" ht="13.15" customHeight="1" x14ac:dyDescent="0.2">
      <c r="A163" s="39"/>
      <c r="B163" s="157"/>
      <c r="C163" s="155"/>
      <c r="D163" s="156"/>
      <c r="E163" s="36"/>
      <c r="F163" s="37"/>
    </row>
    <row r="164" spans="1:6" s="38" customFormat="1" ht="15" x14ac:dyDescent="0.2">
      <c r="A164" s="43" t="s">
        <v>30</v>
      </c>
      <c r="B164" s="24" t="s">
        <v>72</v>
      </c>
      <c r="C164" s="139">
        <v>7.61</v>
      </c>
      <c r="D164" s="45" t="s">
        <v>11</v>
      </c>
      <c r="E164" s="36">
        <v>11192.68</v>
      </c>
      <c r="F164" s="37">
        <f>C164*E164</f>
        <v>85176.294800000003</v>
      </c>
    </row>
    <row r="165" spans="1:6" s="38" customFormat="1" ht="13.15" customHeight="1" x14ac:dyDescent="0.2">
      <c r="A165" s="39"/>
      <c r="B165" s="157"/>
      <c r="C165" s="155"/>
      <c r="D165" s="156"/>
      <c r="E165" s="36"/>
      <c r="F165" s="37"/>
    </row>
    <row r="166" spans="1:6" s="38" customFormat="1" ht="16.5" customHeight="1" x14ac:dyDescent="0.2">
      <c r="A166" s="43" t="s">
        <v>32</v>
      </c>
      <c r="B166" s="24" t="s">
        <v>73</v>
      </c>
      <c r="C166" s="139">
        <v>3.04</v>
      </c>
      <c r="D166" s="45" t="s">
        <v>11</v>
      </c>
      <c r="E166" s="36">
        <v>11192.68</v>
      </c>
      <c r="F166" s="37">
        <f>C166*E166</f>
        <v>34025.747199999998</v>
      </c>
    </row>
    <row r="167" spans="1:6" s="38" customFormat="1" ht="13.15" customHeight="1" x14ac:dyDescent="0.2">
      <c r="A167" s="39"/>
      <c r="B167" s="157"/>
      <c r="C167" s="155"/>
      <c r="D167" s="156"/>
      <c r="E167" s="36"/>
      <c r="F167" s="37"/>
    </row>
    <row r="168" spans="1:6" s="38" customFormat="1" ht="15" x14ac:dyDescent="0.2">
      <c r="A168" s="43" t="s">
        <v>34</v>
      </c>
      <c r="B168" s="24" t="s">
        <v>167</v>
      </c>
      <c r="C168" s="139">
        <v>0.25</v>
      </c>
      <c r="D168" s="45" t="s">
        <v>11</v>
      </c>
      <c r="E168" s="36">
        <v>11192.68</v>
      </c>
      <c r="F168" s="37">
        <f>C168*E168</f>
        <v>2798.17</v>
      </c>
    </row>
    <row r="169" spans="1:6" s="38" customFormat="1" ht="13.15" customHeight="1" x14ac:dyDescent="0.2">
      <c r="A169" s="39"/>
      <c r="B169" s="157"/>
      <c r="C169" s="155"/>
      <c r="D169" s="156"/>
      <c r="E169" s="36"/>
      <c r="F169" s="37"/>
    </row>
    <row r="170" spans="1:6" s="38" customFormat="1" ht="15" x14ac:dyDescent="0.2">
      <c r="A170" s="43" t="s">
        <v>37</v>
      </c>
      <c r="B170" s="24" t="s">
        <v>74</v>
      </c>
      <c r="C170" s="139">
        <v>2.87</v>
      </c>
      <c r="D170" s="45" t="s">
        <v>11</v>
      </c>
      <c r="E170" s="36">
        <v>11192.68</v>
      </c>
      <c r="F170" s="37">
        <f>C170*E170</f>
        <v>32122.991600000001</v>
      </c>
    </row>
    <row r="171" spans="1:6" s="38" customFormat="1" ht="13.15" customHeight="1" x14ac:dyDescent="0.2">
      <c r="A171" s="39"/>
      <c r="B171" s="157"/>
      <c r="C171" s="155"/>
      <c r="D171" s="156"/>
      <c r="E171" s="36"/>
      <c r="F171" s="37"/>
    </row>
    <row r="172" spans="1:6" s="38" customFormat="1" ht="15" x14ac:dyDescent="0.2">
      <c r="A172" s="43" t="s">
        <v>39</v>
      </c>
      <c r="B172" s="24" t="s">
        <v>75</v>
      </c>
      <c r="C172" s="139">
        <v>34.340000000000003</v>
      </c>
      <c r="D172" s="45" t="s">
        <v>11</v>
      </c>
      <c r="E172" s="36">
        <v>11192.68</v>
      </c>
      <c r="F172" s="37">
        <f>C172*E172</f>
        <v>384356.63120000006</v>
      </c>
    </row>
    <row r="173" spans="1:6" s="38" customFormat="1" ht="13.15" customHeight="1" x14ac:dyDescent="0.2">
      <c r="A173" s="39"/>
      <c r="B173" s="157"/>
      <c r="C173" s="155"/>
      <c r="D173" s="156"/>
      <c r="E173" s="36"/>
      <c r="F173" s="37"/>
    </row>
    <row r="174" spans="1:6" s="38" customFormat="1" ht="15" x14ac:dyDescent="0.2">
      <c r="A174" s="43" t="s">
        <v>54</v>
      </c>
      <c r="B174" s="24" t="s">
        <v>168</v>
      </c>
      <c r="C174" s="139">
        <v>0.27</v>
      </c>
      <c r="D174" s="45" t="s">
        <v>11</v>
      </c>
      <c r="E174" s="36">
        <v>11192.68</v>
      </c>
      <c r="F174" s="37">
        <f>C174*E174</f>
        <v>3022.0236000000004</v>
      </c>
    </row>
    <row r="175" spans="1:6" s="38" customFormat="1" ht="13.15" customHeight="1" x14ac:dyDescent="0.2">
      <c r="A175" s="39"/>
      <c r="B175" s="157"/>
      <c r="C175" s="155"/>
      <c r="D175" s="156"/>
      <c r="E175" s="36"/>
      <c r="F175" s="37"/>
    </row>
    <row r="176" spans="1:6" s="38" customFormat="1" ht="15" x14ac:dyDescent="0.2">
      <c r="A176" s="43" t="s">
        <v>55</v>
      </c>
      <c r="B176" s="24" t="s">
        <v>19</v>
      </c>
      <c r="C176" s="139">
        <v>49.56</v>
      </c>
      <c r="D176" s="45" t="s">
        <v>11</v>
      </c>
      <c r="E176" s="36">
        <v>11192.68</v>
      </c>
      <c r="F176" s="37">
        <f>C176*E176</f>
        <v>554709.22080000001</v>
      </c>
    </row>
    <row r="177" spans="1:6" s="38" customFormat="1" ht="13.15" customHeight="1" x14ac:dyDescent="0.2">
      <c r="A177" s="39"/>
      <c r="B177" s="157"/>
      <c r="C177" s="155"/>
      <c r="D177" s="156"/>
      <c r="E177" s="36"/>
      <c r="F177" s="37"/>
    </row>
    <row r="178" spans="1:6" s="38" customFormat="1" ht="15" x14ac:dyDescent="0.2">
      <c r="A178" s="43" t="s">
        <v>56</v>
      </c>
      <c r="B178" s="24" t="s">
        <v>169</v>
      </c>
      <c r="C178" s="139">
        <v>16.350000000000001</v>
      </c>
      <c r="D178" s="45" t="s">
        <v>11</v>
      </c>
      <c r="E178" s="36">
        <v>11192.68</v>
      </c>
      <c r="F178" s="37">
        <f>C178*E178</f>
        <v>183000.31800000003</v>
      </c>
    </row>
    <row r="179" spans="1:6" s="38" customFormat="1" ht="13.15" customHeight="1" x14ac:dyDescent="0.2">
      <c r="A179" s="39"/>
      <c r="B179" s="157"/>
      <c r="C179" s="155"/>
      <c r="D179" s="156"/>
      <c r="E179" s="36"/>
      <c r="F179" s="37"/>
    </row>
    <row r="180" spans="1:6" s="38" customFormat="1" ht="15" x14ac:dyDescent="0.2">
      <c r="A180" s="43" t="s">
        <v>57</v>
      </c>
      <c r="B180" s="24" t="s">
        <v>76</v>
      </c>
      <c r="C180" s="139">
        <v>2.96</v>
      </c>
      <c r="D180" s="45" t="s">
        <v>11</v>
      </c>
      <c r="E180" s="36">
        <v>11192.68</v>
      </c>
      <c r="F180" s="37">
        <f>C180*E180</f>
        <v>33130.332800000004</v>
      </c>
    </row>
    <row r="181" spans="1:6" s="38" customFormat="1" ht="13.15" customHeight="1" x14ac:dyDescent="0.2">
      <c r="A181" s="39"/>
      <c r="B181" s="157"/>
      <c r="C181" s="155"/>
      <c r="D181" s="156"/>
      <c r="E181" s="36"/>
      <c r="F181" s="37"/>
    </row>
    <row r="182" spans="1:6" s="38" customFormat="1" ht="15" x14ac:dyDescent="0.2">
      <c r="A182" s="43" t="s">
        <v>67</v>
      </c>
      <c r="B182" s="24" t="s">
        <v>170</v>
      </c>
      <c r="C182" s="139">
        <v>32.29</v>
      </c>
      <c r="D182" s="45" t="s">
        <v>11</v>
      </c>
      <c r="E182" s="36">
        <v>11192.68</v>
      </c>
      <c r="F182" s="37">
        <f>C182*E182</f>
        <v>361411.6372</v>
      </c>
    </row>
    <row r="183" spans="1:6" s="38" customFormat="1" ht="15" x14ac:dyDescent="0.2">
      <c r="A183" s="39"/>
      <c r="B183" s="157"/>
      <c r="C183" s="155"/>
      <c r="D183" s="156"/>
      <c r="E183" s="36"/>
      <c r="F183" s="37"/>
    </row>
    <row r="184" spans="1:6" s="38" customFormat="1" ht="15" x14ac:dyDescent="0.2">
      <c r="A184" s="43" t="s">
        <v>69</v>
      </c>
      <c r="B184" s="24" t="s">
        <v>77</v>
      </c>
      <c r="C184" s="139">
        <v>26.64</v>
      </c>
      <c r="D184" s="45" t="s">
        <v>11</v>
      </c>
      <c r="E184" s="36">
        <v>11192.68</v>
      </c>
      <c r="F184" s="37">
        <f>C184*E184</f>
        <v>298172.9952</v>
      </c>
    </row>
    <row r="185" spans="1:6" s="38" customFormat="1" ht="15" x14ac:dyDescent="0.2">
      <c r="A185" s="39"/>
      <c r="B185" s="157"/>
      <c r="C185" s="155"/>
      <c r="D185" s="156"/>
      <c r="E185" s="36"/>
      <c r="F185" s="37"/>
    </row>
    <row r="186" spans="1:6" s="38" customFormat="1" ht="15" x14ac:dyDescent="0.2">
      <c r="A186" s="43" t="s">
        <v>71</v>
      </c>
      <c r="B186" s="24" t="s">
        <v>171</v>
      </c>
      <c r="C186" s="139">
        <v>0.47</v>
      </c>
      <c r="D186" s="45" t="s">
        <v>11</v>
      </c>
      <c r="E186" s="36">
        <v>11192.68</v>
      </c>
      <c r="F186" s="37">
        <f>C186*E186</f>
        <v>5260.5595999999996</v>
      </c>
    </row>
    <row r="187" spans="1:6" s="38" customFormat="1" ht="15" x14ac:dyDescent="0.2">
      <c r="A187" s="39"/>
      <c r="B187" s="41"/>
      <c r="C187" s="155"/>
      <c r="D187" s="156"/>
      <c r="E187" s="36"/>
      <c r="F187" s="37"/>
    </row>
    <row r="188" spans="1:6" s="38" customFormat="1" ht="15" x14ac:dyDescent="0.2">
      <c r="A188" s="48"/>
      <c r="B188" s="49"/>
      <c r="C188" s="50"/>
      <c r="D188" s="51"/>
      <c r="E188" s="52"/>
      <c r="F188" s="53"/>
    </row>
    <row r="189" spans="1:6" s="38" customFormat="1" ht="15" x14ac:dyDescent="0.2">
      <c r="A189" s="54"/>
      <c r="B189" s="55"/>
      <c r="C189" s="56" t="s">
        <v>147</v>
      </c>
      <c r="D189" s="56"/>
      <c r="E189" s="57" t="s">
        <v>135</v>
      </c>
      <c r="F189" s="58">
        <f>SUM(F144:F186)</f>
        <v>2472239.1583999996</v>
      </c>
    </row>
    <row r="190" spans="1:6" s="38" customFormat="1" ht="15" x14ac:dyDescent="0.2">
      <c r="A190" s="54"/>
      <c r="B190" s="55"/>
      <c r="C190" s="59"/>
      <c r="D190" s="60"/>
      <c r="E190" s="61"/>
      <c r="F190" s="62"/>
    </row>
    <row r="191" spans="1:6" s="38" customFormat="1" ht="15" x14ac:dyDescent="0.2">
      <c r="A191" s="39"/>
      <c r="B191" s="41"/>
      <c r="C191" s="155"/>
      <c r="D191" s="156"/>
      <c r="E191" s="36"/>
      <c r="F191" s="37"/>
    </row>
    <row r="192" spans="1:6" s="38" customFormat="1" ht="15" x14ac:dyDescent="0.2">
      <c r="A192" s="39"/>
      <c r="B192" s="42" t="s">
        <v>41</v>
      </c>
      <c r="C192" s="155"/>
      <c r="D192" s="156"/>
      <c r="E192" s="36"/>
      <c r="F192" s="37"/>
    </row>
    <row r="193" spans="1:6" s="38" customFormat="1" ht="15" x14ac:dyDescent="0.2">
      <c r="A193" s="39"/>
      <c r="B193" s="157"/>
      <c r="C193" s="155"/>
      <c r="D193" s="156"/>
      <c r="E193" s="36"/>
      <c r="F193" s="37"/>
    </row>
    <row r="194" spans="1:6" s="38" customFormat="1" ht="15" x14ac:dyDescent="0.2">
      <c r="A194" s="43" t="s">
        <v>10</v>
      </c>
      <c r="B194" s="24" t="s">
        <v>78</v>
      </c>
      <c r="C194" s="139">
        <v>5.5</v>
      </c>
      <c r="D194" s="45" t="s">
        <v>11</v>
      </c>
      <c r="E194" s="36">
        <v>11192.68</v>
      </c>
      <c r="F194" s="37">
        <f>C194*E194</f>
        <v>61559.740000000005</v>
      </c>
    </row>
    <row r="195" spans="1:6" s="38" customFormat="1" ht="15" x14ac:dyDescent="0.2">
      <c r="A195" s="39"/>
      <c r="B195" s="157"/>
      <c r="C195" s="155"/>
      <c r="D195" s="156"/>
      <c r="E195" s="36"/>
      <c r="F195" s="37"/>
    </row>
    <row r="196" spans="1:6" s="38" customFormat="1" ht="15" x14ac:dyDescent="0.2">
      <c r="A196" s="43" t="s">
        <v>12</v>
      </c>
      <c r="B196" s="24" t="s">
        <v>79</v>
      </c>
      <c r="C196" s="139">
        <v>42.64</v>
      </c>
      <c r="D196" s="45" t="s">
        <v>11</v>
      </c>
      <c r="E196" s="36">
        <v>11192.68</v>
      </c>
      <c r="F196" s="37">
        <f>C196*E196</f>
        <v>477255.87520000001</v>
      </c>
    </row>
    <row r="197" spans="1:6" s="38" customFormat="1" ht="15" x14ac:dyDescent="0.2">
      <c r="A197" s="39"/>
      <c r="B197" s="157"/>
      <c r="C197" s="155"/>
      <c r="D197" s="156"/>
      <c r="E197" s="36"/>
      <c r="F197" s="37"/>
    </row>
    <row r="198" spans="1:6" s="38" customFormat="1" ht="15" x14ac:dyDescent="0.2">
      <c r="A198" s="43" t="s">
        <v>14</v>
      </c>
      <c r="B198" s="24" t="s">
        <v>21</v>
      </c>
      <c r="C198" s="139">
        <v>135.15</v>
      </c>
      <c r="D198" s="45" t="s">
        <v>11</v>
      </c>
      <c r="E198" s="36">
        <v>11192.68</v>
      </c>
      <c r="F198" s="37">
        <f>C198*E198</f>
        <v>1512690.702</v>
      </c>
    </row>
    <row r="199" spans="1:6" s="38" customFormat="1" ht="15" x14ac:dyDescent="0.2">
      <c r="A199" s="39"/>
      <c r="B199" s="157"/>
      <c r="C199" s="155"/>
      <c r="D199" s="156"/>
      <c r="E199" s="36"/>
      <c r="F199" s="37"/>
    </row>
    <row r="200" spans="1:6" s="38" customFormat="1" ht="15" x14ac:dyDescent="0.2">
      <c r="A200" s="43" t="s">
        <v>16</v>
      </c>
      <c r="B200" s="24" t="s">
        <v>172</v>
      </c>
      <c r="C200" s="139">
        <v>48.4</v>
      </c>
      <c r="D200" s="45" t="s">
        <v>11</v>
      </c>
      <c r="E200" s="36">
        <v>11192.68</v>
      </c>
      <c r="F200" s="37">
        <f>C200*E200</f>
        <v>541725.71199999994</v>
      </c>
    </row>
    <row r="201" spans="1:6" s="38" customFormat="1" ht="15" x14ac:dyDescent="0.2">
      <c r="A201" s="39"/>
      <c r="B201" s="157"/>
      <c r="C201" s="155"/>
      <c r="D201" s="156"/>
      <c r="E201" s="36"/>
      <c r="F201" s="37"/>
    </row>
    <row r="202" spans="1:6" s="38" customFormat="1" ht="15" x14ac:dyDescent="0.2">
      <c r="A202" s="43" t="s">
        <v>18</v>
      </c>
      <c r="B202" s="24" t="s">
        <v>80</v>
      </c>
      <c r="C202" s="139">
        <v>65.37</v>
      </c>
      <c r="D202" s="45" t="s">
        <v>11</v>
      </c>
      <c r="E202" s="36">
        <v>11192.68</v>
      </c>
      <c r="F202" s="37">
        <f>C202*E202</f>
        <v>731665.49160000007</v>
      </c>
    </row>
    <row r="203" spans="1:6" s="38" customFormat="1" ht="15" x14ac:dyDescent="0.2">
      <c r="A203" s="39"/>
      <c r="B203" s="157"/>
      <c r="C203" s="155"/>
      <c r="D203" s="156"/>
      <c r="E203" s="36"/>
      <c r="F203" s="37"/>
    </row>
    <row r="204" spans="1:6" s="38" customFormat="1" ht="15" x14ac:dyDescent="0.2">
      <c r="A204" s="43" t="s">
        <v>20</v>
      </c>
      <c r="B204" s="24" t="s">
        <v>81</v>
      </c>
      <c r="C204" s="139">
        <v>43.19</v>
      </c>
      <c r="D204" s="45" t="s">
        <v>11</v>
      </c>
      <c r="E204" s="36">
        <v>11192.68</v>
      </c>
      <c r="F204" s="37">
        <f>C204*E204</f>
        <v>483411.8492</v>
      </c>
    </row>
    <row r="205" spans="1:6" s="38" customFormat="1" ht="13.15" customHeight="1" x14ac:dyDescent="0.2">
      <c r="A205" s="39"/>
      <c r="B205" s="157"/>
      <c r="C205" s="155"/>
      <c r="D205" s="156"/>
      <c r="E205" s="36"/>
      <c r="F205" s="37"/>
    </row>
    <row r="206" spans="1:6" s="38" customFormat="1" ht="15" x14ac:dyDescent="0.2">
      <c r="A206" s="43" t="s">
        <v>22</v>
      </c>
      <c r="B206" s="24" t="s">
        <v>82</v>
      </c>
      <c r="C206" s="139">
        <v>4.6100000000000003</v>
      </c>
      <c r="D206" s="45" t="s">
        <v>11</v>
      </c>
      <c r="E206" s="36">
        <v>11192.68</v>
      </c>
      <c r="F206" s="37">
        <f>C206*E206</f>
        <v>51598.254800000002</v>
      </c>
    </row>
    <row r="207" spans="1:6" s="38" customFormat="1" ht="13.15" customHeight="1" x14ac:dyDescent="0.2">
      <c r="A207" s="39"/>
      <c r="B207" s="157"/>
      <c r="C207" s="155"/>
      <c r="D207" s="156"/>
      <c r="E207" s="36"/>
      <c r="F207" s="37"/>
    </row>
    <row r="208" spans="1:6" s="38" customFormat="1" ht="15" x14ac:dyDescent="0.2">
      <c r="A208" s="43" t="s">
        <v>24</v>
      </c>
      <c r="B208" s="24" t="s">
        <v>173</v>
      </c>
      <c r="C208" s="139">
        <v>74.25</v>
      </c>
      <c r="D208" s="45" t="s">
        <v>11</v>
      </c>
      <c r="E208" s="36">
        <v>11192.68</v>
      </c>
      <c r="F208" s="37">
        <f>C208*E208</f>
        <v>831056.49</v>
      </c>
    </row>
    <row r="209" spans="1:6" s="38" customFormat="1" ht="13.15" customHeight="1" x14ac:dyDescent="0.2">
      <c r="A209" s="39"/>
      <c r="B209" s="157"/>
      <c r="C209" s="155"/>
      <c r="D209" s="156"/>
      <c r="E209" s="36"/>
      <c r="F209" s="37"/>
    </row>
    <row r="210" spans="1:6" s="38" customFormat="1" ht="15" x14ac:dyDescent="0.2">
      <c r="A210" s="43" t="s">
        <v>26</v>
      </c>
      <c r="B210" s="24" t="s">
        <v>174</v>
      </c>
      <c r="C210" s="139">
        <v>19.829999999999998</v>
      </c>
      <c r="D210" s="45" t="s">
        <v>11</v>
      </c>
      <c r="E210" s="36">
        <v>11192.68</v>
      </c>
      <c r="F210" s="37">
        <f>C210*E210</f>
        <v>221950.84439999997</v>
      </c>
    </row>
    <row r="211" spans="1:6" s="38" customFormat="1" ht="13.15" customHeight="1" x14ac:dyDescent="0.2">
      <c r="A211" s="39"/>
      <c r="B211" s="157"/>
      <c r="C211" s="155"/>
      <c r="D211" s="156"/>
      <c r="E211" s="36"/>
      <c r="F211" s="37"/>
    </row>
    <row r="212" spans="1:6" s="38" customFormat="1" ht="15" x14ac:dyDescent="0.2">
      <c r="A212" s="43" t="s">
        <v>28</v>
      </c>
      <c r="B212" s="24" t="s">
        <v>175</v>
      </c>
      <c r="C212" s="139">
        <v>0.21</v>
      </c>
      <c r="D212" s="45" t="s">
        <v>11</v>
      </c>
      <c r="E212" s="36">
        <v>11192.68</v>
      </c>
      <c r="F212" s="37">
        <f>C212*E212</f>
        <v>2350.4627999999998</v>
      </c>
    </row>
    <row r="213" spans="1:6" s="38" customFormat="1" ht="13.15" customHeight="1" x14ac:dyDescent="0.2">
      <c r="A213" s="39"/>
      <c r="B213" s="157"/>
      <c r="C213" s="155"/>
      <c r="D213" s="156"/>
      <c r="E213" s="36"/>
      <c r="F213" s="37"/>
    </row>
    <row r="214" spans="1:6" s="38" customFormat="1" ht="15" x14ac:dyDescent="0.2">
      <c r="A214" s="43" t="s">
        <v>30</v>
      </c>
      <c r="B214" s="24" t="s">
        <v>176</v>
      </c>
      <c r="C214" s="139">
        <v>0.96</v>
      </c>
      <c r="D214" s="45" t="s">
        <v>11</v>
      </c>
      <c r="E214" s="36">
        <v>11192.68</v>
      </c>
      <c r="F214" s="37">
        <f>C214*E214</f>
        <v>10744.9728</v>
      </c>
    </row>
    <row r="215" spans="1:6" s="38" customFormat="1" ht="13.15" customHeight="1" x14ac:dyDescent="0.2">
      <c r="A215" s="39"/>
      <c r="B215" s="157"/>
      <c r="C215" s="155"/>
      <c r="D215" s="156"/>
      <c r="E215" s="36"/>
      <c r="F215" s="37"/>
    </row>
    <row r="216" spans="1:6" s="38" customFormat="1" ht="15" x14ac:dyDescent="0.2">
      <c r="A216" s="43" t="s">
        <v>32</v>
      </c>
      <c r="B216" s="24" t="s">
        <v>83</v>
      </c>
      <c r="C216" s="139">
        <v>122.85</v>
      </c>
      <c r="D216" s="45" t="s">
        <v>11</v>
      </c>
      <c r="E216" s="36">
        <v>11192.68</v>
      </c>
      <c r="F216" s="37">
        <f>C216*E216</f>
        <v>1375020.7379999999</v>
      </c>
    </row>
    <row r="217" spans="1:6" s="38" customFormat="1" ht="13.15" customHeight="1" x14ac:dyDescent="0.2">
      <c r="A217" s="39"/>
      <c r="B217" s="157"/>
      <c r="C217" s="155"/>
      <c r="D217" s="156"/>
      <c r="E217" s="36"/>
      <c r="F217" s="37"/>
    </row>
    <row r="218" spans="1:6" s="38" customFormat="1" ht="15" x14ac:dyDescent="0.2">
      <c r="A218" s="43" t="s">
        <v>34</v>
      </c>
      <c r="B218" s="24" t="s">
        <v>84</v>
      </c>
      <c r="C218" s="139">
        <v>85.35</v>
      </c>
      <c r="D218" s="45" t="s">
        <v>11</v>
      </c>
      <c r="E218" s="36">
        <v>11192.68</v>
      </c>
      <c r="F218" s="37">
        <f>C218*E218</f>
        <v>955295.23800000001</v>
      </c>
    </row>
    <row r="219" spans="1:6" s="38" customFormat="1" ht="13.15" customHeight="1" x14ac:dyDescent="0.2">
      <c r="A219" s="39"/>
      <c r="B219" s="157"/>
      <c r="C219" s="155"/>
      <c r="D219" s="156"/>
      <c r="E219" s="36"/>
      <c r="F219" s="37"/>
    </row>
    <row r="220" spans="1:6" s="38" customFormat="1" ht="15" x14ac:dyDescent="0.2">
      <c r="A220" s="43" t="s">
        <v>37</v>
      </c>
      <c r="B220" s="24" t="s">
        <v>25</v>
      </c>
      <c r="C220" s="139">
        <v>171.99</v>
      </c>
      <c r="D220" s="45" t="s">
        <v>11</v>
      </c>
      <c r="E220" s="36">
        <v>11192.68</v>
      </c>
      <c r="F220" s="37">
        <f>C220*E220</f>
        <v>1925029.0332000002</v>
      </c>
    </row>
    <row r="221" spans="1:6" s="38" customFormat="1" ht="13.15" customHeight="1" x14ac:dyDescent="0.2">
      <c r="A221" s="39"/>
      <c r="B221" s="157"/>
      <c r="C221" s="155"/>
      <c r="D221" s="156"/>
      <c r="E221" s="36"/>
      <c r="F221" s="37"/>
    </row>
    <row r="222" spans="1:6" s="38" customFormat="1" ht="15" x14ac:dyDescent="0.2">
      <c r="A222" s="43" t="s">
        <v>39</v>
      </c>
      <c r="B222" s="24" t="s">
        <v>85</v>
      </c>
      <c r="C222" s="139">
        <v>1.32</v>
      </c>
      <c r="D222" s="45" t="s">
        <v>11</v>
      </c>
      <c r="E222" s="36">
        <v>11192.68</v>
      </c>
      <c r="F222" s="37">
        <f>C222*E222</f>
        <v>14774.337600000001</v>
      </c>
    </row>
    <row r="223" spans="1:6" s="38" customFormat="1" ht="13.15" customHeight="1" x14ac:dyDescent="0.2">
      <c r="A223" s="39"/>
      <c r="B223" s="157"/>
      <c r="C223" s="155"/>
      <c r="D223" s="156"/>
      <c r="E223" s="36"/>
      <c r="F223" s="37"/>
    </row>
    <row r="224" spans="1:6" s="38" customFormat="1" ht="15" x14ac:dyDescent="0.2">
      <c r="A224" s="43" t="s">
        <v>54</v>
      </c>
      <c r="B224" s="24" t="s">
        <v>177</v>
      </c>
      <c r="C224" s="139">
        <v>0.26</v>
      </c>
      <c r="D224" s="45" t="s">
        <v>11</v>
      </c>
      <c r="E224" s="36">
        <v>11192.68</v>
      </c>
      <c r="F224" s="37">
        <f>C224*E224</f>
        <v>2910.0968000000003</v>
      </c>
    </row>
    <row r="225" spans="1:6" s="38" customFormat="1" ht="13.15" customHeight="1" x14ac:dyDescent="0.2">
      <c r="A225" s="39"/>
      <c r="B225" s="157"/>
      <c r="C225" s="155"/>
      <c r="D225" s="156"/>
      <c r="E225" s="36"/>
      <c r="F225" s="37"/>
    </row>
    <row r="226" spans="1:6" s="38" customFormat="1" ht="15" x14ac:dyDescent="0.2">
      <c r="A226" s="43" t="s">
        <v>55</v>
      </c>
      <c r="B226" s="24" t="s">
        <v>178</v>
      </c>
      <c r="C226" s="139">
        <v>2.04</v>
      </c>
      <c r="D226" s="45" t="s">
        <v>11</v>
      </c>
      <c r="E226" s="36">
        <v>11192.68</v>
      </c>
      <c r="F226" s="37">
        <f>C226*E226</f>
        <v>22833.067200000001</v>
      </c>
    </row>
    <row r="227" spans="1:6" s="38" customFormat="1" ht="13.15" customHeight="1" x14ac:dyDescent="0.2">
      <c r="A227" s="39"/>
      <c r="B227" s="157"/>
      <c r="C227" s="155"/>
      <c r="D227" s="156"/>
      <c r="E227" s="36"/>
      <c r="F227" s="37"/>
    </row>
    <row r="228" spans="1:6" s="38" customFormat="1" ht="15" x14ac:dyDescent="0.2">
      <c r="A228" s="43" t="s">
        <v>56</v>
      </c>
      <c r="B228" s="24" t="s">
        <v>86</v>
      </c>
      <c r="C228" s="139">
        <v>0.93</v>
      </c>
      <c r="D228" s="45" t="s">
        <v>11</v>
      </c>
      <c r="E228" s="36">
        <v>11192.68</v>
      </c>
      <c r="F228" s="37">
        <f>C228*E228</f>
        <v>10409.192400000002</v>
      </c>
    </row>
    <row r="229" spans="1:6" s="38" customFormat="1" ht="15" x14ac:dyDescent="0.2">
      <c r="A229" s="39"/>
      <c r="B229" s="157"/>
      <c r="C229" s="155"/>
      <c r="D229" s="156"/>
      <c r="E229" s="36"/>
      <c r="F229" s="37"/>
    </row>
    <row r="230" spans="1:6" s="38" customFormat="1" ht="15" x14ac:dyDescent="0.2">
      <c r="A230" s="43" t="s">
        <v>57</v>
      </c>
      <c r="B230" s="24" t="s">
        <v>87</v>
      </c>
      <c r="C230" s="139">
        <v>14.34</v>
      </c>
      <c r="D230" s="45" t="s">
        <v>11</v>
      </c>
      <c r="E230" s="36">
        <v>11192.68</v>
      </c>
      <c r="F230" s="37">
        <f>C230*E230</f>
        <v>160503.0312</v>
      </c>
    </row>
    <row r="231" spans="1:6" s="38" customFormat="1" ht="15" x14ac:dyDescent="0.2">
      <c r="A231" s="39"/>
      <c r="B231" s="157"/>
      <c r="C231" s="155"/>
      <c r="D231" s="156"/>
      <c r="E231" s="36"/>
      <c r="F231" s="37"/>
    </row>
    <row r="232" spans="1:6" s="38" customFormat="1" ht="15" x14ac:dyDescent="0.2">
      <c r="A232" s="43" t="s">
        <v>67</v>
      </c>
      <c r="B232" s="24" t="s">
        <v>179</v>
      </c>
      <c r="C232" s="139">
        <v>65.09</v>
      </c>
      <c r="D232" s="45" t="s">
        <v>11</v>
      </c>
      <c r="E232" s="36">
        <v>11192.68</v>
      </c>
      <c r="F232" s="37">
        <f>C232*E232</f>
        <v>728531.54120000009</v>
      </c>
    </row>
    <row r="233" spans="1:6" s="38" customFormat="1" ht="15" x14ac:dyDescent="0.2">
      <c r="A233" s="39"/>
      <c r="B233" s="157"/>
      <c r="C233" s="155"/>
      <c r="D233" s="156"/>
      <c r="E233" s="36"/>
      <c r="F233" s="37"/>
    </row>
    <row r="234" spans="1:6" s="38" customFormat="1" ht="15" x14ac:dyDescent="0.2">
      <c r="A234" s="43" t="s">
        <v>69</v>
      </c>
      <c r="B234" s="24" t="s">
        <v>180</v>
      </c>
      <c r="C234" s="139">
        <v>4.66</v>
      </c>
      <c r="D234" s="45" t="s">
        <v>11</v>
      </c>
      <c r="E234" s="36">
        <v>11192.68</v>
      </c>
      <c r="F234" s="37">
        <f>C234*E234</f>
        <v>52157.888800000001</v>
      </c>
    </row>
    <row r="235" spans="1:6" s="38" customFormat="1" ht="15" x14ac:dyDescent="0.2">
      <c r="A235" s="39"/>
      <c r="B235" s="157"/>
      <c r="C235" s="155"/>
      <c r="D235" s="156"/>
      <c r="E235" s="36"/>
      <c r="F235" s="37"/>
    </row>
    <row r="236" spans="1:6" s="38" customFormat="1" ht="15" x14ac:dyDescent="0.2">
      <c r="A236" s="43" t="s">
        <v>71</v>
      </c>
      <c r="B236" s="24" t="s">
        <v>88</v>
      </c>
      <c r="C236" s="139">
        <v>3.26</v>
      </c>
      <c r="D236" s="45" t="s">
        <v>11</v>
      </c>
      <c r="E236" s="36">
        <v>11192.68</v>
      </c>
      <c r="F236" s="37">
        <f>C236*E236</f>
        <v>36488.1368</v>
      </c>
    </row>
    <row r="237" spans="1:6" s="38" customFormat="1" ht="15" x14ac:dyDescent="0.2">
      <c r="A237" s="39"/>
      <c r="B237" s="41"/>
      <c r="C237" s="155"/>
      <c r="D237" s="156"/>
      <c r="E237" s="36"/>
      <c r="F237" s="37"/>
    </row>
    <row r="238" spans="1:6" s="38" customFormat="1" ht="15" x14ac:dyDescent="0.2">
      <c r="A238" s="48"/>
      <c r="B238" s="49"/>
      <c r="C238" s="50"/>
      <c r="D238" s="51"/>
      <c r="E238" s="52"/>
      <c r="F238" s="53"/>
    </row>
    <row r="239" spans="1:6" s="38" customFormat="1" ht="15" x14ac:dyDescent="0.2">
      <c r="A239" s="54"/>
      <c r="B239" s="55"/>
      <c r="C239" s="56" t="s">
        <v>147</v>
      </c>
      <c r="D239" s="56"/>
      <c r="E239" s="57" t="s">
        <v>135</v>
      </c>
      <c r="F239" s="58">
        <f>SUM(F194:F236)</f>
        <v>10209962.695999999</v>
      </c>
    </row>
    <row r="240" spans="1:6" s="38" customFormat="1" ht="15" x14ac:dyDescent="0.2">
      <c r="A240" s="54"/>
      <c r="B240" s="55"/>
      <c r="C240" s="59"/>
      <c r="D240" s="60"/>
      <c r="E240" s="61"/>
      <c r="F240" s="62"/>
    </row>
    <row r="241" spans="1:6" s="38" customFormat="1" ht="15" x14ac:dyDescent="0.2">
      <c r="A241" s="39"/>
      <c r="B241" s="41"/>
      <c r="C241" s="155"/>
      <c r="D241" s="156"/>
      <c r="E241" s="36"/>
      <c r="F241" s="37"/>
    </row>
    <row r="242" spans="1:6" s="38" customFormat="1" ht="15" x14ac:dyDescent="0.2">
      <c r="A242" s="39"/>
      <c r="B242" s="42" t="s">
        <v>41</v>
      </c>
      <c r="C242" s="155"/>
      <c r="D242" s="156"/>
      <c r="E242" s="36"/>
      <c r="F242" s="37"/>
    </row>
    <row r="243" spans="1:6" s="38" customFormat="1" ht="15" x14ac:dyDescent="0.2">
      <c r="A243" s="39"/>
      <c r="B243" s="157"/>
      <c r="C243" s="155"/>
      <c r="D243" s="156"/>
      <c r="E243" s="36"/>
      <c r="F243" s="37"/>
    </row>
    <row r="244" spans="1:6" s="38" customFormat="1" ht="15" x14ac:dyDescent="0.2">
      <c r="A244" s="43" t="s">
        <v>10</v>
      </c>
      <c r="B244" s="24" t="s">
        <v>181</v>
      </c>
      <c r="C244" s="139">
        <v>1.18</v>
      </c>
      <c r="D244" s="45" t="s">
        <v>11</v>
      </c>
      <c r="E244" s="36">
        <v>11192.68</v>
      </c>
      <c r="F244" s="37">
        <f>C244*E244</f>
        <v>13207.3624</v>
      </c>
    </row>
    <row r="245" spans="1:6" s="38" customFormat="1" ht="15" x14ac:dyDescent="0.2">
      <c r="A245" s="39"/>
      <c r="B245" s="157"/>
      <c r="C245" s="155"/>
      <c r="D245" s="156"/>
      <c r="E245" s="36"/>
      <c r="F245" s="37"/>
    </row>
    <row r="246" spans="1:6" s="38" customFormat="1" ht="15" x14ac:dyDescent="0.2">
      <c r="A246" s="43" t="s">
        <v>12</v>
      </c>
      <c r="B246" s="24" t="s">
        <v>182</v>
      </c>
      <c r="C246" s="139">
        <v>22.19</v>
      </c>
      <c r="D246" s="45" t="s">
        <v>11</v>
      </c>
      <c r="E246" s="36">
        <v>11192.68</v>
      </c>
      <c r="F246" s="37">
        <f>C246*E246</f>
        <v>248365.56920000003</v>
      </c>
    </row>
    <row r="247" spans="1:6" s="38" customFormat="1" ht="15" x14ac:dyDescent="0.2">
      <c r="A247" s="39"/>
      <c r="B247" s="157"/>
      <c r="C247" s="155"/>
      <c r="D247" s="156"/>
      <c r="E247" s="36"/>
      <c r="F247" s="37"/>
    </row>
    <row r="248" spans="1:6" s="38" customFormat="1" ht="15" x14ac:dyDescent="0.2">
      <c r="A248" s="43" t="s">
        <v>14</v>
      </c>
      <c r="B248" s="24" t="s">
        <v>183</v>
      </c>
      <c r="C248" s="139">
        <v>3.77</v>
      </c>
      <c r="D248" s="45" t="s">
        <v>11</v>
      </c>
      <c r="E248" s="36">
        <v>11192.68</v>
      </c>
      <c r="F248" s="37">
        <f>C248*E248</f>
        <v>42196.403599999998</v>
      </c>
    </row>
    <row r="249" spans="1:6" s="38" customFormat="1" ht="15" x14ac:dyDescent="0.2">
      <c r="A249" s="39"/>
      <c r="B249" s="157"/>
      <c r="C249" s="155"/>
      <c r="D249" s="156"/>
      <c r="E249" s="36"/>
      <c r="F249" s="37"/>
    </row>
    <row r="250" spans="1:6" s="38" customFormat="1" ht="15" x14ac:dyDescent="0.2">
      <c r="A250" s="43" t="s">
        <v>16</v>
      </c>
      <c r="B250" s="24" t="s">
        <v>89</v>
      </c>
      <c r="C250" s="139">
        <v>2.6</v>
      </c>
      <c r="D250" s="45" t="s">
        <v>11</v>
      </c>
      <c r="E250" s="36">
        <v>11192.68</v>
      </c>
      <c r="F250" s="37">
        <f>C250*E250</f>
        <v>29100.968000000001</v>
      </c>
    </row>
    <row r="251" spans="1:6" s="38" customFormat="1" ht="15" x14ac:dyDescent="0.2">
      <c r="A251" s="39"/>
      <c r="B251" s="157"/>
      <c r="C251" s="155"/>
      <c r="D251" s="156"/>
      <c r="E251" s="36"/>
      <c r="F251" s="37"/>
    </row>
    <row r="252" spans="1:6" s="38" customFormat="1" ht="15" x14ac:dyDescent="0.2">
      <c r="A252" s="43" t="s">
        <v>18</v>
      </c>
      <c r="B252" s="24" t="s">
        <v>184</v>
      </c>
      <c r="C252" s="139">
        <v>9.5500000000000007</v>
      </c>
      <c r="D252" s="45" t="s">
        <v>11</v>
      </c>
      <c r="E252" s="36">
        <v>11192.68</v>
      </c>
      <c r="F252" s="37">
        <f>C252*E252</f>
        <v>106890.09400000001</v>
      </c>
    </row>
    <row r="253" spans="1:6" s="38" customFormat="1" ht="15" x14ac:dyDescent="0.2">
      <c r="A253" s="39"/>
      <c r="B253" s="157"/>
      <c r="C253" s="155"/>
      <c r="D253" s="156"/>
      <c r="E253" s="36"/>
      <c r="F253" s="37"/>
    </row>
    <row r="254" spans="1:6" s="38" customFormat="1" ht="15" x14ac:dyDescent="0.2">
      <c r="A254" s="43" t="s">
        <v>20</v>
      </c>
      <c r="B254" s="24" t="s">
        <v>90</v>
      </c>
      <c r="C254" s="139">
        <v>0.52</v>
      </c>
      <c r="D254" s="45" t="s">
        <v>11</v>
      </c>
      <c r="E254" s="36">
        <v>11192.68</v>
      </c>
      <c r="F254" s="37">
        <f>C254*E254</f>
        <v>5820.1936000000005</v>
      </c>
    </row>
    <row r="255" spans="1:6" s="38" customFormat="1" ht="13.15" customHeight="1" x14ac:dyDescent="0.2">
      <c r="A255" s="39"/>
      <c r="B255" s="157"/>
      <c r="C255" s="155"/>
      <c r="D255" s="156"/>
      <c r="E255" s="36"/>
      <c r="F255" s="37"/>
    </row>
    <row r="256" spans="1:6" s="38" customFormat="1" ht="15" x14ac:dyDescent="0.2">
      <c r="A256" s="43" t="s">
        <v>22</v>
      </c>
      <c r="B256" s="24" t="s">
        <v>91</v>
      </c>
      <c r="C256" s="139">
        <v>25.47</v>
      </c>
      <c r="D256" s="45" t="s">
        <v>11</v>
      </c>
      <c r="E256" s="36">
        <v>11192.68</v>
      </c>
      <c r="F256" s="37">
        <f>C256*E256</f>
        <v>285077.55959999998</v>
      </c>
    </row>
    <row r="257" spans="1:6" s="38" customFormat="1" ht="13.15" customHeight="1" x14ac:dyDescent="0.2">
      <c r="A257" s="39"/>
      <c r="B257" s="157"/>
      <c r="C257" s="155"/>
      <c r="D257" s="156"/>
      <c r="E257" s="36"/>
      <c r="F257" s="37"/>
    </row>
    <row r="258" spans="1:6" s="38" customFormat="1" ht="15" x14ac:dyDescent="0.2">
      <c r="A258" s="43" t="s">
        <v>24</v>
      </c>
      <c r="B258" s="24" t="s">
        <v>92</v>
      </c>
      <c r="C258" s="139">
        <v>3.4</v>
      </c>
      <c r="D258" s="45" t="s">
        <v>11</v>
      </c>
      <c r="E258" s="36">
        <v>11192.68</v>
      </c>
      <c r="F258" s="37">
        <f>C258*E258</f>
        <v>38055.112000000001</v>
      </c>
    </row>
    <row r="259" spans="1:6" s="38" customFormat="1" ht="13.15" customHeight="1" x14ac:dyDescent="0.2">
      <c r="A259" s="39"/>
      <c r="B259" s="157"/>
      <c r="C259" s="155"/>
      <c r="D259" s="156"/>
      <c r="E259" s="36"/>
      <c r="F259" s="37"/>
    </row>
    <row r="260" spans="1:6" s="38" customFormat="1" ht="15" x14ac:dyDescent="0.2">
      <c r="A260" s="43" t="s">
        <v>26</v>
      </c>
      <c r="B260" s="24" t="s">
        <v>93</v>
      </c>
      <c r="C260" s="139">
        <v>28.06</v>
      </c>
      <c r="D260" s="45" t="s">
        <v>11</v>
      </c>
      <c r="E260" s="36">
        <v>11192.68</v>
      </c>
      <c r="F260" s="37">
        <f>C260*E260</f>
        <v>314066.60080000001</v>
      </c>
    </row>
    <row r="261" spans="1:6" s="38" customFormat="1" ht="13.15" customHeight="1" x14ac:dyDescent="0.2">
      <c r="A261" s="39"/>
      <c r="B261" s="157"/>
      <c r="C261" s="155"/>
      <c r="D261" s="156"/>
      <c r="E261" s="36"/>
      <c r="F261" s="37"/>
    </row>
    <row r="262" spans="1:6" s="38" customFormat="1" ht="15" x14ac:dyDescent="0.2">
      <c r="A262" s="43" t="s">
        <v>28</v>
      </c>
      <c r="B262" s="24" t="s">
        <v>94</v>
      </c>
      <c r="C262" s="139">
        <v>39.99</v>
      </c>
      <c r="D262" s="45" t="s">
        <v>11</v>
      </c>
      <c r="E262" s="36">
        <v>11192.68</v>
      </c>
      <c r="F262" s="37">
        <f>C262*E262</f>
        <v>447595.27320000005</v>
      </c>
    </row>
    <row r="263" spans="1:6" s="38" customFormat="1" ht="13.15" customHeight="1" x14ac:dyDescent="0.2">
      <c r="A263" s="39"/>
      <c r="B263" s="157"/>
      <c r="C263" s="155"/>
      <c r="D263" s="156"/>
      <c r="E263" s="36"/>
      <c r="F263" s="37"/>
    </row>
    <row r="264" spans="1:6" s="38" customFormat="1" ht="15" x14ac:dyDescent="0.2">
      <c r="A264" s="43" t="s">
        <v>30</v>
      </c>
      <c r="B264" s="24" t="s">
        <v>95</v>
      </c>
      <c r="C264" s="139">
        <v>91.09</v>
      </c>
      <c r="D264" s="45" t="s">
        <v>11</v>
      </c>
      <c r="E264" s="36">
        <v>11192.68</v>
      </c>
      <c r="F264" s="37">
        <f>C264*E264</f>
        <v>1019541.2212</v>
      </c>
    </row>
    <row r="265" spans="1:6" s="38" customFormat="1" ht="13.15" customHeight="1" x14ac:dyDescent="0.2">
      <c r="A265" s="39"/>
      <c r="B265" s="157"/>
      <c r="C265" s="155"/>
      <c r="D265" s="156"/>
      <c r="E265" s="36"/>
      <c r="F265" s="37"/>
    </row>
    <row r="266" spans="1:6" s="38" customFormat="1" ht="15" x14ac:dyDescent="0.2">
      <c r="A266" s="43" t="s">
        <v>32</v>
      </c>
      <c r="B266" s="24" t="s">
        <v>96</v>
      </c>
      <c r="C266" s="139">
        <v>15.6</v>
      </c>
      <c r="D266" s="45" t="s">
        <v>11</v>
      </c>
      <c r="E266" s="36">
        <v>11192.68</v>
      </c>
      <c r="F266" s="37">
        <f>C266*E266</f>
        <v>174605.80799999999</v>
      </c>
    </row>
    <row r="267" spans="1:6" s="38" customFormat="1" ht="13.15" customHeight="1" x14ac:dyDescent="0.2">
      <c r="A267" s="39"/>
      <c r="B267" s="157"/>
      <c r="C267" s="155"/>
      <c r="D267" s="156"/>
      <c r="E267" s="36"/>
      <c r="F267" s="37"/>
    </row>
    <row r="268" spans="1:6" s="38" customFormat="1" ht="15" x14ac:dyDescent="0.2">
      <c r="A268" s="43" t="s">
        <v>34</v>
      </c>
      <c r="B268" s="24" t="s">
        <v>185</v>
      </c>
      <c r="C268" s="139">
        <v>10.77</v>
      </c>
      <c r="D268" s="45" t="s">
        <v>11</v>
      </c>
      <c r="E268" s="36">
        <v>11192.68</v>
      </c>
      <c r="F268" s="37">
        <f>C268*E268</f>
        <v>120545.1636</v>
      </c>
    </row>
    <row r="269" spans="1:6" s="38" customFormat="1" ht="13.15" customHeight="1" x14ac:dyDescent="0.2">
      <c r="A269" s="39"/>
      <c r="B269" s="157"/>
      <c r="C269" s="155"/>
      <c r="D269" s="156"/>
      <c r="E269" s="36"/>
      <c r="F269" s="37"/>
    </row>
    <row r="270" spans="1:6" s="38" customFormat="1" ht="15" x14ac:dyDescent="0.2">
      <c r="A270" s="43" t="s">
        <v>37</v>
      </c>
      <c r="B270" s="24" t="s">
        <v>97</v>
      </c>
      <c r="C270" s="139">
        <v>345.95</v>
      </c>
      <c r="D270" s="45" t="s">
        <v>11</v>
      </c>
      <c r="E270" s="36">
        <v>11192.68</v>
      </c>
      <c r="F270" s="37">
        <f>C270*E270</f>
        <v>3872107.6460000002</v>
      </c>
    </row>
    <row r="271" spans="1:6" s="38" customFormat="1" ht="13.15" customHeight="1" x14ac:dyDescent="0.2">
      <c r="A271" s="39"/>
      <c r="B271" s="157"/>
      <c r="C271" s="155"/>
      <c r="D271" s="156"/>
      <c r="E271" s="36"/>
      <c r="F271" s="37"/>
    </row>
    <row r="272" spans="1:6" s="38" customFormat="1" ht="15" x14ac:dyDescent="0.2">
      <c r="A272" s="43" t="s">
        <v>39</v>
      </c>
      <c r="B272" s="24" t="s">
        <v>98</v>
      </c>
      <c r="C272" s="139">
        <v>245.96</v>
      </c>
      <c r="D272" s="45" t="s">
        <v>11</v>
      </c>
      <c r="E272" s="36">
        <v>11192.68</v>
      </c>
      <c r="F272" s="37">
        <f>C272*E272</f>
        <v>2752951.5728000002</v>
      </c>
    </row>
    <row r="273" spans="1:6" s="38" customFormat="1" ht="13.15" customHeight="1" x14ac:dyDescent="0.2">
      <c r="A273" s="39"/>
      <c r="B273" s="157"/>
      <c r="C273" s="155"/>
      <c r="D273" s="156"/>
      <c r="E273" s="36"/>
      <c r="F273" s="37"/>
    </row>
    <row r="274" spans="1:6" s="38" customFormat="1" ht="15" x14ac:dyDescent="0.2">
      <c r="A274" s="43" t="s">
        <v>54</v>
      </c>
      <c r="B274" s="24" t="s">
        <v>99</v>
      </c>
      <c r="C274" s="139">
        <v>1</v>
      </c>
      <c r="D274" s="45" t="s">
        <v>11</v>
      </c>
      <c r="E274" s="36">
        <v>11192.68</v>
      </c>
      <c r="F274" s="37">
        <f>C274*E274</f>
        <v>11192.68</v>
      </c>
    </row>
    <row r="275" spans="1:6" s="38" customFormat="1" ht="13.15" customHeight="1" x14ac:dyDescent="0.2">
      <c r="A275" s="39"/>
      <c r="B275" s="157"/>
      <c r="C275" s="155"/>
      <c r="D275" s="156"/>
      <c r="E275" s="36"/>
      <c r="F275" s="37"/>
    </row>
    <row r="276" spans="1:6" s="38" customFormat="1" ht="15" x14ac:dyDescent="0.2">
      <c r="A276" s="43" t="s">
        <v>55</v>
      </c>
      <c r="B276" s="24" t="s">
        <v>100</v>
      </c>
      <c r="C276" s="139">
        <v>0.18</v>
      </c>
      <c r="D276" s="45" t="s">
        <v>11</v>
      </c>
      <c r="E276" s="36">
        <v>11192.68</v>
      </c>
      <c r="F276" s="37">
        <f>C276*E276</f>
        <v>2014.6823999999999</v>
      </c>
    </row>
    <row r="277" spans="1:6" s="38" customFormat="1" ht="13.15" customHeight="1" x14ac:dyDescent="0.2">
      <c r="A277" s="39"/>
      <c r="B277" s="157"/>
      <c r="C277" s="155"/>
      <c r="D277" s="156"/>
      <c r="E277" s="36"/>
      <c r="F277" s="37"/>
    </row>
    <row r="278" spans="1:6" s="38" customFormat="1" ht="15" x14ac:dyDescent="0.2">
      <c r="A278" s="43" t="s">
        <v>56</v>
      </c>
      <c r="B278" s="24" t="s">
        <v>186</v>
      </c>
      <c r="C278" s="139">
        <v>1</v>
      </c>
      <c r="D278" s="45" t="s">
        <v>11</v>
      </c>
      <c r="E278" s="36">
        <v>11192.68</v>
      </c>
      <c r="F278" s="37">
        <f>C278*E278</f>
        <v>11192.68</v>
      </c>
    </row>
    <row r="279" spans="1:6" s="38" customFormat="1" ht="13.15" customHeight="1" x14ac:dyDescent="0.2">
      <c r="A279" s="39"/>
      <c r="B279" s="157"/>
      <c r="C279" s="155"/>
      <c r="D279" s="156"/>
      <c r="E279" s="36"/>
      <c r="F279" s="37"/>
    </row>
    <row r="280" spans="1:6" s="38" customFormat="1" ht="15" x14ac:dyDescent="0.2">
      <c r="A280" s="43" t="s">
        <v>57</v>
      </c>
      <c r="B280" s="24" t="s">
        <v>101</v>
      </c>
      <c r="C280" s="139">
        <v>0.03</v>
      </c>
      <c r="D280" s="45" t="s">
        <v>11</v>
      </c>
      <c r="E280" s="36">
        <v>10046.73</v>
      </c>
      <c r="F280" s="37">
        <f>C280*E280</f>
        <v>301.40189999999996</v>
      </c>
    </row>
    <row r="281" spans="1:6" s="38" customFormat="1" ht="15" x14ac:dyDescent="0.2">
      <c r="A281" s="39"/>
      <c r="B281" s="157"/>
      <c r="C281" s="155"/>
      <c r="D281" s="156"/>
      <c r="E281" s="36"/>
      <c r="F281" s="37"/>
    </row>
    <row r="282" spans="1:6" s="38" customFormat="1" ht="15" x14ac:dyDescent="0.2">
      <c r="A282" s="43" t="s">
        <v>67</v>
      </c>
      <c r="B282" s="24" t="s">
        <v>102</v>
      </c>
      <c r="C282" s="139">
        <v>0.7</v>
      </c>
      <c r="D282" s="45" t="s">
        <v>11</v>
      </c>
      <c r="E282" s="36">
        <v>10046.73</v>
      </c>
      <c r="F282" s="37">
        <f>C282*E282</f>
        <v>7032.7109999999993</v>
      </c>
    </row>
    <row r="283" spans="1:6" s="38" customFormat="1" ht="15" x14ac:dyDescent="0.2">
      <c r="A283" s="39"/>
      <c r="B283" s="157"/>
      <c r="C283" s="155"/>
      <c r="D283" s="156"/>
      <c r="E283" s="36"/>
      <c r="F283" s="37"/>
    </row>
    <row r="284" spans="1:6" s="38" customFormat="1" ht="15" x14ac:dyDescent="0.2">
      <c r="A284" s="43" t="s">
        <v>69</v>
      </c>
      <c r="B284" s="24" t="s">
        <v>103</v>
      </c>
      <c r="C284" s="139">
        <v>0.12</v>
      </c>
      <c r="D284" s="45" t="s">
        <v>11</v>
      </c>
      <c r="E284" s="36">
        <v>10046.73</v>
      </c>
      <c r="F284" s="37">
        <f>C284*E284</f>
        <v>1205.6075999999998</v>
      </c>
    </row>
    <row r="285" spans="1:6" s="38" customFormat="1" ht="15" x14ac:dyDescent="0.2">
      <c r="A285" s="39"/>
      <c r="B285" s="157"/>
      <c r="C285" s="155"/>
      <c r="D285" s="156"/>
      <c r="E285" s="36"/>
      <c r="F285" s="37"/>
    </row>
    <row r="286" spans="1:6" s="38" customFormat="1" ht="15" x14ac:dyDescent="0.2">
      <c r="A286" s="43" t="s">
        <v>71</v>
      </c>
      <c r="B286" s="24" t="s">
        <v>29</v>
      </c>
      <c r="C286" s="139">
        <v>0.81</v>
      </c>
      <c r="D286" s="45" t="s">
        <v>11</v>
      </c>
      <c r="E286" s="36">
        <v>10046.73</v>
      </c>
      <c r="F286" s="37">
        <f>C286*E286</f>
        <v>8137.8513000000003</v>
      </c>
    </row>
    <row r="287" spans="1:6" s="38" customFormat="1" ht="15" x14ac:dyDescent="0.2">
      <c r="A287" s="39"/>
      <c r="B287" s="41"/>
      <c r="C287" s="155"/>
      <c r="D287" s="156"/>
      <c r="E287" s="36"/>
      <c r="F287" s="37"/>
    </row>
    <row r="288" spans="1:6" s="38" customFormat="1" ht="15" x14ac:dyDescent="0.2">
      <c r="A288" s="48"/>
      <c r="B288" s="49"/>
      <c r="C288" s="50"/>
      <c r="D288" s="51"/>
      <c r="E288" s="52"/>
      <c r="F288" s="53"/>
    </row>
    <row r="289" spans="1:6" s="38" customFormat="1" ht="15" x14ac:dyDescent="0.2">
      <c r="A289" s="54"/>
      <c r="B289" s="55"/>
      <c r="C289" s="56" t="s">
        <v>147</v>
      </c>
      <c r="D289" s="56"/>
      <c r="E289" s="57" t="s">
        <v>135</v>
      </c>
      <c r="F289" s="58">
        <f>SUM(F244:F286)</f>
        <v>9511204.1621999983</v>
      </c>
    </row>
    <row r="290" spans="1:6" s="38" customFormat="1" ht="15" x14ac:dyDescent="0.2">
      <c r="A290" s="54"/>
      <c r="B290" s="55"/>
      <c r="C290" s="59"/>
      <c r="D290" s="60"/>
      <c r="E290" s="61"/>
      <c r="F290" s="62"/>
    </row>
    <row r="291" spans="1:6" s="38" customFormat="1" ht="15" x14ac:dyDescent="0.2">
      <c r="A291" s="39"/>
      <c r="B291" s="41"/>
      <c r="C291" s="155"/>
      <c r="D291" s="156"/>
      <c r="E291" s="36"/>
      <c r="F291" s="37"/>
    </row>
    <row r="292" spans="1:6" s="38" customFormat="1" ht="15" x14ac:dyDescent="0.2">
      <c r="A292" s="39"/>
      <c r="B292" s="42" t="s">
        <v>41</v>
      </c>
      <c r="C292" s="155"/>
      <c r="D292" s="156"/>
      <c r="E292" s="36"/>
      <c r="F292" s="37"/>
    </row>
    <row r="293" spans="1:6" s="38" customFormat="1" ht="15" x14ac:dyDescent="0.2">
      <c r="A293" s="39"/>
      <c r="B293" s="158"/>
      <c r="C293" s="155"/>
      <c r="D293" s="156"/>
      <c r="E293" s="36"/>
      <c r="F293" s="37"/>
    </row>
    <row r="294" spans="1:6" s="38" customFormat="1" ht="15" x14ac:dyDescent="0.2">
      <c r="A294" s="43" t="s">
        <v>10</v>
      </c>
      <c r="B294" s="24" t="s">
        <v>104</v>
      </c>
      <c r="C294" s="139">
        <v>0.06</v>
      </c>
      <c r="D294" s="45" t="s">
        <v>11</v>
      </c>
      <c r="E294" s="36">
        <v>10046.73</v>
      </c>
      <c r="F294" s="37">
        <f>C294*E294</f>
        <v>602.80379999999991</v>
      </c>
    </row>
    <row r="295" spans="1:6" s="38" customFormat="1" ht="15" x14ac:dyDescent="0.2">
      <c r="A295" s="39"/>
      <c r="B295" s="157"/>
      <c r="C295" s="155"/>
      <c r="D295" s="156"/>
      <c r="E295" s="36"/>
      <c r="F295" s="37"/>
    </row>
    <row r="296" spans="1:6" s="38" customFormat="1" ht="15" x14ac:dyDescent="0.2">
      <c r="A296" s="43" t="s">
        <v>12</v>
      </c>
      <c r="B296" s="24" t="s">
        <v>105</v>
      </c>
      <c r="C296" s="139">
        <v>0.17</v>
      </c>
      <c r="D296" s="45" t="s">
        <v>11</v>
      </c>
      <c r="E296" s="36">
        <v>10046.73</v>
      </c>
      <c r="F296" s="37">
        <f>C296*E296</f>
        <v>1707.9440999999999</v>
      </c>
    </row>
    <row r="297" spans="1:6" s="38" customFormat="1" ht="15" x14ac:dyDescent="0.2">
      <c r="A297" s="39"/>
      <c r="B297" s="157"/>
      <c r="C297" s="155"/>
      <c r="D297" s="156"/>
      <c r="E297" s="36"/>
      <c r="F297" s="37"/>
    </row>
    <row r="298" spans="1:6" s="38" customFormat="1" ht="15" x14ac:dyDescent="0.2">
      <c r="A298" s="43" t="s">
        <v>14</v>
      </c>
      <c r="B298" s="24" t="s">
        <v>31</v>
      </c>
      <c r="C298" s="139">
        <v>3.06</v>
      </c>
      <c r="D298" s="45" t="s">
        <v>11</v>
      </c>
      <c r="E298" s="36">
        <v>10046.73</v>
      </c>
      <c r="F298" s="37">
        <f>C298*E298</f>
        <v>30742.9938</v>
      </c>
    </row>
    <row r="299" spans="1:6" s="38" customFormat="1" ht="15" x14ac:dyDescent="0.2">
      <c r="A299" s="39"/>
      <c r="B299" s="157"/>
      <c r="C299" s="155"/>
      <c r="D299" s="156"/>
      <c r="E299" s="36"/>
      <c r="F299" s="37"/>
    </row>
    <row r="300" spans="1:6" s="38" customFormat="1" ht="15" x14ac:dyDescent="0.2">
      <c r="A300" s="43" t="s">
        <v>16</v>
      </c>
      <c r="B300" s="24" t="s">
        <v>106</v>
      </c>
      <c r="C300" s="139">
        <v>2.36</v>
      </c>
      <c r="D300" s="45" t="s">
        <v>11</v>
      </c>
      <c r="E300" s="36">
        <v>10046.73</v>
      </c>
      <c r="F300" s="37">
        <f>C300*E300</f>
        <v>23710.282799999997</v>
      </c>
    </row>
    <row r="301" spans="1:6" s="38" customFormat="1" ht="15" x14ac:dyDescent="0.2">
      <c r="A301" s="39"/>
      <c r="B301" s="157"/>
      <c r="C301" s="155"/>
      <c r="D301" s="156"/>
      <c r="E301" s="36"/>
      <c r="F301" s="37"/>
    </row>
    <row r="302" spans="1:6" s="38" customFormat="1" ht="15" x14ac:dyDescent="0.2">
      <c r="A302" s="43" t="s">
        <v>18</v>
      </c>
      <c r="B302" s="24" t="s">
        <v>107</v>
      </c>
      <c r="C302" s="139">
        <v>10.8</v>
      </c>
      <c r="D302" s="45" t="s">
        <v>11</v>
      </c>
      <c r="E302" s="36">
        <v>10046.73</v>
      </c>
      <c r="F302" s="37">
        <f>C302*E302</f>
        <v>108504.68400000001</v>
      </c>
    </row>
    <row r="303" spans="1:6" s="38" customFormat="1" ht="13.15" customHeight="1" x14ac:dyDescent="0.2">
      <c r="A303" s="39"/>
      <c r="B303" s="157"/>
      <c r="C303" s="155"/>
      <c r="D303" s="156"/>
      <c r="E303" s="36"/>
      <c r="F303" s="37"/>
    </row>
    <row r="304" spans="1:6" s="38" customFormat="1" ht="15" x14ac:dyDescent="0.2">
      <c r="A304" s="43" t="s">
        <v>20</v>
      </c>
      <c r="B304" s="24" t="s">
        <v>108</v>
      </c>
      <c r="C304" s="139">
        <v>20.36</v>
      </c>
      <c r="D304" s="45" t="s">
        <v>11</v>
      </c>
      <c r="E304" s="36">
        <v>10046.73</v>
      </c>
      <c r="F304" s="37">
        <f>C304*E304</f>
        <v>204551.42279999997</v>
      </c>
    </row>
    <row r="305" spans="1:6" s="38" customFormat="1" ht="13.15" customHeight="1" x14ac:dyDescent="0.2">
      <c r="A305" s="39"/>
      <c r="B305" s="157"/>
      <c r="C305" s="155"/>
      <c r="D305" s="156"/>
      <c r="E305" s="36"/>
      <c r="F305" s="37"/>
    </row>
    <row r="306" spans="1:6" s="38" customFormat="1" ht="15" x14ac:dyDescent="0.2">
      <c r="A306" s="43" t="s">
        <v>22</v>
      </c>
      <c r="B306" s="24" t="s">
        <v>187</v>
      </c>
      <c r="C306" s="139">
        <v>6.13</v>
      </c>
      <c r="D306" s="45" t="s">
        <v>11</v>
      </c>
      <c r="E306" s="36">
        <v>10046.73</v>
      </c>
      <c r="F306" s="37">
        <f>C306*E306</f>
        <v>61586.454899999997</v>
      </c>
    </row>
    <row r="307" spans="1:6" s="38" customFormat="1" ht="13.15" customHeight="1" x14ac:dyDescent="0.2">
      <c r="A307" s="39"/>
      <c r="B307" s="157"/>
      <c r="C307" s="155"/>
      <c r="D307" s="156"/>
      <c r="E307" s="36"/>
      <c r="F307" s="37"/>
    </row>
    <row r="308" spans="1:6" s="38" customFormat="1" ht="15" x14ac:dyDescent="0.2">
      <c r="A308" s="43" t="s">
        <v>24</v>
      </c>
      <c r="B308" s="24" t="s">
        <v>188</v>
      </c>
      <c r="C308" s="139">
        <v>14</v>
      </c>
      <c r="D308" s="45" t="s">
        <v>36</v>
      </c>
      <c r="E308" s="36">
        <v>24.09</v>
      </c>
      <c r="F308" s="37">
        <f>C308*E308</f>
        <v>337.26</v>
      </c>
    </row>
    <row r="309" spans="1:6" s="38" customFormat="1" ht="13.15" customHeight="1" x14ac:dyDescent="0.2">
      <c r="A309" s="39"/>
      <c r="B309" s="157"/>
      <c r="C309" s="155"/>
      <c r="D309" s="156"/>
      <c r="E309" s="36"/>
      <c r="F309" s="37"/>
    </row>
    <row r="310" spans="1:6" s="38" customFormat="1" ht="15" x14ac:dyDescent="0.2">
      <c r="A310" s="43" t="s">
        <v>26</v>
      </c>
      <c r="B310" s="24" t="s">
        <v>35</v>
      </c>
      <c r="C310" s="139">
        <v>62</v>
      </c>
      <c r="D310" s="45" t="s">
        <v>36</v>
      </c>
      <c r="E310" s="36">
        <v>35.549999999999997</v>
      </c>
      <c r="F310" s="37">
        <f>C310*E310</f>
        <v>2204.1</v>
      </c>
    </row>
    <row r="311" spans="1:6" s="38" customFormat="1" ht="13.15" customHeight="1" x14ac:dyDescent="0.2">
      <c r="A311" s="39"/>
      <c r="B311" s="157"/>
      <c r="C311" s="155"/>
      <c r="D311" s="156"/>
      <c r="E311" s="36"/>
      <c r="F311" s="37"/>
    </row>
    <row r="312" spans="1:6" s="38" customFormat="1" ht="15" x14ac:dyDescent="0.2">
      <c r="A312" s="43" t="s">
        <v>28</v>
      </c>
      <c r="B312" s="24" t="s">
        <v>109</v>
      </c>
      <c r="C312" s="139">
        <v>36</v>
      </c>
      <c r="D312" s="45" t="s">
        <v>36</v>
      </c>
      <c r="E312" s="36">
        <v>24.09</v>
      </c>
      <c r="F312" s="37">
        <f>C312*E312</f>
        <v>867.24</v>
      </c>
    </row>
    <row r="313" spans="1:6" s="38" customFormat="1" ht="13.15" customHeight="1" x14ac:dyDescent="0.2">
      <c r="A313" s="39"/>
      <c r="B313" s="157"/>
      <c r="C313" s="155"/>
      <c r="D313" s="156"/>
      <c r="E313" s="36"/>
      <c r="F313" s="37"/>
    </row>
    <row r="314" spans="1:6" s="38" customFormat="1" ht="15" x14ac:dyDescent="0.2">
      <c r="A314" s="43" t="s">
        <v>30</v>
      </c>
      <c r="B314" s="24" t="s">
        <v>35</v>
      </c>
      <c r="C314" s="139">
        <v>40</v>
      </c>
      <c r="D314" s="45" t="s">
        <v>36</v>
      </c>
      <c r="E314" s="36">
        <v>35.549999999999997</v>
      </c>
      <c r="F314" s="37">
        <f>C314*E314</f>
        <v>1422</v>
      </c>
    </row>
    <row r="315" spans="1:6" s="38" customFormat="1" ht="13.15" customHeight="1" x14ac:dyDescent="0.2">
      <c r="A315" s="39"/>
      <c r="B315" s="157"/>
      <c r="C315" s="155"/>
      <c r="D315" s="156"/>
      <c r="E315" s="36"/>
      <c r="F315" s="37"/>
    </row>
    <row r="316" spans="1:6" s="38" customFormat="1" ht="15" x14ac:dyDescent="0.2">
      <c r="A316" s="43" t="s">
        <v>32</v>
      </c>
      <c r="B316" s="24" t="s">
        <v>189</v>
      </c>
      <c r="C316" s="139">
        <v>112</v>
      </c>
      <c r="D316" s="45" t="s">
        <v>36</v>
      </c>
      <c r="E316" s="36">
        <v>35.549999999999997</v>
      </c>
      <c r="F316" s="37">
        <f>C316*E316</f>
        <v>3981.5999999999995</v>
      </c>
    </row>
    <row r="317" spans="1:6" s="38" customFormat="1" ht="13.15" customHeight="1" x14ac:dyDescent="0.2">
      <c r="A317" s="39"/>
      <c r="B317" s="157"/>
      <c r="C317" s="155"/>
      <c r="D317" s="156"/>
      <c r="E317" s="36"/>
      <c r="F317" s="37"/>
    </row>
    <row r="318" spans="1:6" s="38" customFormat="1" ht="15" x14ac:dyDescent="0.2">
      <c r="A318" s="43" t="s">
        <v>34</v>
      </c>
      <c r="B318" s="24" t="s">
        <v>110</v>
      </c>
      <c r="C318" s="139">
        <v>132</v>
      </c>
      <c r="D318" s="45" t="s">
        <v>36</v>
      </c>
      <c r="E318" s="36">
        <v>35.549999999999997</v>
      </c>
      <c r="F318" s="37">
        <f>C318*E318</f>
        <v>4692.5999999999995</v>
      </c>
    </row>
    <row r="319" spans="1:6" s="38" customFormat="1" ht="13.15" customHeight="1" x14ac:dyDescent="0.2">
      <c r="A319" s="39"/>
      <c r="B319" s="157"/>
      <c r="C319" s="155"/>
      <c r="D319" s="156"/>
      <c r="E319" s="36"/>
      <c r="F319" s="37"/>
    </row>
    <row r="320" spans="1:6" s="38" customFormat="1" ht="15" x14ac:dyDescent="0.2">
      <c r="A320" s="43" t="s">
        <v>37</v>
      </c>
      <c r="B320" s="24" t="s">
        <v>111</v>
      </c>
      <c r="C320" s="139">
        <v>32</v>
      </c>
      <c r="D320" s="45" t="s">
        <v>36</v>
      </c>
      <c r="E320" s="36">
        <v>47.01</v>
      </c>
      <c r="F320" s="37">
        <f>C320*E320</f>
        <v>1504.32</v>
      </c>
    </row>
    <row r="321" spans="1:6" s="38" customFormat="1" ht="13.15" customHeight="1" x14ac:dyDescent="0.2">
      <c r="A321" s="39"/>
      <c r="B321" s="157"/>
      <c r="C321" s="155"/>
      <c r="D321" s="156"/>
      <c r="E321" s="36"/>
      <c r="F321" s="37"/>
    </row>
    <row r="322" spans="1:6" s="38" customFormat="1" ht="15" x14ac:dyDescent="0.2">
      <c r="A322" s="43" t="s">
        <v>39</v>
      </c>
      <c r="B322" s="24" t="s">
        <v>112</v>
      </c>
      <c r="C322" s="139">
        <v>50</v>
      </c>
      <c r="D322" s="45" t="s">
        <v>36</v>
      </c>
      <c r="E322" s="36">
        <v>47.01</v>
      </c>
      <c r="F322" s="37">
        <f>C322*E322</f>
        <v>2350.5</v>
      </c>
    </row>
    <row r="323" spans="1:6" s="38" customFormat="1" ht="13.15" customHeight="1" x14ac:dyDescent="0.2">
      <c r="A323" s="39"/>
      <c r="B323" s="157"/>
      <c r="C323" s="155"/>
      <c r="D323" s="156"/>
      <c r="E323" s="36"/>
      <c r="F323" s="37"/>
    </row>
    <row r="324" spans="1:6" s="38" customFormat="1" ht="15" x14ac:dyDescent="0.2">
      <c r="A324" s="43" t="s">
        <v>54</v>
      </c>
      <c r="B324" s="24" t="s">
        <v>114</v>
      </c>
      <c r="C324" s="139">
        <v>8</v>
      </c>
      <c r="D324" s="45" t="s">
        <v>36</v>
      </c>
      <c r="E324" s="36">
        <v>58.47</v>
      </c>
      <c r="F324" s="37">
        <f>C324*E324</f>
        <v>467.76</v>
      </c>
    </row>
    <row r="325" spans="1:6" s="38" customFormat="1" ht="13.15" customHeight="1" x14ac:dyDescent="0.2">
      <c r="A325" s="39"/>
      <c r="B325" s="157"/>
      <c r="C325" s="155"/>
      <c r="D325" s="156"/>
      <c r="E325" s="36"/>
      <c r="F325" s="37"/>
    </row>
    <row r="326" spans="1:6" s="38" customFormat="1" ht="15" x14ac:dyDescent="0.2">
      <c r="A326" s="43" t="s">
        <v>55</v>
      </c>
      <c r="B326" s="24" t="s">
        <v>190</v>
      </c>
      <c r="C326" s="139">
        <v>430</v>
      </c>
      <c r="D326" s="45" t="s">
        <v>36</v>
      </c>
      <c r="E326" s="36">
        <v>58.47</v>
      </c>
      <c r="F326" s="37">
        <f>C326*E326</f>
        <v>25142.1</v>
      </c>
    </row>
    <row r="327" spans="1:6" s="38" customFormat="1" ht="13.15" customHeight="1" x14ac:dyDescent="0.2">
      <c r="A327" s="39"/>
      <c r="B327" s="157"/>
      <c r="C327" s="155"/>
      <c r="D327" s="156"/>
      <c r="E327" s="36"/>
      <c r="F327" s="37"/>
    </row>
    <row r="328" spans="1:6" s="38" customFormat="1" ht="15" x14ac:dyDescent="0.2">
      <c r="A328" s="43" t="s">
        <v>56</v>
      </c>
      <c r="B328" s="24" t="s">
        <v>191</v>
      </c>
      <c r="C328" s="139">
        <v>144</v>
      </c>
      <c r="D328" s="45" t="s">
        <v>36</v>
      </c>
      <c r="E328" s="36">
        <v>69.930000000000007</v>
      </c>
      <c r="F328" s="37">
        <f>C328*E328</f>
        <v>10069.920000000002</v>
      </c>
    </row>
    <row r="329" spans="1:6" s="38" customFormat="1" ht="13.15" customHeight="1" x14ac:dyDescent="0.2">
      <c r="A329" s="39"/>
      <c r="B329" s="157"/>
      <c r="C329" s="155"/>
      <c r="D329" s="156"/>
      <c r="E329" s="36"/>
      <c r="F329" s="37"/>
    </row>
    <row r="330" spans="1:6" s="38" customFormat="1" ht="15" x14ac:dyDescent="0.2">
      <c r="A330" s="43" t="s">
        <v>57</v>
      </c>
      <c r="B330" s="24" t="s">
        <v>38</v>
      </c>
      <c r="C330" s="139">
        <v>298</v>
      </c>
      <c r="D330" s="45" t="s">
        <v>36</v>
      </c>
      <c r="E330" s="36">
        <v>58.47</v>
      </c>
      <c r="F330" s="37">
        <f>C330*E330</f>
        <v>17424.060000000001</v>
      </c>
    </row>
    <row r="331" spans="1:6" s="38" customFormat="1" ht="15" x14ac:dyDescent="0.2">
      <c r="A331" s="39"/>
      <c r="B331" s="157"/>
      <c r="C331" s="155"/>
      <c r="D331" s="156"/>
      <c r="E331" s="36"/>
      <c r="F331" s="37"/>
    </row>
    <row r="332" spans="1:6" s="38" customFormat="1" ht="15" x14ac:dyDescent="0.2">
      <c r="A332" s="43" t="s">
        <v>67</v>
      </c>
      <c r="B332" s="24" t="s">
        <v>115</v>
      </c>
      <c r="C332" s="139">
        <v>72</v>
      </c>
      <c r="D332" s="45" t="s">
        <v>36</v>
      </c>
      <c r="E332" s="36">
        <v>69.930000000000007</v>
      </c>
      <c r="F332" s="37">
        <f>C332*E332</f>
        <v>5034.9600000000009</v>
      </c>
    </row>
    <row r="333" spans="1:6" s="38" customFormat="1" ht="15" x14ac:dyDescent="0.2">
      <c r="A333" s="39"/>
      <c r="B333" s="157"/>
      <c r="C333" s="155"/>
      <c r="D333" s="156"/>
      <c r="E333" s="36"/>
      <c r="F333" s="37"/>
    </row>
    <row r="334" spans="1:6" s="38" customFormat="1" ht="15" x14ac:dyDescent="0.2">
      <c r="A334" s="43" t="s">
        <v>69</v>
      </c>
      <c r="B334" s="24" t="s">
        <v>116</v>
      </c>
      <c r="C334" s="139">
        <v>106</v>
      </c>
      <c r="D334" s="45" t="s">
        <v>36</v>
      </c>
      <c r="E334" s="36">
        <v>69.930000000000007</v>
      </c>
      <c r="F334" s="37">
        <f>C334*E334</f>
        <v>7412.5800000000008</v>
      </c>
    </row>
    <row r="335" spans="1:6" s="38" customFormat="1" ht="15" x14ac:dyDescent="0.2">
      <c r="A335" s="39"/>
      <c r="B335" s="157"/>
      <c r="C335" s="155"/>
      <c r="D335" s="156"/>
      <c r="E335" s="36"/>
      <c r="F335" s="37"/>
    </row>
    <row r="336" spans="1:6" s="38" customFormat="1" ht="15" x14ac:dyDescent="0.2">
      <c r="A336" s="43" t="s">
        <v>71</v>
      </c>
      <c r="B336" s="24" t="s">
        <v>117</v>
      </c>
      <c r="C336" s="139">
        <v>54</v>
      </c>
      <c r="D336" s="45" t="s">
        <v>36</v>
      </c>
      <c r="E336" s="36">
        <v>81.39</v>
      </c>
      <c r="F336" s="37">
        <f>C336*E336</f>
        <v>4395.0600000000004</v>
      </c>
    </row>
    <row r="337" spans="1:6" s="38" customFormat="1" ht="15" x14ac:dyDescent="0.2">
      <c r="A337" s="39"/>
      <c r="B337" s="41"/>
      <c r="C337" s="155"/>
      <c r="D337" s="156"/>
      <c r="E337" s="36"/>
      <c r="F337" s="37"/>
    </row>
    <row r="338" spans="1:6" s="38" customFormat="1" ht="15" x14ac:dyDescent="0.2">
      <c r="A338" s="48"/>
      <c r="B338" s="49"/>
      <c r="C338" s="50"/>
      <c r="D338" s="51"/>
      <c r="E338" s="52"/>
      <c r="F338" s="53"/>
    </row>
    <row r="339" spans="1:6" s="38" customFormat="1" ht="15" x14ac:dyDescent="0.2">
      <c r="A339" s="54"/>
      <c r="B339" s="55"/>
      <c r="C339" s="56" t="s">
        <v>147</v>
      </c>
      <c r="D339" s="56"/>
      <c r="E339" s="57" t="s">
        <v>135</v>
      </c>
      <c r="F339" s="58">
        <f>SUM(F294:F336)</f>
        <v>518712.64619999996</v>
      </c>
    </row>
    <row r="340" spans="1:6" s="38" customFormat="1" ht="15" x14ac:dyDescent="0.2">
      <c r="A340" s="54"/>
      <c r="B340" s="55"/>
      <c r="C340" s="59"/>
      <c r="D340" s="60"/>
      <c r="E340" s="61"/>
      <c r="F340" s="62"/>
    </row>
    <row r="341" spans="1:6" s="38" customFormat="1" ht="15" x14ac:dyDescent="0.2">
      <c r="A341" s="39"/>
      <c r="B341" s="41"/>
      <c r="C341" s="155"/>
      <c r="D341" s="156"/>
      <c r="E341" s="36"/>
      <c r="F341" s="37"/>
    </row>
    <row r="342" spans="1:6" s="38" customFormat="1" ht="15" x14ac:dyDescent="0.2">
      <c r="A342" s="39"/>
      <c r="B342" s="42" t="s">
        <v>41</v>
      </c>
      <c r="C342" s="155"/>
      <c r="D342" s="156"/>
      <c r="E342" s="36"/>
      <c r="F342" s="37"/>
    </row>
    <row r="343" spans="1:6" s="38" customFormat="1" ht="15" x14ac:dyDescent="0.2">
      <c r="A343" s="39"/>
      <c r="B343" s="157"/>
      <c r="C343" s="155"/>
      <c r="D343" s="156"/>
      <c r="E343" s="36"/>
      <c r="F343" s="37"/>
    </row>
    <row r="344" spans="1:6" s="38" customFormat="1" ht="15" x14ac:dyDescent="0.2">
      <c r="A344" s="43" t="s">
        <v>10</v>
      </c>
      <c r="B344" s="24" t="s">
        <v>118</v>
      </c>
      <c r="C344" s="139">
        <v>100</v>
      </c>
      <c r="D344" s="45" t="s">
        <v>36</v>
      </c>
      <c r="E344" s="36">
        <v>69.930000000000007</v>
      </c>
      <c r="F344" s="37">
        <f>C344*E344</f>
        <v>6993.0000000000009</v>
      </c>
    </row>
    <row r="345" spans="1:6" s="38" customFormat="1" ht="15" x14ac:dyDescent="0.2">
      <c r="A345" s="39"/>
      <c r="B345" s="157"/>
      <c r="C345" s="155"/>
      <c r="D345" s="156"/>
      <c r="E345" s="36"/>
      <c r="F345" s="37"/>
    </row>
    <row r="346" spans="1:6" s="38" customFormat="1" ht="15" x14ac:dyDescent="0.2">
      <c r="A346" s="43" t="s">
        <v>12</v>
      </c>
      <c r="B346" s="24" t="s">
        <v>192</v>
      </c>
      <c r="C346" s="139">
        <v>32</v>
      </c>
      <c r="D346" s="45" t="s">
        <v>36</v>
      </c>
      <c r="E346" s="36">
        <v>81.39</v>
      </c>
      <c r="F346" s="37">
        <f>C346*E346</f>
        <v>2604.48</v>
      </c>
    </row>
    <row r="347" spans="1:6" s="38" customFormat="1" ht="15" x14ac:dyDescent="0.2">
      <c r="A347" s="39"/>
      <c r="B347" s="157"/>
      <c r="C347" s="155"/>
      <c r="D347" s="156"/>
      <c r="E347" s="36"/>
      <c r="F347" s="37"/>
    </row>
    <row r="348" spans="1:6" s="38" customFormat="1" ht="15" x14ac:dyDescent="0.2">
      <c r="A348" s="43" t="s">
        <v>14</v>
      </c>
      <c r="B348" s="24" t="s">
        <v>193</v>
      </c>
      <c r="C348" s="140">
        <v>1470</v>
      </c>
      <c r="D348" s="45" t="s">
        <v>36</v>
      </c>
      <c r="E348" s="36">
        <v>81.39</v>
      </c>
      <c r="F348" s="37">
        <f>C348*E348</f>
        <v>119643.3</v>
      </c>
    </row>
    <row r="349" spans="1:6" s="38" customFormat="1" ht="15" x14ac:dyDescent="0.2">
      <c r="A349" s="39"/>
      <c r="B349" s="157"/>
      <c r="C349" s="155"/>
      <c r="D349" s="156"/>
      <c r="E349" s="36"/>
      <c r="F349" s="37"/>
    </row>
    <row r="350" spans="1:6" s="38" customFormat="1" ht="15" x14ac:dyDescent="0.2">
      <c r="A350" s="43" t="s">
        <v>16</v>
      </c>
      <c r="B350" s="24" t="s">
        <v>121</v>
      </c>
      <c r="C350" s="139">
        <v>541</v>
      </c>
      <c r="D350" s="45" t="s">
        <v>36</v>
      </c>
      <c r="E350" s="36">
        <v>207.44</v>
      </c>
      <c r="F350" s="37">
        <f>C350*E350</f>
        <v>112225.04</v>
      </c>
    </row>
    <row r="351" spans="1:6" s="38" customFormat="1" ht="15" x14ac:dyDescent="0.2">
      <c r="A351" s="39"/>
      <c r="B351" s="157"/>
      <c r="C351" s="155"/>
      <c r="D351" s="156"/>
      <c r="E351" s="36"/>
      <c r="F351" s="37"/>
    </row>
    <row r="352" spans="1:6" s="38" customFormat="1" ht="15" x14ac:dyDescent="0.2">
      <c r="A352" s="43" t="s">
        <v>18</v>
      </c>
      <c r="B352" s="24" t="s">
        <v>194</v>
      </c>
      <c r="C352" s="139">
        <v>134.57</v>
      </c>
      <c r="D352" s="45" t="s">
        <v>123</v>
      </c>
      <c r="E352" s="36">
        <v>35.549999999999997</v>
      </c>
      <c r="F352" s="37">
        <f>C352*E352</f>
        <v>4783.9634999999989</v>
      </c>
    </row>
    <row r="353" spans="1:9" s="38" customFormat="1" ht="15" x14ac:dyDescent="0.2">
      <c r="A353" s="39"/>
      <c r="B353" s="157"/>
      <c r="C353" s="155"/>
      <c r="D353" s="156"/>
      <c r="E353" s="36"/>
      <c r="F353" s="37"/>
    </row>
    <row r="354" spans="1:9" s="38" customFormat="1" ht="15" x14ac:dyDescent="0.2">
      <c r="A354" s="43" t="s">
        <v>20</v>
      </c>
      <c r="B354" s="24" t="s">
        <v>122</v>
      </c>
      <c r="C354" s="139">
        <v>770</v>
      </c>
      <c r="D354" s="45" t="s">
        <v>123</v>
      </c>
      <c r="E354" s="36">
        <v>150.15</v>
      </c>
      <c r="F354" s="37">
        <f>C354*E354</f>
        <v>115615.5</v>
      </c>
    </row>
    <row r="355" spans="1:9" s="38" customFormat="1" ht="15" x14ac:dyDescent="0.2">
      <c r="A355" s="39"/>
      <c r="B355" s="157"/>
      <c r="C355" s="155"/>
      <c r="D355" s="156"/>
      <c r="E355" s="36"/>
      <c r="F355" s="37"/>
    </row>
    <row r="356" spans="1:9" s="38" customFormat="1" ht="15" x14ac:dyDescent="0.2">
      <c r="A356" s="43" t="s">
        <v>22</v>
      </c>
      <c r="B356" s="24" t="s">
        <v>40</v>
      </c>
      <c r="C356" s="139">
        <v>1</v>
      </c>
      <c r="D356" s="45" t="s">
        <v>1</v>
      </c>
      <c r="E356" s="63">
        <f>3230709+2658.6</f>
        <v>3233367.6</v>
      </c>
      <c r="F356" s="37">
        <f>C356*E356</f>
        <v>3233367.6</v>
      </c>
      <c r="G356" s="146">
        <f>+F356/I363</f>
        <v>288.60544692530419</v>
      </c>
      <c r="H356" s="147">
        <f>+G356/$H$362</f>
        <v>0.12928034712654729</v>
      </c>
    </row>
    <row r="357" spans="1:9" s="38" customFormat="1" ht="15" x14ac:dyDescent="0.2">
      <c r="A357" s="39"/>
      <c r="B357" s="157"/>
      <c r="C357" s="155"/>
      <c r="D357" s="156"/>
      <c r="E357" s="64"/>
      <c r="F357" s="37"/>
      <c r="H357" s="147"/>
    </row>
    <row r="358" spans="1:9" s="38" customFormat="1" ht="15" x14ac:dyDescent="0.2">
      <c r="A358" s="43" t="s">
        <v>24</v>
      </c>
      <c r="B358" s="24" t="s">
        <v>42</v>
      </c>
      <c r="C358" s="139">
        <v>1</v>
      </c>
      <c r="D358" s="45" t="s">
        <v>1</v>
      </c>
      <c r="E358" s="63">
        <v>1045591.91</v>
      </c>
      <c r="F358" s="37">
        <f>C358*E358</f>
        <v>1045591.91</v>
      </c>
      <c r="G358" s="146">
        <f>+F358/I363</f>
        <v>93.327934778288878</v>
      </c>
      <c r="H358" s="147">
        <f>+G358/$H$362</f>
        <v>4.1806098718101092E-2</v>
      </c>
    </row>
    <row r="359" spans="1:9" s="38" customFormat="1" ht="15" x14ac:dyDescent="0.2">
      <c r="A359" s="39"/>
      <c r="B359" s="157"/>
      <c r="C359" s="155"/>
      <c r="D359" s="156"/>
      <c r="E359" s="36"/>
      <c r="F359" s="37"/>
    </row>
    <row r="360" spans="1:9" s="38" customFormat="1" ht="28.5" x14ac:dyDescent="0.2">
      <c r="A360" s="43"/>
      <c r="B360" s="47" t="s">
        <v>124</v>
      </c>
      <c r="C360" s="139"/>
      <c r="D360" s="45"/>
      <c r="E360" s="36"/>
      <c r="F360" s="37"/>
    </row>
    <row r="361" spans="1:9" s="38" customFormat="1" ht="15" x14ac:dyDescent="0.2">
      <c r="A361" s="39"/>
      <c r="B361" s="157"/>
      <c r="C361" s="155"/>
      <c r="D361" s="156"/>
      <c r="E361" s="36"/>
      <c r="F361" s="37"/>
    </row>
    <row r="362" spans="1:9" s="38" customFormat="1" ht="15" x14ac:dyDescent="0.2">
      <c r="A362" s="43" t="s">
        <v>26</v>
      </c>
      <c r="B362" s="24" t="s">
        <v>125</v>
      </c>
      <c r="C362" s="140">
        <v>25312</v>
      </c>
      <c r="D362" s="45" t="s">
        <v>126</v>
      </c>
      <c r="E362" s="36">
        <v>26.44</v>
      </c>
      <c r="F362" s="37">
        <f>C362*E362</f>
        <v>669249.28000000003</v>
      </c>
      <c r="G362" s="144" t="s">
        <v>11</v>
      </c>
      <c r="H362" s="145">
        <f>SUMIF(D:D,G362,C:C)</f>
        <v>2232.4</v>
      </c>
      <c r="I362" s="145">
        <f>SUMIF(D:D,G362,F:F)</f>
        <v>25010511.434</v>
      </c>
    </row>
    <row r="363" spans="1:9" s="38" customFormat="1" ht="15" x14ac:dyDescent="0.2">
      <c r="A363" s="39"/>
      <c r="B363" s="157"/>
      <c r="C363" s="155"/>
      <c r="D363" s="156"/>
      <c r="E363" s="36"/>
      <c r="F363" s="37"/>
      <c r="I363" s="146">
        <f>+I362/H362</f>
        <v>11203.41848862211</v>
      </c>
    </row>
    <row r="364" spans="1:9" s="38" customFormat="1" ht="28.5" x14ac:dyDescent="0.2">
      <c r="A364" s="43" t="s">
        <v>28</v>
      </c>
      <c r="B364" s="24" t="s">
        <v>127</v>
      </c>
      <c r="C364" s="140">
        <v>25312</v>
      </c>
      <c r="D364" s="45" t="s">
        <v>126</v>
      </c>
      <c r="E364" s="36">
        <v>218.62</v>
      </c>
      <c r="F364" s="37">
        <f>C364*E364</f>
        <v>5533709.4400000004</v>
      </c>
      <c r="G364" s="38">
        <f>+'METAL SUM'!B10</f>
        <v>0</v>
      </c>
    </row>
    <row r="365" spans="1:9" s="38" customFormat="1" ht="15" x14ac:dyDescent="0.2">
      <c r="A365" s="39"/>
      <c r="B365" s="41"/>
      <c r="C365" s="155"/>
      <c r="D365" s="156"/>
      <c r="E365" s="36"/>
      <c r="F365" s="37"/>
    </row>
    <row r="366" spans="1:9" s="38" customFormat="1" ht="15" x14ac:dyDescent="0.2">
      <c r="A366" s="39"/>
      <c r="B366" s="41"/>
      <c r="C366" s="155"/>
      <c r="D366" s="156"/>
      <c r="E366" s="36"/>
      <c r="F366" s="37"/>
      <c r="G366" s="146">
        <f>+F356</f>
        <v>3233367.6</v>
      </c>
      <c r="H366" s="38">
        <v>2232.4</v>
      </c>
      <c r="I366" s="145">
        <f>+G366/H366</f>
        <v>1448.3818312130443</v>
      </c>
    </row>
    <row r="367" spans="1:9" s="38" customFormat="1" ht="15" x14ac:dyDescent="0.2">
      <c r="A367" s="39"/>
      <c r="B367" s="41"/>
      <c r="C367" s="155"/>
      <c r="D367" s="156"/>
      <c r="E367" s="36"/>
      <c r="F367" s="37"/>
      <c r="G367" s="146">
        <f>+F358</f>
        <v>1045591.91</v>
      </c>
      <c r="H367" s="38">
        <v>2232.4</v>
      </c>
      <c r="I367" s="145">
        <f>+G367/H367</f>
        <v>468.37121931553486</v>
      </c>
    </row>
    <row r="368" spans="1:9" s="38" customFormat="1" ht="15" x14ac:dyDescent="0.2">
      <c r="A368" s="39"/>
      <c r="B368" s="41"/>
      <c r="C368" s="155"/>
      <c r="D368" s="156"/>
      <c r="E368" s="36"/>
      <c r="F368" s="37"/>
    </row>
    <row r="369" spans="1:6" s="38" customFormat="1" ht="15" x14ac:dyDescent="0.2">
      <c r="A369" s="39"/>
      <c r="B369" s="41"/>
      <c r="C369" s="155"/>
      <c r="D369" s="156"/>
      <c r="E369" s="36"/>
      <c r="F369" s="37"/>
    </row>
    <row r="370" spans="1:6" s="38" customFormat="1" ht="15" x14ac:dyDescent="0.2">
      <c r="A370" s="39"/>
      <c r="B370" s="41"/>
      <c r="C370" s="155"/>
      <c r="D370" s="156"/>
      <c r="E370" s="36"/>
      <c r="F370" s="37"/>
    </row>
    <row r="371" spans="1:6" s="38" customFormat="1" ht="15" x14ac:dyDescent="0.2">
      <c r="A371" s="39"/>
      <c r="B371" s="41"/>
      <c r="C371" s="155"/>
      <c r="D371" s="156"/>
      <c r="E371" s="36"/>
      <c r="F371" s="37"/>
    </row>
    <row r="372" spans="1:6" s="38" customFormat="1" ht="15" x14ac:dyDescent="0.2">
      <c r="A372" s="39"/>
      <c r="B372" s="41"/>
      <c r="C372" s="155"/>
      <c r="D372" s="156"/>
      <c r="E372" s="36"/>
      <c r="F372" s="37"/>
    </row>
    <row r="373" spans="1:6" s="38" customFormat="1" ht="15" x14ac:dyDescent="0.2">
      <c r="A373" s="39"/>
      <c r="B373" s="41"/>
      <c r="C373" s="155"/>
      <c r="D373" s="156"/>
      <c r="E373" s="36"/>
      <c r="F373" s="37"/>
    </row>
    <row r="374" spans="1:6" s="38" customFormat="1" ht="15" x14ac:dyDescent="0.2">
      <c r="A374" s="39"/>
      <c r="B374" s="41"/>
      <c r="C374" s="155"/>
      <c r="D374" s="156"/>
      <c r="E374" s="36"/>
      <c r="F374" s="37"/>
    </row>
    <row r="375" spans="1:6" s="38" customFormat="1" ht="15" x14ac:dyDescent="0.2">
      <c r="A375" s="39"/>
      <c r="B375" s="41"/>
      <c r="C375" s="155"/>
      <c r="D375" s="156"/>
      <c r="E375" s="36"/>
      <c r="F375" s="37"/>
    </row>
    <row r="376" spans="1:6" s="38" customFormat="1" ht="15" x14ac:dyDescent="0.2">
      <c r="A376" s="39"/>
      <c r="B376" s="41"/>
      <c r="C376" s="155"/>
      <c r="D376" s="156"/>
      <c r="E376" s="36"/>
      <c r="F376" s="37"/>
    </row>
    <row r="377" spans="1:6" s="38" customFormat="1" ht="15" x14ac:dyDescent="0.2">
      <c r="A377" s="39"/>
      <c r="B377" s="41"/>
      <c r="C377" s="155"/>
      <c r="D377" s="156"/>
      <c r="E377" s="36"/>
      <c r="F377" s="37"/>
    </row>
    <row r="378" spans="1:6" s="38" customFormat="1" ht="15" x14ac:dyDescent="0.2">
      <c r="A378" s="39"/>
      <c r="B378" s="41"/>
      <c r="C378" s="155"/>
      <c r="D378" s="156"/>
      <c r="E378" s="36"/>
      <c r="F378" s="37"/>
    </row>
    <row r="379" spans="1:6" s="38" customFormat="1" ht="15" x14ac:dyDescent="0.2">
      <c r="A379" s="39"/>
      <c r="B379" s="41"/>
      <c r="C379" s="155"/>
      <c r="D379" s="156"/>
      <c r="E379" s="36"/>
      <c r="F379" s="37"/>
    </row>
    <row r="380" spans="1:6" s="38" customFormat="1" ht="15" x14ac:dyDescent="0.2">
      <c r="A380" s="39"/>
      <c r="B380" s="41"/>
      <c r="C380" s="155"/>
      <c r="D380" s="156"/>
      <c r="E380" s="36"/>
      <c r="F380" s="37"/>
    </row>
    <row r="381" spans="1:6" s="38" customFormat="1" ht="15" x14ac:dyDescent="0.2">
      <c r="A381" s="39"/>
      <c r="B381" s="41"/>
      <c r="C381" s="155"/>
      <c r="D381" s="156"/>
      <c r="E381" s="36"/>
      <c r="F381" s="37"/>
    </row>
    <row r="382" spans="1:6" s="38" customFormat="1" ht="15" x14ac:dyDescent="0.2">
      <c r="A382" s="39"/>
      <c r="B382" s="41"/>
      <c r="C382" s="155"/>
      <c r="D382" s="156"/>
      <c r="E382" s="36"/>
      <c r="F382" s="37"/>
    </row>
    <row r="383" spans="1:6" s="38" customFormat="1" ht="15" x14ac:dyDescent="0.2">
      <c r="A383" s="39"/>
      <c r="B383" s="41"/>
      <c r="C383" s="155"/>
      <c r="D383" s="156"/>
      <c r="E383" s="36"/>
      <c r="F383" s="37"/>
    </row>
    <row r="384" spans="1:6" s="38" customFormat="1" ht="15" x14ac:dyDescent="0.2">
      <c r="A384" s="39"/>
      <c r="B384" s="41"/>
      <c r="C384" s="155"/>
      <c r="D384" s="156"/>
      <c r="E384" s="36"/>
      <c r="F384" s="37"/>
    </row>
    <row r="385" spans="1:6" s="38" customFormat="1" ht="15" x14ac:dyDescent="0.2">
      <c r="A385" s="48"/>
      <c r="B385" s="49"/>
      <c r="C385" s="50"/>
      <c r="D385" s="51"/>
      <c r="E385" s="52"/>
      <c r="F385" s="53"/>
    </row>
    <row r="386" spans="1:6" s="38" customFormat="1" ht="15" x14ac:dyDescent="0.2">
      <c r="A386" s="54"/>
      <c r="B386" s="55"/>
      <c r="C386" s="56" t="s">
        <v>147</v>
      </c>
      <c r="D386" s="56"/>
      <c r="E386" s="57" t="s">
        <v>135</v>
      </c>
      <c r="F386" s="58">
        <f>SUM(F343:F383)</f>
        <v>10843783.513500001</v>
      </c>
    </row>
    <row r="387" spans="1:6" s="38" customFormat="1" ht="15" x14ac:dyDescent="0.2">
      <c r="A387" s="54"/>
      <c r="B387" s="55"/>
      <c r="C387" s="59"/>
      <c r="D387" s="60"/>
      <c r="E387" s="61"/>
      <c r="F387" s="62"/>
    </row>
    <row r="388" spans="1:6" s="38" customFormat="1" ht="15" x14ac:dyDescent="0.2">
      <c r="A388" s="39"/>
      <c r="B388" s="41"/>
      <c r="C388" s="155"/>
      <c r="D388" s="156"/>
      <c r="E388" s="65"/>
      <c r="F388" s="37"/>
    </row>
    <row r="389" spans="1:6" s="38" customFormat="1" ht="15" x14ac:dyDescent="0.2">
      <c r="A389" s="39"/>
      <c r="B389" s="159" t="s">
        <v>130</v>
      </c>
      <c r="C389" s="155"/>
      <c r="D389" s="156"/>
      <c r="E389" s="65"/>
      <c r="F389" s="37"/>
    </row>
    <row r="390" spans="1:6" s="38" customFormat="1" ht="15" x14ac:dyDescent="0.2">
      <c r="A390" s="39"/>
      <c r="B390" s="33"/>
      <c r="C390" s="155"/>
      <c r="D390" s="156"/>
      <c r="E390" s="65"/>
      <c r="F390" s="37"/>
    </row>
    <row r="391" spans="1:6" s="38" customFormat="1" ht="15" x14ac:dyDescent="0.2">
      <c r="A391" s="39"/>
      <c r="B391" s="160" t="s">
        <v>230</v>
      </c>
      <c r="C391" s="155"/>
      <c r="D391" s="156"/>
      <c r="E391" s="65"/>
      <c r="F391" s="37">
        <f>F43</f>
        <v>883693.30180000002</v>
      </c>
    </row>
    <row r="392" spans="1:6" s="38" customFormat="1" ht="15" x14ac:dyDescent="0.2">
      <c r="A392" s="39"/>
      <c r="C392" s="155"/>
      <c r="D392" s="156"/>
      <c r="E392" s="65"/>
      <c r="F392" s="37"/>
    </row>
    <row r="393" spans="1:6" s="38" customFormat="1" ht="15" x14ac:dyDescent="0.2">
      <c r="A393" s="39"/>
      <c r="B393" s="160" t="s">
        <v>231</v>
      </c>
      <c r="C393" s="155"/>
      <c r="D393" s="156"/>
      <c r="E393" s="65"/>
      <c r="F393" s="37">
        <f>F89</f>
        <v>580427.82120000001</v>
      </c>
    </row>
    <row r="394" spans="1:6" s="38" customFormat="1" ht="15" x14ac:dyDescent="0.2">
      <c r="A394" s="39"/>
      <c r="C394" s="155"/>
      <c r="D394" s="156"/>
      <c r="E394" s="65"/>
      <c r="F394" s="37"/>
    </row>
    <row r="395" spans="1:6" s="38" customFormat="1" ht="15" x14ac:dyDescent="0.2">
      <c r="A395" s="39"/>
      <c r="B395" s="160" t="s">
        <v>232</v>
      </c>
      <c r="C395" s="155"/>
      <c r="D395" s="156"/>
      <c r="E395" s="65"/>
      <c r="F395" s="37">
        <f>F139</f>
        <v>1085358.0982000001</v>
      </c>
    </row>
    <row r="396" spans="1:6" s="38" customFormat="1" ht="15" x14ac:dyDescent="0.2">
      <c r="A396" s="39"/>
      <c r="C396" s="155"/>
      <c r="D396" s="156"/>
      <c r="E396" s="65"/>
      <c r="F396" s="37"/>
    </row>
    <row r="397" spans="1:6" s="38" customFormat="1" ht="15" x14ac:dyDescent="0.2">
      <c r="A397" s="39"/>
      <c r="B397" s="160" t="s">
        <v>233</v>
      </c>
      <c r="C397" s="155"/>
      <c r="D397" s="156"/>
      <c r="E397" s="65"/>
      <c r="F397" s="37">
        <f>F189</f>
        <v>2472239.1583999996</v>
      </c>
    </row>
    <row r="398" spans="1:6" s="38" customFormat="1" ht="15" x14ac:dyDescent="0.2">
      <c r="A398" s="39"/>
      <c r="C398" s="155"/>
      <c r="D398" s="156"/>
      <c r="E398" s="65"/>
      <c r="F398" s="37"/>
    </row>
    <row r="399" spans="1:6" s="38" customFormat="1" ht="15" x14ac:dyDescent="0.2">
      <c r="A399" s="39"/>
      <c r="B399" s="160" t="s">
        <v>234</v>
      </c>
      <c r="C399" s="155"/>
      <c r="D399" s="156"/>
      <c r="E399" s="65"/>
      <c r="F399" s="37">
        <f>F239</f>
        <v>10209962.695999999</v>
      </c>
    </row>
    <row r="400" spans="1:6" x14ac:dyDescent="0.2">
      <c r="A400" s="39"/>
      <c r="C400" s="155"/>
      <c r="D400" s="156"/>
      <c r="E400" s="65"/>
      <c r="F400" s="37"/>
    </row>
    <row r="401" spans="1:6" x14ac:dyDescent="0.2">
      <c r="A401" s="39"/>
      <c r="B401" s="160" t="s">
        <v>235</v>
      </c>
      <c r="C401" s="155"/>
      <c r="D401" s="156"/>
      <c r="E401" s="65"/>
      <c r="F401" s="37">
        <f>F289</f>
        <v>9511204.1621999983</v>
      </c>
    </row>
    <row r="402" spans="1:6" x14ac:dyDescent="0.2">
      <c r="A402" s="39"/>
      <c r="C402" s="155"/>
      <c r="D402" s="156"/>
      <c r="E402" s="65"/>
      <c r="F402" s="37"/>
    </row>
    <row r="403" spans="1:6" x14ac:dyDescent="0.2">
      <c r="A403" s="39"/>
      <c r="B403" s="160" t="s">
        <v>236</v>
      </c>
      <c r="C403" s="155"/>
      <c r="D403" s="156"/>
      <c r="E403" s="65"/>
      <c r="F403" s="37">
        <f>F339</f>
        <v>518712.64619999996</v>
      </c>
    </row>
    <row r="404" spans="1:6" x14ac:dyDescent="0.2">
      <c r="A404" s="39"/>
      <c r="C404" s="155"/>
      <c r="D404" s="156"/>
      <c r="E404" s="65"/>
      <c r="F404" s="37"/>
    </row>
    <row r="405" spans="1:6" x14ac:dyDescent="0.2">
      <c r="A405" s="39"/>
      <c r="B405" s="160" t="s">
        <v>237</v>
      </c>
      <c r="C405" s="155"/>
      <c r="D405" s="156"/>
      <c r="E405" s="65"/>
      <c r="F405" s="37">
        <f>F386</f>
        <v>10843783.513500001</v>
      </c>
    </row>
    <row r="406" spans="1:6" x14ac:dyDescent="0.2">
      <c r="A406" s="39"/>
      <c r="B406" s="160"/>
      <c r="C406" s="155"/>
      <c r="D406" s="156"/>
      <c r="E406" s="65"/>
      <c r="F406" s="37"/>
    </row>
    <row r="407" spans="1:6" x14ac:dyDescent="0.2">
      <c r="A407" s="39"/>
      <c r="B407" s="160"/>
      <c r="C407" s="155"/>
      <c r="D407" s="156"/>
      <c r="E407" s="65"/>
      <c r="F407" s="37"/>
    </row>
    <row r="408" spans="1:6" x14ac:dyDescent="0.2">
      <c r="A408" s="39"/>
      <c r="B408" s="160"/>
      <c r="C408" s="155"/>
      <c r="D408" s="156"/>
      <c r="E408" s="65"/>
      <c r="F408" s="37"/>
    </row>
    <row r="409" spans="1:6" x14ac:dyDescent="0.2">
      <c r="A409" s="39"/>
      <c r="B409" s="160"/>
      <c r="C409" s="155"/>
      <c r="D409" s="156"/>
      <c r="E409" s="65"/>
      <c r="F409" s="37"/>
    </row>
    <row r="410" spans="1:6" x14ac:dyDescent="0.2">
      <c r="A410" s="39"/>
      <c r="B410" s="160"/>
      <c r="C410" s="155"/>
      <c r="D410" s="156"/>
      <c r="E410" s="65"/>
      <c r="F410" s="37"/>
    </row>
    <row r="411" spans="1:6" x14ac:dyDescent="0.2">
      <c r="A411" s="39"/>
      <c r="B411" s="160"/>
      <c r="C411" s="155"/>
      <c r="D411" s="156"/>
      <c r="E411" s="65"/>
      <c r="F411" s="37"/>
    </row>
    <row r="412" spans="1:6" x14ac:dyDescent="0.2">
      <c r="A412" s="39"/>
      <c r="B412" s="160"/>
      <c r="C412" s="155"/>
      <c r="D412" s="156"/>
      <c r="E412" s="65"/>
      <c r="F412" s="37"/>
    </row>
    <row r="413" spans="1:6" x14ac:dyDescent="0.2">
      <c r="A413" s="39"/>
      <c r="B413" s="160"/>
      <c r="C413" s="155"/>
      <c r="D413" s="156"/>
      <c r="E413" s="65"/>
      <c r="F413" s="37"/>
    </row>
    <row r="414" spans="1:6" x14ac:dyDescent="0.2">
      <c r="A414" s="39"/>
      <c r="B414" s="41"/>
      <c r="C414" s="155"/>
      <c r="D414" s="156"/>
      <c r="E414" s="65"/>
      <c r="F414" s="37"/>
    </row>
    <row r="415" spans="1:6" x14ac:dyDescent="0.2">
      <c r="A415" s="39"/>
      <c r="B415" s="160"/>
      <c r="C415" s="155"/>
      <c r="D415" s="156"/>
      <c r="E415" s="65"/>
      <c r="F415" s="37"/>
    </row>
    <row r="416" spans="1:6" x14ac:dyDescent="0.2">
      <c r="A416" s="39"/>
      <c r="B416" s="41"/>
      <c r="C416" s="155"/>
      <c r="D416" s="156"/>
      <c r="E416" s="65"/>
      <c r="F416" s="37"/>
    </row>
    <row r="417" spans="1:6" x14ac:dyDescent="0.2">
      <c r="A417" s="25"/>
      <c r="B417" s="160"/>
      <c r="C417" s="162"/>
      <c r="D417" s="163"/>
      <c r="E417" s="36"/>
      <c r="F417" s="37"/>
    </row>
    <row r="418" spans="1:6" x14ac:dyDescent="0.2">
      <c r="A418" s="25"/>
      <c r="B418" s="41"/>
      <c r="C418" s="162"/>
      <c r="D418" s="163"/>
      <c r="E418" s="36"/>
      <c r="F418" s="37"/>
    </row>
    <row r="419" spans="1:6" x14ac:dyDescent="0.2">
      <c r="A419" s="25"/>
      <c r="B419" s="160"/>
      <c r="C419" s="162"/>
      <c r="D419" s="163"/>
      <c r="E419" s="36"/>
      <c r="F419" s="37"/>
    </row>
    <row r="420" spans="1:6" x14ac:dyDescent="0.2">
      <c r="A420" s="25"/>
      <c r="B420" s="41"/>
      <c r="C420" s="162"/>
      <c r="D420" s="163"/>
      <c r="E420" s="36"/>
      <c r="F420" s="37"/>
    </row>
    <row r="421" spans="1:6" x14ac:dyDescent="0.2">
      <c r="A421" s="25"/>
      <c r="B421" s="67"/>
      <c r="C421" s="162"/>
      <c r="D421" s="163"/>
      <c r="E421" s="36"/>
      <c r="F421" s="37"/>
    </row>
    <row r="422" spans="1:6" x14ac:dyDescent="0.2">
      <c r="A422" s="25"/>
      <c r="B422" s="67"/>
      <c r="C422" s="162"/>
      <c r="D422" s="163"/>
      <c r="E422" s="36"/>
      <c r="F422" s="37"/>
    </row>
    <row r="423" spans="1:6" x14ac:dyDescent="0.2">
      <c r="A423" s="25"/>
      <c r="B423" s="67"/>
      <c r="C423" s="162"/>
      <c r="D423" s="163"/>
      <c r="E423" s="36"/>
      <c r="F423" s="37"/>
    </row>
    <row r="424" spans="1:6" x14ac:dyDescent="0.2">
      <c r="A424" s="25"/>
      <c r="B424" s="67"/>
      <c r="C424" s="162"/>
      <c r="D424" s="163"/>
      <c r="E424" s="36"/>
      <c r="F424" s="37"/>
    </row>
    <row r="425" spans="1:6" x14ac:dyDescent="0.2">
      <c r="A425" s="25"/>
      <c r="B425" s="67"/>
      <c r="C425" s="162"/>
      <c r="D425" s="163"/>
      <c r="E425" s="36"/>
      <c r="F425" s="37"/>
    </row>
    <row r="426" spans="1:6" x14ac:dyDescent="0.2">
      <c r="A426" s="25"/>
      <c r="B426" s="67"/>
      <c r="C426" s="162"/>
      <c r="D426" s="163"/>
      <c r="E426" s="36"/>
      <c r="F426" s="37"/>
    </row>
    <row r="427" spans="1:6" x14ac:dyDescent="0.2">
      <c r="A427" s="25"/>
      <c r="B427" s="67"/>
      <c r="C427" s="162"/>
      <c r="D427" s="163"/>
      <c r="E427" s="36"/>
      <c r="F427" s="37"/>
    </row>
    <row r="428" spans="1:6" x14ac:dyDescent="0.2">
      <c r="A428" s="25"/>
      <c r="B428" s="67"/>
      <c r="C428" s="162"/>
      <c r="D428" s="163"/>
      <c r="E428" s="36"/>
      <c r="F428" s="37"/>
    </row>
    <row r="429" spans="1:6" x14ac:dyDescent="0.2">
      <c r="A429" s="25"/>
      <c r="B429" s="67"/>
      <c r="C429" s="162"/>
      <c r="D429" s="163"/>
      <c r="E429" s="36"/>
      <c r="F429" s="37"/>
    </row>
    <row r="430" spans="1:6" x14ac:dyDescent="0.2">
      <c r="A430" s="25"/>
      <c r="B430" s="67"/>
      <c r="C430" s="162"/>
      <c r="D430" s="163"/>
      <c r="E430" s="36"/>
      <c r="F430" s="37"/>
    </row>
    <row r="431" spans="1:6" x14ac:dyDescent="0.2">
      <c r="A431" s="25"/>
      <c r="B431" s="67"/>
      <c r="C431" s="162"/>
      <c r="D431" s="163"/>
      <c r="E431" s="36"/>
      <c r="F431" s="37"/>
    </row>
    <row r="432" spans="1:6" x14ac:dyDescent="0.2">
      <c r="A432" s="25"/>
      <c r="B432" s="67"/>
      <c r="C432" s="162"/>
      <c r="D432" s="163"/>
      <c r="E432" s="36"/>
      <c r="F432" s="37"/>
    </row>
    <row r="433" spans="1:6" x14ac:dyDescent="0.2">
      <c r="A433" s="68"/>
      <c r="B433" s="164"/>
      <c r="C433" s="165"/>
      <c r="D433" s="166"/>
      <c r="E433" s="52"/>
      <c r="F433" s="53"/>
    </row>
    <row r="434" spans="1:6" x14ac:dyDescent="0.2">
      <c r="A434" s="69"/>
      <c r="B434" s="167"/>
      <c r="C434" s="168" t="s">
        <v>195</v>
      </c>
      <c r="D434" s="168"/>
      <c r="E434" s="57" t="s">
        <v>135</v>
      </c>
      <c r="F434" s="58">
        <f>SUM(F390:F432)</f>
        <v>36105381.397499993</v>
      </c>
    </row>
    <row r="435" spans="1:6" x14ac:dyDescent="0.2">
      <c r="A435" s="69"/>
      <c r="B435" s="167"/>
      <c r="C435" s="169"/>
      <c r="D435" s="170"/>
      <c r="E435" s="61"/>
      <c r="F435" s="62"/>
    </row>
  </sheetData>
  <autoFilter ref="A1:F435" xr:uid="{093EDA1F-7BBD-4713-B4A1-879155E9934F}"/>
  <mergeCells count="4">
    <mergeCell ref="A1:A2"/>
    <mergeCell ref="B1:B2"/>
    <mergeCell ref="C1:C2"/>
    <mergeCell ref="D1:D2"/>
  </mergeCells>
  <phoneticPr fontId="16" type="noConversion"/>
  <printOptions horizontalCentered="1"/>
  <pageMargins left="0.6692913385826772" right="0.19685039370078741" top="0.82677165354330717" bottom="0.47244094488188981" header="0.19685039370078741" footer="0.23622047244094491"/>
  <pageSetup paperSize="9" scale="88" fitToHeight="0" orientation="portrait" r:id="rId1"/>
  <headerFooter>
    <oddHeader>&amp;R&amp;UBILL NO. 14 - STRUCTURAL METAL WORK GMP
MALL REFURBISHMENT</oddHeader>
    <oddFooter>&amp;L&amp;8DMS 148704 BOQ - Nakheel Mall Al Khail&amp;C14/1/&amp;P</oddFooter>
  </headerFooter>
  <rowBreaks count="8" manualBreakCount="8">
    <brk id="44" max="5" man="1"/>
    <brk id="90" max="5" man="1"/>
    <brk id="140" max="5" man="1"/>
    <brk id="190" max="5" man="1"/>
    <brk id="240" max="5" man="1"/>
    <brk id="290" max="5" man="1"/>
    <brk id="340" max="5" man="1"/>
    <brk id="387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882E-C982-488B-A89D-138A8C92A0E1}">
  <sheetPr>
    <tabColor rgb="FF002060"/>
  </sheetPr>
  <dimension ref="A1:I290"/>
  <sheetViews>
    <sheetView tabSelected="1" view="pageBreakPreview" topLeftCell="A156" zoomScale="85" zoomScaleNormal="100" zoomScaleSheetLayoutView="85" zoomScalePageLayoutView="70" workbookViewId="0">
      <selection activeCell="I153" sqref="I153"/>
    </sheetView>
  </sheetViews>
  <sheetFormatPr defaultColWidth="9.28515625" defaultRowHeight="14.25" x14ac:dyDescent="0.2"/>
  <cols>
    <col min="1" max="1" width="5.7109375" style="99" customWidth="1"/>
    <col min="2" max="2" width="44.7109375" style="100" customWidth="1"/>
    <col min="3" max="3" width="10.28515625" style="101" customWidth="1"/>
    <col min="4" max="4" width="6.7109375" style="102" customWidth="1"/>
    <col min="5" max="5" width="12.7109375" style="57" customWidth="1"/>
    <col min="6" max="6" width="15.7109375" style="71" customWidth="1"/>
    <col min="7" max="7" width="27.140625" style="79" customWidth="1"/>
    <col min="8" max="8" width="13.7109375" style="80" customWidth="1"/>
    <col min="9" max="9" width="14.85546875" style="80" customWidth="1"/>
    <col min="10" max="16384" width="9.28515625" style="80"/>
  </cols>
  <sheetData>
    <row r="1" spans="1:8" s="29" customFormat="1" ht="15" x14ac:dyDescent="0.25">
      <c r="A1" s="173" t="s">
        <v>1</v>
      </c>
      <c r="B1" s="173" t="s">
        <v>2</v>
      </c>
      <c r="C1" s="179" t="s">
        <v>132</v>
      </c>
      <c r="D1" s="177" t="s">
        <v>4</v>
      </c>
      <c r="E1" s="27" t="s">
        <v>133</v>
      </c>
      <c r="F1" s="28" t="s">
        <v>134</v>
      </c>
      <c r="G1" s="73"/>
    </row>
    <row r="2" spans="1:8" s="29" customFormat="1" ht="15" x14ac:dyDescent="0.25">
      <c r="A2" s="174"/>
      <c r="B2" s="174"/>
      <c r="C2" s="180"/>
      <c r="D2" s="178"/>
      <c r="E2" s="30" t="s">
        <v>135</v>
      </c>
      <c r="F2" s="31" t="s">
        <v>135</v>
      </c>
      <c r="G2" s="73"/>
    </row>
    <row r="3" spans="1:8" s="29" customFormat="1" ht="15" x14ac:dyDescent="0.2">
      <c r="A3" s="32"/>
      <c r="B3" s="33"/>
      <c r="C3" s="34"/>
      <c r="D3" s="35"/>
      <c r="E3" s="36"/>
      <c r="F3" s="37"/>
      <c r="G3" s="73"/>
    </row>
    <row r="4" spans="1:8" x14ac:dyDescent="0.2">
      <c r="A4" s="74"/>
      <c r="B4" s="40" t="s">
        <v>0</v>
      </c>
      <c r="C4" s="75"/>
      <c r="D4" s="76"/>
      <c r="E4" s="77"/>
      <c r="F4" s="78"/>
    </row>
    <row r="5" spans="1:8" x14ac:dyDescent="0.2">
      <c r="A5" s="74"/>
      <c r="B5" s="41"/>
      <c r="C5" s="75"/>
      <c r="D5" s="76"/>
      <c r="E5" s="77"/>
      <c r="F5" s="78"/>
    </row>
    <row r="6" spans="1:8" x14ac:dyDescent="0.2">
      <c r="A6" s="74"/>
      <c r="B6" s="42" t="s">
        <v>7</v>
      </c>
      <c r="C6" s="75"/>
      <c r="D6" s="76"/>
      <c r="E6" s="77"/>
      <c r="F6" s="78"/>
    </row>
    <row r="7" spans="1:8" x14ac:dyDescent="0.2">
      <c r="A7" s="74"/>
      <c r="B7" s="81"/>
      <c r="C7" s="75"/>
      <c r="D7" s="76"/>
      <c r="E7" s="77"/>
      <c r="F7" s="78"/>
    </row>
    <row r="8" spans="1:8" ht="57" x14ac:dyDescent="0.2">
      <c r="A8" s="43"/>
      <c r="B8" s="47" t="s">
        <v>9</v>
      </c>
      <c r="C8" s="44"/>
      <c r="D8" s="45"/>
      <c r="E8" s="77"/>
      <c r="F8" s="78"/>
    </row>
    <row r="9" spans="1:8" x14ac:dyDescent="0.2">
      <c r="A9" s="74"/>
      <c r="B9" s="81"/>
      <c r="C9" s="75"/>
      <c r="D9" s="76"/>
      <c r="E9" s="77"/>
      <c r="F9" s="78"/>
    </row>
    <row r="10" spans="1:8" x14ac:dyDescent="0.2">
      <c r="A10" s="43" t="s">
        <v>10</v>
      </c>
      <c r="B10" s="24" t="s">
        <v>199</v>
      </c>
      <c r="C10" s="44">
        <v>20.02</v>
      </c>
      <c r="D10" s="45" t="s">
        <v>11</v>
      </c>
      <c r="E10" s="77">
        <v>11192.68</v>
      </c>
      <c r="F10" s="78">
        <f>C10*E10</f>
        <v>224077.45360000001</v>
      </c>
      <c r="H10" s="82"/>
    </row>
    <row r="11" spans="1:8" x14ac:dyDescent="0.2">
      <c r="A11" s="74"/>
      <c r="B11" s="81"/>
      <c r="C11" s="75"/>
      <c r="D11" s="76"/>
      <c r="E11" s="77"/>
      <c r="F11" s="78"/>
      <c r="H11" s="82"/>
    </row>
    <row r="12" spans="1:8" x14ac:dyDescent="0.2">
      <c r="A12" s="43" t="s">
        <v>12</v>
      </c>
      <c r="B12" s="24" t="s">
        <v>200</v>
      </c>
      <c r="C12" s="44">
        <v>4.91</v>
      </c>
      <c r="D12" s="45" t="s">
        <v>11</v>
      </c>
      <c r="E12" s="77">
        <v>11192.68</v>
      </c>
      <c r="F12" s="78">
        <f>C12*E12</f>
        <v>54956.058800000006</v>
      </c>
      <c r="H12" s="82"/>
    </row>
    <row r="13" spans="1:8" x14ac:dyDescent="0.2">
      <c r="A13" s="74"/>
      <c r="B13" s="81"/>
      <c r="C13" s="75"/>
      <c r="D13" s="76"/>
      <c r="E13" s="77"/>
      <c r="F13" s="78"/>
      <c r="H13" s="82"/>
    </row>
    <row r="14" spans="1:8" x14ac:dyDescent="0.2">
      <c r="A14" s="43" t="s">
        <v>14</v>
      </c>
      <c r="B14" s="24" t="s">
        <v>201</v>
      </c>
      <c r="C14" s="44">
        <v>15.79</v>
      </c>
      <c r="D14" s="45" t="s">
        <v>11</v>
      </c>
      <c r="E14" s="77">
        <v>11192.68</v>
      </c>
      <c r="F14" s="78">
        <f>C14*E14</f>
        <v>176732.4172</v>
      </c>
      <c r="H14" s="82"/>
    </row>
    <row r="15" spans="1:8" x14ac:dyDescent="0.2">
      <c r="A15" s="74"/>
      <c r="B15" s="81"/>
      <c r="C15" s="75"/>
      <c r="D15" s="76"/>
      <c r="E15" s="77"/>
      <c r="F15" s="78"/>
      <c r="H15" s="82"/>
    </row>
    <row r="16" spans="1:8" x14ac:dyDescent="0.2">
      <c r="A16" s="43" t="s">
        <v>16</v>
      </c>
      <c r="B16" s="24" t="s">
        <v>202</v>
      </c>
      <c r="C16" s="44">
        <v>4.53</v>
      </c>
      <c r="D16" s="45" t="s">
        <v>11</v>
      </c>
      <c r="E16" s="77">
        <v>11192.68</v>
      </c>
      <c r="F16" s="78">
        <f>C16*E16</f>
        <v>50702.840400000001</v>
      </c>
      <c r="H16" s="82"/>
    </row>
    <row r="17" spans="1:8" x14ac:dyDescent="0.2">
      <c r="A17" s="74"/>
      <c r="B17" s="81"/>
      <c r="C17" s="75"/>
      <c r="D17" s="76"/>
      <c r="E17" s="77"/>
      <c r="F17" s="78"/>
      <c r="H17" s="82"/>
    </row>
    <row r="18" spans="1:8" x14ac:dyDescent="0.2">
      <c r="A18" s="43" t="s">
        <v>18</v>
      </c>
      <c r="B18" s="24" t="s">
        <v>203</v>
      </c>
      <c r="C18" s="44">
        <v>4.5999999999999996</v>
      </c>
      <c r="D18" s="45" t="s">
        <v>11</v>
      </c>
      <c r="E18" s="77">
        <v>11192.68</v>
      </c>
      <c r="F18" s="78">
        <f>C18*E18</f>
        <v>51486.327999999994</v>
      </c>
      <c r="H18" s="82"/>
    </row>
    <row r="19" spans="1:8" x14ac:dyDescent="0.2">
      <c r="A19" s="74"/>
      <c r="B19" s="81"/>
      <c r="C19" s="75"/>
      <c r="D19" s="76"/>
      <c r="E19" s="77"/>
      <c r="F19" s="78"/>
      <c r="H19" s="82"/>
    </row>
    <row r="20" spans="1:8" x14ac:dyDescent="0.2">
      <c r="A20" s="43" t="s">
        <v>20</v>
      </c>
      <c r="B20" s="24" t="s">
        <v>100</v>
      </c>
      <c r="C20" s="44">
        <v>1.1499999999999999</v>
      </c>
      <c r="D20" s="45" t="s">
        <v>11</v>
      </c>
      <c r="E20" s="77">
        <v>11192.68</v>
      </c>
      <c r="F20" s="78">
        <f>C20*E20</f>
        <v>12871.581999999999</v>
      </c>
      <c r="H20" s="82"/>
    </row>
    <row r="21" spans="1:8" x14ac:dyDescent="0.2">
      <c r="A21" s="74"/>
      <c r="B21" s="81"/>
      <c r="C21" s="75"/>
      <c r="D21" s="76"/>
      <c r="E21" s="77"/>
      <c r="F21" s="78"/>
      <c r="H21" s="82"/>
    </row>
    <row r="22" spans="1:8" x14ac:dyDescent="0.2">
      <c r="A22" s="43" t="s">
        <v>22</v>
      </c>
      <c r="B22" s="24" t="s">
        <v>204</v>
      </c>
      <c r="C22" s="44">
        <v>0.59</v>
      </c>
      <c r="D22" s="45" t="s">
        <v>11</v>
      </c>
      <c r="E22" s="77">
        <v>11192.68</v>
      </c>
      <c r="F22" s="78">
        <f>C22*E22</f>
        <v>6603.6812</v>
      </c>
      <c r="H22" s="82"/>
    </row>
    <row r="23" spans="1:8" x14ac:dyDescent="0.2">
      <c r="A23" s="74"/>
      <c r="B23" s="81"/>
      <c r="C23" s="75"/>
      <c r="D23" s="76"/>
      <c r="E23" s="77"/>
      <c r="F23" s="78"/>
      <c r="H23" s="82"/>
    </row>
    <row r="24" spans="1:8" x14ac:dyDescent="0.2">
      <c r="A24" s="43" t="s">
        <v>24</v>
      </c>
      <c r="B24" s="24" t="s">
        <v>188</v>
      </c>
      <c r="C24" s="44">
        <v>87</v>
      </c>
      <c r="D24" s="45" t="s">
        <v>205</v>
      </c>
      <c r="E24" s="77">
        <v>24.09</v>
      </c>
      <c r="F24" s="78">
        <f>C24*E24</f>
        <v>2095.83</v>
      </c>
      <c r="H24" s="82"/>
    </row>
    <row r="25" spans="1:8" x14ac:dyDescent="0.2">
      <c r="A25" s="74"/>
      <c r="B25" s="81"/>
      <c r="C25" s="75"/>
      <c r="D25" s="76"/>
      <c r="E25" s="77"/>
      <c r="F25" s="78"/>
      <c r="H25" s="82"/>
    </row>
    <row r="26" spans="1:8" x14ac:dyDescent="0.2">
      <c r="A26" s="43" t="s">
        <v>26</v>
      </c>
      <c r="B26" s="24" t="s">
        <v>148</v>
      </c>
      <c r="C26" s="44">
        <v>212</v>
      </c>
      <c r="D26" s="45" t="s">
        <v>36</v>
      </c>
      <c r="E26" s="77">
        <v>35.549999999999997</v>
      </c>
      <c r="F26" s="78">
        <f>C26*E26</f>
        <v>7536.5999999999995</v>
      </c>
      <c r="H26" s="82"/>
    </row>
    <row r="27" spans="1:8" x14ac:dyDescent="0.2">
      <c r="A27" s="74"/>
      <c r="B27" s="81"/>
      <c r="C27" s="75"/>
      <c r="D27" s="76"/>
      <c r="E27" s="77"/>
      <c r="F27" s="78"/>
      <c r="H27" s="82"/>
    </row>
    <row r="28" spans="1:8" x14ac:dyDescent="0.2">
      <c r="A28" s="43" t="s">
        <v>28</v>
      </c>
      <c r="B28" s="24" t="s">
        <v>40</v>
      </c>
      <c r="C28" s="44">
        <v>1</v>
      </c>
      <c r="D28" s="45" t="s">
        <v>1</v>
      </c>
      <c r="E28" s="77">
        <v>94524.1</v>
      </c>
      <c r="F28" s="78">
        <f>C28*E28</f>
        <v>94524.1</v>
      </c>
      <c r="H28" s="82"/>
    </row>
    <row r="29" spans="1:8" x14ac:dyDescent="0.2">
      <c r="A29" s="74"/>
      <c r="B29" s="81"/>
      <c r="C29" s="75"/>
      <c r="D29" s="76"/>
      <c r="E29" s="77"/>
      <c r="F29" s="78"/>
      <c r="H29" s="82"/>
    </row>
    <row r="30" spans="1:8" x14ac:dyDescent="0.2">
      <c r="A30" s="43" t="s">
        <v>30</v>
      </c>
      <c r="B30" s="24" t="s">
        <v>42</v>
      </c>
      <c r="C30" s="44">
        <v>1</v>
      </c>
      <c r="D30" s="45" t="s">
        <v>1</v>
      </c>
      <c r="E30" s="77">
        <v>31722.22</v>
      </c>
      <c r="F30" s="78">
        <f>C30*E30</f>
        <v>31722.22</v>
      </c>
      <c r="H30" s="82"/>
    </row>
    <row r="31" spans="1:8" x14ac:dyDescent="0.2">
      <c r="A31" s="74"/>
      <c r="B31" s="81"/>
      <c r="C31" s="75"/>
      <c r="D31" s="76"/>
      <c r="E31" s="77"/>
      <c r="F31" s="78"/>
      <c r="H31" s="82"/>
    </row>
    <row r="32" spans="1:8" ht="57" x14ac:dyDescent="0.2">
      <c r="A32" s="43"/>
      <c r="B32" s="47" t="s">
        <v>43</v>
      </c>
      <c r="C32" s="44"/>
      <c r="D32" s="45"/>
      <c r="E32" s="77"/>
      <c r="F32" s="78"/>
      <c r="H32" s="82"/>
    </row>
    <row r="33" spans="1:8" x14ac:dyDescent="0.2">
      <c r="A33" s="74"/>
      <c r="B33" s="81"/>
      <c r="C33" s="75"/>
      <c r="D33" s="76"/>
      <c r="E33" s="77"/>
      <c r="F33" s="78"/>
      <c r="H33" s="82"/>
    </row>
    <row r="34" spans="1:8" x14ac:dyDescent="0.2">
      <c r="A34" s="43" t="s">
        <v>32</v>
      </c>
      <c r="B34" s="24" t="s">
        <v>206</v>
      </c>
      <c r="C34" s="44">
        <v>0.74</v>
      </c>
      <c r="D34" s="45" t="s">
        <v>11</v>
      </c>
      <c r="E34" s="77">
        <v>11192.68</v>
      </c>
      <c r="F34" s="78">
        <f>C34*E34</f>
        <v>8282.5832000000009</v>
      </c>
      <c r="H34" s="82"/>
    </row>
    <row r="35" spans="1:8" x14ac:dyDescent="0.2">
      <c r="A35" s="74"/>
      <c r="B35" s="81"/>
      <c r="C35" s="75"/>
      <c r="D35" s="76"/>
      <c r="E35" s="77"/>
      <c r="F35" s="78"/>
      <c r="H35" s="82"/>
    </row>
    <row r="36" spans="1:8" x14ac:dyDescent="0.2">
      <c r="A36" s="43" t="s">
        <v>34</v>
      </c>
      <c r="B36" s="24" t="s">
        <v>207</v>
      </c>
      <c r="C36" s="44">
        <v>0.36</v>
      </c>
      <c r="D36" s="45" t="s">
        <v>11</v>
      </c>
      <c r="E36" s="77">
        <v>11192.68</v>
      </c>
      <c r="F36" s="78">
        <f>C36*E36</f>
        <v>4029.3647999999998</v>
      </c>
      <c r="H36" s="82"/>
    </row>
    <row r="37" spans="1:8" x14ac:dyDescent="0.2">
      <c r="A37" s="43"/>
      <c r="B37" s="47"/>
      <c r="C37" s="44"/>
      <c r="D37" s="45"/>
      <c r="E37" s="77"/>
      <c r="F37" s="78"/>
      <c r="H37" s="82"/>
    </row>
    <row r="38" spans="1:8" x14ac:dyDescent="0.2">
      <c r="A38" s="48"/>
      <c r="B38" s="49"/>
      <c r="C38" s="50"/>
      <c r="D38" s="51"/>
      <c r="E38" s="52"/>
      <c r="F38" s="53"/>
      <c r="H38" s="82"/>
    </row>
    <row r="39" spans="1:8" x14ac:dyDescent="0.2">
      <c r="A39" s="54"/>
      <c r="B39" s="55"/>
      <c r="C39" s="56" t="s">
        <v>147</v>
      </c>
      <c r="D39" s="56"/>
      <c r="E39" s="57" t="s">
        <v>135</v>
      </c>
      <c r="F39" s="58">
        <f>SUM(F8:F36)</f>
        <v>725621.0591999999</v>
      </c>
      <c r="H39" s="82"/>
    </row>
    <row r="40" spans="1:8" x14ac:dyDescent="0.2">
      <c r="A40" s="54"/>
      <c r="B40" s="55"/>
      <c r="C40" s="59"/>
      <c r="D40" s="60"/>
      <c r="E40" s="61"/>
      <c r="F40" s="62"/>
      <c r="H40" s="82"/>
    </row>
    <row r="41" spans="1:8" x14ac:dyDescent="0.2">
      <c r="A41" s="74"/>
      <c r="B41" s="81"/>
      <c r="C41" s="75"/>
      <c r="D41" s="76"/>
      <c r="E41" s="77"/>
      <c r="F41" s="78"/>
      <c r="H41" s="82"/>
    </row>
    <row r="42" spans="1:8" x14ac:dyDescent="0.2">
      <c r="A42" s="74"/>
      <c r="B42" s="42" t="s">
        <v>41</v>
      </c>
      <c r="C42" s="75"/>
      <c r="D42" s="76"/>
      <c r="E42" s="77"/>
      <c r="F42" s="78"/>
      <c r="H42" s="82"/>
    </row>
    <row r="43" spans="1:8" x14ac:dyDescent="0.2">
      <c r="A43" s="74"/>
      <c r="B43" s="81"/>
      <c r="C43" s="75"/>
      <c r="D43" s="76"/>
      <c r="E43" s="77"/>
      <c r="F43" s="78"/>
      <c r="H43" s="82"/>
    </row>
    <row r="44" spans="1:8" x14ac:dyDescent="0.2">
      <c r="A44" s="43" t="s">
        <v>10</v>
      </c>
      <c r="B44" s="24" t="s">
        <v>208</v>
      </c>
      <c r="C44" s="44">
        <v>7.83</v>
      </c>
      <c r="D44" s="45" t="s">
        <v>11</v>
      </c>
      <c r="E44" s="77">
        <v>11192.68</v>
      </c>
      <c r="F44" s="78">
        <f>C44*E44</f>
        <v>87638.684399999998</v>
      </c>
      <c r="H44" s="82"/>
    </row>
    <row r="45" spans="1:8" x14ac:dyDescent="0.2">
      <c r="A45" s="74"/>
      <c r="B45" s="81"/>
      <c r="C45" s="75"/>
      <c r="D45" s="76"/>
      <c r="E45" s="77"/>
      <c r="F45" s="78"/>
      <c r="H45" s="82"/>
    </row>
    <row r="46" spans="1:8" x14ac:dyDescent="0.2">
      <c r="A46" s="43" t="s">
        <v>12</v>
      </c>
      <c r="B46" s="24" t="s">
        <v>140</v>
      </c>
      <c r="C46" s="44">
        <v>2.84</v>
      </c>
      <c r="D46" s="45" t="s">
        <v>11</v>
      </c>
      <c r="E46" s="77">
        <v>11192.68</v>
      </c>
      <c r="F46" s="78">
        <f>C46*E46</f>
        <v>31787.211199999998</v>
      </c>
      <c r="H46" s="82"/>
    </row>
    <row r="47" spans="1:8" x14ac:dyDescent="0.2">
      <c r="A47" s="74"/>
      <c r="B47" s="81"/>
      <c r="C47" s="75"/>
      <c r="D47" s="76"/>
      <c r="E47" s="77"/>
      <c r="F47" s="78"/>
      <c r="H47" s="82"/>
    </row>
    <row r="48" spans="1:8" x14ac:dyDescent="0.2">
      <c r="A48" s="43" t="s">
        <v>14</v>
      </c>
      <c r="B48" s="24" t="s">
        <v>142</v>
      </c>
      <c r="C48" s="44">
        <v>2.11</v>
      </c>
      <c r="D48" s="45" t="s">
        <v>11</v>
      </c>
      <c r="E48" s="77">
        <v>11192.68</v>
      </c>
      <c r="F48" s="78">
        <f>C48*E48</f>
        <v>23616.554799999998</v>
      </c>
      <c r="H48" s="82"/>
    </row>
    <row r="49" spans="1:8" x14ac:dyDescent="0.2">
      <c r="A49" s="74"/>
      <c r="B49" s="81"/>
      <c r="C49" s="75"/>
      <c r="D49" s="76"/>
      <c r="E49" s="77"/>
      <c r="F49" s="78"/>
      <c r="H49" s="82"/>
    </row>
    <row r="50" spans="1:8" x14ac:dyDescent="0.2">
      <c r="A50" s="43" t="s">
        <v>16</v>
      </c>
      <c r="B50" s="24" t="s">
        <v>209</v>
      </c>
      <c r="C50" s="44">
        <v>5.68</v>
      </c>
      <c r="D50" s="45" t="s">
        <v>11</v>
      </c>
      <c r="E50" s="77">
        <v>11192.68</v>
      </c>
      <c r="F50" s="78">
        <f>C50*E50</f>
        <v>63574.422399999996</v>
      </c>
      <c r="H50" s="82"/>
    </row>
    <row r="51" spans="1:8" x14ac:dyDescent="0.2">
      <c r="A51" s="74"/>
      <c r="B51" s="81"/>
      <c r="C51" s="75"/>
      <c r="D51" s="76"/>
      <c r="E51" s="77"/>
      <c r="F51" s="78"/>
      <c r="H51" s="82"/>
    </row>
    <row r="52" spans="1:8" x14ac:dyDescent="0.2">
      <c r="A52" s="43" t="s">
        <v>18</v>
      </c>
      <c r="B52" s="24" t="s">
        <v>210</v>
      </c>
      <c r="C52" s="44">
        <v>19.23</v>
      </c>
      <c r="D52" s="45" t="s">
        <v>11</v>
      </c>
      <c r="E52" s="77">
        <v>11192.68</v>
      </c>
      <c r="F52" s="78">
        <f>C52*E52</f>
        <v>215235.23640000002</v>
      </c>
      <c r="H52" s="82"/>
    </row>
    <row r="53" spans="1:8" x14ac:dyDescent="0.2">
      <c r="A53" s="74"/>
      <c r="B53" s="81"/>
      <c r="C53" s="75"/>
      <c r="D53" s="76"/>
      <c r="E53" s="77"/>
      <c r="F53" s="78"/>
      <c r="H53" s="82"/>
    </row>
    <row r="54" spans="1:8" x14ac:dyDescent="0.2">
      <c r="A54" s="43" t="s">
        <v>20</v>
      </c>
      <c r="B54" s="24" t="s">
        <v>211</v>
      </c>
      <c r="C54" s="44">
        <v>20.09</v>
      </c>
      <c r="D54" s="45" t="s">
        <v>11</v>
      </c>
      <c r="E54" s="77">
        <v>11192.68</v>
      </c>
      <c r="F54" s="78">
        <f>C54*E54</f>
        <v>224860.9412</v>
      </c>
      <c r="H54" s="82"/>
    </row>
    <row r="55" spans="1:8" x14ac:dyDescent="0.2">
      <c r="A55" s="74"/>
      <c r="B55" s="81"/>
      <c r="C55" s="75"/>
      <c r="D55" s="76"/>
      <c r="E55" s="77"/>
      <c r="F55" s="78"/>
      <c r="H55" s="82"/>
    </row>
    <row r="56" spans="1:8" x14ac:dyDescent="0.2">
      <c r="A56" s="43" t="s">
        <v>22</v>
      </c>
      <c r="B56" s="24" t="s">
        <v>103</v>
      </c>
      <c r="C56" s="44">
        <v>1.03</v>
      </c>
      <c r="D56" s="45" t="s">
        <v>11</v>
      </c>
      <c r="E56" s="77">
        <v>10046.73</v>
      </c>
      <c r="F56" s="78">
        <f>C56*E56</f>
        <v>10348.1319</v>
      </c>
      <c r="H56" s="82"/>
    </row>
    <row r="57" spans="1:8" x14ac:dyDescent="0.2">
      <c r="A57" s="74"/>
      <c r="B57" s="81"/>
      <c r="C57" s="75"/>
      <c r="D57" s="76"/>
      <c r="E57" s="77"/>
      <c r="F57" s="78"/>
      <c r="H57" s="82"/>
    </row>
    <row r="58" spans="1:8" x14ac:dyDescent="0.2">
      <c r="A58" s="43" t="s">
        <v>24</v>
      </c>
      <c r="B58" s="24" t="s">
        <v>31</v>
      </c>
      <c r="C58" s="44">
        <v>0.93</v>
      </c>
      <c r="D58" s="45" t="s">
        <v>11</v>
      </c>
      <c r="E58" s="77">
        <v>10046.73</v>
      </c>
      <c r="F58" s="78">
        <f>C58*E58</f>
        <v>9343.4588999999996</v>
      </c>
      <c r="H58" s="82"/>
    </row>
    <row r="59" spans="1:8" x14ac:dyDescent="0.2">
      <c r="A59" s="74"/>
      <c r="B59" s="81"/>
      <c r="C59" s="75"/>
      <c r="D59" s="76"/>
      <c r="E59" s="77"/>
      <c r="F59" s="78"/>
      <c r="H59" s="82"/>
    </row>
    <row r="60" spans="1:8" x14ac:dyDescent="0.2">
      <c r="A60" s="43" t="s">
        <v>26</v>
      </c>
      <c r="B60" s="24" t="s">
        <v>197</v>
      </c>
      <c r="C60" s="44">
        <v>1.34</v>
      </c>
      <c r="D60" s="45" t="s">
        <v>11</v>
      </c>
      <c r="E60" s="77">
        <v>11192.68</v>
      </c>
      <c r="F60" s="78">
        <f>C60*E60</f>
        <v>14998.191200000001</v>
      </c>
      <c r="H60" s="82"/>
    </row>
    <row r="61" spans="1:8" x14ac:dyDescent="0.2">
      <c r="A61" s="74"/>
      <c r="B61" s="81"/>
      <c r="C61" s="75"/>
      <c r="D61" s="76"/>
      <c r="E61" s="77"/>
      <c r="F61" s="78"/>
      <c r="H61" s="82"/>
    </row>
    <row r="62" spans="1:8" x14ac:dyDescent="0.2">
      <c r="A62" s="43" t="s">
        <v>28</v>
      </c>
      <c r="B62" s="24" t="s">
        <v>148</v>
      </c>
      <c r="C62" s="44" t="s">
        <v>212</v>
      </c>
      <c r="D62" s="45" t="s">
        <v>36</v>
      </c>
      <c r="E62" s="77">
        <v>35.549999999999997</v>
      </c>
      <c r="F62" s="78">
        <f>C62*E62</f>
        <v>8318.6999999999989</v>
      </c>
      <c r="H62" s="82"/>
    </row>
    <row r="63" spans="1:8" x14ac:dyDescent="0.2">
      <c r="A63" s="74"/>
      <c r="B63" s="81"/>
      <c r="C63" s="75"/>
      <c r="D63" s="76"/>
      <c r="E63" s="77"/>
      <c r="F63" s="78"/>
      <c r="H63" s="82"/>
    </row>
    <row r="64" spans="1:8" x14ac:dyDescent="0.2">
      <c r="A64" s="43" t="s">
        <v>30</v>
      </c>
      <c r="B64" s="24" t="s">
        <v>35</v>
      </c>
      <c r="C64" s="44" t="s">
        <v>213</v>
      </c>
      <c r="D64" s="45" t="s">
        <v>36</v>
      </c>
      <c r="E64" s="77">
        <v>35.549999999999997</v>
      </c>
      <c r="F64" s="78">
        <f>C64*E64</f>
        <v>2844</v>
      </c>
      <c r="H64" s="82"/>
    </row>
    <row r="65" spans="1:9" x14ac:dyDescent="0.2">
      <c r="A65" s="74"/>
      <c r="B65" s="81"/>
      <c r="C65" s="75"/>
      <c r="D65" s="76"/>
      <c r="E65" s="77"/>
      <c r="F65" s="78"/>
      <c r="H65" s="82"/>
    </row>
    <row r="66" spans="1:9" x14ac:dyDescent="0.2">
      <c r="A66" s="43" t="s">
        <v>32</v>
      </c>
      <c r="B66" s="24" t="s">
        <v>198</v>
      </c>
      <c r="C66" s="44" t="s">
        <v>196</v>
      </c>
      <c r="D66" s="45" t="s">
        <v>36</v>
      </c>
      <c r="E66" s="77">
        <v>35.549999999999997</v>
      </c>
      <c r="F66" s="78">
        <f>C66*E66</f>
        <v>1706.3999999999999</v>
      </c>
      <c r="H66" s="82"/>
    </row>
    <row r="67" spans="1:9" x14ac:dyDescent="0.2">
      <c r="A67" s="74"/>
      <c r="B67" s="81"/>
      <c r="C67" s="75"/>
      <c r="D67" s="76"/>
      <c r="E67" s="77"/>
      <c r="F67" s="78"/>
      <c r="H67" s="82"/>
    </row>
    <row r="68" spans="1:9" x14ac:dyDescent="0.2">
      <c r="A68" s="43" t="s">
        <v>34</v>
      </c>
      <c r="B68" s="24" t="s">
        <v>119</v>
      </c>
      <c r="C68" s="44" t="s">
        <v>113</v>
      </c>
      <c r="D68" s="45" t="s">
        <v>36</v>
      </c>
      <c r="E68" s="77">
        <v>69.930000000000007</v>
      </c>
      <c r="F68" s="78">
        <f>C68*E68</f>
        <v>2797.2000000000003</v>
      </c>
      <c r="H68" s="82"/>
    </row>
    <row r="69" spans="1:9" x14ac:dyDescent="0.2">
      <c r="A69" s="74"/>
      <c r="B69" s="81"/>
      <c r="C69" s="75"/>
      <c r="D69" s="76"/>
      <c r="E69" s="77"/>
      <c r="F69" s="78"/>
      <c r="H69" s="82"/>
    </row>
    <row r="70" spans="1:9" x14ac:dyDescent="0.2">
      <c r="A70" s="43" t="s">
        <v>37</v>
      </c>
      <c r="B70" s="24" t="s">
        <v>120</v>
      </c>
      <c r="C70" s="44" t="s">
        <v>196</v>
      </c>
      <c r="D70" s="45" t="s">
        <v>36</v>
      </c>
      <c r="E70" s="77">
        <v>104.31</v>
      </c>
      <c r="F70" s="78">
        <f>C70*E70</f>
        <v>5006.88</v>
      </c>
      <c r="H70" s="82"/>
    </row>
    <row r="71" spans="1:9" x14ac:dyDescent="0.2">
      <c r="A71" s="74"/>
      <c r="B71" s="81"/>
      <c r="C71" s="75"/>
      <c r="D71" s="76"/>
      <c r="E71" s="77"/>
      <c r="F71" s="78"/>
      <c r="H71" s="82"/>
    </row>
    <row r="72" spans="1:9" x14ac:dyDescent="0.2">
      <c r="A72" s="43" t="s">
        <v>39</v>
      </c>
      <c r="B72" s="24" t="s">
        <v>40</v>
      </c>
      <c r="C72" s="44">
        <v>1</v>
      </c>
      <c r="D72" s="45" t="s">
        <v>1</v>
      </c>
      <c r="E72" s="77">
        <v>86562.25</v>
      </c>
      <c r="F72" s="78">
        <f>C72*E72</f>
        <v>86562.25</v>
      </c>
      <c r="H72" s="149"/>
    </row>
    <row r="73" spans="1:9" x14ac:dyDescent="0.2">
      <c r="A73" s="74"/>
      <c r="B73" s="81"/>
      <c r="C73" s="75"/>
      <c r="D73" s="76"/>
      <c r="E73" s="77"/>
      <c r="F73" s="78"/>
      <c r="H73" s="149"/>
    </row>
    <row r="74" spans="1:9" x14ac:dyDescent="0.2">
      <c r="A74" s="43" t="s">
        <v>54</v>
      </c>
      <c r="B74" s="24" t="s">
        <v>42</v>
      </c>
      <c r="C74" s="44">
        <v>1</v>
      </c>
      <c r="D74" s="45" t="s">
        <v>1</v>
      </c>
      <c r="E74" s="77">
        <v>27503.8</v>
      </c>
      <c r="F74" s="78">
        <f>C74*E74</f>
        <v>27503.8</v>
      </c>
      <c r="H74" s="149"/>
    </row>
    <row r="75" spans="1:9" x14ac:dyDescent="0.2">
      <c r="A75" s="74"/>
      <c r="B75" s="81"/>
      <c r="C75" s="75"/>
      <c r="D75" s="76"/>
      <c r="E75" s="77"/>
      <c r="F75" s="78"/>
      <c r="H75" s="82"/>
    </row>
    <row r="76" spans="1:9" ht="28.5" x14ac:dyDescent="0.2">
      <c r="A76" s="43"/>
      <c r="B76" s="83" t="s">
        <v>124</v>
      </c>
      <c r="C76" s="44"/>
      <c r="D76" s="45"/>
      <c r="E76" s="77"/>
      <c r="F76" s="78"/>
      <c r="H76" s="82"/>
    </row>
    <row r="77" spans="1:9" x14ac:dyDescent="0.2">
      <c r="A77" s="74"/>
      <c r="B77" s="81"/>
      <c r="C77" s="75"/>
      <c r="D77" s="76"/>
      <c r="E77" s="77"/>
      <c r="F77" s="78"/>
      <c r="H77" s="82"/>
    </row>
    <row r="78" spans="1:9" x14ac:dyDescent="0.2">
      <c r="A78" s="43" t="s">
        <v>55</v>
      </c>
      <c r="B78" s="24" t="s">
        <v>125</v>
      </c>
      <c r="C78" s="44" t="s">
        <v>214</v>
      </c>
      <c r="D78" s="45" t="s">
        <v>126</v>
      </c>
      <c r="E78" s="77">
        <v>26.44</v>
      </c>
      <c r="F78" s="78">
        <f>C78*E78</f>
        <v>55233.16</v>
      </c>
      <c r="H78" s="82"/>
    </row>
    <row r="79" spans="1:9" x14ac:dyDescent="0.2">
      <c r="A79" s="74"/>
      <c r="B79" s="81"/>
      <c r="C79" s="75"/>
      <c r="D79" s="76"/>
      <c r="E79" s="77"/>
      <c r="F79" s="78"/>
      <c r="H79" s="82"/>
    </row>
    <row r="80" spans="1:9" ht="28.5" x14ac:dyDescent="0.2">
      <c r="A80" s="43" t="s">
        <v>56</v>
      </c>
      <c r="B80" s="24" t="s">
        <v>127</v>
      </c>
      <c r="C80" s="44" t="s">
        <v>214</v>
      </c>
      <c r="D80" s="45" t="s">
        <v>126</v>
      </c>
      <c r="E80" s="77">
        <v>218.95</v>
      </c>
      <c r="F80" s="78">
        <f>C80*E80</f>
        <v>457386.55</v>
      </c>
      <c r="H80" s="82"/>
      <c r="I80" s="148"/>
    </row>
    <row r="81" spans="1:9" x14ac:dyDescent="0.2">
      <c r="A81" s="43"/>
      <c r="B81" s="24"/>
      <c r="C81" s="44"/>
      <c r="D81" s="45"/>
      <c r="E81" s="77"/>
      <c r="F81" s="78"/>
      <c r="H81" s="82"/>
      <c r="I81" s="82"/>
    </row>
    <row r="82" spans="1:9" x14ac:dyDescent="0.2">
      <c r="A82" s="43"/>
      <c r="B82" s="24"/>
      <c r="C82" s="44"/>
      <c r="D82" s="45"/>
      <c r="E82" s="77"/>
      <c r="F82" s="78"/>
      <c r="H82" s="82"/>
    </row>
    <row r="83" spans="1:9" x14ac:dyDescent="0.2">
      <c r="A83" s="43"/>
      <c r="B83" s="24"/>
      <c r="C83" s="44"/>
      <c r="D83" s="45"/>
      <c r="E83" s="77"/>
      <c r="F83" s="78"/>
      <c r="H83" s="82"/>
    </row>
    <row r="84" spans="1:9" x14ac:dyDescent="0.2">
      <c r="A84" s="74"/>
      <c r="B84" s="81"/>
      <c r="C84" s="75"/>
      <c r="D84" s="76"/>
      <c r="E84" s="77"/>
      <c r="F84" s="78"/>
      <c r="H84" s="82"/>
    </row>
    <row r="85" spans="1:9" x14ac:dyDescent="0.2">
      <c r="A85" s="43"/>
      <c r="B85" s="24"/>
      <c r="C85" s="44"/>
      <c r="D85" s="45"/>
      <c r="E85" s="77"/>
      <c r="F85" s="78"/>
      <c r="H85" s="82"/>
    </row>
    <row r="86" spans="1:9" x14ac:dyDescent="0.2">
      <c r="A86" s="48"/>
      <c r="B86" s="49"/>
      <c r="C86" s="50"/>
      <c r="D86" s="51"/>
      <c r="E86" s="52"/>
      <c r="F86" s="53"/>
      <c r="H86" s="82"/>
    </row>
    <row r="87" spans="1:9" x14ac:dyDescent="0.2">
      <c r="A87" s="54"/>
      <c r="B87" s="55"/>
      <c r="C87" s="56" t="s">
        <v>147</v>
      </c>
      <c r="D87" s="56"/>
      <c r="E87" s="57" t="s">
        <v>135</v>
      </c>
      <c r="F87" s="58">
        <f>SUM(F42:F83)</f>
        <v>1328761.7723999999</v>
      </c>
      <c r="H87" s="82"/>
    </row>
    <row r="88" spans="1:9" x14ac:dyDescent="0.2">
      <c r="A88" s="54"/>
      <c r="B88" s="55"/>
      <c r="C88" s="59"/>
      <c r="D88" s="60"/>
      <c r="E88" s="61"/>
      <c r="F88" s="62"/>
      <c r="H88" s="82"/>
    </row>
    <row r="89" spans="1:9" x14ac:dyDescent="0.2">
      <c r="A89" s="43"/>
      <c r="B89" s="47"/>
      <c r="C89" s="44"/>
      <c r="D89" s="45"/>
      <c r="E89" s="77"/>
      <c r="F89" s="78"/>
      <c r="H89" s="82"/>
    </row>
    <row r="90" spans="1:9" x14ac:dyDescent="0.2">
      <c r="A90" s="74"/>
      <c r="B90" s="42" t="s">
        <v>128</v>
      </c>
      <c r="C90" s="75"/>
      <c r="D90" s="76"/>
      <c r="E90" s="77"/>
      <c r="F90" s="78"/>
      <c r="H90" s="82"/>
    </row>
    <row r="91" spans="1:9" x14ac:dyDescent="0.2">
      <c r="A91" s="74"/>
      <c r="B91" s="81"/>
      <c r="C91" s="75"/>
      <c r="D91" s="76"/>
      <c r="E91" s="77"/>
      <c r="F91" s="78"/>
      <c r="H91" s="82"/>
    </row>
    <row r="92" spans="1:9" ht="71.25" x14ac:dyDescent="0.2">
      <c r="A92" s="43"/>
      <c r="B92" s="24" t="s">
        <v>129</v>
      </c>
      <c r="C92" s="44"/>
      <c r="D92" s="45" t="s">
        <v>1</v>
      </c>
      <c r="E92" s="77"/>
      <c r="F92" s="78">
        <f>C92*E92</f>
        <v>0</v>
      </c>
      <c r="H92" s="82"/>
    </row>
    <row r="93" spans="1:9" x14ac:dyDescent="0.2">
      <c r="A93" s="84"/>
      <c r="B93" s="85"/>
      <c r="C93" s="84"/>
      <c r="D93" s="86"/>
      <c r="E93" s="77"/>
      <c r="F93" s="78"/>
      <c r="H93" s="82"/>
    </row>
    <row r="94" spans="1:9" x14ac:dyDescent="0.2">
      <c r="A94" s="84"/>
      <c r="B94" s="85"/>
      <c r="C94" s="84"/>
      <c r="D94" s="86"/>
      <c r="E94" s="77"/>
      <c r="F94" s="78"/>
      <c r="H94" s="82"/>
    </row>
    <row r="95" spans="1:9" x14ac:dyDescent="0.2">
      <c r="A95" s="43"/>
      <c r="B95" s="153"/>
      <c r="C95" s="84"/>
      <c r="D95" s="86"/>
      <c r="E95" s="77"/>
      <c r="F95" s="78"/>
      <c r="H95" s="82"/>
    </row>
    <row r="96" spans="1:9" x14ac:dyDescent="0.2">
      <c r="A96" s="84"/>
      <c r="B96" s="85"/>
      <c r="C96" s="84"/>
      <c r="D96" s="86"/>
      <c r="E96" s="77"/>
      <c r="F96" s="78"/>
      <c r="H96" s="82"/>
    </row>
    <row r="97" spans="1:8" x14ac:dyDescent="0.2">
      <c r="A97" s="84"/>
      <c r="B97" s="85"/>
      <c r="C97" s="84"/>
      <c r="D97" s="86"/>
      <c r="E97" s="77"/>
      <c r="F97" s="78"/>
      <c r="H97" s="82"/>
    </row>
    <row r="98" spans="1:8" x14ac:dyDescent="0.2">
      <c r="A98" s="84"/>
      <c r="B98" s="85"/>
      <c r="C98" s="84"/>
      <c r="D98" s="86"/>
      <c r="E98" s="77"/>
      <c r="F98" s="78"/>
      <c r="H98" s="82"/>
    </row>
    <row r="99" spans="1:8" x14ac:dyDescent="0.2">
      <c r="A99" s="84"/>
      <c r="B99" s="85"/>
      <c r="C99" s="84"/>
      <c r="D99" s="86"/>
      <c r="E99" s="77"/>
      <c r="F99" s="78"/>
      <c r="H99" s="82"/>
    </row>
    <row r="100" spans="1:8" x14ac:dyDescent="0.2">
      <c r="A100" s="84"/>
      <c r="B100" s="85"/>
      <c r="C100" s="84"/>
      <c r="D100" s="86"/>
      <c r="E100" s="77"/>
      <c r="F100" s="78"/>
      <c r="H100" s="82"/>
    </row>
    <row r="101" spans="1:8" x14ac:dyDescent="0.2">
      <c r="A101" s="84"/>
      <c r="B101" s="85"/>
      <c r="C101" s="84"/>
      <c r="D101" s="86"/>
      <c r="E101" s="77"/>
      <c r="F101" s="78"/>
      <c r="H101" s="82"/>
    </row>
    <row r="102" spans="1:8" x14ac:dyDescent="0.2">
      <c r="A102" s="87"/>
      <c r="B102" s="88"/>
      <c r="C102" s="89"/>
      <c r="D102" s="90"/>
      <c r="E102" s="77"/>
      <c r="F102" s="78"/>
      <c r="H102" s="82"/>
    </row>
    <row r="103" spans="1:8" x14ac:dyDescent="0.2">
      <c r="A103" s="87"/>
      <c r="B103" s="84"/>
      <c r="C103" s="89"/>
      <c r="D103" s="90"/>
      <c r="E103" s="77"/>
      <c r="F103" s="78"/>
      <c r="H103" s="82"/>
    </row>
    <row r="104" spans="1:8" x14ac:dyDescent="0.2">
      <c r="A104" s="91"/>
      <c r="B104" s="92"/>
      <c r="C104" s="93"/>
      <c r="D104" s="94"/>
      <c r="E104" s="77"/>
      <c r="F104" s="78"/>
      <c r="H104" s="82"/>
    </row>
    <row r="105" spans="1:8" x14ac:dyDescent="0.2">
      <c r="A105" s="87"/>
      <c r="B105" s="84"/>
      <c r="C105" s="89"/>
      <c r="D105" s="90"/>
      <c r="E105" s="77"/>
      <c r="F105" s="78"/>
      <c r="H105" s="82"/>
    </row>
    <row r="106" spans="1:8" x14ac:dyDescent="0.2">
      <c r="A106" s="91"/>
      <c r="B106" s="95"/>
      <c r="C106" s="93"/>
      <c r="D106" s="94"/>
      <c r="E106" s="77"/>
      <c r="F106" s="78"/>
      <c r="H106" s="82"/>
    </row>
    <row r="107" spans="1:8" x14ac:dyDescent="0.2">
      <c r="A107" s="87"/>
      <c r="B107" s="84"/>
      <c r="C107" s="89"/>
      <c r="D107" s="90"/>
      <c r="E107" s="77"/>
      <c r="F107" s="78"/>
      <c r="H107" s="82"/>
    </row>
    <row r="108" spans="1:8" x14ac:dyDescent="0.2">
      <c r="A108" s="91"/>
      <c r="B108" s="95"/>
      <c r="C108" s="93"/>
      <c r="D108" s="94"/>
      <c r="E108" s="77"/>
      <c r="F108" s="78"/>
      <c r="H108" s="82"/>
    </row>
    <row r="109" spans="1:8" x14ac:dyDescent="0.2">
      <c r="A109" s="87"/>
      <c r="B109" s="84"/>
      <c r="C109" s="89"/>
      <c r="D109" s="90"/>
      <c r="E109" s="77"/>
      <c r="F109" s="78"/>
      <c r="H109" s="82"/>
    </row>
    <row r="110" spans="1:8" x14ac:dyDescent="0.2">
      <c r="A110" s="91"/>
      <c r="B110" s="92"/>
      <c r="C110" s="93"/>
      <c r="D110" s="94"/>
      <c r="E110" s="77"/>
      <c r="F110" s="78"/>
      <c r="H110" s="82"/>
    </row>
    <row r="111" spans="1:8" x14ac:dyDescent="0.2">
      <c r="A111" s="87"/>
      <c r="B111" s="84"/>
      <c r="C111" s="89"/>
      <c r="D111" s="90"/>
      <c r="E111" s="77"/>
      <c r="F111" s="78"/>
      <c r="H111" s="82"/>
    </row>
    <row r="112" spans="1:8" x14ac:dyDescent="0.2">
      <c r="A112" s="91"/>
      <c r="B112" s="95"/>
      <c r="C112" s="93"/>
      <c r="D112" s="94"/>
      <c r="E112" s="77"/>
      <c r="F112" s="78"/>
      <c r="H112" s="82"/>
    </row>
    <row r="113" spans="1:8" x14ac:dyDescent="0.2">
      <c r="A113" s="91"/>
      <c r="B113" s="95"/>
      <c r="C113" s="93"/>
      <c r="D113" s="94"/>
      <c r="E113" s="77"/>
      <c r="F113" s="78"/>
      <c r="H113" s="82"/>
    </row>
    <row r="114" spans="1:8" x14ac:dyDescent="0.2">
      <c r="A114" s="87"/>
      <c r="B114" s="84"/>
      <c r="C114" s="89"/>
      <c r="D114" s="90"/>
      <c r="E114" s="77"/>
      <c r="F114" s="78"/>
      <c r="H114" s="82"/>
    </row>
    <row r="115" spans="1:8" x14ac:dyDescent="0.2">
      <c r="A115" s="91"/>
      <c r="B115" s="95"/>
      <c r="C115" s="93"/>
      <c r="D115" s="94"/>
      <c r="E115" s="77"/>
      <c r="F115" s="78"/>
      <c r="H115" s="82"/>
    </row>
    <row r="116" spans="1:8" x14ac:dyDescent="0.2">
      <c r="A116" s="87"/>
      <c r="B116" s="84"/>
      <c r="C116" s="89"/>
      <c r="D116" s="90"/>
      <c r="E116" s="77"/>
      <c r="F116" s="78"/>
      <c r="H116" s="82"/>
    </row>
    <row r="117" spans="1:8" x14ac:dyDescent="0.2">
      <c r="A117" s="91"/>
      <c r="B117" s="92"/>
      <c r="C117" s="93"/>
      <c r="D117" s="94"/>
      <c r="E117" s="77"/>
      <c r="F117" s="78"/>
      <c r="H117" s="82"/>
    </row>
    <row r="118" spans="1:8" x14ac:dyDescent="0.2">
      <c r="A118" s="87"/>
      <c r="B118" s="84"/>
      <c r="C118" s="89"/>
      <c r="D118" s="90"/>
      <c r="E118" s="77"/>
      <c r="F118" s="78"/>
      <c r="H118" s="82"/>
    </row>
    <row r="119" spans="1:8" x14ac:dyDescent="0.2">
      <c r="A119" s="91"/>
      <c r="B119" s="95"/>
      <c r="C119" s="93"/>
      <c r="D119" s="94"/>
      <c r="E119" s="77"/>
      <c r="F119" s="78"/>
      <c r="H119" s="82"/>
    </row>
    <row r="120" spans="1:8" x14ac:dyDescent="0.2">
      <c r="A120" s="87"/>
      <c r="B120" s="84"/>
      <c r="C120" s="89"/>
      <c r="D120" s="90"/>
      <c r="E120" s="77"/>
      <c r="F120" s="78"/>
      <c r="H120" s="82"/>
    </row>
    <row r="121" spans="1:8" x14ac:dyDescent="0.2">
      <c r="A121" s="87"/>
      <c r="B121" s="84"/>
      <c r="C121" s="89"/>
      <c r="D121" s="90"/>
      <c r="E121" s="77"/>
      <c r="F121" s="78"/>
      <c r="H121" s="82"/>
    </row>
    <row r="122" spans="1:8" x14ac:dyDescent="0.2">
      <c r="A122" s="91"/>
      <c r="B122" s="92"/>
      <c r="C122" s="93"/>
      <c r="D122" s="94"/>
      <c r="E122" s="77"/>
      <c r="F122" s="78"/>
      <c r="H122" s="82"/>
    </row>
    <row r="123" spans="1:8" x14ac:dyDescent="0.2">
      <c r="A123" s="84"/>
      <c r="B123" s="85"/>
      <c r="C123" s="84"/>
      <c r="D123" s="86"/>
      <c r="E123" s="77"/>
      <c r="F123" s="78"/>
      <c r="H123" s="82"/>
    </row>
    <row r="124" spans="1:8" x14ac:dyDescent="0.2">
      <c r="A124" s="84"/>
      <c r="B124" s="85"/>
      <c r="C124" s="84"/>
      <c r="D124" s="86"/>
      <c r="E124" s="77"/>
      <c r="F124" s="78"/>
      <c r="H124" s="82"/>
    </row>
    <row r="125" spans="1:8" x14ac:dyDescent="0.2">
      <c r="A125" s="84"/>
      <c r="B125" s="85"/>
      <c r="C125" s="84"/>
      <c r="D125" s="86"/>
      <c r="E125" s="77"/>
      <c r="F125" s="78"/>
      <c r="H125" s="82"/>
    </row>
    <row r="126" spans="1:8" x14ac:dyDescent="0.2">
      <c r="A126" s="84"/>
      <c r="B126" s="85"/>
      <c r="C126" s="84"/>
      <c r="D126" s="86"/>
      <c r="E126" s="77"/>
      <c r="F126" s="78"/>
      <c r="H126" s="82"/>
    </row>
    <row r="127" spans="1:8" x14ac:dyDescent="0.2">
      <c r="A127" s="84"/>
      <c r="B127" s="85"/>
      <c r="C127" s="84"/>
      <c r="D127" s="86"/>
      <c r="E127" s="77"/>
      <c r="F127" s="78"/>
      <c r="H127" s="82"/>
    </row>
    <row r="128" spans="1:8" x14ac:dyDescent="0.2">
      <c r="A128" s="84"/>
      <c r="B128" s="85"/>
      <c r="C128" s="84"/>
      <c r="D128" s="86"/>
      <c r="E128" s="77"/>
      <c r="F128" s="78"/>
      <c r="H128" s="82"/>
    </row>
    <row r="129" spans="1:8" x14ac:dyDescent="0.2">
      <c r="A129" s="84"/>
      <c r="B129" s="85"/>
      <c r="C129" s="84"/>
      <c r="D129" s="86"/>
      <c r="E129" s="77"/>
      <c r="F129" s="78"/>
      <c r="H129" s="82"/>
    </row>
    <row r="130" spans="1:8" x14ac:dyDescent="0.2">
      <c r="A130" s="48"/>
      <c r="B130" s="49"/>
      <c r="C130" s="50"/>
      <c r="D130" s="51"/>
      <c r="E130" s="52"/>
      <c r="F130" s="53"/>
      <c r="H130" s="82"/>
    </row>
    <row r="131" spans="1:8" x14ac:dyDescent="0.2">
      <c r="A131" s="54"/>
      <c r="B131" s="55"/>
      <c r="C131" s="56" t="s">
        <v>147</v>
      </c>
      <c r="D131" s="56"/>
      <c r="E131" s="57" t="s">
        <v>135</v>
      </c>
      <c r="F131" s="58">
        <f>SUM(F90:F111)</f>
        <v>0</v>
      </c>
      <c r="H131" s="82"/>
    </row>
    <row r="132" spans="1:8" x14ac:dyDescent="0.2">
      <c r="A132" s="54"/>
      <c r="B132" s="55"/>
      <c r="C132" s="59"/>
      <c r="D132" s="60"/>
      <c r="E132" s="61"/>
      <c r="F132" s="62"/>
      <c r="H132" s="82"/>
    </row>
    <row r="133" spans="1:8" x14ac:dyDescent="0.2">
      <c r="A133" s="81"/>
      <c r="B133" s="40"/>
      <c r="C133" s="81"/>
      <c r="D133" s="96"/>
      <c r="E133" s="77"/>
      <c r="F133" s="78"/>
      <c r="H133" s="82"/>
    </row>
    <row r="134" spans="1:8" x14ac:dyDescent="0.2">
      <c r="A134" s="74"/>
      <c r="B134" s="97" t="s">
        <v>130</v>
      </c>
      <c r="C134" s="75"/>
      <c r="D134" s="76"/>
      <c r="E134" s="77"/>
      <c r="F134" s="78"/>
      <c r="H134" s="82"/>
    </row>
    <row r="135" spans="1:8" x14ac:dyDescent="0.2">
      <c r="A135" s="74"/>
      <c r="B135" s="24"/>
      <c r="C135" s="75"/>
      <c r="D135" s="76"/>
      <c r="E135" s="77"/>
      <c r="F135" s="78"/>
      <c r="H135" s="82"/>
    </row>
    <row r="136" spans="1:8" x14ac:dyDescent="0.2">
      <c r="A136" s="43"/>
      <c r="B136" s="98" t="s">
        <v>238</v>
      </c>
      <c r="C136" s="44"/>
      <c r="D136" s="45"/>
      <c r="E136" s="77"/>
      <c r="F136" s="78">
        <f>F39</f>
        <v>725621.0591999999</v>
      </c>
      <c r="H136" s="82"/>
    </row>
    <row r="137" spans="1:8" x14ac:dyDescent="0.2">
      <c r="A137" s="74"/>
      <c r="C137" s="75"/>
      <c r="D137" s="76"/>
      <c r="E137" s="77"/>
      <c r="F137" s="78"/>
      <c r="H137" s="82"/>
    </row>
    <row r="138" spans="1:8" x14ac:dyDescent="0.2">
      <c r="A138" s="43"/>
      <c r="B138" s="98" t="s">
        <v>239</v>
      </c>
      <c r="C138" s="44"/>
      <c r="D138" s="45"/>
      <c r="E138" s="77"/>
      <c r="F138" s="78">
        <f>F87</f>
        <v>1328761.7723999999</v>
      </c>
      <c r="H138" s="82"/>
    </row>
    <row r="139" spans="1:8" x14ac:dyDescent="0.2">
      <c r="A139" s="74"/>
      <c r="C139" s="75"/>
      <c r="D139" s="76"/>
      <c r="E139" s="77"/>
      <c r="F139" s="78"/>
      <c r="H139" s="82"/>
    </row>
    <row r="140" spans="1:8" x14ac:dyDescent="0.2">
      <c r="A140" s="43"/>
      <c r="B140" s="98" t="s">
        <v>240</v>
      </c>
      <c r="C140" s="44"/>
      <c r="D140" s="45"/>
      <c r="E140" s="77"/>
      <c r="F140" s="189">
        <f>F131</f>
        <v>0</v>
      </c>
      <c r="H140" s="82"/>
    </row>
    <row r="141" spans="1:8" x14ac:dyDescent="0.2">
      <c r="A141" s="74"/>
      <c r="B141" s="98"/>
      <c r="C141" s="75"/>
      <c r="D141" s="76"/>
      <c r="E141" s="77"/>
      <c r="F141" s="78"/>
      <c r="H141" s="82"/>
    </row>
    <row r="142" spans="1:8" x14ac:dyDescent="0.2">
      <c r="A142" s="43"/>
      <c r="B142" s="98"/>
      <c r="C142" s="44"/>
      <c r="D142" s="45"/>
      <c r="E142" s="77"/>
      <c r="F142" s="78"/>
      <c r="H142" s="82"/>
    </row>
    <row r="143" spans="1:8" x14ac:dyDescent="0.2">
      <c r="A143" s="74"/>
      <c r="B143" s="81"/>
      <c r="C143" s="75"/>
      <c r="D143" s="76"/>
      <c r="E143" s="77"/>
      <c r="F143" s="78"/>
      <c r="H143" s="82"/>
    </row>
    <row r="144" spans="1:8" x14ac:dyDescent="0.2">
      <c r="A144" s="43"/>
      <c r="B144" s="47"/>
      <c r="C144" s="44"/>
      <c r="D144" s="45"/>
      <c r="E144" s="77"/>
      <c r="F144" s="78"/>
      <c r="H144" s="82"/>
    </row>
    <row r="145" spans="1:8" x14ac:dyDescent="0.2">
      <c r="A145" s="74"/>
      <c r="B145" s="81"/>
      <c r="C145" s="75"/>
      <c r="D145" s="76"/>
      <c r="E145" s="77"/>
      <c r="F145" s="78"/>
      <c r="H145" s="82"/>
    </row>
    <row r="146" spans="1:8" x14ac:dyDescent="0.2">
      <c r="A146" s="43"/>
      <c r="B146" s="24"/>
      <c r="C146" s="44"/>
      <c r="D146" s="45"/>
      <c r="E146" s="77"/>
      <c r="F146" s="78"/>
      <c r="H146" s="82"/>
    </row>
    <row r="147" spans="1:8" x14ac:dyDescent="0.2">
      <c r="A147" s="74"/>
      <c r="B147" s="81"/>
      <c r="C147" s="75"/>
      <c r="D147" s="76"/>
      <c r="E147" s="77"/>
      <c r="F147" s="78"/>
      <c r="H147" s="82"/>
    </row>
    <row r="148" spans="1:8" x14ac:dyDescent="0.2">
      <c r="A148" s="43"/>
      <c r="B148" s="24"/>
      <c r="C148" s="44"/>
      <c r="D148" s="45"/>
      <c r="E148" s="77"/>
      <c r="F148" s="78"/>
      <c r="H148" s="82"/>
    </row>
    <row r="149" spans="1:8" x14ac:dyDescent="0.2">
      <c r="A149" s="74"/>
      <c r="B149" s="81"/>
      <c r="C149" s="75"/>
      <c r="D149" s="76"/>
      <c r="E149" s="77"/>
      <c r="F149" s="78"/>
      <c r="H149" s="82"/>
    </row>
    <row r="150" spans="1:8" x14ac:dyDescent="0.2">
      <c r="A150" s="74"/>
      <c r="B150" s="81"/>
      <c r="C150" s="75"/>
      <c r="D150" s="76"/>
      <c r="E150" s="77"/>
      <c r="F150" s="78"/>
      <c r="H150" s="82"/>
    </row>
    <row r="151" spans="1:8" x14ac:dyDescent="0.2">
      <c r="A151" s="43"/>
      <c r="B151" s="24"/>
      <c r="C151" s="44"/>
      <c r="D151" s="45"/>
      <c r="E151" s="77"/>
      <c r="F151" s="78"/>
      <c r="H151" s="82"/>
    </row>
    <row r="152" spans="1:8" x14ac:dyDescent="0.2">
      <c r="A152" s="74"/>
      <c r="B152" s="81"/>
      <c r="C152" s="75"/>
      <c r="D152" s="76"/>
      <c r="E152" s="77"/>
      <c r="F152" s="78"/>
      <c r="H152" s="82"/>
    </row>
    <row r="153" spans="1:8" x14ac:dyDescent="0.2">
      <c r="A153" s="43"/>
      <c r="B153" s="24"/>
      <c r="C153" s="44"/>
      <c r="D153" s="45"/>
      <c r="E153" s="77"/>
      <c r="F153" s="78"/>
      <c r="H153" s="82"/>
    </row>
    <row r="154" spans="1:8" x14ac:dyDescent="0.2">
      <c r="A154" s="74"/>
      <c r="B154" s="81"/>
      <c r="C154" s="75"/>
      <c r="D154" s="76"/>
      <c r="E154" s="77"/>
      <c r="F154" s="78"/>
      <c r="H154" s="82"/>
    </row>
    <row r="155" spans="1:8" x14ac:dyDescent="0.2">
      <c r="A155" s="43"/>
      <c r="B155" s="24"/>
      <c r="C155" s="44"/>
      <c r="D155" s="45"/>
      <c r="E155" s="77"/>
      <c r="F155" s="78"/>
      <c r="H155" s="82"/>
    </row>
    <row r="156" spans="1:8" x14ac:dyDescent="0.2">
      <c r="A156" s="81"/>
      <c r="B156" s="40"/>
      <c r="C156" s="81"/>
      <c r="D156" s="96"/>
      <c r="E156" s="77"/>
      <c r="F156" s="78"/>
      <c r="H156" s="82"/>
    </row>
    <row r="157" spans="1:8" x14ac:dyDescent="0.2">
      <c r="A157" s="81"/>
      <c r="B157" s="40"/>
      <c r="C157" s="81"/>
      <c r="D157" s="96"/>
      <c r="E157" s="77"/>
      <c r="F157" s="78"/>
      <c r="H157" s="82"/>
    </row>
    <row r="158" spans="1:8" x14ac:dyDescent="0.2">
      <c r="A158" s="81"/>
      <c r="B158" s="40"/>
      <c r="C158" s="81"/>
      <c r="D158" s="96"/>
      <c r="E158" s="77"/>
      <c r="F158" s="78"/>
      <c r="H158" s="82"/>
    </row>
    <row r="159" spans="1:8" x14ac:dyDescent="0.2">
      <c r="A159" s="81"/>
      <c r="B159" s="40"/>
      <c r="C159" s="81"/>
      <c r="D159" s="96"/>
      <c r="E159" s="77"/>
      <c r="F159" s="78"/>
      <c r="H159" s="82"/>
    </row>
    <row r="160" spans="1:8" x14ac:dyDescent="0.2">
      <c r="A160" s="81"/>
      <c r="B160" s="40"/>
      <c r="C160" s="81"/>
      <c r="D160" s="96"/>
      <c r="E160" s="77"/>
      <c r="F160" s="78"/>
      <c r="H160" s="82"/>
    </row>
    <row r="161" spans="1:8" x14ac:dyDescent="0.2">
      <c r="A161" s="81"/>
      <c r="B161" s="40"/>
      <c r="C161" s="81"/>
      <c r="D161" s="96"/>
      <c r="E161" s="77"/>
      <c r="F161" s="78"/>
      <c r="H161" s="82"/>
    </row>
    <row r="162" spans="1:8" x14ac:dyDescent="0.2">
      <c r="A162" s="81"/>
      <c r="B162" s="40"/>
      <c r="C162" s="81"/>
      <c r="D162" s="96"/>
      <c r="E162" s="77"/>
      <c r="F162" s="78"/>
      <c r="H162" s="82"/>
    </row>
    <row r="163" spans="1:8" x14ac:dyDescent="0.2">
      <c r="A163" s="81"/>
      <c r="B163" s="40"/>
      <c r="C163" s="81"/>
      <c r="D163" s="96"/>
      <c r="E163" s="77"/>
      <c r="F163" s="78"/>
      <c r="H163" s="82"/>
    </row>
    <row r="164" spans="1:8" x14ac:dyDescent="0.2">
      <c r="A164" s="81"/>
      <c r="B164" s="40"/>
      <c r="C164" s="81"/>
      <c r="D164" s="96"/>
      <c r="E164" s="77"/>
      <c r="F164" s="78"/>
      <c r="H164" s="82"/>
    </row>
    <row r="165" spans="1:8" x14ac:dyDescent="0.2">
      <c r="A165" s="81"/>
      <c r="B165" s="40"/>
      <c r="C165" s="81"/>
      <c r="D165" s="96"/>
      <c r="E165" s="77"/>
      <c r="F165" s="78"/>
      <c r="H165" s="82"/>
    </row>
    <row r="166" spans="1:8" x14ac:dyDescent="0.2">
      <c r="A166" s="81"/>
      <c r="B166" s="40"/>
      <c r="C166" s="81"/>
      <c r="D166" s="96"/>
      <c r="E166" s="77"/>
      <c r="F166" s="78"/>
      <c r="H166" s="82"/>
    </row>
    <row r="167" spans="1:8" x14ac:dyDescent="0.2">
      <c r="A167" s="81"/>
      <c r="B167" s="40"/>
      <c r="C167" s="81"/>
      <c r="D167" s="96"/>
      <c r="E167" s="77"/>
      <c r="F167" s="78"/>
      <c r="H167" s="82"/>
    </row>
    <row r="168" spans="1:8" x14ac:dyDescent="0.2">
      <c r="A168" s="81"/>
      <c r="B168" s="40"/>
      <c r="C168" s="81"/>
      <c r="D168" s="96"/>
      <c r="E168" s="77"/>
      <c r="F168" s="78"/>
      <c r="H168" s="82"/>
    </row>
    <row r="169" spans="1:8" x14ac:dyDescent="0.2">
      <c r="A169" s="81"/>
      <c r="B169" s="40"/>
      <c r="C169" s="81"/>
      <c r="D169" s="96"/>
      <c r="E169" s="77"/>
      <c r="F169" s="78"/>
      <c r="H169" s="82"/>
    </row>
    <row r="170" spans="1:8" x14ac:dyDescent="0.2">
      <c r="A170" s="81"/>
      <c r="B170" s="40"/>
      <c r="C170" s="81"/>
      <c r="D170" s="96"/>
      <c r="E170" s="77"/>
      <c r="F170" s="78"/>
      <c r="H170" s="82"/>
    </row>
    <row r="171" spans="1:8" x14ac:dyDescent="0.2">
      <c r="A171" s="81"/>
      <c r="B171" s="40"/>
      <c r="C171" s="81"/>
      <c r="D171" s="96"/>
      <c r="E171" s="77"/>
      <c r="F171" s="78"/>
      <c r="H171" s="82"/>
    </row>
    <row r="172" spans="1:8" x14ac:dyDescent="0.2">
      <c r="A172" s="81"/>
      <c r="B172" s="40"/>
      <c r="C172" s="81"/>
      <c r="D172" s="96"/>
      <c r="E172" s="77"/>
      <c r="F172" s="78"/>
      <c r="H172" s="82"/>
    </row>
    <row r="173" spans="1:8" x14ac:dyDescent="0.2">
      <c r="A173" s="74"/>
      <c r="B173" s="81"/>
      <c r="C173" s="75"/>
      <c r="D173" s="76"/>
      <c r="E173" s="77"/>
      <c r="F173" s="78"/>
      <c r="H173" s="82"/>
    </row>
    <row r="174" spans="1:8" x14ac:dyDescent="0.2">
      <c r="A174" s="43"/>
      <c r="B174" s="24"/>
      <c r="C174" s="44"/>
      <c r="D174" s="45"/>
      <c r="E174" s="77"/>
      <c r="F174" s="78"/>
      <c r="H174" s="82"/>
    </row>
    <row r="175" spans="1:8" x14ac:dyDescent="0.2">
      <c r="A175" s="74"/>
      <c r="B175" s="81"/>
      <c r="C175" s="75"/>
      <c r="D175" s="76"/>
      <c r="E175" s="77"/>
      <c r="F175" s="78"/>
      <c r="H175" s="82"/>
    </row>
    <row r="176" spans="1:8" x14ac:dyDescent="0.2">
      <c r="A176" s="43"/>
      <c r="B176" s="47"/>
      <c r="C176" s="44"/>
      <c r="D176" s="45"/>
      <c r="E176" s="77"/>
      <c r="F176" s="78"/>
      <c r="H176" s="82"/>
    </row>
    <row r="177" spans="1:8" x14ac:dyDescent="0.2">
      <c r="A177" s="74"/>
      <c r="B177" s="81"/>
      <c r="C177" s="75"/>
      <c r="D177" s="76"/>
      <c r="E177" s="77"/>
      <c r="F177" s="78"/>
      <c r="H177" s="82"/>
    </row>
    <row r="178" spans="1:8" x14ac:dyDescent="0.2">
      <c r="A178" s="43"/>
      <c r="B178" s="24"/>
      <c r="C178" s="44"/>
      <c r="D178" s="45"/>
      <c r="E178" s="77"/>
      <c r="F178" s="78"/>
      <c r="H178" s="82"/>
    </row>
    <row r="179" spans="1:8" x14ac:dyDescent="0.2">
      <c r="A179" s="74"/>
      <c r="B179" s="81"/>
      <c r="C179" s="75"/>
      <c r="D179" s="76"/>
      <c r="E179" s="77"/>
      <c r="F179" s="78"/>
      <c r="H179" s="82"/>
    </row>
    <row r="180" spans="1:8" x14ac:dyDescent="0.2">
      <c r="A180" s="48"/>
      <c r="B180" s="49"/>
      <c r="C180" s="50"/>
      <c r="D180" s="51"/>
      <c r="E180" s="52"/>
      <c r="F180" s="53"/>
      <c r="H180" s="82"/>
    </row>
    <row r="181" spans="1:8" x14ac:dyDescent="0.2">
      <c r="A181" s="54"/>
      <c r="B181" s="55"/>
      <c r="C181" s="56" t="s">
        <v>195</v>
      </c>
      <c r="D181" s="56"/>
      <c r="E181" s="57" t="s">
        <v>135</v>
      </c>
      <c r="F181" s="58">
        <f>SUM(F133:F155)</f>
        <v>2054382.8315999997</v>
      </c>
      <c r="H181" s="82"/>
    </row>
    <row r="182" spans="1:8" x14ac:dyDescent="0.2">
      <c r="A182" s="54"/>
      <c r="B182" s="55"/>
      <c r="C182" s="59"/>
      <c r="D182" s="60"/>
      <c r="E182" s="61"/>
      <c r="F182" s="62"/>
    </row>
    <row r="290" spans="6:6" x14ac:dyDescent="0.2">
      <c r="F290" s="189"/>
    </row>
  </sheetData>
  <autoFilter ref="A1:F178" xr:uid="{272BF026-E786-41BF-BDF3-6381D795EFA7}"/>
  <mergeCells count="4">
    <mergeCell ref="A1:A2"/>
    <mergeCell ref="B1:B2"/>
    <mergeCell ref="C1:C2"/>
    <mergeCell ref="D1:D2"/>
  </mergeCells>
  <phoneticPr fontId="16" type="noConversion"/>
  <printOptions horizontalCentered="1"/>
  <pageMargins left="0.6692913385826772" right="0.19685039370078741" top="0.82677165354330717" bottom="0.47244094488188981" header="0.19685039370078741" footer="0.23622047244094491"/>
  <pageSetup paperSize="9" scale="98" fitToHeight="0" orientation="portrait" useFirstPageNumber="1" r:id="rId1"/>
  <headerFooter>
    <oddHeader xml:space="preserve">&amp;R&amp;UBILL NO. 14 - STRUCTURAL METAL WORK GMP
PARKING FLOOR REFURBISHMENT
</oddHeader>
    <oddFooter>&amp;L&amp;8DMS 148704 BOQ - Nakheel Mall Al Khail&amp;C14/2/&amp;P</oddFooter>
  </headerFooter>
  <rowBreaks count="3" manualBreakCount="3">
    <brk id="40" max="5" man="1"/>
    <brk id="88" max="5" man="1"/>
    <brk id="132" max="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10BD4-04AA-4C71-8B3F-C1BAD8BC5519}">
  <sheetPr>
    <tabColor rgb="FF002060"/>
  </sheetPr>
  <dimension ref="A1:O290"/>
  <sheetViews>
    <sheetView tabSelected="1" view="pageBreakPreview" zoomScale="80" zoomScaleNormal="100" zoomScaleSheetLayoutView="80" workbookViewId="0">
      <selection activeCell="I153" sqref="I153"/>
    </sheetView>
  </sheetViews>
  <sheetFormatPr defaultColWidth="8.85546875" defaultRowHeight="15" x14ac:dyDescent="0.25"/>
  <cols>
    <col min="1" max="1" width="5.42578125" style="6" customWidth="1"/>
    <col min="2" max="2" width="46.5703125" style="11" customWidth="1"/>
    <col min="3" max="3" width="10.5703125" style="6" customWidth="1"/>
    <col min="4" max="4" width="6.5703125" style="8" customWidth="1"/>
    <col min="5" max="5" width="13.7109375" style="22" customWidth="1"/>
    <col min="6" max="6" width="18.140625" style="23" customWidth="1"/>
    <col min="7" max="7" width="15.85546875" style="1" customWidth="1"/>
    <col min="8" max="8" width="18.140625" style="1" customWidth="1"/>
    <col min="9" max="9" width="19" style="1" customWidth="1"/>
    <col min="10" max="10" width="9.85546875" style="1" bestFit="1" customWidth="1"/>
    <col min="11" max="12" width="9" style="1" bestFit="1" customWidth="1"/>
    <col min="13" max="14" width="9.85546875" style="1" bestFit="1" customWidth="1"/>
    <col min="15" max="16384" width="8.85546875" style="1"/>
  </cols>
  <sheetData>
    <row r="1" spans="1:9" ht="14.45" customHeight="1" x14ac:dyDescent="0.25">
      <c r="A1" s="181" t="s">
        <v>241</v>
      </c>
      <c r="B1" s="182"/>
      <c r="C1" s="182"/>
      <c r="D1" s="182"/>
      <c r="E1" s="182"/>
      <c r="F1" s="182"/>
    </row>
    <row r="2" spans="1:9" ht="17.25" customHeight="1" x14ac:dyDescent="0.25">
      <c r="A2" s="181" t="s">
        <v>242</v>
      </c>
      <c r="B2" s="182"/>
      <c r="C2" s="182"/>
      <c r="D2" s="182"/>
      <c r="E2" s="182"/>
      <c r="F2" s="182"/>
    </row>
    <row r="3" spans="1:9" ht="28.7" customHeight="1" x14ac:dyDescent="0.25">
      <c r="A3" s="2" t="s">
        <v>1</v>
      </c>
      <c r="B3" s="2" t="s">
        <v>2</v>
      </c>
      <c r="C3" s="2" t="s">
        <v>3</v>
      </c>
      <c r="D3" s="3" t="s">
        <v>4</v>
      </c>
      <c r="E3" s="4" t="s">
        <v>5</v>
      </c>
      <c r="F3" s="5" t="s">
        <v>6</v>
      </c>
    </row>
    <row r="4" spans="1:9" ht="43.35" customHeight="1" x14ac:dyDescent="0.25">
      <c r="B4" s="7" t="s">
        <v>0</v>
      </c>
      <c r="E4" s="9"/>
      <c r="F4" s="10"/>
    </row>
    <row r="5" spans="1:9" ht="22.9" customHeight="1" x14ac:dyDescent="0.25">
      <c r="B5" s="183" t="s">
        <v>225</v>
      </c>
      <c r="E5" s="9"/>
      <c r="F5" s="10"/>
    </row>
    <row r="6" spans="1:9" ht="8.85" customHeight="1" x14ac:dyDescent="0.25">
      <c r="B6" s="184"/>
      <c r="E6" s="9"/>
      <c r="F6" s="10"/>
    </row>
    <row r="7" spans="1:9" ht="11.45" customHeight="1" x14ac:dyDescent="0.25">
      <c r="E7" s="9"/>
      <c r="F7" s="10"/>
      <c r="G7" s="72"/>
      <c r="H7" s="15"/>
    </row>
    <row r="8" spans="1:9" ht="17.25" customHeight="1" x14ac:dyDescent="0.25">
      <c r="A8" s="12" t="s">
        <v>10</v>
      </c>
      <c r="B8" s="13" t="s">
        <v>222</v>
      </c>
      <c r="C8" s="137">
        <v>1</v>
      </c>
      <c r="D8" s="14" t="s">
        <v>1</v>
      </c>
      <c r="E8" s="9"/>
      <c r="F8" s="136" t="s">
        <v>223</v>
      </c>
      <c r="G8" s="72"/>
      <c r="H8" s="15"/>
      <c r="I8" s="16"/>
    </row>
    <row r="9" spans="1:9" ht="11.45" customHeight="1" x14ac:dyDescent="0.25">
      <c r="E9" s="9"/>
      <c r="F9" s="10"/>
      <c r="G9" s="72"/>
      <c r="H9" s="15"/>
    </row>
    <row r="10" spans="1:9" ht="31.9" customHeight="1" x14ac:dyDescent="0.25">
      <c r="A10" s="12" t="s">
        <v>12</v>
      </c>
      <c r="B10" s="13" t="s">
        <v>224</v>
      </c>
      <c r="C10" s="122">
        <v>818.67</v>
      </c>
      <c r="D10" s="14" t="s">
        <v>11</v>
      </c>
      <c r="E10" s="9">
        <v>11315.745148117103</v>
      </c>
      <c r="F10" s="10">
        <f>C10*E10</f>
        <v>9263861.0804090276</v>
      </c>
      <c r="G10" s="72"/>
      <c r="H10" s="15"/>
    </row>
    <row r="11" spans="1:9" ht="11.45" customHeight="1" x14ac:dyDescent="0.25">
      <c r="C11" s="138"/>
      <c r="E11" s="9"/>
      <c r="F11" s="10"/>
      <c r="H11" s="15"/>
    </row>
    <row r="12" spans="1:9" ht="31.9" customHeight="1" x14ac:dyDescent="0.25">
      <c r="A12" s="12" t="s">
        <v>14</v>
      </c>
      <c r="B12" s="13" t="s">
        <v>226</v>
      </c>
      <c r="C12" s="122">
        <f>1178-C10</f>
        <v>359.33000000000004</v>
      </c>
      <c r="D12" s="14" t="s">
        <v>11</v>
      </c>
      <c r="E12" s="9">
        <v>11315.745148117103</v>
      </c>
      <c r="F12" s="10">
        <f>C12*E12</f>
        <v>4066086.7040729192</v>
      </c>
      <c r="G12" s="72"/>
      <c r="H12" s="15"/>
    </row>
    <row r="13" spans="1:9" ht="11.45" customHeight="1" x14ac:dyDescent="0.25">
      <c r="C13" s="138"/>
      <c r="E13" s="9"/>
      <c r="F13" s="10"/>
      <c r="H13" s="15"/>
    </row>
    <row r="14" spans="1:9" ht="17.25" customHeight="1" x14ac:dyDescent="0.25">
      <c r="A14" s="12" t="s">
        <v>16</v>
      </c>
      <c r="B14" s="13" t="s">
        <v>218</v>
      </c>
      <c r="C14" s="137">
        <v>15031</v>
      </c>
      <c r="D14" s="14" t="s">
        <v>126</v>
      </c>
      <c r="E14" s="9">
        <v>26.44</v>
      </c>
      <c r="F14" s="10">
        <f>C14*E14</f>
        <v>397419.64</v>
      </c>
      <c r="G14" s="72"/>
      <c r="H14" s="15"/>
    </row>
    <row r="15" spans="1:9" ht="11.45" customHeight="1" x14ac:dyDescent="0.25">
      <c r="C15" s="138"/>
      <c r="E15" s="9"/>
      <c r="F15" s="10"/>
      <c r="H15" s="15"/>
    </row>
    <row r="16" spans="1:9" ht="17.25" customHeight="1" x14ac:dyDescent="0.25">
      <c r="A16" s="12" t="s">
        <v>18</v>
      </c>
      <c r="B16" s="13" t="s">
        <v>219</v>
      </c>
      <c r="C16" s="137">
        <v>15031</v>
      </c>
      <c r="D16" s="14" t="s">
        <v>126</v>
      </c>
      <c r="E16" s="9">
        <v>218.79036825169825</v>
      </c>
      <c r="F16" s="10">
        <f>C16*E16</f>
        <v>3288638.0251912763</v>
      </c>
      <c r="G16" s="72"/>
      <c r="H16" s="15"/>
    </row>
    <row r="17" spans="1:15" ht="11.45" customHeight="1" x14ac:dyDescent="0.25">
      <c r="C17" s="138"/>
      <c r="E17" s="9"/>
      <c r="F17" s="10"/>
      <c r="H17" s="15"/>
    </row>
    <row r="18" spans="1:15" ht="31.15" customHeight="1" x14ac:dyDescent="0.25">
      <c r="A18" s="12" t="s">
        <v>20</v>
      </c>
      <c r="B18" s="13" t="s">
        <v>227</v>
      </c>
      <c r="C18" s="137">
        <v>3546</v>
      </c>
      <c r="D18" s="14" t="s">
        <v>126</v>
      </c>
      <c r="E18" s="9">
        <v>287.49</v>
      </c>
      <c r="F18" s="10">
        <f>C18*E18</f>
        <v>1019439.54</v>
      </c>
      <c r="G18" s="72"/>
      <c r="H18" s="15"/>
    </row>
    <row r="19" spans="1:15" ht="11.45" customHeight="1" x14ac:dyDescent="0.25">
      <c r="C19" s="138"/>
      <c r="E19" s="9"/>
      <c r="F19" s="10"/>
      <c r="H19" s="15"/>
    </row>
    <row r="20" spans="1:15" ht="17.25" customHeight="1" x14ac:dyDescent="0.25">
      <c r="A20" s="12" t="s">
        <v>22</v>
      </c>
      <c r="B20" s="13" t="s">
        <v>228</v>
      </c>
      <c r="C20" s="137">
        <v>506</v>
      </c>
      <c r="D20" s="14" t="s">
        <v>123</v>
      </c>
      <c r="E20" s="9">
        <v>61.72</v>
      </c>
      <c r="F20" s="10">
        <f>C20*E20</f>
        <v>31230.32</v>
      </c>
      <c r="G20" s="72"/>
      <c r="H20" s="15"/>
      <c r="J20" s="72"/>
    </row>
    <row r="21" spans="1:15" ht="11.45" customHeight="1" x14ac:dyDescent="0.25">
      <c r="C21" s="138"/>
      <c r="E21" s="9"/>
      <c r="F21" s="10"/>
      <c r="H21" s="15"/>
    </row>
    <row r="22" spans="1:15" ht="17.25" customHeight="1" x14ac:dyDescent="0.25">
      <c r="A22" s="12" t="s">
        <v>24</v>
      </c>
      <c r="B22" s="13" t="s">
        <v>229</v>
      </c>
      <c r="C22" s="137">
        <v>1</v>
      </c>
      <c r="D22" s="14" t="s">
        <v>1</v>
      </c>
      <c r="E22" s="9"/>
      <c r="F22" s="10">
        <f>777644.01-0.12</f>
        <v>777643.89</v>
      </c>
      <c r="G22" s="72"/>
      <c r="H22" s="150"/>
      <c r="N22" s="151"/>
    </row>
    <row r="23" spans="1:15" ht="11.45" customHeight="1" x14ac:dyDescent="0.25">
      <c r="C23" s="138"/>
      <c r="E23" s="9"/>
      <c r="F23" s="10"/>
      <c r="H23" s="15"/>
      <c r="K23" s="72"/>
      <c r="L23" s="72"/>
      <c r="M23" s="72"/>
      <c r="N23" s="151"/>
      <c r="O23" s="152"/>
    </row>
    <row r="24" spans="1:15" ht="17.25" customHeight="1" x14ac:dyDescent="0.25">
      <c r="A24" s="12"/>
      <c r="B24" s="13"/>
      <c r="C24" s="122"/>
      <c r="D24" s="14"/>
      <c r="E24" s="9"/>
      <c r="F24" s="10"/>
      <c r="G24" s="72"/>
      <c r="H24" s="15"/>
      <c r="K24" s="72"/>
      <c r="L24" s="72"/>
      <c r="M24" s="72"/>
      <c r="N24" s="151"/>
      <c r="O24" s="152"/>
    </row>
    <row r="25" spans="1:15" ht="11.45" customHeight="1" x14ac:dyDescent="0.25">
      <c r="C25" s="138"/>
      <c r="E25" s="9"/>
      <c r="F25" s="10"/>
      <c r="H25" s="15"/>
    </row>
    <row r="26" spans="1:15" ht="17.25" customHeight="1" x14ac:dyDescent="0.25">
      <c r="A26" s="12"/>
      <c r="B26" s="13"/>
      <c r="C26" s="122"/>
      <c r="D26" s="14"/>
      <c r="E26" s="9"/>
      <c r="F26" s="10"/>
      <c r="G26" s="72"/>
      <c r="H26" s="15"/>
      <c r="I26" s="16"/>
    </row>
    <row r="27" spans="1:15" ht="11.45" customHeight="1" x14ac:dyDescent="0.25">
      <c r="C27" s="138"/>
      <c r="E27" s="9"/>
      <c r="F27" s="10"/>
    </row>
    <row r="28" spans="1:15" ht="17.25" customHeight="1" x14ac:dyDescent="0.25">
      <c r="A28" s="12"/>
      <c r="B28" s="13"/>
      <c r="C28" s="122"/>
      <c r="D28" s="14"/>
      <c r="E28" s="9"/>
      <c r="F28" s="10"/>
      <c r="G28" s="72"/>
      <c r="H28" s="15"/>
      <c r="I28" s="16"/>
    </row>
    <row r="29" spans="1:15" ht="11.45" customHeight="1" x14ac:dyDescent="0.25">
      <c r="C29" s="138"/>
      <c r="E29" s="9"/>
      <c r="F29" s="10"/>
    </row>
    <row r="30" spans="1:15" ht="17.25" customHeight="1" x14ac:dyDescent="0.25">
      <c r="A30" s="12"/>
      <c r="B30" s="13"/>
      <c r="C30" s="122"/>
      <c r="D30" s="14"/>
      <c r="E30" s="9"/>
      <c r="F30" s="10"/>
      <c r="G30" s="72"/>
      <c r="H30" s="15"/>
    </row>
    <row r="31" spans="1:15" ht="11.45" customHeight="1" x14ac:dyDescent="0.25">
      <c r="C31" s="138"/>
      <c r="E31" s="9"/>
      <c r="F31" s="10"/>
    </row>
    <row r="32" spans="1:15" ht="17.25" customHeight="1" x14ac:dyDescent="0.25">
      <c r="A32" s="12"/>
      <c r="B32" s="13"/>
      <c r="C32" s="122"/>
      <c r="D32" s="14"/>
      <c r="E32" s="9"/>
      <c r="F32" s="10"/>
    </row>
    <row r="33" spans="1:6" ht="19.7" customHeight="1" x14ac:dyDescent="0.25">
      <c r="E33" s="9"/>
      <c r="F33" s="10"/>
    </row>
    <row r="34" spans="1:6" ht="28.7" customHeight="1" x14ac:dyDescent="0.25">
      <c r="A34" s="17"/>
      <c r="B34" s="17"/>
      <c r="C34" s="18"/>
      <c r="D34" s="19"/>
      <c r="E34" s="26" t="s">
        <v>131</v>
      </c>
      <c r="F34" s="20">
        <f>SUM(F4:F33)</f>
        <v>18844319.199673224</v>
      </c>
    </row>
    <row r="35" spans="1:6" ht="7.7" customHeight="1" x14ac:dyDescent="0.25">
      <c r="A35" s="1"/>
      <c r="B35" s="1"/>
      <c r="C35" s="1"/>
      <c r="D35" s="1"/>
      <c r="E35" s="21"/>
      <c r="F35" s="21"/>
    </row>
    <row r="140" spans="6:6" x14ac:dyDescent="0.25">
      <c r="F140" s="190"/>
    </row>
    <row r="290" spans="6:6" x14ac:dyDescent="0.25">
      <c r="F290" s="190"/>
    </row>
  </sheetData>
  <autoFilter ref="A3:F34" xr:uid="{00000000-0001-0000-0300-000000000000}"/>
  <mergeCells count="3">
    <mergeCell ref="A1:F1"/>
    <mergeCell ref="A2:F2"/>
    <mergeCell ref="B5:B6"/>
  </mergeCells>
  <pageMargins left="0.70866141732283472" right="0.19685039370078741" top="0.35433070866141736" bottom="0.35433070866141736" header="0.31496062992125984" footer="0.31496062992125984"/>
  <pageSetup paperSize="9" scale="92" orientation="portrait" useFirstPageNumber="1" r:id="rId1"/>
  <headerFooter>
    <oddFooter>&amp;L&amp;"Arial,Regular"&amp;8DMS 148704 BOQ - Nakheel Mall Al Khail&amp;C&amp;"Arial,Regular"&amp;10 14/3/&amp;P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0D512-30FA-40F0-9D19-B57978C86B18}">
  <sheetPr>
    <tabColor rgb="FFC00000"/>
  </sheetPr>
  <dimension ref="A1:H290"/>
  <sheetViews>
    <sheetView tabSelected="1" view="pageBreakPreview" topLeftCell="A150" zoomScale="85" zoomScaleNormal="100" zoomScaleSheetLayoutView="85" zoomScalePageLayoutView="70" workbookViewId="0">
      <selection activeCell="I153" sqref="I153"/>
    </sheetView>
  </sheetViews>
  <sheetFormatPr defaultColWidth="9.28515625" defaultRowHeight="14.25" x14ac:dyDescent="0.2"/>
  <cols>
    <col min="1" max="1" width="5.7109375" style="99" customWidth="1"/>
    <col min="2" max="2" width="44.7109375" style="100" customWidth="1"/>
    <col min="3" max="3" width="10.28515625" style="101" customWidth="1"/>
    <col min="4" max="4" width="6.7109375" style="102" customWidth="1"/>
    <col min="5" max="5" width="12.7109375" style="57" customWidth="1"/>
    <col min="6" max="6" width="15.7109375" style="71" customWidth="1"/>
    <col min="7" max="7" width="27.140625" style="79" customWidth="1"/>
    <col min="8" max="8" width="13.7109375" style="80" customWidth="1"/>
    <col min="9" max="16384" width="9.28515625" style="80"/>
  </cols>
  <sheetData>
    <row r="1" spans="1:8" s="29" customFormat="1" ht="15" x14ac:dyDescent="0.25">
      <c r="A1" s="173" t="s">
        <v>1</v>
      </c>
      <c r="B1" s="173" t="s">
        <v>2</v>
      </c>
      <c r="C1" s="179" t="s">
        <v>132</v>
      </c>
      <c r="D1" s="177" t="s">
        <v>4</v>
      </c>
      <c r="E1" s="27" t="s">
        <v>133</v>
      </c>
      <c r="F1" s="28" t="s">
        <v>134</v>
      </c>
      <c r="G1" s="73"/>
    </row>
    <row r="2" spans="1:8" s="29" customFormat="1" ht="15" x14ac:dyDescent="0.25">
      <c r="A2" s="174"/>
      <c r="B2" s="174"/>
      <c r="C2" s="180"/>
      <c r="D2" s="178"/>
      <c r="E2" s="30" t="s">
        <v>135</v>
      </c>
      <c r="F2" s="31" t="s">
        <v>135</v>
      </c>
      <c r="G2" s="73"/>
    </row>
    <row r="3" spans="1:8" s="29" customFormat="1" ht="15" x14ac:dyDescent="0.2">
      <c r="A3" s="32"/>
      <c r="B3" s="33"/>
      <c r="C3" s="34"/>
      <c r="D3" s="35"/>
      <c r="E3" s="36"/>
      <c r="F3" s="37"/>
      <c r="G3" s="73"/>
    </row>
    <row r="4" spans="1:8" x14ac:dyDescent="0.2">
      <c r="A4" s="74"/>
      <c r="B4" s="40" t="s">
        <v>0</v>
      </c>
      <c r="C4" s="75"/>
      <c r="D4" s="76"/>
      <c r="E4" s="77"/>
      <c r="F4" s="78"/>
    </row>
    <row r="5" spans="1:8" x14ac:dyDescent="0.2">
      <c r="A5" s="74"/>
      <c r="B5" s="41"/>
      <c r="C5" s="75"/>
      <c r="D5" s="76"/>
      <c r="E5" s="77"/>
      <c r="F5" s="78"/>
    </row>
    <row r="6" spans="1:8" x14ac:dyDescent="0.2">
      <c r="A6" s="74"/>
      <c r="B6" s="42" t="s">
        <v>256</v>
      </c>
      <c r="C6" s="75"/>
      <c r="D6" s="76"/>
      <c r="E6" s="77"/>
      <c r="F6" s="78"/>
    </row>
    <row r="7" spans="1:8" x14ac:dyDescent="0.2">
      <c r="A7" s="74"/>
      <c r="B7" s="81"/>
      <c r="C7" s="75"/>
      <c r="D7" s="76"/>
      <c r="E7" s="77"/>
      <c r="F7" s="78"/>
    </row>
    <row r="8" spans="1:8" ht="15" x14ac:dyDescent="0.2">
      <c r="A8" s="43"/>
      <c r="B8" s="141" t="s">
        <v>248</v>
      </c>
      <c r="C8" s="44"/>
      <c r="D8" s="45"/>
      <c r="E8" s="77"/>
      <c r="F8" s="78"/>
    </row>
    <row r="9" spans="1:8" x14ac:dyDescent="0.2">
      <c r="A9" s="74"/>
      <c r="B9" s="81"/>
      <c r="C9" s="75"/>
      <c r="D9" s="76"/>
      <c r="E9" s="77"/>
      <c r="F9" s="78"/>
    </row>
    <row r="10" spans="1:8" x14ac:dyDescent="0.2">
      <c r="A10" s="43"/>
      <c r="B10" s="24" t="s">
        <v>245</v>
      </c>
      <c r="C10" s="44"/>
      <c r="D10" s="45"/>
      <c r="E10" s="77"/>
      <c r="F10" s="78"/>
    </row>
    <row r="11" spans="1:8" x14ac:dyDescent="0.2">
      <c r="A11" s="74"/>
      <c r="B11" s="81"/>
      <c r="C11" s="75"/>
      <c r="D11" s="76"/>
      <c r="E11" s="77"/>
      <c r="F11" s="78"/>
    </row>
    <row r="12" spans="1:8" x14ac:dyDescent="0.2">
      <c r="A12" s="43"/>
      <c r="B12" s="46" t="s">
        <v>246</v>
      </c>
      <c r="C12" s="44"/>
      <c r="D12" s="45"/>
      <c r="E12" s="77"/>
      <c r="F12" s="78"/>
    </row>
    <row r="13" spans="1:8" x14ac:dyDescent="0.2">
      <c r="A13" s="74"/>
      <c r="B13" s="81"/>
      <c r="C13" s="75"/>
      <c r="D13" s="76"/>
      <c r="E13" s="77"/>
      <c r="F13" s="78"/>
    </row>
    <row r="14" spans="1:8" ht="57" x14ac:dyDescent="0.2">
      <c r="A14" s="43"/>
      <c r="B14" s="83" t="s">
        <v>9</v>
      </c>
      <c r="C14" s="44"/>
      <c r="D14" s="45"/>
      <c r="E14" s="77"/>
      <c r="F14" s="78"/>
    </row>
    <row r="15" spans="1:8" x14ac:dyDescent="0.2">
      <c r="A15" s="74"/>
      <c r="B15" s="81"/>
      <c r="C15" s="75"/>
      <c r="D15" s="76"/>
      <c r="E15" s="77"/>
      <c r="F15" s="78"/>
    </row>
    <row r="16" spans="1:8" x14ac:dyDescent="0.2">
      <c r="A16" s="43" t="s">
        <v>10</v>
      </c>
      <c r="B16" s="24" t="s">
        <v>19</v>
      </c>
      <c r="C16" s="122">
        <v>50.542000000000002</v>
      </c>
      <c r="D16" s="45" t="s">
        <v>11</v>
      </c>
      <c r="E16" s="77">
        <v>11192.68</v>
      </c>
      <c r="F16" s="78">
        <f>C16*E16</f>
        <v>565700.43255999999</v>
      </c>
      <c r="H16" s="82"/>
    </row>
    <row r="17" spans="1:8" x14ac:dyDescent="0.2">
      <c r="A17" s="74"/>
      <c r="B17" s="81"/>
      <c r="C17" s="142"/>
      <c r="D17" s="76"/>
      <c r="E17" s="77"/>
      <c r="F17" s="78"/>
      <c r="H17" s="82"/>
    </row>
    <row r="18" spans="1:8" x14ac:dyDescent="0.2">
      <c r="A18" s="43" t="s">
        <v>12</v>
      </c>
      <c r="B18" s="24" t="s">
        <v>21</v>
      </c>
      <c r="C18" s="122">
        <v>16.184000000000001</v>
      </c>
      <c r="D18" s="45" t="s">
        <v>11</v>
      </c>
      <c r="E18" s="77">
        <v>11192.68</v>
      </c>
      <c r="F18" s="78">
        <f>C18*E18</f>
        <v>181142.33312000002</v>
      </c>
      <c r="H18" s="82"/>
    </row>
    <row r="19" spans="1:8" x14ac:dyDescent="0.2">
      <c r="A19" s="74"/>
      <c r="B19" s="81"/>
      <c r="C19" s="142"/>
      <c r="D19" s="76"/>
      <c r="E19" s="77"/>
      <c r="F19" s="78"/>
      <c r="H19" s="82"/>
    </row>
    <row r="20" spans="1:8" x14ac:dyDescent="0.2">
      <c r="A20" s="43" t="s">
        <v>14</v>
      </c>
      <c r="B20" s="24" t="s">
        <v>23</v>
      </c>
      <c r="C20" s="122">
        <v>36.978999999999999</v>
      </c>
      <c r="D20" s="45" t="s">
        <v>11</v>
      </c>
      <c r="E20" s="77">
        <v>11192.68</v>
      </c>
      <c r="F20" s="78">
        <f>C20*E20</f>
        <v>413894.11372000002</v>
      </c>
      <c r="H20" s="82"/>
    </row>
    <row r="21" spans="1:8" x14ac:dyDescent="0.2">
      <c r="A21" s="74"/>
      <c r="B21" s="81"/>
      <c r="C21" s="142"/>
      <c r="D21" s="76"/>
      <c r="E21" s="77"/>
      <c r="F21" s="78"/>
      <c r="H21" s="82"/>
    </row>
    <row r="22" spans="1:8" x14ac:dyDescent="0.2">
      <c r="A22" s="43" t="s">
        <v>16</v>
      </c>
      <c r="B22" s="24" t="s">
        <v>25</v>
      </c>
      <c r="C22" s="122">
        <v>185.76900000000001</v>
      </c>
      <c r="D22" s="45" t="s">
        <v>11</v>
      </c>
      <c r="E22" s="77">
        <v>11192.68</v>
      </c>
      <c r="F22" s="78">
        <f>C22*E22</f>
        <v>2079252.9709200002</v>
      </c>
      <c r="H22" s="82"/>
    </row>
    <row r="23" spans="1:8" x14ac:dyDescent="0.2">
      <c r="A23" s="74"/>
      <c r="B23" s="81"/>
      <c r="C23" s="75"/>
      <c r="D23" s="76"/>
      <c r="E23" s="77"/>
      <c r="F23" s="78"/>
      <c r="H23" s="82"/>
    </row>
    <row r="24" spans="1:8" x14ac:dyDescent="0.2">
      <c r="A24" s="43" t="s">
        <v>18</v>
      </c>
      <c r="B24" s="24" t="s">
        <v>252</v>
      </c>
      <c r="C24" s="44"/>
      <c r="D24" s="45" t="s">
        <v>1</v>
      </c>
      <c r="E24" s="77"/>
      <c r="F24" s="78">
        <v>274855.56299999997</v>
      </c>
      <c r="H24" s="82"/>
    </row>
    <row r="25" spans="1:8" x14ac:dyDescent="0.2">
      <c r="A25" s="43"/>
      <c r="B25" s="24"/>
      <c r="C25" s="44"/>
      <c r="D25" s="45"/>
      <c r="E25" s="77"/>
      <c r="F25" s="78"/>
      <c r="H25" s="82"/>
    </row>
    <row r="26" spans="1:8" ht="28.5" x14ac:dyDescent="0.2">
      <c r="A26" s="43"/>
      <c r="B26" s="83" t="s">
        <v>124</v>
      </c>
      <c r="C26" s="44"/>
      <c r="D26" s="45"/>
      <c r="E26" s="77"/>
      <c r="F26" s="78"/>
      <c r="H26" s="82"/>
    </row>
    <row r="27" spans="1:8" x14ac:dyDescent="0.2">
      <c r="A27" s="74"/>
      <c r="B27" s="81"/>
      <c r="C27" s="75"/>
      <c r="D27" s="76"/>
      <c r="E27" s="77"/>
      <c r="F27" s="78"/>
      <c r="H27" s="82"/>
    </row>
    <row r="28" spans="1:8" x14ac:dyDescent="0.2">
      <c r="A28" s="43" t="s">
        <v>20</v>
      </c>
      <c r="B28" s="24" t="s">
        <v>218</v>
      </c>
      <c r="C28" s="122">
        <v>3745.7935599999996</v>
      </c>
      <c r="D28" s="45" t="s">
        <v>126</v>
      </c>
      <c r="E28" s="77">
        <v>26.44</v>
      </c>
      <c r="F28" s="78">
        <f>C28*E28</f>
        <v>99038.78172639999</v>
      </c>
      <c r="H28" s="82"/>
    </row>
    <row r="29" spans="1:8" x14ac:dyDescent="0.2">
      <c r="A29" s="74"/>
      <c r="B29" s="81"/>
      <c r="C29" s="75"/>
      <c r="D29" s="76"/>
      <c r="E29" s="77"/>
      <c r="F29" s="78"/>
      <c r="H29" s="82"/>
    </row>
    <row r="30" spans="1:8" x14ac:dyDescent="0.2">
      <c r="A30" s="43" t="s">
        <v>22</v>
      </c>
      <c r="B30" s="24" t="s">
        <v>253</v>
      </c>
      <c r="C30" s="122">
        <v>3745.7935599999996</v>
      </c>
      <c r="D30" s="45" t="s">
        <v>126</v>
      </c>
      <c r="E30" s="77">
        <v>218.62</v>
      </c>
      <c r="F30" s="78">
        <f>C30*E30</f>
        <v>818905.38808719988</v>
      </c>
      <c r="H30" s="82"/>
    </row>
    <row r="31" spans="1:8" x14ac:dyDescent="0.2">
      <c r="A31" s="74"/>
      <c r="B31" s="81"/>
      <c r="C31" s="75"/>
      <c r="D31" s="76"/>
      <c r="E31" s="77"/>
      <c r="F31" s="78"/>
      <c r="H31" s="82"/>
    </row>
    <row r="32" spans="1:8" ht="28.5" x14ac:dyDescent="0.2">
      <c r="A32" s="43"/>
      <c r="B32" s="143" t="s">
        <v>254</v>
      </c>
      <c r="C32" s="44"/>
      <c r="D32" s="45"/>
      <c r="E32" s="77"/>
      <c r="F32" s="78"/>
      <c r="H32" s="82"/>
    </row>
    <row r="33" spans="1:8" x14ac:dyDescent="0.2">
      <c r="A33" s="74"/>
      <c r="B33" s="81"/>
      <c r="C33" s="75"/>
      <c r="D33" s="76"/>
      <c r="E33" s="77"/>
      <c r="F33" s="78"/>
      <c r="H33" s="82"/>
    </row>
    <row r="34" spans="1:8" x14ac:dyDescent="0.2">
      <c r="A34" s="43" t="s">
        <v>24</v>
      </c>
      <c r="B34" s="24" t="s">
        <v>255</v>
      </c>
      <c r="C34" s="137">
        <v>2840</v>
      </c>
      <c r="D34" s="45" t="s">
        <v>126</v>
      </c>
      <c r="E34" s="77">
        <v>287.49</v>
      </c>
      <c r="F34" s="78">
        <f>C34*E34</f>
        <v>816471.6</v>
      </c>
      <c r="H34" s="82"/>
    </row>
    <row r="35" spans="1:8" x14ac:dyDescent="0.2">
      <c r="A35" s="74"/>
      <c r="B35" s="81"/>
      <c r="C35" s="75"/>
      <c r="D35" s="76"/>
      <c r="E35" s="77"/>
      <c r="F35" s="78"/>
      <c r="H35" s="82"/>
    </row>
    <row r="36" spans="1:8" x14ac:dyDescent="0.2">
      <c r="A36" s="43"/>
      <c r="B36" s="24"/>
      <c r="C36" s="44"/>
      <c r="D36" s="45"/>
      <c r="E36" s="77"/>
      <c r="F36" s="78"/>
      <c r="H36" s="82"/>
    </row>
    <row r="37" spans="1:8" x14ac:dyDescent="0.2">
      <c r="A37" s="74"/>
      <c r="B37" s="81"/>
      <c r="C37" s="75"/>
      <c r="D37" s="76"/>
      <c r="E37" s="77"/>
      <c r="F37" s="78"/>
      <c r="H37" s="82"/>
    </row>
    <row r="38" spans="1:8" x14ac:dyDescent="0.2">
      <c r="A38" s="43"/>
      <c r="B38" s="24"/>
      <c r="C38" s="44"/>
      <c r="D38" s="45"/>
      <c r="E38" s="77"/>
      <c r="F38" s="78"/>
      <c r="H38" s="82"/>
    </row>
    <row r="39" spans="1:8" x14ac:dyDescent="0.2">
      <c r="A39" s="74"/>
      <c r="B39" s="81"/>
      <c r="C39" s="75"/>
      <c r="D39" s="76"/>
      <c r="E39" s="77"/>
      <c r="F39" s="78"/>
      <c r="H39" s="82"/>
    </row>
    <row r="40" spans="1:8" x14ac:dyDescent="0.2">
      <c r="A40" s="43"/>
      <c r="B40" s="47"/>
      <c r="C40" s="44"/>
      <c r="D40" s="45"/>
      <c r="E40" s="77"/>
      <c r="F40" s="78"/>
      <c r="H40" s="82"/>
    </row>
    <row r="41" spans="1:8" x14ac:dyDescent="0.2">
      <c r="A41" s="74"/>
      <c r="B41" s="81"/>
      <c r="C41" s="75"/>
      <c r="D41" s="76"/>
      <c r="E41" s="77"/>
      <c r="F41" s="78"/>
      <c r="H41" s="82"/>
    </row>
    <row r="42" spans="1:8" x14ac:dyDescent="0.2">
      <c r="A42" s="43"/>
      <c r="B42" s="24"/>
      <c r="C42" s="44"/>
      <c r="D42" s="45"/>
      <c r="E42" s="77"/>
      <c r="F42" s="78"/>
      <c r="H42" s="82"/>
    </row>
    <row r="43" spans="1:8" x14ac:dyDescent="0.2">
      <c r="A43" s="74"/>
      <c r="B43" s="81"/>
      <c r="C43" s="75"/>
      <c r="D43" s="76"/>
      <c r="E43" s="77"/>
      <c r="F43" s="78"/>
      <c r="H43" s="82"/>
    </row>
    <row r="44" spans="1:8" x14ac:dyDescent="0.2">
      <c r="A44" s="43"/>
      <c r="B44" s="24"/>
      <c r="C44" s="44"/>
      <c r="D44" s="45"/>
      <c r="E44" s="77"/>
      <c r="F44" s="78"/>
      <c r="H44" s="82"/>
    </row>
    <row r="45" spans="1:8" x14ac:dyDescent="0.2">
      <c r="A45" s="43"/>
      <c r="B45" s="47"/>
      <c r="C45" s="44"/>
      <c r="D45" s="45"/>
      <c r="E45" s="77"/>
      <c r="F45" s="78"/>
      <c r="H45" s="82"/>
    </row>
    <row r="46" spans="1:8" x14ac:dyDescent="0.2">
      <c r="A46" s="48"/>
      <c r="B46" s="49"/>
      <c r="C46" s="50"/>
      <c r="D46" s="51"/>
      <c r="E46" s="52"/>
      <c r="F46" s="53"/>
      <c r="H46" s="82"/>
    </row>
    <row r="47" spans="1:8" x14ac:dyDescent="0.2">
      <c r="A47" s="54"/>
      <c r="B47" s="55"/>
      <c r="C47" s="56" t="s">
        <v>147</v>
      </c>
      <c r="D47" s="56"/>
      <c r="E47" s="57" t="s">
        <v>135</v>
      </c>
      <c r="F47" s="58">
        <f>SUM(F14:F44)</f>
        <v>5249261.1831335993</v>
      </c>
      <c r="H47" s="82"/>
    </row>
    <row r="48" spans="1:8" x14ac:dyDescent="0.2">
      <c r="A48" s="54"/>
      <c r="B48" s="55"/>
      <c r="C48" s="59"/>
      <c r="D48" s="60"/>
      <c r="E48" s="61"/>
      <c r="F48" s="62"/>
      <c r="H48" s="82"/>
    </row>
    <row r="49" spans="1:8" x14ac:dyDescent="0.2">
      <c r="A49" s="74"/>
      <c r="B49" s="81"/>
      <c r="C49" s="75"/>
      <c r="D49" s="76"/>
      <c r="E49" s="77"/>
      <c r="F49" s="78"/>
      <c r="H49" s="82"/>
    </row>
    <row r="50" spans="1:8" ht="28.5" x14ac:dyDescent="0.2">
      <c r="A50" s="74"/>
      <c r="B50" s="42" t="s">
        <v>257</v>
      </c>
      <c r="C50" s="75"/>
      <c r="D50" s="76"/>
      <c r="E50" s="77"/>
      <c r="F50" s="78"/>
      <c r="H50" s="82"/>
    </row>
    <row r="51" spans="1:8" x14ac:dyDescent="0.2">
      <c r="A51" s="74"/>
      <c r="B51" s="81"/>
      <c r="C51" s="142"/>
      <c r="D51" s="76"/>
      <c r="E51" s="77"/>
      <c r="F51" s="78"/>
      <c r="H51" s="82"/>
    </row>
    <row r="52" spans="1:8" ht="15" x14ac:dyDescent="0.2">
      <c r="A52" s="43"/>
      <c r="B52" s="141" t="s">
        <v>258</v>
      </c>
      <c r="C52" s="122"/>
      <c r="D52" s="45"/>
      <c r="E52" s="77"/>
      <c r="F52" s="78"/>
      <c r="H52" s="82"/>
    </row>
    <row r="53" spans="1:8" x14ac:dyDescent="0.2">
      <c r="A53" s="74"/>
      <c r="B53" s="81"/>
      <c r="C53" s="142"/>
      <c r="D53" s="76"/>
      <c r="E53" s="77"/>
      <c r="F53" s="78"/>
      <c r="H53" s="82"/>
    </row>
    <row r="54" spans="1:8" x14ac:dyDescent="0.2">
      <c r="A54" s="43"/>
      <c r="B54" s="24" t="s">
        <v>245</v>
      </c>
      <c r="C54" s="122"/>
      <c r="D54" s="45"/>
      <c r="E54" s="77"/>
      <c r="F54" s="78"/>
      <c r="H54" s="82"/>
    </row>
    <row r="55" spans="1:8" x14ac:dyDescent="0.2">
      <c r="A55" s="74"/>
      <c r="B55" s="81"/>
      <c r="C55" s="142"/>
      <c r="D55" s="76"/>
      <c r="E55" s="77"/>
      <c r="F55" s="78"/>
      <c r="H55" s="82"/>
    </row>
    <row r="56" spans="1:8" x14ac:dyDescent="0.2">
      <c r="A56" s="43"/>
      <c r="B56" s="24" t="s">
        <v>246</v>
      </c>
      <c r="C56" s="122"/>
      <c r="D56" s="45"/>
      <c r="E56" s="77"/>
      <c r="F56" s="78"/>
      <c r="H56" s="82"/>
    </row>
    <row r="57" spans="1:8" x14ac:dyDescent="0.2">
      <c r="A57" s="74"/>
      <c r="B57" s="81"/>
      <c r="C57" s="142"/>
      <c r="D57" s="76"/>
      <c r="E57" s="77"/>
      <c r="F57" s="78"/>
      <c r="H57" s="82"/>
    </row>
    <row r="58" spans="1:8" ht="57" x14ac:dyDescent="0.2">
      <c r="A58" s="43"/>
      <c r="B58" s="143" t="s">
        <v>9</v>
      </c>
      <c r="C58" s="122"/>
      <c r="D58" s="45"/>
      <c r="E58" s="77"/>
      <c r="F58" s="78"/>
      <c r="H58" s="82"/>
    </row>
    <row r="59" spans="1:8" x14ac:dyDescent="0.2">
      <c r="A59" s="74"/>
      <c r="B59" s="81"/>
      <c r="C59" s="142"/>
      <c r="D59" s="76"/>
      <c r="E59" s="77"/>
      <c r="F59" s="78"/>
      <c r="H59" s="82"/>
    </row>
    <row r="60" spans="1:8" x14ac:dyDescent="0.2">
      <c r="A60" s="43"/>
      <c r="B60" s="24" t="s">
        <v>247</v>
      </c>
      <c r="C60" s="122">
        <v>2.8860000000000001</v>
      </c>
      <c r="D60" s="45" t="s">
        <v>11</v>
      </c>
      <c r="E60" s="77">
        <v>11192.68</v>
      </c>
      <c r="F60" s="78">
        <f>C60*E60</f>
        <v>32302.074480000003</v>
      </c>
      <c r="H60" s="82"/>
    </row>
    <row r="61" spans="1:8" x14ac:dyDescent="0.2">
      <c r="A61" s="74"/>
      <c r="B61" s="81"/>
      <c r="C61" s="142"/>
      <c r="D61" s="76"/>
      <c r="E61" s="77"/>
      <c r="F61" s="78"/>
      <c r="H61" s="82"/>
    </row>
    <row r="62" spans="1:8" x14ac:dyDescent="0.2">
      <c r="A62" s="43"/>
      <c r="B62" s="24" t="s">
        <v>249</v>
      </c>
      <c r="C62" s="122">
        <v>3.8079999999999998</v>
      </c>
      <c r="D62" s="45" t="s">
        <v>11</v>
      </c>
      <c r="E62" s="77">
        <v>11192.68</v>
      </c>
      <c r="F62" s="78">
        <f>C62*E62</f>
        <v>42621.725440000002</v>
      </c>
      <c r="H62" s="82"/>
    </row>
    <row r="63" spans="1:8" x14ac:dyDescent="0.2">
      <c r="A63" s="74"/>
      <c r="B63" s="81"/>
      <c r="C63" s="142"/>
      <c r="D63" s="76"/>
      <c r="E63" s="77"/>
      <c r="F63" s="78"/>
      <c r="H63" s="82"/>
    </row>
    <row r="64" spans="1:8" x14ac:dyDescent="0.2">
      <c r="A64" s="43"/>
      <c r="B64" s="24" t="s">
        <v>250</v>
      </c>
      <c r="C64" s="122">
        <v>18.435000000000002</v>
      </c>
      <c r="D64" s="45" t="s">
        <v>11</v>
      </c>
      <c r="E64" s="77">
        <v>11192.68</v>
      </c>
      <c r="F64" s="78">
        <f>C64*E64</f>
        <v>206337.05580000003</v>
      </c>
      <c r="H64" s="82"/>
    </row>
    <row r="65" spans="1:8" x14ac:dyDescent="0.2">
      <c r="A65" s="74"/>
      <c r="B65" s="81"/>
      <c r="C65" s="142"/>
      <c r="D65" s="76"/>
      <c r="E65" s="77"/>
      <c r="F65" s="78"/>
      <c r="H65" s="82"/>
    </row>
    <row r="66" spans="1:8" x14ac:dyDescent="0.2">
      <c r="A66" s="43"/>
      <c r="B66" s="24" t="s">
        <v>251</v>
      </c>
      <c r="C66" s="122">
        <v>5.444</v>
      </c>
      <c r="D66" s="45" t="s">
        <v>11</v>
      </c>
      <c r="E66" s="77">
        <v>11192.68</v>
      </c>
      <c r="F66" s="78">
        <f>C66*E66</f>
        <v>60932.949919999999</v>
      </c>
      <c r="H66" s="82"/>
    </row>
    <row r="67" spans="1:8" x14ac:dyDescent="0.2">
      <c r="A67" s="74"/>
      <c r="B67" s="81"/>
      <c r="C67" s="142"/>
      <c r="D67" s="76"/>
      <c r="E67" s="77"/>
      <c r="F67" s="78"/>
      <c r="H67" s="82"/>
    </row>
    <row r="68" spans="1:8" x14ac:dyDescent="0.2">
      <c r="A68" s="43"/>
      <c r="B68" s="24" t="s">
        <v>259</v>
      </c>
      <c r="C68" s="122"/>
      <c r="D68" s="45" t="s">
        <v>1</v>
      </c>
      <c r="E68" s="77"/>
      <c r="F68" s="78">
        <v>29029.063499999997</v>
      </c>
      <c r="H68" s="82"/>
    </row>
    <row r="69" spans="1:8" x14ac:dyDescent="0.2">
      <c r="A69" s="74"/>
      <c r="B69" s="81"/>
      <c r="C69" s="142"/>
      <c r="D69" s="76"/>
      <c r="E69" s="77"/>
      <c r="F69" s="78"/>
      <c r="H69" s="82"/>
    </row>
    <row r="70" spans="1:8" ht="28.5" x14ac:dyDescent="0.2">
      <c r="A70" s="43"/>
      <c r="B70" s="83" t="s">
        <v>124</v>
      </c>
      <c r="C70" s="122"/>
      <c r="D70" s="45"/>
      <c r="E70" s="77"/>
      <c r="F70" s="78"/>
      <c r="H70" s="82"/>
    </row>
    <row r="71" spans="1:8" x14ac:dyDescent="0.2">
      <c r="A71" s="74"/>
      <c r="B71" s="81"/>
      <c r="C71" s="142"/>
      <c r="D71" s="76"/>
      <c r="E71" s="77"/>
      <c r="F71" s="78"/>
      <c r="H71" s="82"/>
    </row>
    <row r="72" spans="1:8" x14ac:dyDescent="0.2">
      <c r="A72" s="43"/>
      <c r="B72" s="24" t="s">
        <v>125</v>
      </c>
      <c r="C72" s="122">
        <v>395.61462</v>
      </c>
      <c r="D72" s="45" t="s">
        <v>126</v>
      </c>
      <c r="E72" s="77">
        <v>26.44</v>
      </c>
      <c r="F72" s="78">
        <f>C72*E72</f>
        <v>10460.050552800001</v>
      </c>
      <c r="H72" s="82"/>
    </row>
    <row r="73" spans="1:8" x14ac:dyDescent="0.2">
      <c r="A73" s="74"/>
      <c r="B73" s="81"/>
      <c r="C73" s="142"/>
      <c r="D73" s="76"/>
      <c r="E73" s="77"/>
      <c r="F73" s="78"/>
      <c r="H73" s="82"/>
    </row>
    <row r="74" spans="1:8" x14ac:dyDescent="0.2">
      <c r="A74" s="43"/>
      <c r="B74" s="24" t="s">
        <v>253</v>
      </c>
      <c r="C74" s="122">
        <v>395.61462</v>
      </c>
      <c r="D74" s="45" t="s">
        <v>126</v>
      </c>
      <c r="E74" s="77">
        <v>218.62</v>
      </c>
      <c r="F74" s="78">
        <f>C74*E74</f>
        <v>86489.268224400003</v>
      </c>
      <c r="H74" s="82"/>
    </row>
    <row r="75" spans="1:8" x14ac:dyDescent="0.2">
      <c r="A75" s="43"/>
      <c r="B75" s="24"/>
      <c r="C75" s="122"/>
      <c r="D75" s="45"/>
      <c r="E75" s="77"/>
      <c r="F75" s="78"/>
      <c r="H75" s="82"/>
    </row>
    <row r="76" spans="1:8" ht="28.5" x14ac:dyDescent="0.2">
      <c r="A76" s="43"/>
      <c r="B76" s="143" t="s">
        <v>254</v>
      </c>
      <c r="C76" s="122"/>
      <c r="D76" s="45"/>
      <c r="E76" s="77"/>
      <c r="F76" s="78"/>
      <c r="H76" s="82"/>
    </row>
    <row r="77" spans="1:8" x14ac:dyDescent="0.2">
      <c r="A77" s="43"/>
      <c r="B77" s="81"/>
      <c r="C77" s="122"/>
      <c r="D77" s="45"/>
      <c r="E77" s="77"/>
      <c r="F77" s="78"/>
      <c r="H77" s="82"/>
    </row>
    <row r="78" spans="1:8" x14ac:dyDescent="0.2">
      <c r="A78" s="43"/>
      <c r="B78" s="24" t="s">
        <v>255</v>
      </c>
      <c r="C78" s="122">
        <v>344.16</v>
      </c>
      <c r="D78" s="45" t="s">
        <v>126</v>
      </c>
      <c r="E78" s="77">
        <v>287.49</v>
      </c>
      <c r="F78" s="78">
        <f>C78*E78</f>
        <v>98942.558400000009</v>
      </c>
      <c r="H78" s="82"/>
    </row>
    <row r="79" spans="1:8" x14ac:dyDescent="0.2">
      <c r="A79" s="43"/>
      <c r="B79" s="24"/>
      <c r="C79" s="122"/>
      <c r="D79" s="45"/>
      <c r="E79" s="77"/>
      <c r="F79" s="78"/>
      <c r="H79" s="82"/>
    </row>
    <row r="80" spans="1:8" x14ac:dyDescent="0.2">
      <c r="A80" s="43"/>
      <c r="B80" s="24"/>
      <c r="C80" s="122"/>
      <c r="D80" s="45"/>
      <c r="E80" s="77"/>
      <c r="F80" s="78"/>
      <c r="H80" s="82"/>
    </row>
    <row r="81" spans="1:8" x14ac:dyDescent="0.2">
      <c r="A81" s="43"/>
      <c r="B81" s="24"/>
      <c r="C81" s="122"/>
      <c r="D81" s="45"/>
      <c r="E81" s="77"/>
      <c r="F81" s="78"/>
      <c r="H81" s="82"/>
    </row>
    <row r="82" spans="1:8" x14ac:dyDescent="0.2">
      <c r="A82" s="74"/>
      <c r="B82" s="81"/>
      <c r="C82" s="75"/>
      <c r="D82" s="76"/>
      <c r="E82" s="77"/>
      <c r="F82" s="78"/>
      <c r="H82" s="82"/>
    </row>
    <row r="83" spans="1:8" x14ac:dyDescent="0.2">
      <c r="A83" s="43"/>
      <c r="B83" s="24"/>
      <c r="C83" s="44"/>
      <c r="D83" s="45"/>
      <c r="E83" s="77"/>
      <c r="F83" s="78"/>
      <c r="H83" s="82"/>
    </row>
    <row r="84" spans="1:8" x14ac:dyDescent="0.2">
      <c r="A84" s="48"/>
      <c r="B84" s="49"/>
      <c r="C84" s="50"/>
      <c r="D84" s="51"/>
      <c r="E84" s="52"/>
      <c r="F84" s="53"/>
      <c r="H84" s="82"/>
    </row>
    <row r="85" spans="1:8" x14ac:dyDescent="0.2">
      <c r="A85" s="54"/>
      <c r="B85" s="55"/>
      <c r="C85" s="56" t="s">
        <v>147</v>
      </c>
      <c r="D85" s="56"/>
      <c r="E85" s="57" t="s">
        <v>135</v>
      </c>
      <c r="F85" s="58">
        <f>SUM(F50:F81)</f>
        <v>567114.74631720001</v>
      </c>
      <c r="H85" s="82"/>
    </row>
    <row r="86" spans="1:8" x14ac:dyDescent="0.2">
      <c r="A86" s="54"/>
      <c r="B86" s="55"/>
      <c r="C86" s="59"/>
      <c r="D86" s="60"/>
      <c r="E86" s="61"/>
      <c r="F86" s="62"/>
      <c r="H86" s="82"/>
    </row>
    <row r="87" spans="1:8" x14ac:dyDescent="0.2">
      <c r="A87" s="43"/>
      <c r="B87" s="47"/>
      <c r="C87" s="44"/>
      <c r="D87" s="45"/>
      <c r="E87" s="77"/>
      <c r="F87" s="78"/>
      <c r="H87" s="82"/>
    </row>
    <row r="88" spans="1:8" x14ac:dyDescent="0.2">
      <c r="A88" s="74"/>
      <c r="B88" s="42" t="s">
        <v>128</v>
      </c>
      <c r="C88" s="75"/>
      <c r="D88" s="76"/>
      <c r="E88" s="77"/>
      <c r="F88" s="78"/>
      <c r="H88" s="82"/>
    </row>
    <row r="89" spans="1:8" x14ac:dyDescent="0.2">
      <c r="A89" s="74"/>
      <c r="B89" s="81"/>
      <c r="C89" s="75"/>
      <c r="D89" s="76"/>
      <c r="E89" s="77"/>
      <c r="F89" s="78"/>
      <c r="H89" s="82"/>
    </row>
    <row r="90" spans="1:8" ht="71.25" x14ac:dyDescent="0.2">
      <c r="A90" s="43" t="s">
        <v>10</v>
      </c>
      <c r="B90" s="24" t="s">
        <v>129</v>
      </c>
      <c r="C90" s="44"/>
      <c r="D90" s="45" t="s">
        <v>1</v>
      </c>
      <c r="E90" s="77"/>
      <c r="F90" s="78">
        <f>C90*E90</f>
        <v>0</v>
      </c>
      <c r="H90" s="82"/>
    </row>
    <row r="91" spans="1:8" x14ac:dyDescent="0.2">
      <c r="A91" s="84"/>
      <c r="B91" s="85"/>
      <c r="C91" s="84"/>
      <c r="D91" s="86"/>
      <c r="E91" s="77"/>
      <c r="F91" s="78"/>
      <c r="H91" s="82"/>
    </row>
    <row r="92" spans="1:8" x14ac:dyDescent="0.2">
      <c r="A92" s="84"/>
      <c r="B92" s="85"/>
      <c r="C92" s="84"/>
      <c r="D92" s="86"/>
      <c r="E92" s="77"/>
      <c r="F92" s="78"/>
      <c r="H92" s="82"/>
    </row>
    <row r="93" spans="1:8" x14ac:dyDescent="0.2">
      <c r="A93" s="84"/>
      <c r="B93" s="85"/>
      <c r="C93" s="84"/>
      <c r="D93" s="86"/>
      <c r="E93" s="77"/>
      <c r="F93" s="78"/>
      <c r="H93" s="82"/>
    </row>
    <row r="94" spans="1:8" x14ac:dyDescent="0.2">
      <c r="A94" s="84"/>
      <c r="B94" s="85"/>
      <c r="C94" s="84"/>
      <c r="D94" s="86"/>
      <c r="E94" s="77"/>
      <c r="F94" s="78"/>
      <c r="H94" s="82"/>
    </row>
    <row r="95" spans="1:8" x14ac:dyDescent="0.2">
      <c r="A95" s="84"/>
      <c r="B95" s="85"/>
      <c r="C95" s="84"/>
      <c r="D95" s="86"/>
      <c r="E95" s="77"/>
      <c r="F95" s="78"/>
      <c r="H95" s="82"/>
    </row>
    <row r="96" spans="1:8" x14ac:dyDescent="0.2">
      <c r="A96" s="84"/>
      <c r="B96" s="85"/>
      <c r="C96" s="84"/>
      <c r="D96" s="86"/>
      <c r="E96" s="77"/>
      <c r="F96" s="78"/>
      <c r="H96" s="82"/>
    </row>
    <row r="97" spans="1:8" x14ac:dyDescent="0.2">
      <c r="A97" s="84"/>
      <c r="B97" s="85"/>
      <c r="C97" s="84"/>
      <c r="D97" s="86"/>
      <c r="E97" s="77"/>
      <c r="F97" s="78"/>
      <c r="H97" s="82"/>
    </row>
    <row r="98" spans="1:8" x14ac:dyDescent="0.2">
      <c r="A98" s="84"/>
      <c r="B98" s="85"/>
      <c r="C98" s="84"/>
      <c r="D98" s="86"/>
      <c r="E98" s="77"/>
      <c r="F98" s="78"/>
      <c r="H98" s="82"/>
    </row>
    <row r="99" spans="1:8" x14ac:dyDescent="0.2">
      <c r="A99" s="84"/>
      <c r="B99" s="85"/>
      <c r="C99" s="84"/>
      <c r="D99" s="86"/>
      <c r="E99" s="77"/>
      <c r="F99" s="78"/>
      <c r="H99" s="82"/>
    </row>
    <row r="100" spans="1:8" x14ac:dyDescent="0.2">
      <c r="A100" s="87"/>
      <c r="B100" s="88"/>
      <c r="C100" s="89"/>
      <c r="D100" s="90"/>
      <c r="E100" s="77"/>
      <c r="F100" s="78"/>
      <c r="H100" s="82"/>
    </row>
    <row r="101" spans="1:8" x14ac:dyDescent="0.2">
      <c r="A101" s="87"/>
      <c r="B101" s="84"/>
      <c r="C101" s="89"/>
      <c r="D101" s="90"/>
      <c r="E101" s="77"/>
      <c r="F101" s="78"/>
      <c r="H101" s="82"/>
    </row>
    <row r="102" spans="1:8" x14ac:dyDescent="0.2">
      <c r="A102" s="91"/>
      <c r="B102" s="92"/>
      <c r="C102" s="93"/>
      <c r="D102" s="94"/>
      <c r="E102" s="77"/>
      <c r="F102" s="78"/>
      <c r="H102" s="82"/>
    </row>
    <row r="103" spans="1:8" x14ac:dyDescent="0.2">
      <c r="A103" s="87"/>
      <c r="B103" s="84"/>
      <c r="C103" s="89"/>
      <c r="D103" s="90"/>
      <c r="E103" s="77"/>
      <c r="F103" s="78"/>
      <c r="H103" s="82"/>
    </row>
    <row r="104" spans="1:8" x14ac:dyDescent="0.2">
      <c r="A104" s="91"/>
      <c r="B104" s="95"/>
      <c r="C104" s="93"/>
      <c r="D104" s="94"/>
      <c r="E104" s="77"/>
      <c r="F104" s="78"/>
      <c r="H104" s="82"/>
    </row>
    <row r="105" spans="1:8" x14ac:dyDescent="0.2">
      <c r="A105" s="87"/>
      <c r="B105" s="84"/>
      <c r="C105" s="89"/>
      <c r="D105" s="90"/>
      <c r="E105" s="77"/>
      <c r="F105" s="78"/>
      <c r="H105" s="82"/>
    </row>
    <row r="106" spans="1:8" x14ac:dyDescent="0.2">
      <c r="A106" s="91"/>
      <c r="B106" s="95"/>
      <c r="C106" s="93"/>
      <c r="D106" s="94"/>
      <c r="E106" s="77"/>
      <c r="F106" s="78"/>
      <c r="H106" s="82"/>
    </row>
    <row r="107" spans="1:8" x14ac:dyDescent="0.2">
      <c r="A107" s="87"/>
      <c r="B107" s="84"/>
      <c r="C107" s="89"/>
      <c r="D107" s="90"/>
      <c r="E107" s="77"/>
      <c r="F107" s="78"/>
      <c r="H107" s="82"/>
    </row>
    <row r="108" spans="1:8" x14ac:dyDescent="0.2">
      <c r="A108" s="91"/>
      <c r="B108" s="92"/>
      <c r="C108" s="93"/>
      <c r="D108" s="94"/>
      <c r="E108" s="77"/>
      <c r="F108" s="78"/>
      <c r="H108" s="82"/>
    </row>
    <row r="109" spans="1:8" x14ac:dyDescent="0.2">
      <c r="A109" s="87"/>
      <c r="B109" s="84"/>
      <c r="C109" s="89"/>
      <c r="D109" s="90"/>
      <c r="E109" s="77"/>
      <c r="F109" s="78"/>
      <c r="H109" s="82"/>
    </row>
    <row r="110" spans="1:8" x14ac:dyDescent="0.2">
      <c r="A110" s="91"/>
      <c r="B110" s="95"/>
      <c r="C110" s="93"/>
      <c r="D110" s="94"/>
      <c r="E110" s="77"/>
      <c r="F110" s="78"/>
      <c r="H110" s="82"/>
    </row>
    <row r="111" spans="1:8" x14ac:dyDescent="0.2">
      <c r="A111" s="91"/>
      <c r="B111" s="95"/>
      <c r="C111" s="93"/>
      <c r="D111" s="94"/>
      <c r="E111" s="77"/>
      <c r="F111" s="78"/>
      <c r="H111" s="82"/>
    </row>
    <row r="112" spans="1:8" x14ac:dyDescent="0.2">
      <c r="A112" s="87"/>
      <c r="B112" s="84"/>
      <c r="C112" s="89"/>
      <c r="D112" s="90"/>
      <c r="E112" s="77"/>
      <c r="F112" s="78"/>
      <c r="H112" s="82"/>
    </row>
    <row r="113" spans="1:8" x14ac:dyDescent="0.2">
      <c r="A113" s="91"/>
      <c r="B113" s="95"/>
      <c r="C113" s="93"/>
      <c r="D113" s="94"/>
      <c r="E113" s="77"/>
      <c r="F113" s="78"/>
      <c r="H113" s="82"/>
    </row>
    <row r="114" spans="1:8" x14ac:dyDescent="0.2">
      <c r="A114" s="87"/>
      <c r="B114" s="84"/>
      <c r="C114" s="89"/>
      <c r="D114" s="90"/>
      <c r="E114" s="77"/>
      <c r="F114" s="78"/>
      <c r="H114" s="82"/>
    </row>
    <row r="115" spans="1:8" x14ac:dyDescent="0.2">
      <c r="A115" s="91"/>
      <c r="B115" s="92"/>
      <c r="C115" s="93"/>
      <c r="D115" s="94"/>
      <c r="E115" s="77"/>
      <c r="F115" s="78"/>
      <c r="H115" s="82"/>
    </row>
    <row r="116" spans="1:8" x14ac:dyDescent="0.2">
      <c r="A116" s="87"/>
      <c r="B116" s="84"/>
      <c r="C116" s="89"/>
      <c r="D116" s="90"/>
      <c r="E116" s="77"/>
      <c r="F116" s="78"/>
      <c r="H116" s="82"/>
    </row>
    <row r="117" spans="1:8" x14ac:dyDescent="0.2">
      <c r="A117" s="91"/>
      <c r="B117" s="95"/>
      <c r="C117" s="93"/>
      <c r="D117" s="94"/>
      <c r="E117" s="77"/>
      <c r="F117" s="78"/>
      <c r="H117" s="82"/>
    </row>
    <row r="118" spans="1:8" x14ac:dyDescent="0.2">
      <c r="A118" s="87"/>
      <c r="B118" s="84"/>
      <c r="C118" s="89"/>
      <c r="D118" s="90"/>
      <c r="E118" s="77"/>
      <c r="F118" s="78"/>
      <c r="H118" s="82"/>
    </row>
    <row r="119" spans="1:8" x14ac:dyDescent="0.2">
      <c r="A119" s="87"/>
      <c r="B119" s="84"/>
      <c r="C119" s="89"/>
      <c r="D119" s="90"/>
      <c r="E119" s="77"/>
      <c r="F119" s="78"/>
      <c r="H119" s="82"/>
    </row>
    <row r="120" spans="1:8" x14ac:dyDescent="0.2">
      <c r="A120" s="91"/>
      <c r="B120" s="92"/>
      <c r="C120" s="93"/>
      <c r="D120" s="94"/>
      <c r="E120" s="77"/>
      <c r="F120" s="78"/>
      <c r="H120" s="82"/>
    </row>
    <row r="121" spans="1:8" x14ac:dyDescent="0.2">
      <c r="A121" s="87"/>
      <c r="B121" s="84"/>
      <c r="C121" s="89"/>
      <c r="D121" s="90"/>
      <c r="E121" s="77"/>
      <c r="F121" s="78"/>
      <c r="H121" s="82"/>
    </row>
    <row r="122" spans="1:8" x14ac:dyDescent="0.2">
      <c r="A122" s="84"/>
      <c r="B122" s="85"/>
      <c r="C122" s="84"/>
      <c r="D122" s="86"/>
      <c r="E122" s="77"/>
      <c r="F122" s="78"/>
      <c r="H122" s="82"/>
    </row>
    <row r="123" spans="1:8" x14ac:dyDescent="0.2">
      <c r="A123" s="84"/>
      <c r="B123" s="85"/>
      <c r="C123" s="84"/>
      <c r="D123" s="86"/>
      <c r="E123" s="77"/>
      <c r="F123" s="78"/>
      <c r="H123" s="82"/>
    </row>
    <row r="124" spans="1:8" x14ac:dyDescent="0.2">
      <c r="A124" s="84"/>
      <c r="B124" s="85"/>
      <c r="C124" s="84"/>
      <c r="D124" s="86"/>
      <c r="E124" s="77"/>
      <c r="F124" s="78"/>
      <c r="H124" s="82"/>
    </row>
    <row r="125" spans="1:8" x14ac:dyDescent="0.2">
      <c r="A125" s="84"/>
      <c r="B125" s="85"/>
      <c r="C125" s="84"/>
      <c r="D125" s="86"/>
      <c r="E125" s="77"/>
      <c r="F125" s="78"/>
      <c r="H125" s="82"/>
    </row>
    <row r="126" spans="1:8" x14ac:dyDescent="0.2">
      <c r="A126" s="84"/>
      <c r="B126" s="85"/>
      <c r="C126" s="84"/>
      <c r="D126" s="86"/>
      <c r="E126" s="77"/>
      <c r="F126" s="78"/>
      <c r="H126" s="82"/>
    </row>
    <row r="127" spans="1:8" x14ac:dyDescent="0.2">
      <c r="A127" s="84"/>
      <c r="B127" s="85"/>
      <c r="C127" s="84"/>
      <c r="D127" s="86"/>
      <c r="E127" s="77"/>
      <c r="F127" s="78"/>
      <c r="H127" s="82"/>
    </row>
    <row r="128" spans="1:8" x14ac:dyDescent="0.2">
      <c r="A128" s="84"/>
      <c r="B128" s="85"/>
      <c r="C128" s="84"/>
      <c r="D128" s="86"/>
      <c r="E128" s="77"/>
      <c r="F128" s="78"/>
      <c r="H128" s="82"/>
    </row>
    <row r="129" spans="1:8" x14ac:dyDescent="0.2">
      <c r="A129" s="84"/>
      <c r="B129" s="85"/>
      <c r="C129" s="84"/>
      <c r="D129" s="86"/>
      <c r="E129" s="77"/>
      <c r="F129" s="78"/>
      <c r="H129" s="82"/>
    </row>
    <row r="130" spans="1:8" x14ac:dyDescent="0.2">
      <c r="A130" s="48"/>
      <c r="B130" s="49"/>
      <c r="C130" s="50"/>
      <c r="D130" s="51"/>
      <c r="E130" s="52"/>
      <c r="F130" s="53"/>
      <c r="H130" s="82"/>
    </row>
    <row r="131" spans="1:8" x14ac:dyDescent="0.2">
      <c r="A131" s="54"/>
      <c r="B131" s="55"/>
      <c r="C131" s="56" t="s">
        <v>147</v>
      </c>
      <c r="D131" s="56"/>
      <c r="E131" s="57" t="s">
        <v>135</v>
      </c>
      <c r="F131" s="58">
        <f>SUM(F88:F109)</f>
        <v>0</v>
      </c>
      <c r="H131" s="82"/>
    </row>
    <row r="132" spans="1:8" x14ac:dyDescent="0.2">
      <c r="A132" s="54"/>
      <c r="B132" s="55"/>
      <c r="C132" s="59"/>
      <c r="D132" s="60"/>
      <c r="E132" s="61"/>
      <c r="F132" s="62"/>
      <c r="H132" s="82"/>
    </row>
    <row r="133" spans="1:8" x14ac:dyDescent="0.2">
      <c r="A133" s="81"/>
      <c r="B133" s="40"/>
      <c r="C133" s="81"/>
      <c r="D133" s="96"/>
      <c r="E133" s="77"/>
      <c r="F133" s="78"/>
      <c r="H133" s="82"/>
    </row>
    <row r="134" spans="1:8" x14ac:dyDescent="0.2">
      <c r="A134" s="74"/>
      <c r="B134" s="97" t="s">
        <v>130</v>
      </c>
      <c r="C134" s="75"/>
      <c r="D134" s="76"/>
      <c r="E134" s="77"/>
      <c r="F134" s="78"/>
      <c r="H134" s="82"/>
    </row>
    <row r="135" spans="1:8" x14ac:dyDescent="0.2">
      <c r="A135" s="74"/>
      <c r="B135" s="24"/>
      <c r="C135" s="75"/>
      <c r="D135" s="76"/>
      <c r="E135" s="77"/>
      <c r="F135" s="78"/>
      <c r="H135" s="82"/>
    </row>
    <row r="136" spans="1:8" x14ac:dyDescent="0.2">
      <c r="A136" s="43"/>
      <c r="B136" s="98" t="s">
        <v>260</v>
      </c>
      <c r="C136" s="44"/>
      <c r="D136" s="45"/>
      <c r="E136" s="77"/>
      <c r="F136" s="78">
        <f>F47</f>
        <v>5249261.1831335993</v>
      </c>
      <c r="H136" s="82"/>
    </row>
    <row r="137" spans="1:8" x14ac:dyDescent="0.2">
      <c r="A137" s="74"/>
      <c r="C137" s="75"/>
      <c r="D137" s="76"/>
      <c r="E137" s="77"/>
      <c r="F137" s="78"/>
      <c r="H137" s="82"/>
    </row>
    <row r="138" spans="1:8" x14ac:dyDescent="0.2">
      <c r="A138" s="43"/>
      <c r="B138" s="98" t="s">
        <v>261</v>
      </c>
      <c r="C138" s="44"/>
      <c r="D138" s="45"/>
      <c r="E138" s="77"/>
      <c r="F138" s="78">
        <f>F85</f>
        <v>567114.74631720001</v>
      </c>
      <c r="H138" s="82"/>
    </row>
    <row r="139" spans="1:8" x14ac:dyDescent="0.2">
      <c r="A139" s="74"/>
      <c r="C139" s="75"/>
      <c r="D139" s="76"/>
      <c r="E139" s="77"/>
      <c r="F139" s="78"/>
      <c r="H139" s="82"/>
    </row>
    <row r="140" spans="1:8" x14ac:dyDescent="0.2">
      <c r="A140" s="43"/>
      <c r="B140" s="98" t="s">
        <v>262</v>
      </c>
      <c r="C140" s="44"/>
      <c r="D140" s="45"/>
      <c r="E140" s="77"/>
      <c r="F140" s="189">
        <f>F131</f>
        <v>0</v>
      </c>
      <c r="H140" s="82"/>
    </row>
    <row r="141" spans="1:8" x14ac:dyDescent="0.2">
      <c r="A141" s="74"/>
      <c r="B141" s="98"/>
      <c r="C141" s="75"/>
      <c r="D141" s="76"/>
      <c r="E141" s="77"/>
      <c r="F141" s="78"/>
      <c r="H141" s="82"/>
    </row>
    <row r="142" spans="1:8" x14ac:dyDescent="0.2">
      <c r="A142" s="43"/>
      <c r="B142" s="98"/>
      <c r="C142" s="44"/>
      <c r="D142" s="45"/>
      <c r="E142" s="77"/>
      <c r="F142" s="78"/>
      <c r="H142" s="82"/>
    </row>
    <row r="143" spans="1:8" x14ac:dyDescent="0.2">
      <c r="A143" s="74"/>
      <c r="B143" s="81"/>
      <c r="C143" s="75"/>
      <c r="D143" s="76"/>
      <c r="E143" s="77"/>
      <c r="F143" s="78"/>
      <c r="H143" s="82"/>
    </row>
    <row r="144" spans="1:8" x14ac:dyDescent="0.2">
      <c r="A144" s="43"/>
      <c r="B144" s="47"/>
      <c r="C144" s="44"/>
      <c r="D144" s="45"/>
      <c r="E144" s="77"/>
      <c r="F144" s="78"/>
      <c r="H144" s="82"/>
    </row>
    <row r="145" spans="1:8" x14ac:dyDescent="0.2">
      <c r="A145" s="74"/>
      <c r="B145" s="81"/>
      <c r="C145" s="75"/>
      <c r="D145" s="76"/>
      <c r="E145" s="77"/>
      <c r="F145" s="78"/>
      <c r="H145" s="82"/>
    </row>
    <row r="146" spans="1:8" x14ac:dyDescent="0.2">
      <c r="A146" s="43"/>
      <c r="B146" s="24"/>
      <c r="C146" s="44"/>
      <c r="D146" s="45"/>
      <c r="E146" s="77"/>
      <c r="F146" s="78"/>
      <c r="H146" s="82"/>
    </row>
    <row r="147" spans="1:8" x14ac:dyDescent="0.2">
      <c r="A147" s="74"/>
      <c r="B147" s="81"/>
      <c r="C147" s="75"/>
      <c r="D147" s="76"/>
      <c r="E147" s="77"/>
      <c r="F147" s="78"/>
      <c r="H147" s="82"/>
    </row>
    <row r="148" spans="1:8" x14ac:dyDescent="0.2">
      <c r="A148" s="43"/>
      <c r="B148" s="24"/>
      <c r="C148" s="44"/>
      <c r="D148" s="45"/>
      <c r="E148" s="77"/>
      <c r="F148" s="78"/>
      <c r="H148" s="82"/>
    </row>
    <row r="149" spans="1:8" x14ac:dyDescent="0.2">
      <c r="A149" s="74"/>
      <c r="B149" s="81"/>
      <c r="C149" s="75"/>
      <c r="D149" s="76"/>
      <c r="E149" s="77"/>
      <c r="F149" s="78"/>
      <c r="H149" s="82"/>
    </row>
    <row r="150" spans="1:8" x14ac:dyDescent="0.2">
      <c r="A150" s="74"/>
      <c r="B150" s="81"/>
      <c r="C150" s="75"/>
      <c r="D150" s="76"/>
      <c r="E150" s="77"/>
      <c r="F150" s="78"/>
      <c r="H150" s="82"/>
    </row>
    <row r="151" spans="1:8" x14ac:dyDescent="0.2">
      <c r="A151" s="43"/>
      <c r="B151" s="24"/>
      <c r="C151" s="44"/>
      <c r="D151" s="45"/>
      <c r="E151" s="77"/>
      <c r="F151" s="78"/>
      <c r="H151" s="82"/>
    </row>
    <row r="152" spans="1:8" x14ac:dyDescent="0.2">
      <c r="A152" s="74"/>
      <c r="B152" s="81"/>
      <c r="C152" s="75"/>
      <c r="D152" s="76"/>
      <c r="E152" s="77"/>
      <c r="F152" s="78"/>
      <c r="H152" s="82"/>
    </row>
    <row r="153" spans="1:8" x14ac:dyDescent="0.2">
      <c r="A153" s="43"/>
      <c r="B153" s="24"/>
      <c r="C153" s="44"/>
      <c r="D153" s="45"/>
      <c r="E153" s="77"/>
      <c r="F153" s="78"/>
      <c r="H153" s="82"/>
    </row>
    <row r="154" spans="1:8" x14ac:dyDescent="0.2">
      <c r="A154" s="74"/>
      <c r="B154" s="81"/>
      <c r="C154" s="75"/>
      <c r="D154" s="76"/>
      <c r="E154" s="77"/>
      <c r="F154" s="78"/>
      <c r="H154" s="82"/>
    </row>
    <row r="155" spans="1:8" x14ac:dyDescent="0.2">
      <c r="A155" s="43"/>
      <c r="B155" s="24"/>
      <c r="C155" s="44"/>
      <c r="D155" s="45"/>
      <c r="E155" s="77"/>
      <c r="F155" s="78"/>
      <c r="H155" s="82"/>
    </row>
    <row r="156" spans="1:8" x14ac:dyDescent="0.2">
      <c r="A156" s="81"/>
      <c r="B156" s="40"/>
      <c r="C156" s="81"/>
      <c r="D156" s="96"/>
      <c r="E156" s="77"/>
      <c r="F156" s="78"/>
      <c r="H156" s="82"/>
    </row>
    <row r="157" spans="1:8" x14ac:dyDescent="0.2">
      <c r="A157" s="81"/>
      <c r="B157" s="40"/>
      <c r="C157" s="81"/>
      <c r="D157" s="96"/>
      <c r="E157" s="77"/>
      <c r="F157" s="78"/>
      <c r="H157" s="82"/>
    </row>
    <row r="158" spans="1:8" x14ac:dyDescent="0.2">
      <c r="A158" s="81"/>
      <c r="B158" s="40"/>
      <c r="C158" s="81"/>
      <c r="D158" s="96"/>
      <c r="E158" s="77"/>
      <c r="F158" s="78"/>
      <c r="H158" s="82"/>
    </row>
    <row r="159" spans="1:8" x14ac:dyDescent="0.2">
      <c r="A159" s="81"/>
      <c r="B159" s="40"/>
      <c r="C159" s="81"/>
      <c r="D159" s="96"/>
      <c r="E159" s="77"/>
      <c r="F159" s="78"/>
      <c r="H159" s="82"/>
    </row>
    <row r="160" spans="1:8" x14ac:dyDescent="0.2">
      <c r="A160" s="81"/>
      <c r="B160" s="40"/>
      <c r="C160" s="81"/>
      <c r="D160" s="96"/>
      <c r="E160" s="77"/>
      <c r="F160" s="78"/>
      <c r="H160" s="82"/>
    </row>
    <row r="161" spans="1:8" x14ac:dyDescent="0.2">
      <c r="A161" s="81"/>
      <c r="B161" s="40"/>
      <c r="C161" s="81"/>
      <c r="D161" s="96"/>
      <c r="E161" s="77"/>
      <c r="F161" s="78"/>
      <c r="H161" s="82"/>
    </row>
    <row r="162" spans="1:8" x14ac:dyDescent="0.2">
      <c r="A162" s="81"/>
      <c r="B162" s="40"/>
      <c r="C162" s="81"/>
      <c r="D162" s="96"/>
      <c r="E162" s="77"/>
      <c r="F162" s="78"/>
      <c r="H162" s="82"/>
    </row>
    <row r="163" spans="1:8" x14ac:dyDescent="0.2">
      <c r="A163" s="81"/>
      <c r="B163" s="40"/>
      <c r="C163" s="81"/>
      <c r="D163" s="96"/>
      <c r="E163" s="77"/>
      <c r="F163" s="78"/>
      <c r="H163" s="82"/>
    </row>
    <row r="164" spans="1:8" x14ac:dyDescent="0.2">
      <c r="A164" s="81"/>
      <c r="B164" s="40"/>
      <c r="C164" s="81"/>
      <c r="D164" s="96"/>
      <c r="E164" s="77"/>
      <c r="F164" s="78"/>
      <c r="H164" s="82"/>
    </row>
    <row r="165" spans="1:8" x14ac:dyDescent="0.2">
      <c r="A165" s="81"/>
      <c r="B165" s="40"/>
      <c r="C165" s="81"/>
      <c r="D165" s="96"/>
      <c r="E165" s="77"/>
      <c r="F165" s="78"/>
      <c r="H165" s="82"/>
    </row>
    <row r="166" spans="1:8" x14ac:dyDescent="0.2">
      <c r="A166" s="81"/>
      <c r="B166" s="40"/>
      <c r="C166" s="81"/>
      <c r="D166" s="96"/>
      <c r="E166" s="77"/>
      <c r="F166" s="78"/>
      <c r="H166" s="82"/>
    </row>
    <row r="167" spans="1:8" x14ac:dyDescent="0.2">
      <c r="A167" s="81"/>
      <c r="B167" s="40"/>
      <c r="C167" s="81"/>
      <c r="D167" s="96"/>
      <c r="E167" s="77"/>
      <c r="F167" s="78"/>
      <c r="H167" s="82"/>
    </row>
    <row r="168" spans="1:8" x14ac:dyDescent="0.2">
      <c r="A168" s="81"/>
      <c r="B168" s="40"/>
      <c r="C168" s="81"/>
      <c r="D168" s="96"/>
      <c r="E168" s="77"/>
      <c r="F168" s="78"/>
      <c r="H168" s="82"/>
    </row>
    <row r="169" spans="1:8" x14ac:dyDescent="0.2">
      <c r="A169" s="81"/>
      <c r="B169" s="40"/>
      <c r="C169" s="81"/>
      <c r="D169" s="96"/>
      <c r="E169" s="77"/>
      <c r="F169" s="78"/>
      <c r="H169" s="82"/>
    </row>
    <row r="170" spans="1:8" x14ac:dyDescent="0.2">
      <c r="A170" s="81"/>
      <c r="B170" s="40"/>
      <c r="C170" s="81"/>
      <c r="D170" s="96"/>
      <c r="E170" s="77"/>
      <c r="F170" s="78"/>
      <c r="H170" s="82"/>
    </row>
    <row r="171" spans="1:8" x14ac:dyDescent="0.2">
      <c r="A171" s="81"/>
      <c r="B171" s="40"/>
      <c r="C171" s="81"/>
      <c r="D171" s="96"/>
      <c r="E171" s="77"/>
      <c r="F171" s="78"/>
      <c r="H171" s="82"/>
    </row>
    <row r="172" spans="1:8" x14ac:dyDescent="0.2">
      <c r="A172" s="81"/>
      <c r="B172" s="40"/>
      <c r="C172" s="81"/>
      <c r="D172" s="96"/>
      <c r="E172" s="77"/>
      <c r="F172" s="78"/>
      <c r="H172" s="82"/>
    </row>
    <row r="173" spans="1:8" x14ac:dyDescent="0.2">
      <c r="A173" s="74"/>
      <c r="B173" s="81"/>
      <c r="C173" s="75"/>
      <c r="D173" s="76"/>
      <c r="E173" s="77"/>
      <c r="F173" s="78"/>
      <c r="H173" s="82"/>
    </row>
    <row r="174" spans="1:8" x14ac:dyDescent="0.2">
      <c r="A174" s="43"/>
      <c r="B174" s="24"/>
      <c r="C174" s="44"/>
      <c r="D174" s="45"/>
      <c r="E174" s="77"/>
      <c r="F174" s="78"/>
      <c r="H174" s="82"/>
    </row>
    <row r="175" spans="1:8" x14ac:dyDescent="0.2">
      <c r="A175" s="74"/>
      <c r="B175" s="81"/>
      <c r="C175" s="75"/>
      <c r="D175" s="76"/>
      <c r="E175" s="77"/>
      <c r="F175" s="78"/>
      <c r="H175" s="82"/>
    </row>
    <row r="176" spans="1:8" x14ac:dyDescent="0.2">
      <c r="A176" s="43"/>
      <c r="B176" s="47"/>
      <c r="C176" s="44"/>
      <c r="D176" s="45"/>
      <c r="E176" s="77"/>
      <c r="F176" s="78"/>
      <c r="H176" s="82"/>
    </row>
    <row r="177" spans="1:8" x14ac:dyDescent="0.2">
      <c r="A177" s="74"/>
      <c r="B177" s="81"/>
      <c r="C177" s="75"/>
      <c r="D177" s="76"/>
      <c r="E177" s="77"/>
      <c r="F177" s="78"/>
      <c r="H177" s="82"/>
    </row>
    <row r="178" spans="1:8" x14ac:dyDescent="0.2">
      <c r="A178" s="43"/>
      <c r="B178" s="24"/>
      <c r="C178" s="44"/>
      <c r="D178" s="45"/>
      <c r="E178" s="77"/>
      <c r="F178" s="78"/>
      <c r="H178" s="82"/>
    </row>
    <row r="179" spans="1:8" x14ac:dyDescent="0.2">
      <c r="A179" s="74"/>
      <c r="B179" s="81"/>
      <c r="C179" s="75"/>
      <c r="D179" s="76"/>
      <c r="E179" s="77"/>
      <c r="F179" s="78"/>
      <c r="H179" s="82"/>
    </row>
    <row r="180" spans="1:8" x14ac:dyDescent="0.2">
      <c r="A180" s="48"/>
      <c r="B180" s="49"/>
      <c r="C180" s="50"/>
      <c r="D180" s="51"/>
      <c r="E180" s="52"/>
      <c r="F180" s="53"/>
      <c r="H180" s="82"/>
    </row>
    <row r="181" spans="1:8" x14ac:dyDescent="0.2">
      <c r="A181" s="54"/>
      <c r="B181" s="55"/>
      <c r="C181" s="56" t="s">
        <v>195</v>
      </c>
      <c r="D181" s="56"/>
      <c r="E181" s="57" t="s">
        <v>135</v>
      </c>
      <c r="F181" s="58">
        <f>SUM(F133:F155)</f>
        <v>5816375.9294507997</v>
      </c>
      <c r="H181" s="82"/>
    </row>
    <row r="182" spans="1:8" x14ac:dyDescent="0.2">
      <c r="A182" s="54"/>
      <c r="B182" s="55"/>
      <c r="C182" s="59"/>
      <c r="D182" s="60"/>
      <c r="E182" s="61"/>
      <c r="F182" s="62"/>
    </row>
    <row r="290" spans="6:6" x14ac:dyDescent="0.2">
      <c r="F290" s="189"/>
    </row>
  </sheetData>
  <autoFilter ref="A1:F178" xr:uid="{272BF026-E786-41BF-BDF3-6381D795EFA7}"/>
  <mergeCells count="4">
    <mergeCell ref="A1:A2"/>
    <mergeCell ref="B1:B2"/>
    <mergeCell ref="C1:C2"/>
    <mergeCell ref="D1:D2"/>
  </mergeCells>
  <printOptions horizontalCentered="1"/>
  <pageMargins left="0.6692913385826772" right="0.19685039370078741" top="0.82677165354330717" bottom="0.47244094488188981" header="0.19685039370078741" footer="0.23622047244094491"/>
  <pageSetup paperSize="9" scale="98" fitToHeight="0" orientation="portrait" useFirstPageNumber="1" r:id="rId1"/>
  <headerFooter>
    <oddHeader>&amp;R&amp;UBILL NO. 14 - OMISSION OF MEZZANINE FLOORS
STRUCTURAL METALWORK GMP</oddHeader>
    <oddFooter>&amp;L&amp;8DMS 148704 BOQ - Nakheel Mall Al Khail&amp;C14/4/&amp;P</oddFooter>
  </headerFooter>
  <rowBreaks count="3" manualBreakCount="3">
    <brk id="48" max="5" man="1"/>
    <brk id="86" max="5" man="1"/>
    <brk id="132" max="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6C1B-9EAD-4D7C-A031-60BB36C0239C}">
  <dimension ref="A1:G290"/>
  <sheetViews>
    <sheetView tabSelected="1" view="pageBreakPreview" topLeftCell="A7" zoomScale="90" zoomScaleNormal="100" zoomScaleSheetLayoutView="90" workbookViewId="0">
      <selection activeCell="I153" sqref="I153"/>
    </sheetView>
  </sheetViews>
  <sheetFormatPr defaultColWidth="8.7109375" defaultRowHeight="15" x14ac:dyDescent="0.25"/>
  <cols>
    <col min="1" max="1" width="5.42578125" style="6" customWidth="1"/>
    <col min="2" max="2" width="46.5703125" style="11" customWidth="1"/>
    <col min="3" max="3" width="11.28515625" style="6" customWidth="1"/>
    <col min="4" max="4" width="6.5703125" style="8" customWidth="1"/>
    <col min="5" max="5" width="9.5703125" style="1" customWidth="1"/>
    <col min="6" max="6" width="15.5703125" style="106" customWidth="1"/>
    <col min="7" max="7" width="13" style="1" bestFit="1" customWidth="1"/>
    <col min="8" max="8" width="15.28515625" style="1" customWidth="1"/>
    <col min="9" max="9" width="8.7109375" style="1"/>
    <col min="10" max="10" width="11.28515625" style="1" customWidth="1"/>
    <col min="11" max="16384" width="8.7109375" style="1"/>
  </cols>
  <sheetData>
    <row r="1" spans="1:7" ht="31.7" customHeight="1" x14ac:dyDescent="0.25">
      <c r="A1" s="185" t="s">
        <v>264</v>
      </c>
      <c r="B1" s="182"/>
      <c r="C1" s="182"/>
      <c r="D1" s="182"/>
      <c r="E1" s="182"/>
      <c r="F1" s="182"/>
    </row>
    <row r="2" spans="1:7" ht="28.7" customHeight="1" x14ac:dyDescent="0.25">
      <c r="A2" s="103" t="s">
        <v>1</v>
      </c>
      <c r="B2" s="104" t="s">
        <v>2</v>
      </c>
      <c r="C2" s="186" t="s">
        <v>215</v>
      </c>
      <c r="D2" s="187"/>
      <c r="E2" s="187"/>
      <c r="F2" s="105" t="s">
        <v>6</v>
      </c>
    </row>
    <row r="3" spans="1:7" ht="20.100000000000001" customHeight="1" x14ac:dyDescent="0.25">
      <c r="C3" s="116"/>
      <c r="D3" s="1"/>
      <c r="E3" s="11"/>
    </row>
    <row r="4" spans="1:7" ht="37.35" customHeight="1" x14ac:dyDescent="0.25">
      <c r="B4" s="107" t="s">
        <v>216</v>
      </c>
      <c r="C4" s="117"/>
      <c r="D4" s="118"/>
      <c r="E4" s="11"/>
      <c r="F4" s="108"/>
    </row>
    <row r="5" spans="1:7" ht="31.15" customHeight="1" x14ac:dyDescent="0.25">
      <c r="B5" s="109" t="s">
        <v>220</v>
      </c>
      <c r="C5" s="119"/>
      <c r="D5" s="125"/>
      <c r="E5" s="115"/>
      <c r="F5" s="126">
        <f>+'Bill 14 Mall Metalwork'!F434</f>
        <v>36105381.397499993</v>
      </c>
      <c r="G5" s="120"/>
    </row>
    <row r="6" spans="1:7" ht="31.15" customHeight="1" x14ac:dyDescent="0.25">
      <c r="B6" s="109" t="s">
        <v>221</v>
      </c>
      <c r="C6" s="121"/>
      <c r="D6" s="125"/>
      <c r="E6" s="113"/>
      <c r="F6" s="135">
        <f>+'Bill 14 - Parking Metalwork'!F181</f>
        <v>2054382.8315999997</v>
      </c>
      <c r="G6" s="120"/>
    </row>
    <row r="7" spans="1:7" ht="31.7" customHeight="1" x14ac:dyDescent="0.25">
      <c r="B7" s="109" t="s">
        <v>243</v>
      </c>
      <c r="C7" s="124"/>
      <c r="D7" s="125"/>
      <c r="E7" s="115"/>
      <c r="F7" s="126">
        <f>+'Bill 14 - Additional Works'!F34</f>
        <v>18844319.199673224</v>
      </c>
      <c r="G7" s="134"/>
    </row>
    <row r="8" spans="1:7" ht="31.7" customHeight="1" x14ac:dyDescent="0.25">
      <c r="B8" s="109" t="s">
        <v>244</v>
      </c>
      <c r="C8" s="124"/>
      <c r="D8" s="125"/>
      <c r="E8" s="115"/>
      <c r="F8" s="126">
        <f>-'Bill 14 - Mezzanine'!F181</f>
        <v>-5816375.9294507997</v>
      </c>
      <c r="G8" s="134"/>
    </row>
    <row r="9" spans="1:7" ht="31.7" customHeight="1" x14ac:dyDescent="0.25">
      <c r="B9" s="123"/>
      <c r="C9" s="114"/>
      <c r="D9" s="127"/>
      <c r="E9" s="115"/>
      <c r="F9" s="110"/>
    </row>
    <row r="10" spans="1:7" ht="31.7" customHeight="1" x14ac:dyDescent="0.25">
      <c r="B10" s="123"/>
      <c r="C10" s="114"/>
      <c r="D10" s="127"/>
      <c r="E10" s="115"/>
      <c r="F10" s="110"/>
    </row>
    <row r="11" spans="1:7" ht="31.7" customHeight="1" x14ac:dyDescent="0.25">
      <c r="B11" s="123"/>
      <c r="C11" s="114"/>
      <c r="D11" s="127"/>
      <c r="E11" s="115"/>
      <c r="F11" s="110"/>
    </row>
    <row r="12" spans="1:7" ht="31.7" customHeight="1" x14ac:dyDescent="0.25">
      <c r="B12" s="123"/>
      <c r="C12" s="114"/>
      <c r="D12" s="127"/>
      <c r="E12" s="115"/>
      <c r="F12" s="110"/>
    </row>
    <row r="13" spans="1:7" ht="31.7" customHeight="1" x14ac:dyDescent="0.25">
      <c r="B13" s="123"/>
      <c r="C13" s="114"/>
      <c r="D13" s="127"/>
      <c r="E13" s="115"/>
      <c r="F13" s="110"/>
    </row>
    <row r="14" spans="1:7" ht="137.1" customHeight="1" x14ac:dyDescent="0.25">
      <c r="A14" s="128"/>
      <c r="B14" s="129"/>
      <c r="C14" s="130"/>
      <c r="D14" s="131"/>
      <c r="E14" s="132"/>
      <c r="F14" s="133"/>
    </row>
    <row r="15" spans="1:7" ht="37.35" customHeight="1" x14ac:dyDescent="0.25">
      <c r="A15" s="111" t="s">
        <v>263</v>
      </c>
      <c r="B15" s="17"/>
      <c r="C15" s="18"/>
      <c r="D15" s="19"/>
      <c r="E15" s="18" t="s">
        <v>217</v>
      </c>
      <c r="F15" s="112">
        <f>SUM(F5:F14)</f>
        <v>51187707.499322422</v>
      </c>
    </row>
    <row r="140" spans="6:6" x14ac:dyDescent="0.25">
      <c r="F140" s="188"/>
    </row>
    <row r="290" spans="6:6" x14ac:dyDescent="0.25">
      <c r="F290" s="188"/>
    </row>
  </sheetData>
  <mergeCells count="2">
    <mergeCell ref="A1:F1"/>
    <mergeCell ref="C2:E2"/>
  </mergeCells>
  <pageMargins left="0.70866141732283472" right="0.19685039370078741" top="0.35433070866141736" bottom="0.35433070866141736" header="0.31496062992125984" footer="0.31496062992125984"/>
  <pageSetup paperSize="9" scale="98" orientation="portrait" useFirstPageNumber="1" r:id="rId1"/>
  <headerFooter>
    <oddFooter>&amp;L&amp;8DMS 148704 BOQ - Nakheel Mall Al Khail&amp;C&amp;"Arial,Regular"&amp;10S / 14</oddFooter>
  </headerFooter>
  <rowBreaks count="1" manualBreakCount="1">
    <brk id="1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EF1AB537AC9E47B3E67E62C11EDC34" ma:contentTypeVersion="6" ma:contentTypeDescription="Create a new document." ma:contentTypeScope="" ma:versionID="2393c6d2fbf1c3b1fcf0524f3ce13afe">
  <xsd:schema xmlns:xsd="http://www.w3.org/2001/XMLSchema" xmlns:xs="http://www.w3.org/2001/XMLSchema" xmlns:p="http://schemas.microsoft.com/office/2006/metadata/properties" xmlns:ns2="29343c2e-0cc4-4aa9-a004-66d03d634282" xmlns:ns3="303d1388-59d5-4b44-81d6-4cb28e15e614" targetNamespace="http://schemas.microsoft.com/office/2006/metadata/properties" ma:root="true" ma:fieldsID="42acea1767e65b62021b29439736a286" ns2:_="" ns3:_="">
    <xsd:import namespace="29343c2e-0cc4-4aa9-a004-66d03d634282"/>
    <xsd:import namespace="303d1388-59d5-4b44-81d6-4cb28e15e61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343c2e-0cc4-4aa9-a004-66d03d6342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d1388-59d5-4b44-81d6-4cb28e15e6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94CE0E-90CD-43FB-819A-D41582776422}"/>
</file>

<file path=customXml/itemProps2.xml><?xml version="1.0" encoding="utf-8"?>
<ds:datastoreItem xmlns:ds="http://schemas.openxmlformats.org/officeDocument/2006/customXml" ds:itemID="{652A583A-8653-467C-9764-CA70695C5ADE}"/>
</file>

<file path=customXml/itemProps3.xml><?xml version="1.0" encoding="utf-8"?>
<ds:datastoreItem xmlns:ds="http://schemas.openxmlformats.org/officeDocument/2006/customXml" ds:itemID="{DE366091-9673-4AC1-85D7-88D69ECF8D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Bill 14 Mall Metalwork</vt:lpstr>
      <vt:lpstr>Bill 14 - Parking Metalwork</vt:lpstr>
      <vt:lpstr>Bill 14 - Additional Works</vt:lpstr>
      <vt:lpstr>Bill 14 - Mezzanine</vt:lpstr>
      <vt:lpstr>METAL SUM</vt:lpstr>
      <vt:lpstr>'Bill 14 - Additional Works'!Print_Area</vt:lpstr>
      <vt:lpstr>'Bill 14 - Mezzanine'!Print_Area</vt:lpstr>
      <vt:lpstr>'Bill 14 - Parking Metalwork'!Print_Area</vt:lpstr>
      <vt:lpstr>'Bill 14 Mall Metalwork'!Print_Area</vt:lpstr>
      <vt:lpstr>'METAL SUM'!Print_Area</vt:lpstr>
      <vt:lpstr>'Bill 14 - Mezzanine'!Print_Titles</vt:lpstr>
      <vt:lpstr>'Bill 14 - Parking Metalwork'!Print_Titles</vt:lpstr>
      <vt:lpstr>'Bill 14 Mall Metalwork'!Print_Titles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Monvi Carlo Osorio</dc:creator>
  <cp:lastModifiedBy>Sathyan PT</cp:lastModifiedBy>
  <cp:lastPrinted>2024-02-21T10:52:43Z</cp:lastPrinted>
  <dcterms:created xsi:type="dcterms:W3CDTF">2023-12-13T08:12:17Z</dcterms:created>
  <dcterms:modified xsi:type="dcterms:W3CDTF">2024-02-21T10:52:49Z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0x010100D3EF1AB537AC9E47B3E67E62C11EDC34</vt:lpwstr>
  </property>
</Properties>
</file>