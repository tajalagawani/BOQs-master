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defaultThemeVersion="124226"/>
  <mc:AlternateContent xmlns:mc="http://schemas.openxmlformats.org/markup-compatibility/2006">
    <mc:Choice Requires="x15">
      <x15ac:absPath xmlns:x15ac="http://schemas.microsoft.com/office/spreadsheetml/2010/11/ac" url="N:\Tender\2022\BLDG\T061-22 NKHL RFQ700887 Modification&amp;Redev Wrks Nakheel Mall-Al Khail\2. COMM\4. Sub.&amp;PTC\24.02.09 - Final Bill of Quantities\"/>
    </mc:Choice>
  </mc:AlternateContent>
  <xr:revisionPtr revIDLastSave="0" documentId="13_ncr:1_{1B767DA6-D2D4-480E-9842-D7748404DF36}" xr6:coauthVersionLast="47" xr6:coauthVersionMax="47" xr10:uidLastSave="{00000000-0000-0000-0000-000000000000}"/>
  <bookViews>
    <workbookView xWindow="-28920" yWindow="-1530" windowWidth="29040" windowHeight="15720" activeTab="1" xr2:uid="{00000000-000D-0000-FFFF-FFFF00000000}"/>
  </bookViews>
  <sheets>
    <sheet name="Fly-Bill 9" sheetId="3" r:id="rId1"/>
    <sheet name="Bill 9" sheetId="2" r:id="rId2"/>
    <sheet name="Bill 9-Sum" sheetId="5" r:id="rId3"/>
  </sheets>
  <externalReferences>
    <externalReference r:id="rId4"/>
  </externalReferences>
  <definedNames>
    <definedName name="_xlnm._FilterDatabase" localSheetId="1" hidden="1">'Bill 9'!$A$1:$F$102</definedName>
    <definedName name="_xlnm._FilterDatabase" localSheetId="2" hidden="1">'Bill 9-Sum'!$A$1:$E$49</definedName>
    <definedName name="AA">'[1]AR-1'!#REF!</definedName>
    <definedName name="B2B">#REF!</definedName>
    <definedName name="B3B">#REF!</definedName>
    <definedName name="BB">#REF!</definedName>
    <definedName name="CC">'[1]AR-1'!#REF!</definedName>
    <definedName name="G1G">'[1]4-ME'!#REF!</definedName>
    <definedName name="G2G">'[1]4-ME'!#REF!</definedName>
    <definedName name="KK">'[1]4-ME'!#REF!</definedName>
    <definedName name="_xlnm.Print_Area" localSheetId="1">'Bill 9'!$A$1:$F$330</definedName>
    <definedName name="_xlnm.Print_Area" localSheetId="2">'Bill 9-Sum'!$A$1:$D$49</definedName>
    <definedName name="_xlnm.Print_Area" localSheetId="0">'Fly-Bill 9'!$A$1:$J$50</definedName>
    <definedName name="_xlnm.Print_Titles" localSheetId="1">'Bill 9'!$1:$2</definedName>
    <definedName name="_xlnm.Print_Titles" localSheetId="2">'Bill 9-Sum'!$1:$3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5" i="2" l="1"/>
  <c r="F40" i="2" l="1"/>
  <c r="F288" i="2" s="1"/>
  <c r="F282" i="2"/>
  <c r="F302" i="2" s="1"/>
  <c r="F249" i="2"/>
  <c r="F300" i="2" s="1"/>
  <c r="F214" i="2"/>
  <c r="F298" i="2" s="1"/>
  <c r="F139" i="2"/>
  <c r="F294" i="2" s="1"/>
  <c r="F179" i="2"/>
  <c r="F296" i="2" s="1"/>
  <c r="F102" i="2"/>
  <c r="F292" i="2" s="1"/>
  <c r="F73" i="2"/>
  <c r="F290" i="2" l="1"/>
  <c r="F330" i="2" l="1"/>
  <c r="D7" i="5" s="1"/>
  <c r="D48" i="5" l="1"/>
</calcChain>
</file>

<file path=xl/sharedStrings.xml><?xml version="1.0" encoding="utf-8"?>
<sst xmlns="http://schemas.openxmlformats.org/spreadsheetml/2006/main" count="302" uniqueCount="180">
  <si>
    <t>Item</t>
  </si>
  <si>
    <t>Description</t>
  </si>
  <si>
    <t>Qty</t>
  </si>
  <si>
    <t>Unit</t>
  </si>
  <si>
    <t>Rate</t>
  </si>
  <si>
    <t>Amount</t>
  </si>
  <si>
    <t>A</t>
  </si>
  <si>
    <t>m</t>
  </si>
  <si>
    <t>B</t>
  </si>
  <si>
    <t>C</t>
  </si>
  <si>
    <t>D</t>
  </si>
  <si>
    <t>E</t>
  </si>
  <si>
    <t>F</t>
  </si>
  <si>
    <t>To Collection</t>
  </si>
  <si>
    <t>G</t>
  </si>
  <si>
    <t>COLLECTION</t>
  </si>
  <si>
    <t>AED</t>
  </si>
  <si>
    <t>Page Nr.</t>
  </si>
  <si>
    <t>Amount 
AED</t>
  </si>
  <si>
    <t>SUMMARY</t>
  </si>
  <si>
    <t>TO MAIN SUMMARY</t>
  </si>
  <si>
    <t>item</t>
  </si>
  <si>
    <t>BILL NO. 9</t>
  </si>
  <si>
    <t>OFFICES</t>
  </si>
  <si>
    <t>TOTAL FOR BILL NO. 9 - OFFICES</t>
  </si>
  <si>
    <t>TOTAL FOR BILL NO. 9 - OFFICES
Carried to Summary</t>
  </si>
  <si>
    <t>Generally</t>
  </si>
  <si>
    <t>The work to be done under this bill form part of the Works and shall be completed within the applicable Time for Completion.</t>
  </si>
  <si>
    <t>The scope of Works within this bill is for design and build of partitioning, flooring, internal finishes, doors, fixed in place fittings, MEP, etc to the offices in accordance with the Employers Requirements.</t>
  </si>
  <si>
    <t>Loose furniture, loose equipments and OS&amp;E are excluded from theWorks (by others).</t>
  </si>
  <si>
    <t>As per Clause 17.1 of Rates and Measurement Clause (Preambles) the Contractor is required to provide the Employer with a fully detailed Bill fo Quantities for the scope of works as defined in the Employers Requirements once the detailed design has been approved.</t>
  </si>
  <si>
    <t>Substructure</t>
  </si>
  <si>
    <t>N/A</t>
  </si>
  <si>
    <t>Superstructure</t>
  </si>
  <si>
    <t>METAL WORKS</t>
  </si>
  <si>
    <t>B.01</t>
  </si>
  <si>
    <t>Secondary Steel Supports to suspension systems</t>
  </si>
  <si>
    <t>WATERPROOFING</t>
  </si>
  <si>
    <t>B.02</t>
  </si>
  <si>
    <t>Supply and application of liquid water proofing to Walls in  ablution, male and female toilets: height up to 1M</t>
  </si>
  <si>
    <t>m2</t>
  </si>
  <si>
    <t>B.03</t>
  </si>
  <si>
    <t>Supply and application of liquid water proofing to Floor in  ablution, male and female toilets</t>
  </si>
  <si>
    <t>See below.</t>
  </si>
  <si>
    <t>External Walls</t>
  </si>
  <si>
    <t>sum</t>
  </si>
  <si>
    <t>Page 9/OFFICES/1</t>
  </si>
  <si>
    <t>OFFICES (Cont'd)</t>
  </si>
  <si>
    <t>GLASS PARTITIONS AND DOORS</t>
  </si>
  <si>
    <t>D.08</t>
  </si>
  <si>
    <t>Double swing door -1800x2000mm with framed partition at Main Entrance</t>
  </si>
  <si>
    <t>no</t>
  </si>
  <si>
    <t>D.09</t>
  </si>
  <si>
    <t>Supply and installation of single glass frameless glass partitions with 12mm tempered normal clear glass height of 3000 mm glass joint with silicon aluminum profile in block powder coated finish.</t>
  </si>
  <si>
    <t>m²</t>
  </si>
  <si>
    <t>D.10</t>
  </si>
  <si>
    <t>Additional support framing from partition to sofit slab</t>
  </si>
  <si>
    <t>D.11</t>
  </si>
  <si>
    <t>Swing Glass Door - Supply and Installation of 12mm thick Toughened Clear Float Glass with side Polished Framed Glazed Single Leaf  Swing Door. Size 900mm x 3000mm</t>
  </si>
  <si>
    <t>D.12</t>
  </si>
  <si>
    <t>Swing Glass Door - Supply and Installation of 12mm thick Toughened Clear Float Glass with side Polished Framed Glazed Single Leaf  Swing Door. Size 1700mm x 3000mm</t>
  </si>
  <si>
    <t>D.13</t>
  </si>
  <si>
    <t>Supply and instalaltion of Ironmongeries for all glass doors Brand - DORMA.</t>
  </si>
  <si>
    <t>D.14</t>
  </si>
  <si>
    <t>Sliding Glass Door - Supply and Installation of 12mm thick Toughened Clear Float Glass with side Polished Framed Glazed Single Leaf  Sliding Door. Size 1000mm x 3000mm</t>
  </si>
  <si>
    <t>D.15</t>
  </si>
  <si>
    <t>Decorative Screen Partitions</t>
  </si>
  <si>
    <t>D.16</t>
  </si>
  <si>
    <t>Frosted Sticker - Design as per Nakheel Mall office</t>
  </si>
  <si>
    <t>METAL DOORS</t>
  </si>
  <si>
    <t>D.17</t>
  </si>
  <si>
    <t>Single swing door 900mmx2000mm</t>
  </si>
  <si>
    <t>Internal Walls and Doors</t>
  </si>
  <si>
    <t>DEMOLITION</t>
  </si>
  <si>
    <t>D.01</t>
  </si>
  <si>
    <t>Demolition of existing blockwall</t>
  </si>
  <si>
    <t>MASONRY</t>
  </si>
  <si>
    <t>Height upto 7m</t>
  </si>
  <si>
    <t>Hollow concrete block wall; bedded and jointed in cement and sand mortar; including damp proof courses, insulation, fire rating, mesh, grouts, lintels, posts, reinforcement, fixings, anchors, ties, accessories, plaster (measured separately) and all ancillary works as necessary</t>
  </si>
  <si>
    <t>D.02</t>
  </si>
  <si>
    <t>200mm thick</t>
  </si>
  <si>
    <t>GYPSUM PARTITION &amp; DRYLINING</t>
  </si>
  <si>
    <t>INTERNAL PARTITIONING - Height upto 3.1M only</t>
  </si>
  <si>
    <t>D.03</t>
  </si>
  <si>
    <t>Supply and Installation of 12.5mm thick gypsum board partition using all necessary required material including standard rockwool and taping &amp; jointing.</t>
  </si>
  <si>
    <t>D.04</t>
  </si>
  <si>
    <t>Supply and Installation of 12.5mm thick MR Gypsum board partition using all necessary required material including standard rockwool and taping &amp; jointing.</t>
  </si>
  <si>
    <t>D.05</t>
  </si>
  <si>
    <t>Supply and Installation of 12.5mm thick gypsum board Lining on external wall using all necessary required material including  and taping &amp; jointing.</t>
  </si>
  <si>
    <t>TIMBER DOORS</t>
  </si>
  <si>
    <t>D.06</t>
  </si>
  <si>
    <t>Fabrication supply and installation of timber doors in paint finish  including ironmongery (Hinges, mortice, cylinder door clousures, lever handle and floor mounted door stopper
Size of Door 2100mm (H) X 1100mm (W)</t>
  </si>
  <si>
    <t>D.07</t>
  </si>
  <si>
    <t>Hallway Entrance Door 2100 x 1100mm</t>
  </si>
  <si>
    <t>Page 9/OFFICES/2</t>
  </si>
  <si>
    <t>Page 9/OFFICES/3</t>
  </si>
  <si>
    <t>Internal Finishes</t>
  </si>
  <si>
    <t>FLOOR FINISHES</t>
  </si>
  <si>
    <t>E.01</t>
  </si>
  <si>
    <t>Supply and apply cement, sand screed complete as per  drawing</t>
  </si>
  <si>
    <t>E.02</t>
  </si>
  <si>
    <t>Supply and installation of carpet tile to office area, meeting rooms, Managers offices, etc (square tiles) -  PC rate AED 60/m2 - Floors Carpet (Inc Self Leveling)</t>
  </si>
  <si>
    <t>E.03</t>
  </si>
  <si>
    <t>Supply and Installation of  anti slip Floor tiles to  Reception lobby, wet areas  (pantry,  male and female toilets: Tile PC rate AED 50/m2</t>
  </si>
  <si>
    <t>E.04</t>
  </si>
  <si>
    <t>Metal Trims / Termination Profile</t>
  </si>
  <si>
    <t>WALL FINISHES</t>
  </si>
  <si>
    <t>Paint Finishes</t>
  </si>
  <si>
    <t>E.05</t>
  </si>
  <si>
    <t>Supply and Application of Fenomastic painting to all walls</t>
  </si>
  <si>
    <t>E.06</t>
  </si>
  <si>
    <t>Supply and installation of paint finish 100mm high wooden skirting to walls on carpet floor area</t>
  </si>
  <si>
    <t>Tile Finishes</t>
  </si>
  <si>
    <t>E.07</t>
  </si>
  <si>
    <t>Supply and installation of wall tiles in male and female  washrooms and Pantry. (Tile considered  2.6m Height in Toilet &amp; 2.1m at Pantry cabinet areas ) Tile PC rate AED 50/m2</t>
  </si>
  <si>
    <t>E.08</t>
  </si>
  <si>
    <t>Supply and installation of 100mm high ceramic tile skirting in wet areas
(PC rate AED 15/ LM)</t>
  </si>
  <si>
    <t>Page 9/OFFICES/4</t>
  </si>
  <si>
    <t>CEILING FINISHES</t>
  </si>
  <si>
    <t>Suspended Ceiling and Bulkheads</t>
  </si>
  <si>
    <t>E.09</t>
  </si>
  <si>
    <t>Supply and fixing of 12.5mm Gypsum ceiling including all required accessories</t>
  </si>
  <si>
    <t>E.10</t>
  </si>
  <si>
    <t>Gypsum Bulkheads</t>
  </si>
  <si>
    <t>E.11</t>
  </si>
  <si>
    <t>Gypsum Cove light</t>
  </si>
  <si>
    <t>E.12</t>
  </si>
  <si>
    <t>Access panel 600mmX600mm</t>
  </si>
  <si>
    <t>E.13</t>
  </si>
  <si>
    <t>Perforated grid Ceiling 600mm x 600mm</t>
  </si>
  <si>
    <t>E.14</t>
  </si>
  <si>
    <t>Supply and fixing of 12.5mm Gypsum flat ceiling for all the remaining areas</t>
  </si>
  <si>
    <t>E.15</t>
  </si>
  <si>
    <t>E.16</t>
  </si>
  <si>
    <t>Supply and fixing of 12.5mm MR Gypsum ceiling including all required accessories.</t>
  </si>
  <si>
    <t>E.17</t>
  </si>
  <si>
    <t>E.18</t>
  </si>
  <si>
    <t>Painting</t>
  </si>
  <si>
    <t>E.19</t>
  </si>
  <si>
    <t>Supply and Application of Fenomastic painting to  Gypsum ceiling , Bulkheads &amp; Cove lights</t>
  </si>
  <si>
    <t>MISCELLANEOUS</t>
  </si>
  <si>
    <t>E.20</t>
  </si>
  <si>
    <t>Metal trims above the Skirtings</t>
  </si>
  <si>
    <t>Page 9/OFFICES/5</t>
  </si>
  <si>
    <t>Fixed Furniture and Fixed Equipment</t>
  </si>
  <si>
    <t>RECEPTION COUNTER</t>
  </si>
  <si>
    <t>F.01</t>
  </si>
  <si>
    <t>Fabrication supply and Installation of reception counter cladded with Marble, Size 3100mm (L) x 500mm (W) 1200mm (H) Including 1 Nreception Chair</t>
  </si>
  <si>
    <t>BASE AND WALL UNITS</t>
  </si>
  <si>
    <t>F.02</t>
  </si>
  <si>
    <t>Fabrication supply and installation of U shape Pantry bottom vanity counter &amp; upper cabinet with provision for necessary storage in  white melamine including installation of solid surface on top of vanity counter, necessary ironmongery
Size of Pantry Cabinet 7220mm (L) 850mm (H) 650mm (W)
Size of Upper cabinet 7220mm (L) 750mm (H) 650mm (W)</t>
  </si>
  <si>
    <t>VANITY COUNTER MALE / FEMALE TOILET</t>
  </si>
  <si>
    <t>F.03</t>
  </si>
  <si>
    <t>Fabrication supply and installation of Vanity counters to wash area in male toilet using MR, MDF with application of white laminate
Size of Vanity 2100mm (L) 850mm (H) 600mm (W)</t>
  </si>
  <si>
    <t>TOILET CUBICLES</t>
  </si>
  <si>
    <t>F.04</t>
  </si>
  <si>
    <t>Toilet Cubicles - 2200Ht 12mm Thickness</t>
  </si>
  <si>
    <t>MIRRORS</t>
  </si>
  <si>
    <t>F.05</t>
  </si>
  <si>
    <t>Mirror 1000mm x 1000mm</t>
  </si>
  <si>
    <t>SIGNAGES</t>
  </si>
  <si>
    <t>F.06</t>
  </si>
  <si>
    <t>Nakheel Log &amp; other Signages</t>
  </si>
  <si>
    <t>Page 9/OFFICES/6</t>
  </si>
  <si>
    <t>MEP</t>
  </si>
  <si>
    <t>G.01</t>
  </si>
  <si>
    <t>HVAC</t>
  </si>
  <si>
    <t>G.02</t>
  </si>
  <si>
    <t>Electrical</t>
  </si>
  <si>
    <t>G.03</t>
  </si>
  <si>
    <t>Plumbing, Drainage and Fire Protection</t>
  </si>
  <si>
    <t>Page 9/OFFICES/7</t>
  </si>
  <si>
    <t>H</t>
  </si>
  <si>
    <t>H.01</t>
  </si>
  <si>
    <t>H.02</t>
  </si>
  <si>
    <t>OTHERS</t>
  </si>
  <si>
    <t>Page 9/OFFICES/8</t>
  </si>
  <si>
    <t>Design Fees and Supervision</t>
  </si>
  <si>
    <t xml:space="preserve">Builder's Work </t>
  </si>
  <si>
    <t>Refer to Bill No. 6 - P/SUM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</si>
</sst>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23" x14ac:knownFonts="1">
    <font>
      <sz val="11"/>
      <color theme="1"/>
      <name val="Calibri"/>
      <family val="2"/>
      <scheme val="minor"/>
    </font>
    <font>
      <sz val="11"/>
      <color theme="1"/>
      <name val="Calibri"/>
      <family val="2"/>
      <scheme val="minor"/>
    </font>
    <font>
      <sz val="10"/>
      <name val="Arial"/>
      <family val="2"/>
    </font>
    <font>
      <sz val="12"/>
      <name val="Times New Roman"/>
      <family val="1"/>
    </font>
    <font>
      <sz val="10"/>
      <name val="MS Sans Serif"/>
      <family val="2"/>
    </font>
    <font>
      <b/>
      <u/>
      <sz val="12"/>
      <name val="Times New Roman"/>
      <family val="1"/>
      <charset val="178"/>
    </font>
    <font>
      <u/>
      <sz val="12"/>
      <name val="Times New Roman"/>
      <family val="1"/>
      <charset val="178"/>
    </font>
    <font>
      <sz val="12"/>
      <color theme="1"/>
      <name val="Times New Roman"/>
      <family val="2"/>
    </font>
    <font>
      <sz val="12"/>
      <name val="Times New Roman"/>
      <family val="1"/>
      <charset val="178"/>
    </font>
    <font>
      <sz val="11"/>
      <name val="Times New Roman"/>
      <family val="1"/>
    </font>
    <font>
      <u/>
      <sz val="11"/>
      <color indexed="8"/>
      <name val="Arial"/>
      <family val="2"/>
    </font>
    <font>
      <sz val="11"/>
      <color indexed="8"/>
      <name val="Arial"/>
      <family val="2"/>
    </font>
    <font>
      <b/>
      <sz val="11"/>
      <name val="Arial"/>
      <family val="2"/>
    </font>
    <font>
      <sz val="11"/>
      <name val="Arial"/>
      <family val="2"/>
    </font>
    <font>
      <u/>
      <sz val="11"/>
      <name val="Arial"/>
      <family val="2"/>
    </font>
    <font>
      <sz val="11"/>
      <color rgb="FFFF0000"/>
      <name val="Arial"/>
      <family val="2"/>
    </font>
    <font>
      <b/>
      <sz val="11"/>
      <color rgb="FFFF0000"/>
      <name val="Arial"/>
      <family val="2"/>
    </font>
    <font>
      <sz val="10"/>
      <color theme="1"/>
      <name val="Arial"/>
      <family val="2"/>
    </font>
    <font>
      <sz val="8"/>
      <name val="Calibri"/>
      <family val="2"/>
      <scheme val="minor"/>
    </font>
    <font>
      <sz val="10"/>
      <color theme="0"/>
      <name val="Arial"/>
      <family val="2"/>
    </font>
    <font>
      <b/>
      <sz val="9"/>
      <color theme="0"/>
      <name val="Arial"/>
      <family val="2"/>
    </font>
    <font>
      <sz val="9"/>
      <name val="Arial"/>
      <family val="2"/>
    </font>
    <font>
      <b/>
      <u/>
      <sz val="11"/>
      <name val="Arial"/>
      <family val="2"/>
    </font>
  </fonts>
  <fills count="2">
    <fill>
      <patternFill patternType="none"/>
    </fill>
    <fill>
      <patternFill patternType="gray125"/>
    </fill>
  </fills>
  <borders count="10">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right style="thin">
        <color auto="1"/>
      </right>
      <top/>
      <bottom style="thin">
        <color auto="1"/>
      </bottom>
      <diagonal/>
    </border>
  </borders>
  <cellStyleXfs count="29">
    <xf numFmtId="0" fontId="0" fillId="0" borderId="0"/>
    <xf numFmtId="0" fontId="2" fillId="0" borderId="0"/>
    <xf numFmtId="0" fontId="3" fillId="0" borderId="1" applyFont="0" applyBorder="0" applyAlignment="0">
      <alignment wrapText="1"/>
    </xf>
    <xf numFmtId="0" fontId="4" fillId="0" borderId="0"/>
    <xf numFmtId="164" fontId="2"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0" fontId="5" fillId="0" borderId="0">
      <alignment vertical="top" wrapText="1"/>
    </xf>
    <xf numFmtId="0" fontId="6" fillId="0" borderId="0">
      <alignment vertical="top" wrapText="1"/>
    </xf>
    <xf numFmtId="0" fontId="6" fillId="0" borderId="0">
      <alignment wrapText="1"/>
    </xf>
    <xf numFmtId="0" fontId="3" fillId="0" borderId="1" applyBorder="0">
      <alignment wrapText="1"/>
    </xf>
    <xf numFmtId="0" fontId="3" fillId="0" borderId="0"/>
    <xf numFmtId="0" fontId="1" fillId="0" borderId="0"/>
    <xf numFmtId="0" fontId="7" fillId="0" borderId="0"/>
    <xf numFmtId="0" fontId="1" fillId="0" borderId="0"/>
    <xf numFmtId="0" fontId="1" fillId="0" borderId="0"/>
    <xf numFmtId="0" fontId="3" fillId="0" borderId="0"/>
    <xf numFmtId="0" fontId="2" fillId="0" borderId="0"/>
    <xf numFmtId="0" fontId="2" fillId="0" borderId="0"/>
    <xf numFmtId="0" fontId="8" fillId="0" borderId="0">
      <alignment wrapText="1"/>
    </xf>
    <xf numFmtId="0" fontId="1" fillId="0" borderId="0"/>
    <xf numFmtId="0" fontId="2" fillId="0" borderId="0"/>
    <xf numFmtId="0" fontId="3" fillId="0" borderId="0"/>
    <xf numFmtId="0" fontId="9" fillId="0" borderId="0"/>
    <xf numFmtId="0" fontId="1" fillId="0" borderId="0"/>
    <xf numFmtId="0" fontId="2" fillId="0" borderId="0"/>
    <xf numFmtId="43" fontId="1" fillId="0" borderId="0" applyFont="0" applyFill="0" applyBorder="0" applyAlignment="0" applyProtection="0"/>
    <xf numFmtId="0" fontId="2" fillId="0" borderId="0"/>
    <xf numFmtId="43" fontId="1" fillId="0" borderId="0" applyFont="0" applyFill="0" applyBorder="0" applyAlignment="0" applyProtection="0"/>
  </cellStyleXfs>
  <cellXfs count="156">
    <xf numFmtId="0" fontId="0" fillId="0" borderId="0" xfId="0"/>
    <xf numFmtId="0" fontId="1" fillId="0" borderId="0" xfId="24"/>
    <xf numFmtId="0" fontId="12" fillId="0" borderId="8" xfId="25" applyFont="1" applyBorder="1" applyAlignment="1" applyProtection="1">
      <alignment horizontal="center" vertical="center" wrapText="1"/>
      <protection locked="0"/>
    </xf>
    <xf numFmtId="0" fontId="12" fillId="0" borderId="0" xfId="25" applyFont="1" applyProtection="1">
      <protection locked="0"/>
    </xf>
    <xf numFmtId="0" fontId="12" fillId="0" borderId="0" xfId="25" applyFont="1" applyAlignment="1" applyProtection="1">
      <alignment vertical="center" wrapText="1"/>
      <protection locked="0"/>
    </xf>
    <xf numFmtId="0" fontId="13" fillId="0" borderId="0" xfId="25" applyFont="1" applyAlignment="1" applyProtection="1">
      <alignment wrapText="1"/>
      <protection locked="0"/>
    </xf>
    <xf numFmtId="43" fontId="15" fillId="0" borderId="3" xfId="26" applyFont="1" applyFill="1" applyBorder="1" applyAlignment="1" applyProtection="1">
      <alignment horizontal="center" vertical="top" wrapText="1"/>
      <protection locked="0"/>
    </xf>
    <xf numFmtId="0" fontId="12" fillId="0" borderId="0" xfId="25" applyFont="1" applyAlignment="1" applyProtection="1">
      <alignment horizontal="center" vertical="top" wrapText="1"/>
      <protection locked="0"/>
    </xf>
    <xf numFmtId="43" fontId="15" fillId="0" borderId="5" xfId="26" applyFont="1" applyFill="1" applyBorder="1" applyAlignment="1" applyProtection="1">
      <alignment horizontal="center" vertical="top" wrapText="1"/>
      <protection locked="0"/>
    </xf>
    <xf numFmtId="43" fontId="12" fillId="0" borderId="5" xfId="26" applyFont="1" applyFill="1" applyBorder="1" applyAlignment="1" applyProtection="1">
      <alignment horizontal="center" vertical="top" wrapText="1"/>
      <protection locked="0"/>
    </xf>
    <xf numFmtId="43" fontId="13" fillId="0" borderId="5" xfId="26" applyFont="1" applyFill="1" applyBorder="1" applyAlignment="1" applyProtection="1">
      <alignment horizontal="center" vertical="top" wrapText="1"/>
      <protection locked="0"/>
    </xf>
    <xf numFmtId="0" fontId="13" fillId="0" borderId="0" xfId="25" applyFont="1" applyAlignment="1" applyProtection="1">
      <alignment horizontal="center" vertical="top" wrapText="1"/>
      <protection locked="0"/>
    </xf>
    <xf numFmtId="0" fontId="13" fillId="0" borderId="0" xfId="25" applyFont="1" applyProtection="1">
      <protection locked="0"/>
    </xf>
    <xf numFmtId="0" fontId="1" fillId="0" borderId="0" xfId="24" applyProtection="1">
      <protection locked="0"/>
    </xf>
    <xf numFmtId="0" fontId="17" fillId="0" borderId="0" xfId="24" applyFont="1" applyProtection="1">
      <protection locked="0"/>
    </xf>
    <xf numFmtId="43" fontId="13" fillId="0" borderId="4" xfId="26" applyFont="1" applyFill="1" applyBorder="1" applyAlignment="1" applyProtection="1">
      <alignment horizontal="center" wrapText="1"/>
      <protection locked="0"/>
    </xf>
    <xf numFmtId="43" fontId="13" fillId="0" borderId="5" xfId="26" applyFont="1" applyFill="1" applyBorder="1" applyAlignment="1" applyProtection="1">
      <alignment horizontal="center" wrapText="1"/>
      <protection locked="0"/>
    </xf>
    <xf numFmtId="0" fontId="19" fillId="0" borderId="0" xfId="27" applyFont="1" applyAlignment="1" applyProtection="1">
      <alignment vertical="center"/>
      <protection locked="0"/>
    </xf>
    <xf numFmtId="0" fontId="20" fillId="0" borderId="0" xfId="27" applyFont="1" applyAlignment="1" applyProtection="1">
      <alignment horizontal="left" vertical="top" wrapText="1"/>
      <protection locked="0"/>
    </xf>
    <xf numFmtId="1" fontId="2" fillId="0" borderId="0" xfId="25" applyNumberFormat="1" applyAlignment="1" applyProtection="1">
      <alignment horizontal="center" vertical="top"/>
      <protection locked="0"/>
    </xf>
    <xf numFmtId="43" fontId="2" fillId="0" borderId="0" xfId="26" applyFont="1" applyFill="1" applyAlignment="1" applyProtection="1">
      <alignment vertical="top"/>
      <protection locked="0"/>
    </xf>
    <xf numFmtId="0" fontId="2" fillId="0" borderId="0" xfId="25" applyAlignment="1" applyProtection="1">
      <alignment vertical="top"/>
      <protection locked="0"/>
    </xf>
    <xf numFmtId="0" fontId="21" fillId="0" borderId="0" xfId="27" applyFont="1" applyAlignment="1" applyProtection="1">
      <alignment horizontal="left" vertical="top"/>
      <protection locked="0"/>
    </xf>
    <xf numFmtId="0" fontId="21" fillId="0" borderId="0" xfId="27" applyFont="1" applyAlignment="1" applyProtection="1">
      <alignment vertical="top" wrapText="1"/>
      <protection locked="0"/>
    </xf>
    <xf numFmtId="2" fontId="21" fillId="0" borderId="0" xfId="27" applyNumberFormat="1" applyFont="1" applyAlignment="1" applyProtection="1">
      <alignment horizontal="left" vertical="top"/>
      <protection locked="0"/>
    </xf>
    <xf numFmtId="49" fontId="13" fillId="0" borderId="0" xfId="25" applyNumberFormat="1" applyFont="1" applyAlignment="1" applyProtection="1">
      <alignment horizontal="center"/>
      <protection locked="0"/>
    </xf>
    <xf numFmtId="43" fontId="13" fillId="0" borderId="0" xfId="26" applyFont="1" applyFill="1" applyAlignment="1" applyProtection="1">
      <alignment horizontal="center" vertical="top" wrapText="1"/>
      <protection locked="0"/>
    </xf>
    <xf numFmtId="0" fontId="13" fillId="0" borderId="3" xfId="25" applyFont="1" applyBorder="1" applyAlignment="1">
      <alignment wrapText="1"/>
    </xf>
    <xf numFmtId="0" fontId="13" fillId="0" borderId="0" xfId="25" applyFont="1" applyAlignment="1">
      <alignment wrapText="1"/>
    </xf>
    <xf numFmtId="49" fontId="13" fillId="0" borderId="3" xfId="25" applyNumberFormat="1" applyFont="1" applyBorder="1" applyAlignment="1">
      <alignment horizontal="center" wrapText="1"/>
    </xf>
    <xf numFmtId="0" fontId="13" fillId="0" borderId="5" xfId="25" applyFont="1" applyBorder="1" applyAlignment="1">
      <alignment wrapText="1"/>
    </xf>
    <xf numFmtId="49" fontId="13" fillId="0" borderId="5" xfId="25" applyNumberFormat="1" applyFont="1" applyBorder="1" applyAlignment="1">
      <alignment horizontal="center" wrapText="1"/>
    </xf>
    <xf numFmtId="0" fontId="14" fillId="0" borderId="0" xfId="25" applyFont="1" applyAlignment="1">
      <alignment horizontal="center" wrapText="1"/>
    </xf>
    <xf numFmtId="0" fontId="13" fillId="0" borderId="0" xfId="25" applyFont="1" applyAlignment="1">
      <alignment horizontal="left" wrapText="1" indent="2"/>
    </xf>
    <xf numFmtId="49" fontId="13" fillId="0" borderId="5" xfId="25" applyNumberFormat="1" applyFont="1" applyBorder="1" applyAlignment="1">
      <alignment horizontal="center"/>
    </xf>
    <xf numFmtId="0" fontId="13" fillId="0" borderId="0" xfId="25" applyFont="1" applyAlignment="1">
      <alignment horizontal="left" indent="2"/>
    </xf>
    <xf numFmtId="0" fontId="13" fillId="0" borderId="5" xfId="25" applyFont="1" applyBorder="1"/>
    <xf numFmtId="0" fontId="13" fillId="0" borderId="0" xfId="25" applyFont="1"/>
    <xf numFmtId="0" fontId="13" fillId="0" borderId="4" xfId="25" applyFont="1" applyBorder="1"/>
    <xf numFmtId="0" fontId="13" fillId="0" borderId="9" xfId="25" applyFont="1" applyBorder="1"/>
    <xf numFmtId="49" fontId="13" fillId="0" borderId="4" xfId="25" applyNumberFormat="1" applyFont="1" applyBorder="1" applyAlignment="1">
      <alignment horizontal="center" wrapText="1"/>
    </xf>
    <xf numFmtId="0" fontId="12" fillId="0" borderId="0" xfId="25" applyFont="1" applyAlignment="1">
      <alignment vertical="top" wrapText="1"/>
    </xf>
    <xf numFmtId="49" fontId="12" fillId="0" borderId="7" xfId="25" applyNumberFormat="1" applyFont="1" applyBorder="1" applyAlignment="1">
      <alignment horizontal="center" wrapText="1"/>
    </xf>
    <xf numFmtId="0" fontId="13" fillId="0" borderId="0" xfId="25" applyFont="1" applyAlignment="1">
      <alignment horizontal="center" vertical="top" wrapText="1"/>
    </xf>
    <xf numFmtId="0" fontId="12" fillId="0" borderId="0" xfId="25" applyFont="1" applyAlignment="1">
      <alignment horizontal="right"/>
    </xf>
    <xf numFmtId="49" fontId="12" fillId="0" borderId="0" xfId="25" applyNumberFormat="1" applyFont="1" applyAlignment="1">
      <alignment horizontal="center" wrapText="1"/>
    </xf>
    <xf numFmtId="0" fontId="12" fillId="0" borderId="0" xfId="25" applyFont="1" applyAlignment="1">
      <alignment horizontal="left" vertical="top" wrapText="1"/>
    </xf>
    <xf numFmtId="0" fontId="12" fillId="0" borderId="0" xfId="1" applyFont="1" applyAlignment="1" applyProtection="1">
      <alignment horizontal="center" vertical="top"/>
      <protection locked="0"/>
    </xf>
    <xf numFmtId="0" fontId="12" fillId="0" borderId="0" xfId="1" applyFont="1" applyAlignment="1" applyProtection="1">
      <alignment vertical="top"/>
      <protection locked="0"/>
    </xf>
    <xf numFmtId="0" fontId="13" fillId="0" borderId="0" xfId="1" applyFont="1" applyAlignment="1" applyProtection="1">
      <alignment vertical="top"/>
      <protection locked="0"/>
    </xf>
    <xf numFmtId="0" fontId="13" fillId="0" borderId="0" xfId="1" applyFont="1" applyProtection="1">
      <protection locked="0"/>
    </xf>
    <xf numFmtId="0" fontId="15" fillId="0" borderId="0" xfId="1" applyFont="1" applyAlignment="1" applyProtection="1">
      <alignment vertical="top"/>
      <protection locked="0"/>
    </xf>
    <xf numFmtId="1" fontId="13" fillId="0" borderId="0" xfId="1" applyNumberFormat="1" applyFont="1" applyAlignment="1" applyProtection="1">
      <alignment horizontal="center"/>
      <protection locked="0"/>
    </xf>
    <xf numFmtId="1" fontId="15" fillId="0" borderId="0" xfId="1" applyNumberFormat="1" applyFont="1" applyAlignment="1" applyProtection="1">
      <alignment horizontal="center"/>
      <protection locked="0"/>
    </xf>
    <xf numFmtId="0" fontId="16" fillId="0" borderId="0" xfId="1" applyFont="1" applyAlignment="1" applyProtection="1">
      <alignment vertical="top"/>
      <protection locked="0"/>
    </xf>
    <xf numFmtId="0" fontId="13" fillId="0" borderId="0" xfId="1" applyFont="1" applyAlignment="1" applyProtection="1">
      <alignment horizontal="center" vertical="center"/>
      <protection locked="0"/>
    </xf>
    <xf numFmtId="0" fontId="13" fillId="0" borderId="0" xfId="1" applyFont="1" applyAlignment="1" applyProtection="1">
      <alignment vertical="center" wrapText="1"/>
      <protection locked="0"/>
    </xf>
    <xf numFmtId="3" fontId="13" fillId="0" borderId="0" xfId="1" applyNumberFormat="1" applyFont="1" applyAlignment="1" applyProtection="1">
      <alignment horizontal="right" vertical="center"/>
      <protection locked="0"/>
    </xf>
    <xf numFmtId="0" fontId="14" fillId="0" borderId="5" xfId="17" applyFont="1" applyBorder="1" applyAlignment="1">
      <alignment horizontal="center" vertical="center" wrapText="1"/>
    </xf>
    <xf numFmtId="0" fontId="14" fillId="0" borderId="5" xfId="21" applyFont="1" applyBorder="1" applyAlignment="1">
      <alignment vertical="center" wrapText="1"/>
    </xf>
    <xf numFmtId="3" fontId="14" fillId="0" borderId="5" xfId="17" applyNumberFormat="1" applyFont="1" applyBorder="1" applyAlignment="1">
      <alignment horizontal="right" vertical="center" wrapText="1"/>
    </xf>
    <xf numFmtId="0" fontId="13" fillId="0" borderId="5" xfId="1" applyFont="1" applyBorder="1" applyAlignment="1">
      <alignment horizontal="center" vertical="center"/>
    </xf>
    <xf numFmtId="0" fontId="14" fillId="0" borderId="5" xfId="1" applyFont="1" applyBorder="1" applyAlignment="1">
      <alignment vertical="center" wrapText="1"/>
    </xf>
    <xf numFmtId="3" fontId="13" fillId="0" borderId="5" xfId="1" applyNumberFormat="1" applyFont="1" applyBorder="1" applyAlignment="1">
      <alignment horizontal="right" vertical="center"/>
    </xf>
    <xf numFmtId="1" fontId="13" fillId="0" borderId="5" xfId="1" applyNumberFormat="1" applyFont="1" applyBorder="1" applyAlignment="1">
      <alignment horizontal="center" vertical="center"/>
    </xf>
    <xf numFmtId="0" fontId="13" fillId="0" borderId="5" xfId="1" applyFont="1" applyBorder="1" applyAlignment="1">
      <alignment vertical="center" wrapText="1"/>
    </xf>
    <xf numFmtId="3" fontId="13" fillId="0" borderId="5" xfId="21" applyNumberFormat="1" applyFont="1" applyBorder="1" applyAlignment="1">
      <alignment horizontal="right" vertical="center"/>
    </xf>
    <xf numFmtId="0" fontId="15" fillId="0" borderId="5" xfId="1" applyFont="1" applyBorder="1" applyAlignment="1">
      <alignment horizontal="center" vertical="center"/>
    </xf>
    <xf numFmtId="0" fontId="15" fillId="0" borderId="5" xfId="1" applyFont="1" applyBorder="1" applyAlignment="1">
      <alignment vertical="center" wrapText="1"/>
    </xf>
    <xf numFmtId="3" fontId="15" fillId="0" borderId="5" xfId="21" applyNumberFormat="1" applyFont="1" applyBorder="1" applyAlignment="1">
      <alignment horizontal="right" vertical="center"/>
    </xf>
    <xf numFmtId="1" fontId="15" fillId="0" borderId="5" xfId="1" applyNumberFormat="1" applyFont="1" applyBorder="1" applyAlignment="1">
      <alignment horizontal="center" vertical="center"/>
    </xf>
    <xf numFmtId="0" fontId="16" fillId="0" borderId="2" xfId="1" applyFont="1" applyBorder="1" applyAlignment="1">
      <alignment horizontal="center" vertical="center"/>
    </xf>
    <xf numFmtId="0" fontId="13" fillId="0" borderId="2" xfId="1" applyFont="1" applyBorder="1" applyAlignment="1">
      <alignment horizontal="right" vertical="center" wrapText="1"/>
    </xf>
    <xf numFmtId="3" fontId="16" fillId="0" borderId="2" xfId="1" applyNumberFormat="1" applyFont="1" applyBorder="1" applyAlignment="1">
      <alignment horizontal="right" vertical="center"/>
    </xf>
    <xf numFmtId="1" fontId="16" fillId="0" borderId="2" xfId="1" applyNumberFormat="1" applyFont="1" applyBorder="1" applyAlignment="1">
      <alignment horizontal="center" vertical="center"/>
    </xf>
    <xf numFmtId="0" fontId="13" fillId="0" borderId="5" xfId="1" applyFont="1" applyBorder="1" applyAlignment="1">
      <alignment horizontal="center" vertical="top"/>
    </xf>
    <xf numFmtId="0" fontId="13" fillId="0" borderId="5" xfId="23" applyFont="1" applyBorder="1" applyAlignment="1">
      <alignment horizontal="center" vertical="top"/>
    </xf>
    <xf numFmtId="0" fontId="14" fillId="0" borderId="5" xfId="23" applyFont="1" applyBorder="1" applyAlignment="1">
      <alignment vertical="center" wrapText="1"/>
    </xf>
    <xf numFmtId="3" fontId="13" fillId="0" borderId="5" xfId="23" applyNumberFormat="1" applyFont="1" applyBorder="1" applyAlignment="1">
      <alignment horizontal="right" vertical="center"/>
    </xf>
    <xf numFmtId="1" fontId="13" fillId="0" borderId="5" xfId="23" applyNumberFormat="1" applyFont="1" applyBorder="1" applyAlignment="1">
      <alignment horizontal="center" vertical="center"/>
    </xf>
    <xf numFmtId="0" fontId="11" fillId="0" borderId="5" xfId="3" applyFont="1" applyBorder="1" applyAlignment="1">
      <alignment vertical="center" wrapText="1"/>
    </xf>
    <xf numFmtId="0" fontId="11" fillId="0" borderId="5" xfId="3" applyFont="1" applyBorder="1" applyAlignment="1">
      <alignment horizontal="center" vertical="top" wrapText="1"/>
    </xf>
    <xf numFmtId="3" fontId="11" fillId="0" borderId="5" xfId="3" applyNumberFormat="1" applyFont="1" applyBorder="1" applyAlignment="1">
      <alignment horizontal="right" vertical="center" wrapText="1"/>
    </xf>
    <xf numFmtId="0" fontId="15" fillId="0" borderId="4" xfId="1" applyFont="1" applyBorder="1" applyAlignment="1">
      <alignment vertical="top"/>
    </xf>
    <xf numFmtId="3" fontId="15" fillId="0" borderId="4" xfId="1" applyNumberFormat="1" applyFont="1" applyBorder="1" applyAlignment="1">
      <alignment horizontal="right" vertical="top"/>
    </xf>
    <xf numFmtId="0" fontId="16" fillId="0" borderId="7" xfId="1" applyFont="1" applyBorder="1" applyAlignment="1">
      <alignment horizontal="center" vertical="center"/>
    </xf>
    <xf numFmtId="0" fontId="13" fillId="0" borderId="7" xfId="1" applyFont="1" applyBorder="1" applyAlignment="1">
      <alignment horizontal="right" vertical="center" wrapText="1"/>
    </xf>
    <xf numFmtId="3" fontId="16" fillId="0" borderId="7" xfId="1" applyNumberFormat="1" applyFont="1" applyBorder="1" applyAlignment="1">
      <alignment horizontal="right" vertical="center"/>
    </xf>
    <xf numFmtId="1" fontId="16" fillId="0" borderId="7" xfId="1" applyNumberFormat="1" applyFont="1" applyBorder="1" applyAlignment="1">
      <alignment horizontal="center" vertical="center"/>
    </xf>
    <xf numFmtId="0" fontId="14" fillId="0" borderId="5" xfId="1" applyFont="1" applyBorder="1" applyAlignment="1">
      <alignment horizontal="right" vertical="center" wrapText="1"/>
    </xf>
    <xf numFmtId="0" fontId="13" fillId="0" borderId="5" xfId="21" applyFont="1" applyBorder="1" applyAlignment="1">
      <alignment horizontal="right" vertical="center" wrapText="1"/>
    </xf>
    <xf numFmtId="0" fontId="10" fillId="0" borderId="0" xfId="24" applyFont="1" applyAlignment="1">
      <alignment vertical="top"/>
    </xf>
    <xf numFmtId="0" fontId="10" fillId="0" borderId="0" xfId="24" applyFont="1" applyAlignment="1">
      <alignment horizontal="center" vertical="top"/>
    </xf>
    <xf numFmtId="0" fontId="10" fillId="0" borderId="0" xfId="24" applyFont="1" applyAlignment="1">
      <alignment horizontal="center" vertical="top" wrapText="1"/>
    </xf>
    <xf numFmtId="0" fontId="10" fillId="0" borderId="0" xfId="24" applyFont="1" applyAlignment="1">
      <alignment vertical="top" wrapText="1"/>
    </xf>
    <xf numFmtId="4" fontId="10" fillId="0" borderId="0" xfId="24" applyNumberFormat="1" applyFont="1"/>
    <xf numFmtId="0" fontId="11" fillId="0" borderId="0" xfId="24" applyFont="1" applyAlignment="1">
      <alignment horizontal="center" vertical="top"/>
    </xf>
    <xf numFmtId="0" fontId="11" fillId="0" borderId="0" xfId="24" applyFont="1" applyAlignment="1">
      <alignment vertical="top" wrapText="1"/>
    </xf>
    <xf numFmtId="3" fontId="11" fillId="0" borderId="0" xfId="24" applyNumberFormat="1" applyFont="1" applyAlignment="1">
      <alignment horizontal="right"/>
    </xf>
    <xf numFmtId="3" fontId="11" fillId="0" borderId="0" xfId="24" applyNumberFormat="1" applyFont="1" applyAlignment="1">
      <alignment horizontal="center"/>
    </xf>
    <xf numFmtId="4" fontId="11" fillId="0" borderId="0" xfId="24" applyNumberFormat="1" applyFont="1" applyAlignment="1">
      <alignment horizontal="right"/>
    </xf>
    <xf numFmtId="43" fontId="13" fillId="0" borderId="2" xfId="28" applyFont="1" applyBorder="1" applyAlignment="1" applyProtection="1">
      <alignment horizontal="center" vertical="center" wrapText="1"/>
      <protection locked="0"/>
    </xf>
    <xf numFmtId="43" fontId="13" fillId="0" borderId="5" xfId="28" applyFont="1" applyBorder="1" applyAlignment="1" applyProtection="1">
      <alignment vertical="center" wrapText="1"/>
      <protection locked="0"/>
    </xf>
    <xf numFmtId="43" fontId="13" fillId="0" borderId="5" xfId="28" applyFont="1" applyBorder="1" applyAlignment="1" applyProtection="1">
      <alignment vertical="center"/>
      <protection locked="0"/>
    </xf>
    <xf numFmtId="43" fontId="13" fillId="0" borderId="6" xfId="28" applyFont="1" applyBorder="1" applyAlignment="1" applyProtection="1">
      <alignment horizontal="center" vertical="center"/>
      <protection locked="0"/>
    </xf>
    <xf numFmtId="43" fontId="13" fillId="0" borderId="0" xfId="28" applyFont="1" applyAlignment="1" applyProtection="1">
      <alignment vertical="center"/>
      <protection locked="0"/>
    </xf>
    <xf numFmtId="43" fontId="12" fillId="0" borderId="2" xfId="28" applyFont="1" applyBorder="1" applyAlignment="1" applyProtection="1">
      <alignment vertical="center"/>
      <protection locked="0"/>
    </xf>
    <xf numFmtId="43" fontId="13" fillId="0" borderId="4" xfId="28" applyFont="1" applyBorder="1" applyAlignment="1" applyProtection="1">
      <alignment vertical="top"/>
      <protection locked="0"/>
    </xf>
    <xf numFmtId="43" fontId="13" fillId="0" borderId="2" xfId="28" applyFont="1" applyBorder="1" applyAlignment="1" applyProtection="1">
      <alignment vertical="center"/>
      <protection locked="0"/>
    </xf>
    <xf numFmtId="43" fontId="13" fillId="0" borderId="2" xfId="28" applyFont="1" applyBorder="1" applyAlignment="1" applyProtection="1">
      <alignment horizontal="center" vertical="center"/>
      <protection locked="0"/>
    </xf>
    <xf numFmtId="43" fontId="12" fillId="0" borderId="0" xfId="28" applyFont="1" applyAlignment="1" applyProtection="1">
      <alignment horizontal="center" vertical="top"/>
      <protection locked="0"/>
    </xf>
    <xf numFmtId="43" fontId="12" fillId="0" borderId="0" xfId="28" applyFont="1" applyAlignment="1" applyProtection="1">
      <alignment vertical="top"/>
      <protection locked="0"/>
    </xf>
    <xf numFmtId="43" fontId="13" fillId="0" borderId="0" xfId="28" applyFont="1" applyAlignment="1" applyProtection="1">
      <alignment vertical="top"/>
      <protection locked="0"/>
    </xf>
    <xf numFmtId="43" fontId="13" fillId="0" borderId="0" xfId="28" applyFont="1" applyProtection="1">
      <protection locked="0"/>
    </xf>
    <xf numFmtId="43" fontId="15" fillId="0" borderId="0" xfId="28" applyFont="1" applyAlignment="1" applyProtection="1">
      <alignment vertical="top"/>
      <protection locked="0"/>
    </xf>
    <xf numFmtId="43" fontId="13" fillId="0" borderId="0" xfId="28" applyFont="1" applyAlignment="1" applyProtection="1">
      <alignment horizontal="center"/>
      <protection locked="0"/>
    </xf>
    <xf numFmtId="43" fontId="15" fillId="0" borderId="0" xfId="28" applyFont="1" applyAlignment="1" applyProtection="1">
      <alignment horizontal="center"/>
      <protection locked="0"/>
    </xf>
    <xf numFmtId="43" fontId="16" fillId="0" borderId="0" xfId="28" applyFont="1" applyAlignment="1" applyProtection="1">
      <alignment vertical="top"/>
      <protection locked="0"/>
    </xf>
    <xf numFmtId="43" fontId="13" fillId="0" borderId="0" xfId="1" applyNumberFormat="1" applyFont="1" applyAlignment="1" applyProtection="1">
      <alignment vertical="top"/>
      <protection locked="0"/>
    </xf>
    <xf numFmtId="43" fontId="13" fillId="0" borderId="5" xfId="25" applyNumberFormat="1" applyFont="1" applyBorder="1"/>
    <xf numFmtId="0" fontId="12" fillId="0" borderId="5" xfId="1" applyFont="1" applyBorder="1" applyAlignment="1">
      <alignment horizontal="center" vertical="center"/>
    </xf>
    <xf numFmtId="0" fontId="12" fillId="0" borderId="5" xfId="1" applyFont="1" applyBorder="1" applyAlignment="1">
      <alignment vertical="center" wrapText="1"/>
    </xf>
    <xf numFmtId="3" fontId="12" fillId="0" borderId="5" xfId="21" applyNumberFormat="1" applyFont="1" applyBorder="1" applyAlignment="1">
      <alignment horizontal="right" vertical="center"/>
    </xf>
    <xf numFmtId="1" fontId="12" fillId="0" borderId="5" xfId="1" applyNumberFormat="1" applyFont="1" applyBorder="1" applyAlignment="1">
      <alignment horizontal="center" vertical="center"/>
    </xf>
    <xf numFmtId="43" fontId="12" fillId="0" borderId="5" xfId="28" applyFont="1" applyBorder="1" applyAlignment="1" applyProtection="1">
      <alignment vertical="center"/>
      <protection locked="0"/>
    </xf>
    <xf numFmtId="43" fontId="12" fillId="0" borderId="0" xfId="28" applyFont="1" applyAlignment="1" applyProtection="1">
      <alignment horizontal="center"/>
      <protection locked="0"/>
    </xf>
    <xf numFmtId="43" fontId="12" fillId="0" borderId="0" xfId="1" applyNumberFormat="1" applyFont="1" applyAlignment="1" applyProtection="1">
      <alignment vertical="top"/>
      <protection locked="0"/>
    </xf>
    <xf numFmtId="1" fontId="12" fillId="0" borderId="0" xfId="1" applyNumberFormat="1" applyFont="1" applyAlignment="1" applyProtection="1">
      <alignment horizontal="center"/>
      <protection locked="0"/>
    </xf>
    <xf numFmtId="3" fontId="12" fillId="0" borderId="5" xfId="1" applyNumberFormat="1" applyFont="1" applyBorder="1" applyAlignment="1">
      <alignment horizontal="right" vertical="center"/>
    </xf>
    <xf numFmtId="0" fontId="13" fillId="0" borderId="5" xfId="1" applyFont="1" applyBorder="1" applyAlignment="1">
      <alignment horizontal="center" vertical="center" wrapText="1"/>
    </xf>
    <xf numFmtId="3" fontId="13" fillId="0" borderId="5" xfId="1" applyNumberFormat="1" applyFont="1" applyBorder="1" applyAlignment="1">
      <alignment horizontal="right" vertical="center" wrapText="1"/>
    </xf>
    <xf numFmtId="0" fontId="14" fillId="0" borderId="5" xfId="1" applyFont="1" applyBorder="1" applyAlignment="1">
      <alignment vertical="center"/>
    </xf>
    <xf numFmtId="0" fontId="10" fillId="0" borderId="5" xfId="3" applyFont="1" applyBorder="1" applyAlignment="1">
      <alignment vertical="center" wrapText="1"/>
    </xf>
    <xf numFmtId="0" fontId="22" fillId="0" borderId="5" xfId="1" applyFont="1" applyBorder="1" applyAlignment="1">
      <alignment vertical="center" wrapText="1"/>
    </xf>
    <xf numFmtId="43" fontId="12" fillId="0" borderId="0" xfId="28" applyFont="1" applyProtection="1">
      <protection locked="0"/>
    </xf>
    <xf numFmtId="0" fontId="12" fillId="0" borderId="0" xfId="1" applyFont="1" applyProtection="1">
      <protection locked="0"/>
    </xf>
    <xf numFmtId="43" fontId="15" fillId="0" borderId="2" xfId="28" applyFont="1" applyBorder="1" applyAlignment="1" applyProtection="1">
      <alignment vertical="center"/>
      <protection locked="0"/>
    </xf>
    <xf numFmtId="43" fontId="15" fillId="0" borderId="5" xfId="28" applyFont="1" applyBorder="1" applyAlignment="1" applyProtection="1">
      <alignment vertical="center" wrapText="1"/>
      <protection locked="0"/>
    </xf>
    <xf numFmtId="43" fontId="15" fillId="0" borderId="5" xfId="28" applyFont="1" applyBorder="1" applyAlignment="1" applyProtection="1">
      <alignment vertical="center"/>
      <protection locked="0"/>
    </xf>
    <xf numFmtId="43" fontId="16" fillId="0" borderId="5" xfId="28" applyFont="1" applyBorder="1" applyAlignment="1" applyProtection="1">
      <alignment vertical="center"/>
      <protection locked="0"/>
    </xf>
    <xf numFmtId="43" fontId="15" fillId="0" borderId="4" xfId="28" applyFont="1" applyBorder="1" applyAlignment="1" applyProtection="1">
      <alignment vertical="top"/>
      <protection locked="0"/>
    </xf>
    <xf numFmtId="43" fontId="16" fillId="0" borderId="2" xfId="28" applyFont="1" applyBorder="1" applyAlignment="1" applyProtection="1">
      <alignment vertical="center"/>
      <protection locked="0"/>
    </xf>
    <xf numFmtId="43" fontId="15" fillId="0" borderId="0" xfId="28" applyFont="1" applyAlignment="1" applyProtection="1">
      <alignment vertical="center"/>
      <protection locked="0"/>
    </xf>
    <xf numFmtId="0" fontId="10" fillId="0" borderId="0" xfId="24" applyFont="1" applyAlignment="1">
      <alignment horizontal="center" vertical="top" wrapText="1"/>
    </xf>
    <xf numFmtId="0" fontId="13" fillId="0" borderId="3" xfId="1" applyFont="1" applyBorder="1" applyAlignment="1">
      <alignment horizontal="center" vertical="center"/>
    </xf>
    <xf numFmtId="0" fontId="13" fillId="0" borderId="4" xfId="1" applyFont="1" applyBorder="1" applyAlignment="1">
      <alignment horizontal="center" vertical="center"/>
    </xf>
    <xf numFmtId="4" fontId="13" fillId="0" borderId="3" xfId="1" applyNumberFormat="1" applyFont="1" applyBorder="1" applyAlignment="1">
      <alignment horizontal="center" vertical="center" wrapText="1"/>
    </xf>
    <xf numFmtId="4" fontId="13" fillId="0" borderId="4" xfId="1" applyNumberFormat="1" applyFont="1" applyBorder="1" applyAlignment="1">
      <alignment horizontal="center" vertical="center" wrapText="1"/>
    </xf>
    <xf numFmtId="3" fontId="13" fillId="0" borderId="3" xfId="1" applyNumberFormat="1" applyFont="1" applyBorder="1" applyAlignment="1">
      <alignment horizontal="right" vertical="center"/>
    </xf>
    <xf numFmtId="3" fontId="13" fillId="0" borderId="4" xfId="1" applyNumberFormat="1" applyFont="1" applyBorder="1" applyAlignment="1">
      <alignment horizontal="right" vertical="center"/>
    </xf>
    <xf numFmtId="0" fontId="13" fillId="0" borderId="3" xfId="25" applyFont="1" applyBorder="1" applyAlignment="1">
      <alignment horizontal="center" vertical="center" wrapText="1"/>
    </xf>
    <xf numFmtId="0" fontId="13" fillId="0" borderId="4" xfId="25" applyFont="1" applyBorder="1" applyAlignment="1">
      <alignment horizontal="center" vertical="center" wrapText="1"/>
    </xf>
    <xf numFmtId="49" fontId="13" fillId="0" borderId="3" xfId="25" applyNumberFormat="1" applyFont="1" applyBorder="1" applyAlignment="1">
      <alignment horizontal="center" vertical="center" wrapText="1"/>
    </xf>
    <xf numFmtId="49" fontId="13" fillId="0" borderId="4" xfId="25" applyNumberFormat="1" applyFont="1" applyBorder="1" applyAlignment="1">
      <alignment horizontal="center" vertical="center" wrapText="1"/>
    </xf>
    <xf numFmtId="43" fontId="13" fillId="0" borderId="3" xfId="26" applyFont="1" applyFill="1" applyBorder="1" applyAlignment="1" applyProtection="1">
      <alignment horizontal="center" vertical="center" wrapText="1"/>
      <protection locked="0"/>
    </xf>
    <xf numFmtId="43" fontId="13" fillId="0" borderId="4" xfId="26" applyFont="1" applyFill="1" applyBorder="1" applyAlignment="1" applyProtection="1">
      <alignment horizontal="center" vertical="center" wrapText="1"/>
      <protection locked="0"/>
    </xf>
  </cellXfs>
  <cellStyles count="29">
    <cellStyle name="Comma" xfId="28" builtinId="3"/>
    <cellStyle name="Comma 2" xfId="4" xr:uid="{00000000-0005-0000-0000-000000000000}"/>
    <cellStyle name="Comma 2 2" xfId="5" xr:uid="{00000000-0005-0000-0000-000001000000}"/>
    <cellStyle name="Comma 3" xfId="6" xr:uid="{00000000-0005-0000-0000-000002000000}"/>
    <cellStyle name="Comma 3 2" xfId="26" xr:uid="{439A90DA-A51D-41E5-ABE0-481C7F280892}"/>
    <cellStyle name="Description" xfId="2" xr:uid="{00000000-0005-0000-0000-000003000000}"/>
    <cellStyle name="Header 1" xfId="7" xr:uid="{00000000-0005-0000-0000-000004000000}"/>
    <cellStyle name="Header 2" xfId="8" xr:uid="{00000000-0005-0000-0000-000005000000}"/>
    <cellStyle name="Header 3" xfId="9" xr:uid="{00000000-0005-0000-0000-000006000000}"/>
    <cellStyle name="Item" xfId="10" xr:uid="{00000000-0005-0000-0000-000007000000}"/>
    <cellStyle name="Normal" xfId="0" builtinId="0"/>
    <cellStyle name="Normal 2" xfId="11" xr:uid="{00000000-0005-0000-0000-000009000000}"/>
    <cellStyle name="Normal 2 2" xfId="1" xr:uid="{00000000-0005-0000-0000-00000A000000}"/>
    <cellStyle name="Normal 2 3 2 3 2 2" xfId="12" xr:uid="{00000000-0005-0000-0000-00000B000000}"/>
    <cellStyle name="Normal 25 4 2 3 3 3" xfId="13" xr:uid="{00000000-0005-0000-0000-00000C000000}"/>
    <cellStyle name="Normal 28 2 3" xfId="14" xr:uid="{00000000-0005-0000-0000-00000D000000}"/>
    <cellStyle name="Normal 28 2 3 2" xfId="15" xr:uid="{00000000-0005-0000-0000-00000E000000}"/>
    <cellStyle name="Normal 3" xfId="16" xr:uid="{00000000-0005-0000-0000-00000F000000}"/>
    <cellStyle name="Normal 3 2" xfId="22" xr:uid="{00000000-0005-0000-0000-000010000000}"/>
    <cellStyle name="Normal 3 3" xfId="24" xr:uid="{71D4828A-A600-4D33-A06D-6617FEC09036}"/>
    <cellStyle name="Normal 3 3 2" xfId="25" xr:uid="{8319AA5B-8797-416B-BE0B-52FD5C128BC2}"/>
    <cellStyle name="Normal 4" xfId="17" xr:uid="{00000000-0005-0000-0000-000011000000}"/>
    <cellStyle name="Normal 4 8 2" xfId="18" xr:uid="{00000000-0005-0000-0000-000012000000}"/>
    <cellStyle name="Normal 5" xfId="19" xr:uid="{00000000-0005-0000-0000-000013000000}"/>
    <cellStyle name="Normal 6" xfId="20" xr:uid="{00000000-0005-0000-0000-000014000000}"/>
    <cellStyle name="Normal_BOQenv" xfId="3" xr:uid="{00000000-0005-0000-0000-000015000000}"/>
    <cellStyle name="Normal_Boq-Y0205-2 EXTERNAL WORKS 2" xfId="21" xr:uid="{00000000-0005-0000-0000-000017000000}"/>
    <cellStyle name="Normal_D0562-BOQ-SUBSTATION" xfId="23" xr:uid="{00000000-0005-0000-0000-000019000000}"/>
    <cellStyle name="Normal_INT-CERT 2_1" xfId="27" xr:uid="{73E1711B-5956-44B2-8C21-807CAB6E19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01-DAR\01-DataBase\01-EXCEL\R007-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ST"/>
      <sheetName val="2-AR"/>
      <sheetName val="3-EL"/>
      <sheetName val="4-ME"/>
      <sheetName val="Summary"/>
      <sheetName val="Summary-B"/>
      <sheetName val="ST-B"/>
      <sheetName val="AR-B"/>
      <sheetName val="EL-B"/>
      <sheetName val="ME-B"/>
      <sheetName val="C-01"/>
      <sheetName val="AR-1"/>
      <sheetName val="C-02"/>
      <sheetName val="Arae"/>
      <sheetName val="Global"/>
      <sheetName val="Mat"/>
      <sheetName val="BOQ-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75CA5-DFE8-43D3-A5D6-79F973CF5B0C}">
  <dimension ref="A1:J50"/>
  <sheetViews>
    <sheetView view="pageBreakPreview" zoomScaleNormal="100" zoomScaleSheetLayoutView="100" workbookViewId="0">
      <selection activeCell="L18" sqref="L18"/>
    </sheetView>
  </sheetViews>
  <sheetFormatPr defaultColWidth="8.6640625" defaultRowHeight="14.4" x14ac:dyDescent="0.3"/>
  <cols>
    <col min="1" max="16384" width="8.6640625" style="1"/>
  </cols>
  <sheetData>
    <row r="1" spans="1:10" x14ac:dyDescent="0.3">
      <c r="A1" s="91"/>
      <c r="B1" s="91"/>
      <c r="C1" s="91"/>
      <c r="D1" s="91"/>
      <c r="E1" s="91"/>
      <c r="F1" s="91"/>
      <c r="G1" s="91"/>
      <c r="H1" s="91"/>
      <c r="I1" s="91"/>
      <c r="J1" s="91"/>
    </row>
    <row r="2" spans="1:10" x14ac:dyDescent="0.3">
      <c r="A2" s="91"/>
      <c r="B2" s="91"/>
      <c r="C2" s="91"/>
      <c r="D2" s="91"/>
      <c r="E2" s="91"/>
      <c r="F2" s="91"/>
      <c r="G2" s="91"/>
      <c r="H2" s="91"/>
      <c r="I2" s="91"/>
      <c r="J2" s="91"/>
    </row>
    <row r="3" spans="1:10" x14ac:dyDescent="0.3">
      <c r="A3" s="91"/>
      <c r="B3" s="91"/>
      <c r="C3" s="91"/>
      <c r="D3" s="91"/>
      <c r="E3" s="91"/>
      <c r="F3" s="91"/>
      <c r="G3" s="91"/>
      <c r="H3" s="91"/>
      <c r="I3" s="91"/>
      <c r="J3" s="91"/>
    </row>
    <row r="4" spans="1:10" x14ac:dyDescent="0.3">
      <c r="A4" s="91"/>
      <c r="B4" s="91"/>
      <c r="C4" s="91"/>
      <c r="D4" s="91"/>
      <c r="E4" s="91"/>
      <c r="F4" s="91"/>
      <c r="G4" s="91"/>
      <c r="H4" s="91"/>
      <c r="I4" s="91"/>
      <c r="J4" s="91"/>
    </row>
    <row r="5" spans="1:10" x14ac:dyDescent="0.3">
      <c r="A5" s="91"/>
      <c r="B5" s="91"/>
      <c r="C5" s="91"/>
      <c r="D5" s="91"/>
      <c r="E5" s="91"/>
      <c r="F5" s="91"/>
      <c r="G5" s="91"/>
      <c r="H5" s="91"/>
      <c r="I5" s="91"/>
      <c r="J5" s="91"/>
    </row>
    <row r="6" spans="1:10" x14ac:dyDescent="0.3">
      <c r="A6" s="91"/>
      <c r="B6" s="91"/>
      <c r="C6" s="91"/>
      <c r="D6" s="91"/>
      <c r="E6" s="91"/>
      <c r="F6" s="91"/>
      <c r="G6" s="91"/>
      <c r="H6" s="91"/>
      <c r="I6" s="91"/>
      <c r="J6" s="91"/>
    </row>
    <row r="7" spans="1:10" x14ac:dyDescent="0.3">
      <c r="A7" s="91"/>
      <c r="B7" s="91"/>
      <c r="C7" s="91"/>
      <c r="D7" s="91"/>
      <c r="E7" s="91"/>
      <c r="F7" s="91"/>
      <c r="G7" s="91"/>
      <c r="H7" s="91"/>
      <c r="I7" s="91"/>
      <c r="J7" s="91"/>
    </row>
    <row r="8" spans="1:10" x14ac:dyDescent="0.3">
      <c r="A8" s="91"/>
      <c r="B8" s="91"/>
      <c r="C8" s="91"/>
      <c r="D8" s="91"/>
      <c r="E8" s="91"/>
      <c r="F8" s="91"/>
      <c r="G8" s="91"/>
      <c r="H8" s="91"/>
      <c r="I8" s="91"/>
      <c r="J8" s="91"/>
    </row>
    <row r="9" spans="1:10" x14ac:dyDescent="0.3">
      <c r="A9" s="91"/>
      <c r="B9" s="91"/>
      <c r="C9" s="91"/>
      <c r="D9" s="91"/>
      <c r="E9" s="91"/>
      <c r="F9" s="91"/>
      <c r="G9" s="91"/>
      <c r="H9" s="91"/>
      <c r="I9" s="91"/>
      <c r="J9" s="91"/>
    </row>
    <row r="10" spans="1:10" x14ac:dyDescent="0.3">
      <c r="A10" s="91"/>
      <c r="B10" s="91"/>
      <c r="C10" s="91"/>
      <c r="D10" s="91"/>
      <c r="E10" s="91"/>
      <c r="F10" s="91"/>
      <c r="G10" s="91"/>
      <c r="H10" s="91"/>
      <c r="I10" s="91"/>
      <c r="J10" s="91"/>
    </row>
    <row r="11" spans="1:10" x14ac:dyDescent="0.3">
      <c r="A11" s="91"/>
      <c r="B11" s="91"/>
      <c r="C11" s="91"/>
      <c r="D11" s="91"/>
      <c r="E11" s="91"/>
      <c r="F11" s="91"/>
      <c r="G11" s="91"/>
      <c r="H11" s="91"/>
      <c r="I11" s="91"/>
      <c r="J11" s="91"/>
    </row>
    <row r="12" spans="1:10" x14ac:dyDescent="0.3">
      <c r="A12" s="91"/>
      <c r="B12" s="91"/>
      <c r="C12" s="91"/>
      <c r="D12" s="91"/>
      <c r="E12" s="91"/>
      <c r="F12" s="91"/>
      <c r="G12" s="91"/>
      <c r="H12" s="91"/>
      <c r="I12" s="91"/>
      <c r="J12" s="91"/>
    </row>
    <row r="13" spans="1:10" x14ac:dyDescent="0.3">
      <c r="A13" s="91"/>
      <c r="B13" s="91"/>
      <c r="C13" s="91"/>
      <c r="D13" s="91"/>
      <c r="E13" s="91"/>
      <c r="F13" s="91"/>
      <c r="G13" s="91"/>
      <c r="H13" s="91"/>
      <c r="I13" s="91"/>
      <c r="J13" s="91"/>
    </row>
    <row r="14" spans="1:10" x14ac:dyDescent="0.3">
      <c r="A14" s="92"/>
      <c r="B14" s="92"/>
      <c r="C14" s="92"/>
      <c r="D14" s="92"/>
      <c r="E14" s="92"/>
      <c r="F14" s="92"/>
      <c r="G14" s="92"/>
      <c r="H14" s="92"/>
      <c r="I14" s="92"/>
      <c r="J14" s="92"/>
    </row>
    <row r="15" spans="1:10" x14ac:dyDescent="0.3">
      <c r="A15" s="92"/>
      <c r="B15" s="92"/>
      <c r="C15" s="92"/>
      <c r="D15" s="92"/>
      <c r="E15" s="92"/>
      <c r="F15" s="92"/>
      <c r="G15" s="92"/>
      <c r="H15" s="92"/>
      <c r="I15" s="92"/>
      <c r="J15" s="92"/>
    </row>
    <row r="16" spans="1:10" x14ac:dyDescent="0.3">
      <c r="A16" s="91"/>
      <c r="B16" s="91"/>
      <c r="C16" s="91"/>
      <c r="D16" s="91"/>
      <c r="E16" s="91"/>
      <c r="F16" s="91"/>
      <c r="G16" s="91"/>
      <c r="H16" s="91"/>
      <c r="I16" s="91"/>
      <c r="J16" s="91"/>
    </row>
    <row r="17" spans="1:10" x14ac:dyDescent="0.3">
      <c r="A17" s="91"/>
      <c r="B17" s="91"/>
      <c r="C17" s="91"/>
      <c r="D17" s="91"/>
      <c r="E17" s="91"/>
      <c r="F17" s="91"/>
      <c r="G17" s="91"/>
      <c r="H17" s="91"/>
      <c r="I17" s="91"/>
      <c r="J17" s="91"/>
    </row>
    <row r="18" spans="1:10" x14ac:dyDescent="0.3">
      <c r="A18" s="91"/>
      <c r="B18" s="91"/>
      <c r="C18" s="91"/>
      <c r="D18" s="91"/>
      <c r="E18" s="91"/>
      <c r="F18" s="91"/>
      <c r="G18" s="91"/>
      <c r="H18" s="91"/>
      <c r="I18" s="91"/>
      <c r="J18" s="91"/>
    </row>
    <row r="19" spans="1:10" x14ac:dyDescent="0.3">
      <c r="A19" s="91"/>
      <c r="B19" s="91"/>
      <c r="C19" s="91"/>
      <c r="D19" s="91"/>
      <c r="E19" s="91"/>
      <c r="F19" s="91"/>
      <c r="G19" s="91"/>
      <c r="H19" s="91"/>
      <c r="I19" s="91"/>
      <c r="J19" s="91"/>
    </row>
    <row r="20" spans="1:10" x14ac:dyDescent="0.3">
      <c r="A20" s="91"/>
      <c r="B20" s="91"/>
      <c r="C20" s="91"/>
      <c r="D20" s="91"/>
      <c r="E20" s="91"/>
      <c r="F20" s="91"/>
      <c r="G20" s="91"/>
      <c r="H20" s="91"/>
      <c r="I20" s="91"/>
      <c r="J20" s="91"/>
    </row>
    <row r="21" spans="1:10" x14ac:dyDescent="0.3">
      <c r="A21" s="91"/>
      <c r="B21" s="91"/>
      <c r="C21" s="91"/>
      <c r="D21" s="91"/>
      <c r="E21" s="91"/>
      <c r="F21" s="91"/>
      <c r="G21" s="91"/>
      <c r="H21" s="91"/>
      <c r="I21" s="91"/>
      <c r="J21" s="91"/>
    </row>
    <row r="22" spans="1:10" x14ac:dyDescent="0.3">
      <c r="A22" s="143" t="s">
        <v>22</v>
      </c>
      <c r="B22" s="143"/>
      <c r="C22" s="143"/>
      <c r="D22" s="143"/>
      <c r="E22" s="143"/>
      <c r="F22" s="143"/>
      <c r="G22" s="143"/>
      <c r="H22" s="143"/>
      <c r="I22" s="143"/>
      <c r="J22" s="143"/>
    </row>
    <row r="23" spans="1:10" x14ac:dyDescent="0.3">
      <c r="A23" s="94"/>
      <c r="B23" s="94"/>
      <c r="C23" s="94"/>
      <c r="D23" s="94"/>
      <c r="E23" s="94"/>
      <c r="F23" s="94"/>
      <c r="G23" s="94"/>
      <c r="H23" s="94"/>
      <c r="I23" s="94"/>
      <c r="J23" s="94"/>
    </row>
    <row r="24" spans="1:10" ht="15" customHeight="1" x14ac:dyDescent="0.3">
      <c r="A24" s="143" t="s">
        <v>23</v>
      </c>
      <c r="B24" s="143"/>
      <c r="C24" s="143"/>
      <c r="D24" s="143"/>
      <c r="E24" s="143"/>
      <c r="F24" s="143"/>
      <c r="G24" s="143"/>
      <c r="H24" s="143"/>
      <c r="I24" s="143"/>
      <c r="J24" s="143"/>
    </row>
    <row r="25" spans="1:10" x14ac:dyDescent="0.3">
      <c r="A25" s="94"/>
      <c r="B25" s="94"/>
      <c r="C25" s="94"/>
      <c r="D25" s="94"/>
      <c r="E25" s="94"/>
      <c r="F25" s="94"/>
      <c r="G25" s="94"/>
      <c r="H25" s="94"/>
      <c r="I25" s="94"/>
      <c r="J25" s="94"/>
    </row>
    <row r="26" spans="1:10" x14ac:dyDescent="0.3">
      <c r="A26" s="94"/>
      <c r="B26" s="94"/>
      <c r="C26" s="94"/>
      <c r="D26" s="94"/>
      <c r="E26" s="94"/>
      <c r="F26" s="94"/>
      <c r="G26" s="94"/>
      <c r="H26" s="94"/>
      <c r="I26" s="94"/>
      <c r="J26" s="94"/>
    </row>
    <row r="27" spans="1:10" x14ac:dyDescent="0.3">
      <c r="A27" s="95"/>
      <c r="B27" s="95"/>
      <c r="C27" s="95"/>
      <c r="D27" s="95"/>
      <c r="E27" s="95"/>
      <c r="F27" s="95"/>
      <c r="G27" s="95"/>
      <c r="H27" s="95"/>
      <c r="I27" s="95"/>
      <c r="J27" s="95"/>
    </row>
    <row r="28" spans="1:10" x14ac:dyDescent="0.3">
      <c r="A28" s="94"/>
      <c r="B28" s="94"/>
      <c r="C28" s="94"/>
      <c r="D28" s="94"/>
      <c r="E28" s="94"/>
      <c r="F28" s="94"/>
      <c r="G28" s="94"/>
      <c r="H28" s="94"/>
      <c r="I28" s="94"/>
      <c r="J28" s="94"/>
    </row>
    <row r="29" spans="1:10" x14ac:dyDescent="0.3">
      <c r="A29" s="94"/>
      <c r="B29" s="94"/>
      <c r="C29" s="94"/>
      <c r="D29" s="94"/>
      <c r="E29" s="94"/>
      <c r="F29" s="94"/>
      <c r="G29" s="94"/>
      <c r="H29" s="94"/>
      <c r="I29" s="94"/>
      <c r="J29" s="94"/>
    </row>
    <row r="30" spans="1:10" x14ac:dyDescent="0.3">
      <c r="A30" s="94"/>
      <c r="B30" s="94"/>
      <c r="C30" s="94"/>
      <c r="D30" s="94"/>
      <c r="E30" s="94"/>
      <c r="F30" s="94"/>
      <c r="G30" s="94"/>
      <c r="H30" s="94"/>
      <c r="I30" s="94"/>
      <c r="J30" s="94"/>
    </row>
    <row r="31" spans="1:10" x14ac:dyDescent="0.3">
      <c r="A31" s="93"/>
      <c r="B31" s="93"/>
      <c r="C31" s="93"/>
      <c r="D31" s="93"/>
      <c r="E31" s="93"/>
      <c r="F31" s="93"/>
      <c r="G31" s="93"/>
      <c r="H31" s="93"/>
      <c r="I31" s="93"/>
      <c r="J31" s="93"/>
    </row>
    <row r="32" spans="1:10" x14ac:dyDescent="0.3">
      <c r="A32" s="93"/>
      <c r="B32" s="93"/>
      <c r="C32" s="93"/>
      <c r="D32" s="93"/>
      <c r="E32" s="93"/>
      <c r="F32" s="93"/>
      <c r="G32" s="93"/>
      <c r="H32" s="93"/>
      <c r="I32" s="93"/>
      <c r="J32" s="93"/>
    </row>
    <row r="33" spans="1:10" x14ac:dyDescent="0.3">
      <c r="A33" s="94"/>
      <c r="B33" s="94"/>
      <c r="C33" s="94"/>
      <c r="D33" s="94"/>
      <c r="E33" s="94"/>
      <c r="F33" s="94"/>
      <c r="G33" s="94"/>
      <c r="H33" s="94"/>
      <c r="I33" s="94"/>
      <c r="J33" s="94"/>
    </row>
    <row r="34" spans="1:10" x14ac:dyDescent="0.3">
      <c r="A34" s="94"/>
      <c r="B34" s="94"/>
      <c r="C34" s="94"/>
      <c r="D34" s="94"/>
      <c r="E34" s="94"/>
      <c r="F34" s="94"/>
      <c r="G34" s="94"/>
      <c r="H34" s="94"/>
      <c r="I34" s="94"/>
      <c r="J34" s="94"/>
    </row>
    <row r="35" spans="1:10" x14ac:dyDescent="0.3">
      <c r="A35" s="94"/>
      <c r="B35" s="94"/>
      <c r="C35" s="94"/>
      <c r="D35" s="94"/>
      <c r="E35" s="94"/>
      <c r="F35" s="94"/>
      <c r="G35" s="94"/>
      <c r="H35" s="94"/>
      <c r="I35" s="94"/>
      <c r="J35" s="94"/>
    </row>
    <row r="36" spans="1:10" x14ac:dyDescent="0.3">
      <c r="A36" s="94"/>
      <c r="B36" s="94"/>
      <c r="C36" s="94"/>
      <c r="D36" s="94"/>
      <c r="E36" s="94"/>
      <c r="F36" s="94"/>
      <c r="G36" s="94"/>
      <c r="H36" s="94"/>
      <c r="I36" s="94"/>
      <c r="J36" s="94"/>
    </row>
    <row r="37" spans="1:10" x14ac:dyDescent="0.3">
      <c r="A37" s="94"/>
      <c r="B37" s="94"/>
      <c r="C37" s="94"/>
      <c r="D37" s="94"/>
      <c r="E37" s="94"/>
      <c r="F37" s="94"/>
      <c r="G37" s="94"/>
      <c r="H37" s="94"/>
      <c r="I37" s="94"/>
      <c r="J37" s="94"/>
    </row>
    <row r="38" spans="1:10" x14ac:dyDescent="0.3">
      <c r="A38" s="94"/>
      <c r="B38" s="94"/>
      <c r="C38" s="94"/>
      <c r="D38" s="94"/>
      <c r="E38" s="94"/>
      <c r="F38" s="94"/>
      <c r="G38" s="94"/>
      <c r="H38" s="94"/>
      <c r="I38" s="94"/>
      <c r="J38" s="94"/>
    </row>
    <row r="39" spans="1:10" x14ac:dyDescent="0.3">
      <c r="A39" s="94"/>
      <c r="B39" s="94"/>
      <c r="C39" s="94"/>
      <c r="D39" s="94"/>
      <c r="E39" s="94"/>
      <c r="F39" s="94"/>
      <c r="G39" s="94"/>
      <c r="H39" s="94"/>
      <c r="I39" s="94"/>
      <c r="J39" s="94"/>
    </row>
    <row r="40" spans="1:10" x14ac:dyDescent="0.3">
      <c r="A40" s="94"/>
      <c r="B40" s="94"/>
      <c r="C40" s="94"/>
      <c r="D40" s="94"/>
      <c r="E40" s="94"/>
      <c r="F40" s="94"/>
      <c r="G40" s="94"/>
      <c r="H40" s="94"/>
      <c r="I40" s="94"/>
      <c r="J40" s="94"/>
    </row>
    <row r="41" spans="1:10" x14ac:dyDescent="0.3">
      <c r="A41" s="94"/>
      <c r="B41" s="94"/>
      <c r="C41" s="94"/>
      <c r="D41" s="94"/>
      <c r="E41" s="94"/>
      <c r="F41" s="94"/>
      <c r="G41" s="94"/>
      <c r="H41" s="94"/>
      <c r="I41" s="94"/>
      <c r="J41" s="94"/>
    </row>
    <row r="42" spans="1:10" x14ac:dyDescent="0.3">
      <c r="A42" s="96"/>
      <c r="B42" s="97"/>
      <c r="C42" s="98"/>
      <c r="D42" s="99"/>
      <c r="E42" s="100"/>
      <c r="F42" s="100"/>
    </row>
    <row r="43" spans="1:10" x14ac:dyDescent="0.3">
      <c r="A43" s="96"/>
      <c r="B43" s="97"/>
      <c r="C43" s="98"/>
      <c r="D43" s="99"/>
      <c r="E43" s="100"/>
      <c r="F43" s="100"/>
    </row>
    <row r="44" spans="1:10" x14ac:dyDescent="0.3">
      <c r="A44" s="96"/>
      <c r="B44" s="97"/>
      <c r="C44" s="98"/>
      <c r="D44" s="99"/>
      <c r="E44" s="100"/>
      <c r="F44" s="100"/>
    </row>
    <row r="45" spans="1:10" x14ac:dyDescent="0.3">
      <c r="A45" s="96"/>
      <c r="B45" s="97"/>
      <c r="C45" s="98"/>
      <c r="D45" s="99"/>
      <c r="E45" s="100"/>
      <c r="F45" s="100"/>
    </row>
    <row r="46" spans="1:10" x14ac:dyDescent="0.3">
      <c r="A46" s="96"/>
      <c r="B46" s="97"/>
      <c r="C46" s="98"/>
      <c r="D46" s="99"/>
      <c r="E46" s="100"/>
      <c r="F46" s="100"/>
    </row>
    <row r="47" spans="1:10" x14ac:dyDescent="0.3">
      <c r="A47" s="96"/>
      <c r="B47" s="97"/>
      <c r="C47" s="98"/>
      <c r="D47" s="99"/>
      <c r="E47" s="100"/>
      <c r="F47" s="100"/>
    </row>
    <row r="48" spans="1:10" x14ac:dyDescent="0.3">
      <c r="A48" s="96"/>
      <c r="B48" s="97"/>
      <c r="C48" s="98"/>
      <c r="D48" s="99"/>
      <c r="E48" s="100"/>
      <c r="F48" s="100"/>
    </row>
    <row r="49" spans="1:6" x14ac:dyDescent="0.3">
      <c r="A49" s="96"/>
      <c r="B49" s="97"/>
      <c r="C49" s="98"/>
      <c r="D49" s="99"/>
      <c r="E49" s="100"/>
      <c r="F49" s="100"/>
    </row>
    <row r="50" spans="1:6" x14ac:dyDescent="0.3">
      <c r="A50" s="96"/>
      <c r="B50" s="97"/>
      <c r="C50" s="98"/>
      <c r="D50" s="99"/>
      <c r="E50" s="100"/>
      <c r="F50" s="100"/>
    </row>
  </sheetData>
  <mergeCells count="2">
    <mergeCell ref="A22:J22"/>
    <mergeCell ref="A24:J24"/>
  </mergeCells>
  <printOptions horizontalCentered="1"/>
  <pageMargins left="0.66929133858267698" right="0.196850393700787" top="0.82677165354330695" bottom="0.47" header="0.196850393700787" footer="0.2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30"/>
  <sheetViews>
    <sheetView tabSelected="1" view="pageBreakPreview" topLeftCell="A66" zoomScaleNormal="100" zoomScaleSheetLayoutView="100" workbookViewId="0">
      <selection activeCell="O45" sqref="O45"/>
    </sheetView>
  </sheetViews>
  <sheetFormatPr defaultColWidth="9.109375" defaultRowHeight="13.8" x14ac:dyDescent="0.3"/>
  <cols>
    <col min="1" max="1" width="7" style="55" customWidth="1"/>
    <col min="2" max="2" width="52.44140625" style="56" customWidth="1"/>
    <col min="3" max="3" width="9" style="57" customWidth="1"/>
    <col min="4" max="4" width="5.5546875" style="55" customWidth="1"/>
    <col min="5" max="5" width="14.109375" style="105" customWidth="1"/>
    <col min="6" max="6" width="15" style="142" customWidth="1"/>
    <col min="7" max="7" width="14.109375" style="112" bestFit="1" customWidth="1"/>
    <col min="8" max="8" width="20" style="49" customWidth="1"/>
    <col min="9" max="16384" width="9.109375" style="49"/>
  </cols>
  <sheetData>
    <row r="1" spans="1:8" s="47" customFormat="1" x14ac:dyDescent="0.3">
      <c r="A1" s="144" t="s">
        <v>0</v>
      </c>
      <c r="B1" s="146" t="s">
        <v>1</v>
      </c>
      <c r="C1" s="148" t="s">
        <v>2</v>
      </c>
      <c r="D1" s="144" t="s">
        <v>3</v>
      </c>
      <c r="E1" s="101" t="s">
        <v>4</v>
      </c>
      <c r="F1" s="108" t="s">
        <v>5</v>
      </c>
      <c r="G1" s="110"/>
    </row>
    <row r="2" spans="1:8" s="48" customFormat="1" x14ac:dyDescent="0.3">
      <c r="A2" s="145"/>
      <c r="B2" s="147"/>
      <c r="C2" s="149"/>
      <c r="D2" s="145"/>
      <c r="E2" s="101" t="s">
        <v>16</v>
      </c>
      <c r="F2" s="109" t="s">
        <v>16</v>
      </c>
      <c r="G2" s="111"/>
    </row>
    <row r="3" spans="1:8" x14ac:dyDescent="0.3">
      <c r="A3" s="129"/>
      <c r="B3" s="59" t="s">
        <v>23</v>
      </c>
      <c r="C3" s="130"/>
      <c r="D3" s="129"/>
      <c r="E3" s="102"/>
      <c r="F3" s="137"/>
    </row>
    <row r="4" spans="1:8" x14ac:dyDescent="0.3">
      <c r="A4" s="129"/>
      <c r="B4" s="65"/>
      <c r="C4" s="130"/>
      <c r="D4" s="129"/>
      <c r="E4" s="102"/>
      <c r="F4" s="137"/>
    </row>
    <row r="5" spans="1:8" x14ac:dyDescent="0.3">
      <c r="A5" s="58"/>
      <c r="B5" s="59" t="s">
        <v>26</v>
      </c>
      <c r="C5" s="60"/>
      <c r="D5" s="58"/>
      <c r="E5" s="102"/>
      <c r="F5" s="137"/>
    </row>
    <row r="6" spans="1:8" x14ac:dyDescent="0.3">
      <c r="A6" s="58"/>
      <c r="B6" s="59"/>
      <c r="C6" s="60"/>
      <c r="D6" s="58"/>
      <c r="E6" s="102"/>
      <c r="F6" s="137"/>
    </row>
    <row r="7" spans="1:8" s="50" customFormat="1" ht="41.4" x14ac:dyDescent="0.25">
      <c r="A7" s="61"/>
      <c r="B7" s="62" t="s">
        <v>27</v>
      </c>
      <c r="C7" s="63"/>
      <c r="D7" s="64"/>
      <c r="E7" s="103"/>
      <c r="F7" s="138"/>
      <c r="G7" s="113"/>
    </row>
    <row r="8" spans="1:8" s="50" customFormat="1" x14ac:dyDescent="0.25">
      <c r="A8" s="61"/>
      <c r="B8" s="65"/>
      <c r="C8" s="63"/>
      <c r="D8" s="64"/>
      <c r="E8" s="103"/>
      <c r="F8" s="138"/>
      <c r="G8" s="113"/>
    </row>
    <row r="9" spans="1:8" ht="55.2" x14ac:dyDescent="0.3">
      <c r="A9" s="61"/>
      <c r="B9" s="62" t="s">
        <v>28</v>
      </c>
      <c r="C9" s="66"/>
      <c r="D9" s="64"/>
      <c r="E9" s="103"/>
      <c r="F9" s="138"/>
    </row>
    <row r="10" spans="1:8" x14ac:dyDescent="0.3">
      <c r="A10" s="61"/>
      <c r="B10" s="62"/>
      <c r="C10" s="66"/>
      <c r="D10" s="64"/>
      <c r="E10" s="103"/>
      <c r="F10" s="138"/>
    </row>
    <row r="11" spans="1:8" ht="27.6" x14ac:dyDescent="0.3">
      <c r="A11" s="61"/>
      <c r="B11" s="62" t="s">
        <v>29</v>
      </c>
      <c r="C11" s="66"/>
      <c r="D11" s="64"/>
      <c r="E11" s="103"/>
      <c r="F11" s="138"/>
    </row>
    <row r="12" spans="1:8" x14ac:dyDescent="0.3">
      <c r="A12" s="61"/>
      <c r="B12" s="62"/>
      <c r="C12" s="66"/>
      <c r="D12" s="64"/>
      <c r="E12" s="103"/>
      <c r="F12" s="138"/>
    </row>
    <row r="13" spans="1:8" ht="82.8" x14ac:dyDescent="0.3">
      <c r="A13" s="61"/>
      <c r="B13" s="62" t="s">
        <v>30</v>
      </c>
      <c r="C13" s="66"/>
      <c r="D13" s="64"/>
      <c r="E13" s="103"/>
      <c r="F13" s="138"/>
      <c r="H13" s="118"/>
    </row>
    <row r="14" spans="1:8" x14ac:dyDescent="0.3">
      <c r="A14" s="61"/>
      <c r="B14" s="62"/>
      <c r="C14" s="66"/>
      <c r="D14" s="64"/>
      <c r="E14" s="103"/>
      <c r="F14" s="138"/>
      <c r="H14" s="118"/>
    </row>
    <row r="15" spans="1:8" s="54" customFormat="1" x14ac:dyDescent="0.3">
      <c r="A15" s="120" t="s">
        <v>6</v>
      </c>
      <c r="B15" s="121" t="s">
        <v>31</v>
      </c>
      <c r="C15" s="122"/>
      <c r="D15" s="123" t="s">
        <v>45</v>
      </c>
      <c r="E15" s="124"/>
      <c r="F15" s="139" t="s">
        <v>32</v>
      </c>
      <c r="G15" s="117"/>
      <c r="H15" s="126"/>
    </row>
    <row r="16" spans="1:8" s="51" customFormat="1" x14ac:dyDescent="0.3">
      <c r="A16" s="67"/>
      <c r="B16" s="68"/>
      <c r="C16" s="69"/>
      <c r="D16" s="70"/>
      <c r="E16" s="103"/>
      <c r="F16" s="138"/>
      <c r="G16" s="114"/>
      <c r="H16" s="118"/>
    </row>
    <row r="17" spans="1:8" s="127" customFormat="1" x14ac:dyDescent="0.25">
      <c r="A17" s="120" t="s">
        <v>8</v>
      </c>
      <c r="B17" s="121" t="s">
        <v>33</v>
      </c>
      <c r="C17" s="122"/>
      <c r="D17" s="123" t="s">
        <v>45</v>
      </c>
      <c r="E17" s="124"/>
      <c r="F17" s="139"/>
      <c r="G17" s="125"/>
      <c r="H17" s="126"/>
    </row>
    <row r="18" spans="1:8" s="52" customFormat="1" x14ac:dyDescent="0.25">
      <c r="A18" s="61"/>
      <c r="B18" s="65"/>
      <c r="C18" s="66"/>
      <c r="D18" s="64"/>
      <c r="E18" s="103"/>
      <c r="F18" s="138"/>
      <c r="G18" s="115"/>
      <c r="H18" s="118"/>
    </row>
    <row r="19" spans="1:8" s="52" customFormat="1" x14ac:dyDescent="0.25">
      <c r="A19" s="61"/>
      <c r="B19" s="62" t="s">
        <v>34</v>
      </c>
      <c r="C19" s="66"/>
      <c r="D19" s="64"/>
      <c r="E19" s="103"/>
      <c r="F19" s="138"/>
      <c r="G19" s="115"/>
      <c r="H19" s="118"/>
    </row>
    <row r="20" spans="1:8" s="52" customFormat="1" x14ac:dyDescent="0.25">
      <c r="A20" s="61"/>
      <c r="B20" s="62"/>
      <c r="C20" s="66"/>
      <c r="D20" s="64"/>
      <c r="E20" s="103"/>
      <c r="F20" s="138"/>
      <c r="G20" s="115"/>
      <c r="H20" s="118"/>
    </row>
    <row r="21" spans="1:8" s="52" customFormat="1" ht="27.6" x14ac:dyDescent="0.25">
      <c r="A21" s="61" t="s">
        <v>35</v>
      </c>
      <c r="B21" s="65" t="s">
        <v>36</v>
      </c>
      <c r="C21" s="66">
        <v>1</v>
      </c>
      <c r="D21" s="64" t="s">
        <v>21</v>
      </c>
      <c r="E21" s="103"/>
      <c r="F21" s="137" t="s">
        <v>179</v>
      </c>
      <c r="G21" s="115"/>
      <c r="H21" s="118"/>
    </row>
    <row r="22" spans="1:8" s="52" customFormat="1" x14ac:dyDescent="0.25">
      <c r="A22" s="61"/>
      <c r="B22" s="62"/>
      <c r="C22" s="66"/>
      <c r="D22" s="64"/>
      <c r="E22" s="103"/>
      <c r="F22" s="138"/>
      <c r="G22" s="115"/>
      <c r="H22" s="118"/>
    </row>
    <row r="23" spans="1:8" s="52" customFormat="1" x14ac:dyDescent="0.25">
      <c r="A23" s="61"/>
      <c r="B23" s="62" t="s">
        <v>37</v>
      </c>
      <c r="C23" s="66"/>
      <c r="D23" s="64"/>
      <c r="E23" s="103"/>
      <c r="F23" s="138"/>
      <c r="G23" s="115"/>
      <c r="H23" s="118"/>
    </row>
    <row r="24" spans="1:8" s="53" customFormat="1" x14ac:dyDescent="0.25">
      <c r="A24" s="61"/>
      <c r="B24" s="65"/>
      <c r="C24" s="66"/>
      <c r="D24" s="64"/>
      <c r="E24" s="103"/>
      <c r="F24" s="138"/>
      <c r="G24" s="116"/>
      <c r="H24" s="118"/>
    </row>
    <row r="25" spans="1:8" s="53" customFormat="1" ht="27.6" x14ac:dyDescent="0.25">
      <c r="A25" s="61" t="s">
        <v>38</v>
      </c>
      <c r="B25" s="65" t="s">
        <v>39</v>
      </c>
      <c r="C25" s="66">
        <v>56</v>
      </c>
      <c r="D25" s="64" t="s">
        <v>40</v>
      </c>
      <c r="E25" s="103"/>
      <c r="F25" s="137" t="s">
        <v>179</v>
      </c>
      <c r="G25" s="116"/>
      <c r="H25" s="118"/>
    </row>
    <row r="26" spans="1:8" x14ac:dyDescent="0.3">
      <c r="A26" s="61"/>
      <c r="B26" s="62"/>
      <c r="C26" s="63"/>
      <c r="D26" s="64"/>
      <c r="E26" s="103"/>
      <c r="F26" s="138"/>
      <c r="H26" s="118"/>
    </row>
    <row r="27" spans="1:8" ht="27.6" x14ac:dyDescent="0.3">
      <c r="A27" s="61" t="s">
        <v>41</v>
      </c>
      <c r="B27" s="65" t="s">
        <v>42</v>
      </c>
      <c r="C27" s="63">
        <v>47</v>
      </c>
      <c r="D27" s="64" t="s">
        <v>40</v>
      </c>
      <c r="E27" s="103"/>
      <c r="F27" s="137" t="s">
        <v>179</v>
      </c>
      <c r="H27" s="118"/>
    </row>
    <row r="28" spans="1:8" x14ac:dyDescent="0.3">
      <c r="A28" s="61"/>
      <c r="B28" s="62"/>
      <c r="C28" s="63"/>
      <c r="D28" s="64"/>
      <c r="E28" s="103"/>
      <c r="F28" s="138"/>
      <c r="H28" s="118"/>
    </row>
    <row r="29" spans="1:8" s="48" customFormat="1" x14ac:dyDescent="0.3">
      <c r="A29" s="120" t="s">
        <v>9</v>
      </c>
      <c r="B29" s="121" t="s">
        <v>44</v>
      </c>
      <c r="C29" s="128"/>
      <c r="D29" s="123" t="s">
        <v>45</v>
      </c>
      <c r="E29" s="124"/>
      <c r="F29" s="139" t="s">
        <v>32</v>
      </c>
      <c r="G29" s="111"/>
      <c r="H29" s="126"/>
    </row>
    <row r="30" spans="1:8" x14ac:dyDescent="0.3">
      <c r="A30" s="61"/>
      <c r="B30" s="65"/>
      <c r="C30" s="66"/>
      <c r="D30" s="64"/>
      <c r="E30" s="103"/>
      <c r="F30" s="138"/>
      <c r="H30" s="118"/>
    </row>
    <row r="31" spans="1:8" x14ac:dyDescent="0.3">
      <c r="A31" s="61"/>
      <c r="B31" s="62"/>
      <c r="C31" s="66"/>
      <c r="D31" s="64"/>
      <c r="E31" s="103"/>
      <c r="F31" s="138"/>
      <c r="H31" s="118"/>
    </row>
    <row r="32" spans="1:8" s="51" customFormat="1" x14ac:dyDescent="0.3">
      <c r="A32" s="61"/>
      <c r="B32" s="65"/>
      <c r="C32" s="66"/>
      <c r="D32" s="64"/>
      <c r="E32" s="103"/>
      <c r="F32" s="138"/>
      <c r="G32" s="114"/>
      <c r="H32" s="118"/>
    </row>
    <row r="33" spans="1:8" s="51" customFormat="1" x14ac:dyDescent="0.3">
      <c r="A33" s="61"/>
      <c r="B33" s="65"/>
      <c r="C33" s="66"/>
      <c r="D33" s="64"/>
      <c r="E33" s="103"/>
      <c r="F33" s="138"/>
      <c r="G33" s="114"/>
      <c r="H33" s="118"/>
    </row>
    <row r="34" spans="1:8" s="51" customFormat="1" x14ac:dyDescent="0.3">
      <c r="A34" s="61"/>
      <c r="B34" s="65"/>
      <c r="C34" s="66"/>
      <c r="D34" s="64"/>
      <c r="E34" s="103"/>
      <c r="F34" s="138"/>
      <c r="G34" s="114"/>
      <c r="H34" s="118"/>
    </row>
    <row r="35" spans="1:8" s="51" customFormat="1" x14ac:dyDescent="0.3">
      <c r="A35" s="61"/>
      <c r="B35" s="65"/>
      <c r="C35" s="66"/>
      <c r="D35" s="64"/>
      <c r="E35" s="103"/>
      <c r="F35" s="138"/>
      <c r="G35" s="114"/>
      <c r="H35" s="118"/>
    </row>
    <row r="36" spans="1:8" s="51" customFormat="1" x14ac:dyDescent="0.3">
      <c r="A36" s="61"/>
      <c r="B36" s="65"/>
      <c r="C36" s="66"/>
      <c r="D36" s="64"/>
      <c r="E36" s="103"/>
      <c r="F36" s="138"/>
      <c r="G36" s="114"/>
      <c r="H36" s="118"/>
    </row>
    <row r="37" spans="1:8" s="51" customFormat="1" x14ac:dyDescent="0.3">
      <c r="A37" s="61"/>
      <c r="B37" s="65"/>
      <c r="C37" s="66"/>
      <c r="D37" s="64"/>
      <c r="E37" s="103"/>
      <c r="F37" s="138"/>
      <c r="G37" s="114"/>
      <c r="H37" s="118"/>
    </row>
    <row r="38" spans="1:8" s="51" customFormat="1" x14ac:dyDescent="0.3">
      <c r="A38" s="61"/>
      <c r="B38" s="65"/>
      <c r="C38" s="66"/>
      <c r="D38" s="64"/>
      <c r="E38" s="103"/>
      <c r="F38" s="138"/>
      <c r="G38" s="114"/>
      <c r="H38" s="118"/>
    </row>
    <row r="39" spans="1:8" s="51" customFormat="1" x14ac:dyDescent="0.3">
      <c r="A39" s="61"/>
      <c r="B39" s="65"/>
      <c r="C39" s="66"/>
      <c r="D39" s="64"/>
      <c r="E39" s="103"/>
      <c r="F39" s="138"/>
      <c r="G39" s="114"/>
      <c r="H39" s="118"/>
    </row>
    <row r="40" spans="1:8" s="54" customFormat="1" ht="36" customHeight="1" x14ac:dyDescent="0.3">
      <c r="A40" s="71"/>
      <c r="B40" s="72" t="s">
        <v>13</v>
      </c>
      <c r="C40" s="73"/>
      <c r="D40" s="74"/>
      <c r="E40" s="106"/>
      <c r="F40" s="136">
        <f>SUM(F11:F39)</f>
        <v>0</v>
      </c>
      <c r="G40" s="117"/>
      <c r="H40" s="118"/>
    </row>
    <row r="41" spans="1:8" s="50" customFormat="1" x14ac:dyDescent="0.25">
      <c r="A41" s="61"/>
      <c r="B41" s="65"/>
      <c r="C41" s="63"/>
      <c r="D41" s="64"/>
      <c r="E41" s="103"/>
      <c r="F41" s="138"/>
      <c r="G41" s="113"/>
      <c r="H41" s="118"/>
    </row>
    <row r="42" spans="1:8" s="50" customFormat="1" x14ac:dyDescent="0.25">
      <c r="A42" s="61"/>
      <c r="B42" s="62" t="s">
        <v>47</v>
      </c>
      <c r="C42" s="63"/>
      <c r="D42" s="64"/>
      <c r="E42" s="103"/>
      <c r="F42" s="138"/>
      <c r="G42" s="113"/>
      <c r="H42" s="118"/>
    </row>
    <row r="43" spans="1:8" s="50" customFormat="1" x14ac:dyDescent="0.25">
      <c r="A43" s="61"/>
      <c r="B43" s="65"/>
      <c r="C43" s="63"/>
      <c r="D43" s="64"/>
      <c r="E43" s="103"/>
      <c r="F43" s="138"/>
      <c r="G43" s="113"/>
      <c r="H43" s="118"/>
    </row>
    <row r="44" spans="1:8" s="48" customFormat="1" x14ac:dyDescent="0.3">
      <c r="A44" s="120" t="s">
        <v>10</v>
      </c>
      <c r="B44" s="121" t="s">
        <v>72</v>
      </c>
      <c r="C44" s="128"/>
      <c r="D44" s="123"/>
      <c r="E44" s="124"/>
      <c r="F44" s="139"/>
      <c r="G44" s="111"/>
      <c r="H44" s="126"/>
    </row>
    <row r="45" spans="1:8" x14ac:dyDescent="0.3">
      <c r="A45" s="75"/>
      <c r="B45" s="65"/>
      <c r="C45" s="63"/>
      <c r="D45" s="64"/>
      <c r="E45" s="103"/>
      <c r="F45" s="138"/>
      <c r="H45" s="118"/>
    </row>
    <row r="46" spans="1:8" x14ac:dyDescent="0.3">
      <c r="A46" s="75"/>
      <c r="B46" s="62" t="s">
        <v>73</v>
      </c>
      <c r="C46" s="66"/>
      <c r="D46" s="64"/>
      <c r="E46" s="103"/>
      <c r="F46" s="138"/>
      <c r="H46" s="118"/>
    </row>
    <row r="47" spans="1:8" x14ac:dyDescent="0.3">
      <c r="A47" s="75"/>
      <c r="B47" s="62"/>
      <c r="C47" s="66"/>
      <c r="D47" s="64"/>
      <c r="E47" s="103"/>
      <c r="F47" s="138"/>
      <c r="H47" s="118"/>
    </row>
    <row r="48" spans="1:8" s="51" customFormat="1" ht="27.6" x14ac:dyDescent="0.3">
      <c r="A48" s="75" t="s">
        <v>74</v>
      </c>
      <c r="B48" s="65" t="s">
        <v>75</v>
      </c>
      <c r="C48" s="66">
        <v>211</v>
      </c>
      <c r="D48" s="64" t="s">
        <v>54</v>
      </c>
      <c r="E48" s="103"/>
      <c r="F48" s="137" t="s">
        <v>179</v>
      </c>
      <c r="G48" s="114"/>
      <c r="H48" s="118"/>
    </row>
    <row r="49" spans="1:8" s="51" customFormat="1" x14ac:dyDescent="0.3">
      <c r="A49" s="75"/>
      <c r="B49" s="65"/>
      <c r="C49" s="66"/>
      <c r="D49" s="64"/>
      <c r="E49" s="103"/>
      <c r="F49" s="138"/>
      <c r="G49" s="114"/>
      <c r="H49" s="118"/>
    </row>
    <row r="50" spans="1:8" x14ac:dyDescent="0.3">
      <c r="A50" s="75"/>
      <c r="B50" s="131" t="s">
        <v>76</v>
      </c>
      <c r="C50" s="63"/>
      <c r="D50" s="64"/>
      <c r="E50" s="103"/>
      <c r="F50" s="138"/>
      <c r="H50" s="118"/>
    </row>
    <row r="51" spans="1:8" x14ac:dyDescent="0.3">
      <c r="A51" s="75"/>
      <c r="B51" s="62"/>
      <c r="C51" s="66"/>
      <c r="D51" s="64"/>
      <c r="E51" s="103"/>
      <c r="F51" s="138"/>
      <c r="H51" s="118"/>
    </row>
    <row r="52" spans="1:8" x14ac:dyDescent="0.3">
      <c r="A52" s="75"/>
      <c r="B52" s="62" t="s">
        <v>77</v>
      </c>
      <c r="C52" s="66"/>
      <c r="D52" s="64"/>
      <c r="E52" s="103"/>
      <c r="F52" s="138"/>
      <c r="H52" s="118"/>
    </row>
    <row r="53" spans="1:8" x14ac:dyDescent="0.3">
      <c r="A53" s="75"/>
      <c r="B53" s="65"/>
      <c r="C53" s="66"/>
      <c r="D53" s="64"/>
      <c r="E53" s="103"/>
      <c r="F53" s="138"/>
      <c r="H53" s="118"/>
    </row>
    <row r="54" spans="1:8" ht="82.8" x14ac:dyDescent="0.3">
      <c r="A54" s="75"/>
      <c r="B54" s="62" t="s">
        <v>78</v>
      </c>
      <c r="C54" s="66"/>
      <c r="D54" s="64"/>
      <c r="E54" s="103"/>
      <c r="F54" s="138"/>
      <c r="H54" s="118"/>
    </row>
    <row r="55" spans="1:8" x14ac:dyDescent="0.3">
      <c r="A55" s="76"/>
      <c r="B55" s="77"/>
      <c r="C55" s="78"/>
      <c r="D55" s="79"/>
      <c r="E55" s="103"/>
      <c r="F55" s="138"/>
      <c r="H55" s="118"/>
    </row>
    <row r="56" spans="1:8" ht="27.6" x14ac:dyDescent="0.3">
      <c r="A56" s="76" t="s">
        <v>79</v>
      </c>
      <c r="B56" s="80" t="s">
        <v>80</v>
      </c>
      <c r="C56" s="78">
        <v>266</v>
      </c>
      <c r="D56" s="79" t="s">
        <v>54</v>
      </c>
      <c r="E56" s="103"/>
      <c r="F56" s="137" t="s">
        <v>179</v>
      </c>
      <c r="H56" s="118"/>
    </row>
    <row r="57" spans="1:8" x14ac:dyDescent="0.3">
      <c r="A57" s="76"/>
      <c r="B57" s="80"/>
      <c r="C57" s="78"/>
      <c r="D57" s="79"/>
      <c r="E57" s="103"/>
      <c r="F57" s="138"/>
      <c r="H57" s="118"/>
    </row>
    <row r="58" spans="1:8" x14ac:dyDescent="0.3">
      <c r="A58" s="76"/>
      <c r="B58" s="132" t="s">
        <v>81</v>
      </c>
      <c r="C58" s="78"/>
      <c r="D58" s="79"/>
      <c r="E58" s="103"/>
      <c r="F58" s="138"/>
      <c r="H58" s="118"/>
    </row>
    <row r="59" spans="1:8" x14ac:dyDescent="0.3">
      <c r="A59" s="76"/>
      <c r="B59" s="80"/>
      <c r="C59" s="78"/>
      <c r="D59" s="79"/>
      <c r="E59" s="103"/>
      <c r="F59" s="138"/>
      <c r="H59" s="118"/>
    </row>
    <row r="60" spans="1:8" x14ac:dyDescent="0.3">
      <c r="A60" s="76"/>
      <c r="B60" s="132" t="s">
        <v>82</v>
      </c>
      <c r="C60" s="78"/>
      <c r="D60" s="79"/>
      <c r="E60" s="103"/>
      <c r="F60" s="138"/>
      <c r="H60" s="118"/>
    </row>
    <row r="61" spans="1:8" x14ac:dyDescent="0.3">
      <c r="A61" s="81"/>
      <c r="B61" s="80"/>
      <c r="C61" s="82"/>
      <c r="D61" s="79"/>
      <c r="E61" s="103"/>
      <c r="F61" s="138"/>
      <c r="H61" s="118"/>
    </row>
    <row r="62" spans="1:8" ht="41.4" x14ac:dyDescent="0.3">
      <c r="A62" s="75" t="s">
        <v>83</v>
      </c>
      <c r="B62" s="65" t="s">
        <v>84</v>
      </c>
      <c r="C62" s="63">
        <v>193</v>
      </c>
      <c r="D62" s="64" t="s">
        <v>54</v>
      </c>
      <c r="E62" s="103"/>
      <c r="F62" s="137" t="s">
        <v>179</v>
      </c>
      <c r="H62" s="118"/>
    </row>
    <row r="63" spans="1:8" x14ac:dyDescent="0.3">
      <c r="A63" s="75"/>
      <c r="B63" s="65"/>
      <c r="C63" s="63"/>
      <c r="D63" s="64"/>
      <c r="E63" s="103"/>
      <c r="F63" s="138"/>
      <c r="H63" s="118"/>
    </row>
    <row r="64" spans="1:8" ht="41.4" x14ac:dyDescent="0.3">
      <c r="A64" s="61" t="s">
        <v>85</v>
      </c>
      <c r="B64" s="65" t="s">
        <v>86</v>
      </c>
      <c r="C64" s="63">
        <v>255</v>
      </c>
      <c r="D64" s="64" t="s">
        <v>54</v>
      </c>
      <c r="E64" s="103"/>
      <c r="F64" s="137" t="s">
        <v>179</v>
      </c>
      <c r="H64" s="118"/>
    </row>
    <row r="65" spans="1:8" x14ac:dyDescent="0.3">
      <c r="A65" s="61"/>
      <c r="B65" s="62"/>
      <c r="C65" s="63"/>
      <c r="D65" s="64"/>
      <c r="E65" s="103"/>
      <c r="F65" s="138"/>
      <c r="H65" s="118"/>
    </row>
    <row r="66" spans="1:8" ht="41.4" x14ac:dyDescent="0.3">
      <c r="A66" s="61" t="s">
        <v>87</v>
      </c>
      <c r="B66" s="65" t="s">
        <v>88</v>
      </c>
      <c r="C66" s="63">
        <v>331</v>
      </c>
      <c r="D66" s="64" t="s">
        <v>54</v>
      </c>
      <c r="E66" s="103"/>
      <c r="F66" s="137" t="s">
        <v>179</v>
      </c>
      <c r="H66" s="118"/>
    </row>
    <row r="67" spans="1:8" x14ac:dyDescent="0.3">
      <c r="A67" s="61"/>
      <c r="B67" s="62"/>
      <c r="C67" s="63"/>
      <c r="D67" s="64"/>
      <c r="E67" s="103"/>
      <c r="F67" s="138"/>
      <c r="H67" s="118"/>
    </row>
    <row r="68" spans="1:8" x14ac:dyDescent="0.3">
      <c r="A68" s="61"/>
      <c r="B68" s="62" t="s">
        <v>89</v>
      </c>
      <c r="C68" s="63"/>
      <c r="D68" s="64"/>
      <c r="E68" s="103"/>
      <c r="F68" s="138"/>
      <c r="H68" s="118"/>
    </row>
    <row r="69" spans="1:8" x14ac:dyDescent="0.3">
      <c r="A69" s="61"/>
      <c r="B69" s="62"/>
      <c r="C69" s="63"/>
      <c r="D69" s="64"/>
      <c r="E69" s="103"/>
      <c r="F69" s="138"/>
      <c r="H69" s="118"/>
    </row>
    <row r="70" spans="1:8" ht="82.8" x14ac:dyDescent="0.3">
      <c r="A70" s="61" t="s">
        <v>90</v>
      </c>
      <c r="B70" s="65" t="s">
        <v>91</v>
      </c>
      <c r="C70" s="63">
        <v>11</v>
      </c>
      <c r="D70" s="64" t="s">
        <v>51</v>
      </c>
      <c r="E70" s="103"/>
      <c r="F70" s="137" t="s">
        <v>179</v>
      </c>
      <c r="H70" s="118"/>
    </row>
    <row r="71" spans="1:8" x14ac:dyDescent="0.3">
      <c r="A71" s="61"/>
      <c r="B71" s="62"/>
      <c r="C71" s="63"/>
      <c r="D71" s="64"/>
      <c r="E71" s="103"/>
      <c r="F71" s="138"/>
      <c r="H71" s="118"/>
    </row>
    <row r="72" spans="1:8" ht="27.6" x14ac:dyDescent="0.3">
      <c r="A72" s="61" t="s">
        <v>92</v>
      </c>
      <c r="B72" s="65" t="s">
        <v>93</v>
      </c>
      <c r="C72" s="63">
        <v>1</v>
      </c>
      <c r="D72" s="64" t="s">
        <v>51</v>
      </c>
      <c r="E72" s="103"/>
      <c r="F72" s="137" t="s">
        <v>179</v>
      </c>
      <c r="H72" s="118"/>
    </row>
    <row r="73" spans="1:8" s="54" customFormat="1" ht="36" customHeight="1" x14ac:dyDescent="0.3">
      <c r="A73" s="71"/>
      <c r="B73" s="72" t="s">
        <v>13</v>
      </c>
      <c r="C73" s="73"/>
      <c r="D73" s="74"/>
      <c r="E73" s="106"/>
      <c r="F73" s="136">
        <f>SUM(F44:F72)</f>
        <v>0</v>
      </c>
      <c r="G73" s="117"/>
      <c r="H73" s="118"/>
    </row>
    <row r="74" spans="1:8" s="50" customFormat="1" x14ac:dyDescent="0.25">
      <c r="A74" s="61"/>
      <c r="B74" s="65"/>
      <c r="C74" s="63"/>
      <c r="D74" s="64"/>
      <c r="E74" s="103"/>
      <c r="F74" s="138"/>
      <c r="G74" s="113"/>
      <c r="H74" s="118"/>
    </row>
    <row r="75" spans="1:8" s="50" customFormat="1" x14ac:dyDescent="0.25">
      <c r="A75" s="61"/>
      <c r="B75" s="62" t="s">
        <v>47</v>
      </c>
      <c r="C75" s="63"/>
      <c r="D75" s="64"/>
      <c r="E75" s="103"/>
      <c r="F75" s="138"/>
      <c r="G75" s="113"/>
      <c r="H75" s="118"/>
    </row>
    <row r="76" spans="1:8" s="50" customFormat="1" x14ac:dyDescent="0.25">
      <c r="A76" s="61"/>
      <c r="B76" s="62"/>
      <c r="C76" s="63"/>
      <c r="D76" s="64"/>
      <c r="E76" s="103"/>
      <c r="F76" s="138"/>
      <c r="G76" s="113"/>
      <c r="H76" s="118"/>
    </row>
    <row r="77" spans="1:8" s="50" customFormat="1" x14ac:dyDescent="0.25">
      <c r="A77" s="61"/>
      <c r="B77" s="62" t="s">
        <v>48</v>
      </c>
      <c r="C77" s="63"/>
      <c r="D77" s="64"/>
      <c r="E77" s="103"/>
      <c r="F77" s="138"/>
      <c r="G77" s="113"/>
      <c r="H77" s="118"/>
    </row>
    <row r="78" spans="1:8" s="50" customFormat="1" x14ac:dyDescent="0.25">
      <c r="A78" s="61"/>
      <c r="B78" s="65"/>
      <c r="C78" s="63"/>
      <c r="D78" s="64"/>
      <c r="E78" s="103"/>
      <c r="F78" s="138"/>
      <c r="G78" s="113"/>
      <c r="H78" s="118"/>
    </row>
    <row r="79" spans="1:8" s="50" customFormat="1" ht="27.6" x14ac:dyDescent="0.25">
      <c r="A79" s="61" t="s">
        <v>49</v>
      </c>
      <c r="B79" s="65" t="s">
        <v>50</v>
      </c>
      <c r="C79" s="63">
        <v>1</v>
      </c>
      <c r="D79" s="64" t="s">
        <v>51</v>
      </c>
      <c r="E79" s="103"/>
      <c r="F79" s="137" t="s">
        <v>179</v>
      </c>
      <c r="G79" s="113"/>
      <c r="H79" s="118"/>
    </row>
    <row r="80" spans="1:8" s="50" customFormat="1" x14ac:dyDescent="0.25">
      <c r="A80" s="61"/>
      <c r="B80" s="65"/>
      <c r="C80" s="63"/>
      <c r="D80" s="64"/>
      <c r="E80" s="103"/>
      <c r="F80" s="138"/>
      <c r="G80" s="113"/>
      <c r="H80" s="118"/>
    </row>
    <row r="81" spans="1:8" s="50" customFormat="1" ht="55.2" x14ac:dyDescent="0.25">
      <c r="A81" s="61" t="s">
        <v>52</v>
      </c>
      <c r="B81" s="65" t="s">
        <v>53</v>
      </c>
      <c r="C81" s="63">
        <v>98</v>
      </c>
      <c r="D81" s="64" t="s">
        <v>54</v>
      </c>
      <c r="E81" s="103"/>
      <c r="F81" s="137" t="s">
        <v>179</v>
      </c>
      <c r="G81" s="113"/>
      <c r="H81" s="118"/>
    </row>
    <row r="82" spans="1:8" s="50" customFormat="1" x14ac:dyDescent="0.25">
      <c r="A82" s="61"/>
      <c r="B82" s="62"/>
      <c r="C82" s="63"/>
      <c r="D82" s="64"/>
      <c r="E82" s="103"/>
      <c r="F82" s="138"/>
      <c r="G82" s="113"/>
      <c r="H82" s="118"/>
    </row>
    <row r="83" spans="1:8" s="50" customFormat="1" ht="27.6" x14ac:dyDescent="0.25">
      <c r="A83" s="61" t="s">
        <v>55</v>
      </c>
      <c r="B83" s="65" t="s">
        <v>56</v>
      </c>
      <c r="C83" s="63">
        <v>1</v>
      </c>
      <c r="D83" s="64" t="s">
        <v>0</v>
      </c>
      <c r="E83" s="103"/>
      <c r="F83" s="137" t="s">
        <v>179</v>
      </c>
      <c r="G83" s="113"/>
      <c r="H83" s="118"/>
    </row>
    <row r="84" spans="1:8" x14ac:dyDescent="0.3">
      <c r="A84" s="75"/>
      <c r="B84" s="65"/>
      <c r="C84" s="63"/>
      <c r="D84" s="64"/>
      <c r="E84" s="103"/>
      <c r="F84" s="138"/>
      <c r="H84" s="118"/>
    </row>
    <row r="85" spans="1:8" ht="55.2" x14ac:dyDescent="0.3">
      <c r="A85" s="75" t="s">
        <v>57</v>
      </c>
      <c r="B85" s="65" t="s">
        <v>58</v>
      </c>
      <c r="C85" s="63">
        <v>6</v>
      </c>
      <c r="D85" s="64" t="s">
        <v>51</v>
      </c>
      <c r="E85" s="103"/>
      <c r="F85" s="137" t="s">
        <v>179</v>
      </c>
      <c r="H85" s="118"/>
    </row>
    <row r="86" spans="1:8" x14ac:dyDescent="0.3">
      <c r="A86" s="75"/>
      <c r="B86" s="65"/>
      <c r="C86" s="63"/>
      <c r="D86" s="64"/>
      <c r="E86" s="103"/>
      <c r="F86" s="138"/>
      <c r="H86" s="118"/>
    </row>
    <row r="87" spans="1:8" ht="55.2" x14ac:dyDescent="0.3">
      <c r="A87" s="75" t="s">
        <v>59</v>
      </c>
      <c r="B87" s="59" t="s">
        <v>60</v>
      </c>
      <c r="C87" s="66">
        <v>1</v>
      </c>
      <c r="D87" s="61" t="s">
        <v>51</v>
      </c>
      <c r="E87" s="103"/>
      <c r="F87" s="137" t="s">
        <v>179</v>
      </c>
      <c r="H87" s="118"/>
    </row>
    <row r="88" spans="1:8" x14ac:dyDescent="0.3">
      <c r="A88" s="75"/>
      <c r="B88" s="62"/>
      <c r="C88" s="63"/>
      <c r="D88" s="61"/>
      <c r="E88" s="103"/>
      <c r="F88" s="138"/>
      <c r="H88" s="118"/>
    </row>
    <row r="89" spans="1:8" ht="27.6" x14ac:dyDescent="0.3">
      <c r="A89" s="75" t="s">
        <v>61</v>
      </c>
      <c r="B89" s="65" t="s">
        <v>62</v>
      </c>
      <c r="C89" s="63">
        <v>7</v>
      </c>
      <c r="D89" s="61" t="s">
        <v>51</v>
      </c>
      <c r="E89" s="103"/>
      <c r="F89" s="137" t="s">
        <v>179</v>
      </c>
      <c r="H89" s="118"/>
    </row>
    <row r="90" spans="1:8" x14ac:dyDescent="0.3">
      <c r="A90" s="75"/>
      <c r="B90" s="65"/>
      <c r="C90" s="63"/>
      <c r="D90" s="61"/>
      <c r="E90" s="103"/>
      <c r="F90" s="138"/>
      <c r="H90" s="118"/>
    </row>
    <row r="91" spans="1:8" ht="55.2" x14ac:dyDescent="0.3">
      <c r="A91" s="75" t="s">
        <v>63</v>
      </c>
      <c r="B91" s="65" t="s">
        <v>64</v>
      </c>
      <c r="C91" s="63">
        <v>1</v>
      </c>
      <c r="D91" s="61" t="s">
        <v>51</v>
      </c>
      <c r="E91" s="103"/>
      <c r="F91" s="137" t="s">
        <v>179</v>
      </c>
      <c r="H91" s="118"/>
    </row>
    <row r="92" spans="1:8" x14ac:dyDescent="0.3">
      <c r="A92" s="75"/>
      <c r="B92" s="65"/>
      <c r="C92" s="63"/>
      <c r="D92" s="61"/>
      <c r="E92" s="103"/>
      <c r="F92" s="138"/>
      <c r="H92" s="118"/>
    </row>
    <row r="93" spans="1:8" ht="27.6" x14ac:dyDescent="0.3">
      <c r="A93" s="75" t="s">
        <v>65</v>
      </c>
      <c r="B93" s="65" t="s">
        <v>66</v>
      </c>
      <c r="C93" s="63">
        <v>6.6</v>
      </c>
      <c r="D93" s="61" t="s">
        <v>54</v>
      </c>
      <c r="E93" s="103"/>
      <c r="F93" s="137" t="s">
        <v>179</v>
      </c>
      <c r="H93" s="118"/>
    </row>
    <row r="94" spans="1:8" x14ac:dyDescent="0.3">
      <c r="A94" s="75"/>
      <c r="B94" s="65"/>
      <c r="C94" s="63"/>
      <c r="D94" s="61"/>
      <c r="E94" s="103"/>
      <c r="F94" s="138"/>
      <c r="H94" s="118"/>
    </row>
    <row r="95" spans="1:8" ht="27.6" x14ac:dyDescent="0.3">
      <c r="A95" s="75" t="s">
        <v>67</v>
      </c>
      <c r="B95" s="65" t="s">
        <v>68</v>
      </c>
      <c r="C95" s="63">
        <v>1</v>
      </c>
      <c r="D95" s="61" t="s">
        <v>0</v>
      </c>
      <c r="E95" s="103"/>
      <c r="F95" s="137" t="s">
        <v>179</v>
      </c>
      <c r="H95" s="118"/>
    </row>
    <row r="96" spans="1:8" x14ac:dyDescent="0.3">
      <c r="A96" s="75"/>
      <c r="B96" s="65"/>
      <c r="C96" s="63"/>
      <c r="D96" s="61"/>
      <c r="E96" s="103"/>
      <c r="F96" s="138"/>
      <c r="H96" s="118"/>
    </row>
    <row r="97" spans="1:8" x14ac:dyDescent="0.3">
      <c r="A97" s="75"/>
      <c r="B97" s="62" t="s">
        <v>69</v>
      </c>
      <c r="C97" s="63"/>
      <c r="D97" s="61"/>
      <c r="E97" s="103"/>
      <c r="F97" s="138"/>
      <c r="H97" s="118"/>
    </row>
    <row r="98" spans="1:8" x14ac:dyDescent="0.3">
      <c r="A98" s="75"/>
      <c r="B98" s="65"/>
      <c r="C98" s="63"/>
      <c r="D98" s="61"/>
      <c r="E98" s="103"/>
      <c r="F98" s="138"/>
      <c r="H98" s="118"/>
    </row>
    <row r="99" spans="1:8" ht="27.6" x14ac:dyDescent="0.3">
      <c r="A99" s="75" t="s">
        <v>70</v>
      </c>
      <c r="B99" s="65" t="s">
        <v>71</v>
      </c>
      <c r="C99" s="63">
        <v>1</v>
      </c>
      <c r="D99" s="61" t="s">
        <v>51</v>
      </c>
      <c r="E99" s="103"/>
      <c r="F99" s="137" t="s">
        <v>179</v>
      </c>
      <c r="H99" s="118"/>
    </row>
    <row r="100" spans="1:8" x14ac:dyDescent="0.3">
      <c r="A100" s="75"/>
      <c r="B100" s="65"/>
      <c r="C100" s="63"/>
      <c r="D100" s="61"/>
      <c r="E100" s="103"/>
      <c r="F100" s="138"/>
      <c r="H100" s="118"/>
    </row>
    <row r="101" spans="1:8" s="51" customFormat="1" x14ac:dyDescent="0.3">
      <c r="A101" s="83"/>
      <c r="B101" s="83"/>
      <c r="C101" s="84"/>
      <c r="D101" s="83"/>
      <c r="E101" s="107"/>
      <c r="F101" s="140"/>
      <c r="G101" s="114"/>
      <c r="H101" s="118"/>
    </row>
    <row r="102" spans="1:8" s="48" customFormat="1" ht="36" customHeight="1" x14ac:dyDescent="0.3">
      <c r="A102" s="85"/>
      <c r="B102" s="86" t="s">
        <v>13</v>
      </c>
      <c r="C102" s="87"/>
      <c r="D102" s="88"/>
      <c r="E102" s="104"/>
      <c r="F102" s="141">
        <f>SUM(F76:F100)</f>
        <v>0</v>
      </c>
      <c r="G102" s="111"/>
      <c r="H102" s="118"/>
    </row>
    <row r="103" spans="1:8" s="50" customFormat="1" x14ac:dyDescent="0.25">
      <c r="A103" s="61"/>
      <c r="B103" s="65"/>
      <c r="C103" s="63"/>
      <c r="D103" s="64"/>
      <c r="E103" s="103"/>
      <c r="F103" s="138"/>
      <c r="G103" s="113"/>
      <c r="H103" s="118"/>
    </row>
    <row r="104" spans="1:8" s="50" customFormat="1" x14ac:dyDescent="0.25">
      <c r="A104" s="61"/>
      <c r="B104" s="62" t="s">
        <v>47</v>
      </c>
      <c r="C104" s="63"/>
      <c r="D104" s="64"/>
      <c r="E104" s="103"/>
      <c r="F104" s="138"/>
      <c r="G104" s="113"/>
      <c r="H104" s="118"/>
    </row>
    <row r="105" spans="1:8" s="50" customFormat="1" x14ac:dyDescent="0.25">
      <c r="A105" s="61"/>
      <c r="B105" s="62"/>
      <c r="C105" s="63"/>
      <c r="D105" s="64"/>
      <c r="E105" s="103"/>
      <c r="F105" s="138"/>
      <c r="G105" s="113"/>
      <c r="H105" s="118"/>
    </row>
    <row r="106" spans="1:8" s="135" customFormat="1" x14ac:dyDescent="0.25">
      <c r="A106" s="120" t="s">
        <v>11</v>
      </c>
      <c r="B106" s="133" t="s">
        <v>96</v>
      </c>
      <c r="C106" s="128"/>
      <c r="D106" s="123"/>
      <c r="E106" s="124"/>
      <c r="F106" s="139" t="s">
        <v>43</v>
      </c>
      <c r="G106" s="134"/>
      <c r="H106" s="126"/>
    </row>
    <row r="107" spans="1:8" s="50" customFormat="1" x14ac:dyDescent="0.25">
      <c r="A107" s="61"/>
      <c r="B107" s="65"/>
      <c r="C107" s="63"/>
      <c r="D107" s="64"/>
      <c r="E107" s="103"/>
      <c r="F107" s="138"/>
      <c r="G107" s="113"/>
      <c r="H107" s="118"/>
    </row>
    <row r="108" spans="1:8" s="50" customFormat="1" x14ac:dyDescent="0.25">
      <c r="A108" s="61"/>
      <c r="B108" s="62" t="s">
        <v>97</v>
      </c>
      <c r="C108" s="63"/>
      <c r="D108" s="64"/>
      <c r="E108" s="103"/>
      <c r="F108" s="138"/>
      <c r="G108" s="113"/>
      <c r="H108" s="118"/>
    </row>
    <row r="109" spans="1:8" s="50" customFormat="1" x14ac:dyDescent="0.25">
      <c r="A109" s="61"/>
      <c r="B109" s="65"/>
      <c r="C109" s="63"/>
      <c r="D109" s="64"/>
      <c r="E109" s="103"/>
      <c r="F109" s="138"/>
      <c r="G109" s="113"/>
      <c r="H109" s="118"/>
    </row>
    <row r="110" spans="1:8" s="50" customFormat="1" ht="27.6" x14ac:dyDescent="0.25">
      <c r="A110" s="61" t="s">
        <v>98</v>
      </c>
      <c r="B110" s="65" t="s">
        <v>99</v>
      </c>
      <c r="C110" s="63">
        <v>504</v>
      </c>
      <c r="D110" s="64" t="s">
        <v>54</v>
      </c>
      <c r="E110" s="103"/>
      <c r="F110" s="137" t="s">
        <v>179</v>
      </c>
      <c r="G110" s="113"/>
      <c r="H110" s="118"/>
    </row>
    <row r="111" spans="1:8" s="50" customFormat="1" x14ac:dyDescent="0.25">
      <c r="A111" s="61"/>
      <c r="B111" s="65"/>
      <c r="C111" s="63"/>
      <c r="D111" s="64"/>
      <c r="E111" s="103"/>
      <c r="F111" s="138"/>
      <c r="G111" s="113"/>
      <c r="H111" s="118"/>
    </row>
    <row r="112" spans="1:8" s="50" customFormat="1" ht="41.4" x14ac:dyDescent="0.25">
      <c r="A112" s="61" t="s">
        <v>100</v>
      </c>
      <c r="B112" s="65" t="s">
        <v>101</v>
      </c>
      <c r="C112" s="63">
        <v>338</v>
      </c>
      <c r="D112" s="64" t="s">
        <v>54</v>
      </c>
      <c r="E112" s="103"/>
      <c r="F112" s="137" t="s">
        <v>179</v>
      </c>
      <c r="G112" s="113"/>
      <c r="H112" s="118"/>
    </row>
    <row r="113" spans="1:8" s="50" customFormat="1" x14ac:dyDescent="0.25">
      <c r="A113" s="61"/>
      <c r="B113" s="62"/>
      <c r="C113" s="63"/>
      <c r="D113" s="64"/>
      <c r="E113" s="103"/>
      <c r="F113" s="138"/>
      <c r="G113" s="113"/>
      <c r="H113" s="118"/>
    </row>
    <row r="114" spans="1:8" s="50" customFormat="1" ht="41.4" x14ac:dyDescent="0.25">
      <c r="A114" s="61" t="s">
        <v>102</v>
      </c>
      <c r="B114" s="65" t="s">
        <v>103</v>
      </c>
      <c r="C114" s="63">
        <v>134</v>
      </c>
      <c r="D114" s="64" t="s">
        <v>54</v>
      </c>
      <c r="E114" s="103"/>
      <c r="F114" s="137" t="s">
        <v>179</v>
      </c>
      <c r="G114" s="113"/>
      <c r="H114" s="118"/>
    </row>
    <row r="115" spans="1:8" x14ac:dyDescent="0.3">
      <c r="A115" s="75"/>
      <c r="B115" s="65"/>
      <c r="C115" s="63"/>
      <c r="D115" s="64"/>
      <c r="E115" s="103"/>
      <c r="F115" s="138"/>
      <c r="H115" s="118"/>
    </row>
    <row r="116" spans="1:8" ht="27.6" x14ac:dyDescent="0.3">
      <c r="A116" s="75" t="s">
        <v>104</v>
      </c>
      <c r="B116" s="65" t="s">
        <v>105</v>
      </c>
      <c r="C116" s="63">
        <v>10</v>
      </c>
      <c r="D116" s="64" t="s">
        <v>7</v>
      </c>
      <c r="E116" s="103"/>
      <c r="F116" s="137" t="s">
        <v>179</v>
      </c>
      <c r="H116" s="118"/>
    </row>
    <row r="117" spans="1:8" x14ac:dyDescent="0.3">
      <c r="A117" s="75"/>
      <c r="B117" s="65"/>
      <c r="C117" s="63"/>
      <c r="D117" s="64"/>
      <c r="E117" s="103"/>
      <c r="F117" s="138"/>
      <c r="H117" s="118"/>
    </row>
    <row r="118" spans="1:8" x14ac:dyDescent="0.3">
      <c r="A118" s="75"/>
      <c r="B118" s="59"/>
      <c r="C118" s="66"/>
      <c r="D118" s="61"/>
      <c r="E118" s="103"/>
      <c r="F118" s="138"/>
      <c r="H118" s="118"/>
    </row>
    <row r="119" spans="1:8" x14ac:dyDescent="0.3">
      <c r="A119" s="75"/>
      <c r="B119" s="62" t="s">
        <v>106</v>
      </c>
      <c r="C119" s="63"/>
      <c r="D119" s="61"/>
      <c r="E119" s="103"/>
      <c r="F119" s="138"/>
      <c r="H119" s="118"/>
    </row>
    <row r="120" spans="1:8" x14ac:dyDescent="0.3">
      <c r="A120" s="75"/>
      <c r="B120" s="65"/>
      <c r="C120" s="63"/>
      <c r="D120" s="61"/>
      <c r="E120" s="103"/>
      <c r="F120" s="138"/>
      <c r="H120" s="118"/>
    </row>
    <row r="121" spans="1:8" x14ac:dyDescent="0.3">
      <c r="A121" s="75"/>
      <c r="B121" s="62" t="s">
        <v>107</v>
      </c>
      <c r="C121" s="63"/>
      <c r="D121" s="61"/>
      <c r="E121" s="103"/>
      <c r="F121" s="138"/>
      <c r="H121" s="118"/>
    </row>
    <row r="122" spans="1:8" x14ac:dyDescent="0.3">
      <c r="A122" s="75"/>
      <c r="B122" s="65"/>
      <c r="C122" s="63"/>
      <c r="D122" s="61"/>
      <c r="E122" s="103"/>
      <c r="F122" s="138"/>
      <c r="H122" s="118"/>
    </row>
    <row r="123" spans="1:8" ht="27.6" x14ac:dyDescent="0.3">
      <c r="A123" s="75" t="s">
        <v>108</v>
      </c>
      <c r="B123" s="65" t="s">
        <v>109</v>
      </c>
      <c r="C123" s="63">
        <v>1255</v>
      </c>
      <c r="D123" s="61" t="s">
        <v>54</v>
      </c>
      <c r="E123" s="103"/>
      <c r="F123" s="137" t="s">
        <v>179</v>
      </c>
      <c r="H123" s="118"/>
    </row>
    <row r="124" spans="1:8" x14ac:dyDescent="0.3">
      <c r="A124" s="75"/>
      <c r="B124" s="65"/>
      <c r="C124" s="63"/>
      <c r="D124" s="61"/>
      <c r="E124" s="103"/>
      <c r="F124" s="138"/>
      <c r="H124" s="118"/>
    </row>
    <row r="125" spans="1:8" ht="27.6" x14ac:dyDescent="0.3">
      <c r="A125" s="75" t="s">
        <v>110</v>
      </c>
      <c r="B125" s="65" t="s">
        <v>111</v>
      </c>
      <c r="C125" s="63">
        <v>253</v>
      </c>
      <c r="D125" s="61" t="s">
        <v>7</v>
      </c>
      <c r="E125" s="103"/>
      <c r="F125" s="137" t="s">
        <v>179</v>
      </c>
      <c r="H125" s="118"/>
    </row>
    <row r="126" spans="1:8" x14ac:dyDescent="0.3">
      <c r="A126" s="75"/>
      <c r="B126" s="65"/>
      <c r="C126" s="63"/>
      <c r="D126" s="61"/>
      <c r="E126" s="103"/>
      <c r="F126" s="138"/>
      <c r="H126" s="118"/>
    </row>
    <row r="127" spans="1:8" x14ac:dyDescent="0.3">
      <c r="A127" s="75"/>
      <c r="B127" s="65"/>
      <c r="C127" s="63"/>
      <c r="D127" s="61"/>
      <c r="E127" s="103"/>
      <c r="F127" s="138"/>
      <c r="H127" s="118"/>
    </row>
    <row r="128" spans="1:8" x14ac:dyDescent="0.3">
      <c r="A128" s="75"/>
      <c r="B128" s="62" t="s">
        <v>112</v>
      </c>
      <c r="C128" s="63"/>
      <c r="D128" s="61"/>
      <c r="E128" s="103"/>
      <c r="F128" s="138"/>
      <c r="H128" s="118"/>
    </row>
    <row r="129" spans="1:8" x14ac:dyDescent="0.3">
      <c r="A129" s="75"/>
      <c r="B129" s="65"/>
      <c r="C129" s="63"/>
      <c r="D129" s="61"/>
      <c r="E129" s="103"/>
      <c r="F129" s="138"/>
      <c r="H129" s="118"/>
    </row>
    <row r="130" spans="1:8" ht="55.2" x14ac:dyDescent="0.3">
      <c r="A130" s="75" t="s">
        <v>113</v>
      </c>
      <c r="B130" s="65" t="s">
        <v>114</v>
      </c>
      <c r="C130" s="63">
        <v>82</v>
      </c>
      <c r="D130" s="61" t="s">
        <v>54</v>
      </c>
      <c r="E130" s="103"/>
      <c r="F130" s="137" t="s">
        <v>179</v>
      </c>
      <c r="H130" s="118"/>
    </row>
    <row r="131" spans="1:8" x14ac:dyDescent="0.3">
      <c r="A131" s="75"/>
      <c r="B131" s="65"/>
      <c r="C131" s="63"/>
      <c r="D131" s="61"/>
      <c r="E131" s="103"/>
      <c r="F131" s="138"/>
      <c r="H131" s="118"/>
    </row>
    <row r="132" spans="1:8" ht="41.4" x14ac:dyDescent="0.3">
      <c r="A132" s="75" t="s">
        <v>115</v>
      </c>
      <c r="B132" s="65" t="s">
        <v>116</v>
      </c>
      <c r="C132" s="63">
        <v>152</v>
      </c>
      <c r="D132" s="61" t="s">
        <v>7</v>
      </c>
      <c r="E132" s="103"/>
      <c r="F132" s="137" t="s">
        <v>179</v>
      </c>
      <c r="H132" s="118"/>
    </row>
    <row r="133" spans="1:8" x14ac:dyDescent="0.3">
      <c r="A133" s="75"/>
      <c r="B133" s="65"/>
      <c r="C133" s="63"/>
      <c r="D133" s="61"/>
      <c r="E133" s="103"/>
      <c r="F133" s="138"/>
      <c r="H133" s="118"/>
    </row>
    <row r="134" spans="1:8" x14ac:dyDescent="0.3">
      <c r="A134" s="75"/>
      <c r="B134" s="65"/>
      <c r="C134" s="63"/>
      <c r="D134" s="61"/>
      <c r="E134" s="103"/>
      <c r="F134" s="138"/>
      <c r="H134" s="118"/>
    </row>
    <row r="135" spans="1:8" x14ac:dyDescent="0.3">
      <c r="A135" s="75"/>
      <c r="B135" s="65"/>
      <c r="C135" s="63"/>
      <c r="D135" s="61"/>
      <c r="E135" s="103"/>
      <c r="F135" s="138"/>
      <c r="H135" s="118"/>
    </row>
    <row r="136" spans="1:8" x14ac:dyDescent="0.3">
      <c r="A136" s="75"/>
      <c r="B136" s="65"/>
      <c r="C136" s="63"/>
      <c r="D136" s="61"/>
      <c r="E136" s="103"/>
      <c r="F136" s="138"/>
      <c r="H136" s="118"/>
    </row>
    <row r="137" spans="1:8" x14ac:dyDescent="0.3">
      <c r="A137" s="75"/>
      <c r="B137" s="65"/>
      <c r="C137" s="63"/>
      <c r="D137" s="61"/>
      <c r="E137" s="103"/>
      <c r="F137" s="138"/>
      <c r="H137" s="118"/>
    </row>
    <row r="138" spans="1:8" s="51" customFormat="1" x14ac:dyDescent="0.3">
      <c r="A138" s="83"/>
      <c r="B138" s="83"/>
      <c r="C138" s="84"/>
      <c r="D138" s="83"/>
      <c r="E138" s="107"/>
      <c r="F138" s="140"/>
      <c r="G138" s="114"/>
      <c r="H138" s="118"/>
    </row>
    <row r="139" spans="1:8" s="48" customFormat="1" ht="36" customHeight="1" x14ac:dyDescent="0.3">
      <c r="A139" s="85"/>
      <c r="B139" s="86" t="s">
        <v>13</v>
      </c>
      <c r="C139" s="87"/>
      <c r="D139" s="88"/>
      <c r="E139" s="104"/>
      <c r="F139" s="141">
        <f>SUM(F104:F137)</f>
        <v>0</v>
      </c>
      <c r="G139" s="111"/>
      <c r="H139" s="118"/>
    </row>
    <row r="140" spans="1:8" s="50" customFormat="1" x14ac:dyDescent="0.25">
      <c r="A140" s="61"/>
      <c r="B140" s="62"/>
      <c r="C140" s="63"/>
      <c r="D140" s="64"/>
      <c r="E140" s="103"/>
      <c r="F140" s="138"/>
      <c r="G140" s="113"/>
      <c r="H140" s="118"/>
    </row>
    <row r="141" spans="1:8" s="50" customFormat="1" x14ac:dyDescent="0.25">
      <c r="A141" s="61"/>
      <c r="B141" s="62" t="s">
        <v>47</v>
      </c>
      <c r="C141" s="63"/>
      <c r="D141" s="64"/>
      <c r="E141" s="103"/>
      <c r="F141" s="138"/>
      <c r="G141" s="113"/>
      <c r="H141" s="118"/>
    </row>
    <row r="142" spans="1:8" s="50" customFormat="1" x14ac:dyDescent="0.25">
      <c r="A142" s="61"/>
      <c r="B142" s="62"/>
      <c r="C142" s="63"/>
      <c r="D142" s="64"/>
      <c r="E142" s="103"/>
      <c r="F142" s="138"/>
      <c r="G142" s="113"/>
      <c r="H142" s="118"/>
    </row>
    <row r="143" spans="1:8" s="50" customFormat="1" x14ac:dyDescent="0.25">
      <c r="A143" s="61"/>
      <c r="B143" s="62" t="s">
        <v>118</v>
      </c>
      <c r="C143" s="63"/>
      <c r="D143" s="64"/>
      <c r="E143" s="103"/>
      <c r="F143" s="138"/>
      <c r="G143" s="113"/>
      <c r="H143" s="118"/>
    </row>
    <row r="144" spans="1:8" s="50" customFormat="1" x14ac:dyDescent="0.25">
      <c r="A144" s="61"/>
      <c r="B144" s="65"/>
      <c r="C144" s="63"/>
      <c r="D144" s="64"/>
      <c r="E144" s="103"/>
      <c r="F144" s="138"/>
      <c r="G144" s="113"/>
      <c r="H144" s="118"/>
    </row>
    <row r="145" spans="1:8" s="50" customFormat="1" x14ac:dyDescent="0.25">
      <c r="A145" s="61"/>
      <c r="B145" s="62" t="s">
        <v>119</v>
      </c>
      <c r="C145" s="63"/>
      <c r="D145" s="64"/>
      <c r="E145" s="103"/>
      <c r="F145" s="138"/>
      <c r="G145" s="113"/>
      <c r="H145" s="118"/>
    </row>
    <row r="146" spans="1:8" s="50" customFormat="1" x14ac:dyDescent="0.25">
      <c r="A146" s="61"/>
      <c r="B146" s="65"/>
      <c r="C146" s="63"/>
      <c r="D146" s="64"/>
      <c r="E146" s="103"/>
      <c r="F146" s="138"/>
      <c r="G146" s="113"/>
      <c r="H146" s="118"/>
    </row>
    <row r="147" spans="1:8" s="50" customFormat="1" ht="27.6" x14ac:dyDescent="0.25">
      <c r="A147" s="61" t="s">
        <v>120</v>
      </c>
      <c r="B147" s="65" t="s">
        <v>121</v>
      </c>
      <c r="C147" s="63">
        <v>178</v>
      </c>
      <c r="D147" s="64" t="s">
        <v>54</v>
      </c>
      <c r="E147" s="103"/>
      <c r="F147" s="137" t="s">
        <v>179</v>
      </c>
      <c r="G147" s="113"/>
      <c r="H147" s="118"/>
    </row>
    <row r="148" spans="1:8" s="50" customFormat="1" x14ac:dyDescent="0.25">
      <c r="A148" s="61"/>
      <c r="B148" s="65"/>
      <c r="C148" s="63"/>
      <c r="D148" s="64"/>
      <c r="E148" s="103"/>
      <c r="F148" s="138"/>
      <c r="G148" s="113"/>
      <c r="H148" s="118"/>
    </row>
    <row r="149" spans="1:8" s="50" customFormat="1" ht="27.6" x14ac:dyDescent="0.25">
      <c r="A149" s="61" t="s">
        <v>122</v>
      </c>
      <c r="B149" s="65" t="s">
        <v>123</v>
      </c>
      <c r="C149" s="63">
        <v>143</v>
      </c>
      <c r="D149" s="64" t="s">
        <v>7</v>
      </c>
      <c r="E149" s="103"/>
      <c r="F149" s="137" t="s">
        <v>179</v>
      </c>
      <c r="G149" s="113"/>
      <c r="H149" s="118"/>
    </row>
    <row r="150" spans="1:8" s="50" customFormat="1" x14ac:dyDescent="0.25">
      <c r="A150" s="61"/>
      <c r="B150" s="62"/>
      <c r="C150" s="63"/>
      <c r="D150" s="64"/>
      <c r="E150" s="103"/>
      <c r="F150" s="138"/>
      <c r="G150" s="113"/>
      <c r="H150" s="118"/>
    </row>
    <row r="151" spans="1:8" s="50" customFormat="1" ht="27.6" x14ac:dyDescent="0.25">
      <c r="A151" s="61" t="s">
        <v>124</v>
      </c>
      <c r="B151" s="65" t="s">
        <v>125</v>
      </c>
      <c r="C151" s="63">
        <v>143</v>
      </c>
      <c r="D151" s="64" t="s">
        <v>7</v>
      </c>
      <c r="E151" s="103"/>
      <c r="F151" s="137" t="s">
        <v>179</v>
      </c>
      <c r="G151" s="113"/>
      <c r="H151" s="118"/>
    </row>
    <row r="152" spans="1:8" x14ac:dyDescent="0.3">
      <c r="A152" s="75"/>
      <c r="B152" s="65"/>
      <c r="C152" s="63"/>
      <c r="D152" s="64"/>
      <c r="E152" s="103"/>
      <c r="F152" s="138"/>
      <c r="H152" s="118"/>
    </row>
    <row r="153" spans="1:8" ht="27.6" x14ac:dyDescent="0.3">
      <c r="A153" s="75" t="s">
        <v>126</v>
      </c>
      <c r="B153" s="65" t="s">
        <v>127</v>
      </c>
      <c r="C153" s="63">
        <v>25</v>
      </c>
      <c r="D153" s="64" t="s">
        <v>51</v>
      </c>
      <c r="E153" s="103"/>
      <c r="F153" s="137" t="s">
        <v>179</v>
      </c>
      <c r="H153" s="118"/>
    </row>
    <row r="154" spans="1:8" x14ac:dyDescent="0.3">
      <c r="A154" s="75"/>
      <c r="B154" s="65"/>
      <c r="C154" s="63"/>
      <c r="D154" s="64"/>
      <c r="E154" s="103"/>
      <c r="F154" s="138"/>
      <c r="H154" s="118"/>
    </row>
    <row r="155" spans="1:8" ht="27.6" x14ac:dyDescent="0.3">
      <c r="A155" s="75" t="s">
        <v>128</v>
      </c>
      <c r="B155" s="59" t="s">
        <v>129</v>
      </c>
      <c r="C155" s="66">
        <v>22</v>
      </c>
      <c r="D155" s="61" t="s">
        <v>54</v>
      </c>
      <c r="E155" s="103"/>
      <c r="F155" s="137" t="s">
        <v>179</v>
      </c>
      <c r="H155" s="118"/>
    </row>
    <row r="156" spans="1:8" x14ac:dyDescent="0.3">
      <c r="A156" s="75"/>
      <c r="B156" s="62"/>
      <c r="C156" s="63"/>
      <c r="D156" s="61"/>
      <c r="E156" s="103"/>
      <c r="F156" s="138"/>
      <c r="H156" s="118"/>
    </row>
    <row r="157" spans="1:8" ht="27.6" x14ac:dyDescent="0.3">
      <c r="A157" s="75" t="s">
        <v>130</v>
      </c>
      <c r="B157" s="65" t="s">
        <v>131</v>
      </c>
      <c r="C157" s="63">
        <v>264</v>
      </c>
      <c r="D157" s="61" t="s">
        <v>54</v>
      </c>
      <c r="E157" s="103"/>
      <c r="F157" s="137" t="s">
        <v>179</v>
      </c>
      <c r="H157" s="118"/>
    </row>
    <row r="158" spans="1:8" x14ac:dyDescent="0.3">
      <c r="A158" s="75"/>
      <c r="B158" s="62"/>
      <c r="C158" s="63"/>
      <c r="D158" s="61"/>
      <c r="E158" s="103"/>
      <c r="F158" s="138"/>
      <c r="H158" s="118"/>
    </row>
    <row r="159" spans="1:8" ht="27.6" x14ac:dyDescent="0.3">
      <c r="A159" s="75" t="s">
        <v>132</v>
      </c>
      <c r="B159" s="65" t="s">
        <v>127</v>
      </c>
      <c r="C159" s="63">
        <v>15</v>
      </c>
      <c r="D159" s="61" t="s">
        <v>51</v>
      </c>
      <c r="E159" s="103"/>
      <c r="F159" s="137" t="s">
        <v>179</v>
      </c>
      <c r="H159" s="118"/>
    </row>
    <row r="160" spans="1:8" x14ac:dyDescent="0.3">
      <c r="A160" s="75"/>
      <c r="B160" s="65"/>
      <c r="C160" s="63"/>
      <c r="D160" s="61"/>
      <c r="E160" s="103"/>
      <c r="F160" s="138"/>
      <c r="H160" s="118"/>
    </row>
    <row r="161" spans="1:8" ht="27.6" x14ac:dyDescent="0.3">
      <c r="A161" s="75" t="s">
        <v>133</v>
      </c>
      <c r="B161" s="65" t="s">
        <v>134</v>
      </c>
      <c r="C161" s="63">
        <v>25</v>
      </c>
      <c r="D161" s="61" t="s">
        <v>54</v>
      </c>
      <c r="E161" s="103"/>
      <c r="F161" s="137" t="s">
        <v>179</v>
      </c>
      <c r="H161" s="118"/>
    </row>
    <row r="162" spans="1:8" x14ac:dyDescent="0.3">
      <c r="A162" s="75"/>
      <c r="B162" s="65"/>
      <c r="C162" s="63"/>
      <c r="D162" s="61"/>
      <c r="E162" s="103"/>
      <c r="F162" s="138"/>
      <c r="H162" s="118"/>
    </row>
    <row r="163" spans="1:8" ht="27.6" x14ac:dyDescent="0.3">
      <c r="A163" s="75" t="s">
        <v>135</v>
      </c>
      <c r="B163" s="65" t="s">
        <v>123</v>
      </c>
      <c r="C163" s="63">
        <v>27</v>
      </c>
      <c r="D163" s="61" t="s">
        <v>7</v>
      </c>
      <c r="E163" s="103"/>
      <c r="F163" s="137" t="s">
        <v>179</v>
      </c>
      <c r="H163" s="118"/>
    </row>
    <row r="164" spans="1:8" x14ac:dyDescent="0.3">
      <c r="A164" s="75"/>
      <c r="B164" s="65"/>
      <c r="C164" s="63"/>
      <c r="D164" s="61"/>
      <c r="E164" s="103"/>
      <c r="F164" s="138"/>
      <c r="H164" s="118"/>
    </row>
    <row r="165" spans="1:8" ht="27.6" x14ac:dyDescent="0.3">
      <c r="A165" s="75" t="s">
        <v>136</v>
      </c>
      <c r="B165" s="62" t="s">
        <v>127</v>
      </c>
      <c r="C165" s="63">
        <v>4</v>
      </c>
      <c r="D165" s="61" t="s">
        <v>51</v>
      </c>
      <c r="E165" s="103"/>
      <c r="F165" s="137" t="s">
        <v>179</v>
      </c>
      <c r="H165" s="118"/>
    </row>
    <row r="166" spans="1:8" x14ac:dyDescent="0.3">
      <c r="A166" s="75"/>
      <c r="B166" s="65"/>
      <c r="C166" s="63"/>
      <c r="D166" s="61"/>
      <c r="E166" s="103"/>
      <c r="F166" s="138"/>
      <c r="H166" s="118"/>
    </row>
    <row r="167" spans="1:8" x14ac:dyDescent="0.3">
      <c r="A167" s="75"/>
      <c r="B167" s="62" t="s">
        <v>137</v>
      </c>
      <c r="C167" s="63"/>
      <c r="D167" s="61"/>
      <c r="E167" s="103"/>
      <c r="F167" s="138"/>
      <c r="H167" s="118"/>
    </row>
    <row r="168" spans="1:8" x14ac:dyDescent="0.3">
      <c r="A168" s="75"/>
      <c r="B168" s="65"/>
      <c r="C168" s="63"/>
      <c r="D168" s="61"/>
      <c r="E168" s="103"/>
      <c r="F168" s="138"/>
      <c r="H168" s="118"/>
    </row>
    <row r="169" spans="1:8" ht="27.6" x14ac:dyDescent="0.3">
      <c r="A169" s="75" t="s">
        <v>138</v>
      </c>
      <c r="B169" s="65" t="s">
        <v>139</v>
      </c>
      <c r="C169" s="63">
        <v>585</v>
      </c>
      <c r="D169" s="61" t="s">
        <v>54</v>
      </c>
      <c r="E169" s="103"/>
      <c r="F169" s="137" t="s">
        <v>179</v>
      </c>
      <c r="H169" s="118"/>
    </row>
    <row r="170" spans="1:8" x14ac:dyDescent="0.3">
      <c r="A170" s="75"/>
      <c r="B170" s="65"/>
      <c r="C170" s="63"/>
      <c r="D170" s="61"/>
      <c r="E170" s="103"/>
      <c r="F170" s="138"/>
      <c r="H170" s="118"/>
    </row>
    <row r="171" spans="1:8" x14ac:dyDescent="0.3">
      <c r="A171" s="75"/>
      <c r="B171" s="65"/>
      <c r="C171" s="63"/>
      <c r="D171" s="61"/>
      <c r="E171" s="103"/>
      <c r="F171" s="138"/>
      <c r="H171" s="118"/>
    </row>
    <row r="172" spans="1:8" x14ac:dyDescent="0.3">
      <c r="A172" s="75"/>
      <c r="B172" s="65" t="s">
        <v>140</v>
      </c>
      <c r="C172" s="63"/>
      <c r="D172" s="61"/>
      <c r="E172" s="103"/>
      <c r="F172" s="138"/>
      <c r="H172" s="118"/>
    </row>
    <row r="173" spans="1:8" x14ac:dyDescent="0.3">
      <c r="A173" s="75"/>
      <c r="B173" s="65"/>
      <c r="C173" s="63"/>
      <c r="D173" s="61"/>
      <c r="E173" s="103"/>
      <c r="F173" s="138"/>
      <c r="H173" s="118"/>
    </row>
    <row r="174" spans="1:8" ht="27.6" x14ac:dyDescent="0.3">
      <c r="A174" s="75" t="s">
        <v>141</v>
      </c>
      <c r="B174" s="62" t="s">
        <v>142</v>
      </c>
      <c r="C174" s="63">
        <v>152</v>
      </c>
      <c r="D174" s="61" t="s">
        <v>7</v>
      </c>
      <c r="E174" s="103"/>
      <c r="F174" s="137" t="s">
        <v>179</v>
      </c>
      <c r="H174" s="118"/>
    </row>
    <row r="175" spans="1:8" x14ac:dyDescent="0.3">
      <c r="A175" s="75"/>
      <c r="B175" s="65"/>
      <c r="C175" s="63"/>
      <c r="D175" s="61"/>
      <c r="E175" s="103"/>
      <c r="F175" s="138"/>
      <c r="H175" s="118"/>
    </row>
    <row r="176" spans="1:8" x14ac:dyDescent="0.3">
      <c r="A176" s="75"/>
      <c r="B176" s="65"/>
      <c r="C176" s="63"/>
      <c r="D176" s="61"/>
      <c r="E176" s="103"/>
      <c r="F176" s="138"/>
      <c r="H176" s="118"/>
    </row>
    <row r="177" spans="1:8" x14ac:dyDescent="0.3">
      <c r="A177" s="75"/>
      <c r="B177" s="65"/>
      <c r="C177" s="63"/>
      <c r="D177" s="61"/>
      <c r="E177" s="103"/>
      <c r="F177" s="138"/>
      <c r="H177" s="118"/>
    </row>
    <row r="178" spans="1:8" s="51" customFormat="1" x14ac:dyDescent="0.3">
      <c r="A178" s="83"/>
      <c r="B178" s="83"/>
      <c r="C178" s="84"/>
      <c r="D178" s="83"/>
      <c r="E178" s="107"/>
      <c r="F178" s="140"/>
      <c r="G178" s="114"/>
      <c r="H178" s="118"/>
    </row>
    <row r="179" spans="1:8" s="48" customFormat="1" ht="36" customHeight="1" x14ac:dyDescent="0.3">
      <c r="A179" s="85"/>
      <c r="B179" s="86" t="s">
        <v>13</v>
      </c>
      <c r="C179" s="87"/>
      <c r="D179" s="88"/>
      <c r="E179" s="104"/>
      <c r="F179" s="141">
        <f>SUM(F141:F177)</f>
        <v>0</v>
      </c>
      <c r="G179" s="111"/>
      <c r="H179" s="118"/>
    </row>
    <row r="180" spans="1:8" s="50" customFormat="1" x14ac:dyDescent="0.25">
      <c r="A180" s="61"/>
      <c r="B180" s="62"/>
      <c r="C180" s="63"/>
      <c r="D180" s="64"/>
      <c r="E180" s="103"/>
      <c r="F180" s="138"/>
      <c r="G180" s="113"/>
      <c r="H180" s="118"/>
    </row>
    <row r="181" spans="1:8" s="50" customFormat="1" x14ac:dyDescent="0.25">
      <c r="A181" s="61"/>
      <c r="B181" s="62" t="s">
        <v>47</v>
      </c>
      <c r="C181" s="63"/>
      <c r="D181" s="64"/>
      <c r="E181" s="103"/>
      <c r="F181" s="138"/>
      <c r="G181" s="113"/>
      <c r="H181" s="118"/>
    </row>
    <row r="182" spans="1:8" s="50" customFormat="1" x14ac:dyDescent="0.25">
      <c r="A182" s="61"/>
      <c r="B182" s="62"/>
      <c r="C182" s="63"/>
      <c r="D182" s="64"/>
      <c r="E182" s="103"/>
      <c r="F182" s="138"/>
      <c r="G182" s="113"/>
      <c r="H182" s="118"/>
    </row>
    <row r="183" spans="1:8" s="135" customFormat="1" x14ac:dyDescent="0.25">
      <c r="A183" s="120" t="s">
        <v>12</v>
      </c>
      <c r="B183" s="133" t="s">
        <v>144</v>
      </c>
      <c r="C183" s="128"/>
      <c r="D183" s="123"/>
      <c r="E183" s="124"/>
      <c r="F183" s="139" t="s">
        <v>43</v>
      </c>
      <c r="G183" s="134"/>
      <c r="H183" s="126"/>
    </row>
    <row r="184" spans="1:8" s="50" customFormat="1" x14ac:dyDescent="0.25">
      <c r="A184" s="61"/>
      <c r="B184" s="65"/>
      <c r="C184" s="63"/>
      <c r="D184" s="64"/>
      <c r="E184" s="103"/>
      <c r="F184" s="138"/>
      <c r="G184" s="113"/>
      <c r="H184" s="118"/>
    </row>
    <row r="185" spans="1:8" s="50" customFormat="1" x14ac:dyDescent="0.25">
      <c r="A185" s="61"/>
      <c r="B185" s="62" t="s">
        <v>145</v>
      </c>
      <c r="C185" s="63"/>
      <c r="D185" s="64"/>
      <c r="E185" s="103"/>
      <c r="F185" s="138"/>
      <c r="G185" s="113"/>
      <c r="H185" s="118"/>
    </row>
    <row r="186" spans="1:8" s="50" customFormat="1" x14ac:dyDescent="0.25">
      <c r="A186" s="61"/>
      <c r="B186" s="65"/>
      <c r="C186" s="63"/>
      <c r="D186" s="64"/>
      <c r="E186" s="103"/>
      <c r="F186" s="138"/>
      <c r="G186" s="113"/>
      <c r="H186" s="118"/>
    </row>
    <row r="187" spans="1:8" s="50" customFormat="1" ht="41.4" x14ac:dyDescent="0.25">
      <c r="A187" s="61" t="s">
        <v>146</v>
      </c>
      <c r="B187" s="65" t="s">
        <v>147</v>
      </c>
      <c r="C187" s="63">
        <v>1</v>
      </c>
      <c r="D187" s="64" t="s">
        <v>51</v>
      </c>
      <c r="E187" s="103"/>
      <c r="F187" s="137" t="s">
        <v>179</v>
      </c>
      <c r="G187" s="113"/>
      <c r="H187" s="118"/>
    </row>
    <row r="188" spans="1:8" s="50" customFormat="1" x14ac:dyDescent="0.25">
      <c r="A188" s="61"/>
      <c r="B188" s="65"/>
      <c r="C188" s="63"/>
      <c r="D188" s="64"/>
      <c r="E188" s="103"/>
      <c r="F188" s="138"/>
      <c r="G188" s="113"/>
      <c r="H188" s="118"/>
    </row>
    <row r="189" spans="1:8" s="50" customFormat="1" x14ac:dyDescent="0.25">
      <c r="A189" s="61"/>
      <c r="B189" s="62" t="s">
        <v>148</v>
      </c>
      <c r="C189" s="63"/>
      <c r="D189" s="64"/>
      <c r="E189" s="103"/>
      <c r="F189" s="138"/>
      <c r="G189" s="113"/>
      <c r="H189" s="118"/>
    </row>
    <row r="190" spans="1:8" s="50" customFormat="1" x14ac:dyDescent="0.25">
      <c r="A190" s="61"/>
      <c r="B190" s="65"/>
      <c r="C190" s="63"/>
      <c r="D190" s="64"/>
      <c r="E190" s="103"/>
      <c r="F190" s="138"/>
      <c r="G190" s="113"/>
      <c r="H190" s="118"/>
    </row>
    <row r="191" spans="1:8" ht="138" x14ac:dyDescent="0.3">
      <c r="A191" s="75" t="s">
        <v>149</v>
      </c>
      <c r="B191" s="65" t="s">
        <v>150</v>
      </c>
      <c r="C191" s="63">
        <v>1</v>
      </c>
      <c r="D191" s="64" t="s">
        <v>51</v>
      </c>
      <c r="E191" s="103"/>
      <c r="F191" s="137" t="s">
        <v>179</v>
      </c>
      <c r="H191" s="118"/>
    </row>
    <row r="192" spans="1:8" x14ac:dyDescent="0.3">
      <c r="A192" s="75"/>
      <c r="B192" s="65"/>
      <c r="C192" s="63"/>
      <c r="D192" s="64"/>
      <c r="E192" s="103"/>
      <c r="F192" s="138"/>
      <c r="H192" s="118"/>
    </row>
    <row r="193" spans="1:8" x14ac:dyDescent="0.3">
      <c r="A193" s="75"/>
      <c r="B193" s="59" t="s">
        <v>151</v>
      </c>
      <c r="C193" s="66"/>
      <c r="D193" s="61"/>
      <c r="E193" s="103"/>
      <c r="F193" s="138"/>
      <c r="H193" s="118"/>
    </row>
    <row r="194" spans="1:8" x14ac:dyDescent="0.3">
      <c r="A194" s="75"/>
      <c r="B194" s="62"/>
      <c r="C194" s="63"/>
      <c r="D194" s="61"/>
      <c r="E194" s="103"/>
      <c r="F194" s="138"/>
      <c r="H194" s="118"/>
    </row>
    <row r="195" spans="1:8" ht="55.2" x14ac:dyDescent="0.3">
      <c r="A195" s="75" t="s">
        <v>152</v>
      </c>
      <c r="B195" s="65" t="s">
        <v>153</v>
      </c>
      <c r="C195" s="63">
        <v>2</v>
      </c>
      <c r="D195" s="61" t="s">
        <v>51</v>
      </c>
      <c r="E195" s="103"/>
      <c r="F195" s="137" t="s">
        <v>179</v>
      </c>
      <c r="H195" s="118"/>
    </row>
    <row r="196" spans="1:8" x14ac:dyDescent="0.3">
      <c r="A196" s="75"/>
      <c r="B196" s="62"/>
      <c r="C196" s="63"/>
      <c r="D196" s="61"/>
      <c r="E196" s="103"/>
      <c r="F196" s="138"/>
      <c r="H196" s="118"/>
    </row>
    <row r="197" spans="1:8" x14ac:dyDescent="0.3">
      <c r="A197" s="75"/>
      <c r="B197" s="62" t="s">
        <v>154</v>
      </c>
      <c r="C197" s="63"/>
      <c r="D197" s="61"/>
      <c r="E197" s="103"/>
      <c r="F197" s="138"/>
      <c r="H197" s="118"/>
    </row>
    <row r="198" spans="1:8" x14ac:dyDescent="0.3">
      <c r="A198" s="75"/>
      <c r="B198" s="65"/>
      <c r="C198" s="63"/>
      <c r="D198" s="61"/>
      <c r="E198" s="103"/>
      <c r="F198" s="138"/>
      <c r="H198" s="118"/>
    </row>
    <row r="199" spans="1:8" ht="27.6" x14ac:dyDescent="0.3">
      <c r="A199" s="75" t="s">
        <v>155</v>
      </c>
      <c r="B199" s="65" t="s">
        <v>156</v>
      </c>
      <c r="C199" s="63">
        <v>4</v>
      </c>
      <c r="D199" s="61" t="s">
        <v>51</v>
      </c>
      <c r="E199" s="103"/>
      <c r="F199" s="137" t="s">
        <v>179</v>
      </c>
      <c r="H199" s="118"/>
    </row>
    <row r="200" spans="1:8" x14ac:dyDescent="0.3">
      <c r="A200" s="75"/>
      <c r="B200" s="65"/>
      <c r="C200" s="63"/>
      <c r="D200" s="61"/>
      <c r="E200" s="103"/>
      <c r="F200" s="138"/>
      <c r="H200" s="118"/>
    </row>
    <row r="201" spans="1:8" x14ac:dyDescent="0.3">
      <c r="A201" s="75"/>
      <c r="B201" s="62" t="s">
        <v>157</v>
      </c>
      <c r="C201" s="63"/>
      <c r="D201" s="61"/>
      <c r="E201" s="103"/>
      <c r="F201" s="138"/>
      <c r="H201" s="118"/>
    </row>
    <row r="202" spans="1:8" x14ac:dyDescent="0.3">
      <c r="A202" s="75"/>
      <c r="B202" s="65"/>
      <c r="C202" s="63"/>
      <c r="D202" s="61"/>
      <c r="E202" s="103"/>
      <c r="F202" s="138"/>
      <c r="H202" s="118"/>
    </row>
    <row r="203" spans="1:8" ht="27.6" x14ac:dyDescent="0.3">
      <c r="A203" s="75" t="s">
        <v>158</v>
      </c>
      <c r="B203" s="62" t="s">
        <v>159</v>
      </c>
      <c r="C203" s="63">
        <v>2</v>
      </c>
      <c r="D203" s="61" t="s">
        <v>51</v>
      </c>
      <c r="E203" s="103"/>
      <c r="F203" s="137" t="s">
        <v>179</v>
      </c>
      <c r="H203" s="118"/>
    </row>
    <row r="204" spans="1:8" x14ac:dyDescent="0.3">
      <c r="A204" s="75"/>
      <c r="B204" s="65"/>
      <c r="C204" s="63"/>
      <c r="D204" s="61"/>
      <c r="E204" s="103"/>
      <c r="F204" s="138"/>
      <c r="H204" s="118"/>
    </row>
    <row r="205" spans="1:8" x14ac:dyDescent="0.3">
      <c r="A205" s="75"/>
      <c r="B205" s="65" t="s">
        <v>160</v>
      </c>
      <c r="C205" s="63"/>
      <c r="D205" s="61"/>
      <c r="E205" s="103"/>
      <c r="F205" s="138"/>
      <c r="H205" s="118"/>
    </row>
    <row r="206" spans="1:8" x14ac:dyDescent="0.3">
      <c r="A206" s="75"/>
      <c r="B206" s="65"/>
      <c r="C206" s="63"/>
      <c r="D206" s="61"/>
      <c r="E206" s="103"/>
      <c r="F206" s="138"/>
      <c r="H206" s="118"/>
    </row>
    <row r="207" spans="1:8" ht="27.6" x14ac:dyDescent="0.3">
      <c r="A207" s="75" t="s">
        <v>161</v>
      </c>
      <c r="B207" s="65" t="s">
        <v>162</v>
      </c>
      <c r="C207" s="63">
        <v>1</v>
      </c>
      <c r="D207" s="61" t="s">
        <v>21</v>
      </c>
      <c r="E207" s="103"/>
      <c r="F207" s="137" t="s">
        <v>179</v>
      </c>
      <c r="H207" s="118"/>
    </row>
    <row r="208" spans="1:8" x14ac:dyDescent="0.3">
      <c r="A208" s="75"/>
      <c r="B208" s="65"/>
      <c r="C208" s="63"/>
      <c r="D208" s="61"/>
      <c r="E208" s="103"/>
      <c r="F208" s="138"/>
      <c r="H208" s="118"/>
    </row>
    <row r="209" spans="1:8" x14ac:dyDescent="0.3">
      <c r="A209" s="75"/>
      <c r="B209" s="62"/>
      <c r="C209" s="63"/>
      <c r="D209" s="61"/>
      <c r="E209" s="103"/>
      <c r="F209" s="138"/>
      <c r="H209" s="118"/>
    </row>
    <row r="210" spans="1:8" x14ac:dyDescent="0.3">
      <c r="A210" s="75"/>
      <c r="B210" s="65"/>
      <c r="C210" s="63"/>
      <c r="D210" s="61"/>
      <c r="E210" s="103"/>
      <c r="F210" s="138"/>
      <c r="H210" s="118"/>
    </row>
    <row r="211" spans="1:8" x14ac:dyDescent="0.3">
      <c r="A211" s="75"/>
      <c r="B211" s="65"/>
      <c r="C211" s="63"/>
      <c r="D211" s="61"/>
      <c r="E211" s="103"/>
      <c r="F211" s="138"/>
      <c r="H211" s="118"/>
    </row>
    <row r="212" spans="1:8" x14ac:dyDescent="0.3">
      <c r="A212" s="75"/>
      <c r="B212" s="65"/>
      <c r="C212" s="63"/>
      <c r="D212" s="61"/>
      <c r="E212" s="103"/>
      <c r="F212" s="138"/>
      <c r="H212" s="118"/>
    </row>
    <row r="213" spans="1:8" s="51" customFormat="1" x14ac:dyDescent="0.3">
      <c r="A213" s="83"/>
      <c r="B213" s="83"/>
      <c r="C213" s="84"/>
      <c r="D213" s="83"/>
      <c r="E213" s="107"/>
      <c r="F213" s="140"/>
      <c r="G213" s="114"/>
      <c r="H213" s="118"/>
    </row>
    <row r="214" spans="1:8" s="48" customFormat="1" ht="36" customHeight="1" x14ac:dyDescent="0.3">
      <c r="A214" s="85"/>
      <c r="B214" s="86" t="s">
        <v>13</v>
      </c>
      <c r="C214" s="87"/>
      <c r="D214" s="88"/>
      <c r="E214" s="104"/>
      <c r="F214" s="141">
        <f>SUM(F181:F212)</f>
        <v>0</v>
      </c>
      <c r="G214" s="111"/>
      <c r="H214" s="118"/>
    </row>
    <row r="215" spans="1:8" s="50" customFormat="1" x14ac:dyDescent="0.25">
      <c r="A215" s="61"/>
      <c r="B215" s="62"/>
      <c r="C215" s="63"/>
      <c r="D215" s="64"/>
      <c r="E215" s="103"/>
      <c r="F215" s="138"/>
      <c r="G215" s="113"/>
      <c r="H215" s="118"/>
    </row>
    <row r="216" spans="1:8" s="50" customFormat="1" x14ac:dyDescent="0.25">
      <c r="A216" s="61"/>
      <c r="B216" s="62" t="s">
        <v>47</v>
      </c>
      <c r="C216" s="63"/>
      <c r="D216" s="64"/>
      <c r="E216" s="103"/>
      <c r="F216" s="138"/>
      <c r="G216" s="113"/>
      <c r="H216" s="118"/>
    </row>
    <row r="217" spans="1:8" s="50" customFormat="1" x14ac:dyDescent="0.25">
      <c r="A217" s="61"/>
      <c r="B217" s="62"/>
      <c r="C217" s="63"/>
      <c r="D217" s="64"/>
      <c r="E217" s="103"/>
      <c r="F217" s="138"/>
      <c r="G217" s="113"/>
      <c r="H217" s="118"/>
    </row>
    <row r="218" spans="1:8" s="135" customFormat="1" x14ac:dyDescent="0.25">
      <c r="A218" s="120" t="s">
        <v>14</v>
      </c>
      <c r="B218" s="133" t="s">
        <v>164</v>
      </c>
      <c r="C218" s="128"/>
      <c r="D218" s="123"/>
      <c r="E218" s="124"/>
      <c r="F218" s="139"/>
      <c r="G218" s="134"/>
      <c r="H218" s="126"/>
    </row>
    <row r="219" spans="1:8" s="50" customFormat="1" x14ac:dyDescent="0.25">
      <c r="A219" s="61"/>
      <c r="B219" s="65"/>
      <c r="C219" s="63"/>
      <c r="D219" s="64"/>
      <c r="E219" s="103"/>
      <c r="F219" s="138"/>
      <c r="G219" s="113"/>
      <c r="H219" s="118"/>
    </row>
    <row r="220" spans="1:8" s="50" customFormat="1" ht="27.6" x14ac:dyDescent="0.25">
      <c r="A220" s="61" t="s">
        <v>165</v>
      </c>
      <c r="B220" s="65" t="s">
        <v>166</v>
      </c>
      <c r="C220" s="63">
        <v>1</v>
      </c>
      <c r="D220" s="64" t="s">
        <v>21</v>
      </c>
      <c r="E220" s="103"/>
      <c r="F220" s="137" t="s">
        <v>179</v>
      </c>
      <c r="G220" s="113"/>
      <c r="H220" s="118"/>
    </row>
    <row r="221" spans="1:8" s="50" customFormat="1" x14ac:dyDescent="0.25">
      <c r="A221" s="61"/>
      <c r="B221" s="65"/>
      <c r="C221" s="63"/>
      <c r="D221" s="64"/>
      <c r="E221" s="103"/>
      <c r="F221" s="138"/>
      <c r="G221" s="113"/>
      <c r="H221" s="118"/>
    </row>
    <row r="222" spans="1:8" s="50" customFormat="1" ht="27.6" x14ac:dyDescent="0.25">
      <c r="A222" s="61" t="s">
        <v>167</v>
      </c>
      <c r="B222" s="65" t="s">
        <v>168</v>
      </c>
      <c r="C222" s="63">
        <v>1</v>
      </c>
      <c r="D222" s="64" t="s">
        <v>21</v>
      </c>
      <c r="E222" s="103"/>
      <c r="F222" s="137" t="s">
        <v>179</v>
      </c>
      <c r="G222" s="113"/>
      <c r="H222" s="118"/>
    </row>
    <row r="223" spans="1:8" s="50" customFormat="1" x14ac:dyDescent="0.25">
      <c r="A223" s="61"/>
      <c r="B223" s="65"/>
      <c r="C223" s="63"/>
      <c r="D223" s="64"/>
      <c r="E223" s="103"/>
      <c r="F223" s="138"/>
      <c r="G223" s="113"/>
      <c r="H223" s="118"/>
    </row>
    <row r="224" spans="1:8" s="50" customFormat="1" ht="27.6" x14ac:dyDescent="0.25">
      <c r="A224" s="61" t="s">
        <v>169</v>
      </c>
      <c r="B224" s="65" t="s">
        <v>170</v>
      </c>
      <c r="C224" s="63">
        <v>1</v>
      </c>
      <c r="D224" s="64" t="s">
        <v>21</v>
      </c>
      <c r="E224" s="103"/>
      <c r="F224" s="137" t="s">
        <v>179</v>
      </c>
      <c r="G224" s="113"/>
      <c r="H224" s="118"/>
    </row>
    <row r="225" spans="1:8" s="50" customFormat="1" x14ac:dyDescent="0.25">
      <c r="A225" s="61"/>
      <c r="B225" s="65"/>
      <c r="C225" s="63"/>
      <c r="D225" s="64"/>
      <c r="E225" s="103"/>
      <c r="F225" s="138"/>
      <c r="G225" s="113"/>
      <c r="H225" s="118"/>
    </row>
    <row r="226" spans="1:8" x14ac:dyDescent="0.3">
      <c r="A226" s="75"/>
      <c r="B226" s="65"/>
      <c r="C226" s="63"/>
      <c r="D226" s="64"/>
      <c r="E226" s="103"/>
      <c r="F226" s="138"/>
      <c r="H226" s="118"/>
    </row>
    <row r="227" spans="1:8" x14ac:dyDescent="0.3">
      <c r="A227" s="75"/>
      <c r="B227" s="65"/>
      <c r="C227" s="63"/>
      <c r="D227" s="64"/>
      <c r="E227" s="103"/>
      <c r="F227" s="138"/>
      <c r="H227" s="118"/>
    </row>
    <row r="228" spans="1:8" x14ac:dyDescent="0.3">
      <c r="A228" s="75"/>
      <c r="B228" s="59"/>
      <c r="C228" s="66"/>
      <c r="D228" s="61"/>
      <c r="E228" s="103"/>
      <c r="F228" s="138"/>
      <c r="H228" s="118"/>
    </row>
    <row r="229" spans="1:8" x14ac:dyDescent="0.3">
      <c r="A229" s="75"/>
      <c r="B229" s="62"/>
      <c r="C229" s="63"/>
      <c r="D229" s="61"/>
      <c r="E229" s="103"/>
      <c r="F229" s="138"/>
      <c r="H229" s="118"/>
    </row>
    <row r="230" spans="1:8" x14ac:dyDescent="0.3">
      <c r="A230" s="75"/>
      <c r="B230" s="65"/>
      <c r="C230" s="63"/>
      <c r="D230" s="61"/>
      <c r="E230" s="103"/>
      <c r="F230" s="138"/>
      <c r="H230" s="118"/>
    </row>
    <row r="231" spans="1:8" x14ac:dyDescent="0.3">
      <c r="A231" s="75"/>
      <c r="B231" s="62"/>
      <c r="C231" s="63"/>
      <c r="D231" s="61"/>
      <c r="E231" s="103"/>
      <c r="F231" s="138"/>
      <c r="H231" s="118"/>
    </row>
    <row r="232" spans="1:8" x14ac:dyDescent="0.3">
      <c r="A232" s="75"/>
      <c r="B232" s="62"/>
      <c r="C232" s="63"/>
      <c r="D232" s="61"/>
      <c r="E232" s="103"/>
      <c r="F232" s="138"/>
      <c r="H232" s="118"/>
    </row>
    <row r="233" spans="1:8" x14ac:dyDescent="0.3">
      <c r="A233" s="75"/>
      <c r="B233" s="65"/>
      <c r="C233" s="63"/>
      <c r="D233" s="61"/>
      <c r="E233" s="103"/>
      <c r="F233" s="138"/>
      <c r="H233" s="118"/>
    </row>
    <row r="234" spans="1:8" x14ac:dyDescent="0.3">
      <c r="A234" s="75"/>
      <c r="B234" s="65"/>
      <c r="C234" s="63"/>
      <c r="D234" s="61"/>
      <c r="E234" s="103"/>
      <c r="F234" s="138"/>
      <c r="H234" s="118"/>
    </row>
    <row r="235" spans="1:8" x14ac:dyDescent="0.3">
      <c r="A235" s="75"/>
      <c r="B235" s="65"/>
      <c r="C235" s="63"/>
      <c r="D235" s="61"/>
      <c r="E235" s="103"/>
      <c r="F235" s="138"/>
      <c r="H235" s="118"/>
    </row>
    <row r="236" spans="1:8" x14ac:dyDescent="0.3">
      <c r="A236" s="75"/>
      <c r="B236" s="62"/>
      <c r="C236" s="63"/>
      <c r="D236" s="61"/>
      <c r="E236" s="103"/>
      <c r="F236" s="138"/>
      <c r="H236" s="118"/>
    </row>
    <row r="237" spans="1:8" x14ac:dyDescent="0.3">
      <c r="A237" s="75"/>
      <c r="B237" s="65"/>
      <c r="C237" s="63"/>
      <c r="D237" s="61"/>
      <c r="E237" s="103"/>
      <c r="F237" s="138"/>
      <c r="H237" s="118"/>
    </row>
    <row r="238" spans="1:8" x14ac:dyDescent="0.3">
      <c r="A238" s="75"/>
      <c r="B238" s="62"/>
      <c r="C238" s="63"/>
      <c r="D238" s="61"/>
      <c r="E238" s="103"/>
      <c r="F238" s="138"/>
      <c r="H238" s="118"/>
    </row>
    <row r="239" spans="1:8" x14ac:dyDescent="0.3">
      <c r="A239" s="75"/>
      <c r="B239" s="65"/>
      <c r="C239" s="63"/>
      <c r="D239" s="61"/>
      <c r="E239" s="103"/>
      <c r="F239" s="138"/>
      <c r="H239" s="118"/>
    </row>
    <row r="240" spans="1:8" x14ac:dyDescent="0.3">
      <c r="A240" s="75"/>
      <c r="B240" s="65"/>
      <c r="C240" s="63"/>
      <c r="D240" s="61"/>
      <c r="E240" s="103"/>
      <c r="F240" s="138"/>
      <c r="H240" s="118"/>
    </row>
    <row r="241" spans="1:8" x14ac:dyDescent="0.3">
      <c r="A241" s="75"/>
      <c r="B241" s="65"/>
      <c r="C241" s="63"/>
      <c r="D241" s="61"/>
      <c r="E241" s="103"/>
      <c r="F241" s="138"/>
      <c r="H241" s="118"/>
    </row>
    <row r="242" spans="1:8" x14ac:dyDescent="0.3">
      <c r="A242" s="75"/>
      <c r="B242" s="65"/>
      <c r="C242" s="63"/>
      <c r="D242" s="61"/>
      <c r="E242" s="103"/>
      <c r="F242" s="138"/>
      <c r="H242" s="118"/>
    </row>
    <row r="243" spans="1:8" x14ac:dyDescent="0.3">
      <c r="A243" s="75"/>
      <c r="B243" s="65"/>
      <c r="C243" s="63"/>
      <c r="D243" s="61"/>
      <c r="E243" s="103"/>
      <c r="F243" s="138"/>
      <c r="H243" s="118"/>
    </row>
    <row r="244" spans="1:8" x14ac:dyDescent="0.3">
      <c r="A244" s="75"/>
      <c r="B244" s="62"/>
      <c r="C244" s="63"/>
      <c r="D244" s="61"/>
      <c r="E244" s="103"/>
      <c r="F244" s="138"/>
      <c r="H244" s="118"/>
    </row>
    <row r="245" spans="1:8" x14ac:dyDescent="0.3">
      <c r="A245" s="75"/>
      <c r="B245" s="65"/>
      <c r="C245" s="63"/>
      <c r="D245" s="61"/>
      <c r="E245" s="103"/>
      <c r="F245" s="138"/>
      <c r="H245" s="118"/>
    </row>
    <row r="246" spans="1:8" x14ac:dyDescent="0.3">
      <c r="A246" s="75"/>
      <c r="B246" s="65"/>
      <c r="C246" s="63"/>
      <c r="D246" s="61"/>
      <c r="E246" s="103"/>
      <c r="F246" s="138"/>
      <c r="H246" s="118"/>
    </row>
    <row r="247" spans="1:8" x14ac:dyDescent="0.3">
      <c r="A247" s="75"/>
      <c r="B247" s="65"/>
      <c r="C247" s="63"/>
      <c r="D247" s="61"/>
      <c r="E247" s="103"/>
      <c r="F247" s="138"/>
      <c r="H247" s="118"/>
    </row>
    <row r="248" spans="1:8" s="51" customFormat="1" x14ac:dyDescent="0.3">
      <c r="A248" s="83"/>
      <c r="B248" s="83"/>
      <c r="C248" s="84"/>
      <c r="D248" s="83"/>
      <c r="E248" s="107"/>
      <c r="F248" s="140"/>
      <c r="G248" s="114"/>
      <c r="H248" s="118"/>
    </row>
    <row r="249" spans="1:8" s="48" customFormat="1" ht="36" customHeight="1" x14ac:dyDescent="0.3">
      <c r="A249" s="85"/>
      <c r="B249" s="86" t="s">
        <v>13</v>
      </c>
      <c r="C249" s="87"/>
      <c r="D249" s="88"/>
      <c r="E249" s="104"/>
      <c r="F249" s="141">
        <f>SUM(F216:F247)</f>
        <v>0</v>
      </c>
      <c r="G249" s="111"/>
      <c r="H249" s="118"/>
    </row>
    <row r="250" spans="1:8" s="50" customFormat="1" x14ac:dyDescent="0.25">
      <c r="A250" s="61"/>
      <c r="B250" s="62"/>
      <c r="C250" s="63"/>
      <c r="D250" s="64"/>
      <c r="E250" s="103"/>
      <c r="F250" s="138"/>
      <c r="G250" s="113"/>
      <c r="H250" s="118"/>
    </row>
    <row r="251" spans="1:8" s="50" customFormat="1" x14ac:dyDescent="0.25">
      <c r="A251" s="61"/>
      <c r="B251" s="62" t="s">
        <v>47</v>
      </c>
      <c r="C251" s="63"/>
      <c r="D251" s="64"/>
      <c r="E251" s="103"/>
      <c r="F251" s="138"/>
      <c r="G251" s="113"/>
      <c r="H251" s="118"/>
    </row>
    <row r="252" spans="1:8" s="50" customFormat="1" x14ac:dyDescent="0.25">
      <c r="A252" s="61"/>
      <c r="B252" s="62"/>
      <c r="C252" s="63"/>
      <c r="D252" s="64"/>
      <c r="E252" s="103"/>
      <c r="F252" s="138"/>
      <c r="G252" s="113"/>
      <c r="H252" s="118"/>
    </row>
    <row r="253" spans="1:8" s="135" customFormat="1" x14ac:dyDescent="0.25">
      <c r="A253" s="120" t="s">
        <v>172</v>
      </c>
      <c r="B253" s="133" t="s">
        <v>175</v>
      </c>
      <c r="C253" s="128"/>
      <c r="D253" s="123"/>
      <c r="E253" s="124"/>
      <c r="F253" s="139"/>
      <c r="G253" s="134"/>
      <c r="H253" s="126"/>
    </row>
    <row r="254" spans="1:8" s="50" customFormat="1" x14ac:dyDescent="0.25">
      <c r="A254" s="61"/>
      <c r="B254" s="65"/>
      <c r="C254" s="63"/>
      <c r="D254" s="64"/>
      <c r="E254" s="103"/>
      <c r="F254" s="138"/>
      <c r="G254" s="113"/>
      <c r="H254" s="118"/>
    </row>
    <row r="255" spans="1:8" s="50" customFormat="1" x14ac:dyDescent="0.25">
      <c r="A255" s="61" t="s">
        <v>173</v>
      </c>
      <c r="B255" s="65" t="s">
        <v>177</v>
      </c>
      <c r="C255" s="63">
        <v>1</v>
      </c>
      <c r="D255" s="64" t="s">
        <v>21</v>
      </c>
      <c r="E255" s="103"/>
      <c r="F255" s="138">
        <f>+C255*E255</f>
        <v>0</v>
      </c>
      <c r="G255" s="113"/>
      <c r="H255" s="118"/>
    </row>
    <row r="256" spans="1:8" s="50" customFormat="1" ht="27.6" x14ac:dyDescent="0.25">
      <c r="A256" s="61"/>
      <c r="B256" s="65"/>
      <c r="C256" s="63"/>
      <c r="D256" s="64"/>
      <c r="E256" s="103"/>
      <c r="F256" s="137" t="s">
        <v>179</v>
      </c>
      <c r="G256" s="113"/>
      <c r="H256" s="118"/>
    </row>
    <row r="257" spans="1:8" s="50" customFormat="1" ht="27.6" x14ac:dyDescent="0.25">
      <c r="A257" s="61" t="s">
        <v>174</v>
      </c>
      <c r="B257" s="65" t="s">
        <v>178</v>
      </c>
      <c r="C257" s="63">
        <v>1</v>
      </c>
      <c r="D257" s="64" t="s">
        <v>45</v>
      </c>
      <c r="E257" s="103"/>
      <c r="F257" s="137" t="s">
        <v>179</v>
      </c>
      <c r="G257" s="113"/>
      <c r="H257" s="118"/>
    </row>
    <row r="258" spans="1:8" s="50" customFormat="1" x14ac:dyDescent="0.25">
      <c r="A258" s="61"/>
      <c r="B258" s="65"/>
      <c r="C258" s="63"/>
      <c r="D258" s="64"/>
      <c r="E258" s="103"/>
      <c r="F258" s="138"/>
      <c r="G258" s="113"/>
      <c r="H258" s="118"/>
    </row>
    <row r="259" spans="1:8" x14ac:dyDescent="0.3">
      <c r="A259" s="75"/>
      <c r="B259" s="65"/>
      <c r="C259" s="63"/>
      <c r="D259" s="64"/>
      <c r="E259" s="103"/>
      <c r="F259" s="138"/>
      <c r="H259" s="118"/>
    </row>
    <row r="260" spans="1:8" x14ac:dyDescent="0.3">
      <c r="A260" s="75"/>
      <c r="B260" s="65"/>
      <c r="C260" s="63"/>
      <c r="D260" s="64"/>
      <c r="E260" s="103"/>
      <c r="F260" s="138"/>
      <c r="H260" s="118"/>
    </row>
    <row r="261" spans="1:8" x14ac:dyDescent="0.3">
      <c r="A261" s="75"/>
      <c r="B261" s="59"/>
      <c r="C261" s="66"/>
      <c r="D261" s="61"/>
      <c r="E261" s="103"/>
      <c r="F261" s="138"/>
      <c r="H261" s="118"/>
    </row>
    <row r="262" spans="1:8" x14ac:dyDescent="0.3">
      <c r="A262" s="75"/>
      <c r="B262" s="62"/>
      <c r="C262" s="63"/>
      <c r="D262" s="61"/>
      <c r="E262" s="103"/>
      <c r="F262" s="138"/>
      <c r="H262" s="118"/>
    </row>
    <row r="263" spans="1:8" x14ac:dyDescent="0.3">
      <c r="A263" s="75"/>
      <c r="B263" s="65"/>
      <c r="C263" s="63"/>
      <c r="D263" s="61"/>
      <c r="E263" s="103"/>
      <c r="F263" s="138"/>
      <c r="H263" s="118"/>
    </row>
    <row r="264" spans="1:8" x14ac:dyDescent="0.3">
      <c r="A264" s="75"/>
      <c r="B264" s="62"/>
      <c r="C264" s="63"/>
      <c r="D264" s="61"/>
      <c r="E264" s="103"/>
      <c r="F264" s="138"/>
      <c r="H264" s="118"/>
    </row>
    <row r="265" spans="1:8" x14ac:dyDescent="0.3">
      <c r="A265" s="75"/>
      <c r="B265" s="62"/>
      <c r="C265" s="63"/>
      <c r="D265" s="61"/>
      <c r="E265" s="103"/>
      <c r="F265" s="138"/>
      <c r="H265" s="118"/>
    </row>
    <row r="266" spans="1:8" x14ac:dyDescent="0.3">
      <c r="A266" s="75"/>
      <c r="B266" s="65"/>
      <c r="C266" s="63"/>
      <c r="D266" s="61"/>
      <c r="E266" s="103"/>
      <c r="F266" s="138"/>
      <c r="H266" s="118"/>
    </row>
    <row r="267" spans="1:8" x14ac:dyDescent="0.3">
      <c r="A267" s="75"/>
      <c r="B267" s="65"/>
      <c r="C267" s="63"/>
      <c r="D267" s="61"/>
      <c r="E267" s="103"/>
      <c r="F267" s="138"/>
      <c r="H267" s="118"/>
    </row>
    <row r="268" spans="1:8" x14ac:dyDescent="0.3">
      <c r="A268" s="75"/>
      <c r="B268" s="65"/>
      <c r="C268" s="63"/>
      <c r="D268" s="61"/>
      <c r="E268" s="103"/>
      <c r="F268" s="138"/>
      <c r="H268" s="118"/>
    </row>
    <row r="269" spans="1:8" x14ac:dyDescent="0.3">
      <c r="A269" s="75"/>
      <c r="B269" s="62"/>
      <c r="C269" s="63"/>
      <c r="D269" s="61"/>
      <c r="E269" s="103"/>
      <c r="F269" s="138"/>
      <c r="H269" s="118"/>
    </row>
    <row r="270" spans="1:8" x14ac:dyDescent="0.3">
      <c r="A270" s="75"/>
      <c r="B270" s="65"/>
      <c r="C270" s="63"/>
      <c r="D270" s="61"/>
      <c r="E270" s="103"/>
      <c r="F270" s="138"/>
      <c r="H270" s="118"/>
    </row>
    <row r="271" spans="1:8" x14ac:dyDescent="0.3">
      <c r="A271" s="75"/>
      <c r="B271" s="62"/>
      <c r="C271" s="63"/>
      <c r="D271" s="61"/>
      <c r="E271" s="103"/>
      <c r="F271" s="138"/>
      <c r="H271" s="118"/>
    </row>
    <row r="272" spans="1:8" x14ac:dyDescent="0.3">
      <c r="A272" s="75"/>
      <c r="B272" s="65"/>
      <c r="C272" s="63"/>
      <c r="D272" s="61"/>
      <c r="E272" s="103"/>
      <c r="F272" s="138"/>
      <c r="H272" s="118"/>
    </row>
    <row r="273" spans="1:8" x14ac:dyDescent="0.3">
      <c r="A273" s="75"/>
      <c r="B273" s="65"/>
      <c r="C273" s="63"/>
      <c r="D273" s="61"/>
      <c r="E273" s="103"/>
      <c r="F273" s="138"/>
      <c r="H273" s="118"/>
    </row>
    <row r="274" spans="1:8" x14ac:dyDescent="0.3">
      <c r="A274" s="75"/>
      <c r="B274" s="65"/>
      <c r="C274" s="63"/>
      <c r="D274" s="61"/>
      <c r="E274" s="103"/>
      <c r="F274" s="138"/>
      <c r="H274" s="118"/>
    </row>
    <row r="275" spans="1:8" x14ac:dyDescent="0.3">
      <c r="A275" s="75"/>
      <c r="B275" s="65"/>
      <c r="C275" s="63"/>
      <c r="D275" s="61"/>
      <c r="E275" s="103"/>
      <c r="F275" s="138"/>
      <c r="H275" s="118"/>
    </row>
    <row r="276" spans="1:8" x14ac:dyDescent="0.3">
      <c r="A276" s="75"/>
      <c r="B276" s="65"/>
      <c r="C276" s="63"/>
      <c r="D276" s="61"/>
      <c r="E276" s="103"/>
      <c r="F276" s="138"/>
      <c r="H276" s="118"/>
    </row>
    <row r="277" spans="1:8" x14ac:dyDescent="0.3">
      <c r="A277" s="75"/>
      <c r="B277" s="62"/>
      <c r="C277" s="63"/>
      <c r="D277" s="61"/>
      <c r="E277" s="103"/>
      <c r="F277" s="138"/>
      <c r="H277" s="118"/>
    </row>
    <row r="278" spans="1:8" x14ac:dyDescent="0.3">
      <c r="A278" s="75"/>
      <c r="B278" s="65"/>
      <c r="C278" s="63"/>
      <c r="D278" s="61"/>
      <c r="E278" s="103"/>
      <c r="F278" s="138"/>
      <c r="H278" s="118"/>
    </row>
    <row r="279" spans="1:8" x14ac:dyDescent="0.3">
      <c r="A279" s="75"/>
      <c r="B279" s="65"/>
      <c r="C279" s="63"/>
      <c r="D279" s="61"/>
      <c r="E279" s="103"/>
      <c r="F279" s="138"/>
      <c r="H279" s="118"/>
    </row>
    <row r="280" spans="1:8" x14ac:dyDescent="0.3">
      <c r="A280" s="75"/>
      <c r="B280" s="65"/>
      <c r="C280" s="63"/>
      <c r="D280" s="61"/>
      <c r="E280" s="103"/>
      <c r="F280" s="138"/>
      <c r="H280" s="118"/>
    </row>
    <row r="281" spans="1:8" s="51" customFormat="1" x14ac:dyDescent="0.3">
      <c r="A281" s="83"/>
      <c r="B281" s="83"/>
      <c r="C281" s="84"/>
      <c r="D281" s="83"/>
      <c r="E281" s="107"/>
      <c r="F281" s="140"/>
      <c r="G281" s="114"/>
      <c r="H281" s="118"/>
    </row>
    <row r="282" spans="1:8" s="48" customFormat="1" ht="36" customHeight="1" x14ac:dyDescent="0.3">
      <c r="A282" s="85"/>
      <c r="B282" s="86" t="s">
        <v>13</v>
      </c>
      <c r="C282" s="87"/>
      <c r="D282" s="88"/>
      <c r="E282" s="104"/>
      <c r="F282" s="141">
        <f>SUM(F251:F280)</f>
        <v>0</v>
      </c>
      <c r="G282" s="111"/>
      <c r="H282" s="118"/>
    </row>
    <row r="283" spans="1:8" x14ac:dyDescent="0.3">
      <c r="A283" s="61"/>
      <c r="B283" s="65"/>
      <c r="C283" s="63"/>
      <c r="D283" s="64"/>
      <c r="E283" s="103"/>
      <c r="F283" s="138"/>
      <c r="H283" s="118"/>
    </row>
    <row r="284" spans="1:8" x14ac:dyDescent="0.3">
      <c r="A284" s="61"/>
      <c r="B284" s="65"/>
      <c r="C284" s="63"/>
      <c r="D284" s="64"/>
      <c r="E284" s="103"/>
      <c r="F284" s="138"/>
      <c r="H284" s="118"/>
    </row>
    <row r="285" spans="1:8" x14ac:dyDescent="0.3">
      <c r="A285" s="61"/>
      <c r="B285" s="65"/>
      <c r="C285" s="63"/>
      <c r="D285" s="64"/>
      <c r="E285" s="103"/>
      <c r="F285" s="138"/>
      <c r="H285" s="118"/>
    </row>
    <row r="286" spans="1:8" x14ac:dyDescent="0.3">
      <c r="A286" s="61"/>
      <c r="B286" s="89" t="s">
        <v>15</v>
      </c>
      <c r="C286" s="63"/>
      <c r="D286" s="64"/>
      <c r="E286" s="103"/>
      <c r="F286" s="138"/>
      <c r="H286" s="118"/>
    </row>
    <row r="287" spans="1:8" x14ac:dyDescent="0.3">
      <c r="A287" s="61"/>
      <c r="B287" s="65"/>
      <c r="C287" s="63"/>
      <c r="D287" s="64"/>
      <c r="E287" s="103"/>
      <c r="F287" s="138"/>
      <c r="H287" s="118"/>
    </row>
    <row r="288" spans="1:8" x14ac:dyDescent="0.3">
      <c r="A288" s="61"/>
      <c r="B288" s="90" t="s">
        <v>46</v>
      </c>
      <c r="C288" s="66"/>
      <c r="D288" s="61"/>
      <c r="E288" s="103"/>
      <c r="F288" s="138">
        <f>+F40</f>
        <v>0</v>
      </c>
      <c r="H288" s="118"/>
    </row>
    <row r="289" spans="1:8" x14ac:dyDescent="0.3">
      <c r="A289" s="61"/>
      <c r="B289" s="65"/>
      <c r="C289" s="63"/>
      <c r="D289" s="61"/>
      <c r="E289" s="103"/>
      <c r="F289" s="138"/>
      <c r="H289" s="118"/>
    </row>
    <row r="290" spans="1:8" x14ac:dyDescent="0.3">
      <c r="A290" s="61"/>
      <c r="B290" s="90" t="s">
        <v>94</v>
      </c>
      <c r="C290" s="63"/>
      <c r="D290" s="61"/>
      <c r="E290" s="103"/>
      <c r="F290" s="138">
        <f>+F73</f>
        <v>0</v>
      </c>
      <c r="H290" s="118"/>
    </row>
    <row r="291" spans="1:8" x14ac:dyDescent="0.3">
      <c r="A291" s="61"/>
      <c r="B291" s="65"/>
      <c r="C291" s="63"/>
      <c r="D291" s="61"/>
      <c r="E291" s="103"/>
      <c r="F291" s="138"/>
      <c r="H291" s="118"/>
    </row>
    <row r="292" spans="1:8" x14ac:dyDescent="0.3">
      <c r="A292" s="61"/>
      <c r="B292" s="90" t="s">
        <v>95</v>
      </c>
      <c r="C292" s="63"/>
      <c r="D292" s="61"/>
      <c r="E292" s="103"/>
      <c r="F292" s="138">
        <f>+F102</f>
        <v>0</v>
      </c>
      <c r="H292" s="118"/>
    </row>
    <row r="293" spans="1:8" x14ac:dyDescent="0.3">
      <c r="A293" s="61"/>
      <c r="B293" s="90"/>
      <c r="C293" s="63"/>
      <c r="D293" s="61"/>
      <c r="E293" s="103"/>
      <c r="F293" s="138"/>
      <c r="H293" s="118"/>
    </row>
    <row r="294" spans="1:8" x14ac:dyDescent="0.3">
      <c r="A294" s="61"/>
      <c r="B294" s="90" t="s">
        <v>117</v>
      </c>
      <c r="C294" s="63"/>
      <c r="D294" s="61"/>
      <c r="E294" s="103"/>
      <c r="F294" s="138">
        <f>+F139</f>
        <v>0</v>
      </c>
      <c r="H294" s="118"/>
    </row>
    <row r="295" spans="1:8" x14ac:dyDescent="0.3">
      <c r="A295" s="61"/>
      <c r="B295" s="90"/>
      <c r="C295" s="63"/>
      <c r="D295" s="61"/>
      <c r="E295" s="103"/>
      <c r="F295" s="138"/>
      <c r="H295" s="118"/>
    </row>
    <row r="296" spans="1:8" x14ac:dyDescent="0.3">
      <c r="A296" s="61"/>
      <c r="B296" s="90" t="s">
        <v>143</v>
      </c>
      <c r="C296" s="63"/>
      <c r="D296" s="61"/>
      <c r="E296" s="103"/>
      <c r="F296" s="138">
        <f>+F179</f>
        <v>0</v>
      </c>
      <c r="H296" s="118"/>
    </row>
    <row r="297" spans="1:8" x14ac:dyDescent="0.3">
      <c r="A297" s="61"/>
      <c r="B297" s="90"/>
      <c r="C297" s="63"/>
      <c r="D297" s="61"/>
      <c r="E297" s="103"/>
      <c r="F297" s="138"/>
      <c r="H297" s="118"/>
    </row>
    <row r="298" spans="1:8" x14ac:dyDescent="0.3">
      <c r="A298" s="61"/>
      <c r="B298" s="90" t="s">
        <v>163</v>
      </c>
      <c r="C298" s="63"/>
      <c r="D298" s="61"/>
      <c r="E298" s="103"/>
      <c r="F298" s="138">
        <f>+F214</f>
        <v>0</v>
      </c>
      <c r="H298" s="118"/>
    </row>
    <row r="299" spans="1:8" x14ac:dyDescent="0.3">
      <c r="A299" s="61"/>
      <c r="B299" s="90"/>
      <c r="C299" s="63"/>
      <c r="D299" s="61"/>
      <c r="E299" s="103"/>
      <c r="F299" s="138"/>
      <c r="H299" s="118"/>
    </row>
    <row r="300" spans="1:8" x14ac:dyDescent="0.3">
      <c r="A300" s="61"/>
      <c r="B300" s="90" t="s">
        <v>171</v>
      </c>
      <c r="C300" s="63"/>
      <c r="D300" s="61"/>
      <c r="E300" s="103"/>
      <c r="F300" s="138">
        <f>+F249</f>
        <v>0</v>
      </c>
      <c r="H300" s="118"/>
    </row>
    <row r="301" spans="1:8" x14ac:dyDescent="0.3">
      <c r="A301" s="61"/>
      <c r="B301" s="90"/>
      <c r="C301" s="63"/>
      <c r="D301" s="61"/>
      <c r="E301" s="103"/>
      <c r="F301" s="138"/>
      <c r="H301" s="118"/>
    </row>
    <row r="302" spans="1:8" x14ac:dyDescent="0.3">
      <c r="A302" s="61"/>
      <c r="B302" s="90" t="s">
        <v>176</v>
      </c>
      <c r="C302" s="63"/>
      <c r="D302" s="61"/>
      <c r="E302" s="103"/>
      <c r="F302" s="138">
        <f>+F282</f>
        <v>0</v>
      </c>
      <c r="H302" s="118"/>
    </row>
    <row r="303" spans="1:8" x14ac:dyDescent="0.3">
      <c r="A303" s="61"/>
      <c r="B303" s="90"/>
      <c r="C303" s="63"/>
      <c r="D303" s="61"/>
      <c r="E303" s="103"/>
      <c r="F303" s="138"/>
      <c r="H303" s="118"/>
    </row>
    <row r="304" spans="1:8" x14ac:dyDescent="0.3">
      <c r="A304" s="61"/>
      <c r="B304" s="90"/>
      <c r="C304" s="63"/>
      <c r="D304" s="61"/>
      <c r="E304" s="103"/>
      <c r="F304" s="138"/>
      <c r="H304" s="118"/>
    </row>
    <row r="305" spans="1:8" x14ac:dyDescent="0.3">
      <c r="A305" s="61"/>
      <c r="B305" s="90"/>
      <c r="C305" s="63"/>
      <c r="D305" s="61"/>
      <c r="E305" s="103"/>
      <c r="F305" s="138"/>
      <c r="H305" s="118"/>
    </row>
    <row r="306" spans="1:8" x14ac:dyDescent="0.3">
      <c r="A306" s="61"/>
      <c r="B306" s="90"/>
      <c r="C306" s="63"/>
      <c r="D306" s="61"/>
      <c r="E306" s="103"/>
      <c r="F306" s="138"/>
      <c r="H306" s="118"/>
    </row>
    <row r="307" spans="1:8" x14ac:dyDescent="0.3">
      <c r="A307" s="61"/>
      <c r="B307" s="90"/>
      <c r="C307" s="63"/>
      <c r="D307" s="61"/>
      <c r="E307" s="103"/>
      <c r="F307" s="138"/>
      <c r="H307" s="118"/>
    </row>
    <row r="308" spans="1:8" x14ac:dyDescent="0.3">
      <c r="A308" s="61"/>
      <c r="B308" s="90"/>
      <c r="C308" s="63"/>
      <c r="D308" s="61"/>
      <c r="E308" s="103"/>
      <c r="F308" s="138"/>
      <c r="H308" s="118"/>
    </row>
    <row r="309" spans="1:8" x14ac:dyDescent="0.3">
      <c r="A309" s="61"/>
      <c r="B309" s="90"/>
      <c r="C309" s="63"/>
      <c r="D309" s="61"/>
      <c r="E309" s="103"/>
      <c r="F309" s="138"/>
      <c r="H309" s="118"/>
    </row>
    <row r="310" spans="1:8" x14ac:dyDescent="0.3">
      <c r="A310" s="61"/>
      <c r="B310" s="90"/>
      <c r="C310" s="63"/>
      <c r="D310" s="61"/>
      <c r="E310" s="103"/>
      <c r="F310" s="138"/>
      <c r="H310" s="118"/>
    </row>
    <row r="311" spans="1:8" x14ac:dyDescent="0.3">
      <c r="A311" s="61"/>
      <c r="B311" s="90"/>
      <c r="C311" s="63"/>
      <c r="D311" s="61"/>
      <c r="E311" s="103"/>
      <c r="F311" s="138"/>
      <c r="H311" s="118"/>
    </row>
    <row r="312" spans="1:8" x14ac:dyDescent="0.3">
      <c r="A312" s="61"/>
      <c r="B312" s="90"/>
      <c r="C312" s="63"/>
      <c r="D312" s="61"/>
      <c r="E312" s="103"/>
      <c r="F312" s="138"/>
      <c r="H312" s="118"/>
    </row>
    <row r="313" spans="1:8" x14ac:dyDescent="0.3">
      <c r="A313" s="61"/>
      <c r="B313" s="90"/>
      <c r="C313" s="63"/>
      <c r="D313" s="61"/>
      <c r="E313" s="103"/>
      <c r="F313" s="138"/>
      <c r="H313" s="118"/>
    </row>
    <row r="314" spans="1:8" x14ac:dyDescent="0.3">
      <c r="A314" s="61"/>
      <c r="B314" s="90"/>
      <c r="C314" s="63"/>
      <c r="D314" s="61"/>
      <c r="E314" s="103"/>
      <c r="F314" s="138"/>
      <c r="H314" s="118"/>
    </row>
    <row r="315" spans="1:8" x14ac:dyDescent="0.3">
      <c r="A315" s="61"/>
      <c r="B315" s="90"/>
      <c r="C315" s="63"/>
      <c r="D315" s="61"/>
      <c r="E315" s="103"/>
      <c r="F315" s="138"/>
      <c r="H315" s="118"/>
    </row>
    <row r="316" spans="1:8" x14ac:dyDescent="0.3">
      <c r="A316" s="61"/>
      <c r="B316" s="90"/>
      <c r="C316" s="63"/>
      <c r="D316" s="61"/>
      <c r="E316" s="103"/>
      <c r="F316" s="138"/>
      <c r="H316" s="118"/>
    </row>
    <row r="317" spans="1:8" x14ac:dyDescent="0.3">
      <c r="A317" s="61"/>
      <c r="B317" s="90"/>
      <c r="C317" s="63"/>
      <c r="D317" s="61"/>
      <c r="E317" s="103"/>
      <c r="F317" s="138"/>
      <c r="H317" s="118"/>
    </row>
    <row r="318" spans="1:8" x14ac:dyDescent="0.3">
      <c r="A318" s="61"/>
      <c r="B318" s="90"/>
      <c r="C318" s="63"/>
      <c r="D318" s="61"/>
      <c r="E318" s="103"/>
      <c r="F318" s="138"/>
      <c r="H318" s="118"/>
    </row>
    <row r="319" spans="1:8" x14ac:dyDescent="0.3">
      <c r="A319" s="61"/>
      <c r="B319" s="90"/>
      <c r="C319" s="63"/>
      <c r="D319" s="61"/>
      <c r="E319" s="103"/>
      <c r="F319" s="138"/>
      <c r="H319" s="118"/>
    </row>
    <row r="320" spans="1:8" x14ac:dyDescent="0.3">
      <c r="A320" s="61"/>
      <c r="B320" s="90"/>
      <c r="C320" s="63"/>
      <c r="D320" s="61"/>
      <c r="E320" s="103"/>
      <c r="F320" s="138"/>
      <c r="H320" s="118"/>
    </row>
    <row r="321" spans="1:8" x14ac:dyDescent="0.3">
      <c r="A321" s="61"/>
      <c r="B321" s="90"/>
      <c r="C321" s="63"/>
      <c r="D321" s="61"/>
      <c r="E321" s="103"/>
      <c r="F321" s="138"/>
      <c r="H321" s="118"/>
    </row>
    <row r="322" spans="1:8" x14ac:dyDescent="0.3">
      <c r="A322" s="61"/>
      <c r="B322" s="90"/>
      <c r="C322" s="63"/>
      <c r="D322" s="61"/>
      <c r="E322" s="103"/>
      <c r="F322" s="138"/>
      <c r="H322" s="118"/>
    </row>
    <row r="323" spans="1:8" x14ac:dyDescent="0.3">
      <c r="A323" s="61"/>
      <c r="B323" s="90"/>
      <c r="C323" s="63"/>
      <c r="D323" s="61"/>
      <c r="E323" s="103"/>
      <c r="F323" s="138"/>
      <c r="H323" s="118"/>
    </row>
    <row r="324" spans="1:8" x14ac:dyDescent="0.3">
      <c r="A324" s="61"/>
      <c r="B324" s="90"/>
      <c r="C324" s="63"/>
      <c r="D324" s="61"/>
      <c r="E324" s="103"/>
      <c r="F324" s="138"/>
      <c r="H324" s="118"/>
    </row>
    <row r="325" spans="1:8" x14ac:dyDescent="0.3">
      <c r="A325" s="61"/>
      <c r="B325" s="90"/>
      <c r="C325" s="63"/>
      <c r="D325" s="61"/>
      <c r="E325" s="103"/>
      <c r="F325" s="138"/>
      <c r="H325" s="118"/>
    </row>
    <row r="326" spans="1:8" x14ac:dyDescent="0.3">
      <c r="A326" s="61"/>
      <c r="B326" s="90"/>
      <c r="C326" s="63"/>
      <c r="D326" s="61"/>
      <c r="E326" s="103"/>
      <c r="F326" s="138"/>
      <c r="H326" s="118"/>
    </row>
    <row r="327" spans="1:8" x14ac:dyDescent="0.3">
      <c r="A327" s="61"/>
      <c r="B327" s="90"/>
      <c r="C327" s="63"/>
      <c r="D327" s="61"/>
      <c r="E327" s="103"/>
      <c r="F327" s="138"/>
      <c r="H327" s="118"/>
    </row>
    <row r="328" spans="1:8" x14ac:dyDescent="0.3">
      <c r="A328" s="61"/>
      <c r="B328" s="65"/>
      <c r="C328" s="63"/>
      <c r="D328" s="61"/>
      <c r="E328" s="103"/>
      <c r="F328" s="138"/>
      <c r="H328" s="118"/>
    </row>
    <row r="329" spans="1:8" s="51" customFormat="1" x14ac:dyDescent="0.3">
      <c r="A329" s="83"/>
      <c r="B329" s="83"/>
      <c r="C329" s="84"/>
      <c r="D329" s="83"/>
      <c r="E329" s="107"/>
      <c r="F329" s="140"/>
      <c r="G329" s="114"/>
      <c r="H329" s="118"/>
    </row>
    <row r="330" spans="1:8" s="48" customFormat="1" ht="36" customHeight="1" x14ac:dyDescent="0.3">
      <c r="A330" s="71"/>
      <c r="B330" s="72" t="s">
        <v>25</v>
      </c>
      <c r="C330" s="73"/>
      <c r="D330" s="74"/>
      <c r="E330" s="106"/>
      <c r="F330" s="141">
        <f>SUM(F285:F328)</f>
        <v>0</v>
      </c>
      <c r="G330" s="111"/>
      <c r="H330" s="118"/>
    </row>
  </sheetData>
  <autoFilter ref="A1:F102" xr:uid="{00000000-0001-0000-0100-000000000000}"/>
  <mergeCells count="4">
    <mergeCell ref="A1:A2"/>
    <mergeCell ref="B1:B2"/>
    <mergeCell ref="C1:C2"/>
    <mergeCell ref="D1:D2"/>
  </mergeCells>
  <phoneticPr fontId="18" type="noConversion"/>
  <dataValidations count="1">
    <dataValidation type="textLength" allowBlank="1" showInputMessage="1" showErrorMessage="1" sqref="A1:B1 B4 A3:A4 E1:E5" xr:uid="{00000000-0002-0000-0100-000000000000}">
      <formula1>1</formula1>
      <formula2>1000</formula2>
    </dataValidation>
  </dataValidations>
  <printOptions horizontalCentered="1"/>
  <pageMargins left="0.51181102362204722" right="0.51181102362204722" top="1.1811023622047245" bottom="0.74803149606299213" header="0.31496062992125984" footer="0.31496062992125984"/>
  <pageSetup paperSize="9" scale="89" fitToHeight="0" orientation="portrait" r:id="rId1"/>
  <headerFooter>
    <oddHeader>&amp;R&amp;"Arial,Regular"&amp;U
BILL NO. 9 - OFFICES</oddHeader>
    <oddFooter>&amp;L&amp;"Arial,Regular"&amp;8DMS 148704 BOQ - Nakheel Mall Al Khail &amp;C&amp;"Arial,Regular"&amp;9B9/OFFICES/&amp;P</oddFooter>
  </headerFooter>
  <rowBreaks count="8" manualBreakCount="8">
    <brk id="40" max="5" man="1"/>
    <brk id="73" max="5" man="1"/>
    <brk id="102" max="5" man="1"/>
    <brk id="139" max="5" man="1"/>
    <brk id="179" max="5" man="1"/>
    <brk id="214" max="5" man="1"/>
    <brk id="249" max="5" man="1"/>
    <brk id="282"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90EFE-8C3B-408E-9F30-8C5157F4B989}">
  <dimension ref="A1:L99"/>
  <sheetViews>
    <sheetView view="pageBreakPreview" zoomScale="90" zoomScaleNormal="90" zoomScaleSheetLayoutView="90" zoomScalePageLayoutView="85" workbookViewId="0">
      <selection sqref="A1:A2"/>
    </sheetView>
  </sheetViews>
  <sheetFormatPr defaultColWidth="8.6640625" defaultRowHeight="13.8" x14ac:dyDescent="0.25"/>
  <cols>
    <col min="1" max="1" width="5.6640625" style="12" customWidth="1"/>
    <col min="2" max="2" width="55.6640625" style="12" customWidth="1"/>
    <col min="3" max="3" width="17.88671875" style="25" customWidth="1"/>
    <col min="4" max="4" width="15.6640625" style="26" customWidth="1"/>
    <col min="5" max="5" width="27.44140625" style="11" customWidth="1"/>
    <col min="6" max="16384" width="8.6640625" style="12"/>
  </cols>
  <sheetData>
    <row r="1" spans="1:5" s="3" customFormat="1" ht="18.75" customHeight="1" x14ac:dyDescent="0.25">
      <c r="A1" s="150" t="s">
        <v>0</v>
      </c>
      <c r="B1" s="150" t="s">
        <v>1</v>
      </c>
      <c r="C1" s="152" t="s">
        <v>17</v>
      </c>
      <c r="D1" s="154" t="s">
        <v>18</v>
      </c>
      <c r="E1" s="2"/>
    </row>
    <row r="2" spans="1:5" s="4" customFormat="1" ht="18.75" customHeight="1" x14ac:dyDescent="0.3">
      <c r="A2" s="151"/>
      <c r="B2" s="151"/>
      <c r="C2" s="153"/>
      <c r="D2" s="155"/>
      <c r="E2" s="2"/>
    </row>
    <row r="3" spans="1:5" s="5" customFormat="1" ht="14.25" customHeight="1" x14ac:dyDescent="0.25">
      <c r="A3" s="27"/>
      <c r="B3" s="28"/>
      <c r="C3" s="29"/>
      <c r="D3" s="6"/>
      <c r="E3" s="7"/>
    </row>
    <row r="4" spans="1:5" s="5" customFormat="1" ht="14.25" customHeight="1" x14ac:dyDescent="0.25">
      <c r="A4" s="30"/>
      <c r="B4" s="28"/>
      <c r="C4" s="31"/>
      <c r="D4" s="8"/>
      <c r="E4" s="7"/>
    </row>
    <row r="5" spans="1:5" s="5" customFormat="1" ht="14.25" customHeight="1" x14ac:dyDescent="0.25">
      <c r="A5" s="30"/>
      <c r="B5" s="32" t="s">
        <v>19</v>
      </c>
      <c r="C5" s="31"/>
      <c r="D5" s="9"/>
      <c r="E5" s="7"/>
    </row>
    <row r="6" spans="1:5" s="5" customFormat="1" ht="14.25" customHeight="1" x14ac:dyDescent="0.25">
      <c r="A6" s="30"/>
      <c r="B6" s="33"/>
      <c r="C6" s="31"/>
      <c r="D6" s="9"/>
      <c r="E6" s="7"/>
    </row>
    <row r="7" spans="1:5" s="5" customFormat="1" ht="14.25" customHeight="1" x14ac:dyDescent="0.25">
      <c r="A7" s="30"/>
      <c r="B7" s="33" t="s">
        <v>23</v>
      </c>
      <c r="C7" s="31"/>
      <c r="D7" s="9">
        <f>+'Bill 9'!F330</f>
        <v>0</v>
      </c>
      <c r="E7" s="7"/>
    </row>
    <row r="8" spans="1:5" s="5" customFormat="1" ht="14.25" customHeight="1" x14ac:dyDescent="0.25">
      <c r="A8" s="30"/>
      <c r="B8" s="33"/>
      <c r="C8" s="34"/>
      <c r="D8" s="10"/>
      <c r="E8" s="7"/>
    </row>
    <row r="9" spans="1:5" s="5" customFormat="1" ht="14.25" customHeight="1" x14ac:dyDescent="0.25">
      <c r="A9" s="30"/>
      <c r="B9" s="33"/>
      <c r="C9" s="31"/>
      <c r="D9" s="10"/>
      <c r="E9" s="7"/>
    </row>
    <row r="10" spans="1:5" s="5" customFormat="1" ht="14.25" customHeight="1" x14ac:dyDescent="0.25">
      <c r="A10" s="30"/>
      <c r="B10" s="33"/>
      <c r="C10" s="31"/>
      <c r="D10" s="10"/>
      <c r="E10" s="7"/>
    </row>
    <row r="11" spans="1:5" s="5" customFormat="1" ht="14.25" customHeight="1" x14ac:dyDescent="0.25">
      <c r="A11" s="30"/>
      <c r="B11" s="35"/>
      <c r="C11" s="34"/>
      <c r="D11" s="10"/>
      <c r="E11" s="7"/>
    </row>
    <row r="12" spans="1:5" s="5" customFormat="1" ht="14.25" customHeight="1" x14ac:dyDescent="0.25">
      <c r="A12" s="30"/>
      <c r="B12" s="35"/>
      <c r="C12" s="34"/>
      <c r="D12" s="10"/>
      <c r="E12" s="7"/>
    </row>
    <row r="13" spans="1:5" s="5" customFormat="1" ht="14.25" customHeight="1" x14ac:dyDescent="0.25">
      <c r="A13" s="30"/>
      <c r="B13" s="35"/>
      <c r="C13" s="34"/>
      <c r="D13" s="10"/>
      <c r="E13" s="7"/>
    </row>
    <row r="14" spans="1:5" s="5" customFormat="1" ht="14.25" customHeight="1" x14ac:dyDescent="0.25">
      <c r="A14" s="30"/>
      <c r="B14" s="35"/>
      <c r="C14" s="34"/>
      <c r="D14" s="10"/>
      <c r="E14" s="7"/>
    </row>
    <row r="15" spans="1:5" s="5" customFormat="1" ht="14.25" customHeight="1" x14ac:dyDescent="0.25">
      <c r="A15" s="30"/>
      <c r="B15" s="35"/>
      <c r="C15" s="34"/>
      <c r="D15" s="10"/>
      <c r="E15" s="7"/>
    </row>
    <row r="16" spans="1:5" s="5" customFormat="1" ht="14.25" customHeight="1" x14ac:dyDescent="0.25">
      <c r="A16" s="30"/>
      <c r="B16" s="35"/>
      <c r="C16" s="34"/>
      <c r="D16" s="10"/>
      <c r="E16" s="7"/>
    </row>
    <row r="17" spans="1:5" s="5" customFormat="1" ht="14.25" customHeight="1" x14ac:dyDescent="0.25">
      <c r="A17" s="30"/>
      <c r="B17" s="35"/>
      <c r="C17" s="34"/>
      <c r="D17" s="10"/>
      <c r="E17" s="7"/>
    </row>
    <row r="18" spans="1:5" ht="14.25" customHeight="1" x14ac:dyDescent="0.25">
      <c r="A18" s="36"/>
      <c r="B18" s="35"/>
      <c r="C18" s="34"/>
      <c r="D18" s="10"/>
    </row>
    <row r="19" spans="1:5" ht="14.25" customHeight="1" x14ac:dyDescent="0.25">
      <c r="A19" s="36"/>
      <c r="B19" s="35"/>
      <c r="C19" s="34"/>
      <c r="D19" s="10"/>
    </row>
    <row r="20" spans="1:5" s="5" customFormat="1" ht="14.25" customHeight="1" x14ac:dyDescent="0.25">
      <c r="A20" s="30"/>
      <c r="B20" s="35"/>
      <c r="C20" s="34"/>
      <c r="D20" s="10"/>
      <c r="E20" s="7"/>
    </row>
    <row r="21" spans="1:5" ht="14.25" customHeight="1" x14ac:dyDescent="0.25">
      <c r="A21" s="36"/>
      <c r="B21" s="35"/>
      <c r="C21" s="34"/>
      <c r="D21" s="10"/>
    </row>
    <row r="22" spans="1:5" ht="14.25" customHeight="1" x14ac:dyDescent="0.25">
      <c r="A22" s="36"/>
      <c r="B22" s="35"/>
      <c r="C22" s="34"/>
      <c r="D22" s="10"/>
    </row>
    <row r="23" spans="1:5" ht="14.25" customHeight="1" x14ac:dyDescent="0.25">
      <c r="A23" s="36"/>
      <c r="B23" s="35"/>
      <c r="C23" s="34"/>
      <c r="D23" s="10"/>
    </row>
    <row r="24" spans="1:5" ht="14.25" customHeight="1" x14ac:dyDescent="0.25">
      <c r="A24" s="36"/>
      <c r="B24" s="35"/>
      <c r="C24" s="34"/>
      <c r="D24" s="10"/>
    </row>
    <row r="25" spans="1:5" ht="14.25" customHeight="1" x14ac:dyDescent="0.25">
      <c r="A25" s="36"/>
      <c r="B25" s="35"/>
      <c r="C25" s="34"/>
      <c r="D25" s="10"/>
    </row>
    <row r="26" spans="1:5" ht="14.25" customHeight="1" x14ac:dyDescent="0.25">
      <c r="A26" s="36"/>
      <c r="B26" s="35"/>
      <c r="C26" s="34"/>
      <c r="D26" s="10"/>
    </row>
    <row r="27" spans="1:5" ht="14.25" customHeight="1" x14ac:dyDescent="0.25">
      <c r="A27" s="36"/>
      <c r="B27" s="35"/>
      <c r="C27" s="34"/>
      <c r="D27" s="10"/>
    </row>
    <row r="28" spans="1:5" ht="14.25" customHeight="1" x14ac:dyDescent="0.25">
      <c r="A28" s="36"/>
      <c r="B28" s="35"/>
      <c r="C28" s="34"/>
      <c r="D28" s="10"/>
    </row>
    <row r="29" spans="1:5" ht="14.25" customHeight="1" x14ac:dyDescent="0.25">
      <c r="A29" s="36"/>
      <c r="B29" s="35"/>
      <c r="C29" s="34"/>
      <c r="D29" s="10"/>
    </row>
    <row r="30" spans="1:5" ht="14.25" customHeight="1" x14ac:dyDescent="0.25">
      <c r="A30" s="36"/>
      <c r="B30" s="35"/>
      <c r="C30" s="34"/>
      <c r="D30" s="10"/>
    </row>
    <row r="31" spans="1:5" s="11" customFormat="1" ht="14.25" customHeight="1" x14ac:dyDescent="0.25">
      <c r="A31" s="36"/>
      <c r="B31" s="35"/>
      <c r="C31" s="34"/>
      <c r="D31" s="10"/>
    </row>
    <row r="32" spans="1:5" s="11" customFormat="1" ht="14.25" customHeight="1" x14ac:dyDescent="0.25">
      <c r="A32" s="36"/>
      <c r="B32" s="35"/>
      <c r="C32" s="34"/>
      <c r="D32" s="10"/>
    </row>
    <row r="33" spans="1:12" s="11" customFormat="1" ht="14.25" customHeight="1" x14ac:dyDescent="0.25">
      <c r="A33" s="36"/>
      <c r="B33" s="35"/>
      <c r="C33" s="34"/>
      <c r="D33" s="10"/>
    </row>
    <row r="34" spans="1:12" s="11" customFormat="1" ht="14.25" customHeight="1" x14ac:dyDescent="0.25">
      <c r="A34" s="36"/>
      <c r="B34" s="35"/>
      <c r="C34" s="34"/>
      <c r="D34" s="10"/>
    </row>
    <row r="35" spans="1:12" s="11" customFormat="1" ht="14.25" customHeight="1" x14ac:dyDescent="0.25">
      <c r="A35" s="36"/>
      <c r="B35" s="35"/>
      <c r="C35" s="34"/>
      <c r="D35" s="10"/>
    </row>
    <row r="36" spans="1:12" s="11" customFormat="1" ht="14.25" customHeight="1" x14ac:dyDescent="0.25">
      <c r="A36" s="36"/>
      <c r="B36" s="35"/>
      <c r="C36" s="34"/>
      <c r="D36" s="10"/>
    </row>
    <row r="37" spans="1:12" s="11" customFormat="1" ht="14.25" customHeight="1" x14ac:dyDescent="0.25">
      <c r="A37" s="36"/>
      <c r="B37" s="35"/>
      <c r="C37" s="34"/>
      <c r="D37" s="10"/>
    </row>
    <row r="38" spans="1:12" s="11" customFormat="1" ht="14.25" customHeight="1" x14ac:dyDescent="0.25">
      <c r="A38" s="36"/>
      <c r="B38" s="35"/>
      <c r="C38" s="34"/>
      <c r="D38" s="10"/>
    </row>
    <row r="39" spans="1:12" s="11" customFormat="1" ht="14.25" customHeight="1" x14ac:dyDescent="0.25">
      <c r="A39" s="36"/>
      <c r="B39" s="35"/>
      <c r="C39" s="34"/>
      <c r="D39" s="10"/>
    </row>
    <row r="40" spans="1:12" s="11" customFormat="1" ht="14.25" customHeight="1" x14ac:dyDescent="0.25">
      <c r="A40" s="36"/>
      <c r="B40" s="35"/>
      <c r="C40" s="34"/>
      <c r="D40" s="10"/>
    </row>
    <row r="41" spans="1:12" s="11" customFormat="1" ht="14.25" customHeight="1" x14ac:dyDescent="0.25">
      <c r="A41" s="36"/>
      <c r="B41" s="35"/>
      <c r="C41" s="34"/>
      <c r="D41" s="10"/>
    </row>
    <row r="42" spans="1:12" s="13" customFormat="1" ht="14.4" x14ac:dyDescent="0.3">
      <c r="A42" s="119"/>
      <c r="B42" s="35"/>
      <c r="C42" s="34"/>
      <c r="D42" s="10"/>
      <c r="F42" s="14"/>
      <c r="G42" s="14"/>
      <c r="H42" s="14"/>
      <c r="I42" s="14"/>
      <c r="J42" s="14"/>
      <c r="K42" s="14"/>
      <c r="L42" s="14"/>
    </row>
    <row r="43" spans="1:12" s="13" customFormat="1" ht="14.4" x14ac:dyDescent="0.3">
      <c r="A43" s="36"/>
      <c r="B43" s="35"/>
      <c r="C43" s="34"/>
      <c r="D43" s="10"/>
      <c r="F43" s="14"/>
      <c r="G43" s="14"/>
      <c r="H43" s="14"/>
      <c r="I43" s="14"/>
      <c r="J43" s="14"/>
      <c r="K43" s="14"/>
      <c r="L43" s="14"/>
    </row>
    <row r="44" spans="1:12" s="13" customFormat="1" ht="14.4" x14ac:dyDescent="0.3">
      <c r="A44" s="36"/>
      <c r="B44" s="35"/>
      <c r="C44" s="34"/>
      <c r="D44" s="10"/>
    </row>
    <row r="45" spans="1:12" s="11" customFormat="1" ht="14.25" customHeight="1" x14ac:dyDescent="0.25">
      <c r="A45" s="36"/>
      <c r="B45" s="37"/>
      <c r="C45" s="34"/>
      <c r="D45" s="10"/>
    </row>
    <row r="46" spans="1:12" s="11" customFormat="1" ht="14.25" customHeight="1" x14ac:dyDescent="0.25">
      <c r="A46" s="38"/>
      <c r="B46" s="39"/>
      <c r="C46" s="40"/>
      <c r="D46" s="15"/>
    </row>
    <row r="47" spans="1:12" s="11" customFormat="1" x14ac:dyDescent="0.25">
      <c r="A47" s="37"/>
      <c r="B47" s="41" t="s">
        <v>24</v>
      </c>
      <c r="C47" s="42"/>
      <c r="D47" s="16"/>
    </row>
    <row r="48" spans="1:12" x14ac:dyDescent="0.25">
      <c r="A48" s="43"/>
      <c r="B48" s="44" t="s">
        <v>20</v>
      </c>
      <c r="C48" s="45" t="s">
        <v>16</v>
      </c>
      <c r="D48" s="16">
        <f>SUM(D5:D43)</f>
        <v>0</v>
      </c>
    </row>
    <row r="49" spans="1:4" ht="14.25" customHeight="1" x14ac:dyDescent="0.25">
      <c r="A49" s="43"/>
      <c r="B49" s="46"/>
      <c r="C49" s="45"/>
      <c r="D49" s="15"/>
    </row>
    <row r="51" spans="1:4" s="21" customFormat="1" ht="13.2" x14ac:dyDescent="0.3">
      <c r="A51" s="17"/>
      <c r="B51" s="18"/>
      <c r="C51" s="19"/>
      <c r="D51" s="20"/>
    </row>
    <row r="52" spans="1:4" s="21" customFormat="1" ht="13.2" x14ac:dyDescent="0.3">
      <c r="A52" s="22"/>
      <c r="B52" s="23"/>
      <c r="C52" s="19"/>
      <c r="D52" s="20"/>
    </row>
    <row r="53" spans="1:4" s="21" customFormat="1" ht="13.2" x14ac:dyDescent="0.3">
      <c r="A53" s="22"/>
      <c r="B53" s="23"/>
      <c r="C53" s="19"/>
      <c r="D53" s="20"/>
    </row>
    <row r="54" spans="1:4" s="21" customFormat="1" ht="13.2" x14ac:dyDescent="0.3">
      <c r="A54" s="22"/>
      <c r="B54" s="23"/>
      <c r="C54" s="19"/>
      <c r="D54" s="20"/>
    </row>
    <row r="55" spans="1:4" s="21" customFormat="1" ht="13.2" x14ac:dyDescent="0.3">
      <c r="A55" s="22"/>
      <c r="B55" s="23"/>
      <c r="C55" s="19"/>
      <c r="D55" s="20"/>
    </row>
    <row r="56" spans="1:4" s="21" customFormat="1" ht="13.2" x14ac:dyDescent="0.3">
      <c r="A56" s="22"/>
      <c r="B56" s="23"/>
      <c r="C56" s="19"/>
      <c r="D56" s="20"/>
    </row>
    <row r="57" spans="1:4" s="21" customFormat="1" ht="13.2" x14ac:dyDescent="0.3">
      <c r="A57" s="22"/>
      <c r="B57" s="23"/>
      <c r="C57" s="19"/>
      <c r="D57" s="20"/>
    </row>
    <row r="58" spans="1:4" s="21" customFormat="1" ht="13.2" x14ac:dyDescent="0.3">
      <c r="A58" s="22"/>
      <c r="B58" s="23"/>
      <c r="C58" s="19"/>
      <c r="D58" s="20"/>
    </row>
    <row r="59" spans="1:4" s="21" customFormat="1" ht="13.2" x14ac:dyDescent="0.3">
      <c r="A59" s="22"/>
      <c r="B59" s="23"/>
      <c r="C59" s="19"/>
      <c r="D59" s="20"/>
    </row>
    <row r="60" spans="1:4" s="21" customFormat="1" ht="13.2" x14ac:dyDescent="0.3">
      <c r="A60" s="22"/>
      <c r="B60" s="23"/>
      <c r="C60" s="19"/>
      <c r="D60" s="20"/>
    </row>
    <row r="61" spans="1:4" s="21" customFormat="1" ht="13.2" x14ac:dyDescent="0.3">
      <c r="A61" s="22"/>
      <c r="B61" s="23"/>
      <c r="C61" s="19"/>
      <c r="D61" s="20"/>
    </row>
    <row r="62" spans="1:4" s="21" customFormat="1" ht="13.2" x14ac:dyDescent="0.3">
      <c r="A62" s="22"/>
      <c r="B62" s="23"/>
      <c r="C62" s="19"/>
      <c r="D62" s="20"/>
    </row>
    <row r="63" spans="1:4" s="21" customFormat="1" ht="13.2" x14ac:dyDescent="0.3">
      <c r="A63" s="22"/>
      <c r="B63" s="23"/>
      <c r="C63" s="19"/>
      <c r="D63" s="20"/>
    </row>
    <row r="64" spans="1:4" s="21" customFormat="1" ht="13.2" x14ac:dyDescent="0.3">
      <c r="A64" s="22"/>
      <c r="B64" s="23"/>
      <c r="C64" s="19"/>
      <c r="D64" s="20"/>
    </row>
    <row r="65" spans="1:4" s="21" customFormat="1" ht="13.2" x14ac:dyDescent="0.3">
      <c r="A65" s="22"/>
      <c r="B65" s="23"/>
      <c r="C65" s="19"/>
      <c r="D65" s="20"/>
    </row>
    <row r="66" spans="1:4" s="21" customFormat="1" ht="13.2" x14ac:dyDescent="0.3">
      <c r="A66" s="22"/>
      <c r="B66" s="23"/>
      <c r="C66" s="19"/>
      <c r="D66" s="20"/>
    </row>
    <row r="67" spans="1:4" s="21" customFormat="1" ht="13.2" x14ac:dyDescent="0.3">
      <c r="A67" s="22"/>
      <c r="B67" s="23"/>
      <c r="C67" s="19"/>
      <c r="D67" s="20"/>
    </row>
    <row r="68" spans="1:4" s="21" customFormat="1" ht="13.2" x14ac:dyDescent="0.3">
      <c r="A68" s="22"/>
      <c r="B68" s="23"/>
      <c r="C68" s="19"/>
      <c r="D68" s="20"/>
    </row>
    <row r="69" spans="1:4" s="21" customFormat="1" ht="13.2" x14ac:dyDescent="0.3">
      <c r="A69" s="22"/>
      <c r="B69" s="23"/>
      <c r="C69" s="19"/>
      <c r="D69" s="20"/>
    </row>
    <row r="70" spans="1:4" s="21" customFormat="1" ht="13.2" x14ac:dyDescent="0.3">
      <c r="A70" s="22"/>
      <c r="B70" s="23"/>
      <c r="C70" s="19"/>
      <c r="D70" s="20"/>
    </row>
    <row r="71" spans="1:4" s="21" customFormat="1" ht="13.2" x14ac:dyDescent="0.3">
      <c r="A71" s="22"/>
      <c r="B71" s="23"/>
      <c r="C71" s="19"/>
      <c r="D71" s="20"/>
    </row>
    <row r="72" spans="1:4" s="21" customFormat="1" ht="13.2" x14ac:dyDescent="0.3">
      <c r="A72" s="22"/>
      <c r="B72" s="23"/>
      <c r="C72" s="19"/>
      <c r="D72" s="20"/>
    </row>
    <row r="73" spans="1:4" s="21" customFormat="1" ht="13.2" x14ac:dyDescent="0.3">
      <c r="A73" s="22"/>
      <c r="B73" s="23"/>
      <c r="C73" s="19"/>
      <c r="D73" s="20"/>
    </row>
    <row r="74" spans="1:4" s="21" customFormat="1" ht="13.2" x14ac:dyDescent="0.3">
      <c r="A74" s="24"/>
      <c r="B74" s="23"/>
      <c r="C74" s="19"/>
      <c r="D74" s="20"/>
    </row>
    <row r="75" spans="1:4" s="21" customFormat="1" ht="13.2" x14ac:dyDescent="0.3">
      <c r="A75" s="24"/>
      <c r="B75" s="23"/>
      <c r="C75" s="19"/>
      <c r="D75" s="20"/>
    </row>
    <row r="76" spans="1:4" s="21" customFormat="1" ht="13.2" x14ac:dyDescent="0.3">
      <c r="A76" s="24"/>
      <c r="B76" s="23"/>
      <c r="C76" s="19"/>
      <c r="D76" s="20"/>
    </row>
    <row r="77" spans="1:4" s="21" customFormat="1" ht="13.2" x14ac:dyDescent="0.3">
      <c r="A77" s="24"/>
      <c r="B77" s="23"/>
      <c r="C77" s="19"/>
      <c r="D77" s="20"/>
    </row>
    <row r="78" spans="1:4" s="21" customFormat="1" ht="13.2" x14ac:dyDescent="0.3">
      <c r="A78" s="24"/>
      <c r="B78" s="23"/>
      <c r="C78" s="19"/>
      <c r="D78" s="20"/>
    </row>
    <row r="79" spans="1:4" s="21" customFormat="1" ht="13.2" x14ac:dyDescent="0.3">
      <c r="A79" s="22"/>
      <c r="B79" s="23"/>
      <c r="C79" s="19"/>
      <c r="D79" s="20"/>
    </row>
    <row r="80" spans="1:4" s="21" customFormat="1" ht="13.2" x14ac:dyDescent="0.3">
      <c r="A80" s="22"/>
      <c r="B80" s="23"/>
      <c r="C80" s="19"/>
      <c r="D80" s="20"/>
    </row>
    <row r="81" spans="1:4" s="21" customFormat="1" ht="13.2" x14ac:dyDescent="0.3">
      <c r="A81" s="22"/>
      <c r="B81" s="23"/>
      <c r="C81" s="19"/>
      <c r="D81" s="20"/>
    </row>
    <row r="82" spans="1:4" s="21" customFormat="1" ht="13.2" x14ac:dyDescent="0.3">
      <c r="A82" s="22"/>
      <c r="B82" s="23"/>
      <c r="C82" s="19"/>
      <c r="D82" s="20"/>
    </row>
    <row r="83" spans="1:4" s="21" customFormat="1" ht="13.2" x14ac:dyDescent="0.3">
      <c r="A83" s="22"/>
      <c r="B83" s="23"/>
      <c r="C83" s="19"/>
      <c r="D83" s="20"/>
    </row>
    <row r="84" spans="1:4" s="21" customFormat="1" ht="13.2" x14ac:dyDescent="0.3">
      <c r="A84" s="22"/>
      <c r="B84" s="23"/>
      <c r="C84" s="19"/>
      <c r="D84" s="20"/>
    </row>
    <row r="85" spans="1:4" s="21" customFormat="1" ht="13.2" x14ac:dyDescent="0.3">
      <c r="A85" s="22"/>
      <c r="B85" s="23"/>
      <c r="C85" s="19"/>
      <c r="D85" s="20"/>
    </row>
    <row r="86" spans="1:4" s="21" customFormat="1" ht="13.2" x14ac:dyDescent="0.3">
      <c r="A86" s="22"/>
      <c r="B86" s="23"/>
      <c r="C86" s="19"/>
      <c r="D86" s="20"/>
    </row>
    <row r="87" spans="1:4" s="21" customFormat="1" ht="13.2" x14ac:dyDescent="0.3">
      <c r="A87" s="22"/>
      <c r="B87" s="23"/>
      <c r="C87" s="19"/>
      <c r="D87" s="20"/>
    </row>
    <row r="88" spans="1:4" s="21" customFormat="1" ht="13.2" x14ac:dyDescent="0.3">
      <c r="A88" s="22"/>
      <c r="B88" s="23"/>
      <c r="C88" s="19"/>
      <c r="D88" s="20"/>
    </row>
    <row r="89" spans="1:4" s="21" customFormat="1" ht="13.2" x14ac:dyDescent="0.3">
      <c r="A89" s="22"/>
      <c r="B89" s="23"/>
      <c r="C89" s="19"/>
      <c r="D89" s="20"/>
    </row>
    <row r="90" spans="1:4" s="21" customFormat="1" ht="13.2" x14ac:dyDescent="0.3">
      <c r="A90" s="22"/>
      <c r="B90" s="23"/>
      <c r="C90" s="19"/>
      <c r="D90" s="20"/>
    </row>
    <row r="91" spans="1:4" s="21" customFormat="1" ht="13.2" x14ac:dyDescent="0.3">
      <c r="A91" s="22"/>
      <c r="B91" s="23"/>
      <c r="C91" s="19"/>
      <c r="D91" s="20"/>
    </row>
    <row r="92" spans="1:4" s="21" customFormat="1" ht="13.2" x14ac:dyDescent="0.3">
      <c r="A92" s="22"/>
      <c r="B92" s="23"/>
      <c r="C92" s="19"/>
      <c r="D92" s="20"/>
    </row>
    <row r="93" spans="1:4" s="21" customFormat="1" ht="13.2" x14ac:dyDescent="0.3">
      <c r="A93" s="22"/>
      <c r="B93" s="23"/>
      <c r="C93" s="19"/>
      <c r="D93" s="20"/>
    </row>
    <row r="94" spans="1:4" s="21" customFormat="1" ht="13.2" x14ac:dyDescent="0.3">
      <c r="A94" s="22"/>
      <c r="B94" s="23"/>
      <c r="C94" s="19"/>
      <c r="D94" s="20"/>
    </row>
    <row r="95" spans="1:4" s="21" customFormat="1" ht="13.2" x14ac:dyDescent="0.3">
      <c r="C95" s="19"/>
      <c r="D95" s="20"/>
    </row>
    <row r="99" spans="1:4" s="11" customFormat="1" x14ac:dyDescent="0.25">
      <c r="A99" s="12"/>
      <c r="B99" s="12"/>
      <c r="C99" s="25"/>
      <c r="D99" s="26"/>
    </row>
  </sheetData>
  <mergeCells count="4">
    <mergeCell ref="A1:A2"/>
    <mergeCell ref="B1:B2"/>
    <mergeCell ref="C1:C2"/>
    <mergeCell ref="D1:D2"/>
  </mergeCells>
  <pageMargins left="0.6692913385826772" right="0.19685039370078741" top="0.82677165354330717" bottom="0.47244094488188981" header="0.19685039370078741" footer="0.23622047244094491"/>
  <pageSetup paperSize="9" scale="98" orientation="portrait" r:id="rId1"/>
  <headerFooter>
    <oddHeader>&amp;R&amp;U
&amp;"Arial,Regular"BILL NO. 8 - STORMWATER POND CONNECTION
AL KHAIL MALL REFURBISHMENT</oddHeader>
    <oddFooter>&amp;L&amp;"Arial,Regular"&amp;9DMS 148704 BOQ - Nakheel Mall Al Khail &amp;C&amp;"Arial,Regular"&amp;9 9/SUM</oddFooter>
  </headerFooter>
  <colBreaks count="1" manualBreakCount="1">
    <brk id="4" max="41"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EF1AB537AC9E47B3E67E62C11EDC34" ma:contentTypeVersion="6" ma:contentTypeDescription="Create a new document." ma:contentTypeScope="" ma:versionID="2393c6d2fbf1c3b1fcf0524f3ce13afe">
  <xsd:schema xmlns:xsd="http://www.w3.org/2001/XMLSchema" xmlns:xs="http://www.w3.org/2001/XMLSchema" xmlns:p="http://schemas.microsoft.com/office/2006/metadata/properties" xmlns:ns2="29343c2e-0cc4-4aa9-a004-66d03d634282" xmlns:ns3="303d1388-59d5-4b44-81d6-4cb28e15e614" targetNamespace="http://schemas.microsoft.com/office/2006/metadata/properties" ma:root="true" ma:fieldsID="42acea1767e65b62021b29439736a286" ns2:_="" ns3:_="">
    <xsd:import namespace="29343c2e-0cc4-4aa9-a004-66d03d634282"/>
    <xsd:import namespace="303d1388-59d5-4b44-81d6-4cb28e15e61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343c2e-0cc4-4aa9-a004-66d03d63428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03d1388-59d5-4b44-81d6-4cb28e15e61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F9C2B68-C5F5-4D6F-9855-626BDF7BFB02}"/>
</file>

<file path=customXml/itemProps2.xml><?xml version="1.0" encoding="utf-8"?>
<ds:datastoreItem xmlns:ds="http://schemas.openxmlformats.org/officeDocument/2006/customXml" ds:itemID="{11D306BD-C110-47B8-96C3-14C92D46B236}"/>
</file>

<file path=customXml/itemProps3.xml><?xml version="1.0" encoding="utf-8"?>
<ds:datastoreItem xmlns:ds="http://schemas.openxmlformats.org/officeDocument/2006/customXml" ds:itemID="{A94B7ADE-5298-4A6D-8E00-73B29AA4C73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Fly-Bill 9</vt:lpstr>
      <vt:lpstr>Bill 9</vt:lpstr>
      <vt:lpstr>Bill 9-Sum</vt:lpstr>
      <vt:lpstr>'Bill 9'!Print_Area</vt:lpstr>
      <vt:lpstr>'Bill 9-Sum'!Print_Area</vt:lpstr>
      <vt:lpstr>'Fly-Bill 9'!Print_Area</vt:lpstr>
      <vt:lpstr>'Bill 9'!Print_Titles</vt:lpstr>
      <vt:lpstr>'Bill 9-Sum'!Print_Titles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Shivprasad Kondi</dc:creator>
  <cp:keywords/>
  <dc:description/>
  <cp:lastModifiedBy>Monvi Carlo Osorio</cp:lastModifiedBy>
  <cp:revision/>
  <cp:lastPrinted>2024-02-09T06:30:46Z</cp:lastPrinted>
  <dcterms:created xsi:type="dcterms:W3CDTF">2015-09-07T14:01:26Z</dcterms:created>
  <dcterms:modified xsi:type="dcterms:W3CDTF">2024-02-09T06:31:04Z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0x010100D3EF1AB537AC9E47B3E67E62C11EDC34</vt:lpwstr>
  </property>
</Properties>
</file>