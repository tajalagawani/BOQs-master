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N:\Tender\2022\BLDG\T061-22 NKHL RFQ700887 Modification&amp;Redev Wrks Nakheel Mall-Al Khail\2. COMM\4. Sub.&amp;PTC\24.02.21 - Final BoQ - Amended\"/>
    </mc:Choice>
  </mc:AlternateContent>
  <xr:revisionPtr revIDLastSave="0" documentId="13_ncr:1_{9DF9B166-8032-49A3-A42E-D8FE678EF323}" xr6:coauthVersionLast="47" xr6:coauthVersionMax="47" xr10:uidLastSave="{00000000-0000-0000-0000-000000000000}"/>
  <bookViews>
    <workbookView xWindow="-108" yWindow="-108" windowWidth="23256" windowHeight="12456" tabRatio="861" firstSheet="2" activeTab="9" xr2:uid="{00000000-000D-0000-FFFF-FFFF00000000}"/>
  </bookViews>
  <sheets>
    <sheet name="Fly-Bill 13" sheetId="20" r:id="rId1"/>
    <sheet name="Bill 13 Revised Strength." sheetId="23" r:id="rId2"/>
    <sheet name="Bill 13 Add'l" sheetId="24" r:id="rId3"/>
    <sheet name="Bill 13 Finishes" sheetId="25" r:id="rId4"/>
    <sheet name="Add Scaff SS-Vertical" sheetId="27" r:id="rId5"/>
    <sheet name="Add Scaff SS- Horiz" sheetId="28" r:id="rId6"/>
    <sheet name="Add Scaffolding-Summary" sheetId="29" r:id="rId7"/>
    <sheet name="Omit Scaff SS" sheetId="30" r:id="rId8"/>
    <sheet name="Bill 13 Scaffolding" sheetId="26" r:id="rId9"/>
    <sheet name="Bill 13-Sum" sheetId="21" r:id="rId10"/>
  </sheets>
  <externalReferences>
    <externalReference r:id="rId11"/>
  </externalReferences>
  <definedNames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\zbcdBSA">#REF!</definedName>
    <definedName name="________B19000">#REF!</definedName>
    <definedName name="________B19999">#REF!</definedName>
    <definedName name="________B20000">#REF!</definedName>
    <definedName name="________boq1">#REF!</definedName>
    <definedName name="________dep2">#REF!</definedName>
    <definedName name="________dep3">#REF!</definedName>
    <definedName name="________e20000">#REF!</definedName>
    <definedName name="________e99991">#REF!</definedName>
    <definedName name="________ext2">#REF!</definedName>
    <definedName name="________ext3">#REF!</definedName>
    <definedName name="________len2">#REF!</definedName>
    <definedName name="________len3">#REF!</definedName>
    <definedName name="________pc1">#REF!</definedName>
    <definedName name="________pc2">#REF!</definedName>
    <definedName name="________pc3">#REF!</definedName>
    <definedName name="________tbc2">#REF!</definedName>
    <definedName name="________tbc3">#REF!</definedName>
    <definedName name="________wid2">#REF!</definedName>
    <definedName name="________wid3">#REF!</definedName>
    <definedName name="_______dep2">#REF!</definedName>
    <definedName name="_______dep3">#REF!</definedName>
    <definedName name="_______ext2">#REF!</definedName>
    <definedName name="_______ext3">#REF!</definedName>
    <definedName name="_______len2">#REF!</definedName>
    <definedName name="_______len3">#REF!</definedName>
    <definedName name="_______pc1">#REF!</definedName>
    <definedName name="_______pc2">#REF!</definedName>
    <definedName name="_______pc3">#REF!</definedName>
    <definedName name="_______tbc2">#REF!</definedName>
    <definedName name="_______tbc3">#REF!</definedName>
    <definedName name="_______wid2">#REF!</definedName>
    <definedName name="_______wid3">#REF!</definedName>
    <definedName name="______B19999">#REF!</definedName>
    <definedName name="______B20000">#REF!</definedName>
    <definedName name="______boq1">#REF!</definedName>
    <definedName name="______dep2">#REF!</definedName>
    <definedName name="______dep3">#REF!</definedName>
    <definedName name="______e20000">#REF!</definedName>
    <definedName name="______e99991">#REF!</definedName>
    <definedName name="______ext2">#REF!</definedName>
    <definedName name="______ext3">#REF!</definedName>
    <definedName name="______len2">#REF!</definedName>
    <definedName name="______len3">#REF!</definedName>
    <definedName name="______pc1">#REF!</definedName>
    <definedName name="______pc2">#REF!</definedName>
    <definedName name="______pc3">#REF!</definedName>
    <definedName name="______tbc2">#REF!</definedName>
    <definedName name="______tbc3">#REF!</definedName>
    <definedName name="______wid2">#REF!</definedName>
    <definedName name="______wid3">#REF!</definedName>
    <definedName name="_____dep2">#REF!</definedName>
    <definedName name="_____dep3">#REF!</definedName>
    <definedName name="_____ext2">#REF!</definedName>
    <definedName name="_____ext3">#REF!</definedName>
    <definedName name="_____len2">#REF!</definedName>
    <definedName name="_____len3">#REF!</definedName>
    <definedName name="_____pc1">#REF!</definedName>
    <definedName name="_____pc2">#REF!</definedName>
    <definedName name="_____pc3">#REF!</definedName>
    <definedName name="_____tbc2">#REF!</definedName>
    <definedName name="_____tbc3">#REF!</definedName>
    <definedName name="_____wid2">#REF!</definedName>
    <definedName name="_____wid3">#REF!</definedName>
    <definedName name="____B19999">#REF!</definedName>
    <definedName name="____B20000">#REF!</definedName>
    <definedName name="____boq1">#REF!</definedName>
    <definedName name="____dep2">#REF!</definedName>
    <definedName name="____dep3">#REF!</definedName>
    <definedName name="____e20000">#REF!</definedName>
    <definedName name="____e99991">#REF!</definedName>
    <definedName name="____ext2">#REF!</definedName>
    <definedName name="____ext3">#REF!</definedName>
    <definedName name="____len2">#REF!</definedName>
    <definedName name="____len3">#REF!</definedName>
    <definedName name="____pc1">#REF!</definedName>
    <definedName name="____pc2">#REF!</definedName>
    <definedName name="____pc3">#REF!</definedName>
    <definedName name="____TB2">#REF!</definedName>
    <definedName name="____tbc2">#REF!</definedName>
    <definedName name="____tbc3">#REF!</definedName>
    <definedName name="____wid2">#REF!</definedName>
    <definedName name="____wid3">#REF!</definedName>
    <definedName name="____xlfn.BAHTTEXT" hidden="1">#NAME?</definedName>
    <definedName name="___B19000">#REF!</definedName>
    <definedName name="___B19999">#REF!</definedName>
    <definedName name="___B20000">#REF!</definedName>
    <definedName name="___boq1">#REF!</definedName>
    <definedName name="___dep2">#REF!</definedName>
    <definedName name="___dep3">#REF!</definedName>
    <definedName name="___e20000">#REF!</definedName>
    <definedName name="___e99991">#REF!</definedName>
    <definedName name="___ext2">#REF!</definedName>
    <definedName name="___ext3">#REF!</definedName>
    <definedName name="___len2">#REF!</definedName>
    <definedName name="___len3">#REF!</definedName>
    <definedName name="___pc1">#REF!</definedName>
    <definedName name="___pc2">#REF!</definedName>
    <definedName name="___pc3">#REF!</definedName>
    <definedName name="___TB2">#REF!</definedName>
    <definedName name="___tbc2">#REF!</definedName>
    <definedName name="___tbc3">#REF!</definedName>
    <definedName name="___wid2">#REF!</definedName>
    <definedName name="___wid3">#REF!</definedName>
    <definedName name="___xlfn.BAHTTEXT" hidden="1">#NAME?</definedName>
    <definedName name="___xlfn.SUMIFS" hidden="1">#NAME?</definedName>
    <definedName name="__123Graph_A" hidden="1">#REF!</definedName>
    <definedName name="__123Graph_ACHART1" hidden="1">#REF!</definedName>
    <definedName name="__123Graph_ACURRENT" hidden="1">#REF!</definedName>
    <definedName name="__123Graph_X" hidden="1">#REF!</definedName>
    <definedName name="__123Graph_XCHART1" hidden="1">#REF!</definedName>
    <definedName name="__123Graph_XCURRENT" hidden="1">#REF!</definedName>
    <definedName name="__AAA51">#REF!</definedName>
    <definedName name="__AAA6">#REF!</definedName>
    <definedName name="__AAA7">#REF!</definedName>
    <definedName name="__AAD5">#REF!</definedName>
    <definedName name="__B19000">#REF!</definedName>
    <definedName name="__B19999">#REF!</definedName>
    <definedName name="__B20000">#REF!</definedName>
    <definedName name="__boq1">#REF!</definedName>
    <definedName name="__dep2">#REF!</definedName>
    <definedName name="__dep3">#REF!</definedName>
    <definedName name="__e20000">#REF!</definedName>
    <definedName name="__e99991">#REF!</definedName>
    <definedName name="__ext2">#REF!</definedName>
    <definedName name="__ext3">#REF!</definedName>
    <definedName name="__IntlFixup" hidden="1">TRUE</definedName>
    <definedName name="__len2">#REF!</definedName>
    <definedName name="__len3">#REF!</definedName>
    <definedName name="__pc1">#REF!</definedName>
    <definedName name="__pc2">#REF!</definedName>
    <definedName name="__pc3">#REF!</definedName>
    <definedName name="__TB2">#REF!</definedName>
    <definedName name="__tbc2">#REF!</definedName>
    <definedName name="__tbc3">#REF!</definedName>
    <definedName name="__wid2">#REF!</definedName>
    <definedName name="__wid3">#REF!</definedName>
    <definedName name="__xlfn.BAHTTEXT" hidden="1">#NAME?</definedName>
    <definedName name="__xlfn.SUMIFS" hidden="1">#NAME?</definedName>
    <definedName name="_0">#REF!</definedName>
    <definedName name="_0___0">#REF!</definedName>
    <definedName name="_01">#REF!</definedName>
    <definedName name="_02">#REF!</definedName>
    <definedName name="_03">#REF!</definedName>
    <definedName name="_04">#REF!</definedName>
    <definedName name="_05">#REF!</definedName>
    <definedName name="_06">#REF!</definedName>
    <definedName name="_07">#REF!</definedName>
    <definedName name="_08">#REF!</definedName>
    <definedName name="_09">#REF!</definedName>
    <definedName name="_1">#REF!</definedName>
    <definedName name="_1__123Graph_ACHART_12" hidden="1">#REF!</definedName>
    <definedName name="_1__123Graph_ACHART_1A" hidden="1">#REF!</definedName>
    <definedName name="_10">#REF!</definedName>
    <definedName name="_10__123Graph_ACHART_18" hidden="1">#REF!</definedName>
    <definedName name="_10__123Graph_BCHART_16" hidden="1">#REF!</definedName>
    <definedName name="_11">#REF!</definedName>
    <definedName name="_11__123Graph_BCHART_17" hidden="1">#REF!</definedName>
    <definedName name="_12">#REF!</definedName>
    <definedName name="_12__123Graph_ACHART_19" hidden="1">#REF!</definedName>
    <definedName name="_12__123Graph_BCHART_22" hidden="1">#REF!</definedName>
    <definedName name="_13">#REF!</definedName>
    <definedName name="_13__123Graph_CCHART_15" hidden="1">#REF!</definedName>
    <definedName name="_14">#REF!</definedName>
    <definedName name="_14__123Graph_ACHART_21" hidden="1">#REF!</definedName>
    <definedName name="_14__123Graph_CCHART_16" hidden="1">#REF!</definedName>
    <definedName name="_15">#REF!</definedName>
    <definedName name="_15__123Graph_CCHART_17" hidden="1">#REF!</definedName>
    <definedName name="_16">#REF!</definedName>
    <definedName name="_16__123Graph_ASEG_PIE" hidden="1">#REF!</definedName>
    <definedName name="_16__123Graph_CCHART_22" hidden="1">#REF!</definedName>
    <definedName name="_17">#REF!</definedName>
    <definedName name="_17__123Graph_CSEG_PIE" hidden="1">#REF!</definedName>
    <definedName name="_18">#REF!</definedName>
    <definedName name="_18__123Graph_BCHART_15" hidden="1">#REF!</definedName>
    <definedName name="_18__123Graph_DCHART_15" hidden="1">#REF!</definedName>
    <definedName name="_19">#REF!</definedName>
    <definedName name="_19__123Graph_DCHART_16" hidden="1">#REF!</definedName>
    <definedName name="_2">#REF!</definedName>
    <definedName name="_2__123Graph_ACHART_12" hidden="1">#REF!</definedName>
    <definedName name="_2__123Graph_ACHART_15" hidden="1">#REF!</definedName>
    <definedName name="_2__123Graph_ACHART_1A" hidden="1">#REF!</definedName>
    <definedName name="_2__123Graph_XCHART_1A" hidden="1">#REF!</definedName>
    <definedName name="_20">#REF!</definedName>
    <definedName name="_20__123Graph_BCHART_16" hidden="1">#REF!</definedName>
    <definedName name="_20__123Graph_DCHART_17" hidden="1">#REF!</definedName>
    <definedName name="_21">#REF!</definedName>
    <definedName name="_21__123Graph_DCHART_22" hidden="1">#REF!</definedName>
    <definedName name="_22">#REF!</definedName>
    <definedName name="_22__123Graph_BCHART_17" hidden="1">#REF!</definedName>
    <definedName name="_22__123Graph_ECHART_15" hidden="1">#REF!</definedName>
    <definedName name="_23">#REF!</definedName>
    <definedName name="_23__123Graph_ECHART_16" hidden="1">#REF!</definedName>
    <definedName name="_24">#REF!</definedName>
    <definedName name="_24__123Graph_BCHART_22" hidden="1">#REF!</definedName>
    <definedName name="_24__123Graph_ECHART_17" hidden="1">#REF!</definedName>
    <definedName name="_25">#REF!</definedName>
    <definedName name="_25__123Graph_ECHART_22" hidden="1">#REF!</definedName>
    <definedName name="_26">#REF!</definedName>
    <definedName name="_26__123Graph_CCHART_15" hidden="1">#REF!</definedName>
    <definedName name="_26__123Graph_FCHART_15" hidden="1">#REF!</definedName>
    <definedName name="_27">#REF!</definedName>
    <definedName name="_27__123Graph_FCHART_16" hidden="1">#REF!</definedName>
    <definedName name="_28">#REF!</definedName>
    <definedName name="_28__123Graph_CCHART_16" hidden="1">#REF!</definedName>
    <definedName name="_28__123Graph_FCHART_17" hidden="1">#REF!</definedName>
    <definedName name="_29">#REF!</definedName>
    <definedName name="_29__123Graph_FCHART_22" hidden="1">#REF!</definedName>
    <definedName name="_3">#REF!</definedName>
    <definedName name="_3__123Graph_ACHART_16" hidden="1">#REF!</definedName>
    <definedName name="_30__123Graph_CCHART_17" hidden="1">#REF!</definedName>
    <definedName name="_30__123Graph_XCHART_15" hidden="1">#REF!</definedName>
    <definedName name="_31__123Graph_XCHART_16" hidden="1">#REF!</definedName>
    <definedName name="_32__123Graph_CCHART_22" hidden="1">#REF!</definedName>
    <definedName name="_32__123Graph_XCHART_17" hidden="1">#REF!</definedName>
    <definedName name="_321" hidden="1">#REF!</definedName>
    <definedName name="_33__123Graph_XCHART_18" hidden="1">#REF!</definedName>
    <definedName name="_34__123Graph_CSEG_PIE" hidden="1">#REF!</definedName>
    <definedName name="_34__123Graph_XCHART_19" hidden="1">#REF!</definedName>
    <definedName name="_35__123Graph_XCHART_22" hidden="1">#REF!</definedName>
    <definedName name="_36__123Graph_DCHART_15" hidden="1">#REF!</definedName>
    <definedName name="_36__123Graph_XSEG_PIE" hidden="1">#REF!</definedName>
    <definedName name="_38__123Graph_DCHART_16" hidden="1">#REF!</definedName>
    <definedName name="_4">#REF!</definedName>
    <definedName name="_4__123Graph_ACHART_15" hidden="1">#REF!</definedName>
    <definedName name="_4__123Graph_ACHART_17" hidden="1">#REF!</definedName>
    <definedName name="_4__123Graph_XCHART_1A" hidden="1">#REF!</definedName>
    <definedName name="_40__123Graph_DCHART_17" hidden="1">#REF!</definedName>
    <definedName name="_42__123Graph_DCHART_22" hidden="1">#REF!</definedName>
    <definedName name="_44__123Graph_ECHART_15" hidden="1">#REF!</definedName>
    <definedName name="_46__123Graph_ECHART_16" hidden="1">#REF!</definedName>
    <definedName name="_48__123Graph_ECHART_17" hidden="1">#REF!</definedName>
    <definedName name="_5">#REF!</definedName>
    <definedName name="_5__123Graph_ACHART_18" hidden="1">#REF!</definedName>
    <definedName name="_50__123Graph_ECHART_22" hidden="1">#REF!</definedName>
    <definedName name="_52__123Graph_FCHART_15" hidden="1">#REF!</definedName>
    <definedName name="_54__123Graph_FCHART_16" hidden="1">#REF!</definedName>
    <definedName name="_56__123Graph_FCHART_17" hidden="1">#REF!</definedName>
    <definedName name="_58__123Graph_FCHART_22" hidden="1">#REF!</definedName>
    <definedName name="_6">#REF!</definedName>
    <definedName name="_6__123Graph_ACHART_16" hidden="1">#REF!</definedName>
    <definedName name="_6__123Graph_ACHART_19" hidden="1">#REF!</definedName>
    <definedName name="_60__123Graph_XCHART_15" hidden="1">#REF!</definedName>
    <definedName name="_62__123Graph_XCHART_16" hidden="1">#REF!</definedName>
    <definedName name="_64__123Graph_XCHART_17" hidden="1">#REF!</definedName>
    <definedName name="_66__123Graph_XCHART_18" hidden="1">#REF!</definedName>
    <definedName name="_68__123Graph_XCHART_19" hidden="1">#REF!</definedName>
    <definedName name="_7__123Graph_ACHART_21" hidden="1">#REF!</definedName>
    <definedName name="_70__123Graph_XCHART_22" hidden="1">#REF!</definedName>
    <definedName name="_72__123Graph_XSEG_PIE" hidden="1">#REF!</definedName>
    <definedName name="_8__123Graph_ACHART_17" hidden="1">#REF!</definedName>
    <definedName name="_8__123Graph_ASEG_PIE" hidden="1">#REF!</definedName>
    <definedName name="_9__123Graph_BCHART_15" hidden="1">#REF!</definedName>
    <definedName name="_AAA51">#REF!</definedName>
    <definedName name="_AAA6">#REF!</definedName>
    <definedName name="_AAA7">#REF!</definedName>
    <definedName name="_AAD5">#REF!</definedName>
    <definedName name="_b111121">#REF!</definedName>
    <definedName name="_B19000">#REF!</definedName>
    <definedName name="_B19999">#REF!</definedName>
    <definedName name="_B20000">#REF!</definedName>
    <definedName name="_blk4">#REF!</definedName>
    <definedName name="_boq1">#REF!</definedName>
    <definedName name="_C">#REF!</definedName>
    <definedName name="_C___0">#REF!</definedName>
    <definedName name="_C___13">#REF!</definedName>
    <definedName name="_D250000">#REF!</definedName>
    <definedName name="_dep2">#REF!</definedName>
    <definedName name="_dep3">#REF!</definedName>
    <definedName name="_e20000">#REF!</definedName>
    <definedName name="_e99991">#REF!</definedName>
    <definedName name="_ewk4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ext2">#REF!</definedName>
    <definedName name="_ext3">#REF!</definedName>
    <definedName name="_Fill" hidden="1">#REF!</definedName>
    <definedName name="_xlnm._FilterDatabase" localSheetId="5">#REF!</definedName>
    <definedName name="_xlnm._FilterDatabase" localSheetId="4" hidden="1">'Add Scaff SS-Vertical'!$A$6:$H$369</definedName>
    <definedName name="_xlnm._FilterDatabase" localSheetId="6">#REF!</definedName>
    <definedName name="_xlnm._FilterDatabase" localSheetId="2" hidden="1">'Bill 13 Add''l'!$A$1:$A$34</definedName>
    <definedName name="_xlnm._FilterDatabase" localSheetId="3" hidden="1">'Bill 13 Finishes'!$A$1:$A$44</definedName>
    <definedName name="_xlnm._FilterDatabase" localSheetId="1" hidden="1">'Bill 13 Revised Strength.'!$A$1:$F$635</definedName>
    <definedName name="_xlnm._FilterDatabase" localSheetId="8" hidden="1">'Bill 13 Scaffolding'!$A$1:$A$42</definedName>
    <definedName name="_xlnm._FilterDatabase" localSheetId="9" hidden="1">'Bill 13-Sum'!$A$1:$E$49</definedName>
    <definedName name="_xlnm._FilterDatabase" localSheetId="7">#REF!</definedName>
    <definedName name="_xlnm._FilterDatabase">#REF!</definedName>
    <definedName name="_foo1" localSheetId="5">#REF!</definedName>
    <definedName name="_foo1" localSheetId="6">#REF!</definedName>
    <definedName name="_foo1" localSheetId="7">#REF!</definedName>
    <definedName name="_foo1">#REF!</definedName>
    <definedName name="_foo2" localSheetId="5">#REF!</definedName>
    <definedName name="_foo2" localSheetId="6">#REF!</definedName>
    <definedName name="_foo2" localSheetId="7">#REF!</definedName>
    <definedName name="_foo2">#REF!</definedName>
    <definedName name="_foo3">#REF!</definedName>
    <definedName name="_FOO4">#REF!</definedName>
    <definedName name="_FR_?__">#REF!</definedName>
    <definedName name="_ftm25">#REF!</definedName>
    <definedName name="_ftm30">#REF!</definedName>
    <definedName name="_hp10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p10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p10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ice4">#REF!</definedName>
    <definedName name="_Key1" hidden="1">#REF!</definedName>
    <definedName name="_Ki1">#REF!</definedName>
    <definedName name="_Ki2">#REF!</definedName>
    <definedName name="_le3" localSheetId="5" hidden="1">{"'Break down'!$A$4"}</definedName>
    <definedName name="_le3" localSheetId="6" hidden="1">{"'Break down'!$A$4"}</definedName>
    <definedName name="_le3" localSheetId="7" hidden="1">{"'Break down'!$A$4"}</definedName>
    <definedName name="_le3" hidden="1">{"'Break down'!$A$4"}</definedName>
    <definedName name="_len2">#REF!</definedName>
    <definedName name="_len3">#REF!</definedName>
    <definedName name="_MAN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PB1">#REF!</definedName>
    <definedName name="_pc1">#REF!</definedName>
    <definedName name="_pc2">#REF!</definedName>
    <definedName name="_pc3">#REF!</definedName>
    <definedName name="_pcc1">#REF!</definedName>
    <definedName name="_pcc2">#REF!</definedName>
    <definedName name="_pcc3">#REF!</definedName>
    <definedName name="_PCC4">#REF!</definedName>
    <definedName name="_pl4">#REF!</definedName>
    <definedName name="_plb1">#REF!</definedName>
    <definedName name="_plb2">#REF!</definedName>
    <definedName name="_plb3">#REF!</definedName>
    <definedName name="_plb4">#REF!</definedName>
    <definedName name="_pls4">#REF!</definedName>
    <definedName name="_ps4">#REF!</definedName>
    <definedName name="_rwm25">#REF!</definedName>
    <definedName name="_Sort" hidden="1">#REF!</definedName>
    <definedName name="_Sum1">#REF!</definedName>
    <definedName name="_sw4">#REF!</definedName>
    <definedName name="_TB2">#REF!</definedName>
    <definedName name="_tbc2">#REF!</definedName>
    <definedName name="_tbc3">#REF!</definedName>
    <definedName name="_wid2">#REF!</definedName>
    <definedName name="_wid3">#REF!</definedName>
    <definedName name="A">#REF!</definedName>
    <definedName name="a\">#REF!</definedName>
    <definedName name="a___0">#REF!</definedName>
    <definedName name="a___13">#REF!</definedName>
    <definedName name="A___18">#REF!</definedName>
    <definedName name="A_2000_Concrete">#REF!</definedName>
    <definedName name="A_22">#REF!</definedName>
    <definedName name="A_2500_Concrete">#REF!</definedName>
    <definedName name="A_4">#REF!</definedName>
    <definedName name="A_5">#REF!</definedName>
    <definedName name="A_6">#REF!</definedName>
    <definedName name="A_Angle_Screed">#REF!</definedName>
    <definedName name="A_Concrete_Ang.Connection">#REF!</definedName>
    <definedName name="A_Drain_Length">#REF!</definedName>
    <definedName name="A_Hor.Screed">#REF!</definedName>
    <definedName name="A_Raft_Edge_Length">#REF!</definedName>
    <definedName name="A_raft_ver.Concrete">#REF!</definedName>
    <definedName name="A_Side_FW">#REF!</definedName>
    <definedName name="A_SStrip_L">#REF!</definedName>
    <definedName name="A_Sstrip_Side_Area">#REF!</definedName>
    <definedName name="A_T12RF">#REF!</definedName>
    <definedName name="A_T16RF">#REF!</definedName>
    <definedName name="A_T25RF">#REF!</definedName>
    <definedName name="A_T32RF">#REF!</definedName>
    <definedName name="A_Waterproofing_Ver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2_">#REF!</definedName>
    <definedName name="A2____0">#REF!</definedName>
    <definedName name="A2____13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>#REF!</definedName>
    <definedName name="AA_22">#REF!</definedName>
    <definedName name="AAA">#REF!</definedName>
    <definedName name="AAAA">#REF!</definedName>
    <definedName name="aaaa5">#REF!</definedName>
    <definedName name="aaaaa">#REF!</definedName>
    <definedName name="aaaaaaaaaaaaa">#REF!</definedName>
    <definedName name="AAAAAAAAAAAAAAAAA" hidden="1">#REF!</definedName>
    <definedName name="AAB">#REF!</definedName>
    <definedName name="AAC">#REF!</definedName>
    <definedName name="AAD">#REF!</definedName>
    <definedName name="AAE">#REF!</definedName>
    <definedName name="AAF">#REF!</definedName>
    <definedName name="Aapp">#REF!</definedName>
    <definedName name="aasss">#REF!</definedName>
    <definedName name="AB">#REF!</definedName>
    <definedName name="abc">#REF!</definedName>
    <definedName name="abcd">#REF!</definedName>
    <definedName name="abtarea">#REF!</definedName>
    <definedName name="abtends">#REF!</definedName>
    <definedName name="abtpi">#REF!</definedName>
    <definedName name="abtpiledia">#REF!</definedName>
    <definedName name="abutpiles">#REF!</definedName>
    <definedName name="Ac">#REF!</definedName>
    <definedName name="ACA">#REF!</definedName>
    <definedName name="Acap">#REF!</definedName>
    <definedName name="AccessDatabase" hidden="1">"C:\AA-MEDIUM PROJECTS\Khaleej Times - GO 14017\Submittals Status.mdb"</definedName>
    <definedName name="accumulateamt">#REF!</definedName>
    <definedName name="ACT">#REF!</definedName>
    <definedName name="adas">#REF!</definedName>
    <definedName name="adcd">#REF!</definedName>
    <definedName name="addbeam">#REF!</definedName>
    <definedName name="AdditionalServerOptions">#REF!</definedName>
    <definedName name="Address">#REF!</definedName>
    <definedName name="addresses">#REF!</definedName>
    <definedName name="AddwkAmt">#REF!</definedName>
    <definedName name="Aded">#REF!</definedName>
    <definedName name="ADJUSMENT">#REF!</definedName>
    <definedName name="Adjustment">#REF!</definedName>
    <definedName name="adpvol">#REF!</definedName>
    <definedName name="ae">#REF!</definedName>
    <definedName name="AF">#REF!</definedName>
    <definedName name="Aflar">#REF!</definedName>
    <definedName name="Ag">#REF!</definedName>
    <definedName name="Ag___0">#REF!</definedName>
    <definedName name="Ag___13">#REF!</definedName>
    <definedName name="ahgd">#REF!</definedName>
    <definedName name="ak">#REF!</definedName>
    <definedName name="AK_1972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K_1972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K_197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K_197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l">#REF!</definedName>
    <definedName name="Alarm_Group_1" localSheetId="5">#REF!,#REF!,#REF!,#REF!,#REF!,#REF!,#REF!,#REF!,#REF!</definedName>
    <definedName name="Alarm_Group_1" localSheetId="6">#REF!,#REF!,#REF!,#REF!,#REF!,#REF!,#REF!,#REF!,#REF!</definedName>
    <definedName name="Alarm_Group_1" localSheetId="7">#REF!,#REF!,#REF!,#REF!,#REF!,#REF!,#REF!,#REF!,#REF!</definedName>
    <definedName name="Alarm_Group_1">#REF!,#REF!,#REF!,#REF!,#REF!,#REF!,#REF!,#REF!,#REF!</definedName>
    <definedName name="Alarm_Group_10" localSheetId="5">#REF!,#REF!,#REF!,#REF!,#REF!,#REF!,#REF!,#REF!,#REF!</definedName>
    <definedName name="Alarm_Group_10" localSheetId="6">#REF!,#REF!,#REF!,#REF!,#REF!,#REF!,#REF!,#REF!,#REF!</definedName>
    <definedName name="Alarm_Group_10" localSheetId="7">#REF!,#REF!,#REF!,#REF!,#REF!,#REF!,#REF!,#REF!,#REF!</definedName>
    <definedName name="Alarm_Group_10">#REF!,#REF!,#REF!,#REF!,#REF!,#REF!,#REF!,#REF!,#REF!</definedName>
    <definedName name="Alarm_Group_2" localSheetId="5">#REF!,#REF!,#REF!,#REF!,#REF!,#REF!,#REF!,#REF!,#REF!</definedName>
    <definedName name="Alarm_Group_2" localSheetId="6">#REF!,#REF!,#REF!,#REF!,#REF!,#REF!,#REF!,#REF!,#REF!</definedName>
    <definedName name="Alarm_Group_2" localSheetId="7">#REF!,#REF!,#REF!,#REF!,#REF!,#REF!,#REF!,#REF!,#REF!</definedName>
    <definedName name="Alarm_Group_2">#REF!,#REF!,#REF!,#REF!,#REF!,#REF!,#REF!,#REF!,#REF!</definedName>
    <definedName name="Alarm_Group_3">#REF!,#REF!,#REF!,#REF!,#REF!,#REF!,#REF!,#REF!,#REF!</definedName>
    <definedName name="Alarm_Group_4">#REF!,#REF!,#REF!,#REF!,#REF!,#REF!,#REF!,#REF!,#REF!</definedName>
    <definedName name="Alarm_Group_5">#REF!,#REF!,#REF!,#REF!,#REF!,#REF!,#REF!,#REF!,#REF!</definedName>
    <definedName name="Alarm_Group_6">#REF!,#REF!,#REF!,#REF!,#REF!,#REF!,#REF!,#REF!,#REF!</definedName>
    <definedName name="Alarm_Group_7">#REF!,#REF!,#REF!,#REF!,#REF!,#REF!,#REF!,#REF!,#REF!</definedName>
    <definedName name="Alarm_Group_8">#REF!,#REF!,#REF!,#REF!,#REF!,#REF!,#REF!,#REF!,#REF!</definedName>
    <definedName name="Alarm_Group_9">#REF!,#REF!,#REF!,#REF!,#REF!,#REF!,#REF!,#REF!,#REF!</definedName>
    <definedName name="Alarm_Monitors">#REF!</definedName>
    <definedName name="allocation">#REF!</definedName>
    <definedName name="alpha">#REF!</definedName>
    <definedName name="Alw">#REF!</definedName>
    <definedName name="AM">#REF!</definedName>
    <definedName name="Amount">#REF!</definedName>
    <definedName name="Amt_Contingency">#REF!</definedName>
    <definedName name="AMT_CONTINGENCY_FEE">#REF!</definedName>
    <definedName name="Amt_Demolition">#REF!</definedName>
    <definedName name="Amt_Design.Fee">#REF!</definedName>
    <definedName name="Amt_Direct.Cost">#REF!</definedName>
    <definedName name="Amt_Earth.Work">#REF!</definedName>
    <definedName name="Amt_Elec">#REF!</definedName>
    <definedName name="Amt_Ext.Civil">#REF!</definedName>
    <definedName name="Amt_Finish.Work">#REF!</definedName>
    <definedName name="Amt_Lift">#REF!</definedName>
    <definedName name="Amt_Mech">#REF!</definedName>
    <definedName name="Amt_Onsite">#REF!</definedName>
    <definedName name="Amt_Others">#REF!</definedName>
    <definedName name="Amt_PC.PS">#REF!</definedName>
    <definedName name="Amt_Pile.Work">#REF!</definedName>
    <definedName name="Amt_prev_paid">#REF!</definedName>
    <definedName name="Amt_prev_paid_range">#REF!</definedName>
    <definedName name="Amt_Project">#REF!</definedName>
    <definedName name="Amt_Sub.Struc">#REF!</definedName>
    <definedName name="Amt_Super.Struc">#REF!</definedName>
    <definedName name="AmtDue">#REF!</definedName>
    <definedName name="AN">#REF!</definedName>
    <definedName name="Angle_Screed">#REF!</definedName>
    <definedName name="ANNAA">#REF!</definedName>
    <definedName name="ANNAB">#REF!</definedName>
    <definedName name="anscount" hidden="1">1</definedName>
    <definedName name="apart">#REF!</definedName>
    <definedName name="app_cost">#REF!</definedName>
    <definedName name="APP_options_selected">#REF!</definedName>
    <definedName name="APP_tx">#REF!</definedName>
    <definedName name="APP_tx_BSCE">#REF!</definedName>
    <definedName name="APP_tx_Dat">#REF!</definedName>
    <definedName name="applen">#REF!</definedName>
    <definedName name="Applications">#REF!</definedName>
    <definedName name="AREA">#REF!</definedName>
    <definedName name="areabroad">#REF!</definedName>
    <definedName name="areacentral">#REF!</definedName>
    <definedName name="AREAEC">#REF!</definedName>
    <definedName name="areaencentre">#REF!</definedName>
    <definedName name="areafins">#REF!</definedName>
    <definedName name="areas">#REF!</definedName>
    <definedName name="areatop2">#REF!</definedName>
    <definedName name="areawc2">#REF!</definedName>
    <definedName name="areawc3">#REF!</definedName>
    <definedName name="array">#REF!</definedName>
    <definedName name="aruna">#REF!</definedName>
    <definedName name="AS">#REF!</definedName>
    <definedName name="asd">#REF!</definedName>
    <definedName name="asdf">#REF!</definedName>
    <definedName name="ASHOKA">#REF!</definedName>
    <definedName name="ass">#REF!</definedName>
    <definedName name="ASSET">#REF!</definedName>
    <definedName name="at">#REF!</definedName>
    <definedName name="At_risk">#REF!</definedName>
    <definedName name="atrisk_total_net_rent_for_cashflow">#REF!</definedName>
    <definedName name="audd">#REF!</definedName>
    <definedName name="auds">#REF!</definedName>
    <definedName name="auel">#REF!</definedName>
    <definedName name="aues">#REF!</definedName>
    <definedName name="aujs">#REF!</definedName>
    <definedName name="auki">#REF!</definedName>
    <definedName name="aurs">#REF!</definedName>
    <definedName name="autonum">#REF!</definedName>
    <definedName name="autw">#REF!</definedName>
    <definedName name="AV">#REF!</definedName>
    <definedName name="Available_Bandwitdh_perCamerServer">#REF!</definedName>
    <definedName name="avethk">#REF!</definedName>
    <definedName name="avewid">#REF!</definedName>
    <definedName name="AWGQE">#REF!</definedName>
    <definedName name="AX">#REF!</definedName>
    <definedName name="AZ">#REF!</definedName>
    <definedName name="B">#REF!+1</definedName>
    <definedName name="B___0">#REF!</definedName>
    <definedName name="B___13">#REF!</definedName>
    <definedName name="B_22">#REF!</definedName>
    <definedName name="B1T">#REF!</definedName>
    <definedName name="B2T">#REF!</definedName>
    <definedName name="B3T">#REF!</definedName>
    <definedName name="B4T">#REF!</definedName>
    <definedName name="B5T">#REF!</definedName>
    <definedName name="B6T">#REF!</definedName>
    <definedName name="B7T">#REF!</definedName>
    <definedName name="BandwidthResults">#REF!</definedName>
    <definedName name="BAR_WT">#REF!</definedName>
    <definedName name="BASEAREAS">#REF!</definedName>
    <definedName name="Basic_data">#REF!</definedName>
    <definedName name="BB">#REF!</definedName>
    <definedName name="BB_22">#REF!</definedName>
    <definedName name="BBB">#REF!</definedName>
    <definedName name="BC">#REF!</definedName>
    <definedName name="bcis">#REF!</definedName>
    <definedName name="be" localSheetId="5" hidden="1">{"'Break down'!$A$4"}</definedName>
    <definedName name="be" localSheetId="6" hidden="1">{"'Break down'!$A$4"}</definedName>
    <definedName name="be" localSheetId="7" hidden="1">{"'Break down'!$A$4"}</definedName>
    <definedName name="be" hidden="1">{"'Break down'!$A$4"}</definedName>
    <definedName name="Beg_Bal">#REF!</definedName>
    <definedName name="beta">#REF!</definedName>
    <definedName name="Bf">#REF!</definedName>
    <definedName name="BGG" hidden="1">#REF!</definedName>
    <definedName name="bill">#REF!</definedName>
    <definedName name="Bill_3_D99">#REF!</definedName>
    <definedName name="bill1">#REF!</definedName>
    <definedName name="BIN">#REF!</definedName>
    <definedName name="bjlc">#REF!</definedName>
    <definedName name="blk">#REF!</definedName>
    <definedName name="BM">#REF!</definedName>
    <definedName name="BM_options_selected">#REF!</definedName>
    <definedName name="bmfffw">#REF!</definedName>
    <definedName name="bmffm25">#REF!</definedName>
    <definedName name="bmgrfw">#REF!</definedName>
    <definedName name="bmgrm25">#REF!</definedName>
    <definedName name="bmsffw">#REF!</definedName>
    <definedName name="bmsfm25">#REF!</definedName>
    <definedName name="bmtffw">#REF!</definedName>
    <definedName name="bmtfm25">#REF!</definedName>
    <definedName name="bol">#REF!</definedName>
    <definedName name="boml">#REF!</definedName>
    <definedName name="boqformat">#REF!</definedName>
    <definedName name="borabt">#REF!</definedName>
    <definedName name="Bored_60">#REF!</definedName>
    <definedName name="borlen1">#REF!</definedName>
    <definedName name="borlen2">#REF!</definedName>
    <definedName name="borlen3">#REF!</definedName>
    <definedName name="botl">#REF!</definedName>
    <definedName name="botn">#REF!</definedName>
    <definedName name="Bottom_T32_RF_Factor">#REF!</definedName>
    <definedName name="BOX_RA02">#REF!</definedName>
    <definedName name="BOX_RB02">#REF!</definedName>
    <definedName name="Boxvol">#REF!</definedName>
    <definedName name="Breaks">#REF!</definedName>
    <definedName name="Brgname">#REF!</definedName>
    <definedName name="Brname">#REF!</definedName>
    <definedName name="bua">#REF!</definedName>
    <definedName name="BUDDHA">#REF!</definedName>
    <definedName name="budget">#REF!</definedName>
    <definedName name="BUDGETM">#REF!</definedName>
    <definedName name="building">#REF!</definedName>
    <definedName name="building___0">#REF!</definedName>
    <definedName name="building___11">#REF!</definedName>
    <definedName name="building___12">#REF!</definedName>
    <definedName name="BuiltIn_Print_Area___0">#REF!</definedName>
    <definedName name="BuiltIn_Print_Titles___0">#N/A</definedName>
    <definedName name="BUS">#REF!</definedName>
    <definedName name="BUS_22">#REF!</definedName>
    <definedName name="bw">#REF!</definedName>
    <definedName name="BW1_Group_1" localSheetId="5">#REF!,#REF!,#REF!,#REF!,#REF!</definedName>
    <definedName name="BW1_Group_1" localSheetId="6">#REF!,#REF!,#REF!,#REF!,#REF!</definedName>
    <definedName name="BW1_Group_1" localSheetId="7">#REF!,#REF!,#REF!,#REF!,#REF!</definedName>
    <definedName name="BW1_Group_1">#REF!,#REF!,#REF!,#REF!,#REF!</definedName>
    <definedName name="BW1_Group_10">#REF!,#REF!,#REF!,#REF!,#REF!</definedName>
    <definedName name="BW1_Group_2">#REF!,#REF!,#REF!,#REF!,#REF!</definedName>
    <definedName name="BW1_Group_3">#REF!,#REF!,#REF!,#REF!,#REF!</definedName>
    <definedName name="BW1_Group_4">#REF!,#REF!,#REF!,#REF!,#REF!</definedName>
    <definedName name="BW1_Group_5">#REF!,#REF!,#REF!,#REF!,#REF!</definedName>
    <definedName name="BW1_Group_6">#REF!,#REF!,#REF!,#REF!,#REF!</definedName>
    <definedName name="BW1_Group_7">#REF!,#REF!,#REF!,#REF!,#REF!</definedName>
    <definedName name="BW1_Group_8">#REF!,#REF!,#REF!,#REF!,#REF!</definedName>
    <definedName name="BW1_Group_9">#REF!,#REF!,#REF!,#REF!,#REF!</definedName>
    <definedName name="BW2_Group_1">#REF!,#REF!,#REF!,#REF!,#REF!</definedName>
    <definedName name="BW2_Group_10">#REF!,#REF!,#REF!,#REF!,#REF!</definedName>
    <definedName name="BW2_Group_2">#REF!,#REF!,#REF!,#REF!,#REF!</definedName>
    <definedName name="BW2_Group_3">#REF!,#REF!,#REF!,#REF!,#REF!</definedName>
    <definedName name="BW2_Group_4">#REF!,#REF!,#REF!,#REF!,#REF!</definedName>
    <definedName name="BW2_Group_5">#REF!,#REF!,#REF!,#REF!,#REF!</definedName>
    <definedName name="BW2_Group_6">#REF!,#REF!,#REF!,#REF!,#REF!</definedName>
    <definedName name="BW2_Group_7">#REF!,#REF!,#REF!,#REF!,#REF!</definedName>
    <definedName name="BW2_Group_8">#REF!,#REF!,#REF!,#REF!,#REF!</definedName>
    <definedName name="BW2_Group_9">#REF!,#REF!,#REF!,#REF!,#REF!</definedName>
    <definedName name="bw4_">#REF!</definedName>
    <definedName name="bw4a">#REF!</definedName>
    <definedName name="Bx">#REF!</definedName>
    <definedName name="Bx___0">#REF!</definedName>
    <definedName name="Bx___13">#REF!</definedName>
    <definedName name="BXVCJHBDHVBC">#REF!</definedName>
    <definedName name="C_">#N/A</definedName>
    <definedName name="CA">#REF!</definedName>
    <definedName name="CALs">#REF!</definedName>
    <definedName name="CALs_new">#REF!</definedName>
    <definedName name="camdisc">0.9</definedName>
    <definedName name="cant">#REF!</definedName>
    <definedName name="car_park_cash_flow">#REF!</definedName>
    <definedName name="carpet">#REF!</definedName>
    <definedName name="carpet___0">#REF!</definedName>
    <definedName name="carpet___11">#REF!</definedName>
    <definedName name="carpet___12">#REF!</definedName>
    <definedName name="Case_100">#REF!</definedName>
    <definedName name="Case_80">#REF!</definedName>
    <definedName name="cbgl1">#REF!</definedName>
    <definedName name="cbgl2">#REF!</definedName>
    <definedName name="cbgl3">#REF!</definedName>
    <definedName name="cbgl4">#REF!</definedName>
    <definedName name="CC">#REF!</definedName>
    <definedName name="CC_22">#REF!</definedName>
    <definedName name="CCC">#REF!</definedName>
    <definedName name="ccolagl">#REF!</definedName>
    <definedName name="CCS">#N/A</definedName>
    <definedName name="Cell_Length_X">#REF!</definedName>
    <definedName name="Cell_length_Y">#REF!</definedName>
    <definedName name="cellper">#REF!</definedName>
    <definedName name="Certi_unitprice">#REF!</definedName>
    <definedName name="Certi_unitprice_h">#REF!</definedName>
    <definedName name="Certi_unitprice_u">#REF!</definedName>
    <definedName name="cf">#REF!</definedName>
    <definedName name="cfb">#REF!</definedName>
    <definedName name="cfbeams">#REF!</definedName>
    <definedName name="cfsalb">#REF!</definedName>
    <definedName name="cfslab">#REF!</definedName>
    <definedName name="CH.J">#REF!</definedName>
    <definedName name="CHARTMONTH">#REF!</definedName>
    <definedName name="checked">#REF!</definedName>
    <definedName name="CHJ">#REF!</definedName>
    <definedName name="circu1">#REF!</definedName>
    <definedName name="circu2">#REF!</definedName>
    <definedName name="City">#REF!</definedName>
    <definedName name="city1area">#REF!</definedName>
    <definedName name="Civil_BOQ">#REF!</definedName>
    <definedName name="clength">#REF!</definedName>
    <definedName name="Client">#REF!</definedName>
    <definedName name="Client_Quad_Percent">#REF!</definedName>
    <definedName name="ClientAddress1">#REF!</definedName>
    <definedName name="ClientAddress2">#REF!</definedName>
    <definedName name="ClientCity">#REF!</definedName>
    <definedName name="ClientCountry">#REF!</definedName>
    <definedName name="ClientEmail">#REF!</definedName>
    <definedName name="ClientFax">#REF!</definedName>
    <definedName name="ClientPhone">#REF!</definedName>
    <definedName name="ClientState">#REF!</definedName>
    <definedName name="ClientZip">#REF!</definedName>
    <definedName name="clintels">#REF!</definedName>
    <definedName name="CM">#REF!</definedName>
    <definedName name="cocnlen1">#REF!</definedName>
    <definedName name="Code" hidden="1">#REF!</definedName>
    <definedName name="col">#REF!</definedName>
    <definedName name="col___0">#REF!</definedName>
    <definedName name="col___11">#REF!</definedName>
    <definedName name="col___12">#REF!</definedName>
    <definedName name="colarea">#REF!</definedName>
    <definedName name="colbasefw">#REF!</definedName>
    <definedName name="colbasem40">#REF!</definedName>
    <definedName name="colbasem45">#REF!</definedName>
    <definedName name="Colbgl">#REF!</definedName>
    <definedName name="colbgl2">#REF!</definedName>
    <definedName name="colfffw">#REF!</definedName>
    <definedName name="colffm35">#REF!</definedName>
    <definedName name="colgrfw">#REF!</definedName>
    <definedName name="colgrm40">#REF!</definedName>
    <definedName name="colsffw">#REF!</definedName>
    <definedName name="colsfm35">#REF!</definedName>
    <definedName name="coltffw">#REF!</definedName>
    <definedName name="coltfm30">#REF!</definedName>
    <definedName name="Columns">#REF!</definedName>
    <definedName name="Company">#REF!</definedName>
    <definedName name="compiercircu">#REF!</definedName>
    <definedName name="compierstri">#REF!</definedName>
    <definedName name="compiersufare">#REF!</definedName>
    <definedName name="compiertopare">#REF!</definedName>
    <definedName name="compiervol">#REF!</definedName>
    <definedName name="completion_date">#REF!</definedName>
    <definedName name="Con_unitprice">#REF!</definedName>
    <definedName name="conc148">#REF!</definedName>
    <definedName name="conc1510">#REF!</definedName>
    <definedName name="conc2">#REF!</definedName>
    <definedName name="concabt">#REF!</definedName>
    <definedName name="conclen3">#REF!</definedName>
    <definedName name="Concrete_Ang.Connection">#REF!</definedName>
    <definedName name="Concrete_V_Connection">#REF!</definedName>
    <definedName name="Construction_Period">#REF!</definedName>
    <definedName name="Contact">#REF!</definedName>
    <definedName name="Continuous_Group_1">#REF!,#REF!,#REF!,#REF!,#REF!,#REF!</definedName>
    <definedName name="Continuous_Group_10">#REF!,#REF!,#REF!,#REF!,#REF!,#REF!</definedName>
    <definedName name="Continuous_Group_2">#REF!,#REF!,#REF!,#REF!,#REF!,#REF!</definedName>
    <definedName name="Continuous_Group_3">#REF!,#REF!,#REF!,#REF!,#REF!,#REF!</definedName>
    <definedName name="Continuous_Group_4">#REF!,#REF!,#REF!,#REF!,#REF!,#REF!</definedName>
    <definedName name="Continuous_Group_5">#REF!,#REF!,#REF!,#REF!,#REF!,#REF!</definedName>
    <definedName name="Continuous_Group_6">#REF!,#REF!,#REF!,#REF!,#REF!,#REF!</definedName>
    <definedName name="Continuous_Group_7">#REF!,#REF!,#REF!,#REF!,#REF!,#REF!</definedName>
    <definedName name="Continuous_Group_8">#REF!,#REF!,#REF!,#REF!,#REF!,#REF!</definedName>
    <definedName name="Continuous_Group_9">#REF!,#REF!,#REF!,#REF!,#REF!,#REF!</definedName>
    <definedName name="Conveuro">4.5</definedName>
    <definedName name="copy">#REF!</definedName>
    <definedName name="copy_this">#REF!</definedName>
    <definedName name="cost">#REF!</definedName>
    <definedName name="Cost_Temp.Equip">#REF!</definedName>
    <definedName name="coststage">#REF!</definedName>
    <definedName name="COU">#REF!</definedName>
    <definedName name="COU___0">#REF!</definedName>
    <definedName name="COU___13">#REF!</definedName>
    <definedName name="Country">#REF!</definedName>
    <definedName name="cp">#REF!</definedName>
    <definedName name="cpdpvol">#REF!</definedName>
    <definedName name="cpierends">#REF!</definedName>
    <definedName name="cr">#REF!</definedName>
    <definedName name="_xlnm.Criteria">#REF!</definedName>
    <definedName name="CRITERIA1">#REF!</definedName>
    <definedName name="Cs">#REF!</definedName>
    <definedName name="Cs___0">#REF!</definedName>
    <definedName name="Cs___13">#REF!</definedName>
    <definedName name="CSS">#N/A</definedName>
    <definedName name="csshade">#REF!</definedName>
    <definedName name="cst">#REF!</definedName>
    <definedName name="CURRENCY">#REF!</definedName>
    <definedName name="CURRENT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WAmt">#REF!</definedName>
    <definedName name="cwbasefw">#REF!</definedName>
    <definedName name="cwbasem25">#REF!</definedName>
    <definedName name="cwfffw">#REF!</definedName>
    <definedName name="cwffm25">#REF!</definedName>
    <definedName name="cwgrfw">#REF!</definedName>
    <definedName name="cwgrm25">#REF!</definedName>
    <definedName name="cwsffw">#REF!</definedName>
    <definedName name="cwsfm25">#REF!</definedName>
    <definedName name="D">#REF!</definedName>
    <definedName name="d___0">#REF!</definedName>
    <definedName name="d___13">#REF!</definedName>
    <definedName name="D_22">#REF!</definedName>
    <definedName name="D12_">#N/A</definedName>
    <definedName name="D20_">#N/A</definedName>
    <definedName name="dad" hidden="1">#REF!</definedName>
    <definedName name="dasdfa">#REF!</definedName>
    <definedName name="Data">#REF!</definedName>
    <definedName name="data1" hidden="1">#REF!</definedName>
    <definedName name="data2" hidden="1">#REF!</definedName>
    <definedName name="data3" hidden="1">#REF!</definedName>
    <definedName name="_xlnm.Database">#REF!</definedName>
    <definedName name="date">#REF!</definedName>
    <definedName name="Date_Bidding">#REF!</definedName>
    <definedName name="db">#REF!</definedName>
    <definedName name="db___0">#REF!</definedName>
    <definedName name="db___13">#REF!</definedName>
    <definedName name="DC">3.68</definedName>
    <definedName name="dcf">#REF!</definedName>
    <definedName name="DD">#REF!</definedName>
    <definedName name="DD_22">#REF!</definedName>
    <definedName name="DDD">#REF!</definedName>
    <definedName name="dddt" localSheetId="5" hidden="1">{"'Break down'!$A$4"}</definedName>
    <definedName name="dddt" localSheetId="6" hidden="1">{"'Break down'!$A$4"}</definedName>
    <definedName name="dddt" localSheetId="7" hidden="1">{"'Break down'!$A$4"}</definedName>
    <definedName name="dddt" hidden="1">{"'Break down'!$A$4"}</definedName>
    <definedName name="Ddt_H_Screed">#REF!</definedName>
    <definedName name="Ddt_H_Screed_AC">#REF!</definedName>
    <definedName name="delete">#REF!</definedName>
    <definedName name="Delete1" localSheetId="5">#REF!,#REF!,#REF!</definedName>
    <definedName name="Delete1" localSheetId="6">#REF!,#REF!,#REF!</definedName>
    <definedName name="Delete1" localSheetId="7">#REF!,#REF!,#REF!</definedName>
    <definedName name="Delete1">#REF!,#REF!,#REF!</definedName>
    <definedName name="Delete2">#REF!,#REF!,#REF!</definedName>
    <definedName name="Delete3">#REF!,#REF!,#REF!</definedName>
    <definedName name="Delete4">#REF!,#REF!,#REF!</definedName>
    <definedName name="Delete5">#REF!,#REF!,#REF!</definedName>
    <definedName name="Delete6">#REF!,#REF!,#REF!</definedName>
    <definedName name="delete7">#REF!,#REF!,#REF!</definedName>
    <definedName name="Delete8">#REF!,#REF!,#REF!</definedName>
    <definedName name="Delete9">#REF!,#REF!,#REF!,#REF!,#REF!,#REF!</definedName>
    <definedName name="DELTA20">#REF!</definedName>
    <definedName name="DELTA20___0">#REF!</definedName>
    <definedName name="DELTA20___13">#REF!</definedName>
    <definedName name="Depth">#REF!</definedName>
    <definedName name="designed">#REF!</definedName>
    <definedName name="Df">#REF!</definedName>
    <definedName name="dfd">#REF!</definedName>
    <definedName name="Dff">#REF!</definedName>
    <definedName name="dfsdfs">#REF!</definedName>
    <definedName name="dg">#REF!</definedName>
    <definedName name="Di">#REF!</definedName>
    <definedName name="Digital_Video_Manager___1_Camera_Redundancy">#REF!</definedName>
    <definedName name="DILINI">#REF!</definedName>
    <definedName name="DIns">#REF!</definedName>
    <definedName name="DIRECT">#REF!</definedName>
    <definedName name="Discount" hidden="1">#REF!</definedName>
    <definedName name="display_area_2" hidden="1">#REF!</definedName>
    <definedName name="dk">#REF!</definedName>
    <definedName name="dk4_">#REF!</definedName>
    <definedName name="dl">#REF!</definedName>
    <definedName name="dl___0">#REF!</definedName>
    <definedName name="dl___13">#REF!</definedName>
    <definedName name="dm">0.8</definedName>
    <definedName name="Do">#REF!</definedName>
    <definedName name="docu">#REF!</definedName>
    <definedName name="door">#REF!</definedName>
    <definedName name="DOORS">#REF!</definedName>
    <definedName name="doorsill">#REF!,#REF!,#REF!</definedName>
    <definedName name="DP">#REF!</definedName>
    <definedName name="dpfffw">#REF!</definedName>
    <definedName name="dpffm40">#REF!</definedName>
    <definedName name="dpgrfw">#REF!</definedName>
    <definedName name="dpgrm40">#REF!</definedName>
    <definedName name="dpgrm45">#REF!</definedName>
    <definedName name="dpsffw">#REF!</definedName>
    <definedName name="dpsfm35">#REF!</definedName>
    <definedName name="dptffw">#REF!</definedName>
    <definedName name="dptfm35">#REF!</definedName>
    <definedName name="dq">#REF!</definedName>
    <definedName name="Drain_Length">#REF!</definedName>
    <definedName name="Ds">#REF!</definedName>
    <definedName name="Ds___0">#REF!</definedName>
    <definedName name="Ds___13">#REF!</definedName>
    <definedName name="DVM_Clients">#REF!</definedName>
    <definedName name="DVMRed">#REF!</definedName>
    <definedName name="dw">#REF!</definedName>
    <definedName name="DW9_">#N/A</definedName>
    <definedName name="DWAmt">#REF!</definedName>
    <definedName name="E">#REF!</definedName>
    <definedName name="E_22">#REF!</definedName>
    <definedName name="Earth_p60">#REF!</definedName>
    <definedName name="Earth_p70">#REF!</definedName>
    <definedName name="Earth_p90">#REF!</definedName>
    <definedName name="Ebc">#REF!</definedName>
    <definedName name="edd">#REF!</definedName>
    <definedName name="EE">#REF!</definedName>
    <definedName name="EE_22">#REF!</definedName>
    <definedName name="EEE">#REF!</definedName>
    <definedName name="ees">#REF!</definedName>
    <definedName name="EF">#REF!</definedName>
    <definedName name="EFA">#REF!</definedName>
    <definedName name="ejs">#REF!</definedName>
    <definedName name="eki">#REF!</definedName>
    <definedName name="Ele" localSheetId="5" hidden="1">{"'Break down'!$A$4"}</definedName>
    <definedName name="Ele" localSheetId="6" hidden="1">{"'Break down'!$A$4"}</definedName>
    <definedName name="Ele" localSheetId="7" hidden="1">{"'Break down'!$A$4"}</definedName>
    <definedName name="Ele" hidden="1">{"'Break down'!$A$4"}</definedName>
    <definedName name="ELEC" hidden="1">#REF!</definedName>
    <definedName name="ELEE" localSheetId="5" hidden="1">{"'Break down'!$A$4"}</definedName>
    <definedName name="ELEE" localSheetId="6" hidden="1">{"'Break down'!$A$4"}</definedName>
    <definedName name="ELEE" localSheetId="7" hidden="1">{"'Break down'!$A$4"}</definedName>
    <definedName name="ELEE" hidden="1">{"'Break down'!$A$4"}</definedName>
    <definedName name="element">#REF!</definedName>
    <definedName name="Em">#REF!</definedName>
    <definedName name="Em___0">#REF!</definedName>
    <definedName name="Em___13">#REF!</definedName>
    <definedName name="Email">#REF!</definedName>
    <definedName name="employer">#REF!</definedName>
    <definedName name="End_Bal">#REF!</definedName>
    <definedName name="equip">#REF!</definedName>
    <definedName name="Es">#REF!</definedName>
    <definedName name="Es___0">#REF!</definedName>
    <definedName name="Es___13">#REF!</definedName>
    <definedName name="Escalation">#REF!</definedName>
    <definedName name="Et">#REF!</definedName>
    <definedName name="Et___0">#REF!</definedName>
    <definedName name="Et___13">#REF!</definedName>
    <definedName name="eth" hidden="1">#REF!</definedName>
    <definedName name="etw">#REF!</definedName>
    <definedName name="europe_only">#REF!</definedName>
    <definedName name="ev">#REF!</definedName>
    <definedName name="ew">#REF!</definedName>
    <definedName name="ew4_">#REF!</definedName>
    <definedName name="ew4a">#REF!</definedName>
    <definedName name="ewk">#REF!</definedName>
    <definedName name="ex" localSheetId="5">MATCH(0.01,[0]!End_Bal,-1)+1</definedName>
    <definedName name="ex" localSheetId="6">MATCH(0.01,[0]!End_Bal,-1)+1</definedName>
    <definedName name="ex" localSheetId="7">MATCH(0.01,[0]!End_Bal,-1)+1</definedName>
    <definedName name="ex">MATCH(0.01,[0]!End_Bal,-1)+1</definedName>
    <definedName name="Exca_unitprice">#REF!</definedName>
    <definedName name="Exca_unitprice_h">#REF!</definedName>
    <definedName name="Exca_unitprice_u">#REF!</definedName>
    <definedName name="Excavation">#REF!</definedName>
    <definedName name="Excel_BuiltIn__FilterDatabase_1">#REF!</definedName>
    <definedName name="Excel_BuiltIn_Database">#REF!</definedName>
    <definedName name="Excel_BuiltIn_Database_0">#REF!</definedName>
    <definedName name="Excel_BuiltIn_Database_22">#REF!</definedName>
    <definedName name="excf">#REF!</definedName>
    <definedName name="Exchange_Rate">#REF!</definedName>
    <definedName name="Excluded">#REF!</definedName>
    <definedName name="Exclusions">#REF!</definedName>
    <definedName name="External_Waterstops">#REF!</definedName>
    <definedName name="Extra_Clients">#REF!</definedName>
    <definedName name="Extra_Pay">#REF!</definedName>
    <definedName name="_xlnm.Extract">#REF!</definedName>
    <definedName name="F">#REF!</definedName>
    <definedName name="F_22">#REF!</definedName>
    <definedName name="fac">#REF!</definedName>
    <definedName name="factor1">#REF!</definedName>
    <definedName name="Fax">#REF!</definedName>
    <definedName name="Fb">#REF!</definedName>
    <definedName name="fc">1.1</definedName>
    <definedName name="FCode" hidden="1">#REF!</definedName>
    <definedName name="fd">#REF!</definedName>
    <definedName name="fdf">#REF!</definedName>
    <definedName name="FF">#REF!</definedName>
    <definedName name="FF_22">#REF!</definedName>
    <definedName name="FFF">#REF!</definedName>
    <definedName name="fffuu" localSheetId="5" hidden="1">{"'Break down'!$A$4"}</definedName>
    <definedName name="fffuu" localSheetId="6" hidden="1">{"'Break down'!$A$4"}</definedName>
    <definedName name="fffuu" localSheetId="7" hidden="1">{"'Break down'!$A$4"}</definedName>
    <definedName name="fffuu" hidden="1">{"'Break down'!$A$4"}</definedName>
    <definedName name="FGH">#REF!</definedName>
    <definedName name="Fh">#REF!</definedName>
    <definedName name="Fhwl">#REF!</definedName>
    <definedName name="fi">#REF!</definedName>
    <definedName name="fi4_">#REF!</definedName>
    <definedName name="fi4a">#REF!</definedName>
    <definedName name="fini">#REF!</definedName>
    <definedName name="fini4">#REF!</definedName>
    <definedName name="finsarea">#REF!</definedName>
    <definedName name="First_Free_Interface_Flavour">#REF!</definedName>
    <definedName name="FirstFreeInterface">#REF!</definedName>
    <definedName name="FirstFreeInterfaceDropDown">"Drop Down 527"</definedName>
    <definedName name="FIT">#REF!</definedName>
    <definedName name="FIT___0">#REF!</definedName>
    <definedName name="FIT___13">#REF!</definedName>
    <definedName name="Floor">#REF!</definedName>
    <definedName name="Floorfinishes">#REF!</definedName>
    <definedName name="FM">#REF!</definedName>
    <definedName name="FM_options_Selected">#REF!</definedName>
    <definedName name="fo">#REF!</definedName>
    <definedName name="FOHBOH">#REF!</definedName>
    <definedName name="footing">#REF!</definedName>
    <definedName name="Footings">#REF!</definedName>
    <definedName name="Form_support">#REF!</definedName>
    <definedName name="Form_unitp">#REF!</definedName>
    <definedName name="Form_unitp_h">#REF!</definedName>
    <definedName name="Form_unitph">#REF!</definedName>
    <definedName name="Form_unitprice">#REF!</definedName>
    <definedName name="Form_unitprice_h">#REF!</definedName>
    <definedName name="Form_up_h">#REF!</definedName>
    <definedName name="Fp">#REF!</definedName>
    <definedName name="FR">1.1</definedName>
    <definedName name="From_page_Bill_No.05___5.2___Q___Page_5_of_63">#REF!</definedName>
    <definedName name="From_support">#REF!</definedName>
    <definedName name="Fs">#REF!</definedName>
    <definedName name="ftfw">#REF!</definedName>
    <definedName name="Full_Print">#REF!</definedName>
    <definedName name="fullTl">#REF!</definedName>
    <definedName name="FUNCTION">#REF!</definedName>
    <definedName name="Fv">#REF!</definedName>
    <definedName name="G">#REF!</definedName>
    <definedName name="G_22">#REF!</definedName>
    <definedName name="gajkbgsf">#REF!</definedName>
    <definedName name="gama">#REF!</definedName>
    <definedName name="gamah">#REF!</definedName>
    <definedName name="Garbage_Chute">#REF!</definedName>
    <definedName name="gb">#REF!</definedName>
    <definedName name="GBPtoDhs">#REF!</definedName>
    <definedName name="ge">#REF!</definedName>
    <definedName name="GENCABLES">#REF!</definedName>
    <definedName name="GENERAL">#REF!</definedName>
    <definedName name="gg">#REF!</definedName>
    <definedName name="GGG">#REF!</definedName>
    <definedName name="GH">#REF!</definedName>
    <definedName name="ghj" hidden="1">#REF!</definedName>
    <definedName name="GLevel">#REF!</definedName>
    <definedName name="GONGGA">#REF!</definedName>
    <definedName name="GONGJANG">#REF!</definedName>
    <definedName name="Group1">#REF!</definedName>
    <definedName name="Group2">#REF!</definedName>
    <definedName name="gs">#REF!</definedName>
    <definedName name="guest">#REF!</definedName>
    <definedName name="GV">#REF!</definedName>
    <definedName name="GYS">#REF!</definedName>
    <definedName name="H">#REF!</definedName>
    <definedName name="H___0">#REF!</definedName>
    <definedName name="H___13">#REF!</definedName>
    <definedName name="H_22">#REF!</definedName>
    <definedName name="H_300">#REF!</definedName>
    <definedName name="H_350">#REF!</definedName>
    <definedName name="H0">#REF!</definedName>
    <definedName name="H0___0">#REF!</definedName>
    <definedName name="H0___13">#REF!</definedName>
    <definedName name="hae">#REF!</definedName>
    <definedName name="HARI">#REF!</definedName>
    <definedName name="Header_Row">ROW(#REF!)</definedName>
    <definedName name="here2">#REF!</definedName>
    <definedName name="hf">#REF!</definedName>
    <definedName name="HH">#REF!</definedName>
    <definedName name="hh___0">#REF!</definedName>
    <definedName name="hh___13">#REF!</definedName>
    <definedName name="HH_22">#REF!</definedName>
    <definedName name="HHH">#REF!</definedName>
    <definedName name="hi">#REF!</definedName>
    <definedName name="HiddenRows" hidden="1">#REF!</definedName>
    <definedName name="HINDHUSTAN">#REF!</definedName>
    <definedName name="HIns">#REF!</definedName>
    <definedName name="hjhjhjhkljh">#REF!</definedName>
    <definedName name="hjjjj">#REF!</definedName>
    <definedName name="hjy" localSheetId="5" hidden="1">{"'Break down'!$A$4"}</definedName>
    <definedName name="hjy" localSheetId="6" hidden="1">{"'Break down'!$A$4"}</definedName>
    <definedName name="hjy" localSheetId="7" hidden="1">{"'Break down'!$A$4"}</definedName>
    <definedName name="hjy" hidden="1">{"'Break down'!$A$4"}</definedName>
    <definedName name="hkhkhkj">#REF!</definedName>
    <definedName name="HKKILJI">#REF!</definedName>
    <definedName name="ho">#REF!</definedName>
    <definedName name="ho___0">#REF!</definedName>
    <definedName name="ho___13">#REF!</definedName>
    <definedName name="hoi">#REF!</definedName>
    <definedName name="hom">#REF!</definedName>
    <definedName name="homer">#REF!</definedName>
    <definedName name="homerun">#REF!</definedName>
    <definedName name="hS">#REF!</definedName>
    <definedName name="hS___0">#REF!</definedName>
    <definedName name="hS___13">#REF!</definedName>
    <definedName name="ht" localSheetId="5" hidden="1">{"'Break down'!$A$4"}</definedName>
    <definedName name="ht" localSheetId="6" hidden="1">{"'Break down'!$A$4"}</definedName>
    <definedName name="ht" localSheetId="7" hidden="1">{"'Break down'!$A$4"}</definedName>
    <definedName name="ht" hidden="1">{"'Break down'!$A$4"}</definedName>
    <definedName name="HTML_CodePage" hidden="1">9</definedName>
    <definedName name="HTML_Control" localSheetId="5" hidden="1">{"'Break down'!$A$4"}</definedName>
    <definedName name="HTML_Control" localSheetId="6" hidden="1">{"'Break down'!$A$4"}</definedName>
    <definedName name="HTML_Control" localSheetId="7" hidden="1">{"'Break down'!$A$4"}</definedName>
    <definedName name="HTML_Control" hidden="1">{"'Break down'!$A$4"}</definedName>
    <definedName name="HTML_Description" hidden="1">""</definedName>
    <definedName name="HTML_Email" hidden="1">""</definedName>
    <definedName name="HTML_Header" hidden="1">"Break down"</definedName>
    <definedName name="HTML_LastUpdate" hidden="1">"6/7/98"</definedName>
    <definedName name="HTML_LineAfter" hidden="1">FALSE</definedName>
    <definedName name="HTML_LineBefore" hidden="1">FALSE</definedName>
    <definedName name="HTML_Name" hidden="1">"PAUL MATHEW"</definedName>
    <definedName name="HTML_OBDlg2" hidden="1">TRUE</definedName>
    <definedName name="HTML_OBDlg4" hidden="1">TRUE</definedName>
    <definedName name="HTML_OS" hidden="1">0</definedName>
    <definedName name="HTML_PathFile" hidden="1">"C:\WINDOWS\MSAPPS\MyHTML.htm"</definedName>
    <definedName name="HTML_Title" hidden="1">"Break_down"</definedName>
    <definedName name="htr" localSheetId="5" hidden="1">{"'Break down'!$A$4"}</definedName>
    <definedName name="htr" localSheetId="6" hidden="1">{"'Break down'!$A$4"}</definedName>
    <definedName name="htr" localSheetId="7" hidden="1">{"'Break down'!$A$4"}</definedName>
    <definedName name="htr" hidden="1">{"'Break down'!$A$4"}</definedName>
    <definedName name="htwing">#REF!</definedName>
    <definedName name="Hu">#REF!</definedName>
    <definedName name="Hu___0">#REF!</definedName>
    <definedName name="Hu___13">#REF!</definedName>
    <definedName name="HWCODE">#REF!</definedName>
    <definedName name="hxb">#REF!</definedName>
    <definedName name="hxi">#REF!</definedName>
    <definedName name="HYTH">#REF!</definedName>
    <definedName name="I">#REF!</definedName>
    <definedName name="I___0">#REF!</definedName>
    <definedName name="I___13">#REF!</definedName>
    <definedName name="ice">#REF!</definedName>
    <definedName name="idpvol">#REF!</definedName>
    <definedName name="If">#REF!</definedName>
    <definedName name="Ig">#REF!</definedName>
    <definedName name="Ig___0">#REF!</definedName>
    <definedName name="Ig___13">#REF!</definedName>
    <definedName name="iiip" localSheetId="5" hidden="1">{"'Break down'!$A$4"}</definedName>
    <definedName name="iiip" localSheetId="6" hidden="1">{"'Break down'!$A$4"}</definedName>
    <definedName name="iiip" localSheetId="7" hidden="1">{"'Break down'!$A$4"}</definedName>
    <definedName name="iiip" hidden="1">{"'Break down'!$A$4"}</definedName>
    <definedName name="iiy" localSheetId="5" hidden="1">{"'Break down'!$A$4"}</definedName>
    <definedName name="iiy" localSheetId="6" hidden="1">{"'Break down'!$A$4"}</definedName>
    <definedName name="iiy" localSheetId="7" hidden="1">{"'Break down'!$A$4"}</definedName>
    <definedName name="iiy" hidden="1">{"'Break down'!$A$4"}</definedName>
    <definedName name="IJ">#REF!</definedName>
    <definedName name="IK">#REF!</definedName>
    <definedName name="ILGA">#REF!</definedName>
    <definedName name="IM">#REF!</definedName>
    <definedName name="IMM">#REF!</definedName>
    <definedName name="imported">#REF!</definedName>
    <definedName name="Inc.Tax_Korean">#REF!</definedName>
    <definedName name="Inc.Tax_Local.Reg">#REF!</definedName>
    <definedName name="Inc.Tax_Third.N">#REF!</definedName>
    <definedName name="Included">#REF!</definedName>
    <definedName name="Input_Camera_Server_Disk">#REF!</definedName>
    <definedName name="insert_rows_1">#REF!</definedName>
    <definedName name="Int">#REF!</definedName>
    <definedName name="Interest_Rate">#REF!</definedName>
    <definedName name="intext">#REF!</definedName>
    <definedName name="InvalidOption">#REF!</definedName>
    <definedName name="ipu">#REF!</definedName>
    <definedName name="ipu___0">#REF!</definedName>
    <definedName name="ipu___13">#REF!</definedName>
    <definedName name="iro" hidden="1">#REF!</definedName>
    <definedName name="iron">#REF!</definedName>
    <definedName name="Is">#REF!</definedName>
    <definedName name="J">#REF!</definedName>
    <definedName name="J_22">#REF!</definedName>
    <definedName name="jangan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gt" localSheetId="5" hidden="1">{"'Break down'!$A$4"}</definedName>
    <definedName name="jgt" localSheetId="6" hidden="1">{"'Break down'!$A$4"}</definedName>
    <definedName name="jgt" localSheetId="7" hidden="1">{"'Break down'!$A$4"}</definedName>
    <definedName name="jgt" hidden="1">{"'Break down'!$A$4"}</definedName>
    <definedName name="jhbgcoudaf3uhb">#REF!</definedName>
    <definedName name="jjj">#REF!</definedName>
    <definedName name="jjy" localSheetId="5" hidden="1">{"'Break down'!$A$4"}</definedName>
    <definedName name="jjy" localSheetId="6" hidden="1">{"'Break down'!$A$4"}</definedName>
    <definedName name="jjy" localSheetId="7" hidden="1">{"'Break down'!$A$4"}</definedName>
    <definedName name="jjy" hidden="1">{"'Break down'!$A$4"}</definedName>
    <definedName name="jk">#REF!</definedName>
    <definedName name="jkl">#REF!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vhbdhsjb">#REF!</definedName>
    <definedName name="K">#REF!</definedName>
    <definedName name="K___0">#REF!</definedName>
    <definedName name="K___13">#REF!</definedName>
    <definedName name="K_22">#REF!</definedName>
    <definedName name="ka">#REF!</definedName>
    <definedName name="KAJLJ">#REF!</definedName>
    <definedName name="KAJLJ1">#REF!</definedName>
    <definedName name="KARNA">#REF!</definedName>
    <definedName name="kb">#REF!</definedName>
    <definedName name="kc">#REF!</definedName>
    <definedName name="KD">#REF!</definedName>
    <definedName name="kFOB">#REF!</definedName>
    <definedName name="Kh">#REF!</definedName>
    <definedName name="Kh___0">#REF!</definedName>
    <definedName name="Kh___13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F">#REF!</definedName>
    <definedName name="Kii">#REF!</definedName>
    <definedName name="Kii___0">#REF!</definedName>
    <definedName name="Kii___13">#REF!</definedName>
    <definedName name="kjsbadfjhbjkb">#REF!</definedName>
    <definedName name="KK">#REF!</definedName>
    <definedName name="kkjbzxdfhaiuhb">#REF!</definedName>
    <definedName name="KKK">#REF!</definedName>
    <definedName name="KKKKJJJ">#REF!</definedName>
    <definedName name="KL">#REF!</definedName>
    <definedName name="kloc">#REF!</definedName>
    <definedName name="Km">#REF!</definedName>
    <definedName name="Km___0">#REF!</definedName>
    <definedName name="Km___13">#REF!</definedName>
    <definedName name="Ks">#REF!</definedName>
    <definedName name="Ks___0">#REF!</definedName>
    <definedName name="Ks___13">#REF!</definedName>
    <definedName name="L">#REF!</definedName>
    <definedName name="L___0">#REF!</definedName>
    <definedName name="L___13">#REF!</definedName>
    <definedName name="L_1">#REF!</definedName>
    <definedName name="L_2">#REF!</definedName>
    <definedName name="L_22">#REF!</definedName>
    <definedName name="L_3">#REF!</definedName>
    <definedName name="LABOR">#REF!</definedName>
    <definedName name="lakh">#REF!</definedName>
    <definedName name="LAMP">#REF!</definedName>
    <definedName name="LAMP___0">#REF!</definedName>
    <definedName name="LAMP___13">#REF!</definedName>
    <definedName name="Last_Row">#N/A</definedName>
    <definedName name="Lc">#REF!</definedName>
    <definedName name="Lc___0">#REF!</definedName>
    <definedName name="Lc___13">#REF!</definedName>
    <definedName name="Lcant">#REF!</definedName>
    <definedName name="Lead">#REF!</definedName>
    <definedName name="lee">#REF!</definedName>
    <definedName name="lef">#REF!</definedName>
    <definedName name="lel">#REF!</definedName>
    <definedName name="len">#REF!</definedName>
    <definedName name="Length_of_the_cell__X_direction__m">#REF!</definedName>
    <definedName name="Length_Vertical_Raft">#REF!</definedName>
    <definedName name="LET">#REF!</definedName>
    <definedName name="Lf">#REF!</definedName>
    <definedName name="LIB">#REF!</definedName>
    <definedName name="LIB_22">#REF!</definedName>
    <definedName name="lift" hidden="1">#REF!</definedName>
    <definedName name="limcount" hidden="1">1</definedName>
    <definedName name="liop" localSheetId="5" hidden="1">{"'Break down'!$A$4"}</definedName>
    <definedName name="liop" localSheetId="6" hidden="1">{"'Break down'!$A$4"}</definedName>
    <definedName name="liop" localSheetId="7" hidden="1">{"'Break down'!$A$4"}</definedName>
    <definedName name="liop" hidden="1">{"'Break down'!$A$4"}</definedName>
    <definedName name="LL">#REF!</definedName>
    <definedName name="LL_22">#REF!</definedName>
    <definedName name="LLL">#REF!</definedName>
    <definedName name="llll" localSheetId="5" hidden="1">{"'Break down'!$A$4"}</definedName>
    <definedName name="llll" localSheetId="6" hidden="1">{"'Break down'!$A$4"}</definedName>
    <definedName name="llll" localSheetId="7" hidden="1">{"'Break down'!$A$4"}</definedName>
    <definedName name="llll" hidden="1">{"'Break down'!$A$4"}</definedName>
    <definedName name="Loan_Amount">#REF!</definedName>
    <definedName name="Loan_Start">#REF!</definedName>
    <definedName name="Loan_Years">#REF!</definedName>
    <definedName name="Lr">#REF!</definedName>
    <definedName name="Lr___0">#REF!</definedName>
    <definedName name="Lr___13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x">#REF!</definedName>
    <definedName name="Lx___0">#REF!</definedName>
    <definedName name="Lx___13">#REF!</definedName>
    <definedName name="M">#REF!</definedName>
    <definedName name="m___0">#REF!</definedName>
    <definedName name="m___13">#REF!</definedName>
    <definedName name="M_22">#REF!</definedName>
    <definedName name="M_Angle_Screed">#REF!</definedName>
    <definedName name="Macro1">#REF!</definedName>
    <definedName name="MAIN">#REF!</definedName>
    <definedName name="man">#REF!</definedName>
    <definedName name="man___0">#REF!</definedName>
    <definedName name="man___11">#REF!</definedName>
    <definedName name="man___12">#REF!</definedName>
    <definedName name="manday1">#REF!</definedName>
    <definedName name="manday1___0">#REF!</definedName>
    <definedName name="manday1___11">#REF!</definedName>
    <definedName name="manday1___12">#REF!</definedName>
    <definedName name="markup">#REF!</definedName>
    <definedName name="Materials">#REF!</definedName>
    <definedName name="mechanical">#REF!</definedName>
    <definedName name="mep">#REF!</definedName>
    <definedName name="MER">#REF!</definedName>
    <definedName name="MF">#REF!</definedName>
    <definedName name="MF___0">#REF!</definedName>
    <definedName name="MF___13">#REF!</definedName>
    <definedName name="MI_IF_FS90">#REF!</definedName>
    <definedName name="MI_IF_MICRO">#REF!</definedName>
    <definedName name="MI_IF_MICRO_NC">#REF!</definedName>
    <definedName name="MI_IF_SE">#REF!</definedName>
    <definedName name="Mkt_ast">#REF!</definedName>
    <definedName name="mkt_info">#REF!</definedName>
    <definedName name="mkt_others">#REF!</definedName>
    <definedName name="Mlist">#REF!</definedName>
    <definedName name="MM_Korean">#REF!</definedName>
    <definedName name="MM_Local.Reg">#REF!</definedName>
    <definedName name="MM_Third.Nation">#REF!</definedName>
    <definedName name="MMM">#REF!</definedName>
    <definedName name="MONTHS">#REF!</definedName>
    <definedName name="MONTHSA">#REF!</definedName>
    <definedName name="MONTHSB">#REF!</definedName>
    <definedName name="MONTHSC">#REF!</definedName>
    <definedName name="MONTHSD">#REF!</definedName>
    <definedName name="MONTHSE">#REF!</definedName>
    <definedName name="MOS">#REF!</definedName>
    <definedName name="mosq">#REF!</definedName>
    <definedName name="mr">#REF!</definedName>
    <definedName name="mt">#REF!</definedName>
    <definedName name="MU" localSheetId="5">[1]Sheet1!$B$1</definedName>
    <definedName name="MU" localSheetId="6">[1]Sheet1!$B$1</definedName>
    <definedName name="MU" localSheetId="7">[1]Sheet1!$B$1</definedName>
    <definedName name="MU">#REF!</definedName>
    <definedName name="MUM" localSheetId="5">#REF!</definedName>
    <definedName name="MUM" localSheetId="6">#REF!</definedName>
    <definedName name="MUM" localSheetId="7">#REF!</definedName>
    <definedName name="MUM">#REF!</definedName>
    <definedName name="MUP">#REF!</definedName>
    <definedName name="N" localSheetId="5">#REF!</definedName>
    <definedName name="N" localSheetId="6">#REF!</definedName>
    <definedName name="N" localSheetId="7">#REF!</definedName>
    <definedName name="N">#REF!</definedName>
    <definedName name="N___0" localSheetId="5">#REF!</definedName>
    <definedName name="N___0" localSheetId="6">#REF!</definedName>
    <definedName name="N___0" localSheetId="7">#REF!</definedName>
    <definedName name="N___0">#REF!</definedName>
    <definedName name="N___13">#REF!</definedName>
    <definedName name="N_22">#REF!</definedName>
    <definedName name="name">#REF!</definedName>
    <definedName name="ncompier">#REF!</definedName>
    <definedName name="new_interface">#REF!</definedName>
    <definedName name="newnew">#REF!</definedName>
    <definedName name="NewPrintArea">#REF!</definedName>
    <definedName name="NewPrintAreaMi">#REF!</definedName>
    <definedName name="nm">0.7</definedName>
    <definedName name="NN">#REF!</definedName>
    <definedName name="NN___0">#REF!</definedName>
    <definedName name="NN___13">#REF!</definedName>
    <definedName name="NNN">#REF!</definedName>
    <definedName name="No_cameraServer_Bandwidth">#REF!</definedName>
    <definedName name="No_CameraServer_Storage">#REF!</definedName>
    <definedName name="nolanes">#REF!</definedName>
    <definedName name="notes">#REF!</definedName>
    <definedName name="Npiers">#REF!</definedName>
    <definedName name="npile2">#REF!</definedName>
    <definedName name="npile3">#REF!</definedName>
    <definedName name="NRM">#REF!</definedName>
    <definedName name="nsc이익금">#REF!</definedName>
    <definedName name="Nspans">#REF!</definedName>
    <definedName name="Num_Pmt_Per_Year">#REF!</definedName>
    <definedName name="num2text">#REF!</definedName>
    <definedName name="Number_of_Payments">#N/A</definedName>
    <definedName name="Nwebs">#REF!</definedName>
    <definedName name="Nx">#REF!</definedName>
    <definedName name="Nx___0">#REF!</definedName>
    <definedName name="Nx___13">#REF!</definedName>
    <definedName name="Ny">#REF!</definedName>
    <definedName name="Ny___0">#REF!</definedName>
    <definedName name="Ny___13">#REF!</definedName>
    <definedName name="O">#REF!</definedName>
    <definedName name="OD">#REF!</definedName>
    <definedName name="office">#REF!</definedName>
    <definedName name="OK">#REF!</definedName>
    <definedName name="OL">#REF!</definedName>
    <definedName name="OOO">#REF!</definedName>
    <definedName name="OP">#REF!</definedName>
    <definedName name="Operator_Group_1" localSheetId="5">#REF!,#REF!,#REF!,#REF!,#REF!,#REF!,#REF!,#REF!,#REF!</definedName>
    <definedName name="Operator_Group_1" localSheetId="6">#REF!,#REF!,#REF!,#REF!,#REF!,#REF!,#REF!,#REF!,#REF!</definedName>
    <definedName name="Operator_Group_1" localSheetId="7">#REF!,#REF!,#REF!,#REF!,#REF!,#REF!,#REF!,#REF!,#REF!</definedName>
    <definedName name="Operator_Group_1">#REF!,#REF!,#REF!,#REF!,#REF!,#REF!,#REF!,#REF!,#REF!</definedName>
    <definedName name="Operator_Group_10">#REF!,#REF!,#REF!,#REF!,#REF!,#REF!,#REF!,#REF!,#REF!</definedName>
    <definedName name="Operator_Group_2">#REF!,#REF!,#REF!,#REF!,#REF!,#REF!,#REF!,#REF!,#REF!</definedName>
    <definedName name="Operator_Group_3">#REF!,#REF!,#REF!,#REF!,#REF!,#REF!,#REF!,#REF!,#REF!</definedName>
    <definedName name="Operator_Group_4">#REF!,#REF!,#REF!,#REF!,#REF!,#REF!,#REF!,#REF!,#REF!</definedName>
    <definedName name="Operator_Group_5">#REF!,#REF!,#REF!,#REF!,#REF!,#REF!,#REF!,#REF!,#REF!</definedName>
    <definedName name="Operator_Group_6">#REF!,#REF!,#REF!,#REF!,#REF!,#REF!,#REF!,#REF!,#REF!</definedName>
    <definedName name="Operator_Group_7">#REF!,#REF!,#REF!,#REF!,#REF!,#REF!,#REF!,#REF!,#REF!</definedName>
    <definedName name="Operator_Group_8">#REF!,#REF!,#REF!,#REF!,#REF!,#REF!,#REF!,#REF!,#REF!</definedName>
    <definedName name="Operator_Group_9">#REF!,#REF!,#REF!,#REF!,#REF!,#REF!,#REF!,#REF!,#REF!</definedName>
    <definedName name="OrderTable" hidden="1">#REF!</definedName>
    <definedName name="Out_of_Scope">#REF!</definedName>
    <definedName name="Output_Total_Disk_Storage">#REF!</definedName>
    <definedName name="Overall_Summary_Title">#REF!</definedName>
    <definedName name="P">#REF!</definedName>
    <definedName name="p___0">#REF!</definedName>
    <definedName name="p___13">#REF!</definedName>
    <definedName name="P_22">#REF!</definedName>
    <definedName name="p4s">#REF!</definedName>
    <definedName name="pa">#REF!</definedName>
    <definedName name="pa___0">#REF!</definedName>
    <definedName name="pa___13">#REF!</definedName>
    <definedName name="package">#REF!</definedName>
    <definedName name="page">#REF!</definedName>
    <definedName name="page1">#REF!</definedName>
    <definedName name="page10">#REF!</definedName>
    <definedName name="page100">#REF!</definedName>
    <definedName name="page101">#REF!</definedName>
    <definedName name="page102">#REF!</definedName>
    <definedName name="page103">#REF!</definedName>
    <definedName name="page104">#REF!</definedName>
    <definedName name="page105">#REF!</definedName>
    <definedName name="page106">#REF!</definedName>
    <definedName name="page11">#REF!</definedName>
    <definedName name="page12">#REF!</definedName>
    <definedName name="page13">#REF!</definedName>
    <definedName name="page14">#REF!</definedName>
    <definedName name="page15">#REF!</definedName>
    <definedName name="page16">#REF!</definedName>
    <definedName name="page1601">#REF!</definedName>
    <definedName name="page1602">#REF!</definedName>
    <definedName name="page1603">#REF!</definedName>
    <definedName name="page1604">#REF!</definedName>
    <definedName name="page1605">#REF!</definedName>
    <definedName name="page1606">#REF!</definedName>
    <definedName name="page1607">#REF!</definedName>
    <definedName name="page1608">#REF!</definedName>
    <definedName name="page1609">#REF!</definedName>
    <definedName name="page1610">#REF!</definedName>
    <definedName name="page1611">#REF!</definedName>
    <definedName name="page1612">#REF!</definedName>
    <definedName name="page1613">#REF!</definedName>
    <definedName name="page1614">#REF!</definedName>
    <definedName name="page1615">#REF!</definedName>
    <definedName name="page1616">#REF!</definedName>
    <definedName name="page1617">#REF!</definedName>
    <definedName name="page1618">#REF!</definedName>
    <definedName name="page1619">#REF!</definedName>
    <definedName name="page1620">#REF!</definedName>
    <definedName name="page1621">#REF!</definedName>
    <definedName name="page1622">#REF!</definedName>
    <definedName name="page1623">#REF!</definedName>
    <definedName name="page1624">#REF!</definedName>
    <definedName name="page1625">#REF!</definedName>
    <definedName name="page1626">#REF!</definedName>
    <definedName name="page1627">#REF!</definedName>
    <definedName name="page1628">#REF!</definedName>
    <definedName name="page1629">#REF!</definedName>
    <definedName name="page1630">#REF!</definedName>
    <definedName name="page1631">#REF!</definedName>
    <definedName name="page1632">#REF!</definedName>
    <definedName name="page1633">#REF!</definedName>
    <definedName name="page1634">#REF!</definedName>
    <definedName name="page1635">#REF!</definedName>
    <definedName name="page1636">#REF!</definedName>
    <definedName name="page1637">#REF!</definedName>
    <definedName name="page1638">#REF!</definedName>
    <definedName name="page17">#REF!</definedName>
    <definedName name="page18">#REF!</definedName>
    <definedName name="page19">#REF!</definedName>
    <definedName name="page2">#REF!</definedName>
    <definedName name="page20">#REF!</definedName>
    <definedName name="page21">#REF!</definedName>
    <definedName name="page22">#REF!</definedName>
    <definedName name="page23">#REF!</definedName>
    <definedName name="page24">#REF!</definedName>
    <definedName name="page25">#REF!</definedName>
    <definedName name="page26">#REF!</definedName>
    <definedName name="page27">#REF!</definedName>
    <definedName name="page28">#REF!</definedName>
    <definedName name="page29">#REF!</definedName>
    <definedName name="page3">#REF!</definedName>
    <definedName name="page30">#REF!</definedName>
    <definedName name="page31">#REF!</definedName>
    <definedName name="page32">#REF!</definedName>
    <definedName name="page33">#REF!</definedName>
    <definedName name="page34">#REF!</definedName>
    <definedName name="page35">#REF!</definedName>
    <definedName name="page36">#REF!</definedName>
    <definedName name="page37">#REF!</definedName>
    <definedName name="page38">#REF!</definedName>
    <definedName name="page39">#REF!</definedName>
    <definedName name="page4">#REF!</definedName>
    <definedName name="page40">#REF!</definedName>
    <definedName name="page41">#REF!</definedName>
    <definedName name="page42">#REF!</definedName>
    <definedName name="page43">#REF!</definedName>
    <definedName name="page44">#REF!</definedName>
    <definedName name="page45">#REF!</definedName>
    <definedName name="page46">#REF!</definedName>
    <definedName name="page47">#REF!</definedName>
    <definedName name="page48">#REF!</definedName>
    <definedName name="page49">#REF!</definedName>
    <definedName name="page5">#REF!</definedName>
    <definedName name="page50">#REF!</definedName>
    <definedName name="page51">#REF!</definedName>
    <definedName name="page52">#REF!</definedName>
    <definedName name="page53">#REF!</definedName>
    <definedName name="page54">#REF!</definedName>
    <definedName name="page55">#REF!</definedName>
    <definedName name="page56">#REF!</definedName>
    <definedName name="page57">#REF!</definedName>
    <definedName name="page58">#REF!</definedName>
    <definedName name="page59">#REF!</definedName>
    <definedName name="page6">#REF!</definedName>
    <definedName name="page60">#REF!</definedName>
    <definedName name="page61">#REF!</definedName>
    <definedName name="page62">#REF!</definedName>
    <definedName name="page63">#REF!</definedName>
    <definedName name="page64">#REF!</definedName>
    <definedName name="page65">#REF!</definedName>
    <definedName name="page66">#REF!</definedName>
    <definedName name="page67">#REF!</definedName>
    <definedName name="page68">#REF!</definedName>
    <definedName name="page69">#REF!</definedName>
    <definedName name="page7">#REF!</definedName>
    <definedName name="page70">#REF!</definedName>
    <definedName name="page71">#REF!</definedName>
    <definedName name="page72">#REF!</definedName>
    <definedName name="page73">#REF!</definedName>
    <definedName name="page74">#REF!</definedName>
    <definedName name="page75">#REF!</definedName>
    <definedName name="page76">#REF!</definedName>
    <definedName name="page77">#REF!</definedName>
    <definedName name="page78">#REF!</definedName>
    <definedName name="page79">#REF!</definedName>
    <definedName name="page8">#REF!</definedName>
    <definedName name="page80">#REF!</definedName>
    <definedName name="page81">#REF!</definedName>
    <definedName name="page82">#REF!</definedName>
    <definedName name="page83">#REF!</definedName>
    <definedName name="page84">#REF!</definedName>
    <definedName name="page85">#REF!</definedName>
    <definedName name="page86">#REF!</definedName>
    <definedName name="page87">#REF!</definedName>
    <definedName name="page88">#REF!</definedName>
    <definedName name="page89">#REF!</definedName>
    <definedName name="page9">#REF!</definedName>
    <definedName name="page90">#REF!</definedName>
    <definedName name="page91">#REF!</definedName>
    <definedName name="page92">#REF!</definedName>
    <definedName name="page93">#REF!</definedName>
    <definedName name="page94">#REF!</definedName>
    <definedName name="page95">#REF!</definedName>
    <definedName name="page96">#REF!</definedName>
    <definedName name="page97">#REF!</definedName>
    <definedName name="page98">#REF!</definedName>
    <definedName name="page99">#REF!</definedName>
    <definedName name="Pane2">#REF!</definedName>
    <definedName name="Pane2___0">#REF!</definedName>
    <definedName name="Pane2___13">#REF!</definedName>
    <definedName name="part">#REF!</definedName>
    <definedName name="part_no">#REF!</definedName>
    <definedName name="PARTNO">#REF!</definedName>
    <definedName name="Pay_Date">#REF!</definedName>
    <definedName name="Pay_Num">#REF!</definedName>
    <definedName name="Payment_Date" localSheetId="5">DATE(YEAR(Loan_Start),MONTH(Loan_Start)+Payment_Number,DAY(Loan_Start))</definedName>
    <definedName name="Payment_Date" localSheetId="6">DATE(YEAR(Loan_Start),MONTH(Loan_Start)+Payment_Number,DAY(Loan_Start))</definedName>
    <definedName name="Payment_Date" localSheetId="7">DATE(YEAR([0]!Loan_Start),MONTH([0]!Loan_Start)+Payment_Number,DAY([0]!Loan_Start))</definedName>
    <definedName name="Payment_Date">DATE(YEAR(Loan_Start),MONTH(Loan_Start)+Payment_Number,DAY(Loan_Start))</definedName>
    <definedName name="pb" localSheetId="5">#REF!</definedName>
    <definedName name="pb" localSheetId="6">#REF!</definedName>
    <definedName name="pb" localSheetId="7">#REF!</definedName>
    <definedName name="pb">#REF!</definedName>
    <definedName name="pb___0" localSheetId="5">#REF!</definedName>
    <definedName name="pb___0" localSheetId="6">#REF!</definedName>
    <definedName name="pb___0" localSheetId="7">#REF!</definedName>
    <definedName name="pb___0">#REF!</definedName>
    <definedName name="pb___11" localSheetId="5">#REF!</definedName>
    <definedName name="pb___11" localSheetId="6">#REF!</definedName>
    <definedName name="pb___11" localSheetId="7">#REF!</definedName>
    <definedName name="pb___11">#REF!</definedName>
    <definedName name="pb___12">#REF!</definedName>
    <definedName name="pc">#REF!</definedName>
    <definedName name="PCC">#REF!</definedName>
    <definedName name="pccut">#REF!</definedName>
    <definedName name="PCT">#REF!</definedName>
    <definedName name="pdvol">#REF!</definedName>
    <definedName name="perbox">#REF!</definedName>
    <definedName name="periimported">#REF!</definedName>
    <definedName name="Period_Const">#REF!</definedName>
    <definedName name="Period_Excav">#REF!</definedName>
    <definedName name="Period_Struc">#REF!</definedName>
    <definedName name="pg">#REF!</definedName>
    <definedName name="PGLabt">#REF!</definedName>
    <definedName name="pH">#REF!</definedName>
    <definedName name="pH___0">#REF!</definedName>
    <definedName name="pH___13">#REF!</definedName>
    <definedName name="PhaseCode">#REF!</definedName>
    <definedName name="phncon">#REF!</definedName>
    <definedName name="Phone">#REF!</definedName>
    <definedName name="pier2">#REF!</definedName>
    <definedName name="pierpiles">#REF!</definedName>
    <definedName name="piervol1">#REF!</definedName>
    <definedName name="piervol2">#REF!</definedName>
    <definedName name="Pile_cut">#REF!</definedName>
    <definedName name="piledia1">#REF!</definedName>
    <definedName name="piledia2">#REF!</definedName>
    <definedName name="piledia3">#REF!</definedName>
    <definedName name="Piles">#REF!</definedName>
    <definedName name="Piletipele">#REF!</definedName>
    <definedName name="pillers">#REF!</definedName>
    <definedName name="Pit_2000_Concrete">#REF!</definedName>
    <definedName name="Pit_2500_Concrete">#REF!</definedName>
    <definedName name="Pit_Ddt_H_Screed">#REF!</definedName>
    <definedName name="Pit_FW">#REF!</definedName>
    <definedName name="Pit_Sloping_Screed">#REF!</definedName>
    <definedName name="Pit_T25_RF">#REF!</definedName>
    <definedName name="Pit_T32_Concrete">#REF!</definedName>
    <definedName name="pl">#REF!</definedName>
    <definedName name="pl4a">#REF!</definedName>
    <definedName name="plbeams">#REF!</definedName>
    <definedName name="plst">#REF!</definedName>
    <definedName name="poc">#REF!</definedName>
    <definedName name="podareas">#REF!</definedName>
    <definedName name="postt">#REF!</definedName>
    <definedName name="pp">#REF!</definedName>
    <definedName name="PPP">#REF!</definedName>
    <definedName name="Prefab">#REF!</definedName>
    <definedName name="PREST">#REF!</definedName>
    <definedName name="Price_Acoust._Ceil">#REF!</definedName>
    <definedName name="Price_Block">#REF!</definedName>
    <definedName name="Price_Brick">#REF!</definedName>
    <definedName name="Price_Conc_4000">#REF!</definedName>
    <definedName name="Price_Conc_5000">#REF!</definedName>
    <definedName name="Price_Conc_6000">#REF!</definedName>
    <definedName name="Price_Form_Beam">#REF!</definedName>
    <definedName name="Price_Form_Colmn">#REF!</definedName>
    <definedName name="Price_Form_Core">#REF!</definedName>
    <definedName name="Price_Form_Slab">#REF!</definedName>
    <definedName name="Price_Form_Wall">#REF!</definedName>
    <definedName name="Price_Gyp._Ceil">#REF!</definedName>
    <definedName name="Price_Gyp.W_Both">#REF!</definedName>
    <definedName name="Price_Gyp.W_One">#REF!</definedName>
    <definedName name="Price_Paint_Emulsn">#REF!</definedName>
    <definedName name="Price_Plaster_Ceil">#REF!</definedName>
    <definedName name="Price_Plaster_Ext">#REF!</definedName>
    <definedName name="Price_Plaster_Floor">#REF!</definedName>
    <definedName name="Price_Plaster_Wall">#REF!</definedName>
    <definedName name="Price_Rebar_High">#REF!</definedName>
    <definedName name="Price_Rebar_Mild">#REF!</definedName>
    <definedName name="Price_Stl.Door_D">#REF!</definedName>
    <definedName name="Price_Stl.Door_S">#REF!</definedName>
    <definedName name="Price_Stone_Floor">#REF!</definedName>
    <definedName name="Price_Stone_Wall">#REF!</definedName>
    <definedName name="Price_Wd.Door_D">#REF!</definedName>
    <definedName name="Price_Wd.Door_S">#REF!</definedName>
    <definedName name="Princ">#REF!</definedName>
    <definedName name="Principal">#REF!</definedName>
    <definedName name="_xlnm.Print_Area" localSheetId="5">'Add Scaff SS- Horiz'!$A$1:$H$49</definedName>
    <definedName name="_xlnm.Print_Area" localSheetId="4">'Add Scaff SS-Vertical'!$A$1:$H$368</definedName>
    <definedName name="_xlnm.Print_Area" localSheetId="6">'Add Scaffolding-Summary'!$A$1:$D$46</definedName>
    <definedName name="_xlnm.Print_Area" localSheetId="2">'Bill 13 Add''l'!$A$1:$F$34</definedName>
    <definedName name="_xlnm.Print_Area" localSheetId="3">'Bill 13 Finishes'!$A$1:$F$44</definedName>
    <definedName name="_xlnm.Print_Area" localSheetId="1">'Bill 13 Revised Strength.'!$A$1:$F$651</definedName>
    <definedName name="_xlnm.Print_Area" localSheetId="8">'Bill 13 Scaffolding'!$A$1:$F$42</definedName>
    <definedName name="_xlnm.Print_Area" localSheetId="9">'Bill 13-Sum'!$A$1:$D$49</definedName>
    <definedName name="_xlnm.Print_Area" localSheetId="0">'Fly-Bill 13'!$A$1:$J$50</definedName>
    <definedName name="_xlnm.Print_Area" localSheetId="7">'Omit Scaff SS'!$A$1:$H$50</definedName>
    <definedName name="_xlnm.Print_Area">#REF!</definedName>
    <definedName name="Print_Area_MI" localSheetId="5">#REF!</definedName>
    <definedName name="Print_Area_MI" localSheetId="6">#REF!</definedName>
    <definedName name="Print_Area_MI" localSheetId="7">#REF!</definedName>
    <definedName name="Print_Area_MI">#REF!</definedName>
    <definedName name="PRINT_AREA_MI___0" localSheetId="5">#REF!</definedName>
    <definedName name="PRINT_AREA_MI___0" localSheetId="6">#REF!</definedName>
    <definedName name="PRINT_AREA_MI___0" localSheetId="7">#REF!</definedName>
    <definedName name="PRINT_AREA_MI___0">#REF!</definedName>
    <definedName name="PRINT_AREA_MI1">#REF!</definedName>
    <definedName name="Print_Area_Reset" localSheetId="5">OFFSET(Full_Print,0,0,Last_Row)</definedName>
    <definedName name="Print_Area_Reset" localSheetId="6">OFFSET(Full_Print,0,0,Last_Row)</definedName>
    <definedName name="Print_Area_Reset" localSheetId="7">OFFSET([0]!Full_Print,0,0,[0]!Last_Row)</definedName>
    <definedName name="Print_Area_Reset">OFFSET(Full_Print,0,0,Last_Row)</definedName>
    <definedName name="print_chart">#REF!</definedName>
    <definedName name="PRINT_ENGR">#REF!</definedName>
    <definedName name="print_input">#REF!</definedName>
    <definedName name="PRINT_TITLE">#REF!</definedName>
    <definedName name="_xlnm.Print_Titles" localSheetId="5">'Add Scaff SS- Horiz'!$1:$7</definedName>
    <definedName name="_xlnm.Print_Titles" localSheetId="4">'Add Scaff SS-Vertical'!$1:$7</definedName>
    <definedName name="_xlnm.Print_Titles" localSheetId="6">'Add Scaffolding-Summary'!$1:$7</definedName>
    <definedName name="_xlnm.Print_Titles" localSheetId="2">'Bill 13 Add''l'!$1:$2</definedName>
    <definedName name="_xlnm.Print_Titles" localSheetId="3">'Bill 13 Finishes'!$1:$2</definedName>
    <definedName name="_xlnm.Print_Titles" localSheetId="1">'Bill 13 Revised Strength.'!$1:$3</definedName>
    <definedName name="_xlnm.Print_Titles" localSheetId="8">'Bill 13 Scaffolding'!$1:$2</definedName>
    <definedName name="_xlnm.Print_Titles" localSheetId="9">'Bill 13-Sum'!$1:$3</definedName>
    <definedName name="_xlnm.Print_Titles" localSheetId="7">'Omit Scaff SS'!$1:$7</definedName>
    <definedName name="_xlnm.Print_Titles">#REF!</definedName>
    <definedName name="Print_Titles_MI" localSheetId="5">#REF!</definedName>
    <definedName name="Print_Titles_MI" localSheetId="6">#REF!</definedName>
    <definedName name="Print_Titles_MI" localSheetId="7">#REF!</definedName>
    <definedName name="Print_Titles_MI">#REF!</definedName>
    <definedName name="Print_Titles_MI___0">#REF!</definedName>
    <definedName name="Print_Titles_MI___18">#REF!</definedName>
    <definedName name="pro" localSheetId="5">#REF!</definedName>
    <definedName name="pro" localSheetId="6">#REF!</definedName>
    <definedName name="pro" localSheetId="7">#REF!</definedName>
    <definedName name="pro">#REF!</definedName>
    <definedName name="Proc_Form">#REF!</definedName>
    <definedName name="PROCESS_ACT">#REF!</definedName>
    <definedName name="PROCESS_PLAN">#REF!</definedName>
    <definedName name="ProdForm" hidden="1">#REF!</definedName>
    <definedName name="Product" hidden="1">#REF!</definedName>
    <definedName name="project">#REF!</definedName>
    <definedName name="Project_Type">#REF!</definedName>
    <definedName name="ProjectLocation">#REF!</definedName>
    <definedName name="ProjectNumber">#REF!</definedName>
    <definedName name="ProjectSubtitle">#REF!</definedName>
    <definedName name="ProjectTitle">#REF!</definedName>
    <definedName name="Proname">#REF!</definedName>
    <definedName name="PS">#REF!</definedName>
    <definedName name="PS___0">#REF!</definedName>
    <definedName name="PS___13">#REF!</definedName>
    <definedName name="Q">#REF!</definedName>
    <definedName name="Q_22">#REF!</definedName>
    <definedName name="QA">#REF!</definedName>
    <definedName name="Qc">#REF!</definedName>
    <definedName name="Qc___0">#REF!</definedName>
    <definedName name="Qc___13">#REF!</definedName>
    <definedName name="QD">#REF!</definedName>
    <definedName name="qe" localSheetId="5" hidden="1">{"'Break down'!$A$4"}</definedName>
    <definedName name="qe" localSheetId="6" hidden="1">{"'Break down'!$A$4"}</definedName>
    <definedName name="qe" localSheetId="7" hidden="1">{"'Break down'!$A$4"}</definedName>
    <definedName name="qe" hidden="1">{"'Break down'!$A$4"}</definedName>
    <definedName name="QF">#REF!</definedName>
    <definedName name="Qf___0">#REF!</definedName>
    <definedName name="Qf___13">#REF!</definedName>
    <definedName name="QI">#REF!</definedName>
    <definedName name="Qi___0">#REF!</definedName>
    <definedName name="Qi___13">#REF!</definedName>
    <definedName name="Ql">#REF!</definedName>
    <definedName name="Ql___0">#REF!</definedName>
    <definedName name="Ql___13">#REF!</definedName>
    <definedName name="qq">#REF!</definedName>
    <definedName name="QQQ">#REF!</definedName>
    <definedName name="QR">#REF!</definedName>
    <definedName name="QR.">#REF!</definedName>
    <definedName name="QS">#REF!</definedName>
    <definedName name="Qspan">#REF!</definedName>
    <definedName name="QT">#REF!</definedName>
    <definedName name="Qty.">#REF!</definedName>
    <definedName name="Qty_Ceiling">#REF!</definedName>
    <definedName name="Qty_Conc">#REF!</definedName>
    <definedName name="Qty_Door.Window">#REF!</definedName>
    <definedName name="Qty_Excavation">#REF!</definedName>
    <definedName name="Qty_Form">#REF!</definedName>
    <definedName name="Qty_Masonry">#REF!</definedName>
    <definedName name="Qty_Painting">#REF!</definedName>
    <definedName name="Qty_Plastering">#REF!</definedName>
    <definedName name="Qty_Rebar">#REF!</definedName>
    <definedName name="Qty_Stone">#REF!</definedName>
    <definedName name="Qty_Wall">#REF!</definedName>
    <definedName name="qura">#REF!</definedName>
    <definedName name="qwe">#REF!</definedName>
    <definedName name="QY">#REF!</definedName>
    <definedName name="RA">#REF!</definedName>
    <definedName name="Raft_Edge_A_2000">#REF!</definedName>
    <definedName name="Raft_Edge_A_2500">#REF!</definedName>
    <definedName name="Raft_Edge_L_2000">#REF!</definedName>
    <definedName name="Raft_Edge_L_2500">#REF!</definedName>
    <definedName name="raj">#REF!</definedName>
    <definedName name="RAJESH">#REF!</definedName>
    <definedName name="RAJITH">#REF!</definedName>
    <definedName name="RAM_Group_1" localSheetId="5">#REF!,#REF!,#REF!,#REF!,#REF!,#REF!</definedName>
    <definedName name="RAM_Group_1" localSheetId="6">#REF!,#REF!,#REF!,#REF!,#REF!,#REF!</definedName>
    <definedName name="RAM_Group_1" localSheetId="7">#REF!,#REF!,#REF!,#REF!,#REF!,#REF!</definedName>
    <definedName name="RAM_Group_1">#REF!,#REF!,#REF!,#REF!,#REF!,#REF!</definedName>
    <definedName name="RAM_Group_10" localSheetId="5">#REF!,#REF!,#REF!,#REF!,#REF!,#REF!</definedName>
    <definedName name="RAM_Group_10" localSheetId="6">#REF!,#REF!,#REF!,#REF!,#REF!,#REF!</definedName>
    <definedName name="RAM_Group_10" localSheetId="7">#REF!,#REF!,#REF!,#REF!,#REF!,#REF!</definedName>
    <definedName name="RAM_Group_10">#REF!,#REF!,#REF!,#REF!,#REF!,#REF!</definedName>
    <definedName name="RAM_Group_2" localSheetId="5">#REF!,#REF!,#REF!,#REF!,#REF!,#REF!</definedName>
    <definedName name="RAM_Group_2" localSheetId="6">#REF!,#REF!,#REF!,#REF!,#REF!,#REF!</definedName>
    <definedName name="RAM_Group_2" localSheetId="7">#REF!,#REF!,#REF!,#REF!,#REF!,#REF!</definedName>
    <definedName name="RAM_Group_2">#REF!,#REF!,#REF!,#REF!,#REF!,#REF!</definedName>
    <definedName name="RAM_Group_3">#REF!,#REF!,#REF!,#REF!,#REF!,#REF!</definedName>
    <definedName name="RAM_Group_4">#REF!,#REF!,#REF!,#REF!,#REF!,#REF!</definedName>
    <definedName name="RAM_Group_5">#REF!,#REF!,#REF!,#REF!,#REF!,#REF!</definedName>
    <definedName name="RAM_Group_6">#REF!,#REF!,#REF!,#REF!,#REF!,#REF!</definedName>
    <definedName name="RAM_Group_7">#REF!,#REF!,#REF!,#REF!,#REF!,#REF!</definedName>
    <definedName name="RAM_Group_8">#REF!,#REF!,#REF!,#REF!,#REF!,#REF!</definedName>
    <definedName name="RAM_Group_9">#REF!,#REF!,#REF!,#REF!,#REF!,#REF!</definedName>
    <definedName name="RANGE">#REF!</definedName>
    <definedName name="range1">#REF!</definedName>
    <definedName name="RAPS">#REF!</definedName>
    <definedName name="Rate">#REF!</definedName>
    <definedName name="rate_22">#REF!</definedName>
    <definedName name="RCArea" hidden="1">#REF!</definedName>
    <definedName name="RCD">#REF!</definedName>
    <definedName name="RCS">#REF!</definedName>
    <definedName name="rcwbgl">#REF!</definedName>
    <definedName name="rcwbgl2">#REF!</definedName>
    <definedName name="Re">#REF!</definedName>
    <definedName name="Re___0">#REF!</definedName>
    <definedName name="Re___13">#REF!</definedName>
    <definedName name="rebar">#REF!</definedName>
    <definedName name="Rebar_unitprice">#REF!</definedName>
    <definedName name="_xlnm.Recorder">#REF!</definedName>
    <definedName name="reg">#REF!</definedName>
    <definedName name="rel">#REF!</definedName>
    <definedName name="remove">#REF!</definedName>
    <definedName name="results">#REF!</definedName>
    <definedName name="Rev">#REF!</definedName>
    <definedName name="Revision">#REF!</definedName>
    <definedName name="RF">#REF!</definedName>
    <definedName name="Rform_unitprice">#REF!</definedName>
    <definedName name="RG">#REF!</definedName>
    <definedName name="rig">#REF!</definedName>
    <definedName name="RiskAutoStopPercChange">1.5</definedName>
    <definedName name="RiskCollectDistributionSamples">2</definedName>
    <definedName name="RiskExcelReportsGoInNewWorkbook">TRUE</definedName>
    <definedName name="RiskExcelReportsToGenerate">33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TRUE</definedName>
    <definedName name="RiskNumIterations">10000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">#REF!</definedName>
    <definedName name="RiskSamplingType">3</definedName>
    <definedName name="RiskShowRiskWindowAtEndOfSimulation">TRUE</definedName>
    <definedName name="RiskStandardRecalc">0</definedName>
    <definedName name="RiskStatFunctionsUpdateFreq">1</definedName>
    <definedName name="RiskTemplateSheetName">"myTemplate"</definedName>
    <definedName name="RiskUpdateDisplay">TRUE</definedName>
    <definedName name="RiskUpdateStatFunctions">TRUE</definedName>
    <definedName name="RiskUseDifferentSeedForEachSim">FALSE</definedName>
    <definedName name="RiskUseFixedSeed">FALSE</definedName>
    <definedName name="RiskUseMultipleCPUs">FALSE</definedName>
    <definedName name="RL">#REF!</definedName>
    <definedName name="Rl___0">#REF!</definedName>
    <definedName name="Rl___13">#REF!</definedName>
    <definedName name="RLPS">#REF!</definedName>
    <definedName name="RNR">#REF!</definedName>
    <definedName name="robot">#REF!</definedName>
    <definedName name="rosid">#REF!</definedName>
    <definedName name="rrr">#REF!</definedName>
    <definedName name="Rs">#REF!</definedName>
    <definedName name="Rs___0">#REF!</definedName>
    <definedName name="Rs___13">#REF!</definedName>
    <definedName name="Rse">#REF!</definedName>
    <definedName name="Rse___0">#REF!</definedName>
    <definedName name="Rse___13">#REF!</definedName>
    <definedName name="rwe">#REF!</definedName>
    <definedName name="rwfw">#REF!</definedName>
    <definedName name="S">#REF!</definedName>
    <definedName name="S_1">#N/A</definedName>
    <definedName name="S_22">#REF!</definedName>
    <definedName name="s_curve">#REF!</definedName>
    <definedName name="S0">#REF!</definedName>
    <definedName name="Sa">#REF!</definedName>
    <definedName name="saeed">#REF!</definedName>
    <definedName name="Sal.Escal_Korean">#REF!</definedName>
    <definedName name="Sal.Escal_Local.Reg">#REF!</definedName>
    <definedName name="Sal.Escal_Third.N">#REF!</definedName>
    <definedName name="SALARY">#REF!</definedName>
    <definedName name="Salary_Korean">#REF!</definedName>
    <definedName name="Salary_Local.Reg">#REF!</definedName>
    <definedName name="Salary_Third.N">#REF!</definedName>
    <definedName name="sarea1">#REF!</definedName>
    <definedName name="SAS">#REF!</definedName>
    <definedName name="sc" localSheetId="5" hidden="1">{"'Break down'!$A$4"}</definedName>
    <definedName name="sc" localSheetId="6" hidden="1">{"'Break down'!$A$4"}</definedName>
    <definedName name="sc" localSheetId="7" hidden="1">{"'Break down'!$A$4"}</definedName>
    <definedName name="sc" hidden="1">{"'Break down'!$A$4"}</definedName>
    <definedName name="Scaffolding" localSheetId="5" hidden="1">{"'Break down'!$A$4"}</definedName>
    <definedName name="Scaffolding" localSheetId="6" hidden="1">{"'Break down'!$A$4"}</definedName>
    <definedName name="Scaffolding" localSheetId="7" hidden="1">{"'Break down'!$A$4"}</definedName>
    <definedName name="Scaffolding" hidden="1">{"'Break down'!$A$4"}</definedName>
    <definedName name="Sched_Pay">#REF!</definedName>
    <definedName name="Schedule_Group_1" localSheetId="5">#REF!,#REF!,#REF!,#REF!,#REF!,#REF!,#REF!</definedName>
    <definedName name="Schedule_Group_1" localSheetId="6">#REF!,#REF!,#REF!,#REF!,#REF!,#REF!,#REF!</definedName>
    <definedName name="Schedule_Group_1" localSheetId="7">#REF!,#REF!,#REF!,#REF!,#REF!,#REF!,#REF!</definedName>
    <definedName name="Schedule_Group_1">#REF!,#REF!,#REF!,#REF!,#REF!,#REF!,#REF!</definedName>
    <definedName name="Schedule_Group_10">#REF!,#REF!,#REF!,#REF!,#REF!,#REF!,#REF!</definedName>
    <definedName name="Schedule_Group_2">#REF!,#REF!,#REF!,#REF!,#REF!,#REF!,#REF!</definedName>
    <definedName name="Schedule_Group_3">#REF!,#REF!,#REF!,#REF!,#REF!,#REF!,#REF!</definedName>
    <definedName name="Schedule_Group_4">#REF!,#REF!,#REF!,#REF!,#REF!,#REF!,#REF!</definedName>
    <definedName name="Schedule_Group_5">#REF!,#REF!,#REF!,#REF!,#REF!,#REF!,#REF!</definedName>
    <definedName name="Schedule_Group_6">#REF!,#REF!,#REF!,#REF!,#REF!,#REF!,#REF!</definedName>
    <definedName name="Schedule_Group_7">#REF!,#REF!,#REF!,#REF!,#REF!,#REF!,#REF!</definedName>
    <definedName name="Schedule_Group_8">#REF!,#REF!,#REF!,#REF!,#REF!,#REF!,#REF!</definedName>
    <definedName name="Schedule_Group_9">#REF!,#REF!,#REF!,#REF!,#REF!,#REF!,#REF!</definedName>
    <definedName name="Scheduled_Extra_Payments">#REF!</definedName>
    <definedName name="Scheduled_Interest_Rate">#REF!</definedName>
    <definedName name="Scheduled_Monthly_Payment">#REF!</definedName>
    <definedName name="schools">#REF!</definedName>
    <definedName name="scx" localSheetId="5" hidden="1">{"'Break down'!$A$4"}</definedName>
    <definedName name="scx" localSheetId="6" hidden="1">{"'Break down'!$A$4"}</definedName>
    <definedName name="scx" localSheetId="7" hidden="1">{"'Break down'!$A$4"}</definedName>
    <definedName name="scx" hidden="1">{"'Break down'!$A$4"}</definedName>
    <definedName name="sd">#REF!</definedName>
    <definedName name="Sdate">#REF!</definedName>
    <definedName name="se">#REF!</definedName>
    <definedName name="sec">#REF!</definedName>
    <definedName name="SECTION">#REF!</definedName>
    <definedName name="Section_1_Title">#REF!</definedName>
    <definedName name="Section_2_Title">#REF!</definedName>
    <definedName name="Section_3_Title">#REF!</definedName>
    <definedName name="Section_4_Title">#REF!</definedName>
    <definedName name="Section_5_Title">#REF!</definedName>
    <definedName name="Section_6_Title">#REF!</definedName>
    <definedName name="Section_7_Title">#REF!</definedName>
    <definedName name="Section_8_Title">#REF!</definedName>
    <definedName name="sector">#REF!</definedName>
    <definedName name="sencount" hidden="1">1</definedName>
    <definedName name="Serv">#REF!</definedName>
    <definedName name="set_out">#REF!</definedName>
    <definedName name="SF">#REF!</definedName>
    <definedName name="sfdf">#REF!</definedName>
    <definedName name="SHEET">#REF!</definedName>
    <definedName name="sheet1">#REF!</definedName>
    <definedName name="sheet1___0">#REF!</definedName>
    <definedName name="sheet1___13">#REF!</definedName>
    <definedName name="si">#REF!</definedName>
    <definedName name="SideFW_Ang.Connection">#REF!</definedName>
    <definedName name="SideFW_V_Connection">#REF!</definedName>
    <definedName name="sidewalk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ze">#REF!</definedName>
    <definedName name="Skew">#REF!</definedName>
    <definedName name="Slab_Area_2000">#REF!</definedName>
    <definedName name="Slab_Area_2500">#REF!</definedName>
    <definedName name="SlabArea">#REF!</definedName>
    <definedName name="slabfffw">#REF!</definedName>
    <definedName name="slabffm25">#REF!</definedName>
    <definedName name="slabgrfw">#REF!</definedName>
    <definedName name="slabgrm25">#REF!</definedName>
    <definedName name="slabsffw">#REF!</definedName>
    <definedName name="slabsfm25">#REF!</definedName>
    <definedName name="slabtffw">#REF!</definedName>
    <definedName name="slabtfm25">#REF!</definedName>
    <definedName name="Slist">#REF!</definedName>
    <definedName name="sm">#REF!</definedName>
    <definedName name="SM_options_Selected">#REF!</definedName>
    <definedName name="sma" localSheetId="5" hidden="1">{"'Break down'!$A$4"}</definedName>
    <definedName name="sma" localSheetId="6" hidden="1">{"'Break down'!$A$4"}</definedName>
    <definedName name="sma" localSheetId="7" hidden="1">{"'Break down'!$A$4"}</definedName>
    <definedName name="sma" hidden="1">{"'Break down'!$A$4"}</definedName>
    <definedName name="smo" localSheetId="5" hidden="1">{"'Break down'!$A$4"}</definedName>
    <definedName name="smo" localSheetId="6" hidden="1">{"'Break down'!$A$4"}</definedName>
    <definedName name="smo" localSheetId="7" hidden="1">{"'Break down'!$A$4"}</definedName>
    <definedName name="smo" hidden="1">{"'Break down'!$A$4"}</definedName>
    <definedName name="soffitl">#REF!</definedName>
    <definedName name="Soil_Ba_Unitprice">#REF!</definedName>
    <definedName name="Soil_Ba_Unitprice_h">#REF!</definedName>
    <definedName name="Soil_Ba_Unitprice_u">#REF!</definedName>
    <definedName name="Soil_dis_unitprice">#REF!</definedName>
    <definedName name="Soil_dis_unitprice_h">#REF!</definedName>
    <definedName name="Soil_dis_unitprice_u">#REF!</definedName>
    <definedName name="spare">#REF!</definedName>
    <definedName name="SpecialPrice" hidden="1">#REF!</definedName>
    <definedName name="SQL_CALs">#REF!</definedName>
    <definedName name="SQL_manual">#REF!</definedName>
    <definedName name="SQL_required">#REF!</definedName>
    <definedName name="SQL_used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s">#REF!</definedName>
    <definedName name="SSS">#REF!</definedName>
    <definedName name="sssss">#REF!</definedName>
    <definedName name="SStrip_2000_Concrete">#REF!</definedName>
    <definedName name="SStrip_2500_Concrete">#REF!</definedName>
    <definedName name="SStrip_A">#REF!</definedName>
    <definedName name="SStrip_Area_2000">#REF!</definedName>
    <definedName name="SStrip_Area_2500">#REF!</definedName>
    <definedName name="SStrip_L">#REF!</definedName>
    <definedName name="SSttip_Area">#REF!</definedName>
    <definedName name="STAFF">#REF!</definedName>
    <definedName name="Stage">#REF!</definedName>
    <definedName name="Staircase">#REF!</definedName>
    <definedName name="Start_Date">#REF!</definedName>
    <definedName name="State">#REF!</definedName>
    <definedName name="Status">#REF!</definedName>
    <definedName name="Step1_Result">#REF!</definedName>
    <definedName name="Step2_Result">#REF!</definedName>
    <definedName name="Step3_Result">#REF!</definedName>
    <definedName name="Step4_Result">#REF!</definedName>
    <definedName name="Step5_Result">#REF!</definedName>
    <definedName name="Step6_Result">#REF!</definedName>
    <definedName name="Step7_Result">#REF!</definedName>
    <definedName name="Step8_Cameras">#REF!</definedName>
    <definedName name="Step8_Result">#REF!</definedName>
    <definedName name="stl">#REF!</definedName>
    <definedName name="stop" hidden="1">#REF!</definedName>
    <definedName name="StorageResuls2">#REF!</definedName>
    <definedName name="StorageResults">#REF!</definedName>
    <definedName name="Story_Basement">#REF!</definedName>
    <definedName name="Story_Podium">#REF!</definedName>
    <definedName name="Story_Total">#REF!</definedName>
    <definedName name="Story_Tower">#REF!</definedName>
    <definedName name="streamers">#REF!</definedName>
    <definedName name="stri1">#REF!</definedName>
    <definedName name="stri2">#REF!</definedName>
    <definedName name="StrID">#REF!</definedName>
    <definedName name="Struct_Type">#REF!</definedName>
    <definedName name="structure">#REF!</definedName>
    <definedName name="sub">#REF!</definedName>
    <definedName name="SubCont">#REF!</definedName>
    <definedName name="Subject">#REF!</definedName>
    <definedName name="subs">#REF!</definedName>
    <definedName name="subs4">#REF!</definedName>
    <definedName name="subs4a">#REF!</definedName>
    <definedName name="sum" localSheetId="5">{"'Sheet1 (2)'!$A$1:$C$61"}</definedName>
    <definedName name="sum" localSheetId="6">{"'Sheet1 (2)'!$A$1:$C$61"}</definedName>
    <definedName name="sum" localSheetId="7">{"'Sheet1 (2)'!$A$1:$C$61"}</definedName>
    <definedName name="sum">{"'Sheet1 (2)'!$A$1:$C$61"}</definedName>
    <definedName name="SUMMA">#REF!</definedName>
    <definedName name="Summary">#REF!</definedName>
    <definedName name="SUMMER">#REF!</definedName>
    <definedName name="sup">#REF!</definedName>
    <definedName name="sups">#REF!</definedName>
    <definedName name="sups4">#REF!</definedName>
    <definedName name="sups4a">#REF!</definedName>
    <definedName name="surarea2">#REF!</definedName>
    <definedName name="Surv_Mon_Percent">#REF!</definedName>
    <definedName name="Surv_Monitors">#REF!</definedName>
    <definedName name="Surv_Quad_Percent">#REF!</definedName>
    <definedName name="SW">#REF!</definedName>
    <definedName name="sw4a">#REF!</definedName>
    <definedName name="SWE">#REF!</definedName>
    <definedName name="T">#REF!</definedName>
    <definedName name="t___0">#REF!</definedName>
    <definedName name="t___13">#REF!</definedName>
    <definedName name="T_22">#REF!</definedName>
    <definedName name="T0">#REF!</definedName>
    <definedName name="T12_Add_RF">#REF!</definedName>
    <definedName name="T16_Add_RF">#REF!</definedName>
    <definedName name="T25_Add_RF">#REF!</definedName>
    <definedName name="T25_Ang.Connection">#REF!</definedName>
    <definedName name="T25_Ver_Connection">#REF!</definedName>
    <definedName name="T32_Add_RF">#REF!</definedName>
    <definedName name="T32_Ver_Connection">#REF!</definedName>
    <definedName name="TABLE">#REF!</definedName>
    <definedName name="table1">#REF!</definedName>
    <definedName name="TABLE2">#REF!</definedName>
    <definedName name="TableRange">#REF!</definedName>
    <definedName name="tabtdp">#REF!</definedName>
    <definedName name="tbarri">#REF!</definedName>
    <definedName name="Tbc">#REF!</definedName>
    <definedName name="tbl_ProdInfo" hidden="1">#REF!</definedName>
    <definedName name="tcant">#REF!</definedName>
    <definedName name="tcpdp">#REF!</definedName>
    <definedName name="tema">0.75</definedName>
    <definedName name="temp" localSheetId="5" hidden="1">{"'Break down'!$A$4"}</definedName>
    <definedName name="temp" localSheetId="6" hidden="1">{"'Break down'!$A$4"}</definedName>
    <definedName name="temp" localSheetId="7" hidden="1">{"'Break down'!$A$4"}</definedName>
    <definedName name="temp" hidden="1">{"'Break down'!$A$4"}</definedName>
    <definedName name="temp1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o" localSheetId="5" hidden="1">{"'Break down'!$A$4"}</definedName>
    <definedName name="tempo" localSheetId="6" hidden="1">{"'Break down'!$A$4"}</definedName>
    <definedName name="tempo" localSheetId="7" hidden="1">{"'Break down'!$A$4"}</definedName>
    <definedName name="tempo" hidden="1">{"'Break down'!$A$4"}</definedName>
    <definedName name="tenderer">#REF!</definedName>
    <definedName name="TEs">#REF!</definedName>
    <definedName name="TEs___0">#REF!</definedName>
    <definedName name="TEs___13">#REF!</definedName>
    <definedName name="TEt">#REF!</definedName>
    <definedName name="TEt___0">#REF!</definedName>
    <definedName name="TEt___13">#REF!</definedName>
    <definedName name="TF">#REF!</definedName>
    <definedName name="TG">#REF!</definedName>
    <definedName name="TH">#REF!</definedName>
    <definedName name="thikwing">#REF!</definedName>
    <definedName name="TITLE">#REF!</definedName>
    <definedName name="Title1">#REF!</definedName>
    <definedName name="Title2">#REF!</definedName>
    <definedName name="TJ">#REF!</definedName>
    <definedName name="Tl">#REF!</definedName>
    <definedName name="tm" localSheetId="5" hidden="1">{"'Break down'!$A$4"}</definedName>
    <definedName name="tm" localSheetId="6" hidden="1">{"'Break down'!$A$4"}</definedName>
    <definedName name="tm" localSheetId="7" hidden="1">{"'Break down'!$A$4"}</definedName>
    <definedName name="tm" hidden="1">{"'Break down'!$A$4"}</definedName>
    <definedName name="tmp" localSheetId="5" hidden="1">{"'Break down'!$A$4"}</definedName>
    <definedName name="tmp" localSheetId="6" hidden="1">{"'Break down'!$A$4"}</definedName>
    <definedName name="tmp" localSheetId="7" hidden="1">{"'Break down'!$A$4"}</definedName>
    <definedName name="tmp" hidden="1">{"'Break down'!$A$4"}</definedName>
    <definedName name="tno" localSheetId="5" hidden="1">{"'Break down'!$A$4"}</definedName>
    <definedName name="tno" localSheetId="6" hidden="1">{"'Break down'!$A$4"}</definedName>
    <definedName name="tno" localSheetId="7" hidden="1">{"'Break down'!$A$4"}</definedName>
    <definedName name="tno" hidden="1">{"'Break down'!$A$4"}</definedName>
    <definedName name="tol">#REF!</definedName>
    <definedName name="Top_T25_RF_factor">#REF!</definedName>
    <definedName name="toparea1">#REF!</definedName>
    <definedName name="topl">#REF!</definedName>
    <definedName name="topn">#REF!</definedName>
    <definedName name="Tot.Cost_SiteExp">#REF!</definedName>
    <definedName name="Tot.Cost_TempWk">#REF!</definedName>
    <definedName name="Total_Area">#REF!</definedName>
    <definedName name="total_bill1">#REF!</definedName>
    <definedName name="total_bill3">#REF!</definedName>
    <definedName name="total_bill4">#REF!</definedName>
    <definedName name="total_bill5">#REF!</definedName>
    <definedName name="total_bill6">#REF!</definedName>
    <definedName name="total_bill7">#REF!</definedName>
    <definedName name="Total_Cameras_Viewed">#REF!</definedName>
    <definedName name="Total_Floor_Area">#REF!</definedName>
    <definedName name="total_fluctuation">#REF!</definedName>
    <definedName name="Total_Interest">#REF!</definedName>
    <definedName name="total_mos">#REF!</definedName>
    <definedName name="total_net_rent_for_cashflow">#REF!</definedName>
    <definedName name="Total_Pay">#REF!</definedName>
    <definedName name="Total_Payment" localSheetId="5">Scheduled_Payment+Extra_Payment</definedName>
    <definedName name="Total_Payment" localSheetId="6">Scheduled_Payment+Extra_Payment</definedName>
    <definedName name="Total_Payment" localSheetId="7">Scheduled_Payment+Extra_Payment</definedName>
    <definedName name="Total_Payment">Scheduled_Payment+Extra_Payment</definedName>
    <definedName name="TotalCAL" localSheetId="5">#REF!</definedName>
    <definedName name="TotalCAL" localSheetId="6">#REF!</definedName>
    <definedName name="TotalCAL" localSheetId="7">#REF!</definedName>
    <definedName name="TotalCAL">#REF!</definedName>
    <definedName name="TOWER4" localSheetId="5">#REF!</definedName>
    <definedName name="TOWER4" localSheetId="6">#REF!</definedName>
    <definedName name="TOWER4" localSheetId="7">#REF!</definedName>
    <definedName name="TOWER4">#REF!</definedName>
    <definedName name="TRACKING" localSheetId="5">#REF!</definedName>
    <definedName name="TRACKING" localSheetId="6">#REF!</definedName>
    <definedName name="TRACKING" localSheetId="7">#REF!</definedName>
    <definedName name="TRACKING">#REF!</definedName>
    <definedName name="trtt">#REF!</definedName>
    <definedName name="tS">#REF!</definedName>
    <definedName name="tS___0">#REF!</definedName>
    <definedName name="tS___13">#REF!</definedName>
    <definedName name="TSD">#REF!</definedName>
    <definedName name="tsidewlk">#REF!</definedName>
    <definedName name="TSS">#REF!</definedName>
    <definedName name="TTT">#REF!</definedName>
    <definedName name="TUES1">#REF!</definedName>
    <definedName name="type">#REF!</definedName>
    <definedName name="Type1">#REF!</definedName>
    <definedName name="Type2">#REF!</definedName>
    <definedName name="types">#REF!</definedName>
    <definedName name="U">#REF!</definedName>
    <definedName name="U_22">#REF!</definedName>
    <definedName name="ubaid" localSheetId="5" hidden="1">{#N/A,#N/A,FALSE,"VCR"}</definedName>
    <definedName name="ubaid" localSheetId="6" hidden="1">{#N/A,#N/A,FALSE,"VCR"}</definedName>
    <definedName name="ubaid" localSheetId="7" hidden="1">{#N/A,#N/A,FALSE,"VCR"}</definedName>
    <definedName name="ubaid" hidden="1">{#N/A,#N/A,FALSE,"VCR"}</definedName>
    <definedName name="Ubaide" localSheetId="5" hidden="1">{#N/A,#N/A,FALSE,"VCR"}</definedName>
    <definedName name="Ubaide" localSheetId="6" hidden="1">{#N/A,#N/A,FALSE,"VCR"}</definedName>
    <definedName name="Ubaide" localSheetId="7" hidden="1">{#N/A,#N/A,FALSE,"VCR"}</definedName>
    <definedName name="Ubaide" hidden="1">{#N/A,#N/A,FALSE,"VCR"}</definedName>
    <definedName name="UC_Mnhr">#REF!</definedName>
    <definedName name="UJ">#REF!</definedName>
    <definedName name="UNITS">#REF!</definedName>
    <definedName name="uppipeabt">#REF!</definedName>
    <definedName name="uppipebox">#REF!</definedName>
    <definedName name="USDconv">3.675</definedName>
    <definedName name="use">#REF!</definedName>
    <definedName name="Use_Alternates">#REF!</definedName>
    <definedName name="UUU">#REF!</definedName>
    <definedName name="uuuu" localSheetId="5" hidden="1">{"'Break down'!$A$4"}</definedName>
    <definedName name="uuuu" localSheetId="6" hidden="1">{"'Break down'!$A$4"}</definedName>
    <definedName name="uuuu" localSheetId="7" hidden="1">{"'Break down'!$A$4"}</definedName>
    <definedName name="uuuu" hidden="1">{"'Break down'!$A$4"}</definedName>
    <definedName name="uuuyi" localSheetId="5" hidden="1">{"'Break down'!$A$4"}</definedName>
    <definedName name="uuuyi" localSheetId="6" hidden="1">{"'Break down'!$A$4"}</definedName>
    <definedName name="uuuyi" localSheetId="7" hidden="1">{"'Break down'!$A$4"}</definedName>
    <definedName name="uuuyi" hidden="1">{"'Break down'!$A$4"}</definedName>
    <definedName name="UY">#REF!</definedName>
    <definedName name="V">#REF!</definedName>
    <definedName name="V.E금액1">#REF!</definedName>
    <definedName name="V_22">#REF!</definedName>
    <definedName name="V_waterproofing">#REF!</definedName>
    <definedName name="V_Waterproofing_Area">#REF!</definedName>
    <definedName name="va">#REF!</definedName>
    <definedName name="va___0">#REF!</definedName>
    <definedName name="va___13">#REF!</definedName>
    <definedName name="Values_Entered" localSheetId="5">IF(Loan_Amount*Interest_Rate*Loan_Years*Loan_Start&gt;0,1,0)</definedName>
    <definedName name="Values_Entered" localSheetId="6">IF(Loan_Amount*Interest_Rate*Loan_Years*Loan_Start&gt;0,1,0)</definedName>
    <definedName name="Values_Entered" localSheetId="7">IF([0]!Loan_Amount*[0]!Interest_Rate*[0]!Loan_Years*[0]!Loan_Start&gt;0,1,0)</definedName>
    <definedName name="Values_Entered">IF(Loan_Amount*Interest_Rate*Loan_Years*Loan_Start&gt;0,1,0)</definedName>
    <definedName name="VANDEMATARAM" localSheetId="5">#REF!</definedName>
    <definedName name="VANDEMATARAM" localSheetId="6">#REF!</definedName>
    <definedName name="VANDEMATARAM" localSheetId="7">#REF!</definedName>
    <definedName name="VANDEMATARAM">#REF!</definedName>
    <definedName name="VB" localSheetId="5">#REF!</definedName>
    <definedName name="VB" localSheetId="6">#REF!</definedName>
    <definedName name="VB" localSheetId="7">#REF!</definedName>
    <definedName name="VB">#REF!</definedName>
    <definedName name="VD" localSheetId="5">#REF!</definedName>
    <definedName name="VD" localSheetId="6">#REF!</definedName>
    <definedName name="VD" localSheetId="7">#REF!</definedName>
    <definedName name="VD">#REF!</definedName>
    <definedName name="Vend">#REF!</definedName>
    <definedName name="verpile">#REF!</definedName>
    <definedName name="Vf">#REF!</definedName>
    <definedName name="VIVEKANANDA">#REF!</definedName>
    <definedName name="VMD_Group_1" localSheetId="5">#REF!,#REF!,#REF!,#REF!,#REF!,#REF!,#REF!,#REF!,#REF!</definedName>
    <definedName name="VMD_Group_1" localSheetId="6">#REF!,#REF!,#REF!,#REF!,#REF!,#REF!,#REF!,#REF!,#REF!</definedName>
    <definedName name="VMD_Group_1" localSheetId="7">#REF!,#REF!,#REF!,#REF!,#REF!,#REF!,#REF!,#REF!,#REF!</definedName>
    <definedName name="VMD_Group_1">#REF!,#REF!,#REF!,#REF!,#REF!,#REF!,#REF!,#REF!,#REF!</definedName>
    <definedName name="VMD_Group_10" localSheetId="5">#REF!,#REF!,#REF!,#REF!,#REF!,#REF!,#REF!,#REF!,#REF!</definedName>
    <definedName name="VMD_Group_10" localSheetId="6">#REF!,#REF!,#REF!,#REF!,#REF!,#REF!,#REF!,#REF!,#REF!</definedName>
    <definedName name="VMD_Group_10" localSheetId="7">#REF!,#REF!,#REF!,#REF!,#REF!,#REF!,#REF!,#REF!,#REF!</definedName>
    <definedName name="VMD_Group_10">#REF!,#REF!,#REF!,#REF!,#REF!,#REF!,#REF!,#REF!,#REF!</definedName>
    <definedName name="VMD_Group_2" localSheetId="5">#REF!,#REF!,#REF!,#REF!,#REF!,#REF!,#REF!,#REF!,#REF!</definedName>
    <definedName name="VMD_Group_2" localSheetId="6">#REF!,#REF!,#REF!,#REF!,#REF!,#REF!,#REF!,#REF!,#REF!</definedName>
    <definedName name="VMD_Group_2" localSheetId="7">#REF!,#REF!,#REF!,#REF!,#REF!,#REF!,#REF!,#REF!,#REF!</definedName>
    <definedName name="VMD_Group_2">#REF!,#REF!,#REF!,#REF!,#REF!,#REF!,#REF!,#REF!,#REF!</definedName>
    <definedName name="VMD_Group_3">#REF!,#REF!,#REF!,#REF!,#REF!,#REF!,#REF!,#REF!,#REF!</definedName>
    <definedName name="VMD_Group_4">#REF!,#REF!,#REF!,#REF!,#REF!,#REF!,#REF!,#REF!,#REF!</definedName>
    <definedName name="VMD_Group_5">#REF!,#REF!,#REF!,#REF!,#REF!,#REF!,#REF!,#REF!,#REF!</definedName>
    <definedName name="VMD_Group_6">#REF!,#REF!,#REF!,#REF!,#REF!,#REF!,#REF!,#REF!,#REF!</definedName>
    <definedName name="VMD_Group_7">#REF!,#REF!,#REF!,#REF!,#REF!,#REF!,#REF!,#REF!,#REF!</definedName>
    <definedName name="VMD_Group_8">#REF!,#REF!,#REF!,#REF!,#REF!,#REF!,#REF!,#REF!,#REF!</definedName>
    <definedName name="VMD_Group_9">#REF!,#REF!,#REF!,#REF!,#REF!,#REF!,#REF!,#REF!,#REF!</definedName>
    <definedName name="volww">#REF!</definedName>
    <definedName name="Vsigma">#REF!</definedName>
    <definedName name="VV" hidden="1">#REF!</definedName>
    <definedName name="vvv" hidden="1">#REF!</definedName>
    <definedName name="Vz">#REF!</definedName>
    <definedName name="W">#REF!</definedName>
    <definedName name="W_22">#REF!</definedName>
    <definedName name="W15_">#N/A</definedName>
    <definedName name="W3_">#N/A</definedName>
    <definedName name="W6_">#N/A</definedName>
    <definedName name="wa">#REF!</definedName>
    <definedName name="WAGE">#REF!</definedName>
    <definedName name="Waiting">"Picture 1"</definedName>
    <definedName name="Wallfinishes">#REF!</definedName>
    <definedName name="was">#REF!</definedName>
    <definedName name="Waterstops_Compartmantalization">#REF!</definedName>
    <definedName name="WD">#REF!</definedName>
    <definedName name="WE">#REF!</definedName>
    <definedName name="WEB">#REF!</definedName>
    <definedName name="webpoint">#REF!</definedName>
    <definedName name="WEIGHT">#REF!</definedName>
    <definedName name="WET">#REF!</definedName>
    <definedName name="WF">#REF!</definedName>
    <definedName name="WG">#REF!</definedName>
    <definedName name="WGW">#REF!</definedName>
    <definedName name="wid">#REF!</definedName>
    <definedName name="widabt">#REF!</definedName>
    <definedName name="Width">#REF!</definedName>
    <definedName name="Width_of_the_cell_Y_direction__m">#REF!</definedName>
    <definedName name="widwing">#REF!</definedName>
    <definedName name="WLP">#REF!</definedName>
    <definedName name="work">#REF!</definedName>
    <definedName name="WP">#REF!</definedName>
    <definedName name="wrn.Chandana." localSheetId="5" hidden="1">{#N/A,#N/A,FALSE,"VCR"}</definedName>
    <definedName name="wrn.Chandana." localSheetId="6" hidden="1">{#N/A,#N/A,FALSE,"VCR"}</definedName>
    <definedName name="wrn.Chandana." localSheetId="7" hidden="1">{#N/A,#N/A,FALSE,"VCR"}</definedName>
    <definedName name="wrn.Chandana." hidden="1">{#N/A,#N/A,FALSE,"VCR"}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OCS._.REPORT." localSheetId="5" hidden="1">{#N/A,#N/A,FALSE,"Cover";#N/A,#N/A,FALSE,"Index";#N/A,#N/A,FALSE,"Spec";#N/A,#N/A,FALSE,"Breakdown";#N/A,#N/A,FALSE,"Cost Plan"}</definedName>
    <definedName name="wrn.OCS._.REPORT." localSheetId="6" hidden="1">{#N/A,#N/A,FALSE,"Cover";#N/A,#N/A,FALSE,"Index";#N/A,#N/A,FALSE,"Spec";#N/A,#N/A,FALSE,"Breakdown";#N/A,#N/A,FALSE,"Cost Plan"}</definedName>
    <definedName name="wrn.OCS._.REPORT." localSheetId="7" hidden="1">{#N/A,#N/A,FALSE,"Cover";#N/A,#N/A,FALSE,"Index";#N/A,#N/A,FALSE,"Spec";#N/A,#N/A,FALSE,"Breakdown";#N/A,#N/A,FALSE,"Cost Plan"}</definedName>
    <definedName name="wrn.OCS._.REPORT." hidden="1">{#N/A,#N/A,FALSE,"Cover";#N/A,#N/A,FALSE,"Index";#N/A,#N/A,FALSE,"Spec";#N/A,#N/A,FALSE,"Breakdown";#N/A,#N/A,FALSE,"Cost Plan"}</definedName>
    <definedName name="wrn.PRINT._.REPORT." localSheetId="5" hidden="1">{#N/A,#N/A,FALSE,"summary";#N/A,#N/A,FALSE,"preliminy";#N/A,#N/A,FALSE,"bill 3";#N/A,#N/A,FALSE,"bill 4"}</definedName>
    <definedName name="wrn.PRINT._.REPORT." localSheetId="6" hidden="1">{#N/A,#N/A,FALSE,"summary";#N/A,#N/A,FALSE,"preliminy";#N/A,#N/A,FALSE,"bill 3";#N/A,#N/A,FALSE,"bill 4"}</definedName>
    <definedName name="wrn.PRINT._.REPORT." localSheetId="7" hidden="1">{#N/A,#N/A,FALSE,"summary";#N/A,#N/A,FALSE,"preliminy";#N/A,#N/A,FALSE,"bill 3";#N/A,#N/A,FALSE,"bill 4"}</definedName>
    <definedName name="wrn.PRINT._.REPORT." hidden="1">{#N/A,#N/A,FALSE,"summary";#N/A,#N/A,FALSE,"preliminy";#N/A,#N/A,FALSE,"bill 3";#N/A,#N/A,FALSE,"bill 4"}</definedName>
    <definedName name="wwr" localSheetId="5" hidden="1">{"'Break down'!$A$4"}</definedName>
    <definedName name="wwr" localSheetId="6" hidden="1">{"'Break down'!$A$4"}</definedName>
    <definedName name="wwr" localSheetId="7" hidden="1">{"'Break down'!$A$4"}</definedName>
    <definedName name="wwr" hidden="1">{"'Break down'!$A$4"}</definedName>
    <definedName name="WWW">#REF!</definedName>
    <definedName name="wwwwwwwwwwwww">#REF!</definedName>
    <definedName name="X">#REF!</definedName>
    <definedName name="X_22">#REF!</definedName>
    <definedName name="xf">#REF!</definedName>
    <definedName name="Xl">#REF!</definedName>
    <definedName name="Xl___0">#REF!</definedName>
    <definedName name="Xl___13">#REF!</definedName>
    <definedName name="xls." localSheetId="5" hidden="1">{"'Break down'!$A$4"}</definedName>
    <definedName name="xls." localSheetId="6" hidden="1">{"'Break down'!$A$4"}</definedName>
    <definedName name="xls." localSheetId="7" hidden="1">{"'Break down'!$A$4"}</definedName>
    <definedName name="xls." hidden="1">{"'Break down'!$A$4"}</definedName>
    <definedName name="XLSS" localSheetId="5" hidden="1">{"'Break down'!$A$4"}</definedName>
    <definedName name="XLSS" localSheetId="6" hidden="1">{"'Break down'!$A$4"}</definedName>
    <definedName name="XLSS" localSheetId="7" hidden="1">{"'Break down'!$A$4"}</definedName>
    <definedName name="XLSS" hidden="1">{"'Break down'!$A$4"}</definedName>
    <definedName name="xlst" localSheetId="5" hidden="1">{"'Break down'!$A$4"}</definedName>
    <definedName name="xlst" localSheetId="6" hidden="1">{"'Break down'!$A$4"}</definedName>
    <definedName name="xlst" localSheetId="7" hidden="1">{"'Break down'!$A$4"}</definedName>
    <definedName name="xlst" hidden="1">{"'Break down'!$A$4"}</definedName>
    <definedName name="xvxc">#REF!</definedName>
    <definedName name="xx">#REF!</definedName>
    <definedName name="XXX">#REF!</definedName>
    <definedName name="Y">#REF!</definedName>
    <definedName name="Y_22">#REF!</definedName>
    <definedName name="yas">#REF!</definedName>
    <definedName name="YG">#REF!</definedName>
    <definedName name="YH">#REF!</definedName>
    <definedName name="yjhyj">#REF!</definedName>
    <definedName name="ytr" localSheetId="5" hidden="1">{"'Break down'!$A$4"}</definedName>
    <definedName name="ytr" localSheetId="6" hidden="1">{"'Break down'!$A$4"}</definedName>
    <definedName name="ytr" localSheetId="7" hidden="1">{"'Break down'!$A$4"}</definedName>
    <definedName name="ytr" hidden="1">{"'Break down'!$A$4"}</definedName>
    <definedName name="YU">#REF!</definedName>
    <definedName name="YYY">#REF!</definedName>
    <definedName name="Z">#REF!</definedName>
    <definedName name="Z_22">#REF!</definedName>
    <definedName name="Zip" localSheetId="5">#REF!</definedName>
    <definedName name="Zip" localSheetId="6">#REF!</definedName>
    <definedName name="Zip" localSheetId="7">#REF!</definedName>
    <definedName name="Zip">#REF!</definedName>
    <definedName name="zl" localSheetId="5">#REF!</definedName>
    <definedName name="zl" localSheetId="6">#REF!</definedName>
    <definedName name="zl" localSheetId="7">#REF!</definedName>
    <definedName name="zl">#REF!</definedName>
    <definedName name="zl___0" localSheetId="5">#REF!</definedName>
    <definedName name="zl___0" localSheetId="6">#REF!</definedName>
    <definedName name="zl___0" localSheetId="7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s">#REF!</definedName>
    <definedName name="zs___0">#REF!</definedName>
    <definedName name="zs___13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tpu">#REF!</definedName>
    <definedName name="ztpu___0">#REF!</definedName>
    <definedName name="ztpu___13">#REF!</definedName>
    <definedName name="ZX">#REF!</definedName>
    <definedName name="ZY">#REF!</definedName>
    <definedName name="ZY___0">#REF!</definedName>
    <definedName name="ZY___13">#REF!</definedName>
    <definedName name="ZZ">#REF!</definedName>
    <definedName name="ZZZ">#REF!</definedName>
    <definedName name="건축">#REF!</definedName>
    <definedName name="기계">#REF!</definedName>
    <definedName name="기타">#REF!</definedName>
    <definedName name="띠장">#REF!</definedName>
    <definedName name="ㅁㅁㅁ">#REF!</definedName>
    <definedName name="미제">#REF!</definedName>
    <definedName name="자금수지이자">#REF!</definedName>
    <definedName name="전기계장">#REF!</definedName>
    <definedName name="중기">#REF!</definedName>
    <definedName name="직접공사비계">#REF!</definedName>
    <definedName name="토류판">#REF!</definedName>
    <definedName name="토목">#REF!</definedName>
    <definedName name="ㅠ1066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7" i="25" l="1"/>
  <c r="H15" i="28"/>
  <c r="H15" i="30"/>
  <c r="E7" i="26"/>
  <c r="D15" i="29"/>
  <c r="D13" i="29"/>
  <c r="H30" i="28"/>
  <c r="H29" i="28"/>
  <c r="H28" i="28"/>
  <c r="H27" i="28"/>
  <c r="H26" i="28"/>
  <c r="H22" i="28"/>
  <c r="H19" i="28"/>
  <c r="H18" i="28"/>
  <c r="H17" i="28"/>
  <c r="H16" i="28"/>
  <c r="H48" i="28"/>
  <c r="H318" i="27"/>
  <c r="H317" i="27"/>
  <c r="H316" i="27"/>
  <c r="H315" i="27"/>
  <c r="H312" i="27"/>
  <c r="H311" i="27"/>
  <c r="H310" i="27"/>
  <c r="H307" i="27"/>
  <c r="H306" i="27"/>
  <c r="H303" i="27"/>
  <c r="H302" i="27"/>
  <c r="H301" i="27"/>
  <c r="H300" i="27"/>
  <c r="H297" i="27"/>
  <c r="H289" i="27"/>
  <c r="H288" i="27"/>
  <c r="H285" i="27"/>
  <c r="H282" i="27"/>
  <c r="H281" i="27"/>
  <c r="H280" i="27"/>
  <c r="H325" i="27" s="1"/>
  <c r="H342" i="27" s="1"/>
  <c r="H266" i="27"/>
  <c r="H265" i="27"/>
  <c r="H264" i="27"/>
  <c r="H261" i="27"/>
  <c r="H260" i="27"/>
  <c r="H257" i="27"/>
  <c r="H254" i="27"/>
  <c r="H253" i="27"/>
  <c r="H245" i="27"/>
  <c r="H244" i="27"/>
  <c r="H243" i="27"/>
  <c r="H240" i="27"/>
  <c r="H239" i="27"/>
  <c r="H238" i="27"/>
  <c r="H237" i="27"/>
  <c r="H234" i="27"/>
  <c r="H231" i="27"/>
  <c r="H272" i="27" s="1"/>
  <c r="H340" i="27" s="1"/>
  <c r="H230" i="27"/>
  <c r="H229" i="27"/>
  <c r="H215" i="27"/>
  <c r="H214" i="27"/>
  <c r="H211" i="27"/>
  <c r="H208" i="27"/>
  <c r="H205" i="27"/>
  <c r="H204" i="27"/>
  <c r="H203" i="27"/>
  <c r="H202" i="27"/>
  <c r="H194" i="27"/>
  <c r="H193" i="27"/>
  <c r="H190" i="27"/>
  <c r="H189" i="27"/>
  <c r="H186" i="27"/>
  <c r="H185" i="27"/>
  <c r="H184" i="27"/>
  <c r="H183" i="27"/>
  <c r="H180" i="27"/>
  <c r="H177" i="27"/>
  <c r="H176" i="27"/>
  <c r="H175" i="27"/>
  <c r="H174" i="27"/>
  <c r="H221" i="27" s="1"/>
  <c r="H338" i="27" s="1"/>
  <c r="H160" i="27"/>
  <c r="H159" i="27"/>
  <c r="H158" i="27"/>
  <c r="H157" i="27"/>
  <c r="H156" i="27"/>
  <c r="H155" i="27"/>
  <c r="H154" i="27"/>
  <c r="H153" i="27"/>
  <c r="H152" i="27"/>
  <c r="H151" i="27"/>
  <c r="H150" i="27"/>
  <c r="H149" i="27"/>
  <c r="H148" i="27"/>
  <c r="H147" i="27"/>
  <c r="H146" i="27"/>
  <c r="H145" i="27"/>
  <c r="H144" i="27"/>
  <c r="H143" i="27"/>
  <c r="H142" i="27"/>
  <c r="H141" i="27"/>
  <c r="H140" i="27"/>
  <c r="H139" i="27"/>
  <c r="H138" i="27"/>
  <c r="H137" i="27"/>
  <c r="H136" i="27"/>
  <c r="H135" i="27"/>
  <c r="H134" i="27"/>
  <c r="H133" i="27"/>
  <c r="H132" i="27"/>
  <c r="H131" i="27"/>
  <c r="H130" i="27"/>
  <c r="H129" i="27"/>
  <c r="H128" i="27"/>
  <c r="H127" i="27"/>
  <c r="H126" i="27"/>
  <c r="H125" i="27"/>
  <c r="H124" i="27"/>
  <c r="H123" i="27"/>
  <c r="H122" i="27"/>
  <c r="H166" i="27" s="1"/>
  <c r="H336" i="27" s="1"/>
  <c r="H93" i="27"/>
  <c r="H92" i="27"/>
  <c r="H91" i="27"/>
  <c r="H90" i="27"/>
  <c r="H89" i="27"/>
  <c r="H88" i="27"/>
  <c r="H87" i="27"/>
  <c r="H86" i="27"/>
  <c r="H85" i="27"/>
  <c r="H84" i="27"/>
  <c r="H83" i="27"/>
  <c r="H82" i="27"/>
  <c r="H81" i="27"/>
  <c r="H80" i="27"/>
  <c r="H79" i="27"/>
  <c r="H114" i="27" s="1"/>
  <c r="H334" i="27" s="1"/>
  <c r="H65" i="27"/>
  <c r="H64" i="27"/>
  <c r="H63" i="27"/>
  <c r="H62" i="27"/>
  <c r="H61" i="27"/>
  <c r="H60" i="27"/>
  <c r="H59" i="27"/>
  <c r="H58" i="27"/>
  <c r="H57" i="27"/>
  <c r="H56" i="27"/>
  <c r="H55" i="27"/>
  <c r="H54" i="27"/>
  <c r="H53" i="27"/>
  <c r="H71" i="27" s="1"/>
  <c r="H332" i="27" s="1"/>
  <c r="H47" i="27"/>
  <c r="H46" i="27"/>
  <c r="H45" i="27"/>
  <c r="H44" i="27"/>
  <c r="H43" i="27"/>
  <c r="H42" i="27"/>
  <c r="H41" i="27"/>
  <c r="H40" i="27"/>
  <c r="H39" i="27"/>
  <c r="H38" i="27"/>
  <c r="H37" i="27"/>
  <c r="H36" i="27"/>
  <c r="H35" i="27"/>
  <c r="H34" i="27"/>
  <c r="H33" i="27"/>
  <c r="H32" i="27"/>
  <c r="H31" i="27"/>
  <c r="H49" i="27" s="1"/>
  <c r="H330" i="27" s="1"/>
  <c r="H30" i="27"/>
  <c r="H29" i="27"/>
  <c r="H28" i="27"/>
  <c r="H27" i="27"/>
  <c r="H26" i="27"/>
  <c r="H49" i="30" l="1"/>
  <c r="D45" i="29"/>
  <c r="H367" i="27"/>
  <c r="K50" i="30" l="1"/>
  <c r="E9" i="26"/>
  <c r="F9" i="26" l="1"/>
  <c r="F7" i="26"/>
  <c r="D12" i="21"/>
  <c r="F43" i="25"/>
  <c r="F33" i="25"/>
  <c r="F29" i="25"/>
  <c r="F23" i="25"/>
  <c r="F19" i="25"/>
  <c r="F13" i="25"/>
  <c r="F9" i="25"/>
  <c r="F11" i="24"/>
  <c r="F9" i="24"/>
  <c r="F7" i="24"/>
  <c r="F587" i="23"/>
  <c r="F585" i="23"/>
  <c r="F581" i="23"/>
  <c r="F579" i="23"/>
  <c r="F577" i="23"/>
  <c r="F575" i="23"/>
  <c r="F573" i="23"/>
  <c r="F569" i="23"/>
  <c r="F567" i="23"/>
  <c r="F546" i="23"/>
  <c r="F544" i="23"/>
  <c r="F542" i="23"/>
  <c r="F540" i="23"/>
  <c r="F538" i="23"/>
  <c r="F536" i="23"/>
  <c r="F534" i="23"/>
  <c r="F528" i="23"/>
  <c r="F526" i="23"/>
  <c r="F571" i="23"/>
  <c r="F507" i="23"/>
  <c r="F505" i="23"/>
  <c r="F503" i="23"/>
  <c r="F501" i="23"/>
  <c r="F499" i="23"/>
  <c r="F497" i="23"/>
  <c r="F495" i="23"/>
  <c r="F489" i="23"/>
  <c r="F487" i="23"/>
  <c r="F532" i="23"/>
  <c r="F530" i="23"/>
  <c r="F470" i="23"/>
  <c r="F468" i="23"/>
  <c r="F466" i="23"/>
  <c r="F464" i="23"/>
  <c r="F462" i="23"/>
  <c r="F460" i="23"/>
  <c r="F458" i="23"/>
  <c r="F456" i="23"/>
  <c r="F450" i="23"/>
  <c r="F448" i="23"/>
  <c r="F493" i="23"/>
  <c r="F491" i="23"/>
  <c r="F431" i="23"/>
  <c r="F429" i="23"/>
  <c r="F427" i="23"/>
  <c r="F425" i="23"/>
  <c r="F423" i="23"/>
  <c r="F421" i="23"/>
  <c r="F419" i="23"/>
  <c r="F413" i="23"/>
  <c r="F411" i="23"/>
  <c r="F454" i="23"/>
  <c r="F452" i="23"/>
  <c r="F392" i="23"/>
  <c r="F390" i="23"/>
  <c r="F388" i="23"/>
  <c r="F386" i="23"/>
  <c r="F384" i="23"/>
  <c r="F382" i="23"/>
  <c r="F380" i="23"/>
  <c r="F378" i="23"/>
  <c r="F376" i="23"/>
  <c r="F347" i="23"/>
  <c r="F343" i="23"/>
  <c r="F341" i="23"/>
  <c r="F320" i="23"/>
  <c r="F308" i="23"/>
  <c r="F306" i="23"/>
  <c r="F304" i="23"/>
  <c r="F302" i="23"/>
  <c r="F300" i="23"/>
  <c r="F310" i="23"/>
  <c r="F312" i="23"/>
  <c r="F314" i="23"/>
  <c r="F316" i="23"/>
  <c r="F318" i="23"/>
  <c r="F277" i="23"/>
  <c r="F273" i="23"/>
  <c r="F240" i="23"/>
  <c r="F236" i="23"/>
  <c r="F168" i="23"/>
  <c r="F166" i="23"/>
  <c r="F164" i="23"/>
  <c r="F162" i="23"/>
  <c r="F160" i="23"/>
  <c r="F156" i="23"/>
  <c r="F154" i="23"/>
  <c r="F152" i="23"/>
  <c r="F150" i="23"/>
  <c r="F148" i="23"/>
  <c r="F131" i="23"/>
  <c r="F129" i="23"/>
  <c r="F123" i="23"/>
  <c r="F91" i="23"/>
  <c r="F65" i="23"/>
  <c r="F63" i="23"/>
  <c r="F61" i="23"/>
  <c r="F59" i="23"/>
  <c r="F57" i="23"/>
  <c r="F55" i="23"/>
  <c r="F53" i="23"/>
  <c r="F51" i="23"/>
  <c r="F41" i="26" l="1"/>
  <c r="D14" i="21" s="1"/>
  <c r="F33" i="24"/>
  <c r="D10" i="21" s="1"/>
  <c r="F562" i="23"/>
  <c r="F632" i="23" s="1"/>
  <c r="F599" i="23"/>
  <c r="F634" i="23" s="1"/>
  <c r="F521" i="23"/>
  <c r="F630" i="23" s="1"/>
  <c r="F482" i="23"/>
  <c r="F628" i="23" s="1"/>
  <c r="F330" i="23"/>
  <c r="F417" i="23"/>
  <c r="F415" i="23"/>
  <c r="F374" i="23"/>
  <c r="F372" i="23"/>
  <c r="F357" i="23"/>
  <c r="F355" i="23"/>
  <c r="F353" i="23"/>
  <c r="F351" i="23"/>
  <c r="F349" i="23"/>
  <c r="F345" i="23"/>
  <c r="F339" i="23"/>
  <c r="F337" i="23"/>
  <c r="F335" i="23"/>
  <c r="F275" i="23"/>
  <c r="F279" i="23"/>
  <c r="F271" i="23"/>
  <c r="F269" i="23"/>
  <c r="F267" i="23"/>
  <c r="F265" i="23"/>
  <c r="F263" i="23"/>
  <c r="F261" i="23"/>
  <c r="F259" i="23"/>
  <c r="F244" i="23"/>
  <c r="F242" i="23"/>
  <c r="F238" i="23"/>
  <c r="F234" i="23"/>
  <c r="F232" i="23"/>
  <c r="F230" i="23"/>
  <c r="F228" i="23"/>
  <c r="F226" i="23"/>
  <c r="F224" i="23"/>
  <c r="F222" i="23"/>
  <c r="F202" i="23"/>
  <c r="F200" i="23"/>
  <c r="F198" i="23"/>
  <c r="F196" i="23"/>
  <c r="F194" i="23"/>
  <c r="F192" i="23"/>
  <c r="F190" i="23"/>
  <c r="F188" i="23"/>
  <c r="F186" i="23"/>
  <c r="F184" i="23"/>
  <c r="F182" i="23"/>
  <c r="F158" i="23"/>
  <c r="F127" i="23"/>
  <c r="F125" i="23"/>
  <c r="F121" i="23"/>
  <c r="F119" i="23"/>
  <c r="F117" i="23"/>
  <c r="F115" i="23"/>
  <c r="F113" i="23"/>
  <c r="F111" i="23"/>
  <c r="F97" i="23"/>
  <c r="F95" i="23"/>
  <c r="F93" i="23"/>
  <c r="F89" i="23"/>
  <c r="F87" i="23"/>
  <c r="F85" i="23"/>
  <c r="F83" i="23"/>
  <c r="F81" i="23"/>
  <c r="F79" i="23"/>
  <c r="F443" i="23" l="1"/>
  <c r="F626" i="23" s="1"/>
  <c r="F406" i="23"/>
  <c r="F624" i="23" s="1"/>
  <c r="F217" i="23"/>
  <c r="F177" i="23"/>
  <c r="F612" i="23" s="1"/>
  <c r="F254" i="23"/>
  <c r="F143" i="23"/>
  <c r="F74" i="23"/>
  <c r="F44" i="23"/>
  <c r="F367" i="23"/>
  <c r="F295" i="23"/>
  <c r="F106" i="23"/>
  <c r="F622" i="23" l="1"/>
  <c r="F620" i="23"/>
  <c r="F618" i="23"/>
  <c r="F616" i="23"/>
  <c r="F614" i="23"/>
  <c r="F610" i="23"/>
  <c r="F608" i="23"/>
  <c r="F606" i="23"/>
  <c r="F604" i="23"/>
  <c r="F650" i="23" l="1"/>
  <c r="D8" i="21" s="1"/>
  <c r="D48" i="21" l="1"/>
</calcChain>
</file>

<file path=xl/sharedStrings.xml><?xml version="1.0" encoding="utf-8"?>
<sst xmlns="http://schemas.openxmlformats.org/spreadsheetml/2006/main" count="1307" uniqueCount="458">
  <si>
    <t>Description</t>
  </si>
  <si>
    <t>Rate</t>
  </si>
  <si>
    <t>B</t>
  </si>
  <si>
    <t>A</t>
  </si>
  <si>
    <t>m²</t>
  </si>
  <si>
    <t>C</t>
  </si>
  <si>
    <t>Item</t>
  </si>
  <si>
    <t>D</t>
  </si>
  <si>
    <t>E</t>
  </si>
  <si>
    <t>F</t>
  </si>
  <si>
    <t>G</t>
  </si>
  <si>
    <t>H</t>
  </si>
  <si>
    <t>Nr.</t>
  </si>
  <si>
    <t>J</t>
  </si>
  <si>
    <t>K</t>
  </si>
  <si>
    <t>L</t>
  </si>
  <si>
    <t>M</t>
  </si>
  <si>
    <t>t</t>
  </si>
  <si>
    <t xml:space="preserve"> Quantity</t>
  </si>
  <si>
    <t>Unit</t>
  </si>
  <si>
    <t>Amount</t>
  </si>
  <si>
    <t>AED</t>
  </si>
  <si>
    <t>To Collection</t>
  </si>
  <si>
    <t>COLLECTION</t>
  </si>
  <si>
    <t>Page Nr.</t>
  </si>
  <si>
    <t>Amount 
AED</t>
  </si>
  <si>
    <t>SUMMARY</t>
  </si>
  <si>
    <t>TO MAIN SUMMARY</t>
  </si>
  <si>
    <t>Carried To Summary</t>
  </si>
  <si>
    <t>1. Demolition Plan Drawing Nr. S-12200 series</t>
  </si>
  <si>
    <t>2. Demolition Section and Details Drawing Nr. S-30200 series</t>
  </si>
  <si>
    <t>ALTERATIONS</t>
  </si>
  <si>
    <t>Strengthening works; including supports, fixings, accessories and all ancillary works as necessary</t>
  </si>
  <si>
    <t>Indicative props spaced at 500mm maximum on centers; 3050mm high; to basement 2</t>
  </si>
  <si>
    <t>Indicative props spaced at 500mm maximum on centers; 3250mm high; to basement 1</t>
  </si>
  <si>
    <t>Indicative props spaced at 500mm maximum on centers; 3700mm high; to ground floor</t>
  </si>
  <si>
    <t>Indicative props spaced at 500mm maximum on centers; 3550mm high; to ground floor mezzanine</t>
  </si>
  <si>
    <t>Indicative props spaced at 500mm maximum on centers; 3500mm high; to first floor</t>
  </si>
  <si>
    <t>Indicative props spaced at 500mm maximum on centers; 2750mm high; to first floor mezzanine</t>
  </si>
  <si>
    <t>Indicative props spaced at 500mm maximum on centers; 3500mm high; to second floor</t>
  </si>
  <si>
    <t>Indicative props spaced at 500mm maximum on centers; 2700mm high; to second floor mezzanine</t>
  </si>
  <si>
    <t>Indicative props spaced at 500mm maximum on centers; 2650mm high; to third floor</t>
  </si>
  <si>
    <t>Sundries</t>
  </si>
  <si>
    <t>Additional rebar; dowel connection to existing to new structure</t>
  </si>
  <si>
    <t>Post fix hilti</t>
  </si>
  <si>
    <t>m³</t>
  </si>
  <si>
    <t>Included</t>
  </si>
  <si>
    <t>sum</t>
  </si>
  <si>
    <t>BILL NO. 13</t>
  </si>
  <si>
    <t>Design Obligation - Vertical &amp; Horizontal Strengthening</t>
  </si>
  <si>
    <t>All design requirements mentioned on the drawings or project specification’s and or authority requirements should be part of the  Sub-contractor scope.</t>
  </si>
  <si>
    <t>Sum</t>
  </si>
  <si>
    <t>Full design and detailing and construction of strengthening of Vertical element columns / walls is the Sub-contractor responsibility</t>
  </si>
  <si>
    <t>Full design and detailing and construction of strengthening of Horizontal elements beams and slab, concrete and steel sections is the Sub-contractor responsibility</t>
  </si>
  <si>
    <t>The Sub-contractor shall submit the the full package for strenthening Works to the Authorities and obtain their approval. The submission to Authorities must be fully reviewed and stamped by a 3rd party consultant approved by Trakhees (must use Qualiconsult) ahead of issue to the ERC and onward submission to Authorities for approval.</t>
  </si>
  <si>
    <t>Jacket existing column; size 1250 x 1250 x 3050mm high; CJ01; 150mm thick; 2 sided; to basement 2</t>
  </si>
  <si>
    <t>Jacket existing column; size 1250 x 1250 x 3050mm high; CJ01; 150mm thick; 3 sided; to basement 2</t>
  </si>
  <si>
    <t>Jacket existing column; size 1250 x 1250 x 3050mm high; CJ01; 150mm thick; 4 sided; to basement 2</t>
  </si>
  <si>
    <t>Jacket existing column; size 1250 x 1950 x 3050mm high; CJ01; 150mm thick; 4 sided; to basement 2</t>
  </si>
  <si>
    <t>Jacket existing column; size 1250 x 2000 x 3050mm high; CJ01; 150mm thick; 3 sided; to basement 2</t>
  </si>
  <si>
    <t>Jacket existing column; size 1250 x 1250 x 3050mm high; CJ02; 150mm thick; 3 sided; to basement 2</t>
  </si>
  <si>
    <t>Jacket existing column; size 1250 x 2000 x 3050mm high; CJ02; 150mm thick; 4 sided; to basement 2</t>
  </si>
  <si>
    <t>Jacket existing column; size 1250 x 1250 x 3050mm high; CJ03; 300mm thick; 2 sided; to basement 2</t>
  </si>
  <si>
    <t>REVISED STRUCTURES STRENGTHENING WORKS - GMP</t>
  </si>
  <si>
    <t>REVISED STRUCTURE STRENGTHENING WORKS</t>
  </si>
  <si>
    <t>REVISED STRUCTURE STRENGTHENING WORKS (Cont´d)</t>
  </si>
  <si>
    <t>Jacket existing column; size 1250 x 1250 x 3050mm high; CJ03; 300mm thick; 3 sided; to basement 2</t>
  </si>
  <si>
    <t>Jacket existing column; size 1250 x 1250 x 3050mm high; CJ03; 300mm thick; 4 sided; to basement 2</t>
  </si>
  <si>
    <t>Jacket existing column; size 1250 x 1500 x 3050mm high; CJ03; 300mm thick; 3 sided; to basement 2</t>
  </si>
  <si>
    <t>Jacket existing column; size 1250 x 2000 x 3050mm high; CJ03; 300mm thick; 3 sided; to basement 2</t>
  </si>
  <si>
    <t>Jacket existing column; size 1250 x 1250 x 3050mm high; CJ04; 200mm thick; 3 sided; to basement 2</t>
  </si>
  <si>
    <t>Jacket existing column; size 1250 x 1250 x 3050mm high; CJ04; 200mm thick; 4 sided; to basement 2</t>
  </si>
  <si>
    <t>Jacket existing column; size 1250 x 2000 x 3050mm high; CJ04; 200mm thick; 4 sided; to basement 2</t>
  </si>
  <si>
    <t>Jacket existing column; size 1250 x 1250 x 3050mm high; CJ05; 250mm thick; 4 sided; to basement 2</t>
  </si>
  <si>
    <t>Jacket existing column; size 1250 x 2000 x 3050mm high; CJ05; 250mm thick; 4 sided; to basement 2</t>
  </si>
  <si>
    <t>Jacket existing column; size 500 x 1250 x 3050mm high; CJ06; 150mm thick; 4 sided; to basement 2</t>
  </si>
  <si>
    <t>Jacket existing column; size 600 x 600 x 3050mm high; CJ06; 150mm thick; 4 sided; to basement 2</t>
  </si>
  <si>
    <t>Jacket existing column; size 1250 x 1250 x 3050mm high; CJ06; 150mm thick; 3 sided; to basement 2</t>
  </si>
  <si>
    <t>Jacket existing column; size 1250 x 1250 x 3050mm high; CJ06; 150mm thick; 4 sided; to basement 2</t>
  </si>
  <si>
    <t>Jacket existing column; size 1250 x 1250 x 3050mm high; CJ07; 150mm thick; 3 sided; to basement 2</t>
  </si>
  <si>
    <t>Jacket existing column; size 1250 x 1250 x 3050mm high; CJ08; 200mm thick; 3 sided; to basement 2</t>
  </si>
  <si>
    <t>Jacket existing column; size 1250 x 1250 x 3050mm high; CJ08; 200mm thick; 4 sided; to basement 2</t>
  </si>
  <si>
    <t>Jacket existing column; size 1250 x 1585 x 3050mm high; CJ08; 200mm thick; 4 sided; to basement 2</t>
  </si>
  <si>
    <t>Jacket existing column; size 1250 x 2000 x 3050mm high; CJ08; 200mm thick; 4 sided; to basement 2</t>
  </si>
  <si>
    <t>Jacket existing wall; 200mm thick; 1 sided; to basement 2</t>
  </si>
  <si>
    <t>Jacket existing wall; 200mm thick; 2 sided; to basement 2</t>
  </si>
  <si>
    <t>RC wall buttress structure; size 700 x 1300 x 2750mm high; to basement 2</t>
  </si>
  <si>
    <t>RC wall buttress structure; size 700 x 1500 x 2750mm high; to basement 2</t>
  </si>
  <si>
    <t>Jacket existing column; size 1250 x 1250 x 3550mm high; CJ01; 150mm thick; 3 sided; to basement 1</t>
  </si>
  <si>
    <t>Jacket existing column; size 1250 x 1250 x 3550mm high; CJ01; 150mm thick; 4 sided; to basement 1</t>
  </si>
  <si>
    <t>Jacket existing column; size 1250 x 1500 x 3550mm high; CJ01; 150mm thick; 4 sided; to basement 1</t>
  </si>
  <si>
    <t>Jacket existing column; size 1250 x 1250 x 3550mm high; CJ03; 300mm thick; 2 sided; to basement 1</t>
  </si>
  <si>
    <t>Jacket existing column; size 1250 x 1250 x 3550mm high; CJ04; 200mm thick; 4 sided; to basement 1</t>
  </si>
  <si>
    <t>Jacket existing column; size 1250 x 1250 x 3550mm high; CJ07; 150mm thick; 3 sided; to basement 1</t>
  </si>
  <si>
    <t>Jacket existing column; size 1250 x 1250 x 3550mm high; CJ08; 200mm thick; 3 sided; to basement 1</t>
  </si>
  <si>
    <t>Jacket existing column; size 1250 x 1585 x 3550mm high; CJ08; 200mm thick; 4 sided; to basement 1</t>
  </si>
  <si>
    <t>Jacket existing wall; 200mm thick; 1 sided; to basement 1</t>
  </si>
  <si>
    <t>Jacket existing wall; 200mm thick; 2 sided; to basement 1</t>
  </si>
  <si>
    <t>RC wall buttress structure; size 700 x 1300 x 3250mm high; to basement 1</t>
  </si>
  <si>
    <t>RC wall buttress structure; size 700 x 1500 x 3250mm high; to basement 1</t>
  </si>
  <si>
    <t>Jacket existing column; size 600 x 600 x 3400mm high; CJ01; 150mm thick; 4 sided; to ground floor</t>
  </si>
  <si>
    <t>Jacket existing column; size 1250 x 1250 x 3400mm high; CJ01; 150mm thick; 4 sided; to ground floor</t>
  </si>
  <si>
    <t>Jacket existing column; size 1250 x 1250 x 3700mm high; CJ01; 150mm thick; 4 sided; to ground floor</t>
  </si>
  <si>
    <t>Jacket existing column; size 1250 x 1500 x 3700mm high; CJ01; 150mm thick; 4 sided; to ground floor</t>
  </si>
  <si>
    <t>Jacket existing column; size 1250 x 2000 x 3700mm high; CJ01; 150mm thick; 4 sided; to ground floor</t>
  </si>
  <si>
    <t>Jacket existing column; size 600 x 600 x 3400mm high; CJ02; 150mm thick; 4 sided; to ground floor</t>
  </si>
  <si>
    <t>Jacket existing column; size 1250 x 1250 x 3700mm high; CJ02; 150mm thick; 3 sided; to ground floor</t>
  </si>
  <si>
    <t>Jacket existing column; size 1250 x 1250 x 3400mm high; CJ04; 200mm thick; 4 sided; to ground floor</t>
  </si>
  <si>
    <t>Jacket existing column; size 1250 x 1250 x 3700mm high; CJ07; 150mm thick; 3 sided; to ground floor</t>
  </si>
  <si>
    <t>Jacket existing column; size 1250 x 1585 x 3700mm high; CJ08; 200mm thick; 4 sided; to ground floor</t>
  </si>
  <si>
    <t>Jacket existing wall; 200mm thick; 1 sided; to ground floor</t>
  </si>
  <si>
    <t>Jacket existing wall; 200mm thick; 2 sided; to ground floor</t>
  </si>
  <si>
    <t>RC wall buttress structure; size 700 x 1300 x 3700mm high; to ground floor</t>
  </si>
  <si>
    <t>RC wall buttress structure; size 700 x 1500 x 3700mm high; to ground floor</t>
  </si>
  <si>
    <t>Jacket existing column; size 600 x 600 x 3750mm high; CJ01; 150mm thick; 4 sided; to ground floor mezzanine</t>
  </si>
  <si>
    <t>Jacket existing column; size 1250 x 1250 x 3850mm high; CJ01; 150mm thick; 4 sided; to ground floor mezzanine</t>
  </si>
  <si>
    <t>Jacket existing column; size 1250 x 1500 x 3850mm high; CJ01; 150mm thick; 4 sided; to ground floor mezzanine</t>
  </si>
  <si>
    <t>Jacket existing column; size 1250 x 1250 x 3850mm high; CJ02; 150mm thick; 4 sided; to ground floor mezzanine</t>
  </si>
  <si>
    <t>Jacket existing column; size 1250 x 1250 x 3750mm high; CJ04; 200mm thick; 4 sided; to ground floor mezzanine</t>
  </si>
  <si>
    <t>Jacket existing column; size 1250 x 1250 x 3850mm high; CJ07; 150mm thick; 3 sided; to ground floor mezzanine</t>
  </si>
  <si>
    <t>Jacket existing column; size 1250 x 1585 x 3850mm high; CJ08; 200mm thick; 4 sided; to ground floor mezzanine</t>
  </si>
  <si>
    <t>Jacket existing wall; 200mm thick; 1 sided; to ground floor mezzanine</t>
  </si>
  <si>
    <t>Jacket existing wall; 200mm thick; 2 sided; to ground floor mezzanine</t>
  </si>
  <si>
    <t>RC wall buttress structure; size 700 x 1300 x 4300mm high; to ground floor mezzanine</t>
  </si>
  <si>
    <t>RC wall buttress structure; size 700 x 1500 x 4300mm high; to ground floor mezzanine</t>
  </si>
  <si>
    <t>Jacket existing column; size 600 x 600 x 3200mm high; CJ01; 150mm thick; 3 sided; to first floor</t>
  </si>
  <si>
    <t>Jacket existing column; size 600 x 600 x 3200mm high; CJ01; 150mm thick; 4 sided; to first floor</t>
  </si>
  <si>
    <t>Jacket existing column; size 600 x 600 x 3500mm high; CJ01; 150mm thick; 4 sided; to first floor</t>
  </si>
  <si>
    <t>Jacket existing column; size 900 x 900 x 3200mm high; CJ01; 150mm thick; 4 sided; to first floor</t>
  </si>
  <si>
    <t>Jacket existing column; size 1250 x 1250 x 3500mm high; CJ01; 150mm thick; 4 sided; to first floor</t>
  </si>
  <si>
    <t>Jacket existing column; size 1250 x 1500 x 3500mm high; CJ01; 150mm thick; 4 sided; to first floor</t>
  </si>
  <si>
    <t>Jacket existing column; size 600 x 600 x 3200mm high; CJ02; 150mm thick; 4 sided; to first floor</t>
  </si>
  <si>
    <t>Jacket existing column; size 900 x 900 x 3200mm high; CJ02; 150mm thick; 4 sided; to first floor</t>
  </si>
  <si>
    <t>Jacket existing column; size 600 x 600 x 3200mm high; CJ03; 300mm thick; 2 sided; to first floor</t>
  </si>
  <si>
    <t>Jacket existing column; size 1250 x 1250 x 3200mm high; CJ04; 200mm thick; 4 sided; to first floor</t>
  </si>
  <si>
    <t>Jacket existing column; size 600 x 600 x 3200mm high; CJ06; 150mm thick; 4 sided; to first floor</t>
  </si>
  <si>
    <t>Jacket existing column; size 1250 x 1250 x 3500mm high; CJ07; 150mm thick; 3 sided; to first floor</t>
  </si>
  <si>
    <t>Jacket existing column; size 1250 x 1585 x 3500mm high; CJ08; 200mm thick; 4 sided; to first floor</t>
  </si>
  <si>
    <t>Jacket existing wall; 200mm thick; 1 sided; to first floor</t>
  </si>
  <si>
    <t>Jacket existing wall; 200mm thick; 2 sided; to first floor</t>
  </si>
  <si>
    <t>RC thickening below existing beam size 1250 x 900mm; BJ01; size 1250 x 400mm; to first floor</t>
  </si>
  <si>
    <t>RC thickening below existing beam size 1250 x 900mm; BJ02; size 1250 x 700mm; to first floor</t>
  </si>
  <si>
    <t>RC thickening below existing beam size 1250 x 1300mm; BJ03; size 1250 x 700mm; to first floor</t>
  </si>
  <si>
    <t>RC thickening below existing beam size 1250 x 1300mm; BJ04; size 1250 x 400mm; to first floor</t>
  </si>
  <si>
    <t>RC thickening below existing beam size 1250 x 900mm; BJ06; size 1250 x 600mm; to first floor</t>
  </si>
  <si>
    <t>RC wall buttress structure; size 700 x 1300 x 3500mm high; to first floor</t>
  </si>
  <si>
    <t>RC wall buttress structure; size 700 x 1500 x 3500mm high; to first floor</t>
  </si>
  <si>
    <t>Jacket existing column; size 600 x 600 x 3050mm high; CJ01; 150mm thick; 4 sided; to first floor mezzanine</t>
  </si>
  <si>
    <t>Jacket existing column; size 1250 x 1250 x 3050mm high; CJ01; 150mm thick; 4 sided; to first floor mezzanine</t>
  </si>
  <si>
    <t>Jacket existing column; size 1250 x 1500 x 3050mm high; CJ01; 150mm thick; 4 sided; to first floor mezzanine</t>
  </si>
  <si>
    <t>Jacket existing column; size 1250 x 1250 x 2950mm high; CJ04; 200mm thick; 4 sided; to first floor mezzanine</t>
  </si>
  <si>
    <t>Jacket existing column; size 1250 x 1250 x 3050mm high; CJ07; 150mm thick; 3 sided; to first floor mezzanine</t>
  </si>
  <si>
    <t>Jacket existing column; size 1250 x 1585 x 3050mm high; CJ08; 200mm thick; 4 sided; to first floor mezzanine</t>
  </si>
  <si>
    <t>Jacket existing wall; 200mm thick; 1 sided; to first floor mezzanine</t>
  </si>
  <si>
    <t>Jacket existing wall; 200mm thick; 2 sided; to first floor mezzanine</t>
  </si>
  <si>
    <t>RC wall buttress structure; size 700 x 1300 x 3500mm high; to first floor mezzanine</t>
  </si>
  <si>
    <t>RC wall buttress structure; size 700 x 1500 x 3500mm high; to first floor mezzanine</t>
  </si>
  <si>
    <t>Jacket existing column; size 600 x 600 x 3200mm high; CJ01; 150mm thick; 3 sided; to second floor</t>
  </si>
  <si>
    <t>Jacket existing column; size 600 x 600 x 3200mm high; CJ01; 150mm thick; 4 sided; to second floor</t>
  </si>
  <si>
    <t>Jacket existing column; size 1250 x 1500 x 3500mm high; CJ01; 150mm thick; 4 sided; to second floor</t>
  </si>
  <si>
    <t>Jacket existing column; size 600 x 600 x 3200mm high; CJ02; 150mm thick; 4 sided; to second floor</t>
  </si>
  <si>
    <t>Jacket existing column; size 1100 x 1100 x 3500mm high; CJ02; 150mm thick; 4 sided; to second floor</t>
  </si>
  <si>
    <t>Jacket existing column; size 600 x 600 x 3200mm high; CJ03; 300mm thick; 2 sided; to second floor</t>
  </si>
  <si>
    <t>Jacket existing column; size 600 x 600 x 3200mm high; CJ04; 200mm thick; 4 sided; to second floor</t>
  </si>
  <si>
    <t>Jacket existing column; size 1100 x 1100 x 3500mm high; CJ07; 150mm thick; 2 sided; to second floor</t>
  </si>
  <si>
    <t>Jacket existing wall; 200mm thick; 1 sided; to second floor</t>
  </si>
  <si>
    <t>RC thickening below existing beam size 1250 x 900mm; BJ01; size 1250 x 400mm; to second floor</t>
  </si>
  <si>
    <t>RC thickening below existing beam size 1250 x 900mm; BJ02; size 1250 x 700mm; to second floor</t>
  </si>
  <si>
    <t>RC thickening below existing beam size 1250 x 1300mm; BJ03; size 1250 x 700mm; to second floor</t>
  </si>
  <si>
    <t>RC thickening below existing beam size 1250 x 900mm; BJ05; size 1250 x 800mm; to second floor</t>
  </si>
  <si>
    <t>RC wall buttress structure; size 700 x 1300 x 3500mm high; to second floor</t>
  </si>
  <si>
    <t>RC wall buttress structure; size 700 x 1500 x 3500mm high; to second floor</t>
  </si>
  <si>
    <t>Jacket existing column; size 600 x 600 x 3050mm high; CJ01; 150mm thick; 3 sided; to second floor mezzanine</t>
  </si>
  <si>
    <t>Jacket existing column; size 600 x 600 x 3050mm high; CJ01; 150mm thick; 4 sided; to second floor mezzanine</t>
  </si>
  <si>
    <t>Jacket existing column; size 1250 x 1500 x 3050mm high; CJ01; 150mm thick; 4 sided; to second floor mezzanine</t>
  </si>
  <si>
    <t>Jacket existing column; size 1100 x 1100 x 3050mm high; CJ02; 150mm thick; 2 sided; to second floor mezzanine</t>
  </si>
  <si>
    <t>Jacket existing column; size 600 x 600 x 3050mm high; CJ03; 300mm thick; 2 sided; to second floor mezzanine</t>
  </si>
  <si>
    <t>Jacket existing wall; 200mm thick; 1 sided; to second floor mezzanine</t>
  </si>
  <si>
    <t>RC wall buttress structure; size 700 x 1300 x 2750mm high; to second floor mezzanine</t>
  </si>
  <si>
    <t>RC wall buttress structure; size 700 x 1500 x 2750mm high; to second floor mezzanine</t>
  </si>
  <si>
    <t>Jacket existing column; size 1100 x 1100 x 3000mm high; CJ01; 150mm thick; 3 sided; to third floor</t>
  </si>
  <si>
    <t>Jacket existing column; size 1100 x 1100 x 3000mm high; CJ01; 150mm thick; 4 sided; to third floor</t>
  </si>
  <si>
    <t>Jacket existing column; size 1250 x 1500 x 3000mm high; CJ01; 150mm thick; 4 sided; to third floor</t>
  </si>
  <si>
    <t>Jacket existing column; size 1100 x 1100 x 3000mm high; CJ02; 150mm thick; 4 sided; to third floor</t>
  </si>
  <si>
    <t>Jacket existing column; size 1100 x 1100 x 3000mm high; CJ09; 150mm thick; 4 sided; to third floor</t>
  </si>
  <si>
    <t>Jacket existing wall; 200mm thick; 1 sided; to third floor</t>
  </si>
  <si>
    <t>Jacket existing wall; 200mm thick; 2 sided; to third floor</t>
  </si>
  <si>
    <t>Jacket existing column; size 600 x 600 x 3100mm high; CJ01; 150mm thick; 2 sided; to lower roof</t>
  </si>
  <si>
    <t>Jacket existing column; size 600 x 600 x 3100mm high; CJ01; 150mm thick; 4 sided; to lower roof</t>
  </si>
  <si>
    <t>Jacket existing column; size 600 x 600 x 3200mm high; CJ01; 150mm thick; 3 sided; to lower roof</t>
  </si>
  <si>
    <t>Jacket existing column; size 600 x 600 x 3200mm high; CJ01; 150mm thick; 4 sided; to lower roof</t>
  </si>
  <si>
    <t>Jacket existing column; size 1100 x 1100 x 3100mm high; CJ02; 150mm thick; 4 sided; to lower roof</t>
  </si>
  <si>
    <t>Jacket existing column; size 600 x 600 x 3100mm high; CJ04; 200mm thick; 4 sided; to lower roof</t>
  </si>
  <si>
    <t>Jacket existing column; size 600 x 600 x 3200mm high; CJ04; 200mm thick; 2 sided; to lower roof</t>
  </si>
  <si>
    <t>Jacket existing column; size 675 x 850 x 3200mm high; CJ05; 250mm thick; 2 sided; to lower roof</t>
  </si>
  <si>
    <t>Jacket existing column; size 600 x 600 x 3100mm high; CJ06; 150mm thick; 4 sided; to lower roof</t>
  </si>
  <si>
    <t>Jacket existing wall; 200mm thick; 1 sided; to lower roof</t>
  </si>
  <si>
    <t>Jacket existing column; size 500 x 500 x 6000mm high; CJ01; 150mm thick; 4 sided; to upper roof</t>
  </si>
  <si>
    <t>Jacket existing column; size 600 x 600 x 5900mm high; CJ01; 150mm thick; 4 sided; to upper roof</t>
  </si>
  <si>
    <t>Jacket existing column; size 600 x 600 x 5950mm high; CJ01; 150mm thick; 4 sided; to upper roof</t>
  </si>
  <si>
    <t>Jacket existing column; size 600 x 600 x 6300mm high; CJ01; 150mm thick; 3 sided; to upper roof</t>
  </si>
  <si>
    <t>Jacket existing column; size 600 x 600 x 6300mm high; CJ01; 150mm thick; 4 sided; to upper roof</t>
  </si>
  <si>
    <t>Jacket existing column; size 1100 x 1100 x 5950mm high; CJ01; 150mm thick; 3 sided; to upper roof</t>
  </si>
  <si>
    <t>Jacket existing column; size 600 x 600 x 5950mm high; CJ02; 150mm thick; 4 sided; to upper roof</t>
  </si>
  <si>
    <t>Jacket existing column; size 600 x 600 x 6000mm high; CJ02; 150mm thick; 4 sided; to upper roof</t>
  </si>
  <si>
    <t>Jacket existing column; size 1100 x 1100 x 5900mm high; CJ02; 150mm thick; 4 sided; to upper roof</t>
  </si>
  <si>
    <t>Jacket existing column; size 600 x 600 x 6300mm high; CJ04; 200mm thick; 2 sided; to upper roof</t>
  </si>
  <si>
    <t>Jacket existing column; size 600 x 600 x 5950mm high; CJ05; 250mm thick; 4 sided; to upper roof</t>
  </si>
  <si>
    <t>Jacket existing column; size 600 x 600 x 5900mm high; CJ06; 150mm thick; 4 sided; to upper roof</t>
  </si>
  <si>
    <t>Jacket existing wall; 200mm thick; 1 sided; to upper roof</t>
  </si>
  <si>
    <t>91.76</t>
  </si>
  <si>
    <t>56,067</t>
  </si>
  <si>
    <t>RC thickening works/ Other than BJ Types</t>
  </si>
  <si>
    <t>RC thickening works at Ground floor at G-01,G-03 to G-06</t>
  </si>
  <si>
    <t>RC Beams at Zone A (S-43206 &amp; S-43204) at first and second fllor</t>
  </si>
  <si>
    <t>Post Submission Meeting dated 29th August 2023</t>
  </si>
  <si>
    <t>Additional Stregthening Works: Edge preparation deemed required but not detailed on drawings</t>
  </si>
  <si>
    <t>Termination &amp; Edge preparation by means of drilling, fixing anchor rebars and grouting them with micro concreting etc., in line with the enclosed markup drawings</t>
  </si>
  <si>
    <t>Manual chipping for concrete using manual jackhammers and removal of concrete</t>
  </si>
  <si>
    <t>Additional Beams to be added as part of horizontal strengthening due to connection with new structure. Scope shall include for:
- Surface preparation for location of adding the new beams
- Drilling and epoxy anchoring for connections
- Installation of Dowel Bars &amp; steel rebars
- Shuttering and casting of beams using micro concrete
The mark up drawings attached cover all horizontal beams included in the strengthening scope</t>
  </si>
  <si>
    <t>REVISED STRENGTHENING WORKS</t>
  </si>
  <si>
    <t>Page 13/1/1</t>
  </si>
  <si>
    <t>Page 13/1/2</t>
  </si>
  <si>
    <t>Page 13/1/3</t>
  </si>
  <si>
    <t>Page 13/1/4</t>
  </si>
  <si>
    <t>Page 13/1/5</t>
  </si>
  <si>
    <t>Page 13/1/6</t>
  </si>
  <si>
    <t>Page 13/1/7</t>
  </si>
  <si>
    <t>Page 13/1/8</t>
  </si>
  <si>
    <t>Page 13/1/9</t>
  </si>
  <si>
    <t>Page 13/1/10</t>
  </si>
  <si>
    <t>Page 13/1/11</t>
  </si>
  <si>
    <t>Page 13/1/12</t>
  </si>
  <si>
    <t>Page 13/1/13</t>
  </si>
  <si>
    <t>Page 13/1/14</t>
  </si>
  <si>
    <t>Page 13/1/15</t>
  </si>
  <si>
    <t>Page 13/1/16</t>
  </si>
  <si>
    <t>ADDITIONAL STRENGTHENING WORKS (NOT DETAILED ON DRAWINGS)</t>
  </si>
  <si>
    <t>ASSOCIATED FINISHES</t>
  </si>
  <si>
    <t>Finishes to Additional Jacketed Columns</t>
  </si>
  <si>
    <t>Cement plaster; including surface preparation and all ancillary works as necessary</t>
  </si>
  <si>
    <t>Wall plaster; 15mm thick; to receive paint (Rate as per Bill Reference 3/J/2)</t>
  </si>
  <si>
    <t>Paint</t>
  </si>
  <si>
    <t>Paint Finishes to Jacketed Columns  (Rate as per Bill Reference 4/J/6 Item B)</t>
  </si>
  <si>
    <t>Finishes to Additional Jacketed Walls</t>
  </si>
  <si>
    <t>Finishes to Additional RC Beam Thickening / Jacketing</t>
  </si>
  <si>
    <t>Less Finishes associated w/ Strenghtening Works priced previously</t>
  </si>
  <si>
    <t>Adjustments</t>
  </si>
  <si>
    <t>13/1/1 - 13/1/16</t>
  </si>
  <si>
    <t>13/2/1</t>
  </si>
  <si>
    <t>13/3/1</t>
  </si>
  <si>
    <t>ACCESS SCAFFOLDING</t>
  </si>
  <si>
    <t>Access Scaffolding for add'l Strengthening Works</t>
  </si>
  <si>
    <t>item</t>
  </si>
  <si>
    <t>Less Scaffolding associated w/ Strenghtening Works priced previously</t>
  </si>
  <si>
    <t>ACCESS SCAFFOLDING TO STRENGTHENING WORKS</t>
  </si>
  <si>
    <t>13/4/1</t>
  </si>
  <si>
    <t>Scaffolding to Additional Jacketed Columns</t>
  </si>
  <si>
    <t>Dutco Construction Company LLC</t>
  </si>
  <si>
    <t>T061/22 - Al Khail Mall Redevelopment Works</t>
  </si>
  <si>
    <t/>
  </si>
  <si>
    <t>STRUCTURE STRENGTHENING WORKS - VERTICAL AND HORIZONTAL</t>
  </si>
  <si>
    <t>Scaffold Qty</t>
  </si>
  <si>
    <t>Duration</t>
  </si>
  <si>
    <t>for Installation / Unit</t>
  </si>
  <si>
    <t>for hire of materials/Day</t>
  </si>
  <si>
    <t>of Hire (Days)</t>
  </si>
  <si>
    <t>BILL NO. 2- DEMOLITIONS AND ALTERATIONS</t>
  </si>
  <si>
    <t>STRUCTURE STRENGTHENING WORKS</t>
  </si>
  <si>
    <t>RC Walls and Columns</t>
  </si>
  <si>
    <t>Strengthening works; including supports, fixings, accessories and all ancillary works as necessary Additional rebar; dowel connection to existing to new structure and Post fix hilti</t>
  </si>
  <si>
    <t>Basement 2</t>
  </si>
  <si>
    <t>Refer PTC 30 /Authority approved drawings-series 12100</t>
  </si>
  <si>
    <t xml:space="preserve">Section and Details Drawing Nr. S-61001 </t>
  </si>
  <si>
    <t>Jacket existing column; size 1250 x 1250 x 3050mm high; to basement 2 -refer S-43316</t>
  </si>
  <si>
    <t>A.01</t>
  </si>
  <si>
    <r>
      <t xml:space="preserve">CJ01-150mm thick </t>
    </r>
    <r>
      <rPr>
        <sz val="11"/>
        <color rgb="FFFF0000"/>
        <rFont val="Arial"/>
        <family val="2"/>
      </rPr>
      <t>(12 Nr)</t>
    </r>
  </si>
  <si>
    <t>A.02</t>
  </si>
  <si>
    <r>
      <t xml:space="preserve">CJ02-150mm thick </t>
    </r>
    <r>
      <rPr>
        <sz val="11"/>
        <color rgb="FFFF0000"/>
        <rFont val="Arial"/>
        <family val="2"/>
      </rPr>
      <t>(3 Nr)</t>
    </r>
  </si>
  <si>
    <t>A.03</t>
  </si>
  <si>
    <r>
      <t xml:space="preserve">CJ03-300mm thick </t>
    </r>
    <r>
      <rPr>
        <sz val="11"/>
        <color rgb="FFFF0000"/>
        <rFont val="Arial"/>
        <family val="2"/>
      </rPr>
      <t>(27 Nr)</t>
    </r>
  </si>
  <si>
    <t>A.04</t>
  </si>
  <si>
    <r>
      <t xml:space="preserve">CJ04-200mm thick </t>
    </r>
    <r>
      <rPr>
        <sz val="11"/>
        <color rgb="FFFF0000"/>
        <rFont val="Arial"/>
        <family val="2"/>
      </rPr>
      <t>(53 Nr)</t>
    </r>
  </si>
  <si>
    <t>A.05</t>
  </si>
  <si>
    <r>
      <t xml:space="preserve">CJ05-250mm thick </t>
    </r>
    <r>
      <rPr>
        <sz val="11"/>
        <color rgb="FFFF0000"/>
        <rFont val="Arial"/>
        <family val="2"/>
      </rPr>
      <t>(1 Nr)</t>
    </r>
  </si>
  <si>
    <t>A.06</t>
  </si>
  <si>
    <r>
      <t xml:space="preserve">CJ06-150mm thick </t>
    </r>
    <r>
      <rPr>
        <sz val="11"/>
        <color rgb="FFFF0000"/>
        <rFont val="Arial"/>
        <family val="2"/>
      </rPr>
      <t>(13 Nr)</t>
    </r>
  </si>
  <si>
    <t>A.07</t>
  </si>
  <si>
    <r>
      <t xml:space="preserve">CJ07-150mm thick </t>
    </r>
    <r>
      <rPr>
        <sz val="11"/>
        <color rgb="FFFF0000"/>
        <rFont val="Arial"/>
        <family val="2"/>
      </rPr>
      <t>(1 Nr)</t>
    </r>
  </si>
  <si>
    <t>A.08</t>
  </si>
  <si>
    <r>
      <t xml:space="preserve">CJ08-200mm thick </t>
    </r>
    <r>
      <rPr>
        <sz val="11"/>
        <color rgb="FFFF0000"/>
        <rFont val="Arial"/>
        <family val="2"/>
      </rPr>
      <t>(6 Nr)</t>
    </r>
  </si>
  <si>
    <t>Jacket existing column; size 1250 x 2000 x 3050mm high; to basement 2 -refer S-43316</t>
  </si>
  <si>
    <t>B.01</t>
  </si>
  <si>
    <r>
      <t xml:space="preserve">CJ01-150mm thick </t>
    </r>
    <r>
      <rPr>
        <sz val="11"/>
        <color rgb="FFFF0000"/>
        <rFont val="Arial"/>
        <family val="2"/>
      </rPr>
      <t>(1 Nr)</t>
    </r>
  </si>
  <si>
    <t>B.02</t>
  </si>
  <si>
    <r>
      <t xml:space="preserve">CJ02-150mm thick </t>
    </r>
    <r>
      <rPr>
        <sz val="11"/>
        <color rgb="FFFF0000"/>
        <rFont val="Arial"/>
        <family val="2"/>
      </rPr>
      <t>(2 Nr)</t>
    </r>
  </si>
  <si>
    <t>B.03</t>
  </si>
  <si>
    <r>
      <t xml:space="preserve">CJ03-300mm thick </t>
    </r>
    <r>
      <rPr>
        <sz val="11"/>
        <color rgb="FFFF0000"/>
        <rFont val="Arial"/>
        <family val="2"/>
      </rPr>
      <t>(2 Nr)</t>
    </r>
  </si>
  <si>
    <t>B.04</t>
  </si>
  <si>
    <r>
      <t xml:space="preserve">CJ04-200mm thick </t>
    </r>
    <r>
      <rPr>
        <sz val="11"/>
        <color rgb="FFFF0000"/>
        <rFont val="Arial"/>
        <family val="2"/>
      </rPr>
      <t>(1 Nr)</t>
    </r>
  </si>
  <si>
    <t>B.05</t>
  </si>
  <si>
    <r>
      <t xml:space="preserve">CJ05-250mm thick </t>
    </r>
    <r>
      <rPr>
        <sz val="11"/>
        <color rgb="FFFF0000"/>
        <rFont val="Arial"/>
        <family val="2"/>
      </rPr>
      <t>(2 Nr)</t>
    </r>
  </si>
  <si>
    <t>B.06</t>
  </si>
  <si>
    <r>
      <t xml:space="preserve">CJ08-200mm thick </t>
    </r>
    <r>
      <rPr>
        <sz val="11"/>
        <color rgb="FFFF0000"/>
        <rFont val="Arial"/>
        <family val="2"/>
      </rPr>
      <t>(2 Nr)</t>
    </r>
  </si>
  <si>
    <t>B.07</t>
  </si>
  <si>
    <r>
      <t xml:space="preserve">CJ11-250mm thick </t>
    </r>
    <r>
      <rPr>
        <sz val="11"/>
        <color rgb="FFFF0000"/>
        <rFont val="Arial"/>
        <family val="2"/>
      </rPr>
      <t>(1 Nr)</t>
    </r>
  </si>
  <si>
    <t>Jacket existing column; size 1250 x 1500 x 3050mm high; to basement 2 -refer S-43316</t>
  </si>
  <si>
    <t>C.01</t>
  </si>
  <si>
    <t>C.02</t>
  </si>
  <si>
    <t>C.03</t>
  </si>
  <si>
    <t>Jacket existing column; size 500 x 1250 x 3050mm high; to basement 2 -refer S-43316</t>
  </si>
  <si>
    <r>
      <t xml:space="preserve">CJ06-150mm thick </t>
    </r>
    <r>
      <rPr>
        <sz val="11"/>
        <color rgb="FFFF0000"/>
        <rFont val="Arial"/>
        <family val="2"/>
      </rPr>
      <t>(1 Nr)</t>
    </r>
  </si>
  <si>
    <t>Jacket existing column; size 600 x 600 x 3050mm high; to basement 2 -refer S-43316</t>
  </si>
  <si>
    <t>RC wall buttress structure; size 700 x 1500 x 2750mm high; to basement 2 -refer S-43316</t>
  </si>
  <si>
    <r>
      <t xml:space="preserve">PUL-W01 </t>
    </r>
    <r>
      <rPr>
        <sz val="11"/>
        <color rgb="FFFF0000"/>
        <rFont val="Arial"/>
        <family val="2"/>
      </rPr>
      <t>(3 Nr)</t>
    </r>
  </si>
  <si>
    <t>Wall Jacketing- 3.050m high</t>
  </si>
  <si>
    <t>D.01</t>
  </si>
  <si>
    <r>
      <t xml:space="preserve">200mm thk wall jacketing </t>
    </r>
    <r>
      <rPr>
        <sz val="11"/>
        <color rgb="FFFF0000"/>
        <rFont val="Arial"/>
        <family val="2"/>
      </rPr>
      <t>(105 M)</t>
    </r>
  </si>
  <si>
    <t>D.02</t>
  </si>
  <si>
    <r>
      <t xml:space="preserve">CJ10-300mm thick </t>
    </r>
    <r>
      <rPr>
        <sz val="11"/>
        <color rgb="FFFF0000"/>
        <rFont val="Arial"/>
        <family val="2"/>
      </rPr>
      <t>(59 M)</t>
    </r>
  </si>
  <si>
    <t>D.03</t>
  </si>
  <si>
    <r>
      <t xml:space="preserve">CJ01-150mm thick </t>
    </r>
    <r>
      <rPr>
        <sz val="11"/>
        <color rgb="FFFF0000"/>
        <rFont val="Arial"/>
        <family val="2"/>
      </rPr>
      <t>(8 M)</t>
    </r>
  </si>
  <si>
    <t>D.04</t>
  </si>
  <si>
    <r>
      <t xml:space="preserve">CJ08-200mm thick </t>
    </r>
    <r>
      <rPr>
        <sz val="11"/>
        <color rgb="FFFF0000"/>
        <rFont val="Arial"/>
        <family val="2"/>
      </rPr>
      <t>(6 M)</t>
    </r>
  </si>
  <si>
    <t>STRUCTURE STRENGTHENING WORKS (Cont'd)</t>
  </si>
  <si>
    <t>Basement 1</t>
  </si>
  <si>
    <t>Jacket existing column; size 1250 x 1250 x 3250mm high; to basement 1</t>
  </si>
  <si>
    <r>
      <t xml:space="preserve">CJ01-150mm thick </t>
    </r>
    <r>
      <rPr>
        <sz val="11"/>
        <color rgb="FFFF0000"/>
        <rFont val="Arial"/>
        <family val="2"/>
      </rPr>
      <t>(2 Nr)</t>
    </r>
  </si>
  <si>
    <r>
      <t xml:space="preserve">CJ03-300mm thick </t>
    </r>
    <r>
      <rPr>
        <sz val="11"/>
        <color rgb="FFFF0000"/>
        <rFont val="Arial"/>
        <family val="2"/>
      </rPr>
      <t>(1 Nr)</t>
    </r>
  </si>
  <si>
    <t>Jacket existing column; size 1250 x 2000 x 3250mm high; to basement 1 -refer S-43316</t>
  </si>
  <si>
    <t>RC wall buttress structure; size 700 x 1500 x 3270mm high; to basement 2 -refer S-43316</t>
  </si>
  <si>
    <t>Wall Jacketing- 3.250m high</t>
  </si>
  <si>
    <r>
      <t xml:space="preserve">CJ10-300mm thick </t>
    </r>
    <r>
      <rPr>
        <sz val="11"/>
        <color rgb="FFFF0000"/>
        <rFont val="Arial"/>
        <family val="2"/>
      </rPr>
      <t>(62 M)</t>
    </r>
  </si>
  <si>
    <t>Ground floor</t>
  </si>
  <si>
    <t>Jacket existing column; size 1250 x 1250 x 3700mm high; to ground floor</t>
  </si>
  <si>
    <r>
      <t xml:space="preserve">CJ01-150mm thick </t>
    </r>
    <r>
      <rPr>
        <sz val="11"/>
        <color rgb="FFFF0000"/>
        <rFont val="Arial"/>
        <family val="2"/>
      </rPr>
      <t>(3 Nr)</t>
    </r>
  </si>
  <si>
    <r>
      <t xml:space="preserve">CJ02-150mm thick </t>
    </r>
    <r>
      <rPr>
        <sz val="11"/>
        <color rgb="FFFF0000"/>
        <rFont val="Arial"/>
        <family val="2"/>
      </rPr>
      <t>(1 Nr)</t>
    </r>
  </si>
  <si>
    <r>
      <t xml:space="preserve">CJ04-200mm thick </t>
    </r>
    <r>
      <rPr>
        <sz val="11"/>
        <color rgb="FFFF0000"/>
        <rFont val="Arial"/>
        <family val="2"/>
      </rPr>
      <t>(2 Nr)</t>
    </r>
  </si>
  <si>
    <r>
      <t xml:space="preserve">CJ08-200mm thick </t>
    </r>
    <r>
      <rPr>
        <sz val="11"/>
        <color rgb="FFFF0000"/>
        <rFont val="Arial"/>
        <family val="2"/>
      </rPr>
      <t>(1 Nr)</t>
    </r>
  </si>
  <si>
    <t>Jacket existing column; size 1250 x 1500 x 3700mm high; to ground floor</t>
  </si>
  <si>
    <t>Jacket existing column; size 600 x 600 x 3700mm high; to ground floor</t>
  </si>
  <si>
    <r>
      <t xml:space="preserve">CJ01-150mm thick </t>
    </r>
    <r>
      <rPr>
        <sz val="11"/>
        <color rgb="FFFF0000"/>
        <rFont val="Arial"/>
        <family val="2"/>
      </rPr>
      <t>(5 Nr)</t>
    </r>
  </si>
  <si>
    <t>Wall Jacketing- 3.70m high</t>
  </si>
  <si>
    <t>RC wall buttress structure; size 700 x 1500 x 21550mm high; to Ground to third floor-refer S-43316</t>
  </si>
  <si>
    <t>E.01</t>
  </si>
  <si>
    <t>Ground floor mezzanine</t>
  </si>
  <si>
    <t>Wall Jacketing- 3.55m high</t>
  </si>
  <si>
    <t>G.01</t>
  </si>
  <si>
    <t>Jacket existing column; size 1250 x 1250 x 3550mm high; to ground floor</t>
  </si>
  <si>
    <t>H.01</t>
  </si>
  <si>
    <t>H.02</t>
  </si>
  <si>
    <t>H.03</t>
  </si>
  <si>
    <t>H.04</t>
  </si>
  <si>
    <t>H.05</t>
  </si>
  <si>
    <t>Jacket existing column; size 1500 x 1250 x 3550mm high; to ground floor</t>
  </si>
  <si>
    <t>J.01</t>
  </si>
  <si>
    <t>Jacket existing column; size 600 x 600 x 3550mm high; to ground floor</t>
  </si>
  <si>
    <t>K.01</t>
  </si>
  <si>
    <r>
      <t xml:space="preserve">CJ01-150mm thick </t>
    </r>
    <r>
      <rPr>
        <sz val="11"/>
        <color rgb="FFFF0000"/>
        <rFont val="Arial"/>
        <family val="2"/>
      </rPr>
      <t>(6 Nr)</t>
    </r>
  </si>
  <si>
    <t>First floor</t>
  </si>
  <si>
    <t>Jacket existing column; size 1250 x 1250 x 3500mm high; to first floor</t>
  </si>
  <si>
    <t>Jacket existing column; size 1500 x 1250 x 3500mm high; to first floor</t>
  </si>
  <si>
    <t>Jacket existing column; size 600 x 600 x 3500mm high; to first floor</t>
  </si>
  <si>
    <r>
      <t xml:space="preserve">CJ01-150mm thick </t>
    </r>
    <r>
      <rPr>
        <sz val="11"/>
        <color rgb="FFFF0000"/>
        <rFont val="Arial"/>
        <family val="2"/>
      </rPr>
      <t>(4 Nr)</t>
    </r>
  </si>
  <si>
    <t>C.04</t>
  </si>
  <si>
    <t>Jacket existing column; size 900 x 900 x 3500mm high; to first floor</t>
  </si>
  <si>
    <r>
      <t xml:space="preserve">CJ01-150mm thick </t>
    </r>
    <r>
      <rPr>
        <sz val="11"/>
        <color rgb="FFFF0000"/>
        <rFont val="Arial"/>
        <family val="2"/>
      </rPr>
      <t>(7 Nr)</t>
    </r>
  </si>
  <si>
    <t>Wall Jacketing- 3.50m high</t>
  </si>
  <si>
    <r>
      <t xml:space="preserve">200mm thk wall jacketing </t>
    </r>
    <r>
      <rPr>
        <sz val="11"/>
        <color rgb="FFFF0000"/>
        <rFont val="Arial"/>
        <family val="2"/>
      </rPr>
      <t>(76 M)</t>
    </r>
  </si>
  <si>
    <t>E.02</t>
  </si>
  <si>
    <r>
      <t xml:space="preserve">CJ08-200mm thick </t>
    </r>
    <r>
      <rPr>
        <sz val="11"/>
        <color rgb="FFFF0000"/>
        <rFont val="Arial"/>
        <family val="2"/>
      </rPr>
      <t>(9 M)</t>
    </r>
  </si>
  <si>
    <t>First floor mezzanine</t>
  </si>
  <si>
    <t>Jacket existing column; size 1250 x 1250 x 2750mm high; to first floor mezzanine</t>
  </si>
  <si>
    <t>G.02</t>
  </si>
  <si>
    <t>G.03</t>
  </si>
  <si>
    <t>G.04</t>
  </si>
  <si>
    <t>Jacket existing column; size 1500 x 1250 x 2750mm high; to first floor mezzanine</t>
  </si>
  <si>
    <t>Jacket existing column; size 600 x 600 x 2750mm high; to first floor mezzanine</t>
  </si>
  <si>
    <r>
      <t xml:space="preserve">200mm thk wall jacketing </t>
    </r>
    <r>
      <rPr>
        <sz val="11"/>
        <color rgb="FFFF0000"/>
        <rFont val="Arial"/>
        <family val="2"/>
      </rPr>
      <t>(48 M)</t>
    </r>
  </si>
  <si>
    <t>K.02</t>
  </si>
  <si>
    <r>
      <t xml:space="preserve">CJ08-200mm thick </t>
    </r>
    <r>
      <rPr>
        <sz val="11"/>
        <color rgb="FFFF0000"/>
        <rFont val="Arial"/>
        <family val="2"/>
      </rPr>
      <t>(8 M)</t>
    </r>
  </si>
  <si>
    <t>Second floor</t>
  </si>
  <si>
    <t>Jacket existing column; size 1250 x 1250 x 3500mm high; to second floor</t>
  </si>
  <si>
    <r>
      <t xml:space="preserve">CJ09-150mm thick </t>
    </r>
    <r>
      <rPr>
        <sz val="11"/>
        <color rgb="FFFF0000"/>
        <rFont val="Arial"/>
        <family val="2"/>
      </rPr>
      <t>(4 Nr)</t>
    </r>
  </si>
  <si>
    <t>Jacket existing column; size 1500 x 1250 x 3500mm high; to second floor</t>
  </si>
  <si>
    <t>Jacket existing column; size 600 x 600 x 3500mm high; to second floor</t>
  </si>
  <si>
    <r>
      <t xml:space="preserve">200mm thk wall jacketing </t>
    </r>
    <r>
      <rPr>
        <sz val="11"/>
        <color rgb="FFFF0000"/>
        <rFont val="Arial"/>
        <family val="2"/>
      </rPr>
      <t>(18 M)</t>
    </r>
  </si>
  <si>
    <r>
      <t xml:space="preserve">CJ01-150mm thick </t>
    </r>
    <r>
      <rPr>
        <sz val="11"/>
        <color rgb="FFFF0000"/>
        <rFont val="Arial"/>
        <family val="2"/>
      </rPr>
      <t>(5 M)</t>
    </r>
  </si>
  <si>
    <r>
      <t xml:space="preserve">CJ08-200mm thick </t>
    </r>
    <r>
      <rPr>
        <sz val="11"/>
        <color rgb="FFFF0000"/>
        <rFont val="Arial"/>
        <family val="2"/>
      </rPr>
      <t>(12 M)</t>
    </r>
  </si>
  <si>
    <t>Second floor mezzanine</t>
  </si>
  <si>
    <t>Jacket existing column; size 1250 x 1250 x 2700mm high; to second floor mezzanine</t>
  </si>
  <si>
    <t>F.01</t>
  </si>
  <si>
    <t>F.02</t>
  </si>
  <si>
    <t>Jacket existing column; size 1250 x 1500 x 2700mm high; to second floor mezzanine</t>
  </si>
  <si>
    <t>Jacket existing column; size 600 x 600 x 2700mm high; to second floor mezzanine</t>
  </si>
  <si>
    <t>Wall Jacketing- 2.70m high</t>
  </si>
  <si>
    <r>
      <t xml:space="preserve">200mm thk wall jacketing </t>
    </r>
    <r>
      <rPr>
        <sz val="11"/>
        <color rgb="FFFF0000"/>
        <rFont val="Arial"/>
        <family val="2"/>
      </rPr>
      <t>(5 M)</t>
    </r>
  </si>
  <si>
    <t>J.02</t>
  </si>
  <si>
    <t>J.03</t>
  </si>
  <si>
    <r>
      <t xml:space="preserve">CJ08-200mm thick </t>
    </r>
    <r>
      <rPr>
        <sz val="11"/>
        <color rgb="FFFF0000"/>
        <rFont val="Arial"/>
        <family val="2"/>
      </rPr>
      <t>(15 M)</t>
    </r>
  </si>
  <si>
    <t>Third floor</t>
  </si>
  <si>
    <t>Jacket existing column; size 1250 x 1250 x 2650mm high; to third floor</t>
  </si>
  <si>
    <r>
      <t xml:space="preserve">CJ09-150mm thick </t>
    </r>
    <r>
      <rPr>
        <sz val="11"/>
        <color rgb="FFFF0000"/>
        <rFont val="Arial"/>
        <family val="2"/>
      </rPr>
      <t>(1 Nr)</t>
    </r>
  </si>
  <si>
    <t>Jacket existing column; size 1500 x 1250 x 2650mm high; to third floor</t>
  </si>
  <si>
    <r>
      <t xml:space="preserve">200mm thk wall jacketing </t>
    </r>
    <r>
      <rPr>
        <sz val="11"/>
        <color rgb="FFFF0000"/>
        <rFont val="Arial"/>
        <family val="2"/>
      </rPr>
      <t>(78 M)</t>
    </r>
  </si>
  <si>
    <r>
      <t xml:space="preserve">CJ01-150mm thick </t>
    </r>
    <r>
      <rPr>
        <sz val="11"/>
        <color rgb="FFFF0000"/>
        <rFont val="Arial"/>
        <family val="2"/>
      </rPr>
      <t>(4 M)</t>
    </r>
  </si>
  <si>
    <t>Lower Roof</t>
  </si>
  <si>
    <t>Jacket existing column; size 1250 x 1250 x 3000mm high; to lower roof floor</t>
  </si>
  <si>
    <t>Jacket existing column; size 600 x 600 x 3000mm high; to lower roof floor</t>
  </si>
  <si>
    <r>
      <t xml:space="preserve">CJ01-150mm thick </t>
    </r>
    <r>
      <rPr>
        <sz val="11"/>
        <color rgb="FFFF0000"/>
        <rFont val="Arial"/>
        <family val="2"/>
      </rPr>
      <t>(9 Nr)</t>
    </r>
  </si>
  <si>
    <r>
      <t xml:space="preserve">CJ04-200mm thick </t>
    </r>
    <r>
      <rPr>
        <sz val="11"/>
        <color rgb="FFFF0000"/>
        <rFont val="Arial"/>
        <family val="2"/>
      </rPr>
      <t>(3 Nr)</t>
    </r>
  </si>
  <si>
    <t>F.03</t>
  </si>
  <si>
    <t>F.04</t>
  </si>
  <si>
    <r>
      <t xml:space="preserve">200mm thk wall jacketing </t>
    </r>
    <r>
      <rPr>
        <sz val="11"/>
        <color rgb="FFFF0000"/>
        <rFont val="Arial"/>
        <family val="2"/>
      </rPr>
      <t>(60 M)</t>
    </r>
  </si>
  <si>
    <r>
      <t xml:space="preserve">CJ01-150mm thick </t>
    </r>
    <r>
      <rPr>
        <sz val="11"/>
        <color rgb="FFFF0000"/>
        <rFont val="Arial"/>
        <family val="2"/>
      </rPr>
      <t>(15 M)</t>
    </r>
  </si>
  <si>
    <t>Jacket existing column; size 1250 x 1250 x 4650mm high; to upper roof floor</t>
  </si>
  <si>
    <t>Jacket existing column; size 600 x 600 x  4650mm high; to upper roof floor</t>
  </si>
  <si>
    <r>
      <t xml:space="preserve">CJ01-150mm thick </t>
    </r>
    <r>
      <rPr>
        <sz val="11"/>
        <color rgb="FFFF0000"/>
        <rFont val="Arial"/>
        <family val="2"/>
      </rPr>
      <t>(11 Nr)</t>
    </r>
  </si>
  <si>
    <r>
      <t xml:space="preserve">CJ02-150mm thick </t>
    </r>
    <r>
      <rPr>
        <sz val="11"/>
        <color rgb="FFFF0000"/>
        <rFont val="Arial"/>
        <family val="2"/>
      </rPr>
      <t>(6 Nr)</t>
    </r>
  </si>
  <si>
    <t>J.04</t>
  </si>
  <si>
    <t>Page V/1 - Basement 2 Part 1</t>
  </si>
  <si>
    <t>Page V/2 - Basement 2 Part 2</t>
  </si>
  <si>
    <t>Page V/3 - Basement 1</t>
  </si>
  <si>
    <t>Page V/4 - Ground Floor + GF Mezzanine</t>
  </si>
  <si>
    <t>Page V/5 - First Floor + 1F Mezzanine</t>
  </si>
  <si>
    <t>Page V/6 - Second Floor + 2F Mezzanine</t>
  </si>
  <si>
    <t>Page V/7 - Third Floor + Lower Roof (Parking Levels)</t>
  </si>
  <si>
    <t>RC Beam Thickening/Jacketing</t>
  </si>
  <si>
    <t>RC thickening work various thickeness -Reinforced concrete; compressive strength 60 MPa with cement type CEM I+GGBS + including steel fixing and dowel bars (BJ+Beam thickening)</t>
  </si>
  <si>
    <t>RC Beams - various sizes at G-01 (Ref. S-43126)</t>
  </si>
  <si>
    <t>RC Beams - various sizes at G-03 (Ref. S-43126)</t>
  </si>
  <si>
    <t>RC Beams - various sizes at G-04 (Ref. S-43127)</t>
  </si>
  <si>
    <t>RC Beams - various sizes at G-05 (Ref. S-43128)</t>
  </si>
  <si>
    <t>RC Beams - various sizes at G-06 (Ref. S-43129)</t>
  </si>
  <si>
    <t>First &amp; Second Floor</t>
  </si>
  <si>
    <t>RC Beams at Zone A (S-43206 &amp; S-43204)</t>
  </si>
  <si>
    <t>Beam Jacketing First and Second Floor - Zone 1&amp;3</t>
  </si>
  <si>
    <t>Drawing Reference: S -12141, S -12143, S -12151, S -12153</t>
  </si>
  <si>
    <t>BJ-01</t>
  </si>
  <si>
    <t>BJ-03</t>
  </si>
  <si>
    <t>BJ-04</t>
  </si>
  <si>
    <t>BJ-05</t>
  </si>
  <si>
    <t>BJ-06</t>
  </si>
  <si>
    <t>STRUCTURE STRENGTHENING WORKS - VERTICAL AND HORIZONTAL SUMMARY</t>
  </si>
  <si>
    <t>Page Ref.</t>
  </si>
  <si>
    <t>SCAFFOLDING TO COLUMNS / WALLS (JACKETING)</t>
  </si>
  <si>
    <t>SCAFFOLDING TO RC BEAM / THICKENING (JACKETING)</t>
  </si>
  <si>
    <t>ADJUSTMENT TO SCAFFOLDING - AGREED W/ OMNIUM</t>
  </si>
  <si>
    <t>Carried To Main Summary</t>
  </si>
  <si>
    <t>Jacket existing column &amp; RC Wall Buttress Structures</t>
  </si>
  <si>
    <t>m2</t>
  </si>
  <si>
    <t>To various sizes at different locations</t>
  </si>
  <si>
    <t>Rate for hire of scaffold materials</t>
  </si>
  <si>
    <t>m³-day</t>
  </si>
  <si>
    <t>RATE ONLY</t>
  </si>
  <si>
    <t>Erection / Dismantling of scaffold</t>
  </si>
  <si>
    <t>The above amounts are based on the below schedule of rates</t>
  </si>
  <si>
    <t>TOTAL FOR BILL NO. 13 - STRENGHTENING WORKS GMP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</si>
</sst>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#,##0.00&quot; /Day/M3&quot;"/>
    <numFmt numFmtId="167" formatCode="_(* #,##0_);_(* \(#,##0\);_(* &quot;-&quot;??_);_(@_)"/>
    <numFmt numFmtId="168" formatCode="#,##0.00;[Red]\(#,##0.00\)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indexed="8"/>
      <name val="Arial"/>
      <family val="2"/>
    </font>
    <font>
      <u/>
      <sz val="11"/>
      <color indexed="8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sz val="10"/>
      <color theme="0"/>
      <name val="Arial"/>
      <family val="2"/>
    </font>
    <font>
      <b/>
      <sz val="9"/>
      <color theme="0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u/>
      <sz val="11"/>
      <color rgb="FF000000"/>
      <name val="Arial"/>
      <family val="2"/>
    </font>
    <font>
      <sz val="11"/>
      <color rgb="FF000000"/>
      <name val="Arial"/>
      <family val="2"/>
    </font>
    <font>
      <u/>
      <sz val="11"/>
      <color theme="1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1"/>
      <color rgb="FF000000"/>
      <name val="Arial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Impact"/>
      <family val="2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</borders>
  <cellStyleXfs count="24">
    <xf numFmtId="0" fontId="0" fillId="0" borderId="0"/>
    <xf numFmtId="0" fontId="7" fillId="0" borderId="0"/>
    <xf numFmtId="164" fontId="4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3" fillId="0" borderId="0"/>
    <xf numFmtId="0" fontId="4" fillId="0" borderId="0"/>
    <xf numFmtId="43" fontId="3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7" fillId="2" borderId="0">
      <alignment horizontal="center" vertical="center"/>
    </xf>
    <xf numFmtId="0" fontId="17" fillId="2" borderId="0">
      <alignment horizontal="left" vertical="center"/>
    </xf>
    <xf numFmtId="0" fontId="18" fillId="2" borderId="0">
      <alignment horizontal="center" vertical="top"/>
    </xf>
    <xf numFmtId="0" fontId="18" fillId="2" borderId="0">
      <alignment horizontal="left" vertical="top"/>
    </xf>
    <xf numFmtId="0" fontId="18" fillId="2" borderId="0">
      <alignment horizontal="center"/>
    </xf>
    <xf numFmtId="0" fontId="17" fillId="2" borderId="0">
      <alignment horizontal="left" vertical="top"/>
    </xf>
    <xf numFmtId="0" fontId="18" fillId="2" borderId="0">
      <alignment horizontal="center" vertical="top"/>
    </xf>
    <xf numFmtId="43" fontId="2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35" fillId="0" borderId="0"/>
  </cellStyleXfs>
  <cellXfs count="308">
    <xf numFmtId="0" fontId="0" fillId="0" borderId="0" xfId="0"/>
    <xf numFmtId="0" fontId="10" fillId="0" borderId="0" xfId="4" applyFont="1" applyAlignment="1">
      <alignment vertical="top"/>
    </xf>
    <xf numFmtId="0" fontId="3" fillId="0" borderId="0" xfId="4"/>
    <xf numFmtId="0" fontId="10" fillId="0" borderId="0" xfId="4" applyFont="1" applyAlignment="1">
      <alignment horizontal="center" vertical="top"/>
    </xf>
    <xf numFmtId="0" fontId="10" fillId="0" borderId="0" xfId="4" applyFont="1" applyAlignment="1">
      <alignment vertical="top" wrapText="1"/>
    </xf>
    <xf numFmtId="4" fontId="10" fillId="0" borderId="0" xfId="4" applyNumberFormat="1" applyFont="1"/>
    <xf numFmtId="0" fontId="10" fillId="0" borderId="0" xfId="4" applyFont="1" applyAlignment="1">
      <alignment horizontal="center" vertical="top" wrapText="1"/>
    </xf>
    <xf numFmtId="0" fontId="9" fillId="0" borderId="0" xfId="4" applyFont="1" applyAlignment="1">
      <alignment horizontal="center" vertical="top"/>
    </xf>
    <xf numFmtId="0" fontId="9" fillId="0" borderId="0" xfId="4" applyFont="1" applyAlignment="1">
      <alignment vertical="top" wrapText="1"/>
    </xf>
    <xf numFmtId="3" fontId="9" fillId="0" borderId="0" xfId="4" applyNumberFormat="1" applyFont="1" applyAlignment="1">
      <alignment horizontal="right"/>
    </xf>
    <xf numFmtId="3" fontId="9" fillId="0" borderId="0" xfId="4" applyNumberFormat="1" applyFont="1" applyAlignment="1">
      <alignment horizontal="center"/>
    </xf>
    <xf numFmtId="4" fontId="9" fillId="0" borderId="0" xfId="4" applyNumberFormat="1" applyFont="1" applyAlignment="1">
      <alignment horizontal="right"/>
    </xf>
    <xf numFmtId="0" fontId="11" fillId="0" borderId="10" xfId="5" applyFont="1" applyBorder="1" applyAlignment="1" applyProtection="1">
      <alignment horizontal="center" vertical="center" wrapText="1"/>
      <protection locked="0"/>
    </xf>
    <xf numFmtId="0" fontId="11" fillId="0" borderId="0" xfId="5" applyFont="1" applyProtection="1">
      <protection locked="0"/>
    </xf>
    <xf numFmtId="0" fontId="11" fillId="0" borderId="0" xfId="5" applyFont="1" applyAlignment="1" applyProtection="1">
      <alignment vertical="center" wrapText="1"/>
      <protection locked="0"/>
    </xf>
    <xf numFmtId="43" fontId="12" fillId="0" borderId="4" xfId="6" applyFont="1" applyFill="1" applyBorder="1" applyAlignment="1" applyProtection="1">
      <alignment horizontal="center" vertical="top" wrapText="1"/>
      <protection locked="0"/>
    </xf>
    <xf numFmtId="0" fontId="11" fillId="0" borderId="0" xfId="5" applyFont="1" applyAlignment="1" applyProtection="1">
      <alignment horizontal="center" vertical="top" wrapText="1"/>
      <protection locked="0"/>
    </xf>
    <xf numFmtId="0" fontId="5" fillId="0" borderId="0" xfId="5" applyFont="1" applyAlignment="1" applyProtection="1">
      <alignment wrapText="1"/>
      <protection locked="0"/>
    </xf>
    <xf numFmtId="43" fontId="12" fillId="0" borderId="1" xfId="6" applyFont="1" applyFill="1" applyBorder="1" applyAlignment="1" applyProtection="1">
      <alignment horizontal="center" vertical="top" wrapText="1"/>
      <protection locked="0"/>
    </xf>
    <xf numFmtId="43" fontId="11" fillId="0" borderId="1" xfId="6" applyFont="1" applyFill="1" applyBorder="1" applyAlignment="1" applyProtection="1">
      <alignment horizontal="center" vertical="top" wrapText="1"/>
      <protection locked="0"/>
    </xf>
    <xf numFmtId="43" fontId="5" fillId="0" borderId="1" xfId="6" applyFont="1" applyFill="1" applyBorder="1" applyAlignment="1" applyProtection="1">
      <alignment horizontal="center" vertical="top" wrapText="1"/>
      <protection locked="0"/>
    </xf>
    <xf numFmtId="0" fontId="5" fillId="0" borderId="0" xfId="5" applyFont="1" applyAlignment="1" applyProtection="1">
      <alignment horizontal="center" vertical="top" wrapText="1"/>
      <protection locked="0"/>
    </xf>
    <xf numFmtId="0" fontId="5" fillId="0" borderId="0" xfId="5" applyFont="1" applyProtection="1">
      <protection locked="0"/>
    </xf>
    <xf numFmtId="43" fontId="5" fillId="0" borderId="7" xfId="6" applyFont="1" applyFill="1" applyBorder="1" applyAlignment="1" applyProtection="1">
      <alignment horizontal="center" wrapText="1"/>
      <protection locked="0"/>
    </xf>
    <xf numFmtId="43" fontId="5" fillId="0" borderId="1" xfId="6" applyFont="1" applyFill="1" applyBorder="1" applyAlignment="1" applyProtection="1">
      <alignment horizontal="center" wrapText="1"/>
      <protection locked="0"/>
    </xf>
    <xf numFmtId="49" fontId="11" fillId="0" borderId="0" xfId="5" applyNumberFormat="1" applyFont="1" applyAlignment="1" applyProtection="1">
      <alignment horizontal="center" wrapText="1"/>
      <protection locked="0"/>
    </xf>
    <xf numFmtId="0" fontId="11" fillId="0" borderId="0" xfId="5" applyFont="1" applyAlignment="1" applyProtection="1">
      <alignment horizontal="left" vertical="top" wrapText="1"/>
      <protection locked="0"/>
    </xf>
    <xf numFmtId="0" fontId="13" fillId="0" borderId="0" xfId="7" applyFont="1" applyAlignment="1" applyProtection="1">
      <alignment vertical="center"/>
      <protection locked="0"/>
    </xf>
    <xf numFmtId="0" fontId="14" fillId="0" borderId="0" xfId="7" applyFont="1" applyAlignment="1" applyProtection="1">
      <alignment horizontal="left" vertical="top" wrapText="1"/>
      <protection locked="0"/>
    </xf>
    <xf numFmtId="1" fontId="4" fillId="0" borderId="0" xfId="5" applyNumberFormat="1" applyAlignment="1" applyProtection="1">
      <alignment horizontal="center" vertical="top"/>
      <protection locked="0"/>
    </xf>
    <xf numFmtId="43" fontId="4" fillId="0" borderId="0" xfId="6" applyFont="1" applyFill="1" applyAlignment="1" applyProtection="1">
      <alignment vertical="top"/>
      <protection locked="0"/>
    </xf>
    <xf numFmtId="0" fontId="4" fillId="0" borderId="0" xfId="5" applyAlignment="1" applyProtection="1">
      <alignment vertical="top"/>
      <protection locked="0"/>
    </xf>
    <xf numFmtId="0" fontId="15" fillId="0" borderId="0" xfId="7" applyFont="1" applyAlignment="1" applyProtection="1">
      <alignment horizontal="left" vertical="top"/>
      <protection locked="0"/>
    </xf>
    <xf numFmtId="0" fontId="15" fillId="0" borderId="0" xfId="7" applyFont="1" applyAlignment="1" applyProtection="1">
      <alignment vertical="top" wrapText="1"/>
      <protection locked="0"/>
    </xf>
    <xf numFmtId="2" fontId="15" fillId="0" borderId="0" xfId="7" applyNumberFormat="1" applyFont="1" applyAlignment="1" applyProtection="1">
      <alignment horizontal="left" vertical="top"/>
      <protection locked="0"/>
    </xf>
    <xf numFmtId="49" fontId="5" fillId="0" borderId="0" xfId="5" applyNumberFormat="1" applyFont="1" applyAlignment="1" applyProtection="1">
      <alignment horizontal="center"/>
      <protection locked="0"/>
    </xf>
    <xf numFmtId="43" fontId="5" fillId="0" borderId="0" xfId="6" applyFont="1" applyFill="1" applyAlignment="1" applyProtection="1">
      <alignment horizontal="center" vertical="top" wrapText="1"/>
      <protection locked="0"/>
    </xf>
    <xf numFmtId="0" fontId="3" fillId="0" borderId="0" xfId="4" applyProtection="1">
      <protection locked="0"/>
    </xf>
    <xf numFmtId="0" fontId="16" fillId="0" borderId="0" xfId="4" applyFont="1" applyProtection="1">
      <protection locked="0"/>
    </xf>
    <xf numFmtId="0" fontId="0" fillId="0" borderId="1" xfId="0" applyBorder="1" applyAlignment="1" applyProtection="1">
      <alignment horizontal="center" vertical="top" wrapText="1"/>
      <protection locked="0"/>
    </xf>
    <xf numFmtId="0" fontId="0" fillId="0" borderId="1" xfId="0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1" xfId="0" applyBorder="1" applyAlignment="1" applyProtection="1">
      <alignment wrapText="1"/>
      <protection locked="0"/>
    </xf>
    <xf numFmtId="0" fontId="18" fillId="0" borderId="1" xfId="19" applyFill="1" applyBorder="1" applyAlignment="1" applyProtection="1">
      <alignment horizontal="center" vertical="top" wrapText="1"/>
      <protection locked="0"/>
    </xf>
    <xf numFmtId="0" fontId="18" fillId="0" borderId="1" xfId="17" applyFill="1" applyBorder="1" applyAlignment="1" applyProtection="1">
      <alignment horizontal="center" wrapText="1"/>
      <protection locked="0"/>
    </xf>
    <xf numFmtId="0" fontId="18" fillId="0" borderId="2" xfId="17" applyFill="1" applyBorder="1" applyAlignment="1" applyProtection="1">
      <alignment horizontal="center" wrapText="1"/>
      <protection locked="0"/>
    </xf>
    <xf numFmtId="0" fontId="5" fillId="0" borderId="4" xfId="5" applyFont="1" applyBorder="1" applyAlignment="1">
      <alignment wrapText="1"/>
    </xf>
    <xf numFmtId="0" fontId="5" fillId="0" borderId="0" xfId="5" applyFont="1" applyAlignment="1">
      <alignment wrapText="1"/>
    </xf>
    <xf numFmtId="49" fontId="5" fillId="0" borderId="4" xfId="5" applyNumberFormat="1" applyFont="1" applyBorder="1" applyAlignment="1">
      <alignment horizontal="center" wrapText="1"/>
    </xf>
    <xf numFmtId="0" fontId="5" fillId="0" borderId="1" xfId="5" applyFont="1" applyBorder="1" applyAlignment="1">
      <alignment wrapText="1"/>
    </xf>
    <xf numFmtId="49" fontId="5" fillId="0" borderId="1" xfId="5" applyNumberFormat="1" applyFont="1" applyBorder="1" applyAlignment="1">
      <alignment horizontal="center" wrapText="1"/>
    </xf>
    <xf numFmtId="0" fontId="6" fillId="0" borderId="0" xfId="5" applyFont="1" applyAlignment="1">
      <alignment horizontal="center" wrapText="1"/>
    </xf>
    <xf numFmtId="0" fontId="5" fillId="0" borderId="0" xfId="5" applyFont="1" applyAlignment="1">
      <alignment horizontal="left" wrapText="1" indent="2"/>
    </xf>
    <xf numFmtId="49" fontId="5" fillId="0" borderId="1" xfId="5" applyNumberFormat="1" applyFont="1" applyBorder="1" applyAlignment="1">
      <alignment horizontal="center"/>
    </xf>
    <xf numFmtId="0" fontId="5" fillId="0" borderId="0" xfId="5" applyFont="1" applyAlignment="1">
      <alignment horizontal="left" indent="2"/>
    </xf>
    <xf numFmtId="0" fontId="5" fillId="0" borderId="1" xfId="5" applyFont="1" applyBorder="1"/>
    <xf numFmtId="0" fontId="5" fillId="0" borderId="0" xfId="5" applyFont="1"/>
    <xf numFmtId="0" fontId="5" fillId="0" borderId="7" xfId="5" applyFont="1" applyBorder="1"/>
    <xf numFmtId="0" fontId="5" fillId="0" borderId="14" xfId="5" applyFont="1" applyBorder="1"/>
    <xf numFmtId="49" fontId="5" fillId="0" borderId="7" xfId="5" applyNumberFormat="1" applyFont="1" applyBorder="1" applyAlignment="1">
      <alignment horizontal="center" wrapText="1"/>
    </xf>
    <xf numFmtId="0" fontId="11" fillId="0" borderId="0" xfId="5" applyFont="1" applyAlignment="1">
      <alignment vertical="top" wrapText="1"/>
    </xf>
    <xf numFmtId="49" fontId="11" fillId="0" borderId="12" xfId="5" applyNumberFormat="1" applyFont="1" applyBorder="1" applyAlignment="1">
      <alignment horizontal="center" wrapText="1"/>
    </xf>
    <xf numFmtId="0" fontId="5" fillId="0" borderId="0" xfId="5" applyFont="1" applyAlignment="1">
      <alignment horizontal="center" vertical="top" wrapText="1"/>
    </xf>
    <xf numFmtId="0" fontId="11" fillId="0" borderId="0" xfId="5" applyFont="1" applyAlignment="1">
      <alignment horizontal="right"/>
    </xf>
    <xf numFmtId="49" fontId="11" fillId="0" borderId="0" xfId="5" applyNumberFormat="1" applyFont="1" applyAlignment="1">
      <alignment horizontal="center" wrapText="1"/>
    </xf>
    <xf numFmtId="0" fontId="7" fillId="0" borderId="0" xfId="1" applyAlignment="1">
      <alignment vertical="center" wrapText="1"/>
    </xf>
    <xf numFmtId="0" fontId="8" fillId="0" borderId="1" xfId="1" applyFont="1" applyBorder="1" applyAlignment="1">
      <alignment horizontal="center" vertical="top" wrapText="1"/>
    </xf>
    <xf numFmtId="0" fontId="8" fillId="0" borderId="1" xfId="1" applyFont="1" applyBorder="1" applyAlignment="1">
      <alignment horizontal="center"/>
    </xf>
    <xf numFmtId="0" fontId="8" fillId="0" borderId="2" xfId="1" applyFont="1" applyBorder="1" applyAlignment="1">
      <alignment horizont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5" fillId="0" borderId="0" xfId="0" applyFont="1" applyAlignment="1">
      <alignment wrapText="1"/>
    </xf>
    <xf numFmtId="0" fontId="17" fillId="0" borderId="1" xfId="14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18" fillId="0" borderId="1" xfId="19" applyFill="1" applyBorder="1" applyAlignment="1">
      <alignment horizontal="center" vertical="top" wrapText="1"/>
    </xf>
    <xf numFmtId="0" fontId="18" fillId="0" borderId="1" xfId="15" applyFill="1" applyBorder="1" applyAlignment="1">
      <alignment vertical="top" wrapText="1"/>
    </xf>
    <xf numFmtId="0" fontId="18" fillId="0" borderId="1" xfId="17" applyFill="1" applyBorder="1" applyAlignment="1">
      <alignment horizontal="center" wrapText="1"/>
    </xf>
    <xf numFmtId="0" fontId="18" fillId="0" borderId="2" xfId="17" applyFill="1" applyBorder="1" applyAlignment="1">
      <alignment horizontal="center" wrapText="1"/>
    </xf>
    <xf numFmtId="0" fontId="0" fillId="0" borderId="2" xfId="0" applyBorder="1" applyAlignment="1">
      <alignment wrapText="1"/>
    </xf>
    <xf numFmtId="0" fontId="5" fillId="0" borderId="12" xfId="1" applyFont="1" applyBorder="1" applyAlignment="1">
      <alignment horizontal="center" vertical="top" wrapText="1"/>
    </xf>
    <xf numFmtId="0" fontId="6" fillId="0" borderId="12" xfId="1" applyFont="1" applyBorder="1" applyAlignment="1">
      <alignment horizontal="left" vertical="top" wrapText="1" indent="1"/>
    </xf>
    <xf numFmtId="37" fontId="5" fillId="0" borderId="12" xfId="1" applyNumberFormat="1" applyFont="1" applyBorder="1" applyAlignment="1">
      <alignment horizontal="center" wrapText="1"/>
    </xf>
    <xf numFmtId="0" fontId="5" fillId="0" borderId="12" xfId="1" applyFont="1" applyBorder="1" applyAlignment="1">
      <alignment horizontal="center" wrapText="1"/>
    </xf>
    <xf numFmtId="0" fontId="5" fillId="0" borderId="0" xfId="1" applyFont="1" applyAlignment="1">
      <alignment horizontal="center" vertical="top" wrapText="1"/>
    </xf>
    <xf numFmtId="0" fontId="6" fillId="0" borderId="0" xfId="1" applyFont="1" applyAlignment="1">
      <alignment horizontal="left" vertical="top" wrapText="1" indent="1"/>
    </xf>
    <xf numFmtId="0" fontId="5" fillId="0" borderId="0" xfId="1" applyFont="1" applyAlignment="1">
      <alignment horizontal="center"/>
    </xf>
    <xf numFmtId="37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center" wrapText="1"/>
    </xf>
    <xf numFmtId="0" fontId="17" fillId="0" borderId="0" xfId="0" applyFont="1" applyAlignment="1">
      <alignment horizontal="right"/>
    </xf>
    <xf numFmtId="0" fontId="4" fillId="0" borderId="1" xfId="0" applyFont="1" applyBorder="1" applyAlignment="1">
      <alignment horizontal="right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19" fillId="0" borderId="0" xfId="1" applyFont="1" applyAlignment="1">
      <alignment horizontal="left" vertical="top" wrapText="1"/>
    </xf>
    <xf numFmtId="0" fontId="17" fillId="0" borderId="1" xfId="13" applyFill="1" applyBorder="1" applyAlignment="1">
      <alignment horizontal="center" vertical="center" wrapText="1"/>
    </xf>
    <xf numFmtId="0" fontId="17" fillId="0" borderId="1" xfId="13" applyFill="1" applyBorder="1" applyAlignment="1">
      <alignment vertical="center" wrapText="1"/>
    </xf>
    <xf numFmtId="0" fontId="17" fillId="0" borderId="1" xfId="15" applyFont="1" applyFill="1" applyBorder="1" applyAlignment="1">
      <alignment vertical="top" wrapText="1"/>
    </xf>
    <xf numFmtId="0" fontId="17" fillId="0" borderId="1" xfId="16" applyFont="1" applyFill="1" applyBorder="1" applyAlignment="1">
      <alignment vertical="top" wrapText="1"/>
    </xf>
    <xf numFmtId="0" fontId="20" fillId="0" borderId="1" xfId="0" applyFont="1" applyBorder="1" applyAlignment="1">
      <alignment wrapText="1"/>
    </xf>
    <xf numFmtId="0" fontId="20" fillId="0" borderId="1" xfId="0" applyFont="1" applyBorder="1" applyAlignment="1">
      <alignment vertical="center" wrapText="1"/>
    </xf>
    <xf numFmtId="0" fontId="20" fillId="0" borderId="1" xfId="0" applyFont="1" applyBorder="1" applyAlignment="1" applyProtection="1">
      <alignment wrapText="1"/>
      <protection locked="0"/>
    </xf>
    <xf numFmtId="0" fontId="17" fillId="0" borderId="1" xfId="15" applyFont="1" applyFill="1" applyBorder="1" applyAlignment="1" applyProtection="1">
      <alignment vertical="top" wrapText="1"/>
      <protection locked="0"/>
    </xf>
    <xf numFmtId="43" fontId="8" fillId="0" borderId="4" xfId="20" applyFont="1" applyBorder="1" applyAlignment="1" applyProtection="1">
      <alignment horizontal="center" vertical="center" wrapText="1"/>
      <protection locked="0"/>
    </xf>
    <xf numFmtId="43" fontId="8" fillId="0" borderId="7" xfId="20" applyFont="1" applyBorder="1" applyAlignment="1" applyProtection="1">
      <alignment horizontal="center" vertical="center" wrapText="1"/>
      <protection locked="0"/>
    </xf>
    <xf numFmtId="43" fontId="8" fillId="0" borderId="1" xfId="20" applyFont="1" applyBorder="1" applyAlignment="1" applyProtection="1">
      <alignment horizontal="center" wrapText="1"/>
      <protection locked="0"/>
    </xf>
    <xf numFmtId="43" fontId="5" fillId="0" borderId="1" xfId="20" applyFont="1" applyBorder="1" applyAlignment="1" applyProtection="1">
      <alignment horizontal="right" wrapText="1"/>
      <protection locked="0"/>
    </xf>
    <xf numFmtId="43" fontId="5" fillId="0" borderId="4" xfId="20" applyFont="1" applyFill="1" applyBorder="1" applyAlignment="1" applyProtection="1">
      <alignment horizontal="center" wrapText="1"/>
      <protection locked="0"/>
    </xf>
    <xf numFmtId="43" fontId="5" fillId="0" borderId="1" xfId="20" applyFont="1" applyFill="1" applyBorder="1" applyAlignment="1" applyProtection="1">
      <alignment horizontal="center" wrapText="1"/>
      <protection locked="0"/>
    </xf>
    <xf numFmtId="43" fontId="5" fillId="0" borderId="7" xfId="20" applyFont="1" applyFill="1" applyBorder="1" applyAlignment="1" applyProtection="1">
      <alignment horizontal="center" wrapText="1"/>
      <protection locked="0"/>
    </xf>
    <xf numFmtId="43" fontId="5" fillId="0" borderId="0" xfId="20" applyFont="1" applyAlignment="1" applyProtection="1">
      <alignment horizontal="right" wrapText="1"/>
      <protection locked="0"/>
    </xf>
    <xf numFmtId="43" fontId="5" fillId="0" borderId="0" xfId="20" applyFont="1" applyAlignment="1">
      <alignment wrapText="1"/>
    </xf>
    <xf numFmtId="43" fontId="8" fillId="0" borderId="6" xfId="20" applyFont="1" applyBorder="1" applyAlignment="1" applyProtection="1">
      <alignment horizontal="center" vertical="center" wrapText="1"/>
      <protection locked="0"/>
    </xf>
    <xf numFmtId="43" fontId="8" fillId="0" borderId="9" xfId="20" applyFont="1" applyBorder="1" applyAlignment="1" applyProtection="1">
      <alignment horizontal="center" vertical="center" wrapText="1"/>
      <protection locked="0"/>
    </xf>
    <xf numFmtId="43" fontId="8" fillId="0" borderId="3" xfId="20" applyFont="1" applyBorder="1" applyAlignment="1" applyProtection="1">
      <alignment horizontal="center" wrapText="1"/>
      <protection locked="0"/>
    </xf>
    <xf numFmtId="43" fontId="5" fillId="0" borderId="3" xfId="20" applyFont="1" applyBorder="1" applyAlignment="1" applyProtection="1">
      <alignment horizontal="center" wrapText="1"/>
      <protection locked="0"/>
    </xf>
    <xf numFmtId="43" fontId="5" fillId="0" borderId="13" xfId="20" applyFont="1" applyFill="1" applyBorder="1" applyAlignment="1" applyProtection="1">
      <alignment horizontal="center" wrapText="1"/>
      <protection locked="0"/>
    </xf>
    <xf numFmtId="43" fontId="5" fillId="0" borderId="0" xfId="20" applyFont="1" applyAlignment="1" applyProtection="1">
      <alignment horizontal="center" wrapText="1"/>
      <protection locked="0"/>
    </xf>
    <xf numFmtId="43" fontId="5" fillId="0" borderId="11" xfId="20" applyFont="1" applyFill="1" applyBorder="1" applyAlignment="1" applyProtection="1">
      <alignment horizontal="center" wrapText="1"/>
      <protection locked="0"/>
    </xf>
    <xf numFmtId="43" fontId="5" fillId="0" borderId="0" xfId="0" applyNumberFormat="1" applyFont="1" applyAlignment="1">
      <alignment wrapText="1"/>
    </xf>
    <xf numFmtId="0" fontId="4" fillId="0" borderId="1" xfId="0" applyFont="1" applyBorder="1" applyAlignment="1" applyProtection="1">
      <alignment horizontal="center" vertical="top" wrapText="1"/>
      <protection locked="0"/>
    </xf>
    <xf numFmtId="0" fontId="4" fillId="0" borderId="2" xfId="0" applyFont="1" applyBorder="1" applyAlignment="1" applyProtection="1">
      <alignment horizontal="center" vertical="top" wrapText="1"/>
      <protection locked="0"/>
    </xf>
    <xf numFmtId="43" fontId="5" fillId="0" borderId="3" xfId="20" applyFont="1" applyBorder="1" applyAlignment="1" applyProtection="1">
      <alignment horizontal="center" vertical="top" wrapText="1"/>
      <protection locked="0"/>
    </xf>
    <xf numFmtId="43" fontId="5" fillId="0" borderId="1" xfId="20" applyFont="1" applyBorder="1" applyAlignment="1" applyProtection="1">
      <alignment horizontal="right" vertical="top" wrapText="1"/>
      <protection locked="0"/>
    </xf>
    <xf numFmtId="0" fontId="18" fillId="0" borderId="2" xfId="17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18" fillId="0" borderId="1" xfId="17" applyFill="1" applyBorder="1" applyAlignment="1">
      <alignment horizontal="center" vertical="top" wrapText="1"/>
    </xf>
    <xf numFmtId="43" fontId="18" fillId="0" borderId="1" xfId="20" applyFont="1" applyFill="1" applyBorder="1" applyAlignment="1">
      <alignment horizontal="center" vertical="top" wrapText="1"/>
    </xf>
    <xf numFmtId="43" fontId="0" fillId="0" borderId="1" xfId="20" applyFont="1" applyBorder="1" applyAlignment="1">
      <alignment horizontal="center" vertical="top" wrapText="1"/>
    </xf>
    <xf numFmtId="43" fontId="0" fillId="0" borderId="1" xfId="20" applyFont="1" applyBorder="1" applyAlignment="1">
      <alignment vertical="top" wrapText="1"/>
    </xf>
    <xf numFmtId="0" fontId="4" fillId="0" borderId="1" xfId="0" applyFont="1" applyBorder="1" applyAlignment="1">
      <alignment wrapText="1"/>
    </xf>
    <xf numFmtId="165" fontId="18" fillId="0" borderId="1" xfId="20" applyNumberFormat="1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65" fontId="0" fillId="0" borderId="1" xfId="20" applyNumberFormat="1" applyFont="1" applyBorder="1" applyAlignment="1">
      <alignment vertical="top" wrapText="1"/>
    </xf>
    <xf numFmtId="43" fontId="0" fillId="0" borderId="1" xfId="20" applyFont="1" applyBorder="1" applyAlignment="1" applyProtection="1">
      <alignment horizontal="center" wrapText="1"/>
      <protection locked="0"/>
    </xf>
    <xf numFmtId="43" fontId="4" fillId="0" borderId="1" xfId="20" applyFont="1" applyBorder="1" applyAlignment="1" applyProtection="1">
      <alignment horizontal="center" vertical="top" wrapText="1"/>
      <protection locked="0"/>
    </xf>
    <xf numFmtId="43" fontId="18" fillId="0" borderId="1" xfId="20" applyFont="1" applyFill="1" applyBorder="1" applyAlignment="1" applyProtection="1">
      <alignment horizontal="center" wrapText="1"/>
      <protection locked="0"/>
    </xf>
    <xf numFmtId="43" fontId="0" fillId="0" borderId="1" xfId="20" applyFont="1" applyBorder="1" applyAlignment="1" applyProtection="1">
      <alignment horizontal="center" vertical="top" wrapText="1"/>
      <protection locked="0"/>
    </xf>
    <xf numFmtId="0" fontId="0" fillId="0" borderId="2" xfId="0" applyBorder="1" applyAlignment="1" applyProtection="1">
      <alignment horizontal="center" vertical="top" wrapText="1"/>
      <protection locked="0"/>
    </xf>
    <xf numFmtId="43" fontId="18" fillId="0" borderId="1" xfId="20" applyFont="1" applyFill="1" applyBorder="1" applyAlignment="1" applyProtection="1">
      <alignment horizontal="center" vertical="top" wrapText="1"/>
      <protection locked="0"/>
    </xf>
    <xf numFmtId="165" fontId="18" fillId="0" borderId="1" xfId="20" applyNumberFormat="1" applyFont="1" applyFill="1" applyBorder="1" applyAlignment="1" applyProtection="1">
      <alignment horizontal="center" vertical="top" wrapText="1"/>
      <protection locked="0"/>
    </xf>
    <xf numFmtId="165" fontId="0" fillId="0" borderId="1" xfId="20" applyNumberFormat="1" applyFont="1" applyBorder="1" applyAlignment="1" applyProtection="1">
      <alignment horizontal="center" vertical="top" wrapText="1"/>
      <protection locked="0"/>
    </xf>
    <xf numFmtId="0" fontId="23" fillId="0" borderId="1" xfId="15" applyFont="1" applyFill="1" applyBorder="1" applyAlignment="1">
      <alignment vertical="top" wrapText="1"/>
    </xf>
    <xf numFmtId="49" fontId="5" fillId="0" borderId="1" xfId="5" applyNumberFormat="1" applyFont="1" applyBorder="1" applyAlignment="1">
      <alignment horizontal="center" vertical="top"/>
    </xf>
    <xf numFmtId="0" fontId="24" fillId="0" borderId="1" xfId="0" applyFont="1" applyBorder="1" applyAlignment="1">
      <alignment wrapText="1"/>
    </xf>
    <xf numFmtId="0" fontId="4" fillId="0" borderId="1" xfId="0" applyFont="1" applyBorder="1" applyAlignment="1" applyProtection="1">
      <alignment wrapText="1"/>
      <protection locked="0"/>
    </xf>
    <xf numFmtId="164" fontId="12" fillId="0" borderId="1" xfId="20" applyNumberFormat="1" applyFont="1" applyBorder="1" applyAlignment="1" applyProtection="1">
      <alignment horizontal="right" wrapText="1"/>
      <protection locked="0"/>
    </xf>
    <xf numFmtId="164" fontId="12" fillId="0" borderId="1" xfId="20" applyNumberFormat="1" applyFont="1" applyBorder="1" applyAlignment="1" applyProtection="1">
      <alignment horizontal="right" vertical="top" wrapText="1"/>
      <protection locked="0"/>
    </xf>
    <xf numFmtId="0" fontId="27" fillId="0" borderId="0" xfId="21" applyFont="1" applyAlignment="1">
      <alignment horizontal="left" vertical="center"/>
    </xf>
    <xf numFmtId="0" fontId="1" fillId="0" borderId="0" xfId="21"/>
    <xf numFmtId="0" fontId="1" fillId="0" borderId="0" xfId="21" applyAlignment="1">
      <alignment horizontal="center" vertical="center"/>
    </xf>
    <xf numFmtId="0" fontId="1" fillId="0" borderId="0" xfId="21" applyAlignment="1">
      <alignment vertical="center"/>
    </xf>
    <xf numFmtId="0" fontId="1" fillId="0" borderId="0" xfId="21" applyAlignment="1">
      <alignment vertical="center" wrapText="1"/>
    </xf>
    <xf numFmtId="0" fontId="28" fillId="0" borderId="0" xfId="21" applyFont="1"/>
    <xf numFmtId="164" fontId="0" fillId="0" borderId="0" xfId="22" applyFont="1"/>
    <xf numFmtId="0" fontId="1" fillId="0" borderId="0" xfId="21" applyAlignment="1">
      <alignment horizontal="left" vertical="center"/>
    </xf>
    <xf numFmtId="49" fontId="29" fillId="0" borderId="0" xfId="21" applyNumberFormat="1" applyFont="1" applyAlignment="1">
      <alignment horizontal="left" vertical="center"/>
    </xf>
    <xf numFmtId="0" fontId="29" fillId="0" borderId="0" xfId="21" applyFont="1" applyAlignment="1">
      <alignment horizontal="center" vertical="center"/>
    </xf>
    <xf numFmtId="49" fontId="29" fillId="0" borderId="0" xfId="21" applyNumberFormat="1" applyFont="1" applyAlignment="1">
      <alignment horizontal="center" vertical="center"/>
    </xf>
    <xf numFmtId="9" fontId="30" fillId="0" borderId="0" xfId="21" applyNumberFormat="1" applyFont="1" applyAlignment="1">
      <alignment horizontal="left" vertical="center"/>
    </xf>
    <xf numFmtId="0" fontId="26" fillId="0" borderId="0" xfId="21" applyFont="1" applyAlignment="1">
      <alignment vertical="top" wrapText="1"/>
    </xf>
    <xf numFmtId="49" fontId="31" fillId="3" borderId="17" xfId="21" applyNumberFormat="1" applyFont="1" applyFill="1" applyBorder="1" applyAlignment="1">
      <alignment horizontal="center" vertical="center"/>
    </xf>
    <xf numFmtId="49" fontId="31" fillId="3" borderId="18" xfId="21" applyNumberFormat="1" applyFont="1" applyFill="1" applyBorder="1" applyAlignment="1">
      <alignment horizontal="center" vertical="center"/>
    </xf>
    <xf numFmtId="49" fontId="31" fillId="3" borderId="19" xfId="21" applyNumberFormat="1" applyFont="1" applyFill="1" applyBorder="1" applyAlignment="1">
      <alignment horizontal="center" vertical="center"/>
    </xf>
    <xf numFmtId="49" fontId="31" fillId="3" borderId="0" xfId="21" applyNumberFormat="1" applyFont="1" applyFill="1" applyAlignment="1">
      <alignment horizontal="center" vertical="center"/>
    </xf>
    <xf numFmtId="0" fontId="1" fillId="0" borderId="0" xfId="21" applyAlignment="1">
      <alignment horizontal="center"/>
    </xf>
    <xf numFmtId="0" fontId="28" fillId="0" borderId="0" xfId="21" applyFont="1" applyAlignment="1">
      <alignment horizontal="center"/>
    </xf>
    <xf numFmtId="164" fontId="0" fillId="0" borderId="0" xfId="22" applyFont="1" applyAlignment="1">
      <alignment horizontal="center"/>
    </xf>
    <xf numFmtId="49" fontId="31" fillId="3" borderId="10" xfId="21" applyNumberFormat="1" applyFont="1" applyFill="1" applyBorder="1" applyAlignment="1">
      <alignment horizontal="center" vertical="center" wrapText="1"/>
    </xf>
    <xf numFmtId="49" fontId="31" fillId="3" borderId="0" xfId="21" applyNumberFormat="1" applyFont="1" applyFill="1" applyAlignment="1">
      <alignment horizontal="center" vertical="center" wrapText="1"/>
    </xf>
    <xf numFmtId="49" fontId="31" fillId="3" borderId="20" xfId="21" applyNumberFormat="1" applyFont="1" applyFill="1" applyBorder="1" applyAlignment="1">
      <alignment horizontal="center" vertical="center"/>
    </xf>
    <xf numFmtId="164" fontId="28" fillId="0" borderId="0" xfId="22" applyFont="1" applyAlignment="1">
      <alignment horizontal="center"/>
    </xf>
    <xf numFmtId="0" fontId="1" fillId="0" borderId="0" xfId="21" applyAlignment="1">
      <alignment horizontal="center" wrapText="1"/>
    </xf>
    <xf numFmtId="49" fontId="8" fillId="0" borderId="3" xfId="21" applyNumberFormat="1" applyFont="1" applyBorder="1" applyAlignment="1">
      <alignment horizontal="center" vertical="center"/>
    </xf>
    <xf numFmtId="0" fontId="31" fillId="0" borderId="1" xfId="21" applyFont="1" applyBorder="1" applyAlignment="1">
      <alignment vertical="center" wrapText="1"/>
    </xf>
    <xf numFmtId="0" fontId="8" fillId="0" borderId="1" xfId="21" applyFont="1" applyBorder="1" applyAlignment="1">
      <alignment horizontal="center" vertical="center"/>
    </xf>
    <xf numFmtId="0" fontId="8" fillId="0" borderId="1" xfId="21" applyFont="1" applyBorder="1" applyAlignment="1">
      <alignment vertical="center"/>
    </xf>
    <xf numFmtId="0" fontId="8" fillId="0" borderId="10" xfId="21" applyFont="1" applyBorder="1" applyAlignment="1">
      <alignment vertical="center"/>
    </xf>
    <xf numFmtId="0" fontId="8" fillId="0" borderId="0" xfId="21" applyFont="1" applyAlignment="1">
      <alignment vertical="center"/>
    </xf>
    <xf numFmtId="0" fontId="8" fillId="0" borderId="20" xfId="21" applyFont="1" applyBorder="1" applyAlignment="1">
      <alignment vertical="center"/>
    </xf>
    <xf numFmtId="0" fontId="28" fillId="0" borderId="0" xfId="21" applyFont="1" applyAlignment="1">
      <alignment vertical="center"/>
    </xf>
    <xf numFmtId="164" fontId="0" fillId="0" borderId="0" xfId="22" applyFont="1" applyAlignment="1">
      <alignment vertical="center"/>
    </xf>
    <xf numFmtId="0" fontId="8" fillId="0" borderId="3" xfId="21" applyFont="1" applyBorder="1" applyAlignment="1">
      <alignment horizontal="center" vertical="center"/>
    </xf>
    <xf numFmtId="0" fontId="31" fillId="0" borderId="1" xfId="21" applyFont="1" applyBorder="1" applyAlignment="1">
      <alignment vertical="top" wrapText="1"/>
    </xf>
    <xf numFmtId="0" fontId="8" fillId="0" borderId="1" xfId="21" applyFont="1" applyBorder="1"/>
    <xf numFmtId="0" fontId="8" fillId="0" borderId="10" xfId="21" applyFont="1" applyBorder="1"/>
    <xf numFmtId="0" fontId="8" fillId="0" borderId="0" xfId="21" applyFont="1"/>
    <xf numFmtId="0" fontId="31" fillId="0" borderId="1" xfId="21" applyFont="1" applyBorder="1"/>
    <xf numFmtId="0" fontId="8" fillId="0" borderId="1" xfId="21" applyFont="1" applyBorder="1" applyAlignment="1">
      <alignment vertical="top" wrapText="1"/>
    </xf>
    <xf numFmtId="0" fontId="32" fillId="0" borderId="1" xfId="21" applyFont="1" applyBorder="1" applyAlignment="1">
      <alignment vertical="center" wrapText="1"/>
    </xf>
    <xf numFmtId="49" fontId="8" fillId="0" borderId="1" xfId="21" applyNumberFormat="1" applyFont="1" applyBorder="1" applyAlignment="1">
      <alignment horizontal="center" vertical="center"/>
    </xf>
    <xf numFmtId="49" fontId="31" fillId="0" borderId="3" xfId="21" applyNumberFormat="1" applyFont="1" applyBorder="1" applyAlignment="1">
      <alignment horizontal="center" vertical="center"/>
    </xf>
    <xf numFmtId="0" fontId="8" fillId="4" borderId="1" xfId="21" applyFont="1" applyFill="1" applyBorder="1" applyAlignment="1">
      <alignment horizontal="left"/>
    </xf>
    <xf numFmtId="164" fontId="8" fillId="0" borderId="1" xfId="21" applyNumberFormat="1" applyFont="1" applyBorder="1" applyAlignment="1">
      <alignment vertical="top"/>
    </xf>
    <xf numFmtId="164" fontId="8" fillId="0" borderId="10" xfId="21" applyNumberFormat="1" applyFont="1" applyBorder="1" applyAlignment="1">
      <alignment vertical="top"/>
    </xf>
    <xf numFmtId="166" fontId="8" fillId="0" borderId="0" xfId="21" applyNumberFormat="1" applyFont="1" applyAlignment="1">
      <alignment vertical="top"/>
    </xf>
    <xf numFmtId="164" fontId="8" fillId="0" borderId="0" xfId="21" applyNumberFormat="1" applyFont="1" applyAlignment="1">
      <alignment vertical="top"/>
    </xf>
    <xf numFmtId="164" fontId="8" fillId="0" borderId="20" xfId="21" applyNumberFormat="1" applyFont="1" applyBorder="1" applyAlignment="1">
      <alignment vertical="center"/>
    </xf>
    <xf numFmtId="164" fontId="8" fillId="0" borderId="0" xfId="21" applyNumberFormat="1" applyFont="1" applyAlignment="1">
      <alignment vertical="center"/>
    </xf>
    <xf numFmtId="43" fontId="1" fillId="0" borderId="0" xfId="21" applyNumberFormat="1"/>
    <xf numFmtId="0" fontId="8" fillId="0" borderId="1" xfId="21" applyFont="1" applyBorder="1" applyAlignment="1">
      <alignment horizontal="left"/>
    </xf>
    <xf numFmtId="49" fontId="8" fillId="0" borderId="21" xfId="21" applyNumberFormat="1" applyFont="1" applyBorder="1" applyAlignment="1">
      <alignment horizontal="center" vertical="center"/>
    </xf>
    <xf numFmtId="0" fontId="8" fillId="0" borderId="18" xfId="21" applyFont="1" applyBorder="1" applyAlignment="1">
      <alignment vertical="top" wrapText="1"/>
    </xf>
    <xf numFmtId="49" fontId="8" fillId="0" borderId="18" xfId="21" applyNumberFormat="1" applyFont="1" applyBorder="1" applyAlignment="1">
      <alignment horizontal="center" vertical="center"/>
    </xf>
    <xf numFmtId="164" fontId="8" fillId="0" borderId="18" xfId="21" applyNumberFormat="1" applyFont="1" applyBorder="1" applyAlignment="1">
      <alignment vertical="top"/>
    </xf>
    <xf numFmtId="164" fontId="8" fillId="0" borderId="19" xfId="21" applyNumberFormat="1" applyFont="1" applyBorder="1" applyAlignment="1">
      <alignment vertical="center"/>
    </xf>
    <xf numFmtId="49" fontId="8" fillId="0" borderId="22" xfId="21" applyNumberFormat="1" applyFont="1" applyBorder="1" applyAlignment="1">
      <alignment horizontal="center" vertical="center"/>
    </xf>
    <xf numFmtId="0" fontId="8" fillId="0" borderId="0" xfId="21" applyFont="1" applyAlignment="1">
      <alignment vertical="top" wrapText="1"/>
    </xf>
    <xf numFmtId="49" fontId="8" fillId="0" borderId="0" xfId="21" applyNumberFormat="1" applyFont="1" applyAlignment="1">
      <alignment horizontal="center" vertical="center"/>
    </xf>
    <xf numFmtId="49" fontId="8" fillId="0" borderId="23" xfId="21" applyNumberFormat="1" applyFont="1" applyBorder="1" applyAlignment="1">
      <alignment horizontal="center" vertical="center"/>
    </xf>
    <xf numFmtId="0" fontId="8" fillId="0" borderId="24" xfId="21" applyFont="1" applyBorder="1" applyAlignment="1">
      <alignment vertical="top" wrapText="1"/>
    </xf>
    <xf numFmtId="49" fontId="8" fillId="0" borderId="24" xfId="21" applyNumberFormat="1" applyFont="1" applyBorder="1" applyAlignment="1">
      <alignment horizontal="center" vertical="center"/>
    </xf>
    <xf numFmtId="164" fontId="8" fillId="0" borderId="24" xfId="21" applyNumberFormat="1" applyFont="1" applyBorder="1" applyAlignment="1">
      <alignment vertical="top"/>
    </xf>
    <xf numFmtId="164" fontId="8" fillId="0" borderId="25" xfId="21" applyNumberFormat="1" applyFont="1" applyBorder="1" applyAlignment="1">
      <alignment vertical="center"/>
    </xf>
    <xf numFmtId="0" fontId="8" fillId="4" borderId="1" xfId="21" applyFont="1" applyFill="1" applyBorder="1" applyAlignment="1">
      <alignment vertical="center"/>
    </xf>
    <xf numFmtId="49" fontId="31" fillId="0" borderId="1" xfId="21" applyNumberFormat="1" applyFont="1" applyBorder="1" applyAlignment="1">
      <alignment horizontal="center" vertical="center"/>
    </xf>
    <xf numFmtId="164" fontId="31" fillId="0" borderId="1" xfId="21" applyNumberFormat="1" applyFont="1" applyBorder="1" applyAlignment="1">
      <alignment vertical="top"/>
    </xf>
    <xf numFmtId="164" fontId="31" fillId="0" borderId="10" xfId="21" applyNumberFormat="1" applyFont="1" applyBorder="1" applyAlignment="1">
      <alignment vertical="top"/>
    </xf>
    <xf numFmtId="164" fontId="31" fillId="0" borderId="0" xfId="21" applyNumberFormat="1" applyFont="1" applyAlignment="1">
      <alignment vertical="top"/>
    </xf>
    <xf numFmtId="164" fontId="31" fillId="0" borderId="20" xfId="21" applyNumberFormat="1" applyFont="1" applyBorder="1" applyAlignment="1">
      <alignment vertical="center"/>
    </xf>
    <xf numFmtId="164" fontId="31" fillId="0" borderId="0" xfId="21" applyNumberFormat="1" applyFont="1" applyAlignment="1">
      <alignment vertical="center"/>
    </xf>
    <xf numFmtId="0" fontId="26" fillId="0" borderId="0" xfId="21" applyFont="1"/>
    <xf numFmtId="0" fontId="33" fillId="0" borderId="0" xfId="21" applyFont="1"/>
    <xf numFmtId="164" fontId="26" fillId="0" borderId="0" xfId="22" applyFont="1"/>
    <xf numFmtId="167" fontId="8" fillId="0" borderId="1" xfId="22" applyNumberFormat="1" applyFont="1" applyFill="1" applyBorder="1" applyAlignment="1">
      <alignment horizontal="right" vertical="center"/>
    </xf>
    <xf numFmtId="49" fontId="8" fillId="0" borderId="26" xfId="21" applyNumberFormat="1" applyFont="1" applyBorder="1" applyAlignment="1">
      <alignment horizontal="center" vertical="center"/>
    </xf>
    <xf numFmtId="0" fontId="8" fillId="0" borderId="27" xfId="21" applyFont="1" applyBorder="1" applyAlignment="1">
      <alignment vertical="top" wrapText="1"/>
    </xf>
    <xf numFmtId="49" fontId="8" fillId="0" borderId="27" xfId="21" applyNumberFormat="1" applyFont="1" applyBorder="1" applyAlignment="1">
      <alignment horizontal="center" vertical="center"/>
    </xf>
    <xf numFmtId="164" fontId="8" fillId="0" borderId="27" xfId="21" applyNumberFormat="1" applyFont="1" applyBorder="1" applyAlignment="1">
      <alignment vertical="top"/>
    </xf>
    <xf numFmtId="164" fontId="8" fillId="0" borderId="28" xfId="21" applyNumberFormat="1" applyFont="1" applyBorder="1" applyAlignment="1">
      <alignment vertical="top"/>
    </xf>
    <xf numFmtId="49" fontId="8" fillId="0" borderId="15" xfId="21" applyNumberFormat="1" applyFont="1" applyBorder="1" applyAlignment="1">
      <alignment horizontal="center" vertical="center"/>
    </xf>
    <xf numFmtId="0" fontId="31" fillId="0" borderId="16" xfId="21" applyFont="1" applyBorder="1" applyAlignment="1">
      <alignment vertical="top" wrapText="1"/>
    </xf>
    <xf numFmtId="49" fontId="8" fillId="0" borderId="16" xfId="21" applyNumberFormat="1" applyFont="1" applyBorder="1" applyAlignment="1">
      <alignment horizontal="center" vertical="center"/>
    </xf>
    <xf numFmtId="164" fontId="8" fillId="0" borderId="16" xfId="21" applyNumberFormat="1" applyFont="1" applyBorder="1" applyAlignment="1">
      <alignment vertical="top"/>
    </xf>
    <xf numFmtId="164" fontId="8" fillId="0" borderId="17" xfId="21" applyNumberFormat="1" applyFont="1" applyBorder="1" applyAlignment="1">
      <alignment vertical="top"/>
    </xf>
    <xf numFmtId="0" fontId="34" fillId="0" borderId="0" xfId="21" applyFont="1"/>
    <xf numFmtId="167" fontId="8" fillId="0" borderId="1" xfId="21" applyNumberFormat="1" applyFont="1" applyBorder="1" applyAlignment="1">
      <alignment vertical="center"/>
    </xf>
    <xf numFmtId="0" fontId="8" fillId="0" borderId="1" xfId="21" applyFont="1" applyBorder="1" applyAlignment="1">
      <alignment vertical="center" wrapText="1"/>
    </xf>
    <xf numFmtId="167" fontId="8" fillId="0" borderId="1" xfId="21" applyNumberFormat="1" applyFont="1" applyBorder="1" applyAlignment="1">
      <alignment horizontal="center" vertical="center"/>
    </xf>
    <xf numFmtId="0" fontId="31" fillId="4" borderId="1" xfId="21" applyFont="1" applyFill="1" applyBorder="1" applyAlignment="1">
      <alignment vertical="top" wrapText="1"/>
    </xf>
    <xf numFmtId="0" fontId="1" fillId="0" borderId="10" xfId="21" applyBorder="1"/>
    <xf numFmtId="0" fontId="8" fillId="0" borderId="1" xfId="21" applyFont="1" applyBorder="1" applyAlignment="1">
      <alignment horizontal="left" wrapText="1"/>
    </xf>
    <xf numFmtId="164" fontId="8" fillId="0" borderId="10" xfId="21" applyNumberFormat="1" applyFont="1" applyBorder="1" applyAlignment="1">
      <alignment vertical="center"/>
    </xf>
    <xf numFmtId="164" fontId="8" fillId="0" borderId="1" xfId="22" applyFont="1" applyFill="1" applyBorder="1" applyAlignment="1">
      <alignment horizontal="right" vertical="center"/>
    </xf>
    <xf numFmtId="0" fontId="8" fillId="0" borderId="25" xfId="21" applyFont="1" applyBorder="1" applyAlignment="1">
      <alignment vertical="center"/>
    </xf>
    <xf numFmtId="0" fontId="19" fillId="0" borderId="0" xfId="23" applyFont="1" applyAlignment="1">
      <alignment horizontal="right" vertical="top" wrapText="1"/>
    </xf>
    <xf numFmtId="0" fontId="8" fillId="0" borderId="1" xfId="21" applyFont="1" applyBorder="1" applyAlignment="1">
      <alignment horizontal="right" vertical="top" wrapText="1"/>
    </xf>
    <xf numFmtId="0" fontId="26" fillId="0" borderId="0" xfId="21" applyFont="1" applyAlignment="1">
      <alignment vertical="center" wrapText="1"/>
    </xf>
    <xf numFmtId="164" fontId="31" fillId="3" borderId="19" xfId="22" applyFont="1" applyFill="1" applyBorder="1" applyAlignment="1">
      <alignment horizontal="center" vertical="center"/>
    </xf>
    <xf numFmtId="164" fontId="31" fillId="3" borderId="20" xfId="22" applyFont="1" applyFill="1" applyBorder="1" applyAlignment="1">
      <alignment horizontal="center" vertical="center"/>
    </xf>
    <xf numFmtId="164" fontId="0" fillId="0" borderId="0" xfId="22" applyFont="1" applyAlignment="1">
      <alignment horizontal="center" wrapText="1"/>
    </xf>
    <xf numFmtId="164" fontId="8" fillId="0" borderId="20" xfId="22" applyFont="1" applyBorder="1" applyAlignment="1">
      <alignment vertical="center"/>
    </xf>
    <xf numFmtId="0" fontId="31" fillId="0" borderId="1" xfId="21" applyFont="1" applyBorder="1" applyAlignment="1">
      <alignment vertical="center"/>
    </xf>
    <xf numFmtId="0" fontId="8" fillId="0" borderId="1" xfId="21" applyFont="1" applyBorder="1" applyAlignment="1">
      <alignment horizontal="left" vertical="center"/>
    </xf>
    <xf numFmtId="166" fontId="8" fillId="0" borderId="1" xfId="21" applyNumberFormat="1" applyFont="1" applyBorder="1" applyAlignment="1">
      <alignment vertical="top"/>
    </xf>
    <xf numFmtId="164" fontId="8" fillId="0" borderId="1" xfId="21" applyNumberFormat="1" applyFont="1" applyBorder="1" applyAlignment="1">
      <alignment vertical="center"/>
    </xf>
    <xf numFmtId="164" fontId="8" fillId="0" borderId="1" xfId="22" applyFont="1" applyBorder="1" applyAlignment="1">
      <alignment horizontal="right" vertical="center"/>
    </xf>
    <xf numFmtId="164" fontId="8" fillId="0" borderId="10" xfId="22" applyFont="1" applyBorder="1" applyAlignment="1">
      <alignment horizontal="right" vertical="center"/>
    </xf>
    <xf numFmtId="0" fontId="8" fillId="0" borderId="1" xfId="21" applyFont="1" applyBorder="1" applyAlignment="1">
      <alignment horizontal="left" vertical="center" wrapText="1"/>
    </xf>
    <xf numFmtId="164" fontId="8" fillId="0" borderId="10" xfId="22" applyFont="1" applyFill="1" applyBorder="1" applyAlignment="1">
      <alignment horizontal="right" vertical="center"/>
    </xf>
    <xf numFmtId="164" fontId="8" fillId="0" borderId="20" xfId="22" applyFont="1" applyFill="1" applyBorder="1" applyAlignment="1">
      <alignment vertical="center"/>
    </xf>
    <xf numFmtId="164" fontId="0" fillId="0" borderId="0" xfId="22" applyFont="1" applyFill="1" applyAlignment="1">
      <alignment vertical="center"/>
    </xf>
    <xf numFmtId="164" fontId="8" fillId="0" borderId="1" xfId="21" applyNumberFormat="1" applyFont="1" applyBorder="1" applyAlignment="1">
      <alignment horizontal="center" vertical="center"/>
    </xf>
    <xf numFmtId="164" fontId="8" fillId="0" borderId="10" xfId="21" applyNumberFormat="1" applyFont="1" applyBorder="1" applyAlignment="1">
      <alignment horizontal="center" vertical="center"/>
    </xf>
    <xf numFmtId="0" fontId="8" fillId="0" borderId="18" xfId="21" applyFont="1" applyBorder="1" applyAlignment="1">
      <alignment vertical="center" wrapText="1"/>
    </xf>
    <xf numFmtId="164" fontId="8" fillId="0" borderId="18" xfId="21" applyNumberFormat="1" applyFont="1" applyBorder="1" applyAlignment="1">
      <alignment vertical="center"/>
    </xf>
    <xf numFmtId="164" fontId="8" fillId="0" borderId="19" xfId="22" applyFont="1" applyBorder="1" applyAlignment="1">
      <alignment vertical="center"/>
    </xf>
    <xf numFmtId="0" fontId="8" fillId="0" borderId="0" xfId="21" applyFont="1" applyAlignment="1">
      <alignment vertical="center" wrapText="1"/>
    </xf>
    <xf numFmtId="0" fontId="8" fillId="0" borderId="24" xfId="21" applyFont="1" applyBorder="1" applyAlignment="1">
      <alignment vertical="center" wrapText="1"/>
    </xf>
    <xf numFmtId="164" fontId="8" fillId="0" borderId="24" xfId="21" applyNumberFormat="1" applyFont="1" applyBorder="1" applyAlignment="1">
      <alignment vertical="center"/>
    </xf>
    <xf numFmtId="164" fontId="8" fillId="0" borderId="25" xfId="22" applyFont="1" applyBorder="1" applyAlignment="1">
      <alignment vertical="center"/>
    </xf>
    <xf numFmtId="164" fontId="0" fillId="0" borderId="0" xfId="22" applyFont="1" applyBorder="1" applyAlignment="1">
      <alignment horizontal="center" vertical="center"/>
    </xf>
    <xf numFmtId="164" fontId="8" fillId="0" borderId="0" xfId="22" applyFont="1" applyAlignment="1">
      <alignment vertical="center"/>
    </xf>
    <xf numFmtId="0" fontId="32" fillId="0" borderId="1" xfId="21" applyFont="1" applyBorder="1" applyAlignment="1">
      <alignment horizontal="center" vertical="center" wrapText="1"/>
    </xf>
    <xf numFmtId="168" fontId="8" fillId="0" borderId="20" xfId="22" applyNumberFormat="1" applyFont="1" applyBorder="1" applyAlignment="1">
      <alignment vertical="center"/>
    </xf>
    <xf numFmtId="49" fontId="12" fillId="0" borderId="3" xfId="21" applyNumberFormat="1" applyFont="1" applyBorder="1" applyAlignment="1">
      <alignment horizontal="center" vertical="center"/>
    </xf>
    <xf numFmtId="0" fontId="12" fillId="0" borderId="1" xfId="21" applyFont="1" applyBorder="1" applyAlignment="1">
      <alignment vertical="top" wrapText="1"/>
    </xf>
    <xf numFmtId="0" fontId="12" fillId="0" borderId="1" xfId="21" applyFont="1" applyBorder="1"/>
    <xf numFmtId="164" fontId="12" fillId="0" borderId="20" xfId="22" applyFont="1" applyBorder="1" applyAlignment="1">
      <alignment vertical="center"/>
    </xf>
    <xf numFmtId="0" fontId="25" fillId="0" borderId="0" xfId="21" applyFont="1"/>
    <xf numFmtId="0" fontId="12" fillId="0" borderId="1" xfId="21" applyFont="1" applyBorder="1" applyAlignment="1">
      <alignment vertical="center"/>
    </xf>
    <xf numFmtId="0" fontId="25" fillId="0" borderId="0" xfId="21" applyFont="1" applyAlignment="1">
      <alignment vertical="center"/>
    </xf>
    <xf numFmtId="164" fontId="8" fillId="0" borderId="1" xfId="22" applyFont="1" applyBorder="1" applyAlignment="1">
      <alignment vertical="top"/>
    </xf>
    <xf numFmtId="164" fontId="8" fillId="0" borderId="0" xfId="21" applyNumberFormat="1" applyFont="1" applyAlignment="1">
      <alignment horizontal="left" vertical="top"/>
    </xf>
    <xf numFmtId="43" fontId="1" fillId="0" borderId="0" xfId="20" applyFont="1" applyAlignment="1">
      <alignment vertical="center"/>
    </xf>
    <xf numFmtId="43" fontId="1" fillId="0" borderId="0" xfId="21" applyNumberFormat="1" applyAlignment="1">
      <alignment vertical="center"/>
    </xf>
    <xf numFmtId="0" fontId="10" fillId="0" borderId="0" xfId="4" applyFont="1" applyAlignment="1">
      <alignment horizontal="center" vertical="top" wrapText="1"/>
    </xf>
    <xf numFmtId="0" fontId="8" fillId="0" borderId="4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49" fontId="31" fillId="3" borderId="15" xfId="21" applyNumberFormat="1" applyFont="1" applyFill="1" applyBorder="1" applyAlignment="1">
      <alignment horizontal="center" vertical="center"/>
    </xf>
    <xf numFmtId="49" fontId="31" fillId="3" borderId="3" xfId="21" applyNumberFormat="1" applyFont="1" applyFill="1" applyBorder="1" applyAlignment="1">
      <alignment horizontal="center" vertical="center"/>
    </xf>
    <xf numFmtId="0" fontId="31" fillId="3" borderId="16" xfId="21" applyFont="1" applyFill="1" applyBorder="1" applyAlignment="1">
      <alignment horizontal="center" vertical="center"/>
    </xf>
    <xf numFmtId="0" fontId="31" fillId="3" borderId="1" xfId="21" applyFont="1" applyFill="1" applyBorder="1" applyAlignment="1">
      <alignment horizontal="center" vertical="center"/>
    </xf>
    <xf numFmtId="49" fontId="31" fillId="3" borderId="16" xfId="21" applyNumberFormat="1" applyFont="1" applyFill="1" applyBorder="1" applyAlignment="1">
      <alignment horizontal="center" vertical="center"/>
    </xf>
    <xf numFmtId="49" fontId="31" fillId="3" borderId="1" xfId="21" applyNumberFormat="1" applyFont="1" applyFill="1" applyBorder="1" applyAlignment="1">
      <alignment horizontal="center" vertical="center"/>
    </xf>
    <xf numFmtId="49" fontId="31" fillId="3" borderId="16" xfId="21" applyNumberFormat="1" applyFont="1" applyFill="1" applyBorder="1" applyAlignment="1">
      <alignment horizontal="center" vertical="center" wrapText="1"/>
    </xf>
    <xf numFmtId="49" fontId="31" fillId="3" borderId="1" xfId="21" applyNumberFormat="1" applyFont="1" applyFill="1" applyBorder="1" applyAlignment="1">
      <alignment horizontal="center" vertical="center" wrapText="1"/>
    </xf>
    <xf numFmtId="0" fontId="5" fillId="0" borderId="4" xfId="5" applyFont="1" applyBorder="1" applyAlignment="1">
      <alignment horizontal="center" vertical="center" wrapText="1"/>
    </xf>
    <xf numFmtId="0" fontId="5" fillId="0" borderId="7" xfId="5" applyFont="1" applyBorder="1" applyAlignment="1">
      <alignment horizontal="center" vertical="center" wrapText="1"/>
    </xf>
    <xf numFmtId="49" fontId="5" fillId="0" borderId="4" xfId="5" applyNumberFormat="1" applyFont="1" applyBorder="1" applyAlignment="1">
      <alignment horizontal="center" vertical="center" wrapText="1"/>
    </xf>
    <xf numFmtId="49" fontId="5" fillId="0" borderId="7" xfId="5" applyNumberFormat="1" applyFont="1" applyBorder="1" applyAlignment="1">
      <alignment horizontal="center" vertical="center" wrapText="1"/>
    </xf>
    <xf numFmtId="43" fontId="5" fillId="0" borderId="4" xfId="6" applyFont="1" applyFill="1" applyBorder="1" applyAlignment="1" applyProtection="1">
      <alignment horizontal="center" vertical="center" wrapText="1"/>
      <protection locked="0"/>
    </xf>
    <xf numFmtId="43" fontId="5" fillId="0" borderId="7" xfId="6" applyFont="1" applyFill="1" applyBorder="1" applyAlignment="1" applyProtection="1">
      <alignment horizontal="center" vertical="center" wrapText="1"/>
      <protection locked="0"/>
    </xf>
  </cellXfs>
  <cellStyles count="24">
    <cellStyle name="Comma" xfId="20" builtinId="3"/>
    <cellStyle name="Comma 2" xfId="3" xr:uid="{9C1CE4B5-736F-488E-9190-69946E416BEF}"/>
    <cellStyle name="Comma 3" xfId="6" xr:uid="{0964C275-693B-45D9-930D-B0B6CA6D2227}"/>
    <cellStyle name="Comma 3 4 2" xfId="8" xr:uid="{EEE54344-5F7C-4C31-B00E-AFCF8061C0D2}"/>
    <cellStyle name="Comma 4" xfId="2" xr:uid="{9767EF44-2F48-4FFF-8187-AB1A10C1DEDF}"/>
    <cellStyle name="Comma 5" xfId="22" xr:uid="{803B9DC9-11CD-4338-A4AC-AB5C4A65306A}"/>
    <cellStyle name="Comma 8" xfId="9" xr:uid="{B5E891AB-A4C0-4CF1-A16A-A2AB7676F69F}"/>
    <cellStyle name="Normal" xfId="0" builtinId="0"/>
    <cellStyle name="Normal 10" xfId="11" xr:uid="{4C5E2F10-25A3-4CD8-AF92-8B72B5701FFD}"/>
    <cellStyle name="Normal 2" xfId="1" xr:uid="{38CC561F-389E-47C8-84CF-FD57F51E001A}"/>
    <cellStyle name="Normal 2 2" xfId="23" xr:uid="{BC641B64-64F7-4DAF-BA45-19C2B0D168DE}"/>
    <cellStyle name="Normal 3" xfId="4" xr:uid="{5DC4DB59-0803-40AF-B6C2-ECA63432D50A}"/>
    <cellStyle name="Normal 3 2 2" xfId="12" xr:uid="{95ED1FB5-89F2-4657-9A54-9CC08F10E0A1}"/>
    <cellStyle name="Normal 3 3" xfId="5" xr:uid="{19CC8511-B21C-49DD-B4C1-F12F3F42A50C}"/>
    <cellStyle name="Normal 4" xfId="10" xr:uid="{097AA3C1-C4A0-4E49-A0DE-48AE16728481}"/>
    <cellStyle name="Normal 5" xfId="21" xr:uid="{209E99B3-7401-40D3-95C8-86080651DDDE}"/>
    <cellStyle name="Normal_INT-CERT 2_1" xfId="7" xr:uid="{D5FEA537-7DB2-42CF-81A4-D8F84C6C27C0}"/>
    <cellStyle name="S10" xfId="19" xr:uid="{3E54056C-0E93-420B-B98A-84B25FC9045C}"/>
    <cellStyle name="S11" xfId="15" xr:uid="{60CD8397-E6DC-4928-A7DF-D3FE894E07EC}"/>
    <cellStyle name="S12" xfId="16" xr:uid="{EFFE06F0-1A6F-4FE5-9F3C-ACDAF554F326}"/>
    <cellStyle name="S13" xfId="18" xr:uid="{A1A56BCE-3BEA-40E5-ACA2-C6FFB02D573F}"/>
    <cellStyle name="S6" xfId="13" xr:uid="{0C165EBF-857B-4D3E-A83C-87ACA73EC9E7}"/>
    <cellStyle name="S7" xfId="14" xr:uid="{1006E85D-DCA0-48FA-914C-A12AB3D04815}"/>
    <cellStyle name="S8" xfId="17" xr:uid="{2111EA60-EDA4-4B0F-9B54-FFB02EBE932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cosorio\Desktop\Dutco%20Tenders\Nakheel%20Mall%20Al%20Khail\Submission%2025.09.23\Al%20Khail%20Mall%20Extra%20Over%20BoQ%20Rev%2001%20-%2025.09.23%20working.xlsx" TargetMode="External"/><Relationship Id="rId1" Type="http://schemas.openxmlformats.org/officeDocument/2006/relationships/externalLinkPath" Target="file:///C:\Users\Mcosorio\Desktop\Dutco%20Tenders\Nakheel%20Mall%20Al%20Khail\Submission%2025.09.23\Al%20Khail%20Mall%20Extra%20Over%20BoQ%20Rev%2001%20-%2025.09.23%20wor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E SUMMARY"/>
      <sheetName val="DEM BoQ"/>
      <sheetName val="DEM-ET"/>
      <sheetName val="DEM-DE"/>
      <sheetName val="PL- BoQ"/>
      <sheetName val="SS-Design"/>
      <sheetName val="SS-Vertical"/>
      <sheetName val="SS-Horizontal"/>
      <sheetName val="SS-Others"/>
      <sheetName val="SS-Summary"/>
      <sheetName val="MT - BoQ"/>
      <sheetName val="MT-Bill 3C"/>
      <sheetName val="MT-Bill 3E"/>
      <sheetName val="MT-Bill 4C"/>
      <sheetName val="MT-Bill 4E"/>
      <sheetName val="MT-EO"/>
      <sheetName val="MT-Sum"/>
      <sheetName val="NDM"/>
      <sheetName val="RC-BoQ"/>
      <sheetName val="Sheet1"/>
      <sheetName val="BOQ-RATE ANALYSIS"/>
      <sheetName val="BOQ-00"/>
      <sheetName val="MS"/>
      <sheetName val="Sheet2"/>
      <sheetName val="Rebar"/>
      <sheetName val="Column"/>
      <sheetName val="d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B1">
            <v>7.6939999999999995E-2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E0812-0458-4DB3-8754-2173B795A728}">
  <dimension ref="A1:J50"/>
  <sheetViews>
    <sheetView view="pageBreakPreview" topLeftCell="A22" zoomScaleNormal="100" zoomScaleSheetLayoutView="100" workbookViewId="0">
      <selection activeCell="A24" sqref="A24:J24"/>
    </sheetView>
  </sheetViews>
  <sheetFormatPr defaultColWidth="8.6640625" defaultRowHeight="14.4" x14ac:dyDescent="0.3"/>
  <cols>
    <col min="1" max="16384" width="8.6640625" style="2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3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3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3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3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3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3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3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3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3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3">
      <c r="A22" s="287" t="s">
        <v>48</v>
      </c>
      <c r="B22" s="287"/>
      <c r="C22" s="287"/>
      <c r="D22" s="287"/>
      <c r="E22" s="287"/>
      <c r="F22" s="287"/>
      <c r="G22" s="287"/>
      <c r="H22" s="287"/>
      <c r="I22" s="287"/>
      <c r="J22" s="287"/>
    </row>
    <row r="23" spans="1:10" x14ac:dyDescent="0.3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15" customHeight="1" x14ac:dyDescent="0.3">
      <c r="A24" s="287" t="s">
        <v>63</v>
      </c>
      <c r="B24" s="287"/>
      <c r="C24" s="287"/>
      <c r="D24" s="287"/>
      <c r="E24" s="287"/>
      <c r="F24" s="287"/>
      <c r="G24" s="287"/>
      <c r="H24" s="287"/>
      <c r="I24" s="287"/>
      <c r="J24" s="287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 x14ac:dyDescent="0.3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x14ac:dyDescent="0.3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3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3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 x14ac:dyDescent="0.3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 x14ac:dyDescent="0.3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x14ac:dyDescent="0.3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x14ac:dyDescent="0.3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x14ac:dyDescent="0.3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x14ac:dyDescent="0.3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x14ac:dyDescent="0.3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x14ac:dyDescent="0.3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x14ac:dyDescent="0.3">
      <c r="A42" s="7"/>
      <c r="B42" s="8"/>
      <c r="C42" s="9"/>
      <c r="D42" s="10"/>
      <c r="E42" s="11"/>
      <c r="F42" s="11"/>
    </row>
    <row r="43" spans="1:10" x14ac:dyDescent="0.3">
      <c r="A43" s="7"/>
      <c r="B43" s="8"/>
      <c r="C43" s="9"/>
      <c r="D43" s="10"/>
      <c r="E43" s="11"/>
      <c r="F43" s="11"/>
    </row>
    <row r="44" spans="1:10" x14ac:dyDescent="0.3">
      <c r="A44" s="7"/>
      <c r="B44" s="8"/>
      <c r="C44" s="9"/>
      <c r="D44" s="10"/>
      <c r="E44" s="11"/>
      <c r="F44" s="11"/>
    </row>
    <row r="45" spans="1:10" x14ac:dyDescent="0.3">
      <c r="A45" s="7"/>
      <c r="B45" s="8"/>
      <c r="C45" s="9"/>
      <c r="D45" s="10"/>
      <c r="E45" s="11"/>
      <c r="F45" s="11"/>
    </row>
    <row r="46" spans="1:10" x14ac:dyDescent="0.3">
      <c r="A46" s="7"/>
      <c r="B46" s="8"/>
      <c r="C46" s="9"/>
      <c r="D46" s="10"/>
      <c r="E46" s="11"/>
      <c r="F46" s="11"/>
    </row>
    <row r="47" spans="1:10" x14ac:dyDescent="0.3">
      <c r="A47" s="7"/>
      <c r="B47" s="8"/>
      <c r="C47" s="9"/>
      <c r="D47" s="10"/>
      <c r="E47" s="11"/>
      <c r="F47" s="11"/>
    </row>
    <row r="48" spans="1:10" x14ac:dyDescent="0.3">
      <c r="A48" s="7"/>
      <c r="B48" s="8"/>
      <c r="C48" s="9"/>
      <c r="D48" s="10"/>
      <c r="E48" s="11"/>
      <c r="F48" s="11"/>
    </row>
    <row r="49" spans="1:6" x14ac:dyDescent="0.3">
      <c r="A49" s="7"/>
      <c r="B49" s="8"/>
      <c r="C49" s="9"/>
      <c r="D49" s="10"/>
      <c r="E49" s="11"/>
      <c r="F49" s="11"/>
    </row>
    <row r="50" spans="1:6" x14ac:dyDescent="0.3">
      <c r="A50" s="7"/>
      <c r="B50" s="8"/>
      <c r="C50" s="9"/>
      <c r="D50" s="10"/>
      <c r="E50" s="11"/>
      <c r="F50" s="11"/>
    </row>
  </sheetData>
  <mergeCells count="2">
    <mergeCell ref="A22:J22"/>
    <mergeCell ref="A24:J24"/>
  </mergeCells>
  <printOptions horizontalCentered="1"/>
  <pageMargins left="0.66929133858267698" right="0.196850393700787" top="0.82677165354330695" bottom="0.47" header="0.196850393700787" footer="0.24"/>
  <pageSetup paperSize="9" orientation="portrait" r:id="rId1"/>
  <headerFooter>
    <oddFooter>&amp;L&amp;8DMS 148704 BOQ - Nakheel Mall Al Khail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9DFB6-C4F4-41CC-A3C4-A1FF81746A49}">
  <dimension ref="A1:F651"/>
  <sheetViews>
    <sheetView view="pageBreakPreview" topLeftCell="A573" zoomScaleNormal="100" zoomScaleSheetLayoutView="100" zoomScalePageLayoutView="70" workbookViewId="0">
      <selection activeCell="E634" sqref="E634"/>
    </sheetView>
  </sheetViews>
  <sheetFormatPr defaultColWidth="9.33203125" defaultRowHeight="13.8" x14ac:dyDescent="0.25"/>
  <cols>
    <col min="1" max="1" width="5.6640625" style="91" customWidth="1"/>
    <col min="2" max="2" width="46" style="92" customWidth="1"/>
    <col min="3" max="3" width="10.6640625" style="93" customWidth="1"/>
    <col min="4" max="4" width="6.6640625" style="94" customWidth="1"/>
    <col min="5" max="5" width="15.33203125" style="118" customWidth="1"/>
    <col min="6" max="6" width="15.6640625" style="111" customWidth="1"/>
    <col min="7" max="16384" width="9.33203125" style="72"/>
  </cols>
  <sheetData>
    <row r="1" spans="1:6" s="65" customFormat="1" ht="14.4" x14ac:dyDescent="0.25">
      <c r="A1" s="288" t="s">
        <v>6</v>
      </c>
      <c r="B1" s="288" t="s">
        <v>0</v>
      </c>
      <c r="C1" s="290" t="s">
        <v>18</v>
      </c>
      <c r="D1" s="292" t="s">
        <v>19</v>
      </c>
      <c r="E1" s="113" t="s">
        <v>1</v>
      </c>
      <c r="F1" s="104" t="s">
        <v>20</v>
      </c>
    </row>
    <row r="2" spans="1:6" s="65" customFormat="1" ht="14.4" x14ac:dyDescent="0.25">
      <c r="A2" s="289"/>
      <c r="B2" s="289"/>
      <c r="C2" s="291"/>
      <c r="D2" s="293"/>
      <c r="E2" s="114" t="s">
        <v>21</v>
      </c>
      <c r="F2" s="105" t="s">
        <v>21</v>
      </c>
    </row>
    <row r="3" spans="1:6" s="65" customFormat="1" ht="14.4" x14ac:dyDescent="0.25">
      <c r="A3" s="66"/>
      <c r="B3" s="95"/>
      <c r="C3" s="67"/>
      <c r="D3" s="68"/>
      <c r="E3" s="115"/>
      <c r="F3" s="106"/>
    </row>
    <row r="4" spans="1:6" x14ac:dyDescent="0.25">
      <c r="A4" s="69"/>
      <c r="B4" s="96" t="s">
        <v>31</v>
      </c>
      <c r="C4" s="70"/>
      <c r="D4" s="71"/>
      <c r="E4" s="116"/>
      <c r="F4" s="107"/>
    </row>
    <row r="5" spans="1:6" x14ac:dyDescent="0.25">
      <c r="A5" s="69"/>
      <c r="B5" s="97"/>
      <c r="C5" s="70"/>
      <c r="D5" s="71"/>
      <c r="E5" s="116"/>
      <c r="F5" s="107"/>
    </row>
    <row r="6" spans="1:6" ht="27.6" x14ac:dyDescent="0.25">
      <c r="A6" s="69"/>
      <c r="B6" s="73" t="s">
        <v>64</v>
      </c>
      <c r="C6" s="70"/>
      <c r="D6" s="71"/>
      <c r="E6" s="116"/>
      <c r="F6" s="107"/>
    </row>
    <row r="7" spans="1:6" x14ac:dyDescent="0.25">
      <c r="A7" s="69"/>
      <c r="B7" s="100"/>
      <c r="C7" s="70"/>
      <c r="D7" s="71"/>
      <c r="E7" s="116"/>
      <c r="F7" s="107"/>
    </row>
    <row r="8" spans="1:6" ht="27.6" x14ac:dyDescent="0.25">
      <c r="A8" s="75"/>
      <c r="B8" s="98" t="s">
        <v>49</v>
      </c>
      <c r="C8" s="77"/>
      <c r="D8" s="78"/>
      <c r="E8" s="116"/>
      <c r="F8" s="107"/>
    </row>
    <row r="9" spans="1:6" x14ac:dyDescent="0.25">
      <c r="A9" s="69"/>
      <c r="B9" s="100"/>
      <c r="C9" s="70"/>
      <c r="D9" s="71"/>
      <c r="E9" s="116"/>
      <c r="F9" s="107"/>
    </row>
    <row r="10" spans="1:6" ht="55.2" x14ac:dyDescent="0.25">
      <c r="A10" s="75" t="s">
        <v>3</v>
      </c>
      <c r="B10" s="76" t="s">
        <v>50</v>
      </c>
      <c r="C10" s="77">
        <v>1</v>
      </c>
      <c r="D10" s="78" t="s">
        <v>51</v>
      </c>
      <c r="E10" s="116">
        <v>0</v>
      </c>
      <c r="F10" s="107" t="s">
        <v>46</v>
      </c>
    </row>
    <row r="11" spans="1:6" ht="39.6" x14ac:dyDescent="0.25">
      <c r="A11" s="69" t="s">
        <v>2</v>
      </c>
      <c r="B11" s="100" t="s">
        <v>52</v>
      </c>
      <c r="C11" s="70">
        <v>1</v>
      </c>
      <c r="D11" s="71" t="s">
        <v>51</v>
      </c>
      <c r="E11" s="116">
        <v>0</v>
      </c>
      <c r="F11" s="107" t="s">
        <v>46</v>
      </c>
    </row>
    <row r="12" spans="1:6" ht="55.2" x14ac:dyDescent="0.25">
      <c r="A12" s="75" t="s">
        <v>5</v>
      </c>
      <c r="B12" s="76" t="s">
        <v>53</v>
      </c>
      <c r="C12" s="77">
        <v>1</v>
      </c>
      <c r="D12" s="78" t="s">
        <v>51</v>
      </c>
      <c r="E12" s="116">
        <v>0</v>
      </c>
      <c r="F12" s="107" t="s">
        <v>46</v>
      </c>
    </row>
    <row r="13" spans="1:6" ht="92.4" x14ac:dyDescent="0.25">
      <c r="A13" s="69" t="s">
        <v>7</v>
      </c>
      <c r="B13" s="100" t="s">
        <v>54</v>
      </c>
      <c r="C13" s="70">
        <v>1</v>
      </c>
      <c r="D13" s="71" t="s">
        <v>51</v>
      </c>
      <c r="E13" s="116">
        <v>0</v>
      </c>
      <c r="F13" s="107" t="s">
        <v>46</v>
      </c>
    </row>
    <row r="14" spans="1:6" x14ac:dyDescent="0.25">
      <c r="A14" s="69"/>
      <c r="B14" s="100"/>
      <c r="C14" s="70"/>
      <c r="D14" s="71"/>
      <c r="E14" s="116"/>
      <c r="F14" s="107"/>
    </row>
    <row r="15" spans="1:6" x14ac:dyDescent="0.25">
      <c r="A15" s="69"/>
      <c r="B15" s="100"/>
      <c r="C15" s="70"/>
      <c r="D15" s="71"/>
      <c r="E15" s="116"/>
      <c r="F15" s="107"/>
    </row>
    <row r="16" spans="1:6" x14ac:dyDescent="0.25">
      <c r="A16" s="69"/>
      <c r="B16" s="100"/>
      <c r="C16" s="70"/>
      <c r="D16" s="71"/>
      <c r="E16" s="116"/>
      <c r="F16" s="107"/>
    </row>
    <row r="17" spans="1:6" x14ac:dyDescent="0.25">
      <c r="A17" s="69"/>
      <c r="B17" s="100"/>
      <c r="C17" s="70"/>
      <c r="D17" s="71"/>
      <c r="E17" s="116"/>
      <c r="F17" s="107"/>
    </row>
    <row r="18" spans="1:6" x14ac:dyDescent="0.25">
      <c r="A18" s="69"/>
      <c r="B18" s="100"/>
      <c r="C18" s="70"/>
      <c r="D18" s="71"/>
      <c r="E18" s="116"/>
      <c r="F18" s="107"/>
    </row>
    <row r="19" spans="1:6" x14ac:dyDescent="0.25">
      <c r="A19" s="69"/>
      <c r="B19" s="100"/>
      <c r="C19" s="70"/>
      <c r="D19" s="71"/>
      <c r="E19" s="116"/>
      <c r="F19" s="107"/>
    </row>
    <row r="20" spans="1:6" x14ac:dyDescent="0.25">
      <c r="A20" s="69"/>
      <c r="B20" s="100"/>
      <c r="C20" s="70"/>
      <c r="D20" s="71"/>
      <c r="E20" s="116"/>
      <c r="F20" s="107"/>
    </row>
    <row r="21" spans="1:6" x14ac:dyDescent="0.25">
      <c r="A21" s="69"/>
      <c r="B21" s="100"/>
      <c r="C21" s="70"/>
      <c r="D21" s="71"/>
      <c r="E21" s="116"/>
      <c r="F21" s="107"/>
    </row>
    <row r="22" spans="1:6" x14ac:dyDescent="0.25">
      <c r="A22" s="69"/>
      <c r="B22" s="100"/>
      <c r="C22" s="70"/>
      <c r="D22" s="71"/>
      <c r="E22" s="116"/>
      <c r="F22" s="107"/>
    </row>
    <row r="23" spans="1:6" x14ac:dyDescent="0.25">
      <c r="A23" s="69"/>
      <c r="B23" s="100"/>
      <c r="C23" s="70"/>
      <c r="D23" s="71"/>
      <c r="E23" s="116"/>
      <c r="F23" s="107"/>
    </row>
    <row r="24" spans="1:6" x14ac:dyDescent="0.25">
      <c r="A24" s="69"/>
      <c r="B24" s="100"/>
      <c r="C24" s="70"/>
      <c r="D24" s="71"/>
      <c r="E24" s="116"/>
      <c r="F24" s="107"/>
    </row>
    <row r="25" spans="1:6" x14ac:dyDescent="0.25">
      <c r="A25" s="69"/>
      <c r="B25" s="100"/>
      <c r="C25" s="70"/>
      <c r="D25" s="71"/>
      <c r="E25" s="116"/>
      <c r="F25" s="107"/>
    </row>
    <row r="26" spans="1:6" x14ac:dyDescent="0.25">
      <c r="A26" s="69"/>
      <c r="B26" s="100"/>
      <c r="C26" s="70"/>
      <c r="D26" s="71"/>
      <c r="E26" s="116"/>
      <c r="F26" s="107"/>
    </row>
    <row r="27" spans="1:6" x14ac:dyDescent="0.25">
      <c r="A27" s="69"/>
      <c r="B27" s="100"/>
      <c r="C27" s="70"/>
      <c r="D27" s="71"/>
      <c r="E27" s="116"/>
      <c r="F27" s="107"/>
    </row>
    <row r="28" spans="1:6" x14ac:dyDescent="0.25">
      <c r="A28" s="69"/>
      <c r="B28" s="100"/>
      <c r="C28" s="70"/>
      <c r="D28" s="71"/>
      <c r="E28" s="116"/>
      <c r="F28" s="107"/>
    </row>
    <row r="29" spans="1:6" x14ac:dyDescent="0.25">
      <c r="A29" s="69"/>
      <c r="B29" s="100"/>
      <c r="C29" s="70"/>
      <c r="D29" s="71"/>
      <c r="E29" s="116"/>
      <c r="F29" s="107"/>
    </row>
    <row r="30" spans="1:6" x14ac:dyDescent="0.25">
      <c r="A30" s="69"/>
      <c r="B30" s="100"/>
      <c r="C30" s="70"/>
      <c r="D30" s="71"/>
      <c r="E30" s="116"/>
      <c r="F30" s="107"/>
    </row>
    <row r="31" spans="1:6" x14ac:dyDescent="0.25">
      <c r="A31" s="69"/>
      <c r="B31" s="100"/>
      <c r="C31" s="70"/>
      <c r="D31" s="71"/>
      <c r="E31" s="116"/>
      <c r="F31" s="107"/>
    </row>
    <row r="32" spans="1:6" x14ac:dyDescent="0.25">
      <c r="A32" s="69"/>
      <c r="B32" s="100"/>
      <c r="C32" s="70"/>
      <c r="D32" s="71"/>
      <c r="E32" s="116"/>
      <c r="F32" s="107"/>
    </row>
    <row r="33" spans="1:6" x14ac:dyDescent="0.25">
      <c r="A33" s="69"/>
      <c r="B33" s="100"/>
      <c r="C33" s="70"/>
      <c r="D33" s="71"/>
      <c r="E33" s="116"/>
      <c r="F33" s="107"/>
    </row>
    <row r="34" spans="1:6" x14ac:dyDescent="0.25">
      <c r="A34" s="69"/>
      <c r="B34" s="100"/>
      <c r="C34" s="70"/>
      <c r="D34" s="71"/>
      <c r="E34" s="116"/>
      <c r="F34" s="107"/>
    </row>
    <row r="35" spans="1:6" x14ac:dyDescent="0.25">
      <c r="A35" s="69"/>
      <c r="B35" s="100"/>
      <c r="C35" s="70"/>
      <c r="D35" s="71"/>
      <c r="E35" s="116"/>
      <c r="F35" s="107"/>
    </row>
    <row r="36" spans="1:6" x14ac:dyDescent="0.25">
      <c r="A36" s="69"/>
      <c r="B36" s="100"/>
      <c r="C36" s="70"/>
      <c r="D36" s="71"/>
      <c r="E36" s="116"/>
      <c r="F36" s="107"/>
    </row>
    <row r="37" spans="1:6" x14ac:dyDescent="0.25">
      <c r="A37" s="69"/>
      <c r="B37" s="100"/>
      <c r="C37" s="70"/>
      <c r="D37" s="71"/>
      <c r="E37" s="116"/>
      <c r="F37" s="107"/>
    </row>
    <row r="38" spans="1:6" x14ac:dyDescent="0.25">
      <c r="A38" s="69"/>
      <c r="B38" s="100"/>
      <c r="C38" s="70"/>
      <c r="D38" s="71"/>
      <c r="E38" s="116"/>
      <c r="F38" s="107"/>
    </row>
    <row r="39" spans="1:6" x14ac:dyDescent="0.25">
      <c r="A39" s="69"/>
      <c r="B39" s="100"/>
      <c r="C39" s="70"/>
      <c r="D39" s="71"/>
      <c r="E39" s="116"/>
      <c r="F39" s="107"/>
    </row>
    <row r="40" spans="1:6" x14ac:dyDescent="0.25">
      <c r="A40" s="69"/>
      <c r="B40" s="100"/>
      <c r="C40" s="70"/>
      <c r="D40" s="71"/>
      <c r="E40" s="116"/>
      <c r="F40" s="107"/>
    </row>
    <row r="41" spans="1:6" x14ac:dyDescent="0.25">
      <c r="A41" s="69"/>
      <c r="B41" s="100"/>
      <c r="C41" s="70"/>
      <c r="D41" s="71"/>
      <c r="E41" s="116"/>
      <c r="F41" s="107"/>
    </row>
    <row r="42" spans="1:6" x14ac:dyDescent="0.25">
      <c r="A42" s="74"/>
      <c r="B42" s="96"/>
      <c r="C42" s="74"/>
      <c r="D42" s="79"/>
      <c r="E42" s="116"/>
      <c r="F42" s="107"/>
    </row>
    <row r="43" spans="1:6" x14ac:dyDescent="0.25">
      <c r="A43" s="80"/>
      <c r="B43" s="81"/>
      <c r="C43" s="82"/>
      <c r="D43" s="83"/>
      <c r="E43" s="117"/>
      <c r="F43" s="108"/>
    </row>
    <row r="44" spans="1:6" x14ac:dyDescent="0.25">
      <c r="A44" s="84"/>
      <c r="B44" s="85"/>
      <c r="C44" s="86" t="s">
        <v>22</v>
      </c>
      <c r="D44" s="86"/>
      <c r="E44" s="118" t="s">
        <v>21</v>
      </c>
      <c r="F44" s="109">
        <f>SUM(F10:F13)</f>
        <v>0</v>
      </c>
    </row>
    <row r="45" spans="1:6" x14ac:dyDescent="0.25">
      <c r="A45" s="84"/>
      <c r="B45" s="85"/>
      <c r="C45" s="87"/>
      <c r="D45" s="88"/>
      <c r="E45" s="119"/>
      <c r="F45" s="110"/>
    </row>
    <row r="46" spans="1:6" x14ac:dyDescent="0.25">
      <c r="A46" s="69"/>
      <c r="B46" s="100"/>
      <c r="C46" s="70"/>
      <c r="D46" s="71"/>
      <c r="E46" s="116"/>
      <c r="F46" s="107"/>
    </row>
    <row r="47" spans="1:6" ht="27.6" x14ac:dyDescent="0.25">
      <c r="A47" s="69"/>
      <c r="B47" s="73" t="s">
        <v>65</v>
      </c>
      <c r="C47" s="70"/>
      <c r="D47" s="71"/>
      <c r="E47" s="116"/>
      <c r="F47" s="107"/>
    </row>
    <row r="48" spans="1:6" x14ac:dyDescent="0.25">
      <c r="A48" s="69"/>
      <c r="B48" s="100"/>
      <c r="C48" s="70"/>
      <c r="D48" s="71"/>
      <c r="E48" s="116"/>
      <c r="F48" s="107"/>
    </row>
    <row r="49" spans="1:6" ht="27.6" x14ac:dyDescent="0.25">
      <c r="A49" s="75"/>
      <c r="B49" s="76" t="s">
        <v>32</v>
      </c>
      <c r="C49" s="127"/>
      <c r="D49" s="125"/>
      <c r="E49" s="123"/>
      <c r="F49" s="124"/>
    </row>
    <row r="50" spans="1:6" x14ac:dyDescent="0.25">
      <c r="A50" s="69"/>
      <c r="B50" s="100"/>
      <c r="C50" s="69"/>
      <c r="D50" s="126"/>
      <c r="E50" s="123"/>
      <c r="F50" s="124"/>
    </row>
    <row r="51" spans="1:6" ht="41.4" x14ac:dyDescent="0.25">
      <c r="A51" s="75" t="s">
        <v>3</v>
      </c>
      <c r="B51" s="76" t="s">
        <v>55</v>
      </c>
      <c r="C51" s="128">
        <v>1.2809999999999999</v>
      </c>
      <c r="D51" s="125" t="s">
        <v>45</v>
      </c>
      <c r="E51" s="123">
        <v>12790</v>
      </c>
      <c r="F51" s="124">
        <f>+C51*E51</f>
        <v>16383.99</v>
      </c>
    </row>
    <row r="52" spans="1:6" x14ac:dyDescent="0.25">
      <c r="A52" s="69"/>
      <c r="B52" s="100"/>
      <c r="C52" s="129"/>
      <c r="D52" s="126"/>
      <c r="E52" s="123"/>
      <c r="F52" s="124"/>
    </row>
    <row r="53" spans="1:6" ht="41.4" x14ac:dyDescent="0.25">
      <c r="A53" s="75" t="s">
        <v>2</v>
      </c>
      <c r="B53" s="76" t="s">
        <v>56</v>
      </c>
      <c r="C53" s="128">
        <v>5.9703749999999989</v>
      </c>
      <c r="D53" s="125" t="s">
        <v>45</v>
      </c>
      <c r="E53" s="123">
        <v>12790</v>
      </c>
      <c r="F53" s="124">
        <f>+C53*E53</f>
        <v>76361.096249999988</v>
      </c>
    </row>
    <row r="54" spans="1:6" x14ac:dyDescent="0.25">
      <c r="A54" s="69"/>
      <c r="B54" s="100"/>
      <c r="C54" s="129"/>
      <c r="D54" s="126"/>
      <c r="E54" s="123"/>
      <c r="F54" s="124"/>
    </row>
    <row r="55" spans="1:6" ht="41.4" x14ac:dyDescent="0.25">
      <c r="A55" s="75" t="s">
        <v>5</v>
      </c>
      <c r="B55" s="76" t="s">
        <v>57</v>
      </c>
      <c r="C55" s="128">
        <v>25.528499999999994</v>
      </c>
      <c r="D55" s="125" t="s">
        <v>45</v>
      </c>
      <c r="E55" s="123">
        <v>12790</v>
      </c>
      <c r="F55" s="124">
        <f>+C55*E55</f>
        <v>326509.5149999999</v>
      </c>
    </row>
    <row r="56" spans="1:6" x14ac:dyDescent="0.25">
      <c r="A56" s="69"/>
      <c r="B56" s="100"/>
      <c r="C56" s="129"/>
      <c r="D56" s="126"/>
      <c r="E56" s="123"/>
      <c r="F56" s="124"/>
    </row>
    <row r="57" spans="1:6" ht="41.4" x14ac:dyDescent="0.25">
      <c r="A57" s="75" t="s">
        <v>7</v>
      </c>
      <c r="B57" s="76" t="s">
        <v>58</v>
      </c>
      <c r="C57" s="128">
        <v>3.4769999999999994</v>
      </c>
      <c r="D57" s="125" t="s">
        <v>45</v>
      </c>
      <c r="E57" s="123">
        <v>12790</v>
      </c>
      <c r="F57" s="124">
        <f>+C57*E57</f>
        <v>44470.829999999994</v>
      </c>
    </row>
    <row r="58" spans="1:6" x14ac:dyDescent="0.25">
      <c r="A58" s="69"/>
      <c r="B58" s="100"/>
      <c r="C58" s="129"/>
      <c r="D58" s="126"/>
      <c r="E58" s="123"/>
      <c r="F58" s="124"/>
    </row>
    <row r="59" spans="1:6" ht="41.4" x14ac:dyDescent="0.25">
      <c r="A59" s="75" t="s">
        <v>8</v>
      </c>
      <c r="B59" s="76" t="s">
        <v>59</v>
      </c>
      <c r="C59" s="128">
        <v>2.3332499999999996</v>
      </c>
      <c r="D59" s="125" t="s">
        <v>45</v>
      </c>
      <c r="E59" s="123">
        <v>12790</v>
      </c>
      <c r="F59" s="124">
        <f>+C59*E59</f>
        <v>29842.267499999994</v>
      </c>
    </row>
    <row r="60" spans="1:6" x14ac:dyDescent="0.25">
      <c r="A60" s="69"/>
      <c r="B60" s="100"/>
      <c r="C60" s="129"/>
      <c r="D60" s="126"/>
      <c r="E60" s="123"/>
      <c r="F60" s="124"/>
    </row>
    <row r="61" spans="1:6" ht="41.4" x14ac:dyDescent="0.25">
      <c r="A61" s="75" t="s">
        <v>9</v>
      </c>
      <c r="B61" s="76" t="s">
        <v>60</v>
      </c>
      <c r="C61" s="128">
        <v>5.9703749999999989</v>
      </c>
      <c r="D61" s="125" t="s">
        <v>45</v>
      </c>
      <c r="E61" s="123">
        <v>12790</v>
      </c>
      <c r="F61" s="124">
        <f>+C61*E61</f>
        <v>76361.096249999988</v>
      </c>
    </row>
    <row r="62" spans="1:6" x14ac:dyDescent="0.25">
      <c r="A62" s="69"/>
      <c r="B62" s="100"/>
      <c r="C62" s="129"/>
      <c r="D62" s="126"/>
      <c r="E62" s="123"/>
      <c r="F62" s="124"/>
    </row>
    <row r="63" spans="1:6" ht="41.4" x14ac:dyDescent="0.25">
      <c r="A63" s="75" t="s">
        <v>10</v>
      </c>
      <c r="B63" s="76" t="s">
        <v>61</v>
      </c>
      <c r="C63" s="128">
        <v>7.0454999999999988</v>
      </c>
      <c r="D63" s="125" t="s">
        <v>45</v>
      </c>
      <c r="E63" s="123">
        <v>12790</v>
      </c>
      <c r="F63" s="124">
        <f>+C63*E63</f>
        <v>90111.944999999978</v>
      </c>
    </row>
    <row r="64" spans="1:6" x14ac:dyDescent="0.25">
      <c r="A64" s="69"/>
      <c r="B64" s="100"/>
      <c r="C64" s="129"/>
      <c r="D64" s="126"/>
      <c r="E64" s="123"/>
      <c r="F64" s="124"/>
    </row>
    <row r="65" spans="1:6" ht="41.4" x14ac:dyDescent="0.25">
      <c r="A65" s="75" t="s">
        <v>11</v>
      </c>
      <c r="B65" s="76" t="s">
        <v>62</v>
      </c>
      <c r="C65" s="128">
        <v>5.6729999999999992</v>
      </c>
      <c r="D65" s="125" t="s">
        <v>45</v>
      </c>
      <c r="E65" s="123">
        <v>12790</v>
      </c>
      <c r="F65" s="124">
        <f>+C65*E65</f>
        <v>72557.669999999984</v>
      </c>
    </row>
    <row r="66" spans="1:6" x14ac:dyDescent="0.25">
      <c r="A66" s="69"/>
      <c r="B66" s="100"/>
      <c r="C66" s="69"/>
      <c r="D66" s="126"/>
      <c r="E66" s="123"/>
      <c r="F66" s="124"/>
    </row>
    <row r="67" spans="1:6" x14ac:dyDescent="0.25">
      <c r="A67" s="75"/>
      <c r="B67" s="76"/>
      <c r="C67" s="127"/>
      <c r="D67" s="125"/>
      <c r="E67" s="123"/>
      <c r="F67" s="124"/>
    </row>
    <row r="68" spans="1:6" x14ac:dyDescent="0.25">
      <c r="A68" s="69"/>
      <c r="B68" s="100"/>
      <c r="C68" s="69"/>
      <c r="D68" s="126"/>
      <c r="E68" s="123"/>
      <c r="F68" s="124"/>
    </row>
    <row r="69" spans="1:6" x14ac:dyDescent="0.25">
      <c r="A69" s="75"/>
      <c r="B69" s="76"/>
      <c r="C69" s="127"/>
      <c r="D69" s="125"/>
      <c r="E69" s="123"/>
      <c r="F69" s="124"/>
    </row>
    <row r="70" spans="1:6" x14ac:dyDescent="0.25">
      <c r="A70" s="69"/>
      <c r="B70" s="73"/>
      <c r="C70" s="69"/>
      <c r="D70" s="126"/>
      <c r="E70" s="123"/>
      <c r="F70" s="124"/>
    </row>
    <row r="71" spans="1:6" x14ac:dyDescent="0.25">
      <c r="A71" s="69"/>
      <c r="B71" s="73"/>
      <c r="C71" s="70"/>
      <c r="D71" s="71"/>
      <c r="E71" s="116"/>
      <c r="F71" s="107"/>
    </row>
    <row r="72" spans="1:6" x14ac:dyDescent="0.25">
      <c r="A72" s="69"/>
      <c r="B72" s="101"/>
      <c r="C72" s="70"/>
      <c r="D72" s="71"/>
      <c r="E72" s="116"/>
      <c r="F72" s="107"/>
    </row>
    <row r="73" spans="1:6" x14ac:dyDescent="0.25">
      <c r="A73" s="80"/>
      <c r="B73" s="81"/>
      <c r="C73" s="82"/>
      <c r="D73" s="83"/>
      <c r="E73" s="117"/>
      <c r="F73" s="108"/>
    </row>
    <row r="74" spans="1:6" x14ac:dyDescent="0.25">
      <c r="A74" s="84"/>
      <c r="B74" s="85"/>
      <c r="C74" s="86" t="s">
        <v>22</v>
      </c>
      <c r="D74" s="86"/>
      <c r="E74" s="118" t="s">
        <v>21</v>
      </c>
      <c r="F74" s="109">
        <f>SUM(F48:F71)</f>
        <v>732598.40999999992</v>
      </c>
    </row>
    <row r="75" spans="1:6" x14ac:dyDescent="0.25">
      <c r="A75" s="84"/>
      <c r="B75" s="85"/>
      <c r="C75" s="87"/>
      <c r="D75" s="88"/>
      <c r="E75" s="119"/>
      <c r="F75" s="110"/>
    </row>
    <row r="76" spans="1:6" x14ac:dyDescent="0.25">
      <c r="A76" s="69"/>
      <c r="B76" s="100"/>
      <c r="C76" s="70"/>
      <c r="D76" s="71"/>
      <c r="E76" s="116"/>
      <c r="F76" s="107"/>
    </row>
    <row r="77" spans="1:6" ht="27.6" x14ac:dyDescent="0.25">
      <c r="A77" s="69"/>
      <c r="B77" s="73" t="s">
        <v>65</v>
      </c>
      <c r="C77" s="70"/>
      <c r="D77" s="71"/>
      <c r="E77" s="116"/>
      <c r="F77" s="107"/>
    </row>
    <row r="78" spans="1:6" x14ac:dyDescent="0.25">
      <c r="A78" s="69"/>
      <c r="B78" s="100"/>
      <c r="C78" s="70"/>
      <c r="D78" s="71"/>
      <c r="E78" s="116"/>
      <c r="F78" s="107"/>
    </row>
    <row r="79" spans="1:6" ht="41.4" x14ac:dyDescent="0.25">
      <c r="A79" s="75" t="s">
        <v>3</v>
      </c>
      <c r="B79" s="76" t="s">
        <v>66</v>
      </c>
      <c r="C79" s="128">
        <v>40.763249999999999</v>
      </c>
      <c r="D79" s="125" t="s">
        <v>45</v>
      </c>
      <c r="E79" s="123">
        <v>12790</v>
      </c>
      <c r="F79" s="124">
        <f>C79*E79</f>
        <v>521361.96749999997</v>
      </c>
    </row>
    <row r="80" spans="1:6" x14ac:dyDescent="0.25">
      <c r="A80" s="69"/>
      <c r="B80" s="100"/>
      <c r="C80" s="129"/>
      <c r="D80" s="71"/>
      <c r="E80" s="123"/>
      <c r="F80" s="124"/>
    </row>
    <row r="81" spans="1:6" ht="41.4" x14ac:dyDescent="0.25">
      <c r="A81" s="75" t="s">
        <v>2</v>
      </c>
      <c r="B81" s="76" t="s">
        <v>67</v>
      </c>
      <c r="C81" s="128">
        <v>94.793999999999997</v>
      </c>
      <c r="D81" s="125" t="s">
        <v>45</v>
      </c>
      <c r="E81" s="123">
        <v>12790</v>
      </c>
      <c r="F81" s="124">
        <f>C81*E81</f>
        <v>1212415.26</v>
      </c>
    </row>
    <row r="82" spans="1:6" x14ac:dyDescent="0.25">
      <c r="A82" s="69"/>
      <c r="B82" s="100"/>
      <c r="C82" s="129"/>
      <c r="D82" s="71"/>
      <c r="E82" s="123"/>
      <c r="F82" s="124"/>
    </row>
    <row r="83" spans="1:6" ht="41.4" x14ac:dyDescent="0.25">
      <c r="A83" s="75" t="s">
        <v>5</v>
      </c>
      <c r="B83" s="76" t="s">
        <v>68</v>
      </c>
      <c r="C83" s="128">
        <v>9.9734999999999996</v>
      </c>
      <c r="D83" s="125" t="s">
        <v>45</v>
      </c>
      <c r="E83" s="123">
        <v>12790</v>
      </c>
      <c r="F83" s="124">
        <f>C83*E83</f>
        <v>127561.06499999999</v>
      </c>
    </row>
    <row r="84" spans="1:6" x14ac:dyDescent="0.25">
      <c r="A84" s="69"/>
      <c r="B84" s="100"/>
      <c r="C84" s="129"/>
      <c r="D84" s="71"/>
      <c r="E84" s="123"/>
      <c r="F84" s="124"/>
    </row>
    <row r="85" spans="1:6" ht="41.4" x14ac:dyDescent="0.25">
      <c r="A85" s="75" t="s">
        <v>7</v>
      </c>
      <c r="B85" s="76" t="s">
        <v>69</v>
      </c>
      <c r="C85" s="128">
        <v>11.8035</v>
      </c>
      <c r="D85" s="125" t="s">
        <v>45</v>
      </c>
      <c r="E85" s="123">
        <v>12790</v>
      </c>
      <c r="F85" s="124">
        <f>C85*E85</f>
        <v>150966.76499999998</v>
      </c>
    </row>
    <row r="86" spans="1:6" x14ac:dyDescent="0.25">
      <c r="A86" s="69"/>
      <c r="B86" s="100"/>
      <c r="C86" s="129"/>
      <c r="D86" s="71"/>
      <c r="E86" s="123"/>
      <c r="F86" s="124"/>
    </row>
    <row r="87" spans="1:6" ht="41.4" x14ac:dyDescent="0.25">
      <c r="A87" s="75" t="s">
        <v>8</v>
      </c>
      <c r="B87" s="76" t="s">
        <v>70</v>
      </c>
      <c r="C87" s="128">
        <v>33.305999999999997</v>
      </c>
      <c r="D87" s="125" t="s">
        <v>45</v>
      </c>
      <c r="E87" s="123">
        <v>12790</v>
      </c>
      <c r="F87" s="124">
        <f>C87*E87</f>
        <v>425983.74</v>
      </c>
    </row>
    <row r="88" spans="1:6" x14ac:dyDescent="0.25">
      <c r="A88" s="69"/>
      <c r="B88" s="100"/>
      <c r="C88" s="129"/>
      <c r="D88" s="71"/>
      <c r="E88" s="123"/>
      <c r="F88" s="124"/>
    </row>
    <row r="89" spans="1:6" ht="41.4" x14ac:dyDescent="0.25">
      <c r="A89" s="75" t="s">
        <v>9</v>
      </c>
      <c r="B89" s="76" t="s">
        <v>71</v>
      </c>
      <c r="C89" s="128">
        <v>165.066</v>
      </c>
      <c r="D89" s="125" t="s">
        <v>45</v>
      </c>
      <c r="E89" s="123">
        <v>12790</v>
      </c>
      <c r="F89" s="124">
        <f>C89*E89</f>
        <v>2111194.14</v>
      </c>
    </row>
    <row r="90" spans="1:6" x14ac:dyDescent="0.25">
      <c r="A90" s="69"/>
      <c r="B90" s="100"/>
      <c r="C90" s="129"/>
      <c r="D90" s="71"/>
      <c r="E90" s="123"/>
      <c r="F90" s="124"/>
    </row>
    <row r="91" spans="1:6" ht="41.4" x14ac:dyDescent="0.25">
      <c r="A91" s="75" t="s">
        <v>10</v>
      </c>
      <c r="B91" s="76" t="s">
        <v>72</v>
      </c>
      <c r="C91" s="128">
        <v>4.9410000000000007</v>
      </c>
      <c r="D91" s="125" t="s">
        <v>45</v>
      </c>
      <c r="E91" s="123">
        <v>12790</v>
      </c>
      <c r="F91" s="124">
        <f>C91*E91</f>
        <v>63195.390000000007</v>
      </c>
    </row>
    <row r="92" spans="1:6" x14ac:dyDescent="0.25">
      <c r="A92" s="69"/>
      <c r="B92" s="100"/>
      <c r="C92" s="129"/>
      <c r="D92" s="71"/>
      <c r="E92" s="123"/>
      <c r="F92" s="124"/>
    </row>
    <row r="93" spans="1:6" ht="41.4" x14ac:dyDescent="0.25">
      <c r="A93" s="75" t="s">
        <v>11</v>
      </c>
      <c r="B93" s="76" t="s">
        <v>73</v>
      </c>
      <c r="C93" s="128">
        <v>5.3374999999999995</v>
      </c>
      <c r="D93" s="125" t="s">
        <v>45</v>
      </c>
      <c r="E93" s="123">
        <v>12790</v>
      </c>
      <c r="F93" s="124">
        <f>C93*E93</f>
        <v>68266.625</v>
      </c>
    </row>
    <row r="94" spans="1:6" x14ac:dyDescent="0.25">
      <c r="A94" s="69"/>
      <c r="B94" s="100"/>
      <c r="C94" s="129"/>
      <c r="D94" s="71"/>
      <c r="E94" s="123"/>
      <c r="F94" s="124"/>
    </row>
    <row r="95" spans="1:6" ht="41.4" x14ac:dyDescent="0.25">
      <c r="A95" s="75" t="s">
        <v>13</v>
      </c>
      <c r="B95" s="76" t="s">
        <v>74</v>
      </c>
      <c r="C95" s="128">
        <v>12.962499999999999</v>
      </c>
      <c r="D95" s="125" t="s">
        <v>45</v>
      </c>
      <c r="E95" s="123">
        <v>12790</v>
      </c>
      <c r="F95" s="124">
        <f>C95*E95</f>
        <v>165790.37499999997</v>
      </c>
    </row>
    <row r="96" spans="1:6" x14ac:dyDescent="0.25">
      <c r="A96" s="69"/>
      <c r="B96" s="100"/>
      <c r="C96" s="129"/>
      <c r="D96" s="71"/>
      <c r="E96" s="123"/>
      <c r="F96" s="124"/>
    </row>
    <row r="97" spans="1:6" ht="41.4" x14ac:dyDescent="0.25">
      <c r="A97" s="75" t="s">
        <v>14</v>
      </c>
      <c r="B97" s="76" t="s">
        <v>75</v>
      </c>
      <c r="C97" s="128">
        <v>2.1502499999999993</v>
      </c>
      <c r="D97" s="125" t="s">
        <v>45</v>
      </c>
      <c r="E97" s="123">
        <v>12790</v>
      </c>
      <c r="F97" s="124">
        <f>C97*E97</f>
        <v>27501.697499999991</v>
      </c>
    </row>
    <row r="98" spans="1:6" x14ac:dyDescent="0.25">
      <c r="A98" s="69"/>
      <c r="B98" s="100"/>
      <c r="C98" s="70"/>
      <c r="D98" s="71"/>
      <c r="E98" s="116"/>
      <c r="F98" s="107"/>
    </row>
    <row r="99" spans="1:6" x14ac:dyDescent="0.25">
      <c r="A99" s="74"/>
      <c r="B99" s="96"/>
      <c r="C99" s="74"/>
      <c r="D99" s="79"/>
      <c r="E99" s="116"/>
      <c r="F99" s="107"/>
    </row>
    <row r="100" spans="1:6" x14ac:dyDescent="0.25">
      <c r="A100" s="74"/>
      <c r="B100" s="96"/>
      <c r="C100" s="74"/>
      <c r="D100" s="79"/>
      <c r="E100" s="116"/>
      <c r="F100" s="107"/>
    </row>
    <row r="101" spans="1:6" x14ac:dyDescent="0.25">
      <c r="A101" s="74"/>
      <c r="B101" s="96"/>
      <c r="C101" s="74"/>
      <c r="D101" s="79"/>
      <c r="E101" s="116"/>
      <c r="F101" s="107"/>
    </row>
    <row r="102" spans="1:6" x14ac:dyDescent="0.25">
      <c r="A102" s="69"/>
      <c r="B102" s="73"/>
      <c r="C102" s="70"/>
      <c r="D102" s="71"/>
      <c r="E102" s="116"/>
      <c r="F102" s="107"/>
    </row>
    <row r="103" spans="1:6" x14ac:dyDescent="0.25">
      <c r="A103" s="69"/>
      <c r="B103" s="100"/>
      <c r="C103" s="70"/>
      <c r="D103" s="71"/>
      <c r="E103" s="116"/>
      <c r="F103" s="107"/>
    </row>
    <row r="104" spans="1:6" x14ac:dyDescent="0.25">
      <c r="A104" s="75"/>
      <c r="B104" s="99"/>
      <c r="C104" s="77"/>
      <c r="D104" s="78"/>
      <c r="E104" s="116"/>
      <c r="F104" s="107"/>
    </row>
    <row r="105" spans="1:6" x14ac:dyDescent="0.25">
      <c r="A105" s="80"/>
      <c r="B105" s="81"/>
      <c r="C105" s="82"/>
      <c r="D105" s="83"/>
      <c r="E105" s="117"/>
      <c r="F105" s="108"/>
    </row>
    <row r="106" spans="1:6" x14ac:dyDescent="0.25">
      <c r="A106" s="84"/>
      <c r="B106" s="85"/>
      <c r="C106" s="86" t="s">
        <v>22</v>
      </c>
      <c r="D106" s="86"/>
      <c r="E106" s="118" t="s">
        <v>21</v>
      </c>
      <c r="F106" s="109">
        <f>SUM(F78:F100)</f>
        <v>4874237.0249999994</v>
      </c>
    </row>
    <row r="107" spans="1:6" x14ac:dyDescent="0.25">
      <c r="A107" s="84"/>
      <c r="B107" s="85"/>
      <c r="C107" s="87"/>
      <c r="D107" s="88"/>
      <c r="E107" s="119"/>
      <c r="F107" s="110"/>
    </row>
    <row r="108" spans="1:6" x14ac:dyDescent="0.25">
      <c r="A108" s="75"/>
      <c r="B108" s="98"/>
      <c r="C108" s="77"/>
      <c r="D108" s="78"/>
      <c r="E108" s="116"/>
      <c r="F108" s="107"/>
    </row>
    <row r="109" spans="1:6" ht="27.6" x14ac:dyDescent="0.25">
      <c r="A109" s="69"/>
      <c r="B109" s="73" t="s">
        <v>65</v>
      </c>
      <c r="C109" s="70"/>
      <c r="D109" s="71"/>
      <c r="E109" s="116"/>
      <c r="F109" s="107"/>
    </row>
    <row r="110" spans="1:6" x14ac:dyDescent="0.25">
      <c r="A110" s="69"/>
      <c r="B110" s="100"/>
      <c r="C110" s="70"/>
      <c r="D110" s="71"/>
      <c r="E110" s="116"/>
      <c r="F110" s="107"/>
    </row>
    <row r="111" spans="1:6" ht="27.6" x14ac:dyDescent="0.25">
      <c r="A111" s="75" t="s">
        <v>3</v>
      </c>
      <c r="B111" s="76" t="s">
        <v>76</v>
      </c>
      <c r="C111" s="128">
        <v>1.647</v>
      </c>
      <c r="D111" s="125" t="s">
        <v>45</v>
      </c>
      <c r="E111" s="123">
        <v>12790</v>
      </c>
      <c r="F111" s="124">
        <f>C111*E111</f>
        <v>21065.13</v>
      </c>
    </row>
    <row r="112" spans="1:6" x14ac:dyDescent="0.25">
      <c r="A112" s="69"/>
      <c r="B112" s="100"/>
      <c r="C112" s="129"/>
      <c r="D112" s="71"/>
      <c r="E112" s="123"/>
      <c r="F112" s="124"/>
    </row>
    <row r="113" spans="1:6" ht="41.4" x14ac:dyDescent="0.25">
      <c r="A113" s="75" t="s">
        <v>2</v>
      </c>
      <c r="B113" s="76" t="s">
        <v>77</v>
      </c>
      <c r="C113" s="128">
        <v>13.930874999999999</v>
      </c>
      <c r="D113" s="125" t="s">
        <v>45</v>
      </c>
      <c r="E113" s="123">
        <v>12790</v>
      </c>
      <c r="F113" s="124">
        <f>C113*E113</f>
        <v>178175.89124999999</v>
      </c>
    </row>
    <row r="114" spans="1:6" x14ac:dyDescent="0.25">
      <c r="A114" s="69"/>
      <c r="B114" s="100"/>
      <c r="C114" s="129"/>
      <c r="D114" s="71"/>
      <c r="E114" s="123"/>
      <c r="F114" s="124"/>
    </row>
    <row r="115" spans="1:6" ht="41.4" x14ac:dyDescent="0.25">
      <c r="A115" s="75" t="s">
        <v>5</v>
      </c>
      <c r="B115" s="76" t="s">
        <v>78</v>
      </c>
      <c r="C115" s="128">
        <v>14.182499999999996</v>
      </c>
      <c r="D115" s="125" t="s">
        <v>45</v>
      </c>
      <c r="E115" s="123">
        <v>12790</v>
      </c>
      <c r="F115" s="124">
        <f>C115*E115</f>
        <v>181394.17499999993</v>
      </c>
    </row>
    <row r="116" spans="1:6" x14ac:dyDescent="0.25">
      <c r="A116" s="69"/>
      <c r="B116" s="100"/>
      <c r="C116" s="129"/>
      <c r="D116" s="71"/>
      <c r="E116" s="123"/>
      <c r="F116" s="124"/>
    </row>
    <row r="117" spans="1:6" ht="41.4" x14ac:dyDescent="0.25">
      <c r="A117" s="75" t="s">
        <v>7</v>
      </c>
      <c r="B117" s="76" t="s">
        <v>79</v>
      </c>
      <c r="C117" s="128">
        <v>1.9901249999999997</v>
      </c>
      <c r="D117" s="125" t="s">
        <v>45</v>
      </c>
      <c r="E117" s="123">
        <v>12790</v>
      </c>
      <c r="F117" s="124">
        <f>C117*E117</f>
        <v>25453.698749999996</v>
      </c>
    </row>
    <row r="118" spans="1:6" x14ac:dyDescent="0.25">
      <c r="A118" s="69"/>
      <c r="B118" s="76"/>
      <c r="C118" s="129"/>
      <c r="D118" s="71"/>
      <c r="E118" s="123"/>
      <c r="F118" s="124"/>
    </row>
    <row r="119" spans="1:6" ht="41.4" x14ac:dyDescent="0.25">
      <c r="A119" s="75" t="s">
        <v>8</v>
      </c>
      <c r="B119" s="76" t="s">
        <v>80</v>
      </c>
      <c r="C119" s="128">
        <v>5.5510000000000002</v>
      </c>
      <c r="D119" s="125" t="s">
        <v>45</v>
      </c>
      <c r="E119" s="123">
        <v>12790</v>
      </c>
      <c r="F119" s="124">
        <f>C119*E119</f>
        <v>70997.290000000008</v>
      </c>
    </row>
    <row r="120" spans="1:6" x14ac:dyDescent="0.25">
      <c r="A120" s="69"/>
      <c r="B120" s="76"/>
      <c r="C120" s="129"/>
      <c r="D120" s="71"/>
      <c r="E120" s="123"/>
      <c r="F120" s="124"/>
    </row>
    <row r="121" spans="1:6" ht="41.4" x14ac:dyDescent="0.25">
      <c r="A121" s="75" t="s">
        <v>9</v>
      </c>
      <c r="B121" s="76" t="s">
        <v>81</v>
      </c>
      <c r="C121" s="128">
        <v>24.155999999999999</v>
      </c>
      <c r="D121" s="125" t="s">
        <v>45</v>
      </c>
      <c r="E121" s="123">
        <v>12790</v>
      </c>
      <c r="F121" s="124">
        <f>C121*E121</f>
        <v>308955.24</v>
      </c>
    </row>
    <row r="122" spans="1:6" x14ac:dyDescent="0.25">
      <c r="A122" s="69"/>
      <c r="B122" s="76"/>
      <c r="C122" s="129"/>
      <c r="D122" s="71"/>
      <c r="E122" s="123"/>
      <c r="F122" s="124"/>
    </row>
    <row r="123" spans="1:6" ht="41.4" x14ac:dyDescent="0.25">
      <c r="A123" s="75" t="s">
        <v>10</v>
      </c>
      <c r="B123" s="76" t="s">
        <v>82</v>
      </c>
      <c r="C123" s="128">
        <v>4.4346999999999994</v>
      </c>
      <c r="D123" s="125" t="s">
        <v>45</v>
      </c>
      <c r="E123" s="123">
        <v>12790</v>
      </c>
      <c r="F123" s="124">
        <f>C123*E123</f>
        <v>56719.812999999995</v>
      </c>
    </row>
    <row r="124" spans="1:6" x14ac:dyDescent="0.25">
      <c r="A124" s="69"/>
      <c r="B124" s="76"/>
      <c r="C124" s="129"/>
      <c r="D124" s="71"/>
      <c r="E124" s="123"/>
      <c r="F124" s="124"/>
    </row>
    <row r="125" spans="1:6" ht="41.4" x14ac:dyDescent="0.25">
      <c r="A125" s="75" t="s">
        <v>11</v>
      </c>
      <c r="B125" s="76" t="s">
        <v>83</v>
      </c>
      <c r="C125" s="128">
        <v>9.8820000000000014</v>
      </c>
      <c r="D125" s="125" t="s">
        <v>45</v>
      </c>
      <c r="E125" s="123">
        <v>12790</v>
      </c>
      <c r="F125" s="124">
        <f>C125*E125</f>
        <v>126390.78000000001</v>
      </c>
    </row>
    <row r="126" spans="1:6" x14ac:dyDescent="0.25">
      <c r="A126" s="69"/>
      <c r="B126" s="76"/>
      <c r="C126" s="129"/>
      <c r="D126" s="71"/>
      <c r="E126" s="123"/>
      <c r="F126" s="124"/>
    </row>
    <row r="127" spans="1:6" ht="27.6" x14ac:dyDescent="0.25">
      <c r="A127" s="75" t="s">
        <v>13</v>
      </c>
      <c r="B127" s="76" t="s">
        <v>84</v>
      </c>
      <c r="C127" s="128">
        <v>98.2</v>
      </c>
      <c r="D127" s="125" t="s">
        <v>45</v>
      </c>
      <c r="E127" s="123">
        <v>12790</v>
      </c>
      <c r="F127" s="124">
        <f>C127*E127</f>
        <v>1255978</v>
      </c>
    </row>
    <row r="128" spans="1:6" x14ac:dyDescent="0.25">
      <c r="A128" s="74"/>
      <c r="B128" s="76"/>
      <c r="C128" s="130"/>
      <c r="D128" s="79"/>
      <c r="E128" s="123"/>
      <c r="F128" s="124"/>
    </row>
    <row r="129" spans="1:6" ht="27.6" x14ac:dyDescent="0.25">
      <c r="A129" s="131" t="s">
        <v>14</v>
      </c>
      <c r="B129" s="76" t="s">
        <v>85</v>
      </c>
      <c r="C129" s="130">
        <v>13.200000000000001</v>
      </c>
      <c r="D129" s="125" t="s">
        <v>45</v>
      </c>
      <c r="E129" s="123">
        <v>12790</v>
      </c>
      <c r="F129" s="124">
        <f>C129*E129</f>
        <v>168828</v>
      </c>
    </row>
    <row r="130" spans="1:6" x14ac:dyDescent="0.25">
      <c r="A130" s="74"/>
      <c r="B130" s="76"/>
      <c r="C130" s="130"/>
      <c r="D130" s="79"/>
      <c r="E130" s="123"/>
      <c r="F130" s="124"/>
    </row>
    <row r="131" spans="1:6" ht="27.6" x14ac:dyDescent="0.25">
      <c r="A131" s="131" t="s">
        <v>15</v>
      </c>
      <c r="B131" s="76" t="s">
        <v>86</v>
      </c>
      <c r="C131" s="130">
        <v>5.0049999999999999</v>
      </c>
      <c r="D131" s="125" t="s">
        <v>45</v>
      </c>
      <c r="E131" s="123">
        <v>12790</v>
      </c>
      <c r="F131" s="124">
        <f>C131*E131</f>
        <v>64013.95</v>
      </c>
    </row>
    <row r="132" spans="1:6" x14ac:dyDescent="0.25">
      <c r="A132" s="74"/>
      <c r="B132" s="96"/>
      <c r="C132" s="74"/>
      <c r="D132" s="79"/>
      <c r="E132" s="116"/>
      <c r="F132" s="107"/>
    </row>
    <row r="133" spans="1:6" x14ac:dyDescent="0.25">
      <c r="A133" s="74"/>
      <c r="B133" s="96"/>
      <c r="C133" s="74"/>
      <c r="D133" s="79"/>
      <c r="E133" s="116"/>
      <c r="F133" s="107"/>
    </row>
    <row r="134" spans="1:6" x14ac:dyDescent="0.25">
      <c r="A134" s="74"/>
      <c r="B134" s="96"/>
      <c r="C134" s="74"/>
      <c r="D134" s="79"/>
      <c r="E134" s="116"/>
      <c r="F134" s="107"/>
    </row>
    <row r="135" spans="1:6" x14ac:dyDescent="0.25">
      <c r="A135" s="75"/>
      <c r="B135" s="98"/>
      <c r="C135" s="77"/>
      <c r="D135" s="78"/>
      <c r="E135" s="116"/>
      <c r="F135" s="107"/>
    </row>
    <row r="136" spans="1:6" x14ac:dyDescent="0.25">
      <c r="A136" s="75"/>
      <c r="B136" s="98"/>
      <c r="C136" s="77"/>
      <c r="D136" s="78"/>
      <c r="E136" s="116"/>
      <c r="F136" s="107"/>
    </row>
    <row r="137" spans="1:6" x14ac:dyDescent="0.25">
      <c r="A137" s="69"/>
      <c r="B137" s="100"/>
      <c r="C137" s="70"/>
      <c r="D137" s="71"/>
      <c r="E137" s="116"/>
      <c r="F137" s="107"/>
    </row>
    <row r="138" spans="1:6" x14ac:dyDescent="0.25">
      <c r="A138" s="75"/>
      <c r="B138" s="99"/>
      <c r="C138" s="77"/>
      <c r="D138" s="78"/>
      <c r="E138" s="116"/>
      <c r="F138" s="107"/>
    </row>
    <row r="139" spans="1:6" x14ac:dyDescent="0.25">
      <c r="A139" s="69"/>
      <c r="B139" s="100"/>
      <c r="C139" s="70"/>
      <c r="D139" s="71"/>
      <c r="E139" s="116"/>
      <c r="F139" s="107"/>
    </row>
    <row r="140" spans="1:6" x14ac:dyDescent="0.25">
      <c r="A140" s="75"/>
      <c r="B140" s="98"/>
      <c r="C140" s="77"/>
      <c r="D140" s="78"/>
      <c r="E140" s="116"/>
      <c r="F140" s="107"/>
    </row>
    <row r="141" spans="1:6" x14ac:dyDescent="0.25">
      <c r="A141" s="69"/>
      <c r="B141" s="100"/>
      <c r="C141" s="70"/>
      <c r="D141" s="71"/>
      <c r="E141" s="116"/>
      <c r="F141" s="107"/>
    </row>
    <row r="142" spans="1:6" x14ac:dyDescent="0.25">
      <c r="A142" s="80"/>
      <c r="B142" s="81"/>
      <c r="C142" s="82"/>
      <c r="D142" s="83"/>
      <c r="E142" s="117"/>
      <c r="F142" s="108"/>
    </row>
    <row r="143" spans="1:6" x14ac:dyDescent="0.25">
      <c r="A143" s="84"/>
      <c r="B143" s="85"/>
      <c r="C143" s="86" t="s">
        <v>22</v>
      </c>
      <c r="D143" s="86"/>
      <c r="E143" s="118" t="s">
        <v>21</v>
      </c>
      <c r="F143" s="109">
        <f>SUM(F111:F131)</f>
        <v>2457971.9680000003</v>
      </c>
    </row>
    <row r="144" spans="1:6" x14ac:dyDescent="0.25">
      <c r="A144" s="84"/>
      <c r="B144" s="85"/>
      <c r="C144" s="87"/>
      <c r="D144" s="88"/>
      <c r="E144" s="119"/>
      <c r="F144" s="110"/>
    </row>
    <row r="145" spans="1:6" x14ac:dyDescent="0.25">
      <c r="A145" s="69"/>
      <c r="B145" s="100"/>
      <c r="C145" s="70"/>
      <c r="D145" s="71"/>
      <c r="E145" s="116"/>
      <c r="F145" s="107"/>
    </row>
    <row r="146" spans="1:6" ht="27.6" x14ac:dyDescent="0.25">
      <c r="A146" s="69"/>
      <c r="B146" s="73" t="s">
        <v>65</v>
      </c>
      <c r="C146" s="70"/>
      <c r="D146" s="71"/>
      <c r="E146" s="116"/>
      <c r="F146" s="107"/>
    </row>
    <row r="147" spans="1:6" x14ac:dyDescent="0.25">
      <c r="A147" s="69"/>
      <c r="B147" s="100"/>
      <c r="C147" s="70"/>
      <c r="D147" s="71"/>
      <c r="E147" s="116"/>
      <c r="F147" s="107"/>
    </row>
    <row r="148" spans="1:6" ht="27.6" x14ac:dyDescent="0.25">
      <c r="A148" s="75" t="s">
        <v>3</v>
      </c>
      <c r="B148" s="76" t="s">
        <v>87</v>
      </c>
      <c r="C148" s="128">
        <v>2.8874999999999993</v>
      </c>
      <c r="D148" s="125" t="s">
        <v>45</v>
      </c>
      <c r="E148" s="123">
        <v>12790</v>
      </c>
      <c r="F148" s="124">
        <f>C148*E148</f>
        <v>36931.124999999993</v>
      </c>
    </row>
    <row r="149" spans="1:6" x14ac:dyDescent="0.25">
      <c r="A149" s="69"/>
      <c r="B149" s="76"/>
      <c r="C149" s="129"/>
      <c r="D149" s="126"/>
      <c r="E149" s="123"/>
      <c r="F149" s="124"/>
    </row>
    <row r="150" spans="1:6" ht="27.6" x14ac:dyDescent="0.25">
      <c r="A150" s="75" t="s">
        <v>2</v>
      </c>
      <c r="B150" s="76" t="s">
        <v>33</v>
      </c>
      <c r="C150" s="132">
        <v>327</v>
      </c>
      <c r="D150" s="125" t="s">
        <v>12</v>
      </c>
      <c r="E150" s="123">
        <v>118.894176</v>
      </c>
      <c r="F150" s="124">
        <f>C150*E150</f>
        <v>38878.395552000002</v>
      </c>
    </row>
    <row r="151" spans="1:6" x14ac:dyDescent="0.25">
      <c r="A151" s="69"/>
      <c r="B151" s="76"/>
      <c r="C151" s="129"/>
      <c r="D151" s="126"/>
      <c r="E151" s="123"/>
      <c r="F151" s="124"/>
    </row>
    <row r="152" spans="1:6" ht="41.4" x14ac:dyDescent="0.25">
      <c r="A152" s="75" t="s">
        <v>5</v>
      </c>
      <c r="B152" s="76" t="s">
        <v>88</v>
      </c>
      <c r="C152" s="128">
        <v>2.3163749999999999</v>
      </c>
      <c r="D152" s="125" t="s">
        <v>45</v>
      </c>
      <c r="E152" s="123">
        <v>12790</v>
      </c>
      <c r="F152" s="124">
        <f>C152*E152</f>
        <v>29626.436249999999</v>
      </c>
    </row>
    <row r="153" spans="1:6" x14ac:dyDescent="0.25">
      <c r="A153" s="69"/>
      <c r="B153" s="76"/>
      <c r="C153" s="129"/>
      <c r="D153" s="126"/>
      <c r="E153" s="123"/>
      <c r="F153" s="124"/>
    </row>
    <row r="154" spans="1:6" ht="42.6" customHeight="1" x14ac:dyDescent="0.25">
      <c r="A154" s="75" t="s">
        <v>7</v>
      </c>
      <c r="B154" s="76" t="s">
        <v>89</v>
      </c>
      <c r="C154" s="128">
        <v>3.3014999999999994</v>
      </c>
      <c r="D154" s="125" t="s">
        <v>45</v>
      </c>
      <c r="E154" s="123">
        <v>12790</v>
      </c>
      <c r="F154" s="124">
        <f>C154*E154</f>
        <v>42226.18499999999</v>
      </c>
    </row>
    <row r="155" spans="1:6" x14ac:dyDescent="0.25">
      <c r="A155" s="69"/>
      <c r="B155" s="100"/>
      <c r="C155" s="129"/>
      <c r="D155" s="126"/>
      <c r="E155" s="123"/>
      <c r="F155" s="124"/>
    </row>
    <row r="156" spans="1:6" ht="41.4" x14ac:dyDescent="0.25">
      <c r="A156" s="75" t="s">
        <v>8</v>
      </c>
      <c r="B156" s="76" t="s">
        <v>90</v>
      </c>
      <c r="C156" s="128">
        <v>3.3014999999999994</v>
      </c>
      <c r="D156" s="125" t="s">
        <v>45</v>
      </c>
      <c r="E156" s="123">
        <v>12790</v>
      </c>
      <c r="F156" s="124">
        <f>C156*E156</f>
        <v>42226.18499999999</v>
      </c>
    </row>
    <row r="157" spans="1:6" x14ac:dyDescent="0.25">
      <c r="A157" s="69"/>
      <c r="B157" s="100"/>
      <c r="C157" s="129"/>
      <c r="D157" s="126"/>
      <c r="E157" s="123"/>
      <c r="F157" s="124"/>
    </row>
    <row r="158" spans="1:6" ht="41.4" x14ac:dyDescent="0.25">
      <c r="A158" s="75" t="s">
        <v>9</v>
      </c>
      <c r="B158" s="76" t="s">
        <v>91</v>
      </c>
      <c r="C158" s="128">
        <v>2.8364999999999996</v>
      </c>
      <c r="D158" s="125" t="s">
        <v>45</v>
      </c>
      <c r="E158" s="123">
        <v>12790</v>
      </c>
      <c r="F158" s="124">
        <f>C158*E158</f>
        <v>36278.834999999992</v>
      </c>
    </row>
    <row r="159" spans="1:6" x14ac:dyDescent="0.25">
      <c r="A159" s="75"/>
      <c r="B159" s="76"/>
      <c r="C159" s="128"/>
      <c r="D159" s="125"/>
      <c r="E159" s="123"/>
      <c r="F159" s="124"/>
    </row>
    <row r="160" spans="1:6" ht="41.4" x14ac:dyDescent="0.25">
      <c r="A160" s="75" t="s">
        <v>10</v>
      </c>
      <c r="B160" s="76" t="s">
        <v>92</v>
      </c>
      <c r="C160" s="128">
        <v>4.6859999999999999</v>
      </c>
      <c r="D160" s="125" t="s">
        <v>45</v>
      </c>
      <c r="E160" s="123">
        <v>12790</v>
      </c>
      <c r="F160" s="124">
        <f>C160*E160</f>
        <v>59933.94</v>
      </c>
    </row>
    <row r="161" spans="1:6" x14ac:dyDescent="0.25">
      <c r="A161" s="75"/>
      <c r="B161" s="76"/>
      <c r="C161" s="128"/>
      <c r="D161" s="125"/>
      <c r="E161" s="123"/>
      <c r="F161" s="124"/>
    </row>
    <row r="162" spans="1:6" ht="41.4" x14ac:dyDescent="0.25">
      <c r="A162" s="75" t="s">
        <v>11</v>
      </c>
      <c r="B162" s="76" t="s">
        <v>93</v>
      </c>
      <c r="C162" s="128">
        <v>2.3163749999999999</v>
      </c>
      <c r="D162" s="125" t="s">
        <v>45</v>
      </c>
      <c r="E162" s="123">
        <v>12790</v>
      </c>
      <c r="F162" s="124">
        <f>C162*E162</f>
        <v>29626.436249999999</v>
      </c>
    </row>
    <row r="163" spans="1:6" x14ac:dyDescent="0.25">
      <c r="A163" s="75"/>
      <c r="B163" s="76"/>
      <c r="C163" s="128"/>
      <c r="D163" s="125"/>
      <c r="E163" s="123"/>
      <c r="F163" s="124"/>
    </row>
    <row r="164" spans="1:6" ht="41.4" x14ac:dyDescent="0.25">
      <c r="A164" s="75" t="s">
        <v>13</v>
      </c>
      <c r="B164" s="76" t="s">
        <v>94</v>
      </c>
      <c r="C164" s="128">
        <v>3.2305000000000001</v>
      </c>
      <c r="D164" s="125" t="s">
        <v>45</v>
      </c>
      <c r="E164" s="123">
        <v>12790</v>
      </c>
      <c r="F164" s="124">
        <f>C164*E164</f>
        <v>41318.095000000001</v>
      </c>
    </row>
    <row r="165" spans="1:6" x14ac:dyDescent="0.25">
      <c r="A165" s="75"/>
      <c r="B165" s="76"/>
      <c r="C165" s="128"/>
      <c r="D165" s="125"/>
      <c r="E165" s="123"/>
      <c r="F165" s="124"/>
    </row>
    <row r="166" spans="1:6" ht="41.4" x14ac:dyDescent="0.25">
      <c r="A166" s="75" t="s">
        <v>14</v>
      </c>
      <c r="B166" s="76" t="s">
        <v>95</v>
      </c>
      <c r="C166" s="128">
        <v>5.1616999999999997</v>
      </c>
      <c r="D166" s="125" t="s">
        <v>45</v>
      </c>
      <c r="E166" s="123">
        <v>12790</v>
      </c>
      <c r="F166" s="124">
        <f>C166*E166</f>
        <v>66018.142999999996</v>
      </c>
    </row>
    <row r="167" spans="1:6" x14ac:dyDescent="0.25">
      <c r="A167" s="75"/>
      <c r="B167" s="76"/>
      <c r="C167" s="128"/>
      <c r="D167" s="125"/>
      <c r="E167" s="123"/>
      <c r="F167" s="124"/>
    </row>
    <row r="168" spans="1:6" ht="27.6" x14ac:dyDescent="0.25">
      <c r="A168" s="75" t="s">
        <v>15</v>
      </c>
      <c r="B168" s="76" t="s">
        <v>96</v>
      </c>
      <c r="C168" s="128">
        <v>108.4</v>
      </c>
      <c r="D168" s="125" t="s">
        <v>45</v>
      </c>
      <c r="E168" s="123">
        <v>12790</v>
      </c>
      <c r="F168" s="124">
        <f>C168*E168</f>
        <v>1386436</v>
      </c>
    </row>
    <row r="169" spans="1:6" x14ac:dyDescent="0.25">
      <c r="A169" s="75"/>
      <c r="B169" s="76"/>
      <c r="C169" s="127"/>
      <c r="D169" s="125"/>
      <c r="E169" s="123"/>
      <c r="F169" s="124"/>
    </row>
    <row r="170" spans="1:6" x14ac:dyDescent="0.25">
      <c r="A170" s="75"/>
      <c r="B170" s="76"/>
      <c r="C170" s="77"/>
      <c r="D170" s="78"/>
      <c r="E170" s="116"/>
      <c r="F170" s="107"/>
    </row>
    <row r="171" spans="1:6" x14ac:dyDescent="0.25">
      <c r="A171" s="75"/>
      <c r="B171" s="98"/>
      <c r="C171" s="77"/>
      <c r="D171" s="78"/>
      <c r="E171" s="116"/>
      <c r="F171" s="107"/>
    </row>
    <row r="172" spans="1:6" x14ac:dyDescent="0.25">
      <c r="A172" s="75"/>
      <c r="B172" s="98"/>
      <c r="C172" s="77"/>
      <c r="D172" s="78"/>
      <c r="E172" s="116"/>
      <c r="F172" s="107"/>
    </row>
    <row r="173" spans="1:6" x14ac:dyDescent="0.25">
      <c r="A173" s="75"/>
      <c r="B173" s="98"/>
      <c r="C173" s="77"/>
      <c r="D173" s="78"/>
      <c r="E173" s="116"/>
      <c r="F173" s="107"/>
    </row>
    <row r="174" spans="1:6" x14ac:dyDescent="0.25">
      <c r="A174" s="74"/>
      <c r="B174" s="96"/>
      <c r="C174" s="74"/>
      <c r="D174" s="79"/>
      <c r="E174" s="116"/>
      <c r="F174" s="107"/>
    </row>
    <row r="175" spans="1:6" x14ac:dyDescent="0.25">
      <c r="A175" s="74"/>
      <c r="B175" s="96"/>
      <c r="C175" s="74"/>
      <c r="D175" s="79"/>
      <c r="E175" s="116"/>
      <c r="F175" s="107"/>
    </row>
    <row r="176" spans="1:6" x14ac:dyDescent="0.25">
      <c r="A176" s="80"/>
      <c r="B176" s="81"/>
      <c r="C176" s="82"/>
      <c r="D176" s="83"/>
      <c r="E176" s="117"/>
      <c r="F176" s="108"/>
    </row>
    <row r="177" spans="1:6" x14ac:dyDescent="0.25">
      <c r="A177" s="84"/>
      <c r="B177" s="85"/>
      <c r="C177" s="86" t="s">
        <v>22</v>
      </c>
      <c r="D177" s="86"/>
      <c r="E177" s="118" t="s">
        <v>21</v>
      </c>
      <c r="F177" s="109">
        <f>SUM(F147:F175)</f>
        <v>1809499.776052</v>
      </c>
    </row>
    <row r="178" spans="1:6" x14ac:dyDescent="0.25">
      <c r="A178" s="84"/>
      <c r="B178" s="85"/>
      <c r="C178" s="87"/>
      <c r="D178" s="88"/>
      <c r="E178" s="119"/>
      <c r="F178" s="110"/>
    </row>
    <row r="179" spans="1:6" x14ac:dyDescent="0.25">
      <c r="A179" s="69"/>
      <c r="B179" s="100"/>
      <c r="C179" s="70"/>
      <c r="D179" s="71"/>
      <c r="E179" s="116"/>
      <c r="F179" s="107"/>
    </row>
    <row r="180" spans="1:6" ht="27.6" x14ac:dyDescent="0.25">
      <c r="A180" s="69"/>
      <c r="B180" s="73" t="s">
        <v>65</v>
      </c>
      <c r="C180" s="70"/>
      <c r="D180" s="71"/>
      <c r="E180" s="116"/>
      <c r="F180" s="107"/>
    </row>
    <row r="181" spans="1:6" x14ac:dyDescent="0.25">
      <c r="A181" s="69"/>
      <c r="B181" s="100"/>
      <c r="C181" s="70"/>
      <c r="D181" s="71"/>
      <c r="E181" s="116"/>
      <c r="F181" s="107"/>
    </row>
    <row r="182" spans="1:6" ht="27.6" x14ac:dyDescent="0.25">
      <c r="A182" s="75" t="s">
        <v>3</v>
      </c>
      <c r="B182" s="76" t="s">
        <v>97</v>
      </c>
      <c r="C182" s="128">
        <v>11.600000000000001</v>
      </c>
      <c r="D182" s="125" t="s">
        <v>45</v>
      </c>
      <c r="E182" s="123">
        <v>12790</v>
      </c>
      <c r="F182" s="124">
        <f>C182*E182</f>
        <v>148364.00000000003</v>
      </c>
    </row>
    <row r="183" spans="1:6" x14ac:dyDescent="0.25">
      <c r="A183" s="69"/>
      <c r="B183" s="100"/>
      <c r="C183" s="129"/>
      <c r="D183" s="126"/>
      <c r="E183" s="123"/>
      <c r="F183" s="124"/>
    </row>
    <row r="184" spans="1:6" ht="27.6" x14ac:dyDescent="0.25">
      <c r="A184" s="75" t="s">
        <v>2</v>
      </c>
      <c r="B184" s="76" t="s">
        <v>98</v>
      </c>
      <c r="C184" s="128">
        <v>5.9149999999999991</v>
      </c>
      <c r="D184" s="125" t="s">
        <v>45</v>
      </c>
      <c r="E184" s="123">
        <v>12790</v>
      </c>
      <c r="F184" s="124">
        <f>C184*E184</f>
        <v>75652.849999999991</v>
      </c>
    </row>
    <row r="185" spans="1:6" x14ac:dyDescent="0.25">
      <c r="A185" s="69"/>
      <c r="B185" s="100"/>
      <c r="C185" s="129"/>
      <c r="D185" s="126"/>
      <c r="E185" s="123"/>
      <c r="F185" s="124"/>
    </row>
    <row r="186" spans="1:6" ht="27.6" x14ac:dyDescent="0.25">
      <c r="A186" s="75" t="s">
        <v>5</v>
      </c>
      <c r="B186" s="76" t="s">
        <v>99</v>
      </c>
      <c r="C186" s="128">
        <v>3.4124999999999996</v>
      </c>
      <c r="D186" s="125" t="s">
        <v>45</v>
      </c>
      <c r="E186" s="123">
        <v>12790</v>
      </c>
      <c r="F186" s="124">
        <f>C186*E186</f>
        <v>43645.874999999993</v>
      </c>
    </row>
    <row r="187" spans="1:6" x14ac:dyDescent="0.25">
      <c r="A187" s="69"/>
      <c r="B187" s="100"/>
      <c r="C187" s="129"/>
      <c r="D187" s="126"/>
      <c r="E187" s="123"/>
      <c r="F187" s="124"/>
    </row>
    <row r="188" spans="1:6" ht="27.6" x14ac:dyDescent="0.25">
      <c r="A188" s="75" t="s">
        <v>7</v>
      </c>
      <c r="B188" s="76" t="s">
        <v>34</v>
      </c>
      <c r="C188" s="132">
        <v>323</v>
      </c>
      <c r="D188" s="125" t="s">
        <v>12</v>
      </c>
      <c r="E188" s="123">
        <v>118.894176</v>
      </c>
      <c r="F188" s="124">
        <f>C188*E188</f>
        <v>38402.818848000003</v>
      </c>
    </row>
    <row r="189" spans="1:6" x14ac:dyDescent="0.25">
      <c r="A189" s="69"/>
      <c r="B189" s="100"/>
      <c r="C189" s="129"/>
      <c r="D189" s="126"/>
      <c r="E189" s="123"/>
      <c r="F189" s="124"/>
    </row>
    <row r="190" spans="1:6" ht="27.6" x14ac:dyDescent="0.25">
      <c r="A190" s="75" t="s">
        <v>8</v>
      </c>
      <c r="B190" s="76" t="s">
        <v>100</v>
      </c>
      <c r="C190" s="128">
        <v>9.18</v>
      </c>
      <c r="D190" s="125" t="s">
        <v>45</v>
      </c>
      <c r="E190" s="123">
        <v>12790</v>
      </c>
      <c r="F190" s="124">
        <f>C190*E190</f>
        <v>117412.2</v>
      </c>
    </row>
    <row r="191" spans="1:6" x14ac:dyDescent="0.25">
      <c r="A191" s="69"/>
      <c r="B191" s="100"/>
      <c r="C191" s="129"/>
      <c r="D191" s="126"/>
      <c r="E191" s="123"/>
      <c r="F191" s="124"/>
    </row>
    <row r="192" spans="1:6" ht="41.4" x14ac:dyDescent="0.25">
      <c r="A192" s="75" t="s">
        <v>9</v>
      </c>
      <c r="B192" s="76" t="s">
        <v>101</v>
      </c>
      <c r="C192" s="128">
        <v>6.323999999999999</v>
      </c>
      <c r="D192" s="125" t="s">
        <v>45</v>
      </c>
      <c r="E192" s="123">
        <v>12790</v>
      </c>
      <c r="F192" s="124">
        <f>C192*E192</f>
        <v>80883.959999999992</v>
      </c>
    </row>
    <row r="193" spans="1:6" x14ac:dyDescent="0.25">
      <c r="A193" s="69"/>
      <c r="B193" s="100"/>
      <c r="C193" s="129"/>
      <c r="D193" s="126"/>
      <c r="E193" s="123"/>
      <c r="F193" s="124"/>
    </row>
    <row r="194" spans="1:6" ht="41.4" x14ac:dyDescent="0.25">
      <c r="A194" s="75" t="s">
        <v>10</v>
      </c>
      <c r="B194" s="76" t="s">
        <v>102</v>
      </c>
      <c r="C194" s="128">
        <v>3.4409999999999994</v>
      </c>
      <c r="D194" s="125" t="s">
        <v>45</v>
      </c>
      <c r="E194" s="123">
        <v>12790</v>
      </c>
      <c r="F194" s="124">
        <f>C194*E194</f>
        <v>44010.389999999992</v>
      </c>
    </row>
    <row r="195" spans="1:6" x14ac:dyDescent="0.25">
      <c r="A195" s="69"/>
      <c r="B195" s="100"/>
      <c r="C195" s="129"/>
      <c r="D195" s="126"/>
      <c r="E195" s="123"/>
      <c r="F195" s="124"/>
    </row>
    <row r="196" spans="1:6" ht="41.4" x14ac:dyDescent="0.25">
      <c r="A196" s="75" t="s">
        <v>11</v>
      </c>
      <c r="B196" s="76" t="s">
        <v>103</v>
      </c>
      <c r="C196" s="128">
        <v>3.7184999999999997</v>
      </c>
      <c r="D196" s="125" t="s">
        <v>45</v>
      </c>
      <c r="E196" s="123">
        <v>12790</v>
      </c>
      <c r="F196" s="124">
        <f>C196*E196</f>
        <v>47559.614999999998</v>
      </c>
    </row>
    <row r="197" spans="1:6" x14ac:dyDescent="0.25">
      <c r="A197" s="69"/>
      <c r="B197" s="100"/>
      <c r="C197" s="129"/>
      <c r="D197" s="126"/>
      <c r="E197" s="123"/>
      <c r="F197" s="124"/>
    </row>
    <row r="198" spans="1:6" ht="41.4" x14ac:dyDescent="0.25">
      <c r="A198" s="75" t="s">
        <v>13</v>
      </c>
      <c r="B198" s="76" t="s">
        <v>104</v>
      </c>
      <c r="C198" s="128">
        <v>4.2734999999999994</v>
      </c>
      <c r="D198" s="125" t="s">
        <v>45</v>
      </c>
      <c r="E198" s="123">
        <v>12790</v>
      </c>
      <c r="F198" s="124">
        <f>C198*E198</f>
        <v>54658.064999999995</v>
      </c>
    </row>
    <row r="199" spans="1:6" x14ac:dyDescent="0.25">
      <c r="A199" s="69"/>
      <c r="B199" s="100"/>
      <c r="C199" s="129"/>
      <c r="D199" s="126"/>
      <c r="E199" s="123"/>
      <c r="F199" s="124"/>
    </row>
    <row r="200" spans="1:6" ht="27.6" x14ac:dyDescent="0.25">
      <c r="A200" s="75" t="s">
        <v>14</v>
      </c>
      <c r="B200" s="76" t="s">
        <v>105</v>
      </c>
      <c r="C200" s="128">
        <v>1.8360000000000001</v>
      </c>
      <c r="D200" s="125" t="s">
        <v>45</v>
      </c>
      <c r="E200" s="123">
        <v>12790</v>
      </c>
      <c r="F200" s="124">
        <f>C200*E200</f>
        <v>23482.440000000002</v>
      </c>
    </row>
    <row r="201" spans="1:6" x14ac:dyDescent="0.25">
      <c r="A201" s="69"/>
      <c r="B201" s="100"/>
      <c r="C201" s="129"/>
      <c r="D201" s="126"/>
      <c r="E201" s="123"/>
      <c r="F201" s="124"/>
    </row>
    <row r="202" spans="1:6" ht="41.4" x14ac:dyDescent="0.25">
      <c r="A202" s="75" t="s">
        <v>15</v>
      </c>
      <c r="B202" s="76" t="s">
        <v>106</v>
      </c>
      <c r="C202" s="128">
        <v>2.41425</v>
      </c>
      <c r="D202" s="125" t="s">
        <v>45</v>
      </c>
      <c r="E202" s="123">
        <v>12790</v>
      </c>
      <c r="F202" s="124">
        <f>C202*E202</f>
        <v>30878.2575</v>
      </c>
    </row>
    <row r="203" spans="1:6" x14ac:dyDescent="0.25">
      <c r="A203" s="69"/>
      <c r="B203" s="100"/>
      <c r="C203" s="70"/>
      <c r="D203" s="71"/>
      <c r="E203" s="116"/>
      <c r="F203" s="107"/>
    </row>
    <row r="204" spans="1:6" x14ac:dyDescent="0.25">
      <c r="A204" s="75"/>
      <c r="B204" s="76"/>
      <c r="C204" s="77"/>
      <c r="D204" s="78"/>
      <c r="E204" s="116"/>
      <c r="F204" s="107"/>
    </row>
    <row r="205" spans="1:6" x14ac:dyDescent="0.25">
      <c r="A205" s="69"/>
      <c r="B205" s="100"/>
      <c r="C205" s="70"/>
      <c r="D205" s="71"/>
      <c r="E205" s="116"/>
      <c r="F205" s="107"/>
    </row>
    <row r="206" spans="1:6" x14ac:dyDescent="0.25">
      <c r="A206" s="69"/>
      <c r="B206" s="100"/>
      <c r="C206" s="70"/>
      <c r="D206" s="71"/>
      <c r="E206" s="116"/>
      <c r="F206" s="107"/>
    </row>
    <row r="207" spans="1:6" x14ac:dyDescent="0.25">
      <c r="A207" s="75"/>
      <c r="B207" s="76"/>
      <c r="C207" s="77"/>
      <c r="D207" s="78"/>
      <c r="E207" s="116"/>
      <c r="F207" s="107"/>
    </row>
    <row r="208" spans="1:6" x14ac:dyDescent="0.25">
      <c r="A208" s="69"/>
      <c r="B208" s="100"/>
      <c r="C208" s="70"/>
      <c r="D208" s="71"/>
      <c r="E208" s="116"/>
      <c r="F208" s="107"/>
    </row>
    <row r="209" spans="1:6" x14ac:dyDescent="0.25">
      <c r="A209" s="75"/>
      <c r="B209" s="76"/>
      <c r="C209" s="77"/>
      <c r="D209" s="78"/>
      <c r="E209" s="116"/>
      <c r="F209" s="107"/>
    </row>
    <row r="210" spans="1:6" x14ac:dyDescent="0.25">
      <c r="A210" s="69"/>
      <c r="B210" s="100"/>
      <c r="C210" s="70"/>
      <c r="D210" s="71"/>
      <c r="E210" s="116"/>
      <c r="F210" s="107"/>
    </row>
    <row r="211" spans="1:6" x14ac:dyDescent="0.25">
      <c r="A211" s="75"/>
      <c r="B211" s="76"/>
      <c r="C211" s="77"/>
      <c r="D211" s="78"/>
      <c r="E211" s="116"/>
      <c r="F211" s="107"/>
    </row>
    <row r="212" spans="1:6" x14ac:dyDescent="0.25">
      <c r="A212" s="69"/>
      <c r="B212" s="100"/>
      <c r="C212" s="70"/>
      <c r="D212" s="71"/>
      <c r="E212" s="116"/>
      <c r="F212" s="107"/>
    </row>
    <row r="213" spans="1:6" x14ac:dyDescent="0.25">
      <c r="A213" s="75"/>
      <c r="B213" s="76"/>
      <c r="C213" s="77"/>
      <c r="D213" s="78"/>
      <c r="E213" s="116"/>
      <c r="F213" s="107"/>
    </row>
    <row r="214" spans="1:6" x14ac:dyDescent="0.25">
      <c r="A214" s="74"/>
      <c r="B214" s="96"/>
      <c r="C214" s="74"/>
      <c r="D214" s="79"/>
      <c r="E214" s="116"/>
      <c r="F214" s="107"/>
    </row>
    <row r="215" spans="1:6" x14ac:dyDescent="0.25">
      <c r="A215" s="74"/>
      <c r="B215" s="96"/>
      <c r="C215" s="74"/>
      <c r="D215" s="79"/>
      <c r="E215" s="116"/>
      <c r="F215" s="107"/>
    </row>
    <row r="216" spans="1:6" x14ac:dyDescent="0.25">
      <c r="A216" s="80"/>
      <c r="B216" s="81"/>
      <c r="C216" s="82"/>
      <c r="D216" s="83"/>
      <c r="E216" s="117"/>
      <c r="F216" s="108"/>
    </row>
    <row r="217" spans="1:6" x14ac:dyDescent="0.25">
      <c r="A217" s="84"/>
      <c r="B217" s="85"/>
      <c r="C217" s="86" t="s">
        <v>22</v>
      </c>
      <c r="D217" s="86"/>
      <c r="E217" s="118" t="s">
        <v>21</v>
      </c>
      <c r="F217" s="109">
        <f>SUM(F182:F214)</f>
        <v>704950.47134799988</v>
      </c>
    </row>
    <row r="218" spans="1:6" x14ac:dyDescent="0.25">
      <c r="A218" s="84"/>
      <c r="B218" s="85"/>
      <c r="C218" s="87"/>
      <c r="D218" s="88"/>
      <c r="E218" s="119"/>
      <c r="F218" s="110"/>
    </row>
    <row r="219" spans="1:6" x14ac:dyDescent="0.25">
      <c r="A219" s="74"/>
      <c r="B219" s="96"/>
      <c r="C219" s="74"/>
      <c r="D219" s="79"/>
      <c r="E219" s="116"/>
      <c r="F219" s="107"/>
    </row>
    <row r="220" spans="1:6" ht="27.6" x14ac:dyDescent="0.25">
      <c r="A220" s="69"/>
      <c r="B220" s="73" t="s">
        <v>65</v>
      </c>
      <c r="C220" s="70"/>
      <c r="D220" s="71"/>
      <c r="E220" s="116"/>
      <c r="F220" s="107"/>
    </row>
    <row r="221" spans="1:6" x14ac:dyDescent="0.25">
      <c r="A221" s="69"/>
      <c r="B221" s="100"/>
      <c r="C221" s="70"/>
      <c r="D221" s="71"/>
      <c r="E221" s="116"/>
      <c r="F221" s="107"/>
    </row>
    <row r="222" spans="1:6" ht="41.4" x14ac:dyDescent="0.25">
      <c r="A222" s="75" t="s">
        <v>3</v>
      </c>
      <c r="B222" s="76" t="s">
        <v>107</v>
      </c>
      <c r="C222" s="128">
        <v>8.9760000000000009</v>
      </c>
      <c r="D222" s="125" t="s">
        <v>45</v>
      </c>
      <c r="E222" s="123">
        <v>12790</v>
      </c>
      <c r="F222" s="124">
        <f>C222*E222</f>
        <v>114803.04000000001</v>
      </c>
    </row>
    <row r="223" spans="1:6" x14ac:dyDescent="0.25">
      <c r="A223" s="69"/>
      <c r="B223" s="100"/>
      <c r="C223" s="129"/>
      <c r="D223" s="126"/>
      <c r="E223" s="123"/>
      <c r="F223" s="124"/>
    </row>
    <row r="224" spans="1:6" ht="41.4" x14ac:dyDescent="0.25">
      <c r="A224" s="75" t="s">
        <v>2</v>
      </c>
      <c r="B224" s="76" t="s">
        <v>108</v>
      </c>
      <c r="C224" s="128">
        <v>2.41425</v>
      </c>
      <c r="D224" s="125" t="s">
        <v>45</v>
      </c>
      <c r="E224" s="123">
        <v>12790</v>
      </c>
      <c r="F224" s="124">
        <f>C224*E224</f>
        <v>30878.2575</v>
      </c>
    </row>
    <row r="225" spans="1:6" x14ac:dyDescent="0.25">
      <c r="A225" s="69"/>
      <c r="B225" s="100"/>
      <c r="C225" s="129"/>
      <c r="D225" s="126"/>
      <c r="E225" s="123"/>
      <c r="F225" s="124"/>
    </row>
    <row r="226" spans="1:6" ht="41.4" x14ac:dyDescent="0.25">
      <c r="A226" s="75" t="s">
        <v>5</v>
      </c>
      <c r="B226" s="76" t="s">
        <v>109</v>
      </c>
      <c r="C226" s="128">
        <v>5.3798000000000004</v>
      </c>
      <c r="D226" s="125" t="s">
        <v>45</v>
      </c>
      <c r="E226" s="123">
        <v>12790</v>
      </c>
      <c r="F226" s="124">
        <f>C226*E226</f>
        <v>68807.642000000007</v>
      </c>
    </row>
    <row r="227" spans="1:6" x14ac:dyDescent="0.25">
      <c r="A227" s="69"/>
      <c r="B227" s="100"/>
      <c r="C227" s="129"/>
      <c r="D227" s="126"/>
      <c r="E227" s="123"/>
      <c r="F227" s="124"/>
    </row>
    <row r="228" spans="1:6" ht="27.6" x14ac:dyDescent="0.25">
      <c r="A228" s="75" t="s">
        <v>7</v>
      </c>
      <c r="B228" s="76" t="s">
        <v>110</v>
      </c>
      <c r="C228" s="128">
        <v>59.6</v>
      </c>
      <c r="D228" s="125" t="s">
        <v>45</v>
      </c>
      <c r="E228" s="123">
        <v>12790</v>
      </c>
      <c r="F228" s="124">
        <f>C228*E228</f>
        <v>762284</v>
      </c>
    </row>
    <row r="229" spans="1:6" x14ac:dyDescent="0.25">
      <c r="A229" s="69"/>
      <c r="B229" s="100"/>
      <c r="C229" s="129"/>
      <c r="D229" s="126"/>
      <c r="E229" s="123"/>
      <c r="F229" s="124"/>
    </row>
    <row r="230" spans="1:6" ht="27.6" x14ac:dyDescent="0.25">
      <c r="A230" s="75" t="s">
        <v>8</v>
      </c>
      <c r="B230" s="76" t="s">
        <v>111</v>
      </c>
      <c r="C230" s="128">
        <v>10.8</v>
      </c>
      <c r="D230" s="125" t="s">
        <v>45</v>
      </c>
      <c r="E230" s="123">
        <v>12790</v>
      </c>
      <c r="F230" s="124">
        <f>C230*E230</f>
        <v>138132</v>
      </c>
    </row>
    <row r="231" spans="1:6" x14ac:dyDescent="0.25">
      <c r="A231" s="69"/>
      <c r="B231" s="100"/>
      <c r="C231" s="129"/>
      <c r="D231" s="126"/>
      <c r="E231" s="123"/>
      <c r="F231" s="124"/>
    </row>
    <row r="232" spans="1:6" ht="27.6" x14ac:dyDescent="0.25">
      <c r="A232" s="75" t="s">
        <v>9</v>
      </c>
      <c r="B232" s="76" t="s">
        <v>112</v>
      </c>
      <c r="C232" s="128">
        <v>6.734</v>
      </c>
      <c r="D232" s="125" t="s">
        <v>45</v>
      </c>
      <c r="E232" s="123">
        <v>12790</v>
      </c>
      <c r="F232" s="124">
        <f>C232*E232</f>
        <v>86127.86</v>
      </c>
    </row>
    <row r="233" spans="1:6" x14ac:dyDescent="0.25">
      <c r="A233" s="69"/>
      <c r="B233" s="100"/>
      <c r="C233" s="129"/>
      <c r="D233" s="126"/>
      <c r="E233" s="123"/>
      <c r="F233" s="124"/>
    </row>
    <row r="234" spans="1:6" ht="27.6" x14ac:dyDescent="0.25">
      <c r="A234" s="75" t="s">
        <v>10</v>
      </c>
      <c r="B234" s="76" t="s">
        <v>113</v>
      </c>
      <c r="C234" s="128">
        <v>3.8849999999999993</v>
      </c>
      <c r="D234" s="125" t="s">
        <v>45</v>
      </c>
      <c r="E234" s="123">
        <v>12790</v>
      </c>
      <c r="F234" s="124">
        <f>C234*E234</f>
        <v>49689.149999999994</v>
      </c>
    </row>
    <row r="235" spans="1:6" x14ac:dyDescent="0.25">
      <c r="A235" s="69"/>
      <c r="B235" s="100"/>
      <c r="C235" s="129"/>
      <c r="D235" s="126"/>
      <c r="E235" s="123"/>
      <c r="F235" s="124"/>
    </row>
    <row r="236" spans="1:6" ht="27.6" x14ac:dyDescent="0.25">
      <c r="A236" s="75" t="s">
        <v>11</v>
      </c>
      <c r="B236" s="76" t="s">
        <v>35</v>
      </c>
      <c r="C236" s="132">
        <v>83</v>
      </c>
      <c r="D236" s="125" t="s">
        <v>12</v>
      </c>
      <c r="E236" s="123">
        <v>118.894176</v>
      </c>
      <c r="F236" s="124">
        <f>C236*E236</f>
        <v>9868.2166080000006</v>
      </c>
    </row>
    <row r="237" spans="1:6" x14ac:dyDescent="0.25">
      <c r="A237" s="69"/>
      <c r="B237" s="100"/>
      <c r="C237" s="129"/>
      <c r="D237" s="126"/>
      <c r="E237" s="123"/>
      <c r="F237" s="124"/>
    </row>
    <row r="238" spans="1:6" ht="41.4" x14ac:dyDescent="0.25">
      <c r="A238" s="75" t="s">
        <v>13</v>
      </c>
      <c r="B238" s="76" t="s">
        <v>114</v>
      </c>
      <c r="C238" s="128">
        <v>12.150000000000002</v>
      </c>
      <c r="D238" s="125" t="s">
        <v>45</v>
      </c>
      <c r="E238" s="123">
        <v>12790</v>
      </c>
      <c r="F238" s="124">
        <f>C238*E238</f>
        <v>155398.50000000003</v>
      </c>
    </row>
    <row r="239" spans="1:6" x14ac:dyDescent="0.25">
      <c r="A239" s="69"/>
      <c r="B239" s="100"/>
      <c r="C239" s="129"/>
      <c r="D239" s="126"/>
      <c r="E239" s="123"/>
      <c r="F239" s="124"/>
    </row>
    <row r="240" spans="1:6" ht="41.4" x14ac:dyDescent="0.25">
      <c r="A240" s="75" t="s">
        <v>14</v>
      </c>
      <c r="B240" s="76" t="s">
        <v>115</v>
      </c>
      <c r="C240" s="128">
        <v>3.5804999999999993</v>
      </c>
      <c r="D240" s="125" t="s">
        <v>45</v>
      </c>
      <c r="E240" s="123">
        <v>12790</v>
      </c>
      <c r="F240" s="124">
        <f>C240*E240</f>
        <v>45794.594999999994</v>
      </c>
    </row>
    <row r="241" spans="1:6" x14ac:dyDescent="0.25">
      <c r="A241" s="69"/>
      <c r="B241" s="100"/>
      <c r="C241" s="129"/>
      <c r="D241" s="126"/>
      <c r="E241" s="123"/>
      <c r="F241" s="124"/>
    </row>
    <row r="242" spans="1:6" ht="41.4" x14ac:dyDescent="0.25">
      <c r="A242" s="75" t="s">
        <v>15</v>
      </c>
      <c r="B242" s="76" t="s">
        <v>116</v>
      </c>
      <c r="C242" s="128">
        <v>3.8692499999999996</v>
      </c>
      <c r="D242" s="125" t="s">
        <v>45</v>
      </c>
      <c r="E242" s="123">
        <v>12790</v>
      </c>
      <c r="F242" s="124">
        <f>C242*E242</f>
        <v>49487.707499999997</v>
      </c>
    </row>
    <row r="243" spans="1:6" x14ac:dyDescent="0.25">
      <c r="A243" s="69"/>
      <c r="B243" s="100"/>
      <c r="C243" s="129"/>
      <c r="D243" s="126"/>
      <c r="E243" s="123"/>
      <c r="F243" s="124"/>
    </row>
    <row r="244" spans="1:6" ht="41.4" x14ac:dyDescent="0.25">
      <c r="A244" s="75" t="s">
        <v>16</v>
      </c>
      <c r="B244" s="76" t="s">
        <v>117</v>
      </c>
      <c r="C244" s="128">
        <v>3.5804999999999993</v>
      </c>
      <c r="D244" s="125" t="s">
        <v>45</v>
      </c>
      <c r="E244" s="123">
        <v>12790</v>
      </c>
      <c r="F244" s="124">
        <f>C244*E244</f>
        <v>45794.594999999994</v>
      </c>
    </row>
    <row r="245" spans="1:6" x14ac:dyDescent="0.25">
      <c r="A245" s="69"/>
      <c r="B245" s="100"/>
      <c r="C245" s="70"/>
      <c r="D245" s="71"/>
      <c r="E245" s="116"/>
      <c r="F245" s="107"/>
    </row>
    <row r="246" spans="1:6" x14ac:dyDescent="0.25">
      <c r="A246" s="69"/>
      <c r="B246" s="100"/>
      <c r="C246" s="70"/>
      <c r="D246" s="71"/>
      <c r="E246" s="116"/>
      <c r="F246" s="107"/>
    </row>
    <row r="247" spans="1:6" x14ac:dyDescent="0.25">
      <c r="A247" s="75"/>
      <c r="B247" s="98"/>
      <c r="C247" s="77"/>
      <c r="D247" s="78"/>
      <c r="E247" s="116"/>
      <c r="F247" s="107"/>
    </row>
    <row r="248" spans="1:6" x14ac:dyDescent="0.25">
      <c r="A248" s="69"/>
      <c r="B248" s="100"/>
      <c r="C248" s="70"/>
      <c r="D248" s="71"/>
      <c r="E248" s="116"/>
      <c r="F248" s="107"/>
    </row>
    <row r="249" spans="1:6" x14ac:dyDescent="0.25">
      <c r="A249" s="75"/>
      <c r="B249" s="98"/>
      <c r="C249" s="77"/>
      <c r="D249" s="78"/>
      <c r="E249" s="116"/>
      <c r="F249" s="107"/>
    </row>
    <row r="250" spans="1:6" x14ac:dyDescent="0.25">
      <c r="A250" s="69"/>
      <c r="B250" s="100"/>
      <c r="C250" s="70"/>
      <c r="D250" s="71"/>
      <c r="E250" s="116"/>
      <c r="F250" s="107"/>
    </row>
    <row r="251" spans="1:6" x14ac:dyDescent="0.25">
      <c r="A251" s="75"/>
      <c r="B251" s="98"/>
      <c r="C251" s="77"/>
      <c r="D251" s="78"/>
      <c r="E251" s="116"/>
      <c r="F251" s="107"/>
    </row>
    <row r="252" spans="1:6" x14ac:dyDescent="0.25">
      <c r="A252" s="69"/>
      <c r="B252" s="100"/>
      <c r="C252" s="70"/>
      <c r="D252" s="71"/>
      <c r="E252" s="116"/>
      <c r="F252" s="107"/>
    </row>
    <row r="253" spans="1:6" x14ac:dyDescent="0.25">
      <c r="A253" s="80"/>
      <c r="B253" s="81"/>
      <c r="C253" s="82"/>
      <c r="D253" s="83"/>
      <c r="E253" s="117"/>
      <c r="F253" s="108"/>
    </row>
    <row r="254" spans="1:6" x14ac:dyDescent="0.25">
      <c r="A254" s="84"/>
      <c r="B254" s="85"/>
      <c r="C254" s="86" t="s">
        <v>22</v>
      </c>
      <c r="D254" s="86"/>
      <c r="E254" s="118" t="s">
        <v>21</v>
      </c>
      <c r="F254" s="109">
        <f>SUM(F221:F248)</f>
        <v>1557065.5636080001</v>
      </c>
    </row>
    <row r="255" spans="1:6" x14ac:dyDescent="0.25">
      <c r="A255" s="84"/>
      <c r="B255" s="85"/>
      <c r="C255" s="87"/>
      <c r="D255" s="88"/>
      <c r="E255" s="119"/>
      <c r="F255" s="110"/>
    </row>
    <row r="256" spans="1:6" x14ac:dyDescent="0.25">
      <c r="A256" s="69"/>
      <c r="B256" s="100"/>
      <c r="C256" s="70"/>
      <c r="D256" s="71"/>
      <c r="E256" s="116"/>
      <c r="F256" s="107"/>
    </row>
    <row r="257" spans="1:6" ht="27.6" x14ac:dyDescent="0.25">
      <c r="A257" s="69"/>
      <c r="B257" s="73" t="s">
        <v>65</v>
      </c>
      <c r="C257" s="70"/>
      <c r="D257" s="71"/>
      <c r="E257" s="116"/>
      <c r="F257" s="107"/>
    </row>
    <row r="258" spans="1:6" x14ac:dyDescent="0.25">
      <c r="A258" s="69"/>
      <c r="B258" s="100"/>
      <c r="C258" s="70"/>
      <c r="D258" s="71"/>
      <c r="E258" s="116"/>
      <c r="F258" s="107"/>
    </row>
    <row r="259" spans="1:6" ht="41.4" x14ac:dyDescent="0.25">
      <c r="A259" s="75" t="s">
        <v>3</v>
      </c>
      <c r="B259" s="76" t="s">
        <v>118</v>
      </c>
      <c r="C259" s="128">
        <v>4.95</v>
      </c>
      <c r="D259" s="125" t="s">
        <v>45</v>
      </c>
      <c r="E259" s="123">
        <v>12790</v>
      </c>
      <c r="F259" s="124">
        <f>C259*E259</f>
        <v>63310.5</v>
      </c>
    </row>
    <row r="260" spans="1:6" x14ac:dyDescent="0.25">
      <c r="A260" s="69"/>
      <c r="B260" s="100"/>
      <c r="C260" s="129"/>
      <c r="D260" s="126"/>
      <c r="E260" s="123"/>
      <c r="F260" s="124"/>
    </row>
    <row r="261" spans="1:6" ht="41.4" x14ac:dyDescent="0.25">
      <c r="A261" s="75" t="s">
        <v>2</v>
      </c>
      <c r="B261" s="76" t="s">
        <v>119</v>
      </c>
      <c r="C261" s="128">
        <v>2.5121249999999997</v>
      </c>
      <c r="D261" s="125" t="s">
        <v>45</v>
      </c>
      <c r="E261" s="123">
        <v>12790</v>
      </c>
      <c r="F261" s="124">
        <f>C261*E261</f>
        <v>32130.078749999997</v>
      </c>
    </row>
    <row r="262" spans="1:6" x14ac:dyDescent="0.25">
      <c r="A262" s="69"/>
      <c r="B262" s="100"/>
      <c r="C262" s="129"/>
      <c r="D262" s="126"/>
      <c r="E262" s="123"/>
      <c r="F262" s="124"/>
    </row>
    <row r="263" spans="1:6" ht="41.4" x14ac:dyDescent="0.25">
      <c r="A263" s="75" t="s">
        <v>5</v>
      </c>
      <c r="B263" s="76" t="s">
        <v>120</v>
      </c>
      <c r="C263" s="128">
        <v>5.5979000000000001</v>
      </c>
      <c r="D263" s="125" t="s">
        <v>45</v>
      </c>
      <c r="E263" s="123">
        <v>12790</v>
      </c>
      <c r="F263" s="124">
        <f>C263*E263</f>
        <v>71597.141000000003</v>
      </c>
    </row>
    <row r="264" spans="1:6" x14ac:dyDescent="0.25">
      <c r="A264" s="69"/>
      <c r="B264" s="100"/>
      <c r="C264" s="129"/>
      <c r="D264" s="126"/>
      <c r="E264" s="123"/>
      <c r="F264" s="124"/>
    </row>
    <row r="265" spans="1:6" ht="27.6" x14ac:dyDescent="0.25">
      <c r="A265" s="75" t="s">
        <v>7</v>
      </c>
      <c r="B265" s="76" t="s">
        <v>121</v>
      </c>
      <c r="C265" s="128">
        <v>71.600000000000009</v>
      </c>
      <c r="D265" s="125" t="s">
        <v>45</v>
      </c>
      <c r="E265" s="123">
        <v>12790</v>
      </c>
      <c r="F265" s="124">
        <f>C265*E265</f>
        <v>915764.00000000012</v>
      </c>
    </row>
    <row r="266" spans="1:6" x14ac:dyDescent="0.25">
      <c r="A266" s="69"/>
      <c r="B266" s="100"/>
      <c r="C266" s="129"/>
      <c r="D266" s="126"/>
      <c r="E266" s="123"/>
      <c r="F266" s="124"/>
    </row>
    <row r="267" spans="1:6" ht="27.6" x14ac:dyDescent="0.25">
      <c r="A267" s="75" t="s">
        <v>8</v>
      </c>
      <c r="B267" s="76" t="s">
        <v>122</v>
      </c>
      <c r="C267" s="128">
        <v>12.4</v>
      </c>
      <c r="D267" s="125" t="s">
        <v>45</v>
      </c>
      <c r="E267" s="123">
        <v>12790</v>
      </c>
      <c r="F267" s="124">
        <f>C267*E267</f>
        <v>158596</v>
      </c>
    </row>
    <row r="268" spans="1:6" x14ac:dyDescent="0.25">
      <c r="A268" s="69"/>
      <c r="B268" s="100"/>
      <c r="C268" s="129"/>
      <c r="D268" s="126"/>
      <c r="E268" s="123"/>
      <c r="F268" s="124"/>
    </row>
    <row r="269" spans="1:6" ht="27.6" x14ac:dyDescent="0.25">
      <c r="A269" s="75" t="s">
        <v>9</v>
      </c>
      <c r="B269" s="76" t="s">
        <v>123</v>
      </c>
      <c r="C269" s="128">
        <v>7.8259999999999987</v>
      </c>
      <c r="D269" s="125" t="s">
        <v>45</v>
      </c>
      <c r="E269" s="123">
        <v>12790</v>
      </c>
      <c r="F269" s="124">
        <f>C269*E269</f>
        <v>100094.53999999998</v>
      </c>
    </row>
    <row r="270" spans="1:6" x14ac:dyDescent="0.25">
      <c r="A270" s="69"/>
      <c r="B270" s="100"/>
      <c r="C270" s="129"/>
      <c r="D270" s="126"/>
      <c r="E270" s="123"/>
      <c r="F270" s="124"/>
    </row>
    <row r="271" spans="1:6" ht="27.6" x14ac:dyDescent="0.25">
      <c r="A271" s="75" t="s">
        <v>10</v>
      </c>
      <c r="B271" s="76" t="s">
        <v>124</v>
      </c>
      <c r="C271" s="128">
        <v>4.5149999999999988</v>
      </c>
      <c r="D271" s="125" t="s">
        <v>45</v>
      </c>
      <c r="E271" s="123">
        <v>12790</v>
      </c>
      <c r="F271" s="124">
        <f>C271*E271</f>
        <v>57746.849999999984</v>
      </c>
    </row>
    <row r="272" spans="1:6" x14ac:dyDescent="0.25">
      <c r="A272" s="69"/>
      <c r="B272" s="100"/>
      <c r="C272" s="129"/>
      <c r="D272" s="126"/>
      <c r="E272" s="123"/>
      <c r="F272" s="124"/>
    </row>
    <row r="273" spans="1:6" ht="27.6" x14ac:dyDescent="0.25">
      <c r="A273" s="75" t="s">
        <v>11</v>
      </c>
      <c r="B273" s="76" t="s">
        <v>36</v>
      </c>
      <c r="C273" s="128">
        <v>85</v>
      </c>
      <c r="D273" s="125" t="s">
        <v>12</v>
      </c>
      <c r="E273" s="123">
        <v>118.894176</v>
      </c>
      <c r="F273" s="124">
        <f>C273*E273</f>
        <v>10106.00496</v>
      </c>
    </row>
    <row r="274" spans="1:6" x14ac:dyDescent="0.25">
      <c r="A274" s="69"/>
      <c r="B274" s="76"/>
      <c r="C274" s="129"/>
      <c r="D274" s="126"/>
      <c r="E274" s="123"/>
      <c r="F274" s="124"/>
    </row>
    <row r="275" spans="1:6" ht="27.6" x14ac:dyDescent="0.25">
      <c r="A275" s="75" t="s">
        <v>13</v>
      </c>
      <c r="B275" s="76" t="s">
        <v>125</v>
      </c>
      <c r="C275" s="128">
        <v>1.1519999999999999</v>
      </c>
      <c r="D275" s="125" t="s">
        <v>45</v>
      </c>
      <c r="E275" s="123">
        <v>12790</v>
      </c>
      <c r="F275" s="124">
        <f>C275*E275</f>
        <v>14734.079999999998</v>
      </c>
    </row>
    <row r="276" spans="1:6" x14ac:dyDescent="0.25">
      <c r="A276" s="69"/>
      <c r="B276" s="76"/>
      <c r="C276" s="129"/>
      <c r="D276" s="126"/>
      <c r="E276" s="123"/>
      <c r="F276" s="124"/>
    </row>
    <row r="277" spans="1:6" ht="27.6" x14ac:dyDescent="0.25">
      <c r="A277" s="75" t="s">
        <v>14</v>
      </c>
      <c r="B277" s="76" t="s">
        <v>126</v>
      </c>
      <c r="C277" s="128">
        <v>3.4560000000000004</v>
      </c>
      <c r="D277" s="125" t="s">
        <v>45</v>
      </c>
      <c r="E277" s="123">
        <v>12790</v>
      </c>
      <c r="F277" s="124">
        <f>C277*E277</f>
        <v>44202.240000000005</v>
      </c>
    </row>
    <row r="278" spans="1:6" x14ac:dyDescent="0.25">
      <c r="A278" s="69"/>
      <c r="B278" s="76"/>
      <c r="C278" s="129"/>
      <c r="D278" s="126"/>
      <c r="E278" s="123"/>
      <c r="F278" s="124"/>
    </row>
    <row r="279" spans="1:6" ht="27.6" x14ac:dyDescent="0.25">
      <c r="A279" s="75" t="s">
        <v>15</v>
      </c>
      <c r="B279" s="76" t="s">
        <v>127</v>
      </c>
      <c r="C279" s="128">
        <v>1.8900000000000001</v>
      </c>
      <c r="D279" s="125" t="s">
        <v>45</v>
      </c>
      <c r="E279" s="123">
        <v>12790</v>
      </c>
      <c r="F279" s="124">
        <f>C279*E279</f>
        <v>24173.100000000002</v>
      </c>
    </row>
    <row r="280" spans="1:6" x14ac:dyDescent="0.25">
      <c r="A280" s="69"/>
      <c r="B280" s="100"/>
      <c r="C280" s="70"/>
      <c r="D280" s="71"/>
      <c r="E280" s="116"/>
      <c r="F280" s="107"/>
    </row>
    <row r="281" spans="1:6" x14ac:dyDescent="0.25">
      <c r="A281" s="75"/>
      <c r="B281" s="76"/>
      <c r="C281" s="77"/>
      <c r="D281" s="78"/>
      <c r="E281" s="116"/>
      <c r="F281" s="107"/>
    </row>
    <row r="282" spans="1:6" x14ac:dyDescent="0.25">
      <c r="A282" s="69"/>
      <c r="B282" s="100"/>
      <c r="C282" s="70"/>
      <c r="D282" s="71"/>
      <c r="E282" s="116"/>
      <c r="F282" s="107"/>
    </row>
    <row r="283" spans="1:6" x14ac:dyDescent="0.25">
      <c r="A283" s="75"/>
      <c r="B283" s="76"/>
      <c r="C283" s="77"/>
      <c r="D283" s="78"/>
      <c r="E283" s="116"/>
      <c r="F283" s="107"/>
    </row>
    <row r="284" spans="1:6" x14ac:dyDescent="0.25">
      <c r="A284" s="69"/>
      <c r="B284" s="100"/>
      <c r="C284" s="70"/>
      <c r="D284" s="71"/>
      <c r="E284" s="116"/>
      <c r="F284" s="107"/>
    </row>
    <row r="285" spans="1:6" x14ac:dyDescent="0.25">
      <c r="A285" s="75"/>
      <c r="B285" s="76"/>
      <c r="C285" s="77"/>
      <c r="D285" s="78"/>
      <c r="E285" s="116"/>
      <c r="F285" s="107"/>
    </row>
    <row r="286" spans="1:6" x14ac:dyDescent="0.25">
      <c r="A286" s="69"/>
      <c r="B286" s="100"/>
      <c r="C286" s="70"/>
      <c r="D286" s="71"/>
      <c r="E286" s="116"/>
      <c r="F286" s="107"/>
    </row>
    <row r="287" spans="1:6" x14ac:dyDescent="0.25">
      <c r="A287" s="75"/>
      <c r="B287" s="99"/>
      <c r="C287" s="77"/>
      <c r="D287" s="78"/>
      <c r="E287" s="116"/>
      <c r="F287" s="107"/>
    </row>
    <row r="288" spans="1:6" x14ac:dyDescent="0.25">
      <c r="A288" s="69"/>
      <c r="B288" s="100"/>
      <c r="C288" s="70"/>
      <c r="D288" s="71"/>
      <c r="E288" s="116"/>
      <c r="F288" s="107"/>
    </row>
    <row r="289" spans="1:6" x14ac:dyDescent="0.25">
      <c r="A289" s="75"/>
      <c r="B289" s="98"/>
      <c r="C289" s="77"/>
      <c r="D289" s="78"/>
      <c r="E289" s="116"/>
      <c r="F289" s="107"/>
    </row>
    <row r="290" spans="1:6" x14ac:dyDescent="0.25">
      <c r="A290" s="69"/>
      <c r="B290" s="100"/>
      <c r="C290" s="70"/>
      <c r="D290" s="71"/>
      <c r="E290" s="116"/>
      <c r="F290" s="107"/>
    </row>
    <row r="291" spans="1:6" x14ac:dyDescent="0.25">
      <c r="A291" s="75"/>
      <c r="B291" s="98"/>
      <c r="C291" s="77"/>
      <c r="D291" s="78"/>
      <c r="E291" s="116"/>
      <c r="F291" s="107"/>
    </row>
    <row r="292" spans="1:6" x14ac:dyDescent="0.25">
      <c r="A292" s="69"/>
      <c r="B292" s="100"/>
      <c r="C292" s="70"/>
      <c r="D292" s="71"/>
      <c r="E292" s="116"/>
      <c r="F292" s="107"/>
    </row>
    <row r="293" spans="1:6" x14ac:dyDescent="0.25">
      <c r="A293" s="75"/>
      <c r="B293" s="98"/>
      <c r="C293" s="77"/>
      <c r="D293" s="78"/>
      <c r="E293" s="116"/>
      <c r="F293" s="107"/>
    </row>
    <row r="294" spans="1:6" x14ac:dyDescent="0.25">
      <c r="A294" s="80"/>
      <c r="B294" s="81"/>
      <c r="C294" s="82"/>
      <c r="D294" s="83"/>
      <c r="E294" s="117"/>
      <c r="F294" s="108"/>
    </row>
    <row r="295" spans="1:6" x14ac:dyDescent="0.25">
      <c r="A295" s="84"/>
      <c r="B295" s="85"/>
      <c r="C295" s="86" t="s">
        <v>22</v>
      </c>
      <c r="D295" s="86"/>
      <c r="E295" s="118" t="s">
        <v>21</v>
      </c>
      <c r="F295" s="109">
        <f>SUM(F258:F290)</f>
        <v>1492454.5347100005</v>
      </c>
    </row>
    <row r="296" spans="1:6" x14ac:dyDescent="0.25">
      <c r="A296" s="84"/>
      <c r="B296" s="85"/>
      <c r="C296" s="87"/>
      <c r="D296" s="88"/>
      <c r="E296" s="119"/>
      <c r="F296" s="110"/>
    </row>
    <row r="297" spans="1:6" x14ac:dyDescent="0.25">
      <c r="A297" s="75"/>
      <c r="B297" s="98"/>
      <c r="C297" s="77"/>
      <c r="D297" s="78"/>
      <c r="E297" s="116"/>
      <c r="F297" s="107"/>
    </row>
    <row r="298" spans="1:6" ht="27.6" x14ac:dyDescent="0.25">
      <c r="A298" s="69"/>
      <c r="B298" s="73" t="s">
        <v>65</v>
      </c>
      <c r="C298" s="70"/>
      <c r="D298" s="71"/>
      <c r="E298" s="116"/>
      <c r="F298" s="107"/>
    </row>
    <row r="299" spans="1:6" x14ac:dyDescent="0.25">
      <c r="A299" s="69"/>
      <c r="B299" s="101"/>
      <c r="C299" s="70"/>
      <c r="D299" s="71"/>
      <c r="E299" s="116"/>
      <c r="F299" s="124"/>
    </row>
    <row r="300" spans="1:6" ht="27.6" x14ac:dyDescent="0.25">
      <c r="A300" s="75" t="s">
        <v>3</v>
      </c>
      <c r="B300" s="76" t="s">
        <v>128</v>
      </c>
      <c r="C300" s="128">
        <v>16.128</v>
      </c>
      <c r="D300" s="125" t="s">
        <v>45</v>
      </c>
      <c r="E300" s="123">
        <v>12790</v>
      </c>
      <c r="F300" s="124">
        <f>C300*E300</f>
        <v>206277.12</v>
      </c>
    </row>
    <row r="301" spans="1:6" x14ac:dyDescent="0.25">
      <c r="A301" s="69"/>
      <c r="B301" s="76"/>
      <c r="C301" s="129"/>
      <c r="D301" s="71"/>
      <c r="E301" s="123"/>
      <c r="F301" s="124"/>
    </row>
    <row r="302" spans="1:6" ht="41.4" x14ac:dyDescent="0.25">
      <c r="A302" s="75" t="s">
        <v>2</v>
      </c>
      <c r="B302" s="76" t="s">
        <v>129</v>
      </c>
      <c r="C302" s="128">
        <v>3.2549999999999994</v>
      </c>
      <c r="D302" s="125" t="s">
        <v>45</v>
      </c>
      <c r="E302" s="123">
        <v>12790</v>
      </c>
      <c r="F302" s="124">
        <f>C302*E302</f>
        <v>41631.44999999999</v>
      </c>
    </row>
    <row r="303" spans="1:6" x14ac:dyDescent="0.25">
      <c r="A303" s="69"/>
      <c r="B303" s="76"/>
      <c r="C303" s="129"/>
      <c r="D303" s="71"/>
      <c r="E303" s="123"/>
      <c r="F303" s="124"/>
    </row>
    <row r="304" spans="1:6" ht="41.4" x14ac:dyDescent="0.25">
      <c r="A304" s="75" t="s">
        <v>5</v>
      </c>
      <c r="B304" s="76" t="s">
        <v>130</v>
      </c>
      <c r="C304" s="128">
        <v>3.5174999999999996</v>
      </c>
      <c r="D304" s="125" t="s">
        <v>45</v>
      </c>
      <c r="E304" s="123">
        <v>12790</v>
      </c>
      <c r="F304" s="124">
        <f>C304*E304</f>
        <v>44988.824999999997</v>
      </c>
    </row>
    <row r="305" spans="1:6" x14ac:dyDescent="0.25">
      <c r="A305" s="69"/>
      <c r="B305" s="76"/>
      <c r="C305" s="129"/>
      <c r="D305" s="71"/>
      <c r="E305" s="123"/>
      <c r="F305" s="124"/>
    </row>
    <row r="306" spans="1:6" ht="27.6" x14ac:dyDescent="0.25">
      <c r="A306" s="75" t="s">
        <v>7</v>
      </c>
      <c r="B306" s="76" t="s">
        <v>131</v>
      </c>
      <c r="C306" s="128">
        <v>5.1840000000000011</v>
      </c>
      <c r="D306" s="125" t="s">
        <v>45</v>
      </c>
      <c r="E306" s="123">
        <v>12790</v>
      </c>
      <c r="F306" s="124">
        <f>C306*E306</f>
        <v>66303.360000000015</v>
      </c>
    </row>
    <row r="307" spans="1:6" x14ac:dyDescent="0.25">
      <c r="A307" s="69"/>
      <c r="B307" s="76"/>
      <c r="C307" s="129"/>
      <c r="D307" s="71"/>
      <c r="E307" s="123"/>
      <c r="F307" s="124"/>
    </row>
    <row r="308" spans="1:6" ht="44.25" customHeight="1" x14ac:dyDescent="0.25">
      <c r="A308" s="75" t="s">
        <v>8</v>
      </c>
      <c r="B308" s="76" t="s">
        <v>132</v>
      </c>
      <c r="C308" s="128">
        <v>2.3039999999999998</v>
      </c>
      <c r="D308" s="125" t="s">
        <v>45</v>
      </c>
      <c r="E308" s="123">
        <v>12790</v>
      </c>
      <c r="F308" s="124">
        <f>C308*E308</f>
        <v>29468.159999999996</v>
      </c>
    </row>
    <row r="309" spans="1:6" x14ac:dyDescent="0.25">
      <c r="A309" s="69"/>
      <c r="B309" s="76"/>
      <c r="C309" s="129"/>
      <c r="D309" s="71"/>
      <c r="E309" s="123"/>
      <c r="F309" s="124"/>
    </row>
    <row r="310" spans="1:6" ht="27.6" x14ac:dyDescent="0.25">
      <c r="A310" s="75" t="s">
        <v>9</v>
      </c>
      <c r="B310" s="76" t="s">
        <v>133</v>
      </c>
      <c r="C310" s="128">
        <v>3.4559999999999995</v>
      </c>
      <c r="D310" s="125" t="s">
        <v>45</v>
      </c>
      <c r="E310" s="123">
        <v>12790</v>
      </c>
      <c r="F310" s="124">
        <f>C310*E310</f>
        <v>44202.239999999991</v>
      </c>
    </row>
    <row r="311" spans="1:6" x14ac:dyDescent="0.25">
      <c r="A311" s="69"/>
      <c r="B311" s="76"/>
      <c r="C311" s="129"/>
      <c r="D311" s="71"/>
      <c r="E311" s="123"/>
      <c r="F311" s="124"/>
    </row>
    <row r="312" spans="1:6" ht="41.4" x14ac:dyDescent="0.25">
      <c r="A312" s="75" t="s">
        <v>10</v>
      </c>
      <c r="B312" s="76" t="s">
        <v>134</v>
      </c>
      <c r="C312" s="128">
        <v>4.2240000000000002</v>
      </c>
      <c r="D312" s="125" t="s">
        <v>45</v>
      </c>
      <c r="E312" s="123">
        <v>12790</v>
      </c>
      <c r="F312" s="124">
        <f>C312*E312</f>
        <v>54024.959999999999</v>
      </c>
    </row>
    <row r="313" spans="1:6" x14ac:dyDescent="0.25">
      <c r="A313" s="69"/>
      <c r="B313" s="76"/>
      <c r="C313" s="129"/>
      <c r="D313" s="71"/>
      <c r="E313" s="123"/>
      <c r="F313" s="124"/>
    </row>
    <row r="314" spans="1:6" ht="27.6" x14ac:dyDescent="0.25">
      <c r="A314" s="75" t="s">
        <v>11</v>
      </c>
      <c r="B314" s="76" t="s">
        <v>135</v>
      </c>
      <c r="C314" s="128">
        <v>1.7280000000000002</v>
      </c>
      <c r="D314" s="125" t="s">
        <v>45</v>
      </c>
      <c r="E314" s="123">
        <v>12790</v>
      </c>
      <c r="F314" s="124">
        <f>C314*E314</f>
        <v>22101.120000000003</v>
      </c>
    </row>
    <row r="315" spans="1:6" x14ac:dyDescent="0.25">
      <c r="A315" s="69"/>
      <c r="B315" s="76"/>
      <c r="C315" s="129"/>
      <c r="D315" s="71"/>
      <c r="E315" s="123"/>
      <c r="F315" s="124"/>
    </row>
    <row r="316" spans="1:6" ht="41.4" x14ac:dyDescent="0.25">
      <c r="A316" s="75" t="s">
        <v>13</v>
      </c>
      <c r="B316" s="76" t="s">
        <v>136</v>
      </c>
      <c r="C316" s="128">
        <v>2.2837499999999999</v>
      </c>
      <c r="D316" s="125" t="s">
        <v>45</v>
      </c>
      <c r="E316" s="123">
        <v>12790</v>
      </c>
      <c r="F316" s="124">
        <f>C316*E316</f>
        <v>29209.162499999999</v>
      </c>
    </row>
    <row r="317" spans="1:6" x14ac:dyDescent="0.25">
      <c r="A317" s="69"/>
      <c r="B317" s="76"/>
      <c r="C317" s="129"/>
      <c r="D317" s="71"/>
      <c r="E317" s="123"/>
      <c r="F317" s="124"/>
    </row>
    <row r="318" spans="1:6" ht="41.4" x14ac:dyDescent="0.25">
      <c r="A318" s="75" t="s">
        <v>14</v>
      </c>
      <c r="B318" s="76" t="s">
        <v>137</v>
      </c>
      <c r="C318" s="128">
        <v>5.0889999999999995</v>
      </c>
      <c r="D318" s="125" t="s">
        <v>45</v>
      </c>
      <c r="E318" s="123">
        <v>12790</v>
      </c>
      <c r="F318" s="124">
        <f>C318*E318</f>
        <v>65088.30999999999</v>
      </c>
    </row>
    <row r="319" spans="1:6" x14ac:dyDescent="0.25">
      <c r="A319" s="69"/>
      <c r="B319" s="76"/>
      <c r="C319" s="129"/>
      <c r="D319" s="71"/>
      <c r="E319" s="123"/>
      <c r="F319" s="124"/>
    </row>
    <row r="320" spans="1:6" ht="27.6" x14ac:dyDescent="0.25">
      <c r="A320" s="75" t="s">
        <v>15</v>
      </c>
      <c r="B320" s="76" t="s">
        <v>138</v>
      </c>
      <c r="C320" s="128">
        <v>47.2</v>
      </c>
      <c r="D320" s="125" t="s">
        <v>45</v>
      </c>
      <c r="E320" s="123">
        <v>12790</v>
      </c>
      <c r="F320" s="124">
        <f>C320*E320</f>
        <v>603688</v>
      </c>
    </row>
    <row r="321" spans="1:6" x14ac:dyDescent="0.25">
      <c r="A321" s="69"/>
      <c r="B321" s="76"/>
      <c r="C321" s="70"/>
      <c r="D321" s="71"/>
      <c r="E321" s="116"/>
      <c r="F321" s="124"/>
    </row>
    <row r="322" spans="1:6" x14ac:dyDescent="0.25">
      <c r="A322" s="75"/>
      <c r="B322" s="76"/>
      <c r="C322" s="77"/>
      <c r="D322" s="78"/>
      <c r="E322" s="116"/>
      <c r="F322" s="107"/>
    </row>
    <row r="323" spans="1:6" x14ac:dyDescent="0.25">
      <c r="A323" s="69"/>
      <c r="B323" s="76"/>
      <c r="C323" s="70"/>
      <c r="D323" s="71"/>
      <c r="E323" s="116"/>
      <c r="F323" s="107"/>
    </row>
    <row r="324" spans="1:6" x14ac:dyDescent="0.25">
      <c r="A324" s="75"/>
      <c r="B324" s="76"/>
      <c r="C324" s="77"/>
      <c r="D324" s="78"/>
      <c r="E324" s="116"/>
      <c r="F324" s="107"/>
    </row>
    <row r="325" spans="1:6" x14ac:dyDescent="0.25">
      <c r="A325" s="75"/>
      <c r="B325" s="76"/>
      <c r="C325" s="77"/>
      <c r="D325" s="78"/>
      <c r="E325" s="116"/>
      <c r="F325" s="107"/>
    </row>
    <row r="326" spans="1:6" x14ac:dyDescent="0.25">
      <c r="A326" s="75"/>
      <c r="B326" s="98"/>
      <c r="C326" s="77"/>
      <c r="D326" s="78"/>
      <c r="E326" s="116"/>
      <c r="F326" s="107"/>
    </row>
    <row r="327" spans="1:6" x14ac:dyDescent="0.25">
      <c r="A327" s="75"/>
      <c r="B327" s="98"/>
      <c r="C327" s="77"/>
      <c r="D327" s="78"/>
      <c r="E327" s="116"/>
      <c r="F327" s="107"/>
    </row>
    <row r="328" spans="1:6" x14ac:dyDescent="0.25">
      <c r="A328" s="69"/>
      <c r="B328" s="100"/>
      <c r="C328" s="70"/>
      <c r="D328" s="71"/>
      <c r="E328" s="116"/>
      <c r="F328" s="107"/>
    </row>
    <row r="329" spans="1:6" x14ac:dyDescent="0.25">
      <c r="A329" s="80"/>
      <c r="B329" s="81"/>
      <c r="C329" s="82"/>
      <c r="D329" s="83"/>
      <c r="E329" s="117"/>
      <c r="F329" s="108"/>
    </row>
    <row r="330" spans="1:6" x14ac:dyDescent="0.25">
      <c r="A330" s="84"/>
      <c r="B330" s="85"/>
      <c r="C330" s="86" t="s">
        <v>22</v>
      </c>
      <c r="D330" s="86"/>
      <c r="E330" s="118" t="s">
        <v>21</v>
      </c>
      <c r="F330" s="109">
        <f>SUM(F299:F326)</f>
        <v>1206982.7075</v>
      </c>
    </row>
    <row r="331" spans="1:6" x14ac:dyDescent="0.25">
      <c r="A331" s="84"/>
      <c r="B331" s="85"/>
      <c r="C331" s="87"/>
      <c r="D331" s="88"/>
      <c r="E331" s="119"/>
      <c r="F331" s="110"/>
    </row>
    <row r="332" spans="1:6" x14ac:dyDescent="0.25">
      <c r="A332" s="74"/>
      <c r="B332" s="96"/>
      <c r="C332" s="74"/>
      <c r="D332" s="79"/>
      <c r="E332" s="116"/>
      <c r="F332" s="107"/>
    </row>
    <row r="333" spans="1:6" ht="27.6" x14ac:dyDescent="0.25">
      <c r="A333" s="69"/>
      <c r="B333" s="73" t="s">
        <v>65</v>
      </c>
      <c r="C333" s="70"/>
      <c r="D333" s="71"/>
      <c r="E333" s="116"/>
      <c r="F333" s="107"/>
    </row>
    <row r="334" spans="1:6" x14ac:dyDescent="0.25">
      <c r="A334" s="69"/>
      <c r="B334" s="100"/>
      <c r="C334" s="70"/>
      <c r="D334" s="71"/>
      <c r="E334" s="116"/>
      <c r="F334" s="107"/>
    </row>
    <row r="335" spans="1:6" ht="27.6" x14ac:dyDescent="0.25">
      <c r="A335" s="75" t="s">
        <v>3</v>
      </c>
      <c r="B335" s="76" t="s">
        <v>139</v>
      </c>
      <c r="C335" s="128">
        <v>10.4</v>
      </c>
      <c r="D335" s="125" t="s">
        <v>45</v>
      </c>
      <c r="E335" s="123">
        <v>12790</v>
      </c>
      <c r="F335" s="124">
        <f>C335*E335</f>
        <v>133016</v>
      </c>
    </row>
    <row r="336" spans="1:6" x14ac:dyDescent="0.25">
      <c r="A336" s="69"/>
      <c r="B336" s="100"/>
      <c r="C336" s="129"/>
      <c r="D336" s="126"/>
      <c r="E336" s="123"/>
      <c r="F336" s="124"/>
    </row>
    <row r="337" spans="1:6" ht="27.6" x14ac:dyDescent="0.25">
      <c r="A337" s="75" t="s">
        <v>2</v>
      </c>
      <c r="B337" s="76" t="s">
        <v>140</v>
      </c>
      <c r="C337" s="128">
        <v>39</v>
      </c>
      <c r="D337" s="125" t="s">
        <v>45</v>
      </c>
      <c r="E337" s="123">
        <v>12790</v>
      </c>
      <c r="F337" s="124">
        <f>C337*E337</f>
        <v>498810</v>
      </c>
    </row>
    <row r="338" spans="1:6" x14ac:dyDescent="0.25">
      <c r="A338" s="69"/>
      <c r="B338" s="100"/>
      <c r="C338" s="129"/>
      <c r="D338" s="126"/>
      <c r="E338" s="123"/>
      <c r="F338" s="124"/>
    </row>
    <row r="339" spans="1:6" ht="27.6" x14ac:dyDescent="0.25">
      <c r="A339" s="75" t="s">
        <v>5</v>
      </c>
      <c r="B339" s="76" t="s">
        <v>141</v>
      </c>
      <c r="C339" s="128">
        <v>15</v>
      </c>
      <c r="D339" s="125" t="s">
        <v>45</v>
      </c>
      <c r="E339" s="123">
        <v>12790</v>
      </c>
      <c r="F339" s="124">
        <f>C339*E339</f>
        <v>191850</v>
      </c>
    </row>
    <row r="340" spans="1:6" x14ac:dyDescent="0.25">
      <c r="A340" s="69"/>
      <c r="B340" s="100"/>
      <c r="C340" s="129"/>
      <c r="D340" s="126"/>
      <c r="E340" s="123"/>
      <c r="F340" s="124"/>
    </row>
    <row r="341" spans="1:6" ht="27.6" x14ac:dyDescent="0.25">
      <c r="A341" s="75"/>
      <c r="B341" s="76" t="s">
        <v>142</v>
      </c>
      <c r="C341" s="128">
        <v>4</v>
      </c>
      <c r="D341" s="125" t="s">
        <v>45</v>
      </c>
      <c r="E341" s="123">
        <v>12790</v>
      </c>
      <c r="F341" s="124">
        <f>C341*E341</f>
        <v>51160</v>
      </c>
    </row>
    <row r="342" spans="1:6" x14ac:dyDescent="0.25">
      <c r="A342" s="69"/>
      <c r="B342" s="76"/>
      <c r="C342" s="129"/>
      <c r="D342" s="126"/>
      <c r="E342" s="123"/>
      <c r="F342" s="124"/>
    </row>
    <row r="343" spans="1:6" ht="27.6" x14ac:dyDescent="0.25">
      <c r="A343" s="75"/>
      <c r="B343" s="76" t="s">
        <v>143</v>
      </c>
      <c r="C343" s="128">
        <v>7</v>
      </c>
      <c r="D343" s="125" t="s">
        <v>45</v>
      </c>
      <c r="E343" s="123">
        <v>12790</v>
      </c>
      <c r="F343" s="124">
        <f>C343*E343</f>
        <v>89530</v>
      </c>
    </row>
    <row r="344" spans="1:6" x14ac:dyDescent="0.25">
      <c r="A344" s="69"/>
      <c r="B344" s="76"/>
      <c r="C344" s="129"/>
      <c r="D344" s="126"/>
      <c r="E344" s="123"/>
      <c r="F344" s="124"/>
    </row>
    <row r="345" spans="1:6" ht="27.6" x14ac:dyDescent="0.25">
      <c r="A345" s="75" t="s">
        <v>7</v>
      </c>
      <c r="B345" s="76" t="s">
        <v>144</v>
      </c>
      <c r="C345" s="128">
        <v>6</v>
      </c>
      <c r="D345" s="125" t="s">
        <v>45</v>
      </c>
      <c r="E345" s="123">
        <v>12790</v>
      </c>
      <c r="F345" s="124">
        <f>C345*E345</f>
        <v>76740</v>
      </c>
    </row>
    <row r="346" spans="1:6" x14ac:dyDescent="0.25">
      <c r="A346" s="69"/>
      <c r="B346" s="76"/>
      <c r="C346" s="129"/>
      <c r="D346" s="126"/>
      <c r="E346" s="123"/>
      <c r="F346" s="124"/>
    </row>
    <row r="347" spans="1:6" ht="27.6" x14ac:dyDescent="0.25">
      <c r="A347" s="75"/>
      <c r="B347" s="76" t="s">
        <v>145</v>
      </c>
      <c r="C347" s="128">
        <v>6.3699999999999992</v>
      </c>
      <c r="D347" s="125" t="s">
        <v>45</v>
      </c>
      <c r="E347" s="123">
        <v>12790</v>
      </c>
      <c r="F347" s="124">
        <f>C347*E347</f>
        <v>81472.299999999988</v>
      </c>
    </row>
    <row r="348" spans="1:6" x14ac:dyDescent="0.25">
      <c r="A348" s="69"/>
      <c r="B348" s="76"/>
      <c r="C348" s="129"/>
      <c r="D348" s="126"/>
      <c r="E348" s="123"/>
      <c r="F348" s="124"/>
    </row>
    <row r="349" spans="1:6" ht="27.6" x14ac:dyDescent="0.25">
      <c r="A349" s="75" t="s">
        <v>8</v>
      </c>
      <c r="B349" s="76" t="s">
        <v>146</v>
      </c>
      <c r="C349" s="128">
        <v>3.6749999999999994</v>
      </c>
      <c r="D349" s="125" t="s">
        <v>45</v>
      </c>
      <c r="E349" s="123">
        <v>12790</v>
      </c>
      <c r="F349" s="124">
        <f>C349*E349</f>
        <v>47003.249999999993</v>
      </c>
    </row>
    <row r="350" spans="1:6" x14ac:dyDescent="0.25">
      <c r="A350" s="69"/>
      <c r="B350" s="76"/>
      <c r="C350" s="129"/>
      <c r="D350" s="126"/>
      <c r="E350" s="123"/>
      <c r="F350" s="124"/>
    </row>
    <row r="351" spans="1:6" ht="27.6" x14ac:dyDescent="0.25">
      <c r="A351" s="75" t="s">
        <v>9</v>
      </c>
      <c r="B351" s="76" t="s">
        <v>37</v>
      </c>
      <c r="C351" s="132">
        <v>77</v>
      </c>
      <c r="D351" s="125" t="s">
        <v>12</v>
      </c>
      <c r="E351" s="123">
        <v>118.89</v>
      </c>
      <c r="F351" s="124">
        <f>C351*E351</f>
        <v>9154.5300000000007</v>
      </c>
    </row>
    <row r="352" spans="1:6" x14ac:dyDescent="0.25">
      <c r="A352" s="69"/>
      <c r="B352" s="100"/>
      <c r="C352" s="129"/>
      <c r="D352" s="126"/>
      <c r="E352" s="123"/>
      <c r="F352" s="124"/>
    </row>
    <row r="353" spans="1:6" ht="41.4" x14ac:dyDescent="0.25">
      <c r="A353" s="75" t="s">
        <v>10</v>
      </c>
      <c r="B353" s="76" t="s">
        <v>147</v>
      </c>
      <c r="C353" s="128">
        <v>3.294</v>
      </c>
      <c r="D353" s="125" t="s">
        <v>45</v>
      </c>
      <c r="E353" s="123">
        <v>12790</v>
      </c>
      <c r="F353" s="124">
        <f>C353*E353</f>
        <v>42130.26</v>
      </c>
    </row>
    <row r="354" spans="1:6" x14ac:dyDescent="0.25">
      <c r="A354" s="69"/>
      <c r="B354" s="100"/>
      <c r="C354" s="129"/>
      <c r="D354" s="126"/>
      <c r="E354" s="123"/>
      <c r="F354" s="124"/>
    </row>
    <row r="355" spans="1:6" ht="41.4" x14ac:dyDescent="0.25">
      <c r="A355" s="75" t="s">
        <v>11</v>
      </c>
      <c r="B355" s="76" t="s">
        <v>148</v>
      </c>
      <c r="C355" s="128">
        <v>2.8364999999999991</v>
      </c>
      <c r="D355" s="125" t="s">
        <v>45</v>
      </c>
      <c r="E355" s="123">
        <v>12790</v>
      </c>
      <c r="F355" s="124">
        <f>C355*E355</f>
        <v>36278.834999999992</v>
      </c>
    </row>
    <row r="356" spans="1:6" x14ac:dyDescent="0.25">
      <c r="A356" s="69"/>
      <c r="B356" s="100"/>
      <c r="C356" s="129"/>
      <c r="D356" s="126"/>
      <c r="E356" s="123"/>
      <c r="F356" s="124"/>
    </row>
    <row r="357" spans="1:6" ht="41.4" x14ac:dyDescent="0.25">
      <c r="A357" s="75" t="s">
        <v>13</v>
      </c>
      <c r="B357" s="76" t="s">
        <v>149</v>
      </c>
      <c r="C357" s="128">
        <v>3.0652499999999994</v>
      </c>
      <c r="D357" s="125" t="s">
        <v>45</v>
      </c>
      <c r="E357" s="123">
        <v>12790</v>
      </c>
      <c r="F357" s="124">
        <f>C357*E357</f>
        <v>39204.547499999993</v>
      </c>
    </row>
    <row r="358" spans="1:6" x14ac:dyDescent="0.25">
      <c r="A358" s="69"/>
      <c r="B358" s="100"/>
      <c r="C358" s="70"/>
      <c r="D358" s="71"/>
      <c r="E358" s="116"/>
      <c r="F358" s="107"/>
    </row>
    <row r="359" spans="1:6" x14ac:dyDescent="0.25">
      <c r="A359" s="75"/>
      <c r="B359" s="76"/>
      <c r="C359" s="77"/>
      <c r="D359" s="78"/>
      <c r="E359" s="116"/>
      <c r="F359" s="107"/>
    </row>
    <row r="360" spans="1:6" x14ac:dyDescent="0.25">
      <c r="A360" s="75"/>
      <c r="B360" s="98"/>
      <c r="C360" s="77"/>
      <c r="D360" s="78"/>
      <c r="E360" s="116"/>
      <c r="F360" s="107"/>
    </row>
    <row r="361" spans="1:6" x14ac:dyDescent="0.25">
      <c r="A361" s="75"/>
      <c r="B361" s="98"/>
      <c r="C361" s="77"/>
      <c r="D361" s="78"/>
      <c r="E361" s="116"/>
      <c r="F361" s="107"/>
    </row>
    <row r="362" spans="1:6" x14ac:dyDescent="0.25">
      <c r="A362" s="75"/>
      <c r="B362" s="98"/>
      <c r="C362" s="77"/>
      <c r="D362" s="78"/>
      <c r="E362" s="116"/>
      <c r="F362" s="107"/>
    </row>
    <row r="363" spans="1:6" x14ac:dyDescent="0.25">
      <c r="A363" s="75"/>
      <c r="B363" s="98"/>
      <c r="C363" s="77"/>
      <c r="D363" s="78"/>
      <c r="E363" s="116"/>
      <c r="F363" s="107"/>
    </row>
    <row r="364" spans="1:6" x14ac:dyDescent="0.25">
      <c r="A364" s="69"/>
      <c r="B364" s="100"/>
      <c r="C364" s="70"/>
      <c r="D364" s="71"/>
      <c r="E364" s="116"/>
      <c r="F364" s="107"/>
    </row>
    <row r="365" spans="1:6" x14ac:dyDescent="0.25">
      <c r="A365" s="75"/>
      <c r="B365" s="98"/>
      <c r="C365" s="77"/>
      <c r="D365" s="78"/>
      <c r="E365" s="116"/>
      <c r="F365" s="107"/>
    </row>
    <row r="366" spans="1:6" x14ac:dyDescent="0.25">
      <c r="A366" s="80"/>
      <c r="B366" s="81"/>
      <c r="C366" s="82"/>
      <c r="D366" s="83"/>
      <c r="E366" s="117"/>
      <c r="F366" s="108"/>
    </row>
    <row r="367" spans="1:6" x14ac:dyDescent="0.25">
      <c r="A367" s="84"/>
      <c r="B367" s="85"/>
      <c r="C367" s="86" t="s">
        <v>22</v>
      </c>
      <c r="D367" s="86"/>
      <c r="E367" s="118" t="s">
        <v>21</v>
      </c>
      <c r="F367" s="109">
        <f>SUM(F334:F361)</f>
        <v>1296349.7225000001</v>
      </c>
    </row>
    <row r="368" spans="1:6" x14ac:dyDescent="0.25">
      <c r="A368" s="84"/>
      <c r="B368" s="85"/>
      <c r="C368" s="87"/>
      <c r="D368" s="88"/>
      <c r="E368" s="119"/>
      <c r="F368" s="110"/>
    </row>
    <row r="369" spans="1:6" x14ac:dyDescent="0.25">
      <c r="A369" s="75"/>
      <c r="B369" s="98"/>
      <c r="C369" s="77"/>
      <c r="D369" s="78"/>
      <c r="E369" s="116"/>
      <c r="F369" s="107"/>
    </row>
    <row r="370" spans="1:6" ht="27.6" x14ac:dyDescent="0.25">
      <c r="A370" s="69"/>
      <c r="B370" s="73" t="s">
        <v>65</v>
      </c>
      <c r="C370" s="70"/>
      <c r="D370" s="71"/>
      <c r="E370" s="116"/>
      <c r="F370" s="107"/>
    </row>
    <row r="371" spans="1:6" x14ac:dyDescent="0.25">
      <c r="A371" s="69"/>
      <c r="B371" s="100"/>
      <c r="C371" s="70"/>
      <c r="D371" s="71"/>
      <c r="E371" s="116"/>
      <c r="F371" s="107"/>
    </row>
    <row r="372" spans="1:6" ht="41.4" x14ac:dyDescent="0.25">
      <c r="A372" s="75" t="s">
        <v>3</v>
      </c>
      <c r="B372" s="76" t="s">
        <v>150</v>
      </c>
      <c r="C372" s="128">
        <v>3.8940000000000006</v>
      </c>
      <c r="D372" s="125" t="s">
        <v>45</v>
      </c>
      <c r="E372" s="123">
        <v>12790</v>
      </c>
      <c r="F372" s="124">
        <f>C372*E372</f>
        <v>49804.260000000009</v>
      </c>
    </row>
    <row r="373" spans="1:6" x14ac:dyDescent="0.25">
      <c r="A373" s="69"/>
      <c r="B373" s="100"/>
      <c r="C373" s="129"/>
      <c r="D373" s="71"/>
      <c r="E373" s="123"/>
      <c r="F373" s="124"/>
    </row>
    <row r="374" spans="1:6" ht="41.4" x14ac:dyDescent="0.25">
      <c r="A374" s="75" t="s">
        <v>2</v>
      </c>
      <c r="B374" s="76" t="s">
        <v>151</v>
      </c>
      <c r="C374" s="128">
        <v>1.9901249999999997</v>
      </c>
      <c r="D374" s="125" t="s">
        <v>45</v>
      </c>
      <c r="E374" s="123">
        <v>12790</v>
      </c>
      <c r="F374" s="124">
        <f>C374*E374</f>
        <v>25453.698749999996</v>
      </c>
    </row>
    <row r="375" spans="1:6" x14ac:dyDescent="0.25">
      <c r="A375" s="75"/>
      <c r="B375" s="99"/>
      <c r="C375" s="128"/>
      <c r="D375" s="78"/>
      <c r="E375" s="123"/>
      <c r="F375" s="124"/>
    </row>
    <row r="376" spans="1:6" ht="41.4" x14ac:dyDescent="0.25">
      <c r="A376" s="133" t="s">
        <v>5</v>
      </c>
      <c r="B376" s="76" t="s">
        <v>152</v>
      </c>
      <c r="C376" s="129">
        <v>4.4346999999999994</v>
      </c>
      <c r="D376" s="125" t="s">
        <v>45</v>
      </c>
      <c r="E376" s="123">
        <v>12790</v>
      </c>
      <c r="F376" s="124">
        <f>C376*E376</f>
        <v>56719.812999999995</v>
      </c>
    </row>
    <row r="377" spans="1:6" x14ac:dyDescent="0.25">
      <c r="A377" s="75"/>
      <c r="B377" s="76"/>
      <c r="C377" s="128"/>
      <c r="D377" s="78"/>
      <c r="E377" s="123"/>
      <c r="F377" s="124"/>
    </row>
    <row r="378" spans="1:6" ht="27.6" x14ac:dyDescent="0.25">
      <c r="A378" s="133" t="s">
        <v>7</v>
      </c>
      <c r="B378" s="76" t="s">
        <v>153</v>
      </c>
      <c r="C378" s="130">
        <v>43.400000000000006</v>
      </c>
      <c r="D378" s="125" t="s">
        <v>45</v>
      </c>
      <c r="E378" s="123">
        <v>12790</v>
      </c>
      <c r="F378" s="124">
        <f>C378*E378</f>
        <v>555086.00000000012</v>
      </c>
    </row>
    <row r="379" spans="1:6" x14ac:dyDescent="0.25">
      <c r="A379" s="133"/>
      <c r="B379" s="76"/>
      <c r="C379" s="130"/>
      <c r="D379" s="79"/>
      <c r="E379" s="123"/>
      <c r="F379" s="124"/>
    </row>
    <row r="380" spans="1:6" ht="27.6" x14ac:dyDescent="0.25">
      <c r="A380" s="133" t="s">
        <v>8</v>
      </c>
      <c r="B380" s="76" t="s">
        <v>154</v>
      </c>
      <c r="C380" s="130">
        <v>9.6000000000000014</v>
      </c>
      <c r="D380" s="125" t="s">
        <v>45</v>
      </c>
      <c r="E380" s="123">
        <v>12790</v>
      </c>
      <c r="F380" s="124">
        <f>C380*E380</f>
        <v>122784.00000000001</v>
      </c>
    </row>
    <row r="381" spans="1:6" x14ac:dyDescent="0.25">
      <c r="A381" s="133"/>
      <c r="B381" s="76"/>
      <c r="C381" s="130"/>
      <c r="D381" s="79"/>
      <c r="E381" s="123"/>
      <c r="F381" s="124"/>
    </row>
    <row r="382" spans="1:6" ht="27.6" x14ac:dyDescent="0.25">
      <c r="A382" s="133" t="s">
        <v>9</v>
      </c>
      <c r="B382" s="76" t="s">
        <v>155</v>
      </c>
      <c r="C382" s="130">
        <v>6.3699999999999992</v>
      </c>
      <c r="D382" s="125" t="s">
        <v>45</v>
      </c>
      <c r="E382" s="123">
        <v>12790</v>
      </c>
      <c r="F382" s="124">
        <f>C382*E382</f>
        <v>81472.299999999988</v>
      </c>
    </row>
    <row r="383" spans="1:6" x14ac:dyDescent="0.25">
      <c r="A383" s="133"/>
      <c r="B383" s="76"/>
      <c r="C383" s="130"/>
      <c r="D383" s="79"/>
      <c r="E383" s="123"/>
      <c r="F383" s="124"/>
    </row>
    <row r="384" spans="1:6" ht="27.6" x14ac:dyDescent="0.25">
      <c r="A384" s="133" t="s">
        <v>10</v>
      </c>
      <c r="B384" s="76" t="s">
        <v>156</v>
      </c>
      <c r="C384" s="130">
        <v>3.6749999999999994</v>
      </c>
      <c r="D384" s="125" t="s">
        <v>45</v>
      </c>
      <c r="E384" s="123">
        <v>12790</v>
      </c>
      <c r="F384" s="124">
        <f>C384*E384</f>
        <v>47003.249999999993</v>
      </c>
    </row>
    <row r="385" spans="1:6" x14ac:dyDescent="0.25">
      <c r="A385" s="133"/>
      <c r="B385" s="76"/>
      <c r="C385" s="130"/>
      <c r="D385" s="79"/>
      <c r="E385" s="123"/>
      <c r="F385" s="124"/>
    </row>
    <row r="386" spans="1:6" ht="27.6" x14ac:dyDescent="0.25">
      <c r="A386" s="133" t="s">
        <v>11</v>
      </c>
      <c r="B386" s="76" t="s">
        <v>38</v>
      </c>
      <c r="C386" s="134">
        <v>72</v>
      </c>
      <c r="D386" s="125" t="s">
        <v>12</v>
      </c>
      <c r="E386" s="123">
        <v>118.894176</v>
      </c>
      <c r="F386" s="124">
        <f>C386*E386</f>
        <v>8560.3806719999993</v>
      </c>
    </row>
    <row r="387" spans="1:6" x14ac:dyDescent="0.25">
      <c r="A387" s="133"/>
      <c r="B387" s="76"/>
      <c r="C387" s="130"/>
      <c r="D387" s="79"/>
      <c r="E387" s="123"/>
      <c r="F387" s="124"/>
    </row>
    <row r="388" spans="1:6" ht="27.6" x14ac:dyDescent="0.25">
      <c r="A388" s="133" t="s">
        <v>13</v>
      </c>
      <c r="B388" s="76" t="s">
        <v>157</v>
      </c>
      <c r="C388" s="130">
        <v>1.1519999999999999</v>
      </c>
      <c r="D388" s="125" t="s">
        <v>45</v>
      </c>
      <c r="E388" s="123">
        <v>12790</v>
      </c>
      <c r="F388" s="124">
        <f>C388*E388</f>
        <v>14734.079999999998</v>
      </c>
    </row>
    <row r="389" spans="1:6" x14ac:dyDescent="0.25">
      <c r="A389" s="133"/>
      <c r="B389" s="76"/>
      <c r="C389" s="130"/>
      <c r="D389" s="79"/>
      <c r="E389" s="123"/>
      <c r="F389" s="124"/>
    </row>
    <row r="390" spans="1:6" ht="27.6" x14ac:dyDescent="0.25">
      <c r="A390" s="133" t="s">
        <v>14</v>
      </c>
      <c r="B390" s="76" t="s">
        <v>158</v>
      </c>
      <c r="C390" s="129">
        <v>3.4560000000000004</v>
      </c>
      <c r="D390" s="125" t="s">
        <v>45</v>
      </c>
      <c r="E390" s="123">
        <v>12790</v>
      </c>
      <c r="F390" s="124">
        <f>C390*E390</f>
        <v>44202.240000000005</v>
      </c>
    </row>
    <row r="391" spans="1:6" x14ac:dyDescent="0.25">
      <c r="A391" s="69"/>
      <c r="B391" s="76"/>
      <c r="C391" s="129"/>
      <c r="D391" s="71"/>
      <c r="E391" s="123"/>
      <c r="F391" s="124"/>
    </row>
    <row r="392" spans="1:6" ht="41.4" x14ac:dyDescent="0.25">
      <c r="A392" s="75" t="s">
        <v>15</v>
      </c>
      <c r="B392" s="76" t="s">
        <v>159</v>
      </c>
      <c r="C392" s="128">
        <v>3.5174999999999996</v>
      </c>
      <c r="D392" s="125" t="s">
        <v>45</v>
      </c>
      <c r="E392" s="123">
        <v>12790</v>
      </c>
      <c r="F392" s="124">
        <f>C392*E392</f>
        <v>44988.824999999997</v>
      </c>
    </row>
    <row r="393" spans="1:6" x14ac:dyDescent="0.25">
      <c r="A393" s="69"/>
      <c r="B393" s="76"/>
      <c r="C393" s="70"/>
      <c r="D393" s="71"/>
      <c r="E393" s="116"/>
      <c r="F393" s="107"/>
    </row>
    <row r="394" spans="1:6" x14ac:dyDescent="0.25">
      <c r="A394" s="69"/>
      <c r="B394" s="76"/>
      <c r="C394" s="70"/>
      <c r="D394" s="71"/>
      <c r="E394" s="116"/>
      <c r="F394" s="107"/>
    </row>
    <row r="395" spans="1:6" x14ac:dyDescent="0.25">
      <c r="A395" s="75"/>
      <c r="B395" s="76"/>
      <c r="C395" s="77"/>
      <c r="D395" s="78"/>
      <c r="E395" s="116"/>
      <c r="F395" s="107"/>
    </row>
    <row r="396" spans="1:6" x14ac:dyDescent="0.25">
      <c r="A396" s="69"/>
      <c r="B396" s="76"/>
      <c r="C396" s="70"/>
      <c r="D396" s="71"/>
      <c r="E396" s="116"/>
      <c r="F396" s="107"/>
    </row>
    <row r="397" spans="1:6" x14ac:dyDescent="0.25">
      <c r="A397" s="75"/>
      <c r="B397" s="76"/>
      <c r="C397" s="77"/>
      <c r="D397" s="78"/>
      <c r="E397" s="116"/>
      <c r="F397" s="107"/>
    </row>
    <row r="398" spans="1:6" x14ac:dyDescent="0.25">
      <c r="A398" s="69"/>
      <c r="B398" s="76"/>
      <c r="C398" s="70"/>
      <c r="D398" s="71"/>
      <c r="E398" s="116"/>
      <c r="F398" s="107"/>
    </row>
    <row r="399" spans="1:6" x14ac:dyDescent="0.25">
      <c r="A399" s="75"/>
      <c r="B399" s="76"/>
      <c r="C399" s="77"/>
      <c r="D399" s="78"/>
      <c r="E399" s="116"/>
      <c r="F399" s="107"/>
    </row>
    <row r="400" spans="1:6" x14ac:dyDescent="0.25">
      <c r="A400" s="69"/>
      <c r="B400" s="76"/>
      <c r="C400" s="70"/>
      <c r="D400" s="71"/>
      <c r="E400" s="116"/>
      <c r="F400" s="107"/>
    </row>
    <row r="401" spans="1:6" x14ac:dyDescent="0.25">
      <c r="A401" s="75"/>
      <c r="B401" s="76"/>
      <c r="C401" s="77"/>
      <c r="D401" s="78"/>
      <c r="E401" s="116"/>
      <c r="F401" s="107"/>
    </row>
    <row r="402" spans="1:6" x14ac:dyDescent="0.25">
      <c r="A402" s="69"/>
      <c r="B402" s="100"/>
      <c r="C402" s="70"/>
      <c r="D402" s="71"/>
      <c r="E402" s="116"/>
      <c r="F402" s="107"/>
    </row>
    <row r="403" spans="1:6" x14ac:dyDescent="0.25">
      <c r="A403" s="75"/>
      <c r="B403" s="98"/>
      <c r="C403" s="77"/>
      <c r="D403" s="78"/>
      <c r="E403" s="116"/>
      <c r="F403" s="107"/>
    </row>
    <row r="404" spans="1:6" x14ac:dyDescent="0.25">
      <c r="A404" s="69"/>
      <c r="B404" s="100"/>
      <c r="C404" s="70"/>
      <c r="D404" s="71"/>
      <c r="E404" s="116"/>
      <c r="F404" s="107"/>
    </row>
    <row r="405" spans="1:6" x14ac:dyDescent="0.25">
      <c r="A405" s="80"/>
      <c r="B405" s="81"/>
      <c r="C405" s="82"/>
      <c r="D405" s="83"/>
      <c r="E405" s="117"/>
      <c r="F405" s="108"/>
    </row>
    <row r="406" spans="1:6" x14ac:dyDescent="0.25">
      <c r="A406" s="84"/>
      <c r="B406" s="85"/>
      <c r="C406" s="86" t="s">
        <v>22</v>
      </c>
      <c r="D406" s="86"/>
      <c r="E406" s="118" t="s">
        <v>21</v>
      </c>
      <c r="F406" s="109">
        <f>SUM(F371:F404)</f>
        <v>1050808.847422</v>
      </c>
    </row>
    <row r="407" spans="1:6" x14ac:dyDescent="0.25">
      <c r="A407" s="84"/>
      <c r="B407" s="85"/>
      <c r="C407" s="87"/>
      <c r="D407" s="88"/>
      <c r="E407" s="119"/>
      <c r="F407" s="110"/>
    </row>
    <row r="408" spans="1:6" x14ac:dyDescent="0.25">
      <c r="A408" s="69"/>
      <c r="B408" s="100"/>
      <c r="C408" s="70"/>
      <c r="D408" s="71"/>
      <c r="E408" s="116"/>
      <c r="F408" s="107"/>
    </row>
    <row r="409" spans="1:6" ht="27.6" x14ac:dyDescent="0.25">
      <c r="A409" s="69"/>
      <c r="B409" s="73" t="s">
        <v>65</v>
      </c>
      <c r="C409" s="70"/>
      <c r="D409" s="71"/>
      <c r="E409" s="116"/>
      <c r="F409" s="107"/>
    </row>
    <row r="410" spans="1:6" x14ac:dyDescent="0.25">
      <c r="A410" s="69"/>
      <c r="B410" s="100"/>
      <c r="C410" s="70"/>
      <c r="D410" s="71"/>
      <c r="E410" s="116"/>
      <c r="F410" s="107"/>
    </row>
    <row r="411" spans="1:6" ht="27.6" x14ac:dyDescent="0.25">
      <c r="A411" s="75" t="s">
        <v>3</v>
      </c>
      <c r="B411" s="76" t="s">
        <v>160</v>
      </c>
      <c r="C411" s="128">
        <v>3.4560000000000004</v>
      </c>
      <c r="D411" s="125" t="s">
        <v>45</v>
      </c>
      <c r="E411" s="123">
        <v>12790</v>
      </c>
      <c r="F411" s="124">
        <f>+C411*E411</f>
        <v>44202.240000000005</v>
      </c>
    </row>
    <row r="412" spans="1:6" x14ac:dyDescent="0.25">
      <c r="A412" s="39"/>
      <c r="B412" s="102"/>
      <c r="C412" s="138"/>
      <c r="D412" s="139"/>
      <c r="E412" s="123"/>
      <c r="F412" s="124"/>
    </row>
    <row r="413" spans="1:6" ht="41.4" x14ac:dyDescent="0.25">
      <c r="A413" s="121" t="s">
        <v>2</v>
      </c>
      <c r="B413" s="76" t="s">
        <v>161</v>
      </c>
      <c r="C413" s="138">
        <v>2.94</v>
      </c>
      <c r="D413" s="125" t="s">
        <v>45</v>
      </c>
      <c r="E413" s="123">
        <v>12790</v>
      </c>
      <c r="F413" s="124">
        <f>+C413*E413</f>
        <v>37602.6</v>
      </c>
    </row>
    <row r="414" spans="1:6" x14ac:dyDescent="0.25">
      <c r="A414" s="121"/>
      <c r="B414" s="76"/>
      <c r="C414" s="138"/>
      <c r="D414" s="139"/>
      <c r="E414" s="123"/>
      <c r="F414" s="124"/>
    </row>
    <row r="415" spans="1:6" ht="27.6" x14ac:dyDescent="0.25">
      <c r="A415" s="121" t="s">
        <v>5</v>
      </c>
      <c r="B415" s="76" t="s">
        <v>162</v>
      </c>
      <c r="C415" s="136">
        <v>1.7279999999999998</v>
      </c>
      <c r="D415" s="125" t="s">
        <v>45</v>
      </c>
      <c r="E415" s="123">
        <v>12790</v>
      </c>
      <c r="F415" s="124">
        <f>+C415*E415</f>
        <v>22101.119999999995</v>
      </c>
    </row>
    <row r="416" spans="1:6" x14ac:dyDescent="0.25">
      <c r="A416" s="121"/>
      <c r="B416" s="76"/>
      <c r="C416" s="136"/>
      <c r="D416" s="122"/>
      <c r="E416" s="123"/>
      <c r="F416" s="124"/>
    </row>
    <row r="417" spans="1:6" ht="27.6" x14ac:dyDescent="0.25">
      <c r="A417" s="121" t="s">
        <v>7</v>
      </c>
      <c r="B417" s="76" t="s">
        <v>163</v>
      </c>
      <c r="C417" s="136">
        <v>2.5600000000000005</v>
      </c>
      <c r="D417" s="125" t="s">
        <v>45</v>
      </c>
      <c r="E417" s="123">
        <v>12790</v>
      </c>
      <c r="F417" s="124">
        <f>+C417*E417</f>
        <v>32742.400000000005</v>
      </c>
    </row>
    <row r="418" spans="1:6" x14ac:dyDescent="0.25">
      <c r="A418" s="39"/>
      <c r="B418" s="76"/>
      <c r="C418" s="138"/>
      <c r="D418" s="139"/>
      <c r="E418" s="123"/>
      <c r="F418" s="124"/>
    </row>
    <row r="419" spans="1:6" ht="41.4" x14ac:dyDescent="0.25">
      <c r="A419" s="121" t="s">
        <v>8</v>
      </c>
      <c r="B419" s="76" t="s">
        <v>164</v>
      </c>
      <c r="C419" s="138">
        <v>1.3125</v>
      </c>
      <c r="D419" s="125" t="s">
        <v>45</v>
      </c>
      <c r="E419" s="123">
        <v>12790</v>
      </c>
      <c r="F419" s="124">
        <f>+C419*E419</f>
        <v>16786.875</v>
      </c>
    </row>
    <row r="420" spans="1:6" x14ac:dyDescent="0.25">
      <c r="A420" s="39"/>
      <c r="B420" s="76"/>
      <c r="C420" s="138"/>
      <c r="D420" s="139"/>
      <c r="E420" s="123"/>
      <c r="F420" s="124"/>
    </row>
    <row r="421" spans="1:6" ht="27.6" x14ac:dyDescent="0.25">
      <c r="A421" s="121" t="s">
        <v>9</v>
      </c>
      <c r="B421" s="76" t="s">
        <v>165</v>
      </c>
      <c r="C421" s="138">
        <v>22.8</v>
      </c>
      <c r="D421" s="125" t="s">
        <v>45</v>
      </c>
      <c r="E421" s="123">
        <v>12790</v>
      </c>
      <c r="F421" s="124">
        <f>+C421*E421</f>
        <v>291612</v>
      </c>
    </row>
    <row r="422" spans="1:6" x14ac:dyDescent="0.25">
      <c r="A422" s="39"/>
      <c r="B422" s="76"/>
      <c r="C422" s="138"/>
      <c r="D422" s="139"/>
      <c r="E422" s="123"/>
      <c r="F422" s="124"/>
    </row>
    <row r="423" spans="1:6" ht="41.4" x14ac:dyDescent="0.25">
      <c r="A423" s="43" t="s">
        <v>10</v>
      </c>
      <c r="B423" s="76" t="s">
        <v>166</v>
      </c>
      <c r="C423" s="140">
        <v>46</v>
      </c>
      <c r="D423" s="125" t="s">
        <v>45</v>
      </c>
      <c r="E423" s="123">
        <v>12790</v>
      </c>
      <c r="F423" s="124">
        <f>+C423*E423</f>
        <v>588340</v>
      </c>
    </row>
    <row r="424" spans="1:6" x14ac:dyDescent="0.25">
      <c r="A424" s="39"/>
      <c r="B424" s="76"/>
      <c r="C424" s="138"/>
      <c r="D424" s="139"/>
      <c r="E424" s="123"/>
      <c r="F424" s="124"/>
    </row>
    <row r="425" spans="1:6" ht="41.4" x14ac:dyDescent="0.25">
      <c r="A425" s="43" t="s">
        <v>11</v>
      </c>
      <c r="B425" s="76" t="s">
        <v>167</v>
      </c>
      <c r="C425" s="140">
        <v>2</v>
      </c>
      <c r="D425" s="125" t="s">
        <v>45</v>
      </c>
      <c r="E425" s="123">
        <v>12790</v>
      </c>
      <c r="F425" s="124">
        <f>+C425*E425</f>
        <v>25580</v>
      </c>
    </row>
    <row r="426" spans="1:6" x14ac:dyDescent="0.25">
      <c r="A426" s="39"/>
      <c r="B426" s="76"/>
      <c r="C426" s="138"/>
      <c r="D426" s="139"/>
      <c r="E426" s="123"/>
      <c r="F426" s="124"/>
    </row>
    <row r="427" spans="1:6" ht="41.4" x14ac:dyDescent="0.25">
      <c r="A427" s="43" t="s">
        <v>13</v>
      </c>
      <c r="B427" s="76" t="s">
        <v>168</v>
      </c>
      <c r="C427" s="140">
        <v>13</v>
      </c>
      <c r="D427" s="125" t="s">
        <v>45</v>
      </c>
      <c r="E427" s="123">
        <v>12790</v>
      </c>
      <c r="F427" s="124">
        <f>+C427*E427</f>
        <v>166270</v>
      </c>
    </row>
    <row r="428" spans="1:6" x14ac:dyDescent="0.25">
      <c r="A428" s="39"/>
      <c r="B428" s="76"/>
      <c r="C428" s="138"/>
      <c r="D428" s="139"/>
      <c r="E428" s="123"/>
      <c r="F428" s="124"/>
    </row>
    <row r="429" spans="1:6" ht="41.4" x14ac:dyDescent="0.25">
      <c r="A429" s="43" t="s">
        <v>14</v>
      </c>
      <c r="B429" s="76" t="s">
        <v>169</v>
      </c>
      <c r="C429" s="140">
        <v>16</v>
      </c>
      <c r="D429" s="125" t="s">
        <v>45</v>
      </c>
      <c r="E429" s="123">
        <v>12790</v>
      </c>
      <c r="F429" s="124">
        <f>+C429*E429</f>
        <v>204640</v>
      </c>
    </row>
    <row r="430" spans="1:6" x14ac:dyDescent="0.25">
      <c r="A430" s="39"/>
      <c r="B430" s="76"/>
      <c r="C430" s="138"/>
      <c r="D430" s="139"/>
      <c r="E430" s="123"/>
      <c r="F430" s="124"/>
    </row>
    <row r="431" spans="1:6" ht="27.6" x14ac:dyDescent="0.25">
      <c r="A431" s="43" t="s">
        <v>15</v>
      </c>
      <c r="B431" s="76" t="s">
        <v>170</v>
      </c>
      <c r="C431" s="140">
        <v>6.3699999999999992</v>
      </c>
      <c r="D431" s="125" t="s">
        <v>45</v>
      </c>
      <c r="E431" s="123">
        <v>12790</v>
      </c>
      <c r="F431" s="124">
        <f>+C431*E431</f>
        <v>81472.299999999988</v>
      </c>
    </row>
    <row r="432" spans="1:6" x14ac:dyDescent="0.25">
      <c r="A432" s="39"/>
      <c r="B432" s="76"/>
      <c r="C432" s="40"/>
      <c r="D432" s="41"/>
      <c r="E432" s="116"/>
      <c r="F432" s="107"/>
    </row>
    <row r="433" spans="1:6" x14ac:dyDescent="0.25">
      <c r="A433" s="43"/>
      <c r="B433" s="76"/>
      <c r="C433" s="44"/>
      <c r="D433" s="45"/>
      <c r="E433" s="116"/>
      <c r="F433" s="107"/>
    </row>
    <row r="434" spans="1:6" x14ac:dyDescent="0.25">
      <c r="A434" s="39"/>
      <c r="B434" s="76"/>
      <c r="C434" s="40"/>
      <c r="D434" s="41"/>
      <c r="E434" s="116"/>
      <c r="F434" s="107"/>
    </row>
    <row r="435" spans="1:6" x14ac:dyDescent="0.25">
      <c r="A435" s="39"/>
      <c r="B435" s="102"/>
      <c r="C435" s="40"/>
      <c r="D435" s="41"/>
      <c r="E435" s="116"/>
      <c r="F435" s="107"/>
    </row>
    <row r="436" spans="1:6" x14ac:dyDescent="0.25">
      <c r="A436" s="39"/>
      <c r="B436" s="102"/>
      <c r="C436" s="40"/>
      <c r="D436" s="41"/>
      <c r="E436" s="116"/>
      <c r="F436" s="107"/>
    </row>
    <row r="437" spans="1:6" x14ac:dyDescent="0.25">
      <c r="A437" s="39"/>
      <c r="B437" s="102"/>
      <c r="C437" s="40"/>
      <c r="D437" s="41"/>
      <c r="E437" s="116"/>
      <c r="F437" s="107"/>
    </row>
    <row r="438" spans="1:6" x14ac:dyDescent="0.25">
      <c r="A438" s="43"/>
      <c r="B438" s="103"/>
      <c r="C438" s="44"/>
      <c r="D438" s="45"/>
      <c r="E438" s="116"/>
      <c r="F438" s="107"/>
    </row>
    <row r="439" spans="1:6" x14ac:dyDescent="0.25">
      <c r="A439" s="39"/>
      <c r="B439" s="102"/>
      <c r="C439" s="40"/>
      <c r="D439" s="41"/>
      <c r="E439" s="116"/>
      <c r="F439" s="107"/>
    </row>
    <row r="440" spans="1:6" x14ac:dyDescent="0.25">
      <c r="A440" s="39"/>
      <c r="B440" s="102"/>
      <c r="C440" s="40"/>
      <c r="D440" s="41"/>
      <c r="E440" s="116"/>
      <c r="F440" s="107"/>
    </row>
    <row r="441" spans="1:6" x14ac:dyDescent="0.25">
      <c r="A441" s="39"/>
      <c r="B441" s="42"/>
      <c r="C441" s="40"/>
      <c r="D441" s="41"/>
      <c r="E441" s="116"/>
      <c r="F441" s="107"/>
    </row>
    <row r="442" spans="1:6" x14ac:dyDescent="0.25">
      <c r="A442" s="80"/>
      <c r="B442" s="81"/>
      <c r="C442" s="82"/>
      <c r="D442" s="83"/>
      <c r="E442" s="117"/>
      <c r="F442" s="108"/>
    </row>
    <row r="443" spans="1:6" x14ac:dyDescent="0.25">
      <c r="A443" s="84"/>
      <c r="B443" s="85"/>
      <c r="C443" s="86" t="s">
        <v>22</v>
      </c>
      <c r="D443" s="86"/>
      <c r="E443" s="118" t="s">
        <v>21</v>
      </c>
      <c r="F443" s="109">
        <f>SUM(F408:F441)</f>
        <v>1511349.5349999999</v>
      </c>
    </row>
    <row r="444" spans="1:6" x14ac:dyDescent="0.25">
      <c r="A444" s="84"/>
      <c r="B444" s="85"/>
      <c r="C444" s="87"/>
      <c r="D444" s="88"/>
      <c r="E444" s="119"/>
      <c r="F444" s="110"/>
    </row>
    <row r="445" spans="1:6" x14ac:dyDescent="0.25">
      <c r="A445" s="69"/>
      <c r="B445" s="100"/>
      <c r="C445" s="70"/>
      <c r="D445" s="71"/>
      <c r="E445" s="116"/>
      <c r="F445" s="107"/>
    </row>
    <row r="446" spans="1:6" ht="27.6" x14ac:dyDescent="0.25">
      <c r="A446" s="69"/>
      <c r="B446" s="73" t="s">
        <v>65</v>
      </c>
      <c r="C446" s="70"/>
      <c r="D446" s="71"/>
      <c r="E446" s="116"/>
      <c r="F446" s="107"/>
    </row>
    <row r="447" spans="1:6" x14ac:dyDescent="0.25">
      <c r="A447" s="69"/>
      <c r="B447" s="100"/>
      <c r="C447" s="70"/>
      <c r="D447" s="71"/>
      <c r="E447" s="116"/>
      <c r="F447" s="107"/>
    </row>
    <row r="448" spans="1:6" ht="27.6" x14ac:dyDescent="0.25">
      <c r="A448" s="75" t="s">
        <v>3</v>
      </c>
      <c r="B448" s="76" t="s">
        <v>171</v>
      </c>
      <c r="C448" s="128">
        <v>3.6749999999999994</v>
      </c>
      <c r="D448" s="125" t="s">
        <v>45</v>
      </c>
      <c r="E448" s="123">
        <v>12790</v>
      </c>
      <c r="F448" s="124">
        <f>+C448*E448</f>
        <v>47003.249999999993</v>
      </c>
    </row>
    <row r="449" spans="1:6" x14ac:dyDescent="0.25">
      <c r="A449" s="39"/>
      <c r="B449" s="102"/>
      <c r="C449" s="138"/>
      <c r="D449" s="41"/>
      <c r="E449" s="123"/>
      <c r="F449" s="124"/>
    </row>
    <row r="450" spans="1:6" ht="27.6" x14ac:dyDescent="0.25">
      <c r="A450" s="121" t="s">
        <v>2</v>
      </c>
      <c r="B450" s="76" t="s">
        <v>39</v>
      </c>
      <c r="C450" s="142">
        <v>74</v>
      </c>
      <c r="D450" s="125" t="s">
        <v>12</v>
      </c>
      <c r="E450" s="123">
        <v>118.894176</v>
      </c>
      <c r="F450" s="124">
        <f>+C450*E450</f>
        <v>8798.1690240000007</v>
      </c>
    </row>
    <row r="451" spans="1:6" x14ac:dyDescent="0.25">
      <c r="A451" s="121"/>
      <c r="B451" s="76"/>
      <c r="C451" s="138"/>
      <c r="D451" s="41"/>
      <c r="E451" s="123"/>
      <c r="F451" s="124"/>
    </row>
    <row r="452" spans="1:6" ht="41.4" x14ac:dyDescent="0.25">
      <c r="A452" s="121" t="s">
        <v>5</v>
      </c>
      <c r="B452" s="76" t="s">
        <v>172</v>
      </c>
      <c r="C452" s="136">
        <v>1.0979999999999999</v>
      </c>
      <c r="D452" s="125" t="s">
        <v>45</v>
      </c>
      <c r="E452" s="123">
        <v>12790</v>
      </c>
      <c r="F452" s="124">
        <f>+C452*E452</f>
        <v>14043.419999999998</v>
      </c>
    </row>
    <row r="453" spans="1:6" x14ac:dyDescent="0.25">
      <c r="A453" s="121"/>
      <c r="B453" s="76"/>
      <c r="C453" s="136"/>
      <c r="D453" s="122"/>
      <c r="E453" s="123"/>
      <c r="F453" s="124"/>
    </row>
    <row r="454" spans="1:6" ht="41.4" x14ac:dyDescent="0.25">
      <c r="A454" s="121" t="s">
        <v>7</v>
      </c>
      <c r="B454" s="76" t="s">
        <v>173</v>
      </c>
      <c r="C454" s="136">
        <v>8.2349999999999994</v>
      </c>
      <c r="D454" s="125" t="s">
        <v>45</v>
      </c>
      <c r="E454" s="123">
        <v>12790</v>
      </c>
      <c r="F454" s="124">
        <f>+C454*E454</f>
        <v>105325.65</v>
      </c>
    </row>
    <row r="455" spans="1:6" x14ac:dyDescent="0.25">
      <c r="A455" s="39"/>
      <c r="B455" s="76"/>
      <c r="C455" s="138"/>
      <c r="D455" s="41"/>
      <c r="E455" s="123"/>
      <c r="F455" s="124"/>
    </row>
    <row r="456" spans="1:6" ht="41.4" x14ac:dyDescent="0.25">
      <c r="A456" s="121" t="s">
        <v>8</v>
      </c>
      <c r="B456" s="76" t="s">
        <v>174</v>
      </c>
      <c r="C456" s="138">
        <v>3.0652499999999994</v>
      </c>
      <c r="D456" s="125" t="s">
        <v>45</v>
      </c>
      <c r="E456" s="123">
        <v>12790</v>
      </c>
      <c r="F456" s="124">
        <f>+C456*E456</f>
        <v>39204.547499999993</v>
      </c>
    </row>
    <row r="457" spans="1:6" x14ac:dyDescent="0.25">
      <c r="A457" s="39"/>
      <c r="B457" s="76"/>
      <c r="C457" s="138"/>
      <c r="D457" s="41"/>
      <c r="E457" s="123"/>
      <c r="F457" s="124"/>
    </row>
    <row r="458" spans="1:6" ht="41.4" x14ac:dyDescent="0.25">
      <c r="A458" s="121" t="s">
        <v>9</v>
      </c>
      <c r="B458" s="76" t="s">
        <v>175</v>
      </c>
      <c r="C458" s="138">
        <v>1.1437499999999998</v>
      </c>
      <c r="D458" s="125" t="s">
        <v>45</v>
      </c>
      <c r="E458" s="123">
        <v>12790</v>
      </c>
      <c r="F458" s="124">
        <f>+C458*E458</f>
        <v>14628.562499999998</v>
      </c>
    </row>
    <row r="459" spans="1:6" x14ac:dyDescent="0.25">
      <c r="A459" s="39"/>
      <c r="B459" s="76"/>
      <c r="C459" s="138"/>
      <c r="D459" s="41"/>
      <c r="E459" s="123"/>
      <c r="F459" s="124"/>
    </row>
    <row r="460" spans="1:6" ht="41.4" x14ac:dyDescent="0.25">
      <c r="A460" s="43" t="s">
        <v>10</v>
      </c>
      <c r="B460" s="76" t="s">
        <v>176</v>
      </c>
      <c r="C460" s="140">
        <v>1.6469999999999996</v>
      </c>
      <c r="D460" s="125" t="s">
        <v>45</v>
      </c>
      <c r="E460" s="123">
        <v>12790</v>
      </c>
      <c r="F460" s="124">
        <f>+C460*E460</f>
        <v>21065.129999999994</v>
      </c>
    </row>
    <row r="461" spans="1:6" x14ac:dyDescent="0.25">
      <c r="A461" s="39"/>
      <c r="B461" s="76"/>
      <c r="C461" s="138"/>
      <c r="D461" s="41"/>
      <c r="E461" s="123"/>
      <c r="F461" s="124"/>
    </row>
    <row r="462" spans="1:6" ht="27.6" x14ac:dyDescent="0.25">
      <c r="A462" s="43" t="s">
        <v>11</v>
      </c>
      <c r="B462" s="76" t="s">
        <v>177</v>
      </c>
      <c r="C462" s="140">
        <v>15.4</v>
      </c>
      <c r="D462" s="125" t="s">
        <v>45</v>
      </c>
      <c r="E462" s="123">
        <v>12790</v>
      </c>
      <c r="F462" s="124">
        <f>+C462*E462</f>
        <v>196966</v>
      </c>
    </row>
    <row r="463" spans="1:6" x14ac:dyDescent="0.25">
      <c r="A463" s="39"/>
      <c r="B463" s="76"/>
      <c r="C463" s="138"/>
      <c r="D463" s="41"/>
      <c r="E463" s="123"/>
      <c r="F463" s="124"/>
    </row>
    <row r="464" spans="1:6" ht="27.6" x14ac:dyDescent="0.25">
      <c r="A464" s="43" t="s">
        <v>13</v>
      </c>
      <c r="B464" s="76" t="s">
        <v>178</v>
      </c>
      <c r="C464" s="140">
        <v>5.0049999999999999</v>
      </c>
      <c r="D464" s="125" t="s">
        <v>45</v>
      </c>
      <c r="E464" s="123">
        <v>12790</v>
      </c>
      <c r="F464" s="124">
        <f>+C464*E464</f>
        <v>64013.95</v>
      </c>
    </row>
    <row r="465" spans="1:6" x14ac:dyDescent="0.25">
      <c r="A465" s="39"/>
      <c r="B465" s="76"/>
      <c r="C465" s="138"/>
      <c r="D465" s="41"/>
      <c r="E465" s="123"/>
      <c r="F465" s="124"/>
    </row>
    <row r="466" spans="1:6" ht="27.6" x14ac:dyDescent="0.25">
      <c r="A466" s="43" t="s">
        <v>14</v>
      </c>
      <c r="B466" s="76" t="s">
        <v>179</v>
      </c>
      <c r="C466" s="140">
        <v>2.8874999999999993</v>
      </c>
      <c r="D466" s="125" t="s">
        <v>45</v>
      </c>
      <c r="E466" s="123">
        <v>12790</v>
      </c>
      <c r="F466" s="124">
        <f>+C466*E466</f>
        <v>36931.124999999993</v>
      </c>
    </row>
    <row r="467" spans="1:6" x14ac:dyDescent="0.25">
      <c r="A467" s="39"/>
      <c r="B467" s="76"/>
      <c r="C467" s="138"/>
      <c r="D467" s="41"/>
      <c r="E467" s="123"/>
      <c r="F467" s="124"/>
    </row>
    <row r="468" spans="1:6" ht="27.6" x14ac:dyDescent="0.25">
      <c r="A468" s="43" t="s">
        <v>15</v>
      </c>
      <c r="B468" s="76" t="s">
        <v>40</v>
      </c>
      <c r="C468" s="141">
        <v>67</v>
      </c>
      <c r="D468" s="125" t="s">
        <v>12</v>
      </c>
      <c r="E468" s="123">
        <v>118.894176</v>
      </c>
      <c r="F468" s="124">
        <f>+C468*E468</f>
        <v>7965.9097920000004</v>
      </c>
    </row>
    <row r="469" spans="1:6" x14ac:dyDescent="0.25">
      <c r="A469" s="39"/>
      <c r="B469" s="76"/>
      <c r="C469" s="138"/>
      <c r="D469" s="41"/>
      <c r="E469" s="123"/>
      <c r="F469" s="124"/>
    </row>
    <row r="470" spans="1:6" ht="41.4" x14ac:dyDescent="0.25">
      <c r="A470" s="43" t="s">
        <v>16</v>
      </c>
      <c r="B470" s="76" t="s">
        <v>180</v>
      </c>
      <c r="C470" s="140">
        <v>1.7549999999999999</v>
      </c>
      <c r="D470" s="125" t="s">
        <v>45</v>
      </c>
      <c r="E470" s="123">
        <v>12790</v>
      </c>
      <c r="F470" s="124">
        <f>+C470*E470</f>
        <v>22446.449999999997</v>
      </c>
    </row>
    <row r="471" spans="1:6" x14ac:dyDescent="0.25">
      <c r="A471" s="39"/>
      <c r="B471" s="76"/>
      <c r="C471" s="40"/>
      <c r="D471" s="41"/>
      <c r="E471" s="116"/>
      <c r="F471" s="107"/>
    </row>
    <row r="472" spans="1:6" x14ac:dyDescent="0.25">
      <c r="A472" s="39"/>
      <c r="B472" s="102"/>
      <c r="C472" s="40"/>
      <c r="D472" s="41"/>
      <c r="E472" s="116"/>
      <c r="F472" s="107"/>
    </row>
    <row r="473" spans="1:6" x14ac:dyDescent="0.25">
      <c r="A473" s="43"/>
      <c r="B473" s="103"/>
      <c r="C473" s="44"/>
      <c r="D473" s="45"/>
      <c r="E473" s="116"/>
      <c r="F473" s="107"/>
    </row>
    <row r="474" spans="1:6" x14ac:dyDescent="0.25">
      <c r="A474" s="39"/>
      <c r="B474" s="102"/>
      <c r="C474" s="40"/>
      <c r="D474" s="41"/>
      <c r="E474" s="116"/>
      <c r="F474" s="107"/>
    </row>
    <row r="475" spans="1:6" x14ac:dyDescent="0.25">
      <c r="A475" s="39"/>
      <c r="B475" s="102"/>
      <c r="C475" s="40"/>
      <c r="D475" s="41"/>
      <c r="E475" s="116"/>
      <c r="F475" s="107"/>
    </row>
    <row r="476" spans="1:6" x14ac:dyDescent="0.25">
      <c r="A476" s="39"/>
      <c r="B476" s="102"/>
      <c r="C476" s="40"/>
      <c r="D476" s="41"/>
      <c r="E476" s="116"/>
      <c r="F476" s="107"/>
    </row>
    <row r="477" spans="1:6" x14ac:dyDescent="0.25">
      <c r="A477" s="43"/>
      <c r="B477" s="103"/>
      <c r="C477" s="44"/>
      <c r="D477" s="45"/>
      <c r="E477" s="116"/>
      <c r="F477" s="107"/>
    </row>
    <row r="478" spans="1:6" x14ac:dyDescent="0.25">
      <c r="A478" s="39"/>
      <c r="B478" s="102"/>
      <c r="C478" s="40"/>
      <c r="D478" s="41"/>
      <c r="E478" s="116"/>
      <c r="F478" s="107"/>
    </row>
    <row r="479" spans="1:6" x14ac:dyDescent="0.25">
      <c r="A479" s="39"/>
      <c r="B479" s="102"/>
      <c r="C479" s="40"/>
      <c r="D479" s="41"/>
      <c r="E479" s="116"/>
      <c r="F479" s="107"/>
    </row>
    <row r="480" spans="1:6" x14ac:dyDescent="0.25">
      <c r="A480" s="39"/>
      <c r="B480" s="42"/>
      <c r="C480" s="40"/>
      <c r="D480" s="41"/>
      <c r="E480" s="116"/>
      <c r="F480" s="107"/>
    </row>
    <row r="481" spans="1:6" x14ac:dyDescent="0.25">
      <c r="A481" s="80"/>
      <c r="B481" s="81"/>
      <c r="C481" s="82"/>
      <c r="D481" s="83"/>
      <c r="E481" s="117"/>
      <c r="F481" s="108"/>
    </row>
    <row r="482" spans="1:6" x14ac:dyDescent="0.25">
      <c r="A482" s="84"/>
      <c r="B482" s="85"/>
      <c r="C482" s="86" t="s">
        <v>22</v>
      </c>
      <c r="D482" s="86"/>
      <c r="E482" s="118" t="s">
        <v>21</v>
      </c>
      <c r="F482" s="109">
        <f>SUM(F445:F479)</f>
        <v>578392.16381599987</v>
      </c>
    </row>
    <row r="483" spans="1:6" x14ac:dyDescent="0.25">
      <c r="A483" s="84"/>
      <c r="B483" s="85"/>
      <c r="C483" s="87"/>
      <c r="D483" s="88"/>
      <c r="E483" s="119"/>
      <c r="F483" s="110"/>
    </row>
    <row r="484" spans="1:6" x14ac:dyDescent="0.25">
      <c r="A484" s="69"/>
      <c r="B484" s="100"/>
      <c r="C484" s="70"/>
      <c r="D484" s="71"/>
      <c r="E484" s="116"/>
      <c r="F484" s="107"/>
    </row>
    <row r="485" spans="1:6" ht="27.6" x14ac:dyDescent="0.25">
      <c r="A485" s="69"/>
      <c r="B485" s="73" t="s">
        <v>65</v>
      </c>
      <c r="C485" s="70"/>
      <c r="D485" s="71"/>
      <c r="E485" s="116"/>
      <c r="F485" s="107"/>
    </row>
    <row r="486" spans="1:6" x14ac:dyDescent="0.25">
      <c r="A486" s="69"/>
      <c r="B486" s="100"/>
      <c r="C486" s="70"/>
      <c r="D486" s="71"/>
      <c r="E486" s="116"/>
      <c r="F486" s="107"/>
    </row>
    <row r="487" spans="1:6" ht="41.4" x14ac:dyDescent="0.25">
      <c r="A487" s="75" t="s">
        <v>3</v>
      </c>
      <c r="B487" s="76" t="s">
        <v>181</v>
      </c>
      <c r="C487" s="128">
        <v>5.04</v>
      </c>
      <c r="D487" s="125" t="s">
        <v>45</v>
      </c>
      <c r="E487" s="123">
        <v>12790</v>
      </c>
      <c r="F487" s="124">
        <f>+C487*E487</f>
        <v>64461.599999999999</v>
      </c>
    </row>
    <row r="488" spans="1:6" x14ac:dyDescent="0.25">
      <c r="A488" s="39"/>
      <c r="B488" s="102"/>
      <c r="C488" s="138"/>
      <c r="D488" s="41"/>
      <c r="E488" s="123"/>
      <c r="F488" s="124"/>
    </row>
    <row r="489" spans="1:6" ht="41.4" x14ac:dyDescent="0.25">
      <c r="A489" s="121" t="s">
        <v>2</v>
      </c>
      <c r="B489" s="76" t="s">
        <v>182</v>
      </c>
      <c r="C489" s="138">
        <v>3.0149999999999997</v>
      </c>
      <c r="D489" s="125" t="s">
        <v>45</v>
      </c>
      <c r="E489" s="123">
        <v>12790</v>
      </c>
      <c r="F489" s="124">
        <f>+C489*E489</f>
        <v>38561.85</v>
      </c>
    </row>
    <row r="490" spans="1:6" x14ac:dyDescent="0.25">
      <c r="A490" s="121"/>
      <c r="B490" s="76"/>
      <c r="C490" s="138"/>
      <c r="D490" s="41"/>
      <c r="E490" s="123"/>
      <c r="F490" s="124"/>
    </row>
    <row r="491" spans="1:6" ht="41.4" x14ac:dyDescent="0.25">
      <c r="A491" s="121" t="s">
        <v>5</v>
      </c>
      <c r="B491" s="76" t="s">
        <v>183</v>
      </c>
      <c r="C491" s="136">
        <v>5.04</v>
      </c>
      <c r="D491" s="125" t="s">
        <v>45</v>
      </c>
      <c r="E491" s="123">
        <v>12790</v>
      </c>
      <c r="F491" s="124">
        <f>+C491*E491</f>
        <v>64461.599999999999</v>
      </c>
    </row>
    <row r="492" spans="1:6" x14ac:dyDescent="0.25">
      <c r="A492" s="121"/>
      <c r="B492" s="76"/>
      <c r="C492" s="136"/>
      <c r="D492" s="122"/>
      <c r="E492" s="123"/>
      <c r="F492" s="124"/>
    </row>
    <row r="493" spans="1:6" ht="41.4" x14ac:dyDescent="0.25">
      <c r="A493" s="121" t="s">
        <v>7</v>
      </c>
      <c r="B493" s="76" t="s">
        <v>184</v>
      </c>
      <c r="C493" s="136">
        <v>2.52</v>
      </c>
      <c r="D493" s="125" t="s">
        <v>45</v>
      </c>
      <c r="E493" s="123">
        <v>12790</v>
      </c>
      <c r="F493" s="124">
        <f>+C493*E493</f>
        <v>32230.799999999999</v>
      </c>
    </row>
    <row r="494" spans="1:6" x14ac:dyDescent="0.25">
      <c r="A494" s="39"/>
      <c r="B494" s="76"/>
      <c r="C494" s="138"/>
      <c r="D494" s="41"/>
      <c r="E494" s="123"/>
      <c r="F494" s="124"/>
    </row>
    <row r="495" spans="1:6" ht="27.6" x14ac:dyDescent="0.25">
      <c r="A495" s="121" t="s">
        <v>8</v>
      </c>
      <c r="B495" s="76" t="s">
        <v>185</v>
      </c>
      <c r="C495" s="138">
        <v>2.4000000000000004</v>
      </c>
      <c r="D495" s="125" t="s">
        <v>45</v>
      </c>
      <c r="E495" s="123">
        <v>12790</v>
      </c>
      <c r="F495" s="124">
        <f>+C495*E495</f>
        <v>30696.000000000004</v>
      </c>
    </row>
    <row r="496" spans="1:6" x14ac:dyDescent="0.25">
      <c r="A496" s="39"/>
      <c r="B496" s="76"/>
      <c r="C496" s="138"/>
      <c r="D496" s="41"/>
      <c r="E496" s="123"/>
      <c r="F496" s="124"/>
    </row>
    <row r="497" spans="1:6" ht="27.6" x14ac:dyDescent="0.25">
      <c r="A497" s="121" t="s">
        <v>9</v>
      </c>
      <c r="B497" s="76" t="s">
        <v>186</v>
      </c>
      <c r="C497" s="138">
        <v>88.4</v>
      </c>
      <c r="D497" s="125" t="s">
        <v>45</v>
      </c>
      <c r="E497" s="123">
        <v>12790</v>
      </c>
      <c r="F497" s="124">
        <f>+C497*E497</f>
        <v>1130636</v>
      </c>
    </row>
    <row r="498" spans="1:6" x14ac:dyDescent="0.25">
      <c r="A498" s="39"/>
      <c r="B498" s="76"/>
      <c r="C498" s="138"/>
      <c r="D498" s="41"/>
      <c r="E498" s="123"/>
      <c r="F498" s="124"/>
    </row>
    <row r="499" spans="1:6" ht="27.6" x14ac:dyDescent="0.25">
      <c r="A499" s="43" t="s">
        <v>10</v>
      </c>
      <c r="B499" s="76" t="s">
        <v>41</v>
      </c>
      <c r="C499" s="141">
        <v>61</v>
      </c>
      <c r="D499" s="125" t="s">
        <v>12</v>
      </c>
      <c r="E499" s="123">
        <v>118.894176</v>
      </c>
      <c r="F499" s="124">
        <f>+C499*E499</f>
        <v>7252.5447359999998</v>
      </c>
    </row>
    <row r="500" spans="1:6" x14ac:dyDescent="0.25">
      <c r="A500" s="39"/>
      <c r="B500" s="76"/>
      <c r="C500" s="138"/>
      <c r="D500" s="41"/>
      <c r="E500" s="123"/>
      <c r="F500" s="124"/>
    </row>
    <row r="501" spans="1:6" ht="27.6" x14ac:dyDescent="0.25">
      <c r="A501" s="43" t="s">
        <v>11</v>
      </c>
      <c r="B501" s="76" t="s">
        <v>187</v>
      </c>
      <c r="C501" s="140">
        <v>0.6974999999999999</v>
      </c>
      <c r="D501" s="125" t="s">
        <v>45</v>
      </c>
      <c r="E501" s="123">
        <v>12790</v>
      </c>
      <c r="F501" s="124">
        <f>+C501*E501</f>
        <v>8921.0249999999978</v>
      </c>
    </row>
    <row r="502" spans="1:6" x14ac:dyDescent="0.25">
      <c r="A502" s="39"/>
      <c r="B502" s="76"/>
      <c r="C502" s="138"/>
      <c r="D502" s="41"/>
      <c r="E502" s="123"/>
      <c r="F502" s="124"/>
    </row>
    <row r="503" spans="1:6" ht="27.6" x14ac:dyDescent="0.25">
      <c r="A503" s="43" t="s">
        <v>13</v>
      </c>
      <c r="B503" s="76" t="s">
        <v>188</v>
      </c>
      <c r="C503" s="140">
        <v>1.6740000000000002</v>
      </c>
      <c r="D503" s="125" t="s">
        <v>45</v>
      </c>
      <c r="E503" s="123">
        <v>12790</v>
      </c>
      <c r="F503" s="124">
        <f>+C503*E503</f>
        <v>21410.460000000003</v>
      </c>
    </row>
    <row r="504" spans="1:6" x14ac:dyDescent="0.25">
      <c r="A504" s="39"/>
      <c r="B504" s="76"/>
      <c r="C504" s="138"/>
      <c r="D504" s="41"/>
      <c r="E504" s="123"/>
      <c r="F504" s="124"/>
    </row>
    <row r="505" spans="1:6" ht="27.6" x14ac:dyDescent="0.25">
      <c r="A505" s="43" t="s">
        <v>14</v>
      </c>
      <c r="B505" s="76" t="s">
        <v>189</v>
      </c>
      <c r="C505" s="140">
        <v>2.3039999999999998</v>
      </c>
      <c r="D505" s="125" t="s">
        <v>45</v>
      </c>
      <c r="E505" s="123">
        <v>12790</v>
      </c>
      <c r="F505" s="124">
        <f>+C505*E505</f>
        <v>29468.159999999996</v>
      </c>
    </row>
    <row r="506" spans="1:6" x14ac:dyDescent="0.25">
      <c r="A506" s="39"/>
      <c r="B506" s="76"/>
      <c r="C506" s="138"/>
      <c r="D506" s="41"/>
      <c r="E506" s="123"/>
      <c r="F506" s="124"/>
    </row>
    <row r="507" spans="1:6" ht="27.6" x14ac:dyDescent="0.25">
      <c r="A507" s="43" t="s">
        <v>15</v>
      </c>
      <c r="B507" s="76" t="s">
        <v>190</v>
      </c>
      <c r="C507" s="140">
        <v>8.64</v>
      </c>
      <c r="D507" s="125" t="s">
        <v>45</v>
      </c>
      <c r="E507" s="123">
        <v>12790</v>
      </c>
      <c r="F507" s="124">
        <f>+C507*E507</f>
        <v>110505.60000000001</v>
      </c>
    </row>
    <row r="508" spans="1:6" x14ac:dyDescent="0.25">
      <c r="A508" s="39"/>
      <c r="B508" s="102"/>
      <c r="C508" s="40"/>
      <c r="D508" s="41"/>
      <c r="E508" s="116"/>
      <c r="F508" s="107"/>
    </row>
    <row r="509" spans="1:6" x14ac:dyDescent="0.25">
      <c r="A509" s="43"/>
      <c r="B509" s="103"/>
      <c r="C509" s="44"/>
      <c r="D509" s="45"/>
      <c r="E509" s="116"/>
      <c r="F509" s="107"/>
    </row>
    <row r="510" spans="1:6" x14ac:dyDescent="0.25">
      <c r="A510" s="43"/>
      <c r="B510" s="103"/>
      <c r="C510" s="44"/>
      <c r="D510" s="45"/>
      <c r="E510" s="116"/>
      <c r="F510" s="107"/>
    </row>
    <row r="511" spans="1:6" x14ac:dyDescent="0.25">
      <c r="A511" s="39"/>
      <c r="B511" s="102"/>
      <c r="C511" s="40"/>
      <c r="D511" s="41"/>
      <c r="E511" s="116"/>
      <c r="F511" s="107"/>
    </row>
    <row r="512" spans="1:6" x14ac:dyDescent="0.25">
      <c r="A512" s="43"/>
      <c r="B512" s="103"/>
      <c r="C512" s="44"/>
      <c r="D512" s="45"/>
      <c r="E512" s="116"/>
      <c r="F512" s="107"/>
    </row>
    <row r="513" spans="1:6" x14ac:dyDescent="0.25">
      <c r="A513" s="39"/>
      <c r="B513" s="102"/>
      <c r="C513" s="40"/>
      <c r="D513" s="41"/>
      <c r="E513" s="116"/>
      <c r="F513" s="107"/>
    </row>
    <row r="514" spans="1:6" x14ac:dyDescent="0.25">
      <c r="A514" s="39"/>
      <c r="B514" s="102"/>
      <c r="C514" s="40"/>
      <c r="D514" s="41"/>
      <c r="E514" s="116"/>
      <c r="F514" s="107"/>
    </row>
    <row r="515" spans="1:6" x14ac:dyDescent="0.25">
      <c r="A515" s="39"/>
      <c r="B515" s="102"/>
      <c r="C515" s="40"/>
      <c r="D515" s="41"/>
      <c r="E515" s="116"/>
      <c r="F515" s="107"/>
    </row>
    <row r="516" spans="1:6" x14ac:dyDescent="0.25">
      <c r="A516" s="43"/>
      <c r="B516" s="103"/>
      <c r="C516" s="44"/>
      <c r="D516" s="45"/>
      <c r="E516" s="116"/>
      <c r="F516" s="107"/>
    </row>
    <row r="517" spans="1:6" x14ac:dyDescent="0.25">
      <c r="A517" s="39"/>
      <c r="B517" s="102"/>
      <c r="C517" s="40"/>
      <c r="D517" s="41"/>
      <c r="E517" s="116"/>
      <c r="F517" s="107"/>
    </row>
    <row r="518" spans="1:6" x14ac:dyDescent="0.25">
      <c r="A518" s="39"/>
      <c r="B518" s="102"/>
      <c r="C518" s="40"/>
      <c r="D518" s="41"/>
      <c r="E518" s="116"/>
      <c r="F518" s="107"/>
    </row>
    <row r="519" spans="1:6" x14ac:dyDescent="0.25">
      <c r="A519" s="39"/>
      <c r="B519" s="42"/>
      <c r="C519" s="40"/>
      <c r="D519" s="41"/>
      <c r="E519" s="116"/>
      <c r="F519" s="107"/>
    </row>
    <row r="520" spans="1:6" x14ac:dyDescent="0.25">
      <c r="A520" s="80"/>
      <c r="B520" s="81"/>
      <c r="C520" s="82"/>
      <c r="D520" s="83"/>
      <c r="E520" s="117"/>
      <c r="F520" s="108"/>
    </row>
    <row r="521" spans="1:6" x14ac:dyDescent="0.25">
      <c r="A521" s="84"/>
      <c r="B521" s="85"/>
      <c r="C521" s="86" t="s">
        <v>22</v>
      </c>
      <c r="D521" s="86"/>
      <c r="E521" s="118" t="s">
        <v>21</v>
      </c>
      <c r="F521" s="109">
        <f>SUM(F484:F518)</f>
        <v>1538605.639736</v>
      </c>
    </row>
    <row r="522" spans="1:6" x14ac:dyDescent="0.25">
      <c r="A522" s="84"/>
      <c r="B522" s="85"/>
      <c r="C522" s="87"/>
      <c r="D522" s="88"/>
      <c r="E522" s="119"/>
      <c r="F522" s="110"/>
    </row>
    <row r="523" spans="1:6" x14ac:dyDescent="0.25">
      <c r="A523" s="69"/>
      <c r="B523" s="100"/>
      <c r="C523" s="70"/>
      <c r="D523" s="71"/>
      <c r="E523" s="116"/>
      <c r="F523" s="107"/>
    </row>
    <row r="524" spans="1:6" ht="27.6" x14ac:dyDescent="0.25">
      <c r="A524" s="69"/>
      <c r="B524" s="73" t="s">
        <v>65</v>
      </c>
      <c r="C524" s="70"/>
      <c r="D524" s="71"/>
      <c r="E524" s="116"/>
      <c r="F524" s="107"/>
    </row>
    <row r="525" spans="1:6" x14ac:dyDescent="0.25">
      <c r="A525" s="69"/>
      <c r="B525" s="100"/>
      <c r="C525" s="70"/>
      <c r="D525" s="71"/>
      <c r="E525" s="116"/>
      <c r="F525" s="107"/>
    </row>
    <row r="526" spans="1:6" ht="41.4" x14ac:dyDescent="0.25">
      <c r="A526" s="75" t="s">
        <v>3</v>
      </c>
      <c r="B526" s="76" t="s">
        <v>191</v>
      </c>
      <c r="C526" s="128">
        <v>5.2080000000000002</v>
      </c>
      <c r="D526" s="125" t="s">
        <v>45</v>
      </c>
      <c r="E526" s="123">
        <v>12790</v>
      </c>
      <c r="F526" s="124">
        <f>+C526*E526</f>
        <v>66610.320000000007</v>
      </c>
    </row>
    <row r="527" spans="1:6" x14ac:dyDescent="0.25">
      <c r="A527" s="39"/>
      <c r="B527" s="102"/>
      <c r="C527" s="138"/>
      <c r="D527" s="41"/>
      <c r="E527" s="123"/>
      <c r="F527" s="124"/>
    </row>
    <row r="528" spans="1:6" ht="27.6" x14ac:dyDescent="0.25">
      <c r="A528" s="121" t="s">
        <v>2</v>
      </c>
      <c r="B528" s="76" t="s">
        <v>192</v>
      </c>
      <c r="C528" s="138">
        <v>2.4800000000000004</v>
      </c>
      <c r="D528" s="125" t="s">
        <v>45</v>
      </c>
      <c r="E528" s="123">
        <v>12790</v>
      </c>
      <c r="F528" s="124">
        <f>+C528*E528</f>
        <v>31719.200000000004</v>
      </c>
    </row>
    <row r="529" spans="1:6" x14ac:dyDescent="0.25">
      <c r="A529" s="121"/>
      <c r="B529" s="76"/>
      <c r="C529" s="138"/>
      <c r="D529" s="41"/>
      <c r="E529" s="123"/>
      <c r="F529" s="124"/>
    </row>
    <row r="530" spans="1:6" ht="27.6" x14ac:dyDescent="0.25">
      <c r="A530" s="121" t="s">
        <v>5</v>
      </c>
      <c r="B530" s="76" t="s">
        <v>193</v>
      </c>
      <c r="C530" s="136">
        <v>2.0480000000000005</v>
      </c>
      <c r="D530" s="125" t="s">
        <v>45</v>
      </c>
      <c r="E530" s="123">
        <v>12790</v>
      </c>
      <c r="F530" s="124">
        <f>+C530*E530</f>
        <v>26193.920000000006</v>
      </c>
    </row>
    <row r="531" spans="1:6" x14ac:dyDescent="0.25">
      <c r="A531" s="121"/>
      <c r="B531" s="76"/>
      <c r="C531" s="136"/>
      <c r="D531" s="122"/>
      <c r="E531" s="123"/>
      <c r="F531" s="124"/>
    </row>
    <row r="532" spans="1:6" ht="27.6" x14ac:dyDescent="0.25">
      <c r="A532" s="121" t="s">
        <v>7</v>
      </c>
      <c r="B532" s="76" t="s">
        <v>194</v>
      </c>
      <c r="C532" s="136">
        <v>3.2400000000000007</v>
      </c>
      <c r="D532" s="125" t="s">
        <v>45</v>
      </c>
      <c r="E532" s="123">
        <v>12790</v>
      </c>
      <c r="F532" s="124">
        <f>+C532*E532</f>
        <v>41439.600000000006</v>
      </c>
    </row>
    <row r="533" spans="1:6" x14ac:dyDescent="0.25">
      <c r="A533" s="39"/>
      <c r="B533" s="76"/>
      <c r="C533" s="138"/>
      <c r="D533" s="41"/>
      <c r="E533" s="123"/>
      <c r="F533" s="124"/>
    </row>
    <row r="534" spans="1:6" ht="27.6" x14ac:dyDescent="0.25">
      <c r="A534" s="121" t="s">
        <v>8</v>
      </c>
      <c r="B534" s="76" t="s">
        <v>195</v>
      </c>
      <c r="C534" s="138">
        <v>1.6740000000000002</v>
      </c>
      <c r="D534" s="125" t="s">
        <v>45</v>
      </c>
      <c r="E534" s="123">
        <v>12790</v>
      </c>
      <c r="F534" s="124">
        <f>+C534*E534</f>
        <v>21410.460000000003</v>
      </c>
    </row>
    <row r="535" spans="1:6" x14ac:dyDescent="0.25">
      <c r="A535" s="39"/>
      <c r="B535" s="76"/>
      <c r="C535" s="138"/>
      <c r="D535" s="41"/>
      <c r="E535" s="123"/>
      <c r="F535" s="124"/>
    </row>
    <row r="536" spans="1:6" ht="27.6" x14ac:dyDescent="0.25">
      <c r="A536" s="121" t="s">
        <v>9</v>
      </c>
      <c r="B536" s="76" t="s">
        <v>196</v>
      </c>
      <c r="C536" s="138">
        <v>46.6</v>
      </c>
      <c r="D536" s="125" t="s">
        <v>45</v>
      </c>
      <c r="E536" s="123">
        <v>12790</v>
      </c>
      <c r="F536" s="124">
        <f>+C536*E536</f>
        <v>596014</v>
      </c>
    </row>
    <row r="537" spans="1:6" x14ac:dyDescent="0.25">
      <c r="A537" s="39"/>
      <c r="B537" s="76"/>
      <c r="C537" s="138"/>
      <c r="D537" s="41"/>
      <c r="E537" s="123"/>
      <c r="F537" s="124"/>
    </row>
    <row r="538" spans="1:6" ht="27.6" x14ac:dyDescent="0.25">
      <c r="A538" s="43" t="s">
        <v>10</v>
      </c>
      <c r="B538" s="76" t="s">
        <v>197</v>
      </c>
      <c r="C538" s="140">
        <v>11.52</v>
      </c>
      <c r="D538" s="125" t="s">
        <v>45</v>
      </c>
      <c r="E538" s="123">
        <v>12790</v>
      </c>
      <c r="F538" s="124">
        <f>+C538*E538</f>
        <v>147340.79999999999</v>
      </c>
    </row>
    <row r="539" spans="1:6" x14ac:dyDescent="0.25">
      <c r="A539" s="39"/>
      <c r="B539" s="102"/>
      <c r="C539" s="138"/>
      <c r="D539" s="41"/>
      <c r="E539" s="123"/>
      <c r="F539" s="124"/>
    </row>
    <row r="540" spans="1:6" ht="27.6" x14ac:dyDescent="0.25">
      <c r="A540" s="43" t="s">
        <v>11</v>
      </c>
      <c r="B540" s="76" t="s">
        <v>198</v>
      </c>
      <c r="C540" s="140">
        <v>9.5580000000000016</v>
      </c>
      <c r="D540" s="125" t="s">
        <v>45</v>
      </c>
      <c r="E540" s="123">
        <v>12790</v>
      </c>
      <c r="F540" s="124">
        <f>+C540*E540</f>
        <v>122246.82000000002</v>
      </c>
    </row>
    <row r="541" spans="1:6" x14ac:dyDescent="0.25">
      <c r="A541" s="39"/>
      <c r="B541" s="76"/>
      <c r="C541" s="138"/>
      <c r="D541" s="41"/>
      <c r="E541" s="123"/>
      <c r="F541" s="124"/>
    </row>
    <row r="542" spans="1:6" ht="27.6" x14ac:dyDescent="0.25">
      <c r="A542" s="43" t="s">
        <v>13</v>
      </c>
      <c r="B542" s="76" t="s">
        <v>199</v>
      </c>
      <c r="C542" s="140">
        <v>3.2130000000000005</v>
      </c>
      <c r="D542" s="125" t="s">
        <v>45</v>
      </c>
      <c r="E542" s="123">
        <v>12790</v>
      </c>
      <c r="F542" s="124">
        <f>+C542*E542</f>
        <v>41094.270000000004</v>
      </c>
    </row>
    <row r="543" spans="1:6" x14ac:dyDescent="0.25">
      <c r="A543" s="39"/>
      <c r="B543" s="76"/>
      <c r="C543" s="138"/>
      <c r="D543" s="41"/>
      <c r="E543" s="123"/>
      <c r="F543" s="124"/>
    </row>
    <row r="544" spans="1:6" ht="27.6" x14ac:dyDescent="0.25">
      <c r="A544" s="43" t="s">
        <v>14</v>
      </c>
      <c r="B544" s="76" t="s">
        <v>200</v>
      </c>
      <c r="C544" s="140">
        <v>4.5359999999999996</v>
      </c>
      <c r="D544" s="125" t="s">
        <v>45</v>
      </c>
      <c r="E544" s="123">
        <v>12790</v>
      </c>
      <c r="F544" s="124">
        <f>+C544*E544</f>
        <v>58015.439999999995</v>
      </c>
    </row>
    <row r="545" spans="1:6" x14ac:dyDescent="0.25">
      <c r="A545" s="39"/>
      <c r="B545" s="76"/>
      <c r="C545" s="138"/>
      <c r="D545" s="41"/>
      <c r="E545" s="123"/>
      <c r="F545" s="124"/>
    </row>
    <row r="546" spans="1:6" ht="27.6" x14ac:dyDescent="0.25">
      <c r="A546" s="43" t="s">
        <v>15</v>
      </c>
      <c r="B546" s="76" t="s">
        <v>201</v>
      </c>
      <c r="C546" s="140">
        <v>10.206</v>
      </c>
      <c r="D546" s="125" t="s">
        <v>45</v>
      </c>
      <c r="E546" s="123">
        <v>12790</v>
      </c>
      <c r="F546" s="124">
        <f>+C546*E546</f>
        <v>130534.73999999999</v>
      </c>
    </row>
    <row r="547" spans="1:6" x14ac:dyDescent="0.25">
      <c r="A547" s="39"/>
      <c r="B547" s="102"/>
      <c r="C547" s="40"/>
      <c r="D547" s="41"/>
      <c r="E547" s="116"/>
      <c r="F547" s="107"/>
    </row>
    <row r="548" spans="1:6" x14ac:dyDescent="0.25">
      <c r="A548" s="43"/>
      <c r="B548" s="103"/>
      <c r="C548" s="44"/>
      <c r="D548" s="45"/>
      <c r="E548" s="116"/>
      <c r="F548" s="107"/>
    </row>
    <row r="549" spans="1:6" x14ac:dyDescent="0.25">
      <c r="A549" s="39"/>
      <c r="B549" s="102"/>
      <c r="C549" s="40"/>
      <c r="D549" s="41"/>
      <c r="E549" s="116"/>
      <c r="F549" s="107"/>
    </row>
    <row r="550" spans="1:6" x14ac:dyDescent="0.25">
      <c r="A550" s="43"/>
      <c r="B550" s="103"/>
      <c r="C550" s="44"/>
      <c r="D550" s="45"/>
      <c r="E550" s="116"/>
      <c r="F550" s="107"/>
    </row>
    <row r="551" spans="1:6" x14ac:dyDescent="0.25">
      <c r="A551" s="43"/>
      <c r="B551" s="103"/>
      <c r="C551" s="44"/>
      <c r="D551" s="45"/>
      <c r="E551" s="116"/>
      <c r="F551" s="107"/>
    </row>
    <row r="552" spans="1:6" x14ac:dyDescent="0.25">
      <c r="A552" s="39"/>
      <c r="B552" s="102"/>
      <c r="C552" s="40"/>
      <c r="D552" s="41"/>
      <c r="E552" s="116"/>
      <c r="F552" s="107"/>
    </row>
    <row r="553" spans="1:6" x14ac:dyDescent="0.25">
      <c r="A553" s="43"/>
      <c r="B553" s="103"/>
      <c r="C553" s="44"/>
      <c r="D553" s="45"/>
      <c r="E553" s="116"/>
      <c r="F553" s="107"/>
    </row>
    <row r="554" spans="1:6" x14ac:dyDescent="0.25">
      <c r="A554" s="39"/>
      <c r="B554" s="102"/>
      <c r="C554" s="40"/>
      <c r="D554" s="41"/>
      <c r="E554" s="116"/>
      <c r="F554" s="107"/>
    </row>
    <row r="555" spans="1:6" x14ac:dyDescent="0.25">
      <c r="A555" s="39"/>
      <c r="B555" s="102"/>
      <c r="C555" s="40"/>
      <c r="D555" s="41"/>
      <c r="E555" s="116"/>
      <c r="F555" s="107"/>
    </row>
    <row r="556" spans="1:6" x14ac:dyDescent="0.25">
      <c r="A556" s="39"/>
      <c r="B556" s="102"/>
      <c r="C556" s="40"/>
      <c r="D556" s="41"/>
      <c r="E556" s="116"/>
      <c r="F556" s="107"/>
    </row>
    <row r="557" spans="1:6" x14ac:dyDescent="0.25">
      <c r="A557" s="43"/>
      <c r="B557" s="103"/>
      <c r="C557" s="44"/>
      <c r="D557" s="45"/>
      <c r="E557" s="116"/>
      <c r="F557" s="107"/>
    </row>
    <row r="558" spans="1:6" x14ac:dyDescent="0.25">
      <c r="A558" s="39"/>
      <c r="B558" s="102"/>
      <c r="C558" s="40"/>
      <c r="D558" s="41"/>
      <c r="E558" s="116"/>
      <c r="F558" s="107"/>
    </row>
    <row r="559" spans="1:6" x14ac:dyDescent="0.25">
      <c r="A559" s="39"/>
      <c r="B559" s="102"/>
      <c r="C559" s="40"/>
      <c r="D559" s="41"/>
      <c r="E559" s="116"/>
      <c r="F559" s="107"/>
    </row>
    <row r="560" spans="1:6" x14ac:dyDescent="0.25">
      <c r="A560" s="39"/>
      <c r="B560" s="42"/>
      <c r="C560" s="40"/>
      <c r="D560" s="41"/>
      <c r="E560" s="116"/>
      <c r="F560" s="107"/>
    </row>
    <row r="561" spans="1:6" x14ac:dyDescent="0.25">
      <c r="A561" s="80"/>
      <c r="B561" s="81"/>
      <c r="C561" s="82"/>
      <c r="D561" s="83"/>
      <c r="E561" s="117"/>
      <c r="F561" s="108"/>
    </row>
    <row r="562" spans="1:6" x14ac:dyDescent="0.25">
      <c r="A562" s="84"/>
      <c r="B562" s="85"/>
      <c r="C562" s="86" t="s">
        <v>22</v>
      </c>
      <c r="D562" s="86"/>
      <c r="E562" s="118" t="s">
        <v>21</v>
      </c>
      <c r="F562" s="109">
        <f>SUM(F523:F559)</f>
        <v>1282619.57</v>
      </c>
    </row>
    <row r="563" spans="1:6" x14ac:dyDescent="0.25">
      <c r="A563" s="84"/>
      <c r="B563" s="85"/>
      <c r="C563" s="87"/>
      <c r="D563" s="88"/>
      <c r="E563" s="119"/>
      <c r="F563" s="110"/>
    </row>
    <row r="564" spans="1:6" x14ac:dyDescent="0.25">
      <c r="A564" s="69"/>
      <c r="B564" s="100"/>
      <c r="C564" s="70"/>
      <c r="D564" s="71"/>
      <c r="E564" s="116"/>
      <c r="F564" s="107"/>
    </row>
    <row r="565" spans="1:6" ht="27.6" x14ac:dyDescent="0.25">
      <c r="A565" s="69"/>
      <c r="B565" s="73" t="s">
        <v>65</v>
      </c>
      <c r="C565" s="70"/>
      <c r="D565" s="71"/>
      <c r="E565" s="116"/>
      <c r="F565" s="107"/>
    </row>
    <row r="566" spans="1:6" x14ac:dyDescent="0.25">
      <c r="A566" s="69"/>
      <c r="B566" s="100"/>
      <c r="C566" s="70"/>
      <c r="D566" s="71"/>
      <c r="E566" s="116"/>
      <c r="F566" s="107"/>
    </row>
    <row r="567" spans="1:6" ht="41.4" x14ac:dyDescent="0.25">
      <c r="A567" s="75" t="s">
        <v>3</v>
      </c>
      <c r="B567" s="76" t="s">
        <v>202</v>
      </c>
      <c r="C567" s="128">
        <v>6.9615</v>
      </c>
      <c r="D567" s="125" t="s">
        <v>45</v>
      </c>
      <c r="E567" s="123">
        <v>12790</v>
      </c>
      <c r="F567" s="124">
        <f>+C567*E567</f>
        <v>89037.585000000006</v>
      </c>
    </row>
    <row r="568" spans="1:6" x14ac:dyDescent="0.25">
      <c r="A568" s="39"/>
      <c r="B568" s="102"/>
      <c r="C568" s="138"/>
      <c r="D568" s="41"/>
      <c r="E568" s="123"/>
      <c r="F568" s="107"/>
    </row>
    <row r="569" spans="1:6" ht="27.6" x14ac:dyDescent="0.25">
      <c r="A569" s="121" t="s">
        <v>2</v>
      </c>
      <c r="B569" s="76" t="s">
        <v>203</v>
      </c>
      <c r="C569" s="138">
        <v>6.426000000000001</v>
      </c>
      <c r="D569" s="125" t="s">
        <v>45</v>
      </c>
      <c r="E569" s="123">
        <v>12790</v>
      </c>
      <c r="F569" s="124">
        <f>+C569*E569</f>
        <v>82188.540000000008</v>
      </c>
    </row>
    <row r="570" spans="1:6" x14ac:dyDescent="0.25">
      <c r="A570" s="121"/>
      <c r="B570" s="76"/>
      <c r="C570" s="138"/>
      <c r="D570" s="41"/>
      <c r="E570" s="123"/>
      <c r="F570" s="107"/>
    </row>
    <row r="571" spans="1:6" ht="27.6" x14ac:dyDescent="0.25">
      <c r="A571" s="121" t="s">
        <v>5</v>
      </c>
      <c r="B571" s="76" t="s">
        <v>204</v>
      </c>
      <c r="C571" s="136">
        <v>12.96</v>
      </c>
      <c r="D571" s="125" t="s">
        <v>45</v>
      </c>
      <c r="E571" s="123">
        <v>12790</v>
      </c>
      <c r="F571" s="124">
        <f>+C571*E571</f>
        <v>165758.40000000002</v>
      </c>
    </row>
    <row r="572" spans="1:6" x14ac:dyDescent="0.25">
      <c r="A572" s="121"/>
      <c r="B572" s="76"/>
      <c r="C572" s="136"/>
      <c r="D572" s="122"/>
      <c r="E572" s="123"/>
      <c r="F572" s="124"/>
    </row>
    <row r="573" spans="1:6" ht="41.4" x14ac:dyDescent="0.25">
      <c r="A573" s="121" t="s">
        <v>7</v>
      </c>
      <c r="B573" s="76" t="s">
        <v>205</v>
      </c>
      <c r="C573" s="136">
        <v>4.9560000000000004</v>
      </c>
      <c r="D573" s="125" t="s">
        <v>45</v>
      </c>
      <c r="E573" s="123">
        <v>12790</v>
      </c>
      <c r="F573" s="124">
        <f>+C573*E573</f>
        <v>63387.240000000005</v>
      </c>
    </row>
    <row r="574" spans="1:6" x14ac:dyDescent="0.25">
      <c r="A574" s="39"/>
      <c r="B574" s="76"/>
      <c r="C574" s="138"/>
      <c r="D574" s="41"/>
      <c r="E574" s="123"/>
      <c r="F574" s="107"/>
    </row>
    <row r="575" spans="1:6" ht="27.6" x14ac:dyDescent="0.25">
      <c r="A575" s="121" t="s">
        <v>8</v>
      </c>
      <c r="B575" s="76" t="s">
        <v>206</v>
      </c>
      <c r="C575" s="138">
        <v>4.0320000000000009</v>
      </c>
      <c r="D575" s="125" t="s">
        <v>45</v>
      </c>
      <c r="E575" s="123">
        <v>12790</v>
      </c>
      <c r="F575" s="124">
        <f>+C575*E575</f>
        <v>51569.280000000013</v>
      </c>
    </row>
    <row r="576" spans="1:6" x14ac:dyDescent="0.25">
      <c r="A576" s="39"/>
      <c r="B576" s="76"/>
      <c r="C576" s="138"/>
      <c r="D576" s="41"/>
      <c r="E576" s="123"/>
      <c r="F576" s="107"/>
    </row>
    <row r="577" spans="1:6" ht="27.6" x14ac:dyDescent="0.25">
      <c r="A577" s="121" t="s">
        <v>9</v>
      </c>
      <c r="B577" s="76" t="s">
        <v>207</v>
      </c>
      <c r="C577" s="138">
        <v>13.090000000000002</v>
      </c>
      <c r="D577" s="125" t="s">
        <v>45</v>
      </c>
      <c r="E577" s="123">
        <v>12790</v>
      </c>
      <c r="F577" s="124">
        <f>+C577*E577</f>
        <v>167421.10000000003</v>
      </c>
    </row>
    <row r="578" spans="1:6" x14ac:dyDescent="0.25">
      <c r="A578" s="39"/>
      <c r="B578" s="76"/>
      <c r="C578" s="138"/>
      <c r="D578" s="41"/>
      <c r="E578" s="123"/>
      <c r="F578" s="107"/>
    </row>
    <row r="579" spans="1:6" ht="27.6" x14ac:dyDescent="0.25">
      <c r="A579" s="43" t="s">
        <v>10</v>
      </c>
      <c r="B579" s="76" t="s">
        <v>208</v>
      </c>
      <c r="C579" s="140">
        <v>3.1860000000000004</v>
      </c>
      <c r="D579" s="125" t="s">
        <v>45</v>
      </c>
      <c r="E579" s="123">
        <v>12790</v>
      </c>
      <c r="F579" s="124">
        <f>+C579*E579</f>
        <v>40748.94</v>
      </c>
    </row>
    <row r="580" spans="1:6" x14ac:dyDescent="0.25">
      <c r="A580" s="39"/>
      <c r="B580" s="76"/>
      <c r="C580" s="138"/>
      <c r="D580" s="41"/>
      <c r="E580" s="123"/>
      <c r="F580" s="107"/>
    </row>
    <row r="581" spans="1:6" ht="27.6" x14ac:dyDescent="0.25">
      <c r="A581" s="43" t="s">
        <v>11</v>
      </c>
      <c r="B581" s="76" t="s">
        <v>209</v>
      </c>
      <c r="C581" s="140">
        <v>9.8000000000000007</v>
      </c>
      <c r="D581" s="125" t="s">
        <v>45</v>
      </c>
      <c r="E581" s="123">
        <v>12790</v>
      </c>
      <c r="F581" s="124">
        <f>+C581*E581</f>
        <v>125342.00000000001</v>
      </c>
    </row>
    <row r="582" spans="1:6" x14ac:dyDescent="0.25">
      <c r="A582" s="39"/>
      <c r="B582" s="76"/>
      <c r="C582" s="40"/>
      <c r="D582" s="41"/>
      <c r="E582" s="116"/>
      <c r="F582" s="107"/>
    </row>
    <row r="583" spans="1:6" x14ac:dyDescent="0.25">
      <c r="A583" s="43"/>
      <c r="B583" s="103" t="s">
        <v>212</v>
      </c>
      <c r="C583" s="44"/>
      <c r="D583" s="45"/>
      <c r="E583" s="116"/>
      <c r="F583" s="107"/>
    </row>
    <row r="584" spans="1:6" x14ac:dyDescent="0.25">
      <c r="A584" s="43"/>
      <c r="B584" s="103"/>
      <c r="C584" s="44"/>
      <c r="D584" s="45"/>
      <c r="E584" s="116"/>
      <c r="F584" s="107"/>
    </row>
    <row r="585" spans="1:6" ht="27.6" x14ac:dyDescent="0.25">
      <c r="A585" s="39" t="s">
        <v>13</v>
      </c>
      <c r="B585" s="76" t="s">
        <v>213</v>
      </c>
      <c r="C585" s="138">
        <v>196.7021</v>
      </c>
      <c r="D585" s="125" t="s">
        <v>45</v>
      </c>
      <c r="E585" s="123">
        <v>12790</v>
      </c>
      <c r="F585" s="124">
        <f>+C585*E585</f>
        <v>2515819.8590000002</v>
      </c>
    </row>
    <row r="586" spans="1:6" x14ac:dyDescent="0.25">
      <c r="A586" s="39"/>
      <c r="B586" s="76"/>
      <c r="C586" s="138"/>
      <c r="D586" s="139"/>
      <c r="E586" s="123"/>
      <c r="F586" s="124"/>
    </row>
    <row r="587" spans="1:6" ht="27.6" x14ac:dyDescent="0.25">
      <c r="A587" s="39" t="s">
        <v>14</v>
      </c>
      <c r="B587" s="76" t="s">
        <v>214</v>
      </c>
      <c r="C587" s="138">
        <v>182.16025000000002</v>
      </c>
      <c r="D587" s="125" t="s">
        <v>45</v>
      </c>
      <c r="E587" s="123">
        <v>12790</v>
      </c>
      <c r="F587" s="124">
        <f>+C587*E587</f>
        <v>2329829.5975000001</v>
      </c>
    </row>
    <row r="588" spans="1:6" x14ac:dyDescent="0.25">
      <c r="A588" s="43"/>
      <c r="B588" s="76"/>
      <c r="C588" s="44"/>
      <c r="D588" s="45"/>
      <c r="E588" s="116"/>
      <c r="F588" s="107"/>
    </row>
    <row r="589" spans="1:6" x14ac:dyDescent="0.25">
      <c r="A589" s="39"/>
      <c r="B589" s="102"/>
      <c r="C589" s="40"/>
      <c r="D589" s="41"/>
      <c r="E589" s="116"/>
      <c r="F589" s="107"/>
    </row>
    <row r="590" spans="1:6" x14ac:dyDescent="0.25">
      <c r="A590" s="43"/>
      <c r="B590" s="103" t="s">
        <v>42</v>
      </c>
      <c r="C590" s="44"/>
      <c r="D590" s="45"/>
      <c r="E590" s="116"/>
      <c r="F590" s="107"/>
    </row>
    <row r="591" spans="1:6" x14ac:dyDescent="0.25">
      <c r="A591" s="39"/>
      <c r="B591" s="102"/>
      <c r="C591" s="40"/>
      <c r="D591" s="41"/>
      <c r="E591" s="116"/>
      <c r="F591" s="107"/>
    </row>
    <row r="592" spans="1:6" ht="27.6" x14ac:dyDescent="0.25">
      <c r="A592" s="43" t="s">
        <v>15</v>
      </c>
      <c r="B592" s="76" t="s">
        <v>43</v>
      </c>
      <c r="C592" s="44" t="s">
        <v>210</v>
      </c>
      <c r="D592" s="45" t="s">
        <v>17</v>
      </c>
      <c r="E592" s="116"/>
      <c r="F592" s="107" t="s">
        <v>46</v>
      </c>
    </row>
    <row r="593" spans="1:6" x14ac:dyDescent="0.25">
      <c r="A593" s="39"/>
      <c r="B593" s="76"/>
      <c r="C593" s="40"/>
      <c r="D593" s="41"/>
      <c r="E593" s="116"/>
      <c r="F593" s="107"/>
    </row>
    <row r="594" spans="1:6" x14ac:dyDescent="0.25">
      <c r="A594" s="43" t="s">
        <v>16</v>
      </c>
      <c r="B594" s="76" t="s">
        <v>44</v>
      </c>
      <c r="C594" s="44" t="s">
        <v>211</v>
      </c>
      <c r="D594" s="45" t="s">
        <v>12</v>
      </c>
      <c r="E594" s="116"/>
      <c r="F594" s="107" t="s">
        <v>46</v>
      </c>
    </row>
    <row r="595" spans="1:6" x14ac:dyDescent="0.25">
      <c r="A595" s="39"/>
      <c r="B595" s="76"/>
      <c r="C595" s="40"/>
      <c r="D595" s="41"/>
      <c r="E595" s="116"/>
      <c r="F595" s="107"/>
    </row>
    <row r="596" spans="1:6" x14ac:dyDescent="0.25">
      <c r="A596" s="39"/>
      <c r="B596" s="102"/>
      <c r="C596" s="40"/>
      <c r="D596" s="41"/>
      <c r="E596" s="116"/>
      <c r="F596" s="107"/>
    </row>
    <row r="597" spans="1:6" x14ac:dyDescent="0.25">
      <c r="A597" s="39"/>
      <c r="B597" s="42"/>
      <c r="C597" s="40"/>
      <c r="D597" s="41"/>
      <c r="E597" s="116"/>
      <c r="F597" s="107"/>
    </row>
    <row r="598" spans="1:6" x14ac:dyDescent="0.25">
      <c r="A598" s="80"/>
      <c r="B598" s="81"/>
      <c r="C598" s="82"/>
      <c r="D598" s="83"/>
      <c r="E598" s="117"/>
      <c r="F598" s="108"/>
    </row>
    <row r="599" spans="1:6" x14ac:dyDescent="0.25">
      <c r="A599" s="84"/>
      <c r="B599" s="85"/>
      <c r="C599" s="86" t="s">
        <v>22</v>
      </c>
      <c r="D599" s="86"/>
      <c r="E599" s="118" t="s">
        <v>21</v>
      </c>
      <c r="F599" s="109">
        <f>SUM(F564:F597)</f>
        <v>5631102.5415000003</v>
      </c>
    </row>
    <row r="600" spans="1:6" x14ac:dyDescent="0.25">
      <c r="A600" s="84"/>
      <c r="B600" s="85"/>
      <c r="C600" s="87"/>
      <c r="D600" s="88"/>
      <c r="E600" s="119"/>
      <c r="F600" s="110"/>
    </row>
    <row r="601" spans="1:6" x14ac:dyDescent="0.25">
      <c r="A601" s="69"/>
      <c r="B601" s="74"/>
      <c r="C601" s="70"/>
      <c r="D601" s="71"/>
      <c r="E601" s="116"/>
      <c r="F601" s="107"/>
    </row>
    <row r="602" spans="1:6" x14ac:dyDescent="0.25">
      <c r="A602" s="69"/>
      <c r="B602" s="89" t="s">
        <v>23</v>
      </c>
      <c r="C602" s="70"/>
      <c r="D602" s="71"/>
      <c r="E602" s="116"/>
      <c r="F602" s="107"/>
    </row>
    <row r="603" spans="1:6" x14ac:dyDescent="0.25">
      <c r="A603" s="69"/>
      <c r="B603" s="74"/>
      <c r="C603" s="70"/>
      <c r="D603" s="71"/>
      <c r="E603" s="116"/>
      <c r="F603" s="107"/>
    </row>
    <row r="604" spans="1:6" x14ac:dyDescent="0.25">
      <c r="A604" s="69"/>
      <c r="B604" s="90" t="s">
        <v>221</v>
      </c>
      <c r="C604" s="70"/>
      <c r="D604" s="71"/>
      <c r="E604" s="116"/>
      <c r="F604" s="107">
        <f>F44</f>
        <v>0</v>
      </c>
    </row>
    <row r="605" spans="1:6" x14ac:dyDescent="0.25">
      <c r="A605" s="69"/>
      <c r="C605" s="70"/>
      <c r="D605" s="71"/>
      <c r="E605" s="116"/>
      <c r="F605" s="107"/>
    </row>
    <row r="606" spans="1:6" x14ac:dyDescent="0.25">
      <c r="A606" s="69"/>
      <c r="B606" s="90" t="s">
        <v>222</v>
      </c>
      <c r="C606" s="70"/>
      <c r="D606" s="71"/>
      <c r="E606" s="116"/>
      <c r="F606" s="107">
        <f>F74</f>
        <v>732598.40999999992</v>
      </c>
    </row>
    <row r="607" spans="1:6" x14ac:dyDescent="0.25">
      <c r="A607" s="69"/>
      <c r="C607" s="70"/>
      <c r="D607" s="71"/>
      <c r="E607" s="116"/>
      <c r="F607" s="107"/>
    </row>
    <row r="608" spans="1:6" x14ac:dyDescent="0.25">
      <c r="A608" s="69"/>
      <c r="B608" s="90" t="s">
        <v>223</v>
      </c>
      <c r="C608" s="70"/>
      <c r="D608" s="71"/>
      <c r="E608" s="116"/>
      <c r="F608" s="107">
        <f>F106</f>
        <v>4874237.0249999994</v>
      </c>
    </row>
    <row r="609" spans="1:6" x14ac:dyDescent="0.25">
      <c r="A609" s="69"/>
      <c r="C609" s="70"/>
      <c r="D609" s="71"/>
      <c r="E609" s="116"/>
      <c r="F609" s="107"/>
    </row>
    <row r="610" spans="1:6" x14ac:dyDescent="0.25">
      <c r="A610" s="69"/>
      <c r="B610" s="90" t="s">
        <v>224</v>
      </c>
      <c r="C610" s="70"/>
      <c r="D610" s="71"/>
      <c r="E610" s="116"/>
      <c r="F610" s="107">
        <f>F143</f>
        <v>2457971.9680000003</v>
      </c>
    </row>
    <row r="611" spans="1:6" x14ac:dyDescent="0.25">
      <c r="A611" s="69"/>
      <c r="C611" s="70"/>
      <c r="D611" s="71"/>
      <c r="E611" s="116"/>
      <c r="F611" s="107"/>
    </row>
    <row r="612" spans="1:6" x14ac:dyDescent="0.25">
      <c r="A612" s="69"/>
      <c r="B612" s="90" t="s">
        <v>225</v>
      </c>
      <c r="C612" s="70"/>
      <c r="D612" s="71"/>
      <c r="E612" s="116"/>
      <c r="F612" s="107">
        <f>F177</f>
        <v>1809499.776052</v>
      </c>
    </row>
    <row r="613" spans="1:6" x14ac:dyDescent="0.25">
      <c r="A613" s="75"/>
      <c r="C613" s="77"/>
      <c r="D613" s="78"/>
      <c r="E613" s="116"/>
      <c r="F613" s="107"/>
    </row>
    <row r="614" spans="1:6" x14ac:dyDescent="0.25">
      <c r="A614" s="69"/>
      <c r="B614" s="90" t="s">
        <v>226</v>
      </c>
      <c r="C614" s="70"/>
      <c r="D614" s="71"/>
      <c r="E614" s="116"/>
      <c r="F614" s="107">
        <f>F217</f>
        <v>704950.47134799988</v>
      </c>
    </row>
    <row r="615" spans="1:6" x14ac:dyDescent="0.25">
      <c r="A615" s="75"/>
      <c r="C615" s="77"/>
      <c r="D615" s="78"/>
      <c r="E615" s="116"/>
      <c r="F615" s="107"/>
    </row>
    <row r="616" spans="1:6" x14ac:dyDescent="0.25">
      <c r="A616" s="69"/>
      <c r="B616" s="90" t="s">
        <v>227</v>
      </c>
      <c r="C616" s="70"/>
      <c r="D616" s="71"/>
      <c r="E616" s="116"/>
      <c r="F616" s="107">
        <f>F254</f>
        <v>1557065.5636080001</v>
      </c>
    </row>
    <row r="617" spans="1:6" x14ac:dyDescent="0.25">
      <c r="A617" s="75"/>
      <c r="C617" s="77"/>
      <c r="D617" s="78"/>
      <c r="E617" s="116"/>
      <c r="F617" s="107"/>
    </row>
    <row r="618" spans="1:6" x14ac:dyDescent="0.25">
      <c r="A618" s="69"/>
      <c r="B618" s="90" t="s">
        <v>228</v>
      </c>
      <c r="C618" s="70"/>
      <c r="D618" s="71"/>
      <c r="E618" s="116"/>
      <c r="F618" s="107">
        <f>F295</f>
        <v>1492454.5347100005</v>
      </c>
    </row>
    <row r="619" spans="1:6" x14ac:dyDescent="0.25">
      <c r="A619" s="75"/>
      <c r="C619" s="77"/>
      <c r="D619" s="78"/>
      <c r="E619" s="116"/>
      <c r="F619" s="107"/>
    </row>
    <row r="620" spans="1:6" x14ac:dyDescent="0.25">
      <c r="A620" s="69"/>
      <c r="B620" s="90" t="s">
        <v>229</v>
      </c>
      <c r="C620" s="70"/>
      <c r="D620" s="71"/>
      <c r="E620" s="116"/>
      <c r="F620" s="107">
        <f>F330</f>
        <v>1206982.7075</v>
      </c>
    </row>
    <row r="621" spans="1:6" x14ac:dyDescent="0.25">
      <c r="A621" s="75"/>
      <c r="C621" s="77"/>
      <c r="D621" s="78"/>
      <c r="E621" s="116"/>
      <c r="F621" s="107"/>
    </row>
    <row r="622" spans="1:6" x14ac:dyDescent="0.25">
      <c r="A622" s="69"/>
      <c r="B622" s="90" t="s">
        <v>230</v>
      </c>
      <c r="C622" s="70"/>
      <c r="D622" s="71"/>
      <c r="E622" s="116"/>
      <c r="F622" s="107">
        <f>F367</f>
        <v>1296349.7225000001</v>
      </c>
    </row>
    <row r="623" spans="1:6" x14ac:dyDescent="0.25">
      <c r="A623" s="75"/>
      <c r="C623" s="77"/>
      <c r="D623" s="78"/>
      <c r="E623" s="116"/>
      <c r="F623" s="107"/>
    </row>
    <row r="624" spans="1:6" x14ac:dyDescent="0.25">
      <c r="A624" s="69"/>
      <c r="B624" s="90" t="s">
        <v>231</v>
      </c>
      <c r="C624" s="70"/>
      <c r="D624" s="71"/>
      <c r="E624" s="116"/>
      <c r="F624" s="107">
        <f>F406</f>
        <v>1050808.847422</v>
      </c>
    </row>
    <row r="625" spans="1:6" x14ac:dyDescent="0.25">
      <c r="A625" s="75"/>
      <c r="C625" s="77"/>
      <c r="D625" s="78"/>
      <c r="E625" s="116"/>
      <c r="F625" s="107"/>
    </row>
    <row r="626" spans="1:6" x14ac:dyDescent="0.25">
      <c r="A626" s="69"/>
      <c r="B626" s="90" t="s">
        <v>232</v>
      </c>
      <c r="C626" s="70"/>
      <c r="D626" s="71"/>
      <c r="E626" s="116"/>
      <c r="F626" s="107">
        <f>+F443</f>
        <v>1511349.5349999999</v>
      </c>
    </row>
    <row r="627" spans="1:6" x14ac:dyDescent="0.25">
      <c r="A627" s="75"/>
      <c r="C627" s="77"/>
      <c r="D627" s="78"/>
      <c r="E627" s="116"/>
      <c r="F627" s="107"/>
    </row>
    <row r="628" spans="1:6" x14ac:dyDescent="0.25">
      <c r="A628" s="69"/>
      <c r="B628" s="90" t="s">
        <v>233</v>
      </c>
      <c r="C628" s="70"/>
      <c r="D628" s="71"/>
      <c r="E628" s="116"/>
      <c r="F628" s="107">
        <f>+F482</f>
        <v>578392.16381599987</v>
      </c>
    </row>
    <row r="629" spans="1:6" x14ac:dyDescent="0.25">
      <c r="A629" s="75"/>
      <c r="C629" s="77"/>
      <c r="D629" s="78"/>
      <c r="E629" s="116"/>
      <c r="F629" s="107"/>
    </row>
    <row r="630" spans="1:6" x14ac:dyDescent="0.25">
      <c r="A630" s="69"/>
      <c r="B630" s="90" t="s">
        <v>234</v>
      </c>
      <c r="C630" s="70"/>
      <c r="D630" s="71"/>
      <c r="E630" s="116"/>
      <c r="F630" s="107">
        <f>+F521</f>
        <v>1538605.639736</v>
      </c>
    </row>
    <row r="631" spans="1:6" x14ac:dyDescent="0.25">
      <c r="A631" s="75"/>
      <c r="C631" s="77"/>
      <c r="D631" s="78"/>
      <c r="E631" s="116"/>
      <c r="F631" s="107"/>
    </row>
    <row r="632" spans="1:6" x14ac:dyDescent="0.25">
      <c r="A632" s="69"/>
      <c r="B632" s="90" t="s">
        <v>235</v>
      </c>
      <c r="C632" s="70"/>
      <c r="D632" s="71"/>
      <c r="E632" s="116"/>
      <c r="F632" s="107">
        <f>+F562</f>
        <v>1282619.57</v>
      </c>
    </row>
    <row r="633" spans="1:6" x14ac:dyDescent="0.25">
      <c r="A633" s="75"/>
      <c r="C633" s="77"/>
      <c r="D633" s="78"/>
      <c r="E633" s="116"/>
      <c r="F633" s="107"/>
    </row>
    <row r="634" spans="1:6" x14ac:dyDescent="0.25">
      <c r="A634" s="69"/>
      <c r="B634" s="90" t="s">
        <v>236</v>
      </c>
      <c r="C634" s="70"/>
      <c r="D634" s="71"/>
      <c r="E634" s="116"/>
      <c r="F634" s="107">
        <f>+F599</f>
        <v>5631102.5415000003</v>
      </c>
    </row>
    <row r="635" spans="1:6" x14ac:dyDescent="0.25">
      <c r="A635" s="75"/>
      <c r="B635" s="90"/>
      <c r="C635" s="77"/>
      <c r="D635" s="78"/>
      <c r="E635" s="116"/>
      <c r="F635" s="107"/>
    </row>
    <row r="636" spans="1:6" x14ac:dyDescent="0.25">
      <c r="A636" s="69"/>
      <c r="B636" s="90"/>
      <c r="C636" s="70"/>
      <c r="D636" s="71"/>
      <c r="E636" s="116"/>
      <c r="F636" s="107"/>
    </row>
    <row r="637" spans="1:6" x14ac:dyDescent="0.25">
      <c r="A637" s="75"/>
      <c r="B637" s="90"/>
      <c r="C637" s="77"/>
      <c r="D637" s="78"/>
      <c r="E637" s="116"/>
      <c r="F637" s="107"/>
    </row>
    <row r="638" spans="1:6" x14ac:dyDescent="0.25">
      <c r="A638" s="69"/>
      <c r="B638" s="90"/>
      <c r="C638" s="70"/>
      <c r="D638" s="71"/>
      <c r="E638" s="116"/>
      <c r="F638" s="107"/>
    </row>
    <row r="639" spans="1:6" x14ac:dyDescent="0.25">
      <c r="A639" s="75"/>
      <c r="C639" s="77"/>
      <c r="D639" s="78"/>
      <c r="E639" s="116"/>
      <c r="F639" s="107"/>
    </row>
    <row r="640" spans="1:6" x14ac:dyDescent="0.25">
      <c r="A640" s="69"/>
      <c r="B640" s="90"/>
      <c r="C640" s="70"/>
      <c r="D640" s="71"/>
      <c r="E640" s="116"/>
      <c r="F640" s="107"/>
    </row>
    <row r="641" spans="1:6" x14ac:dyDescent="0.25">
      <c r="A641" s="69"/>
      <c r="C641" s="70"/>
      <c r="D641" s="71"/>
      <c r="E641" s="116"/>
      <c r="F641" s="107"/>
    </row>
    <row r="642" spans="1:6" x14ac:dyDescent="0.25">
      <c r="A642" s="69"/>
      <c r="B642" s="90"/>
      <c r="C642" s="70"/>
      <c r="D642" s="71"/>
      <c r="E642" s="116"/>
      <c r="F642" s="107"/>
    </row>
    <row r="643" spans="1:6" x14ac:dyDescent="0.25">
      <c r="A643" s="69"/>
      <c r="B643" s="90"/>
      <c r="C643" s="70"/>
      <c r="D643" s="71"/>
      <c r="E643" s="116"/>
      <c r="F643" s="107"/>
    </row>
    <row r="644" spans="1:6" x14ac:dyDescent="0.25">
      <c r="A644" s="69"/>
      <c r="B644" s="90"/>
      <c r="C644" s="70"/>
      <c r="D644" s="71"/>
      <c r="E644" s="116"/>
      <c r="F644" s="107"/>
    </row>
    <row r="645" spans="1:6" x14ac:dyDescent="0.25">
      <c r="A645" s="69"/>
      <c r="B645" s="90"/>
      <c r="C645" s="70"/>
      <c r="D645" s="71"/>
      <c r="E645" s="116"/>
      <c r="F645" s="107"/>
    </row>
    <row r="646" spans="1:6" x14ac:dyDescent="0.25">
      <c r="A646" s="69"/>
      <c r="B646" s="74"/>
      <c r="C646" s="70"/>
      <c r="D646" s="71"/>
      <c r="E646" s="116"/>
      <c r="F646" s="107"/>
    </row>
    <row r="647" spans="1:6" x14ac:dyDescent="0.25">
      <c r="A647" s="75"/>
      <c r="B647" s="76"/>
      <c r="C647" s="77"/>
      <c r="D647" s="78"/>
      <c r="E647" s="116"/>
      <c r="F647" s="107"/>
    </row>
    <row r="648" spans="1:6" x14ac:dyDescent="0.25">
      <c r="A648" s="69"/>
      <c r="B648" s="74"/>
      <c r="C648" s="70"/>
      <c r="D648" s="71"/>
      <c r="E648" s="116"/>
      <c r="F648" s="107"/>
    </row>
    <row r="649" spans="1:6" x14ac:dyDescent="0.25">
      <c r="A649" s="80"/>
      <c r="B649" s="81"/>
      <c r="C649" s="82"/>
      <c r="D649" s="83"/>
      <c r="E649" s="117"/>
      <c r="F649" s="108"/>
    </row>
    <row r="650" spans="1:6" x14ac:dyDescent="0.25">
      <c r="A650" s="84"/>
      <c r="B650" s="85"/>
      <c r="C650" s="86" t="s">
        <v>28</v>
      </c>
      <c r="D650" s="86"/>
      <c r="E650" s="118" t="s">
        <v>21</v>
      </c>
      <c r="F650" s="109">
        <f>SUM(F602:F646)</f>
        <v>27724988.476192005</v>
      </c>
    </row>
    <row r="651" spans="1:6" x14ac:dyDescent="0.25">
      <c r="A651" s="84"/>
      <c r="B651" s="85"/>
      <c r="C651" s="87"/>
      <c r="D651" s="88"/>
      <c r="E651" s="119"/>
      <c r="F651" s="110"/>
    </row>
  </sheetData>
  <autoFilter ref="A1:F635" xr:uid="{7479DFB6-C4F4-41CC-A3C4-A1FF81746A49}"/>
  <mergeCells count="4">
    <mergeCell ref="A1:A2"/>
    <mergeCell ref="B1:B2"/>
    <mergeCell ref="C1:C2"/>
    <mergeCell ref="D1:D2"/>
  </mergeCells>
  <phoneticPr fontId="22" type="noConversion"/>
  <printOptions horizontalCentered="1"/>
  <pageMargins left="0.6692913385826772" right="0.19685039370078741" top="0.82677165354330717" bottom="0.47244094488188981" header="0.19685039370078741" footer="0.23622047244094491"/>
  <pageSetup paperSize="9" scale="81" fitToHeight="0" orientation="portrait" useFirstPageNumber="1" r:id="rId1"/>
  <headerFooter>
    <oddHeader xml:space="preserve">&amp;R&amp;11
&amp;UBILL NO. 13 - REVISED STRENGTHENING WORKS
</oddHeader>
    <oddFooter>&amp;L&amp;8DMS 148704 BOQ - Nakheel Mall Al Khail&amp;C13/1/&amp;P</oddFooter>
  </headerFooter>
  <rowBreaks count="16" manualBreakCount="16">
    <brk id="45" max="5" man="1"/>
    <brk id="75" max="5" man="1"/>
    <brk id="107" max="5" man="1"/>
    <brk id="144" max="5" man="1"/>
    <brk id="178" max="5" man="1"/>
    <brk id="218" max="5" man="1"/>
    <brk id="255" max="5" man="1"/>
    <brk id="296" max="5" man="1"/>
    <brk id="331" max="5" man="1"/>
    <brk id="368" max="5" man="1"/>
    <brk id="407" max="5" man="1"/>
    <brk id="444" max="5" man="1"/>
    <brk id="483" max="5" man="1"/>
    <brk id="522" max="5" man="1"/>
    <brk id="563" max="5" man="1"/>
    <brk id="600" max="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EEAA1-1CAB-4000-AB9C-2C750ED962F5}">
  <dimension ref="A1:H34"/>
  <sheetViews>
    <sheetView view="pageBreakPreview" zoomScaleNormal="100" zoomScaleSheetLayoutView="100" zoomScalePageLayoutView="70" workbookViewId="0">
      <selection activeCell="D7" sqref="D7"/>
    </sheetView>
  </sheetViews>
  <sheetFormatPr defaultColWidth="9.33203125" defaultRowHeight="13.8" x14ac:dyDescent="0.25"/>
  <cols>
    <col min="1" max="1" width="5.6640625" style="91" customWidth="1"/>
    <col min="2" max="2" width="46" style="92" customWidth="1"/>
    <col min="3" max="3" width="10.6640625" style="93" customWidth="1"/>
    <col min="4" max="4" width="6.6640625" style="94" customWidth="1"/>
    <col min="5" max="5" width="15.33203125" style="118" customWidth="1"/>
    <col min="6" max="6" width="15.6640625" style="111" customWidth="1"/>
    <col min="7" max="7" width="14.44140625" style="72" bestFit="1" customWidth="1"/>
    <col min="8" max="8" width="18.6640625" style="72" customWidth="1"/>
    <col min="9" max="9" width="24.88671875" style="72" customWidth="1"/>
    <col min="10" max="16384" width="9.33203125" style="72"/>
  </cols>
  <sheetData>
    <row r="1" spans="1:8" s="65" customFormat="1" ht="14.4" x14ac:dyDescent="0.25">
      <c r="A1" s="288" t="s">
        <v>6</v>
      </c>
      <c r="B1" s="288" t="s">
        <v>0</v>
      </c>
      <c r="C1" s="290" t="s">
        <v>18</v>
      </c>
      <c r="D1" s="292" t="s">
        <v>19</v>
      </c>
      <c r="E1" s="113" t="s">
        <v>1</v>
      </c>
      <c r="F1" s="104" t="s">
        <v>20</v>
      </c>
    </row>
    <row r="2" spans="1:8" s="65" customFormat="1" ht="14.4" x14ac:dyDescent="0.25">
      <c r="A2" s="289"/>
      <c r="B2" s="289"/>
      <c r="C2" s="291"/>
      <c r="D2" s="293"/>
      <c r="E2" s="114" t="s">
        <v>21</v>
      </c>
      <c r="F2" s="105" t="s">
        <v>21</v>
      </c>
    </row>
    <row r="3" spans="1:8" ht="27.6" x14ac:dyDescent="0.25">
      <c r="A3" s="69"/>
      <c r="B3" s="73" t="s">
        <v>215</v>
      </c>
      <c r="C3" s="70"/>
      <c r="D3" s="71"/>
      <c r="E3" s="116"/>
      <c r="F3" s="107"/>
      <c r="G3" s="112"/>
      <c r="H3" s="120"/>
    </row>
    <row r="4" spans="1:8" x14ac:dyDescent="0.25">
      <c r="A4" s="69"/>
      <c r="B4" s="100"/>
      <c r="C4" s="70"/>
      <c r="D4" s="71"/>
      <c r="E4" s="116"/>
      <c r="F4" s="107"/>
      <c r="G4" s="112"/>
      <c r="H4" s="120"/>
    </row>
    <row r="5" spans="1:8" ht="41.4" x14ac:dyDescent="0.25">
      <c r="A5" s="75"/>
      <c r="B5" s="143" t="s">
        <v>216</v>
      </c>
      <c r="C5" s="128"/>
      <c r="D5" s="125"/>
      <c r="E5" s="123"/>
      <c r="F5" s="124"/>
      <c r="G5" s="112"/>
      <c r="H5" s="120"/>
    </row>
    <row r="6" spans="1:8" x14ac:dyDescent="0.25">
      <c r="A6" s="39"/>
      <c r="B6" s="102"/>
      <c r="C6" s="138"/>
      <c r="D6" s="41"/>
      <c r="E6" s="123"/>
      <c r="F6" s="107"/>
      <c r="G6" s="112"/>
      <c r="H6" s="120"/>
    </row>
    <row r="7" spans="1:8" ht="55.2" x14ac:dyDescent="0.25">
      <c r="A7" s="75" t="s">
        <v>3</v>
      </c>
      <c r="B7" s="76" t="s">
        <v>217</v>
      </c>
      <c r="C7" s="138">
        <v>163.38389999999998</v>
      </c>
      <c r="D7" s="125" t="s">
        <v>45</v>
      </c>
      <c r="E7" s="123">
        <v>12790</v>
      </c>
      <c r="F7" s="124">
        <f>+C7*E7</f>
        <v>2089680.0809999998</v>
      </c>
      <c r="G7" s="112"/>
      <c r="H7" s="120"/>
    </row>
    <row r="8" spans="1:8" x14ac:dyDescent="0.25">
      <c r="A8" s="39"/>
      <c r="B8" s="76"/>
      <c r="C8" s="138"/>
      <c r="D8" s="41"/>
      <c r="E8" s="123"/>
      <c r="F8" s="107"/>
      <c r="G8" s="112"/>
      <c r="H8" s="120"/>
    </row>
    <row r="9" spans="1:8" ht="27.6" x14ac:dyDescent="0.25">
      <c r="A9" s="121" t="s">
        <v>2</v>
      </c>
      <c r="B9" s="76" t="s">
        <v>218</v>
      </c>
      <c r="C9" s="136">
        <v>163.38389999999998</v>
      </c>
      <c r="D9" s="125" t="s">
        <v>45</v>
      </c>
      <c r="E9" s="123">
        <v>2391.3560478271206</v>
      </c>
      <c r="F9" s="124">
        <f>+C9*E9</f>
        <v>390709.07738258142</v>
      </c>
      <c r="G9" s="112"/>
      <c r="H9" s="120"/>
    </row>
    <row r="10" spans="1:8" x14ac:dyDescent="0.25">
      <c r="A10" s="121"/>
      <c r="B10" s="76"/>
      <c r="C10" s="136"/>
      <c r="D10" s="122"/>
      <c r="E10" s="123"/>
      <c r="F10" s="124"/>
      <c r="G10" s="112"/>
      <c r="H10" s="120"/>
    </row>
    <row r="11" spans="1:8" ht="165.6" x14ac:dyDescent="0.25">
      <c r="A11" s="121" t="s">
        <v>5</v>
      </c>
      <c r="B11" s="76" t="s">
        <v>219</v>
      </c>
      <c r="C11" s="136">
        <v>57.997500000000002</v>
      </c>
      <c r="D11" s="125" t="s">
        <v>45</v>
      </c>
      <c r="E11" s="123">
        <v>12790</v>
      </c>
      <c r="F11" s="124">
        <f>+C11*E11</f>
        <v>741788.02500000002</v>
      </c>
      <c r="G11" s="112"/>
      <c r="H11" s="120"/>
    </row>
    <row r="12" spans="1:8" x14ac:dyDescent="0.25">
      <c r="A12" s="121"/>
      <c r="B12" s="76"/>
      <c r="C12" s="138"/>
      <c r="D12" s="41"/>
      <c r="E12" s="123"/>
      <c r="F12" s="107"/>
      <c r="G12" s="112"/>
      <c r="H12" s="120"/>
    </row>
    <row r="13" spans="1:8" x14ac:dyDescent="0.25">
      <c r="A13" s="121"/>
      <c r="B13" s="76"/>
      <c r="C13" s="138"/>
      <c r="D13" s="125"/>
      <c r="E13" s="123"/>
      <c r="F13" s="124"/>
      <c r="G13" s="112"/>
      <c r="H13" s="120"/>
    </row>
    <row r="14" spans="1:8" x14ac:dyDescent="0.25">
      <c r="A14" s="39"/>
      <c r="B14" s="76"/>
      <c r="C14" s="138"/>
      <c r="D14" s="41"/>
      <c r="E14" s="123"/>
      <c r="F14" s="107"/>
      <c r="G14" s="112"/>
      <c r="H14" s="120"/>
    </row>
    <row r="15" spans="1:8" x14ac:dyDescent="0.25">
      <c r="A15" s="121"/>
      <c r="B15" s="76"/>
      <c r="C15" s="138"/>
      <c r="D15" s="125"/>
      <c r="E15" s="123"/>
      <c r="F15" s="124"/>
      <c r="G15" s="112"/>
      <c r="H15" s="120"/>
    </row>
    <row r="16" spans="1:8" x14ac:dyDescent="0.25">
      <c r="A16" s="39"/>
      <c r="B16" s="76"/>
      <c r="C16" s="138"/>
      <c r="D16" s="41"/>
      <c r="E16" s="123"/>
      <c r="F16" s="107"/>
      <c r="G16" s="112"/>
      <c r="H16" s="120"/>
    </row>
    <row r="17" spans="1:8" x14ac:dyDescent="0.25">
      <c r="A17" s="43"/>
      <c r="B17" s="76"/>
      <c r="C17" s="140"/>
      <c r="D17" s="125"/>
      <c r="E17" s="123"/>
      <c r="F17" s="124"/>
      <c r="G17" s="112"/>
      <c r="H17" s="120"/>
    </row>
    <row r="18" spans="1:8" x14ac:dyDescent="0.25">
      <c r="A18" s="39"/>
      <c r="B18" s="76"/>
      <c r="C18" s="138"/>
      <c r="D18" s="41"/>
      <c r="E18" s="123"/>
      <c r="F18" s="107"/>
      <c r="G18" s="112"/>
      <c r="H18" s="120"/>
    </row>
    <row r="19" spans="1:8" x14ac:dyDescent="0.25">
      <c r="A19" s="43"/>
      <c r="B19" s="76"/>
      <c r="C19" s="140"/>
      <c r="D19" s="125"/>
      <c r="E19" s="123"/>
      <c r="F19" s="124"/>
      <c r="G19" s="112"/>
      <c r="H19" s="120"/>
    </row>
    <row r="20" spans="1:8" x14ac:dyDescent="0.25">
      <c r="A20" s="39"/>
      <c r="B20" s="76"/>
      <c r="C20" s="40"/>
      <c r="D20" s="41"/>
      <c r="E20" s="116"/>
      <c r="F20" s="107"/>
      <c r="G20" s="112"/>
      <c r="H20" s="120"/>
    </row>
    <row r="21" spans="1:8" x14ac:dyDescent="0.25">
      <c r="A21" s="43"/>
      <c r="B21" s="103"/>
      <c r="C21" s="44"/>
      <c r="D21" s="45"/>
      <c r="E21" s="116"/>
      <c r="F21" s="107"/>
      <c r="G21" s="112"/>
      <c r="H21" s="120"/>
    </row>
    <row r="22" spans="1:8" x14ac:dyDescent="0.25">
      <c r="A22" s="43"/>
      <c r="B22" s="103"/>
      <c r="C22" s="44"/>
      <c r="D22" s="45"/>
      <c r="E22" s="116"/>
      <c r="F22" s="107"/>
      <c r="G22" s="112"/>
      <c r="H22" s="120"/>
    </row>
    <row r="23" spans="1:8" x14ac:dyDescent="0.25">
      <c r="A23" s="39"/>
      <c r="B23" s="76"/>
      <c r="C23" s="138"/>
      <c r="D23" s="125"/>
      <c r="E23" s="123"/>
      <c r="F23" s="124"/>
      <c r="G23" s="112"/>
      <c r="H23" s="120"/>
    </row>
    <row r="24" spans="1:8" x14ac:dyDescent="0.25">
      <c r="A24" s="39"/>
      <c r="B24" s="76"/>
      <c r="C24" s="138"/>
      <c r="D24" s="139"/>
      <c r="E24" s="123"/>
      <c r="F24" s="124"/>
      <c r="G24" s="112"/>
      <c r="H24" s="120"/>
    </row>
    <row r="25" spans="1:8" x14ac:dyDescent="0.25">
      <c r="A25" s="39"/>
      <c r="B25" s="102"/>
      <c r="C25" s="40"/>
      <c r="D25" s="41"/>
      <c r="E25" s="116"/>
      <c r="F25" s="107"/>
      <c r="G25" s="112"/>
      <c r="H25" s="120"/>
    </row>
    <row r="26" spans="1:8" x14ac:dyDescent="0.25">
      <c r="A26" s="43"/>
      <c r="B26" s="76"/>
      <c r="C26" s="44"/>
      <c r="D26" s="45"/>
      <c r="E26" s="116"/>
      <c r="F26" s="107"/>
      <c r="G26" s="112"/>
      <c r="H26" s="120"/>
    </row>
    <row r="27" spans="1:8" x14ac:dyDescent="0.25">
      <c r="A27" s="39"/>
      <c r="B27" s="76"/>
      <c r="C27" s="40"/>
      <c r="D27" s="41"/>
      <c r="E27" s="116"/>
      <c r="F27" s="107"/>
      <c r="G27" s="112"/>
      <c r="H27" s="120"/>
    </row>
    <row r="28" spans="1:8" x14ac:dyDescent="0.25">
      <c r="A28" s="43"/>
      <c r="B28" s="76"/>
      <c r="C28" s="44"/>
      <c r="D28" s="45"/>
      <c r="E28" s="116"/>
      <c r="F28" s="107"/>
      <c r="G28" s="112"/>
      <c r="H28" s="120"/>
    </row>
    <row r="29" spans="1:8" x14ac:dyDescent="0.25">
      <c r="A29" s="39"/>
      <c r="B29" s="76"/>
      <c r="C29" s="40"/>
      <c r="D29" s="41"/>
      <c r="E29" s="116"/>
      <c r="F29" s="107"/>
      <c r="G29" s="112"/>
      <c r="H29" s="120"/>
    </row>
    <row r="30" spans="1:8" x14ac:dyDescent="0.25">
      <c r="A30" s="39"/>
      <c r="B30" s="102"/>
      <c r="C30" s="40"/>
      <c r="D30" s="41"/>
      <c r="E30" s="116"/>
      <c r="F30" s="107"/>
      <c r="G30" s="112"/>
      <c r="H30" s="120"/>
    </row>
    <row r="31" spans="1:8" x14ac:dyDescent="0.25">
      <c r="A31" s="39"/>
      <c r="B31" s="42"/>
      <c r="C31" s="40"/>
      <c r="D31" s="41"/>
      <c r="E31" s="116"/>
      <c r="F31" s="107"/>
      <c r="G31" s="112"/>
      <c r="H31" s="120"/>
    </row>
    <row r="32" spans="1:8" x14ac:dyDescent="0.25">
      <c r="A32" s="80"/>
      <c r="B32" s="81"/>
      <c r="C32" s="82"/>
      <c r="D32" s="83"/>
      <c r="E32" s="117"/>
      <c r="F32" s="108"/>
      <c r="G32" s="112"/>
      <c r="H32" s="120"/>
    </row>
    <row r="33" spans="1:8" x14ac:dyDescent="0.25">
      <c r="A33" s="84"/>
      <c r="B33" s="85"/>
      <c r="C33" s="86" t="s">
        <v>28</v>
      </c>
      <c r="D33" s="86"/>
      <c r="E33" s="118" t="s">
        <v>21</v>
      </c>
      <c r="F33" s="109">
        <f>SUM(F5:F31)</f>
        <v>3222177.183382581</v>
      </c>
      <c r="G33" s="112"/>
      <c r="H33" s="120"/>
    </row>
    <row r="34" spans="1:8" x14ac:dyDescent="0.25">
      <c r="A34" s="84"/>
      <c r="B34" s="85"/>
      <c r="C34" s="87"/>
      <c r="D34" s="88"/>
      <c r="E34" s="119"/>
      <c r="F34" s="110"/>
      <c r="G34" s="112"/>
      <c r="H34" s="120"/>
    </row>
  </sheetData>
  <mergeCells count="4">
    <mergeCell ref="A1:A2"/>
    <mergeCell ref="B1:B2"/>
    <mergeCell ref="C1:C2"/>
    <mergeCell ref="D1:D2"/>
  </mergeCells>
  <printOptions horizontalCentered="1"/>
  <pageMargins left="0.6692913385826772" right="0.19685039370078741" top="0.82677165354330717" bottom="0.47244094488188981" header="0.19685039370078741" footer="0.23622047244094491"/>
  <pageSetup paperSize="9" scale="92" fitToHeight="0" orientation="portrait" useFirstPageNumber="1" r:id="rId1"/>
  <headerFooter>
    <oddHeader>&amp;R&amp;11
&amp;UBILL NO. 13 - ADDITIONAL STRENGTHENING WORKS (DEEMED REQ'D BUT NOT DETAILED ON DWGS)</oddHeader>
    <oddFooter>&amp;L&amp;8DMS 148704 BOQ - Nakheel Mall Al Khail&amp;C13/2/&amp;P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CA112-68C8-45F6-8A7A-8CB9CFF31AF1}">
  <dimension ref="A1:H44"/>
  <sheetViews>
    <sheetView view="pageBreakPreview" topLeftCell="A58" zoomScaleNormal="100" zoomScaleSheetLayoutView="100" zoomScalePageLayoutView="70" workbookViewId="0">
      <selection activeCell="F37" sqref="F37"/>
    </sheetView>
  </sheetViews>
  <sheetFormatPr defaultColWidth="9.33203125" defaultRowHeight="13.8" x14ac:dyDescent="0.25"/>
  <cols>
    <col min="1" max="1" width="5.6640625" style="91" customWidth="1"/>
    <col min="2" max="2" width="46" style="92" customWidth="1"/>
    <col min="3" max="3" width="10.6640625" style="93" customWidth="1"/>
    <col min="4" max="4" width="6.6640625" style="94" customWidth="1"/>
    <col min="5" max="5" width="15.33203125" style="118" customWidth="1"/>
    <col min="6" max="6" width="15.6640625" style="111" customWidth="1"/>
    <col min="7" max="7" width="14.44140625" style="72" bestFit="1" customWidth="1"/>
    <col min="8" max="8" width="18.6640625" style="72" customWidth="1"/>
    <col min="9" max="9" width="24.88671875" style="72" customWidth="1"/>
    <col min="10" max="16384" width="9.33203125" style="72"/>
  </cols>
  <sheetData>
    <row r="1" spans="1:8" s="65" customFormat="1" ht="14.4" x14ac:dyDescent="0.25">
      <c r="A1" s="288" t="s">
        <v>6</v>
      </c>
      <c r="B1" s="288" t="s">
        <v>0</v>
      </c>
      <c r="C1" s="290" t="s">
        <v>18</v>
      </c>
      <c r="D1" s="292" t="s">
        <v>19</v>
      </c>
      <c r="E1" s="113" t="s">
        <v>1</v>
      </c>
      <c r="F1" s="104" t="s">
        <v>20</v>
      </c>
    </row>
    <row r="2" spans="1:8" s="65" customFormat="1" ht="14.4" x14ac:dyDescent="0.25">
      <c r="A2" s="289"/>
      <c r="B2" s="289"/>
      <c r="C2" s="291"/>
      <c r="D2" s="293"/>
      <c r="E2" s="114" t="s">
        <v>21</v>
      </c>
      <c r="F2" s="105" t="s">
        <v>21</v>
      </c>
    </row>
    <row r="3" spans="1:8" x14ac:dyDescent="0.25">
      <c r="A3" s="69"/>
      <c r="B3" s="73" t="s">
        <v>238</v>
      </c>
      <c r="C3" s="70"/>
      <c r="D3" s="71"/>
      <c r="E3" s="116"/>
      <c r="F3" s="107"/>
      <c r="G3" s="112"/>
      <c r="H3" s="120"/>
    </row>
    <row r="4" spans="1:8" x14ac:dyDescent="0.25">
      <c r="A4" s="69"/>
      <c r="B4" s="100"/>
      <c r="C4" s="70"/>
      <c r="D4" s="71"/>
      <c r="E4" s="116"/>
      <c r="F4" s="107"/>
      <c r="G4" s="112"/>
      <c r="H4" s="120"/>
    </row>
    <row r="5" spans="1:8" x14ac:dyDescent="0.25">
      <c r="A5" s="69"/>
      <c r="B5" s="145" t="s">
        <v>239</v>
      </c>
      <c r="C5" s="70"/>
      <c r="D5" s="71"/>
      <c r="E5" s="116"/>
      <c r="F5" s="107"/>
      <c r="G5" s="112"/>
      <c r="H5" s="120"/>
    </row>
    <row r="6" spans="1:8" x14ac:dyDescent="0.25">
      <c r="A6" s="69"/>
      <c r="B6" s="100"/>
      <c r="C6" s="70"/>
      <c r="D6" s="71"/>
      <c r="E6" s="116"/>
      <c r="F6" s="107"/>
      <c r="G6" s="112"/>
      <c r="H6" s="120"/>
    </row>
    <row r="7" spans="1:8" ht="27.6" x14ac:dyDescent="0.25">
      <c r="A7" s="75"/>
      <c r="B7" s="98" t="s">
        <v>240</v>
      </c>
      <c r="C7" s="128"/>
      <c r="D7" s="125"/>
      <c r="E7" s="123"/>
      <c r="F7" s="124"/>
      <c r="G7" s="112"/>
      <c r="H7" s="120"/>
    </row>
    <row r="8" spans="1:8" x14ac:dyDescent="0.25">
      <c r="A8" s="39"/>
      <c r="B8" s="102"/>
      <c r="C8" s="138"/>
      <c r="D8" s="41"/>
      <c r="E8" s="123"/>
      <c r="F8" s="107"/>
      <c r="G8" s="112"/>
      <c r="H8" s="120"/>
    </row>
    <row r="9" spans="1:8" ht="27.6" x14ac:dyDescent="0.25">
      <c r="A9" s="75" t="s">
        <v>3</v>
      </c>
      <c r="B9" s="76" t="s">
        <v>241</v>
      </c>
      <c r="C9" s="138">
        <v>8489</v>
      </c>
      <c r="D9" s="125" t="s">
        <v>4</v>
      </c>
      <c r="E9" s="123">
        <v>48.053062799999999</v>
      </c>
      <c r="F9" s="124">
        <f>+C9*E9</f>
        <v>407922.45010919997</v>
      </c>
      <c r="G9" s="112"/>
      <c r="H9" s="120"/>
    </row>
    <row r="10" spans="1:8" x14ac:dyDescent="0.25">
      <c r="A10" s="75"/>
      <c r="B10" s="76"/>
      <c r="C10" s="138"/>
      <c r="D10" s="125"/>
      <c r="E10" s="123"/>
      <c r="F10" s="124"/>
      <c r="G10" s="112"/>
      <c r="H10" s="120"/>
    </row>
    <row r="11" spans="1:8" x14ac:dyDescent="0.25">
      <c r="A11" s="75"/>
      <c r="B11" s="98" t="s">
        <v>242</v>
      </c>
      <c r="C11" s="138"/>
      <c r="D11" s="125"/>
      <c r="E11" s="123"/>
      <c r="F11" s="124"/>
      <c r="G11" s="112"/>
      <c r="H11" s="120"/>
    </row>
    <row r="12" spans="1:8" x14ac:dyDescent="0.25">
      <c r="A12" s="39"/>
      <c r="B12" s="76"/>
      <c r="C12" s="138"/>
      <c r="D12" s="41"/>
      <c r="E12" s="123"/>
      <c r="F12" s="107"/>
      <c r="G12" s="112"/>
      <c r="H12" s="120"/>
    </row>
    <row r="13" spans="1:8" ht="27.6" x14ac:dyDescent="0.25">
      <c r="A13" s="121" t="s">
        <v>2</v>
      </c>
      <c r="B13" s="76" t="s">
        <v>243</v>
      </c>
      <c r="C13" s="136">
        <v>8489</v>
      </c>
      <c r="D13" s="125" t="s">
        <v>4</v>
      </c>
      <c r="E13" s="123">
        <v>42.969906000000002</v>
      </c>
      <c r="F13" s="124">
        <f>+C13*E13</f>
        <v>364771.53203400003</v>
      </c>
      <c r="G13" s="112"/>
      <c r="H13" s="120"/>
    </row>
    <row r="14" spans="1:8" x14ac:dyDescent="0.25">
      <c r="A14" s="121"/>
      <c r="B14" s="76"/>
      <c r="C14" s="136"/>
      <c r="D14" s="125"/>
      <c r="E14" s="123"/>
      <c r="F14" s="124"/>
      <c r="G14" s="112"/>
      <c r="H14" s="120"/>
    </row>
    <row r="15" spans="1:8" x14ac:dyDescent="0.25">
      <c r="A15" s="121"/>
      <c r="B15" s="143" t="s">
        <v>244</v>
      </c>
      <c r="C15" s="136"/>
      <c r="D15" s="125"/>
      <c r="E15" s="123"/>
      <c r="F15" s="124"/>
      <c r="G15" s="112"/>
      <c r="H15" s="120"/>
    </row>
    <row r="16" spans="1:8" x14ac:dyDescent="0.25">
      <c r="A16" s="121"/>
      <c r="B16" s="76"/>
      <c r="C16" s="136"/>
      <c r="D16" s="122"/>
      <c r="E16" s="123"/>
      <c r="F16" s="124"/>
      <c r="G16" s="112"/>
      <c r="H16" s="120"/>
    </row>
    <row r="17" spans="1:8" ht="27.6" x14ac:dyDescent="0.25">
      <c r="A17" s="75"/>
      <c r="B17" s="98" t="s">
        <v>240</v>
      </c>
      <c r="C17" s="128"/>
      <c r="D17" s="125"/>
      <c r="E17" s="123"/>
      <c r="F17" s="124"/>
      <c r="G17" s="112"/>
      <c r="H17" s="120"/>
    </row>
    <row r="18" spans="1:8" x14ac:dyDescent="0.25">
      <c r="A18" s="39"/>
      <c r="B18" s="102"/>
      <c r="C18" s="138"/>
      <c r="D18" s="41"/>
      <c r="E18" s="123"/>
      <c r="F18" s="107"/>
      <c r="G18" s="112"/>
      <c r="H18" s="120"/>
    </row>
    <row r="19" spans="1:8" ht="27.6" x14ac:dyDescent="0.25">
      <c r="A19" s="121" t="s">
        <v>5</v>
      </c>
      <c r="B19" s="76" t="s">
        <v>241</v>
      </c>
      <c r="C19" s="136">
        <v>6423</v>
      </c>
      <c r="D19" s="125" t="s">
        <v>4</v>
      </c>
      <c r="E19" s="123">
        <v>48.053062799999999</v>
      </c>
      <c r="F19" s="124">
        <f>+C19*E19</f>
        <v>308644.82236440002</v>
      </c>
      <c r="G19" s="112"/>
      <c r="H19" s="120"/>
    </row>
    <row r="20" spans="1:8" x14ac:dyDescent="0.25">
      <c r="A20" s="121"/>
      <c r="B20" s="76"/>
      <c r="C20" s="138"/>
      <c r="D20" s="41"/>
      <c r="E20" s="123"/>
      <c r="F20" s="107"/>
      <c r="G20" s="112"/>
      <c r="H20" s="120"/>
    </row>
    <row r="21" spans="1:8" x14ac:dyDescent="0.25">
      <c r="A21" s="121"/>
      <c r="B21" s="98" t="s">
        <v>242</v>
      </c>
      <c r="C21" s="138"/>
      <c r="D21" s="125"/>
      <c r="E21" s="123"/>
      <c r="F21" s="124"/>
      <c r="G21" s="112"/>
      <c r="H21" s="120"/>
    </row>
    <row r="22" spans="1:8" x14ac:dyDescent="0.25">
      <c r="A22" s="121"/>
      <c r="B22" s="98"/>
      <c r="C22" s="138"/>
      <c r="D22" s="125"/>
      <c r="E22" s="123"/>
      <c r="F22" s="124"/>
      <c r="G22" s="112"/>
      <c r="H22" s="120"/>
    </row>
    <row r="23" spans="1:8" ht="27.6" x14ac:dyDescent="0.25">
      <c r="A23" s="121" t="s">
        <v>7</v>
      </c>
      <c r="B23" s="76" t="s">
        <v>243</v>
      </c>
      <c r="C23" s="138">
        <v>6423</v>
      </c>
      <c r="D23" s="125" t="s">
        <v>4</v>
      </c>
      <c r="E23" s="123">
        <v>42.969906000000002</v>
      </c>
      <c r="F23" s="124">
        <f>+C23*E23</f>
        <v>275995.70623800001</v>
      </c>
      <c r="G23" s="112"/>
      <c r="H23" s="120"/>
    </row>
    <row r="24" spans="1:8" x14ac:dyDescent="0.25">
      <c r="A24" s="121"/>
      <c r="B24" s="76"/>
      <c r="C24" s="138"/>
      <c r="D24" s="125"/>
      <c r="E24" s="123"/>
      <c r="F24" s="124"/>
      <c r="G24" s="112"/>
      <c r="H24" s="120"/>
    </row>
    <row r="25" spans="1:8" ht="27.6" x14ac:dyDescent="0.25">
      <c r="A25" s="39"/>
      <c r="B25" s="143" t="s">
        <v>245</v>
      </c>
      <c r="C25" s="138"/>
      <c r="D25" s="41"/>
      <c r="E25" s="123"/>
      <c r="F25" s="107"/>
      <c r="G25" s="112"/>
      <c r="H25" s="120"/>
    </row>
    <row r="26" spans="1:8" x14ac:dyDescent="0.25">
      <c r="A26" s="43"/>
      <c r="B26" s="76"/>
      <c r="C26" s="140"/>
      <c r="D26" s="125"/>
      <c r="E26" s="123"/>
      <c r="F26" s="124"/>
      <c r="G26" s="112"/>
      <c r="H26" s="120"/>
    </row>
    <row r="27" spans="1:8" ht="27.6" x14ac:dyDescent="0.25">
      <c r="A27" s="39"/>
      <c r="B27" s="98" t="s">
        <v>240</v>
      </c>
      <c r="C27" s="138"/>
      <c r="D27" s="41"/>
      <c r="E27" s="123"/>
      <c r="F27" s="107"/>
      <c r="G27" s="112"/>
      <c r="H27" s="120"/>
    </row>
    <row r="28" spans="1:8" x14ac:dyDescent="0.25">
      <c r="A28" s="43"/>
      <c r="B28" s="102"/>
      <c r="C28" s="140"/>
      <c r="D28" s="125"/>
      <c r="E28" s="123"/>
      <c r="F28" s="124"/>
      <c r="G28" s="112"/>
      <c r="H28" s="120"/>
    </row>
    <row r="29" spans="1:8" ht="27.6" x14ac:dyDescent="0.25">
      <c r="A29" s="121" t="s">
        <v>8</v>
      </c>
      <c r="B29" s="76" t="s">
        <v>241</v>
      </c>
      <c r="C29" s="135">
        <v>2105</v>
      </c>
      <c r="D29" s="125" t="s">
        <v>4</v>
      </c>
      <c r="E29" s="123">
        <v>48.053062799999999</v>
      </c>
      <c r="F29" s="124">
        <f>+C29*E29</f>
        <v>101151.69719399999</v>
      </c>
      <c r="G29" s="112"/>
      <c r="H29" s="120"/>
    </row>
    <row r="30" spans="1:8" x14ac:dyDescent="0.25">
      <c r="A30" s="43"/>
      <c r="B30" s="76"/>
      <c r="C30" s="137"/>
      <c r="D30" s="41"/>
      <c r="E30" s="123"/>
      <c r="F30" s="107"/>
      <c r="G30" s="112"/>
      <c r="H30" s="120"/>
    </row>
    <row r="31" spans="1:8" x14ac:dyDescent="0.25">
      <c r="A31" s="43"/>
      <c r="B31" s="98" t="s">
        <v>242</v>
      </c>
      <c r="C31" s="137"/>
      <c r="D31" s="125"/>
      <c r="E31" s="123"/>
      <c r="F31" s="124"/>
      <c r="G31" s="112"/>
      <c r="H31" s="120"/>
    </row>
    <row r="32" spans="1:8" x14ac:dyDescent="0.25">
      <c r="A32" s="43"/>
      <c r="B32" s="98"/>
      <c r="C32" s="137"/>
      <c r="D32" s="125"/>
      <c r="E32" s="123"/>
      <c r="F32" s="124"/>
      <c r="G32" s="112"/>
      <c r="H32" s="120"/>
    </row>
    <row r="33" spans="1:8" ht="27.6" x14ac:dyDescent="0.25">
      <c r="A33" s="121" t="s">
        <v>9</v>
      </c>
      <c r="B33" s="76" t="s">
        <v>243</v>
      </c>
      <c r="C33" s="138">
        <v>2105</v>
      </c>
      <c r="D33" s="125" t="s">
        <v>4</v>
      </c>
      <c r="E33" s="123">
        <v>42.969906000000002</v>
      </c>
      <c r="F33" s="124">
        <f>+C33*E33</f>
        <v>90451.652130000002</v>
      </c>
      <c r="G33" s="112"/>
      <c r="H33" s="120"/>
    </row>
    <row r="34" spans="1:8" x14ac:dyDescent="0.25">
      <c r="A34" s="39"/>
      <c r="B34" s="76"/>
      <c r="C34" s="138"/>
      <c r="D34" s="139"/>
      <c r="E34" s="123"/>
      <c r="F34" s="124"/>
      <c r="G34" s="112"/>
      <c r="H34" s="120"/>
    </row>
    <row r="35" spans="1:8" x14ac:dyDescent="0.25">
      <c r="A35" s="39"/>
      <c r="B35" s="143" t="s">
        <v>247</v>
      </c>
      <c r="C35" s="40"/>
      <c r="D35" s="41"/>
      <c r="E35" s="116"/>
      <c r="F35" s="107"/>
      <c r="G35" s="112"/>
      <c r="H35" s="120"/>
    </row>
    <row r="36" spans="1:8" x14ac:dyDescent="0.25">
      <c r="A36" s="43"/>
      <c r="B36" s="76"/>
      <c r="C36" s="44"/>
      <c r="D36" s="45"/>
      <c r="E36" s="116"/>
      <c r="F36" s="107"/>
      <c r="G36" s="112"/>
      <c r="H36" s="120"/>
    </row>
    <row r="37" spans="1:8" ht="26.4" x14ac:dyDescent="0.25">
      <c r="A37" s="121" t="s">
        <v>10</v>
      </c>
      <c r="B37" s="146" t="s">
        <v>246</v>
      </c>
      <c r="C37" s="40"/>
      <c r="D37" s="41" t="s">
        <v>47</v>
      </c>
      <c r="E37" s="116"/>
      <c r="F37" s="147">
        <f>-169237.86-0.11</f>
        <v>-169237.96999999997</v>
      </c>
      <c r="G37" s="112"/>
      <c r="H37" s="120"/>
    </row>
    <row r="38" spans="1:8" x14ac:dyDescent="0.25">
      <c r="A38" s="43"/>
      <c r="B38" s="76"/>
      <c r="C38" s="44"/>
      <c r="D38" s="45"/>
      <c r="E38" s="116"/>
      <c r="F38" s="107"/>
      <c r="G38" s="112"/>
      <c r="H38" s="120"/>
    </row>
    <row r="39" spans="1:8" x14ac:dyDescent="0.25">
      <c r="A39" s="39"/>
      <c r="B39" s="76"/>
      <c r="C39" s="40"/>
      <c r="D39" s="41"/>
      <c r="E39" s="116"/>
      <c r="F39" s="107"/>
      <c r="G39" s="112"/>
      <c r="H39" s="120"/>
    </row>
    <row r="40" spans="1:8" x14ac:dyDescent="0.25">
      <c r="A40" s="39"/>
      <c r="B40" s="102"/>
      <c r="C40" s="40"/>
      <c r="D40" s="41"/>
      <c r="E40" s="116"/>
      <c r="F40" s="107"/>
      <c r="G40" s="112"/>
      <c r="H40" s="120"/>
    </row>
    <row r="41" spans="1:8" x14ac:dyDescent="0.25">
      <c r="A41" s="39"/>
      <c r="B41" s="42"/>
      <c r="C41" s="40"/>
      <c r="D41" s="41"/>
      <c r="E41" s="116"/>
      <c r="F41" s="107"/>
      <c r="G41" s="112"/>
      <c r="H41" s="120"/>
    </row>
    <row r="42" spans="1:8" x14ac:dyDescent="0.25">
      <c r="A42" s="80"/>
      <c r="B42" s="81"/>
      <c r="C42" s="82"/>
      <c r="D42" s="83"/>
      <c r="E42" s="117"/>
      <c r="F42" s="108"/>
      <c r="G42" s="112"/>
      <c r="H42" s="120"/>
    </row>
    <row r="43" spans="1:8" x14ac:dyDescent="0.25">
      <c r="A43" s="84"/>
      <c r="B43" s="85"/>
      <c r="C43" s="86" t="s">
        <v>28</v>
      </c>
      <c r="D43" s="86"/>
      <c r="E43" s="118" t="s">
        <v>21</v>
      </c>
      <c r="F43" s="109">
        <f>SUM(F7:F41)</f>
        <v>1379699.8900696002</v>
      </c>
      <c r="G43" s="112"/>
      <c r="H43" s="120"/>
    </row>
    <row r="44" spans="1:8" x14ac:dyDescent="0.25">
      <c r="A44" s="84"/>
      <c r="B44" s="85"/>
      <c r="C44" s="87"/>
      <c r="D44" s="88"/>
      <c r="E44" s="119"/>
      <c r="F44" s="110"/>
      <c r="G44" s="112"/>
      <c r="H44" s="120"/>
    </row>
  </sheetData>
  <mergeCells count="4">
    <mergeCell ref="A1:A2"/>
    <mergeCell ref="B1:B2"/>
    <mergeCell ref="C1:C2"/>
    <mergeCell ref="D1:D2"/>
  </mergeCells>
  <printOptions horizontalCentered="1"/>
  <pageMargins left="0.6692913385826772" right="0.19685039370078741" top="0.82677165354330717" bottom="0.47244094488188981" header="0.19685039370078741" footer="0.23622047244094491"/>
  <pageSetup paperSize="9" scale="92" fitToHeight="0" orientation="portrait" useFirstPageNumber="1" r:id="rId1"/>
  <headerFooter>
    <oddHeader>&amp;R&amp;11
&amp;UBILL NO. 13 - FINISHES ASSOCIATED WITH STRENGTHENING WORKS</oddHeader>
    <oddFooter>&amp;L&amp;8DMS 148704 BOQ - Nakheel Mall Al Khail&amp;C13/3/&amp;P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1B3B5-86A8-4888-8487-BBC6E89E3102}">
  <sheetPr>
    <tabColor rgb="FF00B0F0"/>
    <pageSetUpPr fitToPage="1"/>
  </sheetPr>
  <dimension ref="A1:S369"/>
  <sheetViews>
    <sheetView view="pageBreakPreview" zoomScale="70" zoomScaleNormal="100" zoomScaleSheetLayoutView="70" workbookViewId="0">
      <pane xSplit="4" ySplit="7" topLeftCell="E336" activePane="bottomRight" state="frozen"/>
      <selection activeCell="J19" sqref="J19"/>
      <selection pane="topRight" activeCell="J19" sqref="J19"/>
      <selection pane="bottomLeft" activeCell="J19" sqref="J19"/>
      <selection pane="bottomRight" activeCell="B19" sqref="B19"/>
    </sheetView>
  </sheetViews>
  <sheetFormatPr defaultColWidth="8.88671875" defaultRowHeight="14.4" x14ac:dyDescent="0.3"/>
  <cols>
    <col min="1" max="1" width="8.88671875" style="151"/>
    <col min="2" max="2" width="55.6640625" style="150" customWidth="1"/>
    <col min="3" max="3" width="8.88671875" style="151"/>
    <col min="4" max="7" width="16.44140625" style="150" customWidth="1"/>
    <col min="8" max="10" width="20.6640625" style="152" customWidth="1"/>
    <col min="11" max="11" width="8.88671875" style="150" customWidth="1"/>
    <col min="12" max="12" width="8.88671875" style="154"/>
    <col min="13" max="13" width="8.88671875" style="155"/>
    <col min="14" max="16" width="8.88671875" style="150"/>
    <col min="17" max="17" width="8.88671875" style="155"/>
    <col min="18" max="18" width="9.109375" style="155" bestFit="1" customWidth="1"/>
    <col min="19" max="19" width="11.33203125" style="150" customWidth="1"/>
    <col min="20" max="16384" width="8.88671875" style="150"/>
  </cols>
  <sheetData>
    <row r="1" spans="1:18" ht="23.4" x14ac:dyDescent="0.3">
      <c r="A1" s="149" t="s">
        <v>258</v>
      </c>
      <c r="I1" s="153"/>
    </row>
    <row r="2" spans="1:18" x14ac:dyDescent="0.3">
      <c r="A2" s="156" t="s">
        <v>259</v>
      </c>
    </row>
    <row r="3" spans="1:18" x14ac:dyDescent="0.3">
      <c r="A3" s="157" t="s">
        <v>260</v>
      </c>
      <c r="B3" s="158"/>
      <c r="C3" s="159"/>
    </row>
    <row r="4" spans="1:18" x14ac:dyDescent="0.3">
      <c r="A4" s="160" t="s">
        <v>261</v>
      </c>
      <c r="B4" s="161"/>
      <c r="C4" s="159"/>
    </row>
    <row r="5" spans="1:18" ht="15" thickBot="1" x14ac:dyDescent="0.35">
      <c r="A5" s="159" t="s">
        <v>260</v>
      </c>
      <c r="B5" s="158"/>
      <c r="C5" s="159"/>
    </row>
    <row r="6" spans="1:18" s="166" customFormat="1" ht="15" thickTop="1" x14ac:dyDescent="0.3">
      <c r="A6" s="294" t="s">
        <v>6</v>
      </c>
      <c r="B6" s="296" t="s">
        <v>0</v>
      </c>
      <c r="C6" s="298" t="s">
        <v>19</v>
      </c>
      <c r="D6" s="300" t="s">
        <v>262</v>
      </c>
      <c r="E6" s="162" t="s">
        <v>1</v>
      </c>
      <c r="F6" s="162" t="s">
        <v>1</v>
      </c>
      <c r="G6" s="163" t="s">
        <v>263</v>
      </c>
      <c r="H6" s="164" t="s">
        <v>20</v>
      </c>
      <c r="I6" s="165"/>
      <c r="J6" s="165"/>
      <c r="L6" s="167"/>
      <c r="M6" s="168"/>
      <c r="Q6" s="168"/>
      <c r="R6" s="168"/>
    </row>
    <row r="7" spans="1:18" s="166" customFormat="1" ht="27.6" x14ac:dyDescent="0.3">
      <c r="A7" s="295"/>
      <c r="B7" s="297"/>
      <c r="C7" s="299"/>
      <c r="D7" s="301"/>
      <c r="E7" s="169" t="s">
        <v>264</v>
      </c>
      <c r="F7" s="169" t="s">
        <v>265</v>
      </c>
      <c r="G7" s="170" t="s">
        <v>266</v>
      </c>
      <c r="H7" s="171" t="s">
        <v>21</v>
      </c>
      <c r="I7" s="165"/>
      <c r="J7" s="165"/>
      <c r="L7" s="172"/>
      <c r="M7" s="168"/>
      <c r="O7" s="173"/>
      <c r="Q7" s="168"/>
      <c r="R7" s="168"/>
    </row>
    <row r="8" spans="1:18" s="152" customFormat="1" x14ac:dyDescent="0.25">
      <c r="A8" s="174"/>
      <c r="B8" s="175"/>
      <c r="C8" s="176"/>
      <c r="D8" s="177"/>
      <c r="E8" s="178"/>
      <c r="F8" s="179"/>
      <c r="G8" s="179"/>
      <c r="H8" s="180"/>
      <c r="I8" s="179"/>
      <c r="J8" s="179"/>
      <c r="L8" s="181"/>
      <c r="M8" s="182"/>
      <c r="Q8" s="182"/>
      <c r="R8" s="182"/>
    </row>
    <row r="9" spans="1:18" s="152" customFormat="1" ht="19.2" customHeight="1" x14ac:dyDescent="0.25">
      <c r="A9" s="174" t="s">
        <v>260</v>
      </c>
      <c r="B9" s="175" t="s">
        <v>267</v>
      </c>
      <c r="C9" s="176"/>
      <c r="D9" s="177"/>
      <c r="E9" s="178"/>
      <c r="F9" s="179"/>
      <c r="G9" s="179"/>
      <c r="H9" s="180"/>
      <c r="I9" s="179"/>
      <c r="J9" s="179"/>
      <c r="L9" s="181"/>
      <c r="M9" s="182"/>
      <c r="Q9" s="182"/>
      <c r="R9" s="182"/>
    </row>
    <row r="10" spans="1:18" x14ac:dyDescent="0.3">
      <c r="A10" s="183"/>
      <c r="B10" s="184"/>
      <c r="C10" s="176"/>
      <c r="D10" s="185"/>
      <c r="E10" s="186"/>
      <c r="F10" s="187"/>
      <c r="G10" s="187"/>
      <c r="H10" s="180"/>
      <c r="I10" s="179"/>
      <c r="J10" s="179"/>
    </row>
    <row r="11" spans="1:18" x14ac:dyDescent="0.3">
      <c r="A11" s="174" t="s">
        <v>260</v>
      </c>
      <c r="B11" s="184" t="s">
        <v>31</v>
      </c>
      <c r="C11" s="176"/>
      <c r="D11" s="185"/>
      <c r="E11" s="186"/>
      <c r="F11" s="187"/>
      <c r="G11" s="187"/>
      <c r="H11" s="180"/>
      <c r="I11" s="179"/>
      <c r="J11" s="179"/>
    </row>
    <row r="12" spans="1:18" ht="10.95" customHeight="1" x14ac:dyDescent="0.3">
      <c r="A12" s="174"/>
      <c r="B12" s="184"/>
      <c r="C12" s="176"/>
      <c r="D12" s="185"/>
      <c r="E12" s="186"/>
      <c r="F12" s="187"/>
      <c r="G12" s="187"/>
      <c r="H12" s="180"/>
      <c r="I12" s="179"/>
      <c r="J12" s="179"/>
    </row>
    <row r="13" spans="1:18" x14ac:dyDescent="0.3">
      <c r="A13" s="174" t="s">
        <v>260</v>
      </c>
      <c r="B13" s="184" t="s">
        <v>268</v>
      </c>
      <c r="C13" s="176"/>
      <c r="D13" s="185"/>
      <c r="E13" s="186"/>
      <c r="F13" s="187"/>
      <c r="G13" s="187"/>
      <c r="H13" s="180"/>
      <c r="I13" s="179"/>
      <c r="J13" s="179"/>
    </row>
    <row r="14" spans="1:18" x14ac:dyDescent="0.3">
      <c r="A14" s="174"/>
      <c r="B14" s="184"/>
      <c r="C14" s="176"/>
      <c r="D14" s="185"/>
      <c r="E14" s="186"/>
      <c r="F14" s="187"/>
      <c r="G14" s="187"/>
      <c r="H14" s="180"/>
      <c r="I14" s="179"/>
      <c r="J14" s="179"/>
    </row>
    <row r="15" spans="1:18" x14ac:dyDescent="0.3">
      <c r="A15" s="183"/>
      <c r="B15" s="188" t="s">
        <v>269</v>
      </c>
      <c r="C15" s="176"/>
      <c r="D15" s="185"/>
      <c r="E15" s="186"/>
      <c r="F15" s="187"/>
      <c r="G15" s="187"/>
      <c r="H15" s="180"/>
      <c r="I15" s="179"/>
      <c r="J15" s="179"/>
    </row>
    <row r="16" spans="1:18" x14ac:dyDescent="0.3">
      <c r="A16" s="183"/>
      <c r="B16" s="188"/>
      <c r="C16" s="176"/>
      <c r="D16" s="185"/>
      <c r="E16" s="186"/>
      <c r="F16" s="187"/>
      <c r="G16" s="187"/>
      <c r="H16" s="180"/>
      <c r="I16" s="179"/>
      <c r="J16" s="179"/>
    </row>
    <row r="17" spans="1:19" x14ac:dyDescent="0.3">
      <c r="A17" s="174" t="s">
        <v>260</v>
      </c>
      <c r="B17" s="189" t="s">
        <v>29</v>
      </c>
      <c r="C17" s="176"/>
      <c r="D17" s="185"/>
      <c r="E17" s="186"/>
      <c r="F17" s="187"/>
      <c r="G17" s="187"/>
      <c r="H17" s="180"/>
      <c r="I17" s="179"/>
      <c r="J17" s="179"/>
    </row>
    <row r="18" spans="1:19" ht="27.6" x14ac:dyDescent="0.3">
      <c r="A18" s="174" t="s">
        <v>260</v>
      </c>
      <c r="B18" s="189" t="s">
        <v>30</v>
      </c>
      <c r="C18" s="176"/>
      <c r="D18" s="185"/>
      <c r="E18" s="186"/>
      <c r="F18" s="187"/>
      <c r="G18" s="187"/>
      <c r="H18" s="180"/>
      <c r="I18" s="179"/>
      <c r="J18" s="179"/>
    </row>
    <row r="19" spans="1:19" ht="55.2" x14ac:dyDescent="0.3">
      <c r="A19" s="174" t="s">
        <v>260</v>
      </c>
      <c r="B19" s="189" t="s">
        <v>270</v>
      </c>
      <c r="C19" s="176"/>
      <c r="D19" s="185"/>
      <c r="E19" s="186"/>
      <c r="F19" s="187"/>
      <c r="G19" s="187"/>
      <c r="H19" s="180"/>
      <c r="I19" s="179"/>
      <c r="J19" s="179"/>
    </row>
    <row r="20" spans="1:19" s="152" customFormat="1" ht="19.95" customHeight="1" x14ac:dyDescent="0.25">
      <c r="A20" s="174"/>
      <c r="B20" s="190" t="s">
        <v>271</v>
      </c>
      <c r="C20" s="176"/>
      <c r="D20" s="177"/>
      <c r="E20" s="178"/>
      <c r="F20" s="179"/>
      <c r="G20" s="179"/>
      <c r="H20" s="180"/>
      <c r="I20" s="179"/>
      <c r="J20" s="179"/>
      <c r="L20" s="181"/>
      <c r="M20" s="182"/>
      <c r="Q20" s="182"/>
      <c r="R20" s="182"/>
    </row>
    <row r="21" spans="1:19" s="152" customFormat="1" x14ac:dyDescent="0.25">
      <c r="A21" s="174"/>
      <c r="B21" s="190"/>
      <c r="C21" s="176"/>
      <c r="D21" s="177"/>
      <c r="E21" s="178"/>
      <c r="F21" s="179"/>
      <c r="G21" s="179"/>
      <c r="H21" s="180"/>
      <c r="I21" s="179"/>
      <c r="J21" s="179"/>
      <c r="L21" s="181"/>
      <c r="M21" s="182"/>
      <c r="Q21" s="182"/>
      <c r="R21" s="182"/>
    </row>
    <row r="22" spans="1:19" x14ac:dyDescent="0.3">
      <c r="A22" s="174"/>
      <c r="B22" s="189" t="s">
        <v>272</v>
      </c>
      <c r="C22" s="191"/>
      <c r="D22" s="185"/>
      <c r="E22" s="186"/>
      <c r="F22" s="187"/>
      <c r="G22" s="187"/>
      <c r="H22" s="180"/>
      <c r="I22" s="179"/>
      <c r="J22" s="179"/>
    </row>
    <row r="23" spans="1:19" x14ac:dyDescent="0.3">
      <c r="A23" s="174"/>
      <c r="B23" s="189" t="s">
        <v>273</v>
      </c>
      <c r="C23" s="191"/>
      <c r="D23" s="185"/>
      <c r="E23" s="186"/>
      <c r="F23" s="187"/>
      <c r="G23" s="187"/>
      <c r="H23" s="180"/>
      <c r="I23" s="179"/>
      <c r="J23" s="179"/>
    </row>
    <row r="24" spans="1:19" x14ac:dyDescent="0.3">
      <c r="A24" s="174"/>
      <c r="B24" s="189"/>
      <c r="C24" s="191"/>
      <c r="D24" s="185"/>
      <c r="E24" s="186"/>
      <c r="F24" s="187"/>
      <c r="G24" s="187"/>
      <c r="H24" s="180"/>
      <c r="I24" s="179"/>
      <c r="J24" s="179"/>
    </row>
    <row r="25" spans="1:19" ht="27.6" x14ac:dyDescent="0.3">
      <c r="A25" s="192" t="s">
        <v>3</v>
      </c>
      <c r="B25" s="184" t="s">
        <v>274</v>
      </c>
      <c r="C25" s="191"/>
      <c r="D25" s="185"/>
      <c r="E25" s="186"/>
      <c r="F25" s="187"/>
      <c r="G25" s="187"/>
      <c r="H25" s="180"/>
      <c r="I25" s="179"/>
      <c r="J25" s="179"/>
    </row>
    <row r="26" spans="1:19" x14ac:dyDescent="0.3">
      <c r="A26" s="174" t="s">
        <v>275</v>
      </c>
      <c r="B26" s="193" t="s">
        <v>276</v>
      </c>
      <c r="C26" s="191" t="s">
        <v>45</v>
      </c>
      <c r="D26" s="194">
        <v>390.15599999999995</v>
      </c>
      <c r="E26" s="195">
        <v>45</v>
      </c>
      <c r="F26" s="196">
        <v>0.45</v>
      </c>
      <c r="G26" s="197">
        <v>14</v>
      </c>
      <c r="H26" s="198">
        <f>+D26*E26+D26*F26*G26</f>
        <v>20015.002799999995</v>
      </c>
      <c r="I26" s="199"/>
      <c r="J26" s="199"/>
      <c r="S26" s="200"/>
    </row>
    <row r="27" spans="1:19" x14ac:dyDescent="0.3">
      <c r="A27" s="174" t="s">
        <v>277</v>
      </c>
      <c r="B27" s="201" t="s">
        <v>278</v>
      </c>
      <c r="C27" s="191" t="s">
        <v>45</v>
      </c>
      <c r="D27" s="194">
        <v>97.538999999999987</v>
      </c>
      <c r="E27" s="195">
        <v>45</v>
      </c>
      <c r="F27" s="196">
        <v>0.45</v>
      </c>
      <c r="G27" s="197">
        <v>14</v>
      </c>
      <c r="H27" s="198">
        <f t="shared" ref="H27:H47" si="0">+D27*E27+D27*F27*G27</f>
        <v>5003.7506999999987</v>
      </c>
      <c r="I27" s="199"/>
      <c r="J27" s="199"/>
      <c r="S27" s="200"/>
    </row>
    <row r="28" spans="1:19" x14ac:dyDescent="0.3">
      <c r="A28" s="174" t="s">
        <v>279</v>
      </c>
      <c r="B28" s="201" t="s">
        <v>280</v>
      </c>
      <c r="C28" s="191" t="s">
        <v>45</v>
      </c>
      <c r="D28" s="194">
        <v>942.08400000000006</v>
      </c>
      <c r="E28" s="195">
        <v>45</v>
      </c>
      <c r="F28" s="196">
        <v>0.45</v>
      </c>
      <c r="G28" s="197">
        <v>14</v>
      </c>
      <c r="H28" s="198">
        <f t="shared" si="0"/>
        <v>48328.909200000009</v>
      </c>
      <c r="I28" s="199"/>
      <c r="J28" s="199"/>
      <c r="S28" s="200"/>
    </row>
    <row r="29" spans="1:19" x14ac:dyDescent="0.3">
      <c r="A29" s="174" t="s">
        <v>281</v>
      </c>
      <c r="B29" s="201" t="s">
        <v>282</v>
      </c>
      <c r="C29" s="191" t="s">
        <v>45</v>
      </c>
      <c r="D29" s="194">
        <v>1765.2180000000003</v>
      </c>
      <c r="E29" s="195">
        <v>45</v>
      </c>
      <c r="F29" s="196">
        <v>0.45</v>
      </c>
      <c r="G29" s="197">
        <v>14</v>
      </c>
      <c r="H29" s="198">
        <f t="shared" si="0"/>
        <v>90555.683400000009</v>
      </c>
      <c r="I29" s="199"/>
      <c r="J29" s="199"/>
      <c r="S29" s="200"/>
    </row>
    <row r="30" spans="1:19" x14ac:dyDescent="0.3">
      <c r="A30" s="174" t="s">
        <v>283</v>
      </c>
      <c r="B30" s="201" t="s">
        <v>284</v>
      </c>
      <c r="C30" s="191" t="s">
        <v>45</v>
      </c>
      <c r="D30" s="194">
        <v>34.098999999999997</v>
      </c>
      <c r="E30" s="195">
        <v>45</v>
      </c>
      <c r="F30" s="196">
        <v>0.45</v>
      </c>
      <c r="G30" s="197">
        <v>14</v>
      </c>
      <c r="H30" s="198">
        <f t="shared" si="0"/>
        <v>1749.2786999999998</v>
      </c>
      <c r="I30" s="199"/>
      <c r="J30" s="199"/>
      <c r="S30" s="200"/>
    </row>
    <row r="31" spans="1:19" x14ac:dyDescent="0.3">
      <c r="A31" s="174" t="s">
        <v>285</v>
      </c>
      <c r="B31" s="193" t="s">
        <v>286</v>
      </c>
      <c r="C31" s="191" t="s">
        <v>45</v>
      </c>
      <c r="D31" s="194">
        <v>422.66899999999998</v>
      </c>
      <c r="E31" s="195">
        <v>45</v>
      </c>
      <c r="F31" s="196">
        <v>0.45</v>
      </c>
      <c r="G31" s="197">
        <v>14</v>
      </c>
      <c r="H31" s="198">
        <f t="shared" si="0"/>
        <v>21682.919699999999</v>
      </c>
      <c r="I31" s="199"/>
      <c r="J31" s="199"/>
      <c r="S31" s="200"/>
    </row>
    <row r="32" spans="1:19" x14ac:dyDescent="0.3">
      <c r="A32" s="174" t="s">
        <v>287</v>
      </c>
      <c r="B32" s="201" t="s">
        <v>288</v>
      </c>
      <c r="C32" s="191" t="s">
        <v>45</v>
      </c>
      <c r="D32" s="194">
        <v>32.512999999999998</v>
      </c>
      <c r="E32" s="195">
        <v>45</v>
      </c>
      <c r="F32" s="196">
        <v>0.45</v>
      </c>
      <c r="G32" s="197">
        <v>14</v>
      </c>
      <c r="H32" s="198">
        <f t="shared" si="0"/>
        <v>1667.9168999999997</v>
      </c>
      <c r="I32" s="199"/>
      <c r="J32" s="199"/>
      <c r="S32" s="200"/>
    </row>
    <row r="33" spans="1:19" x14ac:dyDescent="0.3">
      <c r="A33" s="174" t="s">
        <v>289</v>
      </c>
      <c r="B33" s="193" t="s">
        <v>290</v>
      </c>
      <c r="C33" s="191" t="s">
        <v>45</v>
      </c>
      <c r="D33" s="194">
        <v>199.83600000000001</v>
      </c>
      <c r="E33" s="195">
        <v>45</v>
      </c>
      <c r="F33" s="196">
        <v>0.45</v>
      </c>
      <c r="G33" s="197">
        <v>14</v>
      </c>
      <c r="H33" s="198">
        <f t="shared" si="0"/>
        <v>10251.586800000001</v>
      </c>
      <c r="I33" s="199"/>
      <c r="J33" s="199"/>
      <c r="S33" s="200"/>
    </row>
    <row r="34" spans="1:19" x14ac:dyDescent="0.3">
      <c r="A34" s="174"/>
      <c r="B34" s="201"/>
      <c r="C34" s="191"/>
      <c r="D34" s="194"/>
      <c r="E34" s="195"/>
      <c r="F34" s="197"/>
      <c r="G34" s="197"/>
      <c r="H34" s="198">
        <f t="shared" si="0"/>
        <v>0</v>
      </c>
      <c r="I34" s="199"/>
      <c r="J34" s="199"/>
    </row>
    <row r="35" spans="1:19" ht="27.6" x14ac:dyDescent="0.3">
      <c r="A35" s="192" t="s">
        <v>2</v>
      </c>
      <c r="B35" s="184" t="s">
        <v>291</v>
      </c>
      <c r="C35" s="191"/>
      <c r="D35" s="194"/>
      <c r="E35" s="195"/>
      <c r="F35" s="197"/>
      <c r="G35" s="197"/>
      <c r="H35" s="198">
        <f t="shared" si="0"/>
        <v>0</v>
      </c>
      <c r="I35" s="199"/>
      <c r="J35" s="199"/>
    </row>
    <row r="36" spans="1:19" x14ac:dyDescent="0.3">
      <c r="A36" s="174" t="s">
        <v>292</v>
      </c>
      <c r="B36" s="185" t="s">
        <v>293</v>
      </c>
      <c r="C36" s="191" t="s">
        <v>45</v>
      </c>
      <c r="D36" s="194">
        <v>38.460499999999996</v>
      </c>
      <c r="E36" s="195">
        <v>45</v>
      </c>
      <c r="F36" s="196">
        <v>0.45</v>
      </c>
      <c r="G36" s="197">
        <v>14</v>
      </c>
      <c r="H36" s="198">
        <f t="shared" si="0"/>
        <v>1973.0236499999999</v>
      </c>
      <c r="I36" s="199"/>
      <c r="J36" s="199"/>
      <c r="S36" s="200"/>
    </row>
    <row r="37" spans="1:19" x14ac:dyDescent="0.3">
      <c r="A37" s="174" t="s">
        <v>294</v>
      </c>
      <c r="B37" s="185" t="s">
        <v>295</v>
      </c>
      <c r="C37" s="191" t="s">
        <v>45</v>
      </c>
      <c r="D37" s="194">
        <v>76.920999999999992</v>
      </c>
      <c r="E37" s="195">
        <v>45</v>
      </c>
      <c r="F37" s="196">
        <v>0.45</v>
      </c>
      <c r="G37" s="197">
        <v>14</v>
      </c>
      <c r="H37" s="198">
        <f t="shared" si="0"/>
        <v>3946.0472999999997</v>
      </c>
      <c r="I37" s="199"/>
      <c r="J37" s="199"/>
      <c r="S37" s="200"/>
    </row>
    <row r="38" spans="1:19" x14ac:dyDescent="0.3">
      <c r="A38" s="174" t="s">
        <v>296</v>
      </c>
      <c r="B38" s="185" t="s">
        <v>297</v>
      </c>
      <c r="C38" s="191" t="s">
        <v>45</v>
      </c>
      <c r="D38" s="194">
        <v>81.679000000000002</v>
      </c>
      <c r="E38" s="195">
        <v>45</v>
      </c>
      <c r="F38" s="196">
        <v>0.45</v>
      </c>
      <c r="G38" s="197">
        <v>14</v>
      </c>
      <c r="H38" s="198">
        <f t="shared" si="0"/>
        <v>4190.1327000000001</v>
      </c>
      <c r="I38" s="199"/>
      <c r="J38" s="199"/>
      <c r="S38" s="200"/>
    </row>
    <row r="39" spans="1:19" x14ac:dyDescent="0.3">
      <c r="A39" s="174" t="s">
        <v>298</v>
      </c>
      <c r="B39" s="185" t="s">
        <v>299</v>
      </c>
      <c r="C39" s="191" t="s">
        <v>45</v>
      </c>
      <c r="D39" s="194">
        <v>39.253500000000003</v>
      </c>
      <c r="E39" s="195">
        <v>45</v>
      </c>
      <c r="F39" s="196">
        <v>0.45</v>
      </c>
      <c r="G39" s="197">
        <v>14</v>
      </c>
      <c r="H39" s="198">
        <f t="shared" si="0"/>
        <v>2013.7045499999999</v>
      </c>
      <c r="I39" s="199"/>
      <c r="J39" s="199"/>
      <c r="S39" s="200"/>
    </row>
    <row r="40" spans="1:19" x14ac:dyDescent="0.3">
      <c r="A40" s="174" t="s">
        <v>300</v>
      </c>
      <c r="B40" s="185" t="s">
        <v>301</v>
      </c>
      <c r="C40" s="191" t="s">
        <v>45</v>
      </c>
      <c r="D40" s="194">
        <v>80.093000000000004</v>
      </c>
      <c r="E40" s="195">
        <v>45</v>
      </c>
      <c r="F40" s="196">
        <v>0.45</v>
      </c>
      <c r="G40" s="197">
        <v>14</v>
      </c>
      <c r="H40" s="198">
        <f t="shared" si="0"/>
        <v>4108.7708999999995</v>
      </c>
      <c r="I40" s="199"/>
      <c r="J40" s="199"/>
      <c r="S40" s="200"/>
    </row>
    <row r="41" spans="1:19" x14ac:dyDescent="0.3">
      <c r="A41" s="174" t="s">
        <v>302</v>
      </c>
      <c r="B41" s="185" t="s">
        <v>303</v>
      </c>
      <c r="C41" s="191" t="s">
        <v>45</v>
      </c>
      <c r="D41" s="194">
        <v>78.507000000000005</v>
      </c>
      <c r="E41" s="195">
        <v>45</v>
      </c>
      <c r="F41" s="196">
        <v>0.45</v>
      </c>
      <c r="G41" s="197">
        <v>14</v>
      </c>
      <c r="H41" s="198">
        <f t="shared" si="0"/>
        <v>4027.4090999999999</v>
      </c>
      <c r="I41" s="199"/>
      <c r="J41" s="199"/>
      <c r="S41" s="200"/>
    </row>
    <row r="42" spans="1:19" x14ac:dyDescent="0.3">
      <c r="A42" s="174" t="s">
        <v>304</v>
      </c>
      <c r="B42" s="185" t="s">
        <v>305</v>
      </c>
      <c r="C42" s="191" t="s">
        <v>45</v>
      </c>
      <c r="D42" s="194">
        <v>40.046500000000002</v>
      </c>
      <c r="E42" s="195">
        <v>45</v>
      </c>
      <c r="F42" s="196">
        <v>0.45</v>
      </c>
      <c r="G42" s="197">
        <v>14</v>
      </c>
      <c r="H42" s="198">
        <f t="shared" si="0"/>
        <v>2054.3854499999998</v>
      </c>
      <c r="I42" s="199"/>
      <c r="J42" s="199"/>
      <c r="S42" s="200"/>
    </row>
    <row r="43" spans="1:19" x14ac:dyDescent="0.3">
      <c r="A43" s="174"/>
      <c r="B43" s="185"/>
      <c r="C43" s="191"/>
      <c r="D43" s="194"/>
      <c r="E43" s="195"/>
      <c r="F43" s="197"/>
      <c r="G43" s="197"/>
      <c r="H43" s="198">
        <f t="shared" si="0"/>
        <v>0</v>
      </c>
      <c r="I43" s="199"/>
      <c r="J43" s="199"/>
    </row>
    <row r="44" spans="1:19" ht="27.6" x14ac:dyDescent="0.3">
      <c r="A44" s="192" t="s">
        <v>5</v>
      </c>
      <c r="B44" s="184" t="s">
        <v>306</v>
      </c>
      <c r="C44" s="191"/>
      <c r="D44" s="194"/>
      <c r="E44" s="195"/>
      <c r="F44" s="197"/>
      <c r="G44" s="197"/>
      <c r="H44" s="198">
        <f t="shared" si="0"/>
        <v>0</v>
      </c>
      <c r="I44" s="199"/>
      <c r="J44" s="199"/>
    </row>
    <row r="45" spans="1:19" x14ac:dyDescent="0.3">
      <c r="A45" s="174" t="s">
        <v>307</v>
      </c>
      <c r="B45" s="185" t="s">
        <v>293</v>
      </c>
      <c r="C45" s="191" t="s">
        <v>45</v>
      </c>
      <c r="D45" s="194">
        <v>34.495499999999993</v>
      </c>
      <c r="E45" s="195">
        <v>45</v>
      </c>
      <c r="F45" s="196">
        <v>0.45</v>
      </c>
      <c r="G45" s="197">
        <v>14</v>
      </c>
      <c r="H45" s="198">
        <f t="shared" si="0"/>
        <v>1769.6191499999995</v>
      </c>
      <c r="I45" s="199"/>
      <c r="J45" s="199"/>
      <c r="S45" s="200"/>
    </row>
    <row r="46" spans="1:19" x14ac:dyDescent="0.3">
      <c r="A46" s="174" t="s">
        <v>308</v>
      </c>
      <c r="B46" s="185" t="s">
        <v>295</v>
      </c>
      <c r="C46" s="191" t="s">
        <v>45</v>
      </c>
      <c r="D46" s="194">
        <v>68.990999999999985</v>
      </c>
      <c r="E46" s="195">
        <v>45</v>
      </c>
      <c r="F46" s="196">
        <v>0.45</v>
      </c>
      <c r="G46" s="197">
        <v>14</v>
      </c>
      <c r="H46" s="198">
        <f t="shared" si="0"/>
        <v>3539.2382999999991</v>
      </c>
      <c r="I46" s="199"/>
      <c r="J46" s="199"/>
      <c r="S46" s="200"/>
    </row>
    <row r="47" spans="1:19" ht="15" thickBot="1" x14ac:dyDescent="0.35">
      <c r="A47" s="174" t="s">
        <v>309</v>
      </c>
      <c r="B47" s="185" t="s">
        <v>297</v>
      </c>
      <c r="C47" s="191" t="s">
        <v>45</v>
      </c>
      <c r="D47" s="194">
        <v>73.749000000000009</v>
      </c>
      <c r="E47" s="195">
        <v>45</v>
      </c>
      <c r="F47" s="196">
        <v>0.45</v>
      </c>
      <c r="G47" s="197">
        <v>14</v>
      </c>
      <c r="H47" s="198">
        <f t="shared" si="0"/>
        <v>3783.3237000000004</v>
      </c>
      <c r="I47" s="199"/>
      <c r="J47" s="199"/>
      <c r="S47" s="200"/>
    </row>
    <row r="48" spans="1:19" ht="8.4" customHeight="1" thickTop="1" x14ac:dyDescent="0.3">
      <c r="A48" s="202"/>
      <c r="B48" s="203"/>
      <c r="C48" s="204"/>
      <c r="D48" s="205"/>
      <c r="E48" s="205"/>
      <c r="F48" s="205"/>
      <c r="G48" s="205"/>
      <c r="H48" s="206"/>
      <c r="I48" s="199"/>
      <c r="J48" s="199"/>
    </row>
    <row r="49" spans="1:19" x14ac:dyDescent="0.3">
      <c r="A49" s="207"/>
      <c r="B49" s="208"/>
      <c r="C49" s="209"/>
      <c r="D49" s="197" t="s">
        <v>22</v>
      </c>
      <c r="E49" s="197" t="s">
        <v>21</v>
      </c>
      <c r="F49" s="197"/>
      <c r="G49" s="197"/>
      <c r="H49" s="198">
        <f>SUM(H10:H47)</f>
        <v>230660.70300000001</v>
      </c>
      <c r="I49" s="199"/>
      <c r="J49" s="199"/>
    </row>
    <row r="50" spans="1:19" ht="10.199999999999999" customHeight="1" thickBot="1" x14ac:dyDescent="0.35">
      <c r="A50" s="210"/>
      <c r="B50" s="211"/>
      <c r="C50" s="212"/>
      <c r="D50" s="213"/>
      <c r="E50" s="213"/>
      <c r="F50" s="213"/>
      <c r="G50" s="213"/>
      <c r="H50" s="214"/>
      <c r="I50" s="199"/>
      <c r="J50" s="199"/>
    </row>
    <row r="51" spans="1:19" ht="15" thickTop="1" x14ac:dyDescent="0.3">
      <c r="A51" s="174"/>
      <c r="B51" s="185"/>
      <c r="C51" s="191"/>
      <c r="D51" s="194"/>
      <c r="E51" s="195"/>
      <c r="F51" s="197"/>
      <c r="G51" s="197"/>
      <c r="H51" s="198"/>
      <c r="I51" s="199"/>
      <c r="J51" s="199"/>
    </row>
    <row r="52" spans="1:19" ht="27.6" x14ac:dyDescent="0.3">
      <c r="A52" s="192" t="s">
        <v>3</v>
      </c>
      <c r="B52" s="184" t="s">
        <v>310</v>
      </c>
      <c r="C52" s="191"/>
      <c r="D52" s="194"/>
      <c r="E52" s="195"/>
      <c r="F52" s="197"/>
      <c r="G52" s="197"/>
      <c r="H52" s="198"/>
      <c r="I52" s="199"/>
      <c r="J52" s="199"/>
    </row>
    <row r="53" spans="1:19" x14ac:dyDescent="0.3">
      <c r="A53" s="174" t="s">
        <v>275</v>
      </c>
      <c r="B53" s="185" t="s">
        <v>311</v>
      </c>
      <c r="C53" s="191" t="s">
        <v>45</v>
      </c>
      <c r="D53" s="194">
        <v>26.565499999999997</v>
      </c>
      <c r="E53" s="195">
        <v>45</v>
      </c>
      <c r="F53" s="196">
        <v>0.45</v>
      </c>
      <c r="G53" s="197">
        <v>14</v>
      </c>
      <c r="H53" s="198">
        <f t="shared" ref="H53:H65" si="1">+D53*E53+D53*F53*G53</f>
        <v>1362.8101499999998</v>
      </c>
      <c r="I53" s="199"/>
      <c r="J53" s="199"/>
      <c r="S53" s="200"/>
    </row>
    <row r="54" spans="1:19" x14ac:dyDescent="0.3">
      <c r="A54" s="174"/>
      <c r="B54" s="185"/>
      <c r="C54" s="191"/>
      <c r="D54" s="194"/>
      <c r="E54" s="195"/>
      <c r="F54" s="197"/>
      <c r="G54" s="197"/>
      <c r="H54" s="198">
        <f t="shared" si="1"/>
        <v>0</v>
      </c>
      <c r="I54" s="199"/>
      <c r="J54" s="199"/>
    </row>
    <row r="55" spans="1:19" ht="27.6" x14ac:dyDescent="0.3">
      <c r="A55" s="192" t="s">
        <v>2</v>
      </c>
      <c r="B55" s="184" t="s">
        <v>312</v>
      </c>
      <c r="C55" s="191"/>
      <c r="D55" s="194"/>
      <c r="E55" s="195"/>
      <c r="F55" s="197"/>
      <c r="G55" s="197"/>
      <c r="H55" s="198">
        <f t="shared" si="1"/>
        <v>0</v>
      </c>
      <c r="I55" s="199"/>
      <c r="J55" s="199"/>
    </row>
    <row r="56" spans="1:19" x14ac:dyDescent="0.3">
      <c r="A56" s="174" t="s">
        <v>292</v>
      </c>
      <c r="B56" s="185" t="s">
        <v>311</v>
      </c>
      <c r="C56" s="191" t="s">
        <v>45</v>
      </c>
      <c r="D56" s="194">
        <v>22.203999999999997</v>
      </c>
      <c r="E56" s="195">
        <v>45</v>
      </c>
      <c r="F56" s="196">
        <v>0.45</v>
      </c>
      <c r="G56" s="197">
        <v>14</v>
      </c>
      <c r="H56" s="198">
        <f t="shared" si="1"/>
        <v>1139.0651999999998</v>
      </c>
      <c r="I56" s="199"/>
      <c r="J56" s="199"/>
      <c r="S56" s="200"/>
    </row>
    <row r="57" spans="1:19" x14ac:dyDescent="0.3">
      <c r="A57" s="174"/>
      <c r="B57" s="185"/>
      <c r="C57" s="191"/>
      <c r="D57" s="194"/>
      <c r="E57" s="195"/>
      <c r="F57" s="197"/>
      <c r="G57" s="197"/>
      <c r="H57" s="198">
        <f t="shared" si="1"/>
        <v>0</v>
      </c>
      <c r="I57" s="199"/>
      <c r="J57" s="199"/>
    </row>
    <row r="58" spans="1:19" ht="27.6" x14ac:dyDescent="0.3">
      <c r="A58" s="192" t="s">
        <v>5</v>
      </c>
      <c r="B58" s="184" t="s">
        <v>313</v>
      </c>
      <c r="C58" s="191"/>
      <c r="D58" s="194"/>
      <c r="E58" s="195"/>
      <c r="F58" s="197"/>
      <c r="G58" s="197"/>
      <c r="H58" s="198">
        <f t="shared" si="1"/>
        <v>0</v>
      </c>
      <c r="I58" s="199"/>
      <c r="J58" s="199"/>
    </row>
    <row r="59" spans="1:19" x14ac:dyDescent="0.3">
      <c r="A59" s="174" t="s">
        <v>307</v>
      </c>
      <c r="B59" s="189" t="s">
        <v>314</v>
      </c>
      <c r="C59" s="191" t="s">
        <v>45</v>
      </c>
      <c r="D59" s="194">
        <v>75.074999999999989</v>
      </c>
      <c r="E59" s="195">
        <v>45</v>
      </c>
      <c r="F59" s="196">
        <v>0.45</v>
      </c>
      <c r="G59" s="197">
        <v>14</v>
      </c>
      <c r="H59" s="198">
        <f t="shared" si="1"/>
        <v>3851.3474999999994</v>
      </c>
      <c r="I59" s="199"/>
      <c r="J59" s="199"/>
      <c r="S59" s="200"/>
    </row>
    <row r="60" spans="1:19" x14ac:dyDescent="0.3">
      <c r="A60" s="174"/>
      <c r="B60" s="189"/>
      <c r="C60" s="191"/>
      <c r="D60" s="194"/>
      <c r="E60" s="195"/>
      <c r="F60" s="197"/>
      <c r="G60" s="197"/>
      <c r="H60" s="198">
        <f t="shared" si="1"/>
        <v>0</v>
      </c>
      <c r="I60" s="199"/>
      <c r="J60" s="199"/>
    </row>
    <row r="61" spans="1:19" x14ac:dyDescent="0.3">
      <c r="A61" s="192" t="s">
        <v>7</v>
      </c>
      <c r="B61" s="184" t="s">
        <v>315</v>
      </c>
      <c r="C61" s="191"/>
      <c r="D61" s="194"/>
      <c r="E61" s="195"/>
      <c r="F61" s="197"/>
      <c r="G61" s="197"/>
      <c r="H61" s="198">
        <f t="shared" si="1"/>
        <v>0</v>
      </c>
      <c r="I61" s="199"/>
      <c r="J61" s="199"/>
    </row>
    <row r="62" spans="1:19" x14ac:dyDescent="0.3">
      <c r="A62" s="174" t="s">
        <v>316</v>
      </c>
      <c r="B62" s="215" t="s">
        <v>317</v>
      </c>
      <c r="C62" s="191" t="s">
        <v>45</v>
      </c>
      <c r="D62" s="194">
        <v>416.32499999999999</v>
      </c>
      <c r="E62" s="195">
        <v>45</v>
      </c>
      <c r="F62" s="196">
        <v>0.45</v>
      </c>
      <c r="G62" s="197">
        <v>14</v>
      </c>
      <c r="H62" s="198">
        <f t="shared" si="1"/>
        <v>21357.4725</v>
      </c>
      <c r="I62" s="199"/>
      <c r="J62" s="199"/>
    </row>
    <row r="63" spans="1:19" x14ac:dyDescent="0.3">
      <c r="A63" s="174" t="s">
        <v>318</v>
      </c>
      <c r="B63" s="185" t="s">
        <v>319</v>
      </c>
      <c r="C63" s="191" t="s">
        <v>45</v>
      </c>
      <c r="D63" s="194">
        <v>233.935</v>
      </c>
      <c r="E63" s="195">
        <v>45</v>
      </c>
      <c r="F63" s="196">
        <v>0.45</v>
      </c>
      <c r="G63" s="197">
        <v>14</v>
      </c>
      <c r="H63" s="198">
        <f t="shared" si="1"/>
        <v>12000.8655</v>
      </c>
      <c r="I63" s="199"/>
      <c r="J63" s="199"/>
    </row>
    <row r="64" spans="1:19" x14ac:dyDescent="0.3">
      <c r="A64" s="174" t="s">
        <v>320</v>
      </c>
      <c r="B64" s="185" t="s">
        <v>321</v>
      </c>
      <c r="C64" s="191" t="s">
        <v>45</v>
      </c>
      <c r="D64" s="194">
        <v>31.72</v>
      </c>
      <c r="E64" s="195">
        <v>45</v>
      </c>
      <c r="F64" s="196">
        <v>0.45</v>
      </c>
      <c r="G64" s="197">
        <v>14</v>
      </c>
      <c r="H64" s="198">
        <f t="shared" si="1"/>
        <v>1627.2359999999999</v>
      </c>
      <c r="I64" s="199"/>
      <c r="J64" s="199"/>
    </row>
    <row r="65" spans="1:19" x14ac:dyDescent="0.3">
      <c r="A65" s="174" t="s">
        <v>322</v>
      </c>
      <c r="B65" s="185" t="s">
        <v>323</v>
      </c>
      <c r="C65" s="191" t="s">
        <v>45</v>
      </c>
      <c r="D65" s="194">
        <v>23.79</v>
      </c>
      <c r="E65" s="195">
        <v>45</v>
      </c>
      <c r="F65" s="196">
        <v>0.45</v>
      </c>
      <c r="G65" s="197">
        <v>14</v>
      </c>
      <c r="H65" s="198">
        <f t="shared" si="1"/>
        <v>1220.4269999999999</v>
      </c>
      <c r="I65" s="199"/>
      <c r="J65" s="199"/>
    </row>
    <row r="66" spans="1:19" x14ac:dyDescent="0.3">
      <c r="A66" s="174"/>
      <c r="B66" s="185"/>
      <c r="C66" s="191"/>
      <c r="D66" s="194"/>
      <c r="E66" s="195"/>
      <c r="F66" s="197"/>
      <c r="G66" s="197"/>
      <c r="H66" s="198"/>
      <c r="I66" s="199"/>
      <c r="J66" s="199"/>
    </row>
    <row r="67" spans="1:19" s="222" customFormat="1" x14ac:dyDescent="0.3">
      <c r="A67" s="192"/>
      <c r="B67" s="188"/>
      <c r="C67" s="216"/>
      <c r="D67" s="217"/>
      <c r="E67" s="218"/>
      <c r="F67" s="219"/>
      <c r="G67" s="219"/>
      <c r="H67" s="220"/>
      <c r="I67" s="221"/>
      <c r="J67" s="221"/>
      <c r="L67" s="223"/>
      <c r="M67" s="155"/>
      <c r="Q67" s="224"/>
      <c r="R67" s="224"/>
    </row>
    <row r="68" spans="1:19" x14ac:dyDescent="0.3">
      <c r="A68" s="174"/>
      <c r="B68" s="189"/>
      <c r="C68" s="191"/>
      <c r="D68" s="225"/>
      <c r="E68" s="195"/>
      <c r="F68" s="197"/>
      <c r="G68" s="197"/>
      <c r="H68" s="198"/>
      <c r="I68" s="199"/>
      <c r="J68" s="199"/>
    </row>
    <row r="69" spans="1:19" ht="6.6" customHeight="1" thickBot="1" x14ac:dyDescent="0.35">
      <c r="A69" s="226"/>
      <c r="B69" s="227"/>
      <c r="C69" s="228"/>
      <c r="D69" s="229"/>
      <c r="E69" s="230"/>
      <c r="F69" s="213"/>
      <c r="G69" s="213"/>
      <c r="H69" s="214"/>
      <c r="I69" s="199"/>
      <c r="J69" s="199"/>
    </row>
    <row r="70" spans="1:19" ht="8.4" customHeight="1" thickTop="1" x14ac:dyDescent="0.3">
      <c r="A70" s="202"/>
      <c r="B70" s="203"/>
      <c r="C70" s="204"/>
      <c r="D70" s="205"/>
      <c r="E70" s="205"/>
      <c r="F70" s="205"/>
      <c r="G70" s="205"/>
      <c r="H70" s="206"/>
      <c r="I70" s="199"/>
      <c r="J70" s="199"/>
    </row>
    <row r="71" spans="1:19" x14ac:dyDescent="0.3">
      <c r="A71" s="207"/>
      <c r="B71" s="208"/>
      <c r="C71" s="209"/>
      <c r="D71" s="197" t="s">
        <v>22</v>
      </c>
      <c r="E71" s="197" t="s">
        <v>21</v>
      </c>
      <c r="F71" s="197"/>
      <c r="G71" s="197"/>
      <c r="H71" s="198">
        <f>SUM(H52:H69)</f>
        <v>42559.223849999995</v>
      </c>
      <c r="I71" s="199"/>
      <c r="J71" s="199"/>
    </row>
    <row r="72" spans="1:19" ht="10.199999999999999" customHeight="1" thickBot="1" x14ac:dyDescent="0.35">
      <c r="A72" s="210"/>
      <c r="B72" s="211"/>
      <c r="C72" s="212"/>
      <c r="D72" s="213"/>
      <c r="E72" s="213"/>
      <c r="F72" s="213"/>
      <c r="G72" s="213"/>
      <c r="H72" s="214"/>
      <c r="I72" s="199"/>
      <c r="J72" s="199"/>
    </row>
    <row r="73" spans="1:19" ht="15" thickTop="1" x14ac:dyDescent="0.3">
      <c r="A73" s="231"/>
      <c r="B73" s="232"/>
      <c r="C73" s="233"/>
      <c r="D73" s="234"/>
      <c r="E73" s="235"/>
      <c r="F73" s="205"/>
      <c r="G73" s="205"/>
      <c r="H73" s="206"/>
      <c r="I73" s="199"/>
      <c r="J73" s="199"/>
    </row>
    <row r="74" spans="1:19" x14ac:dyDescent="0.3">
      <c r="A74" s="174"/>
      <c r="B74" s="184" t="s">
        <v>324</v>
      </c>
      <c r="C74" s="191"/>
      <c r="D74" s="194"/>
      <c r="E74" s="195"/>
      <c r="F74" s="197"/>
      <c r="G74" s="197"/>
      <c r="H74" s="198"/>
      <c r="I74" s="199"/>
      <c r="J74" s="199"/>
    </row>
    <row r="75" spans="1:19" x14ac:dyDescent="0.3">
      <c r="A75" s="174"/>
      <c r="B75" s="184"/>
      <c r="C75" s="191"/>
      <c r="D75" s="194"/>
      <c r="E75" s="195"/>
      <c r="F75" s="197"/>
      <c r="G75" s="197"/>
      <c r="H75" s="198"/>
      <c r="I75" s="199"/>
      <c r="J75" s="199"/>
    </row>
    <row r="76" spans="1:19" x14ac:dyDescent="0.3">
      <c r="A76" s="174"/>
      <c r="B76" s="184" t="s">
        <v>325</v>
      </c>
      <c r="C76" s="191"/>
      <c r="D76" s="194"/>
      <c r="E76" s="195"/>
      <c r="F76" s="197"/>
      <c r="G76" s="197"/>
      <c r="H76" s="198"/>
      <c r="I76" s="199"/>
      <c r="J76" s="199"/>
    </row>
    <row r="77" spans="1:19" x14ac:dyDescent="0.3">
      <c r="A77" s="174"/>
      <c r="B77" s="184"/>
      <c r="C77" s="191"/>
      <c r="D77" s="194"/>
      <c r="E77" s="195"/>
      <c r="F77" s="197"/>
      <c r="G77" s="197"/>
      <c r="H77" s="198"/>
      <c r="I77" s="199"/>
      <c r="J77" s="199"/>
    </row>
    <row r="78" spans="1:19" ht="27.6" x14ac:dyDescent="0.3">
      <c r="A78" s="192" t="s">
        <v>3</v>
      </c>
      <c r="B78" s="184" t="s">
        <v>326</v>
      </c>
      <c r="C78" s="191"/>
      <c r="D78" s="194"/>
      <c r="E78" s="195"/>
      <c r="F78" s="197"/>
      <c r="G78" s="197"/>
      <c r="H78" s="198"/>
      <c r="I78" s="199"/>
      <c r="J78" s="199"/>
    </row>
    <row r="79" spans="1:19" x14ac:dyDescent="0.3">
      <c r="A79" s="174" t="s">
        <v>275</v>
      </c>
      <c r="B79" s="185" t="s">
        <v>327</v>
      </c>
      <c r="C79" s="191" t="s">
        <v>45</v>
      </c>
      <c r="D79" s="194">
        <v>69.290000000000006</v>
      </c>
      <c r="E79" s="195">
        <v>45</v>
      </c>
      <c r="F79" s="196">
        <v>0.45</v>
      </c>
      <c r="G79" s="197">
        <v>14</v>
      </c>
      <c r="H79" s="198">
        <f t="shared" ref="H79:H93" si="2">+D79*E79+D79*F79*G79</f>
        <v>3554.5770000000002</v>
      </c>
      <c r="I79" s="199"/>
      <c r="J79" s="199"/>
      <c r="S79" s="200"/>
    </row>
    <row r="80" spans="1:19" x14ac:dyDescent="0.3">
      <c r="A80" s="174" t="s">
        <v>279</v>
      </c>
      <c r="B80" s="185" t="s">
        <v>328</v>
      </c>
      <c r="C80" s="191" t="s">
        <v>45</v>
      </c>
      <c r="D80" s="194">
        <v>37.180000000000007</v>
      </c>
      <c r="E80" s="195">
        <v>45</v>
      </c>
      <c r="F80" s="196">
        <v>0.45</v>
      </c>
      <c r="G80" s="197">
        <v>14</v>
      </c>
      <c r="H80" s="198">
        <f t="shared" si="2"/>
        <v>1907.3340000000005</v>
      </c>
      <c r="I80" s="199"/>
      <c r="J80" s="199"/>
      <c r="S80" s="200"/>
    </row>
    <row r="81" spans="1:19" x14ac:dyDescent="0.3">
      <c r="A81" s="174" t="s">
        <v>281</v>
      </c>
      <c r="B81" s="185" t="s">
        <v>299</v>
      </c>
      <c r="C81" s="191" t="s">
        <v>45</v>
      </c>
      <c r="D81" s="194">
        <v>35.490000000000009</v>
      </c>
      <c r="E81" s="195">
        <v>45</v>
      </c>
      <c r="F81" s="196">
        <v>0.45</v>
      </c>
      <c r="G81" s="197">
        <v>14</v>
      </c>
      <c r="H81" s="198">
        <f t="shared" si="2"/>
        <v>1820.6370000000004</v>
      </c>
      <c r="I81" s="199"/>
      <c r="J81" s="199"/>
      <c r="S81" s="200"/>
    </row>
    <row r="82" spans="1:19" x14ac:dyDescent="0.3">
      <c r="A82" s="174" t="s">
        <v>287</v>
      </c>
      <c r="B82" s="185" t="s">
        <v>288</v>
      </c>
      <c r="C82" s="191" t="s">
        <v>45</v>
      </c>
      <c r="D82" s="194">
        <v>34.645000000000003</v>
      </c>
      <c r="E82" s="195">
        <v>45</v>
      </c>
      <c r="F82" s="196">
        <v>0.45</v>
      </c>
      <c r="G82" s="197">
        <v>14</v>
      </c>
      <c r="H82" s="198">
        <f t="shared" si="2"/>
        <v>1777.2885000000001</v>
      </c>
      <c r="I82" s="199"/>
      <c r="J82" s="199"/>
      <c r="S82" s="200"/>
    </row>
    <row r="83" spans="1:19" x14ac:dyDescent="0.3">
      <c r="A83" s="174" t="s">
        <v>289</v>
      </c>
      <c r="B83" s="185" t="s">
        <v>303</v>
      </c>
      <c r="C83" s="191" t="s">
        <v>45</v>
      </c>
      <c r="D83" s="194">
        <v>70.980000000000018</v>
      </c>
      <c r="E83" s="195">
        <v>45</v>
      </c>
      <c r="F83" s="196">
        <v>0.45</v>
      </c>
      <c r="G83" s="197">
        <v>14</v>
      </c>
      <c r="H83" s="198">
        <f t="shared" si="2"/>
        <v>3641.2740000000008</v>
      </c>
      <c r="I83" s="199"/>
      <c r="J83" s="199"/>
      <c r="S83" s="200"/>
    </row>
    <row r="84" spans="1:19" x14ac:dyDescent="0.3">
      <c r="A84" s="174"/>
      <c r="B84" s="185"/>
      <c r="C84" s="191"/>
      <c r="D84" s="194"/>
      <c r="E84" s="195"/>
      <c r="F84" s="197"/>
      <c r="G84" s="197"/>
      <c r="H84" s="198">
        <f t="shared" si="2"/>
        <v>0</v>
      </c>
      <c r="I84" s="199"/>
      <c r="J84" s="199"/>
    </row>
    <row r="85" spans="1:19" ht="27.6" x14ac:dyDescent="0.3">
      <c r="A85" s="192" t="s">
        <v>2</v>
      </c>
      <c r="B85" s="184" t="s">
        <v>329</v>
      </c>
      <c r="C85" s="191"/>
      <c r="D85" s="194"/>
      <c r="E85" s="195"/>
      <c r="F85" s="197"/>
      <c r="G85" s="197"/>
      <c r="H85" s="198">
        <f t="shared" si="2"/>
        <v>0</v>
      </c>
      <c r="I85" s="199"/>
      <c r="J85" s="199"/>
    </row>
    <row r="86" spans="1:19" x14ac:dyDescent="0.3">
      <c r="A86" s="174" t="s">
        <v>292</v>
      </c>
      <c r="B86" s="185" t="s">
        <v>293</v>
      </c>
      <c r="C86" s="191" t="s">
        <v>45</v>
      </c>
      <c r="D86" s="194">
        <v>40.982500000000002</v>
      </c>
      <c r="E86" s="195">
        <v>45</v>
      </c>
      <c r="F86" s="196">
        <v>0.45</v>
      </c>
      <c r="G86" s="197">
        <v>14</v>
      </c>
      <c r="H86" s="198">
        <f t="shared" si="2"/>
        <v>2102.4022500000001</v>
      </c>
      <c r="I86" s="199"/>
      <c r="J86" s="199"/>
      <c r="S86" s="200"/>
    </row>
    <row r="87" spans="1:19" x14ac:dyDescent="0.3">
      <c r="A87" s="174"/>
      <c r="B87" s="185"/>
      <c r="C87" s="191"/>
      <c r="D87" s="194"/>
      <c r="E87" s="195"/>
      <c r="F87" s="197"/>
      <c r="G87" s="197"/>
      <c r="H87" s="198">
        <f t="shared" si="2"/>
        <v>0</v>
      </c>
      <c r="I87" s="199"/>
      <c r="J87" s="199"/>
    </row>
    <row r="88" spans="1:19" ht="27.6" x14ac:dyDescent="0.3">
      <c r="A88" s="192" t="s">
        <v>5</v>
      </c>
      <c r="B88" s="184" t="s">
        <v>330</v>
      </c>
      <c r="C88" s="191"/>
      <c r="D88" s="194"/>
      <c r="E88" s="195"/>
      <c r="F88" s="197"/>
      <c r="G88" s="197"/>
      <c r="H88" s="198">
        <f t="shared" si="2"/>
        <v>0</v>
      </c>
      <c r="I88" s="199"/>
      <c r="J88" s="199"/>
    </row>
    <row r="89" spans="1:19" x14ac:dyDescent="0.3">
      <c r="A89" s="174" t="s">
        <v>307</v>
      </c>
      <c r="B89" s="189" t="s">
        <v>314</v>
      </c>
      <c r="C89" s="191" t="s">
        <v>45</v>
      </c>
      <c r="D89" s="194">
        <v>89.270999999999987</v>
      </c>
      <c r="E89" s="195">
        <v>45</v>
      </c>
      <c r="F89" s="196">
        <v>0.45</v>
      </c>
      <c r="G89" s="197">
        <v>14</v>
      </c>
      <c r="H89" s="198">
        <f t="shared" si="2"/>
        <v>4579.6022999999996</v>
      </c>
      <c r="I89" s="199"/>
      <c r="J89" s="199"/>
      <c r="S89" s="200"/>
    </row>
    <row r="90" spans="1:19" x14ac:dyDescent="0.3">
      <c r="A90" s="174"/>
      <c r="B90" s="189"/>
      <c r="C90" s="191"/>
      <c r="D90" s="194"/>
      <c r="E90" s="195"/>
      <c r="F90" s="197"/>
      <c r="G90" s="197"/>
      <c r="H90" s="198">
        <f t="shared" si="2"/>
        <v>0</v>
      </c>
      <c r="I90" s="199"/>
      <c r="J90" s="199"/>
    </row>
    <row r="91" spans="1:19" x14ac:dyDescent="0.3">
      <c r="A91" s="192" t="s">
        <v>7</v>
      </c>
      <c r="B91" s="184" t="s">
        <v>331</v>
      </c>
      <c r="C91" s="191"/>
      <c r="D91" s="194">
        <v>0</v>
      </c>
      <c r="E91" s="195"/>
      <c r="F91" s="197"/>
      <c r="G91" s="197"/>
      <c r="H91" s="198">
        <f t="shared" si="2"/>
        <v>0</v>
      </c>
      <c r="I91" s="199"/>
      <c r="J91" s="199"/>
    </row>
    <row r="92" spans="1:19" x14ac:dyDescent="0.3">
      <c r="A92" s="174" t="s">
        <v>316</v>
      </c>
      <c r="B92" s="215" t="s">
        <v>317</v>
      </c>
      <c r="C92" s="191" t="s">
        <v>45</v>
      </c>
      <c r="D92" s="194">
        <v>443.625</v>
      </c>
      <c r="E92" s="195">
        <v>45</v>
      </c>
      <c r="F92" s="196">
        <v>0.45</v>
      </c>
      <c r="G92" s="197">
        <v>14</v>
      </c>
      <c r="H92" s="198">
        <f t="shared" si="2"/>
        <v>22757.962500000001</v>
      </c>
      <c r="I92" s="199"/>
      <c r="J92" s="199"/>
      <c r="K92" s="236"/>
    </row>
    <row r="93" spans="1:19" x14ac:dyDescent="0.3">
      <c r="A93" s="174" t="s">
        <v>318</v>
      </c>
      <c r="B93" s="185" t="s">
        <v>332</v>
      </c>
      <c r="C93" s="191" t="s">
        <v>45</v>
      </c>
      <c r="D93" s="194">
        <v>261.95000000000005</v>
      </c>
      <c r="E93" s="195">
        <v>45</v>
      </c>
      <c r="F93" s="196">
        <v>0.45</v>
      </c>
      <c r="G93" s="197">
        <v>14</v>
      </c>
      <c r="H93" s="198">
        <f t="shared" si="2"/>
        <v>13438.035000000002</v>
      </c>
      <c r="I93" s="199"/>
      <c r="J93" s="199"/>
      <c r="K93" s="236"/>
    </row>
    <row r="94" spans="1:19" x14ac:dyDescent="0.3">
      <c r="A94" s="174"/>
      <c r="B94" s="185"/>
      <c r="C94" s="191"/>
      <c r="D94" s="194"/>
      <c r="E94" s="195"/>
      <c r="F94" s="197"/>
      <c r="G94" s="197"/>
      <c r="H94" s="198"/>
      <c r="I94" s="199"/>
      <c r="J94" s="199"/>
    </row>
    <row r="95" spans="1:19" s="222" customFormat="1" x14ac:dyDescent="0.3">
      <c r="A95" s="192"/>
      <c r="B95" s="188"/>
      <c r="C95" s="216"/>
      <c r="D95" s="217"/>
      <c r="E95" s="218"/>
      <c r="F95" s="219"/>
      <c r="G95" s="219"/>
      <c r="H95" s="198"/>
      <c r="I95" s="199"/>
      <c r="J95" s="199"/>
      <c r="L95" s="223"/>
      <c r="M95" s="224"/>
      <c r="Q95" s="224"/>
      <c r="R95" s="224"/>
    </row>
    <row r="96" spans="1:19" x14ac:dyDescent="0.3">
      <c r="A96" s="174"/>
      <c r="B96" s="189"/>
      <c r="C96" s="191"/>
      <c r="D96" s="237"/>
      <c r="E96" s="195"/>
      <c r="F96" s="197"/>
      <c r="G96" s="197"/>
      <c r="H96" s="198"/>
      <c r="I96" s="199"/>
      <c r="J96" s="199"/>
    </row>
    <row r="97" spans="1:10" x14ac:dyDescent="0.3">
      <c r="A97" s="174"/>
      <c r="B97" s="189"/>
      <c r="C97" s="191"/>
      <c r="D97" s="237"/>
      <c r="E97" s="195"/>
      <c r="F97" s="197"/>
      <c r="G97" s="197"/>
      <c r="H97" s="198"/>
      <c r="I97" s="199"/>
      <c r="J97" s="199"/>
    </row>
    <row r="98" spans="1:10" x14ac:dyDescent="0.3">
      <c r="A98" s="174"/>
      <c r="B98" s="189"/>
      <c r="C98" s="191"/>
      <c r="D98" s="237"/>
      <c r="E98" s="195"/>
      <c r="F98" s="197"/>
      <c r="G98" s="197"/>
      <c r="H98" s="198"/>
      <c r="I98" s="199"/>
      <c r="J98" s="199"/>
    </row>
    <row r="99" spans="1:10" x14ac:dyDescent="0.3">
      <c r="A99" s="174"/>
      <c r="B99" s="189"/>
      <c r="C99" s="191"/>
      <c r="D99" s="237"/>
      <c r="E99" s="195"/>
      <c r="F99" s="197"/>
      <c r="G99" s="197"/>
      <c r="H99" s="198"/>
      <c r="I99" s="199"/>
      <c r="J99" s="199"/>
    </row>
    <row r="100" spans="1:10" x14ac:dyDescent="0.3">
      <c r="A100" s="174"/>
      <c r="B100" s="189"/>
      <c r="C100" s="191"/>
      <c r="D100" s="237"/>
      <c r="E100" s="195"/>
      <c r="F100" s="197"/>
      <c r="G100" s="197"/>
      <c r="H100" s="198"/>
      <c r="I100" s="199"/>
      <c r="J100" s="199"/>
    </row>
    <row r="101" spans="1:10" x14ac:dyDescent="0.3">
      <c r="A101" s="174"/>
      <c r="B101" s="189"/>
      <c r="C101" s="191"/>
      <c r="D101" s="237"/>
      <c r="E101" s="195"/>
      <c r="F101" s="197"/>
      <c r="G101" s="197"/>
      <c r="H101" s="198"/>
      <c r="I101" s="199"/>
      <c r="J101" s="199"/>
    </row>
    <row r="102" spans="1:10" x14ac:dyDescent="0.3">
      <c r="A102" s="174"/>
      <c r="B102" s="189"/>
      <c r="C102" s="191"/>
      <c r="D102" s="237"/>
      <c r="E102" s="195"/>
      <c r="F102" s="197"/>
      <c r="G102" s="197"/>
      <c r="H102" s="198"/>
      <c r="I102" s="199"/>
      <c r="J102" s="199"/>
    </row>
    <row r="103" spans="1:10" x14ac:dyDescent="0.3">
      <c r="A103" s="174"/>
      <c r="B103" s="189"/>
      <c r="C103" s="191"/>
      <c r="D103" s="237"/>
      <c r="E103" s="195"/>
      <c r="F103" s="197"/>
      <c r="G103" s="197"/>
      <c r="H103" s="198"/>
      <c r="I103" s="199"/>
      <c r="J103" s="199"/>
    </row>
    <row r="104" spans="1:10" x14ac:dyDescent="0.3">
      <c r="A104" s="174"/>
      <c r="B104" s="189"/>
      <c r="C104" s="191"/>
      <c r="D104" s="237"/>
      <c r="E104" s="195"/>
      <c r="F104" s="197"/>
      <c r="G104" s="197"/>
      <c r="H104" s="198"/>
      <c r="I104" s="199"/>
      <c r="J104" s="199"/>
    </row>
    <row r="105" spans="1:10" x14ac:dyDescent="0.3">
      <c r="A105" s="174"/>
      <c r="B105" s="189"/>
      <c r="C105" s="191"/>
      <c r="D105" s="237"/>
      <c r="E105" s="195"/>
      <c r="F105" s="197"/>
      <c r="G105" s="197"/>
      <c r="H105" s="198"/>
      <c r="I105" s="199"/>
      <c r="J105" s="199"/>
    </row>
    <row r="106" spans="1:10" x14ac:dyDescent="0.3">
      <c r="A106" s="174"/>
      <c r="B106" s="189"/>
      <c r="C106" s="191"/>
      <c r="D106" s="237"/>
      <c r="E106" s="195"/>
      <c r="F106" s="197"/>
      <c r="G106" s="197"/>
      <c r="H106" s="198"/>
      <c r="I106" s="199"/>
      <c r="J106" s="199"/>
    </row>
    <row r="107" spans="1:10" x14ac:dyDescent="0.3">
      <c r="A107" s="174"/>
      <c r="B107" s="189"/>
      <c r="C107" s="191"/>
      <c r="D107" s="237"/>
      <c r="E107" s="195"/>
      <c r="F107" s="197"/>
      <c r="G107" s="197"/>
      <c r="H107" s="198"/>
      <c r="I107" s="199"/>
      <c r="J107" s="199"/>
    </row>
    <row r="108" spans="1:10" x14ac:dyDescent="0.3">
      <c r="A108" s="174"/>
      <c r="B108" s="189"/>
      <c r="C108" s="191"/>
      <c r="D108" s="237"/>
      <c r="E108" s="195"/>
      <c r="F108" s="197"/>
      <c r="G108" s="197"/>
      <c r="H108" s="198"/>
      <c r="I108" s="199"/>
      <c r="J108" s="199"/>
    </row>
    <row r="109" spans="1:10" x14ac:dyDescent="0.3">
      <c r="A109" s="174"/>
      <c r="B109" s="189"/>
      <c r="C109" s="191"/>
      <c r="D109" s="237"/>
      <c r="E109" s="195"/>
      <c r="F109" s="197"/>
      <c r="G109" s="197"/>
      <c r="H109" s="198"/>
      <c r="I109" s="199"/>
      <c r="J109" s="199"/>
    </row>
    <row r="110" spans="1:10" x14ac:dyDescent="0.3">
      <c r="A110" s="174"/>
      <c r="B110" s="189"/>
      <c r="C110" s="191"/>
      <c r="D110" s="237"/>
      <c r="E110" s="195"/>
      <c r="F110" s="197"/>
      <c r="G110" s="197"/>
      <c r="H110" s="198"/>
      <c r="I110" s="199"/>
      <c r="J110" s="199"/>
    </row>
    <row r="111" spans="1:10" x14ac:dyDescent="0.3">
      <c r="A111" s="174"/>
      <c r="B111" s="189"/>
      <c r="C111" s="191"/>
      <c r="D111" s="237"/>
      <c r="E111" s="195"/>
      <c r="F111" s="197"/>
      <c r="G111" s="197"/>
      <c r="H111" s="198"/>
      <c r="I111" s="199"/>
      <c r="J111" s="199"/>
    </row>
    <row r="112" spans="1:10" ht="15" thickBot="1" x14ac:dyDescent="0.35">
      <c r="A112" s="174"/>
      <c r="B112" s="189"/>
      <c r="C112" s="191"/>
      <c r="D112" s="194"/>
      <c r="E112" s="195"/>
      <c r="F112" s="197"/>
      <c r="G112" s="197"/>
      <c r="H112" s="214"/>
      <c r="I112" s="199"/>
      <c r="J112" s="199"/>
    </row>
    <row r="113" spans="1:19" ht="15" thickTop="1" x14ac:dyDescent="0.3">
      <c r="A113" s="202"/>
      <c r="B113" s="203"/>
      <c r="C113" s="204"/>
      <c r="D113" s="205"/>
      <c r="E113" s="205"/>
      <c r="F113" s="205"/>
      <c r="G113" s="205"/>
      <c r="H113" s="206"/>
      <c r="I113" s="199"/>
      <c r="J113" s="199"/>
    </row>
    <row r="114" spans="1:19" x14ac:dyDescent="0.3">
      <c r="A114" s="207"/>
      <c r="B114" s="208"/>
      <c r="C114" s="209"/>
      <c r="D114" s="197" t="s">
        <v>22</v>
      </c>
      <c r="E114" s="197" t="s">
        <v>21</v>
      </c>
      <c r="F114" s="197"/>
      <c r="G114" s="197"/>
      <c r="H114" s="198">
        <f>SUM(H73:H112)</f>
        <v>55579.112550000005</v>
      </c>
      <c r="I114" s="199"/>
      <c r="J114" s="199"/>
    </row>
    <row r="115" spans="1:19" ht="15" thickBot="1" x14ac:dyDescent="0.35">
      <c r="A115" s="210"/>
      <c r="B115" s="211"/>
      <c r="C115" s="212"/>
      <c r="D115" s="213"/>
      <c r="E115" s="213"/>
      <c r="F115" s="213"/>
      <c r="G115" s="213"/>
      <c r="H115" s="214"/>
      <c r="I115" s="199"/>
      <c r="J115" s="199"/>
    </row>
    <row r="116" spans="1:19" ht="15" thickTop="1" x14ac:dyDescent="0.3">
      <c r="A116" s="231"/>
      <c r="B116" s="232"/>
      <c r="C116" s="233"/>
      <c r="D116" s="234"/>
      <c r="E116" s="235"/>
      <c r="F116" s="205"/>
      <c r="G116" s="205"/>
      <c r="H116" s="206"/>
      <c r="I116" s="199"/>
      <c r="J116" s="199"/>
    </row>
    <row r="117" spans="1:19" x14ac:dyDescent="0.3">
      <c r="A117" s="174"/>
      <c r="B117" s="184" t="s">
        <v>324</v>
      </c>
      <c r="C117" s="191"/>
      <c r="D117" s="194"/>
      <c r="E117" s="195"/>
      <c r="F117" s="197"/>
      <c r="G117" s="197"/>
      <c r="H117" s="198"/>
      <c r="I117" s="199"/>
      <c r="J117" s="199"/>
    </row>
    <row r="118" spans="1:19" ht="8.4" customHeight="1" x14ac:dyDescent="0.3">
      <c r="A118" s="174"/>
      <c r="B118" s="184"/>
      <c r="C118" s="191"/>
      <c r="D118" s="194"/>
      <c r="E118" s="195"/>
      <c r="F118" s="197"/>
      <c r="G118" s="197"/>
      <c r="H118" s="198"/>
      <c r="I118" s="199"/>
      <c r="J118" s="199"/>
    </row>
    <row r="119" spans="1:19" x14ac:dyDescent="0.3">
      <c r="A119" s="174"/>
      <c r="B119" s="184" t="s">
        <v>333</v>
      </c>
      <c r="C119" s="191"/>
      <c r="D119" s="194"/>
      <c r="E119" s="195"/>
      <c r="F119" s="197"/>
      <c r="G119" s="197"/>
      <c r="H119" s="198"/>
      <c r="I119" s="199"/>
      <c r="J119" s="199"/>
    </row>
    <row r="120" spans="1:19" ht="9" customHeight="1" x14ac:dyDescent="0.3">
      <c r="A120" s="174"/>
      <c r="B120" s="184"/>
      <c r="C120" s="191"/>
      <c r="D120" s="194"/>
      <c r="E120" s="195"/>
      <c r="F120" s="197"/>
      <c r="G120" s="197"/>
      <c r="H120" s="198"/>
      <c r="I120" s="199"/>
      <c r="J120" s="199"/>
    </row>
    <row r="121" spans="1:19" ht="27.6" x14ac:dyDescent="0.3">
      <c r="A121" s="192" t="s">
        <v>3</v>
      </c>
      <c r="B121" s="184" t="s">
        <v>334</v>
      </c>
      <c r="C121" s="191"/>
      <c r="D121" s="194"/>
      <c r="E121" s="195"/>
      <c r="F121" s="197"/>
      <c r="G121" s="197"/>
      <c r="H121" s="198"/>
      <c r="I121" s="199"/>
      <c r="J121" s="199"/>
    </row>
    <row r="122" spans="1:19" x14ac:dyDescent="0.3">
      <c r="A122" s="174" t="s">
        <v>275</v>
      </c>
      <c r="B122" s="189" t="s">
        <v>335</v>
      </c>
      <c r="C122" s="191" t="s">
        <v>45</v>
      </c>
      <c r="D122" s="194">
        <v>118.32599999999999</v>
      </c>
      <c r="E122" s="195">
        <v>45</v>
      </c>
      <c r="F122" s="196">
        <v>0.45</v>
      </c>
      <c r="G122" s="197">
        <v>14</v>
      </c>
      <c r="H122" s="198">
        <f t="shared" ref="H122:H160" si="3">+D122*E122+D122*F122*G122</f>
        <v>6070.1238000000003</v>
      </c>
      <c r="I122" s="199"/>
      <c r="J122" s="199"/>
      <c r="S122" s="200"/>
    </row>
    <row r="123" spans="1:19" x14ac:dyDescent="0.3">
      <c r="A123" s="174" t="s">
        <v>277</v>
      </c>
      <c r="B123" s="185" t="s">
        <v>336</v>
      </c>
      <c r="C123" s="191" t="s">
        <v>45</v>
      </c>
      <c r="D123" s="194">
        <v>39.442</v>
      </c>
      <c r="E123" s="195">
        <v>45</v>
      </c>
      <c r="F123" s="196">
        <v>0.45</v>
      </c>
      <c r="G123" s="197">
        <v>14</v>
      </c>
      <c r="H123" s="198">
        <f t="shared" si="3"/>
        <v>2023.3746000000001</v>
      </c>
      <c r="I123" s="199"/>
      <c r="J123" s="199"/>
      <c r="S123" s="200"/>
    </row>
    <row r="124" spans="1:19" x14ac:dyDescent="0.3">
      <c r="A124" s="174" t="s">
        <v>279</v>
      </c>
      <c r="B124" s="189" t="s">
        <v>337</v>
      </c>
      <c r="C124" s="191" t="s">
        <v>45</v>
      </c>
      <c r="D124" s="194">
        <v>80.808000000000021</v>
      </c>
      <c r="E124" s="195">
        <v>45</v>
      </c>
      <c r="F124" s="196">
        <v>0.45</v>
      </c>
      <c r="G124" s="197">
        <v>14</v>
      </c>
      <c r="H124" s="198">
        <f t="shared" si="3"/>
        <v>4145.4504000000015</v>
      </c>
      <c r="I124" s="199"/>
      <c r="J124" s="199"/>
      <c r="S124" s="200"/>
    </row>
    <row r="125" spans="1:19" x14ac:dyDescent="0.3">
      <c r="A125" s="174" t="s">
        <v>281</v>
      </c>
      <c r="B125" s="189" t="s">
        <v>288</v>
      </c>
      <c r="C125" s="191" t="s">
        <v>45</v>
      </c>
      <c r="D125" s="194">
        <v>39.442</v>
      </c>
      <c r="E125" s="195">
        <v>45</v>
      </c>
      <c r="F125" s="196">
        <v>0.45</v>
      </c>
      <c r="G125" s="197">
        <v>14</v>
      </c>
      <c r="H125" s="198">
        <f t="shared" si="3"/>
        <v>2023.3746000000001</v>
      </c>
      <c r="I125" s="199"/>
      <c r="J125" s="199"/>
      <c r="S125" s="200"/>
    </row>
    <row r="126" spans="1:19" x14ac:dyDescent="0.3">
      <c r="A126" s="174" t="s">
        <v>283</v>
      </c>
      <c r="B126" s="189" t="s">
        <v>338</v>
      </c>
      <c r="C126" s="191" t="s">
        <v>45</v>
      </c>
      <c r="D126" s="194">
        <v>40.404000000000011</v>
      </c>
      <c r="E126" s="195">
        <v>45</v>
      </c>
      <c r="F126" s="196">
        <v>0.45</v>
      </c>
      <c r="G126" s="197">
        <v>14</v>
      </c>
      <c r="H126" s="198">
        <f t="shared" si="3"/>
        <v>2072.7252000000008</v>
      </c>
      <c r="I126" s="199"/>
      <c r="J126" s="199"/>
      <c r="S126" s="200"/>
    </row>
    <row r="127" spans="1:19" ht="8.4" customHeight="1" x14ac:dyDescent="0.3">
      <c r="A127" s="174"/>
      <c r="B127" s="184"/>
      <c r="C127" s="191"/>
      <c r="D127" s="194"/>
      <c r="E127" s="195"/>
      <c r="F127" s="197"/>
      <c r="G127" s="197"/>
      <c r="H127" s="198">
        <f t="shared" si="3"/>
        <v>0</v>
      </c>
      <c r="I127" s="199"/>
      <c r="J127" s="199"/>
    </row>
    <row r="128" spans="1:19" ht="27.6" x14ac:dyDescent="0.3">
      <c r="A128" s="192" t="s">
        <v>2</v>
      </c>
      <c r="B128" s="184" t="s">
        <v>339</v>
      </c>
      <c r="C128" s="191"/>
      <c r="D128" s="194"/>
      <c r="E128" s="195"/>
      <c r="F128" s="197"/>
      <c r="G128" s="197"/>
      <c r="H128" s="198">
        <f t="shared" si="3"/>
        <v>0</v>
      </c>
      <c r="I128" s="199"/>
      <c r="J128" s="199"/>
    </row>
    <row r="129" spans="1:19" x14ac:dyDescent="0.3">
      <c r="A129" s="174" t="s">
        <v>292</v>
      </c>
      <c r="B129" s="189" t="s">
        <v>327</v>
      </c>
      <c r="C129" s="191" t="s">
        <v>45</v>
      </c>
      <c r="D129" s="194">
        <v>93.314000000000007</v>
      </c>
      <c r="E129" s="195">
        <v>45</v>
      </c>
      <c r="F129" s="196">
        <v>0.45</v>
      </c>
      <c r="G129" s="197">
        <v>14</v>
      </c>
      <c r="H129" s="198">
        <f t="shared" si="3"/>
        <v>4787.0082000000002</v>
      </c>
      <c r="I129" s="199"/>
      <c r="J129" s="199"/>
      <c r="S129" s="200"/>
    </row>
    <row r="130" spans="1:19" ht="8.4" customHeight="1" x14ac:dyDescent="0.3">
      <c r="A130" s="174"/>
      <c r="B130" s="184"/>
      <c r="C130" s="191"/>
      <c r="D130" s="194"/>
      <c r="E130" s="195"/>
      <c r="F130" s="197"/>
      <c r="G130" s="197"/>
      <c r="H130" s="198">
        <f t="shared" si="3"/>
        <v>0</v>
      </c>
      <c r="I130" s="199"/>
      <c r="J130" s="199"/>
    </row>
    <row r="131" spans="1:19" ht="27.6" x14ac:dyDescent="0.3">
      <c r="A131" s="192" t="s">
        <v>5</v>
      </c>
      <c r="B131" s="184" t="s">
        <v>340</v>
      </c>
      <c r="C131" s="191"/>
      <c r="D131" s="194"/>
      <c r="E131" s="195"/>
      <c r="F131" s="197"/>
      <c r="G131" s="197"/>
      <c r="H131" s="198">
        <f t="shared" si="3"/>
        <v>0</v>
      </c>
      <c r="I131" s="199"/>
      <c r="J131" s="199"/>
    </row>
    <row r="132" spans="1:19" x14ac:dyDescent="0.3">
      <c r="A132" s="174" t="s">
        <v>307</v>
      </c>
      <c r="B132" s="189" t="s">
        <v>341</v>
      </c>
      <c r="C132" s="191" t="s">
        <v>45</v>
      </c>
      <c r="D132" s="194">
        <v>134.68</v>
      </c>
      <c r="E132" s="195">
        <v>45</v>
      </c>
      <c r="F132" s="196">
        <v>0.45</v>
      </c>
      <c r="G132" s="197">
        <v>14</v>
      </c>
      <c r="H132" s="198">
        <f t="shared" si="3"/>
        <v>6909.0840000000007</v>
      </c>
      <c r="I132" s="199"/>
      <c r="J132" s="199"/>
      <c r="S132" s="200"/>
    </row>
    <row r="133" spans="1:19" x14ac:dyDescent="0.3">
      <c r="A133" s="174" t="s">
        <v>308</v>
      </c>
      <c r="B133" s="185" t="s">
        <v>336</v>
      </c>
      <c r="C133" s="191" t="s">
        <v>45</v>
      </c>
      <c r="D133" s="194">
        <v>26.936</v>
      </c>
      <c r="E133" s="195">
        <v>45</v>
      </c>
      <c r="F133" s="196">
        <v>0.45</v>
      </c>
      <c r="G133" s="197">
        <v>14</v>
      </c>
      <c r="H133" s="198">
        <f t="shared" si="3"/>
        <v>1381.8167999999998</v>
      </c>
      <c r="I133" s="199"/>
      <c r="J133" s="199"/>
      <c r="S133" s="200"/>
    </row>
    <row r="134" spans="1:19" ht="5.4" customHeight="1" x14ac:dyDescent="0.3">
      <c r="A134" s="174"/>
      <c r="B134" s="189"/>
      <c r="C134" s="191"/>
      <c r="D134" s="194"/>
      <c r="E134" s="195"/>
      <c r="F134" s="197"/>
      <c r="G134" s="197"/>
      <c r="H134" s="198">
        <f t="shared" si="3"/>
        <v>0</v>
      </c>
      <c r="I134" s="199"/>
      <c r="J134" s="199"/>
    </row>
    <row r="135" spans="1:19" x14ac:dyDescent="0.3">
      <c r="A135" s="192" t="s">
        <v>7</v>
      </c>
      <c r="B135" s="184" t="s">
        <v>342</v>
      </c>
      <c r="C135" s="191"/>
      <c r="D135" s="194"/>
      <c r="E135" s="195"/>
      <c r="F135" s="197"/>
      <c r="G135" s="197"/>
      <c r="H135" s="198">
        <f t="shared" si="3"/>
        <v>0</v>
      </c>
      <c r="I135" s="199"/>
      <c r="J135" s="199"/>
    </row>
    <row r="136" spans="1:19" x14ac:dyDescent="0.3">
      <c r="A136" s="174" t="s">
        <v>316</v>
      </c>
      <c r="B136" s="177" t="s">
        <v>317</v>
      </c>
      <c r="C136" s="191" t="s">
        <v>45</v>
      </c>
      <c r="D136" s="194">
        <v>505.05</v>
      </c>
      <c r="E136" s="195">
        <v>45</v>
      </c>
      <c r="F136" s="196">
        <v>0.45</v>
      </c>
      <c r="G136" s="197">
        <v>14</v>
      </c>
      <c r="H136" s="198">
        <f t="shared" si="3"/>
        <v>25909.064999999999</v>
      </c>
      <c r="I136" s="199"/>
      <c r="J136" s="199"/>
    </row>
    <row r="137" spans="1:19" ht="6.6" customHeight="1" x14ac:dyDescent="0.3">
      <c r="A137" s="174"/>
      <c r="B137" s="177"/>
      <c r="C137" s="191"/>
      <c r="D137" s="194"/>
      <c r="E137" s="195"/>
      <c r="F137" s="197"/>
      <c r="G137" s="197"/>
      <c r="H137" s="198">
        <f t="shared" si="3"/>
        <v>0</v>
      </c>
      <c r="I137" s="199"/>
      <c r="J137" s="199"/>
    </row>
    <row r="138" spans="1:19" ht="27.6" x14ac:dyDescent="0.3">
      <c r="A138" s="192" t="s">
        <v>8</v>
      </c>
      <c r="B138" s="184" t="s">
        <v>343</v>
      </c>
      <c r="C138" s="191"/>
      <c r="D138" s="194"/>
      <c r="E138" s="195"/>
      <c r="F138" s="197"/>
      <c r="G138" s="197"/>
      <c r="H138" s="198">
        <f t="shared" si="3"/>
        <v>0</v>
      </c>
      <c r="I138" s="199"/>
      <c r="J138" s="199"/>
    </row>
    <row r="139" spans="1:19" x14ac:dyDescent="0.3">
      <c r="A139" s="174" t="s">
        <v>344</v>
      </c>
      <c r="B139" s="238" t="s">
        <v>314</v>
      </c>
      <c r="C139" s="191" t="s">
        <v>45</v>
      </c>
      <c r="D139" s="194">
        <v>588.31499999999994</v>
      </c>
      <c r="E139" s="195">
        <v>45</v>
      </c>
      <c r="F139" s="196">
        <v>0.45</v>
      </c>
      <c r="G139" s="197">
        <v>14</v>
      </c>
      <c r="H139" s="198">
        <f t="shared" si="3"/>
        <v>30180.559499999996</v>
      </c>
      <c r="I139" s="199"/>
      <c r="J139" s="199"/>
      <c r="S139" s="200"/>
    </row>
    <row r="140" spans="1:19" ht="6.6" customHeight="1" x14ac:dyDescent="0.3">
      <c r="A140" s="174"/>
      <c r="B140" s="238"/>
      <c r="C140" s="191"/>
      <c r="D140" s="194"/>
      <c r="E140" s="195"/>
      <c r="F140" s="197"/>
      <c r="G140" s="197"/>
      <c r="H140" s="198">
        <f t="shared" si="3"/>
        <v>0</v>
      </c>
      <c r="I140" s="199"/>
      <c r="J140" s="199"/>
    </row>
    <row r="141" spans="1:19" s="222" customFormat="1" x14ac:dyDescent="0.3">
      <c r="A141" s="192"/>
      <c r="B141" s="188"/>
      <c r="C141" s="216"/>
      <c r="D141" s="217"/>
      <c r="E141" s="218"/>
      <c r="F141" s="219"/>
      <c r="G141" s="219"/>
      <c r="H141" s="198">
        <f t="shared" si="3"/>
        <v>0</v>
      </c>
      <c r="I141" s="199"/>
      <c r="J141" s="199"/>
      <c r="L141" s="223"/>
      <c r="M141" s="224"/>
      <c r="Q141" s="224"/>
      <c r="R141" s="224"/>
    </row>
    <row r="142" spans="1:19" x14ac:dyDescent="0.3">
      <c r="A142" s="174"/>
      <c r="B142" s="189"/>
      <c r="C142" s="191"/>
      <c r="D142" s="237"/>
      <c r="E142" s="195"/>
      <c r="F142" s="197"/>
      <c r="G142" s="197"/>
      <c r="H142" s="198">
        <f t="shared" si="3"/>
        <v>0</v>
      </c>
      <c r="I142" s="199"/>
      <c r="J142" s="199"/>
    </row>
    <row r="143" spans="1:19" ht="8.4" customHeight="1" x14ac:dyDescent="0.3">
      <c r="A143" s="174"/>
      <c r="B143" s="189"/>
      <c r="C143" s="191"/>
      <c r="D143" s="194"/>
      <c r="E143" s="195"/>
      <c r="F143" s="197"/>
      <c r="G143" s="197"/>
      <c r="H143" s="198">
        <f t="shared" si="3"/>
        <v>0</v>
      </c>
      <c r="I143" s="199"/>
      <c r="J143" s="199"/>
    </row>
    <row r="144" spans="1:19" x14ac:dyDescent="0.3">
      <c r="A144" s="174"/>
      <c r="B144" s="184" t="s">
        <v>345</v>
      </c>
      <c r="C144" s="191"/>
      <c r="D144" s="194"/>
      <c r="E144" s="195"/>
      <c r="F144" s="197"/>
      <c r="G144" s="197"/>
      <c r="H144" s="198">
        <f t="shared" si="3"/>
        <v>0</v>
      </c>
      <c r="I144" s="199"/>
      <c r="J144" s="199"/>
    </row>
    <row r="145" spans="1:19" ht="8.4" customHeight="1" x14ac:dyDescent="0.3">
      <c r="A145" s="174"/>
      <c r="B145" s="184"/>
      <c r="C145" s="191"/>
      <c r="D145" s="194"/>
      <c r="E145" s="195"/>
      <c r="F145" s="197"/>
      <c r="G145" s="197"/>
      <c r="H145" s="198">
        <f t="shared" si="3"/>
        <v>0</v>
      </c>
      <c r="I145" s="199"/>
      <c r="J145" s="199"/>
    </row>
    <row r="146" spans="1:19" x14ac:dyDescent="0.3">
      <c r="A146" s="192" t="s">
        <v>10</v>
      </c>
      <c r="B146" s="184" t="s">
        <v>346</v>
      </c>
      <c r="C146" s="191"/>
      <c r="D146" s="194"/>
      <c r="E146" s="195"/>
      <c r="F146" s="197"/>
      <c r="G146" s="197"/>
      <c r="H146" s="198">
        <f t="shared" si="3"/>
        <v>0</v>
      </c>
      <c r="I146" s="199"/>
      <c r="J146" s="199"/>
    </row>
    <row r="147" spans="1:19" x14ac:dyDescent="0.3">
      <c r="A147" s="174" t="s">
        <v>347</v>
      </c>
      <c r="B147" s="177" t="s">
        <v>317</v>
      </c>
      <c r="C147" s="191" t="s">
        <v>45</v>
      </c>
      <c r="D147" s="194">
        <v>484.57499999999999</v>
      </c>
      <c r="E147" s="195">
        <v>45</v>
      </c>
      <c r="F147" s="196">
        <v>0.45</v>
      </c>
      <c r="G147" s="197">
        <v>14</v>
      </c>
      <c r="H147" s="198">
        <f t="shared" si="3"/>
        <v>24858.697500000002</v>
      </c>
      <c r="I147" s="199"/>
      <c r="J147" s="199"/>
    </row>
    <row r="148" spans="1:19" ht="9" customHeight="1" x14ac:dyDescent="0.3">
      <c r="A148" s="174"/>
      <c r="B148" s="177"/>
      <c r="C148" s="191"/>
      <c r="D148" s="194"/>
      <c r="E148" s="195"/>
      <c r="F148" s="197"/>
      <c r="G148" s="197"/>
      <c r="H148" s="198">
        <f t="shared" si="3"/>
        <v>0</v>
      </c>
      <c r="I148" s="199"/>
      <c r="J148" s="199"/>
    </row>
    <row r="149" spans="1:19" ht="27.6" x14ac:dyDescent="0.3">
      <c r="A149" s="192" t="s">
        <v>11</v>
      </c>
      <c r="B149" s="184" t="s">
        <v>348</v>
      </c>
      <c r="C149" s="191"/>
      <c r="D149" s="194"/>
      <c r="E149" s="195"/>
      <c r="F149" s="197"/>
      <c r="G149" s="197"/>
      <c r="H149" s="198">
        <f t="shared" si="3"/>
        <v>0</v>
      </c>
      <c r="I149" s="199"/>
      <c r="J149" s="199"/>
    </row>
    <row r="150" spans="1:19" x14ac:dyDescent="0.3">
      <c r="A150" s="174" t="s">
        <v>349</v>
      </c>
      <c r="B150" s="189" t="s">
        <v>293</v>
      </c>
      <c r="C150" s="191" t="s">
        <v>45</v>
      </c>
      <c r="D150" s="194">
        <v>37.842999999999996</v>
      </c>
      <c r="E150" s="195">
        <v>45</v>
      </c>
      <c r="F150" s="196">
        <v>0.45</v>
      </c>
      <c r="G150" s="197">
        <v>14</v>
      </c>
      <c r="H150" s="198">
        <f t="shared" si="3"/>
        <v>1941.3458999999998</v>
      </c>
      <c r="I150" s="199"/>
      <c r="J150" s="199"/>
      <c r="S150" s="200"/>
    </row>
    <row r="151" spans="1:19" x14ac:dyDescent="0.3">
      <c r="A151" s="174" t="s">
        <v>350</v>
      </c>
      <c r="B151" s="185" t="s">
        <v>336</v>
      </c>
      <c r="C151" s="191" t="s">
        <v>45</v>
      </c>
      <c r="D151" s="194">
        <v>37.842999999999996</v>
      </c>
      <c r="E151" s="195">
        <v>45</v>
      </c>
      <c r="F151" s="196">
        <v>0.45</v>
      </c>
      <c r="G151" s="197">
        <v>14</v>
      </c>
      <c r="H151" s="198">
        <f t="shared" si="3"/>
        <v>1941.3458999999998</v>
      </c>
      <c r="I151" s="199"/>
      <c r="J151" s="199"/>
      <c r="S151" s="200"/>
    </row>
    <row r="152" spans="1:19" x14ac:dyDescent="0.3">
      <c r="A152" s="174" t="s">
        <v>351</v>
      </c>
      <c r="B152" s="189" t="s">
        <v>299</v>
      </c>
      <c r="C152" s="191" t="s">
        <v>45</v>
      </c>
      <c r="D152" s="194">
        <v>38.766000000000005</v>
      </c>
      <c r="E152" s="195">
        <v>45</v>
      </c>
      <c r="F152" s="196">
        <v>0.45</v>
      </c>
      <c r="G152" s="197">
        <v>14</v>
      </c>
      <c r="H152" s="198">
        <f t="shared" si="3"/>
        <v>1988.6958000000004</v>
      </c>
      <c r="I152" s="199"/>
      <c r="J152" s="199"/>
      <c r="S152" s="200"/>
    </row>
    <row r="153" spans="1:19" x14ac:dyDescent="0.3">
      <c r="A153" s="174" t="s">
        <v>352</v>
      </c>
      <c r="B153" s="189" t="s">
        <v>288</v>
      </c>
      <c r="C153" s="191" t="s">
        <v>45</v>
      </c>
      <c r="D153" s="194">
        <v>37.842999999999996</v>
      </c>
      <c r="E153" s="195">
        <v>45</v>
      </c>
      <c r="F153" s="196">
        <v>0.45</v>
      </c>
      <c r="G153" s="197">
        <v>14</v>
      </c>
      <c r="H153" s="198">
        <f t="shared" si="3"/>
        <v>1941.3458999999998</v>
      </c>
      <c r="I153" s="199"/>
      <c r="J153" s="199"/>
      <c r="S153" s="200"/>
    </row>
    <row r="154" spans="1:19" x14ac:dyDescent="0.3">
      <c r="A154" s="174" t="s">
        <v>353</v>
      </c>
      <c r="B154" s="189" t="s">
        <v>338</v>
      </c>
      <c r="C154" s="191" t="s">
        <v>45</v>
      </c>
      <c r="D154" s="194">
        <v>38.766000000000005</v>
      </c>
      <c r="E154" s="195">
        <v>45</v>
      </c>
      <c r="F154" s="196">
        <v>0.45</v>
      </c>
      <c r="G154" s="197">
        <v>14</v>
      </c>
      <c r="H154" s="198">
        <f t="shared" si="3"/>
        <v>1988.6958000000004</v>
      </c>
      <c r="I154" s="199"/>
      <c r="J154" s="199"/>
      <c r="S154" s="200"/>
    </row>
    <row r="155" spans="1:19" ht="5.4" customHeight="1" x14ac:dyDescent="0.3">
      <c r="A155" s="174"/>
      <c r="B155" s="177"/>
      <c r="C155" s="191"/>
      <c r="D155" s="194"/>
      <c r="E155" s="195"/>
      <c r="F155" s="197"/>
      <c r="G155" s="197"/>
      <c r="H155" s="198">
        <f t="shared" si="3"/>
        <v>0</v>
      </c>
      <c r="I155" s="199"/>
      <c r="J155" s="199"/>
    </row>
    <row r="156" spans="1:19" ht="27.6" x14ac:dyDescent="0.3">
      <c r="A156" s="192" t="s">
        <v>13</v>
      </c>
      <c r="B156" s="184" t="s">
        <v>354</v>
      </c>
      <c r="C156" s="191"/>
      <c r="D156" s="194"/>
      <c r="E156" s="195"/>
      <c r="F156" s="197"/>
      <c r="G156" s="197"/>
      <c r="H156" s="198">
        <f t="shared" si="3"/>
        <v>0</v>
      </c>
      <c r="I156" s="199"/>
      <c r="J156" s="199"/>
    </row>
    <row r="157" spans="1:19" x14ac:dyDescent="0.3">
      <c r="A157" s="174" t="s">
        <v>355</v>
      </c>
      <c r="B157" s="189" t="s">
        <v>293</v>
      </c>
      <c r="C157" s="191" t="s">
        <v>45</v>
      </c>
      <c r="D157" s="194">
        <v>40.150499999999994</v>
      </c>
      <c r="E157" s="195">
        <v>45</v>
      </c>
      <c r="F157" s="196">
        <v>0.45</v>
      </c>
      <c r="G157" s="197">
        <v>14</v>
      </c>
      <c r="H157" s="198">
        <f t="shared" si="3"/>
        <v>2059.7206499999998</v>
      </c>
      <c r="I157" s="199"/>
      <c r="J157" s="199"/>
      <c r="S157" s="200"/>
    </row>
    <row r="158" spans="1:19" ht="6.6" customHeight="1" x14ac:dyDescent="0.3">
      <c r="A158" s="174"/>
      <c r="B158" s="177"/>
      <c r="C158" s="191"/>
      <c r="D158" s="194"/>
      <c r="E158" s="195"/>
      <c r="F158" s="197"/>
      <c r="G158" s="197"/>
      <c r="H158" s="198">
        <f t="shared" si="3"/>
        <v>0</v>
      </c>
      <c r="I158" s="199"/>
      <c r="J158" s="199"/>
    </row>
    <row r="159" spans="1:19" ht="27.6" x14ac:dyDescent="0.3">
      <c r="A159" s="192" t="s">
        <v>14</v>
      </c>
      <c r="B159" s="184" t="s">
        <v>356</v>
      </c>
      <c r="C159" s="191"/>
      <c r="D159" s="194"/>
      <c r="E159" s="195"/>
      <c r="F159" s="197"/>
      <c r="G159" s="197"/>
      <c r="H159" s="198">
        <f t="shared" si="3"/>
        <v>0</v>
      </c>
      <c r="I159" s="199"/>
      <c r="J159" s="199"/>
    </row>
    <row r="160" spans="1:19" x14ac:dyDescent="0.3">
      <c r="A160" s="174" t="s">
        <v>357</v>
      </c>
      <c r="B160" s="189" t="s">
        <v>358</v>
      </c>
      <c r="C160" s="191" t="s">
        <v>45</v>
      </c>
      <c r="D160" s="194">
        <v>155.06399999999999</v>
      </c>
      <c r="E160" s="195">
        <v>45</v>
      </c>
      <c r="F160" s="196">
        <v>0.45</v>
      </c>
      <c r="G160" s="197">
        <v>14</v>
      </c>
      <c r="H160" s="198">
        <f t="shared" si="3"/>
        <v>7954.7831999999999</v>
      </c>
      <c r="I160" s="199"/>
      <c r="J160" s="199"/>
      <c r="S160" s="200"/>
    </row>
    <row r="161" spans="1:19" ht="7.2" customHeight="1" x14ac:dyDescent="0.3">
      <c r="A161" s="174"/>
      <c r="B161" s="189"/>
      <c r="C161" s="191"/>
      <c r="D161" s="194"/>
      <c r="E161" s="195"/>
      <c r="F161" s="197"/>
      <c r="G161" s="197"/>
      <c r="H161" s="198"/>
      <c r="I161" s="199"/>
      <c r="J161" s="199"/>
    </row>
    <row r="162" spans="1:19" s="222" customFormat="1" x14ac:dyDescent="0.3">
      <c r="A162" s="192"/>
      <c r="B162" s="188"/>
      <c r="C162" s="216"/>
      <c r="D162" s="217"/>
      <c r="E162" s="218"/>
      <c r="F162" s="219"/>
      <c r="G162" s="219"/>
      <c r="H162" s="198"/>
      <c r="I162" s="199"/>
      <c r="J162" s="199"/>
      <c r="L162" s="223"/>
      <c r="M162" s="224"/>
      <c r="Q162" s="224"/>
      <c r="R162" s="224"/>
    </row>
    <row r="163" spans="1:19" x14ac:dyDescent="0.3">
      <c r="A163" s="174"/>
      <c r="B163" s="189"/>
      <c r="C163" s="191"/>
      <c r="D163" s="239"/>
      <c r="E163" s="195"/>
      <c r="F163" s="197"/>
      <c r="G163" s="197"/>
      <c r="H163" s="198"/>
      <c r="I163" s="199"/>
      <c r="J163" s="199"/>
    </row>
    <row r="164" spans="1:19" ht="9" customHeight="1" thickBot="1" x14ac:dyDescent="0.35">
      <c r="A164" s="226"/>
      <c r="B164" s="227"/>
      <c r="C164" s="228"/>
      <c r="D164" s="229"/>
      <c r="E164" s="230"/>
      <c r="F164" s="213"/>
      <c r="G164" s="213"/>
      <c r="H164" s="214"/>
      <c r="I164" s="199"/>
      <c r="J164" s="199"/>
    </row>
    <row r="165" spans="1:19" ht="15" thickTop="1" x14ac:dyDescent="0.3">
      <c r="A165" s="202"/>
      <c r="B165" s="203"/>
      <c r="C165" s="204"/>
      <c r="D165" s="205"/>
      <c r="E165" s="205"/>
      <c r="F165" s="205"/>
      <c r="G165" s="205"/>
      <c r="H165" s="206"/>
      <c r="I165" s="199"/>
      <c r="J165" s="199"/>
    </row>
    <row r="166" spans="1:19" x14ac:dyDescent="0.3">
      <c r="A166" s="207"/>
      <c r="B166" s="208"/>
      <c r="C166" s="209"/>
      <c r="D166" s="197" t="s">
        <v>22</v>
      </c>
      <c r="E166" s="197" t="s">
        <v>21</v>
      </c>
      <c r="F166" s="197"/>
      <c r="G166" s="197"/>
      <c r="H166" s="198">
        <f>SUM(H116:H164)</f>
        <v>130177.21275000002</v>
      </c>
      <c r="I166" s="199"/>
      <c r="J166" s="199"/>
    </row>
    <row r="167" spans="1:19" ht="15" thickBot="1" x14ac:dyDescent="0.35">
      <c r="A167" s="210"/>
      <c r="B167" s="211"/>
      <c r="C167" s="212"/>
      <c r="D167" s="213"/>
      <c r="E167" s="213"/>
      <c r="F167" s="213"/>
      <c r="G167" s="213"/>
      <c r="H167" s="214"/>
      <c r="I167" s="199"/>
      <c r="J167" s="199"/>
    </row>
    <row r="168" spans="1:19" ht="6" customHeight="1" thickTop="1" x14ac:dyDescent="0.3">
      <c r="A168" s="231"/>
      <c r="B168" s="232"/>
      <c r="C168" s="233"/>
      <c r="D168" s="234"/>
      <c r="E168" s="235"/>
      <c r="F168" s="205"/>
      <c r="G168" s="205"/>
      <c r="H168" s="206"/>
      <c r="I168" s="199"/>
      <c r="J168" s="199"/>
    </row>
    <row r="169" spans="1:19" x14ac:dyDescent="0.3">
      <c r="A169" s="174"/>
      <c r="B169" s="184" t="s">
        <v>324</v>
      </c>
      <c r="C169" s="191"/>
      <c r="D169" s="194"/>
      <c r="E169" s="195"/>
      <c r="F169" s="197"/>
      <c r="G169" s="197"/>
      <c r="H169" s="198"/>
      <c r="I169" s="199"/>
      <c r="J169" s="199"/>
    </row>
    <row r="170" spans="1:19" ht="4.2" customHeight="1" x14ac:dyDescent="0.3">
      <c r="A170" s="174"/>
      <c r="B170" s="184"/>
      <c r="C170" s="191"/>
      <c r="D170" s="194"/>
      <c r="E170" s="195"/>
      <c r="F170" s="197"/>
      <c r="G170" s="197"/>
      <c r="H170" s="198"/>
      <c r="I170" s="199"/>
      <c r="J170" s="199"/>
    </row>
    <row r="171" spans="1:19" x14ac:dyDescent="0.3">
      <c r="A171" s="174"/>
      <c r="B171" s="184" t="s">
        <v>359</v>
      </c>
      <c r="C171" s="191"/>
      <c r="D171" s="194"/>
      <c r="E171" s="195"/>
      <c r="F171" s="197"/>
      <c r="G171" s="197"/>
      <c r="H171" s="198"/>
      <c r="I171" s="199"/>
      <c r="J171" s="199"/>
    </row>
    <row r="172" spans="1:19" ht="5.4" customHeight="1" x14ac:dyDescent="0.3">
      <c r="A172" s="174"/>
      <c r="B172" s="184"/>
      <c r="C172" s="191"/>
      <c r="D172" s="194"/>
      <c r="E172" s="195"/>
      <c r="F172" s="197"/>
      <c r="G172" s="197"/>
      <c r="H172" s="198"/>
      <c r="I172" s="199"/>
      <c r="J172" s="199"/>
    </row>
    <row r="173" spans="1:19" ht="27.6" x14ac:dyDescent="0.3">
      <c r="A173" s="192" t="s">
        <v>3</v>
      </c>
      <c r="B173" s="184" t="s">
        <v>360</v>
      </c>
      <c r="C173" s="191"/>
      <c r="D173" s="194"/>
      <c r="E173" s="195"/>
      <c r="F173" s="197"/>
      <c r="G173" s="197"/>
      <c r="H173" s="198"/>
      <c r="I173" s="199"/>
      <c r="J173" s="199"/>
    </row>
    <row r="174" spans="1:19" x14ac:dyDescent="0.3">
      <c r="A174" s="174" t="s">
        <v>275</v>
      </c>
      <c r="B174" s="189" t="s">
        <v>293</v>
      </c>
      <c r="C174" s="191" t="s">
        <v>45</v>
      </c>
      <c r="D174" s="194">
        <v>37.31</v>
      </c>
      <c r="E174" s="195">
        <v>45</v>
      </c>
      <c r="F174" s="196">
        <v>0.45</v>
      </c>
      <c r="G174" s="197">
        <v>14</v>
      </c>
      <c r="H174" s="198">
        <f t="shared" ref="H174:H177" si="4">+D174*E174+D174*F174*G174</f>
        <v>1914.0030000000002</v>
      </c>
      <c r="I174" s="199"/>
      <c r="J174" s="199"/>
      <c r="S174" s="200"/>
    </row>
    <row r="175" spans="1:19" x14ac:dyDescent="0.3">
      <c r="A175" s="174" t="s">
        <v>277</v>
      </c>
      <c r="B175" s="189" t="s">
        <v>299</v>
      </c>
      <c r="C175" s="191" t="s">
        <v>45</v>
      </c>
      <c r="D175" s="194">
        <v>38.220000000000006</v>
      </c>
      <c r="E175" s="195">
        <v>45</v>
      </c>
      <c r="F175" s="196">
        <v>0.45</v>
      </c>
      <c r="G175" s="197">
        <v>14</v>
      </c>
      <c r="H175" s="198">
        <f t="shared" si="4"/>
        <v>1960.6860000000004</v>
      </c>
      <c r="I175" s="199"/>
      <c r="J175" s="199"/>
      <c r="S175" s="200"/>
    </row>
    <row r="176" spans="1:19" x14ac:dyDescent="0.3">
      <c r="A176" s="174" t="s">
        <v>279</v>
      </c>
      <c r="B176" s="189" t="s">
        <v>288</v>
      </c>
      <c r="C176" s="191" t="s">
        <v>45</v>
      </c>
      <c r="D176" s="194">
        <v>37.31</v>
      </c>
      <c r="E176" s="195">
        <v>45</v>
      </c>
      <c r="F176" s="196">
        <v>0.45</v>
      </c>
      <c r="G176" s="197">
        <v>14</v>
      </c>
      <c r="H176" s="198">
        <f t="shared" si="4"/>
        <v>1914.0030000000002</v>
      </c>
      <c r="I176" s="199"/>
      <c r="J176" s="199"/>
      <c r="S176" s="200"/>
    </row>
    <row r="177" spans="1:19" x14ac:dyDescent="0.3">
      <c r="A177" s="174" t="s">
        <v>281</v>
      </c>
      <c r="B177" s="189" t="s">
        <v>338</v>
      </c>
      <c r="C177" s="191" t="s">
        <v>45</v>
      </c>
      <c r="D177" s="194">
        <v>38.220000000000006</v>
      </c>
      <c r="E177" s="195">
        <v>45</v>
      </c>
      <c r="F177" s="196">
        <v>0.45</v>
      </c>
      <c r="G177" s="197">
        <v>14</v>
      </c>
      <c r="H177" s="198">
        <f t="shared" si="4"/>
        <v>1960.6860000000004</v>
      </c>
      <c r="I177" s="199"/>
      <c r="J177" s="199"/>
      <c r="S177" s="200"/>
    </row>
    <row r="178" spans="1:19" ht="6" customHeight="1" x14ac:dyDescent="0.3">
      <c r="A178" s="174"/>
      <c r="B178" s="184"/>
      <c r="C178" s="191"/>
      <c r="D178" s="194"/>
      <c r="E178" s="195"/>
      <c r="F178" s="197"/>
      <c r="G178" s="197"/>
      <c r="H178" s="198"/>
      <c r="I178" s="199"/>
      <c r="J178" s="199"/>
    </row>
    <row r="179" spans="1:19" ht="27.6" x14ac:dyDescent="0.3">
      <c r="A179" s="192" t="s">
        <v>2</v>
      </c>
      <c r="B179" s="184" t="s">
        <v>361</v>
      </c>
      <c r="C179" s="191"/>
      <c r="D179" s="194"/>
      <c r="E179" s="195"/>
      <c r="F179" s="197"/>
      <c r="G179" s="197"/>
      <c r="H179" s="198"/>
      <c r="I179" s="199"/>
      <c r="J179" s="199"/>
    </row>
    <row r="180" spans="1:19" x14ac:dyDescent="0.3">
      <c r="A180" s="174" t="s">
        <v>292</v>
      </c>
      <c r="B180" s="189" t="s">
        <v>293</v>
      </c>
      <c r="C180" s="191" t="s">
        <v>45</v>
      </c>
      <c r="D180" s="194">
        <v>39.584999999999994</v>
      </c>
      <c r="E180" s="195">
        <v>45</v>
      </c>
      <c r="F180" s="196">
        <v>0.45</v>
      </c>
      <c r="G180" s="197">
        <v>14</v>
      </c>
      <c r="H180" s="198">
        <f t="shared" ref="H180" si="5">+D180*E180+D180*F180*G180</f>
        <v>2030.7104999999997</v>
      </c>
      <c r="I180" s="199"/>
      <c r="J180" s="199"/>
      <c r="S180" s="200"/>
    </row>
    <row r="181" spans="1:19" ht="7.95" customHeight="1" x14ac:dyDescent="0.3">
      <c r="A181" s="174"/>
      <c r="B181" s="184"/>
      <c r="C181" s="191"/>
      <c r="D181" s="194"/>
      <c r="E181" s="195"/>
      <c r="F181" s="197"/>
      <c r="G181" s="197"/>
      <c r="H181" s="198"/>
      <c r="I181" s="199"/>
      <c r="J181" s="199"/>
    </row>
    <row r="182" spans="1:19" ht="27.6" x14ac:dyDescent="0.3">
      <c r="A182" s="192" t="s">
        <v>5</v>
      </c>
      <c r="B182" s="184" t="s">
        <v>362</v>
      </c>
      <c r="C182" s="191"/>
      <c r="D182" s="194"/>
      <c r="E182" s="195"/>
      <c r="F182" s="197"/>
      <c r="G182" s="197"/>
      <c r="H182" s="198"/>
      <c r="I182" s="199"/>
      <c r="J182" s="199"/>
    </row>
    <row r="183" spans="1:19" x14ac:dyDescent="0.3">
      <c r="A183" s="174" t="s">
        <v>307</v>
      </c>
      <c r="B183" s="189" t="s">
        <v>363</v>
      </c>
      <c r="C183" s="191" t="s">
        <v>45</v>
      </c>
      <c r="D183" s="194">
        <v>101.91999999999999</v>
      </c>
      <c r="E183" s="195">
        <v>45</v>
      </c>
      <c r="F183" s="196">
        <v>0.45</v>
      </c>
      <c r="G183" s="197">
        <v>14</v>
      </c>
      <c r="H183" s="198">
        <f t="shared" ref="H183:H186" si="6">+D183*E183+D183*F183*G183</f>
        <v>5228.4959999999992</v>
      </c>
      <c r="I183" s="199"/>
      <c r="J183" s="199"/>
      <c r="S183" s="200"/>
    </row>
    <row r="184" spans="1:19" x14ac:dyDescent="0.3">
      <c r="A184" s="174" t="s">
        <v>308</v>
      </c>
      <c r="B184" s="189" t="s">
        <v>278</v>
      </c>
      <c r="C184" s="191" t="s">
        <v>45</v>
      </c>
      <c r="D184" s="194">
        <v>76.44</v>
      </c>
      <c r="E184" s="195">
        <v>45</v>
      </c>
      <c r="F184" s="196">
        <v>0.45</v>
      </c>
      <c r="G184" s="197">
        <v>14</v>
      </c>
      <c r="H184" s="198">
        <f t="shared" si="6"/>
        <v>3921.3719999999998</v>
      </c>
      <c r="I184" s="199"/>
      <c r="J184" s="199"/>
      <c r="S184" s="200"/>
    </row>
    <row r="185" spans="1:19" x14ac:dyDescent="0.3">
      <c r="A185" s="174" t="s">
        <v>309</v>
      </c>
      <c r="B185" s="189" t="s">
        <v>328</v>
      </c>
      <c r="C185" s="191" t="s">
        <v>45</v>
      </c>
      <c r="D185" s="194">
        <v>28.209999999999994</v>
      </c>
      <c r="E185" s="195">
        <v>45</v>
      </c>
      <c r="F185" s="196">
        <v>0.45</v>
      </c>
      <c r="G185" s="197">
        <v>14</v>
      </c>
      <c r="H185" s="198">
        <f t="shared" si="6"/>
        <v>1447.1729999999998</v>
      </c>
      <c r="I185" s="199"/>
      <c r="J185" s="199"/>
      <c r="S185" s="200"/>
    </row>
    <row r="186" spans="1:19" x14ac:dyDescent="0.3">
      <c r="A186" s="174" t="s">
        <v>364</v>
      </c>
      <c r="B186" s="189" t="s">
        <v>311</v>
      </c>
      <c r="C186" s="191" t="s">
        <v>45</v>
      </c>
      <c r="D186" s="194">
        <v>25.479999999999997</v>
      </c>
      <c r="E186" s="195">
        <v>45</v>
      </c>
      <c r="F186" s="196">
        <v>0.45</v>
      </c>
      <c r="G186" s="197">
        <v>14</v>
      </c>
      <c r="H186" s="198">
        <f t="shared" si="6"/>
        <v>1307.1239999999998</v>
      </c>
      <c r="I186" s="199"/>
      <c r="J186" s="199"/>
      <c r="S186" s="200"/>
    </row>
    <row r="187" spans="1:19" ht="9" customHeight="1" x14ac:dyDescent="0.3">
      <c r="A187" s="174"/>
      <c r="B187" s="184"/>
      <c r="C187" s="191"/>
      <c r="D187" s="194"/>
      <c r="E187" s="195"/>
      <c r="F187" s="197"/>
      <c r="G187" s="197"/>
      <c r="H187" s="198"/>
      <c r="I187" s="199"/>
      <c r="J187" s="199"/>
    </row>
    <row r="188" spans="1:19" ht="27.6" x14ac:dyDescent="0.3">
      <c r="A188" s="192" t="s">
        <v>7</v>
      </c>
      <c r="B188" s="240" t="s">
        <v>365</v>
      </c>
      <c r="C188" s="191"/>
      <c r="D188" s="194"/>
      <c r="E188" s="195"/>
      <c r="F188" s="197"/>
      <c r="G188" s="197"/>
      <c r="H188" s="198"/>
      <c r="I188" s="199"/>
      <c r="J188" s="199"/>
    </row>
    <row r="189" spans="1:19" x14ac:dyDescent="0.3">
      <c r="A189" s="174" t="s">
        <v>316</v>
      </c>
      <c r="B189" s="189" t="s">
        <v>366</v>
      </c>
      <c r="C189" s="191" t="s">
        <v>45</v>
      </c>
      <c r="D189" s="194">
        <v>216.58000000000004</v>
      </c>
      <c r="E189" s="195">
        <v>45</v>
      </c>
      <c r="F189" s="196">
        <v>0.45</v>
      </c>
      <c r="G189" s="197">
        <v>14</v>
      </c>
      <c r="H189" s="198">
        <f t="shared" ref="H189:H190" si="7">+D189*E189+D189*F189*G189</f>
        <v>11110.554000000002</v>
      </c>
      <c r="I189" s="199"/>
      <c r="J189" s="199"/>
      <c r="S189" s="200"/>
    </row>
    <row r="190" spans="1:19" x14ac:dyDescent="0.3">
      <c r="A190" s="174" t="s">
        <v>318</v>
      </c>
      <c r="B190" s="189" t="s">
        <v>336</v>
      </c>
      <c r="C190" s="191" t="s">
        <v>45</v>
      </c>
      <c r="D190" s="194">
        <v>30.940000000000005</v>
      </c>
      <c r="E190" s="195">
        <v>45</v>
      </c>
      <c r="F190" s="196">
        <v>0.45</v>
      </c>
      <c r="G190" s="197">
        <v>14</v>
      </c>
      <c r="H190" s="198">
        <f t="shared" si="7"/>
        <v>1587.2220000000002</v>
      </c>
      <c r="I190" s="199"/>
      <c r="J190" s="199"/>
      <c r="S190" s="200"/>
    </row>
    <row r="191" spans="1:19" ht="8.4" customHeight="1" x14ac:dyDescent="0.3">
      <c r="A191" s="174"/>
      <c r="B191" s="189"/>
      <c r="C191" s="191"/>
      <c r="D191" s="194"/>
      <c r="E191" s="195"/>
      <c r="F191" s="197"/>
      <c r="G191" s="197"/>
      <c r="H191" s="198"/>
      <c r="I191" s="199"/>
      <c r="J191" s="199"/>
    </row>
    <row r="192" spans="1:19" x14ac:dyDescent="0.3">
      <c r="A192" s="192" t="s">
        <v>8</v>
      </c>
      <c r="B192" s="184" t="s">
        <v>367</v>
      </c>
      <c r="C192" s="191"/>
      <c r="D192" s="194">
        <v>0</v>
      </c>
      <c r="E192" s="195"/>
      <c r="F192" s="197"/>
      <c r="G192" s="197"/>
      <c r="H192" s="198"/>
      <c r="I192" s="199"/>
      <c r="J192" s="199"/>
    </row>
    <row r="193" spans="1:19" x14ac:dyDescent="0.3">
      <c r="A193" s="174" t="s">
        <v>344</v>
      </c>
      <c r="B193" s="177" t="s">
        <v>368</v>
      </c>
      <c r="C193" s="191" t="s">
        <v>45</v>
      </c>
      <c r="D193" s="194">
        <v>345.8</v>
      </c>
      <c r="E193" s="195">
        <v>45</v>
      </c>
      <c r="F193" s="196">
        <v>0.45</v>
      </c>
      <c r="G193" s="197">
        <v>14</v>
      </c>
      <c r="H193" s="198">
        <f t="shared" ref="H193:H194" si="8">+D193*E193+D193*F193*G193</f>
        <v>17739.54</v>
      </c>
      <c r="I193" s="199"/>
      <c r="J193" s="199"/>
    </row>
    <row r="194" spans="1:19" x14ac:dyDescent="0.3">
      <c r="A194" s="174" t="s">
        <v>369</v>
      </c>
      <c r="B194" s="189" t="s">
        <v>370</v>
      </c>
      <c r="C194" s="191" t="s">
        <v>45</v>
      </c>
      <c r="D194" s="194">
        <v>40.950000000000003</v>
      </c>
      <c r="E194" s="195">
        <v>45</v>
      </c>
      <c r="F194" s="196">
        <v>0.45</v>
      </c>
      <c r="G194" s="197">
        <v>14</v>
      </c>
      <c r="H194" s="198">
        <f t="shared" si="8"/>
        <v>2100.7350000000001</v>
      </c>
      <c r="I194" s="199"/>
      <c r="J194" s="199"/>
    </row>
    <row r="195" spans="1:19" ht="7.2" customHeight="1" x14ac:dyDescent="0.3">
      <c r="A195" s="174"/>
      <c r="B195" s="189"/>
      <c r="C195" s="191"/>
      <c r="D195" s="194"/>
      <c r="E195" s="195"/>
      <c r="F195" s="197"/>
      <c r="G195" s="197"/>
      <c r="H195" s="198"/>
      <c r="I195" s="199"/>
      <c r="J195" s="199"/>
    </row>
    <row r="196" spans="1:19" s="222" customFormat="1" x14ac:dyDescent="0.3">
      <c r="A196" s="192"/>
      <c r="B196" s="188"/>
      <c r="C196" s="216"/>
      <c r="D196" s="217"/>
      <c r="E196" s="218"/>
      <c r="F196" s="219"/>
      <c r="G196" s="219"/>
      <c r="H196" s="198"/>
      <c r="I196" s="199"/>
      <c r="J196" s="199"/>
      <c r="L196" s="223"/>
      <c r="M196" s="224"/>
      <c r="Q196" s="224"/>
      <c r="R196" s="224"/>
    </row>
    <row r="197" spans="1:19" x14ac:dyDescent="0.3">
      <c r="A197" s="174"/>
      <c r="B197" s="189"/>
      <c r="C197" s="191"/>
      <c r="D197" s="239"/>
      <c r="E197" s="195"/>
      <c r="F197" s="197"/>
      <c r="G197" s="197"/>
      <c r="H197" s="198"/>
      <c r="I197" s="199"/>
      <c r="J197" s="199"/>
    </row>
    <row r="198" spans="1:19" ht="6" customHeight="1" x14ac:dyDescent="0.3">
      <c r="A198" s="174"/>
      <c r="B198" s="189"/>
      <c r="C198" s="176"/>
      <c r="D198" s="194"/>
      <c r="E198" s="195"/>
      <c r="F198" s="197"/>
      <c r="G198" s="197"/>
      <c r="H198" s="198"/>
      <c r="I198" s="199"/>
      <c r="J198" s="199"/>
    </row>
    <row r="199" spans="1:19" x14ac:dyDescent="0.3">
      <c r="A199" s="174"/>
      <c r="B199" s="184" t="s">
        <v>371</v>
      </c>
      <c r="C199" s="191"/>
      <c r="D199" s="194"/>
      <c r="E199" s="195"/>
      <c r="F199" s="197"/>
      <c r="G199" s="197"/>
      <c r="H199" s="198"/>
      <c r="I199" s="199"/>
      <c r="J199" s="199"/>
    </row>
    <row r="200" spans="1:19" ht="8.4" customHeight="1" x14ac:dyDescent="0.3">
      <c r="A200" s="174"/>
      <c r="B200" s="184"/>
      <c r="C200" s="191"/>
      <c r="D200" s="194"/>
      <c r="E200" s="195"/>
      <c r="F200" s="197"/>
      <c r="G200" s="197"/>
      <c r="H200" s="198"/>
      <c r="I200" s="199"/>
      <c r="J200" s="199"/>
    </row>
    <row r="201" spans="1:19" ht="27.6" x14ac:dyDescent="0.3">
      <c r="A201" s="192" t="s">
        <v>10</v>
      </c>
      <c r="B201" s="184" t="s">
        <v>372</v>
      </c>
      <c r="C201" s="191"/>
      <c r="D201" s="194"/>
      <c r="E201" s="195"/>
      <c r="F201" s="197"/>
      <c r="G201" s="197"/>
      <c r="H201" s="198"/>
      <c r="I201" s="199"/>
      <c r="J201" s="199"/>
    </row>
    <row r="202" spans="1:19" x14ac:dyDescent="0.3">
      <c r="A202" s="174" t="s">
        <v>347</v>
      </c>
      <c r="B202" s="189" t="s">
        <v>293</v>
      </c>
      <c r="C202" s="191" t="s">
        <v>45</v>
      </c>
      <c r="D202" s="194">
        <v>29.315000000000001</v>
      </c>
      <c r="E202" s="195">
        <v>45</v>
      </c>
      <c r="F202" s="196">
        <v>0.45</v>
      </c>
      <c r="G202" s="197">
        <v>14</v>
      </c>
      <c r="H202" s="198">
        <f t="shared" ref="H202:H205" si="9">+D202*E202+D202*F202*G202</f>
        <v>1503.8595</v>
      </c>
      <c r="I202" s="199"/>
      <c r="J202" s="199"/>
      <c r="S202" s="200"/>
    </row>
    <row r="203" spans="1:19" x14ac:dyDescent="0.3">
      <c r="A203" s="174" t="s">
        <v>373</v>
      </c>
      <c r="B203" s="189" t="s">
        <v>299</v>
      </c>
      <c r="C203" s="191" t="s">
        <v>45</v>
      </c>
      <c r="D203" s="194">
        <v>30.030000000000005</v>
      </c>
      <c r="E203" s="195">
        <v>45</v>
      </c>
      <c r="F203" s="196">
        <v>0.45</v>
      </c>
      <c r="G203" s="197">
        <v>14</v>
      </c>
      <c r="H203" s="198">
        <f t="shared" si="9"/>
        <v>1540.5390000000002</v>
      </c>
      <c r="I203" s="199"/>
      <c r="J203" s="199"/>
      <c r="S203" s="200"/>
    </row>
    <row r="204" spans="1:19" x14ac:dyDescent="0.3">
      <c r="A204" s="174" t="s">
        <v>374</v>
      </c>
      <c r="B204" s="189" t="s">
        <v>288</v>
      </c>
      <c r="C204" s="191" t="s">
        <v>45</v>
      </c>
      <c r="D204" s="194">
        <v>29.315000000000001</v>
      </c>
      <c r="E204" s="195">
        <v>45</v>
      </c>
      <c r="F204" s="196">
        <v>0.45</v>
      </c>
      <c r="G204" s="197">
        <v>14</v>
      </c>
      <c r="H204" s="198">
        <f t="shared" si="9"/>
        <v>1503.8595</v>
      </c>
      <c r="I204" s="199"/>
      <c r="J204" s="199"/>
      <c r="S204" s="200"/>
    </row>
    <row r="205" spans="1:19" x14ac:dyDescent="0.3">
      <c r="A205" s="174" t="s">
        <v>375</v>
      </c>
      <c r="B205" s="189" t="s">
        <v>338</v>
      </c>
      <c r="C205" s="191" t="s">
        <v>45</v>
      </c>
      <c r="D205" s="194">
        <v>30.030000000000005</v>
      </c>
      <c r="E205" s="195">
        <v>45</v>
      </c>
      <c r="F205" s="196">
        <v>0.45</v>
      </c>
      <c r="G205" s="197">
        <v>14</v>
      </c>
      <c r="H205" s="198">
        <f t="shared" si="9"/>
        <v>1540.5390000000002</v>
      </c>
      <c r="I205" s="199"/>
      <c r="J205" s="199"/>
      <c r="S205" s="200"/>
    </row>
    <row r="206" spans="1:19" ht="8.4" customHeight="1" x14ac:dyDescent="0.3">
      <c r="A206" s="174"/>
      <c r="B206" s="184"/>
      <c r="C206" s="191"/>
      <c r="D206" s="194"/>
      <c r="E206" s="195"/>
      <c r="F206" s="197"/>
      <c r="G206" s="197"/>
      <c r="H206" s="198"/>
      <c r="I206" s="199"/>
      <c r="J206" s="199"/>
    </row>
    <row r="207" spans="1:19" ht="27.6" x14ac:dyDescent="0.3">
      <c r="A207" s="192" t="s">
        <v>11</v>
      </c>
      <c r="B207" s="184" t="s">
        <v>376</v>
      </c>
      <c r="C207" s="191"/>
      <c r="D207" s="194"/>
      <c r="E207" s="195"/>
      <c r="F207" s="197"/>
      <c r="G207" s="197"/>
      <c r="H207" s="198"/>
      <c r="I207" s="199"/>
      <c r="J207" s="199"/>
    </row>
    <row r="208" spans="1:19" x14ac:dyDescent="0.3">
      <c r="A208" s="174" t="s">
        <v>349</v>
      </c>
      <c r="B208" s="189" t="s">
        <v>293</v>
      </c>
      <c r="C208" s="191" t="s">
        <v>45</v>
      </c>
      <c r="D208" s="194">
        <v>31.102499999999996</v>
      </c>
      <c r="E208" s="195">
        <v>45</v>
      </c>
      <c r="F208" s="196">
        <v>0.45</v>
      </c>
      <c r="G208" s="197">
        <v>14</v>
      </c>
      <c r="H208" s="198">
        <f t="shared" ref="H208" si="10">+D208*E208+D208*F208*G208</f>
        <v>1595.5582499999996</v>
      </c>
      <c r="I208" s="199"/>
      <c r="J208" s="199"/>
      <c r="S208" s="200"/>
    </row>
    <row r="209" spans="1:19" ht="9" customHeight="1" x14ac:dyDescent="0.3">
      <c r="A209" s="174"/>
      <c r="B209" s="184"/>
      <c r="C209" s="191"/>
      <c r="D209" s="194"/>
      <c r="E209" s="195"/>
      <c r="F209" s="197"/>
      <c r="G209" s="197"/>
      <c r="H209" s="198"/>
      <c r="I209" s="199"/>
      <c r="J209" s="199"/>
    </row>
    <row r="210" spans="1:19" ht="27.6" x14ac:dyDescent="0.3">
      <c r="A210" s="192" t="s">
        <v>13</v>
      </c>
      <c r="B210" s="184" t="s">
        <v>377</v>
      </c>
      <c r="C210" s="191"/>
      <c r="D210" s="194"/>
      <c r="E210" s="195"/>
      <c r="F210" s="197"/>
      <c r="G210" s="197"/>
      <c r="H210" s="198"/>
      <c r="I210" s="199"/>
      <c r="J210" s="199"/>
    </row>
    <row r="211" spans="1:19" x14ac:dyDescent="0.3">
      <c r="A211" s="174" t="s">
        <v>355</v>
      </c>
      <c r="B211" s="189" t="s">
        <v>327</v>
      </c>
      <c r="C211" s="191" t="s">
        <v>45</v>
      </c>
      <c r="D211" s="194">
        <v>40.04</v>
      </c>
      <c r="E211" s="195">
        <v>45</v>
      </c>
      <c r="F211" s="196">
        <v>0.45</v>
      </c>
      <c r="G211" s="197">
        <v>14</v>
      </c>
      <c r="H211" s="198">
        <f t="shared" ref="H211" si="11">+D211*E211+D211*F211*G211</f>
        <v>2054.0520000000001</v>
      </c>
      <c r="I211" s="199"/>
      <c r="J211" s="199"/>
      <c r="S211" s="200"/>
    </row>
    <row r="212" spans="1:19" ht="7.2" customHeight="1" x14ac:dyDescent="0.3">
      <c r="A212" s="174"/>
      <c r="B212" s="189"/>
      <c r="C212" s="191"/>
      <c r="D212" s="194"/>
      <c r="E212" s="195"/>
      <c r="F212" s="197"/>
      <c r="G212" s="197"/>
      <c r="H212" s="198"/>
      <c r="I212" s="199"/>
      <c r="J212" s="199"/>
    </row>
    <row r="213" spans="1:19" x14ac:dyDescent="0.3">
      <c r="A213" s="192" t="s">
        <v>14</v>
      </c>
      <c r="B213" s="184" t="s">
        <v>342</v>
      </c>
      <c r="C213" s="191"/>
      <c r="D213" s="194">
        <v>0</v>
      </c>
      <c r="E213" s="195"/>
      <c r="F213" s="197"/>
      <c r="G213" s="197"/>
      <c r="H213" s="198"/>
      <c r="I213" s="199"/>
      <c r="J213" s="199"/>
    </row>
    <row r="214" spans="1:19" x14ac:dyDescent="0.3">
      <c r="A214" s="174" t="s">
        <v>357</v>
      </c>
      <c r="B214" s="177" t="s">
        <v>378</v>
      </c>
      <c r="C214" s="191" t="s">
        <v>45</v>
      </c>
      <c r="D214" s="194">
        <v>230.88000000000002</v>
      </c>
      <c r="E214" s="195">
        <v>45</v>
      </c>
      <c r="F214" s="196">
        <v>0.45</v>
      </c>
      <c r="G214" s="197">
        <v>14</v>
      </c>
      <c r="H214" s="198">
        <f t="shared" ref="H214:H215" si="12">+D214*E214+D214*F214*G214</f>
        <v>11844.144</v>
      </c>
      <c r="I214" s="199"/>
      <c r="J214" s="199"/>
    </row>
    <row r="215" spans="1:19" x14ac:dyDescent="0.3">
      <c r="A215" s="174" t="s">
        <v>379</v>
      </c>
      <c r="B215" s="189" t="s">
        <v>380</v>
      </c>
      <c r="C215" s="191" t="s">
        <v>45</v>
      </c>
      <c r="D215" s="194">
        <v>38.480000000000004</v>
      </c>
      <c r="E215" s="195">
        <v>45</v>
      </c>
      <c r="F215" s="196">
        <v>0.45</v>
      </c>
      <c r="G215" s="197">
        <v>14</v>
      </c>
      <c r="H215" s="198">
        <f t="shared" si="12"/>
        <v>1974.0240000000001</v>
      </c>
      <c r="I215" s="199"/>
      <c r="J215" s="199"/>
    </row>
    <row r="216" spans="1:19" ht="3.6" customHeight="1" x14ac:dyDescent="0.3">
      <c r="A216" s="174"/>
      <c r="B216" s="189"/>
      <c r="C216" s="191"/>
      <c r="D216" s="194"/>
      <c r="E216" s="195"/>
      <c r="F216" s="197"/>
      <c r="G216" s="197"/>
      <c r="H216" s="198"/>
      <c r="I216" s="199"/>
      <c r="J216" s="199"/>
    </row>
    <row r="217" spans="1:19" s="222" customFormat="1" x14ac:dyDescent="0.3">
      <c r="A217" s="192"/>
      <c r="B217" s="188"/>
      <c r="C217" s="216"/>
      <c r="D217" s="217"/>
      <c r="E217" s="218"/>
      <c r="F217" s="219"/>
      <c r="G217" s="219"/>
      <c r="H217" s="198"/>
      <c r="I217" s="199"/>
      <c r="J217" s="199"/>
      <c r="L217" s="223"/>
      <c r="M217" s="224"/>
      <c r="Q217" s="224"/>
      <c r="R217" s="224"/>
    </row>
    <row r="218" spans="1:19" x14ac:dyDescent="0.3">
      <c r="A218" s="174"/>
      <c r="B218" s="189"/>
      <c r="C218" s="191"/>
      <c r="D218" s="237"/>
      <c r="E218" s="195"/>
      <c r="F218" s="197"/>
      <c r="G218" s="197"/>
      <c r="H218" s="198"/>
      <c r="I218" s="199"/>
      <c r="J218" s="199"/>
    </row>
    <row r="219" spans="1:19" ht="6" customHeight="1" thickBot="1" x14ac:dyDescent="0.35">
      <c r="A219" s="226"/>
      <c r="B219" s="227"/>
      <c r="C219" s="228"/>
      <c r="D219" s="229"/>
      <c r="E219" s="230"/>
      <c r="F219" s="213"/>
      <c r="G219" s="213"/>
      <c r="H219" s="214"/>
      <c r="I219" s="199"/>
      <c r="J219" s="199"/>
    </row>
    <row r="220" spans="1:19" ht="9.6" customHeight="1" thickTop="1" x14ac:dyDescent="0.3">
      <c r="A220" s="202"/>
      <c r="B220" s="203"/>
      <c r="C220" s="204"/>
      <c r="D220" s="205"/>
      <c r="E220" s="205"/>
      <c r="F220" s="205"/>
      <c r="G220" s="205"/>
      <c r="H220" s="206"/>
      <c r="I220" s="199"/>
      <c r="J220" s="199"/>
    </row>
    <row r="221" spans="1:19" x14ac:dyDescent="0.3">
      <c r="A221" s="207"/>
      <c r="B221" s="208"/>
      <c r="C221" s="209"/>
      <c r="D221" s="197" t="s">
        <v>22</v>
      </c>
      <c r="E221" s="197" t="s">
        <v>21</v>
      </c>
      <c r="F221" s="197"/>
      <c r="G221" s="197"/>
      <c r="H221" s="198">
        <f>SUM(H168:H219)</f>
        <v>77778.879750000007</v>
      </c>
      <c r="I221" s="199"/>
      <c r="J221" s="199"/>
    </row>
    <row r="222" spans="1:19" ht="12" customHeight="1" thickBot="1" x14ac:dyDescent="0.35">
      <c r="A222" s="210"/>
      <c r="B222" s="211"/>
      <c r="C222" s="212"/>
      <c r="D222" s="213"/>
      <c r="E222" s="213"/>
      <c r="F222" s="213"/>
      <c r="G222" s="213"/>
      <c r="H222" s="214"/>
      <c r="I222" s="199"/>
      <c r="J222" s="199"/>
    </row>
    <row r="223" spans="1:19" ht="9.6" customHeight="1" thickTop="1" x14ac:dyDescent="0.3">
      <c r="A223" s="231"/>
      <c r="B223" s="232"/>
      <c r="C223" s="233"/>
      <c r="D223" s="234"/>
      <c r="E223" s="235"/>
      <c r="F223" s="205"/>
      <c r="G223" s="205"/>
      <c r="H223" s="206"/>
      <c r="I223" s="199"/>
      <c r="J223" s="199"/>
    </row>
    <row r="224" spans="1:19" x14ac:dyDescent="0.3">
      <c r="A224" s="174"/>
      <c r="B224" s="184" t="s">
        <v>324</v>
      </c>
      <c r="C224" s="191"/>
      <c r="D224" s="194"/>
      <c r="E224" s="195"/>
      <c r="F224" s="197"/>
      <c r="G224" s="197"/>
      <c r="H224" s="198"/>
      <c r="I224" s="199"/>
      <c r="J224" s="199"/>
    </row>
    <row r="225" spans="1:19" ht="9.6" customHeight="1" x14ac:dyDescent="0.3">
      <c r="A225" s="174"/>
      <c r="B225" s="184"/>
      <c r="C225" s="191"/>
      <c r="D225" s="194"/>
      <c r="E225" s="195"/>
      <c r="F225" s="197"/>
      <c r="G225" s="197"/>
      <c r="H225" s="198"/>
      <c r="I225" s="199"/>
      <c r="J225" s="199"/>
    </row>
    <row r="226" spans="1:19" x14ac:dyDescent="0.3">
      <c r="A226" s="174"/>
      <c r="B226" s="184" t="s">
        <v>381</v>
      </c>
      <c r="C226" s="191"/>
      <c r="D226" s="194"/>
      <c r="E226" s="195"/>
      <c r="F226" s="197"/>
      <c r="G226" s="197"/>
      <c r="H226" s="198"/>
      <c r="I226" s="199"/>
      <c r="J226" s="199"/>
    </row>
    <row r="227" spans="1:19" ht="9.6" customHeight="1" x14ac:dyDescent="0.3">
      <c r="A227" s="174"/>
      <c r="B227" s="184"/>
      <c r="C227" s="191"/>
      <c r="D227" s="194"/>
      <c r="E227" s="195"/>
      <c r="F227" s="197"/>
      <c r="G227" s="197"/>
      <c r="H227" s="198"/>
      <c r="I227" s="199"/>
      <c r="J227" s="199"/>
    </row>
    <row r="228" spans="1:19" ht="27.6" x14ac:dyDescent="0.3">
      <c r="A228" s="192" t="s">
        <v>3</v>
      </c>
      <c r="B228" s="184" t="s">
        <v>382</v>
      </c>
      <c r="C228" s="191"/>
      <c r="D228" s="194"/>
      <c r="E228" s="195"/>
      <c r="F228" s="197"/>
      <c r="G228" s="197"/>
      <c r="H228" s="198"/>
      <c r="I228" s="199"/>
      <c r="J228" s="199"/>
    </row>
    <row r="229" spans="1:19" x14ac:dyDescent="0.3">
      <c r="A229" s="174" t="s">
        <v>275</v>
      </c>
      <c r="B229" s="185" t="s">
        <v>336</v>
      </c>
      <c r="C229" s="191" t="s">
        <v>45</v>
      </c>
      <c r="D229" s="194">
        <v>37.31</v>
      </c>
      <c r="E229" s="195">
        <v>45</v>
      </c>
      <c r="F229" s="196">
        <v>0.45</v>
      </c>
      <c r="G229" s="197">
        <v>14</v>
      </c>
      <c r="H229" s="198">
        <f t="shared" ref="H229:H231" si="13">+D229*E229+D229*F229*G229</f>
        <v>1914.0030000000002</v>
      </c>
      <c r="I229" s="199"/>
      <c r="J229" s="199"/>
      <c r="S229" s="200"/>
    </row>
    <row r="230" spans="1:19" x14ac:dyDescent="0.3">
      <c r="A230" s="174" t="s">
        <v>277</v>
      </c>
      <c r="B230" s="189" t="s">
        <v>288</v>
      </c>
      <c r="C230" s="191" t="s">
        <v>45</v>
      </c>
      <c r="D230" s="194">
        <v>37.31</v>
      </c>
      <c r="E230" s="195">
        <v>45</v>
      </c>
      <c r="F230" s="196">
        <v>0.45</v>
      </c>
      <c r="G230" s="197">
        <v>14</v>
      </c>
      <c r="H230" s="198">
        <f t="shared" si="13"/>
        <v>1914.0030000000002</v>
      </c>
      <c r="I230" s="199"/>
      <c r="J230" s="199"/>
      <c r="S230" s="200"/>
    </row>
    <row r="231" spans="1:19" x14ac:dyDescent="0.3">
      <c r="A231" s="174" t="s">
        <v>279</v>
      </c>
      <c r="B231" s="189" t="s">
        <v>383</v>
      </c>
      <c r="C231" s="191" t="s">
        <v>45</v>
      </c>
      <c r="D231" s="194">
        <v>149.24</v>
      </c>
      <c r="E231" s="195">
        <v>45</v>
      </c>
      <c r="F231" s="196">
        <v>0.45</v>
      </c>
      <c r="G231" s="197">
        <v>14</v>
      </c>
      <c r="H231" s="198">
        <f t="shared" si="13"/>
        <v>7656.0120000000006</v>
      </c>
      <c r="I231" s="199"/>
      <c r="J231" s="199"/>
      <c r="S231" s="200"/>
    </row>
    <row r="232" spans="1:19" ht="9.6" customHeight="1" x14ac:dyDescent="0.3">
      <c r="A232" s="174"/>
      <c r="B232" s="184"/>
      <c r="C232" s="191"/>
      <c r="D232" s="194"/>
      <c r="E232" s="195"/>
      <c r="F232" s="197"/>
      <c r="G232" s="197"/>
      <c r="H232" s="198"/>
      <c r="I232" s="199"/>
      <c r="J232" s="199"/>
    </row>
    <row r="233" spans="1:19" ht="27.6" x14ac:dyDescent="0.3">
      <c r="A233" s="192" t="s">
        <v>2</v>
      </c>
      <c r="B233" s="184" t="s">
        <v>384</v>
      </c>
      <c r="C233" s="191"/>
      <c r="D233" s="194"/>
      <c r="E233" s="195"/>
      <c r="F233" s="197"/>
      <c r="G233" s="197"/>
      <c r="H233" s="198"/>
      <c r="I233" s="199"/>
      <c r="J233" s="199"/>
    </row>
    <row r="234" spans="1:19" x14ac:dyDescent="0.3">
      <c r="A234" s="174" t="s">
        <v>292</v>
      </c>
      <c r="B234" s="189" t="s">
        <v>293</v>
      </c>
      <c r="C234" s="191" t="s">
        <v>45</v>
      </c>
      <c r="D234" s="194">
        <v>39.584999999999994</v>
      </c>
      <c r="E234" s="195">
        <v>45</v>
      </c>
      <c r="F234" s="196">
        <v>0.45</v>
      </c>
      <c r="G234" s="197">
        <v>14</v>
      </c>
      <c r="H234" s="198">
        <f t="shared" ref="H234" si="14">+D234*E234+D234*F234*G234</f>
        <v>2030.7104999999997</v>
      </c>
      <c r="I234" s="199"/>
      <c r="J234" s="199"/>
      <c r="S234" s="200"/>
    </row>
    <row r="235" spans="1:19" ht="9.6" customHeight="1" x14ac:dyDescent="0.3">
      <c r="A235" s="174"/>
      <c r="B235" s="184"/>
      <c r="C235" s="191"/>
      <c r="D235" s="194"/>
      <c r="E235" s="195"/>
      <c r="F235" s="197"/>
      <c r="G235" s="197"/>
      <c r="H235" s="198"/>
      <c r="I235" s="199"/>
      <c r="J235" s="199"/>
    </row>
    <row r="236" spans="1:19" ht="27.6" x14ac:dyDescent="0.3">
      <c r="A236" s="192" t="s">
        <v>5</v>
      </c>
      <c r="B236" s="184" t="s">
        <v>385</v>
      </c>
      <c r="C236" s="191"/>
      <c r="D236" s="194"/>
      <c r="E236" s="195"/>
      <c r="F236" s="197"/>
      <c r="G236" s="197"/>
      <c r="H236" s="198"/>
      <c r="I236" s="199"/>
      <c r="J236" s="199"/>
    </row>
    <row r="237" spans="1:19" x14ac:dyDescent="0.3">
      <c r="A237" s="174" t="s">
        <v>307</v>
      </c>
      <c r="B237" s="189" t="s">
        <v>335</v>
      </c>
      <c r="C237" s="191" t="s">
        <v>45</v>
      </c>
      <c r="D237" s="194">
        <v>76.44</v>
      </c>
      <c r="E237" s="195">
        <v>45</v>
      </c>
      <c r="F237" s="196">
        <v>0.45</v>
      </c>
      <c r="G237" s="197">
        <v>14</v>
      </c>
      <c r="H237" s="198">
        <f t="shared" ref="H237:H240" si="15">+D237*E237+D237*F237*G237</f>
        <v>3921.3719999999998</v>
      </c>
      <c r="I237" s="199"/>
      <c r="J237" s="199"/>
      <c r="S237" s="200"/>
    </row>
    <row r="238" spans="1:19" x14ac:dyDescent="0.3">
      <c r="A238" s="174" t="s">
        <v>308</v>
      </c>
      <c r="B238" s="185" t="s">
        <v>295</v>
      </c>
      <c r="C238" s="191" t="s">
        <v>45</v>
      </c>
      <c r="D238" s="194">
        <v>50.959999999999994</v>
      </c>
      <c r="E238" s="195">
        <v>45</v>
      </c>
      <c r="F238" s="196">
        <v>0.45</v>
      </c>
      <c r="G238" s="197">
        <v>14</v>
      </c>
      <c r="H238" s="198">
        <f t="shared" si="15"/>
        <v>2614.2479999999996</v>
      </c>
      <c r="I238" s="199"/>
      <c r="J238" s="199"/>
      <c r="S238" s="200"/>
    </row>
    <row r="239" spans="1:19" x14ac:dyDescent="0.3">
      <c r="A239" s="174" t="s">
        <v>309</v>
      </c>
      <c r="B239" s="189" t="s">
        <v>328</v>
      </c>
      <c r="C239" s="191" t="s">
        <v>45</v>
      </c>
      <c r="D239" s="194">
        <v>28.209999999999994</v>
      </c>
      <c r="E239" s="195">
        <v>45</v>
      </c>
      <c r="F239" s="196">
        <v>0.45</v>
      </c>
      <c r="G239" s="197">
        <v>14</v>
      </c>
      <c r="H239" s="198">
        <f t="shared" si="15"/>
        <v>1447.1729999999998</v>
      </c>
      <c r="I239" s="199"/>
      <c r="J239" s="199"/>
      <c r="S239" s="200"/>
    </row>
    <row r="240" spans="1:19" x14ac:dyDescent="0.3">
      <c r="A240" s="174" t="s">
        <v>364</v>
      </c>
      <c r="B240" s="189" t="s">
        <v>299</v>
      </c>
      <c r="C240" s="191" t="s">
        <v>45</v>
      </c>
      <c r="D240" s="194">
        <v>26.390000000000004</v>
      </c>
      <c r="E240" s="195">
        <v>45</v>
      </c>
      <c r="F240" s="196">
        <v>0.45</v>
      </c>
      <c r="G240" s="197">
        <v>14</v>
      </c>
      <c r="H240" s="198">
        <f t="shared" si="15"/>
        <v>1353.8070000000002</v>
      </c>
      <c r="I240" s="199"/>
      <c r="J240" s="199"/>
      <c r="S240" s="200"/>
    </row>
    <row r="241" spans="1:19" ht="9.6" customHeight="1" x14ac:dyDescent="0.3">
      <c r="A241" s="174"/>
      <c r="B241" s="189"/>
      <c r="C241" s="191"/>
      <c r="D241" s="194"/>
      <c r="E241" s="195"/>
      <c r="F241" s="197"/>
      <c r="G241" s="197"/>
      <c r="H241" s="198"/>
      <c r="I241" s="199"/>
      <c r="J241" s="199"/>
    </row>
    <row r="242" spans="1:19" x14ac:dyDescent="0.3">
      <c r="A242" s="192" t="s">
        <v>7</v>
      </c>
      <c r="B242" s="184" t="s">
        <v>367</v>
      </c>
      <c r="C242" s="191"/>
      <c r="D242" s="194"/>
      <c r="E242" s="241"/>
      <c r="H242" s="198"/>
      <c r="I242" s="199"/>
      <c r="J242" s="199"/>
    </row>
    <row r="243" spans="1:19" x14ac:dyDescent="0.3">
      <c r="A243" s="174" t="s">
        <v>316</v>
      </c>
      <c r="B243" s="177" t="s">
        <v>386</v>
      </c>
      <c r="C243" s="191" t="s">
        <v>45</v>
      </c>
      <c r="D243" s="194">
        <v>81.900000000000006</v>
      </c>
      <c r="E243" s="195">
        <v>45</v>
      </c>
      <c r="F243" s="196">
        <v>0.45</v>
      </c>
      <c r="G243" s="197">
        <v>14</v>
      </c>
      <c r="H243" s="198">
        <f t="shared" ref="H243:H245" si="16">+D243*E243+D243*F243*G243</f>
        <v>4201.47</v>
      </c>
      <c r="I243" s="199"/>
      <c r="J243" s="199"/>
    </row>
    <row r="244" spans="1:19" x14ac:dyDescent="0.3">
      <c r="A244" s="174" t="s">
        <v>318</v>
      </c>
      <c r="B244" s="189" t="s">
        <v>387</v>
      </c>
      <c r="C244" s="191" t="s">
        <v>45</v>
      </c>
      <c r="D244" s="194">
        <v>22.75</v>
      </c>
      <c r="E244" s="195">
        <v>45</v>
      </c>
      <c r="F244" s="196">
        <v>0.45</v>
      </c>
      <c r="G244" s="197">
        <v>14</v>
      </c>
      <c r="H244" s="198">
        <f t="shared" si="16"/>
        <v>1167.075</v>
      </c>
      <c r="I244" s="199"/>
      <c r="J244" s="199"/>
    </row>
    <row r="245" spans="1:19" x14ac:dyDescent="0.3">
      <c r="A245" s="174" t="s">
        <v>320</v>
      </c>
      <c r="B245" s="189" t="s">
        <v>388</v>
      </c>
      <c r="C245" s="191" t="s">
        <v>45</v>
      </c>
      <c r="D245" s="194">
        <v>54.600000000000009</v>
      </c>
      <c r="E245" s="195">
        <v>45</v>
      </c>
      <c r="F245" s="196">
        <v>0.45</v>
      </c>
      <c r="G245" s="197">
        <v>14</v>
      </c>
      <c r="H245" s="198">
        <f t="shared" si="16"/>
        <v>2800.9800000000005</v>
      </c>
      <c r="I245" s="199"/>
      <c r="J245" s="199"/>
    </row>
    <row r="246" spans="1:19" ht="9.6" customHeight="1" x14ac:dyDescent="0.3">
      <c r="A246" s="174"/>
      <c r="B246" s="189"/>
      <c r="C246" s="191"/>
      <c r="D246" s="194"/>
      <c r="E246" s="195"/>
      <c r="F246" s="197"/>
      <c r="G246" s="197"/>
      <c r="H246" s="198"/>
      <c r="I246" s="199"/>
      <c r="J246" s="199"/>
    </row>
    <row r="247" spans="1:19" s="222" customFormat="1" x14ac:dyDescent="0.3">
      <c r="A247" s="192"/>
      <c r="B247" s="188"/>
      <c r="C247" s="216"/>
      <c r="D247" s="217"/>
      <c r="E247" s="218"/>
      <c r="F247" s="219"/>
      <c r="G247" s="219"/>
      <c r="H247" s="198"/>
      <c r="I247" s="199"/>
      <c r="J247" s="199"/>
      <c r="L247" s="223"/>
      <c r="M247" s="224"/>
      <c r="Q247" s="224"/>
      <c r="R247" s="224"/>
    </row>
    <row r="248" spans="1:19" x14ac:dyDescent="0.3">
      <c r="A248" s="174"/>
      <c r="B248" s="189"/>
      <c r="C248" s="191"/>
      <c r="D248" s="194"/>
      <c r="E248" s="195"/>
      <c r="F248" s="196"/>
      <c r="G248" s="197"/>
      <c r="H248" s="198"/>
      <c r="I248" s="199"/>
      <c r="J248" s="199"/>
    </row>
    <row r="249" spans="1:19" ht="9.6" customHeight="1" x14ac:dyDescent="0.3">
      <c r="A249" s="174"/>
      <c r="B249" s="189"/>
      <c r="C249" s="191"/>
      <c r="D249" s="194"/>
      <c r="E249" s="195"/>
      <c r="F249" s="197"/>
      <c r="G249" s="197"/>
      <c r="H249" s="198"/>
      <c r="I249" s="199"/>
      <c r="J249" s="199"/>
    </row>
    <row r="250" spans="1:19" x14ac:dyDescent="0.3">
      <c r="A250" s="174"/>
      <c r="B250" s="184" t="s">
        <v>389</v>
      </c>
      <c r="C250" s="191"/>
      <c r="D250" s="194"/>
      <c r="E250" s="195"/>
      <c r="F250" s="197"/>
      <c r="G250" s="197"/>
      <c r="H250" s="198"/>
      <c r="I250" s="199"/>
      <c r="J250" s="199"/>
    </row>
    <row r="251" spans="1:19" ht="9.6" customHeight="1" x14ac:dyDescent="0.3">
      <c r="A251" s="174"/>
      <c r="B251" s="184"/>
      <c r="C251" s="191"/>
      <c r="D251" s="194"/>
      <c r="E251" s="195"/>
      <c r="F251" s="197"/>
      <c r="G251" s="197"/>
      <c r="H251" s="198"/>
      <c r="I251" s="199"/>
      <c r="J251" s="199"/>
    </row>
    <row r="252" spans="1:19" ht="27.6" x14ac:dyDescent="0.3">
      <c r="A252" s="192" t="s">
        <v>9</v>
      </c>
      <c r="B252" s="184" t="s">
        <v>390</v>
      </c>
      <c r="C252" s="191"/>
      <c r="D252" s="194"/>
      <c r="E252" s="195"/>
      <c r="F252" s="197"/>
      <c r="G252" s="197"/>
      <c r="H252" s="198"/>
      <c r="I252" s="199"/>
      <c r="J252" s="199"/>
    </row>
    <row r="253" spans="1:19" x14ac:dyDescent="0.3">
      <c r="A253" s="174" t="s">
        <v>391</v>
      </c>
      <c r="B253" s="189" t="s">
        <v>295</v>
      </c>
      <c r="C253" s="191" t="s">
        <v>45</v>
      </c>
      <c r="D253" s="194">
        <v>57.564000000000007</v>
      </c>
      <c r="E253" s="195">
        <v>45</v>
      </c>
      <c r="F253" s="196">
        <v>0.45</v>
      </c>
      <c r="G253" s="197">
        <v>14</v>
      </c>
      <c r="H253" s="198">
        <f t="shared" ref="H253:H254" si="17">+D253*E253+D253*F253*G253</f>
        <v>2953.0332000000003</v>
      </c>
      <c r="I253" s="199"/>
      <c r="J253" s="199"/>
      <c r="S253" s="200"/>
    </row>
    <row r="254" spans="1:19" x14ac:dyDescent="0.3">
      <c r="A254" s="174" t="s">
        <v>392</v>
      </c>
      <c r="B254" s="189" t="s">
        <v>383</v>
      </c>
      <c r="C254" s="191" t="s">
        <v>45</v>
      </c>
      <c r="D254" s="194">
        <v>115.12800000000001</v>
      </c>
      <c r="E254" s="195">
        <v>45</v>
      </c>
      <c r="F254" s="196">
        <v>0.45</v>
      </c>
      <c r="G254" s="197">
        <v>14</v>
      </c>
      <c r="H254" s="198">
        <f t="shared" si="17"/>
        <v>5906.0664000000006</v>
      </c>
      <c r="I254" s="199"/>
      <c r="J254" s="199"/>
      <c r="S254" s="200"/>
    </row>
    <row r="255" spans="1:19" ht="9.6" customHeight="1" x14ac:dyDescent="0.3">
      <c r="A255" s="174"/>
      <c r="B255" s="184"/>
      <c r="C255" s="191"/>
      <c r="D255" s="194"/>
      <c r="E255" s="195"/>
      <c r="F255" s="197"/>
      <c r="G255" s="197"/>
      <c r="H255" s="198"/>
      <c r="I255" s="199"/>
      <c r="J255" s="199"/>
    </row>
    <row r="256" spans="1:19" ht="27.6" x14ac:dyDescent="0.3">
      <c r="A256" s="192" t="s">
        <v>10</v>
      </c>
      <c r="B256" s="184" t="s">
        <v>393</v>
      </c>
      <c r="C256" s="191"/>
      <c r="D256" s="194"/>
      <c r="E256" s="195"/>
      <c r="F256" s="197"/>
      <c r="G256" s="197"/>
      <c r="H256" s="198"/>
      <c r="I256" s="199"/>
      <c r="J256" s="199"/>
    </row>
    <row r="257" spans="1:19" x14ac:dyDescent="0.3">
      <c r="A257" s="174" t="s">
        <v>347</v>
      </c>
      <c r="B257" s="189" t="s">
        <v>293</v>
      </c>
      <c r="C257" s="191" t="s">
        <v>45</v>
      </c>
      <c r="D257" s="194">
        <v>30.536999999999999</v>
      </c>
      <c r="E257" s="195">
        <v>45</v>
      </c>
      <c r="F257" s="196">
        <v>0.45</v>
      </c>
      <c r="G257" s="197">
        <v>14</v>
      </c>
      <c r="H257" s="198">
        <f t="shared" ref="H257" si="18">+D257*E257+D257*F257*G257</f>
        <v>1566.5481</v>
      </c>
      <c r="I257" s="199"/>
      <c r="J257" s="199"/>
      <c r="S257" s="200"/>
    </row>
    <row r="258" spans="1:19" ht="9.6" customHeight="1" x14ac:dyDescent="0.3">
      <c r="A258" s="174"/>
      <c r="B258" s="184"/>
      <c r="C258" s="191"/>
      <c r="D258" s="194"/>
      <c r="E258" s="195"/>
      <c r="F258" s="197"/>
      <c r="G258" s="197"/>
      <c r="H258" s="198"/>
      <c r="I258" s="199"/>
      <c r="J258" s="199"/>
    </row>
    <row r="259" spans="1:19" ht="27.6" x14ac:dyDescent="0.3">
      <c r="A259" s="192" t="s">
        <v>11</v>
      </c>
      <c r="B259" s="184" t="s">
        <v>394</v>
      </c>
      <c r="C259" s="191"/>
      <c r="D259" s="194"/>
      <c r="E259" s="195"/>
      <c r="F259" s="197"/>
      <c r="G259" s="197"/>
      <c r="H259" s="198"/>
      <c r="I259" s="199"/>
      <c r="J259" s="199"/>
    </row>
    <row r="260" spans="1:19" x14ac:dyDescent="0.3">
      <c r="A260" s="174" t="s">
        <v>349</v>
      </c>
      <c r="B260" s="189" t="s">
        <v>358</v>
      </c>
      <c r="C260" s="191" t="s">
        <v>45</v>
      </c>
      <c r="D260" s="194">
        <v>117.93599999999999</v>
      </c>
      <c r="E260" s="195">
        <v>45</v>
      </c>
      <c r="F260" s="196">
        <v>0.45</v>
      </c>
      <c r="G260" s="197">
        <v>14</v>
      </c>
      <c r="H260" s="198">
        <f t="shared" ref="H260:H261" si="19">+D260*E260+D260*F260*G260</f>
        <v>6050.1167999999998</v>
      </c>
      <c r="I260" s="199"/>
      <c r="J260" s="199"/>
      <c r="S260" s="200"/>
    </row>
    <row r="261" spans="1:19" x14ac:dyDescent="0.3">
      <c r="A261" s="174" t="s">
        <v>350</v>
      </c>
      <c r="B261" s="189" t="s">
        <v>336</v>
      </c>
      <c r="C261" s="191" t="s">
        <v>45</v>
      </c>
      <c r="D261" s="194">
        <v>19.655999999999999</v>
      </c>
      <c r="E261" s="195">
        <v>45</v>
      </c>
      <c r="F261" s="196">
        <v>0.45</v>
      </c>
      <c r="G261" s="197">
        <v>14</v>
      </c>
      <c r="H261" s="198">
        <f t="shared" si="19"/>
        <v>1008.3528</v>
      </c>
      <c r="I261" s="199"/>
      <c r="J261" s="199"/>
      <c r="S261" s="200"/>
    </row>
    <row r="262" spans="1:19" ht="9.6" customHeight="1" x14ac:dyDescent="0.3">
      <c r="A262" s="174"/>
      <c r="B262" s="189"/>
      <c r="C262" s="191"/>
      <c r="D262" s="194"/>
      <c r="E262" s="195"/>
      <c r="F262" s="197"/>
      <c r="G262" s="197"/>
      <c r="H262" s="198"/>
      <c r="I262" s="199"/>
      <c r="J262" s="199"/>
    </row>
    <row r="263" spans="1:19" x14ac:dyDescent="0.3">
      <c r="A263" s="192" t="s">
        <v>13</v>
      </c>
      <c r="B263" s="184" t="s">
        <v>395</v>
      </c>
      <c r="C263" s="191"/>
      <c r="D263" s="194"/>
      <c r="E263" s="195"/>
      <c r="F263" s="197"/>
      <c r="G263" s="197"/>
      <c r="H263" s="198"/>
      <c r="I263" s="199"/>
      <c r="J263" s="199"/>
    </row>
    <row r="264" spans="1:19" x14ac:dyDescent="0.3">
      <c r="A264" s="174" t="s">
        <v>355</v>
      </c>
      <c r="B264" s="177" t="s">
        <v>396</v>
      </c>
      <c r="C264" s="191" t="s">
        <v>45</v>
      </c>
      <c r="D264" s="194">
        <v>17.55</v>
      </c>
      <c r="E264" s="195">
        <v>45</v>
      </c>
      <c r="F264" s="196">
        <v>0.45</v>
      </c>
      <c r="G264" s="197">
        <v>14</v>
      </c>
      <c r="H264" s="198">
        <f t="shared" ref="H264:H266" si="20">+D264*E264+D264*F264*G264</f>
        <v>900.31500000000005</v>
      </c>
      <c r="I264" s="199"/>
      <c r="J264" s="199"/>
    </row>
    <row r="265" spans="1:19" x14ac:dyDescent="0.3">
      <c r="A265" s="174" t="s">
        <v>397</v>
      </c>
      <c r="B265" s="189" t="s">
        <v>387</v>
      </c>
      <c r="C265" s="191" t="s">
        <v>45</v>
      </c>
      <c r="D265" s="194">
        <v>17.55</v>
      </c>
      <c r="E265" s="195">
        <v>45</v>
      </c>
      <c r="F265" s="196">
        <v>0.45</v>
      </c>
      <c r="G265" s="197">
        <v>14</v>
      </c>
      <c r="H265" s="198">
        <f t="shared" si="20"/>
        <v>900.31500000000005</v>
      </c>
      <c r="I265" s="199"/>
      <c r="J265" s="199"/>
    </row>
    <row r="266" spans="1:19" x14ac:dyDescent="0.3">
      <c r="A266" s="174" t="s">
        <v>398</v>
      </c>
      <c r="B266" s="189" t="s">
        <v>399</v>
      </c>
      <c r="C266" s="191" t="s">
        <v>45</v>
      </c>
      <c r="D266" s="194">
        <v>52.650000000000006</v>
      </c>
      <c r="E266" s="195">
        <v>45</v>
      </c>
      <c r="F266" s="196">
        <v>0.45</v>
      </c>
      <c r="G266" s="197">
        <v>14</v>
      </c>
      <c r="H266" s="198">
        <f t="shared" si="20"/>
        <v>2700.9450000000006</v>
      </c>
      <c r="I266" s="199"/>
      <c r="J266" s="199"/>
    </row>
    <row r="267" spans="1:19" ht="9.6" customHeight="1" x14ac:dyDescent="0.3">
      <c r="A267" s="174"/>
      <c r="B267" s="189"/>
      <c r="C267" s="191"/>
      <c r="D267" s="194"/>
      <c r="E267" s="195"/>
      <c r="F267" s="197"/>
      <c r="G267" s="197"/>
      <c r="H267" s="198"/>
      <c r="I267" s="199"/>
      <c r="J267" s="199"/>
    </row>
    <row r="268" spans="1:19" s="222" customFormat="1" x14ac:dyDescent="0.3">
      <c r="A268" s="192"/>
      <c r="B268" s="188"/>
      <c r="C268" s="216"/>
      <c r="D268" s="217"/>
      <c r="E268" s="218"/>
      <c r="F268" s="219"/>
      <c r="G268" s="219"/>
      <c r="H268" s="198"/>
      <c r="I268" s="199"/>
      <c r="J268" s="199"/>
      <c r="L268" s="223"/>
      <c r="M268" s="224"/>
      <c r="Q268" s="224"/>
      <c r="R268" s="224"/>
    </row>
    <row r="269" spans="1:19" x14ac:dyDescent="0.3">
      <c r="A269" s="174"/>
      <c r="B269" s="189"/>
      <c r="C269" s="191"/>
      <c r="D269" s="239"/>
      <c r="E269" s="195"/>
      <c r="F269" s="197"/>
      <c r="G269" s="197"/>
      <c r="H269" s="198"/>
      <c r="I269" s="199"/>
      <c r="J269" s="199"/>
    </row>
    <row r="270" spans="1:19" ht="9.6" customHeight="1" thickBot="1" x14ac:dyDescent="0.35">
      <c r="A270" s="226"/>
      <c r="B270" s="227"/>
      <c r="C270" s="228"/>
      <c r="D270" s="229"/>
      <c r="E270" s="230"/>
      <c r="F270" s="213"/>
      <c r="G270" s="213"/>
      <c r="H270" s="214"/>
      <c r="I270" s="199"/>
      <c r="J270" s="199"/>
    </row>
    <row r="271" spans="1:19" ht="15" thickTop="1" x14ac:dyDescent="0.3">
      <c r="A271" s="202"/>
      <c r="B271" s="203"/>
      <c r="C271" s="204"/>
      <c r="D271" s="205"/>
      <c r="E271" s="205"/>
      <c r="F271" s="205"/>
      <c r="G271" s="205"/>
      <c r="H271" s="206"/>
      <c r="I271" s="199"/>
      <c r="J271" s="199"/>
    </row>
    <row r="272" spans="1:19" x14ac:dyDescent="0.3">
      <c r="A272" s="207"/>
      <c r="B272" s="208"/>
      <c r="C272" s="209"/>
      <c r="D272" s="197" t="s">
        <v>22</v>
      </c>
      <c r="E272" s="197" t="s">
        <v>21</v>
      </c>
      <c r="F272" s="197"/>
      <c r="G272" s="197"/>
      <c r="H272" s="198">
        <f>SUM(H223:H270)</f>
        <v>53006.545800000007</v>
      </c>
      <c r="I272" s="199"/>
      <c r="J272" s="199"/>
    </row>
    <row r="273" spans="1:19" ht="15" thickBot="1" x14ac:dyDescent="0.35">
      <c r="A273" s="210"/>
      <c r="B273" s="211"/>
      <c r="C273" s="212"/>
      <c r="D273" s="213"/>
      <c r="E273" s="213"/>
      <c r="F273" s="213"/>
      <c r="G273" s="213"/>
      <c r="H273" s="214"/>
      <c r="I273" s="199"/>
      <c r="J273" s="199"/>
    </row>
    <row r="274" spans="1:19" ht="15" thickTop="1" x14ac:dyDescent="0.3">
      <c r="A274" s="231"/>
      <c r="B274" s="232"/>
      <c r="C274" s="233"/>
      <c r="D274" s="234"/>
      <c r="E274" s="235"/>
      <c r="F274" s="205"/>
      <c r="G274" s="205"/>
      <c r="H274" s="206"/>
      <c r="I274" s="199"/>
      <c r="J274" s="199"/>
    </row>
    <row r="275" spans="1:19" x14ac:dyDescent="0.3">
      <c r="A275" s="174"/>
      <c r="B275" s="184" t="s">
        <v>324</v>
      </c>
      <c r="C275" s="191"/>
      <c r="D275" s="194"/>
      <c r="E275" s="195"/>
      <c r="F275" s="197"/>
      <c r="G275" s="197"/>
      <c r="H275" s="198"/>
      <c r="I275" s="199"/>
      <c r="J275" s="199"/>
    </row>
    <row r="276" spans="1:19" ht="9" customHeight="1" x14ac:dyDescent="0.3">
      <c r="A276" s="174"/>
      <c r="B276" s="184"/>
      <c r="C276" s="191"/>
      <c r="D276" s="194"/>
      <c r="E276" s="195"/>
      <c r="F276" s="197"/>
      <c r="G276" s="197"/>
      <c r="H276" s="198"/>
      <c r="I276" s="199"/>
      <c r="J276" s="199"/>
    </row>
    <row r="277" spans="1:19" x14ac:dyDescent="0.3">
      <c r="A277" s="192"/>
      <c r="B277" s="184" t="s">
        <v>400</v>
      </c>
      <c r="C277" s="191"/>
      <c r="D277" s="194"/>
      <c r="E277" s="195"/>
      <c r="F277" s="197"/>
      <c r="G277" s="197"/>
      <c r="H277" s="198"/>
      <c r="I277" s="199"/>
      <c r="J277" s="199"/>
    </row>
    <row r="278" spans="1:19" ht="10.95" customHeight="1" x14ac:dyDescent="0.3">
      <c r="A278" s="192"/>
      <c r="B278" s="184"/>
      <c r="C278" s="191"/>
      <c r="D278" s="194"/>
      <c r="E278" s="195"/>
      <c r="F278" s="197"/>
      <c r="G278" s="197"/>
      <c r="H278" s="198"/>
      <c r="I278" s="199"/>
      <c r="J278" s="199"/>
    </row>
    <row r="279" spans="1:19" ht="27.6" x14ac:dyDescent="0.3">
      <c r="A279" s="192" t="s">
        <v>3</v>
      </c>
      <c r="B279" s="184" t="s">
        <v>401</v>
      </c>
      <c r="C279" s="191"/>
      <c r="D279" s="194"/>
      <c r="E279" s="195"/>
      <c r="F279" s="197"/>
      <c r="G279" s="197"/>
      <c r="H279" s="198"/>
      <c r="I279" s="199"/>
      <c r="J279" s="199"/>
    </row>
    <row r="280" spans="1:19" x14ac:dyDescent="0.3">
      <c r="A280" s="174" t="s">
        <v>275</v>
      </c>
      <c r="B280" s="189" t="s">
        <v>335</v>
      </c>
      <c r="C280" s="191" t="s">
        <v>45</v>
      </c>
      <c r="D280" s="194">
        <v>84.747</v>
      </c>
      <c r="E280" s="195">
        <v>45</v>
      </c>
      <c r="F280" s="196">
        <v>0.45</v>
      </c>
      <c r="G280" s="197">
        <v>14</v>
      </c>
      <c r="H280" s="198">
        <f t="shared" ref="H280:H282" si="21">+D280*E280+D280*F280*G280</f>
        <v>4347.5210999999999</v>
      </c>
      <c r="I280" s="199"/>
      <c r="J280" s="199"/>
      <c r="S280" s="200"/>
    </row>
    <row r="281" spans="1:19" x14ac:dyDescent="0.3">
      <c r="A281" s="174" t="s">
        <v>277</v>
      </c>
      <c r="B281" s="189" t="s">
        <v>295</v>
      </c>
      <c r="C281" s="191" t="s">
        <v>45</v>
      </c>
      <c r="D281" s="194">
        <v>56.497999999999998</v>
      </c>
      <c r="E281" s="195">
        <v>45</v>
      </c>
      <c r="F281" s="196">
        <v>0.45</v>
      </c>
      <c r="G281" s="197">
        <v>14</v>
      </c>
      <c r="H281" s="198">
        <f t="shared" si="21"/>
        <v>2898.3473999999997</v>
      </c>
      <c r="I281" s="199"/>
      <c r="J281" s="199"/>
      <c r="S281" s="200"/>
    </row>
    <row r="282" spans="1:19" x14ac:dyDescent="0.3">
      <c r="A282" s="174" t="s">
        <v>279</v>
      </c>
      <c r="B282" s="189" t="s">
        <v>402</v>
      </c>
      <c r="C282" s="191" t="s">
        <v>45</v>
      </c>
      <c r="D282" s="194">
        <v>28.248999999999999</v>
      </c>
      <c r="E282" s="195">
        <v>45</v>
      </c>
      <c r="F282" s="196">
        <v>0.45</v>
      </c>
      <c r="G282" s="197">
        <v>14</v>
      </c>
      <c r="H282" s="198">
        <f t="shared" si="21"/>
        <v>1449.1736999999998</v>
      </c>
      <c r="I282" s="199"/>
      <c r="J282" s="199"/>
      <c r="S282" s="200"/>
    </row>
    <row r="283" spans="1:19" ht="7.95" customHeight="1" x14ac:dyDescent="0.3">
      <c r="A283" s="192"/>
      <c r="B283" s="184"/>
      <c r="C283" s="191"/>
      <c r="D283" s="194"/>
      <c r="E283" s="195"/>
      <c r="F283" s="197"/>
      <c r="G283" s="197"/>
      <c r="H283" s="198"/>
      <c r="I283" s="199"/>
      <c r="J283" s="199"/>
    </row>
    <row r="284" spans="1:19" ht="27.6" x14ac:dyDescent="0.3">
      <c r="A284" s="192" t="s">
        <v>2</v>
      </c>
      <c r="B284" s="184" t="s">
        <v>403</v>
      </c>
      <c r="C284" s="191"/>
      <c r="D284" s="194"/>
      <c r="E284" s="195"/>
      <c r="F284" s="197"/>
      <c r="G284" s="197"/>
      <c r="H284" s="198"/>
      <c r="I284" s="199"/>
      <c r="J284" s="199"/>
    </row>
    <row r="285" spans="1:19" x14ac:dyDescent="0.3">
      <c r="A285" s="174" t="s">
        <v>292</v>
      </c>
      <c r="B285" s="189" t="s">
        <v>293</v>
      </c>
      <c r="C285" s="191" t="s">
        <v>45</v>
      </c>
      <c r="D285" s="194">
        <v>29.971499999999995</v>
      </c>
      <c r="E285" s="195">
        <v>45</v>
      </c>
      <c r="F285" s="196">
        <v>0.45</v>
      </c>
      <c r="G285" s="197">
        <v>14</v>
      </c>
      <c r="H285" s="198">
        <f t="shared" ref="H285" si="22">+D285*E285+D285*F285*G285</f>
        <v>1537.5379499999997</v>
      </c>
      <c r="I285" s="199"/>
      <c r="J285" s="199"/>
      <c r="S285" s="200"/>
    </row>
    <row r="286" spans="1:19" ht="7.95" customHeight="1" x14ac:dyDescent="0.3">
      <c r="A286" s="174"/>
      <c r="B286" s="189"/>
      <c r="C286" s="191"/>
      <c r="D286" s="194"/>
      <c r="E286" s="195"/>
      <c r="F286" s="197"/>
      <c r="G286" s="197"/>
      <c r="H286" s="198"/>
      <c r="I286" s="199"/>
      <c r="J286" s="199"/>
    </row>
    <row r="287" spans="1:19" x14ac:dyDescent="0.3">
      <c r="A287" s="192" t="s">
        <v>5</v>
      </c>
      <c r="B287" s="184" t="s">
        <v>395</v>
      </c>
      <c r="C287" s="191"/>
      <c r="D287" s="194"/>
      <c r="E287" s="195"/>
      <c r="F287" s="197"/>
      <c r="G287" s="197"/>
      <c r="H287" s="198"/>
      <c r="I287" s="199"/>
      <c r="J287" s="199"/>
    </row>
    <row r="288" spans="1:19" x14ac:dyDescent="0.3">
      <c r="A288" s="174" t="s">
        <v>307</v>
      </c>
      <c r="B288" s="177" t="s">
        <v>404</v>
      </c>
      <c r="C288" s="191" t="s">
        <v>45</v>
      </c>
      <c r="D288" s="194">
        <v>273.78000000000003</v>
      </c>
      <c r="E288" s="195">
        <v>45</v>
      </c>
      <c r="F288" s="196">
        <v>0.45</v>
      </c>
      <c r="G288" s="197">
        <v>14</v>
      </c>
      <c r="H288" s="198">
        <f t="shared" ref="H288:H289" si="23">+D288*E288+D288*F288*G288</f>
        <v>14044.914000000002</v>
      </c>
      <c r="I288" s="199"/>
      <c r="J288" s="199"/>
    </row>
    <row r="289" spans="1:19" x14ac:dyDescent="0.3">
      <c r="A289" s="174" t="s">
        <v>308</v>
      </c>
      <c r="B289" s="189" t="s">
        <v>405</v>
      </c>
      <c r="C289" s="191" t="s">
        <v>45</v>
      </c>
      <c r="D289" s="194">
        <v>14.040000000000001</v>
      </c>
      <c r="E289" s="195">
        <v>45</v>
      </c>
      <c r="F289" s="196">
        <v>0.45</v>
      </c>
      <c r="G289" s="197">
        <v>14</v>
      </c>
      <c r="H289" s="198">
        <f t="shared" si="23"/>
        <v>720.25200000000007</v>
      </c>
      <c r="I289" s="199"/>
      <c r="J289" s="199"/>
    </row>
    <row r="290" spans="1:19" ht="7.95" customHeight="1" x14ac:dyDescent="0.3">
      <c r="A290" s="174"/>
      <c r="B290" s="189"/>
      <c r="C290" s="191"/>
      <c r="D290" s="194"/>
      <c r="E290" s="195"/>
      <c r="F290" s="197"/>
      <c r="G290" s="197"/>
      <c r="H290" s="198"/>
      <c r="I290" s="199"/>
      <c r="J290" s="199"/>
    </row>
    <row r="291" spans="1:19" s="222" customFormat="1" x14ac:dyDescent="0.3">
      <c r="A291" s="192"/>
      <c r="B291" s="188"/>
      <c r="C291" s="216"/>
      <c r="D291" s="217"/>
      <c r="E291" s="218"/>
      <c r="F291" s="219"/>
      <c r="G291" s="219"/>
      <c r="H291" s="198"/>
      <c r="I291" s="199"/>
      <c r="J291" s="199"/>
      <c r="L291" s="223"/>
      <c r="M291" s="224"/>
      <c r="Q291" s="224"/>
      <c r="R291" s="224"/>
    </row>
    <row r="292" spans="1:19" x14ac:dyDescent="0.3">
      <c r="A292" s="174"/>
      <c r="B292" s="189"/>
      <c r="C292" s="191"/>
      <c r="D292" s="239"/>
      <c r="E292" s="195"/>
      <c r="F292" s="197"/>
      <c r="G292" s="197"/>
      <c r="H292" s="198"/>
      <c r="I292" s="199"/>
      <c r="J292" s="199"/>
    </row>
    <row r="293" spans="1:19" ht="6.6" customHeight="1" x14ac:dyDescent="0.3">
      <c r="A293" s="174"/>
      <c r="B293" s="189"/>
      <c r="C293" s="191"/>
      <c r="D293" s="194"/>
      <c r="E293" s="195"/>
      <c r="F293" s="197"/>
      <c r="G293" s="197"/>
      <c r="H293" s="198"/>
      <c r="I293" s="199"/>
      <c r="J293" s="199"/>
    </row>
    <row r="294" spans="1:19" x14ac:dyDescent="0.3">
      <c r="A294" s="174"/>
      <c r="B294" s="184" t="s">
        <v>406</v>
      </c>
      <c r="C294" s="191"/>
      <c r="D294" s="194"/>
      <c r="E294" s="195"/>
      <c r="F294" s="197"/>
      <c r="G294" s="197"/>
      <c r="H294" s="198"/>
      <c r="I294" s="199"/>
      <c r="J294" s="199"/>
    </row>
    <row r="295" spans="1:19" ht="9.6" customHeight="1" x14ac:dyDescent="0.3">
      <c r="A295" s="174"/>
      <c r="B295" s="184"/>
      <c r="C295" s="191"/>
      <c r="D295" s="194"/>
      <c r="E295" s="195"/>
      <c r="F295" s="197"/>
      <c r="G295" s="197"/>
      <c r="H295" s="198"/>
      <c r="I295" s="199"/>
      <c r="J295" s="199"/>
    </row>
    <row r="296" spans="1:19" ht="27.6" x14ac:dyDescent="0.3">
      <c r="A296" s="192" t="s">
        <v>8</v>
      </c>
      <c r="B296" s="184" t="s">
        <v>407</v>
      </c>
      <c r="C296" s="191"/>
      <c r="D296" s="194"/>
      <c r="E296" s="195"/>
      <c r="F296" s="197"/>
      <c r="G296" s="197"/>
      <c r="H296" s="198"/>
      <c r="I296" s="199"/>
      <c r="J296" s="199"/>
    </row>
    <row r="297" spans="1:19" x14ac:dyDescent="0.3">
      <c r="A297" s="174" t="s">
        <v>344</v>
      </c>
      <c r="B297" s="189" t="s">
        <v>327</v>
      </c>
      <c r="C297" s="191" t="s">
        <v>45</v>
      </c>
      <c r="D297" s="194">
        <v>63.96</v>
      </c>
      <c r="E297" s="195">
        <v>45</v>
      </c>
      <c r="F297" s="196">
        <v>0.45</v>
      </c>
      <c r="G297" s="197">
        <v>14</v>
      </c>
      <c r="H297" s="198">
        <f t="shared" ref="H297" si="24">+D297*E297+D297*F297*G297</f>
        <v>3281.1479999999997</v>
      </c>
      <c r="I297" s="199"/>
      <c r="J297" s="199"/>
      <c r="S297" s="200"/>
    </row>
    <row r="298" spans="1:19" ht="7.95" customHeight="1" x14ac:dyDescent="0.3">
      <c r="A298" s="174"/>
      <c r="B298" s="184"/>
      <c r="C298" s="191"/>
      <c r="D298" s="194"/>
      <c r="E298" s="195"/>
      <c r="F298" s="197"/>
      <c r="G298" s="197"/>
      <c r="H298" s="198"/>
      <c r="I298" s="199"/>
      <c r="J298" s="199"/>
    </row>
    <row r="299" spans="1:19" ht="27.6" x14ac:dyDescent="0.3">
      <c r="A299" s="192" t="s">
        <v>9</v>
      </c>
      <c r="B299" s="184" t="s">
        <v>408</v>
      </c>
      <c r="C299" s="191"/>
      <c r="D299" s="194"/>
      <c r="E299" s="195"/>
      <c r="F299" s="197"/>
      <c r="G299" s="197"/>
      <c r="H299" s="198"/>
      <c r="I299" s="199"/>
      <c r="J299" s="199"/>
    </row>
    <row r="300" spans="1:19" x14ac:dyDescent="0.3">
      <c r="A300" s="174" t="s">
        <v>391</v>
      </c>
      <c r="B300" s="189" t="s">
        <v>409</v>
      </c>
      <c r="C300" s="191" t="s">
        <v>45</v>
      </c>
      <c r="D300" s="194">
        <v>196.55999999999997</v>
      </c>
      <c r="E300" s="195">
        <v>45</v>
      </c>
      <c r="F300" s="196">
        <v>0.45</v>
      </c>
      <c r="G300" s="197">
        <v>14</v>
      </c>
      <c r="H300" s="198">
        <f t="shared" ref="H300:H303" si="25">+D300*E300+D300*F300*G300</f>
        <v>10083.527999999998</v>
      </c>
      <c r="I300" s="199"/>
      <c r="J300" s="199"/>
      <c r="S300" s="200"/>
    </row>
    <row r="301" spans="1:19" x14ac:dyDescent="0.3">
      <c r="A301" s="174" t="s">
        <v>392</v>
      </c>
      <c r="B301" s="189" t="s">
        <v>410</v>
      </c>
      <c r="C301" s="191" t="s">
        <v>45</v>
      </c>
      <c r="D301" s="194">
        <v>67.860000000000014</v>
      </c>
      <c r="E301" s="195">
        <v>45</v>
      </c>
      <c r="F301" s="196">
        <v>0.45</v>
      </c>
      <c r="G301" s="197">
        <v>14</v>
      </c>
      <c r="H301" s="198">
        <f t="shared" si="25"/>
        <v>3481.2180000000008</v>
      </c>
      <c r="I301" s="199"/>
      <c r="J301" s="199"/>
      <c r="S301" s="200"/>
    </row>
    <row r="302" spans="1:19" x14ac:dyDescent="0.3">
      <c r="A302" s="174" t="s">
        <v>411</v>
      </c>
      <c r="B302" s="189" t="s">
        <v>301</v>
      </c>
      <c r="C302" s="191" t="s">
        <v>45</v>
      </c>
      <c r="D302" s="194">
        <v>46.800000000000004</v>
      </c>
      <c r="E302" s="195">
        <v>45</v>
      </c>
      <c r="F302" s="196">
        <v>0.45</v>
      </c>
      <c r="G302" s="197">
        <v>14</v>
      </c>
      <c r="H302" s="198">
        <f t="shared" si="25"/>
        <v>2400.84</v>
      </c>
      <c r="I302" s="199"/>
      <c r="J302" s="199"/>
      <c r="S302" s="200"/>
    </row>
    <row r="303" spans="1:19" x14ac:dyDescent="0.3">
      <c r="A303" s="174" t="s">
        <v>412</v>
      </c>
      <c r="B303" s="189" t="s">
        <v>311</v>
      </c>
      <c r="C303" s="191" t="s">
        <v>45</v>
      </c>
      <c r="D303" s="194">
        <v>21.839999999999996</v>
      </c>
      <c r="E303" s="195">
        <v>45</v>
      </c>
      <c r="F303" s="196">
        <v>0.45</v>
      </c>
      <c r="G303" s="197">
        <v>14</v>
      </c>
      <c r="H303" s="198">
        <f t="shared" si="25"/>
        <v>1120.3919999999998</v>
      </c>
      <c r="I303" s="199"/>
      <c r="J303" s="199"/>
      <c r="S303" s="200"/>
    </row>
    <row r="304" spans="1:19" ht="7.95" customHeight="1" x14ac:dyDescent="0.3">
      <c r="A304" s="174"/>
      <c r="B304" s="189"/>
      <c r="C304" s="191"/>
      <c r="D304" s="194"/>
      <c r="E304" s="195"/>
      <c r="F304" s="197"/>
      <c r="G304" s="197"/>
      <c r="H304" s="198"/>
      <c r="I304" s="199"/>
      <c r="J304" s="199"/>
    </row>
    <row r="305" spans="1:19" x14ac:dyDescent="0.3">
      <c r="A305" s="192" t="s">
        <v>10</v>
      </c>
      <c r="B305" s="184" t="s">
        <v>342</v>
      </c>
      <c r="C305" s="191"/>
      <c r="D305" s="194"/>
      <c r="E305" s="195"/>
      <c r="F305" s="197"/>
      <c r="G305" s="197"/>
      <c r="H305" s="198"/>
      <c r="I305" s="199"/>
      <c r="J305" s="199"/>
    </row>
    <row r="306" spans="1:19" x14ac:dyDescent="0.3">
      <c r="A306" s="174" t="s">
        <v>347</v>
      </c>
      <c r="B306" s="177" t="s">
        <v>413</v>
      </c>
      <c r="C306" s="191" t="s">
        <v>45</v>
      </c>
      <c r="D306" s="194">
        <v>288.60000000000002</v>
      </c>
      <c r="E306" s="195">
        <v>45</v>
      </c>
      <c r="F306" s="196">
        <v>0.45</v>
      </c>
      <c r="G306" s="197">
        <v>14</v>
      </c>
      <c r="H306" s="198">
        <f t="shared" ref="H306:H307" si="26">+D306*E306+D306*F306*G306</f>
        <v>14805.180000000002</v>
      </c>
      <c r="I306" s="199"/>
      <c r="J306" s="199"/>
    </row>
    <row r="307" spans="1:19" x14ac:dyDescent="0.3">
      <c r="A307" s="174" t="s">
        <v>373</v>
      </c>
      <c r="B307" s="189" t="s">
        <v>414</v>
      </c>
      <c r="C307" s="191" t="s">
        <v>45</v>
      </c>
      <c r="D307" s="194">
        <v>72.150000000000006</v>
      </c>
      <c r="E307" s="195">
        <v>45</v>
      </c>
      <c r="F307" s="196">
        <v>0.45</v>
      </c>
      <c r="G307" s="197">
        <v>14</v>
      </c>
      <c r="H307" s="198">
        <f t="shared" si="26"/>
        <v>3701.2950000000005</v>
      </c>
      <c r="I307" s="199"/>
      <c r="J307" s="199"/>
    </row>
    <row r="308" spans="1:19" ht="8.4" customHeight="1" x14ac:dyDescent="0.3">
      <c r="A308" s="174"/>
      <c r="B308" s="189"/>
      <c r="C308" s="191"/>
      <c r="D308" s="194"/>
      <c r="E308" s="195"/>
      <c r="F308" s="197"/>
      <c r="G308" s="197"/>
      <c r="H308" s="198"/>
      <c r="I308" s="199"/>
      <c r="J308" s="199"/>
    </row>
    <row r="309" spans="1:19" ht="27.6" x14ac:dyDescent="0.3">
      <c r="A309" s="192" t="s">
        <v>11</v>
      </c>
      <c r="B309" s="184" t="s">
        <v>415</v>
      </c>
      <c r="C309" s="191"/>
      <c r="D309" s="194"/>
      <c r="E309" s="195"/>
      <c r="F309" s="197"/>
      <c r="G309" s="197"/>
      <c r="H309" s="198"/>
      <c r="I309" s="199"/>
      <c r="J309" s="199"/>
    </row>
    <row r="310" spans="1:19" x14ac:dyDescent="0.3">
      <c r="A310" s="174" t="s">
        <v>349</v>
      </c>
      <c r="B310" s="189" t="s">
        <v>363</v>
      </c>
      <c r="C310" s="191" t="s">
        <v>45</v>
      </c>
      <c r="D310" s="194">
        <v>198.27600000000001</v>
      </c>
      <c r="E310" s="195">
        <v>45</v>
      </c>
      <c r="F310" s="196">
        <v>0.45</v>
      </c>
      <c r="G310" s="197">
        <v>14</v>
      </c>
      <c r="H310" s="198">
        <f t="shared" ref="H310:H312" si="27">+D310*E310+D310*F310*G310</f>
        <v>10171.558800000001</v>
      </c>
      <c r="I310" s="199"/>
      <c r="J310" s="199"/>
      <c r="S310" s="200"/>
    </row>
    <row r="311" spans="1:19" x14ac:dyDescent="0.3">
      <c r="A311" s="174" t="s">
        <v>350</v>
      </c>
      <c r="B311" s="189" t="s">
        <v>336</v>
      </c>
      <c r="C311" s="191" t="s">
        <v>45</v>
      </c>
      <c r="D311" s="194">
        <v>49.569000000000003</v>
      </c>
      <c r="E311" s="195">
        <v>45</v>
      </c>
      <c r="F311" s="196">
        <v>0.45</v>
      </c>
      <c r="G311" s="197">
        <v>14</v>
      </c>
      <c r="H311" s="198">
        <f t="shared" si="27"/>
        <v>2542.8897000000002</v>
      </c>
      <c r="I311" s="199"/>
      <c r="J311" s="199"/>
      <c r="S311" s="200"/>
    </row>
    <row r="312" spans="1:19" x14ac:dyDescent="0.3">
      <c r="A312" s="174" t="s">
        <v>351</v>
      </c>
      <c r="B312" s="189" t="s">
        <v>337</v>
      </c>
      <c r="C312" s="191" t="s">
        <v>45</v>
      </c>
      <c r="D312" s="194">
        <v>101.55600000000003</v>
      </c>
      <c r="E312" s="195">
        <v>45</v>
      </c>
      <c r="F312" s="196">
        <v>0.45</v>
      </c>
      <c r="G312" s="197">
        <v>14</v>
      </c>
      <c r="H312" s="198">
        <f t="shared" si="27"/>
        <v>5209.8228000000017</v>
      </c>
      <c r="I312" s="199"/>
      <c r="J312" s="199"/>
      <c r="S312" s="200"/>
    </row>
    <row r="313" spans="1:19" ht="7.95" customHeight="1" x14ac:dyDescent="0.3">
      <c r="A313" s="174"/>
      <c r="B313" s="189"/>
      <c r="C313" s="191"/>
      <c r="D313" s="194"/>
      <c r="E313" s="195"/>
      <c r="F313" s="197"/>
      <c r="G313" s="197"/>
      <c r="H313" s="198"/>
      <c r="I313" s="199"/>
      <c r="J313" s="199"/>
    </row>
    <row r="314" spans="1:19" ht="27.6" x14ac:dyDescent="0.3">
      <c r="A314" s="192" t="s">
        <v>13</v>
      </c>
      <c r="B314" s="240" t="s">
        <v>416</v>
      </c>
      <c r="C314" s="191"/>
      <c r="D314" s="194"/>
      <c r="E314" s="195"/>
      <c r="F314" s="197"/>
      <c r="G314" s="197"/>
      <c r="H314" s="198"/>
      <c r="I314" s="199"/>
      <c r="J314" s="199"/>
    </row>
    <row r="315" spans="1:19" x14ac:dyDescent="0.3">
      <c r="A315" s="174" t="s">
        <v>355</v>
      </c>
      <c r="B315" s="189" t="s">
        <v>417</v>
      </c>
      <c r="C315" s="191" t="s">
        <v>45</v>
      </c>
      <c r="D315" s="194">
        <v>372.37199999999996</v>
      </c>
      <c r="E315" s="195">
        <v>45</v>
      </c>
      <c r="F315" s="196">
        <v>0.45</v>
      </c>
      <c r="G315" s="197">
        <v>14</v>
      </c>
      <c r="H315" s="198">
        <f t="shared" ref="H315:H318" si="28">+D315*E315+D315*F315*G315</f>
        <v>19102.683599999997</v>
      </c>
      <c r="I315" s="199"/>
      <c r="J315" s="199"/>
      <c r="S315" s="200"/>
    </row>
    <row r="316" spans="1:19" x14ac:dyDescent="0.3">
      <c r="A316" s="174" t="s">
        <v>397</v>
      </c>
      <c r="B316" s="189" t="s">
        <v>418</v>
      </c>
      <c r="C316" s="191" t="s">
        <v>45</v>
      </c>
      <c r="D316" s="194">
        <v>203.11199999999997</v>
      </c>
      <c r="E316" s="195">
        <v>45</v>
      </c>
      <c r="F316" s="196">
        <v>0.45</v>
      </c>
      <c r="G316" s="197">
        <v>14</v>
      </c>
      <c r="H316" s="198">
        <f t="shared" si="28"/>
        <v>10419.6456</v>
      </c>
      <c r="I316" s="199"/>
      <c r="J316" s="199"/>
      <c r="S316" s="200"/>
    </row>
    <row r="317" spans="1:19" x14ac:dyDescent="0.3">
      <c r="A317" s="174" t="s">
        <v>398</v>
      </c>
      <c r="B317" s="189" t="s">
        <v>301</v>
      </c>
      <c r="C317" s="191" t="s">
        <v>45</v>
      </c>
      <c r="D317" s="194">
        <v>72.540000000000006</v>
      </c>
      <c r="E317" s="195">
        <v>45</v>
      </c>
      <c r="F317" s="196">
        <v>0.45</v>
      </c>
      <c r="G317" s="197">
        <v>14</v>
      </c>
      <c r="H317" s="198">
        <f t="shared" si="28"/>
        <v>3721.3020000000001</v>
      </c>
      <c r="I317" s="199"/>
      <c r="J317" s="199"/>
      <c r="S317" s="200"/>
    </row>
    <row r="318" spans="1:19" x14ac:dyDescent="0.3">
      <c r="A318" s="174" t="s">
        <v>419</v>
      </c>
      <c r="B318" s="189" t="s">
        <v>311</v>
      </c>
      <c r="C318" s="191" t="s">
        <v>45</v>
      </c>
      <c r="D318" s="194">
        <v>33.851999999999997</v>
      </c>
      <c r="E318" s="195">
        <v>45</v>
      </c>
      <c r="F318" s="196">
        <v>0.45</v>
      </c>
      <c r="G318" s="197">
        <v>14</v>
      </c>
      <c r="H318" s="198">
        <f t="shared" si="28"/>
        <v>1736.6075999999998</v>
      </c>
      <c r="I318" s="199"/>
      <c r="J318" s="199"/>
      <c r="S318" s="200"/>
    </row>
    <row r="319" spans="1:19" ht="8.4" customHeight="1" x14ac:dyDescent="0.3">
      <c r="A319" s="174"/>
      <c r="B319" s="189"/>
      <c r="C319" s="191"/>
      <c r="D319" s="194"/>
      <c r="E319" s="195"/>
      <c r="F319" s="197"/>
      <c r="G319" s="197"/>
      <c r="H319" s="198"/>
      <c r="I319" s="199"/>
      <c r="J319" s="199"/>
    </row>
    <row r="320" spans="1:19" x14ac:dyDescent="0.3">
      <c r="A320" s="192"/>
      <c r="B320" s="184"/>
      <c r="C320" s="191"/>
      <c r="D320" s="194"/>
      <c r="E320" s="195"/>
      <c r="F320" s="197"/>
      <c r="G320" s="197"/>
      <c r="H320" s="198"/>
      <c r="I320" s="199"/>
      <c r="J320" s="199"/>
    </row>
    <row r="321" spans="1:19" x14ac:dyDescent="0.3">
      <c r="A321" s="174"/>
      <c r="B321" s="242"/>
      <c r="C321" s="243"/>
      <c r="D321" s="244"/>
      <c r="E321" s="243"/>
      <c r="F321" s="199"/>
      <c r="G321" s="199"/>
      <c r="H321" s="198"/>
      <c r="I321" s="199"/>
      <c r="J321" s="199"/>
    </row>
    <row r="322" spans="1:19" x14ac:dyDescent="0.3">
      <c r="A322" s="174"/>
      <c r="B322" s="201"/>
      <c r="C322" s="195"/>
      <c r="D322" s="225"/>
      <c r="E322" s="195"/>
      <c r="F322" s="197"/>
      <c r="G322" s="197"/>
      <c r="H322" s="198"/>
      <c r="I322" s="199"/>
      <c r="J322" s="199"/>
    </row>
    <row r="323" spans="1:19" ht="9.6" customHeight="1" thickBot="1" x14ac:dyDescent="0.35">
      <c r="A323" s="174"/>
      <c r="B323" s="189"/>
      <c r="C323" s="191"/>
      <c r="D323" s="185"/>
      <c r="E323" s="186"/>
      <c r="F323" s="187"/>
      <c r="G323" s="187"/>
      <c r="H323" s="245"/>
      <c r="I323" s="179"/>
      <c r="J323" s="179"/>
    </row>
    <row r="324" spans="1:19" ht="15" thickTop="1" x14ac:dyDescent="0.3">
      <c r="A324" s="202"/>
      <c r="B324" s="203"/>
      <c r="C324" s="204"/>
      <c r="D324" s="205"/>
      <c r="E324" s="205"/>
      <c r="F324" s="205"/>
      <c r="G324" s="205"/>
      <c r="H324" s="206"/>
      <c r="I324" s="199"/>
      <c r="J324" s="199"/>
    </row>
    <row r="325" spans="1:19" x14ac:dyDescent="0.3">
      <c r="A325" s="207"/>
      <c r="B325" s="208"/>
      <c r="C325" s="209"/>
      <c r="D325" s="197" t="s">
        <v>22</v>
      </c>
      <c r="E325" s="197" t="s">
        <v>21</v>
      </c>
      <c r="F325" s="197"/>
      <c r="G325" s="197"/>
      <c r="H325" s="198">
        <f>SUM(H274:H323)</f>
        <v>116775.85725</v>
      </c>
      <c r="I325" s="199"/>
      <c r="J325" s="199"/>
      <c r="M325" s="150"/>
    </row>
    <row r="326" spans="1:19" ht="15" thickBot="1" x14ac:dyDescent="0.35">
      <c r="A326" s="210"/>
      <c r="B326" s="211"/>
      <c r="C326" s="212"/>
      <c r="D326" s="213"/>
      <c r="E326" s="213"/>
      <c r="F326" s="213"/>
      <c r="G326" s="213"/>
      <c r="H326" s="214"/>
      <c r="I326" s="199"/>
      <c r="J326" s="199"/>
      <c r="M326" s="150"/>
      <c r="S326" s="155"/>
    </row>
    <row r="327" spans="1:19" ht="15" thickTop="1" x14ac:dyDescent="0.3">
      <c r="A327" s="231"/>
      <c r="B327" s="232"/>
      <c r="C327" s="233"/>
      <c r="D327" s="234"/>
      <c r="E327" s="235"/>
      <c r="F327" s="205"/>
      <c r="G327" s="205"/>
      <c r="H327" s="206"/>
      <c r="I327" s="199"/>
      <c r="J327" s="199"/>
    </row>
    <row r="328" spans="1:19" x14ac:dyDescent="0.3">
      <c r="A328" s="174"/>
      <c r="B328" s="246" t="s">
        <v>23</v>
      </c>
      <c r="C328" s="191"/>
      <c r="D328" s="194"/>
      <c r="E328" s="195"/>
      <c r="F328" s="197"/>
      <c r="G328" s="197"/>
      <c r="H328" s="198"/>
      <c r="I328" s="199"/>
      <c r="J328" s="199"/>
      <c r="S328" s="155"/>
    </row>
    <row r="329" spans="1:19" x14ac:dyDescent="0.3">
      <c r="A329" s="174"/>
      <c r="B329" s="184"/>
      <c r="C329" s="191"/>
      <c r="D329" s="194"/>
      <c r="E329" s="195"/>
      <c r="F329" s="197"/>
      <c r="G329" s="197"/>
      <c r="H329" s="198"/>
      <c r="I329" s="199"/>
      <c r="J329" s="199"/>
    </row>
    <row r="330" spans="1:19" x14ac:dyDescent="0.3">
      <c r="A330" s="192"/>
      <c r="B330" s="247" t="s">
        <v>420</v>
      </c>
      <c r="C330" s="191"/>
      <c r="D330" s="194"/>
      <c r="E330" s="195"/>
      <c r="F330" s="197"/>
      <c r="G330" s="197"/>
      <c r="H330" s="198">
        <f>+H49</f>
        <v>230660.70300000001</v>
      </c>
      <c r="I330" s="199"/>
      <c r="J330" s="199"/>
    </row>
    <row r="331" spans="1:19" x14ac:dyDescent="0.3">
      <c r="A331" s="192"/>
      <c r="B331" s="247"/>
      <c r="C331" s="191"/>
      <c r="D331" s="194"/>
      <c r="E331" s="195"/>
      <c r="F331" s="197"/>
      <c r="G331" s="197"/>
      <c r="H331" s="198"/>
      <c r="I331" s="199"/>
      <c r="J331" s="199"/>
    </row>
    <row r="332" spans="1:19" x14ac:dyDescent="0.3">
      <c r="A332" s="192"/>
      <c r="B332" s="247" t="s">
        <v>421</v>
      </c>
      <c r="C332" s="191"/>
      <c r="D332" s="194"/>
      <c r="E332" s="195"/>
      <c r="F332" s="197"/>
      <c r="G332" s="197"/>
      <c r="H332" s="198">
        <f>+H71</f>
        <v>42559.223849999995</v>
      </c>
      <c r="I332" s="199"/>
      <c r="J332" s="199"/>
    </row>
    <row r="333" spans="1:19" x14ac:dyDescent="0.3">
      <c r="A333" s="192"/>
      <c r="B333" s="184"/>
      <c r="C333" s="191"/>
      <c r="D333" s="194"/>
      <c r="E333" s="195"/>
      <c r="F333" s="197"/>
      <c r="G333" s="197"/>
      <c r="H333" s="198"/>
      <c r="I333" s="199"/>
      <c r="J333" s="199"/>
    </row>
    <row r="334" spans="1:19" x14ac:dyDescent="0.3">
      <c r="A334" s="192"/>
      <c r="B334" s="247" t="s">
        <v>422</v>
      </c>
      <c r="C334" s="191"/>
      <c r="D334" s="194"/>
      <c r="E334" s="195"/>
      <c r="F334" s="197"/>
      <c r="G334" s="197"/>
      <c r="H334" s="198">
        <f>+H114</f>
        <v>55579.112550000005</v>
      </c>
      <c r="I334" s="199"/>
      <c r="J334" s="199"/>
    </row>
    <row r="335" spans="1:19" x14ac:dyDescent="0.3">
      <c r="A335" s="174"/>
      <c r="B335" s="189"/>
      <c r="C335" s="191"/>
      <c r="D335" s="194"/>
      <c r="E335" s="195"/>
      <c r="F335" s="197"/>
      <c r="G335" s="197"/>
      <c r="H335" s="198"/>
      <c r="I335" s="199"/>
      <c r="J335" s="199"/>
    </row>
    <row r="336" spans="1:19" x14ac:dyDescent="0.3">
      <c r="A336" s="174"/>
      <c r="B336" s="247" t="s">
        <v>423</v>
      </c>
      <c r="C336" s="191"/>
      <c r="D336" s="194"/>
      <c r="E336" s="195"/>
      <c r="F336" s="197"/>
      <c r="G336" s="197"/>
      <c r="H336" s="198">
        <f>+H166</f>
        <v>130177.21275000002</v>
      </c>
      <c r="I336" s="199"/>
      <c r="J336" s="199"/>
    </row>
    <row r="337" spans="1:10" x14ac:dyDescent="0.3">
      <c r="A337" s="174"/>
      <c r="B337" s="189"/>
      <c r="C337" s="191"/>
      <c r="D337" s="194"/>
      <c r="E337" s="195"/>
      <c r="F337" s="197"/>
      <c r="G337" s="197"/>
      <c r="H337" s="198"/>
      <c r="I337" s="199"/>
      <c r="J337" s="199"/>
    </row>
    <row r="338" spans="1:10" x14ac:dyDescent="0.3">
      <c r="A338" s="174"/>
      <c r="B338" s="247" t="s">
        <v>424</v>
      </c>
      <c r="C338" s="191"/>
      <c r="D338" s="194"/>
      <c r="E338" s="195"/>
      <c r="F338" s="197"/>
      <c r="G338" s="197"/>
      <c r="H338" s="198">
        <f>+H221</f>
        <v>77778.879750000007</v>
      </c>
      <c r="I338" s="199"/>
      <c r="J338" s="199"/>
    </row>
    <row r="339" spans="1:10" x14ac:dyDescent="0.3">
      <c r="A339" s="192"/>
      <c r="B339" s="184"/>
      <c r="C339" s="191"/>
      <c r="D339" s="194"/>
      <c r="E339" s="195"/>
      <c r="F339" s="197"/>
      <c r="G339" s="197"/>
      <c r="H339" s="198"/>
      <c r="I339" s="199"/>
      <c r="J339" s="199"/>
    </row>
    <row r="340" spans="1:10" x14ac:dyDescent="0.3">
      <c r="A340" s="174"/>
      <c r="B340" s="247" t="s">
        <v>425</v>
      </c>
      <c r="C340" s="191"/>
      <c r="D340" s="194"/>
      <c r="E340" s="195"/>
      <c r="F340" s="197"/>
      <c r="G340" s="197"/>
      <c r="H340" s="198">
        <f>+H272</f>
        <v>53006.545800000007</v>
      </c>
      <c r="I340" s="199"/>
      <c r="J340" s="199"/>
    </row>
    <row r="341" spans="1:10" x14ac:dyDescent="0.3">
      <c r="A341" s="174"/>
      <c r="B341" s="189"/>
      <c r="C341" s="191"/>
      <c r="D341" s="194"/>
      <c r="E341" s="195"/>
      <c r="F341" s="197"/>
      <c r="G341" s="197"/>
      <c r="H341" s="198"/>
      <c r="I341" s="199"/>
      <c r="J341" s="199"/>
    </row>
    <row r="342" spans="1:10" x14ac:dyDescent="0.3">
      <c r="A342" s="192"/>
      <c r="B342" s="247" t="s">
        <v>426</v>
      </c>
      <c r="C342" s="216"/>
      <c r="D342" s="217"/>
      <c r="E342" s="218"/>
      <c r="F342" s="219"/>
      <c r="G342" s="219"/>
      <c r="H342" s="198">
        <f>+H325</f>
        <v>116775.85725</v>
      </c>
      <c r="I342" s="199"/>
      <c r="J342" s="199"/>
    </row>
    <row r="343" spans="1:10" x14ac:dyDescent="0.3">
      <c r="A343" s="174"/>
      <c r="B343" s="189"/>
      <c r="C343" s="191"/>
      <c r="D343" s="239"/>
      <c r="E343" s="195"/>
      <c r="F343" s="197"/>
      <c r="G343" s="197"/>
      <c r="H343" s="198"/>
      <c r="I343" s="199"/>
      <c r="J343" s="199"/>
    </row>
    <row r="344" spans="1:10" x14ac:dyDescent="0.3">
      <c r="A344" s="174"/>
      <c r="B344" s="189"/>
      <c r="C344" s="191"/>
      <c r="D344" s="194"/>
      <c r="E344" s="195"/>
      <c r="F344" s="197"/>
      <c r="G344" s="197"/>
      <c r="H344" s="198"/>
      <c r="I344" s="199"/>
      <c r="J344" s="199"/>
    </row>
    <row r="345" spans="1:10" x14ac:dyDescent="0.3">
      <c r="A345" s="174"/>
      <c r="B345" s="184"/>
      <c r="C345" s="191"/>
      <c r="D345" s="194"/>
      <c r="E345" s="195"/>
      <c r="F345" s="197"/>
      <c r="G345" s="197"/>
      <c r="H345" s="198"/>
      <c r="I345" s="199"/>
      <c r="J345" s="199"/>
    </row>
    <row r="346" spans="1:10" x14ac:dyDescent="0.3">
      <c r="A346" s="174"/>
      <c r="B346" s="184"/>
      <c r="C346" s="191"/>
      <c r="D346" s="194"/>
      <c r="E346" s="195"/>
      <c r="F346" s="197"/>
      <c r="G346" s="197"/>
      <c r="H346" s="198"/>
      <c r="I346" s="199"/>
      <c r="J346" s="199"/>
    </row>
    <row r="347" spans="1:10" x14ac:dyDescent="0.3">
      <c r="A347" s="192"/>
      <c r="B347" s="184"/>
      <c r="C347" s="191"/>
      <c r="D347" s="194"/>
      <c r="E347" s="195"/>
      <c r="F347" s="197"/>
      <c r="G347" s="197"/>
      <c r="H347" s="198"/>
      <c r="I347" s="199"/>
      <c r="J347" s="199"/>
    </row>
    <row r="348" spans="1:10" x14ac:dyDescent="0.3">
      <c r="A348" s="174"/>
      <c r="B348" s="189"/>
      <c r="C348" s="191"/>
      <c r="D348" s="194"/>
      <c r="E348" s="195"/>
      <c r="F348" s="197"/>
      <c r="G348" s="197"/>
      <c r="H348" s="198"/>
      <c r="I348" s="199"/>
      <c r="J348" s="199"/>
    </row>
    <row r="349" spans="1:10" x14ac:dyDescent="0.3">
      <c r="A349" s="174"/>
      <c r="B349" s="189"/>
      <c r="C349" s="191"/>
      <c r="D349" s="194"/>
      <c r="E349" s="195"/>
      <c r="F349" s="197"/>
      <c r="G349" s="197"/>
      <c r="H349" s="198"/>
      <c r="I349" s="199"/>
      <c r="J349" s="199"/>
    </row>
    <row r="350" spans="1:10" x14ac:dyDescent="0.3">
      <c r="A350" s="174"/>
      <c r="B350" s="189"/>
      <c r="C350" s="191"/>
      <c r="D350" s="194"/>
      <c r="E350" s="195"/>
      <c r="F350" s="197"/>
      <c r="G350" s="197"/>
      <c r="H350" s="198"/>
      <c r="I350" s="199"/>
      <c r="J350" s="199"/>
    </row>
    <row r="351" spans="1:10" x14ac:dyDescent="0.3">
      <c r="A351" s="174"/>
      <c r="B351" s="189"/>
      <c r="C351" s="191"/>
      <c r="D351" s="194"/>
      <c r="E351" s="195"/>
      <c r="F351" s="197"/>
      <c r="G351" s="197"/>
      <c r="H351" s="198"/>
      <c r="I351" s="199"/>
      <c r="J351" s="199"/>
    </row>
    <row r="352" spans="1:10" x14ac:dyDescent="0.3">
      <c r="A352" s="174"/>
      <c r="B352" s="189"/>
      <c r="C352" s="191"/>
      <c r="D352" s="194"/>
      <c r="E352" s="195"/>
      <c r="F352" s="197"/>
      <c r="G352" s="197"/>
      <c r="H352" s="198"/>
      <c r="I352" s="199"/>
      <c r="J352" s="199"/>
    </row>
    <row r="353" spans="1:10" x14ac:dyDescent="0.3">
      <c r="A353" s="174"/>
      <c r="B353" s="189"/>
      <c r="C353" s="191"/>
      <c r="D353" s="194"/>
      <c r="E353" s="195"/>
      <c r="F353" s="197"/>
      <c r="G353" s="197"/>
      <c r="H353" s="198"/>
      <c r="I353" s="199"/>
      <c r="J353" s="199"/>
    </row>
    <row r="354" spans="1:10" x14ac:dyDescent="0.3">
      <c r="A354" s="192"/>
      <c r="B354" s="184"/>
      <c r="C354" s="191"/>
      <c r="D354" s="194"/>
      <c r="E354" s="195"/>
      <c r="F354" s="197"/>
      <c r="G354" s="197"/>
      <c r="H354" s="198"/>
      <c r="I354" s="199"/>
      <c r="J354" s="199"/>
    </row>
    <row r="355" spans="1:10" x14ac:dyDescent="0.3">
      <c r="A355" s="174"/>
      <c r="B355" s="177"/>
      <c r="C355" s="191"/>
      <c r="D355" s="194"/>
      <c r="E355" s="195"/>
      <c r="F355" s="197"/>
      <c r="G355" s="197"/>
      <c r="H355" s="198"/>
      <c r="I355" s="199"/>
      <c r="J355" s="199"/>
    </row>
    <row r="356" spans="1:10" x14ac:dyDescent="0.3">
      <c r="A356" s="174"/>
      <c r="B356" s="189"/>
      <c r="C356" s="191"/>
      <c r="D356" s="194"/>
      <c r="E356" s="195"/>
      <c r="F356" s="197"/>
      <c r="G356" s="197"/>
      <c r="H356" s="198"/>
      <c r="I356" s="199"/>
      <c r="J356" s="199"/>
    </row>
    <row r="357" spans="1:10" x14ac:dyDescent="0.3">
      <c r="A357" s="174"/>
      <c r="B357" s="189"/>
      <c r="C357" s="191"/>
      <c r="D357" s="194"/>
      <c r="E357" s="195"/>
      <c r="F357" s="197"/>
      <c r="G357" s="197"/>
      <c r="H357" s="198"/>
      <c r="I357" s="199"/>
      <c r="J357" s="199"/>
    </row>
    <row r="358" spans="1:10" x14ac:dyDescent="0.3">
      <c r="A358" s="192"/>
      <c r="B358" s="184"/>
      <c r="C358" s="191"/>
      <c r="D358" s="194"/>
      <c r="E358" s="195"/>
      <c r="F358" s="197"/>
      <c r="G358" s="197"/>
      <c r="H358" s="198"/>
      <c r="I358" s="199"/>
      <c r="J358" s="199"/>
    </row>
    <row r="359" spans="1:10" x14ac:dyDescent="0.3">
      <c r="A359" s="174"/>
      <c r="B359" s="189"/>
      <c r="C359" s="191"/>
      <c r="D359" s="194"/>
      <c r="E359" s="195"/>
      <c r="F359" s="197"/>
      <c r="G359" s="197"/>
      <c r="H359" s="198"/>
      <c r="I359" s="199"/>
      <c r="J359" s="199"/>
    </row>
    <row r="360" spans="1:10" x14ac:dyDescent="0.3">
      <c r="A360" s="174"/>
      <c r="B360" s="189"/>
      <c r="C360" s="191"/>
      <c r="D360" s="194"/>
      <c r="E360" s="195"/>
      <c r="F360" s="197"/>
      <c r="G360" s="197"/>
      <c r="H360" s="198"/>
      <c r="I360" s="199"/>
      <c r="J360" s="199"/>
    </row>
    <row r="361" spans="1:10" x14ac:dyDescent="0.3">
      <c r="A361" s="174"/>
      <c r="B361" s="189"/>
      <c r="C361" s="191"/>
      <c r="D361" s="194"/>
      <c r="E361" s="195"/>
      <c r="F361" s="197"/>
      <c r="G361" s="197"/>
      <c r="H361" s="198"/>
      <c r="I361" s="199"/>
      <c r="J361" s="199"/>
    </row>
    <row r="362" spans="1:10" x14ac:dyDescent="0.3">
      <c r="A362" s="174"/>
      <c r="B362" s="189"/>
      <c r="C362" s="191"/>
      <c r="D362" s="194"/>
      <c r="E362" s="195"/>
      <c r="F362" s="197"/>
      <c r="G362" s="197"/>
      <c r="H362" s="198"/>
      <c r="I362" s="199"/>
      <c r="J362" s="199"/>
    </row>
    <row r="363" spans="1:10" x14ac:dyDescent="0.3">
      <c r="A363" s="174"/>
      <c r="B363" s="189"/>
      <c r="C363" s="191"/>
      <c r="D363" s="194"/>
      <c r="E363" s="195"/>
      <c r="F363" s="197"/>
      <c r="G363" s="197"/>
      <c r="H363" s="198"/>
      <c r="I363" s="199"/>
      <c r="J363" s="199"/>
    </row>
    <row r="364" spans="1:10" x14ac:dyDescent="0.3">
      <c r="A364" s="174"/>
      <c r="B364" s="189"/>
      <c r="C364" s="191"/>
      <c r="D364" s="194"/>
      <c r="E364" s="195"/>
      <c r="F364" s="197"/>
      <c r="G364" s="197"/>
      <c r="H364" s="198"/>
      <c r="I364" s="199"/>
      <c r="J364" s="199"/>
    </row>
    <row r="365" spans="1:10" ht="15" thickBot="1" x14ac:dyDescent="0.35">
      <c r="A365" s="174"/>
      <c r="B365" s="189"/>
      <c r="C365" s="191"/>
      <c r="D365" s="185"/>
      <c r="E365" s="186"/>
      <c r="F365" s="187"/>
      <c r="G365" s="187"/>
      <c r="H365" s="245"/>
      <c r="I365" s="179"/>
      <c r="J365" s="179"/>
    </row>
    <row r="366" spans="1:10" ht="15" thickTop="1" x14ac:dyDescent="0.3">
      <c r="A366" s="202"/>
      <c r="B366" s="203"/>
      <c r="C366" s="204"/>
      <c r="D366" s="205"/>
      <c r="E366" s="205"/>
      <c r="F366" s="205"/>
      <c r="G366" s="205"/>
      <c r="H366" s="206"/>
      <c r="I366" s="199"/>
      <c r="J366" s="199"/>
    </row>
    <row r="367" spans="1:10" x14ac:dyDescent="0.3">
      <c r="A367" s="207"/>
      <c r="B367" s="208"/>
      <c r="C367" s="209"/>
      <c r="D367" s="197" t="s">
        <v>28</v>
      </c>
      <c r="E367" s="197" t="s">
        <v>21</v>
      </c>
      <c r="F367" s="197"/>
      <c r="G367" s="197"/>
      <c r="H367" s="198">
        <f>SUM(H327:H365)</f>
        <v>706537.53495</v>
      </c>
      <c r="I367" s="199"/>
      <c r="J367" s="199"/>
    </row>
    <row r="368" spans="1:10" ht="15" thickBot="1" x14ac:dyDescent="0.35">
      <c r="A368" s="210"/>
      <c r="B368" s="211"/>
      <c r="C368" s="212"/>
      <c r="D368" s="213"/>
      <c r="E368" s="213"/>
      <c r="F368" s="213"/>
      <c r="G368" s="213"/>
      <c r="H368" s="214"/>
      <c r="I368" s="199"/>
      <c r="J368" s="199"/>
    </row>
    <row r="369" ht="15" thickTop="1" x14ac:dyDescent="0.3"/>
  </sheetData>
  <autoFilter ref="A6:H369" xr:uid="{541148B5-7CF4-4271-B8CF-E26BC4124E06}"/>
  <mergeCells count="4">
    <mergeCell ref="A6:A7"/>
    <mergeCell ref="B6:B7"/>
    <mergeCell ref="C6:C7"/>
    <mergeCell ref="D6:D7"/>
  </mergeCells>
  <pageMargins left="0.35433070866141736" right="0.23622047244094491" top="0.27559055118110237" bottom="0.27559055118110237" header="0.31496062992125984" footer="0.31496062992125984"/>
  <pageSetup scale="64" fitToHeight="0" orientation="portrait" r:id="rId1"/>
  <headerFooter>
    <oddFooter>&amp;C2/B5.2/EO/SCF/V/&amp;P</oddFooter>
  </headerFooter>
  <rowBreaks count="7" manualBreakCount="7">
    <brk id="50" max="6" man="1"/>
    <brk id="72" max="16383" man="1"/>
    <brk id="115" max="16383" man="1"/>
    <brk id="167" max="16383" man="1"/>
    <brk id="222" max="16383" man="1"/>
    <brk id="273" max="16383" man="1"/>
    <brk id="326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84FD4-D8DC-4CFC-B074-14E2B7CF3219}">
  <sheetPr>
    <tabColor rgb="FF00B0F0"/>
    <pageSetUpPr fitToPage="1"/>
  </sheetPr>
  <dimension ref="A1:U54"/>
  <sheetViews>
    <sheetView view="pageBreakPreview" zoomScale="70" zoomScaleNormal="100" zoomScaleSheetLayoutView="70" workbookViewId="0">
      <pane xSplit="4" ySplit="7" topLeftCell="E8" activePane="bottomRight" state="frozen"/>
      <selection activeCell="J19" sqref="J19"/>
      <selection pane="topRight" activeCell="J19" sqref="J19"/>
      <selection pane="bottomLeft" activeCell="J19" sqref="J19"/>
      <selection pane="bottomRight" activeCell="H16" sqref="H16"/>
    </sheetView>
  </sheetViews>
  <sheetFormatPr defaultColWidth="8.6640625" defaultRowHeight="14.4" x14ac:dyDescent="0.25"/>
  <cols>
    <col min="1" max="1" width="8.88671875" style="151" customWidth="1"/>
    <col min="2" max="2" width="55.6640625" style="152" customWidth="1"/>
    <col min="3" max="3" width="8.6640625" style="151"/>
    <col min="4" max="7" width="16.44140625" style="152" customWidth="1"/>
    <col min="8" max="8" width="20.6640625" style="182" customWidth="1"/>
    <col min="9" max="10" width="8.6640625" style="152"/>
    <col min="11" max="11" width="22.6640625" style="152" customWidth="1"/>
    <col min="12" max="16" width="8.6640625" style="152"/>
    <col min="17" max="19" width="10.6640625" style="182" customWidth="1"/>
    <col min="20" max="20" width="10.6640625" style="152" customWidth="1"/>
    <col min="21" max="21" width="10.6640625" style="182" customWidth="1"/>
    <col min="22" max="16384" width="8.6640625" style="152"/>
  </cols>
  <sheetData>
    <row r="1" spans="1:21" ht="23.4" x14ac:dyDescent="0.25">
      <c r="A1" s="149" t="s">
        <v>258</v>
      </c>
      <c r="K1" s="153"/>
    </row>
    <row r="2" spans="1:21" x14ac:dyDescent="0.25">
      <c r="A2" s="156" t="s">
        <v>259</v>
      </c>
    </row>
    <row r="3" spans="1:21" x14ac:dyDescent="0.25">
      <c r="A3" s="157" t="s">
        <v>260</v>
      </c>
      <c r="B3" s="158"/>
      <c r="C3" s="159"/>
    </row>
    <row r="4" spans="1:21" x14ac:dyDescent="0.25">
      <c r="A4" s="160" t="s">
        <v>261</v>
      </c>
      <c r="B4" s="248"/>
      <c r="C4" s="159"/>
    </row>
    <row r="5" spans="1:21" ht="15" thickBot="1" x14ac:dyDescent="0.3">
      <c r="A5" s="159" t="s">
        <v>260</v>
      </c>
      <c r="B5" s="158"/>
      <c r="C5" s="159"/>
    </row>
    <row r="6" spans="1:21" s="151" customFormat="1" ht="15" thickTop="1" x14ac:dyDescent="0.3">
      <c r="A6" s="294" t="s">
        <v>6</v>
      </c>
      <c r="B6" s="296" t="s">
        <v>0</v>
      </c>
      <c r="C6" s="298" t="s">
        <v>19</v>
      </c>
      <c r="D6" s="300" t="s">
        <v>262</v>
      </c>
      <c r="E6" s="162" t="s">
        <v>1</v>
      </c>
      <c r="F6" s="162" t="s">
        <v>1</v>
      </c>
      <c r="G6" s="163" t="s">
        <v>263</v>
      </c>
      <c r="H6" s="249" t="s">
        <v>20</v>
      </c>
      <c r="N6" s="167"/>
      <c r="O6" s="168"/>
      <c r="P6" s="166"/>
      <c r="Q6" s="168"/>
      <c r="R6" s="168"/>
      <c r="S6" s="168"/>
      <c r="T6" s="168"/>
      <c r="U6" s="168"/>
    </row>
    <row r="7" spans="1:21" s="151" customFormat="1" ht="27.6" x14ac:dyDescent="0.3">
      <c r="A7" s="295"/>
      <c r="B7" s="297"/>
      <c r="C7" s="299"/>
      <c r="D7" s="301"/>
      <c r="E7" s="169" t="s">
        <v>264</v>
      </c>
      <c r="F7" s="169" t="s">
        <v>265</v>
      </c>
      <c r="G7" s="170" t="s">
        <v>266</v>
      </c>
      <c r="H7" s="250" t="s">
        <v>21</v>
      </c>
      <c r="N7" s="172"/>
      <c r="O7" s="168"/>
      <c r="P7" s="166"/>
      <c r="Q7" s="251"/>
      <c r="R7" s="168"/>
      <c r="S7" s="168"/>
      <c r="T7" s="168"/>
      <c r="U7" s="168"/>
    </row>
    <row r="8" spans="1:21" ht="19.2" customHeight="1" x14ac:dyDescent="0.25">
      <c r="A8" s="174" t="s">
        <v>260</v>
      </c>
      <c r="B8" s="175" t="s">
        <v>267</v>
      </c>
      <c r="C8" s="176"/>
      <c r="D8" s="177"/>
      <c r="E8" s="178"/>
      <c r="F8" s="178"/>
      <c r="G8" s="178"/>
      <c r="H8" s="252"/>
    </row>
    <row r="9" spans="1:21" x14ac:dyDescent="0.25">
      <c r="A9" s="174" t="s">
        <v>260</v>
      </c>
      <c r="B9" s="175" t="s">
        <v>31</v>
      </c>
      <c r="C9" s="176"/>
      <c r="D9" s="177"/>
      <c r="E9" s="178"/>
      <c r="F9" s="178"/>
      <c r="G9" s="178"/>
      <c r="H9" s="252"/>
    </row>
    <row r="10" spans="1:21" x14ac:dyDescent="0.25">
      <c r="A10" s="174" t="s">
        <v>260</v>
      </c>
      <c r="B10" s="175" t="s">
        <v>268</v>
      </c>
      <c r="C10" s="176"/>
      <c r="D10" s="177"/>
      <c r="E10" s="178"/>
      <c r="F10" s="178"/>
      <c r="G10" s="178"/>
      <c r="H10" s="252"/>
    </row>
    <row r="11" spans="1:21" x14ac:dyDescent="0.25">
      <c r="A11" s="174"/>
      <c r="B11" s="175"/>
      <c r="C11" s="176"/>
      <c r="D11" s="177"/>
      <c r="E11" s="178"/>
      <c r="F11" s="178"/>
      <c r="G11" s="178"/>
      <c r="H11" s="252"/>
    </row>
    <row r="12" spans="1:21" x14ac:dyDescent="0.25">
      <c r="A12" s="183"/>
      <c r="B12" s="253" t="s">
        <v>427</v>
      </c>
      <c r="C12" s="176"/>
      <c r="D12" s="177"/>
      <c r="E12" s="178"/>
      <c r="F12" s="178"/>
      <c r="G12" s="178"/>
      <c r="H12" s="252"/>
    </row>
    <row r="13" spans="1:21" ht="49.5" customHeight="1" x14ac:dyDescent="0.25">
      <c r="A13" s="174" t="s">
        <v>260</v>
      </c>
      <c r="B13" s="238" t="s">
        <v>428</v>
      </c>
      <c r="C13" s="176"/>
      <c r="D13" s="177"/>
      <c r="E13" s="178"/>
      <c r="F13" s="178"/>
      <c r="G13" s="178"/>
      <c r="H13" s="252"/>
    </row>
    <row r="14" spans="1:21" ht="19.95" customHeight="1" x14ac:dyDescent="0.25">
      <c r="A14" s="174"/>
      <c r="B14" s="190" t="s">
        <v>333</v>
      </c>
      <c r="C14" s="176"/>
      <c r="D14" s="177"/>
      <c r="E14" s="178"/>
      <c r="F14" s="178"/>
      <c r="G14" s="178"/>
      <c r="H14" s="252"/>
    </row>
    <row r="15" spans="1:21" x14ac:dyDescent="0.25">
      <c r="A15" s="174" t="s">
        <v>3</v>
      </c>
      <c r="B15" s="254" t="s">
        <v>429</v>
      </c>
      <c r="C15" s="191" t="s">
        <v>45</v>
      </c>
      <c r="D15" s="194">
        <v>199.8</v>
      </c>
      <c r="E15" s="194">
        <v>45</v>
      </c>
      <c r="F15" s="255">
        <v>0.45</v>
      </c>
      <c r="G15" s="194">
        <v>14</v>
      </c>
      <c r="H15" s="252">
        <f>+D15*E15+D15*F15*G15</f>
        <v>10249.74</v>
      </c>
    </row>
    <row r="16" spans="1:21" x14ac:dyDescent="0.25">
      <c r="A16" s="174" t="s">
        <v>2</v>
      </c>
      <c r="B16" s="254" t="s">
        <v>430</v>
      </c>
      <c r="C16" s="191" t="s">
        <v>45</v>
      </c>
      <c r="D16" s="194">
        <v>364.08</v>
      </c>
      <c r="E16" s="194">
        <v>45</v>
      </c>
      <c r="F16" s="255">
        <v>0.45</v>
      </c>
      <c r="G16" s="194">
        <v>14</v>
      </c>
      <c r="H16" s="252">
        <f t="shared" ref="H16:H19" si="0">+D16*E16+D16*F16*G16</f>
        <v>18677.303999999996</v>
      </c>
    </row>
    <row r="17" spans="1:8" x14ac:dyDescent="0.25">
      <c r="A17" s="174" t="s">
        <v>5</v>
      </c>
      <c r="B17" s="254" t="s">
        <v>431</v>
      </c>
      <c r="C17" s="191" t="s">
        <v>45</v>
      </c>
      <c r="D17" s="194">
        <v>390.71999999999997</v>
      </c>
      <c r="E17" s="194">
        <v>45</v>
      </c>
      <c r="F17" s="255">
        <v>0.45</v>
      </c>
      <c r="G17" s="194">
        <v>14</v>
      </c>
      <c r="H17" s="252">
        <f t="shared" si="0"/>
        <v>20043.935999999998</v>
      </c>
    </row>
    <row r="18" spans="1:8" x14ac:dyDescent="0.25">
      <c r="A18" s="174" t="s">
        <v>7</v>
      </c>
      <c r="B18" s="254" t="s">
        <v>432</v>
      </c>
      <c r="C18" s="191" t="s">
        <v>45</v>
      </c>
      <c r="D18" s="194">
        <v>164.28</v>
      </c>
      <c r="E18" s="194">
        <v>45</v>
      </c>
      <c r="F18" s="255">
        <v>0.45</v>
      </c>
      <c r="G18" s="194">
        <v>14</v>
      </c>
      <c r="H18" s="252">
        <f t="shared" si="0"/>
        <v>8427.5640000000003</v>
      </c>
    </row>
    <row r="19" spans="1:8" x14ac:dyDescent="0.25">
      <c r="A19" s="174" t="s">
        <v>8</v>
      </c>
      <c r="B19" s="254" t="s">
        <v>433</v>
      </c>
      <c r="C19" s="191" t="s">
        <v>45</v>
      </c>
      <c r="D19" s="194">
        <v>590.52</v>
      </c>
      <c r="E19" s="194">
        <v>45</v>
      </c>
      <c r="F19" s="255">
        <v>0.45</v>
      </c>
      <c r="G19" s="194">
        <v>14</v>
      </c>
      <c r="H19" s="252">
        <f t="shared" si="0"/>
        <v>30293.675999999999</v>
      </c>
    </row>
    <row r="20" spans="1:8" x14ac:dyDescent="0.25">
      <c r="A20" s="174"/>
      <c r="B20" s="254"/>
      <c r="C20" s="191"/>
      <c r="D20" s="256"/>
      <c r="E20" s="243"/>
      <c r="F20" s="243"/>
      <c r="G20" s="243"/>
      <c r="H20" s="252"/>
    </row>
    <row r="21" spans="1:8" x14ac:dyDescent="0.25">
      <c r="A21" s="192"/>
      <c r="B21" s="175" t="s">
        <v>434</v>
      </c>
      <c r="C21" s="191"/>
      <c r="D21" s="256"/>
      <c r="E21" s="243"/>
      <c r="F21" s="243"/>
      <c r="G21" s="243"/>
      <c r="H21" s="252"/>
    </row>
    <row r="22" spans="1:8" x14ac:dyDescent="0.25">
      <c r="A22" s="174" t="s">
        <v>9</v>
      </c>
      <c r="B22" s="177" t="s">
        <v>435</v>
      </c>
      <c r="C22" s="191" t="s">
        <v>45</v>
      </c>
      <c r="D22" s="194">
        <v>743.4</v>
      </c>
      <c r="E22" s="194">
        <v>45</v>
      </c>
      <c r="F22" s="255">
        <v>0.45</v>
      </c>
      <c r="G22" s="194">
        <v>14</v>
      </c>
      <c r="H22" s="252">
        <f t="shared" ref="H22" si="1">+D22*E22+D22*F22*G22</f>
        <v>38136.42</v>
      </c>
    </row>
    <row r="23" spans="1:8" x14ac:dyDescent="0.25">
      <c r="A23" s="174"/>
      <c r="B23" s="238"/>
      <c r="C23" s="191"/>
      <c r="D23" s="256"/>
      <c r="E23" s="243"/>
      <c r="F23" s="243"/>
      <c r="G23" s="243"/>
      <c r="H23" s="252"/>
    </row>
    <row r="24" spans="1:8" x14ac:dyDescent="0.25">
      <c r="A24" s="192"/>
      <c r="B24" s="175" t="s">
        <v>436</v>
      </c>
      <c r="C24" s="191"/>
      <c r="D24" s="256"/>
      <c r="E24" s="243"/>
      <c r="F24" s="243"/>
      <c r="G24" s="243"/>
      <c r="H24" s="252"/>
    </row>
    <row r="25" spans="1:8" ht="27.6" x14ac:dyDescent="0.25">
      <c r="A25" s="192"/>
      <c r="B25" s="238" t="s">
        <v>437</v>
      </c>
      <c r="C25" s="191"/>
      <c r="D25" s="256"/>
      <c r="E25" s="243"/>
      <c r="F25" s="243"/>
      <c r="G25" s="243"/>
      <c r="H25" s="252"/>
    </row>
    <row r="26" spans="1:8" x14ac:dyDescent="0.25">
      <c r="A26" s="174" t="s">
        <v>10</v>
      </c>
      <c r="B26" s="177" t="s">
        <v>438</v>
      </c>
      <c r="C26" s="191" t="s">
        <v>45</v>
      </c>
      <c r="D26" s="194">
        <v>871.07999999999993</v>
      </c>
      <c r="E26" s="194">
        <v>45</v>
      </c>
      <c r="F26" s="255">
        <v>0.45</v>
      </c>
      <c r="G26" s="194">
        <v>14</v>
      </c>
      <c r="H26" s="252">
        <f t="shared" ref="H26:H30" si="2">+D26*E26+D26*F26*G26</f>
        <v>44686.403999999995</v>
      </c>
    </row>
    <row r="27" spans="1:8" x14ac:dyDescent="0.25">
      <c r="A27" s="174" t="s">
        <v>11</v>
      </c>
      <c r="B27" s="177" t="s">
        <v>439</v>
      </c>
      <c r="C27" s="191" t="s">
        <v>45</v>
      </c>
      <c r="D27" s="194">
        <v>109.2</v>
      </c>
      <c r="E27" s="194">
        <v>45</v>
      </c>
      <c r="F27" s="255">
        <v>0.45</v>
      </c>
      <c r="G27" s="194">
        <v>14</v>
      </c>
      <c r="H27" s="252">
        <f t="shared" si="2"/>
        <v>5601.96</v>
      </c>
    </row>
    <row r="28" spans="1:8" x14ac:dyDescent="0.25">
      <c r="A28" s="174" t="s">
        <v>13</v>
      </c>
      <c r="B28" s="177" t="s">
        <v>440</v>
      </c>
      <c r="C28" s="191" t="s">
        <v>45</v>
      </c>
      <c r="D28" s="194">
        <v>63</v>
      </c>
      <c r="E28" s="194">
        <v>45</v>
      </c>
      <c r="F28" s="255">
        <v>0.45</v>
      </c>
      <c r="G28" s="194">
        <v>14</v>
      </c>
      <c r="H28" s="252">
        <f t="shared" si="2"/>
        <v>3231.9</v>
      </c>
    </row>
    <row r="29" spans="1:8" x14ac:dyDescent="0.25">
      <c r="A29" s="174" t="s">
        <v>14</v>
      </c>
      <c r="B29" s="177" t="s">
        <v>441</v>
      </c>
      <c r="C29" s="191" t="s">
        <v>45</v>
      </c>
      <c r="D29" s="194">
        <v>67.2</v>
      </c>
      <c r="E29" s="194">
        <v>45</v>
      </c>
      <c r="F29" s="255">
        <v>0.45</v>
      </c>
      <c r="G29" s="194">
        <v>14</v>
      </c>
      <c r="H29" s="252">
        <f t="shared" si="2"/>
        <v>3447.36</v>
      </c>
    </row>
    <row r="30" spans="1:8" x14ac:dyDescent="0.25">
      <c r="A30" s="174" t="s">
        <v>15</v>
      </c>
      <c r="B30" s="238" t="s">
        <v>442</v>
      </c>
      <c r="C30" s="191" t="s">
        <v>45</v>
      </c>
      <c r="D30" s="194">
        <v>33.6</v>
      </c>
      <c r="E30" s="194">
        <v>45</v>
      </c>
      <c r="F30" s="255">
        <v>0.45</v>
      </c>
      <c r="G30" s="194">
        <v>14</v>
      </c>
      <c r="H30" s="252">
        <f t="shared" si="2"/>
        <v>1723.68</v>
      </c>
    </row>
    <row r="31" spans="1:8" x14ac:dyDescent="0.25">
      <c r="A31" s="174"/>
      <c r="B31" s="238"/>
      <c r="C31" s="191"/>
      <c r="D31" s="257"/>
      <c r="E31" s="258"/>
      <c r="F31" s="258"/>
      <c r="G31" s="258"/>
      <c r="H31" s="252"/>
    </row>
    <row r="32" spans="1:8" x14ac:dyDescent="0.25">
      <c r="A32" s="192"/>
      <c r="B32" s="175"/>
      <c r="C32" s="191"/>
      <c r="D32" s="257"/>
      <c r="E32" s="258"/>
      <c r="F32" s="258"/>
      <c r="G32" s="258"/>
      <c r="H32" s="252"/>
    </row>
    <row r="33" spans="1:21" x14ac:dyDescent="0.25">
      <c r="A33" s="174"/>
      <c r="B33" s="259"/>
      <c r="C33" s="191"/>
      <c r="D33" s="257"/>
      <c r="E33" s="258"/>
      <c r="F33" s="258"/>
      <c r="G33" s="258"/>
      <c r="H33" s="252"/>
    </row>
    <row r="34" spans="1:21" x14ac:dyDescent="0.25">
      <c r="A34" s="174"/>
      <c r="B34" s="254"/>
      <c r="C34" s="191"/>
      <c r="D34" s="257"/>
      <c r="E34" s="258"/>
      <c r="F34" s="258"/>
      <c r="G34" s="258"/>
      <c r="H34" s="252"/>
    </row>
    <row r="35" spans="1:21" x14ac:dyDescent="0.25">
      <c r="A35" s="174"/>
      <c r="B35" s="238"/>
      <c r="C35" s="191"/>
      <c r="D35" s="257"/>
      <c r="E35" s="258"/>
      <c r="F35" s="258"/>
      <c r="G35" s="258"/>
      <c r="H35" s="252"/>
    </row>
    <row r="36" spans="1:21" x14ac:dyDescent="0.25">
      <c r="A36" s="174"/>
      <c r="B36" s="238"/>
      <c r="C36" s="191"/>
      <c r="D36" s="256"/>
      <c r="E36" s="243"/>
      <c r="F36" s="243"/>
      <c r="G36" s="243"/>
      <c r="H36" s="252"/>
    </row>
    <row r="37" spans="1:21" x14ac:dyDescent="0.25">
      <c r="A37" s="174"/>
      <c r="B37" s="238"/>
      <c r="C37" s="191"/>
      <c r="D37" s="257"/>
      <c r="E37" s="258"/>
      <c r="F37" s="258"/>
      <c r="G37" s="258"/>
      <c r="H37" s="252"/>
    </row>
    <row r="38" spans="1:21" x14ac:dyDescent="0.25">
      <c r="A38" s="174"/>
      <c r="B38" s="190"/>
      <c r="C38" s="191"/>
      <c r="D38" s="244"/>
      <c r="E38" s="260"/>
      <c r="F38" s="260"/>
      <c r="G38" s="260"/>
      <c r="H38" s="261"/>
      <c r="Q38" s="262"/>
      <c r="R38" s="262"/>
      <c r="S38" s="262"/>
      <c r="U38" s="262"/>
    </row>
    <row r="39" spans="1:21" x14ac:dyDescent="0.25">
      <c r="A39" s="174"/>
      <c r="B39" s="238"/>
      <c r="C39" s="191"/>
      <c r="D39" s="244"/>
      <c r="E39" s="260"/>
      <c r="F39" s="260"/>
      <c r="G39" s="260"/>
      <c r="H39" s="261"/>
      <c r="Q39" s="262"/>
      <c r="R39" s="262"/>
      <c r="S39" s="262"/>
      <c r="U39" s="262"/>
    </row>
    <row r="40" spans="1:21" x14ac:dyDescent="0.25">
      <c r="A40" s="174"/>
      <c r="B40" s="175"/>
      <c r="C40" s="191"/>
      <c r="D40" s="244"/>
      <c r="E40" s="260"/>
      <c r="F40" s="260"/>
      <c r="G40" s="260"/>
      <c r="H40" s="261"/>
      <c r="Q40" s="262"/>
      <c r="R40" s="262"/>
      <c r="S40" s="262"/>
      <c r="U40" s="262"/>
    </row>
    <row r="41" spans="1:21" x14ac:dyDescent="0.25">
      <c r="A41" s="174"/>
      <c r="B41" s="238"/>
      <c r="C41" s="256"/>
      <c r="D41" s="176"/>
      <c r="E41" s="176"/>
      <c r="F41" s="176"/>
      <c r="G41" s="176"/>
      <c r="H41" s="261"/>
      <c r="Q41" s="262"/>
      <c r="R41" s="262"/>
      <c r="S41" s="262"/>
      <c r="U41" s="262"/>
    </row>
    <row r="42" spans="1:21" x14ac:dyDescent="0.25">
      <c r="A42" s="174"/>
      <c r="B42" s="238"/>
      <c r="C42" s="191"/>
      <c r="D42" s="256"/>
      <c r="E42" s="243"/>
      <c r="F42" s="243"/>
      <c r="G42" s="243"/>
      <c r="H42" s="261"/>
      <c r="Q42" s="262"/>
      <c r="R42" s="262"/>
      <c r="S42" s="262"/>
      <c r="U42" s="262"/>
    </row>
    <row r="43" spans="1:21" x14ac:dyDescent="0.25">
      <c r="A43" s="174"/>
      <c r="B43" s="238"/>
      <c r="C43" s="191"/>
      <c r="D43" s="244"/>
      <c r="E43" s="260"/>
      <c r="F43" s="260"/>
      <c r="G43" s="260"/>
      <c r="H43" s="261"/>
      <c r="Q43" s="262"/>
      <c r="R43" s="262"/>
      <c r="S43" s="262"/>
      <c r="U43" s="262"/>
    </row>
    <row r="44" spans="1:21" x14ac:dyDescent="0.25">
      <c r="A44" s="174"/>
      <c r="B44" s="238"/>
      <c r="C44" s="191"/>
      <c r="D44" s="256"/>
      <c r="E44" s="243"/>
      <c r="F44" s="243"/>
      <c r="G44" s="243"/>
      <c r="H44" s="261"/>
      <c r="Q44" s="262"/>
      <c r="R44" s="262"/>
      <c r="S44" s="262"/>
      <c r="U44" s="262"/>
    </row>
    <row r="45" spans="1:21" x14ac:dyDescent="0.25">
      <c r="A45" s="174"/>
      <c r="B45" s="238"/>
      <c r="C45" s="191"/>
      <c r="D45" s="244"/>
      <c r="E45" s="260"/>
      <c r="F45" s="260"/>
      <c r="G45" s="260"/>
      <c r="H45" s="261"/>
      <c r="Q45" s="262"/>
      <c r="R45" s="262"/>
      <c r="S45" s="262"/>
      <c r="U45" s="262"/>
    </row>
    <row r="46" spans="1:21" ht="15" thickBot="1" x14ac:dyDescent="0.3">
      <c r="A46" s="174"/>
      <c r="B46" s="238"/>
      <c r="C46" s="191"/>
      <c r="D46" s="263"/>
      <c r="E46" s="264"/>
      <c r="F46" s="264"/>
      <c r="G46" s="264"/>
      <c r="H46" s="261"/>
      <c r="Q46" s="262"/>
      <c r="R46" s="262"/>
      <c r="S46" s="262"/>
      <c r="U46" s="262"/>
    </row>
    <row r="47" spans="1:21" ht="15" thickTop="1" x14ac:dyDescent="0.25">
      <c r="A47" s="202"/>
      <c r="B47" s="265"/>
      <c r="C47" s="204"/>
      <c r="D47" s="266"/>
      <c r="E47" s="266"/>
      <c r="F47" s="266"/>
      <c r="G47" s="266"/>
      <c r="H47" s="267"/>
    </row>
    <row r="48" spans="1:21" x14ac:dyDescent="0.25">
      <c r="A48" s="207"/>
      <c r="B48" s="268"/>
      <c r="C48" s="209"/>
      <c r="D48" s="199" t="s">
        <v>28</v>
      </c>
      <c r="E48" s="199"/>
      <c r="F48" s="199"/>
      <c r="G48" s="199"/>
      <c r="H48" s="252">
        <f>SUM(H8:H46)</f>
        <v>184519.94399999996</v>
      </c>
    </row>
    <row r="49" spans="1:8" ht="15" thickBot="1" x14ac:dyDescent="0.3">
      <c r="A49" s="210"/>
      <c r="B49" s="269"/>
      <c r="C49" s="212"/>
      <c r="D49" s="270"/>
      <c r="E49" s="270"/>
      <c r="F49" s="270"/>
      <c r="G49" s="270"/>
      <c r="H49" s="271"/>
    </row>
    <row r="50" spans="1:8" ht="15" thickTop="1" x14ac:dyDescent="0.25"/>
    <row r="52" spans="1:8" x14ac:dyDescent="0.25">
      <c r="H52" s="272"/>
    </row>
    <row r="53" spans="1:8" x14ac:dyDescent="0.25">
      <c r="H53" s="273"/>
    </row>
    <row r="54" spans="1:8" x14ac:dyDescent="0.25">
      <c r="H54" s="272"/>
    </row>
  </sheetData>
  <mergeCells count="4">
    <mergeCell ref="A6:A7"/>
    <mergeCell ref="B6:B7"/>
    <mergeCell ref="C6:C7"/>
    <mergeCell ref="D6:D7"/>
  </mergeCells>
  <pageMargins left="0.35433070866141736" right="0.23622047244094491" top="0.27559055118110237" bottom="0.27559055118110237" header="0.31496062992125984" footer="0.31496062992125984"/>
  <pageSetup scale="64" fitToHeight="0" orientation="portrait" r:id="rId1"/>
  <headerFooter>
    <oddFooter>&amp;C2/B5.2/EO/SCF/H/&amp;P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0CAB4-853A-46BB-BBE0-DBAEB1683DCF}">
  <sheetPr>
    <tabColor rgb="FF00B0F0"/>
    <pageSetUpPr fitToPage="1"/>
  </sheetPr>
  <dimension ref="A1:D47"/>
  <sheetViews>
    <sheetView view="pageBreakPreview" zoomScale="80" zoomScaleNormal="100" zoomScaleSheetLayoutView="80" workbookViewId="0">
      <pane xSplit="3" ySplit="7" topLeftCell="D8" activePane="bottomRight" state="frozen"/>
      <selection activeCell="J19" sqref="J19"/>
      <selection pane="topRight" activeCell="J19" sqref="J19"/>
      <selection pane="bottomLeft" activeCell="J19" sqref="J19"/>
      <selection pane="bottomRight" activeCell="E13" sqref="E13"/>
    </sheetView>
  </sheetViews>
  <sheetFormatPr defaultColWidth="8.88671875" defaultRowHeight="14.4" x14ac:dyDescent="0.3"/>
  <cols>
    <col min="1" max="1" width="8.88671875" style="151"/>
    <col min="2" max="2" width="55.6640625" style="150" customWidth="1"/>
    <col min="3" max="3" width="16.44140625" style="150" customWidth="1"/>
    <col min="4" max="4" width="20.6640625" style="152" customWidth="1"/>
    <col min="5" max="5" width="8.88671875" style="150" customWidth="1"/>
    <col min="6" max="16384" width="8.88671875" style="150"/>
  </cols>
  <sheetData>
    <row r="1" spans="1:4" ht="23.4" x14ac:dyDescent="0.3">
      <c r="A1" s="149" t="s">
        <v>258</v>
      </c>
    </row>
    <row r="2" spans="1:4" x14ac:dyDescent="0.3">
      <c r="A2" s="156" t="s">
        <v>259</v>
      </c>
    </row>
    <row r="3" spans="1:4" x14ac:dyDescent="0.3">
      <c r="A3" s="157" t="s">
        <v>260</v>
      </c>
      <c r="B3" s="158"/>
    </row>
    <row r="4" spans="1:4" x14ac:dyDescent="0.3">
      <c r="A4" s="160" t="s">
        <v>443</v>
      </c>
      <c r="B4" s="161"/>
    </row>
    <row r="5" spans="1:4" ht="15" thickBot="1" x14ac:dyDescent="0.35">
      <c r="A5" s="159" t="s">
        <v>260</v>
      </c>
      <c r="B5" s="158"/>
    </row>
    <row r="6" spans="1:4" s="166" customFormat="1" ht="15" thickTop="1" x14ac:dyDescent="0.3">
      <c r="A6" s="294" t="s">
        <v>6</v>
      </c>
      <c r="B6" s="296" t="s">
        <v>0</v>
      </c>
      <c r="C6" s="300" t="s">
        <v>444</v>
      </c>
      <c r="D6" s="164" t="s">
        <v>20</v>
      </c>
    </row>
    <row r="7" spans="1:4" s="166" customFormat="1" x14ac:dyDescent="0.3">
      <c r="A7" s="295"/>
      <c r="B7" s="297"/>
      <c r="C7" s="301"/>
      <c r="D7" s="171" t="s">
        <v>21</v>
      </c>
    </row>
    <row r="8" spans="1:4" s="152" customFormat="1" ht="23.4" customHeight="1" x14ac:dyDescent="0.25">
      <c r="A8" s="174"/>
      <c r="B8" s="175"/>
      <c r="C8" s="177"/>
      <c r="D8" s="180"/>
    </row>
    <row r="9" spans="1:4" s="152" customFormat="1" ht="19.2" customHeight="1" x14ac:dyDescent="0.25">
      <c r="A9" s="174" t="s">
        <v>260</v>
      </c>
      <c r="B9" s="274" t="s">
        <v>26</v>
      </c>
      <c r="C9" s="177"/>
      <c r="D9" s="180"/>
    </row>
    <row r="10" spans="1:4" x14ac:dyDescent="0.3">
      <c r="A10" s="183"/>
      <c r="B10" s="184"/>
      <c r="C10" s="185"/>
      <c r="D10" s="252"/>
    </row>
    <row r="11" spans="1:4" ht="18" customHeight="1" x14ac:dyDescent="0.3">
      <c r="A11" s="174" t="s">
        <v>260</v>
      </c>
      <c r="B11" s="189"/>
      <c r="C11" s="185"/>
      <c r="D11" s="252"/>
    </row>
    <row r="12" spans="1:4" ht="18" customHeight="1" x14ac:dyDescent="0.3">
      <c r="A12" s="174"/>
      <c r="B12" s="189"/>
      <c r="C12" s="185"/>
      <c r="D12" s="252"/>
    </row>
    <row r="13" spans="1:4" ht="18" customHeight="1" x14ac:dyDescent="0.3">
      <c r="A13" s="174" t="s">
        <v>260</v>
      </c>
      <c r="B13" s="189" t="s">
        <v>445</v>
      </c>
      <c r="C13" s="185"/>
      <c r="D13" s="252">
        <f>+'Add Scaff SS-Vertical'!H367</f>
        <v>706537.53495</v>
      </c>
    </row>
    <row r="14" spans="1:4" ht="18" customHeight="1" x14ac:dyDescent="0.3">
      <c r="A14" s="174"/>
      <c r="B14" s="189"/>
      <c r="C14" s="185"/>
      <c r="D14" s="252"/>
    </row>
    <row r="15" spans="1:4" ht="18" customHeight="1" x14ac:dyDescent="0.3">
      <c r="A15" s="183"/>
      <c r="B15" s="185" t="s">
        <v>446</v>
      </c>
      <c r="C15" s="185"/>
      <c r="D15" s="252">
        <f>+'Add Scaff SS- Horiz'!H48</f>
        <v>184519.94399999996</v>
      </c>
    </row>
    <row r="16" spans="1:4" x14ac:dyDescent="0.3">
      <c r="A16" s="183"/>
      <c r="B16" s="188"/>
      <c r="C16" s="185"/>
      <c r="D16" s="252"/>
    </row>
    <row r="17" spans="1:4" x14ac:dyDescent="0.3">
      <c r="A17" s="183"/>
      <c r="B17" s="185" t="s">
        <v>447</v>
      </c>
      <c r="C17" s="185"/>
      <c r="D17" s="275">
        <v>-124748.05</v>
      </c>
    </row>
    <row r="18" spans="1:4" x14ac:dyDescent="0.3">
      <c r="A18" s="183"/>
      <c r="B18" s="188"/>
      <c r="C18" s="185"/>
      <c r="D18" s="252"/>
    </row>
    <row r="19" spans="1:4" s="280" customFormat="1" x14ac:dyDescent="0.3">
      <c r="A19" s="276"/>
      <c r="B19" s="277"/>
      <c r="C19" s="278"/>
      <c r="D19" s="279"/>
    </row>
    <row r="20" spans="1:4" s="280" customFormat="1" x14ac:dyDescent="0.3">
      <c r="A20" s="276"/>
      <c r="B20" s="277"/>
      <c r="C20" s="278"/>
      <c r="D20" s="279"/>
    </row>
    <row r="21" spans="1:4" s="282" customFormat="1" ht="28.95" customHeight="1" x14ac:dyDescent="0.25">
      <c r="A21" s="276"/>
      <c r="B21" s="277"/>
      <c r="C21" s="281"/>
      <c r="D21" s="279"/>
    </row>
    <row r="22" spans="1:4" x14ac:dyDescent="0.3">
      <c r="A22" s="174"/>
      <c r="B22" s="201"/>
      <c r="C22" s="194"/>
      <c r="D22" s="198"/>
    </row>
    <row r="23" spans="1:4" x14ac:dyDescent="0.3">
      <c r="A23" s="174"/>
      <c r="B23" s="201"/>
      <c r="C23" s="194"/>
      <c r="D23" s="198"/>
    </row>
    <row r="24" spans="1:4" x14ac:dyDescent="0.3">
      <c r="A24" s="174"/>
      <c r="B24" s="201"/>
      <c r="C24" s="194"/>
      <c r="D24" s="198"/>
    </row>
    <row r="25" spans="1:4" x14ac:dyDescent="0.3">
      <c r="A25" s="174"/>
      <c r="B25" s="201"/>
      <c r="C25" s="194"/>
      <c r="D25" s="198"/>
    </row>
    <row r="26" spans="1:4" x14ac:dyDescent="0.3">
      <c r="A26" s="174"/>
      <c r="B26" s="201"/>
      <c r="C26" s="194"/>
      <c r="D26" s="198"/>
    </row>
    <row r="27" spans="1:4" x14ac:dyDescent="0.3">
      <c r="A27" s="174"/>
      <c r="B27" s="201"/>
      <c r="C27" s="194"/>
      <c r="D27" s="198"/>
    </row>
    <row r="28" spans="1:4" x14ac:dyDescent="0.3">
      <c r="A28" s="192"/>
      <c r="B28" s="184"/>
      <c r="C28" s="194"/>
      <c r="D28" s="198"/>
    </row>
    <row r="29" spans="1:4" x14ac:dyDescent="0.3">
      <c r="A29" s="174"/>
      <c r="B29" s="185"/>
      <c r="C29" s="194"/>
      <c r="D29" s="198"/>
    </row>
    <row r="30" spans="1:4" x14ac:dyDescent="0.3">
      <c r="A30" s="174"/>
      <c r="B30" s="185"/>
      <c r="C30" s="194"/>
      <c r="D30" s="198"/>
    </row>
    <row r="31" spans="1:4" x14ac:dyDescent="0.3">
      <c r="A31" s="192"/>
      <c r="B31" s="184"/>
      <c r="C31" s="194"/>
      <c r="D31" s="198"/>
    </row>
    <row r="32" spans="1:4" x14ac:dyDescent="0.3">
      <c r="A32" s="174"/>
      <c r="B32" s="189"/>
      <c r="C32" s="194"/>
      <c r="D32" s="198"/>
    </row>
    <row r="33" spans="1:4" x14ac:dyDescent="0.3">
      <c r="A33" s="174"/>
      <c r="B33" s="189"/>
      <c r="C33" s="194"/>
      <c r="D33" s="198"/>
    </row>
    <row r="34" spans="1:4" x14ac:dyDescent="0.3">
      <c r="A34" s="174"/>
      <c r="B34" s="189"/>
      <c r="C34" s="194"/>
      <c r="D34" s="198"/>
    </row>
    <row r="35" spans="1:4" x14ac:dyDescent="0.3">
      <c r="A35" s="174"/>
      <c r="B35" s="177"/>
      <c r="C35" s="283"/>
      <c r="D35" s="198"/>
    </row>
    <row r="36" spans="1:4" x14ac:dyDescent="0.3">
      <c r="A36" s="174"/>
      <c r="B36" s="185"/>
      <c r="C36" s="283"/>
      <c r="D36" s="198"/>
    </row>
    <row r="37" spans="1:4" x14ac:dyDescent="0.3">
      <c r="A37" s="174"/>
      <c r="B37" s="185"/>
      <c r="C37" s="283"/>
      <c r="D37" s="198"/>
    </row>
    <row r="38" spans="1:4" x14ac:dyDescent="0.3">
      <c r="A38" s="174"/>
      <c r="B38" s="185"/>
      <c r="C38" s="283"/>
      <c r="D38" s="198"/>
    </row>
    <row r="39" spans="1:4" x14ac:dyDescent="0.3">
      <c r="A39" s="174"/>
      <c r="B39" s="185"/>
      <c r="C39" s="283"/>
      <c r="D39" s="198"/>
    </row>
    <row r="40" spans="1:4" x14ac:dyDescent="0.3">
      <c r="A40" s="174"/>
      <c r="B40" s="185"/>
      <c r="C40" s="283"/>
      <c r="D40" s="198"/>
    </row>
    <row r="41" spans="1:4" x14ac:dyDescent="0.3">
      <c r="A41" s="174"/>
      <c r="B41" s="185"/>
      <c r="C41" s="283"/>
      <c r="D41" s="198"/>
    </row>
    <row r="42" spans="1:4" x14ac:dyDescent="0.3">
      <c r="A42" s="174"/>
      <c r="B42" s="189"/>
      <c r="C42" s="257"/>
      <c r="D42" s="198"/>
    </row>
    <row r="43" spans="1:4" ht="15" thickBot="1" x14ac:dyDescent="0.35">
      <c r="A43" s="226"/>
      <c r="B43" s="227"/>
      <c r="C43" s="229"/>
      <c r="D43" s="214"/>
    </row>
    <row r="44" spans="1:4" ht="15" thickTop="1" x14ac:dyDescent="0.3">
      <c r="A44" s="202"/>
      <c r="B44" s="203"/>
      <c r="C44" s="205"/>
      <c r="D44" s="206"/>
    </row>
    <row r="45" spans="1:4" x14ac:dyDescent="0.3">
      <c r="A45" s="207"/>
      <c r="B45" s="284" t="s">
        <v>448</v>
      </c>
      <c r="C45" s="284"/>
      <c r="D45" s="220">
        <f>SUM(D8:D43)</f>
        <v>766309.42894999986</v>
      </c>
    </row>
    <row r="46" spans="1:4" ht="15" thickBot="1" x14ac:dyDescent="0.35">
      <c r="A46" s="210"/>
      <c r="B46" s="211"/>
      <c r="C46" s="213"/>
      <c r="D46" s="214"/>
    </row>
    <row r="47" spans="1:4" ht="15" thickTop="1" x14ac:dyDescent="0.3"/>
  </sheetData>
  <mergeCells count="3">
    <mergeCell ref="A6:A7"/>
    <mergeCell ref="B6:B7"/>
    <mergeCell ref="C6:C7"/>
  </mergeCells>
  <pageMargins left="0.35433070866141736" right="0.23622047244094491" top="0.27559055118110237" bottom="0.27559055118110237" header="0.31496062992125984" footer="0.31496062992125984"/>
  <pageSetup fitToHeight="0" orientation="portrait" r:id="rId1"/>
  <headerFooter>
    <oddFooter>&amp;C2/B5.2/EO/SCF/SUM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AF53F-E089-4D4C-866F-103072542131}">
  <sheetPr>
    <tabColor theme="5" tint="0.39997558519241921"/>
    <pageSetUpPr fitToPage="1"/>
  </sheetPr>
  <dimension ref="A1:U55"/>
  <sheetViews>
    <sheetView view="pageBreakPreview" zoomScale="90" zoomScaleNormal="100" zoomScaleSheetLayoutView="90" workbookViewId="0">
      <pane xSplit="4" ySplit="7" topLeftCell="E8" activePane="bottomRight" state="frozen"/>
      <selection activeCell="J19" sqref="J19"/>
      <selection pane="topRight" activeCell="J19" sqref="J19"/>
      <selection pane="bottomLeft" activeCell="J19" sqref="J19"/>
      <selection pane="bottomRight" activeCell="F13" sqref="F13"/>
    </sheetView>
  </sheetViews>
  <sheetFormatPr defaultColWidth="8.6640625" defaultRowHeight="14.4" x14ac:dyDescent="0.25"/>
  <cols>
    <col min="1" max="1" width="8.88671875" style="151" customWidth="1"/>
    <col min="2" max="2" width="55.6640625" style="152" customWidth="1"/>
    <col min="3" max="3" width="8.6640625" style="151"/>
    <col min="4" max="7" width="16.44140625" style="152" customWidth="1"/>
    <col min="8" max="8" width="20.6640625" style="182" customWidth="1"/>
    <col min="9" max="10" width="8.6640625" style="152"/>
    <col min="11" max="11" width="22.6640625" style="152" customWidth="1"/>
    <col min="12" max="16" width="8.6640625" style="152"/>
    <col min="17" max="19" width="10.6640625" style="182" customWidth="1"/>
    <col min="20" max="20" width="10.6640625" style="152" customWidth="1"/>
    <col min="21" max="21" width="10.6640625" style="182" customWidth="1"/>
    <col min="22" max="16384" width="8.6640625" style="152"/>
  </cols>
  <sheetData>
    <row r="1" spans="1:21" ht="23.4" x14ac:dyDescent="0.25">
      <c r="A1" s="149" t="s">
        <v>258</v>
      </c>
      <c r="K1" s="153"/>
    </row>
    <row r="2" spans="1:21" x14ac:dyDescent="0.25">
      <c r="A2" s="156" t="s">
        <v>259</v>
      </c>
    </row>
    <row r="3" spans="1:21" x14ac:dyDescent="0.25">
      <c r="A3" s="157" t="s">
        <v>260</v>
      </c>
      <c r="B3" s="158"/>
      <c r="C3" s="159"/>
    </row>
    <row r="4" spans="1:21" x14ac:dyDescent="0.25">
      <c r="A4" s="160" t="s">
        <v>261</v>
      </c>
      <c r="B4" s="248"/>
      <c r="C4" s="159"/>
    </row>
    <row r="5" spans="1:21" ht="15" thickBot="1" x14ac:dyDescent="0.3">
      <c r="A5" s="159" t="s">
        <v>260</v>
      </c>
      <c r="B5" s="158"/>
      <c r="C5" s="159"/>
    </row>
    <row r="6" spans="1:21" s="151" customFormat="1" ht="15" thickTop="1" x14ac:dyDescent="0.3">
      <c r="A6" s="294" t="s">
        <v>6</v>
      </c>
      <c r="B6" s="296" t="s">
        <v>0</v>
      </c>
      <c r="C6" s="298" t="s">
        <v>19</v>
      </c>
      <c r="D6" s="300" t="s">
        <v>262</v>
      </c>
      <c r="E6" s="162" t="s">
        <v>1</v>
      </c>
      <c r="F6" s="162" t="s">
        <v>1</v>
      </c>
      <c r="G6" s="163" t="s">
        <v>263</v>
      </c>
      <c r="H6" s="249" t="s">
        <v>20</v>
      </c>
      <c r="N6" s="167"/>
      <c r="O6" s="168"/>
      <c r="P6" s="166"/>
      <c r="Q6" s="168"/>
      <c r="R6" s="168"/>
      <c r="S6" s="168"/>
      <c r="T6" s="168"/>
      <c r="U6" s="168"/>
    </row>
    <row r="7" spans="1:21" s="151" customFormat="1" ht="27.6" x14ac:dyDescent="0.3">
      <c r="A7" s="295"/>
      <c r="B7" s="297"/>
      <c r="C7" s="299"/>
      <c r="D7" s="301"/>
      <c r="E7" s="169" t="s">
        <v>264</v>
      </c>
      <c r="F7" s="169" t="s">
        <v>265</v>
      </c>
      <c r="G7" s="170" t="s">
        <v>266</v>
      </c>
      <c r="H7" s="250" t="s">
        <v>21</v>
      </c>
      <c r="N7" s="172"/>
      <c r="O7" s="168"/>
      <c r="P7" s="166"/>
      <c r="Q7" s="251"/>
      <c r="R7" s="168"/>
      <c r="S7" s="168"/>
      <c r="T7" s="168"/>
      <c r="U7" s="168"/>
    </row>
    <row r="8" spans="1:21" ht="19.2" customHeight="1" x14ac:dyDescent="0.25">
      <c r="A8" s="174" t="s">
        <v>260</v>
      </c>
      <c r="B8" s="175" t="s">
        <v>267</v>
      </c>
      <c r="C8" s="176"/>
      <c r="D8" s="177"/>
      <c r="E8" s="178"/>
      <c r="F8" s="178"/>
      <c r="G8" s="178"/>
      <c r="H8" s="252"/>
    </row>
    <row r="9" spans="1:21" x14ac:dyDescent="0.25">
      <c r="A9" s="174" t="s">
        <v>260</v>
      </c>
      <c r="B9" s="175" t="s">
        <v>31</v>
      </c>
      <c r="C9" s="176"/>
      <c r="D9" s="177"/>
      <c r="E9" s="178"/>
      <c r="F9" s="178"/>
      <c r="G9" s="178"/>
      <c r="H9" s="252"/>
    </row>
    <row r="10" spans="1:21" x14ac:dyDescent="0.25">
      <c r="A10" s="174" t="s">
        <v>260</v>
      </c>
      <c r="B10" s="175" t="s">
        <v>268</v>
      </c>
      <c r="C10" s="176"/>
      <c r="D10" s="177"/>
      <c r="E10" s="178"/>
      <c r="F10" s="178"/>
      <c r="G10" s="178"/>
      <c r="H10" s="252"/>
    </row>
    <row r="11" spans="1:21" x14ac:dyDescent="0.25">
      <c r="A11" s="174"/>
      <c r="B11" s="175"/>
      <c r="C11" s="176"/>
      <c r="D11" s="177"/>
      <c r="E11" s="178"/>
      <c r="F11" s="178"/>
      <c r="G11" s="178"/>
      <c r="H11" s="252"/>
    </row>
    <row r="12" spans="1:21" x14ac:dyDescent="0.25">
      <c r="A12" s="174"/>
      <c r="B12" s="175"/>
      <c r="C12" s="176"/>
      <c r="D12" s="177"/>
      <c r="E12" s="178"/>
      <c r="F12" s="178"/>
      <c r="G12" s="178"/>
      <c r="H12" s="252"/>
    </row>
    <row r="13" spans="1:21" ht="31.95" customHeight="1" x14ac:dyDescent="0.25">
      <c r="A13" s="174"/>
      <c r="B13" s="175" t="s">
        <v>449</v>
      </c>
      <c r="C13" s="176"/>
      <c r="D13" s="177"/>
      <c r="E13" s="178"/>
      <c r="F13" s="178"/>
      <c r="G13" s="178"/>
      <c r="H13" s="252"/>
    </row>
    <row r="14" spans="1:21" x14ac:dyDescent="0.25">
      <c r="A14" s="174"/>
      <c r="B14" s="175"/>
      <c r="C14" s="176"/>
      <c r="D14" s="177"/>
      <c r="E14" s="178"/>
      <c r="F14" s="178"/>
      <c r="G14" s="178"/>
      <c r="H14" s="252"/>
    </row>
    <row r="15" spans="1:21" x14ac:dyDescent="0.25">
      <c r="A15" s="174" t="s">
        <v>3</v>
      </c>
      <c r="B15" s="185" t="s">
        <v>451</v>
      </c>
      <c r="C15" s="191" t="s">
        <v>450</v>
      </c>
      <c r="D15" s="194">
        <v>1632.1134999999999</v>
      </c>
      <c r="E15" s="195">
        <v>45</v>
      </c>
      <c r="F15" s="255">
        <v>0.45</v>
      </c>
      <c r="G15" s="197">
        <v>14</v>
      </c>
      <c r="H15" s="198">
        <f>+D15*E15+D15*F15*G15</f>
        <v>83727.422550000003</v>
      </c>
    </row>
    <row r="16" spans="1:21" x14ac:dyDescent="0.25">
      <c r="A16" s="174"/>
      <c r="B16" s="175"/>
      <c r="C16" s="176"/>
      <c r="D16" s="177"/>
      <c r="E16" s="178"/>
      <c r="F16" s="178"/>
      <c r="G16" s="178"/>
      <c r="H16" s="252"/>
    </row>
    <row r="17" spans="1:8" x14ac:dyDescent="0.25">
      <c r="A17" s="174"/>
      <c r="B17" s="175"/>
      <c r="C17" s="176"/>
      <c r="D17" s="177"/>
      <c r="E17" s="178"/>
      <c r="F17" s="178"/>
      <c r="G17" s="178"/>
      <c r="H17" s="252"/>
    </row>
    <row r="18" spans="1:8" x14ac:dyDescent="0.25">
      <c r="A18" s="174"/>
      <c r="B18" s="175"/>
      <c r="C18" s="176"/>
      <c r="D18" s="177"/>
      <c r="E18" s="178"/>
      <c r="F18" s="178"/>
      <c r="G18" s="178"/>
      <c r="H18" s="252"/>
    </row>
    <row r="19" spans="1:8" x14ac:dyDescent="0.25">
      <c r="A19" s="174"/>
      <c r="B19" s="175"/>
      <c r="C19" s="176"/>
      <c r="D19" s="177"/>
      <c r="E19" s="178"/>
      <c r="F19" s="178"/>
      <c r="G19" s="178"/>
      <c r="H19" s="252"/>
    </row>
    <row r="20" spans="1:8" x14ac:dyDescent="0.25">
      <c r="A20" s="174"/>
      <c r="B20" s="175"/>
      <c r="C20" s="176"/>
      <c r="D20" s="177"/>
      <c r="E20" s="178"/>
      <c r="F20" s="178"/>
      <c r="G20" s="178"/>
      <c r="H20" s="252"/>
    </row>
    <row r="21" spans="1:8" x14ac:dyDescent="0.25">
      <c r="A21" s="174"/>
      <c r="B21" s="175"/>
      <c r="C21" s="176"/>
      <c r="D21" s="177"/>
      <c r="E21" s="178"/>
      <c r="F21" s="178"/>
      <c r="G21" s="178"/>
      <c r="H21" s="252"/>
    </row>
    <row r="22" spans="1:8" x14ac:dyDescent="0.25">
      <c r="A22" s="174"/>
      <c r="B22" s="175"/>
      <c r="C22" s="176"/>
      <c r="D22" s="177"/>
      <c r="E22" s="178"/>
      <c r="F22" s="178"/>
      <c r="G22" s="178"/>
      <c r="H22" s="252"/>
    </row>
    <row r="23" spans="1:8" x14ac:dyDescent="0.25">
      <c r="A23" s="174"/>
      <c r="B23" s="175"/>
      <c r="C23" s="176"/>
      <c r="D23" s="177"/>
      <c r="E23" s="178"/>
      <c r="F23" s="178"/>
      <c r="G23" s="178"/>
      <c r="H23" s="252"/>
    </row>
    <row r="24" spans="1:8" x14ac:dyDescent="0.25">
      <c r="A24" s="174"/>
      <c r="B24" s="175"/>
      <c r="C24" s="176"/>
      <c r="D24" s="177"/>
      <c r="E24" s="178"/>
      <c r="F24" s="178"/>
      <c r="G24" s="178"/>
      <c r="H24" s="252"/>
    </row>
    <row r="25" spans="1:8" x14ac:dyDescent="0.25">
      <c r="A25" s="174"/>
      <c r="B25" s="175"/>
      <c r="C25" s="176"/>
      <c r="D25" s="177"/>
      <c r="E25" s="178"/>
      <c r="F25" s="178"/>
      <c r="G25" s="178"/>
      <c r="H25" s="252"/>
    </row>
    <row r="26" spans="1:8" x14ac:dyDescent="0.25">
      <c r="A26" s="192"/>
      <c r="B26" s="238"/>
      <c r="C26" s="191"/>
      <c r="D26" s="256"/>
      <c r="E26" s="243"/>
      <c r="F26" s="243"/>
      <c r="G26" s="243"/>
      <c r="H26" s="252"/>
    </row>
    <row r="27" spans="1:8" x14ac:dyDescent="0.25">
      <c r="A27" s="174"/>
      <c r="B27" s="177"/>
      <c r="C27" s="191"/>
      <c r="D27" s="194"/>
      <c r="E27" s="194"/>
      <c r="F27" s="255"/>
      <c r="G27" s="194"/>
      <c r="H27" s="252"/>
    </row>
    <row r="28" spans="1:8" x14ac:dyDescent="0.25">
      <c r="A28" s="174"/>
      <c r="B28" s="177"/>
      <c r="C28" s="191"/>
      <c r="D28" s="194"/>
      <c r="E28" s="194"/>
      <c r="F28" s="255"/>
      <c r="G28" s="194"/>
      <c r="H28" s="252"/>
    </row>
    <row r="29" spans="1:8" x14ac:dyDescent="0.25">
      <c r="A29" s="174"/>
      <c r="B29" s="177"/>
      <c r="C29" s="191"/>
      <c r="D29" s="194"/>
      <c r="E29" s="194"/>
      <c r="F29" s="255"/>
      <c r="G29" s="194"/>
      <c r="H29" s="252"/>
    </row>
    <row r="30" spans="1:8" x14ac:dyDescent="0.25">
      <c r="A30" s="174"/>
      <c r="B30" s="177"/>
      <c r="C30" s="191"/>
      <c r="D30" s="194"/>
      <c r="E30" s="194"/>
      <c r="F30" s="255"/>
      <c r="G30" s="194"/>
      <c r="H30" s="252"/>
    </row>
    <row r="31" spans="1:8" x14ac:dyDescent="0.25">
      <c r="A31" s="174"/>
      <c r="B31" s="238"/>
      <c r="C31" s="191"/>
      <c r="D31" s="194"/>
      <c r="E31" s="194"/>
      <c r="F31" s="255"/>
      <c r="G31" s="194"/>
      <c r="H31" s="252"/>
    </row>
    <row r="32" spans="1:8" x14ac:dyDescent="0.25">
      <c r="A32" s="174"/>
      <c r="B32" s="238"/>
      <c r="C32" s="191"/>
      <c r="D32" s="257"/>
      <c r="E32" s="258"/>
      <c r="F32" s="258"/>
      <c r="G32" s="258"/>
      <c r="H32" s="252"/>
    </row>
    <row r="33" spans="1:21" x14ac:dyDescent="0.25">
      <c r="A33" s="192"/>
      <c r="B33" s="175"/>
      <c r="C33" s="191"/>
      <c r="D33" s="257"/>
      <c r="E33" s="258"/>
      <c r="F33" s="258"/>
      <c r="G33" s="258"/>
      <c r="H33" s="252"/>
    </row>
    <row r="34" spans="1:21" x14ac:dyDescent="0.25">
      <c r="A34" s="174"/>
      <c r="B34" s="259"/>
      <c r="C34" s="191"/>
      <c r="D34" s="257"/>
      <c r="E34" s="258"/>
      <c r="F34" s="258"/>
      <c r="G34" s="258"/>
      <c r="H34" s="252"/>
    </row>
    <row r="35" spans="1:21" x14ac:dyDescent="0.25">
      <c r="A35" s="174"/>
      <c r="B35" s="254"/>
      <c r="C35" s="191"/>
      <c r="D35" s="257"/>
      <c r="E35" s="258"/>
      <c r="F35" s="258"/>
      <c r="G35" s="258"/>
      <c r="H35" s="252"/>
    </row>
    <row r="36" spans="1:21" x14ac:dyDescent="0.25">
      <c r="A36" s="183"/>
      <c r="B36" s="253"/>
      <c r="C36" s="176"/>
      <c r="D36" s="177"/>
      <c r="E36" s="178"/>
      <c r="F36" s="178"/>
      <c r="G36" s="178"/>
      <c r="H36" s="252"/>
    </row>
    <row r="37" spans="1:21" x14ac:dyDescent="0.25">
      <c r="A37" s="174"/>
      <c r="B37" s="190"/>
      <c r="C37" s="176"/>
      <c r="D37" s="177"/>
      <c r="E37" s="178"/>
      <c r="F37" s="178"/>
      <c r="G37" s="178"/>
      <c r="H37" s="252"/>
    </row>
    <row r="38" spans="1:21" x14ac:dyDescent="0.25">
      <c r="A38" s="174"/>
      <c r="B38" s="254"/>
      <c r="C38" s="191"/>
      <c r="D38" s="194"/>
      <c r="E38" s="194"/>
      <c r="F38" s="255"/>
      <c r="G38" s="194"/>
      <c r="H38" s="252"/>
    </row>
    <row r="39" spans="1:21" x14ac:dyDescent="0.25">
      <c r="A39" s="174"/>
      <c r="B39" s="190"/>
      <c r="C39" s="191"/>
      <c r="D39" s="244"/>
      <c r="E39" s="260"/>
      <c r="F39" s="260"/>
      <c r="G39" s="260"/>
      <c r="H39" s="261"/>
      <c r="Q39" s="262"/>
      <c r="R39" s="262"/>
      <c r="S39" s="262"/>
      <c r="U39" s="262"/>
    </row>
    <row r="40" spans="1:21" x14ac:dyDescent="0.25">
      <c r="A40" s="174"/>
      <c r="B40" s="238"/>
      <c r="C40" s="191"/>
      <c r="D40" s="244"/>
      <c r="E40" s="260"/>
      <c r="F40" s="260"/>
      <c r="G40" s="260"/>
      <c r="H40" s="261"/>
      <c r="Q40" s="262"/>
      <c r="R40" s="262"/>
      <c r="S40" s="262"/>
      <c r="U40" s="262"/>
    </row>
    <row r="41" spans="1:21" x14ac:dyDescent="0.25">
      <c r="A41" s="174"/>
      <c r="B41" s="175"/>
      <c r="C41" s="191"/>
      <c r="D41" s="244"/>
      <c r="E41" s="260"/>
      <c r="F41" s="260"/>
      <c r="G41" s="260"/>
      <c r="H41" s="261"/>
      <c r="Q41" s="262"/>
      <c r="R41" s="262"/>
      <c r="S41" s="262"/>
      <c r="U41" s="262"/>
    </row>
    <row r="42" spans="1:21" x14ac:dyDescent="0.25">
      <c r="A42" s="174"/>
      <c r="B42" s="238"/>
      <c r="C42" s="256"/>
      <c r="D42" s="176"/>
      <c r="E42" s="176"/>
      <c r="F42" s="176"/>
      <c r="G42" s="176"/>
      <c r="H42" s="261"/>
      <c r="Q42" s="262"/>
      <c r="R42" s="262"/>
      <c r="S42" s="262"/>
      <c r="U42" s="262"/>
    </row>
    <row r="43" spans="1:21" x14ac:dyDescent="0.25">
      <c r="A43" s="174"/>
      <c r="B43" s="238"/>
      <c r="C43" s="191"/>
      <c r="D43" s="256"/>
      <c r="E43" s="243"/>
      <c r="F43" s="243"/>
      <c r="G43" s="243"/>
      <c r="H43" s="261"/>
      <c r="Q43" s="262"/>
      <c r="R43" s="262"/>
      <c r="S43" s="262"/>
      <c r="U43" s="262"/>
    </row>
    <row r="44" spans="1:21" x14ac:dyDescent="0.25">
      <c r="A44" s="174"/>
      <c r="B44" s="238"/>
      <c r="C44" s="191"/>
      <c r="D44" s="244"/>
      <c r="E44" s="260"/>
      <c r="F44" s="260"/>
      <c r="G44" s="260"/>
      <c r="H44" s="261"/>
      <c r="Q44" s="262"/>
      <c r="R44" s="262"/>
      <c r="S44" s="262"/>
      <c r="U44" s="262"/>
    </row>
    <row r="45" spans="1:21" x14ac:dyDescent="0.25">
      <c r="A45" s="174"/>
      <c r="B45" s="238"/>
      <c r="C45" s="191"/>
      <c r="D45" s="256"/>
      <c r="E45" s="243"/>
      <c r="F45" s="243"/>
      <c r="G45" s="243"/>
      <c r="H45" s="261"/>
      <c r="Q45" s="262"/>
      <c r="R45" s="262"/>
      <c r="S45" s="262"/>
      <c r="U45" s="262"/>
    </row>
    <row r="46" spans="1:21" x14ac:dyDescent="0.25">
      <c r="A46" s="174"/>
      <c r="B46" s="238"/>
      <c r="C46" s="191"/>
      <c r="D46" s="244"/>
      <c r="E46" s="260"/>
      <c r="F46" s="260"/>
      <c r="G46" s="260"/>
      <c r="H46" s="261"/>
      <c r="Q46" s="262"/>
      <c r="R46" s="262"/>
      <c r="S46" s="262"/>
      <c r="U46" s="262"/>
    </row>
    <row r="47" spans="1:21" ht="15" thickBot="1" x14ac:dyDescent="0.3">
      <c r="A47" s="174"/>
      <c r="B47" s="238"/>
      <c r="C47" s="191"/>
      <c r="D47" s="263"/>
      <c r="E47" s="264"/>
      <c r="F47" s="264"/>
      <c r="G47" s="264"/>
      <c r="H47" s="261"/>
      <c r="Q47" s="262"/>
      <c r="R47" s="262"/>
      <c r="S47" s="262"/>
      <c r="U47" s="262"/>
    </row>
    <row r="48" spans="1:21" ht="15" thickTop="1" x14ac:dyDescent="0.25">
      <c r="A48" s="202"/>
      <c r="B48" s="265"/>
      <c r="C48" s="204"/>
      <c r="D48" s="266"/>
      <c r="E48" s="266"/>
      <c r="F48" s="266"/>
      <c r="G48" s="266"/>
      <c r="H48" s="267"/>
    </row>
    <row r="49" spans="1:11" x14ac:dyDescent="0.25">
      <c r="A49" s="207"/>
      <c r="B49" s="268"/>
      <c r="C49" s="209"/>
      <c r="D49" s="199" t="s">
        <v>28</v>
      </c>
      <c r="E49" s="199"/>
      <c r="F49" s="199"/>
      <c r="G49" s="199"/>
      <c r="H49" s="252">
        <f>SUM(H8:H47)</f>
        <v>83727.422550000003</v>
      </c>
      <c r="K49" s="285">
        <v>83727.42</v>
      </c>
    </row>
    <row r="50" spans="1:11" ht="15" thickBot="1" x14ac:dyDescent="0.3">
      <c r="A50" s="210"/>
      <c r="B50" s="269"/>
      <c r="C50" s="212"/>
      <c r="D50" s="270"/>
      <c r="E50" s="270"/>
      <c r="F50" s="270"/>
      <c r="G50" s="270"/>
      <c r="H50" s="271"/>
      <c r="K50" s="286">
        <f>+H49-K49</f>
        <v>2.550000004703179E-3</v>
      </c>
    </row>
    <row r="51" spans="1:11" ht="15" thickTop="1" x14ac:dyDescent="0.25"/>
    <row r="53" spans="1:11" x14ac:dyDescent="0.25">
      <c r="H53" s="272"/>
    </row>
    <row r="54" spans="1:11" x14ac:dyDescent="0.25">
      <c r="H54" s="273"/>
    </row>
    <row r="55" spans="1:11" x14ac:dyDescent="0.25">
      <c r="H55" s="272"/>
    </row>
  </sheetData>
  <mergeCells count="4">
    <mergeCell ref="A6:A7"/>
    <mergeCell ref="B6:B7"/>
    <mergeCell ref="C6:C7"/>
    <mergeCell ref="D6:D7"/>
  </mergeCells>
  <pageMargins left="0.35433070866141736" right="0.23622047244094491" top="0.27559055118110237" bottom="0.27559055118110237" header="0.31496062992125984" footer="0.31496062992125984"/>
  <pageSetup scale="64" fitToHeight="0" orientation="portrait" r:id="rId1"/>
  <headerFooter>
    <oddFooter>&amp;C2/B5.2/EO/SCF/H/&amp;P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63C54-D824-4835-AC9E-AD10741F4659}">
  <dimension ref="A1:H42"/>
  <sheetViews>
    <sheetView view="pageBreakPreview" zoomScaleNormal="100" zoomScaleSheetLayoutView="100" zoomScalePageLayoutView="70" workbookViewId="0">
      <selection activeCell="E9" sqref="E9"/>
    </sheetView>
  </sheetViews>
  <sheetFormatPr defaultColWidth="9.33203125" defaultRowHeight="13.8" x14ac:dyDescent="0.25"/>
  <cols>
    <col min="1" max="1" width="5.6640625" style="91" customWidth="1"/>
    <col min="2" max="2" width="46" style="92" customWidth="1"/>
    <col min="3" max="3" width="10.6640625" style="93" customWidth="1"/>
    <col min="4" max="4" width="7.44140625" style="94" customWidth="1"/>
    <col min="5" max="5" width="15.33203125" style="118" customWidth="1"/>
    <col min="6" max="6" width="15.6640625" style="111" customWidth="1"/>
    <col min="7" max="7" width="14.44140625" style="72" bestFit="1" customWidth="1"/>
    <col min="8" max="8" width="18.6640625" style="72" customWidth="1"/>
    <col min="9" max="9" width="24.88671875" style="72" customWidth="1"/>
    <col min="10" max="16384" width="9.33203125" style="72"/>
  </cols>
  <sheetData>
    <row r="1" spans="1:8" s="65" customFormat="1" ht="14.4" x14ac:dyDescent="0.25">
      <c r="A1" s="288" t="s">
        <v>6</v>
      </c>
      <c r="B1" s="288" t="s">
        <v>0</v>
      </c>
      <c r="C1" s="290" t="s">
        <v>18</v>
      </c>
      <c r="D1" s="292" t="s">
        <v>19</v>
      </c>
      <c r="E1" s="113" t="s">
        <v>1</v>
      </c>
      <c r="F1" s="104" t="s">
        <v>20</v>
      </c>
    </row>
    <row r="2" spans="1:8" s="65" customFormat="1" ht="14.4" x14ac:dyDescent="0.25">
      <c r="A2" s="289"/>
      <c r="B2" s="289"/>
      <c r="C2" s="291"/>
      <c r="D2" s="293"/>
      <c r="E2" s="114" t="s">
        <v>21</v>
      </c>
      <c r="F2" s="105" t="s">
        <v>21</v>
      </c>
    </row>
    <row r="3" spans="1:8" x14ac:dyDescent="0.25">
      <c r="A3" s="69"/>
      <c r="B3" s="73" t="s">
        <v>251</v>
      </c>
      <c r="C3" s="70"/>
      <c r="D3" s="71"/>
      <c r="E3" s="116"/>
      <c r="F3" s="107"/>
      <c r="G3" s="112"/>
      <c r="H3" s="120"/>
    </row>
    <row r="4" spans="1:8" x14ac:dyDescent="0.25">
      <c r="A4" s="69"/>
      <c r="B4" s="100"/>
      <c r="C4" s="70"/>
      <c r="D4" s="71"/>
      <c r="E4" s="116"/>
      <c r="F4" s="107"/>
      <c r="G4" s="112"/>
      <c r="H4" s="120"/>
    </row>
    <row r="5" spans="1:8" x14ac:dyDescent="0.25">
      <c r="A5" s="69"/>
      <c r="B5" s="145" t="s">
        <v>257</v>
      </c>
      <c r="C5" s="70"/>
      <c r="D5" s="71"/>
      <c r="E5" s="116"/>
      <c r="F5" s="107"/>
      <c r="G5" s="112"/>
      <c r="H5" s="120"/>
    </row>
    <row r="6" spans="1:8" x14ac:dyDescent="0.25">
      <c r="A6" s="69"/>
      <c r="B6" s="100"/>
      <c r="C6" s="70"/>
      <c r="D6" s="71"/>
      <c r="E6" s="116"/>
      <c r="F6" s="107"/>
      <c r="G6" s="112"/>
      <c r="H6" s="120"/>
    </row>
    <row r="7" spans="1:8" x14ac:dyDescent="0.25">
      <c r="A7" s="75" t="s">
        <v>3</v>
      </c>
      <c r="B7" s="76" t="s">
        <v>252</v>
      </c>
      <c r="C7" s="138">
        <v>1</v>
      </c>
      <c r="D7" s="125" t="s">
        <v>253</v>
      </c>
      <c r="E7" s="123">
        <f>+'Add Scaffolding-Summary'!D45</f>
        <v>766309.42894999986</v>
      </c>
      <c r="F7" s="124">
        <f>+C7*E7</f>
        <v>766309.42894999986</v>
      </c>
      <c r="G7" s="112"/>
      <c r="H7" s="120"/>
    </row>
    <row r="8" spans="1:8" x14ac:dyDescent="0.25">
      <c r="A8" s="75"/>
      <c r="B8" s="76"/>
      <c r="C8" s="138"/>
      <c r="D8" s="125"/>
      <c r="E8" s="123"/>
      <c r="F8" s="124"/>
      <c r="G8" s="112"/>
      <c r="H8" s="120"/>
    </row>
    <row r="9" spans="1:8" ht="27.6" x14ac:dyDescent="0.25">
      <c r="A9" s="121" t="s">
        <v>2</v>
      </c>
      <c r="B9" s="76" t="s">
        <v>254</v>
      </c>
      <c r="C9" s="138">
        <v>-1</v>
      </c>
      <c r="D9" s="125" t="s">
        <v>253</v>
      </c>
      <c r="E9" s="123">
        <f>+'Omit Scaff SS'!H49</f>
        <v>83727.422550000003</v>
      </c>
      <c r="F9" s="148">
        <f>+C9*E9</f>
        <v>-83727.422550000003</v>
      </c>
      <c r="G9" s="112"/>
      <c r="H9" s="120"/>
    </row>
    <row r="10" spans="1:8" x14ac:dyDescent="0.25">
      <c r="A10" s="121"/>
      <c r="B10" s="76"/>
      <c r="C10" s="136"/>
      <c r="D10" s="125"/>
      <c r="E10" s="123"/>
      <c r="F10" s="124"/>
      <c r="G10" s="112"/>
      <c r="H10" s="120"/>
    </row>
    <row r="11" spans="1:8" ht="27.6" x14ac:dyDescent="0.25">
      <c r="A11" s="121"/>
      <c r="B11" s="143" t="s">
        <v>456</v>
      </c>
      <c r="C11" s="136"/>
      <c r="D11" s="125"/>
      <c r="E11" s="123"/>
      <c r="F11" s="124"/>
      <c r="G11" s="112"/>
      <c r="H11" s="120"/>
    </row>
    <row r="12" spans="1:8" x14ac:dyDescent="0.25">
      <c r="A12" s="121"/>
      <c r="B12" s="76"/>
      <c r="C12" s="136"/>
      <c r="D12" s="122"/>
      <c r="E12" s="123"/>
      <c r="F12" s="124"/>
      <c r="G12" s="112"/>
      <c r="H12" s="120"/>
    </row>
    <row r="13" spans="1:8" x14ac:dyDescent="0.25">
      <c r="A13" s="121" t="s">
        <v>5</v>
      </c>
      <c r="B13" s="76" t="s">
        <v>455</v>
      </c>
      <c r="C13" s="136">
        <v>1</v>
      </c>
      <c r="D13" s="191" t="s">
        <v>45</v>
      </c>
      <c r="E13" s="123">
        <v>45</v>
      </c>
      <c r="F13" s="124" t="s">
        <v>454</v>
      </c>
      <c r="G13" s="112"/>
      <c r="H13" s="120"/>
    </row>
    <row r="14" spans="1:8" x14ac:dyDescent="0.25">
      <c r="A14" s="121"/>
      <c r="B14" s="76"/>
      <c r="C14" s="136"/>
      <c r="D14" s="122"/>
      <c r="E14" s="123"/>
      <c r="F14" s="124"/>
      <c r="G14" s="112"/>
      <c r="H14" s="120"/>
    </row>
    <row r="15" spans="1:8" x14ac:dyDescent="0.25">
      <c r="A15" s="75" t="s">
        <v>7</v>
      </c>
      <c r="B15" s="76" t="s">
        <v>452</v>
      </c>
      <c r="C15" s="128">
        <v>1</v>
      </c>
      <c r="D15" s="125" t="s">
        <v>453</v>
      </c>
      <c r="E15" s="123">
        <v>14</v>
      </c>
      <c r="F15" s="124" t="s">
        <v>454</v>
      </c>
      <c r="G15" s="112"/>
      <c r="H15" s="120"/>
    </row>
    <row r="16" spans="1:8" x14ac:dyDescent="0.25">
      <c r="A16" s="39"/>
      <c r="B16" s="102"/>
      <c r="C16" s="138"/>
      <c r="D16" s="41"/>
      <c r="E16" s="123"/>
      <c r="F16" s="107"/>
      <c r="G16" s="112"/>
      <c r="H16" s="120"/>
    </row>
    <row r="17" spans="1:8" x14ac:dyDescent="0.25">
      <c r="A17" s="121"/>
      <c r="B17" s="76"/>
      <c r="C17" s="136"/>
      <c r="D17" s="125"/>
      <c r="E17" s="123"/>
      <c r="F17" s="124"/>
      <c r="G17" s="112"/>
      <c r="H17" s="120"/>
    </row>
    <row r="18" spans="1:8" x14ac:dyDescent="0.25">
      <c r="A18" s="121"/>
      <c r="B18" s="76"/>
      <c r="C18" s="138"/>
      <c r="D18" s="41"/>
      <c r="E18" s="123"/>
      <c r="F18" s="107"/>
      <c r="G18" s="112"/>
      <c r="H18" s="120"/>
    </row>
    <row r="19" spans="1:8" x14ac:dyDescent="0.25">
      <c r="A19" s="121"/>
      <c r="B19" s="98"/>
      <c r="C19" s="138"/>
      <c r="D19" s="125"/>
      <c r="E19" s="123"/>
      <c r="F19" s="124"/>
      <c r="G19" s="112"/>
      <c r="H19" s="120"/>
    </row>
    <row r="20" spans="1:8" x14ac:dyDescent="0.25">
      <c r="A20" s="121"/>
      <c r="B20" s="98"/>
      <c r="C20" s="138"/>
      <c r="D20" s="125"/>
      <c r="E20" s="123"/>
      <c r="F20" s="124"/>
      <c r="G20" s="112"/>
      <c r="H20" s="120"/>
    </row>
    <row r="21" spans="1:8" x14ac:dyDescent="0.25">
      <c r="A21" s="121"/>
      <c r="B21" s="76"/>
      <c r="C21" s="138"/>
      <c r="D21" s="125"/>
      <c r="E21" s="123"/>
      <c r="F21" s="124"/>
      <c r="G21" s="112"/>
      <c r="H21" s="120"/>
    </row>
    <row r="22" spans="1:8" x14ac:dyDescent="0.25">
      <c r="A22" s="121"/>
      <c r="B22" s="76"/>
      <c r="C22" s="138"/>
      <c r="D22" s="125"/>
      <c r="E22" s="123"/>
      <c r="F22" s="124"/>
      <c r="G22" s="112"/>
      <c r="H22" s="120"/>
    </row>
    <row r="23" spans="1:8" x14ac:dyDescent="0.25">
      <c r="A23" s="39"/>
      <c r="B23" s="143"/>
      <c r="C23" s="138"/>
      <c r="D23" s="41"/>
      <c r="E23" s="123"/>
      <c r="F23" s="107"/>
      <c r="G23" s="112"/>
      <c r="H23" s="120"/>
    </row>
    <row r="24" spans="1:8" x14ac:dyDescent="0.25">
      <c r="A24" s="43"/>
      <c r="B24" s="76"/>
      <c r="C24" s="140"/>
      <c r="D24" s="125"/>
      <c r="E24" s="123"/>
      <c r="F24" s="124"/>
      <c r="G24" s="112"/>
      <c r="H24" s="120"/>
    </row>
    <row r="25" spans="1:8" x14ac:dyDescent="0.25">
      <c r="A25" s="39"/>
      <c r="B25" s="98"/>
      <c r="C25" s="138"/>
      <c r="D25" s="41"/>
      <c r="E25" s="123"/>
      <c r="F25" s="107"/>
      <c r="G25" s="112"/>
      <c r="H25" s="120"/>
    </row>
    <row r="26" spans="1:8" x14ac:dyDescent="0.25">
      <c r="A26" s="43"/>
      <c r="B26" s="102"/>
      <c r="C26" s="140"/>
      <c r="D26" s="125"/>
      <c r="E26" s="123"/>
      <c r="F26" s="124"/>
      <c r="G26" s="112"/>
      <c r="H26" s="120"/>
    </row>
    <row r="27" spans="1:8" x14ac:dyDescent="0.25">
      <c r="A27" s="121"/>
      <c r="B27" s="76"/>
      <c r="C27" s="135"/>
      <c r="D27" s="125"/>
      <c r="E27" s="123"/>
      <c r="F27" s="124"/>
      <c r="G27" s="112"/>
      <c r="H27" s="120"/>
    </row>
    <row r="28" spans="1:8" x14ac:dyDescent="0.25">
      <c r="A28" s="43"/>
      <c r="B28" s="76"/>
      <c r="C28" s="137"/>
      <c r="D28" s="41"/>
      <c r="E28" s="123"/>
      <c r="F28" s="107"/>
      <c r="G28" s="112"/>
      <c r="H28" s="120"/>
    </row>
    <row r="29" spans="1:8" x14ac:dyDescent="0.25">
      <c r="A29" s="43"/>
      <c r="B29" s="98"/>
      <c r="C29" s="137"/>
      <c r="D29" s="125"/>
      <c r="E29" s="123"/>
      <c r="F29" s="124"/>
      <c r="G29" s="112"/>
      <c r="H29" s="120"/>
    </row>
    <row r="30" spans="1:8" x14ac:dyDescent="0.25">
      <c r="A30" s="43"/>
      <c r="B30" s="98"/>
      <c r="C30" s="137"/>
      <c r="D30" s="125"/>
      <c r="E30" s="123"/>
      <c r="F30" s="124"/>
      <c r="G30" s="112"/>
      <c r="H30" s="120"/>
    </row>
    <row r="31" spans="1:8" x14ac:dyDescent="0.25">
      <c r="A31" s="121"/>
      <c r="B31" s="76"/>
      <c r="C31" s="138"/>
      <c r="D31" s="125"/>
      <c r="E31" s="123"/>
      <c r="F31" s="124"/>
      <c r="G31" s="112"/>
      <c r="H31" s="120"/>
    </row>
    <row r="32" spans="1:8" x14ac:dyDescent="0.25">
      <c r="A32" s="39"/>
      <c r="B32" s="76"/>
      <c r="C32" s="138"/>
      <c r="D32" s="139"/>
      <c r="E32" s="123"/>
      <c r="F32" s="124"/>
      <c r="G32" s="112"/>
      <c r="H32" s="120"/>
    </row>
    <row r="33" spans="1:8" x14ac:dyDescent="0.25">
      <c r="A33" s="39"/>
      <c r="B33" s="143"/>
      <c r="C33" s="40"/>
      <c r="D33" s="41"/>
      <c r="E33" s="116"/>
      <c r="F33" s="107"/>
      <c r="G33" s="112"/>
      <c r="H33" s="120"/>
    </row>
    <row r="34" spans="1:8" x14ac:dyDescent="0.25">
      <c r="A34" s="43"/>
      <c r="B34" s="76"/>
      <c r="C34" s="44"/>
      <c r="D34" s="45"/>
      <c r="E34" s="116"/>
      <c r="F34" s="107"/>
      <c r="G34" s="112"/>
      <c r="H34" s="120"/>
    </row>
    <row r="35" spans="1:8" x14ac:dyDescent="0.25">
      <c r="A35" s="121"/>
      <c r="B35" s="146"/>
      <c r="C35" s="40"/>
      <c r="D35" s="41"/>
      <c r="E35" s="116"/>
      <c r="F35" s="147"/>
      <c r="G35" s="112"/>
      <c r="H35" s="120"/>
    </row>
    <row r="36" spans="1:8" x14ac:dyDescent="0.25">
      <c r="A36" s="43"/>
      <c r="B36" s="76"/>
      <c r="C36" s="44"/>
      <c r="D36" s="45"/>
      <c r="E36" s="116"/>
      <c r="F36" s="107"/>
      <c r="G36" s="112"/>
      <c r="H36" s="120"/>
    </row>
    <row r="37" spans="1:8" x14ac:dyDescent="0.25">
      <c r="A37" s="39"/>
      <c r="B37" s="76"/>
      <c r="C37" s="40"/>
      <c r="D37" s="41"/>
      <c r="E37" s="116"/>
      <c r="F37" s="107"/>
      <c r="G37" s="112"/>
      <c r="H37" s="120"/>
    </row>
    <row r="38" spans="1:8" x14ac:dyDescent="0.25">
      <c r="A38" s="39"/>
      <c r="B38" s="102"/>
      <c r="C38" s="40"/>
      <c r="D38" s="41"/>
      <c r="E38" s="116"/>
      <c r="F38" s="107"/>
      <c r="G38" s="112"/>
      <c r="H38" s="120"/>
    </row>
    <row r="39" spans="1:8" x14ac:dyDescent="0.25">
      <c r="A39" s="39"/>
      <c r="B39" s="42"/>
      <c r="C39" s="40"/>
      <c r="D39" s="41"/>
      <c r="E39" s="116"/>
      <c r="F39" s="107"/>
      <c r="G39" s="112"/>
      <c r="H39" s="120"/>
    </row>
    <row r="40" spans="1:8" x14ac:dyDescent="0.25">
      <c r="A40" s="80"/>
      <c r="B40" s="81"/>
      <c r="C40" s="82"/>
      <c r="D40" s="83"/>
      <c r="E40" s="117"/>
      <c r="F40" s="108"/>
      <c r="G40" s="112"/>
      <c r="H40" s="120"/>
    </row>
    <row r="41" spans="1:8" x14ac:dyDescent="0.25">
      <c r="A41" s="84"/>
      <c r="B41" s="85"/>
      <c r="C41" s="86" t="s">
        <v>28</v>
      </c>
      <c r="D41" s="86"/>
      <c r="E41" s="118" t="s">
        <v>21</v>
      </c>
      <c r="F41" s="109">
        <f>SUM(F7:F39)</f>
        <v>682582.00639999984</v>
      </c>
      <c r="G41" s="112"/>
      <c r="H41" s="120"/>
    </row>
    <row r="42" spans="1:8" x14ac:dyDescent="0.25">
      <c r="A42" s="84"/>
      <c r="B42" s="85"/>
      <c r="C42" s="87"/>
      <c r="D42" s="88"/>
      <c r="E42" s="119"/>
      <c r="F42" s="110"/>
      <c r="G42" s="112"/>
      <c r="H42" s="120"/>
    </row>
  </sheetData>
  <mergeCells count="4">
    <mergeCell ref="A1:A2"/>
    <mergeCell ref="B1:B2"/>
    <mergeCell ref="C1:C2"/>
    <mergeCell ref="D1:D2"/>
  </mergeCells>
  <printOptions horizontalCentered="1"/>
  <pageMargins left="0.6692913385826772" right="0.19685039370078741" top="0.82677165354330717" bottom="0.47244094488188981" header="0.19685039370078741" footer="0.23622047244094491"/>
  <pageSetup paperSize="9" scale="92" fitToHeight="0" orientation="portrait" useFirstPageNumber="1" r:id="rId1"/>
  <headerFooter>
    <oddHeader>&amp;R&amp;11
&amp;UBILL NO. 13 - ACCESS SCAFFOLD TO STRENGTHENING WORKS</oddHeader>
    <oddFooter>&amp;L&amp;8DMS 148704 BOQ - Nakheel Mall Al Khail&amp;C13/4/&amp;P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676B1-7FDB-477A-8EF5-F3279B6CE7B0}">
  <dimension ref="A1:L99"/>
  <sheetViews>
    <sheetView tabSelected="1" view="pageBreakPreview" topLeftCell="A28" zoomScale="85" zoomScaleNormal="90" zoomScaleSheetLayoutView="85" zoomScalePageLayoutView="90" workbookViewId="0">
      <selection activeCell="E47" sqref="E47"/>
    </sheetView>
  </sheetViews>
  <sheetFormatPr defaultColWidth="8.6640625" defaultRowHeight="13.8" x14ac:dyDescent="0.25"/>
  <cols>
    <col min="1" max="1" width="5.6640625" style="22" customWidth="1"/>
    <col min="2" max="2" width="54.44140625" style="22" customWidth="1"/>
    <col min="3" max="3" width="19.6640625" style="35" customWidth="1"/>
    <col min="4" max="4" width="15.6640625" style="36" customWidth="1"/>
    <col min="5" max="5" width="27.44140625" style="21" customWidth="1"/>
    <col min="6" max="16384" width="8.6640625" style="22"/>
  </cols>
  <sheetData>
    <row r="1" spans="1:5" s="13" customFormat="1" ht="18.75" customHeight="1" x14ac:dyDescent="0.25">
      <c r="A1" s="302" t="s">
        <v>6</v>
      </c>
      <c r="B1" s="302" t="s">
        <v>0</v>
      </c>
      <c r="C1" s="304" t="s">
        <v>24</v>
      </c>
      <c r="D1" s="306" t="s">
        <v>25</v>
      </c>
      <c r="E1" s="12"/>
    </row>
    <row r="2" spans="1:5" s="14" customFormat="1" ht="18.75" customHeight="1" x14ac:dyDescent="0.25">
      <c r="A2" s="303"/>
      <c r="B2" s="303"/>
      <c r="C2" s="305"/>
      <c r="D2" s="307"/>
      <c r="E2" s="12"/>
    </row>
    <row r="3" spans="1:5" s="17" customFormat="1" ht="14.25" customHeight="1" x14ac:dyDescent="0.25">
      <c r="A3" s="46"/>
      <c r="B3" s="47"/>
      <c r="C3" s="48"/>
      <c r="D3" s="15"/>
      <c r="E3" s="16"/>
    </row>
    <row r="4" spans="1:5" s="17" customFormat="1" ht="14.25" customHeight="1" x14ac:dyDescent="0.25">
      <c r="A4" s="49"/>
      <c r="B4" s="47"/>
      <c r="C4" s="50"/>
      <c r="D4" s="18"/>
      <c r="E4" s="16"/>
    </row>
    <row r="5" spans="1:5" s="17" customFormat="1" ht="14.25" customHeight="1" x14ac:dyDescent="0.25">
      <c r="A5" s="49"/>
      <c r="B5" s="51" t="s">
        <v>26</v>
      </c>
      <c r="C5" s="50"/>
      <c r="D5" s="19"/>
      <c r="E5" s="16"/>
    </row>
    <row r="6" spans="1:5" s="17" customFormat="1" ht="14.25" customHeight="1" x14ac:dyDescent="0.25">
      <c r="A6" s="49"/>
      <c r="B6" s="52"/>
      <c r="C6" s="50"/>
      <c r="D6" s="19"/>
      <c r="E6" s="16"/>
    </row>
    <row r="7" spans="1:5" s="17" customFormat="1" ht="14.25" customHeight="1" x14ac:dyDescent="0.25">
      <c r="A7" s="49"/>
      <c r="B7" s="52"/>
      <c r="C7" s="50"/>
      <c r="D7" s="19"/>
      <c r="E7" s="16"/>
    </row>
    <row r="8" spans="1:5" s="17" customFormat="1" ht="14.25" customHeight="1" x14ac:dyDescent="0.25">
      <c r="A8" s="49"/>
      <c r="B8" s="52" t="s">
        <v>220</v>
      </c>
      <c r="C8" s="53" t="s">
        <v>248</v>
      </c>
      <c r="D8" s="20">
        <f>+'Bill 13 Revised Strength.'!F650</f>
        <v>27724988.476192005</v>
      </c>
      <c r="E8" s="16"/>
    </row>
    <row r="9" spans="1:5" s="17" customFormat="1" ht="14.25" customHeight="1" x14ac:dyDescent="0.25">
      <c r="A9" s="49"/>
      <c r="B9" s="52"/>
      <c r="C9" s="50"/>
      <c r="D9" s="20"/>
      <c r="E9" s="16"/>
    </row>
    <row r="10" spans="1:5" s="17" customFormat="1" ht="25.95" customHeight="1" x14ac:dyDescent="0.25">
      <c r="A10" s="49"/>
      <c r="B10" s="52" t="s">
        <v>237</v>
      </c>
      <c r="C10" s="144" t="s">
        <v>249</v>
      </c>
      <c r="D10" s="20">
        <f>+'Bill 13 Add''l'!F33</f>
        <v>3222177.183382581</v>
      </c>
      <c r="E10" s="16"/>
    </row>
    <row r="11" spans="1:5" s="17" customFormat="1" ht="14.25" customHeight="1" x14ac:dyDescent="0.25">
      <c r="A11" s="49"/>
      <c r="B11" s="54"/>
      <c r="C11" s="53"/>
      <c r="D11" s="20"/>
      <c r="E11" s="16"/>
    </row>
    <row r="12" spans="1:5" s="17" customFormat="1" ht="14.25" customHeight="1" x14ac:dyDescent="0.25">
      <c r="A12" s="49"/>
      <c r="B12" s="54" t="s">
        <v>238</v>
      </c>
      <c r="C12" s="53" t="s">
        <v>250</v>
      </c>
      <c r="D12" s="20">
        <f>+'Bill 13 Finishes'!F43</f>
        <v>1379699.8900696002</v>
      </c>
      <c r="E12" s="16"/>
    </row>
    <row r="13" spans="1:5" s="17" customFormat="1" ht="14.25" customHeight="1" x14ac:dyDescent="0.25">
      <c r="A13" s="49"/>
      <c r="B13" s="54"/>
      <c r="C13" s="53"/>
      <c r="D13" s="20"/>
      <c r="E13" s="16"/>
    </row>
    <row r="14" spans="1:5" s="17" customFormat="1" ht="28.2" customHeight="1" x14ac:dyDescent="0.25">
      <c r="A14" s="49"/>
      <c r="B14" s="52" t="s">
        <v>255</v>
      </c>
      <c r="C14" s="144" t="s">
        <v>256</v>
      </c>
      <c r="D14" s="20">
        <f>+'Bill 13 Scaffolding'!F41</f>
        <v>682582.00639999984</v>
      </c>
      <c r="E14" s="16"/>
    </row>
    <row r="15" spans="1:5" s="17" customFormat="1" ht="14.25" customHeight="1" x14ac:dyDescent="0.25">
      <c r="A15" s="49"/>
      <c r="B15" s="54"/>
      <c r="C15" s="53"/>
      <c r="D15" s="20"/>
      <c r="E15" s="16"/>
    </row>
    <row r="16" spans="1:5" s="17" customFormat="1" ht="14.25" customHeight="1" x14ac:dyDescent="0.25">
      <c r="A16" s="49"/>
      <c r="B16" s="54"/>
      <c r="C16" s="53"/>
      <c r="D16" s="20"/>
      <c r="E16" s="16"/>
    </row>
    <row r="17" spans="1:5" ht="14.25" customHeight="1" x14ac:dyDescent="0.25">
      <c r="A17" s="55"/>
      <c r="B17" s="54"/>
      <c r="C17" s="53"/>
      <c r="D17" s="20"/>
    </row>
    <row r="18" spans="1:5" ht="14.25" customHeight="1" x14ac:dyDescent="0.25">
      <c r="A18" s="55"/>
      <c r="B18" s="54"/>
      <c r="C18" s="53"/>
      <c r="D18" s="20"/>
    </row>
    <row r="19" spans="1:5" s="17" customFormat="1" ht="14.25" customHeight="1" x14ac:dyDescent="0.25">
      <c r="A19" s="49"/>
      <c r="B19" s="54"/>
      <c r="C19" s="53"/>
      <c r="D19" s="20"/>
      <c r="E19" s="16"/>
    </row>
    <row r="20" spans="1:5" ht="14.25" customHeight="1" x14ac:dyDescent="0.25">
      <c r="A20" s="55"/>
      <c r="B20" s="54"/>
      <c r="C20" s="53"/>
      <c r="D20" s="20"/>
    </row>
    <row r="21" spans="1:5" ht="14.25" customHeight="1" x14ac:dyDescent="0.25">
      <c r="A21" s="55"/>
      <c r="B21" s="54"/>
      <c r="C21" s="53"/>
      <c r="D21" s="20"/>
    </row>
    <row r="22" spans="1:5" ht="14.25" customHeight="1" x14ac:dyDescent="0.25">
      <c r="A22" s="55"/>
      <c r="B22" s="54"/>
      <c r="C22" s="53"/>
      <c r="D22" s="20"/>
    </row>
    <row r="23" spans="1:5" ht="14.25" customHeight="1" x14ac:dyDescent="0.25">
      <c r="A23" s="55"/>
      <c r="B23" s="54"/>
      <c r="C23" s="53"/>
      <c r="D23" s="20"/>
    </row>
    <row r="24" spans="1:5" ht="14.25" customHeight="1" x14ac:dyDescent="0.25">
      <c r="A24" s="55"/>
      <c r="B24" s="54"/>
      <c r="C24" s="53"/>
      <c r="D24" s="20"/>
    </row>
    <row r="25" spans="1:5" ht="14.25" customHeight="1" x14ac:dyDescent="0.25">
      <c r="A25" s="55"/>
      <c r="B25" s="54"/>
      <c r="C25" s="53"/>
      <c r="D25" s="20"/>
    </row>
    <row r="26" spans="1:5" ht="14.25" customHeight="1" x14ac:dyDescent="0.25">
      <c r="A26" s="55"/>
      <c r="B26" s="54"/>
      <c r="C26" s="53"/>
      <c r="D26" s="20"/>
    </row>
    <row r="27" spans="1:5" ht="14.25" customHeight="1" x14ac:dyDescent="0.25">
      <c r="A27" s="55"/>
      <c r="B27" s="54"/>
      <c r="C27" s="53"/>
      <c r="D27" s="20"/>
    </row>
    <row r="28" spans="1:5" ht="14.25" customHeight="1" x14ac:dyDescent="0.25">
      <c r="A28" s="55"/>
      <c r="B28" s="54"/>
      <c r="C28" s="53"/>
      <c r="D28" s="20"/>
    </row>
    <row r="29" spans="1:5" ht="14.25" customHeight="1" x14ac:dyDescent="0.25">
      <c r="A29" s="55"/>
      <c r="B29" s="54"/>
      <c r="C29" s="53"/>
      <c r="D29" s="20"/>
    </row>
    <row r="30" spans="1:5" s="21" customFormat="1" ht="14.25" customHeight="1" x14ac:dyDescent="0.25">
      <c r="A30" s="55"/>
      <c r="B30" s="54"/>
      <c r="C30" s="53"/>
      <c r="D30" s="20"/>
    </row>
    <row r="31" spans="1:5" s="21" customFormat="1" ht="14.25" customHeight="1" x14ac:dyDescent="0.25">
      <c r="A31" s="55"/>
      <c r="B31" s="54"/>
      <c r="C31" s="53"/>
      <c r="D31" s="20"/>
    </row>
    <row r="32" spans="1:5" s="21" customFormat="1" ht="14.25" customHeight="1" x14ac:dyDescent="0.25">
      <c r="A32" s="55"/>
      <c r="B32" s="54"/>
      <c r="C32" s="53"/>
      <c r="D32" s="20"/>
    </row>
    <row r="33" spans="1:12" s="21" customFormat="1" ht="14.25" customHeight="1" x14ac:dyDescent="0.25">
      <c r="A33" s="55"/>
      <c r="B33" s="54"/>
      <c r="C33" s="53"/>
      <c r="D33" s="20"/>
    </row>
    <row r="34" spans="1:12" s="21" customFormat="1" ht="14.25" customHeight="1" x14ac:dyDescent="0.25">
      <c r="A34" s="55"/>
      <c r="B34" s="54"/>
      <c r="C34" s="53"/>
      <c r="D34" s="20"/>
    </row>
    <row r="35" spans="1:12" s="21" customFormat="1" ht="14.25" customHeight="1" x14ac:dyDescent="0.25">
      <c r="A35" s="55"/>
      <c r="B35" s="54"/>
      <c r="C35" s="53"/>
      <c r="D35" s="20"/>
    </row>
    <row r="36" spans="1:12" s="21" customFormat="1" ht="14.25" customHeight="1" x14ac:dyDescent="0.25">
      <c r="A36" s="55"/>
      <c r="B36" s="54"/>
      <c r="C36" s="53"/>
      <c r="D36" s="20"/>
    </row>
    <row r="37" spans="1:12" s="21" customFormat="1" ht="14.25" customHeight="1" x14ac:dyDescent="0.25">
      <c r="A37" s="55"/>
      <c r="B37" s="54"/>
      <c r="C37" s="53"/>
      <c r="D37" s="20"/>
    </row>
    <row r="38" spans="1:12" s="21" customFormat="1" ht="14.25" customHeight="1" x14ac:dyDescent="0.25">
      <c r="A38" s="55"/>
      <c r="B38" s="54"/>
      <c r="C38" s="53"/>
      <c r="D38" s="20"/>
    </row>
    <row r="39" spans="1:12" s="21" customFormat="1" ht="14.25" customHeight="1" x14ac:dyDescent="0.25">
      <c r="A39" s="55"/>
      <c r="B39" s="54"/>
      <c r="C39" s="53"/>
      <c r="D39" s="20"/>
    </row>
    <row r="40" spans="1:12" s="21" customFormat="1" ht="14.25" customHeight="1" x14ac:dyDescent="0.25">
      <c r="A40" s="55"/>
      <c r="B40" s="54"/>
      <c r="C40" s="53"/>
      <c r="D40" s="20"/>
    </row>
    <row r="41" spans="1:12" s="21" customFormat="1" ht="14.25" customHeight="1" x14ac:dyDescent="0.25">
      <c r="A41" s="55"/>
      <c r="B41" s="54"/>
      <c r="C41" s="53"/>
      <c r="D41" s="20"/>
    </row>
    <row r="42" spans="1:12" s="37" customFormat="1" ht="14.4" x14ac:dyDescent="0.3">
      <c r="A42" s="55"/>
      <c r="B42" s="54"/>
      <c r="C42" s="53"/>
      <c r="D42" s="20"/>
      <c r="F42" s="38"/>
      <c r="G42" s="38"/>
      <c r="H42" s="38"/>
      <c r="I42" s="38"/>
      <c r="J42" s="38"/>
      <c r="K42" s="38"/>
      <c r="L42" s="38"/>
    </row>
    <row r="43" spans="1:12" s="37" customFormat="1" ht="14.4" x14ac:dyDescent="0.3">
      <c r="A43" s="55"/>
      <c r="B43" s="54"/>
      <c r="C43" s="53"/>
      <c r="D43" s="20"/>
      <c r="F43" s="38"/>
      <c r="G43" s="38"/>
      <c r="H43" s="38"/>
      <c r="I43" s="38"/>
      <c r="J43" s="38"/>
      <c r="K43" s="38"/>
      <c r="L43" s="38"/>
    </row>
    <row r="44" spans="1:12" s="37" customFormat="1" ht="14.4" x14ac:dyDescent="0.3">
      <c r="A44" s="55"/>
      <c r="B44" s="54"/>
      <c r="C44" s="53"/>
      <c r="D44" s="20"/>
    </row>
    <row r="45" spans="1:12" s="21" customFormat="1" ht="14.25" customHeight="1" x14ac:dyDescent="0.25">
      <c r="A45" s="55"/>
      <c r="B45" s="56"/>
      <c r="C45" s="53"/>
      <c r="D45" s="20"/>
    </row>
    <row r="46" spans="1:12" s="21" customFormat="1" ht="14.25" customHeight="1" x14ac:dyDescent="0.25">
      <c r="A46" s="57"/>
      <c r="B46" s="58"/>
      <c r="C46" s="59"/>
      <c r="D46" s="23"/>
    </row>
    <row r="47" spans="1:12" s="21" customFormat="1" ht="27.6" x14ac:dyDescent="0.25">
      <c r="A47" s="56"/>
      <c r="B47" s="60" t="s">
        <v>457</v>
      </c>
      <c r="C47" s="61"/>
      <c r="D47" s="24"/>
    </row>
    <row r="48" spans="1:12" x14ac:dyDescent="0.25">
      <c r="A48" s="62"/>
      <c r="B48" s="63" t="s">
        <v>27</v>
      </c>
      <c r="C48" s="64" t="s">
        <v>21</v>
      </c>
      <c r="D48" s="24">
        <f>SUM(D6:D39)</f>
        <v>33009447.556044187</v>
      </c>
    </row>
    <row r="49" spans="1:4" ht="14.25" customHeight="1" x14ac:dyDescent="0.25">
      <c r="A49" s="21"/>
      <c r="B49" s="26"/>
      <c r="C49" s="25"/>
      <c r="D49" s="23"/>
    </row>
    <row r="51" spans="1:4" s="31" customFormat="1" ht="13.2" x14ac:dyDescent="0.25">
      <c r="A51" s="27"/>
      <c r="B51" s="28"/>
      <c r="C51" s="29"/>
      <c r="D51" s="30"/>
    </row>
    <row r="52" spans="1:4" s="31" customFormat="1" ht="13.2" x14ac:dyDescent="0.25">
      <c r="A52" s="32"/>
      <c r="B52" s="33"/>
      <c r="C52" s="29"/>
      <c r="D52" s="30"/>
    </row>
    <row r="53" spans="1:4" s="31" customFormat="1" ht="13.2" x14ac:dyDescent="0.25">
      <c r="A53" s="32"/>
      <c r="B53" s="33"/>
      <c r="C53" s="29"/>
      <c r="D53" s="30"/>
    </row>
    <row r="54" spans="1:4" s="31" customFormat="1" ht="13.2" x14ac:dyDescent="0.25">
      <c r="A54" s="32"/>
      <c r="B54" s="33"/>
      <c r="C54" s="29"/>
      <c r="D54" s="30"/>
    </row>
    <row r="55" spans="1:4" s="31" customFormat="1" ht="13.2" x14ac:dyDescent="0.25">
      <c r="A55" s="32"/>
      <c r="B55" s="33"/>
      <c r="C55" s="29"/>
      <c r="D55" s="30"/>
    </row>
    <row r="56" spans="1:4" s="31" customFormat="1" ht="13.2" x14ac:dyDescent="0.25">
      <c r="A56" s="32"/>
      <c r="B56" s="33"/>
      <c r="C56" s="29"/>
      <c r="D56" s="30"/>
    </row>
    <row r="57" spans="1:4" s="31" customFormat="1" ht="13.2" x14ac:dyDescent="0.25">
      <c r="A57" s="32"/>
      <c r="B57" s="33"/>
      <c r="C57" s="29"/>
      <c r="D57" s="30"/>
    </row>
    <row r="58" spans="1:4" s="31" customFormat="1" ht="13.2" x14ac:dyDescent="0.25">
      <c r="A58" s="32"/>
      <c r="B58" s="33"/>
      <c r="C58" s="29"/>
      <c r="D58" s="30"/>
    </row>
    <row r="59" spans="1:4" s="31" customFormat="1" ht="13.2" x14ac:dyDescent="0.25">
      <c r="A59" s="32"/>
      <c r="B59" s="33"/>
      <c r="C59" s="29"/>
      <c r="D59" s="30"/>
    </row>
    <row r="60" spans="1:4" s="31" customFormat="1" ht="13.2" x14ac:dyDescent="0.25">
      <c r="A60" s="32"/>
      <c r="B60" s="33"/>
      <c r="C60" s="29"/>
      <c r="D60" s="30"/>
    </row>
    <row r="61" spans="1:4" s="31" customFormat="1" ht="13.2" x14ac:dyDescent="0.25">
      <c r="A61" s="32"/>
      <c r="B61" s="33"/>
      <c r="C61" s="29"/>
      <c r="D61" s="30"/>
    </row>
    <row r="62" spans="1:4" s="31" customFormat="1" ht="13.2" x14ac:dyDescent="0.25">
      <c r="A62" s="32"/>
      <c r="B62" s="33"/>
      <c r="C62" s="29"/>
      <c r="D62" s="30"/>
    </row>
    <row r="63" spans="1:4" s="31" customFormat="1" ht="13.2" x14ac:dyDescent="0.25">
      <c r="A63" s="32"/>
      <c r="B63" s="33"/>
      <c r="C63" s="29"/>
      <c r="D63" s="30"/>
    </row>
    <row r="64" spans="1:4" s="31" customFormat="1" ht="13.2" x14ac:dyDescent="0.25">
      <c r="A64" s="32"/>
      <c r="B64" s="33"/>
      <c r="C64" s="29"/>
      <c r="D64" s="30"/>
    </row>
    <row r="65" spans="1:4" s="31" customFormat="1" ht="13.2" x14ac:dyDescent="0.25">
      <c r="A65" s="32"/>
      <c r="B65" s="33"/>
      <c r="C65" s="29"/>
      <c r="D65" s="30"/>
    </row>
    <row r="66" spans="1:4" s="31" customFormat="1" ht="13.2" x14ac:dyDescent="0.25">
      <c r="A66" s="32"/>
      <c r="B66" s="33"/>
      <c r="C66" s="29"/>
      <c r="D66" s="30"/>
    </row>
    <row r="67" spans="1:4" s="31" customFormat="1" ht="13.2" x14ac:dyDescent="0.25">
      <c r="A67" s="32"/>
      <c r="B67" s="33"/>
      <c r="C67" s="29"/>
      <c r="D67" s="30"/>
    </row>
    <row r="68" spans="1:4" s="31" customFormat="1" ht="13.2" x14ac:dyDescent="0.25">
      <c r="A68" s="32"/>
      <c r="B68" s="33"/>
      <c r="C68" s="29"/>
      <c r="D68" s="30"/>
    </row>
    <row r="69" spans="1:4" s="31" customFormat="1" ht="13.2" x14ac:dyDescent="0.25">
      <c r="A69" s="32"/>
      <c r="B69" s="33"/>
      <c r="C69" s="29"/>
      <c r="D69" s="30"/>
    </row>
    <row r="70" spans="1:4" s="31" customFormat="1" ht="13.2" x14ac:dyDescent="0.25">
      <c r="A70" s="32"/>
      <c r="B70" s="33"/>
      <c r="C70" s="29"/>
      <c r="D70" s="30"/>
    </row>
    <row r="71" spans="1:4" s="31" customFormat="1" ht="13.2" x14ac:dyDescent="0.25">
      <c r="A71" s="32"/>
      <c r="B71" s="33"/>
      <c r="C71" s="29"/>
      <c r="D71" s="30"/>
    </row>
    <row r="72" spans="1:4" s="31" customFormat="1" ht="13.2" x14ac:dyDescent="0.25">
      <c r="A72" s="32"/>
      <c r="B72" s="33"/>
      <c r="C72" s="29"/>
      <c r="D72" s="30"/>
    </row>
    <row r="73" spans="1:4" s="31" customFormat="1" ht="13.2" x14ac:dyDescent="0.25">
      <c r="A73" s="32"/>
      <c r="B73" s="33"/>
      <c r="C73" s="29"/>
      <c r="D73" s="30"/>
    </row>
    <row r="74" spans="1:4" s="31" customFormat="1" ht="13.2" x14ac:dyDescent="0.25">
      <c r="A74" s="34"/>
      <c r="B74" s="33"/>
      <c r="C74" s="29"/>
      <c r="D74" s="30"/>
    </row>
    <row r="75" spans="1:4" s="31" customFormat="1" ht="13.2" x14ac:dyDescent="0.25">
      <c r="A75" s="34"/>
      <c r="B75" s="33"/>
      <c r="C75" s="29"/>
      <c r="D75" s="30"/>
    </row>
    <row r="76" spans="1:4" s="31" customFormat="1" ht="13.2" x14ac:dyDescent="0.25">
      <c r="A76" s="34"/>
      <c r="B76" s="33"/>
      <c r="C76" s="29"/>
      <c r="D76" s="30"/>
    </row>
    <row r="77" spans="1:4" s="31" customFormat="1" ht="13.2" x14ac:dyDescent="0.25">
      <c r="A77" s="34"/>
      <c r="B77" s="33"/>
      <c r="C77" s="29"/>
      <c r="D77" s="30"/>
    </row>
    <row r="78" spans="1:4" s="31" customFormat="1" ht="13.2" x14ac:dyDescent="0.25">
      <c r="A78" s="34"/>
      <c r="B78" s="33"/>
      <c r="C78" s="29"/>
      <c r="D78" s="30"/>
    </row>
    <row r="79" spans="1:4" s="31" customFormat="1" ht="13.2" x14ac:dyDescent="0.25">
      <c r="A79" s="32"/>
      <c r="B79" s="33"/>
      <c r="C79" s="29"/>
      <c r="D79" s="30"/>
    </row>
    <row r="80" spans="1:4" s="31" customFormat="1" ht="13.2" x14ac:dyDescent="0.25">
      <c r="A80" s="32"/>
      <c r="B80" s="33"/>
      <c r="C80" s="29"/>
      <c r="D80" s="30"/>
    </row>
    <row r="81" spans="1:4" s="31" customFormat="1" ht="13.2" x14ac:dyDescent="0.25">
      <c r="A81" s="32"/>
      <c r="B81" s="33"/>
      <c r="C81" s="29"/>
      <c r="D81" s="30"/>
    </row>
    <row r="82" spans="1:4" s="31" customFormat="1" ht="13.2" x14ac:dyDescent="0.25">
      <c r="A82" s="32"/>
      <c r="B82" s="33"/>
      <c r="C82" s="29"/>
      <c r="D82" s="30"/>
    </row>
    <row r="83" spans="1:4" s="31" customFormat="1" ht="13.2" x14ac:dyDescent="0.25">
      <c r="A83" s="32"/>
      <c r="B83" s="33"/>
      <c r="C83" s="29"/>
      <c r="D83" s="30"/>
    </row>
    <row r="84" spans="1:4" s="31" customFormat="1" ht="13.2" x14ac:dyDescent="0.25">
      <c r="A84" s="32"/>
      <c r="B84" s="33"/>
      <c r="C84" s="29"/>
      <c r="D84" s="30"/>
    </row>
    <row r="85" spans="1:4" s="31" customFormat="1" ht="13.2" x14ac:dyDescent="0.25">
      <c r="A85" s="32"/>
      <c r="B85" s="33"/>
      <c r="C85" s="29"/>
      <c r="D85" s="30"/>
    </row>
    <row r="86" spans="1:4" s="31" customFormat="1" ht="13.2" x14ac:dyDescent="0.25">
      <c r="A86" s="32"/>
      <c r="B86" s="33"/>
      <c r="C86" s="29"/>
      <c r="D86" s="30"/>
    </row>
    <row r="87" spans="1:4" s="31" customFormat="1" ht="13.2" x14ac:dyDescent="0.25">
      <c r="A87" s="32"/>
      <c r="B87" s="33"/>
      <c r="C87" s="29"/>
      <c r="D87" s="30"/>
    </row>
    <row r="88" spans="1:4" s="31" customFormat="1" ht="13.2" x14ac:dyDescent="0.25">
      <c r="A88" s="32"/>
      <c r="B88" s="33"/>
      <c r="C88" s="29"/>
      <c r="D88" s="30"/>
    </row>
    <row r="89" spans="1:4" s="31" customFormat="1" ht="13.2" x14ac:dyDescent="0.25">
      <c r="A89" s="32"/>
      <c r="B89" s="33"/>
      <c r="C89" s="29"/>
      <c r="D89" s="30"/>
    </row>
    <row r="90" spans="1:4" s="31" customFormat="1" ht="13.2" x14ac:dyDescent="0.25">
      <c r="A90" s="32"/>
      <c r="B90" s="33"/>
      <c r="C90" s="29"/>
      <c r="D90" s="30"/>
    </row>
    <row r="91" spans="1:4" s="31" customFormat="1" ht="13.2" x14ac:dyDescent="0.25">
      <c r="A91" s="32"/>
      <c r="B91" s="33"/>
      <c r="C91" s="29"/>
      <c r="D91" s="30"/>
    </row>
    <row r="92" spans="1:4" s="31" customFormat="1" ht="13.2" x14ac:dyDescent="0.25">
      <c r="A92" s="32"/>
      <c r="B92" s="33"/>
      <c r="C92" s="29"/>
      <c r="D92" s="30"/>
    </row>
    <row r="93" spans="1:4" s="31" customFormat="1" ht="13.2" x14ac:dyDescent="0.25">
      <c r="A93" s="32"/>
      <c r="B93" s="33"/>
      <c r="C93" s="29"/>
      <c r="D93" s="30"/>
    </row>
    <row r="94" spans="1:4" s="31" customFormat="1" ht="13.2" x14ac:dyDescent="0.25">
      <c r="A94" s="32"/>
      <c r="B94" s="33"/>
      <c r="C94" s="29"/>
      <c r="D94" s="30"/>
    </row>
    <row r="95" spans="1:4" s="31" customFormat="1" ht="13.2" x14ac:dyDescent="0.25">
      <c r="C95" s="29"/>
      <c r="D95" s="30"/>
    </row>
    <row r="99" spans="1:4" s="21" customFormat="1" x14ac:dyDescent="0.25">
      <c r="A99" s="22"/>
      <c r="B99" s="22"/>
      <c r="C99" s="35"/>
      <c r="D99" s="36"/>
    </row>
  </sheetData>
  <mergeCells count="4">
    <mergeCell ref="A1:A2"/>
    <mergeCell ref="B1:B2"/>
    <mergeCell ref="C1:C2"/>
    <mergeCell ref="D1:D2"/>
  </mergeCells>
  <pageMargins left="0.6692913385826772" right="0.19685039370078741" top="0.82677165354330717" bottom="0.47244094488188981" header="0.19685039370078741" footer="0.23622047244094491"/>
  <pageSetup paperSize="9" orientation="portrait" r:id="rId1"/>
  <headerFooter>
    <oddHeader>&amp;R&amp;U
&amp;11BILL NO. 13 - STRENGTHENING WORKS - GMP
AL KHAIL MALL REFURBISHMENT</oddHeader>
    <oddFooter>&amp;L&amp;8DMS 148704 BOQ - Nakheel Mall Al Khail&amp;CB/13</oddFooter>
  </headerFooter>
  <colBreaks count="1" manualBreakCount="1">
    <brk id="4" max="41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EF1AB537AC9E47B3E67E62C11EDC34" ma:contentTypeVersion="6" ma:contentTypeDescription="Create a new document." ma:contentTypeScope="" ma:versionID="2393c6d2fbf1c3b1fcf0524f3ce13afe">
  <xsd:schema xmlns:xsd="http://www.w3.org/2001/XMLSchema" xmlns:xs="http://www.w3.org/2001/XMLSchema" xmlns:p="http://schemas.microsoft.com/office/2006/metadata/properties" xmlns:ns2="29343c2e-0cc4-4aa9-a004-66d03d634282" xmlns:ns3="303d1388-59d5-4b44-81d6-4cb28e15e614" targetNamespace="http://schemas.microsoft.com/office/2006/metadata/properties" ma:root="true" ma:fieldsID="42acea1767e65b62021b29439736a286" ns2:_="" ns3:_="">
    <xsd:import namespace="29343c2e-0cc4-4aa9-a004-66d03d634282"/>
    <xsd:import namespace="303d1388-59d5-4b44-81d6-4cb28e15e61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343c2e-0cc4-4aa9-a004-66d03d6342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3d1388-59d5-4b44-81d6-4cb28e15e6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C6DA019-24CE-479E-9A47-7E9C30717F73}"/>
</file>

<file path=customXml/itemProps2.xml><?xml version="1.0" encoding="utf-8"?>
<ds:datastoreItem xmlns:ds="http://schemas.openxmlformats.org/officeDocument/2006/customXml" ds:itemID="{B8C642EF-4441-4A84-AD65-92DC11B025C9}"/>
</file>

<file path=customXml/itemProps3.xml><?xml version="1.0" encoding="utf-8"?>
<ds:datastoreItem xmlns:ds="http://schemas.openxmlformats.org/officeDocument/2006/customXml" ds:itemID="{E29D5666-E758-4545-94C2-1D109BBB15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19</vt:i4>
      </vt:variant>
    </vt:vector>
  </HeadingPairs>
  <TitlesOfParts>
    <vt:vector size="29" baseType="lpstr">
      <vt:lpstr>Fly-Bill 13</vt:lpstr>
      <vt:lpstr>Bill 13 Revised Strength.</vt:lpstr>
      <vt:lpstr>Bill 13 Add'l</vt:lpstr>
      <vt:lpstr>Bill 13 Finishes</vt:lpstr>
      <vt:lpstr>Add Scaff SS-Vertical</vt:lpstr>
      <vt:lpstr>Add Scaff SS- Horiz</vt:lpstr>
      <vt:lpstr>Add Scaffolding-Summary</vt:lpstr>
      <vt:lpstr>Omit Scaff SS</vt:lpstr>
      <vt:lpstr>Bill 13 Scaffolding</vt:lpstr>
      <vt:lpstr>Bill 13-Sum</vt:lpstr>
      <vt:lpstr>'Add Scaff SS- Horiz'!Print_Area</vt:lpstr>
      <vt:lpstr>'Add Scaff SS-Vertical'!Print_Area</vt:lpstr>
      <vt:lpstr>'Add Scaffolding-Summary'!Print_Area</vt:lpstr>
      <vt:lpstr>'Bill 13 Add''l'!Print_Area</vt:lpstr>
      <vt:lpstr>'Bill 13 Finishes'!Print_Area</vt:lpstr>
      <vt:lpstr>'Bill 13 Revised Strength.'!Print_Area</vt:lpstr>
      <vt:lpstr>'Bill 13 Scaffolding'!Print_Area</vt:lpstr>
      <vt:lpstr>'Bill 13-Sum'!Print_Area</vt:lpstr>
      <vt:lpstr>'Fly-Bill 13'!Print_Area</vt:lpstr>
      <vt:lpstr>'Omit Scaff SS'!Print_Area</vt:lpstr>
      <vt:lpstr>'Add Scaff SS- Horiz'!Print_Titles</vt:lpstr>
      <vt:lpstr>'Add Scaff SS-Vertical'!Print_Titles</vt:lpstr>
      <vt:lpstr>'Add Scaffolding-Summary'!Print_Titles</vt:lpstr>
      <vt:lpstr>'Bill 13 Add''l'!Print_Titles</vt:lpstr>
      <vt:lpstr>'Bill 13 Finishes'!Print_Titles</vt:lpstr>
      <vt:lpstr>'Bill 13 Revised Strength.'!Print_Titles</vt:lpstr>
      <vt:lpstr>'Bill 13 Scaffolding'!Print_Titles</vt:lpstr>
      <vt:lpstr>'Bill 13-Sum'!Print_Titles</vt:lpstr>
      <vt:lpstr>'Omit Scaff SS'!Print_Titles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Mendoza</dc:creator>
  <cp:lastModifiedBy>Monvi Carlo Osorio</cp:lastModifiedBy>
  <cp:lastPrinted>2024-02-21T10:35:04Z</cp:lastPrinted>
  <dcterms:created xsi:type="dcterms:W3CDTF">2021-12-10T06:42:14Z</dcterms:created>
  <dcterms:modified xsi:type="dcterms:W3CDTF">2024-02-21T10:35:23Z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0x010100D3EF1AB537AC9E47B3E67E62C11EDC34</vt:lpwstr>
  </property>
</Properties>
</file>