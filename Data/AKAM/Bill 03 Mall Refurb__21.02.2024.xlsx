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05"/>
  <workbookPr codeName="ThisWorkbook" defaultThemeVersion="124226"/>
  <mc:AlternateContent xmlns:mc="http://schemas.openxmlformats.org/markup-compatibility/2006">
    <mc:Choice Requires="x15">
      <x15ac:absPath xmlns:x15ac="http://schemas.microsoft.com/office/spreadsheetml/2010/11/ac" url="N:\Tender\2022\BLDG\T061-22 NKHL RFQ700887 Modification&amp;Redev Wrks Nakheel Mall-Al Khail\2. COMM\4. Sub.&amp;PTC\24.02.21 - Final BoQ - Amended\"/>
    </mc:Choice>
  </mc:AlternateContent>
  <xr:revisionPtr revIDLastSave="0" documentId="13_ncr:1_{1D11BB96-374E-48A6-B57B-559177391590}" xr6:coauthVersionLast="47" xr6:coauthVersionMax="47" xr10:uidLastSave="{00000000-0000-0000-0000-000000000000}"/>
  <bookViews>
    <workbookView xWindow="-108" yWindow="-108" windowWidth="23256" windowHeight="12456" tabRatio="940" firstSheet="17" activeTab="17" xr2:uid="{00000000-000D-0000-FFFF-FFFF00000000}"/>
  </bookViews>
  <sheets>
    <sheet name="Fly-Bill 3" sheetId="1" r:id="rId1"/>
    <sheet name="Bill 3 Siteworks" sheetId="2" r:id="rId2"/>
    <sheet name="Bill 3 Siteworks-EO" sheetId="18" r:id="rId3"/>
    <sheet name="Bill 3 Concrete" sheetId="3" r:id="rId4"/>
    <sheet name="Bill 3 Concrete-EO" sheetId="19" r:id="rId5"/>
    <sheet name="Bill 3 Masonry" sheetId="4" r:id="rId6"/>
    <sheet name="Bill 3 Metalwork REV" sheetId="17" r:id="rId7"/>
    <sheet name="Bill 3 Woodwork" sheetId="6" r:id="rId8"/>
    <sheet name="Bill 3 Thermal" sheetId="7" r:id="rId9"/>
    <sheet name="Bill 3 Doors and Windows" sheetId="8" r:id="rId10"/>
    <sheet name="Bill 3 Finishes" sheetId="9" r:id="rId11"/>
    <sheet name="Bill 3 - Accessories" sheetId="10" r:id="rId12"/>
    <sheet name="Bill 3 - Furnishings" sheetId="11" r:id="rId13"/>
    <sheet name="Bill 3 - Special Cons" sheetId="12" r:id="rId14"/>
    <sheet name="Bill 3 - Conveying" sheetId="13" r:id="rId15"/>
    <sheet name="Bill 3 - Mech" sheetId="14" r:id="rId16"/>
    <sheet name="Bill 3 Elec" sheetId="15" r:id="rId17"/>
    <sheet name="Bill 3-Sum" sheetId="16" r:id="rId18"/>
  </sheets>
  <definedNames>
    <definedName name="_xlnm._FilterDatabase" localSheetId="11" hidden="1">'Bill 3 - Accessories'!$A$1:$A$615</definedName>
    <definedName name="_xlnm._FilterDatabase" localSheetId="14" hidden="1">'Bill 3 - Conveying'!$A$1:$A$364</definedName>
    <definedName name="_xlnm._FilterDatabase" localSheetId="12" hidden="1">'Bill 3 - Furnishings'!$A$1:$A$281</definedName>
    <definedName name="_xlnm._FilterDatabase" localSheetId="15" hidden="1">'Bill 3 - Mech'!$A$1:$A$1877</definedName>
    <definedName name="_xlnm._FilterDatabase" localSheetId="13" hidden="1">'Bill 3 - Special Cons'!#REF!</definedName>
    <definedName name="_xlnm._FilterDatabase" localSheetId="3" hidden="1">'Bill 3 Concrete'!$A$1:$A$330</definedName>
    <definedName name="_xlnm._FilterDatabase" localSheetId="4" hidden="1">'Bill 3 Concrete-EO'!$A$1:$A$145</definedName>
    <definedName name="_xlnm._FilterDatabase" localSheetId="9" hidden="1">'Bill 3 Doors and Windows'!$A$1:$A$438</definedName>
    <definedName name="_xlnm._FilterDatabase" localSheetId="16" hidden="1">'Bill 3 Elec'!$A$1:$G$3091</definedName>
    <definedName name="_xlnm._FilterDatabase" localSheetId="10" hidden="1">'Bill 3 Finishes'!$A$1:$A$835</definedName>
    <definedName name="_xlnm._FilterDatabase" localSheetId="5" hidden="1">'Bill 3 Masonry'!$A$1:$A$135</definedName>
    <definedName name="_xlnm._FilterDatabase" localSheetId="6" hidden="1">'Bill 3 Metalwork REV'!#REF!</definedName>
    <definedName name="_xlnm._FilterDatabase" localSheetId="1" hidden="1">'Bill 3 Siteworks'!$A$1:$A$295</definedName>
    <definedName name="_xlnm._FilterDatabase" localSheetId="2" hidden="1">'Bill 3 Siteworks-EO'!$A$1:$A$28</definedName>
    <definedName name="_xlnm._FilterDatabase" localSheetId="8" hidden="1">'Bill 3 Thermal'!$A$1:$A$141</definedName>
    <definedName name="_xlnm._FilterDatabase" localSheetId="7" hidden="1">'Bill 3 Woodwork'!$A$1:$A$415</definedName>
    <definedName name="_xlnm._FilterDatabase" localSheetId="17" hidden="1">'Bill 3-Sum'!$A$1:$E$52</definedName>
    <definedName name="_xlnm.Print_Area" localSheetId="11">'Bill 3 - Accessories'!$A$1:$G$615</definedName>
    <definedName name="_xlnm.Print_Area" localSheetId="14">'Bill 3 - Conveying'!$A$1:$G$364</definedName>
    <definedName name="_xlnm.Print_Area" localSheetId="12">'Bill 3 - Furnishings'!$A$1:$F$281</definedName>
    <definedName name="_xlnm.Print_Area" localSheetId="15">'Bill 3 - Mech'!$A$1:$G$1877</definedName>
    <definedName name="_xlnm.Print_Area" localSheetId="13">'Bill 3 - Special Cons'!$A$1:$F$173</definedName>
    <definedName name="_xlnm.Print_Area" localSheetId="3">'Bill 3 Concrete'!$A$1:$F$330</definedName>
    <definedName name="_xlnm.Print_Area" localSheetId="4">'Bill 3 Concrete-EO'!$A$1:$F$145</definedName>
    <definedName name="_xlnm.Print_Area" localSheetId="9">'Bill 3 Doors and Windows'!$A$1:$G$438</definedName>
    <definedName name="_xlnm.Print_Area" localSheetId="16">'Bill 3 Elec'!$A$1:$G$3091</definedName>
    <definedName name="_xlnm.Print_Area" localSheetId="10">'Bill 3 Finishes'!$A$1:$G$835</definedName>
    <definedName name="_xlnm.Print_Area" localSheetId="5">'Bill 3 Masonry'!$A$1:$F$135</definedName>
    <definedName name="_xlnm.Print_Area" localSheetId="6">'Bill 3 Metalwork REV'!$A$1:$F$293</definedName>
    <definedName name="_xlnm.Print_Area" localSheetId="1">'Bill 3 Siteworks'!$A$1:$F$295</definedName>
    <definedName name="_xlnm.Print_Area" localSheetId="2">'Bill 3 Siteworks-EO'!$A$1:$F$28</definedName>
    <definedName name="_xlnm.Print_Area" localSheetId="8">'Bill 3 Thermal'!$A$1:$F$136</definedName>
    <definedName name="_xlnm.Print_Area" localSheetId="7">'Bill 3 Woodwork'!$A$1:$G$415</definedName>
    <definedName name="_xlnm.Print_Area" localSheetId="17">'Bill 3-Sum'!$A$1:$D$52</definedName>
    <definedName name="_xlnm.Print_Area" localSheetId="0">'Fly-Bill 3'!$A$1:$J$50</definedName>
    <definedName name="_xlnm.Print_Titles" localSheetId="11">'Bill 3 - Accessories'!$1:$3</definedName>
    <definedName name="_xlnm.Print_Titles" localSheetId="14">'Bill 3 - Conveying'!$1:$3</definedName>
    <definedName name="_xlnm.Print_Titles" localSheetId="12">'Bill 3 - Furnishings'!$1:$3</definedName>
    <definedName name="_xlnm.Print_Titles" localSheetId="15">'Bill 3 - Mech'!$1:$3</definedName>
    <definedName name="_xlnm.Print_Titles" localSheetId="13">'Bill 3 - Special Cons'!$1:$3</definedName>
    <definedName name="_xlnm.Print_Titles" localSheetId="3">'Bill 3 Concrete'!$1:$3</definedName>
    <definedName name="_xlnm.Print_Titles" localSheetId="4">'Bill 3 Concrete-EO'!$1:$3</definedName>
    <definedName name="_xlnm.Print_Titles" localSheetId="9">'Bill 3 Doors and Windows'!$1:$3</definedName>
    <definedName name="_xlnm.Print_Titles" localSheetId="16">'Bill 3 Elec'!$1:$3</definedName>
    <definedName name="_xlnm.Print_Titles" localSheetId="10">'Bill 3 Finishes'!$1:$3</definedName>
    <definedName name="_xlnm.Print_Titles" localSheetId="5">'Bill 3 Masonry'!$1:$3</definedName>
    <definedName name="_xlnm.Print_Titles" localSheetId="6">'Bill 3 Metalwork REV'!$1:$2</definedName>
    <definedName name="_xlnm.Print_Titles" localSheetId="1">'Bill 3 Siteworks'!$1:$3</definedName>
    <definedName name="_xlnm.Print_Titles" localSheetId="2">'Bill 3 Siteworks-EO'!$1:$3</definedName>
    <definedName name="_xlnm.Print_Titles" localSheetId="8">'Bill 3 Thermal'!$1:$3</definedName>
    <definedName name="_xlnm.Print_Titles" localSheetId="7">'Bill 3 Woodwork'!$1:$3</definedName>
    <definedName name="_xlnm.Print_Titles" localSheetId="17">'Bill 3-Sum'!$1:$3</definedName>
    <definedName name="Z_252EBC6A_BD49_4FC3_9285_77861935BFE3_.wvu.FilterData" localSheetId="11" hidden="1">'Bill 3 - Accessories'!$A$1:$A$615</definedName>
    <definedName name="Z_252EBC6A_BD49_4FC3_9285_77861935BFE3_.wvu.FilterData" localSheetId="14" hidden="1">'Bill 3 - Conveying'!$A$1:$A$364</definedName>
    <definedName name="Z_252EBC6A_BD49_4FC3_9285_77861935BFE3_.wvu.FilterData" localSheetId="12" hidden="1">'Bill 3 - Furnishings'!$A$1:$A$281</definedName>
    <definedName name="Z_252EBC6A_BD49_4FC3_9285_77861935BFE3_.wvu.FilterData" localSheetId="15" hidden="1">'Bill 3 - Mech'!$A$1:$A$1877</definedName>
    <definedName name="Z_252EBC6A_BD49_4FC3_9285_77861935BFE3_.wvu.FilterData" localSheetId="3" hidden="1">'Bill 3 Concrete'!$A$1:$A$330</definedName>
    <definedName name="Z_252EBC6A_BD49_4FC3_9285_77861935BFE3_.wvu.FilterData" localSheetId="4" hidden="1">'Bill 3 Concrete-EO'!$A$1:$A$145</definedName>
    <definedName name="Z_252EBC6A_BD49_4FC3_9285_77861935BFE3_.wvu.FilterData" localSheetId="9" hidden="1">'Bill 3 Doors and Windows'!$A$1:$A$438</definedName>
    <definedName name="Z_252EBC6A_BD49_4FC3_9285_77861935BFE3_.wvu.FilterData" localSheetId="16" hidden="1">'Bill 3 Elec'!$A$1:$A$3091</definedName>
    <definedName name="Z_252EBC6A_BD49_4FC3_9285_77861935BFE3_.wvu.FilterData" localSheetId="10" hidden="1">'Bill 3 Finishes'!$A$1:$A$835</definedName>
    <definedName name="Z_252EBC6A_BD49_4FC3_9285_77861935BFE3_.wvu.FilterData" localSheetId="5" hidden="1">'Bill 3 Masonry'!$A$1:$A$135</definedName>
    <definedName name="Z_252EBC6A_BD49_4FC3_9285_77861935BFE3_.wvu.FilterData" localSheetId="1" hidden="1">'Bill 3 Siteworks'!$A$1:$A$295</definedName>
    <definedName name="Z_252EBC6A_BD49_4FC3_9285_77861935BFE3_.wvu.FilterData" localSheetId="2" hidden="1">'Bill 3 Siteworks-EO'!$A$1:$A$28</definedName>
    <definedName name="Z_252EBC6A_BD49_4FC3_9285_77861935BFE3_.wvu.FilterData" localSheetId="8" hidden="1">'Bill 3 Thermal'!$A$1:$A$141</definedName>
    <definedName name="Z_252EBC6A_BD49_4FC3_9285_77861935BFE3_.wvu.FilterData" localSheetId="7" hidden="1">'Bill 3 Woodwork'!$A$1:$A$415</definedName>
    <definedName name="Z_252EBC6A_BD49_4FC3_9285_77861935BFE3_.wvu.FilterData" localSheetId="17" hidden="1">'Bill 3-Sum'!$A$1:$E$52</definedName>
    <definedName name="Z_252EBC6A_BD49_4FC3_9285_77861935BFE3_.wvu.PrintArea" localSheetId="11" hidden="1">'Bill 3 - Accessories'!$A$1:$F$615</definedName>
    <definedName name="Z_252EBC6A_BD49_4FC3_9285_77861935BFE3_.wvu.PrintArea" localSheetId="14" hidden="1">'Bill 3 - Conveying'!$A$1:$F$364</definedName>
    <definedName name="Z_252EBC6A_BD49_4FC3_9285_77861935BFE3_.wvu.PrintArea" localSheetId="12" hidden="1">'Bill 3 - Furnishings'!$A$1:$F$281</definedName>
    <definedName name="Z_252EBC6A_BD49_4FC3_9285_77861935BFE3_.wvu.PrintArea" localSheetId="15" hidden="1">'Bill 3 - Mech'!$A$1:$F$1877</definedName>
    <definedName name="Z_252EBC6A_BD49_4FC3_9285_77861935BFE3_.wvu.PrintArea" localSheetId="13" hidden="1">'Bill 3 - Special Cons'!$A$1:$F$173</definedName>
    <definedName name="Z_252EBC6A_BD49_4FC3_9285_77861935BFE3_.wvu.PrintArea" localSheetId="3" hidden="1">'Bill 3 Concrete'!$A$1:$F$330</definedName>
    <definedName name="Z_252EBC6A_BD49_4FC3_9285_77861935BFE3_.wvu.PrintArea" localSheetId="4" hidden="1">'Bill 3 Concrete-EO'!$A$1:$F$145</definedName>
    <definedName name="Z_252EBC6A_BD49_4FC3_9285_77861935BFE3_.wvu.PrintArea" localSheetId="9" hidden="1">'Bill 3 Doors and Windows'!$A$1:$F$438</definedName>
    <definedName name="Z_252EBC6A_BD49_4FC3_9285_77861935BFE3_.wvu.PrintArea" localSheetId="16" hidden="1">'Bill 3 Elec'!$A$1:$F$3091</definedName>
    <definedName name="Z_252EBC6A_BD49_4FC3_9285_77861935BFE3_.wvu.PrintArea" localSheetId="10" hidden="1">'Bill 3 Finishes'!$A$1:$F$835</definedName>
    <definedName name="Z_252EBC6A_BD49_4FC3_9285_77861935BFE3_.wvu.PrintArea" localSheetId="5" hidden="1">'Bill 3 Masonry'!$A$1:$F$135</definedName>
    <definedName name="Z_252EBC6A_BD49_4FC3_9285_77861935BFE3_.wvu.PrintArea" localSheetId="1" hidden="1">'Bill 3 Siteworks'!$A$1:$F$295</definedName>
    <definedName name="Z_252EBC6A_BD49_4FC3_9285_77861935BFE3_.wvu.PrintArea" localSheetId="2" hidden="1">'Bill 3 Siteworks-EO'!$A$1:$F$28</definedName>
    <definedName name="Z_252EBC6A_BD49_4FC3_9285_77861935BFE3_.wvu.PrintArea" localSheetId="8" hidden="1">'Bill 3 Thermal'!$A$1:$F$136</definedName>
    <definedName name="Z_252EBC6A_BD49_4FC3_9285_77861935BFE3_.wvu.PrintArea" localSheetId="7" hidden="1">'Bill 3 Woodwork'!$A$1:$F$415</definedName>
    <definedName name="Z_252EBC6A_BD49_4FC3_9285_77861935BFE3_.wvu.PrintArea" localSheetId="17" hidden="1">'Bill 3-Sum'!$A$1:$D$52</definedName>
    <definedName name="Z_252EBC6A_BD49_4FC3_9285_77861935BFE3_.wvu.PrintArea" localSheetId="0" hidden="1">'Fly-Bill 3'!$A$1:$J$50</definedName>
    <definedName name="Z_252EBC6A_BD49_4FC3_9285_77861935BFE3_.wvu.PrintTitles" localSheetId="11" hidden="1">'Bill 3 - Accessories'!$1:$3</definedName>
    <definedName name="Z_252EBC6A_BD49_4FC3_9285_77861935BFE3_.wvu.PrintTitles" localSheetId="14" hidden="1">'Bill 3 - Conveying'!$1:$3</definedName>
    <definedName name="Z_252EBC6A_BD49_4FC3_9285_77861935BFE3_.wvu.PrintTitles" localSheetId="12" hidden="1">'Bill 3 - Furnishings'!$1:$3</definedName>
    <definedName name="Z_252EBC6A_BD49_4FC3_9285_77861935BFE3_.wvu.PrintTitles" localSheetId="15" hidden="1">'Bill 3 - Mech'!$1:$3</definedName>
    <definedName name="Z_252EBC6A_BD49_4FC3_9285_77861935BFE3_.wvu.PrintTitles" localSheetId="13" hidden="1">'Bill 3 - Special Cons'!$1:$3</definedName>
    <definedName name="Z_252EBC6A_BD49_4FC3_9285_77861935BFE3_.wvu.PrintTitles" localSheetId="3" hidden="1">'Bill 3 Concrete'!$1:$3</definedName>
    <definedName name="Z_252EBC6A_BD49_4FC3_9285_77861935BFE3_.wvu.PrintTitles" localSheetId="4" hidden="1">'Bill 3 Concrete-EO'!$1:$3</definedName>
    <definedName name="Z_252EBC6A_BD49_4FC3_9285_77861935BFE3_.wvu.PrintTitles" localSheetId="9" hidden="1">'Bill 3 Doors and Windows'!$1:$3</definedName>
    <definedName name="Z_252EBC6A_BD49_4FC3_9285_77861935BFE3_.wvu.PrintTitles" localSheetId="16" hidden="1">'Bill 3 Elec'!$1:$3</definedName>
    <definedName name="Z_252EBC6A_BD49_4FC3_9285_77861935BFE3_.wvu.PrintTitles" localSheetId="10" hidden="1">'Bill 3 Finishes'!$1:$3</definedName>
    <definedName name="Z_252EBC6A_BD49_4FC3_9285_77861935BFE3_.wvu.PrintTitles" localSheetId="5" hidden="1">'Bill 3 Masonry'!$1:$3</definedName>
    <definedName name="Z_252EBC6A_BD49_4FC3_9285_77861935BFE3_.wvu.PrintTitles" localSheetId="1" hidden="1">'Bill 3 Siteworks'!$1:$3</definedName>
    <definedName name="Z_252EBC6A_BD49_4FC3_9285_77861935BFE3_.wvu.PrintTitles" localSheetId="2" hidden="1">'Bill 3 Siteworks-EO'!$1:$3</definedName>
    <definedName name="Z_252EBC6A_BD49_4FC3_9285_77861935BFE3_.wvu.PrintTitles" localSheetId="8" hidden="1">'Bill 3 Thermal'!$1:$3</definedName>
    <definedName name="Z_252EBC6A_BD49_4FC3_9285_77861935BFE3_.wvu.PrintTitles" localSheetId="7" hidden="1">'Bill 3 Woodwork'!$1:$3</definedName>
    <definedName name="Z_252EBC6A_BD49_4FC3_9285_77861935BFE3_.wvu.PrintTitles" localSheetId="17" hidden="1">'Bill 3-Sum'!$1:$3</definedName>
    <definedName name="Z_3432A39B_C5E3_4DF0_8655_3886C046AF9C_.wvu.FilterData" localSheetId="11" hidden="1">'Bill 3 - Accessories'!$A$1:$A$615</definedName>
    <definedName name="Z_3432A39B_C5E3_4DF0_8655_3886C046AF9C_.wvu.FilterData" localSheetId="14" hidden="1">'Bill 3 - Conveying'!$A$1:$A$364</definedName>
    <definedName name="Z_3432A39B_C5E3_4DF0_8655_3886C046AF9C_.wvu.FilterData" localSheetId="12" hidden="1">'Bill 3 - Furnishings'!$A$1:$A$281</definedName>
    <definedName name="Z_3432A39B_C5E3_4DF0_8655_3886C046AF9C_.wvu.FilterData" localSheetId="15" hidden="1">'Bill 3 - Mech'!$A$1:$A$1877</definedName>
    <definedName name="Z_3432A39B_C5E3_4DF0_8655_3886C046AF9C_.wvu.FilterData" localSheetId="3" hidden="1">'Bill 3 Concrete'!$A$1:$A$330</definedName>
    <definedName name="Z_3432A39B_C5E3_4DF0_8655_3886C046AF9C_.wvu.FilterData" localSheetId="4" hidden="1">'Bill 3 Concrete-EO'!$A$1:$A$145</definedName>
    <definedName name="Z_3432A39B_C5E3_4DF0_8655_3886C046AF9C_.wvu.FilterData" localSheetId="9" hidden="1">'Bill 3 Doors and Windows'!$A$1:$A$438</definedName>
    <definedName name="Z_3432A39B_C5E3_4DF0_8655_3886C046AF9C_.wvu.FilterData" localSheetId="16" hidden="1">'Bill 3 Elec'!$A$1:$G$3091</definedName>
    <definedName name="Z_3432A39B_C5E3_4DF0_8655_3886C046AF9C_.wvu.FilterData" localSheetId="10" hidden="1">'Bill 3 Finishes'!$A$1:$A$835</definedName>
    <definedName name="Z_3432A39B_C5E3_4DF0_8655_3886C046AF9C_.wvu.FilterData" localSheetId="5" hidden="1">'Bill 3 Masonry'!$A$1:$A$135</definedName>
    <definedName name="Z_3432A39B_C5E3_4DF0_8655_3886C046AF9C_.wvu.FilterData" localSheetId="1" hidden="1">'Bill 3 Siteworks'!$A$1:$A$295</definedName>
    <definedName name="Z_3432A39B_C5E3_4DF0_8655_3886C046AF9C_.wvu.FilterData" localSheetId="2" hidden="1">'Bill 3 Siteworks-EO'!$A$1:$A$28</definedName>
    <definedName name="Z_3432A39B_C5E3_4DF0_8655_3886C046AF9C_.wvu.FilterData" localSheetId="8" hidden="1">'Bill 3 Thermal'!$A$1:$A$141</definedName>
    <definedName name="Z_3432A39B_C5E3_4DF0_8655_3886C046AF9C_.wvu.FilterData" localSheetId="7" hidden="1">'Bill 3 Woodwork'!$A$1:$A$415</definedName>
    <definedName name="Z_3432A39B_C5E3_4DF0_8655_3886C046AF9C_.wvu.FilterData" localSheetId="17" hidden="1">'Bill 3-Sum'!$A$1:$E$52</definedName>
    <definedName name="Z_3432A39B_C5E3_4DF0_8655_3886C046AF9C_.wvu.PrintArea" localSheetId="11" hidden="1">'Bill 3 - Accessories'!$A$1:$F$615</definedName>
    <definedName name="Z_3432A39B_C5E3_4DF0_8655_3886C046AF9C_.wvu.PrintArea" localSheetId="14" hidden="1">'Bill 3 - Conveying'!$A$1:$F$364</definedName>
    <definedName name="Z_3432A39B_C5E3_4DF0_8655_3886C046AF9C_.wvu.PrintArea" localSheetId="12" hidden="1">'Bill 3 - Furnishings'!$A$1:$F$281</definedName>
    <definedName name="Z_3432A39B_C5E3_4DF0_8655_3886C046AF9C_.wvu.PrintArea" localSheetId="15" hidden="1">'Bill 3 - Mech'!$A$1:$F$1877</definedName>
    <definedName name="Z_3432A39B_C5E3_4DF0_8655_3886C046AF9C_.wvu.PrintArea" localSheetId="13" hidden="1">'Bill 3 - Special Cons'!$A$1:$F$173</definedName>
    <definedName name="Z_3432A39B_C5E3_4DF0_8655_3886C046AF9C_.wvu.PrintArea" localSheetId="3" hidden="1">'Bill 3 Concrete'!$A$1:$F$330</definedName>
    <definedName name="Z_3432A39B_C5E3_4DF0_8655_3886C046AF9C_.wvu.PrintArea" localSheetId="4" hidden="1">'Bill 3 Concrete-EO'!$A$1:$F$145</definedName>
    <definedName name="Z_3432A39B_C5E3_4DF0_8655_3886C046AF9C_.wvu.PrintArea" localSheetId="9" hidden="1">'Bill 3 Doors and Windows'!$A$1:$F$438</definedName>
    <definedName name="Z_3432A39B_C5E3_4DF0_8655_3886C046AF9C_.wvu.PrintArea" localSheetId="16" hidden="1">'Bill 3 Elec'!$A$1:$F$3091</definedName>
    <definedName name="Z_3432A39B_C5E3_4DF0_8655_3886C046AF9C_.wvu.PrintArea" localSheetId="10" hidden="1">'Bill 3 Finishes'!$A$1:$F$835</definedName>
    <definedName name="Z_3432A39B_C5E3_4DF0_8655_3886C046AF9C_.wvu.PrintArea" localSheetId="5" hidden="1">'Bill 3 Masonry'!$A$1:$F$135</definedName>
    <definedName name="Z_3432A39B_C5E3_4DF0_8655_3886C046AF9C_.wvu.PrintArea" localSheetId="1" hidden="1">'Bill 3 Siteworks'!$A$1:$F$295</definedName>
    <definedName name="Z_3432A39B_C5E3_4DF0_8655_3886C046AF9C_.wvu.PrintArea" localSheetId="2" hidden="1">'Bill 3 Siteworks-EO'!$A$1:$F$28</definedName>
    <definedName name="Z_3432A39B_C5E3_4DF0_8655_3886C046AF9C_.wvu.PrintArea" localSheetId="8" hidden="1">'Bill 3 Thermal'!$A$1:$F$136</definedName>
    <definedName name="Z_3432A39B_C5E3_4DF0_8655_3886C046AF9C_.wvu.PrintArea" localSheetId="7" hidden="1">'Bill 3 Woodwork'!$A$1:$F$415</definedName>
    <definedName name="Z_3432A39B_C5E3_4DF0_8655_3886C046AF9C_.wvu.PrintArea" localSheetId="17" hidden="1">'Bill 3-Sum'!$A$1:$D$52</definedName>
    <definedName name="Z_3432A39B_C5E3_4DF0_8655_3886C046AF9C_.wvu.PrintArea" localSheetId="0" hidden="1">'Fly-Bill 3'!$A$1:$J$50</definedName>
    <definedName name="Z_3432A39B_C5E3_4DF0_8655_3886C046AF9C_.wvu.PrintTitles" localSheetId="11" hidden="1">'Bill 3 - Accessories'!$1:$3</definedName>
    <definedName name="Z_3432A39B_C5E3_4DF0_8655_3886C046AF9C_.wvu.PrintTitles" localSheetId="14" hidden="1">'Bill 3 - Conveying'!$1:$3</definedName>
    <definedName name="Z_3432A39B_C5E3_4DF0_8655_3886C046AF9C_.wvu.PrintTitles" localSheetId="12" hidden="1">'Bill 3 - Furnishings'!$1:$3</definedName>
    <definedName name="Z_3432A39B_C5E3_4DF0_8655_3886C046AF9C_.wvu.PrintTitles" localSheetId="15" hidden="1">'Bill 3 - Mech'!$1:$3</definedName>
    <definedName name="Z_3432A39B_C5E3_4DF0_8655_3886C046AF9C_.wvu.PrintTitles" localSheetId="13" hidden="1">'Bill 3 - Special Cons'!$1:$3</definedName>
    <definedName name="Z_3432A39B_C5E3_4DF0_8655_3886C046AF9C_.wvu.PrintTitles" localSheetId="3" hidden="1">'Bill 3 Concrete'!$1:$3</definedName>
    <definedName name="Z_3432A39B_C5E3_4DF0_8655_3886C046AF9C_.wvu.PrintTitles" localSheetId="4" hidden="1">'Bill 3 Concrete-EO'!$1:$3</definedName>
    <definedName name="Z_3432A39B_C5E3_4DF0_8655_3886C046AF9C_.wvu.PrintTitles" localSheetId="9" hidden="1">'Bill 3 Doors and Windows'!$1:$3</definedName>
    <definedName name="Z_3432A39B_C5E3_4DF0_8655_3886C046AF9C_.wvu.PrintTitles" localSheetId="16" hidden="1">'Bill 3 Elec'!$1:$3</definedName>
    <definedName name="Z_3432A39B_C5E3_4DF0_8655_3886C046AF9C_.wvu.PrintTitles" localSheetId="10" hidden="1">'Bill 3 Finishes'!$1:$3</definedName>
    <definedName name="Z_3432A39B_C5E3_4DF0_8655_3886C046AF9C_.wvu.PrintTitles" localSheetId="5" hidden="1">'Bill 3 Masonry'!$1:$3</definedName>
    <definedName name="Z_3432A39B_C5E3_4DF0_8655_3886C046AF9C_.wvu.PrintTitles" localSheetId="1" hidden="1">'Bill 3 Siteworks'!$1:$3</definedName>
    <definedName name="Z_3432A39B_C5E3_4DF0_8655_3886C046AF9C_.wvu.PrintTitles" localSheetId="2" hidden="1">'Bill 3 Siteworks-EO'!$1:$3</definedName>
    <definedName name="Z_3432A39B_C5E3_4DF0_8655_3886C046AF9C_.wvu.PrintTitles" localSheetId="8" hidden="1">'Bill 3 Thermal'!$1:$3</definedName>
    <definedName name="Z_3432A39B_C5E3_4DF0_8655_3886C046AF9C_.wvu.PrintTitles" localSheetId="7" hidden="1">'Bill 3 Woodwork'!$1:$3</definedName>
    <definedName name="Z_3432A39B_C5E3_4DF0_8655_3886C046AF9C_.wvu.PrintTitles" localSheetId="17" hidden="1">'Bill 3-Sum'!$1:$3</definedName>
    <definedName name="Z_47E345F0_E696_46B9_B7A2_C22AD1CF4FAA_.wvu.FilterData" localSheetId="11" hidden="1">'Bill 3 - Accessories'!$A$1:$A$615</definedName>
    <definedName name="Z_47E345F0_E696_46B9_B7A2_C22AD1CF4FAA_.wvu.FilterData" localSheetId="14" hidden="1">'Bill 3 - Conveying'!$A$1:$A$364</definedName>
    <definedName name="Z_47E345F0_E696_46B9_B7A2_C22AD1CF4FAA_.wvu.FilterData" localSheetId="12" hidden="1">'Bill 3 - Furnishings'!$A$1:$A$281</definedName>
    <definedName name="Z_47E345F0_E696_46B9_B7A2_C22AD1CF4FAA_.wvu.FilterData" localSheetId="15" hidden="1">'Bill 3 - Mech'!$A$1:$A$1877</definedName>
    <definedName name="Z_47E345F0_E696_46B9_B7A2_C22AD1CF4FAA_.wvu.FilterData" localSheetId="3" hidden="1">'Bill 3 Concrete'!$A$1:$A$330</definedName>
    <definedName name="Z_47E345F0_E696_46B9_B7A2_C22AD1CF4FAA_.wvu.FilterData" localSheetId="4" hidden="1">'Bill 3 Concrete-EO'!$A$1:$A$145</definedName>
    <definedName name="Z_47E345F0_E696_46B9_B7A2_C22AD1CF4FAA_.wvu.FilterData" localSheetId="9" hidden="1">'Bill 3 Doors and Windows'!$A$1:$A$438</definedName>
    <definedName name="Z_47E345F0_E696_46B9_B7A2_C22AD1CF4FAA_.wvu.FilterData" localSheetId="16" hidden="1">'Bill 3 Elec'!$A$1:$A$3091</definedName>
    <definedName name="Z_47E345F0_E696_46B9_B7A2_C22AD1CF4FAA_.wvu.FilterData" localSheetId="10" hidden="1">'Bill 3 Finishes'!$A$1:$A$835</definedName>
    <definedName name="Z_47E345F0_E696_46B9_B7A2_C22AD1CF4FAA_.wvu.FilterData" localSheetId="5" hidden="1">'Bill 3 Masonry'!$A$1:$A$135</definedName>
    <definedName name="Z_47E345F0_E696_46B9_B7A2_C22AD1CF4FAA_.wvu.FilterData" localSheetId="1" hidden="1">'Bill 3 Siteworks'!$A$1:$A$295</definedName>
    <definedName name="Z_47E345F0_E696_46B9_B7A2_C22AD1CF4FAA_.wvu.FilterData" localSheetId="2" hidden="1">'Bill 3 Siteworks-EO'!$A$1:$A$28</definedName>
    <definedName name="Z_47E345F0_E696_46B9_B7A2_C22AD1CF4FAA_.wvu.FilterData" localSheetId="8" hidden="1">'Bill 3 Thermal'!$A$1:$A$141</definedName>
    <definedName name="Z_47E345F0_E696_46B9_B7A2_C22AD1CF4FAA_.wvu.FilterData" localSheetId="7" hidden="1">'Bill 3 Woodwork'!$A$1:$A$415</definedName>
    <definedName name="Z_47E345F0_E696_46B9_B7A2_C22AD1CF4FAA_.wvu.FilterData" localSheetId="17" hidden="1">'Bill 3-Sum'!$A$1:$E$52</definedName>
    <definedName name="Z_47E345F0_E696_46B9_B7A2_C22AD1CF4FAA_.wvu.PrintArea" localSheetId="11" hidden="1">'Bill 3 - Accessories'!$A$1:$F$615</definedName>
    <definedName name="Z_47E345F0_E696_46B9_B7A2_C22AD1CF4FAA_.wvu.PrintArea" localSheetId="14" hidden="1">'Bill 3 - Conveying'!$A$1:$F$364</definedName>
    <definedName name="Z_47E345F0_E696_46B9_B7A2_C22AD1CF4FAA_.wvu.PrintArea" localSheetId="12" hidden="1">'Bill 3 - Furnishings'!$A$1:$F$281</definedName>
    <definedName name="Z_47E345F0_E696_46B9_B7A2_C22AD1CF4FAA_.wvu.PrintArea" localSheetId="15" hidden="1">'Bill 3 - Mech'!$A$1:$F$1877</definedName>
    <definedName name="Z_47E345F0_E696_46B9_B7A2_C22AD1CF4FAA_.wvu.PrintArea" localSheetId="13" hidden="1">'Bill 3 - Special Cons'!$A$1:$F$173</definedName>
    <definedName name="Z_47E345F0_E696_46B9_B7A2_C22AD1CF4FAA_.wvu.PrintArea" localSheetId="3" hidden="1">'Bill 3 Concrete'!$A$1:$F$330</definedName>
    <definedName name="Z_47E345F0_E696_46B9_B7A2_C22AD1CF4FAA_.wvu.PrintArea" localSheetId="4" hidden="1">'Bill 3 Concrete-EO'!$A$1:$F$145</definedName>
    <definedName name="Z_47E345F0_E696_46B9_B7A2_C22AD1CF4FAA_.wvu.PrintArea" localSheetId="9" hidden="1">'Bill 3 Doors and Windows'!$A$1:$F$438</definedName>
    <definedName name="Z_47E345F0_E696_46B9_B7A2_C22AD1CF4FAA_.wvu.PrintArea" localSheetId="16" hidden="1">'Bill 3 Elec'!$A$1:$F$3091</definedName>
    <definedName name="Z_47E345F0_E696_46B9_B7A2_C22AD1CF4FAA_.wvu.PrintArea" localSheetId="10" hidden="1">'Bill 3 Finishes'!$A$1:$F$835</definedName>
    <definedName name="Z_47E345F0_E696_46B9_B7A2_C22AD1CF4FAA_.wvu.PrintArea" localSheetId="5" hidden="1">'Bill 3 Masonry'!$A$1:$F$135</definedName>
    <definedName name="Z_47E345F0_E696_46B9_B7A2_C22AD1CF4FAA_.wvu.PrintArea" localSheetId="1" hidden="1">'Bill 3 Siteworks'!$A$1:$F$295</definedName>
    <definedName name="Z_47E345F0_E696_46B9_B7A2_C22AD1CF4FAA_.wvu.PrintArea" localSheetId="2" hidden="1">'Bill 3 Siteworks-EO'!$A$1:$F$28</definedName>
    <definedName name="Z_47E345F0_E696_46B9_B7A2_C22AD1CF4FAA_.wvu.PrintArea" localSheetId="8" hidden="1">'Bill 3 Thermal'!$A$1:$F$136</definedName>
    <definedName name="Z_47E345F0_E696_46B9_B7A2_C22AD1CF4FAA_.wvu.PrintArea" localSheetId="7" hidden="1">'Bill 3 Woodwork'!$A$1:$F$415</definedName>
    <definedName name="Z_47E345F0_E696_46B9_B7A2_C22AD1CF4FAA_.wvu.PrintArea" localSheetId="17" hidden="1">'Bill 3-Sum'!$A$1:$D$52</definedName>
    <definedName name="Z_47E345F0_E696_46B9_B7A2_C22AD1CF4FAA_.wvu.PrintArea" localSheetId="0" hidden="1">'Fly-Bill 3'!$A$1:$J$50</definedName>
    <definedName name="Z_47E345F0_E696_46B9_B7A2_C22AD1CF4FAA_.wvu.PrintTitles" localSheetId="11" hidden="1">'Bill 3 - Accessories'!$1:$3</definedName>
    <definedName name="Z_47E345F0_E696_46B9_B7A2_C22AD1CF4FAA_.wvu.PrintTitles" localSheetId="14" hidden="1">'Bill 3 - Conveying'!$1:$3</definedName>
    <definedName name="Z_47E345F0_E696_46B9_B7A2_C22AD1CF4FAA_.wvu.PrintTitles" localSheetId="12" hidden="1">'Bill 3 - Furnishings'!$1:$3</definedName>
    <definedName name="Z_47E345F0_E696_46B9_B7A2_C22AD1CF4FAA_.wvu.PrintTitles" localSheetId="15" hidden="1">'Bill 3 - Mech'!$1:$3</definedName>
    <definedName name="Z_47E345F0_E696_46B9_B7A2_C22AD1CF4FAA_.wvu.PrintTitles" localSheetId="13" hidden="1">'Bill 3 - Special Cons'!$1:$3</definedName>
    <definedName name="Z_47E345F0_E696_46B9_B7A2_C22AD1CF4FAA_.wvu.PrintTitles" localSheetId="3" hidden="1">'Bill 3 Concrete'!$1:$3</definedName>
    <definedName name="Z_47E345F0_E696_46B9_B7A2_C22AD1CF4FAA_.wvu.PrintTitles" localSheetId="4" hidden="1">'Bill 3 Concrete-EO'!$1:$3</definedName>
    <definedName name="Z_47E345F0_E696_46B9_B7A2_C22AD1CF4FAA_.wvu.PrintTitles" localSheetId="9" hidden="1">'Bill 3 Doors and Windows'!$1:$3</definedName>
    <definedName name="Z_47E345F0_E696_46B9_B7A2_C22AD1CF4FAA_.wvu.PrintTitles" localSheetId="16" hidden="1">'Bill 3 Elec'!$1:$3</definedName>
    <definedName name="Z_47E345F0_E696_46B9_B7A2_C22AD1CF4FAA_.wvu.PrintTitles" localSheetId="10" hidden="1">'Bill 3 Finishes'!$1:$3</definedName>
    <definedName name="Z_47E345F0_E696_46B9_B7A2_C22AD1CF4FAA_.wvu.PrintTitles" localSheetId="5" hidden="1">'Bill 3 Masonry'!$1:$3</definedName>
    <definedName name="Z_47E345F0_E696_46B9_B7A2_C22AD1CF4FAA_.wvu.PrintTitles" localSheetId="1" hidden="1">'Bill 3 Siteworks'!$1:$3</definedName>
    <definedName name="Z_47E345F0_E696_46B9_B7A2_C22AD1CF4FAA_.wvu.PrintTitles" localSheetId="2" hidden="1">'Bill 3 Siteworks-EO'!$1:$3</definedName>
    <definedName name="Z_47E345F0_E696_46B9_B7A2_C22AD1CF4FAA_.wvu.PrintTitles" localSheetId="8" hidden="1">'Bill 3 Thermal'!$1:$3</definedName>
    <definedName name="Z_47E345F0_E696_46B9_B7A2_C22AD1CF4FAA_.wvu.PrintTitles" localSheetId="7" hidden="1">'Bill 3 Woodwork'!$1:$3</definedName>
    <definedName name="Z_47E345F0_E696_46B9_B7A2_C22AD1CF4FAA_.wvu.PrintTitles" localSheetId="17" hidden="1">'Bill 3-Sum'!$1:$3</definedName>
    <definedName name="Z_80D5E0F2_D974_412D_A20C_052459C7A221_.wvu.FilterData" localSheetId="11" hidden="1">'Bill 3 - Accessories'!$A$1:$A$615</definedName>
    <definedName name="Z_80D5E0F2_D974_412D_A20C_052459C7A221_.wvu.FilterData" localSheetId="14" hidden="1">'Bill 3 - Conveying'!$A$1:$A$364</definedName>
    <definedName name="Z_80D5E0F2_D974_412D_A20C_052459C7A221_.wvu.FilterData" localSheetId="12" hidden="1">'Bill 3 - Furnishings'!$A$1:$A$281</definedName>
    <definedName name="Z_80D5E0F2_D974_412D_A20C_052459C7A221_.wvu.FilterData" localSheetId="15" hidden="1">'Bill 3 - Mech'!$A$1:$A$1877</definedName>
    <definedName name="Z_80D5E0F2_D974_412D_A20C_052459C7A221_.wvu.FilterData" localSheetId="3" hidden="1">'Bill 3 Concrete'!$A$1:$A$330</definedName>
    <definedName name="Z_80D5E0F2_D974_412D_A20C_052459C7A221_.wvu.FilterData" localSheetId="4" hidden="1">'Bill 3 Concrete-EO'!$A$1:$A$145</definedName>
    <definedName name="Z_80D5E0F2_D974_412D_A20C_052459C7A221_.wvu.FilterData" localSheetId="9" hidden="1">'Bill 3 Doors and Windows'!$A$1:$A$438</definedName>
    <definedName name="Z_80D5E0F2_D974_412D_A20C_052459C7A221_.wvu.FilterData" localSheetId="16" hidden="1">'Bill 3 Elec'!$A$1:$G$3091</definedName>
    <definedName name="Z_80D5E0F2_D974_412D_A20C_052459C7A221_.wvu.FilterData" localSheetId="10" hidden="1">'Bill 3 Finishes'!$A$1:$A$835</definedName>
    <definedName name="Z_80D5E0F2_D974_412D_A20C_052459C7A221_.wvu.FilterData" localSheetId="5" hidden="1">'Bill 3 Masonry'!$A$1:$A$135</definedName>
    <definedName name="Z_80D5E0F2_D974_412D_A20C_052459C7A221_.wvu.FilterData" localSheetId="1" hidden="1">'Bill 3 Siteworks'!$A$1:$A$295</definedName>
    <definedName name="Z_80D5E0F2_D974_412D_A20C_052459C7A221_.wvu.FilterData" localSheetId="2" hidden="1">'Bill 3 Siteworks-EO'!$A$1:$A$28</definedName>
    <definedName name="Z_80D5E0F2_D974_412D_A20C_052459C7A221_.wvu.FilterData" localSheetId="8" hidden="1">'Bill 3 Thermal'!$A$1:$A$141</definedName>
    <definedName name="Z_80D5E0F2_D974_412D_A20C_052459C7A221_.wvu.FilterData" localSheetId="7" hidden="1">'Bill 3 Woodwork'!$A$1:$A$415</definedName>
    <definedName name="Z_80D5E0F2_D974_412D_A20C_052459C7A221_.wvu.FilterData" localSheetId="17" hidden="1">'Bill 3-Sum'!$A$1:$E$52</definedName>
    <definedName name="Z_80D5E0F2_D974_412D_A20C_052459C7A221_.wvu.PrintArea" localSheetId="11" hidden="1">'Bill 3 - Accessories'!$A$1:$F$615</definedName>
    <definedName name="Z_80D5E0F2_D974_412D_A20C_052459C7A221_.wvu.PrintArea" localSheetId="14" hidden="1">'Bill 3 - Conveying'!$A$1:$F$364</definedName>
    <definedName name="Z_80D5E0F2_D974_412D_A20C_052459C7A221_.wvu.PrintArea" localSheetId="12" hidden="1">'Bill 3 - Furnishings'!$A$1:$F$281</definedName>
    <definedName name="Z_80D5E0F2_D974_412D_A20C_052459C7A221_.wvu.PrintArea" localSheetId="15" hidden="1">'Bill 3 - Mech'!$A$1:$F$1877</definedName>
    <definedName name="Z_80D5E0F2_D974_412D_A20C_052459C7A221_.wvu.PrintArea" localSheetId="13" hidden="1">'Bill 3 - Special Cons'!$A$1:$F$173</definedName>
    <definedName name="Z_80D5E0F2_D974_412D_A20C_052459C7A221_.wvu.PrintArea" localSheetId="3" hidden="1">'Bill 3 Concrete'!$A$1:$F$330</definedName>
    <definedName name="Z_80D5E0F2_D974_412D_A20C_052459C7A221_.wvu.PrintArea" localSheetId="4" hidden="1">'Bill 3 Concrete-EO'!$A$1:$F$145</definedName>
    <definedName name="Z_80D5E0F2_D974_412D_A20C_052459C7A221_.wvu.PrintArea" localSheetId="9" hidden="1">'Bill 3 Doors and Windows'!$A$1:$F$438</definedName>
    <definedName name="Z_80D5E0F2_D974_412D_A20C_052459C7A221_.wvu.PrintArea" localSheetId="16" hidden="1">'Bill 3 Elec'!$A$1:$F$3091</definedName>
    <definedName name="Z_80D5E0F2_D974_412D_A20C_052459C7A221_.wvu.PrintArea" localSheetId="10" hidden="1">'Bill 3 Finishes'!$A$1:$F$835</definedName>
    <definedName name="Z_80D5E0F2_D974_412D_A20C_052459C7A221_.wvu.PrintArea" localSheetId="5" hidden="1">'Bill 3 Masonry'!$A$1:$F$135</definedName>
    <definedName name="Z_80D5E0F2_D974_412D_A20C_052459C7A221_.wvu.PrintArea" localSheetId="1" hidden="1">'Bill 3 Siteworks'!$A$1:$F$295</definedName>
    <definedName name="Z_80D5E0F2_D974_412D_A20C_052459C7A221_.wvu.PrintArea" localSheetId="2" hidden="1">'Bill 3 Siteworks-EO'!$A$1:$F$28</definedName>
    <definedName name="Z_80D5E0F2_D974_412D_A20C_052459C7A221_.wvu.PrintArea" localSheetId="8" hidden="1">'Bill 3 Thermal'!$A$1:$F$136</definedName>
    <definedName name="Z_80D5E0F2_D974_412D_A20C_052459C7A221_.wvu.PrintArea" localSheetId="7" hidden="1">'Bill 3 Woodwork'!$A$1:$F$415</definedName>
    <definedName name="Z_80D5E0F2_D974_412D_A20C_052459C7A221_.wvu.PrintArea" localSheetId="17" hidden="1">'Bill 3-Sum'!$A$1:$D$52</definedName>
    <definedName name="Z_80D5E0F2_D974_412D_A20C_052459C7A221_.wvu.PrintArea" localSheetId="0" hidden="1">'Fly-Bill 3'!$A$1:$J$50</definedName>
    <definedName name="Z_80D5E0F2_D974_412D_A20C_052459C7A221_.wvu.PrintTitles" localSheetId="11" hidden="1">'Bill 3 - Accessories'!$1:$3</definedName>
    <definedName name="Z_80D5E0F2_D974_412D_A20C_052459C7A221_.wvu.PrintTitles" localSheetId="14" hidden="1">'Bill 3 - Conveying'!$1:$3</definedName>
    <definedName name="Z_80D5E0F2_D974_412D_A20C_052459C7A221_.wvu.PrintTitles" localSheetId="12" hidden="1">'Bill 3 - Furnishings'!$1:$3</definedName>
    <definedName name="Z_80D5E0F2_D974_412D_A20C_052459C7A221_.wvu.PrintTitles" localSheetId="15" hidden="1">'Bill 3 - Mech'!$1:$3</definedName>
    <definedName name="Z_80D5E0F2_D974_412D_A20C_052459C7A221_.wvu.PrintTitles" localSheetId="13" hidden="1">'Bill 3 - Special Cons'!$1:$3</definedName>
    <definedName name="Z_80D5E0F2_D974_412D_A20C_052459C7A221_.wvu.PrintTitles" localSheetId="3" hidden="1">'Bill 3 Concrete'!$1:$3</definedName>
    <definedName name="Z_80D5E0F2_D974_412D_A20C_052459C7A221_.wvu.PrintTitles" localSheetId="4" hidden="1">'Bill 3 Concrete-EO'!$1:$3</definedName>
    <definedName name="Z_80D5E0F2_D974_412D_A20C_052459C7A221_.wvu.PrintTitles" localSheetId="9" hidden="1">'Bill 3 Doors and Windows'!$1:$3</definedName>
    <definedName name="Z_80D5E0F2_D974_412D_A20C_052459C7A221_.wvu.PrintTitles" localSheetId="16" hidden="1">'Bill 3 Elec'!$1:$3</definedName>
    <definedName name="Z_80D5E0F2_D974_412D_A20C_052459C7A221_.wvu.PrintTitles" localSheetId="10" hidden="1">'Bill 3 Finishes'!$1:$3</definedName>
    <definedName name="Z_80D5E0F2_D974_412D_A20C_052459C7A221_.wvu.PrintTitles" localSheetId="5" hidden="1">'Bill 3 Masonry'!$1:$3</definedName>
    <definedName name="Z_80D5E0F2_D974_412D_A20C_052459C7A221_.wvu.PrintTitles" localSheetId="1" hidden="1">'Bill 3 Siteworks'!$1:$3</definedName>
    <definedName name="Z_80D5E0F2_D974_412D_A20C_052459C7A221_.wvu.PrintTitles" localSheetId="2" hidden="1">'Bill 3 Siteworks-EO'!$1:$3</definedName>
    <definedName name="Z_80D5E0F2_D974_412D_A20C_052459C7A221_.wvu.PrintTitles" localSheetId="8" hidden="1">'Bill 3 Thermal'!$1:$3</definedName>
    <definedName name="Z_80D5E0F2_D974_412D_A20C_052459C7A221_.wvu.PrintTitles" localSheetId="7" hidden="1">'Bill 3 Woodwork'!$1:$3</definedName>
    <definedName name="Z_80D5E0F2_D974_412D_A20C_052459C7A221_.wvu.PrintTitles" localSheetId="17" hidden="1">'Bill 3-Sum'!$1:$3</definedName>
  </definedNames>
  <calcPr calcId="191028"/>
  <customWorkbookViews>
    <customWorkbookView name="Monvi Carlo Osorio - Personal View" guid="{3432A39B-C5E3-4DF0-8655-3886C046AF9C}" mergeInterval="0" personalView="1" maximized="1" xWindow="-9" yWindow="-9" windowWidth="1938" windowHeight="1048" tabRatio="940" activeSheetId="15"/>
    <customWorkbookView name="Ramya Ravichandran - Personal View" guid="{47E345F0-E696-46B9-B7A2-C22AD1CF4FAA}" mergeInterval="0" personalView="1" xWindow="2882" windowWidth="959" windowHeight="1042" tabRatio="940" activeSheetId="16"/>
    <customWorkbookView name="Chippy Purushothaman - Personal View" guid="{252EBC6A-BD49-4FC3-9285-77861935BFE3}" mergeInterval="0" personalView="1" xWindow="2112" yWindow="38" windowWidth="960" windowHeight="1042" tabRatio="940" activeSheetId="16"/>
    <customWorkbookView name="Faisal Junaid - Personal View" guid="{80D5E0F2-D974-412D-A20C-052459C7A221}" mergeInterval="0" personalView="1" xWindow="1913" windowWidth="974" windowHeight="1039" tabRatio="940" activeSheetId="2"/>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876" i="14" l="1"/>
  <c r="F1871" i="14"/>
  <c r="F767" i="9"/>
  <c r="F751" i="9"/>
  <c r="F777" i="9"/>
  <c r="F757" i="9"/>
  <c r="F755" i="9"/>
  <c r="F753" i="9"/>
  <c r="F749" i="9" l="1"/>
  <c r="F250" i="3" l="1"/>
  <c r="F71" i="19" l="1"/>
  <c r="F69" i="19"/>
  <c r="F65" i="19"/>
  <c r="F63" i="19"/>
  <c r="F61" i="19"/>
  <c r="F59" i="19"/>
  <c r="F57" i="19"/>
  <c r="F55" i="19"/>
  <c r="F34" i="19"/>
  <c r="F32" i="19"/>
  <c r="F30" i="19"/>
  <c r="F28" i="19"/>
  <c r="F26" i="19"/>
  <c r="F23" i="19"/>
  <c r="F21" i="19"/>
  <c r="F19" i="19"/>
  <c r="F17" i="19"/>
  <c r="F15" i="19"/>
  <c r="F11" i="19"/>
  <c r="F24" i="18"/>
  <c r="F20" i="18"/>
  <c r="F18" i="18"/>
  <c r="F14" i="18"/>
  <c r="F12" i="18"/>
  <c r="F48" i="19" l="1"/>
  <c r="F96" i="19"/>
  <c r="F103" i="19" s="1"/>
  <c r="F101" i="19"/>
  <c r="F27" i="18"/>
  <c r="D8" i="16" s="1"/>
  <c r="F1773" i="14"/>
  <c r="F1771" i="14"/>
  <c r="F1769" i="14"/>
  <c r="F1767" i="14"/>
  <c r="F1765" i="14"/>
  <c r="F1763" i="14"/>
  <c r="F1761" i="14"/>
  <c r="F1759" i="14"/>
  <c r="F1757" i="14"/>
  <c r="F1755" i="14"/>
  <c r="F1753" i="14"/>
  <c r="F1749" i="14"/>
  <c r="F1747" i="14"/>
  <c r="F1745" i="14"/>
  <c r="F1735" i="14"/>
  <c r="F144" i="19" l="1"/>
  <c r="F1779" i="14"/>
  <c r="D11" i="16" l="1"/>
  <c r="F2861" i="15" l="1"/>
  <c r="F42" i="12"/>
  <c r="F252" i="17"/>
  <c r="F2873" i="15"/>
  <c r="F2871" i="15"/>
  <c r="F2869" i="15"/>
  <c r="F2603" i="15"/>
  <c r="F1714" i="14"/>
  <c r="F1722" i="14"/>
  <c r="F1720" i="14"/>
  <c r="F1718" i="14"/>
  <c r="F686" i="14"/>
  <c r="F684" i="14"/>
  <c r="F682" i="14"/>
  <c r="F680" i="14"/>
  <c r="F676" i="14"/>
  <c r="F674" i="14"/>
  <c r="F672" i="14"/>
  <c r="F670" i="14"/>
  <c r="F668" i="14"/>
  <c r="F666" i="14"/>
  <c r="F117" i="12"/>
  <c r="F113" i="12"/>
  <c r="F109" i="12"/>
  <c r="F107" i="12"/>
  <c r="F105" i="12"/>
  <c r="F103" i="12"/>
  <c r="F101" i="12"/>
  <c r="F99" i="12"/>
  <c r="F97" i="12"/>
  <c r="F95" i="12"/>
  <c r="F247" i="17"/>
  <c r="F245" i="17"/>
  <c r="F240" i="17"/>
  <c r="F238" i="17"/>
  <c r="F130" i="17"/>
  <c r="F126" i="17"/>
  <c r="F122" i="17"/>
  <c r="F30" i="17"/>
  <c r="F28" i="17"/>
  <c r="F26" i="17"/>
  <c r="F24" i="17"/>
  <c r="F22" i="17"/>
  <c r="F2879" i="15"/>
  <c r="F2867" i="15"/>
  <c r="F2865" i="15"/>
  <c r="F2857" i="15"/>
  <c r="F2855" i="15"/>
  <c r="F2853" i="15"/>
  <c r="F2813" i="15"/>
  <c r="F2792" i="15"/>
  <c r="F2759" i="15"/>
  <c r="F2755" i="15"/>
  <c r="F2680" i="15"/>
  <c r="F2609" i="15"/>
  <c r="F2374" i="15"/>
  <c r="F2145" i="15"/>
  <c r="F932" i="15"/>
  <c r="F930" i="15"/>
  <c r="F928" i="15"/>
  <c r="F919" i="15"/>
  <c r="F915" i="15"/>
  <c r="F911" i="15"/>
  <c r="F907" i="15"/>
  <c r="F903" i="15"/>
  <c r="F902" i="15"/>
  <c r="F901" i="15"/>
  <c r="F900" i="15"/>
  <c r="F899" i="15"/>
  <c r="F895" i="15"/>
  <c r="F893" i="15"/>
  <c r="F891" i="15"/>
  <c r="F887" i="15"/>
  <c r="F879" i="15"/>
  <c r="F877" i="15"/>
  <c r="F873" i="15"/>
  <c r="F871" i="15"/>
  <c r="F869" i="15"/>
  <c r="F865" i="15"/>
  <c r="F861" i="15"/>
  <c r="F860" i="15"/>
  <c r="F859" i="15"/>
  <c r="F858" i="15"/>
  <c r="F857" i="15"/>
  <c r="F856" i="15"/>
  <c r="F855" i="15"/>
  <c r="F854" i="15"/>
  <c r="F853" i="15"/>
  <c r="F852" i="15"/>
  <c r="F851" i="15"/>
  <c r="F840" i="15"/>
  <c r="F839" i="15"/>
  <c r="F838" i="15"/>
  <c r="F837" i="15"/>
  <c r="F836" i="15"/>
  <c r="F835" i="15"/>
  <c r="F834" i="15"/>
  <c r="F833" i="15"/>
  <c r="F832" i="15"/>
  <c r="F831" i="15"/>
  <c r="F830" i="15"/>
  <c r="F829" i="15"/>
  <c r="F828" i="15"/>
  <c r="F827" i="15"/>
  <c r="F826" i="15"/>
  <c r="F825" i="15"/>
  <c r="F824" i="15"/>
  <c r="F823" i="15"/>
  <c r="F822" i="15"/>
  <c r="F821" i="15"/>
  <c r="F820" i="15"/>
  <c r="F819" i="15"/>
  <c r="F818" i="15"/>
  <c r="F817" i="15"/>
  <c r="F816" i="15"/>
  <c r="F815" i="15"/>
  <c r="F814" i="15"/>
  <c r="F806" i="15"/>
  <c r="F800" i="15"/>
  <c r="F798" i="15"/>
  <c r="F784" i="15"/>
  <c r="F780" i="15"/>
  <c r="F778" i="15"/>
  <c r="F774" i="15"/>
  <c r="F764" i="15"/>
  <c r="F763" i="15"/>
  <c r="F762" i="15"/>
  <c r="F761" i="15"/>
  <c r="F760" i="15"/>
  <c r="F759" i="15"/>
  <c r="F758" i="15"/>
  <c r="F757" i="15"/>
  <c r="F756" i="15"/>
  <c r="F755" i="15"/>
  <c r="F754" i="15"/>
  <c r="F744" i="15"/>
  <c r="F740" i="15"/>
  <c r="F736" i="15"/>
  <c r="F732" i="15"/>
  <c r="F722" i="15"/>
  <c r="F720" i="15"/>
  <c r="F716" i="15"/>
  <c r="F712" i="15"/>
  <c r="F708" i="15"/>
  <c r="F704" i="15"/>
  <c r="F703" i="15"/>
  <c r="F702" i="15"/>
  <c r="F701" i="15"/>
  <c r="F700" i="15"/>
  <c r="F696" i="15"/>
  <c r="F688" i="15"/>
  <c r="F678" i="15"/>
  <c r="F677" i="15"/>
  <c r="F676" i="15"/>
  <c r="F675" i="15"/>
  <c r="F674" i="15"/>
  <c r="F673" i="15"/>
  <c r="F672" i="15"/>
  <c r="F668" i="15"/>
  <c r="F660" i="15"/>
  <c r="F656" i="15"/>
  <c r="F652" i="15"/>
  <c r="F650" i="15"/>
  <c r="F646" i="15"/>
  <c r="F637" i="15"/>
  <c r="F633" i="15"/>
  <c r="F629" i="15"/>
  <c r="F625" i="15"/>
  <c r="F621" i="15"/>
  <c r="F620" i="15"/>
  <c r="F619" i="15"/>
  <c r="F618" i="15"/>
  <c r="F617" i="15"/>
  <c r="F616" i="15"/>
  <c r="F615" i="15"/>
  <c r="F614" i="15"/>
  <c r="F613" i="15"/>
  <c r="F612" i="15"/>
  <c r="F611" i="15"/>
  <c r="F607" i="15"/>
  <c r="F606" i="15"/>
  <c r="F605" i="15"/>
  <c r="F604" i="15"/>
  <c r="F603" i="15"/>
  <c r="F596" i="15"/>
  <c r="F592" i="15"/>
  <c r="F591" i="15"/>
  <c r="F590" i="15"/>
  <c r="F589" i="15"/>
  <c r="F588" i="15"/>
  <c r="F587" i="15"/>
  <c r="F586" i="15"/>
  <c r="F585" i="15"/>
  <c r="F584" i="15"/>
  <c r="F583" i="15"/>
  <c r="F582" i="15"/>
  <c r="F578" i="15"/>
  <c r="F577" i="15"/>
  <c r="F576" i="15"/>
  <c r="F575" i="15"/>
  <c r="F574" i="15"/>
  <c r="F573" i="15"/>
  <c r="F572" i="15"/>
  <c r="F571" i="15"/>
  <c r="F570" i="15"/>
  <c r="F566" i="15"/>
  <c r="F565" i="15"/>
  <c r="F564" i="15"/>
  <c r="F563" i="15"/>
  <c r="F562" i="15"/>
  <c r="F561" i="15"/>
  <c r="F560" i="15"/>
  <c r="F546" i="15"/>
  <c r="F542" i="15"/>
  <c r="F540" i="15"/>
  <c r="F538" i="15"/>
  <c r="F536" i="15"/>
  <c r="F532" i="15"/>
  <c r="F530" i="15"/>
  <c r="F526" i="15"/>
  <c r="F525" i="15"/>
  <c r="F524" i="15"/>
  <c r="F523" i="15"/>
  <c r="F522" i="15"/>
  <c r="F521" i="15"/>
  <c r="F520" i="15"/>
  <c r="F519" i="15"/>
  <c r="F518" i="15"/>
  <c r="F517" i="15"/>
  <c r="F516" i="15"/>
  <c r="F515" i="15"/>
  <c r="F514" i="15"/>
  <c r="F500" i="15"/>
  <c r="F506" i="15"/>
  <c r="F504" i="15"/>
  <c r="F496" i="15"/>
  <c r="F495" i="15"/>
  <c r="F494" i="15"/>
  <c r="F493" i="15"/>
  <c r="F492" i="15"/>
  <c r="F491" i="15"/>
  <c r="F490" i="15"/>
  <c r="F489" i="15"/>
  <c r="F488" i="15"/>
  <c r="F487" i="15"/>
  <c r="F486" i="15"/>
  <c r="F485" i="15"/>
  <c r="F484" i="15"/>
  <c r="F483" i="15"/>
  <c r="F482" i="15"/>
  <c r="F481" i="15"/>
  <c r="F480" i="15"/>
  <c r="F476" i="15"/>
  <c r="F472" i="15"/>
  <c r="F470" i="15"/>
  <c r="F462" i="15"/>
  <c r="F461" i="15"/>
  <c r="F460" i="15"/>
  <c r="F459" i="15"/>
  <c r="F458" i="15"/>
  <c r="F457" i="15"/>
  <c r="F456" i="15"/>
  <c r="F455" i="15"/>
  <c r="F454" i="15"/>
  <c r="F453" i="15"/>
  <c r="F452" i="15"/>
  <c r="F451" i="15"/>
  <c r="F450" i="15"/>
  <c r="F449" i="15"/>
  <c r="F448" i="15"/>
  <c r="F447" i="15"/>
  <c r="F446" i="15"/>
  <c r="F445" i="15"/>
  <c r="F444" i="15"/>
  <c r="F443" i="15"/>
  <c r="F442" i="15"/>
  <c r="F441" i="15"/>
  <c r="F440" i="15"/>
  <c r="F439" i="15"/>
  <c r="F438" i="15"/>
  <c r="F437" i="15"/>
  <c r="F436" i="15"/>
  <c r="F435" i="15"/>
  <c r="F434" i="15"/>
  <c r="F433" i="15"/>
  <c r="F432" i="15"/>
  <c r="F431" i="15"/>
  <c r="F430" i="15"/>
  <c r="F429" i="15"/>
  <c r="F428" i="15"/>
  <c r="F427" i="15"/>
  <c r="F426" i="15"/>
  <c r="F425" i="15"/>
  <c r="F424" i="15"/>
  <c r="F423" i="15"/>
  <c r="F422" i="15"/>
  <c r="F414" i="15"/>
  <c r="F413" i="15"/>
  <c r="F412" i="15"/>
  <c r="F411" i="15"/>
  <c r="F410" i="15"/>
  <c r="F409" i="15"/>
  <c r="F408" i="15"/>
  <c r="F407" i="15"/>
  <c r="F406" i="15"/>
  <c r="F405" i="15"/>
  <c r="F404" i="15"/>
  <c r="F403" i="15"/>
  <c r="F402" i="15"/>
  <c r="F401" i="15"/>
  <c r="F400" i="15"/>
  <c r="F399" i="15"/>
  <c r="F398" i="15"/>
  <c r="F397" i="15"/>
  <c r="F396" i="15"/>
  <c r="F395" i="15"/>
  <c r="F394" i="15"/>
  <c r="F393" i="15"/>
  <c r="F392" i="15"/>
  <c r="F391" i="15"/>
  <c r="F390" i="15"/>
  <c r="F389" i="15"/>
  <c r="F388" i="15"/>
  <c r="F387" i="15"/>
  <c r="F386" i="15"/>
  <c r="F385" i="15"/>
  <c r="F384" i="15"/>
  <c r="F376" i="15"/>
  <c r="F368" i="15"/>
  <c r="F367" i="15"/>
  <c r="F366" i="15"/>
  <c r="F365" i="15"/>
  <c r="F364" i="15"/>
  <c r="F363" i="15"/>
  <c r="F362" i="15"/>
  <c r="F361" i="15"/>
  <c r="F360" i="15"/>
  <c r="F359" i="15"/>
  <c r="F358" i="15"/>
  <c r="F357" i="15"/>
  <c r="F356" i="15"/>
  <c r="F355" i="15"/>
  <c r="F354" i="15"/>
  <c r="F353" i="15"/>
  <c r="F352" i="15"/>
  <c r="F351" i="15"/>
  <c r="F350" i="15"/>
  <c r="F349" i="15"/>
  <c r="F348" i="15"/>
  <c r="F347" i="15"/>
  <c r="F346" i="15"/>
  <c r="F345" i="15"/>
  <c r="F344" i="15"/>
  <c r="F343" i="15"/>
  <c r="F342" i="15"/>
  <c r="F341" i="15"/>
  <c r="F340" i="15"/>
  <c r="F339" i="15"/>
  <c r="F338" i="15"/>
  <c r="F337" i="15"/>
  <c r="F336" i="15"/>
  <c r="F335" i="15"/>
  <c r="F334" i="15"/>
  <c r="F333" i="15"/>
  <c r="F332" i="15"/>
  <c r="F331" i="15"/>
  <c r="F330" i="15"/>
  <c r="F329" i="15"/>
  <c r="F328" i="15"/>
  <c r="F327" i="15"/>
  <c r="F326" i="15"/>
  <c r="F319" i="15"/>
  <c r="F315" i="15"/>
  <c r="F313" i="15"/>
  <c r="F305" i="15"/>
  <c r="F304" i="15"/>
  <c r="F303" i="15"/>
  <c r="F302" i="15"/>
  <c r="F301" i="15"/>
  <c r="F297" i="15"/>
  <c r="F296" i="15"/>
  <c r="F295" i="15"/>
  <c r="F294" i="15"/>
  <c r="F293" i="15"/>
  <c r="F292" i="15"/>
  <c r="F291" i="15"/>
  <c r="F290" i="15"/>
  <c r="F289" i="15"/>
  <c r="F288" i="15"/>
  <c r="F287" i="15"/>
  <c r="F286" i="15"/>
  <c r="F285" i="15"/>
  <c r="F284" i="15"/>
  <c r="F283" i="15"/>
  <c r="F276" i="15"/>
  <c r="F275" i="15"/>
  <c r="F274" i="15"/>
  <c r="F273" i="15"/>
  <c r="F272" i="15"/>
  <c r="F271" i="15"/>
  <c r="F270" i="15"/>
  <c r="F269" i="15"/>
  <c r="F268" i="15"/>
  <c r="F267" i="15"/>
  <c r="F266" i="15"/>
  <c r="F265" i="15"/>
  <c r="F264" i="15"/>
  <c r="F263" i="15"/>
  <c r="F262" i="15"/>
  <c r="F261" i="15"/>
  <c r="F260" i="15"/>
  <c r="F259" i="15"/>
  <c r="F258" i="15"/>
  <c r="F257" i="15"/>
  <c r="F256" i="15"/>
  <c r="F255" i="15"/>
  <c r="F254" i="15"/>
  <c r="F253" i="15"/>
  <c r="F252" i="15"/>
  <c r="F251" i="15"/>
  <c r="F250" i="15"/>
  <c r="F249" i="15"/>
  <c r="F248" i="15"/>
  <c r="F247" i="15"/>
  <c r="F246" i="15"/>
  <c r="F245" i="15"/>
  <c r="F244" i="15"/>
  <c r="F243" i="15"/>
  <c r="F242" i="15"/>
  <c r="F241" i="15"/>
  <c r="F240" i="15"/>
  <c r="F239" i="15"/>
  <c r="F238" i="15"/>
  <c r="F237" i="15"/>
  <c r="F236" i="15"/>
  <c r="F235" i="15"/>
  <c r="F234" i="15"/>
  <c r="F227" i="15"/>
  <c r="F226" i="15"/>
  <c r="F225" i="15"/>
  <c r="F224" i="15"/>
  <c r="F223" i="15"/>
  <c r="F222" i="15"/>
  <c r="F221" i="15"/>
  <c r="F220" i="15"/>
  <c r="F219" i="15"/>
  <c r="F218" i="15"/>
  <c r="F217" i="15"/>
  <c r="F216" i="15"/>
  <c r="F215" i="15"/>
  <c r="F214" i="15"/>
  <c r="F213" i="15"/>
  <c r="F212" i="15"/>
  <c r="F211" i="15"/>
  <c r="F210" i="15"/>
  <c r="F209" i="15"/>
  <c r="F208" i="15"/>
  <c r="F207" i="15"/>
  <c r="F206" i="15"/>
  <c r="F205" i="15"/>
  <c r="F204" i="15"/>
  <c r="F203" i="15"/>
  <c r="F202" i="15"/>
  <c r="F201" i="15"/>
  <c r="F200" i="15"/>
  <c r="F199" i="15"/>
  <c r="F198" i="15"/>
  <c r="F197" i="15"/>
  <c r="F196" i="15"/>
  <c r="F195" i="15"/>
  <c r="F194" i="15"/>
  <c r="F193" i="15"/>
  <c r="F192" i="15"/>
  <c r="F191" i="15"/>
  <c r="F190" i="15"/>
  <c r="F189" i="15"/>
  <c r="F180" i="15"/>
  <c r="F179" i="15"/>
  <c r="F178" i="15"/>
  <c r="F177" i="15"/>
  <c r="F176" i="15"/>
  <c r="F172" i="15"/>
  <c r="F171" i="15"/>
  <c r="F170" i="15"/>
  <c r="F169" i="15"/>
  <c r="F168" i="15"/>
  <c r="F167" i="15"/>
  <c r="F166" i="15"/>
  <c r="F165" i="15"/>
  <c r="F164" i="15"/>
  <c r="F162" i="15"/>
  <c r="F160" i="15"/>
  <c r="F158" i="15"/>
  <c r="F157" i="15"/>
  <c r="F156" i="15"/>
  <c r="F155" i="15"/>
  <c r="F154" i="15"/>
  <c r="F153" i="15"/>
  <c r="F152" i="15"/>
  <c r="F151" i="15"/>
  <c r="F150" i="15"/>
  <c r="F149" i="15"/>
  <c r="F148" i="15"/>
  <c r="F147" i="15"/>
  <c r="F146" i="15"/>
  <c r="F145" i="15"/>
  <c r="F144" i="15"/>
  <c r="F143" i="15"/>
  <c r="F142" i="15"/>
  <c r="F141" i="15"/>
  <c r="F140" i="15"/>
  <c r="F129" i="15"/>
  <c r="F125" i="15"/>
  <c r="F133" i="15"/>
  <c r="F132" i="15"/>
  <c r="F131" i="15"/>
  <c r="F130" i="15"/>
  <c r="F128" i="15"/>
  <c r="F127" i="15"/>
  <c r="F126" i="15"/>
  <c r="F124" i="15"/>
  <c r="F123" i="15"/>
  <c r="F122" i="15"/>
  <c r="F121" i="15"/>
  <c r="F120" i="15"/>
  <c r="F119" i="15"/>
  <c r="F115" i="15"/>
  <c r="F114" i="15"/>
  <c r="F113" i="15"/>
  <c r="F112" i="15"/>
  <c r="F111" i="15"/>
  <c r="F110" i="15"/>
  <c r="F109" i="15"/>
  <c r="F108" i="15"/>
  <c r="F107" i="15"/>
  <c r="F106" i="15"/>
  <c r="F105" i="15"/>
  <c r="F104" i="15"/>
  <c r="F103" i="15"/>
  <c r="F102" i="15"/>
  <c r="F101" i="15"/>
  <c r="F100" i="15"/>
  <c r="F99" i="15"/>
  <c r="F98" i="15"/>
  <c r="F97" i="15"/>
  <c r="F96" i="15"/>
  <c r="F95" i="15"/>
  <c r="F94" i="15"/>
  <c r="F93" i="15"/>
  <c r="F85" i="15"/>
  <c r="F83" i="15"/>
  <c r="F81" i="15"/>
  <c r="F79" i="15"/>
  <c r="F77" i="15"/>
  <c r="F75" i="15"/>
  <c r="F73" i="15"/>
  <c r="F71" i="15"/>
  <c r="F69" i="15"/>
  <c r="F67" i="15"/>
  <c r="F65" i="15"/>
  <c r="F63" i="15"/>
  <c r="F61" i="15"/>
  <c r="F59" i="15"/>
  <c r="F57" i="15"/>
  <c r="F55" i="15"/>
  <c r="F53" i="15"/>
  <c r="F51" i="15"/>
  <c r="F47" i="15"/>
  <c r="F36" i="15"/>
  <c r="F32" i="15"/>
  <c r="F28" i="15"/>
  <c r="F26" i="15"/>
  <c r="F24" i="15"/>
  <c r="F20" i="15"/>
  <c r="F18" i="15"/>
  <c r="F1651" i="14"/>
  <c r="F1710" i="14"/>
  <c r="F1625" i="14"/>
  <c r="F1587" i="14"/>
  <c r="F1585" i="14"/>
  <c r="F1581" i="14"/>
  <c r="F1579" i="14"/>
  <c r="F1541" i="14"/>
  <c r="F1489" i="14"/>
  <c r="F1474" i="14"/>
  <c r="F1472" i="14"/>
  <c r="F1470" i="14"/>
  <c r="F1468" i="14"/>
  <c r="F1466" i="14"/>
  <c r="F281" i="13"/>
  <c r="F93" i="12"/>
  <c r="F197" i="11"/>
  <c r="F538" i="10"/>
  <c r="F534" i="10"/>
  <c r="F246" i="10"/>
  <c r="F242" i="10"/>
  <c r="F127" i="10"/>
  <c r="F121" i="10"/>
  <c r="F135" i="10"/>
  <c r="F781" i="9"/>
  <c r="F775" i="9"/>
  <c r="F771" i="9"/>
  <c r="F765" i="9"/>
  <c r="F763" i="9"/>
  <c r="F383" i="8"/>
  <c r="F379" i="8"/>
  <c r="F374" i="8"/>
  <c r="F372" i="8"/>
  <c r="F370" i="8"/>
  <c r="F55" i="7"/>
  <c r="F51" i="7"/>
  <c r="F334" i="6"/>
  <c r="F246" i="3"/>
  <c r="F211" i="2"/>
  <c r="F171" i="2"/>
  <c r="F185" i="2"/>
  <c r="F183" i="2"/>
  <c r="F181" i="2"/>
  <c r="F179" i="2"/>
  <c r="F143" i="2"/>
  <c r="F139" i="2"/>
  <c r="F2617" i="15"/>
  <c r="F307" i="15"/>
  <c r="F309" i="15"/>
  <c r="F311" i="15"/>
  <c r="F317" i="15"/>
  <c r="F1706" i="14"/>
  <c r="F1704" i="14"/>
  <c r="F1702" i="14"/>
  <c r="F260" i="17" l="1"/>
  <c r="F277" i="17" s="1"/>
  <c r="F1482" i="14"/>
  <c r="F142" i="17"/>
  <c r="F271" i="17" s="1"/>
  <c r="F36" i="17"/>
  <c r="F265" i="17" s="1"/>
  <c r="F318" i="14"/>
  <c r="F285" i="14"/>
  <c r="F281" i="14"/>
  <c r="F277" i="14"/>
  <c r="F53" i="14"/>
  <c r="F165" i="10"/>
  <c r="F16" i="3"/>
  <c r="F2844" i="15"/>
  <c r="F2802" i="15"/>
  <c r="F2775" i="15"/>
  <c r="F2746" i="15"/>
  <c r="F2663" i="15"/>
  <c r="F2619" i="15"/>
  <c r="F2580" i="15"/>
  <c r="F923" i="15"/>
  <c r="F882" i="15"/>
  <c r="F846" i="15"/>
  <c r="F553" i="15"/>
  <c r="F465" i="15"/>
  <c r="F371" i="15"/>
  <c r="F321" i="15"/>
  <c r="F278" i="15"/>
  <c r="F229" i="15"/>
  <c r="F182" i="15"/>
  <c r="F135" i="15"/>
  <c r="F88" i="15"/>
  <c r="F40" i="15"/>
  <c r="F2849" i="15"/>
  <c r="F2890" i="15" s="1"/>
  <c r="F2678" i="15"/>
  <c r="F2676" i="15"/>
  <c r="F2536" i="15"/>
  <c r="F2534" i="15"/>
  <c r="F2532" i="15"/>
  <c r="F2530" i="15"/>
  <c r="F2526" i="15"/>
  <c r="F2524" i="15"/>
  <c r="F2522" i="15"/>
  <c r="F2520" i="15"/>
  <c r="F2518" i="15"/>
  <c r="F2516" i="15"/>
  <c r="F2514" i="15"/>
  <c r="F2512" i="15"/>
  <c r="F2510" i="15"/>
  <c r="F2508" i="15"/>
  <c r="F2506" i="15"/>
  <c r="F2496" i="15"/>
  <c r="F2494" i="15"/>
  <c r="F2492" i="15"/>
  <c r="F2490" i="15"/>
  <c r="F2488" i="15"/>
  <c r="F2486" i="15"/>
  <c r="F2484" i="15"/>
  <c r="F2482" i="15"/>
  <c r="F2480" i="15"/>
  <c r="F2478" i="15"/>
  <c r="F2476" i="15"/>
  <c r="F2474" i="15"/>
  <c r="F2472" i="15"/>
  <c r="F2470" i="15"/>
  <c r="F2468" i="15"/>
  <c r="F2423" i="15"/>
  <c r="F2421" i="15"/>
  <c r="F2419" i="15"/>
  <c r="F2409" i="15"/>
  <c r="F2407" i="15"/>
  <c r="F2405" i="15"/>
  <c r="F2403" i="15"/>
  <c r="F2401" i="15"/>
  <c r="F2399" i="15"/>
  <c r="F2397" i="15"/>
  <c r="F2395" i="15"/>
  <c r="F2384" i="15"/>
  <c r="F2382" i="15"/>
  <c r="F2372" i="15"/>
  <c r="F2370" i="15"/>
  <c r="F2368" i="15"/>
  <c r="F2366" i="15"/>
  <c r="F2364" i="15"/>
  <c r="F2362" i="15"/>
  <c r="F2358" i="15"/>
  <c r="F2356" i="15"/>
  <c r="F2348" i="15"/>
  <c r="F2346" i="15"/>
  <c r="F2344" i="15"/>
  <c r="F2342" i="15"/>
  <c r="F2338" i="15"/>
  <c r="F2336" i="15"/>
  <c r="F2334" i="15"/>
  <c r="F2332" i="15"/>
  <c r="F2330" i="15"/>
  <c r="F2328" i="15"/>
  <c r="F2320" i="15"/>
  <c r="F2318" i="15"/>
  <c r="F2316" i="15"/>
  <c r="F2314" i="15"/>
  <c r="F2310" i="15"/>
  <c r="F2308" i="15"/>
  <c r="F2306" i="15"/>
  <c r="F2304" i="15"/>
  <c r="F2302" i="15"/>
  <c r="F2300" i="15"/>
  <c r="F2298" i="15"/>
  <c r="F2296" i="15"/>
  <c r="F2294" i="15"/>
  <c r="F2285" i="15"/>
  <c r="F2283" i="15"/>
  <c r="F2281" i="15"/>
  <c r="F2279" i="15"/>
  <c r="F2277" i="15"/>
  <c r="F2275" i="15"/>
  <c r="F2273" i="15"/>
  <c r="F2271" i="15"/>
  <c r="F2269" i="15"/>
  <c r="F2267" i="15"/>
  <c r="F2265" i="15"/>
  <c r="F2263" i="15"/>
  <c r="F2259" i="15"/>
  <c r="F2250" i="15"/>
  <c r="F2248" i="15"/>
  <c r="F2246" i="15"/>
  <c r="F2244" i="15"/>
  <c r="F2242" i="15"/>
  <c r="F2240" i="15"/>
  <c r="F2238" i="15"/>
  <c r="F2236" i="15"/>
  <c r="F2234" i="15"/>
  <c r="F2232" i="15"/>
  <c r="F2230" i="15"/>
  <c r="F2228" i="15"/>
  <c r="F2215" i="15"/>
  <c r="F2213" i="15"/>
  <c r="F2211" i="15"/>
  <c r="F2209" i="15"/>
  <c r="F2207" i="15"/>
  <c r="F2205" i="15"/>
  <c r="F2203" i="15"/>
  <c r="F2201" i="15"/>
  <c r="F2199" i="15"/>
  <c r="F2197" i="15"/>
  <c r="F2143" i="15"/>
  <c r="F2141" i="15"/>
  <c r="F2133" i="15"/>
  <c r="F2129" i="15"/>
  <c r="F2127" i="15"/>
  <c r="F2125" i="15"/>
  <c r="F2119" i="15"/>
  <c r="F2117" i="15"/>
  <c r="F2115" i="15"/>
  <c r="F2113" i="15"/>
  <c r="F2111" i="15"/>
  <c r="F2109" i="15"/>
  <c r="F2107" i="15"/>
  <c r="F2105" i="15"/>
  <c r="F2103" i="15"/>
  <c r="F2099" i="15"/>
  <c r="F2090" i="15"/>
  <c r="F2088" i="15"/>
  <c r="F2082" i="15"/>
  <c r="F2080" i="15"/>
  <c r="F2078" i="15"/>
  <c r="F2076" i="15"/>
  <c r="F2074" i="15"/>
  <c r="F2072" i="15"/>
  <c r="F2070" i="15"/>
  <c r="F2068" i="15"/>
  <c r="F2066" i="15"/>
  <c r="F2064" i="15"/>
  <c r="F2060" i="15"/>
  <c r="F2058" i="15"/>
  <c r="F2056" i="15"/>
  <c r="F2054" i="15"/>
  <c r="F2047" i="15"/>
  <c r="F2045" i="15"/>
  <c r="F2043" i="15"/>
  <c r="F2041" i="15"/>
  <c r="F2037" i="15"/>
  <c r="F2033" i="15"/>
  <c r="F2031" i="15"/>
  <c r="F2029" i="15"/>
  <c r="F2027" i="15"/>
  <c r="F2023" i="15"/>
  <c r="F2021" i="15"/>
  <c r="F2019" i="15"/>
  <c r="F2015" i="15"/>
  <c r="F2013" i="15"/>
  <c r="F2011" i="15"/>
  <c r="F2009" i="15"/>
  <c r="F1999" i="15"/>
  <c r="F1997" i="15"/>
  <c r="F1995" i="15"/>
  <c r="F1993" i="15"/>
  <c r="F1991" i="15"/>
  <c r="F1989" i="15"/>
  <c r="F1987" i="15"/>
  <c r="F1985" i="15"/>
  <c r="F1983" i="15"/>
  <c r="F1981" i="15"/>
  <c r="F1979" i="15"/>
  <c r="F1977" i="15"/>
  <c r="F1975" i="15"/>
  <c r="F1973" i="15"/>
  <c r="F1971" i="15"/>
  <c r="F1969" i="15"/>
  <c r="F1967" i="15"/>
  <c r="F1965" i="15"/>
  <c r="F1963" i="15"/>
  <c r="F1961" i="15"/>
  <c r="F1953" i="15"/>
  <c r="F1951" i="15"/>
  <c r="F1949" i="15"/>
  <c r="F1947" i="15"/>
  <c r="F1945" i="15"/>
  <c r="F1943" i="15"/>
  <c r="F1941" i="15"/>
  <c r="F1939" i="15"/>
  <c r="F1937" i="15"/>
  <c r="F1935" i="15"/>
  <c r="F1933" i="15"/>
  <c r="F1931" i="15"/>
  <c r="F1929" i="15"/>
  <c r="F1927" i="15"/>
  <c r="F1925" i="15"/>
  <c r="F1923" i="15"/>
  <c r="F1921" i="15"/>
  <c r="F1919" i="15"/>
  <c r="F1917" i="15"/>
  <c r="F1915" i="15"/>
  <c r="F1913" i="15"/>
  <c r="F1911" i="15"/>
  <c r="F1903" i="15"/>
  <c r="F1901" i="15"/>
  <c r="F1899" i="15"/>
  <c r="F1897" i="15"/>
  <c r="F1895" i="15"/>
  <c r="F1893" i="15"/>
  <c r="F1891" i="15"/>
  <c r="F1889" i="15"/>
  <c r="F1887" i="15"/>
  <c r="F1885" i="15"/>
  <c r="F1883" i="15"/>
  <c r="F1881" i="15"/>
  <c r="F1879" i="15"/>
  <c r="F1877" i="15"/>
  <c r="F1875" i="15"/>
  <c r="F1873" i="15"/>
  <c r="F1871" i="15"/>
  <c r="F1869" i="15"/>
  <c r="F1867" i="15"/>
  <c r="F1865" i="15"/>
  <c r="F1863" i="15"/>
  <c r="F1861" i="15"/>
  <c r="F1852" i="15"/>
  <c r="F1850" i="15"/>
  <c r="F1848" i="15"/>
  <c r="F1846" i="15"/>
  <c r="F1844" i="15"/>
  <c r="F1842" i="15"/>
  <c r="F1840" i="15"/>
  <c r="F1838" i="15"/>
  <c r="F1836" i="15"/>
  <c r="F1832" i="15"/>
  <c r="F1830" i="15"/>
  <c r="F1828" i="15"/>
  <c r="F1826" i="15"/>
  <c r="F1824" i="15"/>
  <c r="F1822" i="15"/>
  <c r="F1820" i="15"/>
  <c r="F1818" i="15"/>
  <c r="F1816" i="15"/>
  <c r="F1814" i="15"/>
  <c r="F1812" i="15"/>
  <c r="F1804" i="15"/>
  <c r="F1802" i="15"/>
  <c r="F1800" i="15"/>
  <c r="F1798" i="15"/>
  <c r="F1796" i="15"/>
  <c r="F1794" i="15"/>
  <c r="F1792" i="15"/>
  <c r="F1790" i="15"/>
  <c r="F1788" i="15"/>
  <c r="F1786" i="15"/>
  <c r="F1784" i="15"/>
  <c r="F1782" i="15"/>
  <c r="F1780" i="15"/>
  <c r="F1778" i="15"/>
  <c r="F1776" i="15"/>
  <c r="F1774" i="15"/>
  <c r="F1772" i="15"/>
  <c r="F1770" i="15"/>
  <c r="F1768" i="15"/>
  <c r="F1766" i="15"/>
  <c r="F1764" i="15"/>
  <c r="F1762" i="15"/>
  <c r="F1754" i="15"/>
  <c r="F1752" i="15"/>
  <c r="F1750" i="15"/>
  <c r="F1748" i="15"/>
  <c r="F1746" i="15"/>
  <c r="F1744" i="15"/>
  <c r="F1742" i="15"/>
  <c r="F1740" i="15"/>
  <c r="F1738" i="15"/>
  <c r="F1736" i="15"/>
  <c r="F1734" i="15"/>
  <c r="F1732" i="15"/>
  <c r="F1730" i="15"/>
  <c r="F1728" i="15"/>
  <c r="F1726" i="15"/>
  <c r="F1724" i="15"/>
  <c r="F1722" i="15"/>
  <c r="F1720" i="15"/>
  <c r="F1718" i="15"/>
  <c r="F1716" i="15"/>
  <c r="F1714" i="15"/>
  <c r="F1712" i="15"/>
  <c r="F1704" i="15"/>
  <c r="F1702" i="15"/>
  <c r="F1700" i="15"/>
  <c r="F1698" i="15"/>
  <c r="F1696" i="15"/>
  <c r="F1694" i="15"/>
  <c r="F1692" i="15"/>
  <c r="F1690" i="15"/>
  <c r="F1688" i="15"/>
  <c r="F1686" i="15"/>
  <c r="F1684" i="15"/>
  <c r="F1682" i="15"/>
  <c r="F1680" i="15"/>
  <c r="F1678" i="15"/>
  <c r="F1676" i="15"/>
  <c r="F1674" i="15"/>
  <c r="F1672" i="15"/>
  <c r="F1670" i="15"/>
  <c r="F1668" i="15"/>
  <c r="F1666" i="15"/>
  <c r="F1664" i="15"/>
  <c r="F1662" i="15"/>
  <c r="F1654" i="15"/>
  <c r="F1652" i="15"/>
  <c r="F1650" i="15"/>
  <c r="F1648" i="15"/>
  <c r="F1646" i="15"/>
  <c r="F1644" i="15"/>
  <c r="F1642" i="15"/>
  <c r="F1640" i="15"/>
  <c r="F1638" i="15"/>
  <c r="F1636" i="15"/>
  <c r="F1634" i="15"/>
  <c r="F1632" i="15"/>
  <c r="F1630" i="15"/>
  <c r="F1628" i="15"/>
  <c r="F1626" i="15"/>
  <c r="F1624" i="15"/>
  <c r="F1622" i="15"/>
  <c r="F1620" i="15"/>
  <c r="F1618" i="15"/>
  <c r="F1616" i="15"/>
  <c r="F1614" i="15"/>
  <c r="F1612" i="15"/>
  <c r="F1604" i="15"/>
  <c r="F1602" i="15"/>
  <c r="F1600" i="15"/>
  <c r="F1598" i="15"/>
  <c r="F1596" i="15"/>
  <c r="F1594" i="15"/>
  <c r="F1592" i="15"/>
  <c r="F1590" i="15"/>
  <c r="F1588" i="15"/>
  <c r="F1586" i="15"/>
  <c r="F1584" i="15"/>
  <c r="F1582" i="15"/>
  <c r="F1580" i="15"/>
  <c r="F1578" i="15"/>
  <c r="F1576" i="15"/>
  <c r="F1574" i="15"/>
  <c r="F1572" i="15"/>
  <c r="F1570" i="15"/>
  <c r="F1568" i="15"/>
  <c r="F1566" i="15"/>
  <c r="F1564" i="15"/>
  <c r="F1562" i="15"/>
  <c r="F1554" i="15"/>
  <c r="F1552" i="15"/>
  <c r="F1550" i="15"/>
  <c r="F1548" i="15"/>
  <c r="F1546" i="15"/>
  <c r="F1544" i="15"/>
  <c r="F1542" i="15"/>
  <c r="F1540" i="15"/>
  <c r="F1538" i="15"/>
  <c r="F1536" i="15"/>
  <c r="F1534" i="15"/>
  <c r="F1532" i="15"/>
  <c r="F1530" i="15"/>
  <c r="F1528" i="15"/>
  <c r="F1526" i="15"/>
  <c r="F1524" i="15"/>
  <c r="F1522" i="15"/>
  <c r="F1520" i="15"/>
  <c r="F1518" i="15"/>
  <c r="F1516" i="15"/>
  <c r="F1514" i="15"/>
  <c r="F1512" i="15"/>
  <c r="F1504" i="15"/>
  <c r="F1502" i="15"/>
  <c r="F1500" i="15"/>
  <c r="F1498" i="15"/>
  <c r="F1496" i="15"/>
  <c r="F1494" i="15"/>
  <c r="F1492" i="15"/>
  <c r="F1490" i="15"/>
  <c r="F1488" i="15"/>
  <c r="F1486" i="15"/>
  <c r="F1484" i="15"/>
  <c r="F1482" i="15"/>
  <c r="F1480" i="15"/>
  <c r="F1478" i="15"/>
  <c r="F1476" i="15"/>
  <c r="F1474" i="15"/>
  <c r="F1472" i="15"/>
  <c r="F1470" i="15"/>
  <c r="F1468" i="15"/>
  <c r="F1466" i="15"/>
  <c r="F1464" i="15"/>
  <c r="F1462" i="15"/>
  <c r="F1454" i="15"/>
  <c r="F1452" i="15"/>
  <c r="F1450" i="15"/>
  <c r="F1448" i="15"/>
  <c r="F1446" i="15"/>
  <c r="F1444" i="15"/>
  <c r="F1442" i="15"/>
  <c r="F1440" i="15"/>
  <c r="F1438" i="15"/>
  <c r="F1436" i="15"/>
  <c r="F1434" i="15"/>
  <c r="F1432" i="15"/>
  <c r="F1430" i="15"/>
  <c r="F1428" i="15"/>
  <c r="F1426" i="15"/>
  <c r="F1424" i="15"/>
  <c r="F1422" i="15"/>
  <c r="F1420" i="15"/>
  <c r="F1418" i="15"/>
  <c r="F1416" i="15"/>
  <c r="F1414" i="15"/>
  <c r="F1412" i="15"/>
  <c r="F1401" i="15"/>
  <c r="F1399" i="15"/>
  <c r="F1397" i="15"/>
  <c r="F1395" i="15"/>
  <c r="F1393" i="15"/>
  <c r="F1391" i="15"/>
  <c r="F1389" i="15"/>
  <c r="F1387" i="15"/>
  <c r="F1383" i="15"/>
  <c r="F1381" i="15"/>
  <c r="F1379" i="15"/>
  <c r="F1377" i="15"/>
  <c r="F1373" i="15"/>
  <c r="F1371" i="15"/>
  <c r="F1369" i="15"/>
  <c r="F1367" i="15"/>
  <c r="F1365" i="15"/>
  <c r="F1357" i="15"/>
  <c r="F1355" i="15"/>
  <c r="F1353" i="15"/>
  <c r="F1351" i="15"/>
  <c r="F1349" i="15"/>
  <c r="F1347" i="15"/>
  <c r="F1345" i="15"/>
  <c r="F1343" i="15"/>
  <c r="F1341" i="15"/>
  <c r="F1339" i="15"/>
  <c r="F1337" i="15"/>
  <c r="F1335" i="15"/>
  <c r="F1333" i="15"/>
  <c r="F1331" i="15"/>
  <c r="F1329" i="15"/>
  <c r="F1327" i="15"/>
  <c r="F1325" i="15"/>
  <c r="F1323" i="15"/>
  <c r="F1321" i="15"/>
  <c r="F1319" i="15"/>
  <c r="F1317" i="15"/>
  <c r="F1315" i="15"/>
  <c r="F1306" i="15"/>
  <c r="F1304" i="15"/>
  <c r="F1302" i="15"/>
  <c r="F1300" i="15"/>
  <c r="F1298" i="15"/>
  <c r="F1296" i="15"/>
  <c r="F1294" i="15"/>
  <c r="F1292" i="15"/>
  <c r="F1290" i="15"/>
  <c r="F1288" i="15"/>
  <c r="F1286" i="15"/>
  <c r="F1284" i="15"/>
  <c r="F1282" i="15"/>
  <c r="F1280" i="15"/>
  <c r="F1278" i="15"/>
  <c r="F1276" i="15"/>
  <c r="F1274" i="15"/>
  <c r="F1270" i="15"/>
  <c r="F1268" i="15"/>
  <c r="F1266" i="15"/>
  <c r="F1257" i="15"/>
  <c r="F1255" i="15"/>
  <c r="F1253" i="15"/>
  <c r="F1251" i="15"/>
  <c r="F1249" i="15"/>
  <c r="F1247" i="15"/>
  <c r="F1245" i="15"/>
  <c r="F1243" i="15"/>
  <c r="F1241" i="15"/>
  <c r="F1239" i="15"/>
  <c r="F1237" i="15"/>
  <c r="F1235" i="15"/>
  <c r="F1233" i="15"/>
  <c r="F1231" i="15"/>
  <c r="F1229" i="15"/>
  <c r="F1227" i="15"/>
  <c r="F1225" i="15"/>
  <c r="F1223" i="15"/>
  <c r="F1221" i="15"/>
  <c r="F1219" i="15"/>
  <c r="F1217" i="15"/>
  <c r="F1215" i="15"/>
  <c r="F1207" i="15"/>
  <c r="F1205" i="15"/>
  <c r="F1203" i="15"/>
  <c r="F1201" i="15"/>
  <c r="F1199" i="15"/>
  <c r="F1197" i="15"/>
  <c r="F1195" i="15"/>
  <c r="F1193" i="15"/>
  <c r="F1191" i="15"/>
  <c r="F1189" i="15"/>
  <c r="F1187" i="15"/>
  <c r="F1185" i="15"/>
  <c r="F1183" i="15"/>
  <c r="F1181" i="15"/>
  <c r="F1179" i="15"/>
  <c r="F1177" i="15"/>
  <c r="F1175" i="15"/>
  <c r="F1173" i="15"/>
  <c r="F1171" i="15"/>
  <c r="F1169" i="15"/>
  <c r="F1167" i="15"/>
  <c r="F1165" i="15"/>
  <c r="F1157" i="15"/>
  <c r="F1155" i="15"/>
  <c r="F1153" i="15"/>
  <c r="F1151" i="15"/>
  <c r="F1149" i="15"/>
  <c r="F1147" i="15"/>
  <c r="F1145" i="15"/>
  <c r="F1143" i="15"/>
  <c r="F1141" i="15"/>
  <c r="F1139" i="15"/>
  <c r="F1137" i="15"/>
  <c r="F1135" i="15"/>
  <c r="F1133" i="15"/>
  <c r="F1131" i="15"/>
  <c r="F1129" i="15"/>
  <c r="F1127" i="15"/>
  <c r="F1125" i="15"/>
  <c r="F1123" i="15"/>
  <c r="F1121" i="15"/>
  <c r="F1119" i="15"/>
  <c r="F1117" i="15"/>
  <c r="F1115" i="15"/>
  <c r="F1106" i="15"/>
  <c r="F1104" i="15"/>
  <c r="F1102" i="15"/>
  <c r="F1100" i="15"/>
  <c r="F1098" i="15"/>
  <c r="F1096" i="15"/>
  <c r="F1094" i="15"/>
  <c r="F1092" i="15"/>
  <c r="F1090" i="15"/>
  <c r="F1088" i="15"/>
  <c r="F1086" i="15"/>
  <c r="F1084" i="15"/>
  <c r="F1080" i="15"/>
  <c r="F1076" i="15"/>
  <c r="F1074" i="15"/>
  <c r="F1072" i="15"/>
  <c r="F1070" i="15"/>
  <c r="F1068" i="15"/>
  <c r="F1060" i="15"/>
  <c r="F1058" i="15"/>
  <c r="F1056" i="15"/>
  <c r="F1054" i="15"/>
  <c r="F1052" i="15"/>
  <c r="F1050" i="15"/>
  <c r="F1048" i="15"/>
  <c r="F1046" i="15"/>
  <c r="F1044" i="15"/>
  <c r="F1042" i="15"/>
  <c r="F1040" i="15"/>
  <c r="F1038" i="15"/>
  <c r="F1036" i="15"/>
  <c r="F1034" i="15"/>
  <c r="F1032" i="15"/>
  <c r="F1030" i="15"/>
  <c r="F1028" i="15"/>
  <c r="F1026" i="15"/>
  <c r="F1024" i="15"/>
  <c r="F1022" i="15"/>
  <c r="F1020" i="15"/>
  <c r="F1018" i="15"/>
  <c r="F1009" i="15"/>
  <c r="F1005" i="15"/>
  <c r="F1003" i="15"/>
  <c r="F1001" i="15"/>
  <c r="F999" i="15"/>
  <c r="F997" i="15"/>
  <c r="F991" i="15"/>
  <c r="F989" i="15"/>
  <c r="F985" i="15"/>
  <c r="F981" i="15"/>
  <c r="F977" i="15"/>
  <c r="F975" i="15"/>
  <c r="F973" i="15"/>
  <c r="F971" i="15"/>
  <c r="F962" i="15"/>
  <c r="F960" i="15"/>
  <c r="F958" i="15"/>
  <c r="F956" i="15"/>
  <c r="F954" i="15"/>
  <c r="F952" i="15"/>
  <c r="F950" i="15"/>
  <c r="F948" i="15"/>
  <c r="F944" i="15"/>
  <c r="F942" i="15"/>
  <c r="F936" i="15"/>
  <c r="F794" i="15"/>
  <c r="F792" i="15"/>
  <c r="F788" i="15"/>
  <c r="F752" i="15"/>
  <c r="F750" i="15"/>
  <c r="F748" i="15"/>
  <c r="F692" i="15"/>
  <c r="F664" i="15"/>
  <c r="F609" i="15"/>
  <c r="F594" i="15"/>
  <c r="F382" i="15"/>
  <c r="F380" i="15"/>
  <c r="F378" i="15"/>
  <c r="F1693" i="14"/>
  <c r="F1646" i="14"/>
  <c r="F1604" i="14"/>
  <c r="F1560" i="14"/>
  <c r="F1526" i="14"/>
  <c r="F1416" i="14"/>
  <c r="F694" i="14"/>
  <c r="F1698" i="14"/>
  <c r="F1435" i="14"/>
  <c r="F1433" i="14"/>
  <c r="F1431" i="14"/>
  <c r="F1429" i="14"/>
  <c r="F1427" i="14"/>
  <c r="F1425" i="14"/>
  <c r="F1423" i="14"/>
  <c r="F1335" i="14"/>
  <c r="F1333" i="14"/>
  <c r="F1329" i="14"/>
  <c r="F1327" i="14"/>
  <c r="F1318" i="14"/>
  <c r="F1316" i="14"/>
  <c r="F1314" i="14"/>
  <c r="F1312" i="14"/>
  <c r="F1310" i="14"/>
  <c r="F1308" i="14"/>
  <c r="F1306" i="14"/>
  <c r="F1304" i="14"/>
  <c r="F1302" i="14"/>
  <c r="F1300" i="14"/>
  <c r="F1298" i="14"/>
  <c r="F1296" i="14"/>
  <c r="F1294" i="14"/>
  <c r="F1292" i="14"/>
  <c r="F1283" i="14"/>
  <c r="F1281" i="14"/>
  <c r="F1279" i="14"/>
  <c r="F1277" i="14"/>
  <c r="F1275" i="14"/>
  <c r="F1273" i="14"/>
  <c r="F1271" i="14"/>
  <c r="F1269" i="14"/>
  <c r="F1267" i="14"/>
  <c r="F1265" i="14"/>
  <c r="F1263" i="14"/>
  <c r="F1261" i="14"/>
  <c r="F1259" i="14"/>
  <c r="F1257" i="14"/>
  <c r="F1248" i="14"/>
  <c r="F1246" i="14"/>
  <c r="F1244" i="14"/>
  <c r="F1242" i="14"/>
  <c r="F1240" i="14"/>
  <c r="F1238" i="14"/>
  <c r="F1236" i="14"/>
  <c r="F1234" i="14"/>
  <c r="F1232" i="14"/>
  <c r="F1230" i="14"/>
  <c r="F1228" i="14"/>
  <c r="F1226" i="14"/>
  <c r="F1204" i="14"/>
  <c r="F1202" i="14"/>
  <c r="F1200" i="14"/>
  <c r="F1198" i="14"/>
  <c r="F1194" i="14"/>
  <c r="F1190" i="14"/>
  <c r="F1186" i="14"/>
  <c r="F1182" i="14"/>
  <c r="F1180" i="14"/>
  <c r="F1178" i="14"/>
  <c r="F1176" i="14"/>
  <c r="F1174" i="14"/>
  <c r="F1166" i="14"/>
  <c r="F1164" i="14"/>
  <c r="F1162" i="14"/>
  <c r="F1160" i="14"/>
  <c r="F1158" i="14"/>
  <c r="F1156" i="14"/>
  <c r="F1154" i="14"/>
  <c r="F1152" i="14"/>
  <c r="F1150" i="14"/>
  <c r="F1148" i="14"/>
  <c r="F1146" i="14"/>
  <c r="F1144" i="14"/>
  <c r="F1142" i="14"/>
  <c r="F1140" i="14"/>
  <c r="F1138" i="14"/>
  <c r="F1136" i="14"/>
  <c r="F1132" i="14"/>
  <c r="F1130" i="14"/>
  <c r="F1128" i="14"/>
  <c r="F1126" i="14"/>
  <c r="F1112" i="14"/>
  <c r="F1110" i="14"/>
  <c r="F1108" i="14"/>
  <c r="F1104" i="14"/>
  <c r="F1102" i="14"/>
  <c r="F1100" i="14"/>
  <c r="F1094" i="14"/>
  <c r="F1092" i="14"/>
  <c r="F1088" i="14"/>
  <c r="F1086" i="14"/>
  <c r="F1084" i="14"/>
  <c r="F1082" i="14"/>
  <c r="F1080" i="14"/>
  <c r="F1078" i="14"/>
  <c r="F1070" i="14"/>
  <c r="F1068" i="14"/>
  <c r="F1066" i="14"/>
  <c r="F1064" i="14"/>
  <c r="F1062" i="14"/>
  <c r="F1060" i="14"/>
  <c r="F1058" i="14"/>
  <c r="F1056" i="14"/>
  <c r="F1054" i="14"/>
  <c r="F1052" i="14"/>
  <c r="F1050" i="14"/>
  <c r="F1044" i="14"/>
  <c r="F1042" i="14"/>
  <c r="F1040" i="14"/>
  <c r="F1038" i="14"/>
  <c r="F1036" i="14"/>
  <c r="F1034" i="14"/>
  <c r="F1032" i="14"/>
  <c r="F1030" i="14"/>
  <c r="F1028" i="14"/>
  <c r="F1020" i="14"/>
  <c r="F1018" i="14"/>
  <c r="F1016" i="14"/>
  <c r="F1014" i="14"/>
  <c r="F1012" i="14"/>
  <c r="F1010" i="14"/>
  <c r="F1008" i="14"/>
  <c r="F1006" i="14"/>
  <c r="F1004" i="14"/>
  <c r="F1000" i="14"/>
  <c r="F998" i="14"/>
  <c r="F996" i="14"/>
  <c r="F994" i="14"/>
  <c r="F992" i="14"/>
  <c r="F990" i="14"/>
  <c r="F988" i="14"/>
  <c r="F986" i="14"/>
  <c r="F984" i="14"/>
  <c r="F982" i="14"/>
  <c r="F980" i="14"/>
  <c r="F978" i="14"/>
  <c r="F970" i="14"/>
  <c r="F968" i="14"/>
  <c r="F966" i="14"/>
  <c r="F964" i="14"/>
  <c r="F962" i="14"/>
  <c r="F960" i="14"/>
  <c r="F958" i="14"/>
  <c r="F956" i="14"/>
  <c r="F954" i="14"/>
  <c r="F952" i="14"/>
  <c r="F950" i="14"/>
  <c r="F948" i="14"/>
  <c r="F946" i="14"/>
  <c r="F944" i="14"/>
  <c r="F942" i="14"/>
  <c r="F940" i="14"/>
  <c r="F938" i="14"/>
  <c r="F936" i="14"/>
  <c r="F934" i="14"/>
  <c r="F932" i="14"/>
  <c r="F930" i="14"/>
  <c r="F928" i="14"/>
  <c r="F921" i="14"/>
  <c r="F919" i="14"/>
  <c r="F917" i="14"/>
  <c r="F915" i="14"/>
  <c r="F913" i="14"/>
  <c r="F911" i="14"/>
  <c r="F909" i="14"/>
  <c r="F907" i="14"/>
  <c r="F905" i="14"/>
  <c r="F903" i="14"/>
  <c r="F901" i="14"/>
  <c r="F899" i="14"/>
  <c r="F897" i="14"/>
  <c r="F895" i="14"/>
  <c r="F893" i="14"/>
  <c r="F891" i="14"/>
  <c r="F889" i="14"/>
  <c r="F887" i="14"/>
  <c r="F885" i="14"/>
  <c r="F883" i="14"/>
  <c r="F881" i="14"/>
  <c r="F879" i="14"/>
  <c r="F871" i="14"/>
  <c r="F869" i="14"/>
  <c r="F867" i="14"/>
  <c r="F865" i="14"/>
  <c r="F863" i="14"/>
  <c r="F861" i="14"/>
  <c r="F859" i="14"/>
  <c r="F857" i="14"/>
  <c r="F855" i="14"/>
  <c r="F853" i="14"/>
  <c r="F851" i="14"/>
  <c r="F849" i="14"/>
  <c r="F847" i="14"/>
  <c r="F845" i="14"/>
  <c r="F843" i="14"/>
  <c r="F841" i="14"/>
  <c r="F839" i="14"/>
  <c r="F837" i="14"/>
  <c r="F835" i="14"/>
  <c r="F833" i="14"/>
  <c r="F831" i="14"/>
  <c r="F829" i="14"/>
  <c r="F822" i="14"/>
  <c r="F820" i="14"/>
  <c r="F818" i="14"/>
  <c r="F816" i="14"/>
  <c r="F814" i="14"/>
  <c r="F812" i="14"/>
  <c r="F810" i="14"/>
  <c r="F808" i="14"/>
  <c r="F806" i="14"/>
  <c r="F800" i="14"/>
  <c r="F798" i="14"/>
  <c r="F796" i="14"/>
  <c r="F794" i="14"/>
  <c r="F792" i="14"/>
  <c r="F790" i="14"/>
  <c r="F788" i="14"/>
  <c r="F784" i="14"/>
  <c r="F777" i="14"/>
  <c r="F775" i="14"/>
  <c r="F773" i="14"/>
  <c r="F771" i="14"/>
  <c r="F769" i="14"/>
  <c r="F767" i="14"/>
  <c r="F765" i="14"/>
  <c r="F763" i="14"/>
  <c r="F761" i="14"/>
  <c r="F759" i="14"/>
  <c r="F757" i="14"/>
  <c r="F755" i="14"/>
  <c r="F753" i="14"/>
  <c r="F751" i="14"/>
  <c r="F749" i="14"/>
  <c r="F745" i="14"/>
  <c r="F743" i="14"/>
  <c r="F741" i="14"/>
  <c r="F739" i="14"/>
  <c r="F731" i="14"/>
  <c r="F729" i="14"/>
  <c r="F727" i="14"/>
  <c r="F725" i="14"/>
  <c r="F723" i="14"/>
  <c r="F721" i="14"/>
  <c r="F719" i="14"/>
  <c r="F717" i="14"/>
  <c r="F715" i="14"/>
  <c r="F713" i="14"/>
  <c r="F711" i="14"/>
  <c r="F709" i="14"/>
  <c r="F634" i="14"/>
  <c r="F632" i="14"/>
  <c r="F626" i="14"/>
  <c r="F622" i="14"/>
  <c r="F620" i="14"/>
  <c r="F618" i="14"/>
  <c r="F616" i="14"/>
  <c r="F603" i="14"/>
  <c r="F597" i="14"/>
  <c r="F587" i="14"/>
  <c r="F583" i="14"/>
  <c r="F581" i="14"/>
  <c r="F579" i="14"/>
  <c r="F575" i="14"/>
  <c r="F571" i="14"/>
  <c r="F569" i="14"/>
  <c r="F567" i="14"/>
  <c r="F560" i="14"/>
  <c r="F558" i="14"/>
  <c r="F556" i="14"/>
  <c r="F554" i="14"/>
  <c r="F552" i="14"/>
  <c r="F550" i="14"/>
  <c r="F548" i="14"/>
  <c r="F546" i="14"/>
  <c r="F544" i="14"/>
  <c r="F542" i="14"/>
  <c r="F540" i="14"/>
  <c r="F538" i="14"/>
  <c r="F536" i="14"/>
  <c r="F532" i="14"/>
  <c r="F530" i="14"/>
  <c r="F528" i="14"/>
  <c r="F526" i="14"/>
  <c r="F524" i="14"/>
  <c r="F522" i="14"/>
  <c r="F520" i="14"/>
  <c r="F512" i="14"/>
  <c r="F510" i="14"/>
  <c r="F508" i="14"/>
  <c r="F506" i="14"/>
  <c r="F502" i="14"/>
  <c r="F500" i="14"/>
  <c r="F498" i="14"/>
  <c r="F466" i="14"/>
  <c r="F464" i="14"/>
  <c r="F462" i="14"/>
  <c r="F460" i="14"/>
  <c r="F458" i="14"/>
  <c r="F452" i="14"/>
  <c r="F450" i="14"/>
  <c r="F448" i="14"/>
  <c r="F446" i="14"/>
  <c r="F435" i="14"/>
  <c r="F433" i="14"/>
  <c r="F431" i="14"/>
  <c r="F429" i="14"/>
  <c r="F427" i="14"/>
  <c r="F425" i="14"/>
  <c r="F423" i="14"/>
  <c r="F421" i="14"/>
  <c r="F419" i="14"/>
  <c r="F417" i="14"/>
  <c r="F415" i="14"/>
  <c r="F413" i="14"/>
  <c r="F411" i="14"/>
  <c r="F407" i="14"/>
  <c r="F405" i="14"/>
  <c r="F403" i="14"/>
  <c r="F401" i="14"/>
  <c r="F399" i="14"/>
  <c r="F384" i="14"/>
  <c r="F382" i="14"/>
  <c r="F380" i="14"/>
  <c r="F378" i="14"/>
  <c r="F376" i="14"/>
  <c r="F374" i="14"/>
  <c r="F372" i="14"/>
  <c r="F370" i="14"/>
  <c r="F368" i="14"/>
  <c r="F366" i="14"/>
  <c r="F328" i="14"/>
  <c r="F326" i="14"/>
  <c r="F324" i="14"/>
  <c r="F322" i="14"/>
  <c r="F320" i="14"/>
  <c r="F316" i="14"/>
  <c r="F314" i="14"/>
  <c r="F312" i="14"/>
  <c r="F310" i="14"/>
  <c r="F301" i="14"/>
  <c r="F299" i="14"/>
  <c r="F297" i="14"/>
  <c r="F295" i="14"/>
  <c r="F291" i="14"/>
  <c r="F289" i="14"/>
  <c r="F287" i="14"/>
  <c r="F283" i="14"/>
  <c r="F279" i="14"/>
  <c r="F247" i="14"/>
  <c r="F245" i="14"/>
  <c r="F243" i="14"/>
  <c r="F241" i="14"/>
  <c r="F239" i="14"/>
  <c r="F233" i="14"/>
  <c r="F229" i="14"/>
  <c r="F227" i="14"/>
  <c r="F220" i="14"/>
  <c r="F218" i="14"/>
  <c r="F214" i="14"/>
  <c r="F216" i="14"/>
  <c r="F212" i="14"/>
  <c r="F210" i="14"/>
  <c r="F208" i="14"/>
  <c r="F206" i="14"/>
  <c r="F204" i="14"/>
  <c r="F202" i="14"/>
  <c r="F200" i="14"/>
  <c r="F198" i="14"/>
  <c r="F196" i="14"/>
  <c r="F194" i="14"/>
  <c r="F190" i="14"/>
  <c r="F188" i="14"/>
  <c r="F186" i="14"/>
  <c r="F184" i="14"/>
  <c r="F182" i="14"/>
  <c r="F170" i="14"/>
  <c r="F168" i="14"/>
  <c r="F166" i="14"/>
  <c r="F164" i="14"/>
  <c r="F162" i="14"/>
  <c r="F158" i="14"/>
  <c r="F156" i="14"/>
  <c r="F154" i="14"/>
  <c r="F150" i="14"/>
  <c r="F148" i="14"/>
  <c r="F146" i="14"/>
  <c r="F144" i="14"/>
  <c r="F142" i="14"/>
  <c r="F140" i="14"/>
  <c r="F136" i="14"/>
  <c r="F134" i="14"/>
  <c r="F132" i="14"/>
  <c r="F124" i="14"/>
  <c r="F122" i="14"/>
  <c r="F116" i="14"/>
  <c r="F114" i="14"/>
  <c r="F112" i="14"/>
  <c r="F108" i="14"/>
  <c r="F106" i="14"/>
  <c r="F104" i="14"/>
  <c r="F51" i="14"/>
  <c r="F49" i="14"/>
  <c r="F47" i="14"/>
  <c r="F38" i="14"/>
  <c r="F36" i="14"/>
  <c r="F34" i="14"/>
  <c r="F32" i="14"/>
  <c r="F30" i="14"/>
  <c r="F26" i="14"/>
  <c r="F24" i="14"/>
  <c r="F20" i="14"/>
  <c r="F18" i="14"/>
  <c r="F16" i="14"/>
  <c r="F315" i="13"/>
  <c r="F272" i="13"/>
  <c r="F332" i="13" s="1"/>
  <c r="F233" i="13"/>
  <c r="F330" i="13" s="1"/>
  <c r="F277" i="13"/>
  <c r="F161" i="13"/>
  <c r="F138" i="13"/>
  <c r="F134" i="13"/>
  <c r="F132" i="13"/>
  <c r="F130" i="13"/>
  <c r="F128" i="13"/>
  <c r="F96" i="13"/>
  <c r="F94" i="13"/>
  <c r="F92" i="13"/>
  <c r="F90" i="13"/>
  <c r="F88" i="13"/>
  <c r="F86" i="13"/>
  <c r="F84" i="13"/>
  <c r="F82" i="13"/>
  <c r="F80" i="13"/>
  <c r="F76" i="13"/>
  <c r="F69" i="13"/>
  <c r="F67" i="13"/>
  <c r="F65" i="13"/>
  <c r="F63" i="13"/>
  <c r="F61" i="13"/>
  <c r="F59" i="13"/>
  <c r="F57" i="13"/>
  <c r="F55" i="13"/>
  <c r="F53" i="13"/>
  <c r="F51" i="13"/>
  <c r="F47" i="13"/>
  <c r="F45" i="13"/>
  <c r="F43" i="13"/>
  <c r="F41" i="13"/>
  <c r="F22" i="13"/>
  <c r="F20" i="13"/>
  <c r="F16" i="13"/>
  <c r="F82" i="12"/>
  <c r="F87" i="12"/>
  <c r="F124" i="12" s="1"/>
  <c r="F34" i="12"/>
  <c r="F30" i="12"/>
  <c r="F28" i="12"/>
  <c r="F24" i="12"/>
  <c r="F20" i="12"/>
  <c r="F16" i="12"/>
  <c r="F194" i="11"/>
  <c r="F232" i="11" s="1"/>
  <c r="F171" i="11"/>
  <c r="F169" i="11"/>
  <c r="F167" i="11"/>
  <c r="F165" i="11"/>
  <c r="F163" i="11"/>
  <c r="F161" i="11"/>
  <c r="F159" i="11"/>
  <c r="F111" i="11"/>
  <c r="F109" i="11"/>
  <c r="F107" i="11"/>
  <c r="F105" i="11"/>
  <c r="F91" i="11"/>
  <c r="F89" i="11"/>
  <c r="F85" i="11"/>
  <c r="F83" i="11"/>
  <c r="F81" i="11"/>
  <c r="F79" i="11"/>
  <c r="F77" i="11"/>
  <c r="F73" i="11"/>
  <c r="F71" i="11"/>
  <c r="F69" i="11"/>
  <c r="F67" i="11"/>
  <c r="F65" i="11"/>
  <c r="F63" i="11"/>
  <c r="F61" i="11"/>
  <c r="F59" i="11"/>
  <c r="F55" i="11"/>
  <c r="F48" i="11"/>
  <c r="F46" i="11"/>
  <c r="F44" i="11"/>
  <c r="F40" i="11"/>
  <c r="F38" i="11"/>
  <c r="F36" i="11"/>
  <c r="F34" i="11"/>
  <c r="F32" i="11"/>
  <c r="F30" i="11"/>
  <c r="F28" i="11"/>
  <c r="F24" i="11"/>
  <c r="F22" i="11"/>
  <c r="F20" i="11"/>
  <c r="F18" i="11"/>
  <c r="F16" i="11"/>
  <c r="F531" i="10"/>
  <c r="F493" i="10"/>
  <c r="F475" i="10"/>
  <c r="F471" i="10"/>
  <c r="F469" i="10"/>
  <c r="F467" i="10"/>
  <c r="F465" i="10"/>
  <c r="F461" i="10"/>
  <c r="F450" i="10"/>
  <c r="F446" i="10"/>
  <c r="F442" i="10"/>
  <c r="F436" i="10"/>
  <c r="F421" i="10"/>
  <c r="F417" i="10"/>
  <c r="F413" i="10"/>
  <c r="F411" i="10"/>
  <c r="F409" i="10"/>
  <c r="F407" i="10"/>
  <c r="F389" i="10"/>
  <c r="F387" i="10"/>
  <c r="F383" i="10"/>
  <c r="F381" i="10"/>
  <c r="F379" i="10"/>
  <c r="F338" i="10"/>
  <c r="F336" i="10"/>
  <c r="F334" i="10"/>
  <c r="F323" i="10"/>
  <c r="F321" i="10"/>
  <c r="F317" i="10"/>
  <c r="F313" i="10"/>
  <c r="F311" i="10"/>
  <c r="F307" i="10"/>
  <c r="F305" i="10"/>
  <c r="F292" i="10"/>
  <c r="F288" i="10"/>
  <c r="F282" i="10"/>
  <c r="F280" i="10"/>
  <c r="F278" i="10"/>
  <c r="F276" i="10"/>
  <c r="F274" i="10"/>
  <c r="F272" i="10"/>
  <c r="F268" i="10"/>
  <c r="F266" i="10"/>
  <c r="F258" i="10"/>
  <c r="F256" i="10"/>
  <c r="F254" i="10"/>
  <c r="F252" i="10"/>
  <c r="F238" i="10"/>
  <c r="F236" i="10"/>
  <c r="F234" i="10"/>
  <c r="F223" i="10"/>
  <c r="F221" i="10"/>
  <c r="F217" i="10"/>
  <c r="F213" i="10"/>
  <c r="F209" i="10"/>
  <c r="F207" i="10"/>
  <c r="F205" i="10"/>
  <c r="F171" i="10"/>
  <c r="F169" i="10"/>
  <c r="F163" i="10"/>
  <c r="F159" i="10"/>
  <c r="F157" i="10"/>
  <c r="F155" i="10"/>
  <c r="F153" i="10"/>
  <c r="F151" i="10"/>
  <c r="F143" i="10"/>
  <c r="F141" i="10"/>
  <c r="F139" i="10"/>
  <c r="F133" i="10"/>
  <c r="F131" i="10"/>
  <c r="F125" i="10"/>
  <c r="F119" i="10"/>
  <c r="F117" i="10"/>
  <c r="F115" i="10"/>
  <c r="F101" i="10"/>
  <c r="F99" i="10"/>
  <c r="F97" i="10"/>
  <c r="F95" i="10"/>
  <c r="F92" i="10"/>
  <c r="F88" i="10"/>
  <c r="F84" i="10"/>
  <c r="F82" i="10"/>
  <c r="F80" i="10"/>
  <c r="F78" i="10"/>
  <c r="F70" i="10"/>
  <c r="F68" i="10"/>
  <c r="F66" i="10"/>
  <c r="F64" i="10"/>
  <c r="F62" i="10"/>
  <c r="F60" i="10"/>
  <c r="F58" i="10"/>
  <c r="F56" i="10"/>
  <c r="F54" i="10"/>
  <c r="F52" i="10"/>
  <c r="F50" i="10"/>
  <c r="F48" i="10"/>
  <c r="F46" i="10"/>
  <c r="F44" i="10"/>
  <c r="F36" i="10"/>
  <c r="F32" i="10"/>
  <c r="F30" i="10"/>
  <c r="F28" i="10"/>
  <c r="F24" i="10"/>
  <c r="F22" i="10"/>
  <c r="F743" i="9"/>
  <c r="F786" i="9" s="1"/>
  <c r="F714" i="9"/>
  <c r="F712" i="9"/>
  <c r="F710" i="9"/>
  <c r="F708" i="9"/>
  <c r="F706" i="9"/>
  <c r="F704" i="9"/>
  <c r="F702" i="9"/>
  <c r="F700" i="9"/>
  <c r="F698" i="9"/>
  <c r="F688" i="9"/>
  <c r="F684" i="9"/>
  <c r="F682" i="9"/>
  <c r="F678" i="9"/>
  <c r="F676" i="9"/>
  <c r="F674" i="9"/>
  <c r="F672" i="9"/>
  <c r="F629" i="9"/>
  <c r="F627" i="9"/>
  <c r="F625" i="9"/>
  <c r="F621" i="9"/>
  <c r="F606" i="9"/>
  <c r="F602" i="9"/>
  <c r="F600" i="9"/>
  <c r="F598" i="9"/>
  <c r="F596" i="9"/>
  <c r="F594" i="9"/>
  <c r="F592" i="9"/>
  <c r="F590" i="9"/>
  <c r="F588" i="9"/>
  <c r="F586" i="9"/>
  <c r="F582" i="9"/>
  <c r="F580" i="9"/>
  <c r="F578" i="9"/>
  <c r="F569" i="9"/>
  <c r="F567" i="9"/>
  <c r="F565" i="9"/>
  <c r="F563" i="9"/>
  <c r="F561" i="9"/>
  <c r="F559" i="9"/>
  <c r="F557" i="9"/>
  <c r="F555" i="9"/>
  <c r="F553" i="9"/>
  <c r="F551" i="9"/>
  <c r="F549" i="9"/>
  <c r="F518" i="9"/>
  <c r="F514" i="9"/>
  <c r="F512" i="9"/>
  <c r="F510" i="9"/>
  <c r="F508" i="9"/>
  <c r="F506" i="9"/>
  <c r="F504" i="9"/>
  <c r="F502" i="9"/>
  <c r="F500" i="9"/>
  <c r="F460" i="9"/>
  <c r="F456" i="9"/>
  <c r="F445" i="9"/>
  <c r="F443" i="9"/>
  <c r="F439" i="9"/>
  <c r="F433" i="9"/>
  <c r="F429" i="9"/>
  <c r="F425" i="9"/>
  <c r="F384" i="9"/>
  <c r="F380" i="9"/>
  <c r="F369" i="9"/>
  <c r="F367" i="9"/>
  <c r="F365" i="9"/>
  <c r="F363" i="9"/>
  <c r="F359" i="9"/>
  <c r="F355" i="9"/>
  <c r="F353" i="9"/>
  <c r="F349" i="9"/>
  <c r="F347" i="9"/>
  <c r="F336" i="9"/>
  <c r="F332" i="9"/>
  <c r="F328" i="9"/>
  <c r="F326" i="9"/>
  <c r="F324" i="9"/>
  <c r="F320" i="9"/>
  <c r="F316" i="9"/>
  <c r="F314" i="9"/>
  <c r="F312" i="9"/>
  <c r="F303" i="9"/>
  <c r="F301" i="9"/>
  <c r="F299" i="9"/>
  <c r="F295" i="9"/>
  <c r="F293" i="9"/>
  <c r="F290" i="9"/>
  <c r="F288" i="9"/>
  <c r="F284" i="9"/>
  <c r="F282" i="9"/>
  <c r="F280" i="9"/>
  <c r="F276" i="9"/>
  <c r="F274" i="9"/>
  <c r="F265" i="9"/>
  <c r="F263" i="9"/>
  <c r="F261" i="9"/>
  <c r="F247" i="9"/>
  <c r="F239" i="9"/>
  <c r="F230" i="9"/>
  <c r="F228" i="9"/>
  <c r="F226" i="9"/>
  <c r="F224" i="9"/>
  <c r="F222" i="9"/>
  <c r="F220" i="9"/>
  <c r="F216" i="9"/>
  <c r="F214" i="9"/>
  <c r="F212" i="9"/>
  <c r="F208" i="9"/>
  <c r="F206" i="9"/>
  <c r="F204" i="9"/>
  <c r="F202" i="9"/>
  <c r="F200" i="9"/>
  <c r="F196" i="9"/>
  <c r="F185" i="9"/>
  <c r="F181" i="9"/>
  <c r="F179" i="9"/>
  <c r="F177" i="9"/>
  <c r="F173" i="9"/>
  <c r="F171" i="9"/>
  <c r="F160" i="9"/>
  <c r="F156" i="9"/>
  <c r="F154" i="9"/>
  <c r="F152" i="9"/>
  <c r="F150" i="9"/>
  <c r="F148" i="9"/>
  <c r="F146" i="9"/>
  <c r="F144" i="9"/>
  <c r="F142" i="9"/>
  <c r="F140" i="9"/>
  <c r="F138" i="9"/>
  <c r="F136" i="9"/>
  <c r="F134" i="9"/>
  <c r="F132" i="9"/>
  <c r="F130" i="9"/>
  <c r="F128" i="9"/>
  <c r="F126" i="9"/>
  <c r="F124" i="9"/>
  <c r="F114" i="9"/>
  <c r="F112" i="9"/>
  <c r="F108" i="9"/>
  <c r="F106" i="9"/>
  <c r="F54" i="9"/>
  <c r="F52" i="9"/>
  <c r="F50" i="9"/>
  <c r="F40" i="9"/>
  <c r="F38" i="9"/>
  <c r="F36" i="9"/>
  <c r="F34" i="9"/>
  <c r="F32" i="9"/>
  <c r="F28" i="9"/>
  <c r="F24" i="9"/>
  <c r="F22" i="9"/>
  <c r="F366" i="8"/>
  <c r="F351" i="8"/>
  <c r="F347" i="8"/>
  <c r="F343" i="8"/>
  <c r="F341" i="8"/>
  <c r="F318" i="8"/>
  <c r="F316" i="8"/>
  <c r="F314" i="8"/>
  <c r="F312" i="8"/>
  <c r="F310" i="8"/>
  <c r="F308" i="8"/>
  <c r="F306" i="8"/>
  <c r="F304" i="8"/>
  <c r="F302" i="8"/>
  <c r="F298" i="8"/>
  <c r="F296" i="8"/>
  <c r="F294" i="8"/>
  <c r="F286" i="8"/>
  <c r="F284" i="8"/>
  <c r="F282" i="8"/>
  <c r="F280" i="8"/>
  <c r="F278" i="8"/>
  <c r="F276" i="8"/>
  <c r="F274" i="8"/>
  <c r="F272" i="8"/>
  <c r="F270" i="8"/>
  <c r="F268" i="8"/>
  <c r="F266" i="8"/>
  <c r="F264" i="8"/>
  <c r="F262" i="8"/>
  <c r="F230" i="8"/>
  <c r="F228" i="8"/>
  <c r="F226" i="8"/>
  <c r="F224" i="8"/>
  <c r="F215" i="8"/>
  <c r="F213" i="8"/>
  <c r="F211" i="8"/>
  <c r="F209" i="8"/>
  <c r="F205" i="8"/>
  <c r="F201" i="8"/>
  <c r="F197" i="8"/>
  <c r="F195" i="8"/>
  <c r="F193" i="8"/>
  <c r="F191" i="8"/>
  <c r="F187" i="8"/>
  <c r="F173" i="8"/>
  <c r="F171" i="8"/>
  <c r="F167" i="8"/>
  <c r="F163" i="8"/>
  <c r="F161" i="8"/>
  <c r="F159" i="8"/>
  <c r="F157" i="8"/>
  <c r="F155" i="8"/>
  <c r="F153" i="8"/>
  <c r="F151" i="8"/>
  <c r="F142" i="8"/>
  <c r="F140" i="8"/>
  <c r="F138" i="8"/>
  <c r="F136" i="8"/>
  <c r="F134" i="8"/>
  <c r="F132" i="8"/>
  <c r="F130" i="8"/>
  <c r="F128" i="8"/>
  <c r="F126" i="8"/>
  <c r="F82" i="8"/>
  <c r="F78" i="8"/>
  <c r="F76" i="8"/>
  <c r="F66" i="8"/>
  <c r="F64" i="8"/>
  <c r="F62" i="8"/>
  <c r="F60" i="8"/>
  <c r="F58" i="8"/>
  <c r="F56" i="8"/>
  <c r="F54" i="8"/>
  <c r="F50" i="8"/>
  <c r="F48" i="8"/>
  <c r="F46" i="8"/>
  <c r="F44" i="8"/>
  <c r="F42" i="8"/>
  <c r="F40" i="8"/>
  <c r="F32" i="8"/>
  <c r="F30" i="8"/>
  <c r="F28" i="8"/>
  <c r="F26" i="8"/>
  <c r="F24" i="8"/>
  <c r="F22" i="8"/>
  <c r="F20" i="8"/>
  <c r="F18" i="8"/>
  <c r="F16" i="8"/>
  <c r="F14" i="8"/>
  <c r="F49" i="7"/>
  <c r="F87" i="7" s="1"/>
  <c r="F32" i="7"/>
  <c r="F30" i="7"/>
  <c r="F28" i="7"/>
  <c r="F26" i="7"/>
  <c r="F24" i="7"/>
  <c r="F22" i="7"/>
  <c r="F18" i="7"/>
  <c r="F16" i="7"/>
  <c r="F330" i="6"/>
  <c r="F294" i="6"/>
  <c r="F292" i="6"/>
  <c r="F290" i="6"/>
  <c r="F280" i="6"/>
  <c r="F278" i="6"/>
  <c r="F274" i="6"/>
  <c r="F272" i="6"/>
  <c r="F268" i="6"/>
  <c r="F266" i="6"/>
  <c r="F262" i="6"/>
  <c r="F260" i="6"/>
  <c r="F258" i="6"/>
  <c r="F256" i="6"/>
  <c r="F254" i="6"/>
  <c r="F243" i="6"/>
  <c r="F241" i="6"/>
  <c r="F239" i="6"/>
  <c r="F237" i="6"/>
  <c r="F235" i="6"/>
  <c r="F233" i="6"/>
  <c r="F229" i="6"/>
  <c r="F227" i="6"/>
  <c r="F206" i="6"/>
  <c r="F204" i="6"/>
  <c r="F202" i="6"/>
  <c r="F198" i="6"/>
  <c r="F196" i="6"/>
  <c r="F194" i="6"/>
  <c r="F190" i="6"/>
  <c r="F183" i="6"/>
  <c r="F181" i="6"/>
  <c r="F179" i="6"/>
  <c r="F177" i="6"/>
  <c r="F175" i="6"/>
  <c r="F173" i="6"/>
  <c r="F171" i="6"/>
  <c r="F169" i="6"/>
  <c r="F167" i="6"/>
  <c r="F165" i="6"/>
  <c r="F163" i="6"/>
  <c r="F159" i="6"/>
  <c r="F157" i="6"/>
  <c r="F149" i="6"/>
  <c r="F147" i="6"/>
  <c r="F145" i="6"/>
  <c r="F143" i="6"/>
  <c r="F141" i="6"/>
  <c r="F139" i="6"/>
  <c r="F137" i="6"/>
  <c r="F135" i="6"/>
  <c r="F133" i="6"/>
  <c r="F129" i="6"/>
  <c r="F125" i="6"/>
  <c r="F123" i="6"/>
  <c r="F121" i="6"/>
  <c r="F110" i="6"/>
  <c r="F108" i="6"/>
  <c r="F106" i="6"/>
  <c r="F102" i="6"/>
  <c r="F100" i="6"/>
  <c r="F98" i="6"/>
  <c r="F96" i="6"/>
  <c r="F94" i="6"/>
  <c r="F92" i="6"/>
  <c r="F88" i="6"/>
  <c r="F84" i="6"/>
  <c r="F82" i="6"/>
  <c r="F71" i="6"/>
  <c r="F69" i="6"/>
  <c r="F65" i="6"/>
  <c r="F63" i="6"/>
  <c r="F59" i="6"/>
  <c r="F50" i="6"/>
  <c r="F46" i="6"/>
  <c r="F42" i="6"/>
  <c r="F40" i="6"/>
  <c r="F38" i="6"/>
  <c r="F28" i="6"/>
  <c r="F26" i="6"/>
  <c r="F22" i="6"/>
  <c r="F20" i="6"/>
  <c r="F18" i="6"/>
  <c r="F16" i="6"/>
  <c r="F47" i="4"/>
  <c r="F86" i="4" s="1"/>
  <c r="F16" i="4"/>
  <c r="F14" i="4"/>
  <c r="F242" i="3"/>
  <c r="F281" i="3" s="1"/>
  <c r="F203" i="3"/>
  <c r="F201" i="3"/>
  <c r="F199" i="3"/>
  <c r="F197" i="3"/>
  <c r="F162" i="3"/>
  <c r="F160" i="3"/>
  <c r="F158" i="3"/>
  <c r="F156" i="3"/>
  <c r="F154" i="3"/>
  <c r="F152" i="3"/>
  <c r="F150" i="3"/>
  <c r="F135" i="3"/>
  <c r="F131" i="3"/>
  <c r="F129" i="3"/>
  <c r="F127" i="3"/>
  <c r="F125" i="3"/>
  <c r="F123" i="3"/>
  <c r="F121" i="3"/>
  <c r="F119" i="3"/>
  <c r="F117" i="3"/>
  <c r="F115" i="3"/>
  <c r="F113" i="3"/>
  <c r="F111" i="3"/>
  <c r="F105" i="3"/>
  <c r="F103" i="3"/>
  <c r="F101" i="3"/>
  <c r="F93" i="3"/>
  <c r="F91" i="3"/>
  <c r="F89" i="3"/>
  <c r="F87" i="3"/>
  <c r="F85" i="3"/>
  <c r="F83" i="3"/>
  <c r="F81" i="3"/>
  <c r="F79" i="3"/>
  <c r="F77" i="3"/>
  <c r="F71" i="3"/>
  <c r="F69" i="3"/>
  <c r="F67" i="3"/>
  <c r="F65" i="3"/>
  <c r="F63" i="3"/>
  <c r="F61" i="3"/>
  <c r="F59" i="3"/>
  <c r="F57" i="3"/>
  <c r="F55" i="3"/>
  <c r="F53" i="3"/>
  <c r="F42" i="3"/>
  <c r="F40" i="3"/>
  <c r="F38" i="3"/>
  <c r="F36" i="3"/>
  <c r="F34" i="3"/>
  <c r="F32" i="3"/>
  <c r="F30" i="3"/>
  <c r="F28" i="3"/>
  <c r="F26" i="3"/>
  <c r="F24" i="3"/>
  <c r="F22" i="3"/>
  <c r="F20" i="3"/>
  <c r="F207" i="2"/>
  <c r="F202" i="2"/>
  <c r="F161" i="2"/>
  <c r="F159" i="2"/>
  <c r="F157" i="2"/>
  <c r="F153" i="2"/>
  <c r="F151" i="2"/>
  <c r="F149" i="2"/>
  <c r="F116" i="2"/>
  <c r="F114" i="2"/>
  <c r="F112" i="2"/>
  <c r="F68" i="2"/>
  <c r="F64" i="2"/>
  <c r="F62" i="2"/>
  <c r="F58" i="2"/>
  <c r="F56" i="2"/>
  <c r="F54" i="2"/>
  <c r="F52" i="2"/>
  <c r="F20" i="2"/>
  <c r="F18" i="2"/>
  <c r="F16" i="2"/>
  <c r="F14" i="2"/>
  <c r="F243" i="9"/>
  <c r="F246" i="2" l="1"/>
  <c r="F261" i="2" s="1"/>
  <c r="F292" i="17"/>
  <c r="D16" i="16" s="1"/>
  <c r="F389" i="8"/>
  <c r="F414" i="8" s="1"/>
  <c r="F366" i="6"/>
  <c r="F391" i="6" s="1"/>
  <c r="F1857" i="14"/>
  <c r="F1730" i="14"/>
  <c r="F1869" i="14" s="1"/>
  <c r="F1853" i="14"/>
  <c r="F1814" i="14"/>
  <c r="F133" i="12"/>
  <c r="F683" i="15"/>
  <c r="F3026" i="15"/>
  <c r="F3024" i="15"/>
  <c r="F725" i="15"/>
  <c r="F3028" i="15"/>
  <c r="F3032" i="15"/>
  <c r="F2917" i="15"/>
  <c r="F3034" i="15"/>
  <c r="F641" i="15"/>
  <c r="F2931" i="15"/>
  <c r="F3036" i="15"/>
  <c r="F509" i="15"/>
  <c r="F2933" i="15"/>
  <c r="F3046" i="15"/>
  <c r="F598" i="15"/>
  <c r="F2935" i="15"/>
  <c r="F2913" i="15"/>
  <c r="F417" i="15"/>
  <c r="F2909" i="15"/>
  <c r="F2907" i="15"/>
  <c r="F2905" i="15"/>
  <c r="F2903" i="15"/>
  <c r="F2901" i="15"/>
  <c r="F2899" i="15"/>
  <c r="F2897" i="15"/>
  <c r="F2895" i="15"/>
  <c r="F1867" i="14"/>
  <c r="F1865" i="14"/>
  <c r="F1863" i="14"/>
  <c r="F1861" i="14"/>
  <c r="F1859" i="14"/>
  <c r="F1457" i="14"/>
  <c r="F1366" i="14"/>
  <c r="F1322" i="14"/>
  <c r="F1287" i="14"/>
  <c r="F1252" i="14"/>
  <c r="F1217" i="14"/>
  <c r="F973" i="14"/>
  <c r="F923" i="14"/>
  <c r="F874" i="14"/>
  <c r="F734" i="14"/>
  <c r="F515" i="14"/>
  <c r="F437" i="14"/>
  <c r="F392" i="14"/>
  <c r="F351" i="14"/>
  <c r="F222" i="14"/>
  <c r="F87" i="14"/>
  <c r="F334" i="13"/>
  <c r="F190" i="13"/>
  <c r="F148" i="13"/>
  <c r="F131" i="12"/>
  <c r="F245" i="11"/>
  <c r="F189" i="11"/>
  <c r="F146" i="11"/>
  <c r="F566" i="10"/>
  <c r="F526" i="10"/>
  <c r="F429" i="10"/>
  <c r="F366" i="10"/>
  <c r="F146" i="10"/>
  <c r="F73" i="10"/>
  <c r="F738" i="9"/>
  <c r="F573" i="9"/>
  <c r="F534" i="9"/>
  <c r="F412" i="9"/>
  <c r="F119" i="9"/>
  <c r="F87" i="9"/>
  <c r="F94" i="7"/>
  <c r="F325" i="6"/>
  <c r="F54" i="6"/>
  <c r="F93" i="4"/>
  <c r="F42" i="4"/>
  <c r="F296" i="3"/>
  <c r="F237" i="3"/>
  <c r="F190" i="3"/>
  <c r="F259" i="2"/>
  <c r="F126" i="2"/>
  <c r="F45" i="2"/>
  <c r="F35" i="8"/>
  <c r="F71" i="8"/>
  <c r="F146" i="8"/>
  <c r="F255" i="8"/>
  <c r="F289" i="8"/>
  <c r="F2455" i="15"/>
  <c r="F1657" i="15"/>
  <c r="F1807" i="15"/>
  <c r="F1856" i="15"/>
  <c r="F2004" i="15"/>
  <c r="F2414" i="15"/>
  <c r="F2700" i="15"/>
  <c r="F1557" i="15"/>
  <c r="F1457" i="15"/>
  <c r="F769" i="15"/>
  <c r="F1757" i="15"/>
  <c r="F1210" i="15"/>
  <c r="F1956" i="15"/>
  <c r="F2182" i="15"/>
  <c r="F1063" i="15"/>
  <c r="F1160" i="15"/>
  <c r="F2499" i="15"/>
  <c r="F1407" i="15"/>
  <c r="F1906" i="15"/>
  <c r="F2049" i="15"/>
  <c r="F2219" i="15"/>
  <c r="F2254" i="15"/>
  <c r="F1507" i="15"/>
  <c r="F1707" i="15"/>
  <c r="F1360" i="15"/>
  <c r="F1607" i="15"/>
  <c r="F809" i="15"/>
  <c r="F1260" i="15"/>
  <c r="F2544" i="15"/>
  <c r="F2388" i="15"/>
  <c r="F2351" i="15"/>
  <c r="F2323" i="15"/>
  <c r="F2289" i="15"/>
  <c r="F2136" i="15"/>
  <c r="F2094" i="15"/>
  <c r="F1310" i="15"/>
  <c r="F1110" i="15"/>
  <c r="F1013" i="15"/>
  <c r="F966" i="15"/>
  <c r="F1169" i="14"/>
  <c r="F1119" i="14"/>
  <c r="F1073" i="14"/>
  <c r="F1023" i="14"/>
  <c r="F824" i="14"/>
  <c r="F779" i="14"/>
  <c r="F651" i="14"/>
  <c r="F607" i="14"/>
  <c r="F562" i="14"/>
  <c r="F479" i="14"/>
  <c r="F305" i="14"/>
  <c r="F264" i="14"/>
  <c r="F175" i="14"/>
  <c r="F127" i="14"/>
  <c r="F42" i="14"/>
  <c r="F31" i="6"/>
  <c r="F220" i="6"/>
  <c r="F249" i="6"/>
  <c r="F117" i="13"/>
  <c r="F71" i="13"/>
  <c r="F34" i="13"/>
  <c r="F37" i="12"/>
  <c r="F98" i="11"/>
  <c r="F50" i="11"/>
  <c r="F486" i="10"/>
  <c r="F454" i="10"/>
  <c r="F400" i="10"/>
  <c r="F327" i="10"/>
  <c r="F298" i="10"/>
  <c r="F261" i="10"/>
  <c r="F227" i="10"/>
  <c r="F190" i="10"/>
  <c r="F104" i="10"/>
  <c r="F39" i="10"/>
  <c r="F691" i="9"/>
  <c r="F653" i="9"/>
  <c r="F614" i="9"/>
  <c r="F493" i="9"/>
  <c r="F449" i="9"/>
  <c r="F373" i="9"/>
  <c r="F340" i="9"/>
  <c r="F307" i="9"/>
  <c r="F269" i="9"/>
  <c r="F234" i="9"/>
  <c r="F191" i="9"/>
  <c r="F164" i="9"/>
  <c r="F43" i="9"/>
  <c r="F361" i="8"/>
  <c r="F328" i="8"/>
  <c r="F217" i="8"/>
  <c r="F180" i="8"/>
  <c r="F113" i="8"/>
  <c r="F44" i="7"/>
  <c r="F283" i="6"/>
  <c r="F185" i="6"/>
  <c r="F152" i="6"/>
  <c r="F114" i="6"/>
  <c r="F77" i="6"/>
  <c r="F143" i="3"/>
  <c r="F96" i="3"/>
  <c r="F48" i="3"/>
  <c r="F166" i="2"/>
  <c r="F89" i="2"/>
  <c r="F2947" i="15" l="1"/>
  <c r="F2925" i="15"/>
  <c r="F3022" i="15"/>
  <c r="F2955" i="15"/>
  <c r="F2983" i="15"/>
  <c r="F3014" i="15"/>
  <c r="F2951" i="15"/>
  <c r="F2919" i="15"/>
  <c r="F2957" i="15"/>
  <c r="F2998" i="15"/>
  <c r="F3000" i="15"/>
  <c r="F2971" i="15"/>
  <c r="F2963" i="15"/>
  <c r="F2927" i="15"/>
  <c r="F2973" i="15"/>
  <c r="F3002" i="15"/>
  <c r="F2985" i="15"/>
  <c r="F2996" i="15"/>
  <c r="F2929" i="15"/>
  <c r="F2961" i="15"/>
  <c r="F2965" i="15"/>
  <c r="F2921" i="15"/>
  <c r="F3006" i="15"/>
  <c r="F2987" i="15"/>
  <c r="F2959" i="15"/>
  <c r="F2977" i="15"/>
  <c r="F3020" i="15"/>
  <c r="F3018" i="15"/>
  <c r="F3010" i="15"/>
  <c r="F2975" i="15"/>
  <c r="F2953" i="15"/>
  <c r="F2969" i="15"/>
  <c r="F3016" i="15"/>
  <c r="F3004" i="15"/>
  <c r="F2981" i="15"/>
  <c r="F2979" i="15"/>
  <c r="F3008" i="15"/>
  <c r="F2937" i="15"/>
  <c r="F3012" i="15"/>
  <c r="F2967" i="15"/>
  <c r="F2949" i="15"/>
  <c r="F3030" i="15"/>
  <c r="F2915" i="15"/>
  <c r="F3048" i="15"/>
  <c r="F2923" i="15"/>
  <c r="F2911" i="15"/>
  <c r="F1855" i="14"/>
  <c r="F1851" i="14"/>
  <c r="F1849" i="14"/>
  <c r="F1847" i="14"/>
  <c r="F1845" i="14"/>
  <c r="F1843" i="14"/>
  <c r="F1841" i="14"/>
  <c r="F1839" i="14"/>
  <c r="F1837" i="14"/>
  <c r="F1835" i="14"/>
  <c r="F1826" i="14"/>
  <c r="F1824" i="14"/>
  <c r="F1822" i="14"/>
  <c r="F1820" i="14"/>
  <c r="F1818" i="14"/>
  <c r="F1816" i="14"/>
  <c r="F1812" i="14"/>
  <c r="F1810" i="14"/>
  <c r="F1808" i="14"/>
  <c r="F1806" i="14"/>
  <c r="F1804" i="14"/>
  <c r="F1802" i="14"/>
  <c r="F1800" i="14"/>
  <c r="F1798" i="14"/>
  <c r="F1796" i="14"/>
  <c r="F1794" i="14"/>
  <c r="F1792" i="14"/>
  <c r="F1790" i="14"/>
  <c r="F1788" i="14"/>
  <c r="F1786" i="14"/>
  <c r="F1784" i="14"/>
  <c r="F328" i="13"/>
  <c r="F326" i="13"/>
  <c r="F324" i="13"/>
  <c r="F322" i="13"/>
  <c r="F320" i="13"/>
  <c r="F129" i="12"/>
  <c r="F243" i="11"/>
  <c r="F241" i="11"/>
  <c r="F239" i="11"/>
  <c r="F237" i="11"/>
  <c r="F601" i="10"/>
  <c r="F599" i="10"/>
  <c r="F597" i="10"/>
  <c r="F595" i="10"/>
  <c r="F593" i="10"/>
  <c r="F591" i="10"/>
  <c r="F589" i="10"/>
  <c r="F587" i="10"/>
  <c r="F585" i="10"/>
  <c r="F583" i="10"/>
  <c r="F581" i="10"/>
  <c r="F579" i="10"/>
  <c r="F577" i="10"/>
  <c r="F575" i="10"/>
  <c r="F573" i="10"/>
  <c r="F571" i="10"/>
  <c r="F829" i="9"/>
  <c r="F827" i="9"/>
  <c r="F825" i="9"/>
  <c r="F823" i="9"/>
  <c r="F821" i="9"/>
  <c r="F819" i="9"/>
  <c r="F817" i="9"/>
  <c r="F815" i="9"/>
  <c r="F813" i="9"/>
  <c r="F811" i="9"/>
  <c r="F809" i="9"/>
  <c r="F807" i="9"/>
  <c r="F805" i="9"/>
  <c r="F803" i="9"/>
  <c r="F801" i="9"/>
  <c r="F799" i="9"/>
  <c r="F797" i="9"/>
  <c r="F795" i="9"/>
  <c r="F793" i="9"/>
  <c r="F791" i="9"/>
  <c r="F412" i="8"/>
  <c r="F410" i="8"/>
  <c r="F408" i="8"/>
  <c r="F406" i="8"/>
  <c r="F404" i="8"/>
  <c r="F402" i="8"/>
  <c r="F400" i="8"/>
  <c r="F398" i="8"/>
  <c r="F396" i="8"/>
  <c r="F394" i="8"/>
  <c r="F92" i="7"/>
  <c r="F389" i="6"/>
  <c r="F387" i="6"/>
  <c r="F385" i="6"/>
  <c r="F383" i="6"/>
  <c r="F381" i="6"/>
  <c r="F379" i="6"/>
  <c r="F377" i="6"/>
  <c r="F375" i="6"/>
  <c r="F373" i="6"/>
  <c r="F371" i="6"/>
  <c r="F91" i="4"/>
  <c r="F294" i="3"/>
  <c r="F292" i="3"/>
  <c r="F290" i="3"/>
  <c r="F288" i="3"/>
  <c r="F286" i="3"/>
  <c r="F257" i="2"/>
  <c r="F255" i="2"/>
  <c r="F253" i="2"/>
  <c r="F251" i="2"/>
  <c r="F2940" i="15" l="1"/>
  <c r="F2945" i="15" s="1"/>
  <c r="F280" i="11"/>
  <c r="D34" i="16" s="1"/>
  <c r="F437" i="8"/>
  <c r="D25" i="16" s="1"/>
  <c r="F1828" i="14"/>
  <c r="F363" i="13"/>
  <c r="F172" i="12"/>
  <c r="F614" i="10"/>
  <c r="F834" i="9"/>
  <c r="D28" i="16" s="1"/>
  <c r="F135" i="7"/>
  <c r="F414" i="6"/>
  <c r="F134" i="4"/>
  <c r="F329" i="3"/>
  <c r="F294" i="2"/>
  <c r="D19" i="16" l="1"/>
  <c r="F2989" i="15"/>
  <c r="F1833" i="14"/>
  <c r="D40" i="16"/>
  <c r="D37" i="16"/>
  <c r="D31" i="16"/>
  <c r="D22" i="16"/>
  <c r="D13" i="16"/>
  <c r="D10" i="16"/>
  <c r="D7" i="16"/>
  <c r="F2994" i="15" l="1"/>
  <c r="F3039" i="15" l="1"/>
  <c r="D43" i="16"/>
  <c r="F3044" i="15" l="1"/>
  <c r="F3090" i="15" l="1"/>
  <c r="D46" i="16" l="1"/>
  <c r="D51" i="16" s="1"/>
</calcChain>
</file>

<file path=xl/sharedStrings.xml><?xml version="1.0" encoding="utf-8"?>
<sst xmlns="http://schemas.openxmlformats.org/spreadsheetml/2006/main" count="10788" uniqueCount="3231">
  <si>
    <t>BILL NO. 3</t>
  </si>
  <si>
    <t>MALL REFURBISHMENT</t>
  </si>
  <si>
    <t>Item</t>
  </si>
  <si>
    <t>Description</t>
  </si>
  <si>
    <t xml:space="preserve"> Quantity</t>
  </si>
  <si>
    <t>Unit</t>
  </si>
  <si>
    <t>Rate</t>
  </si>
  <si>
    <t>Amount</t>
  </si>
  <si>
    <t>AED</t>
  </si>
  <si>
    <t>SITE WORK</t>
  </si>
  <si>
    <t>SITE PREPARATION</t>
  </si>
  <si>
    <t>Note: Refer to the following</t>
  </si>
  <si>
    <t>1. Structure Specification dated 28 March 2022</t>
  </si>
  <si>
    <t>Anti-termite treatment; including surface preparation and all ancillary works as necessary</t>
  </si>
  <si>
    <t>A</t>
  </si>
  <si>
    <t>Horizontal and vertical surfaces; foundation</t>
  </si>
  <si>
    <t>m²</t>
  </si>
  <si>
    <t>B</t>
  </si>
  <si>
    <t>Horizontal and vertical surfaces; ground beams</t>
  </si>
  <si>
    <t>289</t>
  </si>
  <si>
    <t>C</t>
  </si>
  <si>
    <t>Horizontal surfaces; slab on grade</t>
  </si>
  <si>
    <t>534</t>
  </si>
  <si>
    <t>D</t>
  </si>
  <si>
    <t>Horizontal and vertical surfaces; pilecaps</t>
  </si>
  <si>
    <t>130</t>
  </si>
  <si>
    <t>Dewatering; including all ancillary works as necessary</t>
  </si>
  <si>
    <t>E</t>
  </si>
  <si>
    <t>Generally</t>
  </si>
  <si>
    <t>Not required</t>
  </si>
  <si>
    <t>To Collection</t>
  </si>
  <si>
    <t>EARTHWORKS</t>
  </si>
  <si>
    <t>Excavation; including earthwork support and all necessary works</t>
  </si>
  <si>
    <t>Excavation to reduced level</t>
  </si>
  <si>
    <t>233</t>
  </si>
  <si>
    <t>m³</t>
  </si>
  <si>
    <t>Pit excavation; to pile caps</t>
  </si>
  <si>
    <t>37</t>
  </si>
  <si>
    <t>Pit excavation; footing</t>
  </si>
  <si>
    <t>6</t>
  </si>
  <si>
    <t>Trench excavation; to ground beams</t>
  </si>
  <si>
    <t>86</t>
  </si>
  <si>
    <t>Disposal; to approved locations and all ancillary works as necessary</t>
  </si>
  <si>
    <t>Backfilled into excavation; compacted back filling up to 95% compaction ratio</t>
  </si>
  <si>
    <t>F</t>
  </si>
  <si>
    <t>Removed off site including suitable trip</t>
  </si>
  <si>
    <t>356</t>
  </si>
  <si>
    <t>Engineering backfill; compacted wall graded; including all ancillary works as necessary</t>
  </si>
  <si>
    <t>G</t>
  </si>
  <si>
    <t>95% maximum dry density</t>
  </si>
  <si>
    <t>652</t>
  </si>
  <si>
    <t>PILING</t>
  </si>
  <si>
    <t>Note: Refer to the following:</t>
  </si>
  <si>
    <t>1. Drawing Reference Nr. S-00011 and S-60001</t>
  </si>
  <si>
    <t>2. Conduct additional boreholes, trial holes/pits and soil investigation to supplement subsurface investigation; as may required by the Engineer/ Employer, Dubai Municipality and other local authorities requirements</t>
  </si>
  <si>
    <t>3. The Contractor shall be responsible for determining the final length of the piles and the rates shall include any extension or additional length as a result of the Contractor's design.</t>
  </si>
  <si>
    <t>4. Boring cost shall be deemed to include the cost of drilling fluid, linings and temporary fill</t>
  </si>
  <si>
    <t>5. Boring cost shall be deemed to include any soil obstruction</t>
  </si>
  <si>
    <t xml:space="preserve">6. The working platform level is at the discretion of the Contractor and any cost associated will be deemed to be included within the rates. </t>
  </si>
  <si>
    <t>7. Structures Specification dated 28 March 2022 Section 316300</t>
  </si>
  <si>
    <t>Boring</t>
  </si>
  <si>
    <t>Type CA-P01; 600 mm diameter</t>
  </si>
  <si>
    <t>5</t>
  </si>
  <si>
    <t>Nr.</t>
  </si>
  <si>
    <t>Type ESC-P01; 600 mm diameter</t>
  </si>
  <si>
    <t>4</t>
  </si>
  <si>
    <t>Type FB-P1; 600 mm diameter</t>
  </si>
  <si>
    <t>In-situ bored piles; concrete grade C50/60 with CEM I+GGBS+MS</t>
  </si>
  <si>
    <t>600 mm diameter</t>
  </si>
  <si>
    <t>Included</t>
  </si>
  <si>
    <t>600 mm diameter (RATE ONLY)</t>
  </si>
  <si>
    <t>Rate only</t>
  </si>
  <si>
    <t>PILING (Cont´d)</t>
  </si>
  <si>
    <t>Reinforcement to In situ bored piles; with minimum yield point strength 460N/mm2; shall comply to ASTM 615 or BS4449</t>
  </si>
  <si>
    <t>Various diameters</t>
  </si>
  <si>
    <t>Various diameters (RATE ONLY)</t>
  </si>
  <si>
    <t>t</t>
  </si>
  <si>
    <t>Disposal</t>
  </si>
  <si>
    <t>Materials arising from boreholes</t>
  </si>
  <si>
    <t>Materials arising from boreholes (RATE ONLY)</t>
  </si>
  <si>
    <t>Drilling fluids arising from boreholes</t>
  </si>
  <si>
    <t>Drilling fluids arising from boreholes (RATE ONLY)</t>
  </si>
  <si>
    <t>Cutting off tops of piles; to required cut-off levels including disposal of excess materials and all ancillary works as necessary</t>
  </si>
  <si>
    <t>600 mm diameter x 16460mm long; pile type CA-P01</t>
  </si>
  <si>
    <t>H</t>
  </si>
  <si>
    <t>600 mm diameter x 16460mm long; pile type ESC-P01</t>
  </si>
  <si>
    <t>J</t>
  </si>
  <si>
    <t>600 mm diameter x 16460mm long; pile type FB-P1</t>
  </si>
  <si>
    <t>14</t>
  </si>
  <si>
    <t>Pile head treatment</t>
  </si>
  <si>
    <t>K</t>
  </si>
  <si>
    <t>600 mm diameter; pile type CA-P01</t>
  </si>
  <si>
    <t>L</t>
  </si>
  <si>
    <t>600 mm diameter; pile type ESC-P01</t>
  </si>
  <si>
    <t>M</t>
  </si>
  <si>
    <t>600 mm diameter; pile type FB-P1</t>
  </si>
  <si>
    <t>Pile tests</t>
  </si>
  <si>
    <t>To preliminary piles including construction of preliminary piles</t>
  </si>
  <si>
    <t>To working piles</t>
  </si>
  <si>
    <t>Others</t>
  </si>
  <si>
    <t>Keeping records of site observations, site tests and laboratory tests</t>
  </si>
  <si>
    <t xml:space="preserve">Samples,site observations, site tests including for carrying out necessary tests and investigation of the ground conditions and water table </t>
  </si>
  <si>
    <t>Carry-out exploratory trenches to locate existing services and utilities; including protection and maintenance of services and utilities to its existing location</t>
  </si>
  <si>
    <t>Proper setting out of survey control points/benchmarks of the Works and ensuring correctness of position, levels and alignment of all parts of the Works and ensure that site preparation operations preserve existing survey</t>
  </si>
  <si>
    <t>Providing reports</t>
  </si>
  <si>
    <t>GENERALLY</t>
  </si>
  <si>
    <t>Allow for any other works which are not included above and which are required to complete the Site Work in accordance with the Specification and the Drawings (Tenderer to list below)</t>
  </si>
  <si>
    <t>Shoring</t>
  </si>
  <si>
    <t>Shoring works to south entrance</t>
  </si>
  <si>
    <t>COLLECTION</t>
  </si>
  <si>
    <t>Page 3/B/1</t>
  </si>
  <si>
    <t>Page 3/B/2</t>
  </si>
  <si>
    <t>Page 3/B/3</t>
  </si>
  <si>
    <t>Page 3/B/4</t>
  </si>
  <si>
    <t>Page 3/B/5</t>
  </si>
  <si>
    <t>Page 3/B/6</t>
  </si>
  <si>
    <t>Carried To Summary</t>
  </si>
  <si>
    <t>Extra-Over for Complying to Authority Comments</t>
  </si>
  <si>
    <t>Omit 5nos of Type FB-P1; 600 mm diameter</t>
  </si>
  <si>
    <t>Add Type FB-P2; 750 mm diameter</t>
  </si>
  <si>
    <t>Materials arising from boreholes - Extra-Over for Complying to Authority Comments</t>
  </si>
  <si>
    <t>Drilling fluids arising from boreholes - Extra-Over for Complying to Authority Comments</t>
  </si>
  <si>
    <t>To preliminary piles including construction of preliminary piles - Extra-Over for Complying to Authority Comments</t>
  </si>
  <si>
    <t>CONCRETE WORK</t>
  </si>
  <si>
    <t>REINFORCED CONCRETE</t>
  </si>
  <si>
    <t>2. Structures Specification dated 28 March 2022</t>
  </si>
  <si>
    <t>Plain poured concrete; compressive strength 15 MPa with cement type SRPC</t>
  </si>
  <si>
    <t>Blinding; 100mm thick</t>
  </si>
  <si>
    <t>Reinforced concrete; compressive strength 60 MPa with cement type CEM I+GGBS</t>
  </si>
  <si>
    <t>Pile cap</t>
  </si>
  <si>
    <t>Footing</t>
  </si>
  <si>
    <t>Ground beams</t>
  </si>
  <si>
    <t>Slab on grade; 200mm thick</t>
  </si>
  <si>
    <t>Slab on grade; 300mm thick</t>
  </si>
  <si>
    <t>Slab on grade; 750mm thick</t>
  </si>
  <si>
    <t>Suspended slab; 200mm thick</t>
  </si>
  <si>
    <t>Suspended slab; 250mm thick</t>
  </si>
  <si>
    <t>Suspended slab; 300mm thick</t>
  </si>
  <si>
    <t>Suspended slab; 400mm thick</t>
  </si>
  <si>
    <t>Suspended slab; 450mm thick</t>
  </si>
  <si>
    <t>N</t>
  </si>
  <si>
    <t>Suspended slab; 1050mm thick</t>
  </si>
  <si>
    <t>REINFORCED CONCRETE (Cont´d)</t>
  </si>
  <si>
    <t>Beams</t>
  </si>
  <si>
    <t>Upstand</t>
  </si>
  <si>
    <t>Columns</t>
  </si>
  <si>
    <t>Columns; curved</t>
  </si>
  <si>
    <t>Walls; 250mm  thick</t>
  </si>
  <si>
    <t>Walls; 300mm  thick</t>
  </si>
  <si>
    <t>Walls; 600mm  thick</t>
  </si>
  <si>
    <t>Staircase</t>
  </si>
  <si>
    <t>Corbels</t>
  </si>
  <si>
    <t>2</t>
  </si>
  <si>
    <t>Pedestal</t>
  </si>
  <si>
    <t>RC thickening; various thickness</t>
  </si>
  <si>
    <t>Included in Strengthening Works</t>
  </si>
  <si>
    <t>Reinforcement; high yield deformed type 2; 460N/mm2; shall comply to ASTM 615 or BS4449</t>
  </si>
  <si>
    <t>Pile cap; various diameters</t>
  </si>
  <si>
    <t>Footing; various diameters</t>
  </si>
  <si>
    <t>P</t>
  </si>
  <si>
    <t>Pedestal; various diameters</t>
  </si>
  <si>
    <t>0.55</t>
  </si>
  <si>
    <t>Q</t>
  </si>
  <si>
    <t>Ground beams; various diameters</t>
  </si>
  <si>
    <t>R</t>
  </si>
  <si>
    <t>Slab on grade; various diameters</t>
  </si>
  <si>
    <t>S</t>
  </si>
  <si>
    <t>Suspended slab; various diameters</t>
  </si>
  <si>
    <t>T</t>
  </si>
  <si>
    <t>Beams; various diameters</t>
  </si>
  <si>
    <t>U</t>
  </si>
  <si>
    <t>Upstand; various diameters</t>
  </si>
  <si>
    <t>V</t>
  </si>
  <si>
    <t>Columns; various diameters</t>
  </si>
  <si>
    <t>Walls; various diameters</t>
  </si>
  <si>
    <t>Staircase; various diameters</t>
  </si>
  <si>
    <t>Corbels; various diameters</t>
  </si>
  <si>
    <t>0.23</t>
  </si>
  <si>
    <t>Rc thickening; various diameters</t>
  </si>
  <si>
    <t>Shuttering; including supports, finish and all ancillary works as necessary</t>
  </si>
  <si>
    <t>Sides of pile caps</t>
  </si>
  <si>
    <t>Sides of footing</t>
  </si>
  <si>
    <t>Sides of ground beams</t>
  </si>
  <si>
    <t>Soffits of suspended slab</t>
  </si>
  <si>
    <t>Sides and soffits of beams</t>
  </si>
  <si>
    <t>Sides of upstand</t>
  </si>
  <si>
    <t>Sides of columns</t>
  </si>
  <si>
    <t>Sides of columns; curved</t>
  </si>
  <si>
    <t>Sides of walls</t>
  </si>
  <si>
    <t>Sides of corbels</t>
  </si>
  <si>
    <t>11</t>
  </si>
  <si>
    <t>Sides of pedestal</t>
  </si>
  <si>
    <t>Sides of thickenings</t>
  </si>
  <si>
    <t>Staircases</t>
  </si>
  <si>
    <t xml:space="preserve">Composite slab; including reinforcement and all ancillary as necessary </t>
  </si>
  <si>
    <t>Type CS1; 150mm thick</t>
  </si>
  <si>
    <t>Type CS1a; 150mm thick</t>
  </si>
  <si>
    <t>To landing</t>
  </si>
  <si>
    <t>To steps; 280mm wide</t>
  </si>
  <si>
    <t>m</t>
  </si>
  <si>
    <t>To steps; 350mm wide</t>
  </si>
  <si>
    <t>To steps; 560mm wide</t>
  </si>
  <si>
    <t>To steps; 700mm wide</t>
  </si>
  <si>
    <t>SUNDRIES</t>
  </si>
  <si>
    <t>Sundries; including all ancillary works as necessary</t>
  </si>
  <si>
    <t>200mm thick; structural styrofoam</t>
  </si>
  <si>
    <t>500mm thick; structural styrofoam</t>
  </si>
  <si>
    <t>590mm thick; structural styrofoam</t>
  </si>
  <si>
    <t>100mm thick concrete topping</t>
  </si>
  <si>
    <t>Allow for any other works which are not included above and which are required to complete the Concrete Work in accordance with the Specification and the drawings (Tenderer to list below):</t>
  </si>
  <si>
    <t/>
  </si>
  <si>
    <t>Reinforcement</t>
  </si>
  <si>
    <t>A252 mesh top &amp; bottom; to 200mm thk slab on grade</t>
  </si>
  <si>
    <t>Quantity Adjustments</t>
  </si>
  <si>
    <t>Variance in quantity following in-house Quantity Take Off</t>
  </si>
  <si>
    <t>item</t>
  </si>
  <si>
    <t>Page 3/C/1</t>
  </si>
  <si>
    <t>Page 3/C/2</t>
  </si>
  <si>
    <t>Page 3/C/3</t>
  </si>
  <si>
    <t>Page 3/C/4</t>
  </si>
  <si>
    <t>Page 3/C/5</t>
  </si>
  <si>
    <t>Page 3/C/6</t>
  </si>
  <si>
    <t>EXTRA-OVER FOR COMPLYING TO AUTHORITY COMMENTS</t>
  </si>
  <si>
    <t>Sides of upstand (curved)</t>
  </si>
  <si>
    <t>Dowelling</t>
  </si>
  <si>
    <t>Additional rebar; dowel connection to existing to new structure</t>
  </si>
  <si>
    <t>Post fix hilti</t>
  </si>
  <si>
    <t>no</t>
  </si>
  <si>
    <t>Page 3/C/EO/1</t>
  </si>
  <si>
    <t>Page 3/C/EO/2</t>
  </si>
  <si>
    <t>MASONRY</t>
  </si>
  <si>
    <t>WALLS AND PIERS</t>
  </si>
  <si>
    <t>1. Drawing Reference Nr. A-700 to A-710 and A-962</t>
  </si>
  <si>
    <t>Hollow concrete block wall; bedded and jointed in cement and sand mortar; including damp proof courses, insulation, fire rating, mesh, grouts, lintels, posts, reinforcement, fixings, anchors, ties, accessories, plaster (measured separately) and all ancillary works as necessary</t>
  </si>
  <si>
    <t>Type 2; 200mm thick; 2hour fire rated; RW55; to external</t>
  </si>
  <si>
    <t>527</t>
  </si>
  <si>
    <t>Type 2; 200mm thick; 2hour fire rated; RW55; to internal</t>
  </si>
  <si>
    <t>35,804</t>
  </si>
  <si>
    <t>Allow for any other works which are not included above and which are required to complete the Masonry in accordance with the Specification and the drawings (Tenderer to list below):</t>
  </si>
  <si>
    <t>Page 3/D/1</t>
  </si>
  <si>
    <t>Page 3/D/2</t>
  </si>
  <si>
    <t>NON-STRUCTURAL METALWORK</t>
  </si>
  <si>
    <t>1. Drawing Reference Nr. AYB-GHD-DWG-FA-00001, all inclusive</t>
  </si>
  <si>
    <t>2. Drawing Reference Nr. A-600</t>
  </si>
  <si>
    <t>3. Architectural Specification dated April 22, 2022</t>
  </si>
  <si>
    <r>
      <t xml:space="preserve">Handrail; comprising laminated safety glass, </t>
    </r>
    <r>
      <rPr>
        <sz val="11"/>
        <color rgb="FF00B050"/>
        <rFont val="Arial"/>
        <family val="2"/>
      </rPr>
      <t>existing</t>
    </r>
    <r>
      <rPr>
        <sz val="11"/>
        <color rgb="FF000000"/>
        <rFont val="Arial"/>
        <family val="2"/>
      </rPr>
      <t xml:space="preserve"> stainless steel handrail; 8mm stainless steel vertical post; including stainless steel glass connector, fixings, accessories and all ancillary works as necessary</t>
    </r>
  </si>
  <si>
    <t>Type A-1; 1200mm high</t>
  </si>
  <si>
    <t>Deleted - Refer to PTC20 Rev. 3</t>
  </si>
  <si>
    <t>Type A-1; 1200mm high; curved</t>
  </si>
  <si>
    <t>Handrail; comprising laminated safety glass, stainless steel handrail; 8mm stainless steel vertical post; including stainless steel glass connector, fixings, accessories and all ancillary works as necessary</t>
  </si>
  <si>
    <t>Type A-2; 1200mm high</t>
  </si>
  <si>
    <t>Type A-2; 1200mm high; curved</t>
  </si>
  <si>
    <t>Type B-2; 1200mm high</t>
  </si>
  <si>
    <t>Type B-2; 1200mm high; sloping</t>
  </si>
  <si>
    <t>Type C; 1200mm high; curved</t>
  </si>
  <si>
    <r>
      <t xml:space="preserve">Handrail; comprising laminated safety glass, </t>
    </r>
    <r>
      <rPr>
        <sz val="11"/>
        <color rgb="FF00B050"/>
        <rFont val="Arial"/>
        <family val="2"/>
      </rPr>
      <t>existing</t>
    </r>
    <r>
      <rPr>
        <sz val="11"/>
        <color rgb="FF000000"/>
        <rFont val="Arial"/>
        <family val="2"/>
      </rPr>
      <t xml:space="preserve"> stainless steel handrail to be wrapped with </t>
    </r>
    <r>
      <rPr>
        <sz val="11"/>
        <color rgb="FFFF0000"/>
        <rFont val="Arial"/>
        <family val="2"/>
      </rPr>
      <t>3M Di-noc wood film type PL-01</t>
    </r>
    <r>
      <rPr>
        <sz val="11"/>
        <color rgb="FF000000"/>
        <rFont val="Arial"/>
        <family val="2"/>
      </rPr>
      <t>; 8mm stainless steel vertical post; including stainless steel glass connector, fixings, accessories and all ancillary works as necessary.</t>
    </r>
  </si>
  <si>
    <t>Type A-1; 1200mm high (RATE ONLY)</t>
  </si>
  <si>
    <t>RATE ONLY</t>
  </si>
  <si>
    <t>Type A-1; 1200mm high; curved  (RATE ONLY)</t>
  </si>
  <si>
    <r>
      <t xml:space="preserve">Handrail; comprising laminated safety glass, stainless steel handrail  wrapped with </t>
    </r>
    <r>
      <rPr>
        <sz val="11"/>
        <color rgb="FFFF0000"/>
        <rFont val="Arial"/>
        <family val="2"/>
      </rPr>
      <t>3M Di-noc wood film type PL-01</t>
    </r>
    <r>
      <rPr>
        <sz val="11"/>
        <color rgb="FF000000"/>
        <rFont val="Arial"/>
        <family val="2"/>
      </rPr>
      <t>; 8mm stainless steel vertical post; including stainless steel glass connector, fixings, accessories and all ancillary works as necessary</t>
    </r>
  </si>
  <si>
    <t>Type A-2; 1200mm high  (RATE ONLY)</t>
  </si>
  <si>
    <t>Type A-2; 1200mm high; curved  (RATE ONLY)</t>
  </si>
  <si>
    <t>Type B-2; 1200mm high  (RATE ONLY)</t>
  </si>
  <si>
    <t>Type B-2; 1200mm high; sloping  (RATE ONLY)</t>
  </si>
  <si>
    <t>Type C; 1200mm high; curved (RATE ONLY)</t>
  </si>
  <si>
    <r>
      <t xml:space="preserve">Handrail; comprising laminated safety glass, </t>
    </r>
    <r>
      <rPr>
        <sz val="11"/>
        <color rgb="FF00B050"/>
        <rFont val="Arial"/>
        <family val="2"/>
      </rPr>
      <t>existing</t>
    </r>
    <r>
      <rPr>
        <sz val="11"/>
        <color rgb="FFFF0000"/>
        <rFont val="Arial"/>
        <family val="2"/>
      </rPr>
      <t xml:space="preserve"> stainless steel handrail to be removed and replaced with wood handrail WD-01</t>
    </r>
    <r>
      <rPr>
        <sz val="11"/>
        <color rgb="FF000000"/>
        <rFont val="Arial"/>
        <family val="2"/>
      </rPr>
      <t>; 8mm stainless steel vertical post; including stainless steel glass connector, fixings, accessories and all ancillary works as necessary</t>
    </r>
  </si>
  <si>
    <t>N/A</t>
  </si>
  <si>
    <r>
      <t xml:space="preserve">Handrail; comprising laminated safety glass, </t>
    </r>
    <r>
      <rPr>
        <sz val="11"/>
        <color rgb="FFFF0000"/>
        <rFont val="Arial"/>
        <family val="2"/>
      </rPr>
      <t>wood handrail WD-01</t>
    </r>
    <r>
      <rPr>
        <sz val="11"/>
        <color rgb="FF000000"/>
        <rFont val="Arial"/>
        <family val="2"/>
      </rPr>
      <t>; 8mm stainless steel vertical post; including stainless steel glass connector, fixings, accessories and all ancillary works as necessary</t>
    </r>
  </si>
  <si>
    <t>NON-STRUCTURAL METALWORK (Cont´d)</t>
  </si>
  <si>
    <r>
      <t xml:space="preserve">Handrail; comprising laminated safety glass, </t>
    </r>
    <r>
      <rPr>
        <sz val="11"/>
        <color rgb="FF00B050"/>
        <rFont val="Arial"/>
        <family val="2"/>
      </rPr>
      <t>existing</t>
    </r>
    <r>
      <rPr>
        <sz val="11"/>
        <color rgb="FF000000"/>
        <rFont val="Arial"/>
        <family val="2"/>
      </rPr>
      <t xml:space="preserve"> stainless steel handrail, 8mm stainless steel vertical post type MT-02; including dark grey glass connector, fixings, accessories and all ancillary works as necessary</t>
    </r>
  </si>
  <si>
    <t>Type B-1; 1200mm high</t>
  </si>
  <si>
    <t>Type B-1; 1200mm high; curved</t>
  </si>
  <si>
    <t>Stair handrail; wall mounted; comprising L30/570-40mm diameter; painted; including steel bracket, fixings and all ancillary works as necessary; as Drawing Nr. A-958 Detail 5</t>
  </si>
  <si>
    <t>960mm high; sloping</t>
  </si>
  <si>
    <t>Stair balustrade; floor mounted; comprising L30/570-40mm diameter handrail, 40x40mm hollow section post; painted; including steel bracket, fixings and all ancillary works as necessary; as Drawing Nr. A-958 Detail 2</t>
  </si>
  <si>
    <t>Step nosing; extruded aluminum; including fixings and all ancillary works as necessary</t>
  </si>
  <si>
    <t>size 45 x 95mm x 5mm thick; L-shaped</t>
  </si>
  <si>
    <r>
      <t xml:space="preserve">Handrail; comprising laminated safety glass, </t>
    </r>
    <r>
      <rPr>
        <sz val="11"/>
        <color rgb="FF00B050"/>
        <rFont val="Arial"/>
        <family val="2"/>
      </rPr>
      <t>existing</t>
    </r>
    <r>
      <rPr>
        <sz val="11"/>
        <color rgb="FF000000"/>
        <rFont val="Arial"/>
        <family val="2"/>
      </rPr>
      <t xml:space="preserve"> stainless steel handrail to be wrapped with </t>
    </r>
    <r>
      <rPr>
        <sz val="11"/>
        <color rgb="FFFF0000"/>
        <rFont val="Arial"/>
        <family val="2"/>
      </rPr>
      <t>3M Di-noc wood film type PL-01</t>
    </r>
    <r>
      <rPr>
        <sz val="11"/>
        <color rgb="FF000000"/>
        <rFont val="Arial"/>
        <family val="2"/>
      </rPr>
      <t>, 8mm stainless steel vertical post type MT-02; including dark grey glass connector, fixings, accessories and all ancillary works as necessary</t>
    </r>
  </si>
  <si>
    <t>Type B-1; 1200mm high (RATE ONLY)</t>
  </si>
  <si>
    <t>305</t>
  </si>
  <si>
    <t>Type B-1; 1200mm high; curved (RATE ONLY)</t>
  </si>
  <si>
    <t>56</t>
  </si>
  <si>
    <r>
      <t xml:space="preserve">Handrail; comprising laminated safety glass, </t>
    </r>
    <r>
      <rPr>
        <sz val="11"/>
        <color rgb="FF00B050"/>
        <rFont val="Arial"/>
        <family val="2"/>
      </rPr>
      <t xml:space="preserve">existing </t>
    </r>
    <r>
      <rPr>
        <sz val="11"/>
        <color rgb="FFFF0000"/>
        <rFont val="Arial"/>
        <family val="2"/>
      </rPr>
      <t>stainless steel handrail to be removed and replaced with wood handrail WD-01</t>
    </r>
    <r>
      <rPr>
        <sz val="11"/>
        <color rgb="FF000000"/>
        <rFont val="Arial"/>
        <family val="2"/>
      </rPr>
      <t>, 8mm stainless steel vertical post type MT-02; including dark grey glass connector, fixings, accessories and all ancillary works as necessary</t>
    </r>
  </si>
  <si>
    <t>Allow for any other works which are not included above and which are required to complete the Metalwork in accordance with the Specification and the drawings (Tenderer to list below):</t>
  </si>
  <si>
    <t>Design Fees for design verification including obtaining Authority approvals, IFC, shop drawings and PI Insurance (Covered by Dutco's blanket PII).</t>
  </si>
  <si>
    <t>Glass balustrade; floor mounted; comprising laminated safety glass balustrade and stainless steel metal handrail type MT-04; including dark grey glass connector type MT-02, fixings, accessories and all ancillary works as necessary; as Drawing Nr. ID-601-12 Detail 5</t>
  </si>
  <si>
    <t>1200mm high</t>
  </si>
  <si>
    <t>1200mm high; sloping</t>
  </si>
  <si>
    <t>Supply and installation of painted mild steel of RAL 860-3 colour crash handrail</t>
  </si>
  <si>
    <t>Removal and Reinstatement of Type A1 &amp; B1 existing handrails to facilitate construction works and temporary edge protection works</t>
  </si>
  <si>
    <t>Page 3/E/1</t>
  </si>
  <si>
    <t>Page 3/E/2</t>
  </si>
  <si>
    <t>Page 3/E/3</t>
  </si>
  <si>
    <t>Page 3/E/4</t>
  </si>
  <si>
    <t>Page 3/E/5</t>
  </si>
  <si>
    <t>Page 3/E/6</t>
  </si>
  <si>
    <t>Page 3/E/7</t>
  </si>
  <si>
    <t>VE Ref.</t>
  </si>
  <si>
    <t>WOODWORK</t>
  </si>
  <si>
    <t>COMPOSITE ITEMS</t>
  </si>
  <si>
    <t>1. Interior FF&amp;E Schedule and Mood Boards dated April 2022</t>
  </si>
  <si>
    <t>2. Drawing Reference Nr. ID-600 series</t>
  </si>
  <si>
    <t>Waiting lounge planter with bench seating; comprising planter in outer carcass in stainless steel panel type MT-03, 3M Di-noc wood type PL-01, leather fabric type FB-02, metal skirting type MT-03; handrail, plants and LED light (measured elsewhere); including framings, supports and all ancillary works as necessary; as Drawing Nr. ID-601-13</t>
  </si>
  <si>
    <t>Overall size 6930 x 940 x 1070mm high; L-shaped</t>
  </si>
  <si>
    <t>1</t>
  </si>
  <si>
    <t>Overall size 5910 x 600 x 1070mm high; L-shaped</t>
  </si>
  <si>
    <t>Overall size 8570 x 600 x 945mm high; L-shaped</t>
  </si>
  <si>
    <t>Extra over for banquette seating; type I-BA-02; 500mm wide x 875mm high; L-shaped</t>
  </si>
  <si>
    <t>12</t>
  </si>
  <si>
    <t>Waiting lounge planter with bench seating; comprising planter in outer carcass in stainless steel panel type MT-03, 3M Di-noc wood type PL-01, leather fabric type FB-02, ledge, metal skirting type MT-03; plants and LED light (measured elsewhere); including framings, supports and all ancillary works as necessary; as Drawing Nr. ID-601-14</t>
  </si>
  <si>
    <t>Overall size 3710 x 600 x 1000mm high; U-shaped; as Drawing Nr. ID-601-14</t>
  </si>
  <si>
    <t>Extra over for banquette seating; type I-BA-02; 700mm wide x 910mm high; U-shaped</t>
  </si>
  <si>
    <t>13</t>
  </si>
  <si>
    <t>COMPOSITE ITEMS (Cont´d)</t>
  </si>
  <si>
    <t>Planter with bench seating; comprising planter in outer carcass in precast concrete type PC-01, coated fabric type FB-01, metal skirting type MT-02; plants and LED light (measured elsewhere); including framings, supports and all ancillary works as necessary; as Drawing Nr. ID-904-1 and ID-904-2</t>
  </si>
  <si>
    <t>Overall size: 8000 x 1000 x 900mm high; irregular shaped</t>
  </si>
  <si>
    <t>Overall size: 9000 x 1000 x 900mm high; irregular shaped</t>
  </si>
  <si>
    <t>Overall size: 7380 x 1830 x 900mm high; irregular shaped</t>
  </si>
  <si>
    <t>Planter with bench seating; comprising planter in outer carcass in 3M Di-noc wood type PL-01, coated fabric type FB-01, metal skirting type MT-02; plants and LED light (measured elsewhere); including framings, supports and all ancillary works as necessary; as Drawing Nr. ID-904-3</t>
  </si>
  <si>
    <t>Overall size: 4000 x 1700 x 1000mm high; ellipse shaped</t>
  </si>
  <si>
    <t>Information desk (2 person); comprising countertop and side panel in solid surface type SS-02, fascia and doors in type PL-04; stainless steel panel type MT-06 with solid wood slats match finish of PL-04; metal skirting; including screens, signage (by Others), ironmongery, drawers, shelves, doors, supports, frames, accessories and all ancillary works as necessary</t>
  </si>
  <si>
    <t>Type I-INF-01; 5500 x 3500 x 1380mm high; irregular shaped</t>
  </si>
  <si>
    <t>EM-24</t>
  </si>
  <si>
    <t>** VE Reference "EM-" denotes items raised by Client in the VE Schedule</t>
  </si>
  <si>
    <t>Solid countertop; type SS-02; 5500 x 3500mm; irregular shaped</t>
  </si>
  <si>
    <t>7</t>
  </si>
  <si>
    <t>Information desk (1 person); comprising countertop and side panel in solid surface type SS-02, fascia and doors in type PL-04; stainless steel panel type MT-06 with solid wood slats match finish of PL-04; metal skirting; including screens, signage (by Others), ironmongery, drawers, doors, supports, framing and all ancillary works as necessary</t>
  </si>
  <si>
    <t>Type I-INF-02: overall size 4096 x 3210 x 1400mm high; irregular shaped</t>
  </si>
  <si>
    <t>Solid countertop; type SS-02 overall size 4096 x 3210mm; irregular shaped</t>
  </si>
  <si>
    <t>Hands free information desk; comprising countertop and side panel in solid surface type SS-02, fascia and doors in type PL-04; stainless steel panel type MT-06 with solid wood slats match finish of PL-04; metal skirting; including signage (by Others), ironmongery, drawers, doors, supports, framing and all ancillary works as necessary</t>
  </si>
  <si>
    <t>Type I-INF-03; 2540 x 3300 x 1100mm high; irregular shaped</t>
  </si>
  <si>
    <t>Solid countertop; 2540 x 3300mm; irregular shaped</t>
  </si>
  <si>
    <t>10</t>
  </si>
  <si>
    <t>Podium type desk; comprising countertop and side panel in solid surface type SS-02, fascia and doors in type PL-04; stainless steel panel type MT-06 with solid wood slats match finish of PL-04; metal skirting; including signage (by Others), ironmongery, drawers, doors, supports, framing and all ancillary works as necessary</t>
  </si>
  <si>
    <t>Type I-INF-04; 900 x 700 x 1200mm high</t>
  </si>
  <si>
    <t>3</t>
  </si>
  <si>
    <t>Solid countertop; type SS-02; 900 x 700mm</t>
  </si>
  <si>
    <t>Retail cart; comprising corian countertop, fascia and doors in type PL-04; 20mm thick champagne metal gold type MT-03 with 15x20mm solid wood slats match finish of PL-04; internal carcass in paint type PT-01; including signage (by Others), ironmongery, drawers, doors, lockable caster supports, framing and all ancillary works as necessary</t>
  </si>
  <si>
    <t>I-RC-01; Overall size 2040 x 1040 x 2410mm high</t>
  </si>
  <si>
    <t>20</t>
  </si>
  <si>
    <t>FHC cabinet; including internal carcass, doors, finishes, metal skirting, backing, ironmongery, fixings and all ancillary works as necessary</t>
  </si>
  <si>
    <t>Overall size 800 x 350 x 1800mm high</t>
  </si>
  <si>
    <t>Skirting; 100mm high; type MT-02</t>
  </si>
  <si>
    <t>Type TL-01; 600 x 300 x 10mm thick</t>
  </si>
  <si>
    <t>EM-17</t>
  </si>
  <si>
    <t>Type MT-02; stainless steel panel</t>
  </si>
  <si>
    <t>Type MT-08; metallic painted metal</t>
  </si>
  <si>
    <t>Extra over for door 800 x 1800mm high</t>
  </si>
  <si>
    <t>Dial lock locker; 4 tier; 300 x 420 x phenolic compact board; including all ancillary works as necessary</t>
  </si>
  <si>
    <t>Overall size 4120 x 1680mm high; L-shaped</t>
  </si>
  <si>
    <t>Overall size 5400 x 1680mm high; U-shaped</t>
  </si>
  <si>
    <t>Overall size 6000 x 1680mm high; U-shaped</t>
  </si>
  <si>
    <t>Waiting lounge bench; in 3M Di-noc wood; including frames, supports, fixings and all ancillary works as necessary; as Drawing Nr. ID-805-8</t>
  </si>
  <si>
    <t xml:space="preserve">Overall size 5230 x 600 x 1960mm high; to prayer room </t>
  </si>
  <si>
    <t xml:space="preserve">Overall size 7000 x 600 x 1960mm high; to prayer room </t>
  </si>
  <si>
    <t xml:space="preserve">Overall size 2195 x 600 x 1960mm high; to prayer room </t>
  </si>
  <si>
    <t>Millwork cabinet; comprising 2 adjustable shelf; including plywood with wood, paint type PT-01; ironmongery, french cleat and all ancillary works as necessary</t>
  </si>
  <si>
    <t>Size 2400 x 300 x 450mm high; wall mounted</t>
  </si>
  <si>
    <t>Shoe cabinet; wall mounted; shelves in 3M Di-noc wood type PL-01; including finishes, fixings and all ancillary works as necessary; as Drawing Nr. ID-805-6</t>
  </si>
  <si>
    <t>Overall size 3115Lx350Wx1400mm high</t>
  </si>
  <si>
    <t>Overall size 3742Lx350Wx1400mm high</t>
  </si>
  <si>
    <t>Overall size 4815Lx350Wx1400mm high</t>
  </si>
  <si>
    <t>Overall size 5402Lx350Wx1400mm high</t>
  </si>
  <si>
    <t>Overall size 2000Lx350Wx1400mm high</t>
  </si>
  <si>
    <t>Overall size 3280Lx350Wx1400mm high</t>
  </si>
  <si>
    <t>Overall size 4880Lx350Wx1400mm high</t>
  </si>
  <si>
    <t>Overall size 6950Lx350Wx1400mm high</t>
  </si>
  <si>
    <t>Overall size 4220Lx350Wx1400mm high</t>
  </si>
  <si>
    <t>Overall size 4240Lx350Wx1400mm high</t>
  </si>
  <si>
    <t>Overall size 7745Lx350Wx1400mm high</t>
  </si>
  <si>
    <t>Vanity cabinet; floor mounted; comprising solid countertop with 150mm fascia type SS-01, front panel in 3M DI-noc wood type PL-01, metal skirting type MT-02; including frames, supports and all ancillary works as necessary; as Drawing Nr. ID-803-4</t>
  </si>
  <si>
    <t>Overall size 1810 x 600 x 750mm high; including 1no. of opening for sink</t>
  </si>
  <si>
    <t>Overall size 1815 x 600 x 750mm high; including 1no. of opening for sink</t>
  </si>
  <si>
    <t>Overall size 1890 x 600 x 750mm high; including 1no. of opening for sink</t>
  </si>
  <si>
    <t>Overall size 1900 x 600 x 750mm high; including 1no. of opening for sink</t>
  </si>
  <si>
    <t>Overall size 1930 x 600 x 750mm high; including 1no. of opening for sink</t>
  </si>
  <si>
    <t>Overall size 2000L x 600Wx 750mm high; including 1no. of opening for sink</t>
  </si>
  <si>
    <t>Overall size 2180 x 600 x 750mm high; including 1no. of opening for sink</t>
  </si>
  <si>
    <t>Overall size 2400L x 600Wx 750mm high; including 1no. of opening for sink type</t>
  </si>
  <si>
    <t>Overall size 2660L x 600Wx 750mm high; including 1no. of opening for sink</t>
  </si>
  <si>
    <t>Overall size 2740L x 600Wx 750mm high; including 1no. of opening for sink</t>
  </si>
  <si>
    <t>Overall size 2790L x 600Wx 750mm high; including 1no. of opening for sink</t>
  </si>
  <si>
    <t>Overall size 3220L x 570~600mmx 750mm high; including 1no. of opening for sink</t>
  </si>
  <si>
    <t>Vanity cabinet; floor mounted; comprising solid countertop with 150mm fascia type SS-02, front panel in 3M DI-noc wood type PL-01, metal skirting type MT-04; including frames, supports and all ancillary works as necessary; as Drawing Nr. ID-804-4</t>
  </si>
  <si>
    <t>Overall size 1635 x 600 x 750mm high; including 1no. of opening</t>
  </si>
  <si>
    <t>Overall size 1760 x 600 x 750mm high; including 1no. of opening for sink</t>
  </si>
  <si>
    <t>Overall size 2000 x 600 x 750mm high; including 1no. of opening for sink</t>
  </si>
  <si>
    <t>Pantry cabinet; floor mounted; including finishes, frames and all ancillary works as necessary</t>
  </si>
  <si>
    <t>Overall size 2000 x 600 x 800mm high; including 1no. of opening</t>
  </si>
  <si>
    <t>Overall size 2000 x 600 x 800mm high; including 2no. of opening</t>
  </si>
  <si>
    <t>Overall size 2165 x 600 x 800mm high; including 2no. of opening</t>
  </si>
  <si>
    <t>Island vanity countertop; floor mounted; comprising solid countertop with 80 fascia type SS-03, front panel and skirting in stainless steel panel type MT-04; including frames, supports and all ancillary works as necessary; as Drawing Nr. ID-804-5</t>
  </si>
  <si>
    <t xml:space="preserve">Overall size 1200 x 3485 x 750mm high; including 6no. of openings for sink </t>
  </si>
  <si>
    <t xml:space="preserve">Overall size 1200 x 5485 x 750mm high; including 10no. of openings for sink </t>
  </si>
  <si>
    <t>Island vanity cabinet; floor mounted; comprising solid countertop with 150 fascia type SS-01, front panel type TL-02, skirting type MT-02; including frames, supports, ironmongery, accessories and all ancillary works as necessary; as Drawing Nr. ID-804-5</t>
  </si>
  <si>
    <t>Base cabinet; overall size 1200 x 3540 x 750mm high</t>
  </si>
  <si>
    <t>Base cabinet; overall size 1200 x 4725 x 750mm high</t>
  </si>
  <si>
    <t>Base cabinet; overall size 1200 x 5485 x 750mm high</t>
  </si>
  <si>
    <t xml:space="preserve">Countertop; size 1200 x 3540mm; including 6no. of openings for sink </t>
  </si>
  <si>
    <t xml:space="preserve">Countertop; size 1200 x 4725mm; including 6no. of openings for sink </t>
  </si>
  <si>
    <t xml:space="preserve">Countertop; size 1200 x 5485mm; including 10no. of openings for sink </t>
  </si>
  <si>
    <t>Decorative features; aluminum composite metal frame; in 3M Di-noc wood type PL-01; including all fixings, fittings, accessories and all ancillary works as necessary</t>
  </si>
  <si>
    <t>Overall size 10721 x 9000mm high; curved; as Drawing Nr. ID-512-2</t>
  </si>
  <si>
    <t>Overall size 9731 x 22500mm high; irregular shaped; as Drawing Nr. ID-510-1</t>
  </si>
  <si>
    <t>Overall size 9730 x 9100mm high; irregular shaped; as Drawing Nr. ID-510-2</t>
  </si>
  <si>
    <t>Overall size 7815 x 8750mm high; irregular shaped; as Drawing Nr. ID-510-3</t>
  </si>
  <si>
    <t>Overall size 12932 x 20150mm high; irregular shaped; as Drawing Nr. ID-510-4</t>
  </si>
  <si>
    <t>Decorative strips; aluminum composite metal frame; in 3M Di-noc wood; 100mm high metal skirting type MT-02; including all fixings, accessories and all ancillary works as necessary; as Drawing Nr. ID-603-6</t>
  </si>
  <si>
    <t>Aluminum strip; size 200 x 60mm (measured on plan); curved</t>
  </si>
  <si>
    <t>Aluminum strip; size 200 x 60mm; vertical</t>
  </si>
  <si>
    <t>Stainless steel strip; type MT-02; ; including all fixings, accessories and all ancillary works as necessary; as Drawing Nr. ID-512-6</t>
  </si>
  <si>
    <t>Size 50 x 150mm; horizontal strip</t>
  </si>
  <si>
    <t>590</t>
  </si>
  <si>
    <t>MC-10</t>
  </si>
  <si>
    <t>Size 50 x 150mm; vertical strip</t>
  </si>
  <si>
    <t>470</t>
  </si>
  <si>
    <t>Hanging metal frames; metal frame with double sided illuminated light panel; LED lights and power (measured elsewhere); including fixings, accessories and all ancillary works as necessary; as Drawing Nr. ID-601-15</t>
  </si>
  <si>
    <t>Horizontal</t>
  </si>
  <si>
    <t>MC-07</t>
  </si>
  <si>
    <t>Vertical</t>
  </si>
  <si>
    <t>** VE Reference "MC-" denotes items raised by Dutco in the VE Schedule</t>
  </si>
  <si>
    <t>Wooden slat; in 3M Di-noc wood; including backing, lightcove, frames, fixings and all ancillary works as necessary; as Detail 5 Drawing Nr. ID-705-4</t>
  </si>
  <si>
    <t>Type PL-01; size 20 x 15mm (measured on plan)</t>
  </si>
  <si>
    <t>Type PL-01; size 30 x 40mm (measured on plan)</t>
  </si>
  <si>
    <t>303</t>
  </si>
  <si>
    <t>Type PL-01; size 40 x 80mm and 40 x 100 ; to upper floors; as Detail 4 Drawing Nr. ID-509-1</t>
  </si>
  <si>
    <t>Allow for any other works which are not included above and which are required to complete the Woodwork in accordance with the Specification and the drawings (Tenderer to list below):</t>
  </si>
  <si>
    <t>Page 3/F/1</t>
  </si>
  <si>
    <t>Page 3/F/2</t>
  </si>
  <si>
    <t>Page 3/F/3</t>
  </si>
  <si>
    <t>Page 3/F/4</t>
  </si>
  <si>
    <t>Page 3/F/5</t>
  </si>
  <si>
    <t>Page 3/F/6</t>
  </si>
  <si>
    <t>Page 3/F/7</t>
  </si>
  <si>
    <t>Page 3/F/8</t>
  </si>
  <si>
    <t>Page 3/F/9</t>
  </si>
  <si>
    <t>Page 3/F/10</t>
  </si>
  <si>
    <t>Page 3/F/11</t>
  </si>
  <si>
    <t>THERMAL AND MOISTURE PROTECTION</t>
  </si>
  <si>
    <t>COVERINGS AND LININGS</t>
  </si>
  <si>
    <t>Cold-applied waterproofing system; including surface preparation and all ancillary works as necessary; as Detail 8 Drawing Nr. A-951</t>
  </si>
  <si>
    <t>To wet areas</t>
  </si>
  <si>
    <t>Turning-ups / skirting; 200mm high</t>
  </si>
  <si>
    <t>Waterproofing; including surface preparation, protection, accessories and all ancillary works as necessary</t>
  </si>
  <si>
    <t>Waterproofing membrane; to foundation</t>
  </si>
  <si>
    <t>Waterproofing membrane; to ground beams</t>
  </si>
  <si>
    <t>Waterproofing membrane; to slab on grade</t>
  </si>
  <si>
    <t>Waterproofing membrane; to pilecaps</t>
  </si>
  <si>
    <t>Waterproofing membrane; to paving</t>
  </si>
  <si>
    <t>808</t>
  </si>
  <si>
    <t>Waterproofing membrane; to paving band</t>
  </si>
  <si>
    <t>16</t>
  </si>
  <si>
    <t>Allow for any other works which are not included above and which are required to complete the Thermal and Moisture Protection in accordance with the Specification and the drawings (Tenderer to list below):</t>
  </si>
  <si>
    <t>3mm thick protection board to vertical surfaces</t>
  </si>
  <si>
    <t>Page 3/G/1</t>
  </si>
  <si>
    <t>Page 3/G/2</t>
  </si>
  <si>
    <t>DOORS AND WINDOWS</t>
  </si>
  <si>
    <t>DOORS</t>
  </si>
  <si>
    <t>1. Drawing Reference Nr. ID-900 series, A-800 to A-801</t>
  </si>
  <si>
    <t>Hollow metal doors and frames; building into brick, block concrete walls and gypsum partitions; including ironmongery (measured separately), finishes, architrave, weatherstripping and all necessary fixings and accessories</t>
  </si>
  <si>
    <t>Type DS-01; 1000 x 2200mm high; single leaf door</t>
  </si>
  <si>
    <t>Type DS-02; 900 x 2200mm high; single leaf door</t>
  </si>
  <si>
    <t>Type DS-04; 1100 x 2200mm high; single leaf door</t>
  </si>
  <si>
    <t>Type DS-05; 1100 x 2200mm high; single leaf door; FR-90min.; including exit panic device with horizontal push bar</t>
  </si>
  <si>
    <t>Type DS-06; 1200 x 2200mm high; single leaf door</t>
  </si>
  <si>
    <t>Type DS-07; 1000 x 2200mm high; double leaf door</t>
  </si>
  <si>
    <t>Type DS-08; 1600 x 2200mm high; double leaf door</t>
  </si>
  <si>
    <t>Type DS-10; 1800 x 2200mm high; double leaf door; FR-90min.</t>
  </si>
  <si>
    <t>Type DS-11; 1450 x 2200mm high; double leaf door; FR-90min.</t>
  </si>
  <si>
    <t>Type DS-12; 1250 x 2140mm high; single leaf door</t>
  </si>
  <si>
    <t>DOORS (Cont´d)</t>
  </si>
  <si>
    <t>Type DS-14; 2400 x 2200mm high; double leaf door</t>
  </si>
  <si>
    <t>Type DS-17; 2000 x 2200mm high; double leaf door</t>
  </si>
  <si>
    <t>Type DS-18; 1400 x 2200mm high; single leaf door</t>
  </si>
  <si>
    <t>Type ID-09; 2000 x 2400mm high; double leaf door</t>
  </si>
  <si>
    <t>Type GR-007; 1800 x 2140mm</t>
  </si>
  <si>
    <t>Type GR-013a; 1800 x 2140mm</t>
  </si>
  <si>
    <t>Timber doors; building into brick, block concrete walls and gypsum partitions; including frames, ironmongery (measured separately), finishes, architrave, weatherstripping and all necessary fixings and accessories</t>
  </si>
  <si>
    <t>Type ID-01; 1200 x 2200mm high; single leaf door</t>
  </si>
  <si>
    <t>9</t>
  </si>
  <si>
    <t>Type ID-02; 1000 x 2100mm high; single sliding door</t>
  </si>
  <si>
    <t>36</t>
  </si>
  <si>
    <t>Type ID-03; 900 x 2100mm high; single leaf door</t>
  </si>
  <si>
    <t>48</t>
  </si>
  <si>
    <t>Type ID-04; 900 x 2100mm high; single leaf door</t>
  </si>
  <si>
    <t>25</t>
  </si>
  <si>
    <t>Type ID-05; 900 x 2100mm high; single leaf door</t>
  </si>
  <si>
    <t>28</t>
  </si>
  <si>
    <t>Type ID-06; 1200 x 2400mm high; single leaf door</t>
  </si>
  <si>
    <t>Type ID-07; 1200 x 2100mm high; single leaf door</t>
  </si>
  <si>
    <t>Type ID-08; 2000 x 2400mm high; double leaf door</t>
  </si>
  <si>
    <t>Type ID-11; 900 x 2100mm high; single leaf door</t>
  </si>
  <si>
    <t>Rolling shutter; building into brick, block concrete walls and gypsum partitions; including frames, ironmongery, finishes, architrave, weatherstripping and all necessary fixings accessories</t>
  </si>
  <si>
    <t>Type RS-01; 7150 x 7000mm high</t>
  </si>
  <si>
    <t>SCREENS / CURTAIN WALLS</t>
  </si>
  <si>
    <t>2. Facade Specifications dated 28 March 2022</t>
  </si>
  <si>
    <t>Entrance stick curtain walls; FT01; add-on system stick curtain wall with windtruss  beam; aluminum framed with vision glazing type GL-01; including extruded mullion profile, gaskets, thermal insulation, waterproofing membrane, ironmongery, accessories and all ancillary works as necessary</t>
  </si>
  <si>
    <t>Type FT01C; to East entrance stick curtain wall</t>
  </si>
  <si>
    <t>Extra over for Revolving Door; type FT06; size 5652 x 2968 tormax revolving door including mechanism</t>
  </si>
  <si>
    <t>Extra over glass door; double leaf; size 2400 x 3000mm high</t>
  </si>
  <si>
    <t>Type FT01D; to Mediclinic entrance stick curtain wall</t>
  </si>
  <si>
    <t>47</t>
  </si>
  <si>
    <t>Extra over for roll up door with removable Aluminum fin; size 8250 x 6350mm high</t>
  </si>
  <si>
    <t>Type FT01B; to North entrance stick curtain wall with Illuminated Glass</t>
  </si>
  <si>
    <t>MC-02</t>
  </si>
  <si>
    <t>Extra over for glass door; type FT-03; single swing door; size 1020 x 3050mm high</t>
  </si>
  <si>
    <t>Extra over for double sliding door; type FT-05; overall size 7350 x 3200mm high</t>
  </si>
  <si>
    <t>Type FT01A; to South and west entrance stick curtain wall with beam</t>
  </si>
  <si>
    <t>SCREENS / CURTAIN WALLS (Cont´d)</t>
  </si>
  <si>
    <t>Extra over for glass door; type FT-03; single swing door; size 1200 x 3030mm high</t>
  </si>
  <si>
    <t>Extra over for sliding folding door; type FT-05; overall size 5211 x 3030mm high</t>
  </si>
  <si>
    <t>Extra over for sliding folding door; type FT-05; overall size 7000 x 1200mm high</t>
  </si>
  <si>
    <t>Extra over for sliding folding door; type FT-05; overall size 7000 x 3200mm high</t>
  </si>
  <si>
    <t>Extra over for sliding folding door; type FT-05; overall size 7350 x 1200mm high</t>
  </si>
  <si>
    <t>Extra over for sliding folding door; type FT-05; overall size 7350 x 3200mm high</t>
  </si>
  <si>
    <t>Type FT01E; to North east corner</t>
  </si>
  <si>
    <t>Entrance stick curtain wall; FT01; add-on system stick curtain wall with windtruss  beam; aluminum framed with spandrel glass type GL-02; including extruded mullion profile, gaskets, thermal insulation, waterproofing membrane, ironmongery, accessories and all ancillary works as necessary</t>
  </si>
  <si>
    <t>153</t>
  </si>
  <si>
    <t>Aluminum louvers; including horizontal steel brace, vertical secondary steel structure (UC350), fixings, finishes and all ancillary works as necessary</t>
  </si>
  <si>
    <t>Type AL-01; 4130mm high</t>
  </si>
  <si>
    <t>82</t>
  </si>
  <si>
    <t>Type AL-01; 5250mm high</t>
  </si>
  <si>
    <t>White glass opaque interlayers; including frames, gaskets, thermal insulation, waterproofing membrane, ironmongery, accessories and all ancillary works as necessary</t>
  </si>
  <si>
    <t>Type GL-03</t>
  </si>
  <si>
    <t>68</t>
  </si>
  <si>
    <t>Aluminum decorative wall fins; painted; mechanically fixed; including finishes, fixings and all ancillary works as necessary; as Drawing Nr. FA-05103</t>
  </si>
  <si>
    <t>Type AL-02; size 50 x 200mm</t>
  </si>
  <si>
    <t>12,953</t>
  </si>
  <si>
    <t>Type AL-02; size 60 x 450mm</t>
  </si>
  <si>
    <t>935</t>
  </si>
  <si>
    <t>Type AL-02; size 100 x 50mm</t>
  </si>
  <si>
    <t>11,868</t>
  </si>
  <si>
    <t>Type AL-02; size 150 x 50mm</t>
  </si>
  <si>
    <t>616</t>
  </si>
  <si>
    <t>Aluminum sheet cladding; including thermal insulation, weather sealants, fixings and all ancillary works as necessary</t>
  </si>
  <si>
    <t>To walls</t>
  </si>
  <si>
    <t>Extruded aluminum baffle ceiling; including flashing, fixings and all ancillary works as necessary</t>
  </si>
  <si>
    <t>Type FT-10; to east entrance</t>
  </si>
  <si>
    <t>Aluminum composite panel cladding; fire resistant; including flashing, thermal insulation, fixings and all ancillary works as necessary</t>
  </si>
  <si>
    <t>Type MP-02; to walls</t>
  </si>
  <si>
    <t>Type MP-02; to exterior ceiling</t>
  </si>
  <si>
    <t>Type MP-02; to canopy; 1450mm girth</t>
  </si>
  <si>
    <t>Type MP-02; to canopy; 2070mm girth</t>
  </si>
  <si>
    <t>Low rib standing seam system; comprising standing seam roof, GRP soffit cladding; steel structure (measured elsewhere); including insulation, single skin gutter, fixings, supports, waterproofing membrane and all ancillary works as necessary</t>
  </si>
  <si>
    <t>Type FT-07; standing seam roof built-up</t>
  </si>
  <si>
    <t>Type FT-07/CN01; GRP soffit cladding; 9000mm girth</t>
  </si>
  <si>
    <t>EM-73c</t>
  </si>
  <si>
    <t>Type FT-07/CN01; GRP soffit cladding; 18870mm girth</t>
  </si>
  <si>
    <t>Gutter; size 200mm wide x 150mm depth</t>
  </si>
  <si>
    <t>** VE Reference "EM-" denotes items raised by Client in the VE Schedule and "MC-" denotes items raised by Dutco in the VE Schedule</t>
  </si>
  <si>
    <t>IRONMONGERY</t>
  </si>
  <si>
    <t>Ironmongery; for metal doors; including all ancillary works as necessary</t>
  </si>
  <si>
    <t>IRONMONGERY (Cont´d)</t>
  </si>
  <si>
    <t>Ironmongery; for timber doors; including all ancillary works as necessary</t>
  </si>
  <si>
    <t>PATENT GLAZING</t>
  </si>
  <si>
    <t>Metal framed skylights; comprising double glazed unit and aluminum framing; vertical cladding type MP-02; steel structure (measured separately); including gaskets, weather stripping, treatments, fixings and all ancillary works as necessary</t>
  </si>
  <si>
    <t>DGU glass panel; 45mm thick; sloped</t>
  </si>
  <si>
    <t>Vertical aluminum composite panel cladding; type MP-02</t>
  </si>
  <si>
    <t>Pulse skylights; double glazed unit; steel structure (measured separately); including aluminum profile, gaskets, weather stripping, thermal isolator, glass holder, fixings, fire safety line, fall arrest post and all ancillary works as necessary</t>
  </si>
  <si>
    <t>To pulse (measured flat on plan)</t>
  </si>
  <si>
    <t>Recessed glass balustrades; comprising 12+12mm thick laminated glass balustrade with SGP, stainless steel c-rail; including stainless steel capping,  shimming, steel support and all ancillary works as necessary</t>
  </si>
  <si>
    <t>1200mm high; floor mounted</t>
  </si>
  <si>
    <t>301</t>
  </si>
  <si>
    <t>Allow for any other works which are not included above and which are required to complete the Doors and Windows in accordance with the Specification and the drawings (Tenderer to list below):</t>
  </si>
  <si>
    <t>Type RS-01; 7350 x 4300mm high</t>
  </si>
  <si>
    <t>Type RS-01; 9700 x 7300mm high</t>
  </si>
  <si>
    <t>Type RS-02; 2600 x 3000mm high</t>
  </si>
  <si>
    <t>Metal Doors</t>
  </si>
  <si>
    <t>Type DS-04; 1300 x 2140mm high; single leaf door</t>
  </si>
  <si>
    <t>Page 3/H/1</t>
  </si>
  <si>
    <t>Page 3/H/2</t>
  </si>
  <si>
    <t>Page 3/H/3</t>
  </si>
  <si>
    <t>Page 3/H/4</t>
  </si>
  <si>
    <t>Page 3/H/5</t>
  </si>
  <si>
    <t>Page 3/H/6</t>
  </si>
  <si>
    <t>Page 3/H/7</t>
  </si>
  <si>
    <t>Page 3/H/8</t>
  </si>
  <si>
    <t>Page 3/H/9</t>
  </si>
  <si>
    <t>Page 3/H/10</t>
  </si>
  <si>
    <t>Page 3/H/11</t>
  </si>
  <si>
    <t>FINISHES</t>
  </si>
  <si>
    <t>BACKGROUNDS</t>
  </si>
  <si>
    <t>1. Typical Detail Reference No. ID-500 series, A-951 to 953</t>
  </si>
  <si>
    <t>2. Room finishes schedule Reference No. A-820</t>
  </si>
  <si>
    <t>3. Material Schedule G-004</t>
  </si>
  <si>
    <t>4. Drawings listed on Drawing Nr. ID-000 and G-001, all inclusive</t>
  </si>
  <si>
    <t>5. Interior Architectural Specification Document 000110 dated 22 April 2022, all inclusive</t>
  </si>
  <si>
    <t>Sand cement screed; including surface preparation and all ancillary works as necessary</t>
  </si>
  <si>
    <t>Screed; to receive tile</t>
  </si>
  <si>
    <t>Screed; to receive epoxy paint</t>
  </si>
  <si>
    <t>Epoxy screed; including surface preparation and all ancillary works as necessary</t>
  </si>
  <si>
    <t>Type SC-01</t>
  </si>
  <si>
    <t>15</t>
  </si>
  <si>
    <t>Lightweight fill; including all ancillary works as necessary</t>
  </si>
  <si>
    <t>800mm thick; to amphitheater step</t>
  </si>
  <si>
    <t>39</t>
  </si>
  <si>
    <t>500mm thick; to amphitheater step</t>
  </si>
  <si>
    <t>200mm thick; to amphitheater step</t>
  </si>
  <si>
    <t>400mm thick; to paving</t>
  </si>
  <si>
    <t>400mm thick; to paving band</t>
  </si>
  <si>
    <t>BACKGROUNDS (Cont´d)</t>
  </si>
  <si>
    <t>Cement plaster; including surface preparation and all ancillary works as necessary</t>
  </si>
  <si>
    <t>Wall plaster; 15mm thick; to receive tiles</t>
  </si>
  <si>
    <t>Wall plaster; 15mm thick; to receive grp panel</t>
  </si>
  <si>
    <t>Wall plaster; 15mm thick; to receive paint</t>
  </si>
  <si>
    <t>EM-18 EM-20</t>
  </si>
  <si>
    <t>INTERNAL FINISHINGS</t>
  </si>
  <si>
    <t>Static conductive vinyl floor tiles; laid on cement and sand screed (measured separately); including adhesive mortar, grout, joint and edge treatment sealer and all ancillary works as necessary</t>
  </si>
  <si>
    <t>Type VCT-01; 610 x 610 x 2mm thick</t>
  </si>
  <si>
    <t>Skirting; type VCT-01; 100mm high</t>
  </si>
  <si>
    <t>Full bodied anti-slip floor tiles; laid on cement and sand screed (measured separately); including adhesive mortar, grout, joint and edge treatment sealer and all ancillary works as necessary</t>
  </si>
  <si>
    <t>Type PC-01; 9mm thick</t>
  </si>
  <si>
    <t>1,028</t>
  </si>
  <si>
    <t>Skirting; type PC-01</t>
  </si>
  <si>
    <t>1,016</t>
  </si>
  <si>
    <t>Porcelain floor tiles; laid on cement and sand screed (measured separately); including adhesive mortar, grout, joint and edge treatment sealer and all ancillary works as necessary</t>
  </si>
  <si>
    <t>INTERNAL FINISHINGS (Cont´d)</t>
  </si>
  <si>
    <t>Type TL-01/TL-02/TL-03; 10mm thick</t>
  </si>
  <si>
    <t>Type TL-02/TL-03; 10mm thick</t>
  </si>
  <si>
    <t>155</t>
  </si>
  <si>
    <t>Type TL-01; 600x 600 x 10mm thick</t>
  </si>
  <si>
    <t>3,241</t>
  </si>
  <si>
    <t>Type TL-02; 10mm thick</t>
  </si>
  <si>
    <t>1,083</t>
  </si>
  <si>
    <t>Type TL-04; 9mm thick</t>
  </si>
  <si>
    <t>Type TL-05; 10mm thick</t>
  </si>
  <si>
    <t>Type TL-06; 600 x 600 x 10mm thick</t>
  </si>
  <si>
    <t>Type TL-07; 200 x 900 x 10mm thick</t>
  </si>
  <si>
    <t>Type TL-08; 600 x 600 x 10mm thick</t>
  </si>
  <si>
    <t>Type TL-09/TL-10/TL-11</t>
  </si>
  <si>
    <t>Type TL-10; ceramic tile; 600 x 600 x 9.5mm thick</t>
  </si>
  <si>
    <t>Type TL-11; 10mm thick</t>
  </si>
  <si>
    <t>Type TL-13; 10mm thick</t>
  </si>
  <si>
    <t>Type TL-14 10mm thick</t>
  </si>
  <si>
    <t>Skirting; type TL-04; 100mm high</t>
  </si>
  <si>
    <t>Skirting; type TL-07; 100mm high</t>
  </si>
  <si>
    <t>Vertical drain; type TL-01; 160mm high</t>
  </si>
  <si>
    <t>54</t>
  </si>
  <si>
    <t>Carpet floor tiles; laid on cement and sand screed (measured separately); including adhesive mortar, grout, joint and edge treatment sealer and all ancillary works as necessary</t>
  </si>
  <si>
    <t xml:space="preserve">Type CP-01 </t>
  </si>
  <si>
    <t>EM-25</t>
  </si>
  <si>
    <t>Stainless steel skirting; including adhesive, fixings and all ancillary works as necessary</t>
  </si>
  <si>
    <t>Type MT-02; 100mm high; in dark grey color; T22 Onyx Black Grane FPR finish</t>
  </si>
  <si>
    <t>1,167</t>
  </si>
  <si>
    <t>Type MT-03; 100mm high; in bronze color; T22 Quartz Bronze Granex FPR finish</t>
  </si>
  <si>
    <t>Porcelain paving; laid on 30mm thick mortar bed, 100mm thick concrete base, 400mm thick lightweight fill (measured separately); including waterproofing (measured separately), grout, joint and edge treatment and all ancillary works as necessary</t>
  </si>
  <si>
    <t>Paving type P9; timber inspired; size 900L x 225W x 20mm thick; colour to match ID; in anti-slip finish</t>
  </si>
  <si>
    <t>218</t>
  </si>
  <si>
    <t>Paving type P10; timber inspired; size 900L x 225W x 20mm thick; colour to match ID; in anti-slip finish</t>
  </si>
  <si>
    <t>Paving type P11; size 600L x 600W x 20mm thick; beige (TR2661A) colour; in anti-slip finish</t>
  </si>
  <si>
    <t>125</t>
  </si>
  <si>
    <t>Porcelain banding; laid on 30mm thick mortar bed, 100mm thick concrete base, 400mm thick lightweight fill (measured separately); including waterproofing (measured separately), grout, joint and edge treatment and all ancillary works as necessary</t>
  </si>
  <si>
    <t>Banding type E1; size 600L x 150W x 20mm thick; light grey colour to match ID; in anti-slip finish</t>
  </si>
  <si>
    <t>Thin brick wall tiles; render on cement plaster (measured separately); including adhesive mortar, grout, joint and edge treatment sealer and all ancillary works as necessary</t>
  </si>
  <si>
    <t>Type BR-01; 1/2" thick</t>
  </si>
  <si>
    <t>MC-03</t>
  </si>
  <si>
    <t>Porcelain wall tiles; render on cement plaster (measured separately); including adhesive mortar, grout, joint and edge treatment sealer and all ancillary works as necessary</t>
  </si>
  <si>
    <t>Type TL-01; 600 x 600 x 10mm thick</t>
  </si>
  <si>
    <t>Type TL-06; 600 x 300 x 10mm thick</t>
  </si>
  <si>
    <t>Type TL-09; 9.5mm thick</t>
  </si>
  <si>
    <t>4,742</t>
  </si>
  <si>
    <t>TL-10; 600 x 300mm x 9.5mm thick</t>
  </si>
  <si>
    <t>Porcelain wall tiles; including backing, supports, fixings, accessories  and all ancillary works as necessary</t>
  </si>
  <si>
    <t>2,296</t>
  </si>
  <si>
    <t>Type TL-06; 10mm thick</t>
  </si>
  <si>
    <t>Type TL-09; 600 x 300 x 9.5mm thick</t>
  </si>
  <si>
    <t>531</t>
  </si>
  <si>
    <t>Stainless steel wall panel; including supports, fixings and all ancillary works as necessary</t>
  </si>
  <si>
    <t>Type MT-01</t>
  </si>
  <si>
    <t>Type MT-02; 20mm thick; dark grey metal; in T22 onyx black granex FPR finish</t>
  </si>
  <si>
    <t>Type MT-03; 20mm thick; bronze color; in T22 quartz bronze granex FPR finish</t>
  </si>
  <si>
    <t>Type MT-06</t>
  </si>
  <si>
    <t>Type MT-10</t>
  </si>
  <si>
    <t>Skirting; type MT-01</t>
  </si>
  <si>
    <t>84</t>
  </si>
  <si>
    <t>Skirting; type MT-02</t>
  </si>
  <si>
    <t>Glass fiber reinforced gypsum (GRG); including backing, fixings and all ancillary works as necessary</t>
  </si>
  <si>
    <t>Fiberglass reinforced panel (FRP) wainscot; render on cement plaster (measured separately); including all ancillary works as necessary</t>
  </si>
  <si>
    <t>812</t>
  </si>
  <si>
    <t>Modular living wall system; comprising fixed modular planted panels including irrigation drip tubes, drainage gutter, metal supports, accessories and  all ancillary works as necessary</t>
  </si>
  <si>
    <t>Green wall; size 1800 x 6000mm high</t>
  </si>
  <si>
    <t>By Tenant</t>
  </si>
  <si>
    <t>PTC 27</t>
  </si>
  <si>
    <t>Green wall; size 3315 x 6000mm high</t>
  </si>
  <si>
    <t>Green wall; size 3395 x 6000mm high</t>
  </si>
  <si>
    <t>Green wall; to feature staircase</t>
  </si>
  <si>
    <t>Timber ceiling; 3M DI-noc wood; including plywood backing, suspension system, shadow gap, trims, access panels, fixings and all necessary fixings and accessories</t>
  </si>
  <si>
    <t>Type PL-01; ceiling drop varies</t>
  </si>
  <si>
    <t>40</t>
  </si>
  <si>
    <t>MC-11</t>
  </si>
  <si>
    <t>Type PL-01; over 500 but not exceeding 1000mm high</t>
  </si>
  <si>
    <t>835</t>
  </si>
  <si>
    <t>Type PL-01; over 1000 but not exceeding 1500mm high</t>
  </si>
  <si>
    <t>Lightcove; type PL-01; 400mm total girth</t>
  </si>
  <si>
    <t>Lightcove; type PL-01; 400mm total girth; curved</t>
  </si>
  <si>
    <t>3M Di-noc architectural film; including surface preparation and all ancillary works as necessary</t>
  </si>
  <si>
    <t>Type PL-01; to existing gypsum board ceiling</t>
  </si>
  <si>
    <t>602</t>
  </si>
  <si>
    <t>MC-04</t>
  </si>
  <si>
    <t>Type PL-01; to existing gypsum bulkhead</t>
  </si>
  <si>
    <t>119</t>
  </si>
  <si>
    <t>Type PL-01; to gypsum board ceiling</t>
  </si>
  <si>
    <t>3M Di-noc wood; including backing, frames, support and all ancillary works as necessary</t>
  </si>
  <si>
    <t>Type PL-01; to bulkhead</t>
  </si>
  <si>
    <t>Type PL-01; to columns</t>
  </si>
  <si>
    <t>Timber strip; to ceiling; in 3M Di-noc wood; including suspensions, frames, fixings, accessories and all ancillary works as necessary</t>
  </si>
  <si>
    <t>Type PL-01; 30 x 100mm (measured flat on plan)</t>
  </si>
  <si>
    <t>MC-05</t>
  </si>
  <si>
    <t>Type PL-01; 20 x 100mm</t>
  </si>
  <si>
    <t>5,370</t>
  </si>
  <si>
    <t>Stainless steel ceiling panel; including backing, suspension system, shadow gap, trims, access panels, fixings and all necessary fixings and accessories</t>
  </si>
  <si>
    <t>Ceiling; exceeding 500 but not exceeding 1000mm; type MT-01</t>
  </si>
  <si>
    <t>31</t>
  </si>
  <si>
    <t>Ceiling; exceeding 1000 but not exceeding 1500mm; type MT-01</t>
  </si>
  <si>
    <t>8</t>
  </si>
  <si>
    <t>To bulkhead; type MT-01</t>
  </si>
  <si>
    <t>24</t>
  </si>
  <si>
    <t>To bulkhead; type MT-01; curved</t>
  </si>
  <si>
    <t>To bulkhead; type MT-02</t>
  </si>
  <si>
    <t>To bulkhead; type MT-02; curved</t>
  </si>
  <si>
    <t>Cosmetic ceiling; in stainless steel metal mesh; including fixings, supports, accessories and all ancillary works as necessary; as Detail 6 Drawing Nr. ID-502-1</t>
  </si>
  <si>
    <t>Type MT-09; vertical; 1000mm high</t>
  </si>
  <si>
    <t>104</t>
  </si>
  <si>
    <t>Hammered metal ceiling; fixed to gypsum board (measured separately); including, fixing, accessories, finishes and all ancillary works as necessary</t>
  </si>
  <si>
    <t>Type MT-05; over 500 but not exceeding 1000mm</t>
  </si>
  <si>
    <t>245</t>
  </si>
  <si>
    <t>MC-08</t>
  </si>
  <si>
    <t>Type MT-05; over 1000 but not exceeding 1500mm</t>
  </si>
  <si>
    <t>Type MT-05; over 1500 but not exceeding 2000mm</t>
  </si>
  <si>
    <t>White metal panel ceiling; including ceiling suspension system, shadow gap, trims, access panels and all necessary fixings and accessories; as Detail 2 Drawing Nr. ID-512-6</t>
  </si>
  <si>
    <t>Type MT-08; over 1000 but not exceeding 1500mm high</t>
  </si>
  <si>
    <t>Covelight; in stainless steel frame type MT-01; including fixings and all ancillary works as necessary</t>
  </si>
  <si>
    <t>Covelight; to prayer room corridor; size 100 x 120mm; curved</t>
  </si>
  <si>
    <t>172</t>
  </si>
  <si>
    <t>Glass fiber reinforced gypsum (GRFG); to bulkhead; painted (measured separately); including lightcove, accessories, fixings and all ancillary works as necessary</t>
  </si>
  <si>
    <t>GFRG; girth 3200mm</t>
  </si>
  <si>
    <t>GFRG; girth 3200mm; curved</t>
  </si>
  <si>
    <t>60</t>
  </si>
  <si>
    <t>Porcelain tile; to bulkhead; including backing, supports, fixings and all ancillary works as necessary</t>
  </si>
  <si>
    <t>Type TL-01; size 600 x 300mm</t>
  </si>
  <si>
    <t>106</t>
  </si>
  <si>
    <t>Type TL-06; size 600 x 300mm</t>
  </si>
  <si>
    <t>Thin brick tiles; to bulkhead; fixed to existing gypsum; including substrate, fixings, accessories and all ancillary works as necessary</t>
  </si>
  <si>
    <t>Porcelain floor tiles; laid on and including cement and sand screed, adhesive mortar, grout, joint and edge treatment sealer, frames, supports, accessories and all ancillary works as necessary; as Drawing Nr. ID-601-13 detail 08</t>
  </si>
  <si>
    <t>Type TL-13; 10mm thick; to threads</t>
  </si>
  <si>
    <t>Type TL-13; 10mm thick x 105mm high; to riser</t>
  </si>
  <si>
    <t>Type TL-13; 10mm thick x 175mm high; to riser</t>
  </si>
  <si>
    <t>Type TL-13; 10mm thick x 115mm high; to nosing</t>
  </si>
  <si>
    <t>Metallic painted metal; colour white in UC43350 duranar bone white finish; fixed to gypsum board; including fixings, accessories and all ancillary works as necessary; as Drawing Nr. ID-506-1</t>
  </si>
  <si>
    <t>Type MT-08</t>
  </si>
  <si>
    <t>Thin brick tiles; fixed to gypsum board; including substrate, fixings, accessories and all ancillary works as necessary; as Drawing Nr. ID-506-3</t>
  </si>
  <si>
    <t>EXTERNAL FINISHINGS</t>
  </si>
  <si>
    <t>Hammered metal ceiling panel; including flashing, fixings and all ancillary works as necessary</t>
  </si>
  <si>
    <t>Type MC-01</t>
  </si>
  <si>
    <t>Stone wall cladding; natural stone cladding fixed to a support structure by undercut anchors; including all ancillary works as necessary</t>
  </si>
  <si>
    <t xml:space="preserve">Type ST-01; to east drop-off </t>
  </si>
  <si>
    <t>2,553</t>
  </si>
  <si>
    <t>Glass fiber reinforced concrete (GFRC); including steel supports, sfs steel frame, thermal insulation, vapor control layer and all ancillary works as necessary</t>
  </si>
  <si>
    <t>Type CN01</t>
  </si>
  <si>
    <t>GRC panel; to signage (measured separately) ; comprising perforated cladding, metal panel and extruded aluminum frame in type MP-02; including cleat, metal supports, fixings and all ancillary works as necessary</t>
  </si>
  <si>
    <t>Overall size 24775 x 22340mm high</t>
  </si>
  <si>
    <t>MC-13</t>
  </si>
  <si>
    <t>Perforated cladding</t>
  </si>
  <si>
    <t xml:space="preserve">MC-01 </t>
  </si>
  <si>
    <t>Metal panel; type MP-02</t>
  </si>
  <si>
    <t>Deleted</t>
  </si>
  <si>
    <t>Metal frame; type MP-02; 300  x 1500mm</t>
  </si>
  <si>
    <t>Metal frame; type MP-02; 300  x 210mm</t>
  </si>
  <si>
    <t>EXTERNAL FINISHINGS (Cont´d)</t>
  </si>
  <si>
    <t>Glass fiber reinforced plastic (GRP); including steel supports, frames, fixings and all ancillary works as necessary</t>
  </si>
  <si>
    <t>Type CN02; 3200mm girth</t>
  </si>
  <si>
    <t>Glass fiber reinforced polymer; to match CN-02 including steel supports, frames, fixings and all ancillary works as necessary</t>
  </si>
  <si>
    <t>Type CC-03; glass fiber reinforced polymer</t>
  </si>
  <si>
    <t>Metal trims and plates; including all ancillary works as necessary</t>
  </si>
  <si>
    <t>Metal floor trim; 10 x 10mm; type MT-03</t>
  </si>
  <si>
    <t>1,919</t>
  </si>
  <si>
    <t>Coved shaped metal trim; type MT-02; 70mm girth</t>
  </si>
  <si>
    <t>1,659</t>
  </si>
  <si>
    <t>Coved shaped metal trim; type MT-03; 70mm girth</t>
  </si>
  <si>
    <t>260</t>
  </si>
  <si>
    <t>Metal plate; 600 x 600mm</t>
  </si>
  <si>
    <t>30</t>
  </si>
  <si>
    <t>Schluter stainless steel trim; 3mm thick; L-shaped</t>
  </si>
  <si>
    <t>58</t>
  </si>
  <si>
    <t>Schluter stainless steel trim; 5mm thick; L-shaped</t>
  </si>
  <si>
    <t>699</t>
  </si>
  <si>
    <t>5mm thick metal reveal</t>
  </si>
  <si>
    <t>99</t>
  </si>
  <si>
    <t>Metal trim; 10mm thick; type MT-04</t>
  </si>
  <si>
    <t>59</t>
  </si>
  <si>
    <t>Expansion joint; including extruded aluminum center pan, insulation, ss foil heat shield, concrete fill and all ancillary works as necessary; as Detail 1 Drawing Nr. A-961</t>
  </si>
  <si>
    <t>To floors; 350mm wide</t>
  </si>
  <si>
    <t>SUSPENDED CEILINGS</t>
  </si>
  <si>
    <t>1. Drawing Reference Nr. ID-300 series, all inclusive</t>
  </si>
  <si>
    <t>2. Drawing Reference Nr. ID-500 series, all inclusive</t>
  </si>
  <si>
    <t>Gypsum board ceiling; including ceiling suspension system, shadow gap, trims, access panels and all necessary fixings and accessories</t>
  </si>
  <si>
    <t>Ceilings; not exceeding 500mm</t>
  </si>
  <si>
    <t>118</t>
  </si>
  <si>
    <t>Ceilings; drop over 500mm not exceeding 1000mm</t>
  </si>
  <si>
    <t>10,556</t>
  </si>
  <si>
    <t>Ceilings; drop over 1000mm not exceeding 1500mm</t>
  </si>
  <si>
    <t>Ceilings; drop over 1500mm not exceeding 2000mm</t>
  </si>
  <si>
    <t>797</t>
  </si>
  <si>
    <t>Ceilings; drop over 2000mm not exceeding 2500mm</t>
  </si>
  <si>
    <t>403</t>
  </si>
  <si>
    <t>Ceilings; drop over 3000mm not exceeding 3500mm</t>
  </si>
  <si>
    <t>Bulkhead; 50mm high</t>
  </si>
  <si>
    <t>Bulkhead; 50mm high; curved</t>
  </si>
  <si>
    <t>157</t>
  </si>
  <si>
    <t>Bulkhead; 100mm high</t>
  </si>
  <si>
    <t>Bulkhead; 200mm high</t>
  </si>
  <si>
    <t>472</t>
  </si>
  <si>
    <t>Bulkhead; 2800mm high</t>
  </si>
  <si>
    <t>SUSPENDED CEILINGS (Cont´d)</t>
  </si>
  <si>
    <t>Bulkhead; 500mm high</t>
  </si>
  <si>
    <t>51</t>
  </si>
  <si>
    <t>Lightcove; 400mm total girth</t>
  </si>
  <si>
    <t>8,592</t>
  </si>
  <si>
    <t>Lightcove; 400mm total girth; curved</t>
  </si>
  <si>
    <t>5,188</t>
  </si>
  <si>
    <t>Gypsum board ceiling; moisture resistant; including ceiling suspension system, shadow gap, trims, access panels and all necessary fixings and accessories</t>
  </si>
  <si>
    <t>2,527</t>
  </si>
  <si>
    <t>Bulkhead; 60mm high</t>
  </si>
  <si>
    <t>201</t>
  </si>
  <si>
    <t>Bulkhead; 300mm high</t>
  </si>
  <si>
    <t>Bulkhead; 355mm high</t>
  </si>
  <si>
    <t>Bulkhead; 500mm high; curved</t>
  </si>
  <si>
    <t>1,599</t>
  </si>
  <si>
    <t>127</t>
  </si>
  <si>
    <t>Acoustic ceiling tile; including proprietary ceiling suspension system, access panel, aluminum corner bead, accessories, shadow gaps and all ancillary works as necessary</t>
  </si>
  <si>
    <t>Type CT-01</t>
  </si>
  <si>
    <t>Tegular layin ceiling system; in mineral fiber grid ceilings; acoustically treated; semi matt finished; including proprietary ceiling suspension system, access panel, aluminum corner bead, accessories, shadow gaps and all ancillary works as necessary</t>
  </si>
  <si>
    <t>Type MF-01; 600 x 600mm</t>
  </si>
  <si>
    <t>Barrisol ceiling; including finishes, fixings, accessories and all ancillary works as necessary</t>
  </si>
  <si>
    <t>Type BS-01; drop over 500mm not exceeding 1000mm</t>
  </si>
  <si>
    <t>64</t>
  </si>
  <si>
    <t>Type BS-01; drop over 1000mm not exceeding 1500mm</t>
  </si>
  <si>
    <t>181</t>
  </si>
  <si>
    <t>Type BS-01; drop over 1500mm not exceeding 2000mm</t>
  </si>
  <si>
    <t>46</t>
  </si>
  <si>
    <t>DECORATIONS</t>
  </si>
  <si>
    <t>Epoxy paint; including surface preparation, prime, finish coat and all ancillary works as necessary</t>
  </si>
  <si>
    <t>Type EP-01; to floors</t>
  </si>
  <si>
    <t>Type EP-01; to walls</t>
  </si>
  <si>
    <t>Type EP-01; to staircase (steps and riser)</t>
  </si>
  <si>
    <t>140</t>
  </si>
  <si>
    <t>Skirting; type EP-101; 100mm high</t>
  </si>
  <si>
    <t>Polyurethane traffic coating; with resistance up to 60deg.); including surface preparation, prime, finish coat and  all ancillary works as necessary</t>
  </si>
  <si>
    <t>Type PU-01</t>
  </si>
  <si>
    <t>Skirting; type PU-01</t>
  </si>
  <si>
    <t>Paint; in off white finish; on and including AC grade or better void-free 19mm retardant treated plywood, surface preparation, prime, finish coat and  all ancillary works as necessary</t>
  </si>
  <si>
    <t>Type PT-03; to plaster wall</t>
  </si>
  <si>
    <t>DECORATIONS (Cont´d)</t>
  </si>
  <si>
    <t>Paint; including surface preparation, prime, finish coat and all ancillary works as necessary</t>
  </si>
  <si>
    <t>Type PT-01; to plastered walls</t>
  </si>
  <si>
    <t>Type PT-01; to slab soffit</t>
  </si>
  <si>
    <t>Type PT-01; to gypsum ceiling</t>
  </si>
  <si>
    <t>Type PT-01; to bulkhead</t>
  </si>
  <si>
    <t>Type PT-01; to lightcove</t>
  </si>
  <si>
    <t>Type PT-02; to slab soffit</t>
  </si>
  <si>
    <t>Type PT-02; to gypsum ceiling</t>
  </si>
  <si>
    <t>Type PT-06; to plastered wall</t>
  </si>
  <si>
    <t>Type PT-01; to gypsum wall</t>
  </si>
  <si>
    <t>1,836</t>
  </si>
  <si>
    <t>Allow for any other works which are not included above and which are required to complete the Finishes in accordance with the Specification and the drawings (Tenderer to list below):</t>
  </si>
  <si>
    <t>Backgrounds</t>
  </si>
  <si>
    <t>Rush coat to BOH walls in lieu of plaster (VE)</t>
  </si>
  <si>
    <t>TL-14 &amp; TL-10 to column tiles -refer ID-601-13</t>
  </si>
  <si>
    <t>MT-02  wall sides of the BR-01 at shop front area</t>
  </si>
  <si>
    <t>MT-07 &amp; MT-08 AS PER DRAWING ID-504-9 -BULKHEAD including all the fixing accessories and backings- 1m to 1</t>
  </si>
  <si>
    <t>MC-09</t>
  </si>
  <si>
    <t>PL-01 to escalator</t>
  </si>
  <si>
    <t>Type CN-01</t>
  </si>
  <si>
    <t>CC-01 to columns - East</t>
  </si>
  <si>
    <t>CC-02 to columns - West</t>
  </si>
  <si>
    <t>GRG profile to bulkhead not exceeding 1.5m drop at openings</t>
  </si>
  <si>
    <t>Ceilings</t>
  </si>
  <si>
    <t>Supply and installation of acoustic ceiling system -40 mm board with acoustic plaster including all the necessary fixing and metal edge light cove-per the acoustic report</t>
  </si>
  <si>
    <t>Type PT-01; to gypsum wall to skylight well / void from Level 3 up to skylights (A317, A318 and A319)</t>
  </si>
  <si>
    <t>CL-02/CL01 with Painting - Gypsum board exterior</t>
  </si>
  <si>
    <t>Page 3/J/1</t>
  </si>
  <si>
    <t>Page 3/J/2</t>
  </si>
  <si>
    <t>Page 3/J/3</t>
  </si>
  <si>
    <t>Page 3/J/4</t>
  </si>
  <si>
    <t>Page 3/J/5</t>
  </si>
  <si>
    <t>Page 3/J/6</t>
  </si>
  <si>
    <t>Page 3/J/7</t>
  </si>
  <si>
    <t>Page 3/J/8</t>
  </si>
  <si>
    <t>Page 3/J/9</t>
  </si>
  <si>
    <t>Page 3/J/10</t>
  </si>
  <si>
    <t>Page 3/J/11</t>
  </si>
  <si>
    <t>Page 3/J/12</t>
  </si>
  <si>
    <t>Page 3/J/13</t>
  </si>
  <si>
    <t>Page 3/J/14</t>
  </si>
  <si>
    <t>Page 3/J/15</t>
  </si>
  <si>
    <t>Page 3/J/16</t>
  </si>
  <si>
    <t>Page 3/J/17</t>
  </si>
  <si>
    <t>Page 3/J/18</t>
  </si>
  <si>
    <t>Page 3/J/19</t>
  </si>
  <si>
    <t>Page 3/J/20</t>
  </si>
  <si>
    <t>ACCESSORIES</t>
  </si>
  <si>
    <t>PARTITIONS</t>
  </si>
  <si>
    <t>Drywall partition; including metal studs, supports and all ancillary works as necessary</t>
  </si>
  <si>
    <t>Type 3; 150mm thick; to external</t>
  </si>
  <si>
    <t>Type 3; 150mm thick; to internal</t>
  </si>
  <si>
    <t>Wall backing; including lightcove, supports, fixings, accessories  and all ancillary works as necessary; as Detail 3 Drawing Nr. ID-705-4 and ID-509-2</t>
  </si>
  <si>
    <t>Wall backing; to porcelain tiles</t>
  </si>
  <si>
    <t>3,119</t>
  </si>
  <si>
    <t>Wall backing; to grg panels</t>
  </si>
  <si>
    <t>1,089</t>
  </si>
  <si>
    <t>Wall backing; to paint; curved</t>
  </si>
  <si>
    <t>Cubicle partition; metal panel type MT-04, 2150mm high doors in plastic laminate type PL-04; including ironmongery, finishes and all ancillary works as necessary</t>
  </si>
  <si>
    <t>Overall size 1300 x 1800 x 2800mm high: front panel  with 1 Nr. door</t>
  </si>
  <si>
    <t>PARTITIONS (Cont´d)</t>
  </si>
  <si>
    <t>Overall size 2400 x 1800 x 2800mm high: front panel with 1 dividing panel and 2 Nr. doors</t>
  </si>
  <si>
    <t>Overall size 3600 x 1800 x 2800mm high: front panel with 2 dividing panel and 3 Nr. doors</t>
  </si>
  <si>
    <t>Overall size 3610 x 1600x 2800mm high: front panel with 2 dividing panel and 3 Nr. doors</t>
  </si>
  <si>
    <t>Overall size 5050 x 1600x 2800mm high: front panel with 3 dividing panel and 4 Nr. doors</t>
  </si>
  <si>
    <t>Overall size 5065L x 1800 x 2800mm high: front panel with 3 dividing panel and 4 Nr. doors</t>
  </si>
  <si>
    <t>Overall size 6000 x 2800mm high: front panel with 4 dividing panel and 5 Nr. doors</t>
  </si>
  <si>
    <t>Overall size 6030 x 2800mm high: front panel with 4 dividing panel and 5 Nr. doors</t>
  </si>
  <si>
    <t>Overall size 6430 x 2800mm high: front panel with 4 dividing panel and 5 Nr. doors</t>
  </si>
  <si>
    <t>Overall size 6780 x 2800mm high: front panel with 5 dividing panel and 6 Nr. doors</t>
  </si>
  <si>
    <t>Overall size 7900 x 1800 x 2800mm high: front panel with 6 dividing panel and 7 Nr. doors</t>
  </si>
  <si>
    <t>Overall size 8150 x 1800 x 2800mm high: front panel with 6 dividing panel and 7 Nr. doors</t>
  </si>
  <si>
    <t>Overall size 8450 x 2800mm high: front panel with 6 dividing panel and 7 Nr. doors</t>
  </si>
  <si>
    <t>Overall size 9660 x 2800mm high: front panel with 7 dividing panel and 8 Nr. doors</t>
  </si>
  <si>
    <t>Overall size 10780 x 2800mm high: front panel with 8 dividing panel and 9 Nr. doors</t>
  </si>
  <si>
    <t>Overall size 10875L x 2800mm high: front panel with 8 dividing panel and 9 Nr. doors</t>
  </si>
  <si>
    <t>Overall size 10880 x 2800mm high: front panel with 8 dividing panel and 9 Nr. doors</t>
  </si>
  <si>
    <t>Overall size 10890 x 2800mm high: front panel with 8 dividing panel and 9 Nr. doors</t>
  </si>
  <si>
    <t>Overall size 13520 x 1800x x2800mm high: front panel with 10 dividing panel and 11 Nr. doors; L-shaped</t>
  </si>
  <si>
    <t>Cubicle partition; metal panel type MT-04, 2650mm high doors in plastic laminate type PL-04; including ironmongery, finishes and all ancillary works as necessary</t>
  </si>
  <si>
    <t>Overall size 3400 x 1800 x 3000mm high: front panel with 1 dividing panel and 2 Nr. doors</t>
  </si>
  <si>
    <t xml:space="preserve">Urinal partition; back painted glass type GL-02; including frames and all ancillary works as necessary </t>
  </si>
  <si>
    <t>Overall size 400 x 1950mm high</t>
  </si>
  <si>
    <t>90</t>
  </si>
  <si>
    <t>Toilet system partition; phenolic compact board; including 1650mm high doors, ironmongery, finishes and all ancillary works as necessary</t>
  </si>
  <si>
    <t>Overall size 3090 x 1610 x 2400mm high: front panel with 3 dividing panel and 3 Nr. doors</t>
  </si>
  <si>
    <t>Overall size 3230 x 1788 x 2400mm high: front panel with 2 dividing panel and 3 Nr. doors</t>
  </si>
  <si>
    <t>Overall size 4050 x 1600 x 2400mm high: front panel with 3 dividing panel and 4 Nr. doors</t>
  </si>
  <si>
    <t>Overall size 4320 x 1788 x 2400mm high: front panel with 3 dividing panel and 4 Nr. doors</t>
  </si>
  <si>
    <t>SANITARY ACCESSORIES</t>
  </si>
  <si>
    <t>1. Interior Sanitaryware and Accessories Schedule</t>
  </si>
  <si>
    <t>Sanitary accessories: fixed to tiled or plastered concrete or blockwork: including all connections and supports and sealing around with silicone-based sealants all ancillary works as necessary</t>
  </si>
  <si>
    <t>Type I-SD-01; touchless sensor soap dispenser</t>
  </si>
  <si>
    <t>249</t>
  </si>
  <si>
    <t>Type I-PD-01; surface-mounted toilet paper</t>
  </si>
  <si>
    <t>271</t>
  </si>
  <si>
    <t>Type I-PD-02; paper dispenser with waste receptacle</t>
  </si>
  <si>
    <t>Type I-SV-01; recessed napkin/tampon vendor</t>
  </si>
  <si>
    <t>Type I-SV-01; recessed napkin/tampon vendor (RATE ONLY)</t>
  </si>
  <si>
    <t>Type I-HD-01; ada recessed hand dryer</t>
  </si>
  <si>
    <t>Type I-RH-01; robe hook</t>
  </si>
  <si>
    <t>Type I-FD-01; floor drain (linear)</t>
  </si>
  <si>
    <t>488</t>
  </si>
  <si>
    <t>Type I-FD-02; floor drain (square)</t>
  </si>
  <si>
    <t>Type I-GB-01; straight grab rail</t>
  </si>
  <si>
    <t>Type I-GB-02; 90deg angular grab rail</t>
  </si>
  <si>
    <t>Type I-GB-03; hinged grab rail</t>
  </si>
  <si>
    <t>Type I-CT-01; baby changing station</t>
  </si>
  <si>
    <t>43</t>
  </si>
  <si>
    <t>SANITARY ACCESSORIES (Cont´d)</t>
  </si>
  <si>
    <t>Mirror; 450mm wide x 1040mm high with mirror frame type MT-02</t>
  </si>
  <si>
    <t>Mirror; 500mm wide x 860mm high</t>
  </si>
  <si>
    <t>Mirror; 600mm wide x 1050mm high with mirror frame type MT-02; oval shaped</t>
  </si>
  <si>
    <t>177</t>
  </si>
  <si>
    <t>Mirror; 2070mm wide x 990mm high</t>
  </si>
  <si>
    <t xml:space="preserve">Mirror; 2070mm wide x 990mm high </t>
  </si>
  <si>
    <t xml:space="preserve">Ledge; 20mm thick  solid surface; including fixings and all ancillary works as necessary </t>
  </si>
  <si>
    <t>Type SS-01; 200mm wide</t>
  </si>
  <si>
    <t>263</t>
  </si>
  <si>
    <t>Type SS-02; 200mm wide</t>
  </si>
  <si>
    <t>Ablution seating; including structure, frames, finishes and all ancillary works as necessary</t>
  </si>
  <si>
    <t>Overall size 400 x 650 x 540mm high</t>
  </si>
  <si>
    <t>29</t>
  </si>
  <si>
    <t>Extra over for porcelain tile; type TL-01</t>
  </si>
  <si>
    <t>32</t>
  </si>
  <si>
    <t>INTERNAL LANDSCAPING</t>
  </si>
  <si>
    <t>Note: Please refer to the following:</t>
  </si>
  <si>
    <t>1. V0195-100 DD Al Khail Avenue Specifications</t>
  </si>
  <si>
    <t>2. Soft landscape plan drawing nr. V0195-TVS-ZZ-GF-DR-L-505 &amp; V0195-TVS-ZZ-GF-DR-L-506  510 &amp; 511</t>
  </si>
  <si>
    <t>3. Ground floor typical planting detail on slab drawing nr. V0195- TVS- ZZ- XX- DR- L- 923</t>
  </si>
  <si>
    <t>Planting soil mix; including all ancillary works as necessary</t>
  </si>
  <si>
    <t>300mm depth; to groundcovers and climbers on slab</t>
  </si>
  <si>
    <t>450mm depth; to shrubs on slab</t>
  </si>
  <si>
    <t>2000mm depth; to palm pits on slab</t>
  </si>
  <si>
    <t>1,680</t>
  </si>
  <si>
    <t>Screed; including all ancillary works as necessary</t>
  </si>
  <si>
    <t>To shrubs, groundcovers and climbers; on slab</t>
  </si>
  <si>
    <t>Drainage cell wrapped in geotextile membrane; including all ancillary works as necessary</t>
  </si>
  <si>
    <t>30mm thick;  to shrubs, groundcovers and climbers on slab</t>
  </si>
  <si>
    <t>Compacted organic bark mulch; including all ancillary works as necessary</t>
  </si>
  <si>
    <t>75mm thick; to shrubs, groundcovers and climbers on slab</t>
  </si>
  <si>
    <t>75mm thick; to palms on slab</t>
  </si>
  <si>
    <t>INTERNAL LANDSCAPING (Cont´d)</t>
  </si>
  <si>
    <t>Palm trees; including additional earthworks, fertilizer all ancillary works as necessary</t>
  </si>
  <si>
    <t>CY; Cyathea spinulosa; overall height of 4.0m, spread 3.0m</t>
  </si>
  <si>
    <t>DTS; Dypsis lutescens; overall height of 6.0m, clear trunk 5.0m single stem, spread 3.0m</t>
  </si>
  <si>
    <t>DTM; Dypsis lutescens; overall height of 6.0m, clear trunk 5.0m multi stem with min. 3 breaks, spread 3.0m</t>
  </si>
  <si>
    <t>Aquatic plants; including additional earthworks, fertilizer and all ancillary works as necessary</t>
  </si>
  <si>
    <t>CA; Cyperus alternifolius; overall height of 0.30-0.40m, spread 0.30-.40m</t>
  </si>
  <si>
    <t>CA; Cyperus alternifolius; overall height of 0.30-0.40m, spread 0.30-.40m (RATE ONLY)</t>
  </si>
  <si>
    <t>CY; Cyperus papyrus; overall height of 0.30-0.40m, spread 0.30-.40m</t>
  </si>
  <si>
    <t>CY; Cyperus papyrus; overall height of 0.30-0.40m, spread 0.30-.40m (RATE ONLY)</t>
  </si>
  <si>
    <t>Shrubs; including additional earthworks, fertilizer and all ancillary works as necessary</t>
  </si>
  <si>
    <t>ANT and; Anthurium andraeanum; overall height of 0.5m, spread 0.3, spacing 0.4m</t>
  </si>
  <si>
    <t>MON del; Monstera Deliciosa; overall height of 0.5m, spread 0.3, spacing 0.4m</t>
  </si>
  <si>
    <t>RHA exe; Rhaphis exelsa; overall height of 0.6m, spread 0.6, spacing 0.5m</t>
  </si>
  <si>
    <t>334</t>
  </si>
  <si>
    <t>SPA sen; Spathiphyllum sensation; overall height of 0.5m, spread 0.5, spacing 0.5m</t>
  </si>
  <si>
    <t>SPA wal; Spathiphyllum wallisii; overall height of 0.6m, spread 0.4, spacing 0.5m</t>
  </si>
  <si>
    <t>ZAM fur; Zamia furfuracea; overall height of 0.5m, spread 0.4, spacing 0.4m</t>
  </si>
  <si>
    <t>Grass, groundcovers and climbers; including additional earthworks, fertilizer and all ancillary works as necessary</t>
  </si>
  <si>
    <t>AGL com; Aglaonema commutatum; overall height of 0.15m, spread 0.2, spacing 0.3m</t>
  </si>
  <si>
    <t>ALC imp; Alcantarea imperialis; overall height of 0.15m, spread 0.2, spacing 0.3m</t>
  </si>
  <si>
    <t>EPI aur; Epipremnum aureum; overall height of 0.6m, spread 0.4, spacing 0.4m</t>
  </si>
  <si>
    <t>GUZ lin; Guzmania lingulata; overall height of 0.15m, spread 0.2, spacing 0.3m</t>
  </si>
  <si>
    <t>MIM pud; Mimosa pudica; overall height of 0.15m, spread 0.2, spacing 0.3m</t>
  </si>
  <si>
    <t>PTE aqu; Pteridium aquilinum; overall height of 0.15m, spread 0.2, spacing 0.3m</t>
  </si>
  <si>
    <t>Sundries</t>
  </si>
  <si>
    <t>Proprietary platipus anchoring system; including all ancillary works as necessary</t>
  </si>
  <si>
    <t>To trees and palms</t>
  </si>
  <si>
    <t>Non-woven geotextile membrane 160N; including all ancillary works as necessary</t>
  </si>
  <si>
    <t>Thermal insulation; including all ancillary works as necessary</t>
  </si>
  <si>
    <t>Laid horizontally; to planters</t>
  </si>
  <si>
    <t>284</t>
  </si>
  <si>
    <t>Laid vertically; to planters</t>
  </si>
  <si>
    <t>422</t>
  </si>
  <si>
    <t>Waterproofing membrane; including all ancillary works as necessary</t>
  </si>
  <si>
    <t>Bespoke modular reconstituted stone walls; white colour; in honed finish; including finishes, concrete footing, shuttering, reinforcement, excavation, disposal, backfilling, blinding, subbase, strip light cove (measured elsewhere), waterproofing, fixings, accessories and all ancillary works as necessary; as Detail 3 Drawing Nr. V0195-TVS-ZZ-XX-DR-L-908</t>
  </si>
  <si>
    <t>Wall type W3; 200mm wide x 645 - 1095mm high; to planters; curved</t>
  </si>
  <si>
    <t>Bespoke modular radial reconstituted stone low walls; white colour; in honed finish; including  finishes, concrete footing, shuttering, reinforcement, excavation, disposal, backfilling, blinding, subbase, strip light cove (measured elsewhere), SS316L anchoring pin with epoxy, fixings, waterproofing, accessories and all ancillary works as necessary; as Detail 6 Drawing Nr. V0195-TVS-ZZ-XX-DR-L-908</t>
  </si>
  <si>
    <t>Wall type W4; 200mm wide x 200mm high; straight</t>
  </si>
  <si>
    <t>Wall type W4; 200mm wide x 200mm high; curved</t>
  </si>
  <si>
    <t>Bespoke modular radial reconstituted stone amphitheater steps; white colour; in honed finish; including finishes, fixed to concrete wall, strip light cove (measured elsewhere), SS316L anchoring pin with epoxy, fixings, waterproofing, accessories and all ancillary works as necessary; as Detail 6 Drawing Nr. V0195-TVS-ZZ-XX-DR-L-905</t>
  </si>
  <si>
    <t>Seating type S1; 300mm wide x 300mm high; curved</t>
  </si>
  <si>
    <t>Concrete wall; 100mm thick; including shuttering and reinforcement</t>
  </si>
  <si>
    <t>Concrete wall; 150mm thick; including shuttering and reinforcement</t>
  </si>
  <si>
    <t>SIGNAGE AND WAYFINDINGS</t>
  </si>
  <si>
    <t>1. 100% Detailed Design - EGD, Project Sign Type Family Sheet No. G-2</t>
  </si>
  <si>
    <t>Exterior Signage</t>
  </si>
  <si>
    <t>Building mounted signage; comprising aluminum with acrylic faces, internal structure and LED illumination including ancillary works; as Sheet G-5- Exterior / Site Signage Location Plan</t>
  </si>
  <si>
    <t>Type e01; building project ID primary; size 6000 x 94400 x 1000mm</t>
  </si>
  <si>
    <t>Nr</t>
  </si>
  <si>
    <t>Type e02; building project ID secondary; size 6000 x 30000 x 500mm</t>
  </si>
  <si>
    <t>Type e05; primary entrance ID; size 3400 x 6000 x 500mm</t>
  </si>
  <si>
    <t>Floor mounted signage; comprising aluminum with concrete base, internal structure and LED illumination including ancillary works; as Sheet G-5- Exterior / Site Signage Location Plan</t>
  </si>
  <si>
    <t>Type e04; site pylon ID vehicular; size 6000 x 900 x 500mm</t>
  </si>
  <si>
    <t>Type e06; site marker; size 2000 x 4400mm</t>
  </si>
  <si>
    <t>Directional signage; as described in the specification; as Sheet G-13 and G-14 Highway Plan Signage Location Plan</t>
  </si>
  <si>
    <t>Type v01; highway directional signs (by Others)</t>
  </si>
  <si>
    <t>By Others</t>
  </si>
  <si>
    <t>SIGNAGE AND WAYFINDINGS (Cont´d)</t>
  </si>
  <si>
    <t>Floor mounted signage; comprising aluminum panel, frame, base, retro-reflective graphic, including ancillary works complete as described in the specification; as Sheet G-5- Exterior / Site Signage Location Plan</t>
  </si>
  <si>
    <t>Type v02; primary roadway directional signs; size H: 1800mm (panel), Post: 3000mm, W: 1200mm (panel), D: 150mm</t>
  </si>
  <si>
    <t>Type v03; amenity ID / passenger drop-off signs; size 2400 x 750 x 100mm</t>
  </si>
  <si>
    <t>Type s04; exterior directional signs; size 3000 x 1800mm</t>
  </si>
  <si>
    <t>Type s05; exterior directory; size 2500 x 900 x 300mm</t>
  </si>
  <si>
    <t>Wall mounted signage; comprising aluminum panel with acrylic faces, internal structure including ancillary works complete as described in the specification; as Sheet G-5- Exterior / Site Signage Location Plan</t>
  </si>
  <si>
    <t>Type s06; blade ID; size 500 x 300 x 50mm</t>
  </si>
  <si>
    <t>Wall mounted signage; comprising  aluminum sign cabinet with internal structure and push-through acrylic letters and graphics with internal LED illumination including ancillary works complete as described in the specification; as Sheet G-5- Exterior / Site Signage Location Plan</t>
  </si>
  <si>
    <t>Type p01; parking entry / exit ID; size 700 x 3800 x 300mm</t>
  </si>
  <si>
    <t>Suspended signage; comprising double-sided sign panel with acrylic faces, internal structure including ancillary works complete as described in the specification; as Sheet G-5- Exterior / Site Signage Location Plan</t>
  </si>
  <si>
    <t>Type s07; escalator elevator ID; size 300 x 2400 x 100mm</t>
  </si>
  <si>
    <t>Interior Signage</t>
  </si>
  <si>
    <t>Suspended signage; comprising double-sided sign panel with acrylic faces, internal structure including ancillary works complete as described in the specification; as Sheet G-6 Ground Floor Signage Location Plan to Sheet G-8 L2 Signage Location Plan</t>
  </si>
  <si>
    <t>Type i01; overhead directional primary; 1000 x 3600 x 100mm</t>
  </si>
  <si>
    <t>Wall mounted signage; comprising  aluminum sign cabinet with internal structure and push-through acrylic letters and graphics with internal LED illumination including ancillary works complete as described in the specification; as Sheet G-6 Ground Floor Signage Location Plan to Sheet G-8 L2 Signage Location Plan</t>
  </si>
  <si>
    <t>Type i03; blade ID; size 600 x 600 x 50mm</t>
  </si>
  <si>
    <t>Floor mounted signage; comprising aluminum cabinet with internal digital displays on both faces, with protective tempered glass faces, internal structure and LED illumination including ancillary works; as Sheet G-6 Ground Floor Signage Location Plan to Sheet G-8 L2 Signage Location Plan</t>
  </si>
  <si>
    <t>Type i04; interior directory; 2540 x 1100 x 150mm</t>
  </si>
  <si>
    <t>17</t>
  </si>
  <si>
    <t>Floor mounted signage; comprising aluminum cabinet with internal digital displays on both faces, with protective tempered glass faces, internal structure and LED illumination including ancillary works; as Sheet G-6 Ground Floor Signage Location Plan</t>
  </si>
  <si>
    <t>Type i05; escalator level ID; 1500 x 410 x 100mm</t>
  </si>
  <si>
    <t>Wall mounted signage; comprising  aluminum sign panel, internal structure including ancillary works complete as described in the specification; as Sheet G-6 Ground Floor Signage Location Plan to Sheet G-8 L2 Signage Location Plan</t>
  </si>
  <si>
    <t>Type i06; vertical transportation lobby ID; size 450 x 3000 x 100mm</t>
  </si>
  <si>
    <t>Type i08; elevator level ID; size 750 x 450 x 20mm</t>
  </si>
  <si>
    <t>21</t>
  </si>
  <si>
    <t>Type i09; amenity room ID; size 230 x 230 x 10mm</t>
  </si>
  <si>
    <t>Type i10; wall directional; size 450 x 920 x 50mm</t>
  </si>
  <si>
    <t>Signage applied directly to wall; comprising digitally printed wall graphic; complete as described in the specification; as Sheet G-6 Ground Floor Signage Location Plan to Sheet G-8 L2 Signage Location Plan</t>
  </si>
  <si>
    <t>Type i07; elevator graphic; size 2750 x 2375mm</t>
  </si>
  <si>
    <t>Desk mounted signage; comprising  aluminum sign cabinet with internal structure and push-through acrylic letters and graphics with internal LED illumination including ancillary works complete as described in the specification; as Sheet G-6 Ground Floor Signage Location Plan</t>
  </si>
  <si>
    <t>Type i11; information desk; size 200 x 1000 x 100mm</t>
  </si>
  <si>
    <t>LED Screen including fixing, accessories, supports and all ancillary works as necessary</t>
  </si>
  <si>
    <t>LED screens; to soffit of pods</t>
  </si>
  <si>
    <t>Refer to page 3/R/60 item A</t>
  </si>
  <si>
    <t>Allow for any other works which are not included above and which are required to complete the Accessories in accordance with the Specification and the drawings (Tenderer to list below):</t>
  </si>
  <si>
    <t>Wall backing; including lightcove, supports, fixings, accessories  and all ancillary works as necessary</t>
  </si>
  <si>
    <t>Wall backing; to paint; curved to skylight well / void from Level 3 up to skylights (A317, A318 and A319)</t>
  </si>
  <si>
    <t>Page 3/K/1</t>
  </si>
  <si>
    <t>Page 3/K/2</t>
  </si>
  <si>
    <t>Page 3/K/3</t>
  </si>
  <si>
    <t>Page 3/K/4</t>
  </si>
  <si>
    <t>Page 3/K/5</t>
  </si>
  <si>
    <t>Page 3/K/6</t>
  </si>
  <si>
    <t>Page 3/K/7</t>
  </si>
  <si>
    <t>Page 3/K/8</t>
  </si>
  <si>
    <t>Page 3/K/9</t>
  </si>
  <si>
    <t>Page 3/K/10</t>
  </si>
  <si>
    <t>Page 3/K/11</t>
  </si>
  <si>
    <t>Page 3/K/12</t>
  </si>
  <si>
    <t>Page 3/K/13</t>
  </si>
  <si>
    <t>Page 3/K/14</t>
  </si>
  <si>
    <t>Page 3/K/15</t>
  </si>
  <si>
    <t>Page 3/K/16</t>
  </si>
  <si>
    <t>FURNISHINGS</t>
  </si>
  <si>
    <t>LOOSE FURNITURE</t>
  </si>
  <si>
    <t>Loose furniture; including all ancillary works as necessary</t>
  </si>
  <si>
    <t>To Garden walk</t>
  </si>
  <si>
    <t>Type I-BA-01: banquette seating</t>
  </si>
  <si>
    <t>Type I-CH-01: lounge chair</t>
  </si>
  <si>
    <t>Type I-CH-02: armchair</t>
  </si>
  <si>
    <t>27</t>
  </si>
  <si>
    <t>Type I-SO-01: sofa</t>
  </si>
  <si>
    <t>Type I-TA-01: side table</t>
  </si>
  <si>
    <t>To Pulse</t>
  </si>
  <si>
    <t>Type I-BN-01: swing bench</t>
  </si>
  <si>
    <t>Type I-SO-02: three-seater sofa</t>
  </si>
  <si>
    <t>Type I-CH-03: armchair</t>
  </si>
  <si>
    <t>35</t>
  </si>
  <si>
    <t>Type I-CH-04: armchair</t>
  </si>
  <si>
    <t>44</t>
  </si>
  <si>
    <t>Type I-TA-02: side table</t>
  </si>
  <si>
    <t>49</t>
  </si>
  <si>
    <t>Type I-TA-03: side table</t>
  </si>
  <si>
    <t>Type I-PL-02: planter</t>
  </si>
  <si>
    <t>22</t>
  </si>
  <si>
    <t>To Retail Zone A</t>
  </si>
  <si>
    <t>Type I-SO-03: sofa</t>
  </si>
  <si>
    <t>Type I-CH-05: lounge chair</t>
  </si>
  <si>
    <t>Type I-TA-04: side table</t>
  </si>
  <si>
    <t>LOOSE FURNITURE (Cont´d)</t>
  </si>
  <si>
    <t>Type I-PL-03: planter</t>
  </si>
  <si>
    <t>To Retail Zone B</t>
  </si>
  <si>
    <t>Type I-BN-02: bench seating</t>
  </si>
  <si>
    <t>Type I-CH-06: lounge chair</t>
  </si>
  <si>
    <t>Type I-CH-07: lounge chair</t>
  </si>
  <si>
    <t>Type I-CH-08: high chair</t>
  </si>
  <si>
    <t>Type I-TA-05: coffee table</t>
  </si>
  <si>
    <t>Type I-TA-06: side table</t>
  </si>
  <si>
    <t>Type I-TA-07: community table</t>
  </si>
  <si>
    <t>Type I-PL-04: planter</t>
  </si>
  <si>
    <t>To East food cluster</t>
  </si>
  <si>
    <t>Type I-BA-02: banquette seating</t>
  </si>
  <si>
    <t>Type I-CH-09: chair</t>
  </si>
  <si>
    <t>Type I-CH-10: loose stool chair</t>
  </si>
  <si>
    <t>Type I-CH-11: seating cushion</t>
  </si>
  <si>
    <t>To Nursery</t>
  </si>
  <si>
    <t>Type I-CH-12: armchair</t>
  </si>
  <si>
    <t>Type I-TA-08: side table</t>
  </si>
  <si>
    <t>To other areas</t>
  </si>
  <si>
    <t>Type I-BA-03: bench seating</t>
  </si>
  <si>
    <t>Type I-WB-01: waste bin</t>
  </si>
  <si>
    <t>19</t>
  </si>
  <si>
    <t>Type I-WB-02: recycling &amp; waste bin</t>
  </si>
  <si>
    <t>Planter</t>
  </si>
  <si>
    <t>65</t>
  </si>
  <si>
    <t>LANDSCAPE FURNITURE</t>
  </si>
  <si>
    <t>1. Landscape Detailed Design Report dated 11 April 2022</t>
  </si>
  <si>
    <t>2. Drawing listed in Reference Nr. V0195-TVS-ZZ-XX-DR-L-001, all inclusive</t>
  </si>
  <si>
    <t>Site furnishings; including all ancillary works as necessary</t>
  </si>
  <si>
    <t>IF1: Handrail; 900mm high</t>
  </si>
  <si>
    <t>IF1: Handrail; curved; 900mm high</t>
  </si>
  <si>
    <t>146</t>
  </si>
  <si>
    <t>IF2: Litter bins</t>
  </si>
  <si>
    <t>IF3: Precast concrete timber clad bench; 650mm wide</t>
  </si>
  <si>
    <t>IF3: Precast concrete timber clad bench; 760mm wide</t>
  </si>
  <si>
    <t>IF4: Recycle bins</t>
  </si>
  <si>
    <t>Allow for any other works which are not included above and which are required to complete the Furnishings in accordance with the Specification and the drawings (Tenderer to list below):</t>
  </si>
  <si>
    <t>Page 3/M/1</t>
  </si>
  <si>
    <t>Page 3/M/2</t>
  </si>
  <si>
    <t>Page 3/M/3</t>
  </si>
  <si>
    <t>Page 3/M/4</t>
  </si>
  <si>
    <t>Page 3/M/5</t>
  </si>
  <si>
    <t>SPECIAL CONSTRUCTION</t>
  </si>
  <si>
    <t>WATER FEATURES</t>
  </si>
  <si>
    <t>Granite paving; including epoxy adhesive, joint and edge treatment and all ancillary works as necessary</t>
  </si>
  <si>
    <t>Paving type WF2; size 600L x 600W x 30mm thick; dark grey colour; in polished finish</t>
  </si>
  <si>
    <t>Granite cladding; including epoxy adhesive, joint and edge treatment  and all ancillary works as necessary</t>
  </si>
  <si>
    <t>Cladding type WF3; 20mm thick; dark grey colour; in polished finish</t>
  </si>
  <si>
    <t>Basin tiling; including epoxy adhesive, joint and edge treatment and all ancillary works as necessary</t>
  </si>
  <si>
    <t>Tiling type WF4; 20mm thick; sukabumi basalt colour; in riven finish</t>
  </si>
  <si>
    <t>Internal waterproofing; including all ancillary works as necessary</t>
  </si>
  <si>
    <t>To floors</t>
  </si>
  <si>
    <t>186</t>
  </si>
  <si>
    <t>Concrete base; including concrete, shuttering, reinforcement, waterproofing, fixings and all ancillary works as necessary</t>
  </si>
  <si>
    <t>To water feature</t>
  </si>
  <si>
    <t>WATER FEATURES (Cont´d)</t>
  </si>
  <si>
    <t>Allow water supply for garden walk water features; including pipes, fittings, accessories and all ancillary works as necessary</t>
  </si>
  <si>
    <t>Allow water feature equipment</t>
  </si>
  <si>
    <t>Refer to 3/N/3</t>
  </si>
  <si>
    <t>Allow for any other works which are not included above and which are required to complete the Special Construction in accordance with the Specification and the drawings (Tenderer to list below):</t>
  </si>
  <si>
    <t>Water Features</t>
  </si>
  <si>
    <t>Garden Walk (Internal)</t>
  </si>
  <si>
    <t>Water Feature 01 - Cascade Water Feature</t>
  </si>
  <si>
    <t>Water Feature 02 - Plant Pond</t>
  </si>
  <si>
    <t>Water Feature 03 - Cascade Water Feature</t>
  </si>
  <si>
    <t>Water Feature 04 - Plant Pond</t>
  </si>
  <si>
    <t>Water Feature 05 - Cascade Water Feature</t>
  </si>
  <si>
    <t>Water Feature 06 - Cascade Water Feature</t>
  </si>
  <si>
    <t>Water Feature 07A &amp; 7B - Plant Pond</t>
  </si>
  <si>
    <t>Water Feature 08 - Cascade Water Feature</t>
  </si>
  <si>
    <t>Water Feature 09 - Cascade Water Feature</t>
  </si>
  <si>
    <t>External</t>
  </si>
  <si>
    <t>Outdoor Water Feature - Nozzles Water Feature</t>
  </si>
  <si>
    <t>Page 3/N/1</t>
  </si>
  <si>
    <t>Page 3/N/2</t>
  </si>
  <si>
    <t>Page 3/N/3</t>
  </si>
  <si>
    <t>CONVEYING SYSTEMS</t>
  </si>
  <si>
    <t>LIFTS</t>
  </si>
  <si>
    <t>1. Drawing Nr. VT-001,002 and VT-101 to 129</t>
  </si>
  <si>
    <t>2. Drawing Reference Nr. ID-700 series, all inclusive</t>
  </si>
  <si>
    <t xml:space="preserve">MRL Duplex type Passenger Elevator; including elevator car, traction motor, wire ropes, door controls, door sensors, rails, control panels, lighting fixtures, wirings, conduits, intercommunication system, counter weight, hauling, hoisting  and all ancillary works as necessary </t>
  </si>
  <si>
    <t>Ref. PE-M-17.1 &amp; 2 - 1600kgs/21 persons capacity, 1.60m/s speed, 6 stops / 6 openings</t>
  </si>
  <si>
    <t xml:space="preserve">MRL Group type Passenger / Trolley Elevator; including elevator car, traction motor, wire ropes, door controls, door sensors, rails, control panels, lighting fixtures, wirings, conduits, intercommunication system, counter weight, hauling, hoisting  and all ancillary works as necessary </t>
  </si>
  <si>
    <t>Ref. PE-M-18, 19 and 20 - 4000kgs / 53 persons capacity, 1m/s speed, 5 stops / 5 openings</t>
  </si>
  <si>
    <t>Ref. PE-M-21and 22 - 4000kgs / 53 persons capacity, 1m/s speed, 7 stops / 7 openings</t>
  </si>
  <si>
    <t>LIFTS (Cont´d)</t>
  </si>
  <si>
    <t xml:space="preserve">MRL Simplex type Service Elevator; including elevator car, traction motor, wire ropes, door controls, door sensors, rails, control panels, lighting fixtures, wirings, conduits, intercommunication system, counter weight, hauling, hoisting  and all ancillary works as necessary </t>
  </si>
  <si>
    <t>Ref. SE-M-08 - 2000kgs/21 persons capacity, 1m/s speed, 4 stops / 4 openings</t>
  </si>
  <si>
    <t>Ref. SE-M-09 - 2000kgs/21 persons capacity, 1m/s speed, 6 stops / 6 openings</t>
  </si>
  <si>
    <t>Ref. SE-M-10 - 2000kgs/21 persons capacity, 1m/s speed, 4 stops / 4 openings</t>
  </si>
  <si>
    <t>Ref. SE-M-11 - 2500kgs/33 persons capacity, 1m/s speed, 2 stops / 2 openings</t>
  </si>
  <si>
    <t>Finishings; to lift cars for A, B and C; including fixing, fittings, accessories and all ancillary works as necessary</t>
  </si>
  <si>
    <t>Floor tile; type TL-01; 500 x 500mm</t>
  </si>
  <si>
    <t>Stainless steel wall panel; type MT-01</t>
  </si>
  <si>
    <t>Bumper rail; 20 x 60mm; type MT-02; L-shaped</t>
  </si>
  <si>
    <t>Stainless steel wall panel; type MT-06</t>
  </si>
  <si>
    <t>3M Di-noc wood; to walls; type PL-01</t>
  </si>
  <si>
    <t>Stainless steel skirting; type MT-01</t>
  </si>
  <si>
    <t>Barissol ceiling; type BS-01</t>
  </si>
  <si>
    <t>Gypsum ceiling board</t>
  </si>
  <si>
    <t>Gypsum wall board</t>
  </si>
  <si>
    <t>Lightcove; 370mm girth</t>
  </si>
  <si>
    <t>Paint to gypsum ceiling; type PT-01</t>
  </si>
  <si>
    <t>Finishings; to lift cars for D; including fixing, fittings, accessories and all ancillary works as necessary</t>
  </si>
  <si>
    <t>Floor tile; type TL-06; 500 x 500mm</t>
  </si>
  <si>
    <t>Stainless steel wall panel; type MT-02</t>
  </si>
  <si>
    <t>32.00</t>
  </si>
  <si>
    <t>Stainless steel wall panel; type MT-10</t>
  </si>
  <si>
    <t>31.00</t>
  </si>
  <si>
    <t>Stainless steel skirting; type MT-02</t>
  </si>
  <si>
    <t>Lightcove; 300mm girth</t>
  </si>
  <si>
    <t>ESCALATORS</t>
  </si>
  <si>
    <t>1. Drawing Nr. VT-001,002 and VT-101 TO 129</t>
  </si>
  <si>
    <t xml:space="preserve">Indoor type Escalator Unit; complete with VVVF motor, steps, balustrades, handrails, demarcations, skirtings, rails, landing plates, lighting fixtures, sensors, emergency stop buttons, switches, drive chain, step up trust device, control panels, wirings, conduits, and all ancillary works as necessary </t>
  </si>
  <si>
    <t>Ref. Z5-G-E1 and E2 - 0.50m/s, speed, 30 degrees inclination, step width 1000mm</t>
  </si>
  <si>
    <t>Ref. Z5-1-E1 and E2 - 0.50m/s, speed, 30 degrees inclination, step width 1000mm</t>
  </si>
  <si>
    <t>Ref. Z6-G-E1 and E2 - 0.50m/s, speed, 30 degrees inclination, step width 1000mm</t>
  </si>
  <si>
    <t>Ref. Z6-1-E1 and E2 - 0.50m/s, speed, 30 degrees inclination, step width 1000mm</t>
  </si>
  <si>
    <t xml:space="preserve">Indoor type Travolator Unit; complete with VVVF motor, steps, balustrades, handrails, demarcations, skirtings, rails, landing plates, lighting fixtures, sensors, emergency stop buttons, switches, drive chain, step up trust device, control panels, wirings, conduits, hauling/hoisting and all ancillary works as necessary </t>
  </si>
  <si>
    <t>Ref. Z2-B2-T1 and T2 - 0.50m/s, speed, 12 degrees inclination, width step 1000mm</t>
  </si>
  <si>
    <t>LOADING DOCK LEVELERS</t>
  </si>
  <si>
    <t>1. Drawing Nr. A-103 ground floor plan</t>
  </si>
  <si>
    <t>2. Specification section 111319 page 1 to  7 stationary loading dock equipment</t>
  </si>
  <si>
    <t>Stationary Loading Dock Equipment as required for a complete installation; including dock levelers, dock platform, devices, controls, vehicle rear-impact guard, interconnect control panel and signals, wiring, sensors, and all ancillary works as necessary</t>
  </si>
  <si>
    <t>Recessed loading dock levelers; 60Hz, 240V</t>
  </si>
  <si>
    <t>Allow for providing shop drawings, as built drawings and material submittal approvals</t>
  </si>
  <si>
    <t>Allow for providing catalogues, operation and maintenance manuals</t>
  </si>
  <si>
    <t>Allow for labelling, tagging of equipment with their related control panel and components as specified</t>
  </si>
  <si>
    <t>Allow for testing and commissioning the complete installation</t>
  </si>
  <si>
    <t>WORK INCIDENTAL TO CONVEYING SYSTEM</t>
  </si>
  <si>
    <t>Allow for cutting or forming all holes, mortices, chases and the like and making good finishes for conveying systems</t>
  </si>
  <si>
    <t>Allow for fixing all sleeves, frames and built-in firestop system and making good finishes for conveying systems</t>
  </si>
  <si>
    <t>Allow for firestopping for all holes and making good finishes for conveying systems</t>
  </si>
  <si>
    <t>Allow for building in or cutting and pinning brackets or the like and making good finishes for conveying systems</t>
  </si>
  <si>
    <t>Monitoring System</t>
  </si>
  <si>
    <t>Elevator monitoring system (EMS) at central
site command center</t>
  </si>
  <si>
    <t>BWIC</t>
  </si>
  <si>
    <t>Builders work in connection with conveying
systems</t>
  </si>
  <si>
    <t>Allow for any other works which are not included above and which are required to complete the Conveying Systems in accordance with the Specification and the drawings (Tenderer to list below):</t>
  </si>
  <si>
    <t>Page 3/P/1</t>
  </si>
  <si>
    <t>Page 3/P/2</t>
  </si>
  <si>
    <t>Page 3/P/3</t>
  </si>
  <si>
    <t>Page 3/P/4</t>
  </si>
  <si>
    <t>Page 3/P/5</t>
  </si>
  <si>
    <t>Page 3/P/6</t>
  </si>
  <si>
    <t>Page 3/P/7</t>
  </si>
  <si>
    <t>Page 3/P/8</t>
  </si>
  <si>
    <t>MECHANICAL ENGINEERING INSTALLATIONS</t>
  </si>
  <si>
    <t>IRRIGATION SYSTEM</t>
  </si>
  <si>
    <t>1) Drawing Nr. V0195-TVS-ZZ-GF-DR-L-601 to 620  and 3D View Al-Khail R20 Irrig; all inclusive</t>
  </si>
  <si>
    <t>2) Al Khail Avenue Mall Redevelopment - Mechanical Specification dated March 28, 2022</t>
  </si>
  <si>
    <t>Irrigation lateral line uPVC pipe; including fittings</t>
  </si>
  <si>
    <t>uPVC class E pipe; size 32mm diameter</t>
  </si>
  <si>
    <t>887</t>
  </si>
  <si>
    <t>uPVC class D pipe; size 50mm diameter</t>
  </si>
  <si>
    <t>uPVC class D pipe; size 63mm diameter</t>
  </si>
  <si>
    <t>Drip irrigation accessories; including compression fittings, spike, and all related fixing materials as necessary</t>
  </si>
  <si>
    <t>Drip riser for shrub and ground cover</t>
  </si>
  <si>
    <t>52</t>
  </si>
  <si>
    <t>Drip riser for trees</t>
  </si>
  <si>
    <t>112</t>
  </si>
  <si>
    <t>Pipe specialties/accessories; including all related fixing materials and ancillary works as necessary</t>
  </si>
  <si>
    <t>Drip solenoid valve (DVP01) - size 1" diameter</t>
  </si>
  <si>
    <t>Drip solenoid valve (DVP02) - size 1.5" diameter</t>
  </si>
  <si>
    <t>Drip solenoid valve (DVP03) - size 1.5" diameter</t>
  </si>
  <si>
    <t>Drip solenoid valve (DVP04) - size 1.5" diameter</t>
  </si>
  <si>
    <t>Drip solenoid valve (DVP05) - size 1.5" diameter</t>
  </si>
  <si>
    <t>IRRIGATION SYSTEM (Cont´d)</t>
  </si>
  <si>
    <t>Drip solenoid valve (DVP06) - size 1" diameter</t>
  </si>
  <si>
    <t>Drip solenoid valve (DVP07) - size 1" diameter</t>
  </si>
  <si>
    <t>Drip solenoid valve (DVP08) - size 1" diameter</t>
  </si>
  <si>
    <t>Allow for connection to the nearest electrical power supply including cables, conduits, terminations and all ancillary works as necessary</t>
  </si>
  <si>
    <t>DRAINAGE INSTALLATION</t>
  </si>
  <si>
    <t>1) Drawing Nr. D-12200 to D-12259, D-13100 to D-13110 and 3D View Al-Khail R20 Plumb; all inclusive</t>
  </si>
  <si>
    <t>2) Drainage general notes, symbols and legends and Drainage equipment schedule Drawing Nr. D-09102 and D-00050</t>
  </si>
  <si>
    <t>3) Al Khail Avenue Mall Redevelopment - Mechanical Specification dated March 28, 2022</t>
  </si>
  <si>
    <t>uPVC pipework; including fittings, supports and ancillary work as necessary</t>
  </si>
  <si>
    <t>Rainwater pipework</t>
  </si>
  <si>
    <t>80mm diameter</t>
  </si>
  <si>
    <t>110mm diameter</t>
  </si>
  <si>
    <t>230</t>
  </si>
  <si>
    <t>150mm diameter</t>
  </si>
  <si>
    <t>34</t>
  </si>
  <si>
    <t>Flexible elastomeric insulation, 13mm thick to rainwater pipes including support, accessories and other ancillary works as necessary</t>
  </si>
  <si>
    <t>Waste pipework</t>
  </si>
  <si>
    <t>50mm diameter</t>
  </si>
  <si>
    <t>633</t>
  </si>
  <si>
    <t>65mm diameter</t>
  </si>
  <si>
    <t>DRAINAGE INSTALLATION (Cont´d)</t>
  </si>
  <si>
    <t>424</t>
  </si>
  <si>
    <t>2,988</t>
  </si>
  <si>
    <t>Soil pipework</t>
  </si>
  <si>
    <t>63</t>
  </si>
  <si>
    <t>2,102</t>
  </si>
  <si>
    <t>200mm diameter</t>
  </si>
  <si>
    <t>Kitchen waste pipework</t>
  </si>
  <si>
    <t>1,791</t>
  </si>
  <si>
    <t>Vent pipework</t>
  </si>
  <si>
    <t>815</t>
  </si>
  <si>
    <t>88</t>
  </si>
  <si>
    <t>939</t>
  </si>
  <si>
    <t>1,055</t>
  </si>
  <si>
    <t>Condensate drain pipework</t>
  </si>
  <si>
    <t>114</t>
  </si>
  <si>
    <t>75mm diameter</t>
  </si>
  <si>
    <t>Accessories; including supports and ancillary work as necessary</t>
  </si>
  <si>
    <t>Trench drain; 500 x 500mm</t>
  </si>
  <si>
    <t>Trench drain; 1100 x 60mm</t>
  </si>
  <si>
    <t>162</t>
  </si>
  <si>
    <t>Trench drain; 1150 x 60mm</t>
  </si>
  <si>
    <t>85</t>
  </si>
  <si>
    <t>Trench drain; 6045 x 200mm</t>
  </si>
  <si>
    <t>Trench drain; 13080 x 450mm</t>
  </si>
  <si>
    <t>Trench drain; 68585 x 200mm</t>
  </si>
  <si>
    <t>Trench drain; 88110 x 200mm</t>
  </si>
  <si>
    <t>Floor drain; 80mm diameter</t>
  </si>
  <si>
    <t>Floor drain; 110mm diameter</t>
  </si>
  <si>
    <t>Planter drain; 110mm diameter</t>
  </si>
  <si>
    <t>108</t>
  </si>
  <si>
    <t>Clean out; 65mm diameter</t>
  </si>
  <si>
    <t>Clean out; 80mm diameter</t>
  </si>
  <si>
    <t>Clean out; 100mm diameter</t>
  </si>
  <si>
    <t>133</t>
  </si>
  <si>
    <t>Clean out; 150mm diameter</t>
  </si>
  <si>
    <t>Clean out; 200mm diameter</t>
  </si>
  <si>
    <t>Wall clean out; 100mm diameter</t>
  </si>
  <si>
    <t>Equipment; including supports and ancillary work as necessary</t>
  </si>
  <si>
    <t>Submersible pump 1duty &amp; 1 standby to stormwater discharge pipe</t>
  </si>
  <si>
    <t>Acoustic lagging insulation; including supports, accessories and other ancillary works as necessary</t>
  </si>
  <si>
    <t>Flexible elastomeric insulation, 19mm thick to condensate drain pipework; including supports, accessories and other ancillary works as necessary</t>
  </si>
  <si>
    <t>SANITARY FIXTURES AND FITTNGS</t>
  </si>
  <si>
    <t>1) Drawing Nr. ID-800 series</t>
  </si>
  <si>
    <t>2) Interior Sanitaryware and Accessories Schedule dated April 22, 2022</t>
  </si>
  <si>
    <t xml:space="preserve"> </t>
  </si>
  <si>
    <t>Sanitary fittings; including all waste and overflow outlets, all connections and supports and sealing around with silicone-based sealant and all ancillary works as necessary</t>
  </si>
  <si>
    <t>Type I-FV-01: toilet flush valve</t>
  </si>
  <si>
    <t>Type I-FV-02: urinal flush valve</t>
  </si>
  <si>
    <t>101</t>
  </si>
  <si>
    <t>Type I-FV-03: ada toilet flush valve</t>
  </si>
  <si>
    <t>Type I-MX-01: dryer combined water faucet</t>
  </si>
  <si>
    <t>273</t>
  </si>
  <si>
    <t>Type I-MX-03: wall mounted kitchen or lavatory mixer</t>
  </si>
  <si>
    <t>Type I-HF-01: handle faucet with hose and hook</t>
  </si>
  <si>
    <t>247</t>
  </si>
  <si>
    <t>Shower faucet; to East and west employee office</t>
  </si>
  <si>
    <t>Water faucet; to East and west employee office</t>
  </si>
  <si>
    <t>Sanitary fixtures; including all waste and overflow outlets, all connections and supports and sealing around with silicone-based sealant and all ancillary works as necessary</t>
  </si>
  <si>
    <t>Type I-WC-01: wall hung water closet</t>
  </si>
  <si>
    <t>EM-41</t>
  </si>
  <si>
    <t>Type I-WC-02: ada water closet</t>
  </si>
  <si>
    <t>Type I-WC-03: children water closet</t>
  </si>
  <si>
    <t>Type I-UR-01: wall hung urinal with integral trap</t>
  </si>
  <si>
    <t>SANITARY FIXTURES AND FITTNGS (Cont´d)</t>
  </si>
  <si>
    <t>Type I-UR-02: wall hung urinal for children</t>
  </si>
  <si>
    <t>Type I-WB-01: under-counter wash basin</t>
  </si>
  <si>
    <t>Type I-WB-02: wall mounted wash basin ada</t>
  </si>
  <si>
    <t>Type I-WB-04: service sink</t>
  </si>
  <si>
    <t>Type I-MX-02: wall mounted basin mixer</t>
  </si>
  <si>
    <t>Basin; to West employee office</t>
  </si>
  <si>
    <t>Service sink; to West employee office</t>
  </si>
  <si>
    <t>Sink; to West employee office</t>
  </si>
  <si>
    <t>Urinal; to West employee office</t>
  </si>
  <si>
    <t>Water closet; to West employee office</t>
  </si>
  <si>
    <t>WATER INSTALLATIONS</t>
  </si>
  <si>
    <t>1) Drawing Nr. W-12400 to W-12454, W-13100 to W-13106 and 3D View Al-Khail R20 Plumb; all inclusive</t>
  </si>
  <si>
    <t>2) Water services general notes, symbols and legends and Water equipment schedule Drawing Nr. W-09302 and W-00040</t>
  </si>
  <si>
    <t>PPR pipework; for cold water supply, including fittings, supports and ancillary work as necessary</t>
  </si>
  <si>
    <t>15mm diameter</t>
  </si>
  <si>
    <t>2,018</t>
  </si>
  <si>
    <t>EM-45</t>
  </si>
  <si>
    <t>20mm diameter</t>
  </si>
  <si>
    <t>1,082</t>
  </si>
  <si>
    <t>25mm diameter</t>
  </si>
  <si>
    <t>979</t>
  </si>
  <si>
    <t>32mm diameter</t>
  </si>
  <si>
    <t>321</t>
  </si>
  <si>
    <t>40mm diameter</t>
  </si>
  <si>
    <t>875</t>
  </si>
  <si>
    <t>996</t>
  </si>
  <si>
    <t>359</t>
  </si>
  <si>
    <t>97</t>
  </si>
  <si>
    <t>90mm diameter</t>
  </si>
  <si>
    <t>73</t>
  </si>
  <si>
    <t>WATER INSTALLATIONS (Cont´d)</t>
  </si>
  <si>
    <t>PPR pipework; for hot water supply, including fittings, supports and ancillary work as necessary</t>
  </si>
  <si>
    <t>18</t>
  </si>
  <si>
    <t>Accessories; including hangers, supports, pipe connections and ancillary work as necessary</t>
  </si>
  <si>
    <t>Gate valve; 25mm diameter</t>
  </si>
  <si>
    <t>Gate valve; 32mm diameter</t>
  </si>
  <si>
    <t>Gate valve; 40mm diameter</t>
  </si>
  <si>
    <t>Gate valve; 50mm diameter</t>
  </si>
  <si>
    <t>50</t>
  </si>
  <si>
    <t>Gate valve; 65mm diameter</t>
  </si>
  <si>
    <t>Gate valve; 80mm diameter</t>
  </si>
  <si>
    <t>Globe valve, threaded; 15mm diameter</t>
  </si>
  <si>
    <t>Globe valve, threaded; 20mm diameter</t>
  </si>
  <si>
    <t>Globe valve, threaded; 25mm diameter</t>
  </si>
  <si>
    <t>Globe valve, threaded; 32mm diameter</t>
  </si>
  <si>
    <t>Butterfly valve; 40mm diameter</t>
  </si>
  <si>
    <t>Butterfly valve; 50mm diameter</t>
  </si>
  <si>
    <t>Hose bib; 15mm diameter</t>
  </si>
  <si>
    <t>Water meter assembly; 75mm diameter</t>
  </si>
  <si>
    <t>Deleted - PTC25 Rev 01 item 4</t>
  </si>
  <si>
    <t>Electric water heater including supports, valves, electric power connections  and other ancillary works as necessary</t>
  </si>
  <si>
    <t>EWH 30L; 1.2kW with 230V/1P</t>
  </si>
  <si>
    <t>EWH 80L; 1.5kW with 230V/1P</t>
  </si>
  <si>
    <t>EWH 100L; 2kW with 230V/1P</t>
  </si>
  <si>
    <t>EWH 150L; 3.5kW with 230V/1P</t>
  </si>
  <si>
    <t>Thermal insulation to domestic water and recirculated hot water; including supports, accessories and other ancillary works as necessary</t>
  </si>
  <si>
    <t>Flexible elastomeric insulation, 13mm thick to hot water supply</t>
  </si>
  <si>
    <t>FIRE PROTECTION SYSTEM</t>
  </si>
  <si>
    <t>1. All existing information (As-built and/or IFC), has been provided by the client. Any discrepancy between the  existing information and actual on-site conditions must be verified and rectified by the general contractor. The contractor may allow for an intrusive survey before the commencement of any construction works on site.</t>
  </si>
  <si>
    <t>2) Drawing Nr. F-12100 to D-12154 and 3D View Al-Khail R20 Fire; all inclusive</t>
  </si>
  <si>
    <t xml:space="preserve">3) General notes, abbreviations, legends and symbols and Miscellaneous details Drawing Nr. F-00001 and F-00020 to F-00023 </t>
  </si>
  <si>
    <t>4) Al Khail Avenue Mall Redevelopment - Mechanical Specification dated March 28, 2022</t>
  </si>
  <si>
    <t>Galvanized steel iron pipework; including fittings, markings, painting materials, fire stops, supports and all ancillary work as necessary</t>
  </si>
  <si>
    <t>Fire hydrant pipe</t>
  </si>
  <si>
    <t>3,534</t>
  </si>
  <si>
    <t>EM-57</t>
  </si>
  <si>
    <t>100mm diameter</t>
  </si>
  <si>
    <t>494</t>
  </si>
  <si>
    <t>339</t>
  </si>
  <si>
    <t>Sprinkler pipe</t>
  </si>
  <si>
    <t>67</t>
  </si>
  <si>
    <t>9,424</t>
  </si>
  <si>
    <t>1,696</t>
  </si>
  <si>
    <t>FIRE PROTECTION SYSTEM (Cont´d)</t>
  </si>
  <si>
    <t>1,643</t>
  </si>
  <si>
    <t>2,446</t>
  </si>
  <si>
    <t>1,701</t>
  </si>
  <si>
    <t>1,386</t>
  </si>
  <si>
    <t>833</t>
  </si>
  <si>
    <t>973</t>
  </si>
  <si>
    <t>189</t>
  </si>
  <si>
    <t>Accessories; including hangers, supports and ancillary work as necessary</t>
  </si>
  <si>
    <t>Gate valve; 100mm diameter</t>
  </si>
  <si>
    <t>Gate valve; 150mm diameter</t>
  </si>
  <si>
    <t>Gate valve; 200mm diameter</t>
  </si>
  <si>
    <t>Supervisory switch valve; size 40mm diameter</t>
  </si>
  <si>
    <t>Supervisory switch valve; size 50mm diameter</t>
  </si>
  <si>
    <t>Supervisory switch valve; size 65mm diameter</t>
  </si>
  <si>
    <t>42</t>
  </si>
  <si>
    <t>Supervisory switch valve; size 80mm diameter</t>
  </si>
  <si>
    <t>26</t>
  </si>
  <si>
    <t>Supervisory switch valve; size 100mm diameter</t>
  </si>
  <si>
    <t>Supervisory switch valve; size 150mm diameter</t>
  </si>
  <si>
    <t>Sprinkler head; pendant</t>
  </si>
  <si>
    <t>266</t>
  </si>
  <si>
    <t>Sprinkler head; side wall</t>
  </si>
  <si>
    <t>70</t>
  </si>
  <si>
    <t>Sprinkler head; upright</t>
  </si>
  <si>
    <t>2,727</t>
  </si>
  <si>
    <t>Sprinkler head; concealed non hosted</t>
  </si>
  <si>
    <t>2,273</t>
  </si>
  <si>
    <t>Fire hose reel cabinet; including hose reel, valves, cabinet, fire extinguishers, supports, accessories, and all ancillary works as necessary</t>
  </si>
  <si>
    <t>Fire hose cabinet - size 800 x 800 x 360mm</t>
  </si>
  <si>
    <t>216</t>
  </si>
  <si>
    <t xml:space="preserve">EM-51
EM-57
</t>
  </si>
  <si>
    <t>Fire extinguisher</t>
  </si>
  <si>
    <t>5.0kg CO2 type; portable</t>
  </si>
  <si>
    <t>4.0 ltr. dry powder type; FE4</t>
  </si>
  <si>
    <t>50kg trolley foam type; FE7</t>
  </si>
  <si>
    <t xml:space="preserve">FM 200 fire suppression system; including tanks, pipes, controls, valves, fixing accessories and all ancillary works as necessary </t>
  </si>
  <si>
    <t>Emergency LV room at ground floor zone A</t>
  </si>
  <si>
    <t>m2</t>
  </si>
  <si>
    <t>Tenant elec. room at ground floor zone A</t>
  </si>
  <si>
    <t>See VE-57</t>
  </si>
  <si>
    <t>Tenant elec. room at ground floor zone B</t>
  </si>
  <si>
    <t>23</t>
  </si>
  <si>
    <t>38</t>
  </si>
  <si>
    <t>Tenant elec. room at ground floor zone D</t>
  </si>
  <si>
    <t>Emergency LV room at ground floor zone D</t>
  </si>
  <si>
    <t>Tenant elec. room at first floor zone A</t>
  </si>
  <si>
    <t>Tenant elec. room at first floor area A</t>
  </si>
  <si>
    <t>(E) Electrical room at first floor zone A</t>
  </si>
  <si>
    <t>Tenant elec. room at first floor area C</t>
  </si>
  <si>
    <t>41</t>
  </si>
  <si>
    <t>Electrical room at first floor area D</t>
  </si>
  <si>
    <t>Grid line Z4 and Z5 to C12 and C13 at second floor zone A</t>
  </si>
  <si>
    <t>Retail at second floor zone A</t>
  </si>
  <si>
    <t>Electrical room at second floor zone D</t>
  </si>
  <si>
    <t xml:space="preserve">Foam fire suppression system; including tanks, pipes, controls, valves, fixing accessories and all ancillary works as necessary </t>
  </si>
  <si>
    <t>(E) Electrical room at ground floor zone A; size</t>
  </si>
  <si>
    <t>Tenant elec. gen. room at ground floor zone A; size</t>
  </si>
  <si>
    <t>Gen. room at ground floor zone D; size</t>
  </si>
  <si>
    <t>(E) Generator room at first floor zone A; size</t>
  </si>
  <si>
    <t>Retail at second floor zone A; size</t>
  </si>
  <si>
    <t>GAS INSTALLATION</t>
  </si>
  <si>
    <t>1) Drawing Nr. G-12600 to G-12624 and 3D View Al-Khail R20 Plumb; all inclusive</t>
  </si>
  <si>
    <t>2) Gas services general notes, symbols and legends  G-09502</t>
  </si>
  <si>
    <t>Carbon steel with sleeve; including fittings, supports and ancillary work as necessary</t>
  </si>
  <si>
    <t>415</t>
  </si>
  <si>
    <t>33</t>
  </si>
  <si>
    <t>250mm diameter</t>
  </si>
  <si>
    <t>Gate threaded valve; 32mm diameter</t>
  </si>
  <si>
    <t>HVAC INSTALLATION</t>
  </si>
  <si>
    <t>1) Drawing Nr. M-00030 to M-00053, M-12300 to M-12394, M-12400 to M-12494, M-12600 to M-12694, M-13050 to M-13302 and 3D View Al-Khail R20 Mech; all inclusive</t>
  </si>
  <si>
    <t>2) General notes, abbreviations, legends and symbols, Miscellaneous details and Equipment schedule Drawing Nr. M-00010, M-00020 to M-00026 and M-00080 to M-00082</t>
  </si>
  <si>
    <t>Chilled water pipeworks; including fittings, hangers, supports, painting materials, labelling and all ancillary works as necessary</t>
  </si>
  <si>
    <t>CHWS/R; size 20mm diameter</t>
  </si>
  <si>
    <t>1,196</t>
  </si>
  <si>
    <t>EM-48</t>
  </si>
  <si>
    <t>CHWS/R; size 25mm diameter</t>
  </si>
  <si>
    <t>848</t>
  </si>
  <si>
    <t>CHWS/R; size 32mm diameter</t>
  </si>
  <si>
    <t>1,232</t>
  </si>
  <si>
    <t>CHWS/R; size 40mm diameter</t>
  </si>
  <si>
    <t>744</t>
  </si>
  <si>
    <t>CHWS/R; size 50mm diameter</t>
  </si>
  <si>
    <t>1,067</t>
  </si>
  <si>
    <t>CHWS/R; size 65mm diameter</t>
  </si>
  <si>
    <t>1,412</t>
  </si>
  <si>
    <t>CHWS/R; size 80mm diameter</t>
  </si>
  <si>
    <t>552</t>
  </si>
  <si>
    <t>CHWS/R; size 100mm diameter</t>
  </si>
  <si>
    <t>708</t>
  </si>
  <si>
    <t>CHWS/R; size 116mm diameter</t>
  </si>
  <si>
    <t>CHWS/R; size 125mm diameter</t>
  </si>
  <si>
    <t>395</t>
  </si>
  <si>
    <t>CHWS/R; size 150mm diameter</t>
  </si>
  <si>
    <t>244</t>
  </si>
  <si>
    <t>CHWS/R; size 200mm diameter</t>
  </si>
  <si>
    <t>468</t>
  </si>
  <si>
    <t>HVAC INSTALLATION (Cont´d)</t>
  </si>
  <si>
    <t>CHWS/R; size 250mm diameter</t>
  </si>
  <si>
    <t>91</t>
  </si>
  <si>
    <t>CHWS/R; size 300mm diameter</t>
  </si>
  <si>
    <t>163</t>
  </si>
  <si>
    <t>CHWS/R; size 350mm diameter</t>
  </si>
  <si>
    <t>136</t>
  </si>
  <si>
    <t>CHWS/R; size 400mm diameter</t>
  </si>
  <si>
    <t>166</t>
  </si>
  <si>
    <t>Mineral fiber thermal pipe insulation 50mm thick; including aluminum jacketing, adhesives, joints, markings, tapes, accessories and all ancillary works as necessary</t>
  </si>
  <si>
    <t>Galvanized steel sheet, including fittings, splitter dampers with rods, access panels, joints, stiffeners and supports as necessary</t>
  </si>
  <si>
    <t>Supply air ductwork</t>
  </si>
  <si>
    <t>2,854</t>
  </si>
  <si>
    <t>Fresh air ductwork</t>
  </si>
  <si>
    <t>6,587</t>
  </si>
  <si>
    <t>Kitchen make-up air ductwork</t>
  </si>
  <si>
    <t>358</t>
  </si>
  <si>
    <t>Return air ductwork</t>
  </si>
  <si>
    <t>300</t>
  </si>
  <si>
    <t>Exhaust air ductwork</t>
  </si>
  <si>
    <t>6,778</t>
  </si>
  <si>
    <t>Kitchen exhaust air ductwork; fire rated</t>
  </si>
  <si>
    <t>411</t>
  </si>
  <si>
    <t>Smoke exhaust air ductwork; fire rated</t>
  </si>
  <si>
    <t>2,324</t>
  </si>
  <si>
    <t>Accessories; including all hangers, supports and ancillary work as necessary</t>
  </si>
  <si>
    <t>Volume control damper</t>
  </si>
  <si>
    <t>150 x 150mm</t>
  </si>
  <si>
    <t>156</t>
  </si>
  <si>
    <t>200 x 150mm</t>
  </si>
  <si>
    <t>361</t>
  </si>
  <si>
    <t>200 x 200mm</t>
  </si>
  <si>
    <t>297</t>
  </si>
  <si>
    <t>200 x 250mm</t>
  </si>
  <si>
    <t>250 x 150mm</t>
  </si>
  <si>
    <t>250 x 200mm</t>
  </si>
  <si>
    <t>232</t>
  </si>
  <si>
    <t>250 x 250mm</t>
  </si>
  <si>
    <t>546</t>
  </si>
  <si>
    <t>250 x 300mm</t>
  </si>
  <si>
    <t>300 x 150mm</t>
  </si>
  <si>
    <t>300 x 200mm</t>
  </si>
  <si>
    <t>300 x 250mm</t>
  </si>
  <si>
    <t>300 x 300mm</t>
  </si>
  <si>
    <t>325 x 250mm</t>
  </si>
  <si>
    <t>350 x 150mm</t>
  </si>
  <si>
    <t>350 x 200mm</t>
  </si>
  <si>
    <t>350 x 250mm</t>
  </si>
  <si>
    <t>350 x 300mm</t>
  </si>
  <si>
    <t>400 x 150mm</t>
  </si>
  <si>
    <t>400 x 200mm</t>
  </si>
  <si>
    <t>400 x 250mm</t>
  </si>
  <si>
    <t>400 x 300mm</t>
  </si>
  <si>
    <t>400 x 350mm</t>
  </si>
  <si>
    <t>450 x 150mm</t>
  </si>
  <si>
    <t>450 x 200mm</t>
  </si>
  <si>
    <t>450 x 250mm</t>
  </si>
  <si>
    <t>450 x 300mm</t>
  </si>
  <si>
    <t>W</t>
  </si>
  <si>
    <t>450 x 350mm</t>
  </si>
  <si>
    <t>X</t>
  </si>
  <si>
    <t>500 x 150mm</t>
  </si>
  <si>
    <t>500 x 200mm</t>
  </si>
  <si>
    <t>500 x 300mm</t>
  </si>
  <si>
    <t>500 x 250mm</t>
  </si>
  <si>
    <t>550 x 150mm</t>
  </si>
  <si>
    <t>550 x 250mm</t>
  </si>
  <si>
    <t>550 x 300mm</t>
  </si>
  <si>
    <t>500 x 350mm</t>
  </si>
  <si>
    <t>550 x 550mm</t>
  </si>
  <si>
    <t>600 x 150mm</t>
  </si>
  <si>
    <t>600 x 200mm</t>
  </si>
  <si>
    <t>600 x 250mm</t>
  </si>
  <si>
    <t>600 x 300mm</t>
  </si>
  <si>
    <t>600 x 350mm</t>
  </si>
  <si>
    <t>600 x 400mm</t>
  </si>
  <si>
    <t>650 x 250mm</t>
  </si>
  <si>
    <t>650 x 300mm</t>
  </si>
  <si>
    <t>650 x 350mm</t>
  </si>
  <si>
    <t>700 x 250mm</t>
  </si>
  <si>
    <t>700 x 300mm</t>
  </si>
  <si>
    <t>700 x 350mm</t>
  </si>
  <si>
    <t>750 x 250mm</t>
  </si>
  <si>
    <t>750 x 300mm</t>
  </si>
  <si>
    <t>750 x 350mm</t>
  </si>
  <si>
    <t>750 x 400mm</t>
  </si>
  <si>
    <t>800 x 250mm</t>
  </si>
  <si>
    <t>800 x 300mm</t>
  </si>
  <si>
    <t>800 x 400mm</t>
  </si>
  <si>
    <t>800 x 550mm</t>
  </si>
  <si>
    <t>850 x 300mm</t>
  </si>
  <si>
    <t>900 x 200mm</t>
  </si>
  <si>
    <t>900 x 250mm</t>
  </si>
  <si>
    <t>900 x 300mm</t>
  </si>
  <si>
    <t>900 x 350mm</t>
  </si>
  <si>
    <t>950 x 250mm</t>
  </si>
  <si>
    <t>1000 x 300mm</t>
  </si>
  <si>
    <t>1000 x 350mm</t>
  </si>
  <si>
    <t>1000 x 400mm</t>
  </si>
  <si>
    <t>1000 x 650mm</t>
  </si>
  <si>
    <t>1050 x 250mm</t>
  </si>
  <si>
    <t>1050 x 300mm</t>
  </si>
  <si>
    <t>1050 x 400mm</t>
  </si>
  <si>
    <t>1100 x 300mm</t>
  </si>
  <si>
    <t>1100 x 350mm</t>
  </si>
  <si>
    <t>1100 x 500mm</t>
  </si>
  <si>
    <t>1100 x 550mm</t>
  </si>
  <si>
    <t>1200 x 350mm</t>
  </si>
  <si>
    <t>1200 x 400mm</t>
  </si>
  <si>
    <t>1200 x 500mm</t>
  </si>
  <si>
    <t>1200 x 800mm</t>
  </si>
  <si>
    <t>1250 x 300mm</t>
  </si>
  <si>
    <t>1250 x 350mm</t>
  </si>
  <si>
    <t>1250 x 450mm</t>
  </si>
  <si>
    <t>1250 x 650mm</t>
  </si>
  <si>
    <t>1500 x 400mm</t>
  </si>
  <si>
    <t>1500 x 450mm</t>
  </si>
  <si>
    <t>1700 x 500mm</t>
  </si>
  <si>
    <t>Fire damper</t>
  </si>
  <si>
    <t>350 x 550mm</t>
  </si>
  <si>
    <t>550 x 350mm</t>
  </si>
  <si>
    <t>650 x 550mm</t>
  </si>
  <si>
    <t>850 x 400mm</t>
  </si>
  <si>
    <t>1000 x 250mm</t>
  </si>
  <si>
    <t>1000 x 750mm</t>
  </si>
  <si>
    <t>Motorised smoke fire damper</t>
  </si>
  <si>
    <t>150 x 100mm</t>
  </si>
  <si>
    <t>950 x 2450mm</t>
  </si>
  <si>
    <t>1100 x 600mm</t>
  </si>
  <si>
    <t>1400 x 1350mm</t>
  </si>
  <si>
    <t>1500 x 800mm</t>
  </si>
  <si>
    <t>1500 x 900mm</t>
  </si>
  <si>
    <t>1650 x 1300mm</t>
  </si>
  <si>
    <t>1700 x 300mm</t>
  </si>
  <si>
    <t>1700 x 800mm</t>
  </si>
  <si>
    <t>1700 x 1300mm</t>
  </si>
  <si>
    <t>1750 x 300mm</t>
  </si>
  <si>
    <t>1800 x 1250mm</t>
  </si>
  <si>
    <t>2100 x 700mm</t>
  </si>
  <si>
    <t>2100 x 800mm</t>
  </si>
  <si>
    <t>2600 x 800mm</t>
  </si>
  <si>
    <t>2700 x 800mm</t>
  </si>
  <si>
    <t>Motorised damper</t>
  </si>
  <si>
    <t>Grills, diffusers and louvers, including all hangers, supports and ancillary work as necessary</t>
  </si>
  <si>
    <t>Supply ceiling diffuser</t>
  </si>
  <si>
    <t>150 x 1500mm</t>
  </si>
  <si>
    <t>225 x 225mm</t>
  </si>
  <si>
    <t>450 x 450mm</t>
  </si>
  <si>
    <t>Extract grille</t>
  </si>
  <si>
    <t>EG 750 x 250mm</t>
  </si>
  <si>
    <t>66</t>
  </si>
  <si>
    <t>EG 1350 x 400mm</t>
  </si>
  <si>
    <t>EG 2000 x 700mm</t>
  </si>
  <si>
    <t>Supply linear bar grille</t>
  </si>
  <si>
    <t>SLBG 2-slots ; 1000 x 80mm</t>
  </si>
  <si>
    <t>504</t>
  </si>
  <si>
    <t>SLBG 2-slots ; 2000 x 80mm</t>
  </si>
  <si>
    <t>SLBG curved 2-slots ; 1000 x 80mm</t>
  </si>
  <si>
    <t>627</t>
  </si>
  <si>
    <t>SLBG curved 2-slots ; 2000 x 80mm</t>
  </si>
  <si>
    <t>Return linear bar grille</t>
  </si>
  <si>
    <t>RLBG 2-slots; 1000 x 80mm</t>
  </si>
  <si>
    <t>RLBG 2-slots; 1500 x 80mm</t>
  </si>
  <si>
    <t>RLBG 2-slots; 2000 x 80mm</t>
  </si>
  <si>
    <t>199</t>
  </si>
  <si>
    <t>RLBG 2-slots; 2500 x 80mm</t>
  </si>
  <si>
    <t>RLBG 2-slots; 3000 x 80mm</t>
  </si>
  <si>
    <t>RLBG 2-slots; 4000 x 80mm</t>
  </si>
  <si>
    <t>RLBG 2-slots; 5000 x 80mm</t>
  </si>
  <si>
    <t>RLBG 2-slots; 7000 x 80mm</t>
  </si>
  <si>
    <t>RLBG 2-slots; 7500 x 80mm</t>
  </si>
  <si>
    <t>RLBG 2-slots; 10000 x 80mm</t>
  </si>
  <si>
    <t>RLBG 2-slots; 11000 x 80mm</t>
  </si>
  <si>
    <t>RLBG 2-slots; 15000 x 80mm</t>
  </si>
  <si>
    <t>RLBG 2-slots; 16000 x 80mm</t>
  </si>
  <si>
    <t>RLBG 2-slots; 18000 x 80mm</t>
  </si>
  <si>
    <t>RLBG 2-slots; 20000 x 80mm</t>
  </si>
  <si>
    <t>RLBG 2-slots; 27000 x 80mm</t>
  </si>
  <si>
    <t>RLBG curved 2-slots; 1000 x 80mm</t>
  </si>
  <si>
    <t>RLBG curved 2-slots; 18000 x 80mm</t>
  </si>
  <si>
    <t>RLBG 3-slots; 1000 x 118mm</t>
  </si>
  <si>
    <t>57</t>
  </si>
  <si>
    <t>RLBG 3-slots; 1800 x 118mm</t>
  </si>
  <si>
    <t>RLBG 3-slots; 2000 x 118mm</t>
  </si>
  <si>
    <t>Jet nozzle supply</t>
  </si>
  <si>
    <t>Jet nozzle extract</t>
  </si>
  <si>
    <t>45</t>
  </si>
  <si>
    <t>Louver intake</t>
  </si>
  <si>
    <t>Louver discharge</t>
  </si>
  <si>
    <t>400 x 450mm</t>
  </si>
  <si>
    <t>1500 x 2400mm</t>
  </si>
  <si>
    <t xml:space="preserve">Equipment; including valve assembly, vibration mount, electrical wiring and termination, all hangers, supports and ancillary work as necessary </t>
  </si>
  <si>
    <t>Fan coil unit</t>
  </si>
  <si>
    <t>FCU-FF-01 (Ducted type); 206 l/s air flowrate, 4.10 kw cooling capacity</t>
  </si>
  <si>
    <t>FCU-FF-02 (Ducted type); 54 l/s air flowrate, 1.20 kw cooling capacity</t>
  </si>
  <si>
    <t>FCU-FF-03 (Ducted type); 98 l/s air flowrate, 2.20 kw cooling capacity</t>
  </si>
  <si>
    <t>FCU-FF-04 (Ducted type); 54 l/s air flowrate, 0.50 kw cooling capacity</t>
  </si>
  <si>
    <t>FCU-FF-05 (Ducted type); 31 l/s air flowrate, 0.90 kw cooling capacity</t>
  </si>
  <si>
    <t>FCU-FF-06 (Ducted type); 64 l/s air flowrate, 1.40 kw cooling capacity</t>
  </si>
  <si>
    <t>FCU-M-FF-06-30</t>
  </si>
  <si>
    <t>FCU-FF-07 (Ducted type); 458 l/s air flowrate, 6.90 kw cooling capacity</t>
  </si>
  <si>
    <t>FCU-FF-09 (Ducted type); 43 l/s air flowrate, 1.0 kw cooling capacity</t>
  </si>
  <si>
    <t>FCU-FF-10 (Ducted type); 298 l/s air flowrate, 8.35 kw cooling capacity</t>
  </si>
  <si>
    <t>FCU-FF-11 (Ducted type); 274 l/s air flowrate, 7.75 kw cooling capacity</t>
  </si>
  <si>
    <t>FCU-FF-12 (Ducted type); 95 l/s air flowrate, 2.20 kw cooling capacity</t>
  </si>
  <si>
    <t>FCU-SF-01 (Ducted type); 171 l/s air flowrate, 2.60 kw cooling capacity</t>
  </si>
  <si>
    <t>FCU-SF-02 (Decorative type); 61l/s air flowrate, 1.20 kw cooling capacity</t>
  </si>
  <si>
    <t>FCU-SF-03 (Decorative type); 113l/s air flowrate, 2.00 kw cooling capacity</t>
  </si>
  <si>
    <t>FCU-SF-04 (Ducted type); 50 l/s air flowrate, 1.10 kw cooling capacity</t>
  </si>
  <si>
    <t>FCU-SF-05 (Ducted type); 219 l/s air flowrate, 3.80 kw cooling capacity</t>
  </si>
  <si>
    <t>FCU-SF-06; (Ducted type); 123 l/s air flowrate, 2.20 kw cooling capacity</t>
  </si>
  <si>
    <t>FCU-SF-07 (Ducted type); 121 l/s air flowrate, 2.18 kw cooling capacity</t>
  </si>
  <si>
    <t>FCU-SF-08 (Ducted type); 81 l/s air flowrate, 1.70 kw cooling capacity</t>
  </si>
  <si>
    <t>FCU-SF-09 (Ducted type); 34 l/s air flowrate, 0.70 kw cooling capacity</t>
  </si>
  <si>
    <t>FCU-SF-10 (Ducted type); 36 l/s air flowrate, 0.70 kw cooling capacity</t>
  </si>
  <si>
    <t>FCU-SF-11 (Ducted type); 115 l/s air flowrate, 2.50 kw cooling capacity</t>
  </si>
  <si>
    <t>FCU-SF-12 (Ducted type); 56 l/s air flowrate, 1.10 kw cooling capacity</t>
  </si>
  <si>
    <t>FCU-SF-13 (Ducted type); 49 l/s air flowrate, 1.00 kw cooling capacity</t>
  </si>
  <si>
    <t>FCU-SF-14 (Ducted type); 96 l/s air flowrate, 1.80 kw cooling capacity</t>
  </si>
  <si>
    <t>FCU-SF-15 (Ducted type); 31 l/s air flowrate, 0.60 kw cooling capacity</t>
  </si>
  <si>
    <t>FCU-SF-16 (Ducted type); 171 l/s air flowrate, 3.10 kw cooling capacity</t>
  </si>
  <si>
    <t>FCU-SF-17 (Ducted type); 479 l/s air flowrate, 12.03 kw cooling capacity</t>
  </si>
  <si>
    <t>FCU-SF-18 (Ducted type); 74 l/s air flowrate, 1.80 kw cooling capacity</t>
  </si>
  <si>
    <t>FCU-GF-01 (Ducted type); 241 l/s air flowrate, 4.50 kw cooling capacity</t>
  </si>
  <si>
    <t>FCU-GF-02 (Ducted type); 229 l/s air flowrate, 4.30 kw cooling capacity</t>
  </si>
  <si>
    <t>FCU-GF-03 (Decorative type); 41l/s air flowrate, 0.90 kw cooling capacity</t>
  </si>
  <si>
    <t>FCU-GF-04 (Decorative type); 35l/s air flowrate, 0.70 kw cooling capacity</t>
  </si>
  <si>
    <t>FCU-GF-05 (Decorative type); 130l/s air flowrate, 2.45 kw cooling capacity</t>
  </si>
  <si>
    <t>FCU-GF-06 (Ducted type); 43 l/s air flowrate, 0.78 kw cooling capacity</t>
  </si>
  <si>
    <t>FCU-GF-07 (Ducted type); 218 l/s air flowrate, 4.10 kw cooling capacity</t>
  </si>
  <si>
    <t>FCU-GF-08 (Ducted type); 110 l/s air flowrate, 2.20 kw cooling capacity</t>
  </si>
  <si>
    <t>FCU-GF-09 (Ducted type); 74 l/s air flowrate, 1.60 kw cooling capacity</t>
  </si>
  <si>
    <t>FCU-GF-10 (Ducted type); 334 l/s air flowrate, 8.75 kw cooling capacity</t>
  </si>
  <si>
    <t>FCU-GF-11 (Ducted type); 276 l/s air flowrate, 7.40 kw cooling capacity</t>
  </si>
  <si>
    <t>FCU-GF-12 (Ducted type); 45 l/s air flowrate, 0.80 kw cooling capacity</t>
  </si>
  <si>
    <t>Exhaust fans</t>
  </si>
  <si>
    <t>EF-GF-01; 215 l/s air flowrate, 0.2 kw motor capacity</t>
  </si>
  <si>
    <t>EF-GF-02; 370 l/s air flowrate, 0.2 kw motor capacity</t>
  </si>
  <si>
    <t>Smoke extract fan (by tenant)</t>
  </si>
  <si>
    <t>SEF-FF-01</t>
  </si>
  <si>
    <t>SEF-FF-02</t>
  </si>
  <si>
    <t>SEF-FF-03</t>
  </si>
  <si>
    <t>SEF-FF-04</t>
  </si>
  <si>
    <t>SEF-FF-05</t>
  </si>
  <si>
    <t>SEF-FF-06</t>
  </si>
  <si>
    <t>SEF-FF-07</t>
  </si>
  <si>
    <t>SEF-GR-01</t>
  </si>
  <si>
    <t>SEF-GR-02</t>
  </si>
  <si>
    <t>SEF-GR-03</t>
  </si>
  <si>
    <t>SEF-GR-04</t>
  </si>
  <si>
    <t>SEF-GR-05</t>
  </si>
  <si>
    <t>SEF-GR-06</t>
  </si>
  <si>
    <t>SEF-GR-07</t>
  </si>
  <si>
    <t>SEF-GR-08</t>
  </si>
  <si>
    <t>SEF-SF-01</t>
  </si>
  <si>
    <t>SEF-SF-02</t>
  </si>
  <si>
    <t>SEF-SF-03</t>
  </si>
  <si>
    <t>SEF-SF-04</t>
  </si>
  <si>
    <t>SEF-SF-05</t>
  </si>
  <si>
    <t>SEF-SF-06</t>
  </si>
  <si>
    <t>Mineral-fiber blanket thermal insulation; including adhesives, test hole, fasteners, aluminum cladding, related fixing accessories, and all ancillary works as necessary (refer to duct insulation specification section 230713 page 1 to 13</t>
  </si>
  <si>
    <t>Allow for earthing and bonding as specified; in particular all ductwork systems shall be provided with earth continuity protection at all joints</t>
  </si>
  <si>
    <t>Allow for all supports, fixings, anchors, insulating blocks and anti-vibration devices where not included above or elsewhere</t>
  </si>
  <si>
    <t>Allow for all identification including painting, marking and labeling, including labeling all valves</t>
  </si>
  <si>
    <t>Allow for flushing, cleaning, sterilization and chlorination of the completed installations as necessary</t>
  </si>
  <si>
    <t>Allow for inspection, testing and commissioning including all off-site and factory testing; inspections to demonstrate compliance with relevant specifications and standards; operating the completed installations; submitting all relevant test record sheets at the completion of the installations</t>
  </si>
  <si>
    <t>Allow for providing in suitable quantities all special tools, operating handles and keys or other equipment necessary for installation, maintenance or operation of the completed installations</t>
  </si>
  <si>
    <t>Allow for providing spares for Mechanical Engineering Installations</t>
  </si>
  <si>
    <t>Allow for providing comprehensive equipment documentation including operating instructions and maintenance manuals, record documents, warranties, guarantees, drawings and the like</t>
  </si>
  <si>
    <t>Allow for training the Employer's Staff to operate and maintain the Mechanical Engineering Installations</t>
  </si>
  <si>
    <t>SUNDRIES (Cont´d)</t>
  </si>
  <si>
    <t>Allow for vibration and noise control where not included above or elsewhere</t>
  </si>
  <si>
    <t>Allow for providing connection from existing BMS system to Mechanical Engineering Installations as required in drawings and specifications</t>
  </si>
  <si>
    <t>WORK INCIDENTAL TO MECHANICAL ENGINEERING INSTALLATIONS</t>
  </si>
  <si>
    <t>Incidental work</t>
  </si>
  <si>
    <t>Allow for planning and coordinating with relevant statutory authorities and with all other trades</t>
  </si>
  <si>
    <t>Allow for cutting or forming holes, mortices, chases or the like and making good</t>
  </si>
  <si>
    <t>Allow for supplying and fixing all sleeves, frames and built-in fire stoppers for building into concrete structures and masonry walls</t>
  </si>
  <si>
    <t>Allow for supplying and fixing all brackets, clamps and other fixing devices</t>
  </si>
  <si>
    <t>Allow for fire stopping all pipes, ducts and the like at penetrations through fire walls and other structures and making good</t>
  </si>
  <si>
    <t>Allow for all incidental work including factory finishing, fixing to all backgrounds by appropriate means, cutting and pinning, marking the position of all holes, chases and the like and all making good</t>
  </si>
  <si>
    <t>WORK INCIDENTAL TO MECHANICAL ENGINEERING INSTALLATIONS (Cont´d)</t>
  </si>
  <si>
    <t>Protective painting</t>
  </si>
  <si>
    <t>Allow for all protective painting for each of the following installations:</t>
  </si>
  <si>
    <t>Rainwater drainage</t>
  </si>
  <si>
    <t>Foul and waste water drainage and vent</t>
  </si>
  <si>
    <t>Domestic cold and hot water system</t>
  </si>
  <si>
    <t>Liquefied petroleum gas</t>
  </si>
  <si>
    <t>Fire protection system</t>
  </si>
  <si>
    <t>Chilled water system</t>
  </si>
  <si>
    <t>Condensate water drainage</t>
  </si>
  <si>
    <t>Irrigation system</t>
  </si>
  <si>
    <t>Heating, ventilation and air conditioning system</t>
  </si>
  <si>
    <t>Building management system</t>
  </si>
  <si>
    <t>Other incidental work</t>
  </si>
  <si>
    <t>Allow for all incidental work to the Mechanical Engineering Installations where not included above or elsewhere</t>
  </si>
  <si>
    <t>Allow for all decorative painting including removing protective coatings or wrappings and cleaning and polishing exposed surfaces for each of the following installations</t>
  </si>
  <si>
    <t>Building automation system</t>
  </si>
  <si>
    <t>Builder's work in connection (BWIC) with Mechanical Engineering Installations</t>
  </si>
  <si>
    <t>Allow for any other works which are not included above and which are required to complete the Mechanical Engineering Installations in accordance with the Specification and the Drawings (Tenderer to list below):</t>
  </si>
  <si>
    <t>HVAC</t>
  </si>
  <si>
    <t>Attenuator 3500x3500</t>
  </si>
  <si>
    <t>Fresh Air Louvers with Sand Trap 60m2</t>
  </si>
  <si>
    <t>Exhaust Air Louver 40m2</t>
  </si>
  <si>
    <t>PRELIMINARIES</t>
  </si>
  <si>
    <t>Preliminaries for MEP Works within Bill No. 3 Section Q</t>
  </si>
  <si>
    <t>LPG System</t>
  </si>
  <si>
    <t>VE Adjustments</t>
  </si>
  <si>
    <t>VE-47: Providing preinsulated ducts for all FCUs and AHUs below 500 Pa serving internally in air conditioned space- Deleted</t>
  </si>
  <si>
    <t>EM-47</t>
  </si>
  <si>
    <t>VE-58: HVAC - Certain quantities of FCUs, Chilled water pipes and valves, ducts and VCDs to be re-used</t>
  </si>
  <si>
    <t>EM-58</t>
  </si>
  <si>
    <t>VE-59: Plumbing and Drainage - Re-use of pipes, fittings, valves, water meters etc.</t>
  </si>
  <si>
    <t>EM-59</t>
  </si>
  <si>
    <t xml:space="preserve">WATER INSTALLATIONS </t>
  </si>
  <si>
    <t>GENERALLY (Cont'd)</t>
  </si>
  <si>
    <t>ADDITIONAL ITEM AS PER PTC 35</t>
  </si>
  <si>
    <t>Revised Main Incoming  Water Supply Line</t>
  </si>
  <si>
    <t>Below Ground Pipe</t>
  </si>
  <si>
    <t>HDPE press pipe; UG; 100mm dia</t>
  </si>
  <si>
    <t>HDPE press pipe; UG; 150mm dia</t>
  </si>
  <si>
    <t>HDPE press pipe; UG; 200mm dia</t>
  </si>
  <si>
    <t>Valves &amp; Accessories</t>
  </si>
  <si>
    <t>Butterfly valve; 110mm diameter</t>
  </si>
  <si>
    <t>No</t>
  </si>
  <si>
    <t>Butterfly valve; 150mm diameter</t>
  </si>
  <si>
    <t>Butterfly valve; 200mm diameter</t>
  </si>
  <si>
    <t>Gate Valve; 110mm dia</t>
  </si>
  <si>
    <t>Gate Valve; 150mm dia</t>
  </si>
  <si>
    <t>Non Return Valve; 110mm diameter</t>
  </si>
  <si>
    <t>Non Return Valve; 150mm diameter</t>
  </si>
  <si>
    <t>Non Return Valve; 200mm diameter</t>
  </si>
  <si>
    <t>Strainer</t>
  </si>
  <si>
    <t>Water meter chamber cover &amp; frame</t>
  </si>
  <si>
    <t>Testing &amp; Commssioning</t>
  </si>
  <si>
    <t>Page 3/Q/1</t>
  </si>
  <si>
    <t>Page 3/Q/2</t>
  </si>
  <si>
    <t>Page 3/Q/3</t>
  </si>
  <si>
    <t>Page 3/Q/4</t>
  </si>
  <si>
    <t>Page 3/Q/5</t>
  </si>
  <si>
    <t>Page 3/Q/6</t>
  </si>
  <si>
    <t>Page 3/Q/7</t>
  </si>
  <si>
    <t>Page 3/Q/8</t>
  </si>
  <si>
    <t>Page 3/Q/9</t>
  </si>
  <si>
    <t>Page 3/Q/10</t>
  </si>
  <si>
    <t>Page 3/Q/11</t>
  </si>
  <si>
    <t>Page 3/Q/12</t>
  </si>
  <si>
    <t>Page 3/Q/13</t>
  </si>
  <si>
    <t>Page 3/Q/14</t>
  </si>
  <si>
    <t>Page 3/Q/15</t>
  </si>
  <si>
    <t>Page 3/Q/16</t>
  </si>
  <si>
    <t>Page 3/Q/17</t>
  </si>
  <si>
    <t>Page 3/Q/18</t>
  </si>
  <si>
    <t>Page 3/Q/19</t>
  </si>
  <si>
    <t>Page 3/Q/20</t>
  </si>
  <si>
    <t>Page 3/Q/21</t>
  </si>
  <si>
    <t>Page 3/Q/22</t>
  </si>
  <si>
    <t>Brought Forward</t>
  </si>
  <si>
    <t>Page 3/Q/23</t>
  </si>
  <si>
    <t>Page 3/Q/24</t>
  </si>
  <si>
    <t>Page 3/Q/25</t>
  </si>
  <si>
    <t>Page 3/Q/26</t>
  </si>
  <si>
    <t>Page 3/Q/27</t>
  </si>
  <si>
    <t>Page 3/Q/28</t>
  </si>
  <si>
    <t>Page 3/Q/29</t>
  </si>
  <si>
    <t>Page 3/Q/30</t>
  </si>
  <si>
    <t>Page 3/Q/31</t>
  </si>
  <si>
    <t>Page 3/Q/32</t>
  </si>
  <si>
    <t>Page 3/Q/33</t>
  </si>
  <si>
    <t>Page 3/Q/34</t>
  </si>
  <si>
    <t>Page 3/Q/35</t>
  </si>
  <si>
    <t>Page 3/Q/36</t>
  </si>
  <si>
    <t>Page 3/Q/37</t>
  </si>
  <si>
    <t>Page 3/Q/38</t>
  </si>
  <si>
    <t>Page 3/Q/39</t>
  </si>
  <si>
    <t>Page 3/Q/40</t>
  </si>
  <si>
    <t>Page 3/Q/41</t>
  </si>
  <si>
    <t>ELECTRICAL ENGINEERING INSTALLATIONS</t>
  </si>
  <si>
    <t>POWER INSTALLATION</t>
  </si>
  <si>
    <t>1) Drawing Nr. E-00003 to 10200, E-12500 to 12554, E-12730 to 12784, E-12925 to 12979, E-12860 to 12879 and Al Khail_R20_ELEC_LT: 3D View; all inclusive</t>
  </si>
  <si>
    <t>2) Al Khail Avenue Mall Redevelopment Electrical Specifications dated March 28, 2022</t>
  </si>
  <si>
    <t>XLPE cables including earth connectivity conductor cables, terminations, lugs, supports and all ancillary work</t>
  </si>
  <si>
    <t>1 x 4C x 95mm² CU/XLPE/SWA/LSOH + 1 x 1C x 50mm² CU/LSOH ECC</t>
  </si>
  <si>
    <t>From MDB-Z1-02-03 to SMDB-FB-F-055</t>
  </si>
  <si>
    <t>From MDB-Z1-02-03 to SMDB-FB-F-135A</t>
  </si>
  <si>
    <t>1 x 4C x 185mm² CU/XLPE/SWA/LSOH + 1 x 1C x 95mm² CU/LSOH ECC</t>
  </si>
  <si>
    <t>From MDB-Z1-02-03 to SMDB-FB-F-135B</t>
  </si>
  <si>
    <t>From MDB-Z1-02-03 to SMDB-FB-F-135C</t>
  </si>
  <si>
    <t>From MDB-Z1-02-03 to SMDB-FB-S-150D</t>
  </si>
  <si>
    <t>1 x 4C x 300mm² CU/XLPE/SWA/LSOH + 1 x 1C x 150mm² CU/LSOH ECC</t>
  </si>
  <si>
    <t>From MDB-Z1-02-03 to SMDB-FB-F-053</t>
  </si>
  <si>
    <t>1 x 4C x 4mm² CU/XLPE/SWA/PVC + 1 x 1C x 4mm² CU/PVC ECC</t>
  </si>
  <si>
    <t>From SMDB-S-04-SF-MM to 20A TP isolator for ER-M-SF-01</t>
  </si>
  <si>
    <t>POWER INSTALLATION (Cont´d)</t>
  </si>
  <si>
    <t>1 x 4C x 10mm² CU/XLPE/PVC + 1 x 1C x 10mm² CU/PVC ECC</t>
  </si>
  <si>
    <t>From SMDB-S-01-B2-FB1 to DB-S-01-GF-FB3</t>
  </si>
  <si>
    <t>1 x 4C x 10mm² CU/XLPE/SWA/LSOH + 1 x 1C x 10mm² CU/LSOH ECC</t>
  </si>
  <si>
    <t>From SMDB-SH-01-102 to DB-CD-F-062</t>
  </si>
  <si>
    <t>From SMDB-SH-01-102 to DB-SH-F-060</t>
  </si>
  <si>
    <t>From SMDB-SH-01-103 to DB-SH-F-069A</t>
  </si>
  <si>
    <t>From SMDB-SH-01-103 to DB-SH-F-073</t>
  </si>
  <si>
    <t>From SMDB-SH-02-GM1 to DB-SH-F-047A</t>
  </si>
  <si>
    <t>From SMDB-SH-02-GM1 to DB-SH-F-051</t>
  </si>
  <si>
    <t>From SMDB-SH-02-GM1 to DB-SH-F-051A</t>
  </si>
  <si>
    <t>From SMDB-SH-04-104 to DB-CF-F-114</t>
  </si>
  <si>
    <t>From SMDB-SH-04-104 to DB-SH-F-110A</t>
  </si>
  <si>
    <t>From SMDB-SH-04-104 to DB-SH-F-116</t>
  </si>
  <si>
    <t>From SMDB-SH-04-105 to DB-SH-F-117</t>
  </si>
  <si>
    <t>From SMDB-SH-04-105 to DB-SH-F-125</t>
  </si>
  <si>
    <t>From SMDB-SH-04-106 to DB-SH-F-084</t>
  </si>
  <si>
    <t>From SMDB-SH-04-106 to DB-SH-F-086</t>
  </si>
  <si>
    <t>From SMDB-SH-04-106 to DB-SH-F-088</t>
  </si>
  <si>
    <t>From SMDB-SH-04-106 to DB-SH-F-092A</t>
  </si>
  <si>
    <t>From SMDB-SH-04-108 to DB-SH-F-069B</t>
  </si>
  <si>
    <t>From SMDB-SH-04-108 to DB-SH-F-069C</t>
  </si>
  <si>
    <t>From SMDB-SH-04-108 to DB-SH-F-075</t>
  </si>
  <si>
    <t>From SMDB-SH-04-109 to DB-SH-F-091</t>
  </si>
  <si>
    <t>From SMDB-SH-04-109 to DB-SH-F-210</t>
  </si>
  <si>
    <t>From SMDB-SH-04-203 to DB-SH-S-031</t>
  </si>
  <si>
    <t>From SMDB-SH-04-203 to DB-SH-S-033</t>
  </si>
  <si>
    <t>From SMDB-SH-04-204 to DB-SH-S-142</t>
  </si>
  <si>
    <t>From SMDB-SH-04-206 to DB-SH-S-094</t>
  </si>
  <si>
    <t>From SMDB-SH-04-206 to DB-SH-S-101</t>
  </si>
  <si>
    <t>From SMDB-SH-04-206 to DB-SH-S-133</t>
  </si>
  <si>
    <t>From SMDB-SH-05-102 to DB-SH-F-006</t>
  </si>
  <si>
    <t>From SMDB-SH-05-203 to DB-SH-S-009</t>
  </si>
  <si>
    <t>From SMDB-SH-05-204 to DB-SH-S-011</t>
  </si>
  <si>
    <t>1 x 4C x 10mm² CU/XLPE/SWA/PVC + 1 x 1C x 10mm² CU/PVC ECC</t>
  </si>
  <si>
    <t>From SMDB-S-01-G01 to DB-S-01-G09</t>
  </si>
  <si>
    <t>From SMDB-S-01-RF01 to DB-S-01-RF07</t>
  </si>
  <si>
    <t>From SMDB-S-01-RF02 to DB-S-01-RF08</t>
  </si>
  <si>
    <t>From SMDB-S-03-GM01 to DB-S-03-GM02</t>
  </si>
  <si>
    <t>From SMDB-S-04-102 to DB-S-04-106</t>
  </si>
  <si>
    <t>From SMDB-S-04-202 to DB-S-04-206</t>
  </si>
  <si>
    <t>From SMDB-S-04-G02 to DB-S-04-G08</t>
  </si>
  <si>
    <t>From SMDB-S-04-SF-MM to DB-S-04-SF-MM1</t>
  </si>
  <si>
    <t>From SMDB-SH-01-201 to DB-SH-S-051</t>
  </si>
  <si>
    <t>From SMDB-SH-01-201 to DB-SH-S-053</t>
  </si>
  <si>
    <t>From SMDB-SH-01-201 to DB-SH-S-155</t>
  </si>
  <si>
    <t>From SMDB-SH-01-204 to DB-SH-S-091</t>
  </si>
  <si>
    <t>From SMDB-SH-01-205 to DB-SH-S-076</t>
  </si>
  <si>
    <t>From SMDB-SH-01-206 to DB-CF-S-081</t>
  </si>
  <si>
    <t>From SMDB-SH-01-G05 to DB-SH-G-046</t>
  </si>
  <si>
    <t>From SMDB-SH-01-G05 to DB-SH-G-047</t>
  </si>
  <si>
    <t>From SMDB-SH-04-G02 to DB-OT-G-017</t>
  </si>
  <si>
    <t>From SMDB-SH-04-G02 to DB-SH-G-134</t>
  </si>
  <si>
    <t>From SMDB-SH-04-G03 to DB-OT-G-126A</t>
  </si>
  <si>
    <t>80</t>
  </si>
  <si>
    <t>From SMDB-SH-04-G03 to DB-SH-G-019</t>
  </si>
  <si>
    <t>From SMDB-SH-04-G05 to DB-SH-G-105</t>
  </si>
  <si>
    <t>From SMDB-SH-05-G01 to DB-OT-G-011</t>
  </si>
  <si>
    <t>From SMDB-SH-05-G01 to DB-OT-G-013</t>
  </si>
  <si>
    <t>From SMDB-SH-05-G01 to DB-OT-G-015</t>
  </si>
  <si>
    <t>From SMDB-SH-05-G03 to DB-SH-G-010</t>
  </si>
  <si>
    <t>1 x 4C x 16mm² CU/XLPE/PVC + 1 x 1C x 16mm² CU/PVC ECC</t>
  </si>
  <si>
    <t>From SMDB-S-01-B2-FB1 to DB-S-01-GF-FB4</t>
  </si>
  <si>
    <t>From SMDB-S-04-B2-FB1 to DB-S-04-GF-FB3</t>
  </si>
  <si>
    <t>From SMDB-S-05-B2-FB1 to DB-S-05-GF-FB2</t>
  </si>
  <si>
    <t>1 x 4C x 16mm² CU/XLPE/SWA/LSOH + 1 x 1C x 16mm² CU/LSOH ECC</t>
  </si>
  <si>
    <t>From SMDB-SH-01-102 to DB-CD-F-058</t>
  </si>
  <si>
    <t>From SMDB-SH-01-102 to DB-SH-F-068</t>
  </si>
  <si>
    <t>From SMDB-SH-01-102 to DB-SH-F-137</t>
  </si>
  <si>
    <t>From SMDB-SH-01-103 to DB-SH-F-063</t>
  </si>
  <si>
    <t>From SMDB-SH-01-103 to DB-SH-F-065</t>
  </si>
  <si>
    <t>From SMDB-SH-01-103 to DB-SH-F-067</t>
  </si>
  <si>
    <t>From SMDB-SH-04-101 to DB-SH-F-020</t>
  </si>
  <si>
    <t>From SMDB-SH-04-101 to DB-SH-F-022</t>
  </si>
  <si>
    <t>From SMDB-SH-04-101 to DB-SH-F-111</t>
  </si>
  <si>
    <t>From SMDB-SH-04-103 to DB-SH-F-026</t>
  </si>
  <si>
    <t>From SMDB-SH-04-103 to DB-SH-F-028</t>
  </si>
  <si>
    <t>From SMDB-SH-04-104 to DB-SH-F-112</t>
  </si>
  <si>
    <t>From SMDB-SH-04-105 to DB-SH-F-115</t>
  </si>
  <si>
    <t>From SMDB-SH-04-106 to DB-SH-F-090</t>
  </si>
  <si>
    <t>From SMDB-SH-04-201 to DB-AN-S-134</t>
  </si>
  <si>
    <t>From SMDB-SH-04-201 to DB-SH-S-127</t>
  </si>
  <si>
    <t>From SMDB-SH-04-201 to DB-SH-S-129</t>
  </si>
  <si>
    <t>From SMDB-SH-04-201 to DB-SH-S-132</t>
  </si>
  <si>
    <t>From SMDB-SH-04-202 to DB-SH-S-018</t>
  </si>
  <si>
    <t>From SMDB-SH-04-202 to DB-SH-S-019</t>
  </si>
  <si>
    <t>From SMDB-SH-04-202 to DB-SH-S-023</t>
  </si>
  <si>
    <t>From SMDB-SH-04-202 to DB-SH-S-025</t>
  </si>
  <si>
    <t>From SMDB-SH-04-202 to DB-SH-S-027</t>
  </si>
  <si>
    <t>From SMDB-SH-04-203 to DB-SH-S-035</t>
  </si>
  <si>
    <t>From SMDB-SH-04-205 to DB-CF-S-098</t>
  </si>
  <si>
    <t>From SMDB-SH-04-205 to DB-SH-S-090A</t>
  </si>
  <si>
    <t>From SMDB-SH-04-205 to DB-SH-S-092</t>
  </si>
  <si>
    <t>From SMDB-SH-04-205 to DB-SH-S-096</t>
  </si>
  <si>
    <t>From SMDB-SH-04-205 to DB-SH-S-100</t>
  </si>
  <si>
    <t>From SMDB-SH-04-205 to DB-SH-S-102</t>
  </si>
  <si>
    <t>From SMDB-SH-04-205 to DB-SH-S-104</t>
  </si>
  <si>
    <t>From SMDB-SH-04-206 to DB-SH-S-097</t>
  </si>
  <si>
    <t>From SMDB-SH-04-206 to DB-SH-S-107</t>
  </si>
  <si>
    <t>From SMDB-SH-04-206 to DB-SH-S-109</t>
  </si>
  <si>
    <t>From SMDB-SH-05-102 to DB-SH-F-004</t>
  </si>
  <si>
    <t>From SMDB-SH-05-102 to DB-SH-F-105</t>
  </si>
  <si>
    <t>From SMDB-SH-05-102 to DB-SH-F-106</t>
  </si>
  <si>
    <t>From SMDB-SH-05-104 to DB-SH-F-102</t>
  </si>
  <si>
    <t>From SMDB-SH-05-104 to DB-SH-F-104</t>
  </si>
  <si>
    <t>From SMDB-SH-05-201 to DB-SH-S-113</t>
  </si>
  <si>
    <t>From SMDB-SH-05-201 to DB-SH-S-115</t>
  </si>
  <si>
    <t>From SMDB-SH-05-201 to DB-SH-S-117</t>
  </si>
  <si>
    <t>From SMDB-SH-05-201 to DB-SH-S-119</t>
  </si>
  <si>
    <t>From SMDB-SH-05-201 to DB-SH-S-123</t>
  </si>
  <si>
    <t>From SMDB-SH-05-201 to DB-SH-S-124</t>
  </si>
  <si>
    <t>From SMDB-SH-05-202 to DB-SH-S-002</t>
  </si>
  <si>
    <t>From SMDB-SH-05-202 to DB-SH-S-110</t>
  </si>
  <si>
    <t>From SMDB-SH-05-202 to DB-SH-S-114</t>
  </si>
  <si>
    <t>From SMDB-SH-05-202 to DB-SH-S-118</t>
  </si>
  <si>
    <t>From SMDB-SH-05-202 to DB-SH-S-121</t>
  </si>
  <si>
    <t>1 x 4C x 16mm² CU/XLPE/SWA/PVC + 1 x 1C x 16mm² CU/PVC ECC</t>
  </si>
  <si>
    <t>From ESMDB-02-G01 to 4x63A weatherproof isolator for 1F escalator - South Entrance</t>
  </si>
  <si>
    <t>From ESMDB-02-G01 to 4x63A weatherproof isolator for 2F escalator - South Entrance</t>
  </si>
  <si>
    <t>From ESMDB-02-G01 to 4x63A weatherproof isolator for 3F trolley lift</t>
  </si>
  <si>
    <t>From ESMDB-04-G01 to 4x63A weatherproof isolator for escalator</t>
  </si>
  <si>
    <t>280</t>
  </si>
  <si>
    <t>From ESMDB-04-G01 to 4x63A weatherproof isolator for service lift</t>
  </si>
  <si>
    <t>160</t>
  </si>
  <si>
    <t>From SMDB-S-01-201 to DB-S-01-207</t>
  </si>
  <si>
    <t>From SMDB-S-01-B2-FB2 to DB-S-01-FF-FB3</t>
  </si>
  <si>
    <t>From SMDB-S-01-G02 to DB-S-01-G09</t>
  </si>
  <si>
    <t>From SMDB-S-04-201 to DB-S-04-207</t>
  </si>
  <si>
    <t>From SMDB-SH-01-201 to DB-SH-S-049</t>
  </si>
  <si>
    <t>From SMDB-SH-01-201 to DB-SH-S-153</t>
  </si>
  <si>
    <t>From SMDB-SH-01-201 to DB-SH-S-164</t>
  </si>
  <si>
    <t>From SMDB-SH-01-201 to DB-SH-S-171</t>
  </si>
  <si>
    <t>From SMDB-SH-01-202 to DB-SH-S-044</t>
  </si>
  <si>
    <t>From SMDB-SH-01-202 to DB-SH-S-048</t>
  </si>
  <si>
    <t>From SMDB-SH-01-203 to DB-SH-S-152</t>
  </si>
  <si>
    <t>From SMDB-SH-01-204 to DB-SH-S-086</t>
  </si>
  <si>
    <t>From SMDB-SH-01-204 to DB-SH-S-088</t>
  </si>
  <si>
    <t>From SMDB-SH-01-204 to DB-SH-S-090</t>
  </si>
  <si>
    <t>From SMDB-SH-01-205 to DB-AN-S-080</t>
  </si>
  <si>
    <t>From SMDB-SH-01-205 to DB-CF-S-082</t>
  </si>
  <si>
    <t>From SMDB-SH-01-205 to DB-SH-S-078</t>
  </si>
  <si>
    <t>From SMDB-SH-01-206 to DB-SH-S-160</t>
  </si>
  <si>
    <t>From SMDB-SH-01-G05 to DB-SH-G-160</t>
  </si>
  <si>
    <t>From SMDB-SH-01-G06 to DB-SH-G-079</t>
  </si>
  <si>
    <t>From SMDB-SH-04-207 to DB-OF-S-032</t>
  </si>
  <si>
    <t>From SMDB-SH-04-207 to DB-SH-S-028</t>
  </si>
  <si>
    <t>From SMDB-SH-04-207 to DB-SH-S-030</t>
  </si>
  <si>
    <t>From SMDB-SH-04-G01 to DB-SH-G-026</t>
  </si>
  <si>
    <t>From SMDB-SH-04-G01 to DB-SH-G-028</t>
  </si>
  <si>
    <t>From SMDB-SH-04-G01 to DB-SH-G-030</t>
  </si>
  <si>
    <t>From SMDB-SH-04-G02 to DB-SH-G-130</t>
  </si>
  <si>
    <t>From SMDB-SH-04-G02 to DB-SH-G-132</t>
  </si>
  <si>
    <t>From SMDB-SH-04-G03 to DB-OT-G-126</t>
  </si>
  <si>
    <t>100</t>
  </si>
  <si>
    <t>From SMDB-SH-04-G03 to DB-SH-G-025</t>
  </si>
  <si>
    <t>From SMDB-SH-04-G03 to DB-SH-G-027</t>
  </si>
  <si>
    <t>From SMDB-SH-04-G05 to DB-SH-G-127</t>
  </si>
  <si>
    <t>From SMDB-SH-05-G01 to DB-OT-G-009</t>
  </si>
  <si>
    <t>From SMDB-SH-05-G02 to DB-CF-G-123</t>
  </si>
  <si>
    <t>From SMDB-SH-05-G02 to DB-SH-G-121</t>
  </si>
  <si>
    <t>From SMDB-SH-05-G03 to DB-SH-G-014</t>
  </si>
  <si>
    <t>From SMDB-SH-05-G03 to DB-SH-G-016A</t>
  </si>
  <si>
    <t>From ESMDB-04-G01 to 63A TP weatherproof isolator for escalators</t>
  </si>
  <si>
    <t>1 x 4C x 25mm² CU/XLPE/SWA/LSOH + 1 x 1C x 16mm² CU/LSOH ECC</t>
  </si>
  <si>
    <t>From ESMDB-01-GM01 to 4x63A weatherproof isolator for 2F escalator</t>
  </si>
  <si>
    <t>From ESMDB-01-GM01 to 4x63A weatherproof isolator for 2F-MEZ service lift</t>
  </si>
  <si>
    <t>From SMDB-SH-04-101 to DB-SH-F-019</t>
  </si>
  <si>
    <t>From SMDB-SH-04-104 to DB-SH-F-131</t>
  </si>
  <si>
    <t>From SMDB-SH-04-105 to DB-SH-F-127</t>
  </si>
  <si>
    <t>From SMDB-SH-04-106 to DB-SH-F-082</t>
  </si>
  <si>
    <t>From SMDB-SH-04-108 to DB-SH-F-079</t>
  </si>
  <si>
    <t>From SMDB-SH-04-201 to DB-SH-S-130</t>
  </si>
  <si>
    <t>From SMDB-SH-04-203 to DB-SH-S-037</t>
  </si>
  <si>
    <t>From SMDB-SH-05-103 to DB-SH-S-95A</t>
  </si>
  <si>
    <t>From SMDB-SH-05-202 to DB-SH-S-112</t>
  </si>
  <si>
    <t>From SMDB-SH-05-203 to DB-SH-S-013</t>
  </si>
  <si>
    <t>From SMDB-SH-05-203 to DB-SH-S-116</t>
  </si>
  <si>
    <t>From SMDB-SH-05-204 to DB-SH-S-015</t>
  </si>
  <si>
    <t>From SMDB-SH-05-204 to DB-SH-S-016</t>
  </si>
  <si>
    <t>1 x 4C x 25mm² CU/XLPE/SWA/PVC + 1 x 1C x 16mm² CU/PVC ECC</t>
  </si>
  <si>
    <t>From SMDB-S-01-RF01 to DB-S-01-RF09</t>
  </si>
  <si>
    <t>From SMDB-S-04-SF-MM to DB-S-04-SF-MM3</t>
  </si>
  <si>
    <t>From SMDB-SH-01-204 to DB-SH-S-084</t>
  </si>
  <si>
    <t>From SMDB-SH-01-G05 to DB-SH-G-048</t>
  </si>
  <si>
    <t>From SMDB-SH-01-G05 to DB-SH-G-067</t>
  </si>
  <si>
    <t>From SMDB-SH-01-G06 to DB-SH-G-075</t>
  </si>
  <si>
    <t>From SMDB-SH-01-G06 to DB-SH-G-077</t>
  </si>
  <si>
    <t>From SMDB-SH-04-207 to DB-OF-S-026</t>
  </si>
  <si>
    <t>From SMDB-SH-04-207 to DB-SH-S-020</t>
  </si>
  <si>
    <t>From SMDB-SH-04-207 to DB-SH-S-022</t>
  </si>
  <si>
    <t>From SMDB-SH-04-207 to DB-SH-S-024</t>
  </si>
  <si>
    <t>From SMDB-SH-04-G02 to DB-SH-G-128</t>
  </si>
  <si>
    <t>From SMDB-SH-04-G05 to DB-SH-G-096</t>
  </si>
  <si>
    <t>From SMDB-SH-04-G05 to DB-SH-G-102</t>
  </si>
  <si>
    <t>From SMDB-SH-05-G03 to DB-SH-G-016</t>
  </si>
  <si>
    <t>1 x 4C x 25mm² CU/XLPE/SWA/PVC + 1 x 1C x 25mm² CU/PVC ECC</t>
  </si>
  <si>
    <t>From SMDB-SH-05-G05 to DB-SH-G-111</t>
  </si>
  <si>
    <t>1 x 4C x 35mm² CU/XLPE/SWA/LSOH + 1 x 1C x 16mm² CU/LSOH ECC</t>
  </si>
  <si>
    <t>From MDB-Z4-08-02 to ISO-CF-S-310</t>
  </si>
  <si>
    <t>From MDB-Z4-08-02 to SMDB-CF-S-125</t>
  </si>
  <si>
    <t>From SMDB-SH-02-GM1 to DB-SH-G-050</t>
  </si>
  <si>
    <t>From SMDB-SH-04-204 to DB-SH-S-144</t>
  </si>
  <si>
    <t>From SMDB-SH-04-205 to DB-SH-S-106</t>
  </si>
  <si>
    <t>From SMDB-SH-04-206 to DB-SH-S-139</t>
  </si>
  <si>
    <t>From SMDB-SH-05-201 to DB-SH-S-111</t>
  </si>
  <si>
    <t>From SMDB-SH-05-202 to DB-SH-S-122</t>
  </si>
  <si>
    <t>From SMDB-SH-05-204 to DB-SH-S-017</t>
  </si>
  <si>
    <t>1 x 4C x 35mm² CU/XLPE/SWA/LSOH + 1 x 1C x 25mm² CU/PVC ECC</t>
  </si>
  <si>
    <t>From ESMDB-S-05-101 to 4x63A weatherproof isolator for SF escalator</t>
  </si>
  <si>
    <t>1 x 4C x 35mm² CU/XLPE/SWA/PVC + 1 x 1C x 16mm² CU/PVC ECC</t>
  </si>
  <si>
    <t>From MDB-Z1-03-02 to ISO-CF-F-211</t>
  </si>
  <si>
    <t>From SMDB-S-04-SF-MM to DB-S-04-SF-MM2</t>
  </si>
  <si>
    <t>From SMDB-SH-01-101 to DB-SH-F-049</t>
  </si>
  <si>
    <t>From SMDB-SH-01-101 to DB-SH-F-050</t>
  </si>
  <si>
    <t>From SMDB-SH-01-101 to DB-SH-F-052</t>
  </si>
  <si>
    <t>From SMDB-SH-01-202 to DB-SH-S-059</t>
  </si>
  <si>
    <t>From SMDB-SH-01-203 to DB-SH-S-163</t>
  </si>
  <si>
    <t>From SMDB-SH-04-G04 to SMDB-CF-G-017A</t>
  </si>
  <si>
    <t>From SMDB-SH-04-G04 to SMDB-CF-G-019A</t>
  </si>
  <si>
    <t>1 x 4C x 35mm² CU/XLPE/SWA/PVC + 1 x 1C x 25mm² CU/PVC ECC</t>
  </si>
  <si>
    <t>From SMDB-SH-05-G05 to DB-SH-G-109</t>
  </si>
  <si>
    <t>From USMDB-04-GM01 to UDB-04-SF-MM1</t>
  </si>
  <si>
    <t>1 x 4C x 70mm² CU/XLPE/SWA/LSOH + 1 x 1C x 35mm² CU/LSOH ECC</t>
  </si>
  <si>
    <t>From MDB-Z5-10-03 to SMDB-FB-F-105A</t>
  </si>
  <si>
    <t>From MDB-Z5-10-05 to ISO-FB-F-230B</t>
  </si>
  <si>
    <t>From MDB-Z5-10-05 to SMDB-SH-F-092</t>
  </si>
  <si>
    <t>From SMDB-SH-05-105 to SMDB-FB-F-093</t>
  </si>
  <si>
    <t>1 x 4C x 70mm² CU/XLPE/SWA/PVC + 1 x 1C x 16mm² CU/PVC ECC</t>
  </si>
  <si>
    <t>From SMDB-SH-04-G04 to 160A TP isolator for ISO-CF-G-303</t>
  </si>
  <si>
    <t>1 x 4C x 70mm² CU/XLPE/SWA/PVC + 1 x 1C x 35mm² CU/PVC ECC</t>
  </si>
  <si>
    <t>From SMDB-SH-01-G03 to ISO-FB-G-068A</t>
  </si>
  <si>
    <t>From SMDB-SH-01-G05 to ISO-FB-G-305</t>
  </si>
  <si>
    <t>From SMDB-SH-01-GM2 to SMDB-CF-F-201</t>
  </si>
  <si>
    <t>From SMDB-SH-01-GM3 to SMDB-FB-F-230B</t>
  </si>
  <si>
    <t>From MDB-Z4-08-02 to SMDB-FB-S-093</t>
  </si>
  <si>
    <t>From MDB-Z4-08-02 to SMDB-FB-S-093A</t>
  </si>
  <si>
    <t>From MDB-Z4-08-04 to SMDB-FB-F-110</t>
  </si>
  <si>
    <t>From MDB-Z5-10-03 to SMDB-FB-F-207</t>
  </si>
  <si>
    <t>From SMDB-SH-05-105 to SMDB-FB-F-017</t>
  </si>
  <si>
    <t>1 x 4C x 95mm² CU/XLPE/SWA/PVC + 1 x 1C x 50mm² CU/PVC ECC</t>
  </si>
  <si>
    <t>From MDB-Z1-02-05 to SMDB-FB-S-059B</t>
  </si>
  <si>
    <t>From MDB-Z1-02-05 to SMDB-FB-S-150A</t>
  </si>
  <si>
    <t>From MDB-Z1-03-01 to SMDB-CF-S-150B</t>
  </si>
  <si>
    <t>From MDB-Z1-03-01 to SMDB-FB-S-085A</t>
  </si>
  <si>
    <t>From MDB-Z1-03-02 to SMDB-FB-F-130C</t>
  </si>
  <si>
    <t>From MDB-Z1-03-02 to SMDB-FB-S-085</t>
  </si>
  <si>
    <t>From MDB-Z4-09-01 to SMDB-FB-G-093</t>
  </si>
  <si>
    <t>From MDB-Z5-10-02 to SMDB-FB-G-002</t>
  </si>
  <si>
    <t>From MDB-Z5-10-02 to SMDB-FB-G-018</t>
  </si>
  <si>
    <t>From MDB-Z5-10-02 to SMDB-FB-G-018A</t>
  </si>
  <si>
    <t>From MDB-Z5-10-02 to SMDB-FB-G-108</t>
  </si>
  <si>
    <t>From MDB-Z5-10-02 to SMDB-SH-05-G02</t>
  </si>
  <si>
    <t>From SMDB-SH-01-G02 to SMDB-FB-G-307</t>
  </si>
  <si>
    <t>From SMDB-SH-01-G03 to SMDB-FB-G-081</t>
  </si>
  <si>
    <t>From SMDB-SH-01-G04 to SMDB-FB-G-055</t>
  </si>
  <si>
    <t>From SMDB-SH-01-G04 to SMDB-FB-G-055A</t>
  </si>
  <si>
    <t>From SMDB-SH-01-G04 to SMDB-FB-G-057</t>
  </si>
  <si>
    <t>From SMDB-SH-04-G04 to SMDB-FB-G-020</t>
  </si>
  <si>
    <t>1 x 4C x 185mm² CU/XLPE/PVC + 1 x 1C x 95mm² CU/PVC ECC</t>
  </si>
  <si>
    <t>From MDB-Z1-02-02 to SMDB-FB-F-130D</t>
  </si>
  <si>
    <t>1 x 4C x 185mm² CU/XLPE/SWA/LSOH + 1 x 1C x 120mm² CU/LSOH ECC</t>
  </si>
  <si>
    <t>From MDB-Z4-08-04 to SMDB-AN-F-021</t>
  </si>
  <si>
    <t>1 x 4C x 185mm² CU/XLPE/SWA/PVC + 1 x 1C x 95mm² CU/PVC ECC</t>
  </si>
  <si>
    <t>From SMDB-SH-01-GM2 to SMDB-FB-F-144</t>
  </si>
  <si>
    <t>1 x 4C x 185mm² CU/XLPE/SWA/PVC + 1 x 1C x 120mm² CU/PVC ECC</t>
  </si>
  <si>
    <t>From SMDB-SH-01-G02 to SMDB-FB-G-056</t>
  </si>
  <si>
    <t>From MDB-Z4-08-04 to SMDB-AN-F-025</t>
  </si>
  <si>
    <t>1 x 4C x 300mm² CU/XLPE/SWA/PVC + 1 x 1C x 150mm² CU/PVC ECC</t>
  </si>
  <si>
    <t>From MDB-Z3-07-01 to SMDB-AN-S-055</t>
  </si>
  <si>
    <t>From MDB-Z1-02-01 to SMDB-FB-F-135D</t>
  </si>
  <si>
    <t>1 x 4C x 185mm² CU/XLPE/AWA/PVC + 1 x 1C x 95mm² CU/PVC ECC</t>
  </si>
  <si>
    <t>From MDB-Z3-06-02 to SMDB-AN-S-043</t>
  </si>
  <si>
    <t>2 x 4C x 300mm² CU/XLPE/SWA/PVC + 1 x 1C x 300mm² CU/PVC ECC</t>
  </si>
  <si>
    <t>From MDB-Z4-08-01 to SMDB-FB-F-042</t>
  </si>
  <si>
    <t>2 x 4C x 150mm² CU/XLPE/SWA/PVC + 2 x 1C x 95mm² CU/PVC ECC</t>
  </si>
  <si>
    <t>From MDB-Z4-09-01 to SMDB-AN-G-090</t>
  </si>
  <si>
    <t>236</t>
  </si>
  <si>
    <t>2 x 4C x 185mm² CU/XLPE/SWA/PVC + 1 x 1C x 185mm² CU/PVC ECC</t>
  </si>
  <si>
    <t>From ATS2, 630A, 4P to ESMDB-04-G02</t>
  </si>
  <si>
    <t>2 x 4C x 185mm² CU/XLPE/SWA/PVC + 2 x 1C x 95mm² CU/PVC ECC</t>
  </si>
  <si>
    <t>From MDB-Z1-02-01 to SMDB-AN-F-054</t>
  </si>
  <si>
    <t>From MDB-Z1-02-01 to SMDB-SH-01-GM2</t>
  </si>
  <si>
    <t>From MDB-Z1-02-01 to SMDB-SH-01-GM3</t>
  </si>
  <si>
    <t>From MDB-Z1-02-05 to SMDB-AN-G-080</t>
  </si>
  <si>
    <t>2 x 4C x 240mm² CU/XLPE/SWA/PVC + 1 x 1C x 240mm² CU/PVC ECC</t>
  </si>
  <si>
    <t>From MDB-Z3-06-01 to SMDB-AN-G-034</t>
  </si>
  <si>
    <t>2 x 4C x 300mm² CU/XLPE/SWA/LSOH + 1 x 1C x 300mm² CU/LSOH ECC</t>
  </si>
  <si>
    <t>From MDB-Z5-10-02 to Automatic power factor 350KVAR (6 steps)</t>
  </si>
  <si>
    <t>4 x 4C x 240mm² CU/XLPE/SWA/LSOH + 2 x 1C x 240mm² CU/LSOH ECC</t>
  </si>
  <si>
    <t>From MDB-Z5-10-06 to SMDB-HM-F-001</t>
  </si>
  <si>
    <t>4 x 4C x 300mm² CU/XLPE/AWA/PVC + 4x 1C x 150mm² CU/PVC ECC</t>
  </si>
  <si>
    <t>From ACB-Z1-02-06 to MDB-Z1-02-G-068-2</t>
  </si>
  <si>
    <t>From MDB-Z3-06-02 to SMDB-AN-F-040</t>
  </si>
  <si>
    <t>From MDB-Z3-06-02 to SMDB-AN-S-040</t>
  </si>
  <si>
    <t>4 x 4C x 300mm² CU/XLPE/PVC + 4x 1C x 150mm² CU/PVC ECC</t>
  </si>
  <si>
    <t>From MDB-Z1-02-02 to MDB-Z1-02-G-068-1</t>
  </si>
  <si>
    <t>4C x 70mm² CU/XLPE/SWA/LSOH + 1 x 1C x 35mm² CU/LSOH ECC</t>
  </si>
  <si>
    <t>From SMDB-SH-01-104 to SMDB-FB-F-135E</t>
  </si>
  <si>
    <t>4C x 95mm² CU/XLPE/SWA/LSOH + 1 x 1C x 50mm² CU/LSOH ECC</t>
  </si>
  <si>
    <t>From SMDB-SH-01-104 to SMDB-FB-F-070</t>
  </si>
  <si>
    <t>4C x 300mm² CU/XLPE/SWA/LSOH + 1 x 1C x 150mm² CU/LSOH ECC</t>
  </si>
  <si>
    <t>From MDB-Z1-02-03 to SMDB-FB-F-130E</t>
  </si>
  <si>
    <t>From MDB-Z1-02-03 to SMDB-SH-01-104</t>
  </si>
  <si>
    <t>4C x 300mm² CU/XLPE/SWA/PVC + 1 x 1C x 150mm² CU/PVC ECC</t>
  </si>
  <si>
    <t>From MDB-Z1-02-01 to SMDB-SH-01-GM1</t>
  </si>
  <si>
    <t>4C x 35mm² CU/XLPE/SWA/LSOH + 1 x 1C x 25mm² CU/LSOH ECC</t>
  </si>
  <si>
    <t>From MDB-Z5-10-06 to SMDB-CF-S-306</t>
  </si>
  <si>
    <t>From MDB-Z5-10-06 to SMDB-FB-S-125</t>
  </si>
  <si>
    <t>4C x 70mm² CU/XLPE/SWA/PVC + 1 x 1C x 35mm² CU/PVC ECC</t>
  </si>
  <si>
    <t>From SMDB-SH-01-GM1 to ISO-FB-F-230A</t>
  </si>
  <si>
    <t>From MDB-Z2-04-03 to SMDB-FB-G-051</t>
  </si>
  <si>
    <t>250</t>
  </si>
  <si>
    <t>From MDB-Z2-04-03 to SMDB-FB-G-054</t>
  </si>
  <si>
    <t>251</t>
  </si>
  <si>
    <t>From MDB-Z2-04-03 to SMDB-SH-02-GM1</t>
  </si>
  <si>
    <t>292</t>
  </si>
  <si>
    <t>From MDB-Z4-08-01 to SMDB-CF-S-102</t>
  </si>
  <si>
    <t>From MDB-Z4-08-01 to SMDB-FB-F-092</t>
  </si>
  <si>
    <t>From MDB-Z4-08-01 to SMDB-FB-F-109</t>
  </si>
  <si>
    <t>From MDB-Z4-08-01 to SMDB-FB-S-150E</t>
  </si>
  <si>
    <t>From MDB-Z4-08-01 to SMDB-FB-S-201</t>
  </si>
  <si>
    <t>From MDB-Z4-08-01 to SMDB-S-04-SF-MM</t>
  </si>
  <si>
    <t>4C x 95mm² CU/XLPE/SWA/PVC + 1 x 1C x 50mm² CU/PVC ECC</t>
  </si>
  <si>
    <t>From SMDB-SH-01-GM1 to SMDB-FB-F-130A</t>
  </si>
  <si>
    <t>4C x 185mm² CU/XLPE/SWA/LSOH + 1 x 1C x 95mm² CU/LSOH ECC</t>
  </si>
  <si>
    <t>From MDB-Z4-08-01 to SMDB-FB-S-150F</t>
  </si>
  <si>
    <t>From MDB-Z4-08-01 to SMDB-SH-04-207</t>
  </si>
  <si>
    <t>4C x 185mm² CU/XLPE/SWA/PVC + 1 x 1C x 95mm² CU/PVC ECC</t>
  </si>
  <si>
    <t>From SMDB-SH-01-GM3 to SMDB-FB-F-130B</t>
  </si>
  <si>
    <t>From MDB-Z5-10-03 to SMDB-SH-05-105</t>
  </si>
  <si>
    <t>From MDB-Z4-09-03 to ISO-CF-G-201</t>
  </si>
  <si>
    <t>From MDB-Z4-09-03 to SMDB-FB-G-020A</t>
  </si>
  <si>
    <t>6 x 4C x 300mm² CU/XLPE/SWA/PVC + 3x 1C x 300mm² CU/PVC ECC</t>
  </si>
  <si>
    <t>From MDB-Z2-04-01 to MDB-Z2-04-02-F-046</t>
  </si>
  <si>
    <t>From MDB-Z2-04-02 to MDB-Z2-04-02-S-055B</t>
  </si>
  <si>
    <t>Fire rated cables including earth connectivity conductor cables, terminations, lugs, supports and all ancillary work</t>
  </si>
  <si>
    <t>1 x 3C x 16mm² FR6 + 1 x 1C x 16mm² FR6 ECC</t>
  </si>
  <si>
    <t>From ESMDB-03-G02 to 63A isolator for SEF-GR-02</t>
  </si>
  <si>
    <t>From ESMDB-03-G02 to 63A isolator for SEF-GR-04</t>
  </si>
  <si>
    <t>From ESMDB-03-G03 to 63A isolator for SEF-FF-02</t>
  </si>
  <si>
    <t>From ESMDB-03-G03 to 63A isolator for SEF-SF-02</t>
  </si>
  <si>
    <t>1 x 3C x 25mm² FR + 1 x 1C x 16mm² FR6 ECC</t>
  </si>
  <si>
    <t>From ESMDB-01-G01 to 63A isolator for SEF-FF-06</t>
  </si>
  <si>
    <t>From ESMDB-01-G01 to 63A isolator for SEF-GR-06</t>
  </si>
  <si>
    <t>From ESMDB-01-G01 to 63A isolator for SEF-GR-07</t>
  </si>
  <si>
    <t>From ESMDB-01-G01 to 63A isolator for SEF-SF-05</t>
  </si>
  <si>
    <t>1 x 3C x 35mm² FR + 1 x 1C x 25mm² FR6 ECC</t>
  </si>
  <si>
    <t>From ESMDB-01-G01 to 63A isolator for SEF-FF-07</t>
  </si>
  <si>
    <t>From ESMDB-01-G01 to 100A isolator for SEF-GR-08</t>
  </si>
  <si>
    <t>From ESMDB-01-G01 to 100A isolator for SEF-SF-04</t>
  </si>
  <si>
    <t>1 x 3C x 35mm² FR6 + 1 x 1C x 16mm² FR6 ECC</t>
  </si>
  <si>
    <t>From ESMDB-03-G02 to 100A isolator for SEF-FF-05</t>
  </si>
  <si>
    <t>From ESMDB-03-G02 to 100A isolator for SEF-GR-03</t>
  </si>
  <si>
    <t>From ESMDB-03-G02 to 100A isolator for SEF-GR-05</t>
  </si>
  <si>
    <t>From ESMDB-03-G03 to 100A isolator for SEF-FF-03</t>
  </si>
  <si>
    <t>From ESMDB-03-G03 to 100A isolator for SEF-FF-04</t>
  </si>
  <si>
    <t>From ESMDB-03-G03 to 100A isolator for SEF-SF-01</t>
  </si>
  <si>
    <t>From ESMDB-03-G03 to 100A isolator for SEF-SF-03</t>
  </si>
  <si>
    <t>1 x 4C x 25mm² FR6/SWA + 1 x 1C x 16mm² FR ECC</t>
  </si>
  <si>
    <t>From ESMDB-05-G01 to 4x63A weatherproof isolator for trolley lift (LULU)</t>
  </si>
  <si>
    <t>1 x 4C x 35mm² FR6 + 1 x 1C x 16mm² FR6 ECC</t>
  </si>
  <si>
    <t>From ESMDB-05-G03 to 100A weatherproof isolator for SEF-FF-01</t>
  </si>
  <si>
    <t>From ESMDB-05-G03 to 100A weatherproof isolator for SEF-GR-01</t>
  </si>
  <si>
    <t>From ESMDB-05-G03 to 100A weatherproof isolator for SEF-SF-01</t>
  </si>
  <si>
    <t>1 x 4C x 240mm² FR6 + 1 x 1C x 120mm² FR ECC</t>
  </si>
  <si>
    <t>From ATS, 350A, 4P to ESMDB-05-G03</t>
  </si>
  <si>
    <t>From ATS, 350A, 4P to G-05-03</t>
  </si>
  <si>
    <t>From MDB-Z5-10-09 to ATS, 350A, 4P</t>
  </si>
  <si>
    <t>1 x 4C x 240mm² FR6 + 1 x 1C x 120mm² FR6 ECC</t>
  </si>
  <si>
    <t>From ATS for ESMDB-03-G02 to EMDB-03-02</t>
  </si>
  <si>
    <t>From ATS for ESMDB-03-G02 to ESMDB-03-G02</t>
  </si>
  <si>
    <t>From MDB-Z3-07-03 to ATS for ESMDB-03-G02</t>
  </si>
  <si>
    <t>1 x 4C x 300mm² FR6 + 1 x 1C x 150mm² FR6 ECC</t>
  </si>
  <si>
    <t>From ATS for ESMDB-03-G03 to ESMDB-03-G03</t>
  </si>
  <si>
    <t>From ATS for ESMDB-03-G03 to G-01-03</t>
  </si>
  <si>
    <t>From MDB-Z3-07-02 to ATS for ESMDB-03-G03</t>
  </si>
  <si>
    <t>2 x 4C x 150mm² FR + 2 x 1C x 150mm² FR6 ECC</t>
  </si>
  <si>
    <t>From ATS4 to ESMDB-01-G01</t>
  </si>
  <si>
    <t>2 x 4C x 185mm² FR + 2 x 1C x 95mm² FR6 ECC</t>
  </si>
  <si>
    <t>From MDB-Z1-01-02 to ATS4</t>
  </si>
  <si>
    <t>2 x 4C x 240mm² FR + 2 x 1C x 240mm² FR6 ECC</t>
  </si>
  <si>
    <t>From ATS4 to G-01-03</t>
  </si>
  <si>
    <t>1 x 4mm² CCT + 1 x 4mm² RCC</t>
  </si>
  <si>
    <t>From EDB-S-01-202 to 20A SP weatherproof isolator for service lift</t>
  </si>
  <si>
    <t>From EDB-S-04-201 to 20A SP weatherproof isolator for service lift</t>
  </si>
  <si>
    <t>From DB-S-01-G02 to 20A SP weatherproof isolator for exhaust fans</t>
  </si>
  <si>
    <t>Allow for cable from ESMDB-01-G01 to 63A TP weatherproof isolator for escalator</t>
  </si>
  <si>
    <t>Busbar including earth connectivity conductor cables, terminations, lugs, supports and all ancillary work</t>
  </si>
  <si>
    <t>1600A TPN busbar</t>
  </si>
  <si>
    <t>Containment; including fittings, supports and all ancillary work as necessary</t>
  </si>
  <si>
    <t>LV cable trunking</t>
  </si>
  <si>
    <t>100 x 100 mm wide, 2 compartment cable trunking</t>
  </si>
  <si>
    <t>352</t>
  </si>
  <si>
    <t>100 x 100 mm wide cable trunking</t>
  </si>
  <si>
    <t>96</t>
  </si>
  <si>
    <t>LV cable tray</t>
  </si>
  <si>
    <t>50 x 50mm wide cable tray</t>
  </si>
  <si>
    <t>880</t>
  </si>
  <si>
    <t>EM-38</t>
  </si>
  <si>
    <t>50 x 100mm wide cable tray</t>
  </si>
  <si>
    <t>478</t>
  </si>
  <si>
    <t>50 x 150mm wide cable tray</t>
  </si>
  <si>
    <t>2,640</t>
  </si>
  <si>
    <t>50 x 255mm wide cable tray</t>
  </si>
  <si>
    <t>50 x 300mm wide cable tray</t>
  </si>
  <si>
    <t>487</t>
  </si>
  <si>
    <t>50 x 450mm wide cable tray</t>
  </si>
  <si>
    <t>514</t>
  </si>
  <si>
    <t>50 x 600mm wide cable tray</t>
  </si>
  <si>
    <t>667</t>
  </si>
  <si>
    <t>50 x 750mm wide cable tray</t>
  </si>
  <si>
    <t>50 x 900mm wide cable tray</t>
  </si>
  <si>
    <t>430</t>
  </si>
  <si>
    <t>100 x 300mm wide cable tray</t>
  </si>
  <si>
    <t>100 x 750mm wide cable tray</t>
  </si>
  <si>
    <t>100 x 900mm wide cable tray</t>
  </si>
  <si>
    <t>LV cable ladder</t>
  </si>
  <si>
    <t>900mm wide cable ladder</t>
  </si>
  <si>
    <t>ELV cable trunking</t>
  </si>
  <si>
    <t>100 x 100mm GI trunking</t>
  </si>
  <si>
    <t>449</t>
  </si>
  <si>
    <t>ELV cable tray</t>
  </si>
  <si>
    <t>167</t>
  </si>
  <si>
    <t>650</t>
  </si>
  <si>
    <t>Equipment; including supports and all ancillary work as necessary</t>
  </si>
  <si>
    <t>Main distribution board</t>
  </si>
  <si>
    <t>MDB-Z1-02-G-068-1; TCL = 775kW</t>
  </si>
  <si>
    <t>EM-33</t>
  </si>
  <si>
    <t>MDB-Z3-06-01; TCL = 918.76kW</t>
  </si>
  <si>
    <t>MDB-Z1-02-G-068-2; TCL = 1000kW</t>
  </si>
  <si>
    <t>MDB-Z2-04-02-F-046; TCL = 1500kW</t>
  </si>
  <si>
    <t>MDB-Z2-04-02-S-055B; TCL = 1500kW</t>
  </si>
  <si>
    <t>Modification of main distribution board</t>
  </si>
  <si>
    <t>MDB-Z1-03-01; TCL = 1493.10kW</t>
  </si>
  <si>
    <t>MDB-Z1-03-03; TCL = 997.02kW</t>
  </si>
  <si>
    <t>MDB-Z3-07-01; TCL = 1129.24kW</t>
  </si>
  <si>
    <t>MDB-Z3-07-02; TCL = 1152.40kW</t>
  </si>
  <si>
    <t>MDB-Z3-07-03; TCL = 815.97kW</t>
  </si>
  <si>
    <t>MDB-Z4-09-03; TCL = 1475.76kW</t>
  </si>
  <si>
    <t>MDB-Z4-09-04; TCL = 1492.17kW</t>
  </si>
  <si>
    <t>MDB-Z5-10-09; TCL = 1474.05kW</t>
  </si>
  <si>
    <t>MDB-Z1-01-02; TCL = 1480.41kW</t>
  </si>
  <si>
    <t>MDB-Z1-02-01; TCL = 1460.61kW</t>
  </si>
  <si>
    <t>MDB-Z1-02-02; TCL = 1459.93kW</t>
  </si>
  <si>
    <t>MDB-Z1-02-03; TCL = 1485.89kW</t>
  </si>
  <si>
    <t>MDB-Z1-02-05; TCL = 1497.63kW</t>
  </si>
  <si>
    <t>MDB-Z2-04-01; TCL = 1500kW</t>
  </si>
  <si>
    <t>MDB-Z2-04-02; TCL = 1500kW</t>
  </si>
  <si>
    <t>MDB-Z2-04-03; TCL = 1009.30kW</t>
  </si>
  <si>
    <t>MDB-Z3-06-02; TCL = 654.12kW</t>
  </si>
  <si>
    <t>MDB-Z4-08-01; TCL = 1232.12kW</t>
  </si>
  <si>
    <t>MDB-Z4-08-02; TCL = 1306.94</t>
  </si>
  <si>
    <t>MDB-Z4-08-03; TCL = 1469.09kW</t>
  </si>
  <si>
    <t>MDB-Z4-08-04; TCL = 1444.70kW</t>
  </si>
  <si>
    <t>MDB-Z4-09-01; TCL = 1430.52kW</t>
  </si>
  <si>
    <t>MDB-Z5-10-01; TCL = 950.01kW</t>
  </si>
  <si>
    <t>MDB-Z5-10-02; TCL = 961.18kW</t>
  </si>
  <si>
    <t>MDB-Z5-10-03; TCL = 967.58kW</t>
  </si>
  <si>
    <t>MDB-Z5-10-04; TCL = 0kW</t>
  </si>
  <si>
    <t>MDB-Z5-10-05; TCL = 1419.99kW</t>
  </si>
  <si>
    <t>MDB-Z5-10-06; TCL = 1492.91kW</t>
  </si>
  <si>
    <t>Modification of emergency main distribution board</t>
  </si>
  <si>
    <t>EMDB-01-01; TCL = 884.51kW</t>
  </si>
  <si>
    <t>Sub-main distribution board</t>
  </si>
  <si>
    <t>SMDB-AN-G-034; TCL = 306.78kW</t>
  </si>
  <si>
    <t>SMDB-AN-G-040; TCL = 611.98kW</t>
  </si>
  <si>
    <t>SMDB-AN-G-090; TCL = 250.25kW</t>
  </si>
  <si>
    <t>SMDB-AN-G-145; TCL = 610.93kW</t>
  </si>
  <si>
    <t>SMDB-AN-G-161; TCL = 99.20 kW</t>
  </si>
  <si>
    <t>SMDB-CF-G-017A; TCL = 50kW</t>
  </si>
  <si>
    <t>SMDB-CF-G-019A; TCL = 50kW</t>
  </si>
  <si>
    <t>SMDB-FB-G-002; TCL = 100kW</t>
  </si>
  <si>
    <t>SMDB-FB-G-018; TCL = 100kW</t>
  </si>
  <si>
    <t>SMDB-FB-G-018A; TCL = 100kW</t>
  </si>
  <si>
    <t>SMDB-FB-G-020; TCL = 100kW</t>
  </si>
  <si>
    <t>SMDB-FB-G-020A; TCL = 150kW</t>
  </si>
  <si>
    <t>SMDB-FB-G-051; TCL = 100kW</t>
  </si>
  <si>
    <t>SMDB-FB-G-054; TCL = 80kW</t>
  </si>
  <si>
    <t>SMDB-FB-G-055; TCL = 100kW</t>
  </si>
  <si>
    <t>SMDB-FB-G-055A; TCL = 100kW</t>
  </si>
  <si>
    <t>SMDB-FB-G-056; TCL = 150kW</t>
  </si>
  <si>
    <t>SMDB-FB-G-057; TCL = 100kW</t>
  </si>
  <si>
    <t>SMDB-FB-G-081; TCL = 100kW</t>
  </si>
  <si>
    <t>SMDB-FB-G-093; TCL = 100kW</t>
  </si>
  <si>
    <t>SMDB-FB-G-108; TCL = 100kW</t>
  </si>
  <si>
    <t>SMDB-FB-G-307; TCL = 100kW</t>
  </si>
  <si>
    <t>SMDB-AN-G-080; TCL = 250.43kW</t>
  </si>
  <si>
    <t>SMDB-SH-01-GM1; TCL = 180kW</t>
  </si>
  <si>
    <t>SMDB-SH-01-GM2; TCL = 217kW</t>
  </si>
  <si>
    <t>SMDB-SH-01-GM3; TCL = 230kW</t>
  </si>
  <si>
    <t>SMDB-SH-02-GM1; TCL = 99.60kW</t>
  </si>
  <si>
    <t>SMDB-AN-F-021; TCL = 150.88kW</t>
  </si>
  <si>
    <t>SMDB-AN-F-025; TCL = 206.50kW</t>
  </si>
  <si>
    <t>SMDB-AN-F-040; TCL = 654.12kW</t>
  </si>
  <si>
    <t>SMDB-AN-F-054; TCL = 249.84kW</t>
  </si>
  <si>
    <t>SMDB-CF-F-201; TCL = 65kW</t>
  </si>
  <si>
    <t>SMDB-FB-F-017; TCL = 100kW</t>
  </si>
  <si>
    <t>SMDB-FB-F-042; TCL = 376.02kW</t>
  </si>
  <si>
    <t>SMDB-FB-F-053; TCL = 190.50kW</t>
  </si>
  <si>
    <t>SMDB-FB-F-055; TCL = 100kW</t>
  </si>
  <si>
    <t>SMDB-FB-F-070; TCL = 100kW</t>
  </si>
  <si>
    <t>SMDB-FB-F-092; TCL = 80kW</t>
  </si>
  <si>
    <t>SMDB-FB-F-093; TCL = 80kW</t>
  </si>
  <si>
    <t>SMDB-FB-F-105A; TCL = 80kW</t>
  </si>
  <si>
    <t>SMDB-FB-F-109; TCL = 80kW</t>
  </si>
  <si>
    <t>SMDB-FB-F-110; TCL = 100kW</t>
  </si>
  <si>
    <t>SMDB-FB-F-130A; TCL - 100kW</t>
  </si>
  <si>
    <t>SMDB-FB-F-130B; TCL = 150kW</t>
  </si>
  <si>
    <t>SMDB-FB-F-130C; TCL = 100kW</t>
  </si>
  <si>
    <t>SMDB-FB-F-130D; TCL = 150kW</t>
  </si>
  <si>
    <t>SMDB-FB-F-130E; TCL = 150kW</t>
  </si>
  <si>
    <t>SMDB-FB-F-135A; TCL = 101.50kW</t>
  </si>
  <si>
    <t>SMDB-FB-F-135B; TCL = 121.50kW</t>
  </si>
  <si>
    <t>SMDB-FB-F-135C; TCL = 150kW</t>
  </si>
  <si>
    <t>SMDB-FB-F-135D; TCL = 214.50kW</t>
  </si>
  <si>
    <t>SMDB-FB-F-135E; TCL = 80kW</t>
  </si>
  <si>
    <t>SMDB-FB-F-144; TCL = 152kW</t>
  </si>
  <si>
    <t>SMDB-FB-F-207; TCL = 80kW</t>
  </si>
  <si>
    <t>SMDB-FB-F-230B; TCL = 80kW</t>
  </si>
  <si>
    <t>SMDB-HM-F-001; TCL = 570kW</t>
  </si>
  <si>
    <t>SMDB-SH-01-104; TCL = 180kW</t>
  </si>
  <si>
    <t>SMDB-SH-F-092; TCL = 80kW</t>
  </si>
  <si>
    <t>SMDB-AN-S-040; TCL = 640.08kW</t>
  </si>
  <si>
    <t>SMDB-AN-S-043; TCL = 131.84kW</t>
  </si>
  <si>
    <t>SMDB-AN-S-055; TCL = 192.24kW</t>
  </si>
  <si>
    <t>SMDB-AN-S-064; TCL = 199.04kW</t>
  </si>
  <si>
    <t>SMDB-AN-S-073; TCL = 185.28 kW</t>
  </si>
  <si>
    <t>SMDB-CF-S-102; TCL = 110kW</t>
  </si>
  <si>
    <t>SMDB-CF-S-125; TCL = 50kW</t>
  </si>
  <si>
    <t>SMDB-CF-S-150B; TCL = 60kW</t>
  </si>
  <si>
    <t>SMDB-CF-S-306; TCL = 50kW</t>
  </si>
  <si>
    <t>SMDB-FB-S-059B; TCL = 100kW</t>
  </si>
  <si>
    <t>SMDB-FB-S-085; TCL = 100kW</t>
  </si>
  <si>
    <t>SMDB-FB-S-085A; TCL = 60kW</t>
  </si>
  <si>
    <t>SMDB-FB-S-089; TCL = 100kW</t>
  </si>
  <si>
    <t>SMDB-FB-S-093; TCL = 100kW</t>
  </si>
  <si>
    <t>SMDB-FB-S-093A; TCL = 100kW</t>
  </si>
  <si>
    <t>SMDB-FB-S-125; TCL = 80kW</t>
  </si>
  <si>
    <t>SMDB-FB-S-150A; TCL = 100kW</t>
  </si>
  <si>
    <t>SMDB-FB-S-150D; TCL = 150kW</t>
  </si>
  <si>
    <t>SMDB-FB-S-150E; TCL = 100kW</t>
  </si>
  <si>
    <t>SMDB-FB-S-150F; TCL = 150kW</t>
  </si>
  <si>
    <t>SMDB-FB-S-201; TCL = 100kW</t>
  </si>
  <si>
    <t>SMDB-S-04-SF-MM; TCL = 88.46kW</t>
  </si>
  <si>
    <t>SMDB-SH-04-207; TCL = 147.63kW</t>
  </si>
  <si>
    <t>Modification of sub-main distribution board</t>
  </si>
  <si>
    <t>SMDB-FB-F-052A; TCL = 211kW</t>
  </si>
  <si>
    <t>SMDB-FB-F-052B; TCL = 80kW</t>
  </si>
  <si>
    <t>SMDB-S-04-101; TCL = 69.48kW</t>
  </si>
  <si>
    <t>SMDB-S-04-102; TCL = 50.28kW</t>
  </si>
  <si>
    <t>SMDB-SH-01-101; TCL = 248.40kW</t>
  </si>
  <si>
    <t>SMDB-SH-01-102; TCL = 134.80kW</t>
  </si>
  <si>
    <t>SMDB-SH-01-103; TCL = 207.60kW</t>
  </si>
  <si>
    <t>SMDB-SH-04-101; TCL = 132.56kW</t>
  </si>
  <si>
    <t>SMDB-SH-04-103; TCL = 172.40kW</t>
  </si>
  <si>
    <t>SMDB-SH-04-104; TCL = 92.42kW</t>
  </si>
  <si>
    <t>SMDB-SH-04-105; TCL = 143kW</t>
  </si>
  <si>
    <t>SMDB-SH-04-106; TCL = 118.58kW</t>
  </si>
  <si>
    <t>SMDB-SH-04-108; TCL = 96.40kW</t>
  </si>
  <si>
    <t>SMDB-SH-04-109; TCL = 194.38kW</t>
  </si>
  <si>
    <t>SMDB-SH-05-105; TCL = 199.96KW</t>
  </si>
  <si>
    <t>SMDB-HM-G-049; TCL = 598.50kW</t>
  </si>
  <si>
    <t>SMDB-S-01-G01; TCL = 90.24kW</t>
  </si>
  <si>
    <t>SMDB-S-01-G02; 82.32kW</t>
  </si>
  <si>
    <t>SMDB-S-04-G01; TCL = 46.53kW</t>
  </si>
  <si>
    <t>SMDB-S-04-G02; TCL = 66.79kW</t>
  </si>
  <si>
    <t>SMDB-S-05-G01; TCL = 103.98kW</t>
  </si>
  <si>
    <t>SMDB-SH-05-G05; TCL = 364.92kW</t>
  </si>
  <si>
    <t>SMDB-S-03-GM01; TCL = 46.18kW</t>
  </si>
  <si>
    <t>USMDB-04-GM01; TCL = 128.22kW</t>
  </si>
  <si>
    <t>SMDB-AN-S-001; TCL = 794.33kW</t>
  </si>
  <si>
    <t>SMDB-S-01-201; TCL = 101.03kW</t>
  </si>
  <si>
    <t>SMDB-S-01-202; TCL = 66.80kW</t>
  </si>
  <si>
    <t>SMDB-S-04-201; TCL = 89.43kW</t>
  </si>
  <si>
    <t>SMDB-S-04-202; TCL = 45.04kW</t>
  </si>
  <si>
    <t>SMDB-SH-01-201; TCL = 200.96kW</t>
  </si>
  <si>
    <t>SMDB-SH-01-202; TCL = 164.68kW</t>
  </si>
  <si>
    <t>SMDB-SH-01-203; TCL = 120.36kW</t>
  </si>
  <si>
    <t>SMDB-SH-01-204; TCL = 110.72kW</t>
  </si>
  <si>
    <t>SMDB-SH-01-205; TCL = 125.98kW</t>
  </si>
  <si>
    <t>SMDB-SH-01-206; TCL = 124.6kW</t>
  </si>
  <si>
    <t>SMDB-SH-04-201; TCL = 141.30kW</t>
  </si>
  <si>
    <t>SMDB-SH-04-202; TCL = 124.56kW</t>
  </si>
  <si>
    <t>SMDB-SH-04-203; TCL = 124.88kW</t>
  </si>
  <si>
    <t>SMDB-SH-04-204; TCL = 79.54kW</t>
  </si>
  <si>
    <t>SMDB-SH-04-205; TCL = 283.14kW</t>
  </si>
  <si>
    <t>SMDB-SH-05-201; TCL = 201kW</t>
  </si>
  <si>
    <t>SMDB-SH-05-202; TCL = 197.49kW</t>
  </si>
  <si>
    <t>SMDB-SH-05-203; TCL = 124.84kW</t>
  </si>
  <si>
    <t>SMDB-SH-05-204; TCL = 116.44kW</t>
  </si>
  <si>
    <t>Emergency sub-main distribution board</t>
  </si>
  <si>
    <t>ESMDB-01-G01; TCL = 328kW</t>
  </si>
  <si>
    <t>EM-71</t>
  </si>
  <si>
    <t>ESMDB-03-G02; TCL = 171kW</t>
  </si>
  <si>
    <t>ESMDB-03-G03; TCL = 192kW</t>
  </si>
  <si>
    <t>ESMDB-05-G03; TCL = 155kW</t>
  </si>
  <si>
    <t>Modification of emergency sub-main distribution board</t>
  </si>
  <si>
    <t>ESMDB-S-05-101; TCL = 171.20kW</t>
  </si>
  <si>
    <t>ESMDB-01-GM01; TCL = 480.65kW</t>
  </si>
  <si>
    <t>ESMDB-02-G01; TCL = 615.74kW</t>
  </si>
  <si>
    <t>ESMDB-02-G02; TCL = 740.31kW</t>
  </si>
  <si>
    <t>ESMDB-04-G01; TCL = 710.37kW</t>
  </si>
  <si>
    <t>ESMDB-04-G02; TCL = 289.15kW</t>
  </si>
  <si>
    <t>ESMDB-05-G01; TCL = 511.91kW</t>
  </si>
  <si>
    <t>ESMDB-S-01-G01; TCL = 217.65kW</t>
  </si>
  <si>
    <t>Distribution board</t>
  </si>
  <si>
    <t>DB-CF-G-123; TCL = 25.92kW</t>
  </si>
  <si>
    <t>DB-OT-G-009; TCL = 27.04kW</t>
  </si>
  <si>
    <t>DB-OT-G-011; TCL = 13.44kW</t>
  </si>
  <si>
    <t>DB-OT-G-013; TCL = 7.52kW</t>
  </si>
  <si>
    <t>DB-OT-G-015; TCL = 8.32kW</t>
  </si>
  <si>
    <t>DB-OT-G-017; TCL = 17.44kW</t>
  </si>
  <si>
    <t>DB-OT-G-126; TCL = 19.52kW</t>
  </si>
  <si>
    <t>DB-OT-G-126A; TCL = 13.44kW</t>
  </si>
  <si>
    <t>DB-S-01-G09; TCL = 15.68kW</t>
  </si>
  <si>
    <t>DB-S-01-GF-FB3; TCL = 4.37kW</t>
  </si>
  <si>
    <t>DB-S-01-GF-FB4; TCL = 23.58kW</t>
  </si>
  <si>
    <t>DB-S-04-G08; TCL = 10.82kW</t>
  </si>
  <si>
    <t>DB-S-04-G08; TCL = 14.44kW</t>
  </si>
  <si>
    <t>DB-S-04-GF-FB3;  TCL = 4.37kW</t>
  </si>
  <si>
    <t>DB-S-05-GF-FB2; TCL = 12.40kW</t>
  </si>
  <si>
    <t>DB-SH-G-010; TCL = 19.20kW</t>
  </si>
  <si>
    <t>DB-SH-G-014; TCL = 23.04kW</t>
  </si>
  <si>
    <t>DB-SH-G-016; TCL = 36.64kW</t>
  </si>
  <si>
    <t>DB-SH-G-016A; TCL = 24.96kW</t>
  </si>
  <si>
    <t>DB-SH-G-019; TCL = 15.52kW</t>
  </si>
  <si>
    <t>DB-SH-G-025; TCL = 32.32kW</t>
  </si>
  <si>
    <t>DB-SH-G-026; TCL = 22.24kW</t>
  </si>
  <si>
    <t>DB-SH-G-027; TCL = 25.12kW</t>
  </si>
  <si>
    <t>DB-SH-G-028; TCL = 22.24kW</t>
  </si>
  <si>
    <t>DB-SH-G-030; TCL = 22.24kW</t>
  </si>
  <si>
    <t>DB-SH-G-046; TCL = 12.80kW</t>
  </si>
  <si>
    <t>DB-SH-G-047; TCL = 17.92kW</t>
  </si>
  <si>
    <t>DB-SH-G-048; TCL = 19.36kW</t>
  </si>
  <si>
    <t>DB-SH-G-050; TCL = 44kW</t>
  </si>
  <si>
    <t>DB-SH-G-067; TCL = 38.24kW</t>
  </si>
  <si>
    <t>DB-SH-G-077; TCL = 32.32kW</t>
  </si>
  <si>
    <t>DB-SH-G-079; TCL = 12.96kW</t>
  </si>
  <si>
    <t>DB-SH-G-096; TCL = 29.12kW</t>
  </si>
  <si>
    <t>DB-SH-G-102; TCL = 32.80kW</t>
  </si>
  <si>
    <t>DB-SH-G-105; TCL = 9.60kW</t>
  </si>
  <si>
    <t>DB-SH-G-109; TCL = 44kW</t>
  </si>
  <si>
    <t>DB-SH-G-111; TCL = 29.60kW</t>
  </si>
  <si>
    <t>DB-SH-G-121; TCL = 30.72kW</t>
  </si>
  <si>
    <t>DB-SH-G-127; TCL = 30.88kW</t>
  </si>
  <si>
    <t>DB-SH-G-128; TCL = 39.04kW</t>
  </si>
  <si>
    <t>DB-SH-G-130; TCL = 28.16kW</t>
  </si>
  <si>
    <t>DB-SH-G-132; TCL = 29.76kW</t>
  </si>
  <si>
    <t>DB-SH-G-134; TCL = 11.04kW</t>
  </si>
  <si>
    <t>DB-SH-G-160; TCL = 20.80kW</t>
  </si>
  <si>
    <t>DB-S-03-GM02; TCL = 15.90kW</t>
  </si>
  <si>
    <t>DB-CD-F-058; TCL = 26.56kW</t>
  </si>
  <si>
    <t>DB-CD-F-062; TCL = 14.88kW</t>
  </si>
  <si>
    <t>DB-CF-F-114; TCL = 7.84kW</t>
  </si>
  <si>
    <t>DB-S-01-FF-FB3; TCL = 2.46kW</t>
  </si>
  <si>
    <t>DB-S-04-106; TCL = 11.9kW</t>
  </si>
  <si>
    <t>DB-SH-F-003; TCL = 13.92kW</t>
  </si>
  <si>
    <t>DB-SH-F-004; TCL = 25.76kW</t>
  </si>
  <si>
    <t>DB-SH-F-005; TCL = 16.32kW</t>
  </si>
  <si>
    <t>DB-SH-F-006; TCL = 18.72kW</t>
  </si>
  <si>
    <t>DB-SH-F-007; TCL = 14.40kW</t>
  </si>
  <si>
    <t>DB-SH-F-019; TCL = 42.88kW</t>
  </si>
  <si>
    <t>DB-SH-F-020; TCL = 24.48kW</t>
  </si>
  <si>
    <t>DB-SH-F-022; TCL = 30.88kW</t>
  </si>
  <si>
    <t>DB-SH-F-026; TCL = 27.36kW</t>
  </si>
  <si>
    <t>DB-SH-F-028; TCL = 21.60kW</t>
  </si>
  <si>
    <t>DB-SH-F-047A; TCL = 16.96kW</t>
  </si>
  <si>
    <t>DB-SH-F-049; TCL = 40.48kW</t>
  </si>
  <si>
    <t>DB-SH-F-050; TCL = 42.40kW</t>
  </si>
  <si>
    <t>DB-SH-F-051; TCL = 17.60kW</t>
  </si>
  <si>
    <t>DB-SH-F-051A; TCL = 19.04kW</t>
  </si>
  <si>
    <t>DB-SH-F-052; TCL = 40kW</t>
  </si>
  <si>
    <t>DB-SH-F-060; TCL = 9.60kW</t>
  </si>
  <si>
    <t>DB-SH-F-063; TCL = 27.68kW</t>
  </si>
  <si>
    <t>DB-SH-F-065; TCL = 27.68kW</t>
  </si>
  <si>
    <t>DB-SH-F-067; TCL = 32.96kW</t>
  </si>
  <si>
    <t>DB-SH-F-068; TCL = 23.84kW</t>
  </si>
  <si>
    <t>DB-SH-F-069A; TCL = 7.36kW</t>
  </si>
  <si>
    <t>DB-SH-F-069B; TCL = 16.80kW</t>
  </si>
  <si>
    <t>DB-SH-F-069C; TCL = 7.36kW</t>
  </si>
  <si>
    <t>DB-SH-F-073; TCL = 17.44kW</t>
  </si>
  <si>
    <t>DB-SH-F-075; TCL = 17.44kW</t>
  </si>
  <si>
    <t>DB-SH-F-079; TCL = 32.80kW</t>
  </si>
  <si>
    <t>DB-SH-F-082; TCL = 36.16kW</t>
  </si>
  <si>
    <t>DB-SH-F-084; TCL = 12kW</t>
  </si>
  <si>
    <t>DB-SH-F-086; TCL = 12.80kW</t>
  </si>
  <si>
    <t>DB-SH-F-088; TCL = 10.56kW</t>
  </si>
  <si>
    <t>DB-SH-F-090; TCL = 24.64kW</t>
  </si>
  <si>
    <t>DB-SH-F-091; TCL = 5.28kW</t>
  </si>
  <si>
    <t>DB-SH-F-092A; TCL = 16.80kW</t>
  </si>
  <si>
    <t>DB-SH-F-105; TCL = 12.48kW</t>
  </si>
  <si>
    <t>DB-SH-F-106; TCL = 27.36kW</t>
  </si>
  <si>
    <t>DB-SH-F-110A; TCL = 9.44kW</t>
  </si>
  <si>
    <t>DB-SH-F-111; TCL = 28.32kW</t>
  </si>
  <si>
    <t>DB-SH-F-112; TCL = 19.52kW</t>
  </si>
  <si>
    <t>DB-SH-F-115; TCL = 26.08kW</t>
  </si>
  <si>
    <t>DB-SH-F-116; TCL = 11.68kW</t>
  </si>
  <si>
    <t>DB-SH-F-117; TCL = 6.08kW</t>
  </si>
  <si>
    <t>DB-SH-F-125; TCL = 13.12kW</t>
  </si>
  <si>
    <t>DB-SH-F-127; TCL = 37.44kW</t>
  </si>
  <si>
    <t>DB-SH-F-131; TCL = 38.88kW</t>
  </si>
  <si>
    <t>DB-SH-F-137; TCL = 28.32kW</t>
  </si>
  <si>
    <t>DB-SH-F-210; TCL = 11.04kW</t>
  </si>
  <si>
    <t>DB-AN-S-080; TCL = 27.68kW</t>
  </si>
  <si>
    <t>DB-AN-S-134; TCL = 30.72kW</t>
  </si>
  <si>
    <t>DB-CF-S-081; TCL = 14.72kW</t>
  </si>
  <si>
    <t>DB-CF-S-082; TCL = 30.80kW</t>
  </si>
  <si>
    <t>DB-CF-S-098; TCL = 29.12kW</t>
  </si>
  <si>
    <t>DB-OF-S-026; TCL = 20.70kW</t>
  </si>
  <si>
    <t>DB-OF-S-032; TCL = 6.80kW</t>
  </si>
  <si>
    <t>DB-S-01-207; TCL = 4.68kW</t>
  </si>
  <si>
    <t>DB-S-04-206; TCL = 7.33kW</t>
  </si>
  <si>
    <t>DB-S-04-207; TCL = 26.81kW</t>
  </si>
  <si>
    <t>DB-S-04-SF-MM1; TCL = 7.56kW</t>
  </si>
  <si>
    <t>DB-S-04-SF-MM2; TCL = 41.60kW</t>
  </si>
  <si>
    <t>DB-S-04-SF-MM3; TCL = 34.90kW</t>
  </si>
  <si>
    <t>DB-SH-F-95A; TCL = 12.48kW</t>
  </si>
  <si>
    <t>DB-SH-S-002; TCL = 29.28kW</t>
  </si>
  <si>
    <t>DB-SH-S-009; TCL = 10.24kW</t>
  </si>
  <si>
    <t>DB-SH-S-011; TCL = 17.12kW</t>
  </si>
  <si>
    <t>DB-SH-S-013; TCL = 30.72kW</t>
  </si>
  <si>
    <t>DB-SH-S-015; TCL =  31.36kW</t>
  </si>
  <si>
    <t>DB-SH-S-016; TCL = 32.32kW</t>
  </si>
  <si>
    <t>DB-SH-S-017; TCL = 30.56kW</t>
  </si>
  <si>
    <t>DB-SH-S-018; TCL = 21.76kW</t>
  </si>
  <si>
    <t>DB-SH-S-019; TCL = 21.76kW</t>
  </si>
  <si>
    <t>DB-SH-S-020; TCL = 19.2kW</t>
  </si>
  <si>
    <t>DB-SH-S-022; TCL = 20.50kW</t>
  </si>
  <si>
    <t>DB-SH-S-023; TCL = 29.28kW</t>
  </si>
  <si>
    <t>DB-SH-S-024; TCL = 20.70kW</t>
  </si>
  <si>
    <t>DB-SH-S-025; TCL = 30.24kW</t>
  </si>
  <si>
    <t>DB-SH-S-027; TCL = 19.52kW</t>
  </si>
  <si>
    <t>DB-SH-S-028. TCL = 9.60kW</t>
  </si>
  <si>
    <t>DB-SH-S-030; TCL = 10.10kW</t>
  </si>
  <si>
    <t>DB-SH-S-031; TCL = 15.20kW</t>
  </si>
  <si>
    <t>DB-SH-S-033; TCL = 14.72kW</t>
  </si>
  <si>
    <t>DB-SH-S-035; TCL = 23.84kW</t>
  </si>
  <si>
    <t>DB-SH-S-037; TCL = 36.64kW</t>
  </si>
  <si>
    <t>DB-SH-S-044; TCL = 29.44kW</t>
  </si>
  <si>
    <t>DB-SH-S-048; TCL = 20kW</t>
  </si>
  <si>
    <t>DB-SH-S-049; TCL = 17.44kW</t>
  </si>
  <si>
    <t>DB-SH-S-051; TCL = 17.76kW</t>
  </si>
  <si>
    <t>DB-SH-S-053; TCL = 19.04kW</t>
  </si>
  <si>
    <t>DB-SH-S-059; TCL = 38.4kW</t>
  </si>
  <si>
    <t>DB-SH-S-076; TCL = 29.12kW</t>
  </si>
  <si>
    <t>DB-SH-S-078; TCL = 25.28kW</t>
  </si>
  <si>
    <t>DB-SH-S-084; TCL = 34.24kW</t>
  </si>
  <si>
    <t>DB-SH-S-086; TCL = 17.44kW</t>
  </si>
  <si>
    <t>DB-SH-S-088; TCL = 18.56kW</t>
  </si>
  <si>
    <t>DB-SH-S-090; TCL = 18.08kW</t>
  </si>
  <si>
    <t>DB-SH-S-090A; TCL = 18.56kW</t>
  </si>
  <si>
    <t>DB-SH-S-091; TCL = 16.8kW</t>
  </si>
  <si>
    <t>DB-SH-S-092; TCL = 19.68kW</t>
  </si>
  <si>
    <t>DB-SH-S-094; TCL = 16.48kW</t>
  </si>
  <si>
    <t>DB-SH-S-096; TCL = 32.64kW</t>
  </si>
  <si>
    <t>DB-SH-S-097; TCL = 23.52kW</t>
  </si>
  <si>
    <t>DB-SH-S-100; TCL = 27.68kW</t>
  </si>
  <si>
    <t>DB-SH-S-101; TCL = 12kW</t>
  </si>
  <si>
    <t>DB-SH-S-102; TCL = 27.68kW</t>
  </si>
  <si>
    <t>DB-SH-S-104; TCL = 27.68kW</t>
  </si>
  <si>
    <t>DB-SH-S-106; TCL = 51.52kW</t>
  </si>
  <si>
    <t>DB-SH-S-107; TCL = 24.48kW</t>
  </si>
  <si>
    <t>DB-SH-S-109; TCL = 30.40kW</t>
  </si>
  <si>
    <t>DB-SH-S-110; TCL = 25.28kW</t>
  </si>
  <si>
    <t>DB-SH-S-111; TCL = 44.48kW</t>
  </si>
  <si>
    <t>DB-SH-S-112; TCL = 30.08kW</t>
  </si>
  <si>
    <t>DB-SH-S-113; TCL = 26.24kW</t>
  </si>
  <si>
    <t>DB-SH-S-114; TCL = 28.16kW</t>
  </si>
  <si>
    <t>DB-SH-S-115; TCL = 27.52kW</t>
  </si>
  <si>
    <t>DB-SH-S-116; TCL = 37.28kW</t>
  </si>
  <si>
    <t>DB-SH-S-117; TCL = 27.52kW</t>
  </si>
  <si>
    <t>DB-SH-S-118; TCL = 26.88kW</t>
  </si>
  <si>
    <t>DB-SH-S-119; TCL = 27.52kW</t>
  </si>
  <si>
    <t>DB-SH-S-121; TCL = 27.52kW</t>
  </si>
  <si>
    <t>DB-SH-S-122; TCL = 29.76kW</t>
  </si>
  <si>
    <t>DB-SH-S-123; TCL = 23.26kW</t>
  </si>
  <si>
    <t>DB-SH-S-124; TCL = 24.48kW</t>
  </si>
  <si>
    <t>DB-SH-S-127; TCL = 19.36kW</t>
  </si>
  <si>
    <t>DB-SH-S-129; TCL = 24kW</t>
  </si>
  <si>
    <t>DB-SH-S-130; TCL = 36.64kW</t>
  </si>
  <si>
    <t>DB-SH-S-132; TCL = 23.36kW</t>
  </si>
  <si>
    <t>DB-SH-S-133; TCL = 11.52kW</t>
  </si>
  <si>
    <t>DB-SH-S-139; TCL = 48.80kW</t>
  </si>
  <si>
    <t>DB-SH-S-142; TCL = 12.80kW</t>
  </si>
  <si>
    <t>DB-SH-S-144; TCL = 38.08kW</t>
  </si>
  <si>
    <t>DB-SH-S-152; TCL = 23.36kW</t>
  </si>
  <si>
    <t>DB-SH-S-153; TCL = 27.84kW</t>
  </si>
  <si>
    <t>DB-SH-S-155; TCL = 12.16kW</t>
  </si>
  <si>
    <t>DB-SH-S-160; TCL = 13.90kW</t>
  </si>
  <si>
    <t>DB-SH-S-163; TCL = 50.72kW</t>
  </si>
  <si>
    <t>DB-SH-S-164; TCL = 29.44kW</t>
  </si>
  <si>
    <t>DB-SH-S-171; TCL = 26.72kW</t>
  </si>
  <si>
    <t>UDB-04-SF-MM1; TCL = 12.90kW</t>
  </si>
  <si>
    <t>Modification of distribution board</t>
  </si>
  <si>
    <t>DB-CF-F-110; TCL = 24kW</t>
  </si>
  <si>
    <t>DB-S-01-FF-FB1; TCL = 12.88kW</t>
  </si>
  <si>
    <t>DB-SH-F-024; TCL = 27.84kW</t>
  </si>
  <si>
    <t>DB-SH-F-032; TCL = 15.36kW</t>
  </si>
  <si>
    <t>DB-SH-F-034; TCL = 14.56kW</t>
  </si>
  <si>
    <t>DB-SH-F-036; TCL = 23.84kW</t>
  </si>
  <si>
    <t>DB-SH-F-038; TCL = 35.84kW</t>
  </si>
  <si>
    <t>DB-SH-F-041; TCL = 28.96kW</t>
  </si>
  <si>
    <t>DB-SH-F-045; TCL = 22.24kW</t>
  </si>
  <si>
    <t>DB-SH-F-077; TCL = 16.32kW</t>
  </si>
  <si>
    <t>DB-SH-F-078; TCL = 17.44kW</t>
  </si>
  <si>
    <t>DB-SH-F-081; TCL = 27.20kW</t>
  </si>
  <si>
    <t>DB-SH-F-083; TCL = 27.20kW</t>
  </si>
  <si>
    <t>DB-SH-F-085; TCL = 27.20kW</t>
  </si>
  <si>
    <t>DB-SH-F-087; TCL = 27.20kW</t>
  </si>
  <si>
    <t>DB-SH-F-089; TCL = 44.16kW</t>
  </si>
  <si>
    <t>DB-SH-F-095; TCL = 15.36kW</t>
  </si>
  <si>
    <t>DB-SH-F-096; TCL = 26.56kW</t>
  </si>
  <si>
    <t>DB-SH-F-097; TCL = 26.08kW</t>
  </si>
  <si>
    <t>DB-SH-F-098; TCL = 27.36kW</t>
  </si>
  <si>
    <t>DB-SH-F-099; TCL = 28.16kW</t>
  </si>
  <si>
    <t>DB-SH-F-100; TCL = 27.20kW</t>
  </si>
  <si>
    <t>DB-SH-F-108; TCL = 25.28kW</t>
  </si>
  <si>
    <t>DB-SH-F-113; TCL = 24.64kW</t>
  </si>
  <si>
    <t>DB-SH-F-121; TCL = 14.72kW</t>
  </si>
  <si>
    <t>DB-SH-F-123; TCL = 13.76kW</t>
  </si>
  <si>
    <t>DB-SH-F-132; TCL = 23.84kW</t>
  </si>
  <si>
    <t>DB-SH-F-136; TCL = 17.28kW</t>
  </si>
  <si>
    <t>DB-SH-F-139; TCL = 12kW</t>
  </si>
  <si>
    <t>DB-SH-F-142; TCL = 27.2kW</t>
  </si>
  <si>
    <t>DB-SH-G-021; TCL = 32.80kW</t>
  </si>
  <si>
    <t>DB-SH-G-023; TCL = 32.80kW</t>
  </si>
  <si>
    <t>DB-SH-G-032; TCL = 16kW</t>
  </si>
  <si>
    <t>DB-SH-G-060; TCL = 17.44kW</t>
  </si>
  <si>
    <t>DB-SH-G-063; TCL = 44.16kW</t>
  </si>
  <si>
    <t>DB-SH-G-064; TCL = 17.44kW</t>
  </si>
  <si>
    <t>DB-SH-G-065; TCL = 17.12kW</t>
  </si>
  <si>
    <t>DB-SH-G-066; TCL = 11.52kW</t>
  </si>
  <si>
    <t>DB-SH-G-072; TCL = 29.76kW</t>
  </si>
  <si>
    <t>DB-SH-G-074; TCL = 15.36kW</t>
  </si>
  <si>
    <t>DB-SH-G-075; TCL = 26.88kW</t>
  </si>
  <si>
    <t>DB-SH-G-095; TCL = 12.80kW</t>
  </si>
  <si>
    <t>DB-SH-G-097; TCL = 30.56kW</t>
  </si>
  <si>
    <t>DB-SH-G-099; TCL = 30.56kW</t>
  </si>
  <si>
    <t>DB-SH-G-100; TCL = 13.92kW</t>
  </si>
  <si>
    <t>DB-SH-G-101; TCL = 30.88kW</t>
  </si>
  <si>
    <t>DB-SH-G-103; TCL = 32.64kW</t>
  </si>
  <si>
    <t>DB-SH-G-104; TCL = 32.80kW</t>
  </si>
  <si>
    <t>DB-SH-G-118; TCL = 30.24kW</t>
  </si>
  <si>
    <t>DB-SH-G-120; TCL = 13.28kW</t>
  </si>
  <si>
    <t>DB-SH-G-125; TCL = 24.32kW</t>
  </si>
  <si>
    <t>DB-SH-G-162; TCL = 33.28kW</t>
  </si>
  <si>
    <t>DB-S-01-206; TCL = 24.54kW</t>
  </si>
  <si>
    <t>DB-S-01-SF-FB1; TCL = 16.20kW</t>
  </si>
  <si>
    <t>DB-S-04-103; TCL = 24.57kW</t>
  </si>
  <si>
    <t>DB-SH-S-006; TCL = 18.56kW</t>
  </si>
  <si>
    <t>DB-SH-S-052; TCL = 8.96kW</t>
  </si>
  <si>
    <t>DB-SH-S-056; TCL = 28.16kW</t>
  </si>
  <si>
    <t>DB-SH-S-058; TCL = 38.72kW</t>
  </si>
  <si>
    <t>DB-SH-S-061; TCL = 38kW</t>
  </si>
  <si>
    <t>DB-SH-S-069; TCL = 29.44kW</t>
  </si>
  <si>
    <t>DB-SH-S-075; TCL = 27.2kW</t>
  </si>
  <si>
    <t>DB-SH-S-077; TCL = 9.6kW</t>
  </si>
  <si>
    <t>DB-SH-S-083; TCL = 23.52kW</t>
  </si>
  <si>
    <t>DB-SH-S-087; TCL = 7.36kW</t>
  </si>
  <si>
    <t>DB-SH-S-095; TCL = 7.52kW</t>
  </si>
  <si>
    <t>DB-SH-S-103; TCL = 12.80kW</t>
  </si>
  <si>
    <t>DB-SH-S-105; TCL = 10.40kW</t>
  </si>
  <si>
    <t>DB-SH-S-131; TCL = 7.84kW</t>
  </si>
  <si>
    <t>DB-SH-S-138; TCL = 14.40kW</t>
  </si>
  <si>
    <t>DB-SH-S-140; TCL = 13.76kW</t>
  </si>
  <si>
    <t>DB-SH-S-156; TCL = 17.44kW</t>
  </si>
  <si>
    <t>DB-SH-S-161; TCL = 27.84kW</t>
  </si>
  <si>
    <t>Modification of emergency distribution board</t>
  </si>
  <si>
    <t>EMDB-02-01; TCL = 807.66kW</t>
  </si>
  <si>
    <t>EMDB-03-01; TCL = 536.10kW</t>
  </si>
  <si>
    <t>EMDB-03-02; TCL = 783.49kW</t>
  </si>
  <si>
    <t>EMDB-05-01; TCL = 997.97kW</t>
  </si>
  <si>
    <t>Generator set</t>
  </si>
  <si>
    <t>G-01-03; 225VA, diesel generator, with 400A MCCB</t>
  </si>
  <si>
    <t>G-01-03; 400KVA, diesel generator, with 800A MCCB</t>
  </si>
  <si>
    <t>G-05-03; 228KVA, diesel generator, with 350A MCCB</t>
  </si>
  <si>
    <t>Automatic transfer switch</t>
  </si>
  <si>
    <t>ATS; 350A, 4P</t>
  </si>
  <si>
    <t>ATS; 350A, TP</t>
  </si>
  <si>
    <t>ATS; 400A, TP</t>
  </si>
  <si>
    <t>ATS4; 800A, 4P</t>
  </si>
  <si>
    <t>Kilowatt-hour meter</t>
  </si>
  <si>
    <t>kWh meter</t>
  </si>
  <si>
    <t>CT meter</t>
  </si>
  <si>
    <t>200/5A CT meter</t>
  </si>
  <si>
    <t>300/5A CT meter</t>
  </si>
  <si>
    <t>400/5A CT meter</t>
  </si>
  <si>
    <t>800/5A CT meter</t>
  </si>
  <si>
    <t>1000/5A CT meter</t>
  </si>
  <si>
    <t>1200/5A CT meter</t>
  </si>
  <si>
    <t>1600/5A CT meter</t>
  </si>
  <si>
    <t>2500/50A CT meter</t>
  </si>
  <si>
    <t>Isolating switch</t>
  </si>
  <si>
    <t>20A TP isolator</t>
  </si>
  <si>
    <t>63A TP isolator</t>
  </si>
  <si>
    <t>100A TP isolator</t>
  </si>
  <si>
    <t>160A TP isolator</t>
  </si>
  <si>
    <t>4 x 63A TP weatherproof isolator</t>
  </si>
  <si>
    <t>20A SP weatherproof isolator</t>
  </si>
  <si>
    <t>63A TP weatherproof isolator</t>
  </si>
  <si>
    <t>100A TP weatherproof isolator</t>
  </si>
  <si>
    <t>160A TP weatherproof isolator</t>
  </si>
  <si>
    <t>400A TP weatherproof isolator</t>
  </si>
  <si>
    <t>Small Power</t>
  </si>
  <si>
    <t>Final sub-circuits and all ancillary installations complete; including cabling, containment and terminations as necessary (primary containment measured elsewhere)</t>
  </si>
  <si>
    <t>Socket outlet points</t>
  </si>
  <si>
    <t>733</t>
  </si>
  <si>
    <t>Connection unit points</t>
  </si>
  <si>
    <t>1,053</t>
  </si>
  <si>
    <t>Floor box points</t>
  </si>
  <si>
    <t>Accessories; including fixings, supports, hangers and all ancillary works as necessary</t>
  </si>
  <si>
    <t>13A single floor socket outlet</t>
  </si>
  <si>
    <t>447</t>
  </si>
  <si>
    <t>13A single switch socket outlet</t>
  </si>
  <si>
    <t>178</t>
  </si>
  <si>
    <t>20A twin socket outlet</t>
  </si>
  <si>
    <t>Connection unit</t>
  </si>
  <si>
    <t>827</t>
  </si>
  <si>
    <t>Connection unit, ceiling mounted</t>
  </si>
  <si>
    <t>Connection unit, floor mounted</t>
  </si>
  <si>
    <t>Connection unit with switch</t>
  </si>
  <si>
    <t>158</t>
  </si>
  <si>
    <t>Connection unit with switch and flexible cable connection</t>
  </si>
  <si>
    <t>Type FB3; under screed floor box with 2no. twin power socket and 2x data points (data outlet measured separately)</t>
  </si>
  <si>
    <t>Earthing and lightning protection</t>
  </si>
  <si>
    <t>Earthing cables; including support, fixing accessories, connections and all ancillary works as necessary</t>
  </si>
  <si>
    <t>120mm² bare copper cable</t>
  </si>
  <si>
    <t>438</t>
  </si>
  <si>
    <t>150mm² Cu/PVC cable</t>
  </si>
  <si>
    <t>25 x 3mm bare copper tape</t>
  </si>
  <si>
    <t>Accessories; including fixings, supports and all ancillary works as necessary</t>
  </si>
  <si>
    <t>Earth bar</t>
  </si>
  <si>
    <t>Nr,</t>
  </si>
  <si>
    <t>Earth pit</t>
  </si>
  <si>
    <t>Air terminal</t>
  </si>
  <si>
    <t>Allow for bonding of new earthing and lightning protection system to the nearest existing earth pit and all ancillary works as necessary</t>
  </si>
  <si>
    <t>LIGHTING INSTALLATION</t>
  </si>
  <si>
    <t>1) Drawing Nr. E-00003 to 00030, E-12560 to 12624, E-00300, AKA-CDM-ZZ-B1-DR-LT-120 to XX-DR-LT-166, Al Khail_R20_LTG_LT: 3D View and Series ID-700; all inclusive</t>
  </si>
  <si>
    <t>2) Lighting Fixture Schedule - Interior dated March 30, 2022, Lighting Fixture Control Schedule- Interior dated April 1, 2022, Lighting Fixture Schedule- Landscape dated September 16, 2021 and Lighting Fixture Control Schedule- Landscape dated March 30, 2022</t>
  </si>
  <si>
    <t>3) Al Khail Avenue Mall Redevelopment Electrical Specifications dated March 28, 2022</t>
  </si>
  <si>
    <t>Final sub-circuits and auxiliary installations complete; including cabling, containment and terminations as necessary</t>
  </si>
  <si>
    <t>Facade light points</t>
  </si>
  <si>
    <t>416</t>
  </si>
  <si>
    <t>Facade linear light points</t>
  </si>
  <si>
    <t>5,223</t>
  </si>
  <si>
    <t>Interior light points</t>
  </si>
  <si>
    <t>9,527</t>
  </si>
  <si>
    <t>EM-39
EM-73</t>
  </si>
  <si>
    <t>Interior linear light points</t>
  </si>
  <si>
    <t>21,869</t>
  </si>
  <si>
    <t>Interior areal lighting points</t>
  </si>
  <si>
    <t>362</t>
  </si>
  <si>
    <t>BOH light points</t>
  </si>
  <si>
    <t>800</t>
  </si>
  <si>
    <t>Concealed linear light points</t>
  </si>
  <si>
    <t>Landscape lighting points</t>
  </si>
  <si>
    <t>432</t>
  </si>
  <si>
    <t>Landscape linear lighting points</t>
  </si>
  <si>
    <t>1,420</t>
  </si>
  <si>
    <t>Light switch points</t>
  </si>
  <si>
    <t>658</t>
  </si>
  <si>
    <t>LIGHTING INSTALLATION (Cont´d)</t>
  </si>
  <si>
    <t>Light fittings; including fixings, supports, hangers and all ancillary works as necessary</t>
  </si>
  <si>
    <t>Facade lighting</t>
  </si>
  <si>
    <t>Type FL1; 1.5 W/m handrail integrated tapelight, 550 lm, IP67 rating</t>
  </si>
  <si>
    <t>304</t>
  </si>
  <si>
    <t>EM-50</t>
  </si>
  <si>
    <t>Type FL2; 36W/m linear LED light, 1144 lm, IP68 rating</t>
  </si>
  <si>
    <t>Type FL2A; 20W/m recessed linear lights, 1781 lm/m, IP65 rating</t>
  </si>
  <si>
    <t>306</t>
  </si>
  <si>
    <t>Type FL3; 14W downlights to highlight the column, 1365 lm, IP65 rating</t>
  </si>
  <si>
    <t>Type FL4; 20W recessed ring lights, 1781 lm/m, IP65 rating</t>
  </si>
  <si>
    <t>Type FL5; 28W surface mounted downright within ceiling slot, 3100 lm, IP20 rating</t>
  </si>
  <si>
    <t>227</t>
  </si>
  <si>
    <t>Type FL5A; 28W surface mounted downright within ceiling slot, 5213 lm, IP20 rating</t>
  </si>
  <si>
    <t>98</t>
  </si>
  <si>
    <t>Type FL6; 54W LED projector lights, 1200 lm, IP66 rating</t>
  </si>
  <si>
    <t>Type FL7; 10.6W/m linear LED tape light, 1200 lm/m, IP67 rating</t>
  </si>
  <si>
    <t>2,265</t>
  </si>
  <si>
    <t>Type FL7A; 36W/m LED fixed linear light, 3000K, 1144 lm, CRI 90, Satin stainless steel inox Aisi 316 L finish, IP68 rating</t>
  </si>
  <si>
    <t>Type FL8; 36W/m continuous linear LED light, 1144 lm, IP68 rating</t>
  </si>
  <si>
    <t>624</t>
  </si>
  <si>
    <t>Type FL9; 10.6W/M side-bend flexible linear LED tape light, 1200 lm/m, IP67 rating</t>
  </si>
  <si>
    <t>1,512</t>
  </si>
  <si>
    <t>Type FL12; 10W LED adjustable surface mounted projector, 3000K, 677 lm, CRI 90, to match canopy finish, IP67 rating</t>
  </si>
  <si>
    <t>Interior lighting</t>
  </si>
  <si>
    <t>Type IL1; 36W ceiling recessed downlights, 3000 lm, IP20 rating</t>
  </si>
  <si>
    <t>3,401</t>
  </si>
  <si>
    <t>Type IL1A; 28W surface mounted downlight within ceiling slot, 3100 lm, IP20 rating</t>
  </si>
  <si>
    <t>1,033</t>
  </si>
  <si>
    <t>Type IL1B; 28W surface mounted downlight within ceiling slot, 3100 lm, IP20 rating</t>
  </si>
  <si>
    <t>568</t>
  </si>
  <si>
    <t>Type IL1C; 28W surface mounted adjustable spotlight within ceiling slot, 1250 lm, IP20 rating</t>
  </si>
  <si>
    <t>Type IL2; 42W ceiling recessed downlights, 3000K, 5000 lm, IP20 rating</t>
  </si>
  <si>
    <t>1,132</t>
  </si>
  <si>
    <t>Type IL2A; 42W ceiling recessed downlights, 5000 lm, IP20 rating</t>
  </si>
  <si>
    <t>Type IL2B; 42W ceiling recessed downlights, 5000 lm, IP20 rating</t>
  </si>
  <si>
    <t>Type IL3; 10.6W/m side-bend flexible linear LED tape light, 1200 lm/m, IP67 rating</t>
  </si>
  <si>
    <t>18,006</t>
  </si>
  <si>
    <t>Type IL4; 36W recessed downlights, 3600 lm, IP20 rating</t>
  </si>
  <si>
    <t>Type IL5; 7.2W/m linear LED tape light, 680 lm/m, IP20 rating</t>
  </si>
  <si>
    <t>205</t>
  </si>
  <si>
    <t>Type IL6; 10W timeless mini downlights, 749 lm, IP20 rating</t>
  </si>
  <si>
    <t>670</t>
  </si>
  <si>
    <t>Type IL6A; 7W surface mounted downlights, 496 lm, IP20 rating</t>
  </si>
  <si>
    <t>Type IL6C; 36W suspended decorative lights, 1200 lm, IP67 rating</t>
  </si>
  <si>
    <t>Type IL10; 15W recessed downlights, 1826 lm, IP20 rating</t>
  </si>
  <si>
    <t>1,208</t>
  </si>
  <si>
    <t>Type IL10A; 9W recessed downlights, 1000 lm, IP44 rating</t>
  </si>
  <si>
    <t>75</t>
  </si>
  <si>
    <t>Type IL13; 35W surface mounted linear light, 1144 lm/m, IP67 rating</t>
  </si>
  <si>
    <t>2,844</t>
  </si>
  <si>
    <t>Type IL14; 60W backlit panel, 6460 lm/m, IP20 rating</t>
  </si>
  <si>
    <t>Type IL17; 36W ceiling recessed downlights, 3000 lm, IP20 rating</t>
  </si>
  <si>
    <t>333</t>
  </si>
  <si>
    <t>Type IL18; 55W LED panel, 5000 lm, IP40 rating</t>
  </si>
  <si>
    <t>259</t>
  </si>
  <si>
    <t>Type IL19; 28W suspended downlights, 3100 lm, IP20 rating</t>
  </si>
  <si>
    <t>Type IL20; 11.5W front facing LED tapelight, 380 lm/m, IP67 rating</t>
  </si>
  <si>
    <t>814</t>
  </si>
  <si>
    <t>BOH lighting</t>
  </si>
  <si>
    <t>Type DL3; 54W normal light circular big surface</t>
  </si>
  <si>
    <t>Type DL4; 27W recessed LED down light, 90+CRI die cast aluminum body, recessed diffusing lens and lower reflector, 2000 lm, 4000K, IP44 rating</t>
  </si>
  <si>
    <t>161</t>
  </si>
  <si>
    <t>Type DL5; recessed circular LED down light, aluminum injection housing with aluminum heat sink, UV resistant, non yellowing, opal white diffuser, 1100lm, 4000K, IP44 rating</t>
  </si>
  <si>
    <t>Type L1; 54W LED normal linear light</t>
  </si>
  <si>
    <t>372</t>
  </si>
  <si>
    <t>Type RL5; 36W 3D recessed LED luminaire, white sheet steel body with electrostatic powder coating, with prismatic structured opal white diffuser, 4350lm, 4000K, IP44 rating</t>
  </si>
  <si>
    <t>Type SF5; 2 x 13W surface mounted luminaire, tough injection moulded prismatic UV resistant polycarbonate diffuser, IP55</t>
  </si>
  <si>
    <t>Type SL6; 10W LED canopy/soffit luminaire with metal body, powder-coated, cover fixed by pressure lock, cover plastic (PMMA), opal.1050lm surface mounted, 3000K, IP40</t>
  </si>
  <si>
    <t>Type SL11; 26W LED wall/ceiling mounted luminaire with sheet steel heat sink/reflector painted in white color, L1600 x W110 x H90mm body in polycarbonate grey and UV stabilised polycarbonate diffuser, 3090lm, 4000K, IP66</t>
  </si>
  <si>
    <t>Type SL39; 47W LED surface /pendant mounted luminaire with fitting sheet steel powder - coated,aluminum anodised frame, plastic diffuser L598 X B598 X H49mm , 4000K, IP40 rating</t>
  </si>
  <si>
    <t>126</t>
  </si>
  <si>
    <t>Concealed LED linear lighting</t>
  </si>
  <si>
    <t>Landscape lighting</t>
  </si>
  <si>
    <t>Type LL2; 14W adjustable outdoor rated spike light, 37 beam angle, 3000K, 862 lm, CRI 90, IP66 rating</t>
  </si>
  <si>
    <t>Type LL5; 11.5W/m LED tapelight under the skirting and benches, 600 lm/m, IP67 rating</t>
  </si>
  <si>
    <t>976</t>
  </si>
  <si>
    <t>Type LL5A; 11.5W/m LED tapelight under the skirting and benches, 600 lm/m, IP68 rating</t>
  </si>
  <si>
    <t>444</t>
  </si>
  <si>
    <t>Type LL6; 18W floor recessed uplights, 2301 lm, IP66 rating</t>
  </si>
  <si>
    <t>Type LL6A; 15W floor recessed under water uplights, 1700 lm, IP68 rating</t>
  </si>
  <si>
    <t>Type LL7; 7W spike light for shrubs, 374 lm, IP66 rating</t>
  </si>
  <si>
    <t>170</t>
  </si>
  <si>
    <t>Lighting switches; including supports and ancillary work as necessary</t>
  </si>
  <si>
    <t>1 gang 1 way switch</t>
  </si>
  <si>
    <t>1 gang 1 way switch, weatherproof</t>
  </si>
  <si>
    <t>1 gang 2 way switch</t>
  </si>
  <si>
    <t>2 gang 2 way switch</t>
  </si>
  <si>
    <t>Occupancy sensor</t>
  </si>
  <si>
    <t>237</t>
  </si>
  <si>
    <t>Presence detector</t>
  </si>
  <si>
    <t>Allow for LED strip lights with diffuser cover for bulkhead and handrail at level 1 and 2 as detail drawing nr. ID-504-8 and ID-512-5</t>
  </si>
  <si>
    <t>Allow for feature stair lighting at level 2, food cluster - east</t>
  </si>
  <si>
    <t>Emergency lighting system</t>
  </si>
  <si>
    <t>Emergency light points</t>
  </si>
  <si>
    <t>3,377</t>
  </si>
  <si>
    <t>Emergency exit light points</t>
  </si>
  <si>
    <t>204</t>
  </si>
  <si>
    <t>Type E1; rectangular surface mounted emergency luminaires in polycarbonate enclosure, IP65 with clear cover &amp; 18W lamp along with addressable electronic ballast</t>
  </si>
  <si>
    <t>Type E2; rectangular recess mounted emergency luminaires in polycarbonate enclosure, with clear cover &amp; 11W lamp along with addressable electronic ballast</t>
  </si>
  <si>
    <t>212</t>
  </si>
  <si>
    <t>Type E2; circular recess mounted emergency luminaires in polycarbonate enclosure, with clear cover &amp; 11W lamp along with addressable electronic ballast</t>
  </si>
  <si>
    <t>1,142</t>
  </si>
  <si>
    <t>Type E5: surface mounted emergency luminaires in polycarbonate enclosure, IP65 with clear cover &amp; 11W lamp along with addressable electronic ballast</t>
  </si>
  <si>
    <t>Type E1S1: rectangle surface mounted emergency luminaires in polycarbonate enclosure, with clear cover &amp; 11W lamp.it is also fitted with low loss addressable electronic ballast. suspended by 1m and 1.5m</t>
  </si>
  <si>
    <t>Type E1S2; rectangle surface mounted emergency luminaires in polycarbonate enclosure, with clear cover &amp; 11W lamp.it is also fitted with low loss addressable electronic ballast. suspended by 1m and 1.5m</t>
  </si>
  <si>
    <t>1,983</t>
  </si>
  <si>
    <t>Type EM; rectangular emergency luminaires</t>
  </si>
  <si>
    <t>Type EX1; ceiling mounted exit luminaires in aluminum diecast, polycarbonate enclosure IP65 and with high power LEDs 2 x 1.5W.it is also fitted with low loss addressable led driver</t>
  </si>
  <si>
    <t>Type EX1; surface mounted exit luminaires in aluminum diecast, polycarbonate enclosure IP65 and with high power LEDs 2 x 1.5W.it is also fitted with low loss addressable led driver</t>
  </si>
  <si>
    <t>Type EX1: ceiling mounted, 2 sided left arrow exit sign luminaires in aluminum diecast, polycarbonate enclosure IP65 and with high power LEDs 2 x 1.5W.it is also fitted with low loss addressable led driver</t>
  </si>
  <si>
    <t>168</t>
  </si>
  <si>
    <t>Type EX4: wall mounted, down arrow exit sign</t>
  </si>
  <si>
    <t>FIRE DETECTION  AND ALARM SYSTEM</t>
  </si>
  <si>
    <t>1) Drawing Nr. E-00003 to 00012, E-12675 to 12729, F-12000 to 12105 and Al Khail_R20_ELEC_LT: 3D View; all inclusive</t>
  </si>
  <si>
    <t>Ceiling/surface mounted smoke detector</t>
  </si>
  <si>
    <t>2,429</t>
  </si>
  <si>
    <t>Ceiling void mounted smoke detector</t>
  </si>
  <si>
    <t>Ceiling mounted fire alarm strobe</t>
  </si>
  <si>
    <t>Wall mounted fire alarm strobe</t>
  </si>
  <si>
    <t>Fireman telephone:</t>
  </si>
  <si>
    <t>Manual call point</t>
  </si>
  <si>
    <t>Ceiling Speaker, EVACS</t>
  </si>
  <si>
    <t>1,038</t>
  </si>
  <si>
    <t>Wall Speaker, EVACS</t>
  </si>
  <si>
    <t>Fire alarm sounder with flasher</t>
  </si>
  <si>
    <t>Disabled alarm pull cord unit; ref DAPU</t>
  </si>
  <si>
    <t xml:space="preserve">Disabled alarm reset button; ref RB: </t>
  </si>
  <si>
    <t>Fire alarm control module relay; ref CM</t>
  </si>
  <si>
    <t>291</t>
  </si>
  <si>
    <t>Fire alarm module relay; ref CR</t>
  </si>
  <si>
    <t>Monitoring module relay; ref MM</t>
  </si>
  <si>
    <t>293</t>
  </si>
  <si>
    <t>Fire alarm module; ref ZM</t>
  </si>
  <si>
    <t>FIRE DETECTION  AND ALARM SYSTEM (Cont´d)</t>
  </si>
  <si>
    <t>Equipment; including fixings, supports, hangers and all ancillary works as necessary</t>
  </si>
  <si>
    <t>TELECOM INSTALLATION</t>
  </si>
  <si>
    <t>1) Drawing Nr. E-00003 to 00012, T-12555 to 12664 and Al Khail_R20_ELEC_LT: 3D View; all inclusive</t>
  </si>
  <si>
    <t>1 duplex RJ45 outlet and 2 core fiber optic cable, floor mounted, Ref: FL1</t>
  </si>
  <si>
    <t>1 duplex RJ45 outlet and 2 core fiber optic cable, wall mounted, Ref: 2D W</t>
  </si>
  <si>
    <t>113</t>
  </si>
  <si>
    <t>Single RJ45 outlet, ceiling mounted, Ref: 1D C</t>
  </si>
  <si>
    <t>548</t>
  </si>
  <si>
    <t>Single RJ45 outlet, ceiling mounted, Ref: additional for WAP</t>
  </si>
  <si>
    <t>107</t>
  </si>
  <si>
    <t>Twin RJ45 outlet, Ref: 2D W</t>
  </si>
  <si>
    <t>Single RJ45 outlet, wall mounted, Ref: 1D W</t>
  </si>
  <si>
    <t>Wifi access point Ref: WAP</t>
  </si>
  <si>
    <t>Ref: FB3; under screed floor box with 2 no. of twin power socket, 2 no. of data points with fiber optic cable (floor box and socket outlet measured separately)</t>
  </si>
  <si>
    <t>Ref: FB4; under screed floor box with 2 no. of twin power socket, 2 no. of twin RJ45 (floor box and socket outlet measured separately)</t>
  </si>
  <si>
    <t>Ceiling mounted TETRA antenna</t>
  </si>
  <si>
    <t>Consolidation cabinet; ref CC</t>
  </si>
  <si>
    <t>TELECOM INSTALLATION (Cont´d)</t>
  </si>
  <si>
    <t>Optical distribution frame, Ref: ODF</t>
  </si>
  <si>
    <t>Telecommunications rack, Ref: TCR</t>
  </si>
  <si>
    <t>AV SYSTEM INSTALLATION</t>
  </si>
  <si>
    <t>1) Drawing Nr. ID-301 Series and ID-510-2</t>
  </si>
  <si>
    <t>Allow for LED display screen for all bridge pod as reflected in gardenwalk details bridge pod type B; including cables, conduits, connections to existing AV system, power supply and all ancillary works as necessary</t>
  </si>
  <si>
    <t>SECURITY SYSTEM INSTALLATION</t>
  </si>
  <si>
    <t>1) Drawing Nr. E-00003 to 00012 and E-12785 to 12844; all inclusive</t>
  </si>
  <si>
    <t>Camera points</t>
  </si>
  <si>
    <t>477</t>
  </si>
  <si>
    <t>EM-65</t>
  </si>
  <si>
    <t>Access control points</t>
  </si>
  <si>
    <t>72</t>
  </si>
  <si>
    <t>Equipment points</t>
  </si>
  <si>
    <t>Ceiling type indoor dome camera, detection; Ref: T1 CD</t>
  </si>
  <si>
    <t>Ceiling type indoor dome camera, identification; Ref: T1 CI</t>
  </si>
  <si>
    <t>Ceiling type indoor dome camera, recognition; Ref: T1 CR</t>
  </si>
  <si>
    <t>95</t>
  </si>
  <si>
    <t>Wall mounted indoor dome camera, detection; Ref: T6 WD</t>
  </si>
  <si>
    <t>209</t>
  </si>
  <si>
    <t>Wall mounted indoor dome camera, recognition; Ref: T6 WR</t>
  </si>
  <si>
    <t>Wall mounted bullet wdr camera, detection; Ref: T8 WD</t>
  </si>
  <si>
    <t>Wall mounted bullet wdr camera, identification; Ref: T8 WI</t>
  </si>
  <si>
    <t>Dome IP camera, pole mounted</t>
  </si>
  <si>
    <t>SECURITY SYSTEM INSTALLATION (Cont´d)</t>
  </si>
  <si>
    <t>Dome IP camera, wall mounted</t>
  </si>
  <si>
    <t>Access control; including supports and ancillary work as necessary</t>
  </si>
  <si>
    <t>Type CR: card reader</t>
  </si>
  <si>
    <t>Type DC; access control electromagnetic lock</t>
  </si>
  <si>
    <t>Type EL; electric lock</t>
  </si>
  <si>
    <t>Type PB: Push button</t>
  </si>
  <si>
    <t>Equipment; including fixings, supports and ancillary work as necessary</t>
  </si>
  <si>
    <t xml:space="preserve"> Type PCS; people counting system</t>
  </si>
  <si>
    <t>Allow for all supports, fixings, anchors and insulating blocks where not included above or elsewhere</t>
  </si>
  <si>
    <t>Allow for all identification including painting, marking and labeling</t>
  </si>
  <si>
    <t>Allow for providing in suitable quantities all special tools, operating handles and keys or other equipment necessary for installation, maintenance or operation of the completed installation</t>
  </si>
  <si>
    <t>Allow for providing spares for the Electrical Engineering Installation</t>
  </si>
  <si>
    <t xml:space="preserve">Allow for providing connection from existing BMS system to Electrical Engineering Installation as required in drawings and specifications </t>
  </si>
  <si>
    <t>WORK INCIDENTAL AND BWIC</t>
  </si>
  <si>
    <t>Work Incidental to Electrical Engineering Installations</t>
  </si>
  <si>
    <t>Allow for liaison with obtaining approvals and attendance on DEWA, other statutory bodies and service providers as required</t>
  </si>
  <si>
    <t>Allow for marking the positions of and cutting or forming holes, mortices, chases or the like and all making good</t>
  </si>
  <si>
    <t>Allow for supplying and fixing all brackets, clamps and other fixing devices including building in or cutting and pinning and all making good</t>
  </si>
  <si>
    <t>Allow for fire stopping all cables, conduit, trucking, cable tray and the like at penetrations through fire walls and other structures and making good</t>
  </si>
  <si>
    <t>Allow for all incidental work including factory finishing, fixing to all backgrounds by appropriate means and all making good</t>
  </si>
  <si>
    <t>Allow for all protective painting including removing protective coatings or wrappings and cleaning exposed surfaces for Electrical installations.</t>
  </si>
  <si>
    <t>Allow for all decorative painting including removing protective coatings or wrappings and cleaning exposed surfaces for Electrical installations.</t>
  </si>
  <si>
    <t>WORK INCIDENTAL AND BWIC (Cont´d)</t>
  </si>
  <si>
    <t>Allow for training the Employer's Staff to operate and maintain the Electrical Engineering Installations</t>
  </si>
  <si>
    <t>Allow for all incidental work to the Electrical Engineering Installations where not included above or elsewhere</t>
  </si>
  <si>
    <t>Builders work in connection (BWIC) with Electrical Engineering Installations</t>
  </si>
  <si>
    <t>Allow for all BWIC with Electrical Engineering Installations where not included above or elsewhere</t>
  </si>
  <si>
    <t>Allow for any other works which are not included above and which are required to complete the Electrical Engineering Installations in accordance with the Specification and the drawings (Tenderer to list below):</t>
  </si>
  <si>
    <t>Additional Items</t>
  </si>
  <si>
    <t>Switchgear</t>
  </si>
  <si>
    <t>Façade Lighting</t>
  </si>
  <si>
    <t>Cables</t>
  </si>
  <si>
    <t>Active Harmonic Filter (PTC-7)</t>
  </si>
  <si>
    <t>Deleted - Refer to Client VE-53</t>
  </si>
  <si>
    <t>EM-53</t>
  </si>
  <si>
    <t>D1</t>
  </si>
  <si>
    <t>Additional cost for  ICT Active Components based on Aruba</t>
  </si>
  <si>
    <t>VE Adjustment</t>
  </si>
  <si>
    <t>VE-50: Light Fixture Type IL13-Quantity Adjustment</t>
  </si>
  <si>
    <t>VE 71 : Existing Generators are to be retained. New Generators in the design no longer required including all associated Ventilation</t>
  </si>
  <si>
    <t>VE-60: Electrical Power - Re-use of dismantled cables etc. where possible</t>
  </si>
  <si>
    <t>EM-60</t>
  </si>
  <si>
    <t>VE-61: Lighting - Re-use of emergency lights, fixtures where possible</t>
  </si>
  <si>
    <t>EM-61</t>
  </si>
  <si>
    <t>VE-67: Structured Cabling - Existing to be retained / re-used as much as possible</t>
  </si>
  <si>
    <t>EM-67</t>
  </si>
  <si>
    <t>VE-68: Existing Head end shall be Retained. Dismantled Parking Guidance Sensors shall be Reused in place of New Sensors.</t>
  </si>
  <si>
    <t>Deleted as per PTC 26</t>
  </si>
  <si>
    <t>EM-68</t>
  </si>
  <si>
    <t>Preliminaries for MEP Works within Bill No. 3 Section R</t>
  </si>
  <si>
    <t>Page 3/R/1</t>
  </si>
  <si>
    <t>Page 3/R/2</t>
  </si>
  <si>
    <t>Page 3/R/3</t>
  </si>
  <si>
    <t>Page 3/R/4</t>
  </si>
  <si>
    <t>Page 3/R/5</t>
  </si>
  <si>
    <t>Page 3/R/6</t>
  </si>
  <si>
    <t>Page 3/R/7</t>
  </si>
  <si>
    <t>Page 3/R/8</t>
  </si>
  <si>
    <t>Page 3/R/9</t>
  </si>
  <si>
    <t>Page 3/R/10</t>
  </si>
  <si>
    <t>Page 3/R/11</t>
  </si>
  <si>
    <t>Page 3/R/12</t>
  </si>
  <si>
    <t>Page 3/R/13</t>
  </si>
  <si>
    <t>Page 3/R/14</t>
  </si>
  <si>
    <t>Page 3/R/15</t>
  </si>
  <si>
    <t>Page 3/R/16</t>
  </si>
  <si>
    <t>Page 3/R/17</t>
  </si>
  <si>
    <t>Page 3/R/18</t>
  </si>
  <si>
    <t>Page 3/R/19</t>
  </si>
  <si>
    <t>Page 3/R/20</t>
  </si>
  <si>
    <t>Page 3/R/21</t>
  </si>
  <si>
    <t>Page 3/R/22</t>
  </si>
  <si>
    <t>Page 3/R/23</t>
  </si>
  <si>
    <t>Page 3/R/24</t>
  </si>
  <si>
    <t>Page 3/R/25</t>
  </si>
  <si>
    <t>Page 3/R/26</t>
  </si>
  <si>
    <t>Page 3/R/27</t>
  </si>
  <si>
    <t>Page 3/R/28</t>
  </si>
  <si>
    <t>Page 3/R/29</t>
  </si>
  <si>
    <t>Page 3/R/30</t>
  </si>
  <si>
    <t>Page 3/R/31</t>
  </si>
  <si>
    <t>Page 3/R/32</t>
  </si>
  <si>
    <t>Page 3/R/33</t>
  </si>
  <si>
    <t>Page 3/R/34</t>
  </si>
  <si>
    <t>Page 3/R/35</t>
  </si>
  <si>
    <t>Page 3/R/36</t>
  </si>
  <si>
    <t>Page 3/R/37</t>
  </si>
  <si>
    <t>Page 3/R/38</t>
  </si>
  <si>
    <t>Page 3/R/39</t>
  </si>
  <si>
    <t>Page 3/R/40</t>
  </si>
  <si>
    <t>Page 3/R/41</t>
  </si>
  <si>
    <t>Page 3/R/42</t>
  </si>
  <si>
    <t>Page 3/R/43</t>
  </si>
  <si>
    <t>Page 3/R/44</t>
  </si>
  <si>
    <t>Page 3/R/45</t>
  </si>
  <si>
    <t>Page 3/R/46</t>
  </si>
  <si>
    <t>Page 3/R/47</t>
  </si>
  <si>
    <t>Page 3/R/48</t>
  </si>
  <si>
    <t>Page 3/R/49</t>
  </si>
  <si>
    <t>Page 3/R/50</t>
  </si>
  <si>
    <t>Page 3/R/51</t>
  </si>
  <si>
    <t>Page 3/R/52</t>
  </si>
  <si>
    <t>Page 3/R/53</t>
  </si>
  <si>
    <t>Page 3/R/54</t>
  </si>
  <si>
    <t>Page 3/R/55</t>
  </si>
  <si>
    <t>Page 3/R/56</t>
  </si>
  <si>
    <t>Page 3/R/57</t>
  </si>
  <si>
    <t>Page 3/R/58</t>
  </si>
  <si>
    <t>Page 3/R/59</t>
  </si>
  <si>
    <t>Page 3/R/60</t>
  </si>
  <si>
    <t>Page 3/R/61</t>
  </si>
  <si>
    <t>Page 3/R/62</t>
  </si>
  <si>
    <t>Page 3/R/63</t>
  </si>
  <si>
    <t>Page 3/R/64</t>
  </si>
  <si>
    <t>Page 3/R/65</t>
  </si>
  <si>
    <t>Page 3/R/66</t>
  </si>
  <si>
    <t>Page 3/R/67</t>
  </si>
  <si>
    <t>Page 3/R/68</t>
  </si>
  <si>
    <t>Page 3/R/69</t>
  </si>
  <si>
    <t>Page Nr.</t>
  </si>
  <si>
    <t>Amount 
AED</t>
  </si>
  <si>
    <t>SUMMARY</t>
  </si>
  <si>
    <t>SITEWORK</t>
  </si>
  <si>
    <t>3/B/1 - 3/B/6</t>
  </si>
  <si>
    <t>3/B/EO/1</t>
  </si>
  <si>
    <t>3/C/1 - 3/C/7</t>
  </si>
  <si>
    <t>3/C/EO/1 - 3/C/EO/3</t>
  </si>
  <si>
    <t>3/D/1 - 3/D/2</t>
  </si>
  <si>
    <t>METALWORK</t>
  </si>
  <si>
    <t>3/E/1 - 3/E/7</t>
  </si>
  <si>
    <t>3/F/1 - 3/F/12</t>
  </si>
  <si>
    <t>3/G/1 - 3/G/2</t>
  </si>
  <si>
    <t>3/H/1 - 3/H/11</t>
  </si>
  <si>
    <t>3/J/1 - 3/J/20</t>
  </si>
  <si>
    <t>3/K/1 - 3/K/16</t>
  </si>
  <si>
    <t>3/M/1 - 3/M/5</t>
  </si>
  <si>
    <t>3/N/1 - 3/N/3</t>
  </si>
  <si>
    <t>CONVEYING SYSTEM</t>
  </si>
  <si>
    <t>3/P/1 - 3/P/8</t>
  </si>
  <si>
    <t>3/Q/1 - 3/Q/40</t>
  </si>
  <si>
    <t>3/R/1 - 3/R/66</t>
  </si>
  <si>
    <t>TOTAL FOR BILL NO. 3 -MALL REFURBISHMENT</t>
  </si>
  <si>
    <t>TO MAIN SUMMARY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</si>
</sst>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00_-;\-* #,##0.00_-;_-* &quot;-&quot;??_-;_-@_-"/>
  </numFmts>
  <fonts count="46">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1"/>
      <name val="Arial"/>
      <family val="2"/>
    </font>
    <font>
      <u/>
      <sz val="11"/>
      <name val="Arial"/>
      <family val="2"/>
    </font>
    <font>
      <sz val="11"/>
      <color theme="1"/>
      <name val="Calibri"/>
      <family val="2"/>
      <scheme val="minor"/>
    </font>
    <font>
      <sz val="11"/>
      <color theme="1"/>
      <name val="Arial"/>
      <family val="2"/>
    </font>
    <font>
      <sz val="11"/>
      <color indexed="8"/>
      <name val="Arial"/>
      <family val="2"/>
    </font>
    <font>
      <u/>
      <sz val="11"/>
      <color indexed="8"/>
      <name val="Arial"/>
      <family val="2"/>
    </font>
    <font>
      <b/>
      <sz val="11"/>
      <name val="Arial"/>
      <family val="2"/>
    </font>
    <font>
      <sz val="11"/>
      <color rgb="FFFF0000"/>
      <name val="Arial"/>
      <family val="2"/>
    </font>
    <font>
      <sz val="10"/>
      <color theme="0"/>
      <name val="Arial"/>
      <family val="2"/>
    </font>
    <font>
      <b/>
      <sz val="9"/>
      <color theme="0"/>
      <name val="Arial"/>
      <family val="2"/>
    </font>
    <font>
      <sz val="9"/>
      <name val="Arial"/>
      <family val="2"/>
    </font>
    <font>
      <u/>
      <sz val="11"/>
      <color rgb="FF000000"/>
      <name val="Arial"/>
      <family val="2"/>
    </font>
    <font>
      <sz val="11"/>
      <color rgb="FF000000"/>
      <name val="Arial"/>
      <family val="2"/>
    </font>
    <font>
      <sz val="8"/>
      <name val="Arial"/>
      <family val="2"/>
    </font>
    <font>
      <u/>
      <sz val="11"/>
      <color theme="1"/>
      <name val="Arial"/>
      <family val="2"/>
    </font>
    <font>
      <u/>
      <sz val="11"/>
      <color theme="1"/>
      <name val="Calibri"/>
      <family val="2"/>
      <scheme val="minor"/>
    </font>
    <font>
      <u/>
      <sz val="10"/>
      <name val="Arial"/>
      <family val="2"/>
    </font>
    <font>
      <sz val="10"/>
      <name val="Arial"/>
      <family val="2"/>
    </font>
    <font>
      <b/>
      <sz val="11"/>
      <color theme="1"/>
      <name val="Calibri"/>
      <family val="2"/>
      <scheme val="minor"/>
    </font>
    <font>
      <sz val="9"/>
      <color rgb="FFFF0000"/>
      <name val="Arial"/>
      <family val="2"/>
    </font>
    <font>
      <sz val="11"/>
      <color rgb="FF00B050"/>
      <name val="Arial"/>
      <family val="2"/>
    </font>
    <font>
      <sz val="9"/>
      <color theme="1"/>
      <name val="Arial"/>
      <family val="2"/>
    </font>
    <font>
      <strike/>
      <sz val="11"/>
      <color rgb="FF000000"/>
      <name val="Arial"/>
      <family val="2"/>
    </font>
    <font>
      <b/>
      <sz val="10"/>
      <color rgb="FFFF0000"/>
      <name val="Arial"/>
      <family val="2"/>
    </font>
    <font>
      <i/>
      <sz val="10"/>
      <color rgb="FFFF0000"/>
      <name val="Arial"/>
      <family val="2"/>
    </font>
    <font>
      <i/>
      <sz val="11"/>
      <color rgb="FFFF0000"/>
      <name val="Arial"/>
      <family val="2"/>
    </font>
    <font>
      <sz val="11"/>
      <color rgb="FFFF0000"/>
      <name val="Calibri"/>
      <family val="2"/>
      <scheme val="minor"/>
    </font>
    <font>
      <sz val="8"/>
      <color rgb="FFFF0000"/>
      <name val="Arial"/>
      <family val="2"/>
    </font>
    <font>
      <sz val="10"/>
      <color rgb="FFFF0000"/>
      <name val="Arial"/>
      <family val="2"/>
    </font>
    <font>
      <b/>
      <sz val="11"/>
      <color rgb="FFFF0000"/>
      <name val="Arial"/>
      <family val="2"/>
    </font>
    <font>
      <sz val="11"/>
      <color rgb="FF002060"/>
      <name val="Arial"/>
      <family val="2"/>
    </font>
    <font>
      <sz val="11"/>
      <color rgb="FF002060"/>
      <name val="Calibri"/>
      <family val="2"/>
      <scheme val="minor"/>
    </font>
    <font>
      <sz val="10"/>
      <color rgb="FF002060"/>
      <name val="Arial"/>
      <family val="2"/>
    </font>
    <font>
      <u/>
      <sz val="10"/>
      <color rgb="FF002060"/>
      <name val="Arial"/>
      <family val="2"/>
    </font>
    <font>
      <i/>
      <sz val="11"/>
      <color rgb="FF002060"/>
      <name val="Arial"/>
      <family val="2"/>
    </font>
    <font>
      <b/>
      <i/>
      <sz val="11"/>
      <color rgb="FF002060"/>
      <name val="Arial"/>
      <family val="2"/>
    </font>
    <font>
      <u/>
      <sz val="11"/>
      <color rgb="FF002060"/>
      <name val="Arial"/>
      <family val="2"/>
    </font>
    <font>
      <sz val="8"/>
      <name val="Arial"/>
      <family val="2"/>
    </font>
    <font>
      <strike/>
      <sz val="11"/>
      <color theme="1"/>
      <name val="Arial"/>
      <family val="2"/>
    </font>
    <font>
      <strike/>
      <sz val="10"/>
      <name val="Arial"/>
      <family val="2"/>
    </font>
    <font>
      <strike/>
      <sz val="11"/>
      <color rgb="FFFF0000"/>
      <name val="Arial"/>
      <family val="2"/>
    </font>
  </fonts>
  <fills count="3">
    <fill>
      <patternFill patternType="none"/>
    </fill>
    <fill>
      <patternFill patternType="gray125"/>
    </fill>
    <fill>
      <patternFill patternType="solid">
        <fgColor rgb="FFFFFFFF"/>
        <bgColor indexed="64"/>
      </patternFill>
    </fill>
  </fills>
  <borders count="15">
    <border>
      <left/>
      <right/>
      <top/>
      <bottom/>
      <diagonal/>
    </border>
    <border>
      <left style="thin">
        <color auto="1"/>
      </left>
      <right style="thin">
        <color auto="1"/>
      </right>
      <top/>
      <bottom/>
      <diagonal/>
    </border>
    <border>
      <left style="thin">
        <color auto="1"/>
      </left>
      <right style="double">
        <color auto="1"/>
      </right>
      <top/>
      <bottom/>
      <diagonal/>
    </border>
    <border>
      <left style="double">
        <color auto="1"/>
      </left>
      <right style="thin">
        <color auto="1"/>
      </right>
      <top/>
      <bottom/>
      <diagonal/>
    </border>
    <border>
      <left style="thin">
        <color indexed="64"/>
      </left>
      <right style="thin">
        <color indexed="64"/>
      </right>
      <top style="thin">
        <color indexed="64"/>
      </top>
      <bottom/>
      <diagonal/>
    </border>
    <border>
      <left style="thin">
        <color indexed="64"/>
      </left>
      <right style="double">
        <color indexed="64"/>
      </right>
      <top style="thin">
        <color indexed="64"/>
      </top>
      <bottom/>
      <diagonal/>
    </border>
    <border>
      <left style="double">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double">
        <color auto="1"/>
      </right>
      <top/>
      <bottom style="thin">
        <color auto="1"/>
      </bottom>
      <diagonal/>
    </border>
    <border>
      <left style="double">
        <color auto="1"/>
      </left>
      <right style="thin">
        <color auto="1"/>
      </right>
      <top/>
      <bottom style="thin">
        <color auto="1"/>
      </bottom>
      <diagonal/>
    </border>
    <border>
      <left style="thin">
        <color auto="1"/>
      </left>
      <right/>
      <top/>
      <bottom/>
      <diagonal/>
    </border>
    <border>
      <left/>
      <right style="thin">
        <color auto="1"/>
      </right>
      <top/>
      <bottom/>
      <diagonal/>
    </border>
    <border>
      <left/>
      <right/>
      <top style="thin">
        <color indexed="64"/>
      </top>
      <bottom/>
      <diagonal/>
    </border>
    <border>
      <left/>
      <right style="thin">
        <color indexed="64"/>
      </right>
      <top style="thin">
        <color indexed="64"/>
      </top>
      <bottom/>
      <diagonal/>
    </border>
    <border>
      <left/>
      <right style="thin">
        <color auto="1"/>
      </right>
      <top/>
      <bottom style="thin">
        <color auto="1"/>
      </bottom>
      <diagonal/>
    </border>
  </borders>
  <cellStyleXfs count="23">
    <xf numFmtId="0" fontId="0" fillId="0" borderId="0"/>
    <xf numFmtId="0" fontId="7" fillId="0" borderId="0"/>
    <xf numFmtId="43" fontId="4" fillId="0" borderId="0" applyFont="0" applyFill="0" applyBorder="0" applyAlignment="0" applyProtection="0"/>
    <xf numFmtId="43" fontId="7" fillId="0" borderId="0" applyFont="0" applyFill="0" applyBorder="0" applyAlignment="0" applyProtection="0"/>
    <xf numFmtId="0" fontId="3" fillId="0" borderId="0"/>
    <xf numFmtId="0" fontId="4" fillId="0" borderId="0"/>
    <xf numFmtId="164" fontId="3" fillId="0" borderId="0" applyFont="0" applyFill="0" applyBorder="0" applyAlignment="0" applyProtection="0"/>
    <xf numFmtId="0" fontId="4" fillId="0" borderId="0"/>
    <xf numFmtId="164" fontId="2" fillId="0" borderId="0" applyFont="0" applyFill="0" applyBorder="0" applyAlignment="0" applyProtection="0"/>
    <xf numFmtId="164" fontId="2" fillId="0" borderId="0" applyFont="0" applyFill="0" applyBorder="0" applyAlignment="0" applyProtection="0"/>
    <xf numFmtId="0" fontId="4" fillId="0" borderId="0"/>
    <xf numFmtId="0" fontId="4" fillId="0" borderId="0"/>
    <xf numFmtId="0" fontId="4" fillId="0" borderId="0"/>
    <xf numFmtId="0" fontId="16" fillId="2" borderId="0">
      <alignment horizontal="center" vertical="center"/>
    </xf>
    <xf numFmtId="0" fontId="16" fillId="2" borderId="0">
      <alignment horizontal="left" vertical="center"/>
    </xf>
    <xf numFmtId="0" fontId="17" fillId="2" borderId="0">
      <alignment horizontal="center" vertical="top"/>
    </xf>
    <xf numFmtId="0" fontId="17" fillId="2" borderId="0">
      <alignment horizontal="left" vertical="top"/>
    </xf>
    <xf numFmtId="0" fontId="17" fillId="2" borderId="0">
      <alignment horizontal="center"/>
    </xf>
    <xf numFmtId="0" fontId="16" fillId="2" borderId="0">
      <alignment horizontal="left" vertical="top"/>
    </xf>
    <xf numFmtId="0" fontId="17" fillId="2" borderId="0">
      <alignment horizontal="center" vertical="top"/>
    </xf>
    <xf numFmtId="0" fontId="17" fillId="2" borderId="0">
      <alignment horizontal="center"/>
    </xf>
    <xf numFmtId="164" fontId="22" fillId="0" borderId="0" applyFont="0" applyFill="0" applyBorder="0" applyAlignment="0" applyProtection="0"/>
    <xf numFmtId="0" fontId="1" fillId="0" borderId="0"/>
  </cellStyleXfs>
  <cellXfs count="349">
    <xf numFmtId="0" fontId="0" fillId="0" borderId="0" xfId="0"/>
    <xf numFmtId="0" fontId="10" fillId="0" borderId="0" xfId="4" applyFont="1" applyAlignment="1">
      <alignment vertical="top"/>
    </xf>
    <xf numFmtId="0" fontId="3" fillId="0" borderId="0" xfId="4"/>
    <xf numFmtId="0" fontId="10" fillId="0" borderId="0" xfId="4" applyFont="1" applyAlignment="1">
      <alignment horizontal="center" vertical="top"/>
    </xf>
    <xf numFmtId="0" fontId="10" fillId="0" borderId="0" xfId="4" applyFont="1" applyAlignment="1">
      <alignment vertical="top" wrapText="1"/>
    </xf>
    <xf numFmtId="4" fontId="10" fillId="0" borderId="0" xfId="4" applyNumberFormat="1" applyFont="1"/>
    <xf numFmtId="0" fontId="9" fillId="0" borderId="0" xfId="4" applyFont="1" applyAlignment="1">
      <alignment horizontal="center" vertical="top"/>
    </xf>
    <xf numFmtId="0" fontId="9" fillId="0" borderId="0" xfId="4" applyFont="1" applyAlignment="1">
      <alignment vertical="top" wrapText="1"/>
    </xf>
    <xf numFmtId="3" fontId="9" fillId="0" borderId="0" xfId="4" applyNumberFormat="1" applyFont="1" applyAlignment="1">
      <alignment horizontal="right"/>
    </xf>
    <xf numFmtId="3" fontId="9" fillId="0" borderId="0" xfId="4" applyNumberFormat="1" applyFont="1" applyAlignment="1">
      <alignment horizontal="center"/>
    </xf>
    <xf numFmtId="4" fontId="9" fillId="0" borderId="0" xfId="4" applyNumberFormat="1" applyFont="1" applyAlignment="1">
      <alignment horizontal="right"/>
    </xf>
    <xf numFmtId="0" fontId="11" fillId="0" borderId="10" xfId="5" applyFont="1" applyBorder="1" applyAlignment="1" applyProtection="1">
      <alignment horizontal="center" vertical="center" wrapText="1"/>
      <protection locked="0"/>
    </xf>
    <xf numFmtId="0" fontId="11" fillId="0" borderId="0" xfId="5" applyFont="1" applyProtection="1">
      <protection locked="0"/>
    </xf>
    <xf numFmtId="0" fontId="11" fillId="0" borderId="0" xfId="5" applyFont="1" applyAlignment="1" applyProtection="1">
      <alignment vertical="center" wrapText="1"/>
      <protection locked="0"/>
    </xf>
    <xf numFmtId="164" fontId="12" fillId="0" borderId="4" xfId="6" applyFont="1" applyFill="1" applyBorder="1" applyAlignment="1" applyProtection="1">
      <alignment horizontal="center" vertical="top" wrapText="1"/>
      <protection locked="0"/>
    </xf>
    <xf numFmtId="0" fontId="11" fillId="0" borderId="0" xfId="5" applyFont="1" applyAlignment="1" applyProtection="1">
      <alignment horizontal="center" vertical="top" wrapText="1"/>
      <protection locked="0"/>
    </xf>
    <xf numFmtId="0" fontId="5" fillId="0" borderId="0" xfId="5" applyFont="1" applyAlignment="1" applyProtection="1">
      <alignment wrapText="1"/>
      <protection locked="0"/>
    </xf>
    <xf numFmtId="164" fontId="12" fillId="0" borderId="1" xfId="6" applyFont="1" applyFill="1" applyBorder="1" applyAlignment="1" applyProtection="1">
      <alignment horizontal="center" vertical="top" wrapText="1"/>
      <protection locked="0"/>
    </xf>
    <xf numFmtId="164" fontId="11" fillId="0" borderId="1" xfId="6" applyFont="1" applyFill="1" applyBorder="1" applyAlignment="1" applyProtection="1">
      <alignment horizontal="center" vertical="top" wrapText="1"/>
      <protection locked="0"/>
    </xf>
    <xf numFmtId="164" fontId="5" fillId="0" borderId="1" xfId="6" applyFont="1" applyFill="1" applyBorder="1" applyAlignment="1" applyProtection="1">
      <alignment horizontal="center" vertical="top" wrapText="1"/>
      <protection locked="0"/>
    </xf>
    <xf numFmtId="0" fontId="5" fillId="0" borderId="0" xfId="5" applyFont="1" applyAlignment="1" applyProtection="1">
      <alignment horizontal="center" vertical="top" wrapText="1"/>
      <protection locked="0"/>
    </xf>
    <xf numFmtId="0" fontId="5" fillId="0" borderId="0" xfId="5" applyFont="1" applyProtection="1">
      <protection locked="0"/>
    </xf>
    <xf numFmtId="164" fontId="5" fillId="0" borderId="7" xfId="6" applyFont="1" applyFill="1" applyBorder="1" applyAlignment="1" applyProtection="1">
      <alignment horizontal="center" wrapText="1"/>
      <protection locked="0"/>
    </xf>
    <xf numFmtId="164" fontId="5" fillId="0" borderId="1" xfId="6" applyFont="1" applyFill="1" applyBorder="1" applyAlignment="1" applyProtection="1">
      <alignment horizontal="center" wrapText="1"/>
      <protection locked="0"/>
    </xf>
    <xf numFmtId="164" fontId="4" fillId="0" borderId="0" xfId="6" applyFont="1" applyFill="1" applyAlignment="1" applyProtection="1">
      <alignment vertical="top"/>
      <protection locked="0"/>
    </xf>
    <xf numFmtId="0" fontId="4" fillId="0" borderId="0" xfId="5" applyAlignment="1" applyProtection="1">
      <alignment vertical="top"/>
      <protection locked="0"/>
    </xf>
    <xf numFmtId="164" fontId="5" fillId="0" borderId="0" xfId="6" applyFont="1" applyFill="1" applyAlignment="1" applyProtection="1">
      <alignment horizontal="center" vertical="top" wrapText="1"/>
      <protection locked="0"/>
    </xf>
    <xf numFmtId="0" fontId="5" fillId="0" borderId="0" xfId="0" applyFont="1" applyAlignment="1" applyProtection="1">
      <alignment vertical="top" wrapText="1"/>
      <protection locked="0"/>
    </xf>
    <xf numFmtId="0" fontId="5" fillId="0" borderId="0" xfId="0" applyFont="1" applyAlignment="1" applyProtection="1">
      <alignment horizontal="center"/>
      <protection locked="0"/>
    </xf>
    <xf numFmtId="0" fontId="8" fillId="0" borderId="1" xfId="1" applyFont="1" applyBorder="1" applyAlignment="1">
      <alignment horizontal="center"/>
    </xf>
    <xf numFmtId="0" fontId="7" fillId="0" borderId="0" xfId="1" applyAlignment="1">
      <alignment vertical="center" wrapText="1"/>
    </xf>
    <xf numFmtId="0" fontId="8" fillId="0" borderId="1" xfId="1" applyFont="1" applyBorder="1" applyAlignment="1">
      <alignment horizontal="center" vertical="top" wrapText="1"/>
    </xf>
    <xf numFmtId="0" fontId="8" fillId="0" borderId="0" xfId="1" applyFont="1" applyAlignment="1">
      <alignment horizontal="left" vertical="top" wrapText="1"/>
    </xf>
    <xf numFmtId="0" fontId="8" fillId="0" borderId="2" xfId="1" applyFont="1" applyBorder="1" applyAlignment="1">
      <alignment horizontal="center" wrapText="1"/>
    </xf>
    <xf numFmtId="0" fontId="7" fillId="0" borderId="0" xfId="1" applyAlignment="1" applyProtection="1">
      <alignment vertical="center" wrapText="1"/>
      <protection locked="0"/>
    </xf>
    <xf numFmtId="0" fontId="5" fillId="0" borderId="0" xfId="0" applyFont="1" applyAlignment="1" applyProtection="1">
      <alignment wrapText="1"/>
      <protection locked="0"/>
    </xf>
    <xf numFmtId="0" fontId="5" fillId="0" borderId="0" xfId="0" applyFont="1" applyAlignment="1" applyProtection="1">
      <alignment horizontal="center" vertical="top" wrapText="1"/>
      <protection locked="0"/>
    </xf>
    <xf numFmtId="0" fontId="5" fillId="0" borderId="0" xfId="0" applyFont="1" applyAlignment="1" applyProtection="1">
      <alignment horizontal="center" wrapText="1"/>
      <protection locked="0"/>
    </xf>
    <xf numFmtId="0" fontId="19" fillId="0" borderId="0" xfId="1" applyFont="1" applyAlignment="1">
      <alignment horizontal="right" vertical="top" wrapText="1"/>
    </xf>
    <xf numFmtId="0" fontId="8" fillId="0" borderId="0" xfId="1" applyFont="1" applyAlignment="1">
      <alignment horizontal="right" vertical="top" wrapText="1"/>
    </xf>
    <xf numFmtId="0" fontId="8" fillId="0" borderId="1" xfId="1" applyFont="1" applyBorder="1" applyAlignment="1" applyProtection="1">
      <alignment horizontal="center"/>
      <protection locked="0"/>
    </xf>
    <xf numFmtId="0" fontId="7" fillId="0" borderId="0" xfId="1" applyAlignment="1" applyProtection="1">
      <alignment vertical="center"/>
      <protection locked="0"/>
    </xf>
    <xf numFmtId="0" fontId="8" fillId="0" borderId="1" xfId="1" applyFont="1" applyBorder="1" applyAlignment="1" applyProtection="1">
      <alignment horizontal="center" vertical="top" wrapText="1"/>
      <protection locked="0"/>
    </xf>
    <xf numFmtId="0" fontId="8" fillId="0" borderId="0" xfId="1" applyFont="1" applyAlignment="1" applyProtection="1">
      <alignment horizontal="left" vertical="top" wrapText="1"/>
      <protection locked="0"/>
    </xf>
    <xf numFmtId="0" fontId="8" fillId="0" borderId="2" xfId="1" applyFont="1" applyBorder="1" applyAlignment="1" applyProtection="1">
      <alignment horizontal="center" wrapText="1"/>
      <protection locked="0"/>
    </xf>
    <xf numFmtId="0" fontId="0" fillId="0" borderId="1" xfId="0" applyBorder="1" applyAlignment="1" applyProtection="1">
      <alignment horizontal="center" vertical="top" wrapText="1"/>
      <protection locked="0"/>
    </xf>
    <xf numFmtId="0" fontId="0" fillId="0" borderId="1" xfId="0" applyBorder="1" applyAlignment="1" applyProtection="1">
      <alignment horizontal="center" wrapText="1"/>
      <protection locked="0"/>
    </xf>
    <xf numFmtId="0" fontId="0" fillId="0" borderId="2" xfId="0" applyBorder="1" applyAlignment="1" applyProtection="1">
      <alignment horizontal="center" wrapText="1"/>
      <protection locked="0"/>
    </xf>
    <xf numFmtId="0" fontId="16" fillId="0" borderId="1" xfId="13" applyFill="1" applyBorder="1" applyAlignment="1" applyProtection="1">
      <alignment vertical="center" wrapText="1"/>
      <protection locked="0"/>
    </xf>
    <xf numFmtId="0" fontId="5" fillId="0" borderId="12" xfId="1" applyFont="1" applyBorder="1" applyAlignment="1" applyProtection="1">
      <alignment horizontal="center" vertical="top" wrapText="1"/>
      <protection locked="0"/>
    </xf>
    <xf numFmtId="0" fontId="6" fillId="0" borderId="12" xfId="1" applyFont="1" applyBorder="1" applyAlignment="1" applyProtection="1">
      <alignment horizontal="left" vertical="top" wrapText="1" indent="1"/>
      <protection locked="0"/>
    </xf>
    <xf numFmtId="37" fontId="5" fillId="0" borderId="12" xfId="1" applyNumberFormat="1" applyFont="1" applyBorder="1" applyAlignment="1" applyProtection="1">
      <alignment horizontal="center" wrapText="1"/>
      <protection locked="0"/>
    </xf>
    <xf numFmtId="0" fontId="5" fillId="0" borderId="12" xfId="1" applyFont="1" applyBorder="1" applyAlignment="1" applyProtection="1">
      <alignment horizontal="center" wrapText="1"/>
      <protection locked="0"/>
    </xf>
    <xf numFmtId="0" fontId="5" fillId="0" borderId="0" xfId="1" applyFont="1" applyAlignment="1" applyProtection="1">
      <alignment horizontal="center" vertical="top" wrapText="1"/>
      <protection locked="0"/>
    </xf>
    <xf numFmtId="0" fontId="6" fillId="0" borderId="0" xfId="1" applyFont="1" applyAlignment="1" applyProtection="1">
      <alignment horizontal="left" vertical="top" wrapText="1" indent="1"/>
      <protection locked="0"/>
    </xf>
    <xf numFmtId="0" fontId="5" fillId="0" borderId="0" xfId="1" applyFont="1" applyAlignment="1" applyProtection="1">
      <alignment horizontal="center"/>
      <protection locked="0"/>
    </xf>
    <xf numFmtId="37" fontId="5" fillId="0" borderId="0" xfId="1" applyNumberFormat="1" applyFont="1" applyAlignment="1" applyProtection="1">
      <alignment horizontal="center" wrapText="1"/>
      <protection locked="0"/>
    </xf>
    <xf numFmtId="0" fontId="5" fillId="0" borderId="0" xfId="1" applyFont="1" applyAlignment="1" applyProtection="1">
      <alignment horizontal="center" wrapText="1"/>
      <protection locked="0"/>
    </xf>
    <xf numFmtId="0" fontId="8" fillId="0" borderId="0" xfId="1" applyFont="1" applyAlignment="1" applyProtection="1">
      <alignment horizontal="right" vertical="top" wrapText="1"/>
      <protection locked="0"/>
    </xf>
    <xf numFmtId="0" fontId="0" fillId="0" borderId="1" xfId="0" applyBorder="1" applyAlignment="1">
      <alignment horizontal="center" vertical="top" wrapText="1"/>
    </xf>
    <xf numFmtId="0" fontId="16" fillId="0" borderId="1" xfId="13" applyFill="1" applyBorder="1" applyAlignment="1">
      <alignment horizontal="center" vertical="center" wrapText="1"/>
    </xf>
    <xf numFmtId="0" fontId="0" fillId="0" borderId="1" xfId="0" applyBorder="1" applyAlignment="1">
      <alignment horizontal="center" wrapText="1"/>
    </xf>
    <xf numFmtId="0" fontId="0" fillId="0" borderId="2" xfId="0" applyBorder="1" applyAlignment="1">
      <alignment horizontal="center" wrapText="1"/>
    </xf>
    <xf numFmtId="0" fontId="16" fillId="0" borderId="1" xfId="13" applyFill="1" applyBorder="1" applyAlignment="1">
      <alignment vertical="center" wrapText="1"/>
    </xf>
    <xf numFmtId="0" fontId="16" fillId="0" borderId="1" xfId="14" applyFill="1" applyBorder="1" applyAlignment="1">
      <alignment vertical="center" wrapText="1"/>
    </xf>
    <xf numFmtId="0" fontId="0" fillId="0" borderId="1" xfId="0" applyBorder="1" applyAlignment="1">
      <alignment wrapText="1"/>
    </xf>
    <xf numFmtId="0" fontId="17" fillId="0" borderId="1" xfId="19" applyFill="1" applyBorder="1" applyAlignment="1">
      <alignment horizontal="center" vertical="top" wrapText="1"/>
    </xf>
    <xf numFmtId="0" fontId="17" fillId="0" borderId="1" xfId="15" applyFill="1" applyBorder="1" applyAlignment="1">
      <alignment vertical="top" wrapText="1"/>
    </xf>
    <xf numFmtId="0" fontId="17" fillId="0" borderId="1" xfId="17" applyFill="1" applyBorder="1" applyAlignment="1">
      <alignment horizontal="center" wrapText="1"/>
    </xf>
    <xf numFmtId="0" fontId="17" fillId="0" borderId="2" xfId="17" applyFill="1" applyBorder="1" applyAlignment="1">
      <alignment horizontal="center" wrapText="1"/>
    </xf>
    <xf numFmtId="0" fontId="17" fillId="0" borderId="1" xfId="16" applyFill="1" applyBorder="1" applyAlignment="1">
      <alignment vertical="top" wrapText="1"/>
    </xf>
    <xf numFmtId="0" fontId="5" fillId="0" borderId="12" xfId="1" applyFont="1" applyBorder="1" applyAlignment="1">
      <alignment horizontal="center" vertical="top" wrapText="1"/>
    </xf>
    <xf numFmtId="0" fontId="6" fillId="0" borderId="12" xfId="1" applyFont="1" applyBorder="1" applyAlignment="1">
      <alignment horizontal="left" vertical="top" wrapText="1" indent="1"/>
    </xf>
    <xf numFmtId="37" fontId="5" fillId="0" borderId="12" xfId="1" applyNumberFormat="1" applyFont="1" applyBorder="1" applyAlignment="1">
      <alignment horizontal="center" wrapText="1"/>
    </xf>
    <xf numFmtId="0" fontId="5" fillId="0" borderId="12" xfId="1" applyFont="1" applyBorder="1" applyAlignment="1">
      <alignment horizontal="center" wrapText="1"/>
    </xf>
    <xf numFmtId="0" fontId="5" fillId="0" borderId="0" xfId="1" applyFont="1" applyAlignment="1">
      <alignment horizontal="center" vertical="top" wrapText="1"/>
    </xf>
    <xf numFmtId="0" fontId="6" fillId="0" borderId="0" xfId="1" applyFont="1" applyAlignment="1">
      <alignment horizontal="left" vertical="top" wrapText="1" indent="1"/>
    </xf>
    <xf numFmtId="0" fontId="5" fillId="0" borderId="0" xfId="1" applyFont="1" applyAlignment="1">
      <alignment horizontal="center"/>
    </xf>
    <xf numFmtId="37" fontId="5" fillId="0" borderId="0" xfId="1" applyNumberFormat="1" applyFont="1" applyAlignment="1">
      <alignment horizontal="center" wrapText="1"/>
    </xf>
    <xf numFmtId="0" fontId="5" fillId="0" borderId="0" xfId="1" applyFont="1" applyAlignment="1">
      <alignment horizontal="center" wrapText="1"/>
    </xf>
    <xf numFmtId="0" fontId="17" fillId="0" borderId="1" xfId="19" applyFill="1" applyBorder="1">
      <alignment horizontal="center" vertical="top"/>
    </xf>
    <xf numFmtId="0" fontId="17" fillId="0" borderId="1" xfId="15" applyFill="1" applyBorder="1" applyAlignment="1">
      <alignment vertical="top"/>
    </xf>
    <xf numFmtId="0" fontId="17" fillId="0" borderId="1" xfId="17" applyFill="1" applyBorder="1">
      <alignment horizontal="center"/>
    </xf>
    <xf numFmtId="0" fontId="17" fillId="0" borderId="2" xfId="17" applyFill="1" applyBorder="1">
      <alignment horizontal="center"/>
    </xf>
    <xf numFmtId="0" fontId="0" fillId="0" borderId="1" xfId="0" applyBorder="1" applyAlignment="1">
      <alignment vertical="center" wrapText="1"/>
    </xf>
    <xf numFmtId="0" fontId="5" fillId="0" borderId="0" xfId="0" applyFont="1" applyAlignment="1">
      <alignment horizontal="center" vertical="top" wrapText="1"/>
    </xf>
    <xf numFmtId="0" fontId="5" fillId="0" borderId="0" xfId="0" applyFont="1" applyAlignment="1">
      <alignment vertical="top" wrapText="1"/>
    </xf>
    <xf numFmtId="0" fontId="5" fillId="0" borderId="0" xfId="0" applyFont="1" applyAlignment="1">
      <alignment horizontal="center"/>
    </xf>
    <xf numFmtId="0" fontId="5" fillId="0" borderId="0" xfId="0" applyFont="1" applyAlignment="1">
      <alignment horizontal="center" wrapText="1"/>
    </xf>
    <xf numFmtId="0" fontId="5" fillId="0" borderId="0" xfId="0" applyFont="1" applyAlignment="1">
      <alignment wrapText="1"/>
    </xf>
    <xf numFmtId="0" fontId="16" fillId="0" borderId="1" xfId="13" applyFill="1" applyBorder="1" applyAlignment="1">
      <alignment vertical="center"/>
    </xf>
    <xf numFmtId="0" fontId="7" fillId="0" borderId="0" xfId="1" applyAlignment="1">
      <alignment vertical="center"/>
    </xf>
    <xf numFmtId="0" fontId="16" fillId="0" borderId="1" xfId="19" applyFont="1" applyFill="1" applyBorder="1">
      <alignment horizontal="center" vertical="top"/>
    </xf>
    <xf numFmtId="0" fontId="16" fillId="0" borderId="1" xfId="16" applyFont="1" applyFill="1" applyBorder="1" applyAlignment="1">
      <alignment vertical="top"/>
    </xf>
    <xf numFmtId="0" fontId="16" fillId="0" borderId="1" xfId="17" applyFont="1" applyFill="1" applyBorder="1">
      <alignment horizontal="center"/>
    </xf>
    <xf numFmtId="0" fontId="16" fillId="0" borderId="2" xfId="17" applyFont="1" applyFill="1" applyBorder="1">
      <alignment horizontal="center"/>
    </xf>
    <xf numFmtId="0" fontId="20" fillId="0" borderId="0" xfId="1" applyFont="1" applyAlignment="1">
      <alignment vertical="center"/>
    </xf>
    <xf numFmtId="0" fontId="16" fillId="0" borderId="0" xfId="13" applyFill="1" applyAlignment="1">
      <alignment vertical="center" wrapText="1"/>
    </xf>
    <xf numFmtId="0" fontId="16" fillId="0" borderId="1" xfId="16" applyFont="1" applyFill="1" applyBorder="1" applyAlignment="1">
      <alignment vertical="top" wrapText="1"/>
    </xf>
    <xf numFmtId="0" fontId="16" fillId="0" borderId="1" xfId="15" applyFont="1" applyFill="1" applyBorder="1" applyAlignment="1">
      <alignment vertical="top" wrapText="1"/>
    </xf>
    <xf numFmtId="0" fontId="21" fillId="0" borderId="1" xfId="0" applyFont="1" applyBorder="1" applyAlignment="1">
      <alignment wrapText="1"/>
    </xf>
    <xf numFmtId="0" fontId="19" fillId="0" borderId="0" xfId="1" applyFont="1" applyAlignment="1">
      <alignment horizontal="left" vertical="top" wrapText="1"/>
    </xf>
    <xf numFmtId="0" fontId="16" fillId="0" borderId="1" xfId="15" applyFont="1" applyFill="1" applyBorder="1" applyAlignment="1">
      <alignment vertical="top"/>
    </xf>
    <xf numFmtId="0" fontId="21" fillId="0" borderId="1" xfId="0" applyFont="1" applyBorder="1" applyAlignment="1">
      <alignment vertical="center" wrapText="1"/>
    </xf>
    <xf numFmtId="0" fontId="19" fillId="0" borderId="0" xfId="1" applyFont="1" applyAlignment="1" applyProtection="1">
      <alignment horizontal="left" vertical="top" wrapText="1"/>
      <protection locked="0"/>
    </xf>
    <xf numFmtId="0" fontId="10" fillId="0" borderId="0" xfId="4" applyFont="1" applyAlignment="1">
      <alignment horizontal="center" vertical="top" wrapText="1"/>
    </xf>
    <xf numFmtId="3" fontId="17" fillId="0" borderId="1" xfId="17" applyNumberFormat="1" applyFill="1" applyBorder="1" applyAlignment="1">
      <alignment horizontal="center" wrapText="1"/>
    </xf>
    <xf numFmtId="0" fontId="5" fillId="0" borderId="4" xfId="5" applyFont="1" applyBorder="1" applyAlignment="1">
      <alignment wrapText="1"/>
    </xf>
    <xf numFmtId="0" fontId="5" fillId="0" borderId="0" xfId="5" applyFont="1" applyAlignment="1">
      <alignment wrapText="1"/>
    </xf>
    <xf numFmtId="49" fontId="5" fillId="0" borderId="4" xfId="5" applyNumberFormat="1" applyFont="1" applyBorder="1" applyAlignment="1">
      <alignment horizontal="center" wrapText="1"/>
    </xf>
    <xf numFmtId="0" fontId="5" fillId="0" borderId="1" xfId="5" applyFont="1" applyBorder="1" applyAlignment="1">
      <alignment wrapText="1"/>
    </xf>
    <xf numFmtId="49" fontId="5" fillId="0" borderId="1" xfId="5" applyNumberFormat="1" applyFont="1" applyBorder="1" applyAlignment="1">
      <alignment horizontal="center" wrapText="1"/>
    </xf>
    <xf numFmtId="0" fontId="6" fillId="0" borderId="0" xfId="5" applyFont="1" applyAlignment="1">
      <alignment horizontal="center" wrapText="1"/>
    </xf>
    <xf numFmtId="0" fontId="5" fillId="0" borderId="0" xfId="5" applyFont="1" applyAlignment="1">
      <alignment horizontal="left" wrapText="1" indent="2"/>
    </xf>
    <xf numFmtId="0" fontId="5" fillId="0" borderId="0" xfId="5" applyFont="1" applyAlignment="1">
      <alignment horizontal="left" indent="2"/>
    </xf>
    <xf numFmtId="49" fontId="5" fillId="0" borderId="1" xfId="5" applyNumberFormat="1" applyFont="1" applyBorder="1" applyAlignment="1">
      <alignment horizontal="center"/>
    </xf>
    <xf numFmtId="0" fontId="5" fillId="0" borderId="1" xfId="5" applyFont="1" applyBorder="1"/>
    <xf numFmtId="0" fontId="5" fillId="0" borderId="0" xfId="5" applyFont="1"/>
    <xf numFmtId="0" fontId="5" fillId="0" borderId="7" xfId="5" applyFont="1" applyBorder="1"/>
    <xf numFmtId="0" fontId="5" fillId="0" borderId="14" xfId="5" applyFont="1" applyBorder="1"/>
    <xf numFmtId="49" fontId="5" fillId="0" borderId="7" xfId="5" applyNumberFormat="1" applyFont="1" applyBorder="1" applyAlignment="1">
      <alignment horizontal="center" wrapText="1"/>
    </xf>
    <xf numFmtId="0" fontId="11" fillId="0" borderId="0" xfId="5" applyFont="1" applyAlignment="1">
      <alignment vertical="top" wrapText="1"/>
    </xf>
    <xf numFmtId="49" fontId="11" fillId="0" borderId="12" xfId="5" applyNumberFormat="1" applyFont="1" applyBorder="1" applyAlignment="1">
      <alignment horizontal="center" wrapText="1"/>
    </xf>
    <xf numFmtId="0" fontId="5" fillId="0" borderId="0" xfId="5" applyFont="1" applyAlignment="1">
      <alignment horizontal="center" vertical="top" wrapText="1"/>
    </xf>
    <xf numFmtId="0" fontId="11" fillId="0" borderId="0" xfId="5" applyFont="1" applyAlignment="1">
      <alignment horizontal="right"/>
    </xf>
    <xf numFmtId="49" fontId="11" fillId="0" borderId="0" xfId="5" applyNumberFormat="1" applyFont="1" applyAlignment="1">
      <alignment horizontal="center" wrapText="1"/>
    </xf>
    <xf numFmtId="0" fontId="11" fillId="0" borderId="0" xfId="5" applyFont="1" applyAlignment="1">
      <alignment horizontal="left" vertical="top" wrapText="1"/>
    </xf>
    <xf numFmtId="0" fontId="13" fillId="0" borderId="0" xfId="7" applyFont="1" applyAlignment="1">
      <alignment vertical="center"/>
    </xf>
    <xf numFmtId="0" fontId="14" fillId="0" borderId="0" xfId="7" applyFont="1" applyAlignment="1">
      <alignment horizontal="left" vertical="top" wrapText="1"/>
    </xf>
    <xf numFmtId="1" fontId="4" fillId="0" borderId="0" xfId="5" applyNumberFormat="1" applyAlignment="1">
      <alignment horizontal="center" vertical="top"/>
    </xf>
    <xf numFmtId="0" fontId="15" fillId="0" borderId="0" xfId="7" applyFont="1" applyAlignment="1">
      <alignment horizontal="left" vertical="top"/>
    </xf>
    <xf numFmtId="0" fontId="15" fillId="0" borderId="0" xfId="7" applyFont="1" applyAlignment="1">
      <alignment vertical="top" wrapText="1"/>
    </xf>
    <xf numFmtId="2" fontId="15" fillId="0" borderId="0" xfId="7" applyNumberFormat="1" applyFont="1" applyAlignment="1">
      <alignment horizontal="left" vertical="top"/>
    </xf>
    <xf numFmtId="0" fontId="4" fillId="0" borderId="0" xfId="5" applyAlignment="1">
      <alignment vertical="top"/>
    </xf>
    <xf numFmtId="49" fontId="5" fillId="0" borderId="0" xfId="5" applyNumberFormat="1" applyFont="1" applyAlignment="1">
      <alignment horizontal="center"/>
    </xf>
    <xf numFmtId="164" fontId="8" fillId="0" borderId="4" xfId="21" applyFont="1" applyBorder="1" applyAlignment="1" applyProtection="1">
      <alignment horizontal="center" vertical="center" wrapText="1"/>
      <protection locked="0"/>
    </xf>
    <xf numFmtId="164" fontId="8" fillId="0" borderId="7" xfId="21" applyFont="1" applyBorder="1" applyAlignment="1" applyProtection="1">
      <alignment horizontal="center" vertical="center" wrapText="1"/>
      <protection locked="0"/>
    </xf>
    <xf numFmtId="164" fontId="8" fillId="0" borderId="1" xfId="21" applyFont="1" applyBorder="1" applyAlignment="1" applyProtection="1">
      <alignment horizontal="center" wrapText="1"/>
      <protection locked="0"/>
    </xf>
    <xf numFmtId="164" fontId="5" fillId="0" borderId="4" xfId="21" applyFont="1" applyFill="1" applyBorder="1" applyAlignment="1" applyProtection="1">
      <alignment horizontal="center" wrapText="1"/>
      <protection locked="0"/>
    </xf>
    <xf numFmtId="164" fontId="5" fillId="0" borderId="1" xfId="21" applyFont="1" applyFill="1" applyBorder="1" applyAlignment="1" applyProtection="1">
      <alignment horizontal="center" wrapText="1"/>
      <protection locked="0"/>
    </xf>
    <xf numFmtId="164" fontId="5" fillId="0" borderId="7" xfId="21" applyFont="1" applyFill="1" applyBorder="1" applyAlignment="1" applyProtection="1">
      <alignment horizontal="center" wrapText="1"/>
      <protection locked="0"/>
    </xf>
    <xf numFmtId="164" fontId="8" fillId="0" borderId="1" xfId="21" applyFont="1" applyBorder="1" applyAlignment="1" applyProtection="1">
      <alignment horizontal="center"/>
      <protection locked="0"/>
    </xf>
    <xf numFmtId="164" fontId="5" fillId="0" borderId="0" xfId="21" applyFont="1" applyAlignment="1" applyProtection="1">
      <alignment horizontal="right" wrapText="1"/>
      <protection locked="0"/>
    </xf>
    <xf numFmtId="164" fontId="8" fillId="0" borderId="4" xfId="21" applyFont="1" applyBorder="1" applyAlignment="1" applyProtection="1">
      <alignment horizontal="center" wrapText="1"/>
      <protection locked="0"/>
    </xf>
    <xf numFmtId="4" fontId="0" fillId="0" borderId="0" xfId="0" applyNumberFormat="1" applyAlignment="1">
      <alignment vertical="top"/>
    </xf>
    <xf numFmtId="0" fontId="23" fillId="0" borderId="0" xfId="0" applyFont="1" applyAlignment="1">
      <alignment vertical="top" wrapText="1"/>
    </xf>
    <xf numFmtId="0" fontId="17" fillId="0" borderId="1" xfId="13" applyFont="1" applyFill="1" applyBorder="1" applyAlignment="1" applyProtection="1">
      <alignment vertical="center" wrapText="1"/>
      <protection locked="0"/>
    </xf>
    <xf numFmtId="0" fontId="4" fillId="0" borderId="1" xfId="0" applyFont="1" applyBorder="1" applyAlignment="1" applyProtection="1">
      <alignment horizontal="center" vertical="top" wrapText="1"/>
      <protection locked="0"/>
    </xf>
    <xf numFmtId="0" fontId="4" fillId="0" borderId="1" xfId="0" applyFont="1" applyBorder="1" applyAlignment="1" applyProtection="1">
      <alignment horizontal="center" wrapText="1"/>
      <protection locked="0"/>
    </xf>
    <xf numFmtId="0" fontId="4" fillId="0" borderId="2" xfId="0" applyFont="1" applyBorder="1" applyAlignment="1" applyProtection="1">
      <alignment horizontal="center" wrapText="1"/>
      <protection locked="0"/>
    </xf>
    <xf numFmtId="164" fontId="8" fillId="0" borderId="4" xfId="21" applyFont="1" applyFill="1" applyBorder="1" applyAlignment="1" applyProtection="1">
      <alignment horizontal="center" vertical="center" wrapText="1"/>
      <protection locked="0"/>
    </xf>
    <xf numFmtId="164" fontId="8" fillId="0" borderId="7" xfId="21" applyFont="1" applyFill="1" applyBorder="1" applyAlignment="1" applyProtection="1">
      <alignment horizontal="center" vertical="center" wrapText="1"/>
      <protection locked="0"/>
    </xf>
    <xf numFmtId="164" fontId="8" fillId="0" borderId="1" xfId="21" applyFont="1" applyFill="1" applyBorder="1" applyAlignment="1" applyProtection="1">
      <alignment horizontal="center" wrapText="1"/>
      <protection locked="0"/>
    </xf>
    <xf numFmtId="164" fontId="8" fillId="0" borderId="1" xfId="21" applyFont="1" applyFill="1" applyBorder="1" applyAlignment="1" applyProtection="1">
      <alignment horizontal="center"/>
      <protection locked="0"/>
    </xf>
    <xf numFmtId="164" fontId="5" fillId="0" borderId="0" xfId="21" applyFont="1" applyFill="1" applyAlignment="1" applyProtection="1">
      <alignment horizontal="right" wrapText="1"/>
      <protection locked="0"/>
    </xf>
    <xf numFmtId="164" fontId="8" fillId="0" borderId="6" xfId="1" applyNumberFormat="1" applyFont="1" applyBorder="1" applyAlignment="1" applyProtection="1">
      <alignment horizontal="center" vertical="center" wrapText="1"/>
      <protection locked="0"/>
    </xf>
    <xf numFmtId="164" fontId="8" fillId="0" borderId="9" xfId="1" applyNumberFormat="1" applyFont="1" applyBorder="1" applyAlignment="1" applyProtection="1">
      <alignment horizontal="center" vertical="center" wrapText="1"/>
      <protection locked="0"/>
    </xf>
    <xf numFmtId="164" fontId="8" fillId="0" borderId="3" xfId="1" applyNumberFormat="1" applyFont="1" applyBorder="1" applyAlignment="1" applyProtection="1">
      <alignment horizontal="center" wrapText="1"/>
      <protection locked="0"/>
    </xf>
    <xf numFmtId="164" fontId="8" fillId="0" borderId="3" xfId="1" applyNumberFormat="1" applyFont="1" applyBorder="1" applyAlignment="1" applyProtection="1">
      <alignment horizontal="center"/>
      <protection locked="0"/>
    </xf>
    <xf numFmtId="164" fontId="5" fillId="0" borderId="13" xfId="2" applyNumberFormat="1" applyFont="1" applyFill="1" applyBorder="1" applyAlignment="1" applyProtection="1">
      <alignment horizontal="center" wrapText="1"/>
      <protection locked="0"/>
    </xf>
    <xf numFmtId="164" fontId="5" fillId="0" borderId="0" xfId="1" applyNumberFormat="1" applyFont="1" applyAlignment="1" applyProtection="1">
      <alignment horizontal="center" wrapText="1"/>
      <protection locked="0"/>
    </xf>
    <xf numFmtId="164" fontId="5" fillId="0" borderId="11" xfId="2" applyNumberFormat="1" applyFont="1" applyFill="1" applyBorder="1" applyAlignment="1" applyProtection="1">
      <alignment horizontal="center" wrapText="1"/>
      <protection locked="0"/>
    </xf>
    <xf numFmtId="164" fontId="5" fillId="0" borderId="0" xfId="0" applyNumberFormat="1" applyFont="1" applyAlignment="1" applyProtection="1">
      <alignment horizontal="center" wrapText="1"/>
      <protection locked="0"/>
    </xf>
    <xf numFmtId="164" fontId="24" fillId="0" borderId="1" xfId="21" applyFont="1" applyBorder="1" applyAlignment="1" applyProtection="1">
      <alignment horizontal="center" wrapText="1"/>
      <protection locked="0"/>
    </xf>
    <xf numFmtId="164" fontId="7" fillId="0" borderId="0" xfId="1" applyNumberFormat="1" applyAlignment="1">
      <alignment vertical="center" wrapText="1"/>
    </xf>
    <xf numFmtId="164" fontId="7" fillId="0" borderId="0" xfId="1" applyNumberFormat="1" applyAlignment="1" applyProtection="1">
      <alignment vertical="center" wrapText="1"/>
      <protection locked="0"/>
    </xf>
    <xf numFmtId="164" fontId="7" fillId="0" borderId="0" xfId="1" applyNumberFormat="1" applyAlignment="1" applyProtection="1">
      <alignment vertical="center"/>
      <protection locked="0"/>
    </xf>
    <xf numFmtId="164" fontId="5" fillId="0" borderId="0" xfId="0" applyNumberFormat="1" applyFont="1" applyAlignment="1" applyProtection="1">
      <alignment wrapText="1"/>
      <protection locked="0"/>
    </xf>
    <xf numFmtId="164" fontId="0" fillId="0" borderId="3" xfId="0" applyNumberFormat="1" applyBorder="1" applyAlignment="1">
      <alignment vertical="top"/>
    </xf>
    <xf numFmtId="0" fontId="17" fillId="0" borderId="2" xfId="17" applyFill="1" applyBorder="1" applyAlignment="1">
      <alignment horizontal="center" vertical="top" wrapText="1"/>
    </xf>
    <xf numFmtId="164" fontId="8" fillId="0" borderId="3" xfId="1" applyNumberFormat="1" applyFont="1" applyBorder="1" applyAlignment="1">
      <alignment horizontal="center" wrapText="1"/>
    </xf>
    <xf numFmtId="164" fontId="5" fillId="0" borderId="13" xfId="2" applyNumberFormat="1" applyFont="1" applyFill="1" applyBorder="1" applyAlignment="1" applyProtection="1">
      <alignment horizontal="center" wrapText="1"/>
    </xf>
    <xf numFmtId="164" fontId="5" fillId="0" borderId="0" xfId="1" applyNumberFormat="1" applyFont="1" applyAlignment="1">
      <alignment horizontal="center" wrapText="1"/>
    </xf>
    <xf numFmtId="0" fontId="17" fillId="0" borderId="1" xfId="13" applyFont="1" applyFill="1" applyBorder="1" applyAlignment="1" applyProtection="1">
      <alignment vertical="top" wrapText="1"/>
      <protection locked="0"/>
    </xf>
    <xf numFmtId="0" fontId="0" fillId="0" borderId="2" xfId="0" applyBorder="1" applyAlignment="1" applyProtection="1">
      <alignment horizontal="center" vertical="top" wrapText="1"/>
      <protection locked="0"/>
    </xf>
    <xf numFmtId="164" fontId="8" fillId="0" borderId="3" xfId="1" applyNumberFormat="1" applyFont="1" applyBorder="1" applyAlignment="1" applyProtection="1">
      <alignment horizontal="center" vertical="top" wrapText="1"/>
      <protection locked="0"/>
    </xf>
    <xf numFmtId="164" fontId="8" fillId="0" borderId="1" xfId="21" applyFont="1" applyBorder="1" applyAlignment="1" applyProtection="1">
      <alignment horizontal="center" vertical="top" wrapText="1"/>
      <protection locked="0"/>
    </xf>
    <xf numFmtId="0" fontId="7" fillId="0" borderId="0" xfId="1" applyAlignment="1" applyProtection="1">
      <alignment vertical="top" wrapText="1"/>
      <protection locked="0"/>
    </xf>
    <xf numFmtId="164" fontId="0" fillId="0" borderId="0" xfId="0" applyNumberFormat="1" applyAlignment="1" applyProtection="1">
      <alignment wrapText="1"/>
      <protection locked="0"/>
    </xf>
    <xf numFmtId="164" fontId="15" fillId="0" borderId="1" xfId="21" applyFont="1" applyBorder="1" applyAlignment="1" applyProtection="1">
      <alignment horizontal="center" wrapText="1"/>
      <protection locked="0"/>
    </xf>
    <xf numFmtId="0" fontId="1" fillId="0" borderId="0" xfId="22" applyAlignment="1">
      <alignment vertical="center" wrapText="1"/>
    </xf>
    <xf numFmtId="0" fontId="8" fillId="0" borderId="0" xfId="22" applyFont="1" applyAlignment="1">
      <alignment horizontal="left" vertical="top" wrapText="1"/>
    </xf>
    <xf numFmtId="0" fontId="1" fillId="0" borderId="0" xfId="22" applyAlignment="1" applyProtection="1">
      <alignment vertical="center" wrapText="1"/>
      <protection locked="0"/>
    </xf>
    <xf numFmtId="0" fontId="4" fillId="0" borderId="1" xfId="11" applyBorder="1" applyAlignment="1">
      <alignment horizontal="center" vertical="top" wrapText="1"/>
    </xf>
    <xf numFmtId="0" fontId="4" fillId="0" borderId="2" xfId="11" applyBorder="1" applyAlignment="1">
      <alignment horizontal="center" wrapText="1"/>
    </xf>
    <xf numFmtId="0" fontId="4" fillId="0" borderId="1" xfId="11" applyBorder="1" applyAlignment="1">
      <alignment wrapText="1"/>
    </xf>
    <xf numFmtId="0" fontId="5" fillId="0" borderId="12" xfId="22" applyFont="1" applyBorder="1" applyAlignment="1">
      <alignment horizontal="center" vertical="top" wrapText="1"/>
    </xf>
    <xf numFmtId="0" fontId="6" fillId="0" borderId="12" xfId="22" applyFont="1" applyBorder="1" applyAlignment="1">
      <alignment horizontal="left" vertical="top" wrapText="1" indent="1"/>
    </xf>
    <xf numFmtId="0" fontId="5" fillId="0" borderId="12" xfId="22" applyFont="1" applyBorder="1" applyAlignment="1">
      <alignment horizontal="center" wrapText="1"/>
    </xf>
    <xf numFmtId="0" fontId="5" fillId="0" borderId="0" xfId="22" applyFont="1" applyAlignment="1">
      <alignment horizontal="center" vertical="top" wrapText="1"/>
    </xf>
    <xf numFmtId="0" fontId="6" fillId="0" borderId="0" xfId="22" applyFont="1" applyAlignment="1">
      <alignment horizontal="left" vertical="top" wrapText="1" indent="1"/>
    </xf>
    <xf numFmtId="0" fontId="5" fillId="0" borderId="0" xfId="22" applyFont="1" applyAlignment="1">
      <alignment horizontal="center"/>
    </xf>
    <xf numFmtId="0" fontId="5" fillId="0" borderId="0" xfId="22" applyFont="1" applyAlignment="1">
      <alignment horizontal="center" wrapText="1"/>
    </xf>
    <xf numFmtId="0" fontId="4" fillId="0" borderId="1" xfId="11" applyBorder="1" applyAlignment="1">
      <alignment vertical="center" wrapText="1"/>
    </xf>
    <xf numFmtId="0" fontId="5" fillId="0" borderId="0" xfId="11" applyFont="1" applyAlignment="1" applyProtection="1">
      <alignment wrapText="1"/>
      <protection locked="0"/>
    </xf>
    <xf numFmtId="0" fontId="4" fillId="0" borderId="1" xfId="11" applyBorder="1" applyAlignment="1" applyProtection="1">
      <alignment horizontal="center" vertical="top" wrapText="1"/>
      <protection locked="0"/>
    </xf>
    <xf numFmtId="0" fontId="4" fillId="0" borderId="2" xfId="11" applyBorder="1" applyAlignment="1" applyProtection="1">
      <alignment horizontal="center" wrapText="1"/>
      <protection locked="0"/>
    </xf>
    <xf numFmtId="0" fontId="5" fillId="0" borderId="12" xfId="22" applyFont="1" applyBorder="1" applyAlignment="1" applyProtection="1">
      <alignment horizontal="center" vertical="top" wrapText="1"/>
      <protection locked="0"/>
    </xf>
    <xf numFmtId="0" fontId="6" fillId="0" borderId="12" xfId="22" applyFont="1" applyBorder="1" applyAlignment="1" applyProtection="1">
      <alignment horizontal="left" vertical="top" wrapText="1" indent="1"/>
      <protection locked="0"/>
    </xf>
    <xf numFmtId="0" fontId="5" fillId="0" borderId="12" xfId="22" applyFont="1" applyBorder="1" applyAlignment="1" applyProtection="1">
      <alignment horizontal="center" wrapText="1"/>
      <protection locked="0"/>
    </xf>
    <xf numFmtId="0" fontId="5" fillId="0" borderId="0" xfId="22" applyFont="1" applyAlignment="1" applyProtection="1">
      <alignment horizontal="center" vertical="top" wrapText="1"/>
      <protection locked="0"/>
    </xf>
    <xf numFmtId="0" fontId="6" fillId="0" borderId="0" xfId="22" applyFont="1" applyAlignment="1" applyProtection="1">
      <alignment horizontal="left" vertical="top" wrapText="1" indent="1"/>
      <protection locked="0"/>
    </xf>
    <xf numFmtId="0" fontId="5" fillId="0" borderId="0" xfId="22" applyFont="1" applyAlignment="1" applyProtection="1">
      <alignment horizontal="center"/>
      <protection locked="0"/>
    </xf>
    <xf numFmtId="0" fontId="5" fillId="0" borderId="0" xfId="22" applyFont="1" applyAlignment="1" applyProtection="1">
      <alignment horizontal="center" wrapText="1"/>
      <protection locked="0"/>
    </xf>
    <xf numFmtId="0" fontId="19" fillId="0" borderId="0" xfId="22" applyFont="1" applyAlignment="1">
      <alignment horizontal="right" vertical="top" wrapText="1"/>
    </xf>
    <xf numFmtId="0" fontId="8" fillId="0" borderId="0" xfId="22" applyFont="1" applyAlignment="1">
      <alignment horizontal="right" vertical="top" wrapText="1"/>
    </xf>
    <xf numFmtId="0" fontId="5" fillId="0" borderId="0" xfId="11" applyFont="1" applyAlignment="1" applyProtection="1">
      <alignment horizontal="center" vertical="top" wrapText="1"/>
      <protection locked="0"/>
    </xf>
    <xf numFmtId="0" fontId="5" fillId="0" borderId="0" xfId="11" applyFont="1" applyAlignment="1" applyProtection="1">
      <alignment vertical="top" wrapText="1"/>
      <protection locked="0"/>
    </xf>
    <xf numFmtId="0" fontId="5" fillId="0" borderId="0" xfId="11" applyFont="1" applyAlignment="1" applyProtection="1">
      <alignment horizontal="center" wrapText="1"/>
      <protection locked="0"/>
    </xf>
    <xf numFmtId="0" fontId="0" fillId="0" borderId="0" xfId="0" applyAlignment="1">
      <alignment wrapText="1"/>
    </xf>
    <xf numFmtId="164" fontId="8" fillId="0" borderId="6" xfId="21" applyFont="1" applyBorder="1" applyAlignment="1" applyProtection="1">
      <alignment horizontal="center" vertical="center" wrapText="1"/>
      <protection locked="0"/>
    </xf>
    <xf numFmtId="164" fontId="8" fillId="0" borderId="9" xfId="21" applyFont="1" applyBorder="1" applyAlignment="1" applyProtection="1">
      <alignment horizontal="center" vertical="center" wrapText="1"/>
      <protection locked="0"/>
    </xf>
    <xf numFmtId="164" fontId="8" fillId="0" borderId="3" xfId="21" applyFont="1" applyBorder="1" applyAlignment="1" applyProtection="1">
      <alignment horizontal="center" wrapText="1"/>
      <protection locked="0"/>
    </xf>
    <xf numFmtId="164" fontId="5" fillId="0" borderId="13" xfId="21" applyFont="1" applyFill="1" applyBorder="1" applyAlignment="1" applyProtection="1">
      <alignment horizontal="center" wrapText="1"/>
      <protection locked="0"/>
    </xf>
    <xf numFmtId="164" fontId="5" fillId="0" borderId="0" xfId="21" applyFont="1" applyAlignment="1" applyProtection="1">
      <alignment horizontal="center" wrapText="1"/>
      <protection locked="0"/>
    </xf>
    <xf numFmtId="164" fontId="5" fillId="0" borderId="11" xfId="21" applyFont="1" applyFill="1" applyBorder="1" applyAlignment="1" applyProtection="1">
      <alignment horizontal="center" wrapText="1"/>
      <protection locked="0"/>
    </xf>
    <xf numFmtId="164" fontId="8" fillId="0" borderId="3" xfId="21" applyFont="1" applyBorder="1" applyAlignment="1">
      <alignment horizontal="center" wrapText="1"/>
    </xf>
    <xf numFmtId="164" fontId="12" fillId="0" borderId="1" xfId="21" applyFont="1" applyBorder="1" applyAlignment="1" applyProtection="1">
      <alignment horizontal="center" wrapText="1"/>
      <protection locked="0"/>
    </xf>
    <xf numFmtId="164" fontId="26" fillId="0" borderId="1" xfId="21" applyFont="1" applyBorder="1" applyAlignment="1" applyProtection="1">
      <alignment horizontal="center" wrapText="1"/>
      <protection locked="0"/>
    </xf>
    <xf numFmtId="0" fontId="27" fillId="0" borderId="1" xfId="19" applyFont="1" applyFill="1" applyBorder="1" applyAlignment="1">
      <alignment horizontal="center" vertical="top" wrapText="1"/>
    </xf>
    <xf numFmtId="0" fontId="27" fillId="0" borderId="1" xfId="15" applyFont="1" applyFill="1" applyBorder="1" applyAlignment="1">
      <alignment vertical="top" wrapText="1"/>
    </xf>
    <xf numFmtId="0" fontId="27" fillId="0" borderId="1" xfId="17" applyFont="1" applyFill="1" applyBorder="1" applyAlignment="1">
      <alignment horizontal="center" wrapText="1"/>
    </xf>
    <xf numFmtId="0" fontId="27" fillId="0" borderId="2" xfId="17" applyFont="1" applyFill="1" applyBorder="1" applyAlignment="1">
      <alignment horizontal="center" wrapText="1"/>
    </xf>
    <xf numFmtId="0" fontId="29" fillId="0" borderId="1" xfId="0" applyFont="1" applyBorder="1" applyAlignment="1">
      <alignment horizontal="left" vertical="top"/>
    </xf>
    <xf numFmtId="0" fontId="4" fillId="0" borderId="0" xfId="0" applyFont="1" applyAlignment="1">
      <alignment vertical="top"/>
    </xf>
    <xf numFmtId="0" fontId="30" fillId="0" borderId="1" xfId="15" applyFont="1" applyFill="1" applyBorder="1" applyAlignment="1">
      <alignment vertical="top" wrapText="1"/>
    </xf>
    <xf numFmtId="164" fontId="12" fillId="0" borderId="4" xfId="21" applyFont="1" applyFill="1" applyBorder="1" applyAlignment="1" applyProtection="1">
      <alignment horizontal="center" wrapText="1"/>
      <protection locked="0"/>
    </xf>
    <xf numFmtId="164" fontId="12" fillId="0" borderId="1" xfId="21" applyFont="1" applyFill="1" applyBorder="1" applyAlignment="1" applyProtection="1">
      <alignment horizontal="center" wrapText="1"/>
      <protection locked="0"/>
    </xf>
    <xf numFmtId="164" fontId="12" fillId="0" borderId="7" xfId="21" applyFont="1" applyFill="1" applyBorder="1" applyAlignment="1" applyProtection="1">
      <alignment horizontal="center" wrapText="1"/>
      <protection locked="0"/>
    </xf>
    <xf numFmtId="164" fontId="12" fillId="0" borderId="0" xfId="21" applyFont="1" applyAlignment="1" applyProtection="1">
      <alignment horizontal="right" wrapText="1"/>
      <protection locked="0"/>
    </xf>
    <xf numFmtId="0" fontId="30" fillId="0" borderId="1" xfId="13" applyFont="1" applyFill="1" applyBorder="1" applyAlignment="1">
      <alignment vertical="center" wrapText="1"/>
    </xf>
    <xf numFmtId="164" fontId="12" fillId="0" borderId="1" xfId="21" applyFont="1" applyFill="1" applyBorder="1" applyAlignment="1" applyProtection="1">
      <alignment horizontal="center"/>
      <protection locked="0"/>
    </xf>
    <xf numFmtId="164" fontId="12" fillId="0" borderId="0" xfId="21" applyFont="1" applyFill="1" applyAlignment="1" applyProtection="1">
      <alignment horizontal="right" wrapText="1"/>
      <protection locked="0"/>
    </xf>
    <xf numFmtId="164" fontId="12" fillId="0" borderId="1" xfId="21" applyFont="1" applyBorder="1" applyAlignment="1" applyProtection="1">
      <alignment horizontal="center" vertical="top" wrapText="1"/>
      <protection locked="0"/>
    </xf>
    <xf numFmtId="164" fontId="12" fillId="0" borderId="1" xfId="21" applyFont="1" applyBorder="1" applyAlignment="1" applyProtection="1">
      <alignment horizontal="center"/>
      <protection locked="0"/>
    </xf>
    <xf numFmtId="0" fontId="31" fillId="0" borderId="0" xfId="1" applyFont="1" applyAlignment="1">
      <alignment vertical="center" wrapText="1"/>
    </xf>
    <xf numFmtId="164" fontId="12" fillId="0" borderId="4" xfId="21" applyFont="1" applyBorder="1" applyAlignment="1" applyProtection="1">
      <alignment horizontal="center" wrapText="1"/>
      <protection locked="0"/>
    </xf>
    <xf numFmtId="164" fontId="32" fillId="0" borderId="1" xfId="21" applyFont="1" applyBorder="1" applyAlignment="1" applyProtection="1">
      <alignment horizontal="center" wrapText="1"/>
      <protection locked="0"/>
    </xf>
    <xf numFmtId="0" fontId="30" fillId="0" borderId="1" xfId="13" applyFont="1" applyFill="1" applyBorder="1" applyAlignment="1" applyProtection="1">
      <alignment vertical="center" wrapText="1"/>
      <protection locked="0"/>
    </xf>
    <xf numFmtId="164" fontId="5" fillId="0" borderId="1" xfId="21" applyFont="1" applyBorder="1" applyAlignment="1" applyProtection="1">
      <alignment horizontal="center" wrapText="1"/>
      <protection locked="0"/>
    </xf>
    <xf numFmtId="164" fontId="33" fillId="0" borderId="1" xfId="21" applyFont="1" applyBorder="1" applyAlignment="1" applyProtection="1">
      <alignment horizontal="center" wrapText="1"/>
      <protection locked="0"/>
    </xf>
    <xf numFmtId="164" fontId="5" fillId="0" borderId="0" xfId="21" applyFont="1" applyAlignment="1" applyProtection="1">
      <alignment wrapText="1"/>
      <protection locked="0"/>
    </xf>
    <xf numFmtId="164" fontId="31" fillId="0" borderId="0" xfId="1" applyNumberFormat="1" applyFont="1" applyAlignment="1" applyProtection="1">
      <alignment vertical="center" wrapText="1"/>
      <protection locked="0"/>
    </xf>
    <xf numFmtId="0" fontId="12" fillId="0" borderId="1" xfId="17" applyFont="1" applyFill="1" applyBorder="1" applyAlignment="1">
      <alignment horizontal="center" wrapText="1"/>
    </xf>
    <xf numFmtId="164" fontId="12" fillId="0" borderId="3" xfId="1" applyNumberFormat="1" applyFont="1" applyBorder="1" applyAlignment="1" applyProtection="1">
      <alignment horizontal="center" wrapText="1"/>
      <protection locked="0"/>
    </xf>
    <xf numFmtId="0" fontId="31" fillId="0" borderId="0" xfId="1" applyFont="1" applyAlignment="1" applyProtection="1">
      <alignment vertical="center" wrapText="1"/>
      <protection locked="0"/>
    </xf>
    <xf numFmtId="0" fontId="12" fillId="0" borderId="1" xfId="1" applyFont="1" applyBorder="1" applyAlignment="1" applyProtection="1">
      <alignment horizontal="center" vertical="top" wrapText="1"/>
      <protection locked="0"/>
    </xf>
    <xf numFmtId="0" fontId="12" fillId="0" borderId="0" xfId="1" applyFont="1" applyAlignment="1" applyProtection="1">
      <alignment horizontal="left" vertical="top" wrapText="1"/>
      <protection locked="0"/>
    </xf>
    <xf numFmtId="0" fontId="12" fillId="0" borderId="2" xfId="1" applyFont="1" applyBorder="1" applyAlignment="1" applyProtection="1">
      <alignment horizontal="center" wrapText="1"/>
      <protection locked="0"/>
    </xf>
    <xf numFmtId="0" fontId="17" fillId="0" borderId="1" xfId="17" applyFill="1" applyBorder="1" applyAlignment="1">
      <alignment horizontal="center" vertical="top" wrapText="1"/>
    </xf>
    <xf numFmtId="164" fontId="34" fillId="0" borderId="1" xfId="21" applyFont="1" applyBorder="1" applyAlignment="1" applyProtection="1">
      <alignment horizontal="center" wrapText="1"/>
      <protection locked="0"/>
    </xf>
    <xf numFmtId="0" fontId="4" fillId="0" borderId="1" xfId="0" applyFont="1" applyBorder="1" applyAlignment="1">
      <alignment horizontal="center" wrapText="1"/>
    </xf>
    <xf numFmtId="0" fontId="35" fillId="0" borderId="1" xfId="19" applyFont="1" applyFill="1" applyBorder="1" applyAlignment="1">
      <alignment horizontal="center" vertical="top" wrapText="1"/>
    </xf>
    <xf numFmtId="0" fontId="35" fillId="0" borderId="1" xfId="15" applyFont="1" applyFill="1" applyBorder="1" applyAlignment="1">
      <alignment vertical="top" wrapText="1"/>
    </xf>
    <xf numFmtId="0" fontId="35" fillId="0" borderId="1" xfId="17" applyFont="1" applyFill="1" applyBorder="1" applyAlignment="1">
      <alignment horizontal="center" wrapText="1"/>
    </xf>
    <xf numFmtId="0" fontId="35" fillId="0" borderId="2" xfId="17" applyFont="1" applyFill="1" applyBorder="1" applyAlignment="1">
      <alignment horizontal="center" wrapText="1"/>
    </xf>
    <xf numFmtId="164" fontId="35" fillId="0" borderId="3" xfId="1" applyNumberFormat="1" applyFont="1" applyBorder="1" applyAlignment="1" applyProtection="1">
      <alignment horizontal="center" wrapText="1"/>
      <protection locked="0"/>
    </xf>
    <xf numFmtId="164" fontId="35" fillId="0" borderId="1" xfId="21" applyFont="1" applyBorder="1" applyAlignment="1" applyProtection="1">
      <alignment horizontal="center" wrapText="1"/>
      <protection locked="0"/>
    </xf>
    <xf numFmtId="164" fontId="36" fillId="0" borderId="0" xfId="1" applyNumberFormat="1" applyFont="1" applyAlignment="1" applyProtection="1">
      <alignment vertical="center" wrapText="1"/>
      <protection locked="0"/>
    </xf>
    <xf numFmtId="164" fontId="36" fillId="0" borderId="0" xfId="21" applyFont="1" applyAlignment="1" applyProtection="1">
      <alignment vertical="center" wrapText="1"/>
      <protection locked="0"/>
    </xf>
    <xf numFmtId="0" fontId="36" fillId="0" borderId="0" xfId="1" applyFont="1" applyAlignment="1" applyProtection="1">
      <alignment vertical="center" wrapText="1"/>
      <protection locked="0"/>
    </xf>
    <xf numFmtId="0" fontId="37" fillId="0" borderId="1" xfId="0" applyFont="1" applyBorder="1" applyAlignment="1">
      <alignment horizontal="center" vertical="top" wrapText="1"/>
    </xf>
    <xf numFmtId="0" fontId="38" fillId="0" borderId="1" xfId="0" applyFont="1" applyBorder="1" applyAlignment="1">
      <alignment wrapText="1"/>
    </xf>
    <xf numFmtId="0" fontId="37" fillId="0" borderId="1" xfId="0" applyFont="1" applyBorder="1" applyAlignment="1">
      <alignment horizontal="center" wrapText="1"/>
    </xf>
    <xf numFmtId="0" fontId="37" fillId="0" borderId="2" xfId="0" applyFont="1" applyBorder="1" applyAlignment="1">
      <alignment horizontal="center" wrapText="1"/>
    </xf>
    <xf numFmtId="0" fontId="35" fillId="0" borderId="2" xfId="17" applyFont="1" applyFill="1" applyBorder="1" applyAlignment="1">
      <alignment horizontal="center" vertical="top" wrapText="1"/>
    </xf>
    <xf numFmtId="164" fontId="37" fillId="0" borderId="3" xfId="0" applyNumberFormat="1" applyFont="1" applyBorder="1" applyAlignment="1">
      <alignment vertical="top"/>
    </xf>
    <xf numFmtId="4" fontId="37" fillId="0" borderId="1" xfId="0" applyNumberFormat="1" applyFont="1" applyBorder="1" applyAlignment="1">
      <alignment vertical="top"/>
    </xf>
    <xf numFmtId="0" fontId="39" fillId="0" borderId="1" xfId="5" applyFont="1" applyBorder="1" applyAlignment="1">
      <alignment wrapText="1"/>
    </xf>
    <xf numFmtId="0" fontId="39" fillId="0" borderId="0" xfId="5" applyFont="1" applyAlignment="1">
      <alignment horizontal="left" wrapText="1" indent="2"/>
    </xf>
    <xf numFmtId="49" fontId="39" fillId="0" borderId="1" xfId="5" applyNumberFormat="1" applyFont="1" applyBorder="1" applyAlignment="1">
      <alignment horizontal="center" wrapText="1"/>
    </xf>
    <xf numFmtId="164" fontId="39" fillId="0" borderId="1" xfId="6" applyFont="1" applyFill="1" applyBorder="1" applyAlignment="1" applyProtection="1">
      <alignment horizontal="center" vertical="top" wrapText="1"/>
      <protection locked="0"/>
    </xf>
    <xf numFmtId="0" fontId="40" fillId="0" borderId="0" xfId="5" applyFont="1" applyAlignment="1" applyProtection="1">
      <alignment horizontal="center" vertical="top" wrapText="1"/>
      <protection locked="0"/>
    </xf>
    <xf numFmtId="0" fontId="39" fillId="0" borderId="0" xfId="5" applyFont="1" applyAlignment="1" applyProtection="1">
      <alignment wrapText="1"/>
      <protection locked="0"/>
    </xf>
    <xf numFmtId="0" fontId="41" fillId="0" borderId="1" xfId="13" applyFont="1" applyFill="1" applyBorder="1" applyAlignment="1">
      <alignment horizontal="center" vertical="center" wrapText="1"/>
    </xf>
    <xf numFmtId="0" fontId="35" fillId="0" borderId="1" xfId="1" applyFont="1" applyBorder="1" applyAlignment="1" applyProtection="1">
      <alignment horizontal="center" vertical="top" wrapText="1"/>
      <protection locked="0"/>
    </xf>
    <xf numFmtId="0" fontId="35" fillId="0" borderId="0" xfId="1" applyFont="1" applyAlignment="1" applyProtection="1">
      <alignment horizontal="left" vertical="top" wrapText="1"/>
      <protection locked="0"/>
    </xf>
    <xf numFmtId="0" fontId="35" fillId="0" borderId="1" xfId="1" applyFont="1" applyBorder="1" applyAlignment="1" applyProtection="1">
      <alignment horizontal="center"/>
      <protection locked="0"/>
    </xf>
    <xf numFmtId="0" fontId="35" fillId="0" borderId="2" xfId="1" applyFont="1" applyBorder="1" applyAlignment="1" applyProtection="1">
      <alignment horizontal="center" wrapText="1"/>
      <protection locked="0"/>
    </xf>
    <xf numFmtId="0" fontId="41" fillId="0" borderId="0" xfId="1" applyFont="1" applyAlignment="1" applyProtection="1">
      <alignment horizontal="left" vertical="top" wrapText="1"/>
      <protection locked="0"/>
    </xf>
    <xf numFmtId="0" fontId="43" fillId="0" borderId="1" xfId="1" applyFont="1" applyBorder="1" applyAlignment="1" applyProtection="1">
      <alignment horizontal="center" vertical="top" wrapText="1"/>
      <protection locked="0"/>
    </xf>
    <xf numFmtId="0" fontId="43" fillId="0" borderId="0" xfId="1" applyFont="1" applyAlignment="1" applyProtection="1">
      <alignment horizontal="left" vertical="top" wrapText="1"/>
      <protection locked="0"/>
    </xf>
    <xf numFmtId="0" fontId="43" fillId="0" borderId="2" xfId="1" applyFont="1" applyBorder="1" applyAlignment="1" applyProtection="1">
      <alignment horizontal="center" wrapText="1"/>
      <protection locked="0"/>
    </xf>
    <xf numFmtId="164" fontId="43" fillId="0" borderId="3" xfId="1" applyNumberFormat="1" applyFont="1" applyBorder="1" applyAlignment="1" applyProtection="1">
      <alignment horizontal="center" wrapText="1"/>
      <protection locked="0"/>
    </xf>
    <xf numFmtId="164" fontId="43" fillId="0" borderId="1" xfId="21" applyFont="1" applyBorder="1" applyAlignment="1" applyProtection="1">
      <alignment horizontal="center" wrapText="1"/>
      <protection locked="0"/>
    </xf>
    <xf numFmtId="164" fontId="1" fillId="0" borderId="0" xfId="21" applyFont="1" applyAlignment="1">
      <alignment vertical="center" wrapText="1"/>
    </xf>
    <xf numFmtId="164" fontId="1" fillId="0" borderId="0" xfId="21" applyFont="1" applyAlignment="1" applyProtection="1">
      <alignment vertical="center" wrapText="1"/>
      <protection locked="0"/>
    </xf>
    <xf numFmtId="0" fontId="44" fillId="0" borderId="1" xfId="11" applyFont="1" applyBorder="1" applyAlignment="1" applyProtection="1">
      <alignment horizontal="center" vertical="top" wrapText="1"/>
      <protection locked="0"/>
    </xf>
    <xf numFmtId="0" fontId="44" fillId="0" borderId="2" xfId="11" applyFont="1" applyBorder="1" applyAlignment="1" applyProtection="1">
      <alignment horizontal="center" wrapText="1"/>
      <protection locked="0"/>
    </xf>
    <xf numFmtId="164" fontId="43" fillId="0" borderId="3" xfId="21" applyFont="1" applyBorder="1" applyAlignment="1" applyProtection="1">
      <alignment horizontal="center" wrapText="1"/>
      <protection locked="0"/>
    </xf>
    <xf numFmtId="0" fontId="44" fillId="0" borderId="1" xfId="0" applyFont="1" applyBorder="1" applyAlignment="1" applyProtection="1">
      <alignment horizontal="center" vertical="top" wrapText="1"/>
      <protection locked="0"/>
    </xf>
    <xf numFmtId="0" fontId="27" fillId="0" borderId="1" xfId="13" applyFont="1" applyFill="1" applyBorder="1" applyAlignment="1" applyProtection="1">
      <alignment vertical="center" wrapText="1"/>
      <protection locked="0"/>
    </xf>
    <xf numFmtId="0" fontId="44" fillId="0" borderId="1" xfId="0" applyFont="1" applyBorder="1" applyAlignment="1" applyProtection="1">
      <alignment horizontal="center" wrapText="1"/>
      <protection locked="0"/>
    </xf>
    <xf numFmtId="0" fontId="44" fillId="0" borderId="2" xfId="0" applyFont="1" applyBorder="1" applyAlignment="1" applyProtection="1">
      <alignment horizontal="center" wrapText="1"/>
      <protection locked="0"/>
    </xf>
    <xf numFmtId="164" fontId="45" fillId="0" borderId="1" xfId="21" applyFont="1" applyBorder="1" applyAlignment="1" applyProtection="1">
      <alignment horizontal="center" wrapText="1"/>
      <protection locked="0"/>
    </xf>
    <xf numFmtId="0" fontId="17" fillId="0" borderId="1" xfId="13" applyFont="1" applyFill="1" applyBorder="1" applyAlignment="1">
      <alignment vertical="center" wrapText="1"/>
    </xf>
    <xf numFmtId="0" fontId="27" fillId="0" borderId="1" xfId="13" applyFont="1" applyFill="1" applyBorder="1" applyAlignment="1" applyProtection="1">
      <alignment vertical="top" wrapText="1"/>
      <protection locked="0"/>
    </xf>
    <xf numFmtId="0" fontId="44" fillId="0" borderId="2" xfId="0" applyFont="1" applyBorder="1" applyAlignment="1" applyProtection="1">
      <alignment horizontal="center" vertical="top" wrapText="1"/>
      <protection locked="0"/>
    </xf>
    <xf numFmtId="164" fontId="43" fillId="0" borderId="3" xfId="1" applyNumberFormat="1" applyFont="1" applyBorder="1" applyAlignment="1" applyProtection="1">
      <alignment horizontal="center" vertical="top" wrapText="1"/>
      <protection locked="0"/>
    </xf>
    <xf numFmtId="164" fontId="43" fillId="0" borderId="1" xfId="21" applyFont="1" applyBorder="1" applyAlignment="1" applyProtection="1">
      <alignment horizontal="center" vertical="top" wrapText="1"/>
      <protection locked="0"/>
    </xf>
    <xf numFmtId="164" fontId="45" fillId="0" borderId="1" xfId="21" applyFont="1" applyBorder="1" applyAlignment="1" applyProtection="1">
      <alignment horizontal="center" vertical="top" wrapText="1"/>
      <protection locked="0"/>
    </xf>
    <xf numFmtId="164" fontId="43" fillId="0" borderId="1" xfId="21" applyFont="1" applyFill="1" applyBorder="1" applyAlignment="1" applyProtection="1">
      <alignment horizontal="center" wrapText="1"/>
      <protection locked="0"/>
    </xf>
    <xf numFmtId="164" fontId="45" fillId="0" borderId="1" xfId="21" applyFont="1" applyFill="1" applyBorder="1" applyAlignment="1" applyProtection="1">
      <alignment horizontal="center" wrapText="1"/>
      <protection locked="0"/>
    </xf>
    <xf numFmtId="0" fontId="16" fillId="0" borderId="0" xfId="13" applyFill="1" applyAlignment="1" applyProtection="1">
      <alignment vertical="center" wrapText="1"/>
      <protection locked="0"/>
    </xf>
    <xf numFmtId="0" fontId="17" fillId="0" borderId="0" xfId="13" applyFont="1" applyFill="1" applyAlignment="1" applyProtection="1">
      <alignment vertical="center" wrapText="1"/>
      <protection locked="0"/>
    </xf>
    <xf numFmtId="0" fontId="4" fillId="0" borderId="1" xfId="11" applyBorder="1" applyAlignment="1" applyProtection="1">
      <alignment horizontal="center" vertical="center" wrapText="1"/>
      <protection locked="0"/>
    </xf>
    <xf numFmtId="0" fontId="4" fillId="0" borderId="2" xfId="11" applyBorder="1" applyAlignment="1" applyProtection="1">
      <alignment horizontal="center" vertical="center" wrapText="1"/>
      <protection locked="0"/>
    </xf>
    <xf numFmtId="164" fontId="8" fillId="0" borderId="3" xfId="21" applyFont="1" applyBorder="1" applyAlignment="1" applyProtection="1">
      <alignment horizontal="center" vertical="center" wrapText="1"/>
      <protection locked="0"/>
    </xf>
    <xf numFmtId="164" fontId="8" fillId="0" borderId="1" xfId="21" applyFont="1" applyBorder="1" applyAlignment="1" applyProtection="1">
      <alignment horizontal="center" vertical="center" wrapText="1"/>
      <protection locked="0"/>
    </xf>
    <xf numFmtId="0" fontId="43" fillId="0" borderId="1" xfId="1" applyFont="1" applyBorder="1" applyAlignment="1" applyProtection="1">
      <alignment horizontal="center"/>
      <protection locked="0"/>
    </xf>
    <xf numFmtId="0" fontId="12" fillId="0" borderId="1" xfId="1" applyFont="1" applyBorder="1" applyAlignment="1" applyProtection="1">
      <alignment horizontal="center"/>
      <protection locked="0"/>
    </xf>
    <xf numFmtId="0" fontId="4" fillId="0" borderId="1" xfId="11" applyBorder="1" applyAlignment="1">
      <alignment horizontal="center" wrapText="1"/>
    </xf>
    <xf numFmtId="37" fontId="5" fillId="0" borderId="12" xfId="22" applyNumberFormat="1" applyFont="1" applyBorder="1" applyAlignment="1">
      <alignment horizontal="center" wrapText="1"/>
    </xf>
    <xf numFmtId="37" fontId="5" fillId="0" borderId="0" xfId="22" applyNumberFormat="1" applyFont="1" applyAlignment="1">
      <alignment horizontal="center" wrapText="1"/>
    </xf>
    <xf numFmtId="0" fontId="4" fillId="0" borderId="1" xfId="11" applyBorder="1" applyAlignment="1" applyProtection="1">
      <alignment horizontal="center" wrapText="1"/>
      <protection locked="0"/>
    </xf>
    <xf numFmtId="0" fontId="44" fillId="0" borderId="1" xfId="11" applyFont="1" applyBorder="1" applyAlignment="1" applyProtection="1">
      <alignment horizontal="center" wrapText="1"/>
      <protection locked="0"/>
    </xf>
    <xf numFmtId="37" fontId="5" fillId="0" borderId="12" xfId="22" applyNumberFormat="1" applyFont="1" applyBorder="1" applyAlignment="1" applyProtection="1">
      <alignment horizontal="center" wrapText="1"/>
      <protection locked="0"/>
    </xf>
    <xf numFmtId="37" fontId="5" fillId="0" borderId="0" xfId="22" applyNumberFormat="1" applyFont="1" applyAlignment="1" applyProtection="1">
      <alignment horizontal="center" wrapText="1"/>
      <protection locked="0"/>
    </xf>
    <xf numFmtId="0" fontId="5" fillId="0" borderId="0" xfId="11" applyFont="1" applyAlignment="1" applyProtection="1">
      <alignment horizontal="center"/>
      <protection locked="0"/>
    </xf>
    <xf numFmtId="0" fontId="4" fillId="0" borderId="1" xfId="0" applyFont="1" applyBorder="1" applyAlignment="1">
      <alignment horizontal="center" vertical="top" wrapText="1"/>
    </xf>
    <xf numFmtId="164" fontId="0" fillId="0" borderId="0" xfId="0" applyNumberFormat="1" applyAlignment="1">
      <alignment vertical="top"/>
    </xf>
    <xf numFmtId="0" fontId="0" fillId="0" borderId="1" xfId="0" applyBorder="1" applyAlignment="1">
      <alignment horizontal="center" vertical="top"/>
    </xf>
    <xf numFmtId="0" fontId="0" fillId="0" borderId="1" xfId="0" applyBorder="1" applyAlignment="1">
      <alignment horizontal="center"/>
    </xf>
    <xf numFmtId="0" fontId="0" fillId="0" borderId="2" xfId="0" applyBorder="1" applyAlignment="1">
      <alignment horizontal="center"/>
    </xf>
    <xf numFmtId="164" fontId="19" fillId="0" borderId="3" xfId="1" applyNumberFormat="1" applyFont="1" applyBorder="1" applyAlignment="1" applyProtection="1">
      <alignment horizontal="center"/>
      <protection locked="0"/>
    </xf>
    <xf numFmtId="0" fontId="5" fillId="0" borderId="4" xfId="5" applyFont="1" applyBorder="1" applyAlignment="1">
      <alignment horizontal="center" vertical="center" wrapText="1"/>
    </xf>
    <xf numFmtId="0" fontId="5" fillId="0" borderId="7" xfId="5" applyFont="1" applyBorder="1" applyAlignment="1">
      <alignment horizontal="center" vertical="center" wrapText="1"/>
    </xf>
    <xf numFmtId="49" fontId="5" fillId="0" borderId="4" xfId="5" applyNumberFormat="1" applyFont="1" applyBorder="1" applyAlignment="1">
      <alignment horizontal="center" vertical="center" wrapText="1"/>
    </xf>
    <xf numFmtId="49" fontId="5" fillId="0" borderId="7" xfId="5" applyNumberFormat="1" applyFont="1" applyBorder="1" applyAlignment="1">
      <alignment horizontal="center" vertical="center" wrapText="1"/>
    </xf>
    <xf numFmtId="164" fontId="5" fillId="0" borderId="4" xfId="6" applyFont="1" applyFill="1" applyBorder="1" applyAlignment="1" applyProtection="1">
      <alignment horizontal="center" vertical="center" wrapText="1"/>
      <protection locked="0"/>
    </xf>
    <xf numFmtId="164" fontId="5" fillId="0" borderId="7" xfId="6" applyFont="1" applyFill="1" applyBorder="1" applyAlignment="1" applyProtection="1">
      <alignment horizontal="center" vertical="center" wrapText="1"/>
      <protection locked="0"/>
    </xf>
    <xf numFmtId="0" fontId="10" fillId="0" borderId="0" xfId="4" applyFont="1" applyAlignment="1">
      <alignment horizontal="center" vertical="top" wrapText="1"/>
    </xf>
    <xf numFmtId="0" fontId="8" fillId="0" borderId="4" xfId="1" applyFont="1" applyBorder="1" applyAlignment="1">
      <alignment horizontal="center" vertical="center" wrapText="1"/>
    </xf>
    <xf numFmtId="0" fontId="8" fillId="0" borderId="7" xfId="1" applyFont="1" applyBorder="1" applyAlignment="1">
      <alignment horizontal="center" vertical="center" wrapText="1"/>
    </xf>
    <xf numFmtId="0" fontId="8" fillId="0" borderId="4" xfId="1" applyFont="1" applyBorder="1" applyAlignment="1">
      <alignment horizontal="center" vertical="center"/>
    </xf>
    <xf numFmtId="0" fontId="8" fillId="0" borderId="7" xfId="1" applyFont="1" applyBorder="1" applyAlignment="1">
      <alignment horizontal="center" vertical="center"/>
    </xf>
    <xf numFmtId="0" fontId="8" fillId="0" borderId="5" xfId="1" applyFont="1" applyBorder="1" applyAlignment="1">
      <alignment horizontal="center" vertical="center" wrapText="1"/>
    </xf>
    <xf numFmtId="0" fontId="8" fillId="0" borderId="8" xfId="1" applyFont="1" applyBorder="1" applyAlignment="1">
      <alignment horizontal="center" vertical="center" wrapText="1"/>
    </xf>
    <xf numFmtId="0" fontId="8" fillId="0" borderId="4" xfId="22" applyFont="1" applyBorder="1" applyAlignment="1">
      <alignment horizontal="center" vertical="center" wrapText="1"/>
    </xf>
    <xf numFmtId="0" fontId="8" fillId="0" borderId="7" xfId="22" applyFont="1" applyBorder="1" applyAlignment="1">
      <alignment horizontal="center" vertical="center" wrapText="1"/>
    </xf>
    <xf numFmtId="0" fontId="8" fillId="0" borderId="4" xfId="22" applyFont="1" applyBorder="1" applyAlignment="1">
      <alignment horizontal="center" vertical="center"/>
    </xf>
    <xf numFmtId="0" fontId="8" fillId="0" borderId="7" xfId="22" applyFont="1" applyBorder="1" applyAlignment="1">
      <alignment horizontal="center" vertical="center"/>
    </xf>
    <xf numFmtId="0" fontId="8" fillId="0" borderId="5" xfId="22" applyFont="1" applyBorder="1" applyAlignment="1">
      <alignment horizontal="center" vertical="center" wrapText="1"/>
    </xf>
    <xf numFmtId="0" fontId="8" fillId="0" borderId="8" xfId="22" applyFont="1" applyBorder="1" applyAlignment="1">
      <alignment horizontal="center" vertical="center" wrapText="1"/>
    </xf>
    <xf numFmtId="43" fontId="28" fillId="0" borderId="4" xfId="2" applyFont="1" applyFill="1" applyBorder="1" applyAlignment="1" applyProtection="1">
      <alignment horizontal="center" vertical="center" wrapText="1"/>
      <protection locked="0"/>
    </xf>
    <xf numFmtId="43" fontId="28" fillId="0" borderId="7" xfId="2" applyFont="1" applyFill="1" applyBorder="1" applyAlignment="1" applyProtection="1">
      <alignment horizontal="center" vertical="center" wrapText="1"/>
      <protection locked="0"/>
    </xf>
    <xf numFmtId="0" fontId="34" fillId="0" borderId="4" xfId="1" applyFont="1" applyBorder="1" applyAlignment="1">
      <alignment horizontal="center" vertical="center"/>
    </xf>
    <xf numFmtId="0" fontId="34" fillId="0" borderId="7" xfId="1" applyFont="1" applyBorder="1" applyAlignment="1">
      <alignment horizontal="center" vertical="center"/>
    </xf>
    <xf numFmtId="164" fontId="1" fillId="0" borderId="0" xfId="21" applyFont="1" applyAlignment="1" applyProtection="1">
      <alignment vertical="center"/>
      <protection locked="0"/>
    </xf>
  </cellXfs>
  <cellStyles count="23">
    <cellStyle name="Comma" xfId="21" builtinId="3"/>
    <cellStyle name="Comma 2" xfId="3" xr:uid="{9C1CE4B5-736F-488E-9190-69946E416BEF}"/>
    <cellStyle name="Comma 3" xfId="6" xr:uid="{0964C275-693B-45D9-930D-B0B6CA6D2227}"/>
    <cellStyle name="Comma 3 4 2" xfId="8" xr:uid="{EEE54344-5F7C-4C31-B00E-AFCF8061C0D2}"/>
    <cellStyle name="Comma 4" xfId="2" xr:uid="{9767EF44-2F48-4FFF-8187-AB1A10C1DEDF}"/>
    <cellStyle name="Comma 8" xfId="9" xr:uid="{B5E891AB-A4C0-4CF1-A16A-A2AB7676F69F}"/>
    <cellStyle name="Normal" xfId="0" builtinId="0"/>
    <cellStyle name="Normal 10" xfId="11" xr:uid="{4C5E2F10-25A3-4CD8-AF92-8B72B5701FFD}"/>
    <cellStyle name="Normal 2" xfId="1" xr:uid="{38CC561F-389E-47C8-84CF-FD57F51E001A}"/>
    <cellStyle name="Normal 2 2" xfId="22" xr:uid="{0AB9E30D-6CE2-42DB-A0C4-F07B0A2AE6C4}"/>
    <cellStyle name="Normal 3" xfId="4" xr:uid="{5DC4DB59-0803-40AF-B6C2-ECA63432D50A}"/>
    <cellStyle name="Normal 3 2 2" xfId="12" xr:uid="{95ED1FB5-89F2-4657-9A54-9CC08F10E0A1}"/>
    <cellStyle name="Normal 3 3" xfId="5" xr:uid="{19CC8511-B21C-49DD-B4C1-F12F3F42A50C}"/>
    <cellStyle name="Normal 4" xfId="10" xr:uid="{097AA3C1-C4A0-4E49-A0DE-48AE16728481}"/>
    <cellStyle name="Normal_INT-CERT 2_1" xfId="7" xr:uid="{D5FEA537-7DB2-42CF-81A4-D8F84C6C27C0}"/>
    <cellStyle name="S10" xfId="19" xr:uid="{3E54056C-0E93-420B-B98A-84B25FC9045C}"/>
    <cellStyle name="S11" xfId="15" xr:uid="{60CD8397-E6DC-4928-A7DF-D3FE894E07EC}"/>
    <cellStyle name="S12" xfId="16" xr:uid="{EFFE06F0-1A6F-4FE5-9F3C-ACDAF554F326}"/>
    <cellStyle name="S13" xfId="18" xr:uid="{A1A56BCE-3BEA-40E5-ACA2-C6FFB02D573F}"/>
    <cellStyle name="S6" xfId="13" xr:uid="{0C165EBF-857B-4D3E-A83C-87ACA73EC9E7}"/>
    <cellStyle name="S7" xfId="14" xr:uid="{1006E85D-DCA0-48FA-914C-A12AB3D04815}"/>
    <cellStyle name="S8" xfId="17" xr:uid="{2111EA60-EDA4-4B0F-9B54-FFB02EBE932F}"/>
    <cellStyle name="S9" xfId="20" xr:uid="{D15C826D-A85A-46EC-BA24-880AD23DBE8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5" Type="http://schemas.openxmlformats.org/officeDocument/2006/relationships/printerSettings" Target="../printerSettings/printerSettings5.bin"/><Relationship Id="rId4" Type="http://schemas.openxmlformats.org/officeDocument/2006/relationships/printerSettings" Target="../printerSettings/printerSettings4.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printerSettings" Target="../printerSettings/printerSettings7.bin"/><Relationship Id="rId1" Type="http://schemas.openxmlformats.org/officeDocument/2006/relationships/printerSettings" Target="../printerSettings/printerSettings6.bin"/><Relationship Id="rId5" Type="http://schemas.openxmlformats.org/officeDocument/2006/relationships/printerSettings" Target="../printerSettings/printerSettings10.bin"/><Relationship Id="rId4" Type="http://schemas.openxmlformats.org/officeDocument/2006/relationships/printerSettings" Target="../printerSettings/printerSettings9.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14.bin"/><Relationship Id="rId2" Type="http://schemas.openxmlformats.org/officeDocument/2006/relationships/printerSettings" Target="../printerSettings/printerSettings13.bin"/><Relationship Id="rId1" Type="http://schemas.openxmlformats.org/officeDocument/2006/relationships/printerSettings" Target="../printerSettings/printerSettings12.bin"/><Relationship Id="rId5" Type="http://schemas.openxmlformats.org/officeDocument/2006/relationships/printerSettings" Target="../printerSettings/printerSettings16.bin"/><Relationship Id="rId4" Type="http://schemas.openxmlformats.org/officeDocument/2006/relationships/printerSettings" Target="../printerSettings/printerSettings15.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20.bin"/><Relationship Id="rId2" Type="http://schemas.openxmlformats.org/officeDocument/2006/relationships/printerSettings" Target="../printerSettings/printerSettings19.bin"/><Relationship Id="rId1" Type="http://schemas.openxmlformats.org/officeDocument/2006/relationships/printerSettings" Target="../printerSettings/printerSettings18.bin"/><Relationship Id="rId5" Type="http://schemas.openxmlformats.org/officeDocument/2006/relationships/printerSettings" Target="../printerSettings/printerSettings22.bin"/><Relationship Id="rId4" Type="http://schemas.openxmlformats.org/officeDocument/2006/relationships/printerSettings" Target="../printerSettings/printerSettings2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printerSettings" Target="../printerSettings/printerSettings25.bin"/><Relationship Id="rId1" Type="http://schemas.openxmlformats.org/officeDocument/2006/relationships/printerSettings" Target="../printerSettings/printerSettings24.bin"/><Relationship Id="rId5" Type="http://schemas.openxmlformats.org/officeDocument/2006/relationships/printerSettings" Target="../printerSettings/printerSettings28.bin"/><Relationship Id="rId4" Type="http://schemas.openxmlformats.org/officeDocument/2006/relationships/printerSettings" Target="../printerSettings/printerSettings27.bin"/></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31.bin"/><Relationship Id="rId2" Type="http://schemas.openxmlformats.org/officeDocument/2006/relationships/printerSettings" Target="../printerSettings/printerSettings30.bin"/><Relationship Id="rId1" Type="http://schemas.openxmlformats.org/officeDocument/2006/relationships/printerSettings" Target="../printerSettings/printerSettings29.bin"/><Relationship Id="rId5" Type="http://schemas.openxmlformats.org/officeDocument/2006/relationships/printerSettings" Target="../printerSettings/printerSettings33.bin"/><Relationship Id="rId4" Type="http://schemas.openxmlformats.org/officeDocument/2006/relationships/printerSettings" Target="../printerSettings/printerSettings32.bin"/></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36.bin"/><Relationship Id="rId2" Type="http://schemas.openxmlformats.org/officeDocument/2006/relationships/printerSettings" Target="../printerSettings/printerSettings35.bin"/><Relationship Id="rId1" Type="http://schemas.openxmlformats.org/officeDocument/2006/relationships/printerSettings" Target="../printerSettings/printerSettings34.bin"/><Relationship Id="rId5" Type="http://schemas.openxmlformats.org/officeDocument/2006/relationships/printerSettings" Target="../printerSettings/printerSettings38.bin"/><Relationship Id="rId4" Type="http://schemas.openxmlformats.org/officeDocument/2006/relationships/printerSettings" Target="../printerSettings/printerSettings37.bin"/></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41.bin"/><Relationship Id="rId2" Type="http://schemas.openxmlformats.org/officeDocument/2006/relationships/printerSettings" Target="../printerSettings/printerSettings40.bin"/><Relationship Id="rId1" Type="http://schemas.openxmlformats.org/officeDocument/2006/relationships/printerSettings" Target="../printerSettings/printerSettings39.bin"/><Relationship Id="rId5" Type="http://schemas.openxmlformats.org/officeDocument/2006/relationships/printerSettings" Target="../printerSettings/printerSettings43.bin"/><Relationship Id="rId4" Type="http://schemas.openxmlformats.org/officeDocument/2006/relationships/printerSettings" Target="../printerSettings/printerSettings42.bin"/></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46.bin"/><Relationship Id="rId2" Type="http://schemas.openxmlformats.org/officeDocument/2006/relationships/printerSettings" Target="../printerSettings/printerSettings45.bin"/><Relationship Id="rId1" Type="http://schemas.openxmlformats.org/officeDocument/2006/relationships/printerSettings" Target="../printerSettings/printerSettings44.bin"/><Relationship Id="rId5" Type="http://schemas.openxmlformats.org/officeDocument/2006/relationships/printerSettings" Target="../printerSettings/printerSettings48.bin"/><Relationship Id="rId4" Type="http://schemas.openxmlformats.org/officeDocument/2006/relationships/printerSettings" Target="../printerSettings/printerSettings47.bin"/></Relationships>
</file>

<file path=xl/worksheets/_rels/sheet13.xml.rels><?xml version="1.0" encoding="UTF-8" standalone="yes"?>
<Relationships xmlns="http://schemas.openxmlformats.org/package/2006/relationships"><Relationship Id="rId3" Type="http://schemas.openxmlformats.org/officeDocument/2006/relationships/printerSettings" Target="../printerSettings/printerSettings51.bin"/><Relationship Id="rId2" Type="http://schemas.openxmlformats.org/officeDocument/2006/relationships/printerSettings" Target="../printerSettings/printerSettings50.bin"/><Relationship Id="rId1" Type="http://schemas.openxmlformats.org/officeDocument/2006/relationships/printerSettings" Target="../printerSettings/printerSettings49.bin"/><Relationship Id="rId5" Type="http://schemas.openxmlformats.org/officeDocument/2006/relationships/printerSettings" Target="../printerSettings/printerSettings53.bin"/><Relationship Id="rId4" Type="http://schemas.openxmlformats.org/officeDocument/2006/relationships/printerSettings" Target="../printerSettings/printerSettings52.bin"/></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56.bin"/><Relationship Id="rId2" Type="http://schemas.openxmlformats.org/officeDocument/2006/relationships/printerSettings" Target="../printerSettings/printerSettings55.bin"/><Relationship Id="rId1" Type="http://schemas.openxmlformats.org/officeDocument/2006/relationships/printerSettings" Target="../printerSettings/printerSettings54.bin"/><Relationship Id="rId5" Type="http://schemas.openxmlformats.org/officeDocument/2006/relationships/printerSettings" Target="../printerSettings/printerSettings58.bin"/><Relationship Id="rId4" Type="http://schemas.openxmlformats.org/officeDocument/2006/relationships/printerSettings" Target="../printerSettings/printerSettings57.bin"/></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61.bin"/><Relationship Id="rId2" Type="http://schemas.openxmlformats.org/officeDocument/2006/relationships/printerSettings" Target="../printerSettings/printerSettings60.bin"/><Relationship Id="rId1" Type="http://schemas.openxmlformats.org/officeDocument/2006/relationships/printerSettings" Target="../printerSettings/printerSettings59.bin"/><Relationship Id="rId5" Type="http://schemas.openxmlformats.org/officeDocument/2006/relationships/printerSettings" Target="../printerSettings/printerSettings63.bin"/><Relationship Id="rId4" Type="http://schemas.openxmlformats.org/officeDocument/2006/relationships/printerSettings" Target="../printerSettings/printerSettings62.bin"/></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66.bin"/><Relationship Id="rId2" Type="http://schemas.openxmlformats.org/officeDocument/2006/relationships/printerSettings" Target="../printerSettings/printerSettings65.bin"/><Relationship Id="rId1" Type="http://schemas.openxmlformats.org/officeDocument/2006/relationships/printerSettings" Target="../printerSettings/printerSettings64.bin"/><Relationship Id="rId5" Type="http://schemas.openxmlformats.org/officeDocument/2006/relationships/printerSettings" Target="../printerSettings/printerSettings68.bin"/><Relationship Id="rId4" Type="http://schemas.openxmlformats.org/officeDocument/2006/relationships/printerSettings" Target="../printerSettings/printerSettings67.bin"/></Relationships>
</file>

<file path=xl/worksheets/_rels/sheet17.xml.rels><?xml version="1.0" encoding="UTF-8" standalone="yes"?>
<Relationships xmlns="http://schemas.openxmlformats.org/package/2006/relationships"><Relationship Id="rId3" Type="http://schemas.openxmlformats.org/officeDocument/2006/relationships/printerSettings" Target="../printerSettings/printerSettings71.bin"/><Relationship Id="rId2" Type="http://schemas.openxmlformats.org/officeDocument/2006/relationships/printerSettings" Target="../printerSettings/printerSettings70.bin"/><Relationship Id="rId1" Type="http://schemas.openxmlformats.org/officeDocument/2006/relationships/printerSettings" Target="../printerSettings/printerSettings69.bin"/><Relationship Id="rId5" Type="http://schemas.openxmlformats.org/officeDocument/2006/relationships/printerSettings" Target="../printerSettings/printerSettings73.bin"/><Relationship Id="rId4" Type="http://schemas.openxmlformats.org/officeDocument/2006/relationships/printerSettings" Target="../printerSettings/printerSettings72.bin"/></Relationships>
</file>

<file path=xl/worksheets/_rels/sheet18.xml.rels><?xml version="1.0" encoding="UTF-8" standalone="yes"?>
<Relationships xmlns="http://schemas.openxmlformats.org/package/2006/relationships"><Relationship Id="rId3" Type="http://schemas.openxmlformats.org/officeDocument/2006/relationships/printerSettings" Target="../printerSettings/printerSettings76.bin"/><Relationship Id="rId2" Type="http://schemas.openxmlformats.org/officeDocument/2006/relationships/printerSettings" Target="../printerSettings/printerSettings75.bin"/><Relationship Id="rId1" Type="http://schemas.openxmlformats.org/officeDocument/2006/relationships/printerSettings" Target="../printerSettings/printerSettings74.bin"/><Relationship Id="rId5" Type="http://schemas.openxmlformats.org/officeDocument/2006/relationships/printerSettings" Target="../printerSettings/printerSettings78.bin"/><Relationship Id="rId4" Type="http://schemas.openxmlformats.org/officeDocument/2006/relationships/printerSettings" Target="../printerSettings/printerSettings7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E0812-0458-4DB3-8754-2173B795A728}">
  <sheetPr codeName="Sheet1"/>
  <dimension ref="A1:J50"/>
  <sheetViews>
    <sheetView view="pageBreakPreview" zoomScale="70" zoomScaleNormal="100" zoomScaleSheetLayoutView="70" workbookViewId="0">
      <selection activeCell="F34" sqref="F34"/>
    </sheetView>
  </sheetViews>
  <sheetFormatPr defaultColWidth="8.7109375" defaultRowHeight="14.45"/>
  <cols>
    <col min="1" max="16384" width="8.7109375" style="2"/>
  </cols>
  <sheetData>
    <row r="1" spans="1:10">
      <c r="A1" s="1"/>
      <c r="B1" s="1"/>
      <c r="C1" s="1"/>
      <c r="D1" s="1"/>
      <c r="E1" s="1"/>
      <c r="F1" s="1"/>
      <c r="G1" s="1"/>
      <c r="H1" s="1"/>
      <c r="I1" s="1"/>
      <c r="J1" s="1"/>
    </row>
    <row r="2" spans="1:10">
      <c r="A2" s="1"/>
      <c r="B2" s="1"/>
      <c r="C2" s="1"/>
      <c r="D2" s="1"/>
      <c r="E2" s="1"/>
      <c r="F2" s="1"/>
      <c r="G2" s="1"/>
      <c r="H2" s="1"/>
      <c r="I2" s="1"/>
      <c r="J2" s="1"/>
    </row>
    <row r="3" spans="1:10">
      <c r="A3" s="1"/>
      <c r="B3" s="1"/>
      <c r="C3" s="1"/>
      <c r="D3" s="1"/>
      <c r="E3" s="1"/>
      <c r="F3" s="1"/>
      <c r="G3" s="1"/>
      <c r="H3" s="1"/>
      <c r="I3" s="1"/>
      <c r="J3" s="1"/>
    </row>
    <row r="4" spans="1:10">
      <c r="A4" s="1"/>
      <c r="B4" s="1"/>
      <c r="C4" s="1"/>
      <c r="D4" s="1"/>
      <c r="E4" s="1"/>
      <c r="F4" s="1"/>
      <c r="G4" s="1"/>
      <c r="H4" s="1"/>
      <c r="I4" s="1"/>
      <c r="J4" s="1"/>
    </row>
    <row r="5" spans="1:10">
      <c r="A5" s="1"/>
      <c r="B5" s="1"/>
      <c r="C5" s="1"/>
      <c r="D5" s="1"/>
      <c r="E5" s="1"/>
      <c r="F5" s="1"/>
      <c r="G5" s="1"/>
      <c r="H5" s="1"/>
      <c r="I5" s="1"/>
      <c r="J5" s="1"/>
    </row>
    <row r="6" spans="1:10">
      <c r="A6" s="1"/>
      <c r="B6" s="1"/>
      <c r="C6" s="1"/>
      <c r="D6" s="1"/>
      <c r="E6" s="1"/>
      <c r="F6" s="1"/>
      <c r="G6" s="1"/>
      <c r="H6" s="1"/>
      <c r="I6" s="1"/>
      <c r="J6" s="1"/>
    </row>
    <row r="7" spans="1:10">
      <c r="A7" s="1"/>
      <c r="B7" s="1"/>
      <c r="C7" s="1"/>
      <c r="D7" s="1"/>
      <c r="E7" s="1"/>
      <c r="F7" s="1"/>
      <c r="G7" s="1"/>
      <c r="H7" s="1"/>
      <c r="I7" s="1"/>
      <c r="J7" s="1"/>
    </row>
    <row r="8" spans="1:10">
      <c r="A8" s="1"/>
      <c r="B8" s="1"/>
      <c r="C8" s="1"/>
      <c r="D8" s="1"/>
      <c r="E8" s="1"/>
      <c r="F8" s="1"/>
      <c r="G8" s="1"/>
      <c r="H8" s="1"/>
      <c r="I8" s="1"/>
      <c r="J8" s="1"/>
    </row>
    <row r="9" spans="1:10">
      <c r="A9" s="1"/>
      <c r="B9" s="1"/>
      <c r="C9" s="1"/>
      <c r="D9" s="1"/>
      <c r="E9" s="1"/>
      <c r="F9" s="1"/>
      <c r="G9" s="1"/>
      <c r="H9" s="1"/>
      <c r="I9" s="1"/>
      <c r="J9" s="1"/>
    </row>
    <row r="10" spans="1:10">
      <c r="A10" s="1"/>
      <c r="B10" s="1"/>
      <c r="C10" s="1"/>
      <c r="D10" s="1"/>
      <c r="E10" s="1"/>
      <c r="F10" s="1"/>
      <c r="G10" s="1"/>
      <c r="H10" s="1"/>
      <c r="I10" s="1"/>
      <c r="J10" s="1"/>
    </row>
    <row r="11" spans="1:10">
      <c r="A11" s="1"/>
      <c r="B11" s="1"/>
      <c r="C11" s="1"/>
      <c r="D11" s="1"/>
      <c r="E11" s="1"/>
      <c r="F11" s="1"/>
      <c r="G11" s="1"/>
      <c r="H11" s="1"/>
      <c r="I11" s="1"/>
      <c r="J11" s="1"/>
    </row>
    <row r="12" spans="1:10">
      <c r="A12" s="1"/>
      <c r="B12" s="1"/>
      <c r="C12" s="1"/>
      <c r="D12" s="1"/>
      <c r="E12" s="1"/>
      <c r="F12" s="1"/>
      <c r="G12" s="1"/>
      <c r="H12" s="1"/>
      <c r="I12" s="1"/>
      <c r="J12" s="1"/>
    </row>
    <row r="13" spans="1:10">
      <c r="A13" s="1"/>
      <c r="B13" s="1"/>
      <c r="C13" s="1"/>
      <c r="D13" s="1"/>
      <c r="E13" s="1"/>
      <c r="F13" s="1"/>
      <c r="G13" s="1"/>
      <c r="H13" s="1"/>
      <c r="I13" s="1"/>
      <c r="J13" s="1"/>
    </row>
    <row r="14" spans="1:10">
      <c r="A14" s="3"/>
      <c r="B14" s="3"/>
      <c r="C14" s="3"/>
      <c r="D14" s="3"/>
      <c r="E14" s="3"/>
      <c r="F14" s="3"/>
      <c r="G14" s="3"/>
      <c r="H14" s="3"/>
      <c r="I14" s="3"/>
      <c r="J14" s="3"/>
    </row>
    <row r="15" spans="1:10">
      <c r="A15" s="3"/>
      <c r="B15" s="3"/>
      <c r="C15" s="3"/>
      <c r="D15" s="3"/>
      <c r="E15" s="3"/>
      <c r="F15" s="3"/>
      <c r="G15" s="3"/>
      <c r="H15" s="3"/>
      <c r="I15" s="3"/>
      <c r="J15" s="3"/>
    </row>
    <row r="16" spans="1:10">
      <c r="A16" s="1"/>
      <c r="B16" s="1"/>
      <c r="C16" s="1"/>
      <c r="D16" s="1"/>
      <c r="E16" s="1"/>
      <c r="F16" s="1"/>
      <c r="G16" s="1"/>
      <c r="H16" s="1"/>
      <c r="I16" s="1"/>
      <c r="J16" s="1"/>
    </row>
    <row r="17" spans="1:10">
      <c r="A17" s="1"/>
      <c r="B17" s="1"/>
      <c r="C17" s="1"/>
      <c r="D17" s="1"/>
      <c r="E17" s="1"/>
      <c r="F17" s="1"/>
      <c r="G17" s="1"/>
      <c r="H17" s="1"/>
      <c r="I17" s="1"/>
      <c r="J17" s="1"/>
    </row>
    <row r="18" spans="1:10">
      <c r="A18" s="1"/>
      <c r="B18" s="1"/>
      <c r="C18" s="1"/>
      <c r="D18" s="1"/>
      <c r="E18" s="1"/>
      <c r="F18" s="1"/>
      <c r="G18" s="1"/>
      <c r="H18" s="1"/>
      <c r="I18" s="1"/>
      <c r="J18" s="1"/>
    </row>
    <row r="19" spans="1:10">
      <c r="A19" s="1"/>
      <c r="B19" s="1"/>
      <c r="C19" s="1"/>
      <c r="D19" s="1"/>
      <c r="E19" s="1"/>
      <c r="F19" s="1"/>
      <c r="G19" s="1"/>
      <c r="H19" s="1"/>
      <c r="I19" s="1"/>
      <c r="J19" s="1"/>
    </row>
    <row r="20" spans="1:10">
      <c r="A20" s="1"/>
      <c r="B20" s="1"/>
      <c r="C20" s="1"/>
      <c r="D20" s="1"/>
      <c r="E20" s="1"/>
      <c r="F20" s="1"/>
      <c r="G20" s="1"/>
      <c r="H20" s="1"/>
      <c r="I20" s="1"/>
      <c r="J20" s="1"/>
    </row>
    <row r="21" spans="1:10">
      <c r="A21" s="1"/>
      <c r="B21" s="1"/>
      <c r="C21" s="1"/>
      <c r="D21" s="1"/>
      <c r="E21" s="1"/>
      <c r="F21" s="1"/>
      <c r="G21" s="1"/>
      <c r="H21" s="1"/>
      <c r="I21" s="1"/>
      <c r="J21" s="1"/>
    </row>
    <row r="22" spans="1:10">
      <c r="A22" s="331" t="s">
        <v>0</v>
      </c>
      <c r="B22" s="331"/>
      <c r="C22" s="331"/>
      <c r="D22" s="331"/>
      <c r="E22" s="331"/>
      <c r="F22" s="331"/>
      <c r="G22" s="331"/>
      <c r="H22" s="331"/>
      <c r="I22" s="331"/>
      <c r="J22" s="331"/>
    </row>
    <row r="23" spans="1:10">
      <c r="A23" s="4"/>
      <c r="B23" s="4"/>
      <c r="C23" s="4"/>
      <c r="D23" s="4"/>
      <c r="E23" s="4"/>
      <c r="F23" s="4"/>
      <c r="G23" s="4"/>
      <c r="H23" s="4"/>
      <c r="I23" s="4"/>
      <c r="J23" s="4"/>
    </row>
    <row r="24" spans="1:10" ht="15" customHeight="1">
      <c r="A24" s="331" t="s">
        <v>1</v>
      </c>
      <c r="B24" s="331"/>
      <c r="C24" s="331"/>
      <c r="D24" s="331"/>
      <c r="E24" s="331"/>
      <c r="F24" s="331"/>
      <c r="G24" s="331"/>
      <c r="H24" s="331"/>
      <c r="I24" s="331"/>
      <c r="J24" s="331"/>
    </row>
    <row r="25" spans="1:10">
      <c r="A25" s="4"/>
      <c r="B25" s="4"/>
      <c r="C25" s="4"/>
      <c r="D25" s="4"/>
      <c r="E25" s="4"/>
      <c r="F25" s="4"/>
      <c r="G25" s="4"/>
      <c r="H25" s="4"/>
      <c r="I25" s="4"/>
      <c r="J25" s="4"/>
    </row>
    <row r="26" spans="1:10">
      <c r="A26" s="4"/>
      <c r="B26" s="4"/>
      <c r="C26" s="4"/>
      <c r="D26" s="4"/>
      <c r="E26" s="4"/>
      <c r="F26" s="4"/>
      <c r="G26" s="4"/>
      <c r="H26" s="4"/>
      <c r="I26" s="4"/>
      <c r="J26" s="4"/>
    </row>
    <row r="27" spans="1:10">
      <c r="A27" s="5"/>
      <c r="B27" s="5"/>
      <c r="C27" s="5"/>
      <c r="D27" s="5"/>
      <c r="E27" s="5"/>
      <c r="F27" s="5"/>
      <c r="G27" s="5"/>
      <c r="H27" s="5"/>
      <c r="I27" s="5"/>
      <c r="J27" s="5"/>
    </row>
    <row r="28" spans="1:10">
      <c r="A28" s="4"/>
      <c r="B28" s="4"/>
      <c r="C28" s="4"/>
      <c r="D28" s="4"/>
      <c r="E28" s="4"/>
      <c r="F28" s="4"/>
      <c r="G28" s="4"/>
      <c r="H28" s="4"/>
      <c r="I28" s="4"/>
      <c r="J28" s="4"/>
    </row>
    <row r="29" spans="1:10">
      <c r="A29" s="4"/>
      <c r="B29" s="4"/>
      <c r="C29" s="4"/>
      <c r="D29" s="4"/>
      <c r="E29" s="4"/>
      <c r="F29" s="4"/>
      <c r="G29" s="4"/>
      <c r="H29" s="4"/>
      <c r="I29" s="4"/>
      <c r="J29" s="4"/>
    </row>
    <row r="30" spans="1:10">
      <c r="A30" s="4"/>
      <c r="B30" s="4"/>
      <c r="C30" s="4"/>
      <c r="D30" s="4"/>
      <c r="E30" s="4"/>
      <c r="F30" s="4"/>
      <c r="G30" s="4"/>
      <c r="H30" s="4"/>
      <c r="I30" s="4"/>
      <c r="J30" s="4"/>
    </row>
    <row r="31" spans="1:10">
      <c r="A31" s="105"/>
      <c r="B31" s="105"/>
      <c r="C31" s="105"/>
      <c r="D31" s="105"/>
      <c r="E31" s="105"/>
      <c r="F31" s="105"/>
      <c r="G31" s="105"/>
      <c r="H31" s="105"/>
      <c r="I31" s="105"/>
      <c r="J31" s="105"/>
    </row>
    <row r="32" spans="1:10">
      <c r="A32" s="105"/>
      <c r="B32" s="105"/>
      <c r="C32" s="105"/>
      <c r="D32" s="105"/>
      <c r="E32" s="105"/>
      <c r="F32" s="105"/>
      <c r="G32" s="105"/>
      <c r="H32" s="105"/>
      <c r="I32" s="105"/>
      <c r="J32" s="105"/>
    </row>
    <row r="33" spans="1:10">
      <c r="A33" s="4"/>
      <c r="B33" s="4"/>
      <c r="C33" s="4"/>
      <c r="D33" s="4"/>
      <c r="E33" s="4"/>
      <c r="F33" s="4"/>
      <c r="G33" s="4"/>
      <c r="H33" s="4"/>
      <c r="I33" s="4"/>
      <c r="J33" s="4"/>
    </row>
    <row r="34" spans="1:10">
      <c r="A34" s="4"/>
      <c r="B34" s="4"/>
      <c r="C34" s="4"/>
      <c r="D34" s="4"/>
      <c r="E34" s="4"/>
      <c r="F34" s="4"/>
      <c r="G34" s="4"/>
      <c r="H34" s="4"/>
      <c r="I34" s="4"/>
      <c r="J34" s="4"/>
    </row>
    <row r="35" spans="1:10">
      <c r="A35" s="4"/>
      <c r="B35" s="4"/>
      <c r="C35" s="4"/>
      <c r="D35" s="4"/>
      <c r="E35" s="4"/>
      <c r="F35" s="4"/>
      <c r="G35" s="4"/>
      <c r="H35" s="4"/>
      <c r="I35" s="4"/>
      <c r="J35" s="4"/>
    </row>
    <row r="36" spans="1:10">
      <c r="A36" s="4"/>
      <c r="B36" s="4"/>
      <c r="C36" s="4"/>
      <c r="D36" s="4"/>
      <c r="E36" s="4"/>
      <c r="F36" s="4"/>
      <c r="G36" s="4"/>
      <c r="H36" s="4"/>
      <c r="I36" s="4"/>
      <c r="J36" s="4"/>
    </row>
    <row r="37" spans="1:10">
      <c r="A37" s="4"/>
      <c r="B37" s="4"/>
      <c r="C37" s="4"/>
      <c r="D37" s="4"/>
      <c r="E37" s="4"/>
      <c r="F37" s="4"/>
      <c r="G37" s="4"/>
      <c r="H37" s="4"/>
      <c r="I37" s="4"/>
      <c r="J37" s="4"/>
    </row>
    <row r="38" spans="1:10">
      <c r="A38" s="4"/>
      <c r="B38" s="4"/>
      <c r="C38" s="4"/>
      <c r="D38" s="4"/>
      <c r="E38" s="4"/>
      <c r="F38" s="4"/>
      <c r="G38" s="4"/>
      <c r="H38" s="4"/>
      <c r="I38" s="4"/>
      <c r="J38" s="4"/>
    </row>
    <row r="39" spans="1:10">
      <c r="A39" s="4"/>
      <c r="B39" s="4"/>
      <c r="C39" s="4"/>
      <c r="D39" s="4"/>
      <c r="E39" s="4"/>
      <c r="F39" s="4"/>
      <c r="G39" s="4"/>
      <c r="H39" s="4"/>
      <c r="I39" s="4"/>
      <c r="J39" s="4"/>
    </row>
    <row r="40" spans="1:10">
      <c r="A40" s="4"/>
      <c r="B40" s="4"/>
      <c r="C40" s="4"/>
      <c r="D40" s="4"/>
      <c r="E40" s="4"/>
      <c r="F40" s="4"/>
      <c r="G40" s="4"/>
      <c r="H40" s="4"/>
      <c r="I40" s="4"/>
      <c r="J40" s="4"/>
    </row>
    <row r="41" spans="1:10">
      <c r="A41" s="4"/>
      <c r="B41" s="4"/>
      <c r="C41" s="4"/>
      <c r="D41" s="4"/>
      <c r="E41" s="4"/>
      <c r="F41" s="4"/>
      <c r="G41" s="4"/>
      <c r="H41" s="4"/>
      <c r="I41" s="4"/>
      <c r="J41" s="4"/>
    </row>
    <row r="42" spans="1:10">
      <c r="A42" s="6"/>
      <c r="B42" s="7"/>
      <c r="C42" s="8"/>
      <c r="D42" s="9"/>
      <c r="E42" s="10"/>
      <c r="F42" s="10"/>
    </row>
    <row r="43" spans="1:10">
      <c r="A43" s="6"/>
      <c r="B43" s="7"/>
      <c r="C43" s="8"/>
      <c r="D43" s="9"/>
      <c r="E43" s="10"/>
      <c r="F43" s="10"/>
    </row>
    <row r="44" spans="1:10">
      <c r="A44" s="6"/>
      <c r="B44" s="7"/>
      <c r="C44" s="8"/>
      <c r="D44" s="9"/>
      <c r="E44" s="10"/>
      <c r="F44" s="10"/>
    </row>
    <row r="45" spans="1:10">
      <c r="A45" s="6"/>
      <c r="B45" s="7"/>
      <c r="C45" s="8"/>
      <c r="D45" s="9"/>
      <c r="E45" s="10"/>
      <c r="F45" s="10"/>
    </row>
    <row r="46" spans="1:10">
      <c r="A46" s="6"/>
      <c r="B46" s="7"/>
      <c r="C46" s="8"/>
      <c r="D46" s="9"/>
      <c r="E46" s="10"/>
      <c r="F46" s="10"/>
    </row>
    <row r="47" spans="1:10">
      <c r="A47" s="6"/>
      <c r="B47" s="7"/>
      <c r="C47" s="8"/>
      <c r="D47" s="9"/>
      <c r="E47" s="10"/>
      <c r="F47" s="10"/>
    </row>
    <row r="48" spans="1:10">
      <c r="A48" s="6"/>
      <c r="B48" s="7"/>
      <c r="C48" s="8"/>
      <c r="D48" s="9"/>
      <c r="E48" s="10"/>
      <c r="F48" s="10"/>
    </row>
    <row r="49" spans="1:6">
      <c r="A49" s="6"/>
      <c r="B49" s="7"/>
      <c r="C49" s="8"/>
      <c r="D49" s="9"/>
      <c r="E49" s="10"/>
      <c r="F49" s="10"/>
    </row>
    <row r="50" spans="1:6">
      <c r="A50" s="6"/>
      <c r="B50" s="7"/>
      <c r="C50" s="8"/>
      <c r="D50" s="9"/>
      <c r="E50" s="10"/>
      <c r="F50" s="10"/>
    </row>
  </sheetData>
  <customSheetViews>
    <customSheetView guid="{3432A39B-C5E3-4DF0-8655-3886C046AF9C}" scale="70" showPageBreaks="1" printArea="1" view="pageBreakPreview" topLeftCell="A16">
      <selection activeCell="N26" sqref="N26"/>
      <pageMargins left="0" right="0" top="0" bottom="0" header="0" footer="0"/>
      <printOptions horizontalCentered="1"/>
      <pageSetup paperSize="9" orientation="portrait" r:id="rId1"/>
    </customSheetView>
    <customSheetView guid="{47E345F0-E696-46B9-B7A2-C22AD1CF4FAA}" scale="70" showPageBreaks="1" printArea="1" view="pageBreakPreview" topLeftCell="A16">
      <selection activeCell="N26" sqref="N26"/>
      <pageMargins left="0" right="0" top="0" bottom="0" header="0" footer="0"/>
      <printOptions horizontalCentered="1"/>
      <pageSetup paperSize="9" orientation="portrait" r:id="rId2"/>
    </customSheetView>
    <customSheetView guid="{252EBC6A-BD49-4FC3-9285-77861935BFE3}" scale="70" showPageBreaks="1" printArea="1" view="pageBreakPreview">
      <selection activeCell="N26" sqref="N26"/>
      <pageMargins left="0" right="0" top="0" bottom="0" header="0" footer="0"/>
      <printOptions horizontalCentered="1"/>
      <pageSetup paperSize="9" orientation="portrait" r:id="rId3"/>
    </customSheetView>
    <customSheetView guid="{80D5E0F2-D974-412D-A20C-052459C7A221}" scale="70" showPageBreaks="1" printArea="1" view="pageBreakPreview" topLeftCell="A16">
      <selection activeCell="N26" sqref="N26"/>
      <pageMargins left="0" right="0" top="0" bottom="0" header="0" footer="0"/>
      <printOptions horizontalCentered="1"/>
      <pageSetup paperSize="9" orientation="portrait" r:id="rId4"/>
    </customSheetView>
  </customSheetViews>
  <mergeCells count="2">
    <mergeCell ref="A22:J22"/>
    <mergeCell ref="A24:J24"/>
  </mergeCells>
  <printOptions horizontalCentered="1"/>
  <pageMargins left="0.66929133858267698" right="0.196850393700787" top="0.82677165354330695" bottom="0.47" header="0.196850393700787" footer="0.24"/>
  <pageSetup paperSize="9" orientation="portrait"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8E908-94AE-441D-BA42-CB7604239EB2}">
  <sheetPr codeName="Sheet3"/>
  <dimension ref="A1:F295"/>
  <sheetViews>
    <sheetView view="pageBreakPreview" topLeftCell="A283" zoomScaleNormal="100" zoomScaleSheetLayoutView="100" zoomScalePageLayoutView="70" workbookViewId="0">
      <selection activeCell="F34" sqref="F34"/>
    </sheetView>
  </sheetViews>
  <sheetFormatPr defaultColWidth="9.28515625" defaultRowHeight="13.9"/>
  <cols>
    <col min="1" max="1" width="5.7109375" style="36" customWidth="1"/>
    <col min="2" max="2" width="45.28515625" style="27" customWidth="1"/>
    <col min="3" max="3" width="10.7109375" style="28" customWidth="1"/>
    <col min="4" max="4" width="6.7109375" style="37" customWidth="1"/>
    <col min="5" max="5" width="11.7109375" style="162" customWidth="1"/>
    <col min="6" max="6" width="15.7109375" style="142" customWidth="1"/>
    <col min="7" max="16384" width="9.28515625" style="35"/>
  </cols>
  <sheetData>
    <row r="1" spans="1:6" s="30" customFormat="1" ht="14.45">
      <c r="A1" s="332" t="s">
        <v>2</v>
      </c>
      <c r="B1" s="332" t="s">
        <v>3</v>
      </c>
      <c r="C1" s="334" t="s">
        <v>4</v>
      </c>
      <c r="D1" s="336" t="s">
        <v>5</v>
      </c>
      <c r="E1" s="155" t="s">
        <v>6</v>
      </c>
      <c r="F1" s="135" t="s">
        <v>7</v>
      </c>
    </row>
    <row r="2" spans="1:6" s="30" customFormat="1" ht="14.45">
      <c r="A2" s="333"/>
      <c r="B2" s="333"/>
      <c r="C2" s="335"/>
      <c r="D2" s="337"/>
      <c r="E2" s="156" t="s">
        <v>8</v>
      </c>
      <c r="F2" s="136" t="s">
        <v>8</v>
      </c>
    </row>
    <row r="3" spans="1:6" s="34" customFormat="1" ht="14.45">
      <c r="A3" s="31"/>
      <c r="B3" s="32"/>
      <c r="C3" s="29"/>
      <c r="D3" s="33"/>
      <c r="E3" s="157"/>
      <c r="F3" s="137"/>
    </row>
    <row r="4" spans="1:6" s="34" customFormat="1" ht="14.45">
      <c r="A4" s="59"/>
      <c r="B4" s="60" t="s">
        <v>9</v>
      </c>
      <c r="C4" s="61"/>
      <c r="D4" s="62"/>
      <c r="E4" s="157"/>
      <c r="F4" s="137"/>
    </row>
    <row r="5" spans="1:6" s="34" customFormat="1" ht="14.45">
      <c r="A5" s="59"/>
      <c r="B5" s="63"/>
      <c r="C5" s="61"/>
      <c r="D5" s="62"/>
      <c r="E5" s="157"/>
      <c r="F5" s="137"/>
    </row>
    <row r="6" spans="1:6" s="34" customFormat="1" ht="14.45">
      <c r="A6" s="59"/>
      <c r="B6" s="64" t="s">
        <v>10</v>
      </c>
      <c r="C6" s="61"/>
      <c r="D6" s="62"/>
      <c r="E6" s="157"/>
      <c r="F6" s="137"/>
    </row>
    <row r="7" spans="1:6" s="34" customFormat="1" ht="14.45">
      <c r="A7" s="59"/>
      <c r="B7" s="65"/>
      <c r="C7" s="61"/>
      <c r="D7" s="62"/>
      <c r="E7" s="157"/>
      <c r="F7" s="137"/>
    </row>
    <row r="8" spans="1:6" s="34" customFormat="1" ht="14.45">
      <c r="A8" s="66"/>
      <c r="B8" s="67" t="s">
        <v>11</v>
      </c>
      <c r="C8" s="68"/>
      <c r="D8" s="69"/>
      <c r="E8" s="157"/>
      <c r="F8" s="137"/>
    </row>
    <row r="9" spans="1:6" s="34" customFormat="1" ht="14.45">
      <c r="A9" s="59"/>
      <c r="B9" s="65"/>
      <c r="C9" s="61"/>
      <c r="D9" s="62"/>
      <c r="E9" s="157"/>
      <c r="F9" s="137"/>
    </row>
    <row r="10" spans="1:6" s="34" customFormat="1" ht="14.45">
      <c r="A10" s="66"/>
      <c r="B10" s="67" t="s">
        <v>12</v>
      </c>
      <c r="C10" s="68"/>
      <c r="D10" s="69"/>
      <c r="E10" s="157"/>
      <c r="F10" s="137"/>
    </row>
    <row r="11" spans="1:6" s="34" customFormat="1" ht="14.45">
      <c r="A11" s="59"/>
      <c r="B11" s="65"/>
      <c r="C11" s="61"/>
      <c r="D11" s="62"/>
      <c r="E11" s="157"/>
      <c r="F11" s="137"/>
    </row>
    <row r="12" spans="1:6" s="34" customFormat="1" ht="27.6">
      <c r="A12" s="66"/>
      <c r="B12" s="98" t="s">
        <v>13</v>
      </c>
      <c r="C12" s="68"/>
      <c r="D12" s="69"/>
      <c r="E12" s="157"/>
      <c r="F12" s="137"/>
    </row>
    <row r="13" spans="1:6" s="34" customFormat="1" ht="14.45">
      <c r="A13" s="59"/>
      <c r="B13" s="100"/>
      <c r="C13" s="61"/>
      <c r="D13" s="62"/>
      <c r="E13" s="157"/>
      <c r="F13" s="137"/>
    </row>
    <row r="14" spans="1:6" s="34" customFormat="1" ht="14.45">
      <c r="A14" s="66" t="s">
        <v>14</v>
      </c>
      <c r="B14" s="67" t="s">
        <v>15</v>
      </c>
      <c r="C14" s="68">
        <v>42</v>
      </c>
      <c r="D14" s="69" t="s">
        <v>16</v>
      </c>
      <c r="E14" s="157">
        <v>1.62</v>
      </c>
      <c r="F14" s="137">
        <f>C14*E14</f>
        <v>68.040000000000006</v>
      </c>
    </row>
    <row r="15" spans="1:6" s="34" customFormat="1" ht="14.45">
      <c r="A15" s="59"/>
      <c r="B15" s="100"/>
      <c r="C15" s="61"/>
      <c r="D15" s="62"/>
      <c r="E15" s="157"/>
      <c r="F15" s="137"/>
    </row>
    <row r="16" spans="1:6" s="34" customFormat="1" ht="14.45">
      <c r="A16" s="66" t="s">
        <v>17</v>
      </c>
      <c r="B16" s="67" t="s">
        <v>18</v>
      </c>
      <c r="C16" s="68" t="s">
        <v>19</v>
      </c>
      <c r="D16" s="69" t="s">
        <v>16</v>
      </c>
      <c r="E16" s="157">
        <v>1.62</v>
      </c>
      <c r="F16" s="137">
        <f>C16*E16</f>
        <v>468.18</v>
      </c>
    </row>
    <row r="17" spans="1:6" s="34" customFormat="1" ht="14.45">
      <c r="A17" s="59"/>
      <c r="B17" s="100"/>
      <c r="C17" s="61"/>
      <c r="D17" s="62"/>
      <c r="E17" s="157"/>
      <c r="F17" s="137"/>
    </row>
    <row r="18" spans="1:6" s="34" customFormat="1" ht="14.45">
      <c r="A18" s="66" t="s">
        <v>20</v>
      </c>
      <c r="B18" s="67" t="s">
        <v>21</v>
      </c>
      <c r="C18" s="68" t="s">
        <v>22</v>
      </c>
      <c r="D18" s="69" t="s">
        <v>16</v>
      </c>
      <c r="E18" s="157">
        <v>1.62</v>
      </c>
      <c r="F18" s="137">
        <f>C18*E18</f>
        <v>865.08</v>
      </c>
    </row>
    <row r="19" spans="1:6" s="34" customFormat="1" ht="14.45">
      <c r="A19" s="59"/>
      <c r="B19" s="100"/>
      <c r="C19" s="61"/>
      <c r="D19" s="62"/>
      <c r="E19" s="157"/>
      <c r="F19" s="137"/>
    </row>
    <row r="20" spans="1:6" s="34" customFormat="1" ht="14.45">
      <c r="A20" s="66" t="s">
        <v>23</v>
      </c>
      <c r="B20" s="67" t="s">
        <v>24</v>
      </c>
      <c r="C20" s="68" t="s">
        <v>25</v>
      </c>
      <c r="D20" s="69" t="s">
        <v>16</v>
      </c>
      <c r="E20" s="157">
        <v>1.62</v>
      </c>
      <c r="F20" s="137">
        <f>C20*E20</f>
        <v>210.60000000000002</v>
      </c>
    </row>
    <row r="21" spans="1:6" s="34" customFormat="1" ht="14.45">
      <c r="A21" s="59"/>
      <c r="B21" s="100"/>
      <c r="C21" s="61"/>
      <c r="D21" s="62"/>
      <c r="E21" s="157"/>
      <c r="F21" s="137"/>
    </row>
    <row r="22" spans="1:6" s="34" customFormat="1" ht="27.6">
      <c r="A22" s="66"/>
      <c r="B22" s="98" t="s">
        <v>26</v>
      </c>
      <c r="C22" s="68"/>
      <c r="D22" s="69"/>
      <c r="E22" s="157"/>
      <c r="F22" s="137"/>
    </row>
    <row r="23" spans="1:6" s="34" customFormat="1" ht="14.45">
      <c r="A23" s="59"/>
      <c r="B23" s="100"/>
      <c r="C23" s="61"/>
      <c r="D23" s="62"/>
      <c r="E23" s="157"/>
      <c r="F23" s="137"/>
    </row>
    <row r="24" spans="1:6" s="34" customFormat="1" ht="14.45">
      <c r="A24" s="66" t="s">
        <v>27</v>
      </c>
      <c r="B24" s="67" t="s">
        <v>28</v>
      </c>
      <c r="C24" s="68"/>
      <c r="D24" s="69" t="s">
        <v>2</v>
      </c>
      <c r="E24" s="157"/>
      <c r="F24" s="137" t="s">
        <v>29</v>
      </c>
    </row>
    <row r="25" spans="1:6" s="34" customFormat="1" ht="14.45">
      <c r="A25" s="31"/>
      <c r="B25" s="101"/>
      <c r="C25" s="29"/>
      <c r="D25" s="33"/>
      <c r="E25" s="157"/>
      <c r="F25" s="137"/>
    </row>
    <row r="26" spans="1:6" s="34" customFormat="1" ht="14.45">
      <c r="A26" s="31"/>
      <c r="B26" s="101"/>
      <c r="C26" s="29"/>
      <c r="D26" s="33"/>
      <c r="E26" s="157"/>
      <c r="F26" s="137"/>
    </row>
    <row r="27" spans="1:6" s="34" customFormat="1" ht="14.45">
      <c r="A27" s="31"/>
      <c r="B27" s="101"/>
      <c r="C27" s="29"/>
      <c r="D27" s="33"/>
      <c r="E27" s="157"/>
      <c r="F27" s="137"/>
    </row>
    <row r="28" spans="1:6" s="34" customFormat="1" ht="14.45">
      <c r="A28" s="31"/>
      <c r="B28" s="101"/>
      <c r="C28" s="29"/>
      <c r="D28" s="33"/>
      <c r="E28" s="157"/>
      <c r="F28" s="137"/>
    </row>
    <row r="29" spans="1:6" s="34" customFormat="1" ht="14.45">
      <c r="A29" s="31"/>
      <c r="B29" s="101"/>
      <c r="C29" s="29"/>
      <c r="D29" s="33"/>
      <c r="E29" s="157"/>
      <c r="F29" s="137"/>
    </row>
    <row r="30" spans="1:6" s="34" customFormat="1" ht="14.45">
      <c r="A30" s="31"/>
      <c r="B30" s="101"/>
      <c r="C30" s="29"/>
      <c r="D30" s="33"/>
      <c r="E30" s="157"/>
      <c r="F30" s="137"/>
    </row>
    <row r="31" spans="1:6" s="34" customFormat="1" ht="14.45">
      <c r="A31" s="31"/>
      <c r="B31" s="101"/>
      <c r="C31" s="29"/>
      <c r="D31" s="33"/>
      <c r="E31" s="157"/>
      <c r="F31" s="137"/>
    </row>
    <row r="32" spans="1:6" s="34" customFormat="1" ht="14.45">
      <c r="A32" s="31"/>
      <c r="B32" s="101"/>
      <c r="C32" s="29"/>
      <c r="D32" s="33"/>
      <c r="E32" s="157"/>
      <c r="F32" s="137"/>
    </row>
    <row r="33" spans="1:6" s="34" customFormat="1" ht="14.45">
      <c r="A33" s="31"/>
      <c r="B33" s="101"/>
      <c r="C33" s="29"/>
      <c r="D33" s="33"/>
      <c r="E33" s="157"/>
      <c r="F33" s="137"/>
    </row>
    <row r="34" spans="1:6" s="34" customFormat="1" ht="14.45">
      <c r="A34" s="31"/>
      <c r="B34" s="101"/>
      <c r="C34" s="29"/>
      <c r="D34" s="33"/>
      <c r="E34" s="157"/>
      <c r="F34" s="137"/>
    </row>
    <row r="35" spans="1:6" s="34" customFormat="1" ht="14.45">
      <c r="A35" s="31"/>
      <c r="B35" s="101"/>
      <c r="C35" s="29"/>
      <c r="D35" s="33"/>
      <c r="E35" s="157"/>
      <c r="F35" s="137"/>
    </row>
    <row r="36" spans="1:6" s="34" customFormat="1" ht="14.45">
      <c r="A36" s="31"/>
      <c r="B36" s="101"/>
      <c r="C36" s="29"/>
      <c r="D36" s="33"/>
      <c r="E36" s="157"/>
      <c r="F36" s="137"/>
    </row>
    <row r="37" spans="1:6" s="34" customFormat="1" ht="14.45">
      <c r="A37" s="31"/>
      <c r="B37" s="101"/>
      <c r="C37" s="29"/>
      <c r="D37" s="33"/>
      <c r="E37" s="157"/>
      <c r="F37" s="137"/>
    </row>
    <row r="38" spans="1:6" s="34" customFormat="1" ht="14.45">
      <c r="A38" s="31"/>
      <c r="B38" s="101"/>
      <c r="C38" s="29"/>
      <c r="D38" s="33"/>
      <c r="E38" s="157"/>
      <c r="F38" s="137"/>
    </row>
    <row r="39" spans="1:6" s="34" customFormat="1" ht="14.45">
      <c r="A39" s="31"/>
      <c r="B39" s="101"/>
      <c r="C39" s="29"/>
      <c r="D39" s="33"/>
      <c r="E39" s="157"/>
      <c r="F39" s="137"/>
    </row>
    <row r="40" spans="1:6" s="34" customFormat="1" ht="14.45">
      <c r="A40" s="31"/>
      <c r="B40" s="101"/>
      <c r="C40" s="29"/>
      <c r="D40" s="33"/>
      <c r="E40" s="157"/>
      <c r="F40" s="137"/>
    </row>
    <row r="41" spans="1:6" s="34" customFormat="1" ht="14.45">
      <c r="A41" s="31"/>
      <c r="B41" s="101"/>
      <c r="C41" s="29"/>
      <c r="D41" s="33"/>
      <c r="E41" s="157"/>
      <c r="F41" s="137"/>
    </row>
    <row r="42" spans="1:6" s="34" customFormat="1" ht="14.45">
      <c r="A42" s="31"/>
      <c r="B42" s="101"/>
      <c r="C42" s="29"/>
      <c r="D42" s="33"/>
      <c r="E42" s="157"/>
      <c r="F42" s="137"/>
    </row>
    <row r="43" spans="1:6" s="34" customFormat="1" ht="14.45">
      <c r="A43" s="31"/>
      <c r="B43" s="101"/>
      <c r="C43" s="29"/>
      <c r="D43" s="33"/>
      <c r="E43" s="157"/>
      <c r="F43" s="137"/>
    </row>
    <row r="44" spans="1:6" s="34" customFormat="1" ht="14.45">
      <c r="A44" s="71"/>
      <c r="B44" s="72"/>
      <c r="C44" s="73"/>
      <c r="D44" s="74"/>
      <c r="E44" s="159"/>
      <c r="F44" s="138"/>
    </row>
    <row r="45" spans="1:6" s="34" customFormat="1" ht="14.45">
      <c r="A45" s="75"/>
      <c r="B45" s="76"/>
      <c r="C45" s="77" t="s">
        <v>30</v>
      </c>
      <c r="D45" s="77"/>
      <c r="E45" s="160" t="s">
        <v>8</v>
      </c>
      <c r="F45" s="139">
        <f>SUM(F12:F35)</f>
        <v>1611.9</v>
      </c>
    </row>
    <row r="46" spans="1:6" s="34" customFormat="1" ht="14.45">
      <c r="A46" s="75"/>
      <c r="B46" s="76"/>
      <c r="C46" s="78"/>
      <c r="D46" s="79"/>
      <c r="E46" s="161"/>
      <c r="F46" s="140"/>
    </row>
    <row r="47" spans="1:6" s="34" customFormat="1" ht="14.45">
      <c r="A47" s="31"/>
      <c r="B47" s="101"/>
      <c r="C47" s="29"/>
      <c r="D47" s="33"/>
      <c r="E47" s="157"/>
      <c r="F47" s="137"/>
    </row>
    <row r="48" spans="1:6" s="34" customFormat="1" ht="14.45">
      <c r="A48" s="59"/>
      <c r="B48" s="64" t="s">
        <v>31</v>
      </c>
      <c r="C48" s="61"/>
      <c r="D48" s="62"/>
      <c r="E48" s="157"/>
      <c r="F48" s="137"/>
    </row>
    <row r="49" spans="1:6" s="34" customFormat="1" ht="14.45">
      <c r="A49" s="59"/>
      <c r="B49" s="100"/>
      <c r="C49" s="61"/>
      <c r="D49" s="62"/>
      <c r="E49" s="157"/>
      <c r="F49" s="137"/>
    </row>
    <row r="50" spans="1:6" s="34" customFormat="1" ht="27.6">
      <c r="A50" s="66"/>
      <c r="B50" s="98" t="s">
        <v>32</v>
      </c>
      <c r="C50" s="68"/>
      <c r="D50" s="69"/>
      <c r="E50" s="157"/>
      <c r="F50" s="137"/>
    </row>
    <row r="51" spans="1:6" s="34" customFormat="1" ht="14.45">
      <c r="A51" s="59"/>
      <c r="B51" s="100"/>
      <c r="C51" s="61"/>
      <c r="D51" s="62"/>
      <c r="E51" s="157"/>
      <c r="F51" s="137"/>
    </row>
    <row r="52" spans="1:6" s="34" customFormat="1" ht="14.45">
      <c r="A52" s="66" t="s">
        <v>14</v>
      </c>
      <c r="B52" s="67" t="s">
        <v>33</v>
      </c>
      <c r="C52" s="68" t="s">
        <v>34</v>
      </c>
      <c r="D52" s="69" t="s">
        <v>35</v>
      </c>
      <c r="E52" s="157">
        <v>21.34</v>
      </c>
      <c r="F52" s="137">
        <f>C52*E52</f>
        <v>4972.22</v>
      </c>
    </row>
    <row r="53" spans="1:6" s="34" customFormat="1" ht="14.45">
      <c r="A53" s="59"/>
      <c r="B53" s="100"/>
      <c r="C53" s="61"/>
      <c r="D53" s="62"/>
      <c r="E53" s="157"/>
      <c r="F53" s="137"/>
    </row>
    <row r="54" spans="1:6" s="34" customFormat="1" ht="14.45">
      <c r="A54" s="66" t="s">
        <v>17</v>
      </c>
      <c r="B54" s="67" t="s">
        <v>36</v>
      </c>
      <c r="C54" s="68" t="s">
        <v>37</v>
      </c>
      <c r="D54" s="69" t="s">
        <v>35</v>
      </c>
      <c r="E54" s="157">
        <v>34.69</v>
      </c>
      <c r="F54" s="137">
        <f>C54*E54</f>
        <v>1283.53</v>
      </c>
    </row>
    <row r="55" spans="1:6" s="34" customFormat="1" ht="14.45">
      <c r="A55" s="59"/>
      <c r="B55" s="100"/>
      <c r="C55" s="61"/>
      <c r="D55" s="62"/>
      <c r="E55" s="157"/>
      <c r="F55" s="137"/>
    </row>
    <row r="56" spans="1:6" s="34" customFormat="1" ht="14.45">
      <c r="A56" s="66" t="s">
        <v>20</v>
      </c>
      <c r="B56" s="67" t="s">
        <v>38</v>
      </c>
      <c r="C56" s="68" t="s">
        <v>39</v>
      </c>
      <c r="D56" s="69" t="s">
        <v>35</v>
      </c>
      <c r="E56" s="157">
        <v>34.69</v>
      </c>
      <c r="F56" s="137">
        <f>C56*E56</f>
        <v>208.14</v>
      </c>
    </row>
    <row r="57" spans="1:6" s="34" customFormat="1" ht="14.45">
      <c r="A57" s="59"/>
      <c r="B57" s="100"/>
      <c r="C57" s="61"/>
      <c r="D57" s="62"/>
      <c r="E57" s="157"/>
      <c r="F57" s="137"/>
    </row>
    <row r="58" spans="1:6" s="34" customFormat="1" ht="14.45">
      <c r="A58" s="66" t="s">
        <v>23</v>
      </c>
      <c r="B58" s="67" t="s">
        <v>40</v>
      </c>
      <c r="C58" s="68" t="s">
        <v>41</v>
      </c>
      <c r="D58" s="69" t="s">
        <v>35</v>
      </c>
      <c r="E58" s="157">
        <v>41.37</v>
      </c>
      <c r="F58" s="137">
        <f>C58*E58</f>
        <v>3557.8199999999997</v>
      </c>
    </row>
    <row r="59" spans="1:6" s="34" customFormat="1" ht="14.45">
      <c r="A59" s="59"/>
      <c r="B59" s="100"/>
      <c r="C59" s="61"/>
      <c r="D59" s="62"/>
      <c r="E59" s="157"/>
      <c r="F59" s="137"/>
    </row>
    <row r="60" spans="1:6" s="34" customFormat="1" ht="27.6">
      <c r="A60" s="66"/>
      <c r="B60" s="98" t="s">
        <v>42</v>
      </c>
      <c r="C60" s="68"/>
      <c r="D60" s="69"/>
      <c r="E60" s="157"/>
      <c r="F60" s="137"/>
    </row>
    <row r="61" spans="1:6" s="34" customFormat="1" ht="14.45">
      <c r="A61" s="59"/>
      <c r="B61" s="100"/>
      <c r="C61" s="61"/>
      <c r="D61" s="62"/>
      <c r="E61" s="157"/>
      <c r="F61" s="137"/>
    </row>
    <row r="62" spans="1:6" s="34" customFormat="1" ht="27.6">
      <c r="A62" s="66" t="s">
        <v>27</v>
      </c>
      <c r="B62" s="67" t="s">
        <v>43</v>
      </c>
      <c r="C62" s="68" t="s">
        <v>39</v>
      </c>
      <c r="D62" s="69" t="s">
        <v>35</v>
      </c>
      <c r="E62" s="157">
        <v>34.909999999999997</v>
      </c>
      <c r="F62" s="137">
        <f>C62*E62</f>
        <v>209.45999999999998</v>
      </c>
    </row>
    <row r="63" spans="1:6" s="34" customFormat="1" ht="14.45">
      <c r="A63" s="59"/>
      <c r="B63" s="100"/>
      <c r="C63" s="61"/>
      <c r="D63" s="62"/>
      <c r="E63" s="157"/>
      <c r="F63" s="137"/>
    </row>
    <row r="64" spans="1:6" s="34" customFormat="1" ht="14.45">
      <c r="A64" s="66" t="s">
        <v>44</v>
      </c>
      <c r="B64" s="67" t="s">
        <v>45</v>
      </c>
      <c r="C64" s="68" t="s">
        <v>46</v>
      </c>
      <c r="D64" s="69" t="s">
        <v>35</v>
      </c>
      <c r="E64" s="157">
        <v>70.42</v>
      </c>
      <c r="F64" s="137">
        <f>C64*E64</f>
        <v>25069.52</v>
      </c>
    </row>
    <row r="65" spans="1:6" s="34" customFormat="1" ht="14.45">
      <c r="A65" s="59"/>
      <c r="B65" s="100"/>
      <c r="C65" s="61"/>
      <c r="D65" s="62"/>
      <c r="E65" s="157"/>
      <c r="F65" s="137"/>
    </row>
    <row r="66" spans="1:6" s="34" customFormat="1" ht="27.6">
      <c r="A66" s="66"/>
      <c r="B66" s="98" t="s">
        <v>47</v>
      </c>
      <c r="C66" s="68"/>
      <c r="D66" s="69"/>
      <c r="E66" s="157"/>
      <c r="F66" s="137"/>
    </row>
    <row r="67" spans="1:6" s="34" customFormat="1" ht="14.45">
      <c r="A67" s="59"/>
      <c r="B67" s="100"/>
      <c r="C67" s="61"/>
      <c r="D67" s="62"/>
      <c r="E67" s="157"/>
      <c r="F67" s="137"/>
    </row>
    <row r="68" spans="1:6" s="34" customFormat="1" ht="14.45">
      <c r="A68" s="66" t="s">
        <v>48</v>
      </c>
      <c r="B68" s="67" t="s">
        <v>49</v>
      </c>
      <c r="C68" s="68" t="s">
        <v>50</v>
      </c>
      <c r="D68" s="69" t="s">
        <v>16</v>
      </c>
      <c r="E68" s="157">
        <v>15.95</v>
      </c>
      <c r="F68" s="137">
        <f>C68*E68</f>
        <v>10399.4</v>
      </c>
    </row>
    <row r="69" spans="1:6" s="34" customFormat="1" ht="14.45">
      <c r="A69" s="31"/>
      <c r="B69" s="101"/>
      <c r="C69" s="29"/>
      <c r="D69" s="33"/>
      <c r="E69" s="157"/>
      <c r="F69" s="137"/>
    </row>
    <row r="70" spans="1:6" s="34" customFormat="1" ht="14.45">
      <c r="A70" s="31"/>
      <c r="B70" s="101"/>
      <c r="C70" s="29"/>
      <c r="D70" s="33"/>
      <c r="E70" s="157"/>
      <c r="F70" s="137"/>
    </row>
    <row r="71" spans="1:6" s="34" customFormat="1" ht="14.45">
      <c r="A71" s="31"/>
      <c r="B71" s="101"/>
      <c r="C71" s="29"/>
      <c r="D71" s="33"/>
      <c r="E71" s="157"/>
      <c r="F71" s="137"/>
    </row>
    <row r="72" spans="1:6" s="34" customFormat="1" ht="14.45">
      <c r="A72" s="31"/>
      <c r="B72" s="101"/>
      <c r="C72" s="29"/>
      <c r="D72" s="33"/>
      <c r="E72" s="157"/>
      <c r="F72" s="137"/>
    </row>
    <row r="73" spans="1:6" s="34" customFormat="1" ht="14.45">
      <c r="A73" s="31"/>
      <c r="B73" s="101"/>
      <c r="C73" s="29"/>
      <c r="D73" s="33"/>
      <c r="E73" s="157"/>
      <c r="F73" s="137"/>
    </row>
    <row r="74" spans="1:6" s="34" customFormat="1" ht="14.45">
      <c r="A74" s="31"/>
      <c r="B74" s="101"/>
      <c r="C74" s="29"/>
      <c r="D74" s="33"/>
      <c r="E74" s="157"/>
      <c r="F74" s="137"/>
    </row>
    <row r="75" spans="1:6" s="34" customFormat="1" ht="14.45">
      <c r="A75" s="31"/>
      <c r="B75" s="101"/>
      <c r="C75" s="29"/>
      <c r="D75" s="33"/>
      <c r="E75" s="157"/>
      <c r="F75" s="137"/>
    </row>
    <row r="76" spans="1:6" s="34" customFormat="1" ht="14.45">
      <c r="A76" s="31"/>
      <c r="B76" s="101"/>
      <c r="C76" s="29"/>
      <c r="D76" s="33"/>
      <c r="E76" s="157"/>
      <c r="F76" s="137"/>
    </row>
    <row r="77" spans="1:6" s="34" customFormat="1" ht="14.45">
      <c r="A77" s="31"/>
      <c r="B77" s="101"/>
      <c r="C77" s="29"/>
      <c r="D77" s="33"/>
      <c r="E77" s="157"/>
      <c r="F77" s="137"/>
    </row>
    <row r="78" spans="1:6" s="34" customFormat="1" ht="14.45">
      <c r="A78" s="31"/>
      <c r="B78" s="101"/>
      <c r="C78" s="29"/>
      <c r="D78" s="33"/>
      <c r="E78" s="157"/>
      <c r="F78" s="137"/>
    </row>
    <row r="79" spans="1:6" s="34" customFormat="1" ht="14.45">
      <c r="A79" s="31"/>
      <c r="B79" s="101"/>
      <c r="C79" s="29"/>
      <c r="D79" s="33"/>
      <c r="E79" s="157"/>
      <c r="F79" s="137"/>
    </row>
    <row r="80" spans="1:6" s="34" customFormat="1" ht="14.45">
      <c r="A80" s="31"/>
      <c r="B80" s="101"/>
      <c r="C80" s="29"/>
      <c r="D80" s="33"/>
      <c r="E80" s="157"/>
      <c r="F80" s="137"/>
    </row>
    <row r="81" spans="1:6" s="34" customFormat="1" ht="14.45">
      <c r="A81" s="31"/>
      <c r="B81" s="101"/>
      <c r="C81" s="29"/>
      <c r="D81" s="33"/>
      <c r="E81" s="157"/>
      <c r="F81" s="137"/>
    </row>
    <row r="82" spans="1:6" s="34" customFormat="1" ht="14.45">
      <c r="A82" s="31"/>
      <c r="B82" s="101"/>
      <c r="C82" s="29"/>
      <c r="D82" s="33"/>
      <c r="E82" s="157"/>
      <c r="F82" s="137"/>
    </row>
    <row r="83" spans="1:6" s="34" customFormat="1" ht="14.45">
      <c r="A83" s="31"/>
      <c r="B83" s="101"/>
      <c r="C83" s="29"/>
      <c r="D83" s="33"/>
      <c r="E83" s="157"/>
      <c r="F83" s="137"/>
    </row>
    <row r="84" spans="1:6" s="34" customFormat="1" ht="14.45">
      <c r="A84" s="31"/>
      <c r="B84" s="101"/>
      <c r="C84" s="29"/>
      <c r="D84" s="33"/>
      <c r="E84" s="157"/>
      <c r="F84" s="137"/>
    </row>
    <row r="85" spans="1:6" s="34" customFormat="1" ht="14.45">
      <c r="A85" s="31"/>
      <c r="B85" s="101"/>
      <c r="C85" s="29"/>
      <c r="D85" s="33"/>
      <c r="E85" s="157"/>
      <c r="F85" s="137"/>
    </row>
    <row r="86" spans="1:6" s="34" customFormat="1" ht="14.45">
      <c r="A86" s="31"/>
      <c r="B86" s="101"/>
      <c r="C86" s="29"/>
      <c r="D86" s="33"/>
      <c r="E86" s="157"/>
      <c r="F86" s="137"/>
    </row>
    <row r="87" spans="1:6" s="34" customFormat="1" ht="14.45">
      <c r="A87" s="31"/>
      <c r="B87" s="101"/>
      <c r="C87" s="29"/>
      <c r="D87" s="33"/>
      <c r="E87" s="157"/>
      <c r="F87" s="137"/>
    </row>
    <row r="88" spans="1:6" s="34" customFormat="1" ht="14.45">
      <c r="A88" s="71"/>
      <c r="B88" s="72"/>
      <c r="C88" s="73"/>
      <c r="D88" s="74"/>
      <c r="E88" s="159"/>
      <c r="F88" s="138"/>
    </row>
    <row r="89" spans="1:6" s="34" customFormat="1" ht="14.45">
      <c r="A89" s="75"/>
      <c r="B89" s="76"/>
      <c r="C89" s="77" t="s">
        <v>30</v>
      </c>
      <c r="D89" s="77"/>
      <c r="E89" s="160" t="s">
        <v>8</v>
      </c>
      <c r="F89" s="139">
        <f>SUM(F49:F75)</f>
        <v>45700.090000000004</v>
      </c>
    </row>
    <row r="90" spans="1:6" s="34" customFormat="1" ht="14.45">
      <c r="A90" s="75"/>
      <c r="B90" s="76"/>
      <c r="C90" s="78"/>
      <c r="D90" s="79"/>
      <c r="E90" s="161"/>
      <c r="F90" s="140"/>
    </row>
    <row r="91" spans="1:6" s="34" customFormat="1" ht="14.45">
      <c r="A91" s="31"/>
      <c r="B91" s="101"/>
      <c r="C91" s="29"/>
      <c r="D91" s="33"/>
      <c r="E91" s="157"/>
      <c r="F91" s="137"/>
    </row>
    <row r="92" spans="1:6" s="34" customFormat="1" ht="14.45">
      <c r="A92" s="59"/>
      <c r="B92" s="64" t="s">
        <v>51</v>
      </c>
      <c r="C92" s="61"/>
      <c r="D92" s="62"/>
      <c r="E92" s="157"/>
      <c r="F92" s="137"/>
    </row>
    <row r="93" spans="1:6" s="34" customFormat="1" ht="12" customHeight="1">
      <c r="A93" s="59"/>
      <c r="B93" s="100"/>
      <c r="C93" s="61"/>
      <c r="D93" s="62"/>
      <c r="E93" s="157"/>
      <c r="F93" s="137"/>
    </row>
    <row r="94" spans="1:6" s="34" customFormat="1" ht="14.45">
      <c r="A94" s="66"/>
      <c r="B94" s="99" t="s">
        <v>52</v>
      </c>
      <c r="C94" s="68"/>
      <c r="D94" s="69"/>
      <c r="E94" s="157"/>
      <c r="F94" s="137"/>
    </row>
    <row r="95" spans="1:6" s="34" customFormat="1" ht="7.9" customHeight="1">
      <c r="A95" s="59"/>
      <c r="B95" s="100"/>
      <c r="C95" s="61"/>
      <c r="D95" s="62"/>
      <c r="E95" s="157"/>
      <c r="F95" s="137"/>
    </row>
    <row r="96" spans="1:6" s="41" customFormat="1" ht="14.45">
      <c r="A96" s="80"/>
      <c r="B96" s="102" t="s">
        <v>53</v>
      </c>
      <c r="C96" s="82"/>
      <c r="D96" s="83"/>
      <c r="E96" s="158"/>
      <c r="F96" s="141"/>
    </row>
    <row r="97" spans="1:6" s="34" customFormat="1" ht="7.9" customHeight="1">
      <c r="A97" s="59"/>
      <c r="B97" s="100"/>
      <c r="C97" s="61"/>
      <c r="D97" s="62"/>
      <c r="E97" s="157"/>
      <c r="F97" s="137"/>
    </row>
    <row r="98" spans="1:6" s="34" customFormat="1" ht="69">
      <c r="A98" s="66"/>
      <c r="B98" s="99" t="s">
        <v>54</v>
      </c>
      <c r="C98" s="68"/>
      <c r="D98" s="69"/>
      <c r="E98" s="157"/>
      <c r="F98" s="137"/>
    </row>
    <row r="99" spans="1:6" s="34" customFormat="1" ht="6.6" customHeight="1">
      <c r="A99" s="59"/>
      <c r="B99" s="100"/>
      <c r="C99" s="61"/>
      <c r="D99" s="62"/>
      <c r="E99" s="157"/>
      <c r="F99" s="137"/>
    </row>
    <row r="100" spans="1:6" s="34" customFormat="1" ht="55.15">
      <c r="A100" s="66"/>
      <c r="B100" s="99" t="s">
        <v>55</v>
      </c>
      <c r="C100" s="68"/>
      <c r="D100" s="69"/>
      <c r="E100" s="157"/>
      <c r="F100" s="137"/>
    </row>
    <row r="101" spans="1:6" s="34" customFormat="1" ht="5.45" customHeight="1">
      <c r="A101" s="59"/>
      <c r="B101" s="100"/>
      <c r="C101" s="61"/>
      <c r="D101" s="62"/>
      <c r="E101" s="157"/>
      <c r="F101" s="137"/>
    </row>
    <row r="102" spans="1:6" s="34" customFormat="1" ht="27.6">
      <c r="A102" s="66"/>
      <c r="B102" s="99" t="s">
        <v>56</v>
      </c>
      <c r="C102" s="68"/>
      <c r="D102" s="69"/>
      <c r="E102" s="157"/>
      <c r="F102" s="137"/>
    </row>
    <row r="103" spans="1:6" s="34" customFormat="1" ht="6.6" customHeight="1">
      <c r="A103" s="59"/>
      <c r="B103" s="100"/>
      <c r="C103" s="61"/>
      <c r="D103" s="62"/>
      <c r="E103" s="157"/>
      <c r="F103" s="137"/>
    </row>
    <row r="104" spans="1:6" s="34" customFormat="1" ht="27.6">
      <c r="A104" s="66"/>
      <c r="B104" s="99" t="s">
        <v>57</v>
      </c>
      <c r="C104" s="68"/>
      <c r="D104" s="69"/>
      <c r="E104" s="157"/>
      <c r="F104" s="137"/>
    </row>
    <row r="105" spans="1:6" s="34" customFormat="1" ht="7.9" customHeight="1">
      <c r="A105" s="59"/>
      <c r="B105" s="100"/>
      <c r="C105" s="61"/>
      <c r="D105" s="62"/>
      <c r="E105" s="157"/>
      <c r="F105" s="137"/>
    </row>
    <row r="106" spans="1:6" s="34" customFormat="1" ht="42.75" customHeight="1">
      <c r="A106" s="66"/>
      <c r="B106" s="99" t="s">
        <v>58</v>
      </c>
      <c r="C106" s="68"/>
      <c r="D106" s="69"/>
      <c r="E106" s="157"/>
      <c r="F106" s="137"/>
    </row>
    <row r="107" spans="1:6" s="34" customFormat="1" ht="9" customHeight="1">
      <c r="A107" s="59"/>
      <c r="B107" s="100"/>
      <c r="C107" s="61"/>
      <c r="D107" s="62"/>
      <c r="E107" s="157"/>
      <c r="F107" s="137"/>
    </row>
    <row r="108" spans="1:6" s="34" customFormat="1" ht="27.6">
      <c r="A108" s="66"/>
      <c r="B108" s="99" t="s">
        <v>59</v>
      </c>
      <c r="C108" s="68"/>
      <c r="D108" s="69"/>
      <c r="E108" s="157"/>
      <c r="F108" s="137"/>
    </row>
    <row r="109" spans="1:6" s="34" customFormat="1" ht="6" customHeight="1">
      <c r="A109" s="59"/>
      <c r="B109" s="100"/>
      <c r="C109" s="61"/>
      <c r="D109" s="62"/>
      <c r="E109" s="157"/>
      <c r="F109" s="137"/>
    </row>
    <row r="110" spans="1:6" s="34" customFormat="1" ht="14.45">
      <c r="A110" s="66"/>
      <c r="B110" s="98" t="s">
        <v>60</v>
      </c>
      <c r="C110" s="68"/>
      <c r="D110" s="69"/>
      <c r="E110" s="157"/>
      <c r="F110" s="137"/>
    </row>
    <row r="111" spans="1:6" s="34" customFormat="1" ht="14.45">
      <c r="A111" s="59"/>
      <c r="B111" s="100"/>
      <c r="C111" s="61"/>
      <c r="D111" s="62"/>
      <c r="E111" s="157"/>
      <c r="F111" s="137"/>
    </row>
    <row r="112" spans="1:6" s="34" customFormat="1" ht="14.45">
      <c r="A112" s="66" t="s">
        <v>14</v>
      </c>
      <c r="B112" s="67" t="s">
        <v>61</v>
      </c>
      <c r="C112" s="68" t="s">
        <v>62</v>
      </c>
      <c r="D112" s="69" t="s">
        <v>63</v>
      </c>
      <c r="E112" s="157">
        <v>11354.28</v>
      </c>
      <c r="F112" s="137">
        <f>C112*E112</f>
        <v>56771.4</v>
      </c>
    </row>
    <row r="113" spans="1:6" s="34" customFormat="1" ht="14.45">
      <c r="A113" s="59"/>
      <c r="B113" s="100"/>
      <c r="C113" s="61"/>
      <c r="D113" s="62"/>
      <c r="E113" s="157"/>
      <c r="F113" s="137"/>
    </row>
    <row r="114" spans="1:6" s="34" customFormat="1" ht="14.45">
      <c r="A114" s="66" t="s">
        <v>17</v>
      </c>
      <c r="B114" s="67" t="s">
        <v>64</v>
      </c>
      <c r="C114" s="68" t="s">
        <v>65</v>
      </c>
      <c r="D114" s="69" t="s">
        <v>63</v>
      </c>
      <c r="E114" s="157">
        <v>10954.51</v>
      </c>
      <c r="F114" s="137">
        <f>C114*E114</f>
        <v>43818.04</v>
      </c>
    </row>
    <row r="115" spans="1:6" s="34" customFormat="1" ht="14.45">
      <c r="A115" s="59"/>
      <c r="B115" s="100"/>
      <c r="C115" s="61"/>
      <c r="D115" s="62"/>
      <c r="E115" s="157"/>
      <c r="F115" s="137"/>
    </row>
    <row r="116" spans="1:6" s="34" customFormat="1" ht="14.45">
      <c r="A116" s="66" t="s">
        <v>20</v>
      </c>
      <c r="B116" s="67" t="s">
        <v>66</v>
      </c>
      <c r="C116" s="68">
        <v>14</v>
      </c>
      <c r="D116" s="69" t="s">
        <v>63</v>
      </c>
      <c r="E116" s="157">
        <v>20706.13</v>
      </c>
      <c r="F116" s="137">
        <f>C116*E116</f>
        <v>289885.82</v>
      </c>
    </row>
    <row r="117" spans="1:6" s="34" customFormat="1" ht="14.45">
      <c r="A117" s="66"/>
      <c r="B117" s="67"/>
      <c r="C117" s="68"/>
      <c r="D117" s="69"/>
      <c r="E117" s="157"/>
      <c r="F117" s="137"/>
    </row>
    <row r="118" spans="1:6" s="34" customFormat="1" ht="14.45">
      <c r="A118" s="59"/>
      <c r="B118" s="100"/>
      <c r="C118" s="61"/>
      <c r="D118" s="62"/>
      <c r="E118" s="157"/>
      <c r="F118" s="137"/>
    </row>
    <row r="119" spans="1:6" s="34" customFormat="1" ht="27.6">
      <c r="A119" s="66"/>
      <c r="B119" s="98" t="s">
        <v>67</v>
      </c>
      <c r="C119" s="68"/>
      <c r="D119" s="69"/>
      <c r="E119" s="157"/>
      <c r="F119" s="137"/>
    </row>
    <row r="120" spans="1:6" s="34" customFormat="1" ht="14.45">
      <c r="A120" s="59"/>
      <c r="B120" s="100"/>
      <c r="C120" s="61"/>
      <c r="D120" s="62"/>
      <c r="E120" s="157"/>
      <c r="F120" s="137"/>
    </row>
    <row r="121" spans="1:6" s="34" customFormat="1" ht="14.45">
      <c r="A121" s="66" t="s">
        <v>23</v>
      </c>
      <c r="B121" s="67" t="s">
        <v>68</v>
      </c>
      <c r="C121" s="68"/>
      <c r="D121" s="69" t="s">
        <v>2</v>
      </c>
      <c r="E121" s="157"/>
      <c r="F121" s="137" t="s">
        <v>69</v>
      </c>
    </row>
    <row r="122" spans="1:6" s="34" customFormat="1" ht="14.45">
      <c r="A122" s="59"/>
      <c r="B122" s="100"/>
      <c r="C122" s="61"/>
      <c r="D122" s="62"/>
      <c r="E122" s="157"/>
      <c r="F122" s="137"/>
    </row>
    <row r="123" spans="1:6" s="34" customFormat="1" ht="14.45">
      <c r="A123" s="66" t="s">
        <v>27</v>
      </c>
      <c r="B123" s="67" t="s">
        <v>70</v>
      </c>
      <c r="C123" s="68"/>
      <c r="D123" s="69" t="s">
        <v>35</v>
      </c>
      <c r="E123" s="157">
        <v>729.9</v>
      </c>
      <c r="F123" s="137" t="s">
        <v>71</v>
      </c>
    </row>
    <row r="124" spans="1:6" s="34" customFormat="1" ht="14.45">
      <c r="A124" s="31"/>
      <c r="B124" s="101"/>
      <c r="C124" s="29"/>
      <c r="D124" s="33"/>
      <c r="E124" s="157"/>
      <c r="F124" s="137"/>
    </row>
    <row r="125" spans="1:6" s="34" customFormat="1" ht="14.45">
      <c r="A125" s="71"/>
      <c r="B125" s="72"/>
      <c r="C125" s="73"/>
      <c r="D125" s="74"/>
      <c r="E125" s="159"/>
      <c r="F125" s="138"/>
    </row>
    <row r="126" spans="1:6" s="34" customFormat="1" ht="14.45">
      <c r="A126" s="75"/>
      <c r="B126" s="76"/>
      <c r="C126" s="77" t="s">
        <v>30</v>
      </c>
      <c r="D126" s="77"/>
      <c r="E126" s="160" t="s">
        <v>8</v>
      </c>
      <c r="F126" s="139">
        <f>SUM(F106:F124)</f>
        <v>390475.26</v>
      </c>
    </row>
    <row r="127" spans="1:6" s="34" customFormat="1" ht="14.45">
      <c r="A127" s="75"/>
      <c r="B127" s="76"/>
      <c r="C127" s="78"/>
      <c r="D127" s="79"/>
      <c r="E127" s="161"/>
      <c r="F127" s="140"/>
    </row>
    <row r="128" spans="1:6" s="34" customFormat="1" ht="14.45">
      <c r="A128" s="31"/>
      <c r="B128" s="101"/>
      <c r="C128" s="29"/>
      <c r="D128" s="33"/>
      <c r="E128" s="157"/>
      <c r="F128" s="137"/>
    </row>
    <row r="129" spans="1:6" s="34" customFormat="1" ht="14.45">
      <c r="A129" s="59"/>
      <c r="B129" s="64" t="s">
        <v>72</v>
      </c>
      <c r="C129" s="61"/>
      <c r="D129" s="62"/>
      <c r="E129" s="157"/>
      <c r="F129" s="137"/>
    </row>
    <row r="130" spans="1:6" s="34" customFormat="1" ht="14.45">
      <c r="A130" s="59"/>
      <c r="B130" s="103"/>
      <c r="C130" s="61"/>
      <c r="D130" s="62"/>
      <c r="E130" s="157"/>
      <c r="F130" s="137"/>
    </row>
    <row r="131" spans="1:6" s="34" customFormat="1" ht="41.45">
      <c r="A131" s="66"/>
      <c r="B131" s="98" t="s">
        <v>73</v>
      </c>
      <c r="C131" s="68"/>
      <c r="D131" s="69"/>
      <c r="E131" s="157"/>
      <c r="F131" s="137"/>
    </row>
    <row r="132" spans="1:6" s="34" customFormat="1" ht="14.45">
      <c r="A132" s="59"/>
      <c r="B132" s="100"/>
      <c r="C132" s="61"/>
      <c r="D132" s="62"/>
      <c r="E132" s="157"/>
      <c r="F132" s="137"/>
    </row>
    <row r="133" spans="1:6" s="34" customFormat="1" ht="14.45">
      <c r="A133" s="66" t="s">
        <v>14</v>
      </c>
      <c r="B133" s="67" t="s">
        <v>74</v>
      </c>
      <c r="C133" s="68"/>
      <c r="D133" s="69" t="s">
        <v>2</v>
      </c>
      <c r="E133" s="157"/>
      <c r="F133" s="137" t="s">
        <v>69</v>
      </c>
    </row>
    <row r="134" spans="1:6" s="34" customFormat="1" ht="14.45">
      <c r="A134" s="59"/>
      <c r="B134" s="100"/>
      <c r="C134" s="61"/>
      <c r="D134" s="62"/>
      <c r="E134" s="157"/>
      <c r="F134" s="137"/>
    </row>
    <row r="135" spans="1:6" s="34" customFormat="1" ht="14.45">
      <c r="A135" s="66" t="s">
        <v>17</v>
      </c>
      <c r="B135" s="67" t="s">
        <v>75</v>
      </c>
      <c r="C135" s="68"/>
      <c r="D135" s="69" t="s">
        <v>76</v>
      </c>
      <c r="E135" s="157">
        <v>4801.9799999999996</v>
      </c>
      <c r="F135" s="137" t="s">
        <v>71</v>
      </c>
    </row>
    <row r="136" spans="1:6" s="34" customFormat="1" ht="14.45">
      <c r="A136" s="59"/>
      <c r="B136" s="100"/>
      <c r="C136" s="61"/>
      <c r="D136" s="62"/>
      <c r="E136" s="157"/>
      <c r="F136" s="137"/>
    </row>
    <row r="137" spans="1:6" s="34" customFormat="1" ht="14.45">
      <c r="A137" s="66"/>
      <c r="B137" s="98" t="s">
        <v>77</v>
      </c>
      <c r="C137" s="68"/>
      <c r="D137" s="69"/>
      <c r="E137" s="157"/>
      <c r="F137" s="137"/>
    </row>
    <row r="138" spans="1:6" s="34" customFormat="1" ht="14.45">
      <c r="A138" s="59"/>
      <c r="B138" s="100"/>
      <c r="C138" s="61"/>
      <c r="D138" s="62"/>
      <c r="E138" s="157"/>
      <c r="F138" s="137"/>
    </row>
    <row r="139" spans="1:6" s="34" customFormat="1" ht="14.45">
      <c r="A139" s="66" t="s">
        <v>20</v>
      </c>
      <c r="B139" s="67" t="s">
        <v>78</v>
      </c>
      <c r="C139" s="68"/>
      <c r="D139" s="69" t="s">
        <v>2</v>
      </c>
      <c r="E139" s="157">
        <v>23856.22</v>
      </c>
      <c r="F139" s="137">
        <f>+E139</f>
        <v>23856.22</v>
      </c>
    </row>
    <row r="140" spans="1:6" s="34" customFormat="1" ht="14.45">
      <c r="A140" s="59"/>
      <c r="B140" s="100"/>
      <c r="C140" s="61"/>
      <c r="D140" s="62"/>
      <c r="E140" s="157"/>
      <c r="F140" s="137"/>
    </row>
    <row r="141" spans="1:6" s="41" customFormat="1" ht="14.45">
      <c r="A141" s="80" t="s">
        <v>23</v>
      </c>
      <c r="B141" s="81" t="s">
        <v>79</v>
      </c>
      <c r="C141" s="82"/>
      <c r="D141" s="83" t="s">
        <v>35</v>
      </c>
      <c r="E141" s="158">
        <v>216.09</v>
      </c>
      <c r="F141" s="137" t="s">
        <v>71</v>
      </c>
    </row>
    <row r="142" spans="1:6" s="34" customFormat="1" ht="14.45">
      <c r="A142" s="59"/>
      <c r="B142" s="100"/>
      <c r="C142" s="61"/>
      <c r="D142" s="62"/>
      <c r="E142" s="157"/>
      <c r="F142" s="137"/>
    </row>
    <row r="143" spans="1:6" s="34" customFormat="1" ht="14.45">
      <c r="A143" s="66" t="s">
        <v>27</v>
      </c>
      <c r="B143" s="67" t="s">
        <v>80</v>
      </c>
      <c r="C143" s="68"/>
      <c r="D143" s="69" t="s">
        <v>2</v>
      </c>
      <c r="E143" s="157">
        <v>16832.13</v>
      </c>
      <c r="F143" s="137">
        <f>+E143</f>
        <v>16832.13</v>
      </c>
    </row>
    <row r="144" spans="1:6" s="34" customFormat="1" ht="14.45">
      <c r="A144" s="59"/>
      <c r="B144" s="100"/>
      <c r="C144" s="61"/>
      <c r="D144" s="62"/>
      <c r="E144" s="157"/>
      <c r="F144" s="137"/>
    </row>
    <row r="145" spans="1:6" s="34" customFormat="1" ht="27.6">
      <c r="A145" s="66" t="s">
        <v>44</v>
      </c>
      <c r="B145" s="67" t="s">
        <v>81</v>
      </c>
      <c r="C145" s="68"/>
      <c r="D145" s="69" t="s">
        <v>35</v>
      </c>
      <c r="E145" s="157">
        <v>152.46</v>
      </c>
      <c r="F145" s="137" t="s">
        <v>71</v>
      </c>
    </row>
    <row r="146" spans="1:6" s="34" customFormat="1" ht="14.45">
      <c r="A146" s="59"/>
      <c r="B146" s="100"/>
      <c r="C146" s="61"/>
      <c r="D146" s="62"/>
      <c r="E146" s="157"/>
      <c r="F146" s="137"/>
    </row>
    <row r="147" spans="1:6" s="34" customFormat="1" ht="41.45">
      <c r="A147" s="66"/>
      <c r="B147" s="98" t="s">
        <v>82</v>
      </c>
      <c r="C147" s="68"/>
      <c r="D147" s="69"/>
      <c r="E147" s="157"/>
      <c r="F147" s="137"/>
    </row>
    <row r="148" spans="1:6" s="34" customFormat="1" ht="14.45">
      <c r="A148" s="59"/>
      <c r="B148" s="100"/>
      <c r="C148" s="61"/>
      <c r="D148" s="62"/>
      <c r="E148" s="157"/>
      <c r="F148" s="137"/>
    </row>
    <row r="149" spans="1:6" s="34" customFormat="1" ht="27.6">
      <c r="A149" s="66" t="s">
        <v>48</v>
      </c>
      <c r="B149" s="67" t="s">
        <v>83</v>
      </c>
      <c r="C149" s="68" t="s">
        <v>62</v>
      </c>
      <c r="D149" s="69" t="s">
        <v>63</v>
      </c>
      <c r="E149" s="157">
        <v>516.92999999999995</v>
      </c>
      <c r="F149" s="137">
        <f>C149*E149</f>
        <v>2584.6499999999996</v>
      </c>
    </row>
    <row r="150" spans="1:6" s="34" customFormat="1" ht="14.45">
      <c r="A150" s="59"/>
      <c r="B150" s="100"/>
      <c r="C150" s="61"/>
      <c r="D150" s="62"/>
      <c r="E150" s="157"/>
      <c r="F150" s="137"/>
    </row>
    <row r="151" spans="1:6" s="34" customFormat="1" ht="27.6">
      <c r="A151" s="66" t="s">
        <v>84</v>
      </c>
      <c r="B151" s="67" t="s">
        <v>85</v>
      </c>
      <c r="C151" s="68" t="s">
        <v>65</v>
      </c>
      <c r="D151" s="69" t="s">
        <v>63</v>
      </c>
      <c r="E151" s="157">
        <v>516.92999999999995</v>
      </c>
      <c r="F151" s="137">
        <f>C151*E151</f>
        <v>2067.7199999999998</v>
      </c>
    </row>
    <row r="152" spans="1:6" s="34" customFormat="1" ht="14.45">
      <c r="A152" s="59"/>
      <c r="B152" s="100"/>
      <c r="C152" s="61"/>
      <c r="D152" s="62"/>
      <c r="E152" s="157"/>
      <c r="F152" s="137"/>
    </row>
    <row r="153" spans="1:6" s="34" customFormat="1" ht="27.6">
      <c r="A153" s="66" t="s">
        <v>86</v>
      </c>
      <c r="B153" s="67" t="s">
        <v>87</v>
      </c>
      <c r="C153" s="68" t="s">
        <v>88</v>
      </c>
      <c r="D153" s="69" t="s">
        <v>63</v>
      </c>
      <c r="E153" s="157">
        <v>516.92999999999995</v>
      </c>
      <c r="F153" s="137">
        <f>C153*E153</f>
        <v>7237.0199999999995</v>
      </c>
    </row>
    <row r="154" spans="1:6" s="34" customFormat="1" ht="14.45">
      <c r="A154" s="59"/>
      <c r="B154" s="100"/>
      <c r="C154" s="61"/>
      <c r="D154" s="62"/>
      <c r="E154" s="157"/>
      <c r="F154" s="137"/>
    </row>
    <row r="155" spans="1:6" s="34" customFormat="1" ht="14.45">
      <c r="A155" s="66"/>
      <c r="B155" s="98" t="s">
        <v>89</v>
      </c>
      <c r="C155" s="68"/>
      <c r="D155" s="69"/>
      <c r="E155" s="157"/>
      <c r="F155" s="137"/>
    </row>
    <row r="156" spans="1:6" s="34" customFormat="1" ht="14.45">
      <c r="A156" s="59"/>
      <c r="B156" s="100"/>
      <c r="C156" s="61"/>
      <c r="D156" s="62"/>
      <c r="E156" s="157"/>
      <c r="F156" s="137"/>
    </row>
    <row r="157" spans="1:6" s="34" customFormat="1" ht="14.45">
      <c r="A157" s="66" t="s">
        <v>90</v>
      </c>
      <c r="B157" s="67" t="s">
        <v>91</v>
      </c>
      <c r="C157" s="68" t="s">
        <v>62</v>
      </c>
      <c r="D157" s="69" t="s">
        <v>63</v>
      </c>
      <c r="E157" s="157">
        <v>366.16</v>
      </c>
      <c r="F157" s="137">
        <f>C157*E157</f>
        <v>1830.8000000000002</v>
      </c>
    </row>
    <row r="158" spans="1:6" s="34" customFormat="1" ht="14.45">
      <c r="A158" s="59"/>
      <c r="B158" s="100"/>
      <c r="C158" s="61"/>
      <c r="D158" s="62"/>
      <c r="E158" s="157"/>
      <c r="F158" s="137"/>
    </row>
    <row r="159" spans="1:6" s="34" customFormat="1" ht="14.45">
      <c r="A159" s="66" t="s">
        <v>92</v>
      </c>
      <c r="B159" s="67" t="s">
        <v>93</v>
      </c>
      <c r="C159" s="68" t="s">
        <v>65</v>
      </c>
      <c r="D159" s="69" t="s">
        <v>63</v>
      </c>
      <c r="E159" s="157">
        <v>366.16</v>
      </c>
      <c r="F159" s="137">
        <f>C159*E159</f>
        <v>1464.64</v>
      </c>
    </row>
    <row r="160" spans="1:6" s="34" customFormat="1" ht="14.45">
      <c r="A160" s="59"/>
      <c r="B160" s="100"/>
      <c r="C160" s="61"/>
      <c r="D160" s="62"/>
      <c r="E160" s="157"/>
      <c r="F160" s="137"/>
    </row>
    <row r="161" spans="1:6" s="34" customFormat="1" ht="14.45">
      <c r="A161" s="66" t="s">
        <v>94</v>
      </c>
      <c r="B161" s="67" t="s">
        <v>95</v>
      </c>
      <c r="C161" s="68" t="s">
        <v>88</v>
      </c>
      <c r="D161" s="69" t="s">
        <v>63</v>
      </c>
      <c r="E161" s="157">
        <v>366.16</v>
      </c>
      <c r="F161" s="137">
        <f>C161*E161</f>
        <v>5126.2400000000007</v>
      </c>
    </row>
    <row r="162" spans="1:6" s="34" customFormat="1" ht="14.45">
      <c r="A162" s="59"/>
      <c r="B162" s="100"/>
      <c r="C162" s="61"/>
      <c r="D162" s="62"/>
      <c r="E162" s="157"/>
      <c r="F162" s="137"/>
    </row>
    <row r="163" spans="1:6" s="34" customFormat="1" ht="14.45">
      <c r="A163" s="66"/>
      <c r="B163" s="98" t="s">
        <v>96</v>
      </c>
      <c r="C163" s="68"/>
      <c r="D163" s="69"/>
      <c r="E163" s="157"/>
      <c r="F163" s="137"/>
    </row>
    <row r="164" spans="1:6" s="34" customFormat="1" ht="14.45">
      <c r="A164" s="31"/>
      <c r="B164" s="101"/>
      <c r="C164" s="29"/>
      <c r="D164" s="33"/>
      <c r="E164" s="157"/>
      <c r="F164" s="137"/>
    </row>
    <row r="165" spans="1:6" s="34" customFormat="1" ht="14.45">
      <c r="A165" s="71"/>
      <c r="B165" s="72"/>
      <c r="C165" s="73"/>
      <c r="D165" s="74"/>
      <c r="E165" s="159"/>
      <c r="F165" s="138"/>
    </row>
    <row r="166" spans="1:6" s="34" customFormat="1" ht="14.45">
      <c r="A166" s="75"/>
      <c r="B166" s="76"/>
      <c r="C166" s="77" t="s">
        <v>30</v>
      </c>
      <c r="D166" s="77"/>
      <c r="E166" s="160" t="s">
        <v>8</v>
      </c>
      <c r="F166" s="139">
        <f>SUM(F131:F163)</f>
        <v>60999.420000000006</v>
      </c>
    </row>
    <row r="167" spans="1:6" s="34" customFormat="1" ht="14.45">
      <c r="A167" s="75"/>
      <c r="B167" s="76"/>
      <c r="C167" s="78"/>
      <c r="D167" s="79"/>
      <c r="E167" s="161"/>
      <c r="F167" s="140"/>
    </row>
    <row r="168" spans="1:6" s="34" customFormat="1" ht="14.45">
      <c r="A168" s="31"/>
      <c r="B168" s="101"/>
      <c r="C168" s="29"/>
      <c r="D168" s="33"/>
      <c r="E168" s="157"/>
      <c r="F168" s="137"/>
    </row>
    <row r="169" spans="1:6" s="34" customFormat="1" ht="14.45">
      <c r="A169" s="59"/>
      <c r="B169" s="64" t="s">
        <v>72</v>
      </c>
      <c r="C169" s="61"/>
      <c r="D169" s="62"/>
      <c r="E169" s="157"/>
      <c r="F169" s="137"/>
    </row>
    <row r="170" spans="1:6" s="34" customFormat="1" ht="14.45">
      <c r="A170" s="59"/>
      <c r="B170" s="103"/>
      <c r="C170" s="61"/>
      <c r="D170" s="62"/>
      <c r="E170" s="157"/>
      <c r="F170" s="137"/>
    </row>
    <row r="171" spans="1:6" s="34" customFormat="1" ht="27.6">
      <c r="A171" s="66" t="s">
        <v>14</v>
      </c>
      <c r="B171" s="67" t="s">
        <v>97</v>
      </c>
      <c r="C171" s="68"/>
      <c r="D171" s="169" t="s">
        <v>2</v>
      </c>
      <c r="E171" s="168">
        <v>236705.08</v>
      </c>
      <c r="F171" s="144">
        <f>+E171</f>
        <v>236705.08</v>
      </c>
    </row>
    <row r="172" spans="1:6" s="34" customFormat="1" ht="14.45">
      <c r="A172" s="59"/>
      <c r="B172" s="100"/>
      <c r="C172" s="61"/>
      <c r="D172" s="62"/>
      <c r="E172" s="157"/>
      <c r="F172" s="137"/>
    </row>
    <row r="173" spans="1:6" s="34" customFormat="1" ht="14.45">
      <c r="A173" s="66" t="s">
        <v>17</v>
      </c>
      <c r="B173" s="67" t="s">
        <v>98</v>
      </c>
      <c r="C173" s="68"/>
      <c r="D173" s="69" t="s">
        <v>2</v>
      </c>
      <c r="E173" s="157"/>
      <c r="F173" s="137" t="s">
        <v>69</v>
      </c>
    </row>
    <row r="174" spans="1:6" s="34" customFormat="1" ht="14.45">
      <c r="A174" s="59"/>
      <c r="B174" s="100"/>
      <c r="C174" s="61"/>
      <c r="D174" s="62"/>
      <c r="E174" s="157"/>
      <c r="F174" s="137"/>
    </row>
    <row r="175" spans="1:6" s="34" customFormat="1" ht="14.45">
      <c r="A175" s="66"/>
      <c r="B175" s="98" t="s">
        <v>99</v>
      </c>
      <c r="C175" s="68"/>
      <c r="D175" s="69"/>
      <c r="E175" s="157"/>
      <c r="F175" s="137"/>
    </row>
    <row r="176" spans="1:6" s="34" customFormat="1" ht="14.45">
      <c r="A176" s="59"/>
      <c r="B176" s="100"/>
      <c r="C176" s="61"/>
      <c r="D176" s="62"/>
      <c r="E176" s="157"/>
      <c r="F176" s="137"/>
    </row>
    <row r="177" spans="1:6" s="34" customFormat="1" ht="27.6">
      <c r="A177" s="66" t="s">
        <v>20</v>
      </c>
      <c r="B177" s="67" t="s">
        <v>100</v>
      </c>
      <c r="C177" s="68"/>
      <c r="D177" s="69" t="s">
        <v>2</v>
      </c>
      <c r="E177" s="157"/>
      <c r="F177" s="137" t="s">
        <v>69</v>
      </c>
    </row>
    <row r="178" spans="1:6" s="34" customFormat="1" ht="14.45">
      <c r="A178" s="59"/>
      <c r="B178" s="100"/>
      <c r="C178" s="61"/>
      <c r="D178" s="62"/>
      <c r="E178" s="157"/>
      <c r="F178" s="137"/>
    </row>
    <row r="179" spans="1:6" s="34" customFormat="1" ht="41.45">
      <c r="A179" s="66" t="s">
        <v>23</v>
      </c>
      <c r="B179" s="67" t="s">
        <v>101</v>
      </c>
      <c r="C179" s="68"/>
      <c r="D179" s="69" t="s">
        <v>2</v>
      </c>
      <c r="E179" s="157">
        <v>13461.75</v>
      </c>
      <c r="F179" s="137">
        <f>+E179</f>
        <v>13461.75</v>
      </c>
    </row>
    <row r="180" spans="1:6" s="34" customFormat="1" ht="14.45">
      <c r="A180" s="59"/>
      <c r="B180" s="100"/>
      <c r="C180" s="61"/>
      <c r="D180" s="62"/>
      <c r="E180" s="157"/>
      <c r="F180" s="137"/>
    </row>
    <row r="181" spans="1:6" s="34" customFormat="1" ht="55.15">
      <c r="A181" s="66" t="s">
        <v>27</v>
      </c>
      <c r="B181" s="67" t="s">
        <v>102</v>
      </c>
      <c r="C181" s="68"/>
      <c r="D181" s="69" t="s">
        <v>2</v>
      </c>
      <c r="E181" s="157">
        <v>6461.64</v>
      </c>
      <c r="F181" s="137">
        <f>+E181</f>
        <v>6461.64</v>
      </c>
    </row>
    <row r="182" spans="1:6" s="34" customFormat="1" ht="14.45">
      <c r="A182" s="59"/>
      <c r="B182" s="100"/>
      <c r="C182" s="61"/>
      <c r="D182" s="62"/>
      <c r="E182" s="157"/>
      <c r="F182" s="137"/>
    </row>
    <row r="183" spans="1:6" s="34" customFormat="1" ht="69">
      <c r="A183" s="66" t="s">
        <v>44</v>
      </c>
      <c r="B183" s="67" t="s">
        <v>103</v>
      </c>
      <c r="C183" s="68"/>
      <c r="D183" s="69" t="s">
        <v>2</v>
      </c>
      <c r="E183" s="157">
        <v>7538.58</v>
      </c>
      <c r="F183" s="137">
        <f>+E183</f>
        <v>7538.58</v>
      </c>
    </row>
    <row r="184" spans="1:6" s="34" customFormat="1" ht="14.45">
      <c r="A184" s="59"/>
      <c r="B184" s="100"/>
      <c r="C184" s="61"/>
      <c r="D184" s="62"/>
      <c r="E184" s="157"/>
      <c r="F184" s="137"/>
    </row>
    <row r="185" spans="1:6" s="34" customFormat="1" ht="14.45">
      <c r="A185" s="66" t="s">
        <v>48</v>
      </c>
      <c r="B185" s="67" t="s">
        <v>104</v>
      </c>
      <c r="C185" s="68"/>
      <c r="D185" s="69" t="s">
        <v>2</v>
      </c>
      <c r="E185" s="157">
        <v>2153.88</v>
      </c>
      <c r="F185" s="137">
        <f>+E185</f>
        <v>2153.88</v>
      </c>
    </row>
    <row r="186" spans="1:6" s="34" customFormat="1" ht="14.45">
      <c r="A186" s="31"/>
      <c r="B186" s="101"/>
      <c r="C186" s="29"/>
      <c r="D186" s="33"/>
      <c r="E186" s="157"/>
      <c r="F186" s="137"/>
    </row>
    <row r="187" spans="1:6" s="34" customFormat="1" ht="14.45">
      <c r="A187" s="31"/>
      <c r="B187" s="101"/>
      <c r="C187" s="29"/>
      <c r="D187" s="33"/>
      <c r="E187" s="157"/>
      <c r="F187" s="137"/>
    </row>
    <row r="188" spans="1:6" s="34" customFormat="1" ht="14.45">
      <c r="A188" s="31"/>
      <c r="B188" s="101"/>
      <c r="C188" s="29"/>
      <c r="D188" s="33"/>
      <c r="E188" s="157"/>
      <c r="F188" s="137"/>
    </row>
    <row r="189" spans="1:6" s="34" customFormat="1" ht="14.45">
      <c r="A189" s="31"/>
      <c r="B189" s="101"/>
      <c r="C189" s="29"/>
      <c r="D189" s="33"/>
      <c r="E189" s="157"/>
      <c r="F189" s="137"/>
    </row>
    <row r="190" spans="1:6" s="34" customFormat="1" ht="14.45">
      <c r="A190" s="31"/>
      <c r="B190" s="101"/>
      <c r="C190" s="29"/>
      <c r="D190" s="33"/>
      <c r="E190" s="157"/>
      <c r="F190" s="137"/>
    </row>
    <row r="191" spans="1:6" s="34" customFormat="1" ht="14.45">
      <c r="A191" s="31"/>
      <c r="B191" s="101"/>
      <c r="C191" s="29"/>
      <c r="D191" s="33"/>
      <c r="E191" s="157"/>
      <c r="F191" s="137"/>
    </row>
    <row r="192" spans="1:6" s="34" customFormat="1" ht="14.45">
      <c r="A192" s="31"/>
      <c r="B192" s="101"/>
      <c r="C192" s="29"/>
      <c r="D192" s="33"/>
      <c r="E192" s="157"/>
      <c r="F192" s="137"/>
    </row>
    <row r="193" spans="1:6" s="34" customFormat="1" ht="14.45">
      <c r="A193" s="31"/>
      <c r="B193" s="101"/>
      <c r="C193" s="29"/>
      <c r="D193" s="33"/>
      <c r="E193" s="157"/>
      <c r="F193" s="137"/>
    </row>
    <row r="194" spans="1:6" s="34" customFormat="1" ht="14.45">
      <c r="A194" s="31"/>
      <c r="B194" s="101"/>
      <c r="C194" s="29"/>
      <c r="D194" s="33"/>
      <c r="E194" s="157"/>
      <c r="F194" s="137"/>
    </row>
    <row r="195" spans="1:6" s="34" customFormat="1" ht="14.45">
      <c r="A195" s="31"/>
      <c r="B195" s="101"/>
      <c r="C195" s="29"/>
      <c r="D195" s="33"/>
      <c r="E195" s="157"/>
      <c r="F195" s="137"/>
    </row>
    <row r="196" spans="1:6" s="34" customFormat="1" ht="14.45">
      <c r="A196" s="31"/>
      <c r="B196" s="32"/>
      <c r="C196" s="29"/>
      <c r="D196" s="33"/>
      <c r="E196" s="157"/>
      <c r="F196" s="137"/>
    </row>
    <row r="197" spans="1:6" s="34" customFormat="1" ht="14.45">
      <c r="A197" s="31"/>
      <c r="B197" s="32"/>
      <c r="C197" s="29"/>
      <c r="D197" s="33"/>
      <c r="E197" s="157"/>
      <c r="F197" s="137"/>
    </row>
    <row r="198" spans="1:6" s="34" customFormat="1" ht="14.45">
      <c r="A198" s="31"/>
      <c r="B198" s="32"/>
      <c r="C198" s="29"/>
      <c r="D198" s="33"/>
      <c r="E198" s="157"/>
      <c r="F198" s="137"/>
    </row>
    <row r="199" spans="1:6" s="34" customFormat="1" ht="14.45">
      <c r="A199" s="31"/>
      <c r="B199" s="32"/>
      <c r="C199" s="29"/>
      <c r="D199" s="33"/>
      <c r="E199" s="157"/>
      <c r="F199" s="137"/>
    </row>
    <row r="200" spans="1:6" s="34" customFormat="1" ht="14.45">
      <c r="A200" s="31"/>
      <c r="B200" s="32"/>
      <c r="C200" s="29"/>
      <c r="D200" s="33"/>
      <c r="E200" s="157"/>
      <c r="F200" s="137"/>
    </row>
    <row r="201" spans="1:6" s="34" customFormat="1" ht="14.45">
      <c r="A201" s="71"/>
      <c r="B201" s="72"/>
      <c r="C201" s="73"/>
      <c r="D201" s="74"/>
      <c r="E201" s="159"/>
      <c r="F201" s="138"/>
    </row>
    <row r="202" spans="1:6" s="34" customFormat="1" ht="14.45">
      <c r="A202" s="75"/>
      <c r="B202" s="76"/>
      <c r="C202" s="77" t="s">
        <v>30</v>
      </c>
      <c r="D202" s="77"/>
      <c r="E202" s="160" t="s">
        <v>8</v>
      </c>
      <c r="F202" s="139">
        <f>SUM(F171:F193)</f>
        <v>266320.93</v>
      </c>
    </row>
    <row r="203" spans="1:6" s="34" customFormat="1" ht="14.45">
      <c r="A203" s="75"/>
      <c r="B203" s="76"/>
      <c r="C203" s="78"/>
      <c r="D203" s="79"/>
      <c r="E203" s="161"/>
      <c r="F203" s="140"/>
    </row>
    <row r="204" spans="1:6" s="34" customFormat="1" ht="14.45">
      <c r="A204" s="31"/>
      <c r="B204" s="32"/>
      <c r="C204" s="29"/>
      <c r="D204" s="33"/>
      <c r="E204" s="157"/>
      <c r="F204" s="137"/>
    </row>
    <row r="205" spans="1:6" s="34" customFormat="1" ht="14.45">
      <c r="A205" s="59"/>
      <c r="B205" s="64" t="s">
        <v>105</v>
      </c>
      <c r="C205" s="61"/>
      <c r="D205" s="62"/>
      <c r="E205" s="157"/>
      <c r="F205" s="137"/>
    </row>
    <row r="206" spans="1:6" s="34" customFormat="1" ht="14.45">
      <c r="A206" s="59"/>
      <c r="B206" s="65"/>
      <c r="C206" s="61"/>
      <c r="D206" s="62"/>
      <c r="E206" s="157"/>
      <c r="F206" s="137"/>
    </row>
    <row r="207" spans="1:6" s="34" customFormat="1" ht="55.15">
      <c r="A207" s="66" t="s">
        <v>14</v>
      </c>
      <c r="B207" s="67" t="s">
        <v>106</v>
      </c>
      <c r="C207" s="68"/>
      <c r="D207" s="69" t="s">
        <v>2</v>
      </c>
      <c r="E207" s="157"/>
      <c r="F207" s="137">
        <f>C207*E207</f>
        <v>0</v>
      </c>
    </row>
    <row r="208" spans="1:6" s="34" customFormat="1" ht="14.45">
      <c r="A208" s="42"/>
      <c r="B208" s="43"/>
      <c r="C208" s="40"/>
      <c r="D208" s="44"/>
      <c r="E208" s="157"/>
      <c r="F208" s="137"/>
    </row>
    <row r="209" spans="1:6" s="34" customFormat="1" ht="14.45">
      <c r="A209" s="42"/>
      <c r="B209" s="145" t="s">
        <v>107</v>
      </c>
      <c r="C209" s="40"/>
      <c r="D209" s="44"/>
      <c r="E209" s="157"/>
      <c r="F209" s="137"/>
    </row>
    <row r="210" spans="1:6" s="34" customFormat="1" ht="14.45">
      <c r="A210" s="42"/>
      <c r="B210" s="43"/>
      <c r="C210" s="40"/>
      <c r="D210" s="44"/>
      <c r="E210" s="157"/>
      <c r="F210" s="137"/>
    </row>
    <row r="211" spans="1:6" s="34" customFormat="1" ht="14.45">
      <c r="A211" s="42" t="s">
        <v>14</v>
      </c>
      <c r="B211" s="43" t="s">
        <v>108</v>
      </c>
      <c r="C211" s="40">
        <v>1</v>
      </c>
      <c r="D211" s="44" t="s">
        <v>2</v>
      </c>
      <c r="E211" s="157">
        <v>78464.679999999993</v>
      </c>
      <c r="F211" s="137">
        <f>C211*E211</f>
        <v>78464.679999999993</v>
      </c>
    </row>
    <row r="212" spans="1:6" s="34" customFormat="1" ht="14.45">
      <c r="A212" s="42"/>
      <c r="B212" s="43"/>
      <c r="C212" s="40"/>
      <c r="D212" s="44"/>
      <c r="E212" s="157"/>
      <c r="F212" s="137"/>
    </row>
    <row r="213" spans="1:6" s="34" customFormat="1" ht="14.45">
      <c r="A213" s="42"/>
      <c r="B213" s="43"/>
      <c r="C213" s="40"/>
      <c r="D213" s="44"/>
      <c r="E213" s="157"/>
      <c r="F213" s="137"/>
    </row>
    <row r="214" spans="1:6" s="34" customFormat="1" ht="14.45">
      <c r="A214" s="42"/>
      <c r="B214" s="43"/>
      <c r="C214" s="40"/>
      <c r="D214" s="44"/>
      <c r="E214" s="157"/>
      <c r="F214" s="137"/>
    </row>
    <row r="215" spans="1:6" s="34" customFormat="1" ht="14.45">
      <c r="A215" s="42"/>
      <c r="B215" s="43"/>
      <c r="C215" s="40"/>
      <c r="D215" s="44"/>
      <c r="E215" s="157"/>
      <c r="F215" s="137"/>
    </row>
    <row r="216" spans="1:6" s="34" customFormat="1" ht="14.45">
      <c r="A216" s="42"/>
      <c r="B216" s="43"/>
      <c r="C216" s="40"/>
      <c r="D216" s="44"/>
      <c r="E216" s="157"/>
      <c r="F216" s="137"/>
    </row>
    <row r="217" spans="1:6" s="34" customFormat="1" ht="14.45">
      <c r="A217" s="42"/>
      <c r="B217" s="43"/>
      <c r="C217" s="40"/>
      <c r="D217" s="44"/>
      <c r="E217" s="157"/>
      <c r="F217" s="137"/>
    </row>
    <row r="218" spans="1:6" s="34" customFormat="1" ht="14.45">
      <c r="A218" s="42"/>
      <c r="B218" s="43"/>
      <c r="C218" s="40"/>
      <c r="D218" s="44"/>
      <c r="E218" s="157"/>
      <c r="F218" s="137"/>
    </row>
    <row r="219" spans="1:6" s="34" customFormat="1" ht="14.45">
      <c r="A219" s="42"/>
      <c r="B219" s="43"/>
      <c r="C219" s="40"/>
      <c r="D219" s="44"/>
      <c r="E219" s="157"/>
      <c r="F219" s="137"/>
    </row>
    <row r="220" spans="1:6" s="34" customFormat="1" ht="14.45">
      <c r="A220" s="42"/>
      <c r="B220" s="43"/>
      <c r="C220" s="40"/>
      <c r="D220" s="44"/>
      <c r="E220" s="157"/>
      <c r="F220" s="137"/>
    </row>
    <row r="221" spans="1:6" s="34" customFormat="1" ht="14.45">
      <c r="A221" s="42"/>
      <c r="B221" s="43"/>
      <c r="C221" s="40"/>
      <c r="D221" s="44"/>
      <c r="E221" s="157"/>
      <c r="F221" s="137"/>
    </row>
    <row r="222" spans="1:6" s="34" customFormat="1" ht="14.45">
      <c r="A222" s="42"/>
      <c r="B222" s="43"/>
      <c r="C222" s="40"/>
      <c r="D222" s="44"/>
      <c r="E222" s="157"/>
      <c r="F222" s="137"/>
    </row>
    <row r="223" spans="1:6" s="34" customFormat="1" ht="14.45">
      <c r="A223" s="42"/>
      <c r="B223" s="43"/>
      <c r="C223" s="40"/>
      <c r="D223" s="44"/>
      <c r="E223" s="157"/>
      <c r="F223" s="137"/>
    </row>
    <row r="224" spans="1:6" s="34" customFormat="1" ht="14.45">
      <c r="A224" s="42"/>
      <c r="B224" s="43"/>
      <c r="C224" s="40"/>
      <c r="D224" s="44"/>
      <c r="E224" s="157"/>
      <c r="F224" s="137"/>
    </row>
    <row r="225" spans="1:6" s="34" customFormat="1" ht="14.45">
      <c r="A225" s="42"/>
      <c r="B225" s="43"/>
      <c r="C225" s="40"/>
      <c r="D225" s="44"/>
      <c r="E225" s="157"/>
      <c r="F225" s="137"/>
    </row>
    <row r="226" spans="1:6" s="34" customFormat="1" ht="14.45">
      <c r="A226" s="42"/>
      <c r="B226" s="43"/>
      <c r="C226" s="40"/>
      <c r="D226" s="44"/>
      <c r="E226" s="157"/>
      <c r="F226" s="137"/>
    </row>
    <row r="227" spans="1:6" s="34" customFormat="1" ht="14.45">
      <c r="A227" s="42"/>
      <c r="B227" s="43"/>
      <c r="C227" s="40"/>
      <c r="D227" s="44"/>
      <c r="E227" s="157"/>
      <c r="F227" s="137"/>
    </row>
    <row r="228" spans="1:6" s="34" customFormat="1" ht="14.45">
      <c r="A228" s="42"/>
      <c r="B228" s="43"/>
      <c r="C228" s="40"/>
      <c r="D228" s="44"/>
      <c r="E228" s="157"/>
      <c r="F228" s="137"/>
    </row>
    <row r="229" spans="1:6" s="34" customFormat="1" ht="14.45">
      <c r="A229" s="42"/>
      <c r="B229" s="43"/>
      <c r="C229" s="40"/>
      <c r="D229" s="44"/>
      <c r="E229" s="157"/>
      <c r="F229" s="137"/>
    </row>
    <row r="230" spans="1:6" s="34" customFormat="1" ht="14.45">
      <c r="A230" s="42"/>
      <c r="B230" s="43"/>
      <c r="C230" s="40"/>
      <c r="D230" s="44"/>
      <c r="E230" s="157"/>
      <c r="F230" s="137"/>
    </row>
    <row r="231" spans="1:6" s="34" customFormat="1" ht="14.45">
      <c r="A231" s="42"/>
      <c r="B231" s="43"/>
      <c r="C231" s="40"/>
      <c r="D231" s="44"/>
      <c r="E231" s="157"/>
      <c r="F231" s="137"/>
    </row>
    <row r="232" spans="1:6" s="34" customFormat="1" ht="14.45">
      <c r="A232" s="42"/>
      <c r="B232" s="43"/>
      <c r="C232" s="40"/>
      <c r="D232" s="44"/>
      <c r="E232" s="157"/>
      <c r="F232" s="137"/>
    </row>
    <row r="233" spans="1:6" s="34" customFormat="1" ht="14.45">
      <c r="A233" s="42"/>
      <c r="B233" s="43"/>
      <c r="C233" s="40"/>
      <c r="D233" s="44"/>
      <c r="E233" s="157"/>
      <c r="F233" s="137"/>
    </row>
    <row r="234" spans="1:6" s="34" customFormat="1" ht="14.45">
      <c r="A234" s="42"/>
      <c r="B234" s="43"/>
      <c r="C234" s="40"/>
      <c r="D234" s="44"/>
      <c r="E234" s="157"/>
      <c r="F234" s="137"/>
    </row>
    <row r="235" spans="1:6" s="34" customFormat="1" ht="14.45">
      <c r="A235" s="42"/>
      <c r="B235" s="43"/>
      <c r="C235" s="40"/>
      <c r="D235" s="44"/>
      <c r="E235" s="157"/>
      <c r="F235" s="137"/>
    </row>
    <row r="236" spans="1:6" s="34" customFormat="1" ht="14.45">
      <c r="A236" s="42"/>
      <c r="B236" s="43"/>
      <c r="C236" s="40"/>
      <c r="D236" s="44"/>
      <c r="E236" s="157"/>
      <c r="F236" s="137"/>
    </row>
    <row r="237" spans="1:6" s="34" customFormat="1" ht="14.45">
      <c r="A237" s="42"/>
      <c r="B237" s="43"/>
      <c r="C237" s="40"/>
      <c r="D237" s="44"/>
      <c r="E237" s="157"/>
      <c r="F237" s="137"/>
    </row>
    <row r="238" spans="1:6" s="34" customFormat="1" ht="14.45">
      <c r="A238" s="42"/>
      <c r="B238" s="43"/>
      <c r="C238" s="40"/>
      <c r="D238" s="44"/>
      <c r="E238" s="157"/>
      <c r="F238" s="137"/>
    </row>
    <row r="239" spans="1:6" s="34" customFormat="1" ht="14.45">
      <c r="A239" s="42"/>
      <c r="B239" s="43"/>
      <c r="C239" s="40"/>
      <c r="D239" s="44"/>
      <c r="E239" s="157"/>
      <c r="F239" s="137"/>
    </row>
    <row r="240" spans="1:6" s="34" customFormat="1" ht="14.45">
      <c r="A240" s="42"/>
      <c r="B240" s="43"/>
      <c r="C240" s="40"/>
      <c r="D240" s="44"/>
      <c r="E240" s="157"/>
      <c r="F240" s="137"/>
    </row>
    <row r="241" spans="1:6" s="34" customFormat="1" ht="14.45">
      <c r="A241" s="42"/>
      <c r="B241" s="43"/>
      <c r="C241" s="40"/>
      <c r="D241" s="44"/>
      <c r="E241" s="157"/>
      <c r="F241" s="137"/>
    </row>
    <row r="242" spans="1:6" s="34" customFormat="1" ht="14.45">
      <c r="A242" s="42"/>
      <c r="B242" s="43"/>
      <c r="C242" s="40"/>
      <c r="D242" s="44"/>
      <c r="E242" s="157"/>
      <c r="F242" s="137"/>
    </row>
    <row r="243" spans="1:6" s="34" customFormat="1" ht="14.45">
      <c r="A243" s="42"/>
      <c r="B243" s="43"/>
      <c r="C243" s="40"/>
      <c r="D243" s="44"/>
      <c r="E243" s="157"/>
      <c r="F243" s="137"/>
    </row>
    <row r="244" spans="1:6" s="34" customFormat="1" ht="14.45">
      <c r="A244" s="42"/>
      <c r="B244" s="43"/>
      <c r="C244" s="40"/>
      <c r="D244" s="44"/>
      <c r="E244" s="157"/>
      <c r="F244" s="137"/>
    </row>
    <row r="245" spans="1:6" s="34" customFormat="1" ht="14.45">
      <c r="A245" s="49"/>
      <c r="B245" s="50"/>
      <c r="C245" s="51"/>
      <c r="D245" s="52"/>
      <c r="E245" s="159"/>
      <c r="F245" s="138"/>
    </row>
    <row r="246" spans="1:6" s="34" customFormat="1" ht="14.45">
      <c r="A246" s="53"/>
      <c r="B246" s="54"/>
      <c r="C246" s="55" t="s">
        <v>30</v>
      </c>
      <c r="D246" s="55"/>
      <c r="E246" s="160" t="s">
        <v>8</v>
      </c>
      <c r="F246" s="139">
        <f>SUM(F206:F219)</f>
        <v>78464.679999999993</v>
      </c>
    </row>
    <row r="247" spans="1:6" s="34" customFormat="1" ht="14.45">
      <c r="A247" s="53"/>
      <c r="B247" s="54"/>
      <c r="C247" s="56"/>
      <c r="D247" s="57"/>
      <c r="E247" s="161"/>
      <c r="F247" s="140"/>
    </row>
    <row r="248" spans="1:6" s="34" customFormat="1" ht="14.45">
      <c r="A248" s="31"/>
      <c r="B248" s="32"/>
      <c r="C248" s="29"/>
      <c r="D248" s="33"/>
      <c r="E248" s="157"/>
      <c r="F248" s="137"/>
    </row>
    <row r="249" spans="1:6" s="34" customFormat="1" ht="14.45">
      <c r="A249" s="31"/>
      <c r="B249" s="38" t="s">
        <v>109</v>
      </c>
      <c r="C249" s="29"/>
      <c r="D249" s="33"/>
      <c r="E249" s="157"/>
      <c r="F249" s="137"/>
    </row>
    <row r="250" spans="1:6" s="34" customFormat="1" ht="14.45">
      <c r="A250" s="31"/>
      <c r="B250" s="32"/>
      <c r="C250" s="29"/>
      <c r="D250" s="33"/>
      <c r="E250" s="157"/>
      <c r="F250" s="137"/>
    </row>
    <row r="251" spans="1:6" s="34" customFormat="1" ht="14.45">
      <c r="A251" s="31"/>
      <c r="B251" s="39" t="s">
        <v>110</v>
      </c>
      <c r="C251" s="29"/>
      <c r="D251" s="33"/>
      <c r="E251" s="157"/>
      <c r="F251" s="137">
        <f>F45</f>
        <v>1611.9</v>
      </c>
    </row>
    <row r="252" spans="1:6" s="34" customFormat="1" ht="14.45">
      <c r="A252" s="31"/>
      <c r="B252" s="32"/>
      <c r="C252" s="29"/>
      <c r="D252" s="33"/>
      <c r="E252" s="157"/>
      <c r="F252" s="137"/>
    </row>
    <row r="253" spans="1:6" s="34" customFormat="1" ht="14.45">
      <c r="A253" s="31"/>
      <c r="B253" s="39" t="s">
        <v>111</v>
      </c>
      <c r="C253" s="29"/>
      <c r="D253" s="33"/>
      <c r="E253" s="157"/>
      <c r="F253" s="137">
        <f>F89</f>
        <v>45700.090000000004</v>
      </c>
    </row>
    <row r="254" spans="1:6" s="34" customFormat="1" ht="14.45">
      <c r="A254" s="31"/>
      <c r="B254" s="32"/>
      <c r="C254" s="29"/>
      <c r="D254" s="33"/>
      <c r="E254" s="157"/>
    </row>
    <row r="255" spans="1:6" s="34" customFormat="1" ht="14.45">
      <c r="A255" s="31"/>
      <c r="B255" s="39" t="s">
        <v>112</v>
      </c>
      <c r="C255" s="29"/>
      <c r="D255" s="33"/>
      <c r="E255" s="157"/>
      <c r="F255" s="137">
        <f>F126</f>
        <v>390475.26</v>
      </c>
    </row>
    <row r="256" spans="1:6" s="34" customFormat="1" ht="14.45">
      <c r="A256" s="31"/>
      <c r="B256" s="32"/>
      <c r="C256" s="29"/>
      <c r="D256" s="33"/>
      <c r="E256" s="157"/>
      <c r="F256" s="137"/>
    </row>
    <row r="257" spans="1:6" s="34" customFormat="1" ht="14.45">
      <c r="A257" s="31"/>
      <c r="B257" s="39" t="s">
        <v>113</v>
      </c>
      <c r="C257" s="29"/>
      <c r="D257" s="33"/>
      <c r="E257" s="157"/>
      <c r="F257" s="137">
        <f>F166</f>
        <v>60999.420000000006</v>
      </c>
    </row>
    <row r="258" spans="1:6" s="34" customFormat="1" ht="14.45">
      <c r="A258" s="31"/>
      <c r="B258" s="32"/>
      <c r="C258" s="29"/>
      <c r="D258" s="33"/>
      <c r="E258" s="157"/>
      <c r="F258" s="137"/>
    </row>
    <row r="259" spans="1:6" s="34" customFormat="1" ht="14.45">
      <c r="A259" s="31"/>
      <c r="B259" s="39" t="s">
        <v>114</v>
      </c>
      <c r="C259" s="29"/>
      <c r="D259" s="33"/>
      <c r="E259" s="157"/>
      <c r="F259" s="137">
        <f>F202</f>
        <v>266320.93</v>
      </c>
    </row>
    <row r="260" spans="1:6" s="34" customFormat="1" ht="14.45">
      <c r="A260" s="31"/>
      <c r="B260" s="32"/>
      <c r="C260" s="29"/>
      <c r="D260" s="33"/>
      <c r="E260" s="157"/>
      <c r="F260" s="137"/>
    </row>
    <row r="261" spans="1:6" s="34" customFormat="1" ht="14.45">
      <c r="A261" s="31"/>
      <c r="B261" s="39" t="s">
        <v>115</v>
      </c>
      <c r="C261" s="29"/>
      <c r="D261" s="33"/>
      <c r="E261" s="157"/>
      <c r="F261" s="137">
        <f>F246</f>
        <v>78464.679999999993</v>
      </c>
    </row>
    <row r="262" spans="1:6" s="34" customFormat="1" ht="14.45">
      <c r="A262" s="31"/>
      <c r="B262" s="32"/>
      <c r="C262" s="29"/>
      <c r="D262" s="33"/>
      <c r="E262" s="157"/>
      <c r="F262" s="137"/>
    </row>
    <row r="263" spans="1:6" s="34" customFormat="1" ht="14.45">
      <c r="A263" s="31"/>
      <c r="B263" s="39"/>
      <c r="C263" s="29"/>
      <c r="D263" s="33"/>
      <c r="E263" s="157"/>
      <c r="F263" s="137"/>
    </row>
    <row r="264" spans="1:6" s="34" customFormat="1" ht="14.45">
      <c r="A264" s="42"/>
      <c r="B264" s="43"/>
      <c r="C264" s="40"/>
      <c r="D264" s="44"/>
      <c r="E264" s="157"/>
      <c r="F264" s="137"/>
    </row>
    <row r="265" spans="1:6" s="34" customFormat="1" ht="14.45">
      <c r="A265" s="42"/>
      <c r="B265" s="58"/>
      <c r="C265" s="40"/>
      <c r="D265" s="44"/>
      <c r="E265" s="157"/>
      <c r="F265" s="137"/>
    </row>
    <row r="266" spans="1:6" s="34" customFormat="1" ht="14.45">
      <c r="A266" s="42"/>
      <c r="B266" s="43"/>
      <c r="C266" s="40"/>
      <c r="D266" s="44"/>
      <c r="E266" s="157"/>
      <c r="F266" s="137"/>
    </row>
    <row r="267" spans="1:6" s="34" customFormat="1" ht="14.45">
      <c r="A267" s="42"/>
      <c r="B267" s="43"/>
      <c r="C267" s="40"/>
      <c r="D267" s="44"/>
      <c r="E267" s="157"/>
      <c r="F267" s="137"/>
    </row>
    <row r="268" spans="1:6" s="34" customFormat="1" ht="14.45">
      <c r="A268" s="42"/>
      <c r="B268" s="43"/>
      <c r="C268" s="40"/>
      <c r="D268" s="44"/>
      <c r="E268" s="157"/>
      <c r="F268" s="137"/>
    </row>
    <row r="269" spans="1:6" s="34" customFormat="1" ht="14.45">
      <c r="A269" s="42"/>
      <c r="B269" s="43"/>
      <c r="C269" s="40"/>
      <c r="D269" s="44"/>
      <c r="E269" s="157"/>
      <c r="F269" s="137"/>
    </row>
    <row r="270" spans="1:6" s="34" customFormat="1" ht="14.45">
      <c r="A270" s="42"/>
      <c r="B270" s="43"/>
      <c r="C270" s="40"/>
      <c r="D270" s="44"/>
      <c r="E270" s="157"/>
      <c r="F270" s="137"/>
    </row>
    <row r="271" spans="1:6" s="34" customFormat="1" ht="14.45">
      <c r="A271" s="42"/>
      <c r="B271" s="43"/>
      <c r="C271" s="40"/>
      <c r="D271" s="44"/>
      <c r="E271" s="157"/>
      <c r="F271" s="137"/>
    </row>
    <row r="272" spans="1:6" s="34" customFormat="1" ht="14.45">
      <c r="A272" s="42"/>
      <c r="B272" s="43"/>
      <c r="C272" s="40"/>
      <c r="D272" s="44"/>
      <c r="E272" s="157"/>
      <c r="F272" s="137"/>
    </row>
    <row r="273" spans="1:6" s="34" customFormat="1" ht="14.45">
      <c r="A273" s="42"/>
      <c r="B273" s="43"/>
      <c r="C273" s="40"/>
      <c r="D273" s="44"/>
      <c r="E273" s="157"/>
      <c r="F273" s="137"/>
    </row>
    <row r="274" spans="1:6" s="34" customFormat="1" ht="14.45">
      <c r="A274" s="42"/>
      <c r="B274" s="43"/>
      <c r="C274" s="40"/>
      <c r="D274" s="44"/>
      <c r="E274" s="157"/>
      <c r="F274" s="137"/>
    </row>
    <row r="275" spans="1:6" s="34" customFormat="1" ht="14.45">
      <c r="A275" s="42"/>
      <c r="B275" s="43"/>
      <c r="C275" s="40"/>
      <c r="D275" s="44"/>
      <c r="E275" s="157"/>
      <c r="F275" s="137"/>
    </row>
    <row r="276" spans="1:6" s="34" customFormat="1" ht="14.45">
      <c r="A276" s="42"/>
      <c r="B276" s="43"/>
      <c r="C276" s="40"/>
      <c r="D276" s="44"/>
      <c r="E276" s="157"/>
      <c r="F276" s="137"/>
    </row>
    <row r="277" spans="1:6" s="34" customFormat="1" ht="14.45">
      <c r="A277" s="42"/>
      <c r="B277" s="43"/>
      <c r="C277" s="40"/>
      <c r="D277" s="44"/>
      <c r="E277" s="157"/>
      <c r="F277" s="137"/>
    </row>
    <row r="278" spans="1:6" s="34" customFormat="1" ht="14.45">
      <c r="A278" s="42"/>
      <c r="B278" s="43"/>
      <c r="C278" s="40"/>
      <c r="D278" s="44"/>
      <c r="E278" s="157"/>
      <c r="F278" s="137"/>
    </row>
    <row r="279" spans="1:6" s="34" customFormat="1" ht="14.45">
      <c r="A279" s="42"/>
      <c r="B279" s="43"/>
      <c r="C279" s="40"/>
      <c r="D279" s="44"/>
      <c r="E279" s="157"/>
      <c r="F279" s="137"/>
    </row>
    <row r="280" spans="1:6" s="34" customFormat="1" ht="14.45">
      <c r="A280" s="42"/>
      <c r="B280" s="43"/>
      <c r="C280" s="40"/>
      <c r="D280" s="44"/>
      <c r="E280" s="157"/>
      <c r="F280" s="137"/>
    </row>
    <row r="281" spans="1:6" s="34" customFormat="1" ht="14.45">
      <c r="A281" s="42"/>
      <c r="B281" s="43"/>
      <c r="C281" s="40"/>
      <c r="D281" s="44"/>
      <c r="E281" s="157"/>
      <c r="F281" s="137"/>
    </row>
    <row r="282" spans="1:6" s="34" customFormat="1" ht="14.45">
      <c r="A282" s="42"/>
      <c r="B282" s="43"/>
      <c r="C282" s="40"/>
      <c r="D282" s="44"/>
      <c r="E282" s="157"/>
      <c r="F282" s="137"/>
    </row>
    <row r="283" spans="1:6" s="34" customFormat="1" ht="14.45">
      <c r="A283" s="42"/>
      <c r="B283" s="43"/>
      <c r="C283" s="40"/>
      <c r="D283" s="44"/>
      <c r="E283" s="157"/>
      <c r="F283" s="137"/>
    </row>
    <row r="284" spans="1:6" s="34" customFormat="1" ht="14.45">
      <c r="A284" s="42"/>
      <c r="B284" s="43"/>
      <c r="C284" s="40"/>
      <c r="D284" s="44"/>
      <c r="E284" s="157"/>
      <c r="F284" s="137"/>
    </row>
    <row r="285" spans="1:6" s="34" customFormat="1" ht="14.45">
      <c r="A285" s="42"/>
      <c r="B285" s="43"/>
      <c r="C285" s="40"/>
      <c r="D285" s="44"/>
      <c r="E285" s="157"/>
      <c r="F285" s="137"/>
    </row>
    <row r="286" spans="1:6" s="34" customFormat="1" ht="14.45">
      <c r="A286" s="42"/>
      <c r="B286" s="43"/>
      <c r="C286" s="40"/>
      <c r="D286" s="44"/>
      <c r="E286" s="157"/>
      <c r="F286" s="137"/>
    </row>
    <row r="287" spans="1:6" s="34" customFormat="1" ht="14.45">
      <c r="A287" s="42"/>
      <c r="B287" s="43"/>
      <c r="C287" s="40"/>
      <c r="D287" s="44"/>
      <c r="E287" s="157"/>
      <c r="F287" s="137"/>
    </row>
    <row r="288" spans="1:6" s="34" customFormat="1" ht="14.45">
      <c r="A288" s="42"/>
      <c r="B288" s="43"/>
      <c r="C288" s="40"/>
      <c r="D288" s="44"/>
      <c r="E288" s="157"/>
      <c r="F288" s="137"/>
    </row>
    <row r="289" spans="1:6" s="34" customFormat="1" ht="14.45">
      <c r="A289" s="42"/>
      <c r="B289" s="43"/>
      <c r="C289" s="40"/>
      <c r="D289" s="44"/>
      <c r="E289" s="157"/>
      <c r="F289" s="137"/>
    </row>
    <row r="290" spans="1:6" s="34" customFormat="1" ht="14.45">
      <c r="A290" s="42"/>
      <c r="B290" s="43"/>
      <c r="C290" s="40"/>
      <c r="D290" s="44"/>
      <c r="E290" s="157"/>
      <c r="F290" s="137"/>
    </row>
    <row r="291" spans="1:6" s="34" customFormat="1" ht="14.45">
      <c r="A291" s="42"/>
      <c r="B291" s="43"/>
      <c r="C291" s="40"/>
      <c r="D291" s="44"/>
      <c r="E291" s="157"/>
      <c r="F291" s="137"/>
    </row>
    <row r="292" spans="1:6" s="34" customFormat="1" ht="14.45">
      <c r="A292" s="42"/>
      <c r="B292" s="43"/>
      <c r="C292" s="40"/>
      <c r="D292" s="44"/>
      <c r="E292" s="157"/>
      <c r="F292" s="137"/>
    </row>
    <row r="293" spans="1:6" s="34" customFormat="1" ht="14.45">
      <c r="A293" s="49"/>
      <c r="B293" s="50"/>
      <c r="C293" s="51"/>
      <c r="D293" s="52"/>
      <c r="E293" s="159"/>
      <c r="F293" s="138"/>
    </row>
    <row r="294" spans="1:6" s="34" customFormat="1" ht="14.45">
      <c r="A294" s="53"/>
      <c r="B294" s="54"/>
      <c r="C294" s="55" t="s">
        <v>116</v>
      </c>
      <c r="D294" s="55"/>
      <c r="E294" s="160" t="s">
        <v>8</v>
      </c>
      <c r="F294" s="139">
        <f>SUM(F248:F271)</f>
        <v>843572.28</v>
      </c>
    </row>
    <row r="295" spans="1:6" s="34" customFormat="1" ht="14.45">
      <c r="A295" s="53"/>
      <c r="B295" s="54"/>
      <c r="C295" s="56"/>
      <c r="D295" s="57"/>
      <c r="E295" s="161"/>
      <c r="F295" s="140"/>
    </row>
  </sheetData>
  <customSheetViews>
    <customSheetView guid="{3432A39B-C5E3-4DF0-8655-3886C046AF9C}" showPageBreaks="1" printArea="1" view="pageBreakPreview" topLeftCell="A283">
      <selection activeCell="G296" sqref="G296"/>
      <rowBreaks count="6" manualBreakCount="6">
        <brk id="47" max="5" man="1"/>
        <brk id="91" max="5" man="1"/>
        <brk id="127" max="5" man="1"/>
        <brk id="168" max="5" man="1"/>
        <brk id="205" max="5" man="1"/>
        <brk id="249" max="5" man="1"/>
      </rowBreaks>
      <pageMargins left="0" right="0" top="0" bottom="0" header="0" footer="0"/>
      <printOptions horizontalCentered="1"/>
      <pageSetup paperSize="9" fitToHeight="0" orientation="portrait" r:id="rId1"/>
      <headerFooter>
        <oddHeader>&amp;R&amp;11&amp;U
BILL NO. 3 - MALL REFURBISHMENT
SITE WORK</oddHeader>
        <oddFooter>&amp;L&amp;8DMS 148704 BOQ - Nakheel Mall Al Khail&amp;C3/B/&amp;P</oddFooter>
      </headerFooter>
    </customSheetView>
    <customSheetView guid="{47E345F0-E696-46B9-B7A2-C22AD1CF4FAA}" showPageBreaks="1" printArea="1" view="pageBreakPreview" topLeftCell="A242">
      <selection activeCell="B262" sqref="B262"/>
      <rowBreaks count="6" manualBreakCount="6">
        <brk id="47" max="5" man="1"/>
        <brk id="91" max="5" man="1"/>
        <brk id="127" max="5" man="1"/>
        <brk id="168" max="5" man="1"/>
        <brk id="205" max="5" man="1"/>
        <brk id="249" max="5" man="1"/>
      </rowBreaks>
      <pageMargins left="0" right="0" top="0" bottom="0" header="0" footer="0"/>
      <printOptions horizontalCentered="1"/>
      <pageSetup paperSize="9" fitToHeight="0" orientation="portrait" r:id="rId2"/>
      <headerFooter>
        <oddHeader>&amp;R&amp;11&amp;U
BILL NO. 3 - MALL REFURBISHMENT
SITE WORK</oddHeader>
        <oddFooter>&amp;L&amp;8DMS 148704 BOQ - Nakheel Mall Al Khail&amp;C3/B/&amp;P</oddFooter>
      </headerFooter>
    </customSheetView>
    <customSheetView guid="{252EBC6A-BD49-4FC3-9285-77861935BFE3}" showPageBreaks="1" printArea="1" view="pageBreakPreview" topLeftCell="A264">
      <selection activeCell="F297" sqref="F297"/>
      <rowBreaks count="6" manualBreakCount="6">
        <brk id="47" max="5" man="1"/>
        <brk id="91" max="5" man="1"/>
        <brk id="127" max="5" man="1"/>
        <brk id="168" max="5" man="1"/>
        <brk id="205" max="5" man="1"/>
        <brk id="249" max="5" man="1"/>
      </rowBreaks>
      <pageMargins left="0" right="0" top="0" bottom="0" header="0" footer="0"/>
      <printOptions horizontalCentered="1"/>
      <pageSetup paperSize="9" fitToHeight="0" orientation="portrait" r:id="rId3"/>
      <headerFooter>
        <oddHeader>&amp;R&amp;11&amp;U
BILL NO. 3 - MALL REFURBISHMENT
SITE WORK</oddHeader>
        <oddFooter>&amp;L&amp;8DMS 148704 BOQ - Nakheel Mall Al Khail&amp;C3/B/&amp;P</oddFooter>
      </headerFooter>
    </customSheetView>
    <customSheetView guid="{80D5E0F2-D974-412D-A20C-052459C7A221}" showPageBreaks="1" printArea="1" view="pageBreakPreview" topLeftCell="A55">
      <selection activeCell="E77" sqref="E77"/>
      <rowBreaks count="6" manualBreakCount="6">
        <brk id="47" max="5" man="1"/>
        <brk id="91" max="5" man="1"/>
        <brk id="127" max="5" man="1"/>
        <brk id="168" max="5" man="1"/>
        <brk id="205" max="5" man="1"/>
        <brk id="249" max="5" man="1"/>
      </rowBreaks>
      <pageMargins left="0" right="0" top="0" bottom="0" header="0" footer="0"/>
      <printOptions horizontalCentered="1"/>
      <pageSetup paperSize="9" fitToHeight="0" orientation="portrait" r:id="rId4"/>
      <headerFooter>
        <oddHeader>&amp;R&amp;11&amp;U
BILL NO. 3 - MALL REFURBISHMENT
SITE WORK</oddHeader>
        <oddFooter>&amp;L&amp;8DMS 148704 BOQ - Nakheel Mall Al Khail&amp;C3/B/&amp;P</oddFooter>
      </headerFooter>
    </customSheetView>
  </customSheetViews>
  <mergeCells count="4">
    <mergeCell ref="A1:A2"/>
    <mergeCell ref="B1:B2"/>
    <mergeCell ref="C1:C2"/>
    <mergeCell ref="D1:D2"/>
  </mergeCells>
  <phoneticPr fontId="18" type="noConversion"/>
  <printOptions horizontalCentered="1"/>
  <pageMargins left="0.66929133858267698" right="0.196850393700787" top="0.82677165354330695" bottom="0.47" header="0.196850393700787" footer="0.24"/>
  <pageSetup paperSize="9" fitToHeight="0" orientation="portrait" r:id="rId5"/>
  <headerFooter>
    <oddHeader>&amp;R&amp;11&amp;U
BILL NO. 3 - MALL REFURBISHMENT
SITE WORK</oddHeader>
    <oddFooter>&amp;L&amp;8DMS 148704 BOQ - Nakheel Mall Al Khail&amp;C3/B/&amp;P</oddFooter>
  </headerFooter>
  <rowBreaks count="6" manualBreakCount="6">
    <brk id="46" max="5" man="1"/>
    <brk id="90" max="5" man="1"/>
    <brk id="127" max="5" man="1"/>
    <brk id="167" max="5" man="1"/>
    <brk id="203" max="5" man="1"/>
    <brk id="247" max="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44DAE-4AF0-41B3-9CE4-1E2A633CED00}">
  <sheetPr>
    <tabColor rgb="FF002060"/>
  </sheetPr>
  <dimension ref="A1:F28"/>
  <sheetViews>
    <sheetView view="pageBreakPreview" zoomScaleNormal="100" zoomScaleSheetLayoutView="100" zoomScalePageLayoutView="70" workbookViewId="0">
      <selection activeCell="F34" sqref="F34"/>
    </sheetView>
  </sheetViews>
  <sheetFormatPr defaultColWidth="9.28515625" defaultRowHeight="13.9"/>
  <cols>
    <col min="1" max="1" width="5.7109375" style="36" customWidth="1"/>
    <col min="2" max="2" width="45.28515625" style="27" customWidth="1"/>
    <col min="3" max="3" width="10.7109375" style="28" customWidth="1"/>
    <col min="4" max="4" width="6.7109375" style="37" customWidth="1"/>
    <col min="5" max="5" width="11.7109375" style="162" customWidth="1"/>
    <col min="6" max="6" width="15.7109375" style="142" customWidth="1"/>
    <col min="7" max="16384" width="9.28515625" style="35"/>
  </cols>
  <sheetData>
    <row r="1" spans="1:6" s="30" customFormat="1" ht="14.45">
      <c r="A1" s="332" t="s">
        <v>2</v>
      </c>
      <c r="B1" s="332" t="s">
        <v>3</v>
      </c>
      <c r="C1" s="334" t="s">
        <v>4</v>
      </c>
      <c r="D1" s="336" t="s">
        <v>5</v>
      </c>
      <c r="E1" s="155" t="s">
        <v>6</v>
      </c>
      <c r="F1" s="135" t="s">
        <v>7</v>
      </c>
    </row>
    <row r="2" spans="1:6" s="30" customFormat="1" ht="14.45">
      <c r="A2" s="333"/>
      <c r="B2" s="333"/>
      <c r="C2" s="335"/>
      <c r="D2" s="337"/>
      <c r="E2" s="156" t="s">
        <v>8</v>
      </c>
      <c r="F2" s="136" t="s">
        <v>8</v>
      </c>
    </row>
    <row r="3" spans="1:6" s="34" customFormat="1" ht="14.45">
      <c r="A3" s="31"/>
      <c r="B3" s="32"/>
      <c r="C3" s="29"/>
      <c r="D3" s="33"/>
      <c r="E3" s="157"/>
      <c r="F3" s="137"/>
    </row>
    <row r="4" spans="1:6" s="34" customFormat="1" ht="14.45">
      <c r="A4" s="59"/>
      <c r="B4" s="60" t="s">
        <v>9</v>
      </c>
      <c r="C4" s="61"/>
      <c r="D4" s="62"/>
      <c r="E4" s="157"/>
      <c r="F4" s="137"/>
    </row>
    <row r="5" spans="1:6" s="34" customFormat="1" ht="14.45">
      <c r="A5" s="59"/>
      <c r="B5" s="63"/>
      <c r="C5" s="61"/>
      <c r="D5" s="62"/>
      <c r="E5" s="157"/>
      <c r="F5" s="137"/>
    </row>
    <row r="6" spans="1:6" s="34" customFormat="1" ht="14.45">
      <c r="A6" s="59"/>
      <c r="B6" s="64" t="s">
        <v>51</v>
      </c>
      <c r="C6" s="61"/>
      <c r="D6" s="62"/>
      <c r="E6" s="157"/>
      <c r="F6" s="137"/>
    </row>
    <row r="7" spans="1:6" s="34" customFormat="1" ht="6" customHeight="1">
      <c r="A7" s="59"/>
      <c r="B7" s="100"/>
      <c r="C7" s="61"/>
      <c r="D7" s="62"/>
      <c r="E7" s="157"/>
      <c r="F7" s="137"/>
    </row>
    <row r="8" spans="1:6" s="34" customFormat="1" ht="14.45">
      <c r="A8" s="66"/>
      <c r="B8" s="98" t="s">
        <v>60</v>
      </c>
      <c r="C8" s="68"/>
      <c r="D8" s="69"/>
      <c r="E8" s="157"/>
      <c r="F8" s="137"/>
    </row>
    <row r="9" spans="1:6" s="34" customFormat="1" ht="14.45">
      <c r="A9" s="59"/>
      <c r="B9" s="100"/>
      <c r="C9" s="61"/>
      <c r="D9" s="62"/>
      <c r="E9" s="157"/>
      <c r="F9" s="137"/>
    </row>
    <row r="10" spans="1:6" s="260" customFormat="1" ht="14.45">
      <c r="A10" s="252"/>
      <c r="B10" s="253" t="s">
        <v>117</v>
      </c>
      <c r="C10" s="254"/>
      <c r="D10" s="255"/>
      <c r="E10" s="256"/>
      <c r="F10" s="257"/>
    </row>
    <row r="11" spans="1:6" s="260" customFormat="1" ht="14.45">
      <c r="A11" s="252"/>
      <c r="B11" s="253"/>
      <c r="C11" s="254"/>
      <c r="D11" s="255"/>
      <c r="E11" s="256"/>
      <c r="F11" s="257"/>
    </row>
    <row r="12" spans="1:6" s="260" customFormat="1" ht="14.45">
      <c r="A12" s="252" t="s">
        <v>14</v>
      </c>
      <c r="B12" s="253" t="s">
        <v>118</v>
      </c>
      <c r="C12" s="254">
        <v>-5</v>
      </c>
      <c r="D12" s="255" t="s">
        <v>63</v>
      </c>
      <c r="E12" s="256">
        <v>20706.13</v>
      </c>
      <c r="F12" s="257">
        <f>C12*E12</f>
        <v>-103530.65000000001</v>
      </c>
    </row>
    <row r="13" spans="1:6" s="260" customFormat="1" ht="14.45">
      <c r="A13" s="261"/>
      <c r="B13" s="262"/>
      <c r="C13" s="263"/>
      <c r="D13" s="264"/>
      <c r="E13" s="256"/>
      <c r="F13" s="257"/>
    </row>
    <row r="14" spans="1:6" s="260" customFormat="1" ht="14.45">
      <c r="A14" s="261" t="s">
        <v>17</v>
      </c>
      <c r="B14" s="253" t="s">
        <v>119</v>
      </c>
      <c r="C14" s="254">
        <v>5</v>
      </c>
      <c r="D14" s="255" t="s">
        <v>63</v>
      </c>
      <c r="E14" s="256">
        <v>26291.234440699445</v>
      </c>
      <c r="F14" s="257">
        <f>C14*E14</f>
        <v>131456.17220349723</v>
      </c>
    </row>
    <row r="15" spans="1:6" s="34" customFormat="1" ht="14.45">
      <c r="A15" s="59"/>
      <c r="B15" s="100"/>
      <c r="C15" s="61"/>
      <c r="D15" s="62"/>
      <c r="E15" s="157"/>
      <c r="F15" s="137"/>
    </row>
    <row r="16" spans="1:6" s="34" customFormat="1" ht="14.45">
      <c r="A16" s="66"/>
      <c r="B16" s="98" t="s">
        <v>77</v>
      </c>
      <c r="C16" s="68"/>
      <c r="D16" s="69"/>
      <c r="E16" s="157"/>
      <c r="F16" s="137"/>
    </row>
    <row r="17" spans="1:6" s="34" customFormat="1" ht="14.45">
      <c r="A17" s="59"/>
      <c r="B17" s="100"/>
      <c r="C17" s="61"/>
      <c r="D17" s="62"/>
      <c r="E17" s="157"/>
      <c r="F17" s="137"/>
    </row>
    <row r="18" spans="1:6" s="260" customFormat="1" ht="27.6">
      <c r="A18" s="252" t="s">
        <v>20</v>
      </c>
      <c r="B18" s="253" t="s">
        <v>120</v>
      </c>
      <c r="C18" s="254"/>
      <c r="D18" s="255" t="s">
        <v>2</v>
      </c>
      <c r="E18" s="256">
        <v>2334.6455654674401</v>
      </c>
      <c r="F18" s="257">
        <f>+E18</f>
        <v>2334.6455654674401</v>
      </c>
    </row>
    <row r="19" spans="1:6" s="34" customFormat="1" ht="14.45">
      <c r="A19" s="59"/>
      <c r="B19" s="100"/>
      <c r="C19" s="61"/>
      <c r="D19" s="62"/>
      <c r="E19" s="157"/>
      <c r="F19" s="137"/>
    </row>
    <row r="20" spans="1:6" s="260" customFormat="1" ht="27.6">
      <c r="A20" s="252" t="s">
        <v>23</v>
      </c>
      <c r="B20" s="253" t="s">
        <v>121</v>
      </c>
      <c r="C20" s="254"/>
      <c r="D20" s="255" t="s">
        <v>2</v>
      </c>
      <c r="E20" s="256">
        <v>1647.2471164920901</v>
      </c>
      <c r="F20" s="257">
        <f>+E20</f>
        <v>1647.2471164920901</v>
      </c>
    </row>
    <row r="21" spans="1:6" s="34" customFormat="1" ht="14.45">
      <c r="A21" s="66"/>
      <c r="B21" s="98"/>
      <c r="C21" s="68"/>
      <c r="D21" s="69"/>
      <c r="E21" s="157"/>
      <c r="F21" s="137"/>
    </row>
    <row r="22" spans="1:6" s="34" customFormat="1" ht="14.45">
      <c r="A22" s="59"/>
      <c r="B22" s="98" t="s">
        <v>96</v>
      </c>
      <c r="C22" s="61"/>
      <c r="D22" s="62"/>
      <c r="E22" s="157"/>
      <c r="F22" s="137"/>
    </row>
    <row r="23" spans="1:6" s="34" customFormat="1" ht="14.45">
      <c r="A23" s="66"/>
      <c r="B23" s="67"/>
      <c r="C23" s="68"/>
      <c r="D23" s="69"/>
      <c r="E23" s="157"/>
      <c r="F23" s="137"/>
    </row>
    <row r="24" spans="1:6" s="260" customFormat="1" ht="41.45">
      <c r="A24" s="252" t="s">
        <v>27</v>
      </c>
      <c r="B24" s="253" t="s">
        <v>122</v>
      </c>
      <c r="C24" s="254"/>
      <c r="D24" s="265" t="s">
        <v>2</v>
      </c>
      <c r="E24" s="266">
        <v>23164.7351145432</v>
      </c>
      <c r="F24" s="267">
        <f>+E24</f>
        <v>23164.7351145432</v>
      </c>
    </row>
    <row r="25" spans="1:6" s="34" customFormat="1" ht="14.45">
      <c r="A25" s="31"/>
      <c r="B25" s="101"/>
      <c r="C25" s="29"/>
      <c r="D25" s="33"/>
      <c r="E25" s="157"/>
      <c r="F25" s="137"/>
    </row>
    <row r="26" spans="1:6" s="34" customFormat="1" ht="14.45">
      <c r="A26" s="71"/>
      <c r="B26" s="72"/>
      <c r="C26" s="73"/>
      <c r="D26" s="74"/>
      <c r="E26" s="159"/>
      <c r="F26" s="138"/>
    </row>
    <row r="27" spans="1:6" s="34" customFormat="1" ht="14.45">
      <c r="A27" s="75"/>
      <c r="B27" s="76"/>
      <c r="C27" s="55" t="s">
        <v>116</v>
      </c>
      <c r="D27" s="77"/>
      <c r="E27" s="160" t="s">
        <v>8</v>
      </c>
      <c r="F27" s="139">
        <f>SUM(F5:F25)</f>
        <v>55072.149999999951</v>
      </c>
    </row>
    <row r="28" spans="1:6" s="34" customFormat="1" ht="14.45">
      <c r="A28" s="75"/>
      <c r="B28" s="76"/>
      <c r="C28" s="78"/>
      <c r="D28" s="79"/>
      <c r="E28" s="161"/>
      <c r="F28" s="140"/>
    </row>
  </sheetData>
  <mergeCells count="4">
    <mergeCell ref="A1:A2"/>
    <mergeCell ref="B1:B2"/>
    <mergeCell ref="C1:C2"/>
    <mergeCell ref="D1:D2"/>
  </mergeCells>
  <printOptions horizontalCentered="1"/>
  <pageMargins left="0.6692913385826772" right="0.19685039370078741" top="0.82677165354330717" bottom="0.47244094488188981" header="0.19685039370078741" footer="0.23622047244094491"/>
  <pageSetup paperSize="9" fitToHeight="0" orientation="portrait" r:id="rId1"/>
  <headerFooter>
    <oddHeader>&amp;R&amp;11&amp;U
BILL NO. 3 - MALL REFURBISHMENT 
SITE WORK EXTRAOVER TO COMPLY WITH DRAWINGS ISSUED FOR AUTHORITY APPROVAL</oddHeader>
    <oddFooter>&amp;L&amp;8DMS 148704 BOQ - Nakheel Mall Al Khail&amp;C3/B/EO/&amp;P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F5FE7C-6F6F-4382-A52D-4622D0C518B7}">
  <sheetPr codeName="Sheet2"/>
  <dimension ref="A1:F330"/>
  <sheetViews>
    <sheetView view="pageBreakPreview" topLeftCell="A57" zoomScaleNormal="100" zoomScaleSheetLayoutView="100" zoomScalePageLayoutView="70" workbookViewId="0">
      <selection activeCell="C9" sqref="C9"/>
    </sheetView>
  </sheetViews>
  <sheetFormatPr defaultColWidth="9.28515625" defaultRowHeight="13.9"/>
  <cols>
    <col min="1" max="1" width="5.7109375" style="85" customWidth="1"/>
    <col min="2" max="2" width="46" style="86" customWidth="1"/>
    <col min="3" max="3" width="10.7109375" style="87" customWidth="1"/>
    <col min="4" max="4" width="6.7109375" style="88" customWidth="1"/>
    <col min="5" max="5" width="20.28515625" style="162" customWidth="1"/>
    <col min="6" max="6" width="15.7109375" style="142" customWidth="1"/>
    <col min="7" max="16384" width="9.28515625" style="35"/>
  </cols>
  <sheetData>
    <row r="1" spans="1:6" s="30" customFormat="1" ht="14.45">
      <c r="A1" s="332" t="s">
        <v>2</v>
      </c>
      <c r="B1" s="332" t="s">
        <v>3</v>
      </c>
      <c r="C1" s="334" t="s">
        <v>4</v>
      </c>
      <c r="D1" s="336" t="s">
        <v>5</v>
      </c>
      <c r="E1" s="155" t="s">
        <v>6</v>
      </c>
      <c r="F1" s="135" t="s">
        <v>7</v>
      </c>
    </row>
    <row r="2" spans="1:6" s="30" customFormat="1" ht="14.45">
      <c r="A2" s="333"/>
      <c r="B2" s="333"/>
      <c r="C2" s="335"/>
      <c r="D2" s="337"/>
      <c r="E2" s="156" t="s">
        <v>8</v>
      </c>
      <c r="F2" s="136" t="s">
        <v>8</v>
      </c>
    </row>
    <row r="3" spans="1:6" s="34" customFormat="1" ht="14.45">
      <c r="A3" s="31"/>
      <c r="B3" s="32"/>
      <c r="C3" s="29"/>
      <c r="D3" s="33"/>
      <c r="E3" s="157"/>
      <c r="F3" s="137"/>
    </row>
    <row r="4" spans="1:6" s="34" customFormat="1" ht="14.45">
      <c r="A4" s="59"/>
      <c r="B4" s="60" t="s">
        <v>123</v>
      </c>
      <c r="C4" s="61"/>
      <c r="D4" s="62"/>
      <c r="E4" s="157"/>
      <c r="F4" s="137"/>
    </row>
    <row r="5" spans="1:6" s="34" customFormat="1" ht="14.45">
      <c r="A5" s="59"/>
      <c r="B5" s="63"/>
      <c r="C5" s="61"/>
      <c r="D5" s="62"/>
      <c r="E5" s="157"/>
      <c r="F5" s="137"/>
    </row>
    <row r="6" spans="1:6" s="34" customFormat="1" ht="14.45">
      <c r="A6" s="59"/>
      <c r="B6" s="64" t="s">
        <v>124</v>
      </c>
      <c r="C6" s="61"/>
      <c r="D6" s="62"/>
      <c r="E6" s="157"/>
      <c r="F6" s="137"/>
    </row>
    <row r="7" spans="1:6" s="34" customFormat="1" ht="14.45">
      <c r="A7" s="59"/>
      <c r="B7" s="65"/>
      <c r="C7" s="61"/>
      <c r="D7" s="62"/>
      <c r="E7" s="157"/>
      <c r="F7" s="137"/>
    </row>
    <row r="8" spans="1:6" s="34" customFormat="1" ht="14.45">
      <c r="A8" s="66"/>
      <c r="B8" s="67" t="s">
        <v>52</v>
      </c>
      <c r="C8" s="68"/>
      <c r="D8" s="69"/>
      <c r="E8" s="157"/>
      <c r="F8" s="137"/>
    </row>
    <row r="9" spans="1:6" s="34" customFormat="1" ht="14.45">
      <c r="A9" s="59"/>
      <c r="B9" s="65"/>
      <c r="C9" s="61"/>
      <c r="D9" s="62"/>
      <c r="E9" s="157"/>
      <c r="F9" s="137"/>
    </row>
    <row r="10" spans="1:6" s="41" customFormat="1" ht="14.45">
      <c r="A10" s="80"/>
      <c r="B10" s="81" t="s">
        <v>53</v>
      </c>
      <c r="C10" s="82"/>
      <c r="D10" s="83"/>
      <c r="E10" s="158"/>
      <c r="F10" s="141"/>
    </row>
    <row r="11" spans="1:6" s="34" customFormat="1" ht="14.45">
      <c r="A11" s="59"/>
      <c r="B11" s="65"/>
      <c r="C11" s="61"/>
      <c r="D11" s="62"/>
      <c r="E11" s="157"/>
      <c r="F11" s="137"/>
    </row>
    <row r="12" spans="1:6" s="41" customFormat="1" ht="14.45">
      <c r="A12" s="80"/>
      <c r="B12" s="81" t="s">
        <v>125</v>
      </c>
      <c r="C12" s="82"/>
      <c r="D12" s="83"/>
      <c r="E12" s="158"/>
      <c r="F12" s="141"/>
    </row>
    <row r="13" spans="1:6" s="34" customFormat="1" ht="14.45">
      <c r="A13" s="59"/>
      <c r="B13" s="65"/>
      <c r="C13" s="61"/>
      <c r="D13" s="62"/>
      <c r="E13" s="157"/>
      <c r="F13" s="137"/>
    </row>
    <row r="14" spans="1:6" s="34" customFormat="1" ht="27.6">
      <c r="A14" s="66"/>
      <c r="B14" s="98" t="s">
        <v>126</v>
      </c>
      <c r="C14" s="68"/>
      <c r="D14" s="69"/>
      <c r="E14" s="157"/>
      <c r="F14" s="137"/>
    </row>
    <row r="15" spans="1:6" s="34" customFormat="1" ht="14.45">
      <c r="A15" s="59"/>
      <c r="B15" s="100"/>
      <c r="C15" s="61"/>
      <c r="D15" s="62"/>
      <c r="E15" s="157"/>
      <c r="F15" s="137"/>
    </row>
    <row r="16" spans="1:6" s="34" customFormat="1" ht="14.45">
      <c r="A16" s="66" t="s">
        <v>14</v>
      </c>
      <c r="B16" s="67" t="s">
        <v>127</v>
      </c>
      <c r="C16" s="68">
        <v>85</v>
      </c>
      <c r="D16" s="69" t="s">
        <v>35</v>
      </c>
      <c r="E16" s="157">
        <v>395.25</v>
      </c>
      <c r="F16" s="137">
        <f>C16*E16</f>
        <v>33596.25</v>
      </c>
    </row>
    <row r="17" spans="1:6" s="34" customFormat="1" ht="14.45">
      <c r="A17" s="59"/>
      <c r="B17" s="100"/>
      <c r="C17" s="61"/>
      <c r="D17" s="62"/>
      <c r="E17" s="157"/>
      <c r="F17" s="137"/>
    </row>
    <row r="18" spans="1:6" s="34" customFormat="1" ht="27.6">
      <c r="A18" s="66"/>
      <c r="B18" s="98" t="s">
        <v>128</v>
      </c>
      <c r="C18" s="68"/>
      <c r="D18" s="69"/>
      <c r="E18" s="157"/>
      <c r="F18" s="137"/>
    </row>
    <row r="19" spans="1:6" s="34" customFormat="1" ht="14.45">
      <c r="A19" s="59"/>
      <c r="B19" s="100"/>
      <c r="C19" s="61"/>
      <c r="D19" s="62"/>
      <c r="E19" s="157"/>
      <c r="F19" s="137"/>
    </row>
    <row r="20" spans="1:6" s="34" customFormat="1" ht="14.45">
      <c r="A20" s="66" t="s">
        <v>17</v>
      </c>
      <c r="B20" s="67" t="s">
        <v>129</v>
      </c>
      <c r="C20" s="68">
        <v>27</v>
      </c>
      <c r="D20" s="69" t="s">
        <v>35</v>
      </c>
      <c r="E20" s="157">
        <v>396.11</v>
      </c>
      <c r="F20" s="137">
        <f>C20*E20</f>
        <v>10694.970000000001</v>
      </c>
    </row>
    <row r="21" spans="1:6" s="34" customFormat="1" ht="14.45">
      <c r="A21" s="59"/>
      <c r="B21" s="100"/>
      <c r="C21" s="61"/>
      <c r="D21" s="62"/>
      <c r="E21" s="157"/>
      <c r="F21" s="137"/>
    </row>
    <row r="22" spans="1:6" s="34" customFormat="1" ht="14.45">
      <c r="A22" s="66" t="s">
        <v>20</v>
      </c>
      <c r="B22" s="67" t="s">
        <v>130</v>
      </c>
      <c r="C22" s="68">
        <v>7</v>
      </c>
      <c r="D22" s="69" t="s">
        <v>35</v>
      </c>
      <c r="E22" s="157">
        <v>396.11</v>
      </c>
      <c r="F22" s="137">
        <f>C22*E22</f>
        <v>2772.77</v>
      </c>
    </row>
    <row r="23" spans="1:6" s="34" customFormat="1" ht="14.45">
      <c r="A23" s="59"/>
      <c r="B23" s="100"/>
      <c r="C23" s="61"/>
      <c r="D23" s="62"/>
      <c r="E23" s="157"/>
      <c r="F23" s="137"/>
    </row>
    <row r="24" spans="1:6" s="34" customFormat="1" ht="14.45">
      <c r="A24" s="66" t="s">
        <v>23</v>
      </c>
      <c r="B24" s="67" t="s">
        <v>131</v>
      </c>
      <c r="C24" s="68">
        <v>64</v>
      </c>
      <c r="D24" s="69" t="s">
        <v>35</v>
      </c>
      <c r="E24" s="157">
        <v>408.53</v>
      </c>
      <c r="F24" s="137">
        <f>C24*E24</f>
        <v>26145.919999999998</v>
      </c>
    </row>
    <row r="25" spans="1:6" s="34" customFormat="1" ht="14.45">
      <c r="A25" s="59"/>
      <c r="B25" s="100"/>
      <c r="C25" s="61"/>
      <c r="D25" s="62"/>
      <c r="E25" s="157"/>
      <c r="F25" s="137"/>
    </row>
    <row r="26" spans="1:6" s="34" customFormat="1" ht="14.45">
      <c r="A26" s="66" t="s">
        <v>27</v>
      </c>
      <c r="B26" s="67" t="s">
        <v>132</v>
      </c>
      <c r="C26" s="68">
        <v>74</v>
      </c>
      <c r="D26" s="69" t="s">
        <v>35</v>
      </c>
      <c r="E26" s="157">
        <v>404.64</v>
      </c>
      <c r="F26" s="137">
        <f>C26*E26</f>
        <v>29943.360000000001</v>
      </c>
    </row>
    <row r="27" spans="1:6" s="34" customFormat="1" ht="14.45">
      <c r="A27" s="59"/>
      <c r="B27" s="100"/>
      <c r="C27" s="61"/>
      <c r="D27" s="62"/>
      <c r="E27" s="157"/>
      <c r="F27" s="137"/>
    </row>
    <row r="28" spans="1:6" s="34" customFormat="1" ht="14.45">
      <c r="A28" s="66" t="s">
        <v>44</v>
      </c>
      <c r="B28" s="67" t="s">
        <v>133</v>
      </c>
      <c r="C28" s="68">
        <v>103</v>
      </c>
      <c r="D28" s="69" t="s">
        <v>35</v>
      </c>
      <c r="E28" s="157">
        <v>404.64</v>
      </c>
      <c r="F28" s="137">
        <f>C28*E28</f>
        <v>41677.919999999998</v>
      </c>
    </row>
    <row r="29" spans="1:6" s="34" customFormat="1" ht="14.45">
      <c r="A29" s="59"/>
      <c r="B29" s="100"/>
      <c r="C29" s="61"/>
      <c r="D29" s="62"/>
      <c r="E29" s="157"/>
      <c r="F29" s="137"/>
    </row>
    <row r="30" spans="1:6" s="34" customFormat="1" ht="14.45">
      <c r="A30" s="66" t="s">
        <v>48</v>
      </c>
      <c r="B30" s="67" t="s">
        <v>134</v>
      </c>
      <c r="C30" s="68">
        <v>18</v>
      </c>
      <c r="D30" s="69" t="s">
        <v>35</v>
      </c>
      <c r="E30" s="157">
        <v>404.64</v>
      </c>
      <c r="F30" s="137">
        <f>C30*E30</f>
        <v>7283.5199999999995</v>
      </c>
    </row>
    <row r="31" spans="1:6" s="34" customFormat="1" ht="14.45">
      <c r="A31" s="59"/>
      <c r="B31" s="100"/>
      <c r="C31" s="61"/>
      <c r="D31" s="62"/>
      <c r="E31" s="157"/>
      <c r="F31" s="137"/>
    </row>
    <row r="32" spans="1:6" s="34" customFormat="1" ht="14.45">
      <c r="A32" s="66" t="s">
        <v>84</v>
      </c>
      <c r="B32" s="67" t="s">
        <v>135</v>
      </c>
      <c r="C32" s="68">
        <v>424</v>
      </c>
      <c r="D32" s="69" t="s">
        <v>35</v>
      </c>
      <c r="E32" s="157">
        <v>417.06</v>
      </c>
      <c r="F32" s="137">
        <f>C32*E32</f>
        <v>176833.44</v>
      </c>
    </row>
    <row r="33" spans="1:6" s="34" customFormat="1" ht="14.45">
      <c r="A33" s="59"/>
      <c r="B33" s="100"/>
      <c r="C33" s="61"/>
      <c r="D33" s="62"/>
      <c r="E33" s="157"/>
      <c r="F33" s="137"/>
    </row>
    <row r="34" spans="1:6" s="34" customFormat="1" ht="14.45">
      <c r="A34" s="66" t="s">
        <v>86</v>
      </c>
      <c r="B34" s="67" t="s">
        <v>136</v>
      </c>
      <c r="C34" s="68">
        <v>47</v>
      </c>
      <c r="D34" s="69" t="s">
        <v>35</v>
      </c>
      <c r="E34" s="157">
        <v>417.06</v>
      </c>
      <c r="F34" s="137">
        <f>C34*E34</f>
        <v>19601.82</v>
      </c>
    </row>
    <row r="35" spans="1:6" s="34" customFormat="1" ht="14.45">
      <c r="A35" s="59"/>
      <c r="B35" s="100"/>
      <c r="C35" s="61"/>
      <c r="D35" s="62"/>
      <c r="E35" s="157"/>
      <c r="F35" s="137"/>
    </row>
    <row r="36" spans="1:6" s="34" customFormat="1" ht="14.45">
      <c r="A36" s="66" t="s">
        <v>90</v>
      </c>
      <c r="B36" s="67" t="s">
        <v>137</v>
      </c>
      <c r="C36" s="68">
        <v>27</v>
      </c>
      <c r="D36" s="69" t="s">
        <v>35</v>
      </c>
      <c r="E36" s="157">
        <v>417.06</v>
      </c>
      <c r="F36" s="137">
        <f>C36*E36</f>
        <v>11260.62</v>
      </c>
    </row>
    <row r="37" spans="1:6" s="34" customFormat="1" ht="14.45">
      <c r="A37" s="59"/>
      <c r="B37" s="100"/>
      <c r="C37" s="61"/>
      <c r="D37" s="62"/>
      <c r="E37" s="157"/>
      <c r="F37" s="137"/>
    </row>
    <row r="38" spans="1:6" s="34" customFormat="1" ht="14.45">
      <c r="A38" s="66" t="s">
        <v>92</v>
      </c>
      <c r="B38" s="67" t="s">
        <v>138</v>
      </c>
      <c r="C38" s="68">
        <v>306</v>
      </c>
      <c r="D38" s="69" t="s">
        <v>35</v>
      </c>
      <c r="E38" s="157">
        <v>417.06</v>
      </c>
      <c r="F38" s="137">
        <f>C38*E38</f>
        <v>127620.36</v>
      </c>
    </row>
    <row r="39" spans="1:6" s="34" customFormat="1" ht="14.45">
      <c r="A39" s="59"/>
      <c r="B39" s="100"/>
      <c r="C39" s="61"/>
      <c r="D39" s="62"/>
      <c r="E39" s="157"/>
      <c r="F39" s="137"/>
    </row>
    <row r="40" spans="1:6" s="34" customFormat="1" ht="14.45">
      <c r="A40" s="66" t="s">
        <v>94</v>
      </c>
      <c r="B40" s="67" t="s">
        <v>139</v>
      </c>
      <c r="C40" s="68">
        <v>67</v>
      </c>
      <c r="D40" s="69" t="s">
        <v>35</v>
      </c>
      <c r="E40" s="157">
        <v>417.06</v>
      </c>
      <c r="F40" s="137">
        <f>C40*E40</f>
        <v>27943.02</v>
      </c>
    </row>
    <row r="41" spans="1:6" s="34" customFormat="1" ht="14.45">
      <c r="A41" s="59"/>
      <c r="B41" s="100"/>
      <c r="C41" s="61"/>
      <c r="D41" s="62"/>
      <c r="E41" s="157"/>
      <c r="F41" s="137"/>
    </row>
    <row r="42" spans="1:6" s="34" customFormat="1" ht="14.45">
      <c r="A42" s="66" t="s">
        <v>140</v>
      </c>
      <c r="B42" s="67" t="s">
        <v>141</v>
      </c>
      <c r="C42" s="68">
        <v>46</v>
      </c>
      <c r="D42" s="69" t="s">
        <v>35</v>
      </c>
      <c r="E42" s="157">
        <v>417.06</v>
      </c>
      <c r="F42" s="137">
        <f>C42*E42</f>
        <v>19184.759999999998</v>
      </c>
    </row>
    <row r="43" spans="1:6" s="34" customFormat="1" ht="14.45">
      <c r="A43" s="66"/>
      <c r="B43" s="99"/>
      <c r="C43" s="68"/>
      <c r="D43" s="69"/>
      <c r="E43" s="157"/>
      <c r="F43" s="137"/>
    </row>
    <row r="44" spans="1:6" s="34" customFormat="1" ht="14.45">
      <c r="A44" s="66"/>
      <c r="B44" s="99"/>
      <c r="C44" s="68"/>
      <c r="D44" s="69"/>
      <c r="E44" s="157"/>
      <c r="F44" s="137"/>
    </row>
    <row r="45" spans="1:6" s="34" customFormat="1" ht="14.45">
      <c r="A45" s="66"/>
      <c r="B45" s="99"/>
      <c r="C45" s="68"/>
      <c r="D45" s="69"/>
      <c r="E45" s="157"/>
      <c r="F45" s="137"/>
    </row>
    <row r="46" spans="1:6" s="34" customFormat="1" ht="14.45">
      <c r="A46" s="59"/>
      <c r="B46" s="100"/>
      <c r="C46" s="61"/>
      <c r="D46" s="62"/>
      <c r="E46" s="157"/>
      <c r="F46" s="137"/>
    </row>
    <row r="47" spans="1:6" s="34" customFormat="1" ht="14.45">
      <c r="A47" s="71"/>
      <c r="B47" s="72"/>
      <c r="C47" s="73"/>
      <c r="D47" s="74"/>
      <c r="E47" s="159"/>
      <c r="F47" s="138"/>
    </row>
    <row r="48" spans="1:6" s="34" customFormat="1" ht="14.45">
      <c r="A48" s="75"/>
      <c r="B48" s="76"/>
      <c r="C48" s="77" t="s">
        <v>30</v>
      </c>
      <c r="D48" s="77"/>
      <c r="E48" s="160" t="s">
        <v>8</v>
      </c>
      <c r="F48" s="139">
        <f>SUM(F14:F44)</f>
        <v>534558.73</v>
      </c>
    </row>
    <row r="49" spans="1:6" s="34" customFormat="1" ht="14.45">
      <c r="A49" s="75"/>
      <c r="B49" s="76"/>
      <c r="C49" s="78"/>
      <c r="D49" s="79"/>
      <c r="E49" s="161"/>
      <c r="F49" s="140"/>
    </row>
    <row r="50" spans="1:6" s="34" customFormat="1" ht="14.45">
      <c r="A50" s="31"/>
      <c r="B50" s="101"/>
      <c r="C50" s="29"/>
      <c r="D50" s="33"/>
      <c r="E50" s="157"/>
      <c r="F50" s="137"/>
    </row>
    <row r="51" spans="1:6" s="34" customFormat="1" ht="14.45">
      <c r="A51" s="59"/>
      <c r="B51" s="64" t="s">
        <v>142</v>
      </c>
      <c r="C51" s="61"/>
      <c r="D51" s="62"/>
      <c r="E51" s="157"/>
      <c r="F51" s="137"/>
    </row>
    <row r="52" spans="1:6" s="34" customFormat="1" ht="14.45">
      <c r="A52" s="59"/>
      <c r="B52" s="100"/>
      <c r="C52" s="61"/>
      <c r="D52" s="62"/>
      <c r="E52" s="157"/>
      <c r="F52" s="137"/>
    </row>
    <row r="53" spans="1:6" s="34" customFormat="1" ht="14.45">
      <c r="A53" s="66" t="s">
        <v>14</v>
      </c>
      <c r="B53" s="67" t="s">
        <v>143</v>
      </c>
      <c r="C53" s="68">
        <v>668</v>
      </c>
      <c r="D53" s="69" t="s">
        <v>35</v>
      </c>
      <c r="E53" s="157">
        <v>408.53</v>
      </c>
      <c r="F53" s="137">
        <f>C53*E53</f>
        <v>272898.03999999998</v>
      </c>
    </row>
    <row r="54" spans="1:6" s="34" customFormat="1" ht="12" customHeight="1">
      <c r="A54" s="59"/>
      <c r="B54" s="100"/>
      <c r="C54" s="61"/>
      <c r="D54" s="62"/>
      <c r="E54" s="157"/>
      <c r="F54" s="137"/>
    </row>
    <row r="55" spans="1:6" s="34" customFormat="1" ht="14.45">
      <c r="A55" s="66" t="s">
        <v>17</v>
      </c>
      <c r="B55" s="67" t="s">
        <v>144</v>
      </c>
      <c r="C55" s="68">
        <v>83</v>
      </c>
      <c r="D55" s="69" t="s">
        <v>35</v>
      </c>
      <c r="E55" s="157">
        <v>411.46</v>
      </c>
      <c r="F55" s="137">
        <f>C55*E55</f>
        <v>34151.18</v>
      </c>
    </row>
    <row r="56" spans="1:6" s="34" customFormat="1" ht="12" customHeight="1">
      <c r="A56" s="59"/>
      <c r="B56" s="100"/>
      <c r="C56" s="61"/>
      <c r="D56" s="62"/>
      <c r="E56" s="157"/>
      <c r="F56" s="137"/>
    </row>
    <row r="57" spans="1:6" s="34" customFormat="1" ht="14.45">
      <c r="A57" s="66" t="s">
        <v>20</v>
      </c>
      <c r="B57" s="67" t="s">
        <v>145</v>
      </c>
      <c r="C57" s="68">
        <v>100</v>
      </c>
      <c r="D57" s="69" t="s">
        <v>35</v>
      </c>
      <c r="E57" s="157">
        <v>411.46</v>
      </c>
      <c r="F57" s="137">
        <f>C57*E57</f>
        <v>41146</v>
      </c>
    </row>
    <row r="58" spans="1:6" s="34" customFormat="1" ht="12" customHeight="1">
      <c r="A58" s="59"/>
      <c r="B58" s="100"/>
      <c r="C58" s="61"/>
      <c r="D58" s="62"/>
      <c r="E58" s="157"/>
      <c r="F58" s="137"/>
    </row>
    <row r="59" spans="1:6" s="34" customFormat="1" ht="14.45">
      <c r="A59" s="66" t="s">
        <v>23</v>
      </c>
      <c r="B59" s="67" t="s">
        <v>146</v>
      </c>
      <c r="C59" s="68">
        <v>65</v>
      </c>
      <c r="D59" s="69" t="s">
        <v>35</v>
      </c>
      <c r="E59" s="157">
        <v>411.46</v>
      </c>
      <c r="F59" s="137">
        <f>C59*E59</f>
        <v>26744.899999999998</v>
      </c>
    </row>
    <row r="60" spans="1:6" s="34" customFormat="1" ht="12" customHeight="1">
      <c r="A60" s="59"/>
      <c r="B60" s="100"/>
      <c r="C60" s="61"/>
      <c r="D60" s="62"/>
      <c r="E60" s="157"/>
      <c r="F60" s="137"/>
    </row>
    <row r="61" spans="1:6" s="34" customFormat="1" ht="14.45">
      <c r="A61" s="66" t="s">
        <v>27</v>
      </c>
      <c r="B61" s="67" t="s">
        <v>147</v>
      </c>
      <c r="C61" s="68" t="s">
        <v>39</v>
      </c>
      <c r="D61" s="69" t="s">
        <v>35</v>
      </c>
      <c r="E61" s="157">
        <v>411.46</v>
      </c>
      <c r="F61" s="137">
        <f>C61*E61</f>
        <v>2468.7599999999998</v>
      </c>
    </row>
    <row r="62" spans="1:6" s="34" customFormat="1" ht="12" customHeight="1">
      <c r="A62" s="59"/>
      <c r="B62" s="100"/>
      <c r="C62" s="61"/>
      <c r="D62" s="62"/>
      <c r="E62" s="157"/>
      <c r="F62" s="137"/>
    </row>
    <row r="63" spans="1:6" s="34" customFormat="1" ht="14.45">
      <c r="A63" s="66" t="s">
        <v>44</v>
      </c>
      <c r="B63" s="67" t="s">
        <v>148</v>
      </c>
      <c r="C63" s="68">
        <v>981</v>
      </c>
      <c r="D63" s="69" t="s">
        <v>35</v>
      </c>
      <c r="E63" s="157">
        <v>411.46</v>
      </c>
      <c r="F63" s="137">
        <f>C63*E63</f>
        <v>403642.25999999995</v>
      </c>
    </row>
    <row r="64" spans="1:6" s="34" customFormat="1" ht="12" customHeight="1">
      <c r="A64" s="59"/>
      <c r="B64" s="100"/>
      <c r="C64" s="61"/>
      <c r="D64" s="62"/>
      <c r="E64" s="157"/>
      <c r="F64" s="137"/>
    </row>
    <row r="65" spans="1:6" s="34" customFormat="1" ht="14.45">
      <c r="A65" s="66" t="s">
        <v>48</v>
      </c>
      <c r="B65" s="67" t="s">
        <v>149</v>
      </c>
      <c r="C65" s="68">
        <v>51</v>
      </c>
      <c r="D65" s="69" t="s">
        <v>35</v>
      </c>
      <c r="E65" s="157">
        <v>411.46</v>
      </c>
      <c r="F65" s="137">
        <f>C65*E65</f>
        <v>20984.46</v>
      </c>
    </row>
    <row r="66" spans="1:6" s="34" customFormat="1" ht="12" customHeight="1">
      <c r="A66" s="59"/>
      <c r="B66" s="100"/>
      <c r="C66" s="61"/>
      <c r="D66" s="62"/>
      <c r="E66" s="157"/>
      <c r="F66" s="137"/>
    </row>
    <row r="67" spans="1:6" s="34" customFormat="1" ht="14.45">
      <c r="A67" s="66" t="s">
        <v>84</v>
      </c>
      <c r="B67" s="67" t="s">
        <v>150</v>
      </c>
      <c r="C67" s="68">
        <v>70</v>
      </c>
      <c r="D67" s="69" t="s">
        <v>35</v>
      </c>
      <c r="E67" s="157">
        <v>423.19</v>
      </c>
      <c r="F67" s="137">
        <f>C67*E67</f>
        <v>29623.3</v>
      </c>
    </row>
    <row r="68" spans="1:6" s="34" customFormat="1" ht="12" customHeight="1">
      <c r="A68" s="59"/>
      <c r="B68" s="100"/>
      <c r="C68" s="61"/>
      <c r="D68" s="62"/>
      <c r="E68" s="157"/>
      <c r="F68" s="137"/>
    </row>
    <row r="69" spans="1:6" s="34" customFormat="1" ht="14.45">
      <c r="A69" s="66" t="s">
        <v>86</v>
      </c>
      <c r="B69" s="67" t="s">
        <v>151</v>
      </c>
      <c r="C69" s="68" t="s">
        <v>152</v>
      </c>
      <c r="D69" s="69" t="s">
        <v>35</v>
      </c>
      <c r="E69" s="157">
        <v>408.53</v>
      </c>
      <c r="F69" s="137">
        <f>C69*E69</f>
        <v>817.06</v>
      </c>
    </row>
    <row r="70" spans="1:6" s="34" customFormat="1" ht="12" customHeight="1">
      <c r="A70" s="59"/>
      <c r="B70" s="100"/>
      <c r="C70" s="61"/>
      <c r="D70" s="62"/>
      <c r="E70" s="157"/>
      <c r="F70" s="137"/>
    </row>
    <row r="71" spans="1:6" s="34" customFormat="1" ht="14.45">
      <c r="A71" s="66" t="s">
        <v>90</v>
      </c>
      <c r="B71" s="67" t="s">
        <v>153</v>
      </c>
      <c r="C71" s="68" t="s">
        <v>152</v>
      </c>
      <c r="D71" s="69" t="s">
        <v>35</v>
      </c>
      <c r="E71" s="157">
        <v>421.96</v>
      </c>
      <c r="F71" s="137">
        <f>C71*E71</f>
        <v>843.92</v>
      </c>
    </row>
    <row r="72" spans="1:6" s="34" customFormat="1" ht="12" customHeight="1">
      <c r="A72" s="59"/>
      <c r="B72" s="100"/>
      <c r="C72" s="61"/>
      <c r="D72" s="62"/>
      <c r="E72" s="157"/>
      <c r="F72" s="137"/>
    </row>
    <row r="73" spans="1:6" s="34" customFormat="1" ht="41.45">
      <c r="A73" s="66" t="s">
        <v>92</v>
      </c>
      <c r="B73" s="67" t="s">
        <v>154</v>
      </c>
      <c r="C73" s="68"/>
      <c r="D73" s="69"/>
      <c r="E73" s="157">
        <v>0</v>
      </c>
      <c r="F73" s="217" t="s">
        <v>155</v>
      </c>
    </row>
    <row r="74" spans="1:6" s="34" customFormat="1" ht="12" customHeight="1">
      <c r="A74" s="59"/>
      <c r="B74" s="100"/>
      <c r="C74" s="61"/>
      <c r="D74" s="62"/>
      <c r="E74" s="157"/>
      <c r="F74" s="137"/>
    </row>
    <row r="75" spans="1:6" s="34" customFormat="1" ht="41.45">
      <c r="A75" s="66"/>
      <c r="B75" s="98" t="s">
        <v>156</v>
      </c>
      <c r="C75" s="68"/>
      <c r="D75" s="69"/>
      <c r="E75" s="157"/>
      <c r="F75" s="137"/>
    </row>
    <row r="76" spans="1:6" s="34" customFormat="1" ht="14.45">
      <c r="A76" s="59"/>
      <c r="B76" s="100"/>
      <c r="C76" s="61"/>
      <c r="D76" s="62"/>
      <c r="E76" s="157"/>
      <c r="F76" s="137"/>
    </row>
    <row r="77" spans="1:6" s="34" customFormat="1" ht="14.45">
      <c r="A77" s="66" t="s">
        <v>94</v>
      </c>
      <c r="B77" s="67" t="s">
        <v>157</v>
      </c>
      <c r="C77" s="68">
        <v>7.17</v>
      </c>
      <c r="D77" s="69" t="s">
        <v>76</v>
      </c>
      <c r="E77" s="157">
        <v>4382.1099999999997</v>
      </c>
      <c r="F77" s="137">
        <f>C77*E77</f>
        <v>31419.728699999996</v>
      </c>
    </row>
    <row r="78" spans="1:6" s="34" customFormat="1" ht="14.45">
      <c r="A78" s="59"/>
      <c r="B78" s="100"/>
      <c r="C78" s="61"/>
      <c r="D78" s="62"/>
      <c r="E78" s="157"/>
      <c r="F78" s="137"/>
    </row>
    <row r="79" spans="1:6" s="34" customFormat="1" ht="14.45">
      <c r="A79" s="66" t="s">
        <v>140</v>
      </c>
      <c r="B79" s="67" t="s">
        <v>158</v>
      </c>
      <c r="C79" s="68">
        <v>1.07</v>
      </c>
      <c r="D79" s="69" t="s">
        <v>76</v>
      </c>
      <c r="E79" s="157">
        <v>4382.1099999999997</v>
      </c>
      <c r="F79" s="137">
        <f>C79*E79</f>
        <v>4688.8576999999996</v>
      </c>
    </row>
    <row r="80" spans="1:6" s="34" customFormat="1" ht="14.45">
      <c r="A80" s="59"/>
      <c r="B80" s="100"/>
      <c r="C80" s="61"/>
      <c r="D80" s="62"/>
      <c r="E80" s="157"/>
      <c r="F80" s="137"/>
    </row>
    <row r="81" spans="1:6" s="34" customFormat="1" ht="14.45">
      <c r="A81" s="66" t="s">
        <v>159</v>
      </c>
      <c r="B81" s="67" t="s">
        <v>160</v>
      </c>
      <c r="C81" s="68" t="s">
        <v>161</v>
      </c>
      <c r="D81" s="69" t="s">
        <v>76</v>
      </c>
      <c r="E81" s="157">
        <v>4431.91</v>
      </c>
      <c r="F81" s="137">
        <f>C81*E81</f>
        <v>2437.5505000000003</v>
      </c>
    </row>
    <row r="82" spans="1:6" s="34" customFormat="1" ht="14.45">
      <c r="A82" s="59"/>
      <c r="B82" s="100"/>
      <c r="C82" s="61"/>
      <c r="D82" s="62"/>
      <c r="E82" s="157"/>
      <c r="F82" s="137"/>
    </row>
    <row r="83" spans="1:6" s="34" customFormat="1" ht="14.45">
      <c r="A83" s="66" t="s">
        <v>162</v>
      </c>
      <c r="B83" s="67" t="s">
        <v>163</v>
      </c>
      <c r="C83" s="68">
        <v>15.64</v>
      </c>
      <c r="D83" s="69" t="s">
        <v>76</v>
      </c>
      <c r="E83" s="157">
        <v>4431.91</v>
      </c>
      <c r="F83" s="137">
        <f>C83*E83</f>
        <v>69315.072400000005</v>
      </c>
    </row>
    <row r="84" spans="1:6" s="34" customFormat="1" ht="14.45">
      <c r="A84" s="59"/>
      <c r="B84" s="100"/>
      <c r="C84" s="61"/>
      <c r="D84" s="62"/>
      <c r="E84" s="157"/>
      <c r="F84" s="137"/>
    </row>
    <row r="85" spans="1:6" s="34" customFormat="1" ht="14.45">
      <c r="A85" s="66" t="s">
        <v>164</v>
      </c>
      <c r="B85" s="67" t="s">
        <v>165</v>
      </c>
      <c r="C85" s="68">
        <v>68.349999999999994</v>
      </c>
      <c r="D85" s="69" t="s">
        <v>76</v>
      </c>
      <c r="E85" s="157">
        <v>4382.1099999999997</v>
      </c>
      <c r="F85" s="137">
        <f>C85*E85</f>
        <v>299517.21849999996</v>
      </c>
    </row>
    <row r="86" spans="1:6" s="34" customFormat="1" ht="14.45">
      <c r="A86" s="59"/>
      <c r="B86" s="100"/>
      <c r="C86" s="61"/>
      <c r="D86" s="62"/>
      <c r="E86" s="157"/>
      <c r="F86" s="137"/>
    </row>
    <row r="87" spans="1:6" s="34" customFormat="1" ht="14.45">
      <c r="A87" s="66" t="s">
        <v>166</v>
      </c>
      <c r="B87" s="67" t="s">
        <v>167</v>
      </c>
      <c r="C87" s="68">
        <v>236.73000000000002</v>
      </c>
      <c r="D87" s="69" t="s">
        <v>76</v>
      </c>
      <c r="E87" s="157">
        <v>4431.91</v>
      </c>
      <c r="F87" s="137">
        <f>C87*E87</f>
        <v>1049166.0543</v>
      </c>
    </row>
    <row r="88" spans="1:6" s="34" customFormat="1" ht="14.45">
      <c r="A88" s="59"/>
      <c r="B88" s="100"/>
      <c r="C88" s="61"/>
      <c r="D88" s="62"/>
      <c r="E88" s="157"/>
      <c r="F88" s="137"/>
    </row>
    <row r="89" spans="1:6" s="34" customFormat="1" ht="14.45">
      <c r="A89" s="66" t="s">
        <v>168</v>
      </c>
      <c r="B89" s="67" t="s">
        <v>169</v>
      </c>
      <c r="C89" s="68">
        <v>206.38</v>
      </c>
      <c r="D89" s="69" t="s">
        <v>76</v>
      </c>
      <c r="E89" s="157">
        <v>4431.91</v>
      </c>
      <c r="F89" s="137">
        <f>C89*E89</f>
        <v>914657.5858</v>
      </c>
    </row>
    <row r="90" spans="1:6" s="34" customFormat="1" ht="14.45">
      <c r="A90" s="59"/>
      <c r="B90" s="100"/>
      <c r="C90" s="61"/>
      <c r="D90" s="62"/>
      <c r="E90" s="157"/>
      <c r="F90" s="137"/>
    </row>
    <row r="91" spans="1:6" s="34" customFormat="1" ht="14.45">
      <c r="A91" s="66" t="s">
        <v>170</v>
      </c>
      <c r="B91" s="67" t="s">
        <v>171</v>
      </c>
      <c r="C91" s="68">
        <v>7.6999999999999975</v>
      </c>
      <c r="D91" s="69" t="s">
        <v>76</v>
      </c>
      <c r="E91" s="157">
        <v>4431.91</v>
      </c>
      <c r="F91" s="137">
        <f>C91*E91</f>
        <v>34125.706999999988</v>
      </c>
    </row>
    <row r="92" spans="1:6" s="34" customFormat="1" ht="14.45">
      <c r="A92" s="59"/>
      <c r="B92" s="100"/>
      <c r="C92" s="61"/>
      <c r="D92" s="62"/>
      <c r="E92" s="157"/>
      <c r="F92" s="137"/>
    </row>
    <row r="93" spans="1:6" s="34" customFormat="1" ht="14.45">
      <c r="A93" s="66" t="s">
        <v>172</v>
      </c>
      <c r="B93" s="67" t="s">
        <v>173</v>
      </c>
      <c r="C93" s="68">
        <v>63.269999999999996</v>
      </c>
      <c r="D93" s="69" t="s">
        <v>76</v>
      </c>
      <c r="E93" s="157">
        <v>4431.91</v>
      </c>
      <c r="F93" s="137">
        <f>C93*E93</f>
        <v>280406.94569999998</v>
      </c>
    </row>
    <row r="94" spans="1:6" s="34" customFormat="1" ht="14.45">
      <c r="A94" s="31"/>
      <c r="B94" s="101"/>
      <c r="C94" s="29"/>
      <c r="D94" s="33"/>
      <c r="E94" s="157"/>
      <c r="F94" s="137"/>
    </row>
    <row r="95" spans="1:6" s="34" customFormat="1" ht="14.45">
      <c r="A95" s="71"/>
      <c r="B95" s="72"/>
      <c r="C95" s="73"/>
      <c r="D95" s="74"/>
      <c r="E95" s="159"/>
      <c r="F95" s="138"/>
    </row>
    <row r="96" spans="1:6" s="34" customFormat="1" ht="14.45">
      <c r="A96" s="75"/>
      <c r="B96" s="76"/>
      <c r="C96" s="77" t="s">
        <v>30</v>
      </c>
      <c r="D96" s="77"/>
      <c r="E96" s="160" t="s">
        <v>8</v>
      </c>
      <c r="F96" s="139">
        <f>SUM(F51:F93)</f>
        <v>3519054.6006</v>
      </c>
    </row>
    <row r="97" spans="1:6" s="34" customFormat="1" ht="14.45">
      <c r="A97" s="75"/>
      <c r="B97" s="76"/>
      <c r="C97" s="78"/>
      <c r="D97" s="79"/>
      <c r="E97" s="161"/>
      <c r="F97" s="140"/>
    </row>
    <row r="98" spans="1:6" s="34" customFormat="1" ht="14.45">
      <c r="A98" s="31"/>
      <c r="B98" s="101"/>
      <c r="C98" s="29"/>
      <c r="D98" s="33"/>
      <c r="E98" s="157"/>
      <c r="F98" s="137"/>
    </row>
    <row r="99" spans="1:6" s="34" customFormat="1" ht="14.45">
      <c r="A99" s="59"/>
      <c r="B99" s="64" t="s">
        <v>142</v>
      </c>
      <c r="C99" s="61"/>
      <c r="D99" s="62"/>
      <c r="E99" s="157"/>
      <c r="F99" s="137"/>
    </row>
    <row r="100" spans="1:6" s="34" customFormat="1" ht="14.45">
      <c r="A100" s="59"/>
      <c r="B100" s="100"/>
      <c r="C100" s="61"/>
      <c r="D100" s="62"/>
      <c r="E100" s="157"/>
      <c r="F100" s="137"/>
    </row>
    <row r="101" spans="1:6" s="34" customFormat="1" ht="14.45">
      <c r="A101" s="66" t="s">
        <v>14</v>
      </c>
      <c r="B101" s="67" t="s">
        <v>174</v>
      </c>
      <c r="C101" s="68">
        <v>169.91</v>
      </c>
      <c r="D101" s="69" t="s">
        <v>76</v>
      </c>
      <c r="E101" s="157">
        <v>4431.91</v>
      </c>
      <c r="F101" s="137">
        <f>C101*E101</f>
        <v>753025.82809999993</v>
      </c>
    </row>
    <row r="102" spans="1:6" s="34" customFormat="1" ht="14.45">
      <c r="A102" s="59"/>
      <c r="B102" s="100"/>
      <c r="C102" s="61"/>
      <c r="D102" s="62"/>
      <c r="E102" s="157"/>
      <c r="F102" s="137"/>
    </row>
    <row r="103" spans="1:6" s="34" customFormat="1" ht="14.45">
      <c r="A103" s="66" t="s">
        <v>17</v>
      </c>
      <c r="B103" s="67" t="s">
        <v>175</v>
      </c>
      <c r="C103" s="68">
        <v>12.64</v>
      </c>
      <c r="D103" s="69" t="s">
        <v>76</v>
      </c>
      <c r="E103" s="157">
        <v>4465.1099999999997</v>
      </c>
      <c r="F103" s="137">
        <f>C103*E103</f>
        <v>56438.990399999995</v>
      </c>
    </row>
    <row r="104" spans="1:6" s="34" customFormat="1" ht="14.45">
      <c r="A104" s="59"/>
      <c r="B104" s="100"/>
      <c r="C104" s="61"/>
      <c r="D104" s="62"/>
      <c r="E104" s="157"/>
      <c r="F104" s="137"/>
    </row>
    <row r="105" spans="1:6" s="34" customFormat="1" ht="14.45">
      <c r="A105" s="66" t="s">
        <v>20</v>
      </c>
      <c r="B105" s="67" t="s">
        <v>176</v>
      </c>
      <c r="C105" s="68" t="s">
        <v>177</v>
      </c>
      <c r="D105" s="69" t="s">
        <v>76</v>
      </c>
      <c r="E105" s="157">
        <v>4431.91</v>
      </c>
      <c r="F105" s="137">
        <f>C105*E105</f>
        <v>1019.3393</v>
      </c>
    </row>
    <row r="106" spans="1:6" s="34" customFormat="1" ht="14.45">
      <c r="A106" s="59"/>
      <c r="B106" s="100"/>
      <c r="C106" s="61"/>
      <c r="D106" s="62"/>
      <c r="E106" s="157"/>
      <c r="F106" s="137"/>
    </row>
    <row r="107" spans="1:6" s="34" customFormat="1" ht="41.45">
      <c r="A107" s="66" t="s">
        <v>23</v>
      </c>
      <c r="B107" s="67" t="s">
        <v>178</v>
      </c>
      <c r="C107" s="68"/>
      <c r="D107" s="69"/>
      <c r="E107" s="157">
        <v>0</v>
      </c>
      <c r="F107" s="217" t="s">
        <v>155</v>
      </c>
    </row>
    <row r="108" spans="1:6" s="34" customFormat="1" ht="14.45">
      <c r="A108" s="59"/>
      <c r="B108" s="100"/>
      <c r="C108" s="61"/>
      <c r="D108" s="62"/>
      <c r="E108" s="157"/>
      <c r="F108" s="137"/>
    </row>
    <row r="109" spans="1:6" s="34" customFormat="1" ht="27.6">
      <c r="A109" s="66"/>
      <c r="B109" s="98" t="s">
        <v>179</v>
      </c>
      <c r="C109" s="68"/>
      <c r="D109" s="69"/>
      <c r="E109" s="157"/>
      <c r="F109" s="137"/>
    </row>
    <row r="110" spans="1:6" s="34" customFormat="1" ht="14.45">
      <c r="A110" s="59"/>
      <c r="B110" s="100"/>
      <c r="C110" s="61"/>
      <c r="D110" s="62"/>
      <c r="E110" s="157"/>
      <c r="F110" s="137"/>
    </row>
    <row r="111" spans="1:6" s="34" customFormat="1" ht="14.45">
      <c r="A111" s="66" t="s">
        <v>27</v>
      </c>
      <c r="B111" s="67" t="s">
        <v>180</v>
      </c>
      <c r="C111" s="68">
        <v>107</v>
      </c>
      <c r="D111" s="69" t="s">
        <v>16</v>
      </c>
      <c r="E111" s="157">
        <v>169.41</v>
      </c>
      <c r="F111" s="137">
        <f>C111*E111</f>
        <v>18126.87</v>
      </c>
    </row>
    <row r="112" spans="1:6" s="34" customFormat="1" ht="14.45">
      <c r="A112" s="59"/>
      <c r="B112" s="100"/>
      <c r="C112" s="61"/>
      <c r="D112" s="62"/>
      <c r="E112" s="157"/>
      <c r="F112" s="137"/>
    </row>
    <row r="113" spans="1:6" s="34" customFormat="1" ht="14.45">
      <c r="A113" s="66" t="s">
        <v>44</v>
      </c>
      <c r="B113" s="67" t="s">
        <v>181</v>
      </c>
      <c r="C113" s="68">
        <v>19</v>
      </c>
      <c r="D113" s="69" t="s">
        <v>16</v>
      </c>
      <c r="E113" s="157">
        <v>123.25</v>
      </c>
      <c r="F113" s="137">
        <f>C113*E113</f>
        <v>2341.75</v>
      </c>
    </row>
    <row r="114" spans="1:6" s="34" customFormat="1" ht="14.45">
      <c r="A114" s="59"/>
      <c r="B114" s="100"/>
      <c r="C114" s="61"/>
      <c r="D114" s="62"/>
      <c r="E114" s="157"/>
      <c r="F114" s="137"/>
    </row>
    <row r="115" spans="1:6" s="34" customFormat="1" ht="14.45">
      <c r="A115" s="66" t="s">
        <v>48</v>
      </c>
      <c r="B115" s="67" t="s">
        <v>182</v>
      </c>
      <c r="C115" s="68">
        <v>247</v>
      </c>
      <c r="D115" s="69" t="s">
        <v>16</v>
      </c>
      <c r="E115" s="157">
        <v>123.25</v>
      </c>
      <c r="F115" s="137">
        <f>C115*E115</f>
        <v>30442.75</v>
      </c>
    </row>
    <row r="116" spans="1:6" s="34" customFormat="1" ht="14.45">
      <c r="A116" s="59"/>
      <c r="B116" s="100"/>
      <c r="C116" s="61"/>
      <c r="D116" s="62"/>
      <c r="E116" s="157"/>
      <c r="F116" s="137"/>
    </row>
    <row r="117" spans="1:6" s="34" customFormat="1" ht="14.45">
      <c r="A117" s="66" t="s">
        <v>84</v>
      </c>
      <c r="B117" s="67" t="s">
        <v>183</v>
      </c>
      <c r="C117" s="68">
        <v>3177</v>
      </c>
      <c r="D117" s="69" t="s">
        <v>16</v>
      </c>
      <c r="E117" s="157">
        <v>135.71</v>
      </c>
      <c r="F117" s="137">
        <f>C117*E117</f>
        <v>431150.67000000004</v>
      </c>
    </row>
    <row r="118" spans="1:6" s="34" customFormat="1" ht="14.45">
      <c r="A118" s="59"/>
      <c r="B118" s="100"/>
      <c r="C118" s="61"/>
      <c r="D118" s="62"/>
      <c r="E118" s="157"/>
      <c r="F118" s="137"/>
    </row>
    <row r="119" spans="1:6" s="34" customFormat="1" ht="14.45">
      <c r="A119" s="66" t="s">
        <v>86</v>
      </c>
      <c r="B119" s="67" t="s">
        <v>184</v>
      </c>
      <c r="C119" s="68">
        <v>3032</v>
      </c>
      <c r="D119" s="69" t="s">
        <v>16</v>
      </c>
      <c r="E119" s="157">
        <v>148.36000000000001</v>
      </c>
      <c r="F119" s="137">
        <f>C119*E119</f>
        <v>449827.52</v>
      </c>
    </row>
    <row r="120" spans="1:6" s="34" customFormat="1" ht="14.45">
      <c r="A120" s="59"/>
      <c r="B120" s="100"/>
      <c r="C120" s="61"/>
      <c r="D120" s="62"/>
      <c r="E120" s="157"/>
      <c r="F120" s="137"/>
    </row>
    <row r="121" spans="1:6" s="34" customFormat="1" ht="14.45">
      <c r="A121" s="66" t="s">
        <v>90</v>
      </c>
      <c r="B121" s="67" t="s">
        <v>185</v>
      </c>
      <c r="C121" s="68">
        <v>987</v>
      </c>
      <c r="D121" s="69" t="s">
        <v>16</v>
      </c>
      <c r="E121" s="157">
        <v>150.18</v>
      </c>
      <c r="F121" s="137">
        <f>C121*E121</f>
        <v>148227.66</v>
      </c>
    </row>
    <row r="122" spans="1:6" s="34" customFormat="1" ht="14.45">
      <c r="A122" s="59"/>
      <c r="B122" s="100"/>
      <c r="C122" s="61"/>
      <c r="D122" s="62"/>
      <c r="E122" s="157"/>
      <c r="F122" s="137"/>
    </row>
    <row r="123" spans="1:6" s="34" customFormat="1" ht="14.45">
      <c r="A123" s="66" t="s">
        <v>92</v>
      </c>
      <c r="B123" s="67" t="s">
        <v>186</v>
      </c>
      <c r="C123" s="68">
        <v>512</v>
      </c>
      <c r="D123" s="69" t="s">
        <v>16</v>
      </c>
      <c r="E123" s="157">
        <v>138.34</v>
      </c>
      <c r="F123" s="137">
        <f>C123*E123</f>
        <v>70830.080000000002</v>
      </c>
    </row>
    <row r="124" spans="1:6" s="34" customFormat="1" ht="14.45">
      <c r="A124" s="59"/>
      <c r="B124" s="100"/>
      <c r="C124" s="61"/>
      <c r="D124" s="62"/>
      <c r="E124" s="157"/>
      <c r="F124" s="137"/>
    </row>
    <row r="125" spans="1:6" s="34" customFormat="1" ht="14.45">
      <c r="A125" s="66" t="s">
        <v>94</v>
      </c>
      <c r="B125" s="67" t="s">
        <v>187</v>
      </c>
      <c r="C125" s="68">
        <v>289</v>
      </c>
      <c r="D125" s="69" t="s">
        <v>16</v>
      </c>
      <c r="E125" s="157">
        <v>236.5</v>
      </c>
      <c r="F125" s="137">
        <f>C125*E125</f>
        <v>68348.5</v>
      </c>
    </row>
    <row r="126" spans="1:6" s="34" customFormat="1" ht="14.45">
      <c r="A126" s="59"/>
      <c r="B126" s="100"/>
      <c r="C126" s="61"/>
      <c r="D126" s="62"/>
      <c r="E126" s="157"/>
      <c r="F126" s="137"/>
    </row>
    <row r="127" spans="1:6" s="34" customFormat="1" ht="14.45">
      <c r="A127" s="66" t="s">
        <v>140</v>
      </c>
      <c r="B127" s="67" t="s">
        <v>188</v>
      </c>
      <c r="C127" s="68">
        <v>7746</v>
      </c>
      <c r="D127" s="69" t="s">
        <v>16</v>
      </c>
      <c r="E127" s="157">
        <v>153.13</v>
      </c>
      <c r="F127" s="137">
        <f>C127*E127</f>
        <v>1186144.98</v>
      </c>
    </row>
    <row r="128" spans="1:6" s="34" customFormat="1" ht="14.45">
      <c r="A128" s="59"/>
      <c r="B128" s="100"/>
      <c r="C128" s="61"/>
      <c r="D128" s="62"/>
      <c r="E128" s="157"/>
      <c r="F128" s="137"/>
    </row>
    <row r="129" spans="1:6" s="34" customFormat="1" ht="14.45">
      <c r="A129" s="66" t="s">
        <v>159</v>
      </c>
      <c r="B129" s="67" t="s">
        <v>189</v>
      </c>
      <c r="C129" s="68" t="s">
        <v>190</v>
      </c>
      <c r="D129" s="69" t="s">
        <v>16</v>
      </c>
      <c r="E129" s="157">
        <v>148.36000000000001</v>
      </c>
      <c r="F129" s="137">
        <f>C129*E129</f>
        <v>1631.96</v>
      </c>
    </row>
    <row r="130" spans="1:6" s="34" customFormat="1" ht="14.45">
      <c r="A130" s="59"/>
      <c r="B130" s="100"/>
      <c r="C130" s="61"/>
      <c r="D130" s="62"/>
      <c r="E130" s="157"/>
      <c r="F130" s="137"/>
    </row>
    <row r="131" spans="1:6" s="34" customFormat="1" ht="14.45">
      <c r="A131" s="66" t="s">
        <v>162</v>
      </c>
      <c r="B131" s="67" t="s">
        <v>191</v>
      </c>
      <c r="C131" s="68" t="s">
        <v>88</v>
      </c>
      <c r="D131" s="69" t="s">
        <v>16</v>
      </c>
      <c r="E131" s="157">
        <v>150.18</v>
      </c>
      <c r="F131" s="137">
        <f>C131*E131</f>
        <v>2102.52</v>
      </c>
    </row>
    <row r="132" spans="1:6" s="34" customFormat="1" ht="14.45">
      <c r="A132" s="59"/>
      <c r="B132" s="100"/>
      <c r="C132" s="61"/>
      <c r="D132" s="62"/>
      <c r="E132" s="157"/>
      <c r="F132" s="137"/>
    </row>
    <row r="133" spans="1:6" s="34" customFormat="1" ht="41.45">
      <c r="A133" s="66" t="s">
        <v>164</v>
      </c>
      <c r="B133" s="67" t="s">
        <v>192</v>
      </c>
      <c r="C133" s="68"/>
      <c r="D133" s="69"/>
      <c r="E133" s="157">
        <v>0</v>
      </c>
      <c r="F133" s="217" t="s">
        <v>155</v>
      </c>
    </row>
    <row r="134" spans="1:6" s="34" customFormat="1" ht="14.45">
      <c r="A134" s="59"/>
      <c r="B134" s="100"/>
      <c r="C134" s="61"/>
      <c r="D134" s="62"/>
      <c r="E134" s="157"/>
      <c r="F134" s="137"/>
    </row>
    <row r="135" spans="1:6" s="34" customFormat="1" ht="14.45">
      <c r="A135" s="66" t="s">
        <v>166</v>
      </c>
      <c r="B135" s="67" t="s">
        <v>193</v>
      </c>
      <c r="C135" s="68">
        <v>410</v>
      </c>
      <c r="D135" s="69" t="s">
        <v>16</v>
      </c>
      <c r="E135" s="157">
        <v>148.33000000000001</v>
      </c>
      <c r="F135" s="137">
        <f>C135*E135</f>
        <v>60815.3</v>
      </c>
    </row>
    <row r="136" spans="1:6" s="34" customFormat="1" ht="14.45">
      <c r="A136" s="31"/>
      <c r="B136" s="101"/>
      <c r="C136" s="29"/>
      <c r="D136" s="33"/>
      <c r="E136" s="157"/>
      <c r="F136" s="137"/>
    </row>
    <row r="137" spans="1:6" s="34" customFormat="1" ht="14.45">
      <c r="A137" s="31"/>
      <c r="B137" s="101"/>
      <c r="C137" s="29"/>
      <c r="D137" s="33"/>
      <c r="E137" s="157"/>
      <c r="F137" s="137"/>
    </row>
    <row r="138" spans="1:6" s="34" customFormat="1" ht="14.45">
      <c r="A138" s="31"/>
      <c r="B138" s="101"/>
      <c r="C138" s="29"/>
      <c r="D138" s="33"/>
      <c r="E138" s="157"/>
      <c r="F138" s="137"/>
    </row>
    <row r="139" spans="1:6" s="34" customFormat="1" ht="14.45">
      <c r="A139" s="31"/>
      <c r="B139" s="101"/>
      <c r="C139" s="29"/>
      <c r="D139" s="33"/>
      <c r="E139" s="157"/>
      <c r="F139" s="137"/>
    </row>
    <row r="140" spans="1:6" s="34" customFormat="1" ht="14.45">
      <c r="A140" s="31"/>
      <c r="B140" s="101"/>
      <c r="C140" s="29"/>
      <c r="D140" s="33"/>
      <c r="E140" s="157"/>
      <c r="F140" s="137"/>
    </row>
    <row r="141" spans="1:6" s="34" customFormat="1" ht="14.45">
      <c r="A141" s="31"/>
      <c r="B141" s="101"/>
      <c r="C141" s="29"/>
      <c r="D141" s="33"/>
      <c r="E141" s="157"/>
      <c r="F141" s="137"/>
    </row>
    <row r="142" spans="1:6" s="34" customFormat="1" ht="14.45">
      <c r="A142" s="71"/>
      <c r="B142" s="72"/>
      <c r="C142" s="73"/>
      <c r="D142" s="74"/>
      <c r="E142" s="159"/>
      <c r="F142" s="138"/>
    </row>
    <row r="143" spans="1:6" s="34" customFormat="1" ht="14.45">
      <c r="A143" s="75"/>
      <c r="B143" s="76"/>
      <c r="C143" s="77" t="s">
        <v>30</v>
      </c>
      <c r="D143" s="77"/>
      <c r="E143" s="160" t="s">
        <v>8</v>
      </c>
      <c r="F143" s="139">
        <f>SUM(F99:F137)</f>
        <v>3280474.7177999998</v>
      </c>
    </row>
    <row r="144" spans="1:6" s="34" customFormat="1" ht="14.45">
      <c r="A144" s="75"/>
      <c r="B144" s="76"/>
      <c r="C144" s="78"/>
      <c r="D144" s="79"/>
      <c r="E144" s="161"/>
      <c r="F144" s="140"/>
    </row>
    <row r="145" spans="1:6" s="34" customFormat="1" ht="14.45">
      <c r="A145" s="31"/>
      <c r="B145" s="101"/>
      <c r="C145" s="29"/>
      <c r="D145" s="33"/>
      <c r="E145" s="157"/>
      <c r="F145" s="137"/>
    </row>
    <row r="146" spans="1:6" s="34" customFormat="1" ht="14.45">
      <c r="A146" s="59"/>
      <c r="B146" s="64" t="s">
        <v>142</v>
      </c>
      <c r="C146" s="61"/>
      <c r="D146" s="62"/>
      <c r="E146" s="157"/>
      <c r="F146" s="137"/>
    </row>
    <row r="147" spans="1:6" s="34" customFormat="1" ht="14.45">
      <c r="A147" s="59"/>
      <c r="B147" s="103"/>
      <c r="C147" s="61"/>
      <c r="D147" s="62"/>
      <c r="E147" s="157"/>
      <c r="F147" s="137"/>
    </row>
    <row r="148" spans="1:6" s="34" customFormat="1" ht="27.6">
      <c r="A148" s="66"/>
      <c r="B148" s="98" t="s">
        <v>194</v>
      </c>
      <c r="C148" s="68"/>
      <c r="D148" s="69"/>
      <c r="E148" s="157"/>
      <c r="F148" s="137"/>
    </row>
    <row r="149" spans="1:6" s="34" customFormat="1" ht="14.45">
      <c r="A149" s="59"/>
      <c r="B149" s="100"/>
      <c r="C149" s="61"/>
      <c r="D149" s="62"/>
      <c r="E149" s="157"/>
      <c r="F149" s="137"/>
    </row>
    <row r="150" spans="1:6" s="34" customFormat="1" ht="14.45">
      <c r="A150" s="66" t="s">
        <v>14</v>
      </c>
      <c r="B150" s="67" t="s">
        <v>195</v>
      </c>
      <c r="C150" s="68">
        <v>5294</v>
      </c>
      <c r="D150" s="69" t="s">
        <v>16</v>
      </c>
      <c r="E150" s="157">
        <v>287.49</v>
      </c>
      <c r="F150" s="137">
        <f>C150*E150</f>
        <v>1521972.06</v>
      </c>
    </row>
    <row r="151" spans="1:6" s="34" customFormat="1" ht="14.45">
      <c r="A151" s="59"/>
      <c r="B151" s="100"/>
      <c r="C151" s="61"/>
      <c r="D151" s="62"/>
      <c r="E151" s="157"/>
      <c r="F151" s="137"/>
    </row>
    <row r="152" spans="1:6" s="34" customFormat="1" ht="14.45">
      <c r="A152" s="66" t="s">
        <v>17</v>
      </c>
      <c r="B152" s="67" t="s">
        <v>196</v>
      </c>
      <c r="C152" s="68">
        <v>516</v>
      </c>
      <c r="D152" s="69" t="s">
        <v>16</v>
      </c>
      <c r="E152" s="157">
        <v>287.49</v>
      </c>
      <c r="F152" s="137">
        <f>C152*E152</f>
        <v>148344.84</v>
      </c>
    </row>
    <row r="153" spans="1:6" s="34" customFormat="1" ht="14.45">
      <c r="A153" s="59"/>
      <c r="B153" s="100"/>
      <c r="C153" s="61"/>
      <c r="D153" s="62"/>
      <c r="E153" s="157"/>
      <c r="F153" s="137"/>
    </row>
    <row r="154" spans="1:6" s="34" customFormat="1" ht="14.45">
      <c r="A154" s="66" t="s">
        <v>20</v>
      </c>
      <c r="B154" s="67" t="s">
        <v>197</v>
      </c>
      <c r="C154" s="68">
        <v>10</v>
      </c>
      <c r="D154" s="69" t="s">
        <v>16</v>
      </c>
      <c r="E154" s="157">
        <v>1648.23</v>
      </c>
      <c r="F154" s="137">
        <f>C154*E154</f>
        <v>16482.3</v>
      </c>
    </row>
    <row r="155" spans="1:6" s="34" customFormat="1" ht="14.45">
      <c r="A155" s="59"/>
      <c r="B155" s="100"/>
      <c r="C155" s="61"/>
      <c r="D155" s="62"/>
      <c r="E155" s="157"/>
      <c r="F155" s="137"/>
    </row>
    <row r="156" spans="1:6" s="34" customFormat="1" ht="14.45">
      <c r="A156" s="66" t="s">
        <v>23</v>
      </c>
      <c r="B156" s="67" t="s">
        <v>198</v>
      </c>
      <c r="C156" s="68">
        <v>110</v>
      </c>
      <c r="D156" s="69" t="s">
        <v>199</v>
      </c>
      <c r="E156" s="157">
        <v>606.28</v>
      </c>
      <c r="F156" s="137">
        <f>C156*E156</f>
        <v>66690.8</v>
      </c>
    </row>
    <row r="157" spans="1:6" s="34" customFormat="1" ht="14.45">
      <c r="A157" s="59"/>
      <c r="B157" s="100"/>
      <c r="C157" s="61"/>
      <c r="D157" s="62"/>
      <c r="E157" s="157"/>
      <c r="F157" s="137"/>
    </row>
    <row r="158" spans="1:6" s="34" customFormat="1" ht="14.45">
      <c r="A158" s="66" t="s">
        <v>27</v>
      </c>
      <c r="B158" s="67" t="s">
        <v>200</v>
      </c>
      <c r="C158" s="68">
        <v>25</v>
      </c>
      <c r="D158" s="69" t="s">
        <v>199</v>
      </c>
      <c r="E158" s="157">
        <v>728.91</v>
      </c>
      <c r="F158" s="137">
        <f>C158*E158</f>
        <v>18222.75</v>
      </c>
    </row>
    <row r="159" spans="1:6" s="34" customFormat="1" ht="14.45">
      <c r="A159" s="59"/>
      <c r="B159" s="100"/>
      <c r="C159" s="61"/>
      <c r="D159" s="62"/>
      <c r="E159" s="157"/>
      <c r="F159" s="137"/>
    </row>
    <row r="160" spans="1:6" s="34" customFormat="1" ht="14.45">
      <c r="A160" s="66" t="s">
        <v>44</v>
      </c>
      <c r="B160" s="67" t="s">
        <v>201</v>
      </c>
      <c r="C160" s="68">
        <v>7</v>
      </c>
      <c r="D160" s="69" t="s">
        <v>199</v>
      </c>
      <c r="E160" s="157">
        <v>1211.3800000000001</v>
      </c>
      <c r="F160" s="137">
        <f>C160*E160</f>
        <v>8479.66</v>
      </c>
    </row>
    <row r="161" spans="1:6" s="34" customFormat="1" ht="14.45">
      <c r="A161" s="59"/>
      <c r="B161" s="100"/>
      <c r="C161" s="61"/>
      <c r="D161" s="62"/>
      <c r="E161" s="157"/>
      <c r="F161" s="137"/>
    </row>
    <row r="162" spans="1:6" s="34" customFormat="1" ht="14.45">
      <c r="A162" s="66" t="s">
        <v>48</v>
      </c>
      <c r="B162" s="67" t="s">
        <v>202</v>
      </c>
      <c r="C162" s="68">
        <v>6</v>
      </c>
      <c r="D162" s="69" t="s">
        <v>199</v>
      </c>
      <c r="E162" s="157">
        <v>1456.64</v>
      </c>
      <c r="F162" s="137">
        <f>C162*E162</f>
        <v>8739.84</v>
      </c>
    </row>
    <row r="163" spans="1:6" s="34" customFormat="1" ht="14.45">
      <c r="A163" s="31"/>
      <c r="B163" s="101"/>
      <c r="C163" s="29"/>
      <c r="D163" s="33"/>
      <c r="E163" s="157"/>
      <c r="F163" s="137"/>
    </row>
    <row r="164" spans="1:6" s="34" customFormat="1" ht="14.45">
      <c r="A164" s="31"/>
      <c r="B164" s="101"/>
      <c r="C164" s="29"/>
      <c r="D164" s="33"/>
      <c r="E164" s="157"/>
      <c r="F164" s="137"/>
    </row>
    <row r="165" spans="1:6" s="34" customFormat="1" ht="14.45">
      <c r="A165" s="31"/>
      <c r="B165" s="101"/>
      <c r="C165" s="29"/>
      <c r="D165" s="33"/>
      <c r="E165" s="157"/>
      <c r="F165" s="137"/>
    </row>
    <row r="166" spans="1:6" s="34" customFormat="1" ht="14.45">
      <c r="A166" s="31"/>
      <c r="B166" s="101"/>
      <c r="C166" s="29"/>
      <c r="D166" s="33"/>
      <c r="E166" s="157"/>
      <c r="F166" s="137"/>
    </row>
    <row r="167" spans="1:6" s="34" customFormat="1" ht="14.45">
      <c r="A167" s="31"/>
      <c r="B167" s="101"/>
      <c r="C167" s="29"/>
      <c r="D167" s="33"/>
      <c r="E167" s="157"/>
      <c r="F167" s="137"/>
    </row>
    <row r="168" spans="1:6" s="34" customFormat="1" ht="14.45">
      <c r="A168" s="31"/>
      <c r="B168" s="101"/>
      <c r="C168" s="29"/>
      <c r="D168" s="33"/>
      <c r="E168" s="157"/>
      <c r="F168" s="137"/>
    </row>
    <row r="169" spans="1:6" s="34" customFormat="1" ht="14.45">
      <c r="A169" s="31"/>
      <c r="B169" s="101"/>
      <c r="C169" s="29"/>
      <c r="D169" s="33"/>
      <c r="E169" s="157"/>
      <c r="F169" s="137"/>
    </row>
    <row r="170" spans="1:6" s="34" customFormat="1" ht="14.45">
      <c r="A170" s="31"/>
      <c r="B170" s="101"/>
      <c r="C170" s="29"/>
      <c r="D170" s="33"/>
      <c r="E170" s="157"/>
      <c r="F170" s="137"/>
    </row>
    <row r="171" spans="1:6" s="34" customFormat="1" ht="14.45">
      <c r="A171" s="31"/>
      <c r="B171" s="101"/>
      <c r="C171" s="29"/>
      <c r="D171" s="33"/>
      <c r="E171" s="157"/>
      <c r="F171" s="137"/>
    </row>
    <row r="172" spans="1:6" s="34" customFormat="1" ht="14.45">
      <c r="A172" s="31"/>
      <c r="B172" s="101"/>
      <c r="C172" s="29"/>
      <c r="D172" s="33"/>
      <c r="E172" s="157"/>
      <c r="F172" s="137"/>
    </row>
    <row r="173" spans="1:6" s="34" customFormat="1" ht="14.45">
      <c r="A173" s="31"/>
      <c r="B173" s="101"/>
      <c r="C173" s="29"/>
      <c r="D173" s="33"/>
      <c r="E173" s="157"/>
      <c r="F173" s="137"/>
    </row>
    <row r="174" spans="1:6" s="34" customFormat="1" ht="14.45">
      <c r="A174" s="31"/>
      <c r="B174" s="101"/>
      <c r="C174" s="29"/>
      <c r="D174" s="33"/>
      <c r="E174" s="157"/>
      <c r="F174" s="137"/>
    </row>
    <row r="175" spans="1:6" s="34" customFormat="1" ht="14.45">
      <c r="A175" s="31"/>
      <c r="B175" s="101"/>
      <c r="C175" s="29"/>
      <c r="D175" s="33"/>
      <c r="E175" s="157"/>
      <c r="F175" s="137"/>
    </row>
    <row r="176" spans="1:6" s="34" customFormat="1" ht="14.45">
      <c r="A176" s="31"/>
      <c r="B176" s="101"/>
      <c r="C176" s="29"/>
      <c r="D176" s="33"/>
      <c r="E176" s="157"/>
      <c r="F176" s="137"/>
    </row>
    <row r="177" spans="1:6" s="34" customFormat="1" ht="14.45">
      <c r="A177" s="31"/>
      <c r="B177" s="101"/>
      <c r="C177" s="29"/>
      <c r="D177" s="33"/>
      <c r="E177" s="157"/>
      <c r="F177" s="137"/>
    </row>
    <row r="178" spans="1:6" s="34" customFormat="1" ht="14.45">
      <c r="A178" s="31"/>
      <c r="B178" s="101"/>
      <c r="C178" s="29"/>
      <c r="D178" s="33"/>
      <c r="E178" s="157"/>
      <c r="F178" s="137"/>
    </row>
    <row r="179" spans="1:6" s="34" customFormat="1" ht="14.45">
      <c r="A179" s="31"/>
      <c r="B179" s="101"/>
      <c r="C179" s="29"/>
      <c r="D179" s="33"/>
      <c r="E179" s="157"/>
      <c r="F179" s="137"/>
    </row>
    <row r="180" spans="1:6" s="34" customFormat="1" ht="14.45">
      <c r="A180" s="31"/>
      <c r="B180" s="101"/>
      <c r="C180" s="29"/>
      <c r="D180" s="33"/>
      <c r="E180" s="157"/>
      <c r="F180" s="137"/>
    </row>
    <row r="181" spans="1:6" s="34" customFormat="1" ht="14.45">
      <c r="A181" s="31"/>
      <c r="B181" s="101"/>
      <c r="C181" s="29"/>
      <c r="D181" s="33"/>
      <c r="E181" s="157"/>
      <c r="F181" s="137"/>
    </row>
    <row r="182" spans="1:6" s="34" customFormat="1" ht="14.45">
      <c r="A182" s="31"/>
      <c r="B182" s="101"/>
      <c r="C182" s="29"/>
      <c r="D182" s="33"/>
      <c r="E182" s="157"/>
      <c r="F182" s="137"/>
    </row>
    <row r="183" spans="1:6" s="34" customFormat="1" ht="14.45">
      <c r="A183" s="31"/>
      <c r="B183" s="101"/>
      <c r="C183" s="29"/>
      <c r="D183" s="33"/>
      <c r="E183" s="157"/>
      <c r="F183" s="137"/>
    </row>
    <row r="184" spans="1:6" s="34" customFormat="1" ht="14.45">
      <c r="A184" s="31"/>
      <c r="B184" s="101"/>
      <c r="C184" s="29"/>
      <c r="D184" s="33"/>
      <c r="E184" s="157"/>
      <c r="F184" s="137"/>
    </row>
    <row r="185" spans="1:6" s="34" customFormat="1" ht="14.45">
      <c r="A185" s="31"/>
      <c r="B185" s="101"/>
      <c r="C185" s="29"/>
      <c r="D185" s="33"/>
      <c r="E185" s="157"/>
      <c r="F185" s="137"/>
    </row>
    <row r="186" spans="1:6" s="34" customFormat="1" ht="14.45">
      <c r="A186" s="31"/>
      <c r="B186" s="101"/>
      <c r="C186" s="29"/>
      <c r="D186" s="33"/>
      <c r="E186" s="157"/>
      <c r="F186" s="137"/>
    </row>
    <row r="187" spans="1:6" s="34" customFormat="1" ht="14.45">
      <c r="A187" s="31"/>
      <c r="B187" s="101"/>
      <c r="C187" s="29"/>
      <c r="D187" s="33"/>
      <c r="E187" s="157"/>
      <c r="F187" s="137"/>
    </row>
    <row r="188" spans="1:6" s="34" customFormat="1" ht="14.45">
      <c r="A188" s="31"/>
      <c r="B188" s="101"/>
      <c r="C188" s="29"/>
      <c r="D188" s="33"/>
      <c r="E188" s="157"/>
      <c r="F188" s="137"/>
    </row>
    <row r="189" spans="1:6" s="34" customFormat="1" ht="14.45">
      <c r="A189" s="71"/>
      <c r="B189" s="72"/>
      <c r="C189" s="73"/>
      <c r="D189" s="74"/>
      <c r="E189" s="159"/>
      <c r="F189" s="138"/>
    </row>
    <row r="190" spans="1:6" s="34" customFormat="1" ht="14.45">
      <c r="A190" s="75"/>
      <c r="B190" s="76"/>
      <c r="C190" s="77" t="s">
        <v>30</v>
      </c>
      <c r="D190" s="77"/>
      <c r="E190" s="160" t="s">
        <v>8</v>
      </c>
      <c r="F190" s="139">
        <f>SUM(F148:F170)</f>
        <v>1788932.2500000002</v>
      </c>
    </row>
    <row r="191" spans="1:6" s="34" customFormat="1" ht="14.45">
      <c r="A191" s="75"/>
      <c r="B191" s="76"/>
      <c r="C191" s="78"/>
      <c r="D191" s="79"/>
      <c r="E191" s="161"/>
      <c r="F191" s="140"/>
    </row>
    <row r="192" spans="1:6" s="34" customFormat="1" ht="14.45">
      <c r="A192" s="31"/>
      <c r="B192" s="101"/>
      <c r="C192" s="29"/>
      <c r="D192" s="33"/>
      <c r="E192" s="157"/>
      <c r="F192" s="137"/>
    </row>
    <row r="193" spans="1:6" s="34" customFormat="1" ht="14.45">
      <c r="A193" s="59"/>
      <c r="B193" s="64" t="s">
        <v>203</v>
      </c>
      <c r="C193" s="61"/>
      <c r="D193" s="62"/>
      <c r="E193" s="157"/>
      <c r="F193" s="137"/>
    </row>
    <row r="194" spans="1:6" s="34" customFormat="1" ht="14.45">
      <c r="A194" s="59"/>
      <c r="B194" s="100"/>
      <c r="C194" s="61"/>
      <c r="D194" s="62"/>
      <c r="E194" s="157"/>
      <c r="F194" s="137"/>
    </row>
    <row r="195" spans="1:6" s="34" customFormat="1" ht="27.6">
      <c r="A195" s="66"/>
      <c r="B195" s="98" t="s">
        <v>204</v>
      </c>
      <c r="C195" s="68"/>
      <c r="D195" s="69"/>
      <c r="E195" s="157"/>
      <c r="F195" s="137"/>
    </row>
    <row r="196" spans="1:6" s="34" customFormat="1" ht="14.45">
      <c r="A196" s="59"/>
      <c r="B196" s="100"/>
      <c r="C196" s="61"/>
      <c r="D196" s="62"/>
      <c r="E196" s="157"/>
      <c r="F196" s="137"/>
    </row>
    <row r="197" spans="1:6" s="34" customFormat="1" ht="14.45">
      <c r="A197" s="66" t="s">
        <v>14</v>
      </c>
      <c r="B197" s="67" t="s">
        <v>205</v>
      </c>
      <c r="C197" s="68">
        <v>151</v>
      </c>
      <c r="D197" s="69" t="s">
        <v>16</v>
      </c>
      <c r="E197" s="157">
        <v>93.5</v>
      </c>
      <c r="F197" s="137">
        <f>C197*E197</f>
        <v>14118.5</v>
      </c>
    </row>
    <row r="198" spans="1:6" s="34" customFormat="1" ht="14.45">
      <c r="A198" s="59"/>
      <c r="B198" s="100"/>
      <c r="C198" s="61"/>
      <c r="D198" s="62"/>
      <c r="E198" s="157"/>
      <c r="F198" s="137"/>
    </row>
    <row r="199" spans="1:6" s="34" customFormat="1" ht="14.45">
      <c r="A199" s="66" t="s">
        <v>17</v>
      </c>
      <c r="B199" s="67" t="s">
        <v>206</v>
      </c>
      <c r="C199" s="68">
        <v>114</v>
      </c>
      <c r="D199" s="69" t="s">
        <v>16</v>
      </c>
      <c r="E199" s="157">
        <v>233.76</v>
      </c>
      <c r="F199" s="137">
        <f>C199*E199</f>
        <v>26648.639999999999</v>
      </c>
    </row>
    <row r="200" spans="1:6" s="34" customFormat="1" ht="14.45">
      <c r="A200" s="59"/>
      <c r="B200" s="100"/>
      <c r="C200" s="61"/>
      <c r="D200" s="62"/>
      <c r="E200" s="157"/>
      <c r="F200" s="137"/>
    </row>
    <row r="201" spans="1:6" s="34" customFormat="1" ht="14.45">
      <c r="A201" s="66" t="s">
        <v>20</v>
      </c>
      <c r="B201" s="67" t="s">
        <v>207</v>
      </c>
      <c r="C201" s="68" t="s">
        <v>152</v>
      </c>
      <c r="D201" s="69" t="s">
        <v>16</v>
      </c>
      <c r="E201" s="157">
        <v>280.51</v>
      </c>
      <c r="F201" s="137">
        <f>C201*E201</f>
        <v>561.02</v>
      </c>
    </row>
    <row r="202" spans="1:6" s="34" customFormat="1" ht="14.45">
      <c r="A202" s="59"/>
      <c r="B202" s="100"/>
      <c r="C202" s="61"/>
      <c r="D202" s="62"/>
      <c r="E202" s="157"/>
      <c r="F202" s="137"/>
    </row>
    <row r="203" spans="1:6" s="34" customFormat="1" ht="14.45">
      <c r="A203" s="66" t="s">
        <v>23</v>
      </c>
      <c r="B203" s="67" t="s">
        <v>208</v>
      </c>
      <c r="C203" s="68">
        <v>26</v>
      </c>
      <c r="D203" s="69" t="s">
        <v>35</v>
      </c>
      <c r="E203" s="157">
        <v>563.21</v>
      </c>
      <c r="F203" s="137">
        <f>C203*E203</f>
        <v>14643.460000000001</v>
      </c>
    </row>
    <row r="204" spans="1:6" s="34" customFormat="1" ht="14.45">
      <c r="A204" s="31"/>
      <c r="B204" s="101"/>
      <c r="C204" s="29"/>
      <c r="D204" s="33"/>
      <c r="E204" s="157"/>
      <c r="F204" s="137"/>
    </row>
    <row r="205" spans="1:6" s="34" customFormat="1" ht="14.45">
      <c r="A205" s="31"/>
      <c r="B205" s="101"/>
      <c r="C205" s="29"/>
      <c r="D205" s="33"/>
      <c r="E205" s="157"/>
      <c r="F205" s="137"/>
    </row>
    <row r="206" spans="1:6" s="34" customFormat="1" ht="14.45">
      <c r="A206" s="31"/>
      <c r="B206" s="101"/>
      <c r="C206" s="29"/>
      <c r="D206" s="33"/>
      <c r="E206" s="157"/>
      <c r="F206" s="137"/>
    </row>
    <row r="207" spans="1:6" s="34" customFormat="1" ht="14.45">
      <c r="A207" s="31"/>
      <c r="B207" s="101"/>
      <c r="C207" s="29"/>
      <c r="D207" s="33"/>
      <c r="E207" s="157"/>
      <c r="F207" s="137"/>
    </row>
    <row r="208" spans="1:6" s="34" customFormat="1" ht="14.45">
      <c r="A208" s="31"/>
      <c r="B208" s="101"/>
      <c r="C208" s="29"/>
      <c r="D208" s="33"/>
      <c r="E208" s="157"/>
      <c r="F208" s="137"/>
    </row>
    <row r="209" spans="1:6" s="34" customFormat="1" ht="14.45">
      <c r="A209" s="31"/>
      <c r="B209" s="101"/>
      <c r="C209" s="29"/>
      <c r="D209" s="33"/>
      <c r="E209" s="157"/>
      <c r="F209" s="137"/>
    </row>
    <row r="210" spans="1:6" s="34" customFormat="1" ht="14.45">
      <c r="A210" s="31"/>
      <c r="B210" s="101"/>
      <c r="C210" s="29"/>
      <c r="D210" s="33"/>
      <c r="E210" s="157"/>
      <c r="F210" s="137"/>
    </row>
    <row r="211" spans="1:6" s="34" customFormat="1" ht="14.45">
      <c r="A211" s="31"/>
      <c r="B211" s="101"/>
      <c r="C211" s="29"/>
      <c r="D211" s="33"/>
      <c r="E211" s="157"/>
      <c r="F211" s="137"/>
    </row>
    <row r="212" spans="1:6" s="34" customFormat="1" ht="14.45">
      <c r="A212" s="31"/>
      <c r="B212" s="101"/>
      <c r="C212" s="29"/>
      <c r="D212" s="33"/>
      <c r="E212" s="157"/>
      <c r="F212" s="137"/>
    </row>
    <row r="213" spans="1:6" s="34" customFormat="1" ht="14.45">
      <c r="A213" s="31"/>
      <c r="B213" s="101"/>
      <c r="C213" s="29"/>
      <c r="D213" s="33"/>
      <c r="E213" s="157"/>
      <c r="F213" s="137"/>
    </row>
    <row r="214" spans="1:6" s="34" customFormat="1" ht="14.45">
      <c r="A214" s="31"/>
      <c r="B214" s="101"/>
      <c r="C214" s="29"/>
      <c r="D214" s="33"/>
      <c r="E214" s="157"/>
      <c r="F214" s="137"/>
    </row>
    <row r="215" spans="1:6" s="34" customFormat="1" ht="14.45">
      <c r="A215" s="31"/>
      <c r="B215" s="101"/>
      <c r="C215" s="29"/>
      <c r="D215" s="33"/>
      <c r="E215" s="157"/>
      <c r="F215" s="137"/>
    </row>
    <row r="216" spans="1:6" s="34" customFormat="1" ht="14.45">
      <c r="A216" s="31"/>
      <c r="B216" s="101"/>
      <c r="C216" s="29"/>
      <c r="D216" s="33"/>
      <c r="E216" s="157"/>
      <c r="F216" s="137"/>
    </row>
    <row r="217" spans="1:6" s="34" customFormat="1" ht="14.45">
      <c r="A217" s="31"/>
      <c r="B217" s="101"/>
      <c r="C217" s="29"/>
      <c r="D217" s="33"/>
      <c r="E217" s="157"/>
      <c r="F217" s="137"/>
    </row>
    <row r="218" spans="1:6" s="34" customFormat="1" ht="14.45">
      <c r="A218" s="31"/>
      <c r="B218" s="101"/>
      <c r="C218" s="29"/>
      <c r="D218" s="33"/>
      <c r="E218" s="157"/>
      <c r="F218" s="137"/>
    </row>
    <row r="219" spans="1:6" s="34" customFormat="1" ht="14.45">
      <c r="A219" s="31"/>
      <c r="B219" s="101"/>
      <c r="C219" s="29"/>
      <c r="D219" s="33"/>
      <c r="E219" s="157"/>
      <c r="F219" s="137"/>
    </row>
    <row r="220" spans="1:6" s="34" customFormat="1" ht="14.45">
      <c r="A220" s="31"/>
      <c r="B220" s="101"/>
      <c r="C220" s="29"/>
      <c r="D220" s="33"/>
      <c r="E220" s="157"/>
      <c r="F220" s="137"/>
    </row>
    <row r="221" spans="1:6" s="34" customFormat="1" ht="14.45">
      <c r="A221" s="31"/>
      <c r="B221" s="101"/>
      <c r="C221" s="29"/>
      <c r="D221" s="33"/>
      <c r="E221" s="157"/>
      <c r="F221" s="137"/>
    </row>
    <row r="222" spans="1:6" s="34" customFormat="1" ht="14.45">
      <c r="A222" s="31"/>
      <c r="B222" s="101"/>
      <c r="C222" s="29"/>
      <c r="D222" s="33"/>
      <c r="E222" s="157"/>
      <c r="F222" s="137"/>
    </row>
    <row r="223" spans="1:6" s="34" customFormat="1" ht="14.45">
      <c r="A223" s="31"/>
      <c r="B223" s="101"/>
      <c r="C223" s="29"/>
      <c r="D223" s="33"/>
      <c r="E223" s="157"/>
      <c r="F223" s="137"/>
    </row>
    <row r="224" spans="1:6" s="34" customFormat="1" ht="14.45">
      <c r="A224" s="31"/>
      <c r="B224" s="101"/>
      <c r="C224" s="29"/>
      <c r="D224" s="33"/>
      <c r="E224" s="157"/>
      <c r="F224" s="137"/>
    </row>
    <row r="225" spans="1:6" s="34" customFormat="1" ht="14.45">
      <c r="A225" s="31"/>
      <c r="B225" s="101"/>
      <c r="C225" s="29"/>
      <c r="D225" s="33"/>
      <c r="E225" s="157"/>
      <c r="F225" s="137"/>
    </row>
    <row r="226" spans="1:6" s="34" customFormat="1" ht="14.45">
      <c r="A226" s="31"/>
      <c r="B226" s="101"/>
      <c r="C226" s="29"/>
      <c r="D226" s="33"/>
      <c r="E226" s="157"/>
      <c r="F226" s="137"/>
    </row>
    <row r="227" spans="1:6" s="34" customFormat="1" ht="14.45">
      <c r="A227" s="31"/>
      <c r="B227" s="101"/>
      <c r="C227" s="29"/>
      <c r="D227" s="33"/>
      <c r="E227" s="157"/>
      <c r="F227" s="137"/>
    </row>
    <row r="228" spans="1:6" s="34" customFormat="1" ht="14.45">
      <c r="A228" s="31"/>
      <c r="B228" s="101"/>
      <c r="C228" s="29"/>
      <c r="D228" s="33"/>
      <c r="E228" s="157"/>
      <c r="F228" s="137"/>
    </row>
    <row r="229" spans="1:6" s="34" customFormat="1" ht="14.45">
      <c r="A229" s="31"/>
      <c r="B229" s="101"/>
      <c r="C229" s="29"/>
      <c r="D229" s="33"/>
      <c r="E229" s="157"/>
      <c r="F229" s="137"/>
    </row>
    <row r="230" spans="1:6" s="34" customFormat="1" ht="14.45">
      <c r="A230" s="31"/>
      <c r="B230" s="101"/>
      <c r="C230" s="29"/>
      <c r="D230" s="33"/>
      <c r="E230" s="157"/>
      <c r="F230" s="137"/>
    </row>
    <row r="231" spans="1:6" s="34" customFormat="1" ht="14.45">
      <c r="A231" s="31"/>
      <c r="B231" s="101"/>
      <c r="C231" s="29"/>
      <c r="D231" s="33"/>
      <c r="E231" s="157"/>
      <c r="F231" s="137"/>
    </row>
    <row r="232" spans="1:6" s="34" customFormat="1" ht="14.45">
      <c r="A232" s="31"/>
      <c r="B232" s="101"/>
      <c r="C232" s="29"/>
      <c r="D232" s="33"/>
      <c r="E232" s="157"/>
      <c r="F232" s="137"/>
    </row>
    <row r="233" spans="1:6" s="34" customFormat="1" ht="14.45">
      <c r="A233" s="31"/>
      <c r="B233" s="101"/>
      <c r="C233" s="29"/>
      <c r="D233" s="33"/>
      <c r="E233" s="157"/>
      <c r="F233" s="137"/>
    </row>
    <row r="234" spans="1:6" s="34" customFormat="1" ht="14.45">
      <c r="A234" s="31"/>
      <c r="B234" s="101"/>
      <c r="C234" s="29"/>
      <c r="D234" s="33"/>
      <c r="E234" s="157"/>
      <c r="F234" s="137"/>
    </row>
    <row r="235" spans="1:6" s="34" customFormat="1" ht="14.45">
      <c r="A235" s="31"/>
      <c r="B235" s="101"/>
      <c r="C235" s="29"/>
      <c r="D235" s="33"/>
      <c r="E235" s="157"/>
      <c r="F235" s="137"/>
    </row>
    <row r="236" spans="1:6" s="34" customFormat="1" ht="14.45">
      <c r="A236" s="71"/>
      <c r="B236" s="72"/>
      <c r="C236" s="73"/>
      <c r="D236" s="74"/>
      <c r="E236" s="159"/>
      <c r="F236" s="138"/>
    </row>
    <row r="237" spans="1:6" s="34" customFormat="1" ht="14.45">
      <c r="A237" s="75"/>
      <c r="B237" s="76"/>
      <c r="C237" s="77" t="s">
        <v>30</v>
      </c>
      <c r="D237" s="77"/>
      <c r="E237" s="160" t="s">
        <v>8</v>
      </c>
      <c r="F237" s="139">
        <f>SUM(F195:F212)</f>
        <v>55971.619999999995</v>
      </c>
    </row>
    <row r="238" spans="1:6" s="34" customFormat="1" ht="14.45">
      <c r="A238" s="75"/>
      <c r="B238" s="76"/>
      <c r="C238" s="78"/>
      <c r="D238" s="79"/>
      <c r="E238" s="161"/>
      <c r="F238" s="140"/>
    </row>
    <row r="239" spans="1:6" s="34" customFormat="1" ht="14.45">
      <c r="A239" s="31"/>
      <c r="B239" s="101"/>
      <c r="C239" s="29"/>
      <c r="D239" s="33"/>
      <c r="E239" s="157"/>
      <c r="F239" s="137"/>
    </row>
    <row r="240" spans="1:6" s="34" customFormat="1" ht="14.45">
      <c r="A240" s="59"/>
      <c r="B240" s="64" t="s">
        <v>105</v>
      </c>
      <c r="C240" s="61"/>
      <c r="D240" s="62"/>
      <c r="E240" s="157"/>
      <c r="F240" s="137"/>
    </row>
    <row r="241" spans="1:6" s="34" customFormat="1" ht="14.45">
      <c r="A241" s="59"/>
      <c r="B241" s="103"/>
      <c r="C241" s="61"/>
      <c r="D241" s="62"/>
      <c r="E241" s="157"/>
      <c r="F241" s="137"/>
    </row>
    <row r="242" spans="1:6" s="34" customFormat="1" ht="69">
      <c r="A242" s="66" t="s">
        <v>14</v>
      </c>
      <c r="B242" s="67" t="s">
        <v>209</v>
      </c>
      <c r="C242" s="68"/>
      <c r="D242" s="69" t="s">
        <v>2</v>
      </c>
      <c r="E242" s="157"/>
      <c r="F242" s="137">
        <f>C242*E242</f>
        <v>0</v>
      </c>
    </row>
    <row r="243" spans="1:6" s="34" customFormat="1" ht="14.45">
      <c r="A243" s="42"/>
      <c r="B243" s="104"/>
      <c r="C243" s="40"/>
      <c r="D243" s="44"/>
      <c r="E243" s="157"/>
      <c r="F243" s="137"/>
    </row>
    <row r="244" spans="1:6" s="34" customFormat="1" ht="14.45">
      <c r="A244" s="42" t="s">
        <v>210</v>
      </c>
      <c r="B244" s="43" t="s">
        <v>211</v>
      </c>
      <c r="C244" s="40"/>
      <c r="D244" s="44"/>
      <c r="E244" s="157"/>
      <c r="F244" s="137"/>
    </row>
    <row r="245" spans="1:6" s="34" customFormat="1" ht="14.45">
      <c r="A245" s="42"/>
      <c r="B245" s="43"/>
      <c r="C245" s="40"/>
      <c r="D245" s="44"/>
      <c r="E245" s="157"/>
      <c r="F245" s="137"/>
    </row>
    <row r="246" spans="1:6" s="34" customFormat="1" ht="27.6">
      <c r="A246" s="42" t="s">
        <v>17</v>
      </c>
      <c r="B246" s="43" t="s">
        <v>212</v>
      </c>
      <c r="C246" s="40">
        <v>166</v>
      </c>
      <c r="D246" s="44" t="s">
        <v>16</v>
      </c>
      <c r="E246" s="157">
        <v>33.380000000000003</v>
      </c>
      <c r="F246" s="137">
        <f>+C246*E246</f>
        <v>5541.0800000000008</v>
      </c>
    </row>
    <row r="247" spans="1:6" s="34" customFormat="1" ht="14.45">
      <c r="A247" s="42"/>
      <c r="B247" s="43"/>
      <c r="C247" s="40"/>
      <c r="D247" s="44"/>
      <c r="E247" s="157"/>
      <c r="F247" s="137"/>
    </row>
    <row r="248" spans="1:6" s="34" customFormat="1" ht="14.45">
      <c r="A248" s="42" t="s">
        <v>210</v>
      </c>
      <c r="B248" s="43" t="s">
        <v>213</v>
      </c>
      <c r="C248" s="40"/>
      <c r="D248" s="44"/>
      <c r="E248" s="157"/>
      <c r="F248" s="137"/>
    </row>
    <row r="249" spans="1:6" s="34" customFormat="1" ht="14.45">
      <c r="A249" s="42"/>
      <c r="B249" s="43"/>
      <c r="C249" s="40"/>
      <c r="D249" s="44"/>
      <c r="E249" s="157"/>
      <c r="F249" s="137"/>
    </row>
    <row r="250" spans="1:6" s="34" customFormat="1" ht="27.6">
      <c r="A250" s="280" t="s">
        <v>20</v>
      </c>
      <c r="B250" s="281" t="s">
        <v>214</v>
      </c>
      <c r="C250" s="309">
        <v>1</v>
      </c>
      <c r="D250" s="282" t="s">
        <v>215</v>
      </c>
      <c r="E250" s="283"/>
      <c r="F250" s="284">
        <f>+C250*E250</f>
        <v>0</v>
      </c>
    </row>
    <row r="251" spans="1:6" s="34" customFormat="1" ht="14.45">
      <c r="A251" s="42"/>
      <c r="B251" s="104"/>
      <c r="C251" s="40"/>
      <c r="D251" s="44"/>
      <c r="E251" s="157"/>
      <c r="F251" s="137"/>
    </row>
    <row r="252" spans="1:6" s="34" customFormat="1" ht="14.45">
      <c r="A252" s="42"/>
      <c r="B252" s="104"/>
      <c r="C252" s="40"/>
      <c r="D252" s="44"/>
      <c r="E252" s="157"/>
      <c r="F252" s="137"/>
    </row>
    <row r="253" spans="1:6" s="34" customFormat="1" ht="14.45">
      <c r="A253" s="42"/>
      <c r="B253" s="43"/>
      <c r="C253" s="40"/>
      <c r="D253" s="44"/>
      <c r="E253" s="157"/>
      <c r="F253" s="137"/>
    </row>
    <row r="254" spans="1:6" s="245" customFormat="1" ht="14.45">
      <c r="A254" s="246"/>
      <c r="B254" s="247"/>
      <c r="C254" s="310"/>
      <c r="D254" s="248"/>
      <c r="E254" s="244"/>
      <c r="F254" s="217"/>
    </row>
    <row r="255" spans="1:6" s="245" customFormat="1" ht="14.45">
      <c r="A255" s="246"/>
      <c r="B255" s="247"/>
      <c r="C255" s="310"/>
      <c r="D255" s="248"/>
      <c r="E255" s="244"/>
      <c r="F255" s="217"/>
    </row>
    <row r="256" spans="1:6" s="34" customFormat="1" ht="14.45">
      <c r="A256" s="42"/>
      <c r="B256" s="104"/>
      <c r="C256" s="40"/>
      <c r="D256" s="44"/>
      <c r="E256" s="157"/>
      <c r="F256" s="137"/>
    </row>
    <row r="257" spans="1:6" s="34" customFormat="1" ht="14.45">
      <c r="A257" s="42"/>
      <c r="B257" s="104"/>
      <c r="C257" s="40"/>
      <c r="D257" s="44"/>
      <c r="E257" s="157"/>
      <c r="F257" s="137"/>
    </row>
    <row r="258" spans="1:6" s="34" customFormat="1" ht="14.45">
      <c r="A258" s="42"/>
      <c r="B258" s="104"/>
      <c r="C258" s="40"/>
      <c r="D258" s="44"/>
      <c r="E258" s="157"/>
      <c r="F258" s="137"/>
    </row>
    <row r="259" spans="1:6" s="34" customFormat="1" ht="14.45">
      <c r="A259" s="42"/>
      <c r="B259" s="104"/>
      <c r="C259" s="40"/>
      <c r="D259" s="44"/>
      <c r="E259" s="157"/>
      <c r="F259" s="137"/>
    </row>
    <row r="260" spans="1:6" s="34" customFormat="1" ht="14.45">
      <c r="A260" s="42"/>
      <c r="B260" s="104"/>
      <c r="C260" s="40"/>
      <c r="D260" s="44"/>
      <c r="E260" s="157"/>
      <c r="F260" s="137"/>
    </row>
    <row r="261" spans="1:6" s="34" customFormat="1" ht="14.45">
      <c r="A261" s="42"/>
      <c r="B261" s="104"/>
      <c r="C261" s="40"/>
      <c r="D261" s="44"/>
      <c r="E261" s="157"/>
      <c r="F261" s="137"/>
    </row>
    <row r="262" spans="1:6" s="34" customFormat="1" ht="14.45">
      <c r="A262" s="42"/>
      <c r="B262" s="104"/>
      <c r="C262" s="40"/>
      <c r="D262" s="44"/>
      <c r="E262" s="157"/>
      <c r="F262" s="137"/>
    </row>
    <row r="263" spans="1:6" s="34" customFormat="1" ht="14.45">
      <c r="A263" s="42"/>
      <c r="B263" s="104"/>
      <c r="C263" s="40"/>
      <c r="D263" s="44"/>
      <c r="E263" s="157"/>
      <c r="F263" s="137"/>
    </row>
    <row r="264" spans="1:6" s="34" customFormat="1" ht="14.45">
      <c r="A264" s="42"/>
      <c r="B264" s="104"/>
      <c r="C264" s="40"/>
      <c r="D264" s="44"/>
      <c r="E264" s="157"/>
      <c r="F264" s="137"/>
    </row>
    <row r="265" spans="1:6" s="34" customFormat="1" ht="14.45">
      <c r="A265" s="42"/>
      <c r="B265" s="104"/>
      <c r="C265" s="40"/>
      <c r="D265" s="44"/>
      <c r="E265" s="157"/>
      <c r="F265" s="137"/>
    </row>
    <row r="266" spans="1:6" s="34" customFormat="1" ht="14.45">
      <c r="A266" s="42"/>
      <c r="B266" s="104"/>
      <c r="C266" s="40"/>
      <c r="D266" s="44"/>
      <c r="E266" s="157"/>
      <c r="F266" s="137"/>
    </row>
    <row r="267" spans="1:6" s="34" customFormat="1" ht="14.45">
      <c r="A267" s="42"/>
      <c r="B267" s="104"/>
      <c r="C267" s="40"/>
      <c r="D267" s="44"/>
      <c r="E267" s="157"/>
      <c r="F267" s="137"/>
    </row>
    <row r="268" spans="1:6" s="34" customFormat="1" ht="14.45">
      <c r="A268" s="42"/>
      <c r="B268" s="104"/>
      <c r="C268" s="40"/>
      <c r="D268" s="44"/>
      <c r="E268" s="157"/>
      <c r="F268" s="137"/>
    </row>
    <row r="269" spans="1:6" s="34" customFormat="1" ht="14.45">
      <c r="A269" s="42"/>
      <c r="B269" s="104"/>
      <c r="C269" s="40"/>
      <c r="D269" s="44"/>
      <c r="E269" s="157"/>
      <c r="F269" s="137"/>
    </row>
    <row r="270" spans="1:6" s="34" customFormat="1" ht="14.45">
      <c r="A270" s="42"/>
      <c r="B270" s="104"/>
      <c r="C270" s="40"/>
      <c r="D270" s="44"/>
      <c r="E270" s="157"/>
      <c r="F270" s="137"/>
    </row>
    <row r="271" spans="1:6" s="34" customFormat="1" ht="14.45">
      <c r="A271" s="42"/>
      <c r="B271" s="104"/>
      <c r="C271" s="40"/>
      <c r="D271" s="44"/>
      <c r="E271" s="157"/>
      <c r="F271" s="137"/>
    </row>
    <row r="272" spans="1:6" s="34" customFormat="1" ht="14.45">
      <c r="A272" s="42"/>
      <c r="B272" s="104"/>
      <c r="C272" s="40"/>
      <c r="D272" s="44"/>
      <c r="E272" s="157"/>
      <c r="F272" s="137"/>
    </row>
    <row r="273" spans="1:6" s="34" customFormat="1" ht="14.45">
      <c r="A273" s="42"/>
      <c r="B273" s="104"/>
      <c r="C273" s="40"/>
      <c r="D273" s="44"/>
      <c r="E273" s="157"/>
      <c r="F273" s="137"/>
    </row>
    <row r="274" spans="1:6" s="34" customFormat="1" ht="14.45">
      <c r="A274" s="42"/>
      <c r="B274" s="104"/>
      <c r="C274" s="40"/>
      <c r="D274" s="44"/>
      <c r="E274" s="157"/>
      <c r="F274" s="137"/>
    </row>
    <row r="275" spans="1:6" s="34" customFormat="1" ht="14.45">
      <c r="A275" s="42"/>
      <c r="B275" s="104"/>
      <c r="C275" s="40"/>
      <c r="D275" s="44"/>
      <c r="E275" s="157"/>
      <c r="F275" s="137"/>
    </row>
    <row r="276" spans="1:6" s="34" customFormat="1" ht="14.45">
      <c r="A276" s="42"/>
      <c r="B276" s="104"/>
      <c r="C276" s="40"/>
      <c r="D276" s="44"/>
      <c r="E276" s="157"/>
      <c r="F276" s="137"/>
    </row>
    <row r="277" spans="1:6" s="34" customFormat="1" ht="14.45">
      <c r="A277" s="42"/>
      <c r="B277" s="104"/>
      <c r="C277" s="40"/>
      <c r="D277" s="44"/>
      <c r="E277" s="157"/>
      <c r="F277" s="137"/>
    </row>
    <row r="278" spans="1:6" s="34" customFormat="1" ht="14.45">
      <c r="A278" s="42"/>
      <c r="B278" s="43"/>
      <c r="C278" s="40"/>
      <c r="D278" s="44"/>
      <c r="E278" s="157"/>
      <c r="F278" s="137"/>
    </row>
    <row r="279" spans="1:6" s="34" customFormat="1" ht="14.45">
      <c r="A279" s="42"/>
      <c r="B279" s="43"/>
      <c r="C279" s="40"/>
      <c r="D279" s="44"/>
      <c r="E279" s="157"/>
      <c r="F279" s="137"/>
    </row>
    <row r="280" spans="1:6" s="34" customFormat="1" ht="14.45">
      <c r="A280" s="71"/>
      <c r="B280" s="72"/>
      <c r="C280" s="73"/>
      <c r="D280" s="74"/>
      <c r="E280" s="159"/>
      <c r="F280" s="138"/>
    </row>
    <row r="281" spans="1:6" s="34" customFormat="1" ht="14.45">
      <c r="A281" s="75"/>
      <c r="B281" s="76"/>
      <c r="C281" s="77" t="s">
        <v>30</v>
      </c>
      <c r="D281" s="77"/>
      <c r="E281" s="160" t="s">
        <v>8</v>
      </c>
      <c r="F281" s="139">
        <f>SUM(F242:F255)</f>
        <v>5541.0800000000008</v>
      </c>
    </row>
    <row r="282" spans="1:6" s="34" customFormat="1" ht="14.45">
      <c r="A282" s="75"/>
      <c r="B282" s="76"/>
      <c r="C282" s="78"/>
      <c r="D282" s="79"/>
      <c r="E282" s="161"/>
      <c r="F282" s="140"/>
    </row>
    <row r="283" spans="1:6" s="34" customFormat="1" ht="14.45">
      <c r="A283" s="31"/>
      <c r="B283" s="32"/>
      <c r="C283" s="29"/>
      <c r="D283" s="33"/>
      <c r="E283" s="157"/>
      <c r="F283" s="137"/>
    </row>
    <row r="284" spans="1:6" s="34" customFormat="1" ht="14.45">
      <c r="A284" s="31"/>
      <c r="B284" s="38" t="s">
        <v>109</v>
      </c>
      <c r="C284" s="29"/>
      <c r="D284" s="33"/>
      <c r="E284" s="157"/>
      <c r="F284" s="137"/>
    </row>
    <row r="285" spans="1:6" s="34" customFormat="1" ht="14.45">
      <c r="A285" s="31"/>
      <c r="B285" s="32"/>
      <c r="C285" s="29"/>
      <c r="D285" s="33"/>
      <c r="E285" s="157"/>
      <c r="F285" s="137"/>
    </row>
    <row r="286" spans="1:6" s="34" customFormat="1" ht="14.45">
      <c r="A286" s="31"/>
      <c r="B286" s="39" t="s">
        <v>216</v>
      </c>
      <c r="C286" s="29"/>
      <c r="D286" s="33"/>
      <c r="E286" s="157"/>
      <c r="F286" s="137">
        <f>F48</f>
        <v>534558.73</v>
      </c>
    </row>
    <row r="287" spans="1:6" s="34" customFormat="1" ht="14.45">
      <c r="A287" s="31"/>
      <c r="B287" s="32"/>
      <c r="C287" s="29"/>
      <c r="D287" s="33"/>
      <c r="E287" s="157"/>
      <c r="F287" s="137"/>
    </row>
    <row r="288" spans="1:6" s="34" customFormat="1" ht="14.45">
      <c r="A288" s="31"/>
      <c r="B288" s="39" t="s">
        <v>217</v>
      </c>
      <c r="C288" s="29"/>
      <c r="D288" s="33"/>
      <c r="E288" s="157"/>
      <c r="F288" s="137">
        <f>F96</f>
        <v>3519054.6006</v>
      </c>
    </row>
    <row r="289" spans="1:6" s="34" customFormat="1" ht="14.45">
      <c r="A289" s="31"/>
      <c r="B289" s="32"/>
      <c r="C289" s="29"/>
      <c r="D289" s="33"/>
      <c r="E289" s="157"/>
      <c r="F289" s="137"/>
    </row>
    <row r="290" spans="1:6" s="34" customFormat="1" ht="14.45">
      <c r="A290" s="31"/>
      <c r="B290" s="39" t="s">
        <v>218</v>
      </c>
      <c r="C290" s="29"/>
      <c r="D290" s="33"/>
      <c r="E290" s="157"/>
      <c r="F290" s="137">
        <f>F143</f>
        <v>3280474.7177999998</v>
      </c>
    </row>
    <row r="291" spans="1:6" s="34" customFormat="1" ht="14.45">
      <c r="A291" s="31"/>
      <c r="B291" s="32"/>
      <c r="C291" s="29"/>
      <c r="D291" s="33"/>
      <c r="E291" s="157"/>
      <c r="F291" s="137"/>
    </row>
    <row r="292" spans="1:6" s="34" customFormat="1" ht="14.45">
      <c r="A292" s="31"/>
      <c r="B292" s="39" t="s">
        <v>219</v>
      </c>
      <c r="C292" s="29"/>
      <c r="D292" s="33"/>
      <c r="E292" s="157"/>
      <c r="F292" s="137">
        <f>F190</f>
        <v>1788932.2500000002</v>
      </c>
    </row>
    <row r="293" spans="1:6" s="34" customFormat="1" ht="14.45">
      <c r="A293" s="31"/>
      <c r="B293" s="32"/>
      <c r="C293" s="29"/>
      <c r="D293" s="33"/>
      <c r="E293" s="157"/>
      <c r="F293" s="137"/>
    </row>
    <row r="294" spans="1:6" s="34" customFormat="1" ht="14.45">
      <c r="A294" s="31"/>
      <c r="B294" s="39" t="s">
        <v>220</v>
      </c>
      <c r="C294" s="29"/>
      <c r="D294" s="33"/>
      <c r="E294" s="157"/>
      <c r="F294" s="137">
        <f>F237</f>
        <v>55971.619999999995</v>
      </c>
    </row>
    <row r="295" spans="1:6" s="34" customFormat="1" ht="14.45">
      <c r="A295" s="31"/>
      <c r="B295" s="32"/>
      <c r="C295" s="29"/>
      <c r="D295" s="33"/>
      <c r="E295" s="157"/>
      <c r="F295" s="137"/>
    </row>
    <row r="296" spans="1:6" s="34" customFormat="1" ht="14.45">
      <c r="A296" s="31"/>
      <c r="B296" s="39" t="s">
        <v>221</v>
      </c>
      <c r="C296" s="29"/>
      <c r="D296" s="33"/>
      <c r="E296" s="157"/>
      <c r="F296" s="137">
        <f>F281</f>
        <v>5541.0800000000008</v>
      </c>
    </row>
    <row r="297" spans="1:6" s="34" customFormat="1" ht="14.45">
      <c r="A297" s="31"/>
      <c r="B297" s="32"/>
      <c r="C297" s="29"/>
      <c r="D297" s="33"/>
      <c r="E297" s="157"/>
      <c r="F297" s="137"/>
    </row>
    <row r="298" spans="1:6" s="34" customFormat="1" ht="14.45">
      <c r="A298" s="31"/>
      <c r="B298" s="39"/>
      <c r="C298" s="29"/>
      <c r="D298" s="33"/>
      <c r="E298" s="157"/>
      <c r="F298" s="137"/>
    </row>
    <row r="299" spans="1:6" s="34" customFormat="1" ht="14.45">
      <c r="A299" s="31"/>
      <c r="B299" s="32"/>
      <c r="C299" s="29"/>
      <c r="D299" s="33"/>
      <c r="E299" s="157"/>
      <c r="F299" s="137"/>
    </row>
    <row r="300" spans="1:6" s="34" customFormat="1" ht="14.45">
      <c r="A300" s="31"/>
      <c r="B300" s="39"/>
      <c r="C300" s="29"/>
      <c r="D300" s="33"/>
      <c r="E300" s="157"/>
      <c r="F300" s="137"/>
    </row>
    <row r="301" spans="1:6" s="34" customFormat="1" ht="14.45">
      <c r="A301" s="31"/>
      <c r="B301" s="32"/>
      <c r="C301" s="29"/>
      <c r="D301" s="33"/>
      <c r="E301" s="157"/>
      <c r="F301" s="137"/>
    </row>
    <row r="302" spans="1:6" s="34" customFormat="1" ht="14.45">
      <c r="A302" s="31"/>
      <c r="B302" s="32"/>
      <c r="C302" s="29"/>
      <c r="D302" s="33"/>
      <c r="E302" s="157"/>
      <c r="F302" s="137"/>
    </row>
    <row r="303" spans="1:6" s="34" customFormat="1" ht="14.45">
      <c r="A303" s="31"/>
      <c r="B303" s="32"/>
      <c r="C303" s="29"/>
      <c r="D303" s="33"/>
      <c r="E303" s="157"/>
      <c r="F303" s="137"/>
    </row>
    <row r="304" spans="1:6" s="34" customFormat="1" ht="14.45">
      <c r="A304" s="31"/>
      <c r="B304" s="32"/>
      <c r="C304" s="29"/>
      <c r="D304" s="33"/>
      <c r="E304" s="157"/>
      <c r="F304" s="137"/>
    </row>
    <row r="305" spans="1:6" s="34" customFormat="1" ht="14.45">
      <c r="A305" s="31"/>
      <c r="B305" s="32"/>
      <c r="C305" s="29"/>
      <c r="D305" s="33"/>
      <c r="E305" s="157"/>
      <c r="F305" s="137"/>
    </row>
    <row r="306" spans="1:6" s="34" customFormat="1" ht="14.45">
      <c r="A306" s="31"/>
      <c r="B306" s="32"/>
      <c r="C306" s="29"/>
      <c r="D306" s="33"/>
      <c r="E306" s="157"/>
      <c r="F306" s="137"/>
    </row>
    <row r="307" spans="1:6" s="34" customFormat="1" ht="14.45">
      <c r="A307" s="31"/>
      <c r="B307" s="32"/>
      <c r="C307" s="29"/>
      <c r="D307" s="33"/>
      <c r="E307" s="157"/>
      <c r="F307" s="137"/>
    </row>
    <row r="308" spans="1:6" s="34" customFormat="1" ht="14.45">
      <c r="A308" s="31"/>
      <c r="B308" s="32"/>
      <c r="C308" s="29"/>
      <c r="D308" s="33"/>
      <c r="E308" s="157"/>
      <c r="F308" s="137"/>
    </row>
    <row r="309" spans="1:6" s="34" customFormat="1" ht="14.45">
      <c r="A309" s="31"/>
      <c r="B309" s="32"/>
      <c r="C309" s="29"/>
      <c r="D309" s="33"/>
      <c r="E309" s="157"/>
      <c r="F309" s="137"/>
    </row>
    <row r="310" spans="1:6" s="34" customFormat="1" ht="14.45">
      <c r="A310" s="31"/>
      <c r="B310" s="32"/>
      <c r="C310" s="29"/>
      <c r="D310" s="33"/>
      <c r="E310" s="157"/>
      <c r="F310" s="137"/>
    </row>
    <row r="311" spans="1:6" s="34" customFormat="1" ht="14.45">
      <c r="A311" s="31"/>
      <c r="B311" s="32"/>
      <c r="C311" s="29"/>
      <c r="D311" s="33"/>
      <c r="E311" s="157"/>
      <c r="F311" s="137"/>
    </row>
    <row r="312" spans="1:6" s="34" customFormat="1" ht="14.45">
      <c r="A312" s="31"/>
      <c r="B312" s="32"/>
      <c r="C312" s="29"/>
      <c r="D312" s="33"/>
      <c r="E312" s="157"/>
      <c r="F312" s="137"/>
    </row>
    <row r="313" spans="1:6" s="34" customFormat="1" ht="14.45">
      <c r="A313" s="31"/>
      <c r="B313" s="32"/>
      <c r="C313" s="29"/>
      <c r="D313" s="33"/>
      <c r="E313" s="157"/>
      <c r="F313" s="137"/>
    </row>
    <row r="314" spans="1:6" s="34" customFormat="1" ht="14.45">
      <c r="A314" s="31"/>
      <c r="B314" s="32"/>
      <c r="C314" s="29"/>
      <c r="D314" s="33"/>
      <c r="E314" s="157"/>
      <c r="F314" s="137"/>
    </row>
    <row r="315" spans="1:6" s="34" customFormat="1" ht="14.45">
      <c r="A315" s="31"/>
      <c r="B315" s="32"/>
      <c r="C315" s="29"/>
      <c r="D315" s="33"/>
      <c r="E315" s="157"/>
      <c r="F315" s="137"/>
    </row>
    <row r="316" spans="1:6" s="34" customFormat="1" ht="14.45">
      <c r="A316" s="31"/>
      <c r="B316" s="32"/>
      <c r="C316" s="29"/>
      <c r="D316" s="33"/>
      <c r="E316" s="157"/>
      <c r="F316" s="137"/>
    </row>
    <row r="317" spans="1:6" s="34" customFormat="1" ht="14.45">
      <c r="A317" s="31"/>
      <c r="B317" s="32"/>
      <c r="C317" s="29"/>
      <c r="D317" s="33"/>
      <c r="E317" s="157"/>
      <c r="F317" s="137"/>
    </row>
    <row r="318" spans="1:6" s="34" customFormat="1" ht="14.45">
      <c r="A318" s="31"/>
      <c r="B318" s="32"/>
      <c r="C318" s="29"/>
      <c r="D318" s="33"/>
      <c r="E318" s="157"/>
      <c r="F318" s="137"/>
    </row>
    <row r="319" spans="1:6" s="34" customFormat="1" ht="14.45">
      <c r="A319" s="31"/>
      <c r="B319" s="32"/>
      <c r="C319" s="29"/>
      <c r="D319" s="33"/>
      <c r="E319" s="157"/>
      <c r="F319" s="137"/>
    </row>
    <row r="320" spans="1:6" s="34" customFormat="1" ht="14.45">
      <c r="A320" s="31"/>
      <c r="B320" s="32"/>
      <c r="C320" s="29"/>
      <c r="D320" s="33"/>
      <c r="E320" s="157"/>
      <c r="F320" s="137"/>
    </row>
    <row r="321" spans="1:6" s="34" customFormat="1" ht="14.45">
      <c r="A321" s="31"/>
      <c r="B321" s="32"/>
      <c r="C321" s="29"/>
      <c r="D321" s="33"/>
      <c r="E321" s="157"/>
      <c r="F321" s="137"/>
    </row>
    <row r="322" spans="1:6" s="34" customFormat="1" ht="14.45">
      <c r="A322" s="31"/>
      <c r="B322" s="32"/>
      <c r="C322" s="29"/>
      <c r="D322" s="33"/>
      <c r="E322" s="157"/>
      <c r="F322" s="137"/>
    </row>
    <row r="323" spans="1:6" s="34" customFormat="1" ht="14.45">
      <c r="A323" s="31"/>
      <c r="B323" s="32"/>
      <c r="C323" s="29"/>
      <c r="D323" s="33"/>
      <c r="E323" s="157"/>
      <c r="F323" s="137"/>
    </row>
    <row r="324" spans="1:6" s="34" customFormat="1" ht="14.45">
      <c r="A324" s="31"/>
      <c r="B324" s="32"/>
      <c r="C324" s="29"/>
      <c r="D324" s="33"/>
      <c r="E324" s="157"/>
      <c r="F324" s="137"/>
    </row>
    <row r="325" spans="1:6" s="34" customFormat="1" ht="14.45">
      <c r="A325" s="31"/>
      <c r="B325" s="32"/>
      <c r="C325" s="29"/>
      <c r="D325" s="33"/>
      <c r="E325" s="157"/>
      <c r="F325" s="137"/>
    </row>
    <row r="326" spans="1:6" s="34" customFormat="1" ht="14.45">
      <c r="A326" s="31"/>
      <c r="B326" s="32"/>
      <c r="C326" s="29"/>
      <c r="D326" s="33"/>
      <c r="E326" s="157"/>
      <c r="F326" s="137"/>
    </row>
    <row r="327" spans="1:6" s="34" customFormat="1" ht="14.45">
      <c r="A327" s="31"/>
      <c r="B327" s="32"/>
      <c r="C327" s="29"/>
      <c r="D327" s="33"/>
      <c r="E327" s="157"/>
      <c r="F327" s="137"/>
    </row>
    <row r="328" spans="1:6" s="34" customFormat="1" ht="14.45">
      <c r="A328" s="71"/>
      <c r="B328" s="72"/>
      <c r="C328" s="73"/>
      <c r="D328" s="74"/>
      <c r="E328" s="159"/>
      <c r="F328" s="138"/>
    </row>
    <row r="329" spans="1:6" s="34" customFormat="1" ht="14.45">
      <c r="A329" s="75"/>
      <c r="B329" s="76"/>
      <c r="C329" s="77" t="s">
        <v>116</v>
      </c>
      <c r="D329" s="77"/>
      <c r="E329" s="160" t="s">
        <v>8</v>
      </c>
      <c r="F329" s="139">
        <f>SUM(F283:F303)</f>
        <v>9184532.998399999</v>
      </c>
    </row>
    <row r="330" spans="1:6" s="34" customFormat="1" ht="14.45">
      <c r="A330" s="75"/>
      <c r="B330" s="76"/>
      <c r="C330" s="78"/>
      <c r="D330" s="79"/>
      <c r="E330" s="161"/>
      <c r="F330" s="140"/>
    </row>
  </sheetData>
  <customSheetViews>
    <customSheetView guid="{3432A39B-C5E3-4DF0-8655-3886C046AF9C}" showPageBreaks="1" printArea="1" view="pageBreakPreview" topLeftCell="A312">
      <selection activeCell="G329" sqref="G329"/>
      <rowBreaks count="6" manualBreakCount="6">
        <brk id="49" max="5" man="1"/>
        <brk id="97" max="5" man="1"/>
        <brk id="144" max="5" man="1"/>
        <brk id="191" max="5" man="1"/>
        <brk id="238" max="5" man="1"/>
        <brk id="282" max="5" man="1"/>
      </rowBreaks>
      <pageMargins left="0" right="0" top="0" bottom="0" header="0" footer="0"/>
      <printOptions horizontalCentered="1"/>
      <pageSetup paperSize="9" scale="91" fitToHeight="0" orientation="portrait" useFirstPageNumber="1" r:id="rId1"/>
      <headerFooter>
        <oddHeader>&amp;R&amp;11&amp;U
BILL NO. 3 - MALL REFURBISHMENT
CONCRETE WORK</oddHeader>
        <oddFooter>&amp;L&amp;8DMS 148704 BOQ - Nakheel Mall Al Khail&amp;C3/C/&amp;P</oddFooter>
      </headerFooter>
    </customSheetView>
    <customSheetView guid="{47E345F0-E696-46B9-B7A2-C22AD1CF4FAA}" showPageBreaks="1" printArea="1" view="pageBreakPreview" topLeftCell="A273">
      <selection activeCell="F304" sqref="F304"/>
      <rowBreaks count="6" manualBreakCount="6">
        <brk id="49" max="5" man="1"/>
        <brk id="97" max="5" man="1"/>
        <brk id="144" max="5" man="1"/>
        <brk id="191" max="5" man="1"/>
        <brk id="238" max="5" man="1"/>
        <brk id="282" max="5" man="1"/>
      </rowBreaks>
      <pageMargins left="0" right="0" top="0" bottom="0" header="0" footer="0"/>
      <printOptions horizontalCentered="1"/>
      <pageSetup paperSize="9" scale="91" fitToHeight="0" orientation="portrait" useFirstPageNumber="1" r:id="rId2"/>
      <headerFooter>
        <oddHeader>&amp;R&amp;11&amp;U
BILL NO. 3 - MALL REFURBISHMENT
CONCRETE WORK</oddHeader>
        <oddFooter>&amp;L&amp;8DMS 148704 BOQ - Nakheel Mall Al Khail&amp;C3/C/&amp;P</oddFooter>
      </headerFooter>
    </customSheetView>
    <customSheetView guid="{252EBC6A-BD49-4FC3-9285-77861935BFE3}" showPageBreaks="1" printArea="1" view="pageBreakPreview" topLeftCell="A317">
      <selection activeCell="F330" sqref="F330"/>
      <rowBreaks count="6" manualBreakCount="6">
        <brk id="49" max="5" man="1"/>
        <brk id="97" max="5" man="1"/>
        <brk id="144" max="5" man="1"/>
        <brk id="191" max="5" man="1"/>
        <brk id="238" max="5" man="1"/>
        <brk id="282" max="5" man="1"/>
      </rowBreaks>
      <pageMargins left="0" right="0" top="0" bottom="0" header="0" footer="0"/>
      <printOptions horizontalCentered="1"/>
      <pageSetup paperSize="9" scale="91" fitToHeight="0" orientation="portrait" useFirstPageNumber="1" r:id="rId3"/>
      <headerFooter>
        <oddHeader>&amp;R&amp;11&amp;U
BILL NO. 3 - MALL REFURBISHMENT
CONCRETE WORK</oddHeader>
        <oddFooter>&amp;L&amp;8DMS 148704 BOQ - Nakheel Mall Al Khail&amp;C3/C/&amp;P</oddFooter>
      </headerFooter>
    </customSheetView>
    <customSheetView guid="{80D5E0F2-D974-412D-A20C-052459C7A221}" showPageBreaks="1" printArea="1" view="pageBreakPreview" topLeftCell="A312">
      <selection activeCell="G329" sqref="G329"/>
      <rowBreaks count="6" manualBreakCount="6">
        <brk id="49" max="5" man="1"/>
        <brk id="97" max="5" man="1"/>
        <brk id="144" max="5" man="1"/>
        <brk id="191" max="5" man="1"/>
        <brk id="238" max="5" man="1"/>
        <brk id="282" max="5" man="1"/>
      </rowBreaks>
      <pageMargins left="0" right="0" top="0" bottom="0" header="0" footer="0"/>
      <printOptions horizontalCentered="1"/>
      <pageSetup paperSize="9" scale="91" fitToHeight="0" orientation="portrait" useFirstPageNumber="1" r:id="rId4"/>
      <headerFooter>
        <oddHeader>&amp;R&amp;11&amp;U
BILL NO. 3 - MALL REFURBISHMENT
CONCRETE WORK</oddHeader>
        <oddFooter>&amp;L&amp;8DMS 148704 BOQ - Nakheel Mall Al Khail&amp;C3/C/&amp;P</oddFooter>
      </headerFooter>
    </customSheetView>
  </customSheetViews>
  <mergeCells count="4">
    <mergeCell ref="A1:A2"/>
    <mergeCell ref="B1:B2"/>
    <mergeCell ref="C1:C2"/>
    <mergeCell ref="D1:D2"/>
  </mergeCells>
  <printOptions horizontalCentered="1"/>
  <pageMargins left="0.6692913385826772" right="0.19685039370078741" top="0.82677165354330717" bottom="0.47244094488188981" header="0.19685039370078741" footer="0.23622047244094491"/>
  <pageSetup paperSize="9" scale="91" fitToHeight="0" orientation="portrait" useFirstPageNumber="1" r:id="rId5"/>
  <headerFooter>
    <oddHeader>&amp;R&amp;11&amp;U
BILL NO. 3 - MALL REFURBISHMENT
CONCRETE WORK</oddHeader>
    <oddFooter>&amp;L&amp;8DMS 148704 BOQ - Nakheel Mall Al Khail&amp;C3/C/&amp;P</oddFooter>
  </headerFooter>
  <rowBreaks count="6" manualBreakCount="6">
    <brk id="49" max="5" man="1"/>
    <brk id="97" max="5" man="1"/>
    <brk id="144" max="5" man="1"/>
    <brk id="191" max="5" man="1"/>
    <brk id="238" max="5" man="1"/>
    <brk id="282" max="5"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1574A-251F-407A-9DEE-61B7F89ABBFA}">
  <sheetPr>
    <tabColor rgb="FF002060"/>
  </sheetPr>
  <dimension ref="A1:J145"/>
  <sheetViews>
    <sheetView view="pageBreakPreview" topLeftCell="A93" zoomScaleNormal="100" zoomScaleSheetLayoutView="100" zoomScalePageLayoutView="70" workbookViewId="0">
      <selection activeCell="F34" sqref="F34"/>
    </sheetView>
  </sheetViews>
  <sheetFormatPr defaultColWidth="9.28515625" defaultRowHeight="13.9"/>
  <cols>
    <col min="1" max="1" width="5.7109375" style="85" customWidth="1"/>
    <col min="2" max="2" width="46" style="86" customWidth="1"/>
    <col min="3" max="3" width="10.7109375" style="87" customWidth="1"/>
    <col min="4" max="4" width="6.7109375" style="88" customWidth="1"/>
    <col min="5" max="5" width="20.28515625" style="162" customWidth="1"/>
    <col min="6" max="6" width="15.7109375" style="142" customWidth="1"/>
    <col min="7" max="7" width="12.28515625" style="167" bestFit="1" customWidth="1"/>
    <col min="8" max="8" width="12.7109375" style="241" customWidth="1"/>
    <col min="9" max="9" width="16.85546875" style="35" customWidth="1"/>
    <col min="10" max="10" width="17.140625" style="35" customWidth="1"/>
    <col min="11" max="16384" width="9.28515625" style="35"/>
  </cols>
  <sheetData>
    <row r="1" spans="1:10" s="30" customFormat="1" ht="14.45">
      <c r="A1" s="332" t="s">
        <v>2</v>
      </c>
      <c r="B1" s="332" t="s">
        <v>3</v>
      </c>
      <c r="C1" s="334" t="s">
        <v>4</v>
      </c>
      <c r="D1" s="336" t="s">
        <v>5</v>
      </c>
      <c r="E1" s="155" t="s">
        <v>6</v>
      </c>
      <c r="F1" s="135" t="s">
        <v>7</v>
      </c>
      <c r="G1" s="164"/>
      <c r="H1" s="285"/>
    </row>
    <row r="2" spans="1:10" s="30" customFormat="1" ht="14.45">
      <c r="A2" s="333"/>
      <c r="B2" s="333"/>
      <c r="C2" s="335"/>
      <c r="D2" s="337"/>
      <c r="E2" s="156" t="s">
        <v>8</v>
      </c>
      <c r="F2" s="136" t="s">
        <v>8</v>
      </c>
      <c r="G2" s="164"/>
      <c r="H2" s="285"/>
    </row>
    <row r="3" spans="1:10" s="34" customFormat="1" ht="14.45">
      <c r="A3" s="31"/>
      <c r="B3" s="32"/>
      <c r="C3" s="29"/>
      <c r="D3" s="33"/>
      <c r="E3" s="157"/>
      <c r="F3" s="137"/>
      <c r="G3" s="165"/>
      <c r="H3" s="286"/>
    </row>
    <row r="4" spans="1:10" s="34" customFormat="1" ht="14.45">
      <c r="A4" s="59"/>
      <c r="B4" s="60" t="s">
        <v>123</v>
      </c>
      <c r="C4" s="61"/>
      <c r="D4" s="62"/>
      <c r="E4" s="157"/>
      <c r="F4" s="137"/>
      <c r="G4" s="165"/>
      <c r="H4" s="286"/>
    </row>
    <row r="5" spans="1:10" s="260" customFormat="1" ht="27.6">
      <c r="A5" s="261"/>
      <c r="B5" s="274" t="s">
        <v>222</v>
      </c>
      <c r="C5" s="263"/>
      <c r="D5" s="264"/>
      <c r="E5" s="256"/>
      <c r="F5" s="257"/>
      <c r="G5" s="258"/>
      <c r="H5" s="259"/>
    </row>
    <row r="6" spans="1:10" s="34" customFormat="1" ht="14.45">
      <c r="A6" s="59"/>
      <c r="B6" s="63"/>
      <c r="C6" s="61"/>
      <c r="D6" s="62"/>
      <c r="E6" s="157"/>
      <c r="F6" s="137"/>
      <c r="G6" s="165"/>
      <c r="H6" s="286"/>
    </row>
    <row r="7" spans="1:10" s="34" customFormat="1" ht="14.45">
      <c r="A7" s="59"/>
      <c r="B7" s="64" t="s">
        <v>124</v>
      </c>
      <c r="C7" s="61"/>
      <c r="D7" s="62"/>
      <c r="E7" s="157"/>
      <c r="F7" s="137"/>
      <c r="G7" s="165"/>
      <c r="H7" s="286"/>
    </row>
    <row r="8" spans="1:10" s="34" customFormat="1" ht="14.45">
      <c r="A8" s="59"/>
      <c r="B8" s="65"/>
      <c r="C8" s="61"/>
      <c r="D8" s="62"/>
      <c r="E8" s="157"/>
      <c r="F8" s="137"/>
      <c r="G8" s="165"/>
      <c r="H8" s="286"/>
    </row>
    <row r="9" spans="1:10" s="34" customFormat="1" ht="27.6">
      <c r="A9" s="66"/>
      <c r="B9" s="98" t="s">
        <v>126</v>
      </c>
      <c r="C9" s="68"/>
      <c r="D9" s="69"/>
      <c r="E9" s="157"/>
      <c r="F9" s="137"/>
      <c r="G9" s="165"/>
      <c r="H9" s="286"/>
    </row>
    <row r="10" spans="1:10" s="34" customFormat="1" ht="14.45">
      <c r="A10" s="59"/>
      <c r="B10" s="100"/>
      <c r="C10" s="61"/>
      <c r="D10" s="62"/>
      <c r="E10" s="157"/>
      <c r="F10" s="137"/>
      <c r="G10" s="165"/>
      <c r="H10" s="286"/>
    </row>
    <row r="11" spans="1:10" s="260" customFormat="1" ht="14.45">
      <c r="A11" s="252" t="s">
        <v>14</v>
      </c>
      <c r="B11" s="253" t="s">
        <v>127</v>
      </c>
      <c r="C11" s="254">
        <v>1</v>
      </c>
      <c r="D11" s="255" t="s">
        <v>35</v>
      </c>
      <c r="E11" s="256">
        <v>395.25</v>
      </c>
      <c r="F11" s="257">
        <f>C11*E11</f>
        <v>395.25</v>
      </c>
      <c r="G11" s="258"/>
      <c r="H11" s="259"/>
      <c r="J11" s="258"/>
    </row>
    <row r="12" spans="1:10" s="34" customFormat="1" ht="14.45">
      <c r="A12" s="59"/>
      <c r="B12" s="100"/>
      <c r="C12" s="61"/>
      <c r="D12" s="62"/>
      <c r="E12" s="157"/>
      <c r="F12" s="137"/>
      <c r="G12" s="165"/>
      <c r="H12" s="286"/>
    </row>
    <row r="13" spans="1:10" s="34" customFormat="1" ht="27.6">
      <c r="A13" s="66"/>
      <c r="B13" s="98" t="s">
        <v>128</v>
      </c>
      <c r="C13" s="68"/>
      <c r="D13" s="69"/>
      <c r="E13" s="157"/>
      <c r="F13" s="137"/>
      <c r="G13" s="165"/>
      <c r="H13" s="286"/>
    </row>
    <row r="14" spans="1:10" s="34" customFormat="1" ht="14.45">
      <c r="A14" s="59"/>
      <c r="B14" s="100"/>
      <c r="C14" s="61"/>
      <c r="D14" s="62"/>
      <c r="E14" s="157"/>
      <c r="F14" s="137"/>
      <c r="G14" s="165"/>
      <c r="H14" s="286"/>
    </row>
    <row r="15" spans="1:10" s="260" customFormat="1" ht="14.45">
      <c r="A15" s="252" t="s">
        <v>17</v>
      </c>
      <c r="B15" s="253" t="s">
        <v>129</v>
      </c>
      <c r="C15" s="254">
        <v>6</v>
      </c>
      <c r="D15" s="255" t="s">
        <v>35</v>
      </c>
      <c r="E15" s="256">
        <v>396.11</v>
      </c>
      <c r="F15" s="257">
        <f>C15*E15</f>
        <v>2376.66</v>
      </c>
      <c r="G15" s="258"/>
      <c r="H15" s="259"/>
      <c r="J15" s="258"/>
    </row>
    <row r="16" spans="1:10" s="260" customFormat="1" ht="14.45">
      <c r="A16" s="261"/>
      <c r="B16" s="262"/>
      <c r="C16" s="263"/>
      <c r="D16" s="264"/>
      <c r="E16" s="256"/>
      <c r="F16" s="257"/>
      <c r="G16" s="258"/>
      <c r="H16" s="259"/>
      <c r="J16" s="258"/>
    </row>
    <row r="17" spans="1:10" s="260" customFormat="1" ht="14.45">
      <c r="A17" s="252" t="s">
        <v>20</v>
      </c>
      <c r="B17" s="253" t="s">
        <v>143</v>
      </c>
      <c r="C17" s="254">
        <v>273</v>
      </c>
      <c r="D17" s="255" t="s">
        <v>35</v>
      </c>
      <c r="E17" s="256">
        <v>408.53</v>
      </c>
      <c r="F17" s="257">
        <f>C17*E17</f>
        <v>111528.68999999999</v>
      </c>
      <c r="G17" s="258"/>
      <c r="H17" s="259"/>
      <c r="J17" s="258"/>
    </row>
    <row r="18" spans="1:10" s="260" customFormat="1" ht="12" customHeight="1">
      <c r="A18" s="261"/>
      <c r="B18" s="262"/>
      <c r="C18" s="263"/>
      <c r="D18" s="264"/>
      <c r="E18" s="256"/>
      <c r="F18" s="257"/>
      <c r="G18" s="258"/>
      <c r="H18" s="259"/>
      <c r="J18" s="258"/>
    </row>
    <row r="19" spans="1:10" s="260" customFormat="1" ht="14.45">
      <c r="A19" s="252" t="s">
        <v>23</v>
      </c>
      <c r="B19" s="253" t="s">
        <v>144</v>
      </c>
      <c r="C19" s="254">
        <v>343</v>
      </c>
      <c r="D19" s="255" t="s">
        <v>35</v>
      </c>
      <c r="E19" s="256">
        <v>411.46</v>
      </c>
      <c r="F19" s="257">
        <f>C19*E19</f>
        <v>141130.78</v>
      </c>
      <c r="G19" s="258"/>
      <c r="H19" s="259"/>
      <c r="J19" s="258"/>
    </row>
    <row r="20" spans="1:10" s="260" customFormat="1" ht="12" customHeight="1">
      <c r="A20" s="261"/>
      <c r="B20" s="262"/>
      <c r="C20" s="263"/>
      <c r="D20" s="264"/>
      <c r="E20" s="256"/>
      <c r="F20" s="257"/>
      <c r="G20" s="258"/>
      <c r="H20" s="259"/>
      <c r="J20" s="258"/>
    </row>
    <row r="21" spans="1:10" s="260" customFormat="1" ht="14.45">
      <c r="A21" s="252" t="s">
        <v>27</v>
      </c>
      <c r="B21" s="253" t="s">
        <v>145</v>
      </c>
      <c r="C21" s="254">
        <v>346</v>
      </c>
      <c r="D21" s="255" t="s">
        <v>35</v>
      </c>
      <c r="E21" s="256">
        <v>411.46</v>
      </c>
      <c r="F21" s="257">
        <f>C21*E21</f>
        <v>142365.16</v>
      </c>
      <c r="G21" s="258"/>
      <c r="H21" s="259"/>
      <c r="J21" s="258"/>
    </row>
    <row r="22" spans="1:10" s="34" customFormat="1" ht="14.45">
      <c r="A22" s="66"/>
      <c r="B22" s="67"/>
      <c r="C22" s="68"/>
      <c r="D22" s="69"/>
      <c r="E22" s="157"/>
      <c r="F22" s="137"/>
      <c r="G22" s="165"/>
      <c r="H22" s="286"/>
      <c r="J22" s="165"/>
    </row>
    <row r="23" spans="1:10" s="260" customFormat="1" ht="14.45">
      <c r="A23" s="252" t="s">
        <v>44</v>
      </c>
      <c r="B23" s="253" t="s">
        <v>148</v>
      </c>
      <c r="C23" s="254">
        <v>788</v>
      </c>
      <c r="D23" s="255" t="s">
        <v>35</v>
      </c>
      <c r="E23" s="256">
        <v>411.46</v>
      </c>
      <c r="F23" s="257">
        <f>C23*E23</f>
        <v>324230.48</v>
      </c>
      <c r="G23" s="258"/>
      <c r="H23" s="259"/>
      <c r="J23" s="258"/>
    </row>
    <row r="24" spans="1:10" s="34" customFormat="1" ht="14.45">
      <c r="A24" s="59"/>
      <c r="B24" s="100"/>
      <c r="C24" s="61"/>
      <c r="D24" s="62"/>
      <c r="E24" s="157"/>
      <c r="F24" s="137"/>
      <c r="G24" s="165"/>
      <c r="H24" s="286"/>
      <c r="J24" s="165"/>
    </row>
    <row r="25" spans="1:10" s="34" customFormat="1" ht="41.45">
      <c r="A25" s="66"/>
      <c r="B25" s="98" t="s">
        <v>156</v>
      </c>
      <c r="C25" s="68"/>
      <c r="D25" s="69"/>
      <c r="E25" s="157"/>
      <c r="F25" s="137"/>
      <c r="G25" s="165"/>
      <c r="H25" s="286"/>
      <c r="J25" s="165"/>
    </row>
    <row r="26" spans="1:10" s="260" customFormat="1" ht="14.45">
      <c r="A26" s="252" t="s">
        <v>48</v>
      </c>
      <c r="B26" s="253" t="s">
        <v>157</v>
      </c>
      <c r="C26" s="254">
        <v>1.29</v>
      </c>
      <c r="D26" s="255" t="s">
        <v>76</v>
      </c>
      <c r="E26" s="256">
        <v>4382.1099999999997</v>
      </c>
      <c r="F26" s="257">
        <f>C26*E26</f>
        <v>5652.9218999999994</v>
      </c>
      <c r="G26" s="258"/>
      <c r="H26" s="259"/>
      <c r="J26" s="258"/>
    </row>
    <row r="27" spans="1:10" s="34" customFormat="1" ht="14.45">
      <c r="A27" s="66"/>
      <c r="B27" s="67"/>
      <c r="C27" s="68"/>
      <c r="D27" s="69"/>
      <c r="E27" s="157"/>
      <c r="F27" s="137"/>
      <c r="G27" s="165"/>
      <c r="H27" s="286"/>
      <c r="J27" s="165"/>
    </row>
    <row r="28" spans="1:10" s="260" customFormat="1" ht="14.45">
      <c r="A28" s="252" t="s">
        <v>84</v>
      </c>
      <c r="B28" s="253" t="s">
        <v>169</v>
      </c>
      <c r="C28" s="254">
        <v>133</v>
      </c>
      <c r="D28" s="255" t="s">
        <v>76</v>
      </c>
      <c r="E28" s="256">
        <v>4431.91</v>
      </c>
      <c r="F28" s="257">
        <f>C28*E28</f>
        <v>589444.03</v>
      </c>
      <c r="G28" s="258"/>
      <c r="H28" s="259"/>
      <c r="J28" s="258"/>
    </row>
    <row r="29" spans="1:10" s="260" customFormat="1" ht="14.45">
      <c r="A29" s="261"/>
      <c r="B29" s="262"/>
      <c r="C29" s="263"/>
      <c r="D29" s="264"/>
      <c r="E29" s="256"/>
      <c r="F29" s="257"/>
      <c r="G29" s="258"/>
      <c r="H29" s="259"/>
      <c r="J29" s="258"/>
    </row>
    <row r="30" spans="1:10" s="260" customFormat="1" ht="14.45">
      <c r="A30" s="252" t="s">
        <v>86</v>
      </c>
      <c r="B30" s="253" t="s">
        <v>171</v>
      </c>
      <c r="C30" s="254">
        <v>10</v>
      </c>
      <c r="D30" s="255" t="s">
        <v>76</v>
      </c>
      <c r="E30" s="256">
        <v>4431.91</v>
      </c>
      <c r="F30" s="257">
        <f>C30*E30</f>
        <v>44319.1</v>
      </c>
      <c r="G30" s="258"/>
      <c r="H30" s="259"/>
      <c r="J30" s="258"/>
    </row>
    <row r="31" spans="1:10" s="260" customFormat="1" ht="14.45">
      <c r="A31" s="261"/>
      <c r="B31" s="262"/>
      <c r="C31" s="263"/>
      <c r="D31" s="264"/>
      <c r="E31" s="256"/>
      <c r="F31" s="257"/>
      <c r="G31" s="258"/>
      <c r="H31" s="259"/>
      <c r="J31" s="258"/>
    </row>
    <row r="32" spans="1:10" s="260" customFormat="1" ht="14.45">
      <c r="A32" s="252" t="s">
        <v>90</v>
      </c>
      <c r="B32" s="253" t="s">
        <v>173</v>
      </c>
      <c r="C32" s="254">
        <v>100</v>
      </c>
      <c r="D32" s="255" t="s">
        <v>76</v>
      </c>
      <c r="E32" s="256">
        <v>4431.91</v>
      </c>
      <c r="F32" s="257">
        <f>C32*E32</f>
        <v>443191</v>
      </c>
      <c r="G32" s="258"/>
      <c r="H32" s="259"/>
      <c r="J32" s="258"/>
    </row>
    <row r="33" spans="1:10" s="34" customFormat="1" ht="14.45">
      <c r="A33" s="59"/>
      <c r="B33" s="100"/>
      <c r="C33" s="61"/>
      <c r="D33" s="62"/>
      <c r="E33" s="157"/>
      <c r="F33" s="137"/>
      <c r="G33" s="165"/>
      <c r="H33" s="286"/>
      <c r="J33" s="165"/>
    </row>
    <row r="34" spans="1:10" s="260" customFormat="1" ht="14.45">
      <c r="A34" s="252" t="s">
        <v>92</v>
      </c>
      <c r="B34" s="253" t="s">
        <v>174</v>
      </c>
      <c r="C34" s="254">
        <v>122</v>
      </c>
      <c r="D34" s="255" t="s">
        <v>76</v>
      </c>
      <c r="E34" s="256">
        <v>4431.91</v>
      </c>
      <c r="F34" s="257">
        <f>C34*E34</f>
        <v>540693.02</v>
      </c>
      <c r="G34" s="258"/>
      <c r="H34" s="259"/>
      <c r="J34" s="258"/>
    </row>
    <row r="35" spans="1:10" s="34" customFormat="1" ht="14.45">
      <c r="A35" s="66"/>
      <c r="B35" s="67"/>
      <c r="C35" s="68"/>
      <c r="D35" s="69"/>
      <c r="E35" s="157"/>
      <c r="F35" s="137"/>
      <c r="G35" s="165"/>
      <c r="H35" s="286"/>
      <c r="J35" s="165"/>
    </row>
    <row r="36" spans="1:10" s="34" customFormat="1" ht="14.45">
      <c r="A36" s="59"/>
      <c r="B36" s="100"/>
      <c r="C36" s="61"/>
      <c r="D36" s="62"/>
      <c r="E36" s="157"/>
      <c r="F36" s="137"/>
      <c r="G36" s="165"/>
      <c r="H36" s="286"/>
      <c r="J36" s="165"/>
    </row>
    <row r="37" spans="1:10" s="34" customFormat="1" ht="14.45">
      <c r="A37" s="66"/>
      <c r="B37" s="67"/>
      <c r="C37" s="68"/>
      <c r="D37" s="69"/>
      <c r="E37" s="157"/>
      <c r="F37" s="137"/>
      <c r="G37" s="165"/>
      <c r="H37" s="286"/>
      <c r="J37" s="165"/>
    </row>
    <row r="38" spans="1:10" s="34" customFormat="1" ht="14.45">
      <c r="A38" s="59"/>
      <c r="B38" s="100"/>
      <c r="C38" s="61"/>
      <c r="D38" s="62"/>
      <c r="E38" s="157"/>
      <c r="F38" s="137"/>
      <c r="G38" s="165"/>
      <c r="H38" s="286"/>
      <c r="J38" s="165"/>
    </row>
    <row r="39" spans="1:10" s="34" customFormat="1" ht="14.45">
      <c r="A39" s="66"/>
      <c r="B39" s="67"/>
      <c r="C39" s="68"/>
      <c r="D39" s="69"/>
      <c r="E39" s="157"/>
      <c r="F39" s="137"/>
      <c r="G39" s="165"/>
      <c r="H39" s="286"/>
      <c r="J39" s="165"/>
    </row>
    <row r="40" spans="1:10" s="34" customFormat="1" ht="14.45">
      <c r="A40" s="59"/>
      <c r="B40" s="100"/>
      <c r="C40" s="61"/>
      <c r="D40" s="62"/>
      <c r="E40" s="157"/>
      <c r="F40" s="137"/>
      <c r="G40" s="165"/>
      <c r="H40" s="286"/>
      <c r="J40" s="165"/>
    </row>
    <row r="41" spans="1:10" s="34" customFormat="1" ht="14.45">
      <c r="A41" s="66"/>
      <c r="B41" s="67"/>
      <c r="C41" s="68"/>
      <c r="D41" s="69"/>
      <c r="E41" s="157"/>
      <c r="F41" s="137"/>
      <c r="G41" s="165"/>
      <c r="H41" s="286"/>
      <c r="J41" s="165"/>
    </row>
    <row r="42" spans="1:10" s="34" customFormat="1" ht="14.45">
      <c r="A42" s="59"/>
      <c r="B42" s="100"/>
      <c r="C42" s="61"/>
      <c r="D42" s="62"/>
      <c r="E42" s="157"/>
      <c r="F42" s="137"/>
      <c r="G42" s="165"/>
      <c r="H42" s="286"/>
      <c r="J42" s="165"/>
    </row>
    <row r="43" spans="1:10" s="34" customFormat="1" ht="14.45">
      <c r="A43" s="66"/>
      <c r="B43" s="99"/>
      <c r="C43" s="68"/>
      <c r="D43" s="69"/>
      <c r="E43" s="157"/>
      <c r="F43" s="137"/>
      <c r="G43" s="165"/>
      <c r="H43" s="286"/>
    </row>
    <row r="44" spans="1:10" s="34" customFormat="1" ht="14.45">
      <c r="A44" s="66"/>
      <c r="B44" s="99"/>
      <c r="C44" s="68"/>
      <c r="D44" s="69"/>
      <c r="E44" s="157"/>
      <c r="F44" s="137"/>
      <c r="G44" s="165"/>
      <c r="H44" s="286"/>
    </row>
    <row r="45" spans="1:10" s="34" customFormat="1" ht="14.45">
      <c r="A45" s="66"/>
      <c r="B45" s="99"/>
      <c r="C45" s="68"/>
      <c r="D45" s="69"/>
      <c r="E45" s="157"/>
      <c r="F45" s="137"/>
      <c r="G45" s="165"/>
      <c r="H45" s="286"/>
    </row>
    <row r="46" spans="1:10" s="34" customFormat="1" ht="14.45">
      <c r="A46" s="59"/>
      <c r="B46" s="100"/>
      <c r="C46" s="61"/>
      <c r="D46" s="62"/>
      <c r="E46" s="157"/>
      <c r="F46" s="137"/>
      <c r="G46" s="165"/>
      <c r="H46" s="286"/>
    </row>
    <row r="47" spans="1:10" s="34" customFormat="1" ht="14.45">
      <c r="A47" s="71"/>
      <c r="B47" s="72"/>
      <c r="C47" s="73"/>
      <c r="D47" s="74"/>
      <c r="E47" s="159"/>
      <c r="F47" s="138"/>
      <c r="G47" s="165"/>
      <c r="H47" s="286"/>
    </row>
    <row r="48" spans="1:10" s="34" customFormat="1" ht="14.45">
      <c r="A48" s="75"/>
      <c r="B48" s="76"/>
      <c r="C48" s="77" t="s">
        <v>30</v>
      </c>
      <c r="D48" s="77"/>
      <c r="E48" s="160" t="s">
        <v>8</v>
      </c>
      <c r="F48" s="139">
        <f>SUM(F9:F44)</f>
        <v>2345327.0919000003</v>
      </c>
      <c r="G48" s="165"/>
      <c r="H48" s="286"/>
    </row>
    <row r="49" spans="1:10" s="34" customFormat="1" ht="14.45">
      <c r="A49" s="75"/>
      <c r="B49" s="76"/>
      <c r="C49" s="78"/>
      <c r="D49" s="79"/>
      <c r="E49" s="161"/>
      <c r="F49" s="140"/>
      <c r="G49" s="165"/>
      <c r="H49" s="286"/>
    </row>
    <row r="50" spans="1:10" s="34" customFormat="1" ht="14.45">
      <c r="A50" s="31"/>
      <c r="B50" s="101"/>
      <c r="C50" s="29"/>
      <c r="D50" s="33"/>
      <c r="E50" s="157"/>
      <c r="F50" s="137"/>
      <c r="G50" s="165"/>
      <c r="H50" s="286"/>
    </row>
    <row r="51" spans="1:10" s="34" customFormat="1" ht="14.45">
      <c r="A51" s="59"/>
      <c r="B51" s="64" t="s">
        <v>142</v>
      </c>
      <c r="C51" s="61"/>
      <c r="D51" s="62"/>
      <c r="E51" s="157"/>
      <c r="F51" s="137"/>
      <c r="G51" s="165"/>
      <c r="H51" s="286"/>
    </row>
    <row r="52" spans="1:10" s="34" customFormat="1" ht="14.45">
      <c r="A52" s="59"/>
      <c r="B52" s="100"/>
      <c r="C52" s="61"/>
      <c r="D52" s="62"/>
      <c r="E52" s="157"/>
      <c r="F52" s="137"/>
      <c r="G52" s="165"/>
      <c r="H52" s="286"/>
    </row>
    <row r="53" spans="1:10" s="34" customFormat="1" ht="30" customHeight="1">
      <c r="A53" s="59"/>
      <c r="B53" s="98" t="s">
        <v>179</v>
      </c>
      <c r="C53" s="61"/>
      <c r="D53" s="62"/>
      <c r="E53" s="157"/>
      <c r="F53" s="137"/>
      <c r="G53" s="165"/>
      <c r="H53" s="286"/>
      <c r="J53" s="165"/>
    </row>
    <row r="54" spans="1:10" s="34" customFormat="1" ht="14.45">
      <c r="A54" s="66"/>
      <c r="B54" s="67"/>
      <c r="C54" s="68"/>
      <c r="D54" s="69"/>
      <c r="E54" s="157"/>
      <c r="F54" s="137"/>
      <c r="G54" s="165"/>
      <c r="H54" s="286"/>
      <c r="J54" s="165"/>
    </row>
    <row r="55" spans="1:10" s="260" customFormat="1" ht="14.45">
      <c r="A55" s="252" t="s">
        <v>14</v>
      </c>
      <c r="B55" s="253" t="s">
        <v>180</v>
      </c>
      <c r="C55" s="254">
        <v>18</v>
      </c>
      <c r="D55" s="255" t="s">
        <v>16</v>
      </c>
      <c r="E55" s="256">
        <v>169.41</v>
      </c>
      <c r="F55" s="257">
        <f>C55*E55</f>
        <v>3049.38</v>
      </c>
      <c r="G55" s="258"/>
      <c r="H55" s="259"/>
      <c r="J55" s="258"/>
    </row>
    <row r="56" spans="1:10" s="260" customFormat="1" ht="12" customHeight="1">
      <c r="A56" s="261"/>
      <c r="B56" s="262"/>
      <c r="C56" s="263"/>
      <c r="D56" s="264"/>
      <c r="E56" s="256"/>
      <c r="F56" s="257"/>
      <c r="G56" s="258"/>
      <c r="H56" s="259"/>
      <c r="J56" s="258"/>
    </row>
    <row r="57" spans="1:10" s="260" customFormat="1" ht="14.45">
      <c r="A57" s="252" t="s">
        <v>17</v>
      </c>
      <c r="B57" s="253" t="s">
        <v>184</v>
      </c>
      <c r="C57" s="254">
        <v>1321</v>
      </c>
      <c r="D57" s="255" t="s">
        <v>16</v>
      </c>
      <c r="E57" s="256">
        <v>148.36000000000001</v>
      </c>
      <c r="F57" s="257">
        <f>C57*E57</f>
        <v>195983.56000000003</v>
      </c>
      <c r="G57" s="258"/>
      <c r="H57" s="259"/>
      <c r="J57" s="258"/>
    </row>
    <row r="58" spans="1:10" s="260" customFormat="1" ht="14.45">
      <c r="A58" s="261"/>
      <c r="B58" s="262"/>
      <c r="C58" s="263"/>
      <c r="D58" s="264"/>
      <c r="E58" s="256"/>
      <c r="F58" s="257"/>
      <c r="G58" s="258"/>
      <c r="H58" s="259"/>
      <c r="J58" s="258"/>
    </row>
    <row r="59" spans="1:10" s="260" customFormat="1" ht="14.45">
      <c r="A59" s="252" t="s">
        <v>20</v>
      </c>
      <c r="B59" s="253" t="s">
        <v>185</v>
      </c>
      <c r="C59" s="254">
        <v>1040</v>
      </c>
      <c r="D59" s="255" t="s">
        <v>16</v>
      </c>
      <c r="E59" s="256">
        <v>150.18</v>
      </c>
      <c r="F59" s="257">
        <f>C59*E59</f>
        <v>156187.20000000001</v>
      </c>
      <c r="G59" s="258"/>
      <c r="H59" s="259"/>
      <c r="J59" s="258"/>
    </row>
    <row r="60" spans="1:10" s="260" customFormat="1" ht="14.45">
      <c r="A60" s="252"/>
      <c r="B60" s="253"/>
      <c r="C60" s="254"/>
      <c r="D60" s="255"/>
      <c r="E60" s="256"/>
      <c r="F60" s="257"/>
      <c r="G60" s="258"/>
      <c r="H60" s="259"/>
      <c r="J60" s="258"/>
    </row>
    <row r="61" spans="1:10" s="260" customFormat="1" ht="14.45">
      <c r="A61" s="252" t="s">
        <v>23</v>
      </c>
      <c r="B61" s="253" t="s">
        <v>223</v>
      </c>
      <c r="C61" s="254">
        <v>855</v>
      </c>
      <c r="D61" s="255" t="s">
        <v>16</v>
      </c>
      <c r="E61" s="256">
        <v>195.23400000000001</v>
      </c>
      <c r="F61" s="257">
        <f>C61*E61</f>
        <v>166925.07</v>
      </c>
      <c r="G61" s="258"/>
      <c r="H61" s="259"/>
      <c r="J61" s="258"/>
    </row>
    <row r="62" spans="1:10" s="260" customFormat="1" ht="14.45">
      <c r="A62" s="261"/>
      <c r="B62" s="262"/>
      <c r="C62" s="263"/>
      <c r="D62" s="264"/>
      <c r="E62" s="256"/>
      <c r="F62" s="257"/>
      <c r="G62" s="258"/>
      <c r="H62" s="259"/>
      <c r="J62" s="258"/>
    </row>
    <row r="63" spans="1:10" s="260" customFormat="1" ht="14.45">
      <c r="A63" s="252" t="s">
        <v>27</v>
      </c>
      <c r="B63" s="253" t="s">
        <v>186</v>
      </c>
      <c r="C63" s="254">
        <v>1491</v>
      </c>
      <c r="D63" s="255" t="s">
        <v>16</v>
      </c>
      <c r="E63" s="256">
        <v>138.34</v>
      </c>
      <c r="F63" s="257">
        <f>C63*E63</f>
        <v>206264.94</v>
      </c>
      <c r="G63" s="258"/>
      <c r="H63" s="259"/>
      <c r="J63" s="258"/>
    </row>
    <row r="64" spans="1:10" s="34" customFormat="1" ht="14.45">
      <c r="A64" s="66"/>
      <c r="B64" s="67"/>
      <c r="C64" s="68"/>
      <c r="D64" s="69"/>
      <c r="E64" s="157"/>
      <c r="F64" s="137"/>
      <c r="G64" s="165"/>
      <c r="H64" s="286"/>
      <c r="J64" s="165"/>
    </row>
    <row r="65" spans="1:10" s="260" customFormat="1" ht="14.45">
      <c r="A65" s="252" t="s">
        <v>44</v>
      </c>
      <c r="B65" s="253" t="s">
        <v>188</v>
      </c>
      <c r="C65" s="254">
        <v>2016</v>
      </c>
      <c r="D65" s="255" t="s">
        <v>16</v>
      </c>
      <c r="E65" s="256">
        <v>153.13</v>
      </c>
      <c r="F65" s="257">
        <f>C65*E65</f>
        <v>308710.08</v>
      </c>
      <c r="G65" s="258"/>
      <c r="H65" s="259"/>
      <c r="J65" s="258"/>
    </row>
    <row r="66" spans="1:10" s="34" customFormat="1" ht="12" customHeight="1">
      <c r="A66" s="59"/>
      <c r="B66" s="100"/>
      <c r="C66" s="61"/>
      <c r="D66" s="62"/>
      <c r="E66" s="157"/>
      <c r="F66" s="137"/>
      <c r="G66" s="165"/>
      <c r="H66" s="286"/>
      <c r="J66" s="165"/>
    </row>
    <row r="67" spans="1:10" s="260" customFormat="1" ht="14.45">
      <c r="A67" s="275"/>
      <c r="B67" s="279" t="s">
        <v>224</v>
      </c>
      <c r="C67" s="277"/>
      <c r="D67" s="278"/>
      <c r="E67" s="256"/>
      <c r="F67" s="257"/>
      <c r="G67" s="258"/>
      <c r="H67" s="259"/>
    </row>
    <row r="68" spans="1:10" s="260" customFormat="1" ht="14.45">
      <c r="A68" s="275"/>
      <c r="B68" s="276"/>
      <c r="C68" s="277"/>
      <c r="D68" s="278"/>
      <c r="E68" s="256"/>
      <c r="F68" s="257"/>
      <c r="G68" s="258"/>
      <c r="H68" s="259"/>
    </row>
    <row r="69" spans="1:10" s="260" customFormat="1" ht="27.6">
      <c r="A69" s="275" t="s">
        <v>48</v>
      </c>
      <c r="B69" s="276" t="s">
        <v>225</v>
      </c>
      <c r="C69" s="277">
        <v>53</v>
      </c>
      <c r="D69" s="278" t="s">
        <v>76</v>
      </c>
      <c r="E69" s="256">
        <v>4431.91</v>
      </c>
      <c r="F69" s="257">
        <f t="shared" ref="F69:F71" si="0">+C69*E69</f>
        <v>234891.22999999998</v>
      </c>
      <c r="G69" s="258"/>
      <c r="H69" s="259"/>
      <c r="J69" s="258"/>
    </row>
    <row r="70" spans="1:10" s="260" customFormat="1" ht="14.45">
      <c r="A70" s="275"/>
      <c r="B70" s="276"/>
      <c r="C70" s="277"/>
      <c r="D70" s="278"/>
      <c r="E70" s="256"/>
      <c r="F70" s="257"/>
      <c r="G70" s="258"/>
      <c r="H70" s="259"/>
      <c r="J70" s="258"/>
    </row>
    <row r="71" spans="1:10" s="260" customFormat="1" ht="14.45">
      <c r="A71" s="275" t="s">
        <v>84</v>
      </c>
      <c r="B71" s="276" t="s">
        <v>226</v>
      </c>
      <c r="C71" s="277">
        <v>7162</v>
      </c>
      <c r="D71" s="278" t="s">
        <v>227</v>
      </c>
      <c r="E71" s="256">
        <v>75.385800000000003</v>
      </c>
      <c r="F71" s="257">
        <f t="shared" si="0"/>
        <v>539913.09960000007</v>
      </c>
      <c r="G71" s="258"/>
      <c r="H71" s="259"/>
      <c r="J71" s="258"/>
    </row>
    <row r="72" spans="1:10" s="34" customFormat="1" ht="12" customHeight="1">
      <c r="A72" s="59"/>
      <c r="B72" s="100"/>
      <c r="C72" s="61"/>
      <c r="D72" s="62"/>
      <c r="E72" s="157"/>
      <c r="F72" s="137"/>
      <c r="G72" s="165"/>
      <c r="H72" s="286"/>
      <c r="J72" s="165"/>
    </row>
    <row r="73" spans="1:10" s="34" customFormat="1" ht="14.45">
      <c r="A73" s="66"/>
      <c r="B73" s="67"/>
      <c r="C73" s="68"/>
      <c r="D73" s="69"/>
      <c r="E73" s="157"/>
      <c r="F73" s="137"/>
      <c r="G73" s="165"/>
      <c r="H73" s="286"/>
      <c r="J73" s="165"/>
    </row>
    <row r="74" spans="1:10" s="34" customFormat="1" ht="12" customHeight="1">
      <c r="A74" s="59"/>
      <c r="B74" s="100"/>
      <c r="C74" s="61"/>
      <c r="D74" s="62"/>
      <c r="E74" s="157"/>
      <c r="F74" s="137"/>
      <c r="G74" s="165"/>
      <c r="H74" s="286"/>
      <c r="J74" s="165"/>
    </row>
    <row r="75" spans="1:10" s="34" customFormat="1" ht="14.45">
      <c r="A75" s="66"/>
      <c r="B75" s="67"/>
      <c r="C75" s="68"/>
      <c r="D75" s="69"/>
      <c r="E75" s="157"/>
      <c r="F75" s="137"/>
      <c r="G75" s="165"/>
      <c r="H75" s="286"/>
      <c r="J75" s="165"/>
    </row>
    <row r="76" spans="1:10" s="34" customFormat="1" ht="12" customHeight="1">
      <c r="A76" s="59"/>
      <c r="B76" s="100"/>
      <c r="C76" s="61"/>
      <c r="D76" s="62"/>
      <c r="E76" s="157"/>
      <c r="F76" s="137"/>
      <c r="G76" s="165"/>
      <c r="H76" s="286"/>
      <c r="J76" s="165"/>
    </row>
    <row r="77" spans="1:10" s="34" customFormat="1" ht="14.45">
      <c r="A77" s="66"/>
      <c r="B77" s="67"/>
      <c r="C77" s="68"/>
      <c r="D77" s="69"/>
      <c r="E77" s="157"/>
      <c r="F77" s="137"/>
      <c r="G77" s="165"/>
      <c r="H77" s="286"/>
      <c r="J77" s="165"/>
    </row>
    <row r="78" spans="1:10" s="34" customFormat="1" ht="12" customHeight="1">
      <c r="A78" s="59"/>
      <c r="B78" s="100"/>
      <c r="C78" s="61"/>
      <c r="D78" s="62"/>
      <c r="E78" s="157"/>
      <c r="F78" s="137"/>
      <c r="G78" s="165"/>
      <c r="H78" s="286"/>
      <c r="J78" s="165"/>
    </row>
    <row r="79" spans="1:10" s="34" customFormat="1" ht="14.45">
      <c r="A79" s="66"/>
      <c r="B79" s="67"/>
      <c r="C79" s="68"/>
      <c r="D79" s="69"/>
      <c r="E79" s="157"/>
      <c r="F79" s="137"/>
      <c r="G79" s="165"/>
      <c r="H79" s="286"/>
      <c r="J79" s="165"/>
    </row>
    <row r="80" spans="1:10" s="34" customFormat="1" ht="12" customHeight="1">
      <c r="A80" s="59"/>
      <c r="B80" s="100"/>
      <c r="C80" s="61"/>
      <c r="D80" s="62"/>
      <c r="E80" s="157"/>
      <c r="F80" s="137"/>
      <c r="G80" s="165"/>
      <c r="H80" s="286"/>
      <c r="J80" s="165"/>
    </row>
    <row r="81" spans="1:10" s="34" customFormat="1" ht="14.45">
      <c r="A81" s="66"/>
      <c r="B81" s="67"/>
      <c r="C81" s="68"/>
      <c r="D81" s="69"/>
      <c r="E81" s="157"/>
      <c r="F81" s="137"/>
      <c r="G81" s="165"/>
      <c r="H81" s="286"/>
      <c r="I81" s="242"/>
      <c r="J81" s="165"/>
    </row>
    <row r="82" spans="1:10" s="34" customFormat="1" ht="12" customHeight="1">
      <c r="A82" s="59"/>
      <c r="B82" s="100"/>
      <c r="C82" s="61"/>
      <c r="D82" s="62"/>
      <c r="E82" s="157"/>
      <c r="F82" s="137"/>
      <c r="G82" s="165"/>
      <c r="H82" s="286"/>
      <c r="J82" s="165"/>
    </row>
    <row r="83" spans="1:10" s="34" customFormat="1" ht="14.45">
      <c r="A83" s="59"/>
      <c r="B83" s="100"/>
      <c r="C83" s="61"/>
      <c r="D83" s="62"/>
      <c r="E83" s="157"/>
      <c r="F83" s="137"/>
      <c r="G83" s="165"/>
      <c r="H83" s="286"/>
      <c r="J83" s="165"/>
    </row>
    <row r="84" spans="1:10" s="34" customFormat="1" ht="14.45">
      <c r="A84" s="66"/>
      <c r="B84" s="67"/>
      <c r="C84" s="68"/>
      <c r="D84" s="69"/>
      <c r="E84" s="157"/>
      <c r="F84" s="137"/>
      <c r="G84" s="165"/>
      <c r="H84" s="286"/>
      <c r="J84" s="165"/>
    </row>
    <row r="85" spans="1:10" s="34" customFormat="1" ht="14.45">
      <c r="A85" s="59"/>
      <c r="B85" s="100"/>
      <c r="C85" s="61"/>
      <c r="D85" s="62"/>
      <c r="E85" s="157"/>
      <c r="F85" s="137"/>
      <c r="G85" s="165"/>
      <c r="H85" s="286"/>
      <c r="J85" s="165"/>
    </row>
    <row r="86" spans="1:10" s="34" customFormat="1" ht="14.45">
      <c r="A86" s="66"/>
      <c r="B86" s="67"/>
      <c r="C86" s="68"/>
      <c r="D86" s="69"/>
      <c r="E86" s="157"/>
      <c r="F86" s="137"/>
      <c r="G86" s="165"/>
      <c r="H86" s="286"/>
      <c r="J86" s="165"/>
    </row>
    <row r="87" spans="1:10" s="34" customFormat="1" ht="14.45">
      <c r="A87" s="59"/>
      <c r="B87" s="100"/>
      <c r="C87" s="61"/>
      <c r="D87" s="62"/>
      <c r="E87" s="157"/>
      <c r="F87" s="137"/>
      <c r="G87" s="165"/>
      <c r="H87" s="286"/>
      <c r="J87" s="165"/>
    </row>
    <row r="88" spans="1:10" s="34" customFormat="1" ht="14.45">
      <c r="A88" s="66"/>
      <c r="B88" s="67"/>
      <c r="C88" s="68"/>
      <c r="D88" s="69"/>
      <c r="E88" s="157"/>
      <c r="F88" s="137"/>
      <c r="G88" s="165"/>
      <c r="H88" s="286"/>
      <c r="J88" s="165"/>
    </row>
    <row r="89" spans="1:10" s="34" customFormat="1" ht="14.45">
      <c r="A89" s="59"/>
      <c r="B89" s="100"/>
      <c r="C89" s="61"/>
      <c r="D89" s="62"/>
      <c r="E89" s="157"/>
      <c r="F89" s="137"/>
      <c r="G89" s="165"/>
      <c r="H89" s="286"/>
      <c r="J89" s="165"/>
    </row>
    <row r="90" spans="1:10" s="34" customFormat="1" ht="14.45">
      <c r="A90" s="66"/>
      <c r="B90" s="67"/>
      <c r="C90" s="68"/>
      <c r="D90" s="69"/>
      <c r="E90" s="157"/>
      <c r="F90" s="137"/>
      <c r="G90" s="165"/>
      <c r="H90" s="286"/>
      <c r="J90" s="165"/>
    </row>
    <row r="91" spans="1:10" s="34" customFormat="1" ht="14.45">
      <c r="A91" s="59"/>
      <c r="B91" s="100"/>
      <c r="C91" s="61"/>
      <c r="D91" s="62"/>
      <c r="E91" s="157"/>
      <c r="F91" s="137"/>
      <c r="G91" s="165"/>
      <c r="H91" s="286"/>
      <c r="J91" s="165"/>
    </row>
    <row r="92" spans="1:10" s="34" customFormat="1" ht="14.45">
      <c r="A92" s="66"/>
      <c r="B92" s="67"/>
      <c r="C92" s="68"/>
      <c r="D92" s="69"/>
      <c r="E92" s="157"/>
      <c r="F92" s="137"/>
      <c r="G92" s="165"/>
      <c r="H92" s="286"/>
      <c r="J92" s="165"/>
    </row>
    <row r="93" spans="1:10" s="34" customFormat="1" ht="14.45">
      <c r="A93" s="59"/>
      <c r="B93" s="100"/>
      <c r="C93" s="61"/>
      <c r="D93" s="62"/>
      <c r="E93" s="157"/>
      <c r="F93" s="137"/>
      <c r="G93" s="165"/>
      <c r="H93" s="286"/>
      <c r="J93" s="165"/>
    </row>
    <row r="94" spans="1:10" s="34" customFormat="1" ht="14.45">
      <c r="A94" s="31"/>
      <c r="B94" s="101"/>
      <c r="C94" s="29"/>
      <c r="D94" s="33"/>
      <c r="E94" s="157"/>
      <c r="F94" s="137"/>
      <c r="G94" s="165"/>
      <c r="H94" s="286"/>
    </row>
    <row r="95" spans="1:10" s="34" customFormat="1" ht="14.45">
      <c r="A95" s="71"/>
      <c r="B95" s="72"/>
      <c r="C95" s="73"/>
      <c r="D95" s="74"/>
      <c r="E95" s="159"/>
      <c r="F95" s="138"/>
      <c r="G95" s="165"/>
      <c r="H95" s="286"/>
    </row>
    <row r="96" spans="1:10" s="34" customFormat="1" ht="14.45">
      <c r="A96" s="75"/>
      <c r="B96" s="76"/>
      <c r="C96" s="77" t="s">
        <v>30</v>
      </c>
      <c r="D96" s="77"/>
      <c r="E96" s="160" t="s">
        <v>8</v>
      </c>
      <c r="F96" s="139">
        <f>SUM(F51:F93)</f>
        <v>1811924.5596</v>
      </c>
      <c r="G96" s="165"/>
      <c r="H96" s="286"/>
    </row>
    <row r="97" spans="1:8" s="34" customFormat="1" ht="14.45">
      <c r="A97" s="75"/>
      <c r="B97" s="76"/>
      <c r="C97" s="78"/>
      <c r="D97" s="79"/>
      <c r="E97" s="161"/>
      <c r="F97" s="140"/>
      <c r="G97" s="165"/>
      <c r="H97" s="286"/>
    </row>
    <row r="98" spans="1:8" s="34" customFormat="1" ht="14.45">
      <c r="A98" s="31"/>
      <c r="B98" s="32"/>
      <c r="C98" s="29"/>
      <c r="D98" s="33"/>
      <c r="E98" s="157"/>
      <c r="F98" s="137"/>
      <c r="G98" s="165"/>
      <c r="H98" s="286"/>
    </row>
    <row r="99" spans="1:8" s="34" customFormat="1" ht="14.45">
      <c r="A99" s="31"/>
      <c r="B99" s="38" t="s">
        <v>109</v>
      </c>
      <c r="C99" s="29"/>
      <c r="D99" s="33"/>
      <c r="E99" s="157"/>
      <c r="F99" s="137"/>
      <c r="G99" s="165"/>
      <c r="H99" s="286"/>
    </row>
    <row r="100" spans="1:8" s="34" customFormat="1" ht="14.45">
      <c r="A100" s="31"/>
      <c r="B100" s="32"/>
      <c r="C100" s="29"/>
      <c r="D100" s="33"/>
      <c r="E100" s="157"/>
      <c r="F100" s="137"/>
      <c r="G100" s="165"/>
      <c r="H100" s="286"/>
    </row>
    <row r="101" spans="1:8" s="34" customFormat="1" ht="14.45">
      <c r="A101" s="31"/>
      <c r="B101" s="39" t="s">
        <v>228</v>
      </c>
      <c r="C101" s="29"/>
      <c r="D101" s="33"/>
      <c r="E101" s="157"/>
      <c r="F101" s="137">
        <f>F48</f>
        <v>2345327.0919000003</v>
      </c>
      <c r="G101" s="165"/>
      <c r="H101" s="286"/>
    </row>
    <row r="102" spans="1:8" s="34" customFormat="1" ht="14.45">
      <c r="A102" s="31"/>
      <c r="B102" s="39"/>
      <c r="C102" s="29"/>
      <c r="D102" s="33"/>
      <c r="E102" s="157"/>
      <c r="F102" s="137"/>
      <c r="G102" s="165"/>
      <c r="H102" s="286"/>
    </row>
    <row r="103" spans="1:8" s="34" customFormat="1" ht="14.45">
      <c r="A103" s="31"/>
      <c r="B103" s="39" t="s">
        <v>229</v>
      </c>
      <c r="C103" s="29"/>
      <c r="D103" s="33"/>
      <c r="E103" s="157"/>
      <c r="F103" s="137">
        <f>F96</f>
        <v>1811924.5596</v>
      </c>
      <c r="G103" s="165"/>
      <c r="H103" s="286"/>
    </row>
    <row r="104" spans="1:8" s="34" customFormat="1" ht="14.45">
      <c r="A104" s="31"/>
      <c r="B104" s="32"/>
      <c r="C104" s="29"/>
      <c r="D104" s="33"/>
      <c r="E104" s="157"/>
      <c r="F104" s="137"/>
      <c r="G104" s="165"/>
      <c r="H104" s="286"/>
    </row>
    <row r="105" spans="1:8" s="34" customFormat="1" ht="14.45">
      <c r="A105" s="31"/>
      <c r="B105" s="39"/>
      <c r="C105" s="29"/>
      <c r="D105" s="33"/>
      <c r="E105" s="157"/>
      <c r="F105" s="137"/>
      <c r="G105" s="165"/>
      <c r="H105" s="286"/>
    </row>
    <row r="106" spans="1:8" s="34" customFormat="1" ht="14.45">
      <c r="A106" s="31"/>
      <c r="B106" s="32"/>
      <c r="C106" s="29"/>
      <c r="D106" s="33"/>
      <c r="E106" s="157"/>
      <c r="F106" s="137"/>
      <c r="G106" s="165"/>
      <c r="H106" s="286"/>
    </row>
    <row r="107" spans="1:8" s="34" customFormat="1" ht="14.45">
      <c r="A107" s="31"/>
      <c r="B107" s="39"/>
      <c r="C107" s="29"/>
      <c r="D107" s="33"/>
      <c r="E107" s="157"/>
      <c r="F107" s="137"/>
      <c r="G107" s="165"/>
      <c r="H107" s="286"/>
    </row>
    <row r="108" spans="1:8" s="34" customFormat="1" ht="14.45">
      <c r="A108" s="31"/>
      <c r="B108" s="32"/>
      <c r="C108" s="29"/>
      <c r="D108" s="33"/>
      <c r="E108" s="157"/>
      <c r="F108" s="137"/>
      <c r="G108" s="165"/>
      <c r="H108" s="286"/>
    </row>
    <row r="109" spans="1:8" s="34" customFormat="1" ht="14.45">
      <c r="A109" s="31"/>
      <c r="B109" s="39"/>
      <c r="C109" s="29"/>
      <c r="D109" s="33"/>
      <c r="E109" s="157"/>
      <c r="F109" s="137"/>
      <c r="G109" s="165"/>
      <c r="H109" s="286"/>
    </row>
    <row r="110" spans="1:8" s="34" customFormat="1" ht="14.45">
      <c r="A110" s="31"/>
      <c r="B110" s="32"/>
      <c r="C110" s="29"/>
      <c r="D110" s="33"/>
      <c r="E110" s="157"/>
      <c r="F110" s="137"/>
      <c r="G110" s="165"/>
      <c r="H110" s="286"/>
    </row>
    <row r="111" spans="1:8" s="34" customFormat="1" ht="14.45">
      <c r="A111" s="31"/>
      <c r="B111" s="39"/>
      <c r="C111" s="29"/>
      <c r="D111" s="33"/>
      <c r="E111" s="157"/>
      <c r="F111" s="137"/>
      <c r="G111" s="165"/>
      <c r="H111" s="286"/>
    </row>
    <row r="112" spans="1:8" s="34" customFormat="1" ht="14.45">
      <c r="A112" s="31"/>
      <c r="B112" s="32"/>
      <c r="C112" s="29"/>
      <c r="D112" s="33"/>
      <c r="E112" s="157"/>
      <c r="F112" s="137"/>
      <c r="G112" s="165"/>
      <c r="H112" s="286"/>
    </row>
    <row r="113" spans="1:8" s="34" customFormat="1" ht="14.45">
      <c r="A113" s="31"/>
      <c r="B113" s="39"/>
      <c r="C113" s="29"/>
      <c r="D113" s="33"/>
      <c r="E113" s="157"/>
      <c r="F113" s="137"/>
      <c r="G113" s="165"/>
      <c r="H113" s="286"/>
    </row>
    <row r="114" spans="1:8" s="34" customFormat="1" ht="14.45">
      <c r="A114" s="31"/>
      <c r="B114" s="32"/>
      <c r="C114" s="29"/>
      <c r="D114" s="33"/>
      <c r="E114" s="157"/>
      <c r="F114" s="137"/>
      <c r="G114" s="165"/>
      <c r="H114" s="286"/>
    </row>
    <row r="115" spans="1:8" s="34" customFormat="1" ht="14.45">
      <c r="A115" s="31"/>
      <c r="B115" s="39"/>
      <c r="C115" s="29"/>
      <c r="D115" s="33"/>
      <c r="E115" s="157"/>
      <c r="F115" s="137"/>
      <c r="G115" s="165"/>
      <c r="H115" s="286"/>
    </row>
    <row r="116" spans="1:8" s="34" customFormat="1" ht="14.45">
      <c r="A116" s="31"/>
      <c r="B116" s="32"/>
      <c r="C116" s="29"/>
      <c r="D116" s="33"/>
      <c r="E116" s="157"/>
      <c r="F116" s="137"/>
      <c r="G116" s="165"/>
      <c r="H116" s="286"/>
    </row>
    <row r="117" spans="1:8" s="34" customFormat="1" ht="14.45">
      <c r="A117" s="31"/>
      <c r="B117" s="32"/>
      <c r="C117" s="29"/>
      <c r="D117" s="33"/>
      <c r="E117" s="157"/>
      <c r="F117" s="137"/>
      <c r="G117" s="165"/>
      <c r="H117" s="286"/>
    </row>
    <row r="118" spans="1:8" s="34" customFormat="1" ht="14.45">
      <c r="A118" s="31"/>
      <c r="B118" s="32"/>
      <c r="C118" s="29"/>
      <c r="D118" s="33"/>
      <c r="E118" s="157"/>
      <c r="F118" s="137"/>
      <c r="G118" s="165"/>
      <c r="H118" s="286"/>
    </row>
    <row r="119" spans="1:8" s="34" customFormat="1" ht="14.45">
      <c r="A119" s="31"/>
      <c r="B119" s="32"/>
      <c r="C119" s="29"/>
      <c r="D119" s="33"/>
      <c r="E119" s="157"/>
      <c r="F119" s="137"/>
      <c r="G119" s="165"/>
      <c r="H119" s="286"/>
    </row>
    <row r="120" spans="1:8" s="34" customFormat="1" ht="14.45">
      <c r="A120" s="31"/>
      <c r="B120" s="32"/>
      <c r="C120" s="29"/>
      <c r="D120" s="33"/>
      <c r="E120" s="157"/>
      <c r="F120" s="137"/>
      <c r="G120" s="165"/>
      <c r="H120" s="286"/>
    </row>
    <row r="121" spans="1:8" s="34" customFormat="1" ht="14.45">
      <c r="A121" s="31"/>
      <c r="B121" s="32"/>
      <c r="C121" s="29"/>
      <c r="D121" s="33"/>
      <c r="E121" s="157"/>
      <c r="F121" s="137"/>
      <c r="G121" s="165"/>
      <c r="H121" s="286"/>
    </row>
    <row r="122" spans="1:8" s="34" customFormat="1" ht="14.45">
      <c r="A122" s="31"/>
      <c r="B122" s="32"/>
      <c r="C122" s="29"/>
      <c r="D122" s="33"/>
      <c r="E122" s="157"/>
      <c r="F122" s="137"/>
      <c r="G122" s="165"/>
      <c r="H122" s="286"/>
    </row>
    <row r="123" spans="1:8" s="34" customFormat="1" ht="14.45">
      <c r="A123" s="31"/>
      <c r="B123" s="32"/>
      <c r="C123" s="29"/>
      <c r="D123" s="33"/>
      <c r="E123" s="157"/>
      <c r="F123" s="137"/>
      <c r="G123" s="165"/>
      <c r="H123" s="286"/>
    </row>
    <row r="124" spans="1:8" s="34" customFormat="1" ht="14.45">
      <c r="A124" s="31"/>
      <c r="B124" s="32"/>
      <c r="C124" s="29"/>
      <c r="D124" s="33"/>
      <c r="E124" s="157"/>
      <c r="F124" s="137"/>
      <c r="G124" s="165"/>
      <c r="H124" s="286"/>
    </row>
    <row r="125" spans="1:8" s="34" customFormat="1" ht="14.45">
      <c r="A125" s="31"/>
      <c r="B125" s="32"/>
      <c r="C125" s="29"/>
      <c r="D125" s="33"/>
      <c r="E125" s="157"/>
      <c r="F125" s="137"/>
      <c r="G125" s="165"/>
      <c r="H125" s="286"/>
    </row>
    <row r="126" spans="1:8" s="34" customFormat="1" ht="14.45">
      <c r="A126" s="31"/>
      <c r="B126" s="32"/>
      <c r="C126" s="29"/>
      <c r="D126" s="33"/>
      <c r="E126" s="157"/>
      <c r="F126" s="137"/>
      <c r="G126" s="165"/>
      <c r="H126" s="286"/>
    </row>
    <row r="127" spans="1:8" s="34" customFormat="1" ht="14.45">
      <c r="A127" s="31"/>
      <c r="B127" s="32"/>
      <c r="C127" s="29"/>
      <c r="D127" s="33"/>
      <c r="E127" s="157"/>
      <c r="F127" s="137"/>
      <c r="G127" s="165"/>
      <c r="H127" s="286"/>
    </row>
    <row r="128" spans="1:8" s="34" customFormat="1" ht="14.45">
      <c r="A128" s="31"/>
      <c r="B128" s="32"/>
      <c r="C128" s="29"/>
      <c r="D128" s="33"/>
      <c r="E128" s="157"/>
      <c r="F128" s="137"/>
      <c r="G128" s="165"/>
      <c r="H128" s="286"/>
    </row>
    <row r="129" spans="1:9" s="34" customFormat="1" ht="14.45">
      <c r="A129" s="31"/>
      <c r="B129" s="32"/>
      <c r="C129" s="29"/>
      <c r="D129" s="33"/>
      <c r="E129" s="157"/>
      <c r="F129" s="137"/>
      <c r="G129" s="165"/>
      <c r="H129" s="286"/>
    </row>
    <row r="130" spans="1:9" s="34" customFormat="1" ht="14.45">
      <c r="A130" s="31"/>
      <c r="B130" s="32"/>
      <c r="C130" s="29"/>
      <c r="D130" s="33"/>
      <c r="E130" s="157"/>
      <c r="F130" s="137"/>
      <c r="G130" s="165"/>
      <c r="H130" s="286"/>
    </row>
    <row r="131" spans="1:9" s="34" customFormat="1" ht="14.45">
      <c r="A131" s="31"/>
      <c r="B131" s="32"/>
      <c r="C131" s="29"/>
      <c r="D131" s="33"/>
      <c r="E131" s="157"/>
      <c r="F131" s="137"/>
      <c r="G131" s="165"/>
      <c r="H131" s="286"/>
    </row>
    <row r="132" spans="1:9" s="34" customFormat="1" ht="14.45">
      <c r="A132" s="31"/>
      <c r="B132" s="32"/>
      <c r="C132" s="29"/>
      <c r="D132" s="33"/>
      <c r="E132" s="157"/>
      <c r="F132" s="137"/>
      <c r="G132" s="165"/>
      <c r="H132" s="286"/>
    </row>
    <row r="133" spans="1:9" s="34" customFormat="1" ht="14.45">
      <c r="A133" s="31"/>
      <c r="B133" s="32"/>
      <c r="C133" s="29"/>
      <c r="D133" s="33"/>
      <c r="E133" s="157"/>
      <c r="F133" s="137"/>
      <c r="G133" s="165"/>
      <c r="H133" s="286"/>
    </row>
    <row r="134" spans="1:9" s="34" customFormat="1" ht="14.45">
      <c r="A134" s="31"/>
      <c r="B134" s="32"/>
      <c r="C134" s="29"/>
      <c r="D134" s="33"/>
      <c r="E134" s="157"/>
      <c r="F134" s="137"/>
      <c r="G134" s="165"/>
      <c r="H134" s="286"/>
    </row>
    <row r="135" spans="1:9" s="34" customFormat="1" ht="14.45">
      <c r="A135" s="31"/>
      <c r="B135" s="32"/>
      <c r="C135" s="29"/>
      <c r="D135" s="33"/>
      <c r="E135" s="157"/>
      <c r="F135" s="137"/>
      <c r="G135" s="165"/>
      <c r="H135" s="286"/>
    </row>
    <row r="136" spans="1:9" s="34" customFormat="1" ht="14.45">
      <c r="A136" s="31"/>
      <c r="B136" s="32"/>
      <c r="C136" s="29"/>
      <c r="D136" s="33"/>
      <c r="E136" s="157"/>
      <c r="F136" s="137"/>
      <c r="G136" s="165"/>
      <c r="H136" s="286"/>
    </row>
    <row r="137" spans="1:9" s="34" customFormat="1" ht="14.45">
      <c r="A137" s="31"/>
      <c r="B137" s="32"/>
      <c r="C137" s="29"/>
      <c r="D137" s="33"/>
      <c r="E137" s="157"/>
      <c r="F137" s="137"/>
      <c r="G137" s="165"/>
      <c r="H137" s="286"/>
    </row>
    <row r="138" spans="1:9" s="34" customFormat="1" ht="14.45">
      <c r="A138" s="31"/>
      <c r="B138" s="32"/>
      <c r="C138" s="29"/>
      <c r="D138" s="33"/>
      <c r="E138" s="157"/>
      <c r="F138" s="137"/>
      <c r="G138" s="165"/>
      <c r="H138" s="286"/>
    </row>
    <row r="139" spans="1:9" s="34" customFormat="1" ht="14.45">
      <c r="A139" s="31"/>
      <c r="B139" s="32"/>
      <c r="C139" s="29"/>
      <c r="D139" s="33"/>
      <c r="E139" s="157"/>
      <c r="F139" s="137"/>
      <c r="G139" s="165"/>
      <c r="H139" s="286"/>
    </row>
    <row r="140" spans="1:9" s="34" customFormat="1" ht="14.45">
      <c r="A140" s="31"/>
      <c r="B140" s="32"/>
      <c r="C140" s="29"/>
      <c r="D140" s="33"/>
      <c r="E140" s="157"/>
      <c r="F140" s="137"/>
      <c r="G140" s="165"/>
      <c r="H140" s="286"/>
    </row>
    <row r="141" spans="1:9" s="34" customFormat="1" ht="14.45">
      <c r="A141" s="31"/>
      <c r="B141" s="32"/>
      <c r="C141" s="29"/>
      <c r="D141" s="33"/>
      <c r="E141" s="157"/>
      <c r="F141" s="137"/>
      <c r="G141" s="165"/>
      <c r="H141" s="286"/>
    </row>
    <row r="142" spans="1:9" s="34" customFormat="1" ht="14.45">
      <c r="A142" s="31"/>
      <c r="B142" s="32"/>
      <c r="C142" s="29"/>
      <c r="D142" s="33"/>
      <c r="E142" s="157"/>
      <c r="F142" s="137"/>
      <c r="G142" s="165"/>
      <c r="H142" s="286"/>
    </row>
    <row r="143" spans="1:9" s="34" customFormat="1" ht="14.45">
      <c r="A143" s="71"/>
      <c r="B143" s="72"/>
      <c r="C143" s="73"/>
      <c r="D143" s="74"/>
      <c r="E143" s="159"/>
      <c r="F143" s="138"/>
      <c r="G143" s="165"/>
      <c r="H143" s="286"/>
    </row>
    <row r="144" spans="1:9" s="34" customFormat="1" ht="14.45">
      <c r="A144" s="75"/>
      <c r="B144" s="76"/>
      <c r="C144" s="77" t="s">
        <v>116</v>
      </c>
      <c r="D144" s="77"/>
      <c r="E144" s="160" t="s">
        <v>8</v>
      </c>
      <c r="F144" s="139">
        <f>SUM(F98:F118)</f>
        <v>4157251.6515000006</v>
      </c>
      <c r="G144" s="165"/>
      <c r="H144" s="286"/>
      <c r="I144" s="165"/>
    </row>
    <row r="145" spans="1:8" s="34" customFormat="1" ht="14.45">
      <c r="A145" s="75"/>
      <c r="B145" s="76"/>
      <c r="C145" s="78"/>
      <c r="D145" s="79"/>
      <c r="E145" s="161"/>
      <c r="F145" s="140"/>
      <c r="G145" s="165"/>
      <c r="H145" s="286"/>
    </row>
  </sheetData>
  <mergeCells count="4">
    <mergeCell ref="A1:A2"/>
    <mergeCell ref="B1:B2"/>
    <mergeCell ref="C1:C2"/>
    <mergeCell ref="D1:D2"/>
  </mergeCells>
  <phoneticPr fontId="42" type="noConversion"/>
  <printOptions horizontalCentered="1"/>
  <pageMargins left="0.6692913385826772" right="0.19685039370078741" top="0.82677165354330717" bottom="0.47244094488188981" header="0.19685039370078741" footer="0.23622047244094491"/>
  <pageSetup paperSize="9" scale="91" fitToHeight="0" orientation="portrait" useFirstPageNumber="1" r:id="rId1"/>
  <headerFooter>
    <oddHeader>&amp;R&amp;11&amp;U
BILL NO. 3 - MALL REFURBISHMENT
CONCRETE WORK EXTRAOVER TO COMPLY WITH DRAWINGS ISSUED FOR AUTHORITY APPROVAL</oddHeader>
    <oddFooter>&amp;L&amp;8DMS 148704 BOQ - Nakheel Mall Al Khail&amp;C3/C/EO/&amp;P</oddFooter>
  </headerFooter>
  <rowBreaks count="2" manualBreakCount="2">
    <brk id="49" max="5" man="1"/>
    <brk id="97" max="5"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2D8A95-D927-4896-9614-5B8A45091CE7}">
  <sheetPr codeName="Sheet4"/>
  <dimension ref="A1:H135"/>
  <sheetViews>
    <sheetView view="pageBreakPreview" zoomScale="85" zoomScaleNormal="100" zoomScaleSheetLayoutView="85" zoomScalePageLayoutView="85" workbookViewId="0">
      <selection activeCell="F34" sqref="F34"/>
    </sheetView>
  </sheetViews>
  <sheetFormatPr defaultColWidth="9.28515625" defaultRowHeight="13.9"/>
  <cols>
    <col min="1" max="1" width="5.7109375" style="36" customWidth="1"/>
    <col min="2" max="2" width="46" style="27" customWidth="1"/>
    <col min="3" max="3" width="10.7109375" style="28" customWidth="1"/>
    <col min="4" max="4" width="6.7109375" style="37" customWidth="1"/>
    <col min="5" max="5" width="19.28515625" style="162" customWidth="1"/>
    <col min="6" max="6" width="15.7109375" style="142" customWidth="1"/>
    <col min="7" max="7" width="16" style="167" customWidth="1"/>
    <col min="8" max="8" width="13.5703125" style="35" customWidth="1"/>
    <col min="9" max="16384" width="9.28515625" style="35"/>
  </cols>
  <sheetData>
    <row r="1" spans="1:8" s="30" customFormat="1" ht="14.45">
      <c r="A1" s="332" t="s">
        <v>2</v>
      </c>
      <c r="B1" s="332" t="s">
        <v>3</v>
      </c>
      <c r="C1" s="334" t="s">
        <v>4</v>
      </c>
      <c r="D1" s="336" t="s">
        <v>5</v>
      </c>
      <c r="E1" s="155" t="s">
        <v>6</v>
      </c>
      <c r="F1" s="135" t="s">
        <v>7</v>
      </c>
      <c r="G1" s="164"/>
    </row>
    <row r="2" spans="1:8" s="30" customFormat="1" ht="14.45">
      <c r="A2" s="333"/>
      <c r="B2" s="333"/>
      <c r="C2" s="335"/>
      <c r="D2" s="337"/>
      <c r="E2" s="156" t="s">
        <v>8</v>
      </c>
      <c r="F2" s="136" t="s">
        <v>8</v>
      </c>
      <c r="G2" s="164"/>
    </row>
    <row r="3" spans="1:8" s="34" customFormat="1" ht="14.45">
      <c r="A3" s="31"/>
      <c r="B3" s="32"/>
      <c r="C3" s="29"/>
      <c r="D3" s="33"/>
      <c r="E3" s="157"/>
      <c r="F3" s="137"/>
      <c r="G3" s="165"/>
    </row>
    <row r="4" spans="1:8" s="34" customFormat="1" ht="14.45">
      <c r="A4" s="59"/>
      <c r="B4" s="63" t="s">
        <v>230</v>
      </c>
      <c r="C4" s="61"/>
      <c r="D4" s="62"/>
      <c r="E4" s="157"/>
      <c r="F4" s="137"/>
      <c r="G4" s="165"/>
    </row>
    <row r="5" spans="1:8" s="34" customFormat="1" ht="14.45">
      <c r="A5" s="59"/>
      <c r="B5" s="63"/>
      <c r="C5" s="61"/>
      <c r="D5" s="62"/>
      <c r="E5" s="157"/>
      <c r="F5" s="137"/>
      <c r="G5" s="165"/>
    </row>
    <row r="6" spans="1:8" s="34" customFormat="1" ht="14.45">
      <c r="A6" s="59"/>
      <c r="B6" s="64" t="s">
        <v>231</v>
      </c>
      <c r="C6" s="61"/>
      <c r="D6" s="62"/>
      <c r="E6" s="157"/>
      <c r="F6" s="137"/>
      <c r="G6" s="165"/>
    </row>
    <row r="7" spans="1:8" s="34" customFormat="1" ht="14.45">
      <c r="A7" s="59"/>
      <c r="B7" s="84"/>
      <c r="C7" s="61"/>
      <c r="D7" s="62"/>
      <c r="E7" s="157"/>
      <c r="F7" s="137"/>
      <c r="G7" s="165"/>
    </row>
    <row r="8" spans="1:8" s="34" customFormat="1" ht="14.45">
      <c r="A8" s="66"/>
      <c r="B8" s="67" t="s">
        <v>52</v>
      </c>
      <c r="C8" s="68"/>
      <c r="D8" s="69"/>
      <c r="E8" s="157"/>
      <c r="F8" s="137"/>
      <c r="G8" s="165"/>
    </row>
    <row r="9" spans="1:8" s="34" customFormat="1" ht="14.45">
      <c r="A9" s="59"/>
      <c r="B9" s="65"/>
      <c r="C9" s="61"/>
      <c r="D9" s="62"/>
      <c r="E9" s="157"/>
      <c r="F9" s="137"/>
      <c r="G9" s="165"/>
    </row>
    <row r="10" spans="1:8" s="34" customFormat="1" ht="27.6">
      <c r="A10" s="66"/>
      <c r="B10" s="67" t="s">
        <v>232</v>
      </c>
      <c r="C10" s="68"/>
      <c r="D10" s="69"/>
      <c r="E10" s="157"/>
      <c r="F10" s="137"/>
      <c r="G10" s="165"/>
    </row>
    <row r="11" spans="1:8" s="34" customFormat="1" ht="14.45">
      <c r="A11" s="59"/>
      <c r="B11" s="65"/>
      <c r="C11" s="61"/>
      <c r="D11" s="62"/>
      <c r="E11" s="157"/>
      <c r="F11" s="137"/>
      <c r="G11" s="165"/>
    </row>
    <row r="12" spans="1:8" s="34" customFormat="1" ht="82.9">
      <c r="A12" s="66"/>
      <c r="B12" s="98" t="s">
        <v>233</v>
      </c>
      <c r="C12" s="68"/>
      <c r="D12" s="69"/>
      <c r="E12" s="157"/>
      <c r="F12" s="137"/>
      <c r="G12" s="165"/>
    </row>
    <row r="13" spans="1:8" s="34" customFormat="1" ht="14.45">
      <c r="A13" s="59"/>
      <c r="B13" s="65"/>
      <c r="C13" s="61"/>
      <c r="D13" s="62"/>
      <c r="E13" s="157"/>
      <c r="F13" s="137"/>
      <c r="G13" s="165"/>
    </row>
    <row r="14" spans="1:8" s="34" customFormat="1" ht="27.6">
      <c r="A14" s="66" t="s">
        <v>14</v>
      </c>
      <c r="B14" s="67" t="s">
        <v>234</v>
      </c>
      <c r="C14" s="68" t="s">
        <v>235</v>
      </c>
      <c r="D14" s="69" t="s">
        <v>16</v>
      </c>
      <c r="E14" s="157">
        <v>170.19</v>
      </c>
      <c r="F14" s="137">
        <f>C14*E14</f>
        <v>89690.13</v>
      </c>
      <c r="G14" s="165"/>
      <c r="H14" s="165"/>
    </row>
    <row r="15" spans="1:8" s="34" customFormat="1" ht="14.45">
      <c r="A15" s="59"/>
      <c r="B15" s="65"/>
      <c r="C15" s="61"/>
      <c r="D15" s="62"/>
      <c r="E15" s="157"/>
      <c r="F15" s="137"/>
      <c r="G15" s="165"/>
      <c r="H15" s="165"/>
    </row>
    <row r="16" spans="1:8" s="34" customFormat="1" ht="27.6">
      <c r="A16" s="66" t="s">
        <v>17</v>
      </c>
      <c r="B16" s="67" t="s">
        <v>236</v>
      </c>
      <c r="C16" s="68" t="s">
        <v>237</v>
      </c>
      <c r="D16" s="69" t="s">
        <v>16</v>
      </c>
      <c r="E16" s="157">
        <v>153.63</v>
      </c>
      <c r="F16" s="137">
        <f>C16*E16</f>
        <v>5500568.5199999996</v>
      </c>
      <c r="G16" s="165"/>
      <c r="H16" s="165"/>
    </row>
    <row r="17" spans="1:8" s="34" customFormat="1" ht="14.45">
      <c r="A17" s="59"/>
      <c r="B17" s="65"/>
      <c r="C17" s="61"/>
      <c r="D17" s="62"/>
      <c r="E17" s="157"/>
      <c r="F17" s="137"/>
      <c r="G17" s="165"/>
      <c r="H17" s="165"/>
    </row>
    <row r="18" spans="1:8" s="34" customFormat="1" ht="14.45">
      <c r="A18" s="66"/>
      <c r="B18" s="70"/>
      <c r="C18" s="68"/>
      <c r="D18" s="69"/>
      <c r="E18" s="157"/>
      <c r="F18" s="137"/>
      <c r="G18" s="165"/>
      <c r="H18" s="165"/>
    </row>
    <row r="19" spans="1:8" s="34" customFormat="1" ht="14.45">
      <c r="A19" s="59"/>
      <c r="B19" s="65"/>
      <c r="C19" s="61"/>
      <c r="D19" s="62"/>
      <c r="E19" s="157"/>
      <c r="F19" s="137"/>
      <c r="G19" s="165"/>
      <c r="H19" s="165"/>
    </row>
    <row r="20" spans="1:8" s="34" customFormat="1" ht="14.45">
      <c r="A20" s="66"/>
      <c r="B20" s="67"/>
      <c r="C20" s="68"/>
      <c r="D20" s="69"/>
      <c r="E20" s="157"/>
      <c r="F20" s="137"/>
      <c r="G20" s="165"/>
      <c r="H20" s="165"/>
    </row>
    <row r="21" spans="1:8" s="34" customFormat="1" ht="14.45">
      <c r="A21" s="59"/>
      <c r="B21" s="65"/>
      <c r="C21" s="61"/>
      <c r="D21" s="62"/>
      <c r="E21" s="157"/>
      <c r="F21" s="137"/>
      <c r="G21" s="165"/>
      <c r="H21" s="165"/>
    </row>
    <row r="22" spans="1:8" s="34" customFormat="1" ht="14.45">
      <c r="A22" s="66"/>
      <c r="B22" s="67"/>
      <c r="C22" s="68"/>
      <c r="D22" s="69"/>
      <c r="E22" s="157"/>
      <c r="F22" s="137"/>
      <c r="G22" s="165"/>
      <c r="H22" s="165"/>
    </row>
    <row r="23" spans="1:8" s="34" customFormat="1" ht="14.45">
      <c r="A23" s="59"/>
      <c r="B23" s="65"/>
      <c r="C23" s="61"/>
      <c r="D23" s="62"/>
      <c r="E23" s="157"/>
      <c r="F23" s="137"/>
      <c r="G23" s="165"/>
      <c r="H23" s="165"/>
    </row>
    <row r="24" spans="1:8" s="34" customFormat="1" ht="14.45">
      <c r="A24" s="66"/>
      <c r="B24" s="67"/>
      <c r="C24" s="68"/>
      <c r="D24" s="69"/>
      <c r="E24" s="157"/>
      <c r="F24" s="137"/>
      <c r="G24" s="165"/>
      <c r="H24" s="165"/>
    </row>
    <row r="25" spans="1:8" s="34" customFormat="1" ht="14.45">
      <c r="A25" s="59"/>
      <c r="B25" s="65"/>
      <c r="C25" s="61"/>
      <c r="D25" s="62"/>
      <c r="E25" s="157"/>
      <c r="F25" s="137"/>
      <c r="G25" s="165"/>
      <c r="H25" s="165"/>
    </row>
    <row r="26" spans="1:8" s="34" customFormat="1" ht="14.45">
      <c r="A26" s="66"/>
      <c r="B26" s="67"/>
      <c r="C26" s="68"/>
      <c r="D26" s="69"/>
      <c r="E26" s="157"/>
      <c r="F26" s="137"/>
      <c r="G26" s="165"/>
      <c r="H26" s="165"/>
    </row>
    <row r="27" spans="1:8" s="34" customFormat="1" ht="14.45">
      <c r="A27" s="59"/>
      <c r="B27" s="65"/>
      <c r="C27" s="61"/>
      <c r="D27" s="62"/>
      <c r="E27" s="157"/>
      <c r="F27" s="137"/>
      <c r="G27" s="165"/>
      <c r="H27" s="165"/>
    </row>
    <row r="28" spans="1:8" s="34" customFormat="1" ht="14.45">
      <c r="A28" s="66"/>
      <c r="B28" s="67"/>
      <c r="C28" s="68"/>
      <c r="D28" s="69"/>
      <c r="E28" s="157"/>
      <c r="F28" s="137"/>
      <c r="G28" s="165"/>
      <c r="H28" s="165"/>
    </row>
    <row r="29" spans="1:8" s="34" customFormat="1" ht="14.45">
      <c r="A29" s="59"/>
      <c r="B29" s="65"/>
      <c r="C29" s="61"/>
      <c r="D29" s="62"/>
      <c r="E29" s="157"/>
      <c r="F29" s="137"/>
      <c r="G29" s="165"/>
      <c r="H29" s="165"/>
    </row>
    <row r="30" spans="1:8" s="34" customFormat="1" ht="14.45">
      <c r="A30" s="66"/>
      <c r="B30" s="67"/>
      <c r="C30" s="68"/>
      <c r="D30" s="69"/>
      <c r="E30" s="157"/>
      <c r="F30" s="137"/>
      <c r="G30" s="165"/>
      <c r="H30" s="165"/>
    </row>
    <row r="31" spans="1:8" s="34" customFormat="1" ht="14.45">
      <c r="A31" s="59"/>
      <c r="B31" s="65"/>
      <c r="C31" s="61"/>
      <c r="D31" s="62"/>
      <c r="E31" s="157"/>
      <c r="F31" s="137"/>
      <c r="G31" s="165"/>
      <c r="H31" s="165"/>
    </row>
    <row r="32" spans="1:8" s="34" customFormat="1" ht="14.45">
      <c r="A32" s="66"/>
      <c r="B32" s="67"/>
      <c r="C32" s="68"/>
      <c r="D32" s="69"/>
      <c r="E32" s="157"/>
      <c r="F32" s="137"/>
      <c r="G32" s="165"/>
      <c r="H32" s="165"/>
    </row>
    <row r="33" spans="1:8" s="34" customFormat="1" ht="14.45">
      <c r="A33" s="59"/>
      <c r="B33" s="65"/>
      <c r="C33" s="61"/>
      <c r="D33" s="62"/>
      <c r="E33" s="157"/>
      <c r="F33" s="137"/>
      <c r="G33" s="165"/>
      <c r="H33" s="165"/>
    </row>
    <row r="34" spans="1:8" s="34" customFormat="1" ht="14.45">
      <c r="A34" s="59"/>
      <c r="B34" s="65"/>
      <c r="C34" s="61"/>
      <c r="D34" s="62"/>
      <c r="E34" s="157"/>
      <c r="F34" s="137"/>
      <c r="G34" s="165"/>
      <c r="H34" s="165"/>
    </row>
    <row r="35" spans="1:8" s="34" customFormat="1" ht="14.45">
      <c r="A35" s="66"/>
      <c r="B35" s="67"/>
      <c r="C35" s="68"/>
      <c r="D35" s="69"/>
      <c r="E35" s="157"/>
      <c r="F35" s="137"/>
      <c r="G35" s="165"/>
      <c r="H35" s="165"/>
    </row>
    <row r="36" spans="1:8" s="34" customFormat="1" ht="14.45">
      <c r="A36" s="59"/>
      <c r="B36" s="65"/>
      <c r="C36" s="61"/>
      <c r="D36" s="62"/>
      <c r="E36" s="157"/>
      <c r="F36" s="137"/>
      <c r="G36" s="165"/>
      <c r="H36" s="165"/>
    </row>
    <row r="37" spans="1:8" s="34" customFormat="1" ht="14.45">
      <c r="A37" s="66"/>
      <c r="B37" s="67"/>
      <c r="C37" s="68"/>
      <c r="D37" s="69"/>
      <c r="E37" s="157"/>
      <c r="F37" s="137"/>
      <c r="G37" s="165"/>
      <c r="H37" s="165"/>
    </row>
    <row r="38" spans="1:8" s="34" customFormat="1" ht="14.45">
      <c r="A38" s="59"/>
      <c r="B38" s="65"/>
      <c r="C38" s="61"/>
      <c r="D38" s="62"/>
      <c r="E38" s="157"/>
      <c r="F38" s="137"/>
      <c r="G38" s="165"/>
      <c r="H38" s="165"/>
    </row>
    <row r="39" spans="1:8" s="34" customFormat="1" ht="14.45">
      <c r="A39" s="59"/>
      <c r="B39" s="65"/>
      <c r="C39" s="61"/>
      <c r="D39" s="62"/>
      <c r="E39" s="157"/>
      <c r="F39" s="137"/>
      <c r="G39" s="165"/>
      <c r="H39" s="165"/>
    </row>
    <row r="40" spans="1:8" s="34" customFormat="1" ht="14.45">
      <c r="A40" s="66"/>
      <c r="B40" s="67"/>
      <c r="C40" s="68"/>
      <c r="D40" s="69"/>
      <c r="E40" s="157"/>
      <c r="F40" s="137"/>
      <c r="G40" s="165"/>
      <c r="H40" s="165"/>
    </row>
    <row r="41" spans="1:8" s="34" customFormat="1" ht="14.45">
      <c r="A41" s="71"/>
      <c r="B41" s="72"/>
      <c r="C41" s="73"/>
      <c r="D41" s="74"/>
      <c r="E41" s="159"/>
      <c r="F41" s="138"/>
      <c r="G41" s="165"/>
      <c r="H41" s="165"/>
    </row>
    <row r="42" spans="1:8" s="34" customFormat="1" ht="14.45">
      <c r="A42" s="75"/>
      <c r="B42" s="76"/>
      <c r="C42" s="77" t="s">
        <v>30</v>
      </c>
      <c r="D42" s="77"/>
      <c r="E42" s="160" t="s">
        <v>8</v>
      </c>
      <c r="F42" s="139">
        <f>SUM(F12:F29)</f>
        <v>5590258.6499999994</v>
      </c>
      <c r="G42" s="165"/>
      <c r="H42" s="165"/>
    </row>
    <row r="43" spans="1:8" s="34" customFormat="1" ht="14.45">
      <c r="A43" s="75"/>
      <c r="B43" s="76"/>
      <c r="C43" s="78"/>
      <c r="D43" s="79"/>
      <c r="E43" s="161"/>
      <c r="F43" s="140"/>
      <c r="G43" s="165"/>
      <c r="H43" s="165"/>
    </row>
    <row r="44" spans="1:8" s="34" customFormat="1" ht="14.45">
      <c r="A44" s="31"/>
      <c r="B44" s="32"/>
      <c r="C44" s="29"/>
      <c r="D44" s="33"/>
      <c r="E44" s="157"/>
      <c r="F44" s="137"/>
      <c r="G44" s="165"/>
      <c r="H44" s="165"/>
    </row>
    <row r="45" spans="1:8" s="34" customFormat="1" ht="14.45">
      <c r="A45" s="59"/>
      <c r="B45" s="64" t="s">
        <v>105</v>
      </c>
      <c r="C45" s="61"/>
      <c r="D45" s="62"/>
      <c r="E45" s="157"/>
      <c r="F45" s="137"/>
      <c r="G45" s="165"/>
      <c r="H45" s="165"/>
    </row>
    <row r="46" spans="1:8" s="34" customFormat="1" ht="14.45">
      <c r="A46" s="59"/>
      <c r="B46" s="84"/>
      <c r="C46" s="61"/>
      <c r="D46" s="62"/>
      <c r="E46" s="157"/>
      <c r="F46" s="137"/>
      <c r="G46" s="165"/>
      <c r="H46" s="165"/>
    </row>
    <row r="47" spans="1:8" s="34" customFormat="1" ht="55.15">
      <c r="A47" s="66" t="s">
        <v>14</v>
      </c>
      <c r="B47" s="67" t="s">
        <v>238</v>
      </c>
      <c r="C47" s="68"/>
      <c r="D47" s="69" t="s">
        <v>2</v>
      </c>
      <c r="E47" s="157"/>
      <c r="F47" s="137">
        <f>C47*E47</f>
        <v>0</v>
      </c>
      <c r="G47" s="165"/>
      <c r="H47" s="165"/>
    </row>
    <row r="48" spans="1:8" s="34" customFormat="1" ht="14.45">
      <c r="A48" s="42"/>
      <c r="B48" s="43"/>
      <c r="C48" s="40"/>
      <c r="D48" s="44"/>
      <c r="E48" s="157"/>
      <c r="F48" s="137"/>
      <c r="G48" s="165"/>
      <c r="H48" s="165"/>
    </row>
    <row r="49" spans="1:8" s="34" customFormat="1" ht="14.45">
      <c r="A49" s="42"/>
      <c r="B49" s="43"/>
      <c r="C49" s="40"/>
      <c r="D49" s="44"/>
      <c r="E49" s="157"/>
      <c r="F49" s="137"/>
      <c r="G49" s="165"/>
      <c r="H49" s="165"/>
    </row>
    <row r="50" spans="1:8" s="34" customFormat="1" ht="14.45">
      <c r="A50" s="42"/>
      <c r="B50" s="43"/>
      <c r="C50" s="40"/>
      <c r="D50" s="44"/>
      <c r="E50" s="157"/>
      <c r="F50" s="137"/>
      <c r="G50" s="165"/>
      <c r="H50" s="165"/>
    </row>
    <row r="51" spans="1:8" s="34" customFormat="1" ht="14.45">
      <c r="A51" s="42"/>
      <c r="B51" s="43"/>
      <c r="C51" s="40"/>
      <c r="D51" s="44"/>
      <c r="E51" s="157"/>
      <c r="F51" s="137"/>
      <c r="G51" s="165"/>
      <c r="H51" s="165"/>
    </row>
    <row r="52" spans="1:8" s="34" customFormat="1" ht="14.45">
      <c r="A52" s="42"/>
      <c r="B52" s="43"/>
      <c r="C52" s="40"/>
      <c r="D52" s="44"/>
      <c r="E52" s="157"/>
      <c r="F52" s="137"/>
      <c r="G52" s="165"/>
      <c r="H52" s="165"/>
    </row>
    <row r="53" spans="1:8" s="34" customFormat="1" ht="14.45">
      <c r="A53" s="42"/>
      <c r="B53" s="43"/>
      <c r="C53" s="40"/>
      <c r="D53" s="44"/>
      <c r="E53" s="157"/>
      <c r="F53" s="137"/>
      <c r="G53" s="165"/>
      <c r="H53" s="165"/>
    </row>
    <row r="54" spans="1:8" s="34" customFormat="1" ht="14.45">
      <c r="A54" s="42"/>
      <c r="B54" s="43"/>
      <c r="C54" s="40"/>
      <c r="D54" s="44"/>
      <c r="E54" s="157"/>
      <c r="F54" s="137"/>
      <c r="G54" s="165"/>
      <c r="H54" s="165"/>
    </row>
    <row r="55" spans="1:8" s="34" customFormat="1" ht="14.45">
      <c r="A55" s="42"/>
      <c r="B55" s="43"/>
      <c r="C55" s="40"/>
      <c r="D55" s="44"/>
      <c r="E55" s="157"/>
      <c r="F55" s="137"/>
      <c r="G55" s="165"/>
      <c r="H55" s="165"/>
    </row>
    <row r="56" spans="1:8" s="34" customFormat="1" ht="14.45">
      <c r="A56" s="42"/>
      <c r="B56" s="43"/>
      <c r="C56" s="40"/>
      <c r="D56" s="44"/>
      <c r="E56" s="157"/>
      <c r="F56" s="137"/>
      <c r="G56" s="165"/>
      <c r="H56" s="165"/>
    </row>
    <row r="57" spans="1:8" s="34" customFormat="1" ht="14.45">
      <c r="A57" s="42"/>
      <c r="B57" s="43"/>
      <c r="C57" s="40"/>
      <c r="D57" s="44"/>
      <c r="E57" s="157"/>
      <c r="F57" s="137"/>
      <c r="G57" s="165"/>
      <c r="H57" s="165"/>
    </row>
    <row r="58" spans="1:8" s="34" customFormat="1" ht="14.45">
      <c r="A58" s="42"/>
      <c r="B58" s="43"/>
      <c r="C58" s="40"/>
      <c r="D58" s="44"/>
      <c r="E58" s="157"/>
      <c r="F58" s="137"/>
      <c r="G58" s="165"/>
      <c r="H58" s="165"/>
    </row>
    <row r="59" spans="1:8" s="34" customFormat="1" ht="14.45">
      <c r="A59" s="42"/>
      <c r="B59" s="43"/>
      <c r="C59" s="40"/>
      <c r="D59" s="44"/>
      <c r="E59" s="157"/>
      <c r="F59" s="137"/>
      <c r="G59" s="165"/>
      <c r="H59" s="165"/>
    </row>
    <row r="60" spans="1:8" s="34" customFormat="1" ht="14.45">
      <c r="A60" s="42"/>
      <c r="B60" s="43"/>
      <c r="C60" s="40"/>
      <c r="D60" s="44"/>
      <c r="E60" s="157"/>
      <c r="F60" s="137"/>
      <c r="G60" s="165"/>
      <c r="H60" s="165"/>
    </row>
    <row r="61" spans="1:8" s="34" customFormat="1" ht="14.45">
      <c r="A61" s="42"/>
      <c r="B61" s="43"/>
      <c r="C61" s="40"/>
      <c r="D61" s="44"/>
      <c r="E61" s="157"/>
      <c r="F61" s="137"/>
      <c r="G61" s="165"/>
      <c r="H61" s="165"/>
    </row>
    <row r="62" spans="1:8" s="34" customFormat="1" ht="14.45">
      <c r="A62" s="42"/>
      <c r="B62" s="43"/>
      <c r="C62" s="40"/>
      <c r="D62" s="44"/>
      <c r="E62" s="157"/>
      <c r="F62" s="137"/>
      <c r="G62" s="165"/>
      <c r="H62" s="165"/>
    </row>
    <row r="63" spans="1:8" s="34" customFormat="1" ht="14.45">
      <c r="A63" s="42"/>
      <c r="B63" s="43"/>
      <c r="C63" s="40"/>
      <c r="D63" s="44"/>
      <c r="E63" s="157"/>
      <c r="F63" s="137"/>
      <c r="G63" s="165"/>
      <c r="H63" s="165"/>
    </row>
    <row r="64" spans="1:8" s="34" customFormat="1" ht="14.45">
      <c r="A64" s="42"/>
      <c r="B64" s="43"/>
      <c r="C64" s="40"/>
      <c r="D64" s="44"/>
      <c r="E64" s="157"/>
      <c r="F64" s="137"/>
      <c r="G64" s="165"/>
      <c r="H64" s="165"/>
    </row>
    <row r="65" spans="1:8" s="34" customFormat="1" ht="14.45">
      <c r="A65" s="42"/>
      <c r="B65" s="43"/>
      <c r="C65" s="40"/>
      <c r="D65" s="44"/>
      <c r="E65" s="157"/>
      <c r="F65" s="137"/>
      <c r="G65" s="165"/>
      <c r="H65" s="165"/>
    </row>
    <row r="66" spans="1:8" s="34" customFormat="1" ht="14.45">
      <c r="A66" s="42"/>
      <c r="B66" s="43"/>
      <c r="C66" s="40"/>
      <c r="D66" s="44"/>
      <c r="E66" s="157"/>
      <c r="F66" s="137"/>
      <c r="G66" s="165"/>
      <c r="H66" s="165"/>
    </row>
    <row r="67" spans="1:8" s="34" customFormat="1" ht="14.45">
      <c r="A67" s="42"/>
      <c r="B67" s="43"/>
      <c r="C67" s="40"/>
      <c r="D67" s="44"/>
      <c r="E67" s="157"/>
      <c r="F67" s="137"/>
      <c r="G67" s="165"/>
      <c r="H67" s="165"/>
    </row>
    <row r="68" spans="1:8" s="34" customFormat="1" ht="14.45">
      <c r="A68" s="42"/>
      <c r="B68" s="43"/>
      <c r="C68" s="40"/>
      <c r="D68" s="44"/>
      <c r="E68" s="157"/>
      <c r="F68" s="137"/>
      <c r="G68" s="165"/>
      <c r="H68" s="165"/>
    </row>
    <row r="69" spans="1:8" s="34" customFormat="1" ht="14.45">
      <c r="A69" s="42"/>
      <c r="B69" s="43"/>
      <c r="C69" s="40"/>
      <c r="D69" s="44"/>
      <c r="E69" s="157"/>
      <c r="F69" s="137"/>
      <c r="G69" s="165"/>
      <c r="H69" s="165"/>
    </row>
    <row r="70" spans="1:8" s="34" customFormat="1" ht="14.45">
      <c r="A70" s="42"/>
      <c r="B70" s="43"/>
      <c r="C70" s="40"/>
      <c r="D70" s="44"/>
      <c r="E70" s="157"/>
      <c r="F70" s="137"/>
      <c r="G70" s="165"/>
      <c r="H70" s="165"/>
    </row>
    <row r="71" spans="1:8" s="34" customFormat="1" ht="14.45">
      <c r="A71" s="42"/>
      <c r="B71" s="43"/>
      <c r="C71" s="40"/>
      <c r="D71" s="44"/>
      <c r="E71" s="157"/>
      <c r="F71" s="137"/>
      <c r="G71" s="165"/>
      <c r="H71" s="165"/>
    </row>
    <row r="72" spans="1:8" s="34" customFormat="1" ht="14.45">
      <c r="A72" s="42"/>
      <c r="B72" s="43"/>
      <c r="C72" s="40"/>
      <c r="D72" s="44"/>
      <c r="E72" s="157"/>
      <c r="F72" s="137"/>
      <c r="G72" s="165"/>
      <c r="H72" s="165"/>
    </row>
    <row r="73" spans="1:8" s="34" customFormat="1" ht="14.45">
      <c r="A73" s="42"/>
      <c r="B73" s="43"/>
      <c r="C73" s="40"/>
      <c r="D73" s="44"/>
      <c r="E73" s="157"/>
      <c r="F73" s="137"/>
      <c r="G73" s="165"/>
      <c r="H73" s="165"/>
    </row>
    <row r="74" spans="1:8" s="34" customFormat="1" ht="14.45">
      <c r="A74" s="42"/>
      <c r="B74" s="43"/>
      <c r="C74" s="40"/>
      <c r="D74" s="44"/>
      <c r="E74" s="157"/>
      <c r="F74" s="137"/>
      <c r="G74" s="165"/>
      <c r="H74" s="165"/>
    </row>
    <row r="75" spans="1:8" s="34" customFormat="1" ht="14.45">
      <c r="A75" s="42"/>
      <c r="B75" s="43"/>
      <c r="C75" s="40"/>
      <c r="D75" s="44"/>
      <c r="E75" s="157"/>
      <c r="F75" s="137"/>
      <c r="G75" s="165"/>
      <c r="H75" s="165"/>
    </row>
    <row r="76" spans="1:8" s="34" customFormat="1" ht="14.45">
      <c r="A76" s="42"/>
      <c r="B76" s="43"/>
      <c r="C76" s="40"/>
      <c r="D76" s="44"/>
      <c r="E76" s="157"/>
      <c r="F76" s="137"/>
      <c r="G76" s="165"/>
      <c r="H76" s="165"/>
    </row>
    <row r="77" spans="1:8" s="34" customFormat="1" ht="14.45">
      <c r="A77" s="42"/>
      <c r="B77" s="43"/>
      <c r="C77" s="40"/>
      <c r="D77" s="44"/>
      <c r="E77" s="157"/>
      <c r="F77" s="137"/>
      <c r="G77" s="165"/>
      <c r="H77" s="165"/>
    </row>
    <row r="78" spans="1:8" s="34" customFormat="1" ht="14.45">
      <c r="A78" s="42"/>
      <c r="B78" s="43"/>
      <c r="C78" s="40"/>
      <c r="D78" s="44"/>
      <c r="E78" s="157"/>
      <c r="F78" s="137"/>
      <c r="G78" s="165"/>
      <c r="H78" s="165"/>
    </row>
    <row r="79" spans="1:8" s="34" customFormat="1" ht="14.45">
      <c r="A79" s="42"/>
      <c r="B79" s="43"/>
      <c r="C79" s="40"/>
      <c r="D79" s="44"/>
      <c r="E79" s="157"/>
      <c r="F79" s="137"/>
      <c r="G79" s="165"/>
      <c r="H79" s="165"/>
    </row>
    <row r="80" spans="1:8" s="34" customFormat="1" ht="14.45">
      <c r="A80" s="42"/>
      <c r="B80" s="43"/>
      <c r="C80" s="40"/>
      <c r="D80" s="44"/>
      <c r="E80" s="157"/>
      <c r="F80" s="137"/>
      <c r="G80" s="165"/>
      <c r="H80" s="165"/>
    </row>
    <row r="81" spans="1:8" s="34" customFormat="1" ht="14.45">
      <c r="A81" s="42"/>
      <c r="B81" s="43"/>
      <c r="C81" s="40"/>
      <c r="D81" s="44"/>
      <c r="E81" s="157"/>
      <c r="F81" s="137"/>
      <c r="G81" s="165"/>
      <c r="H81" s="165"/>
    </row>
    <row r="82" spans="1:8" s="34" customFormat="1" ht="14.45">
      <c r="A82" s="42"/>
      <c r="B82" s="43"/>
      <c r="C82" s="40"/>
      <c r="D82" s="44"/>
      <c r="E82" s="157"/>
      <c r="F82" s="137"/>
      <c r="G82" s="165"/>
      <c r="H82" s="165"/>
    </row>
    <row r="83" spans="1:8" s="34" customFormat="1" ht="14.45">
      <c r="A83" s="42"/>
      <c r="B83" s="43"/>
      <c r="C83" s="40"/>
      <c r="D83" s="44"/>
      <c r="E83" s="157"/>
      <c r="F83" s="137"/>
      <c r="G83" s="165"/>
      <c r="H83" s="165"/>
    </row>
    <row r="84" spans="1:8" s="34" customFormat="1" ht="14.45">
      <c r="A84" s="42"/>
      <c r="B84" s="43"/>
      <c r="C84" s="40"/>
      <c r="D84" s="44"/>
      <c r="E84" s="157"/>
      <c r="F84" s="137"/>
      <c r="G84" s="165"/>
      <c r="H84" s="165"/>
    </row>
    <row r="85" spans="1:8" s="34" customFormat="1" ht="14.45">
      <c r="A85" s="49"/>
      <c r="B85" s="50"/>
      <c r="C85" s="51"/>
      <c r="D85" s="52"/>
      <c r="E85" s="159"/>
      <c r="F85" s="138"/>
      <c r="G85" s="165"/>
      <c r="H85" s="165"/>
    </row>
    <row r="86" spans="1:8" s="34" customFormat="1" ht="14.45">
      <c r="A86" s="53"/>
      <c r="B86" s="54"/>
      <c r="C86" s="55" t="s">
        <v>30</v>
      </c>
      <c r="D86" s="55"/>
      <c r="E86" s="160" t="s">
        <v>8</v>
      </c>
      <c r="F86" s="139">
        <f>SUM(F47:F62)</f>
        <v>0</v>
      </c>
      <c r="G86" s="165"/>
      <c r="H86" s="165"/>
    </row>
    <row r="87" spans="1:8" s="34" customFormat="1" ht="14.45">
      <c r="A87" s="53"/>
      <c r="B87" s="54"/>
      <c r="C87" s="56"/>
      <c r="D87" s="57"/>
      <c r="E87" s="161"/>
      <c r="F87" s="140"/>
      <c r="G87" s="165"/>
      <c r="H87" s="165"/>
    </row>
    <row r="88" spans="1:8" s="34" customFormat="1" ht="14.45">
      <c r="A88" s="31"/>
      <c r="B88" s="32"/>
      <c r="C88" s="29"/>
      <c r="D88" s="33"/>
      <c r="E88" s="170"/>
      <c r="F88" s="137"/>
      <c r="G88" s="165"/>
      <c r="H88" s="165"/>
    </row>
    <row r="89" spans="1:8" s="34" customFormat="1" ht="14.45">
      <c r="A89" s="31"/>
      <c r="B89" s="38" t="s">
        <v>109</v>
      </c>
      <c r="C89" s="29"/>
      <c r="D89" s="33"/>
      <c r="E89" s="170"/>
      <c r="F89" s="137"/>
      <c r="G89" s="165"/>
      <c r="H89" s="165"/>
    </row>
    <row r="90" spans="1:8" s="34" customFormat="1" ht="14.45">
      <c r="A90" s="31"/>
      <c r="B90" s="32"/>
      <c r="C90" s="29"/>
      <c r="D90" s="33"/>
      <c r="E90" s="170"/>
      <c r="F90" s="137"/>
      <c r="G90" s="165"/>
      <c r="H90" s="165"/>
    </row>
    <row r="91" spans="1:8" s="34" customFormat="1" ht="14.45">
      <c r="A91" s="31"/>
      <c r="B91" s="39" t="s">
        <v>239</v>
      </c>
      <c r="C91" s="29"/>
      <c r="D91" s="33"/>
      <c r="E91" s="170"/>
      <c r="F91" s="137">
        <f>F42</f>
        <v>5590258.6499999994</v>
      </c>
      <c r="G91" s="165"/>
      <c r="H91" s="165"/>
    </row>
    <row r="92" spans="1:8" s="34" customFormat="1" ht="14.45">
      <c r="A92" s="31"/>
      <c r="B92" s="32"/>
      <c r="C92" s="29"/>
      <c r="D92" s="33"/>
      <c r="E92" s="170"/>
      <c r="F92" s="137"/>
      <c r="G92" s="165"/>
      <c r="H92" s="165"/>
    </row>
    <row r="93" spans="1:8" s="34" customFormat="1" ht="14.45">
      <c r="A93" s="31"/>
      <c r="B93" s="39" t="s">
        <v>240</v>
      </c>
      <c r="C93" s="29"/>
      <c r="D93" s="33"/>
      <c r="E93" s="170"/>
      <c r="F93" s="137">
        <f>F86</f>
        <v>0</v>
      </c>
      <c r="G93" s="165"/>
      <c r="H93" s="165"/>
    </row>
    <row r="94" spans="1:8" s="34" customFormat="1" ht="14.45">
      <c r="A94" s="31"/>
      <c r="B94" s="32"/>
      <c r="C94" s="29"/>
      <c r="D94" s="33"/>
      <c r="E94" s="170"/>
      <c r="F94" s="137"/>
      <c r="G94" s="165"/>
      <c r="H94" s="165"/>
    </row>
    <row r="95" spans="1:8" s="34" customFormat="1" ht="14.45">
      <c r="A95" s="31"/>
      <c r="B95" s="39"/>
      <c r="C95" s="29"/>
      <c r="D95" s="33"/>
      <c r="E95" s="170"/>
      <c r="F95" s="137"/>
      <c r="G95" s="165"/>
      <c r="H95" s="165"/>
    </row>
    <row r="96" spans="1:8" s="34" customFormat="1" ht="14.45">
      <c r="A96" s="31"/>
      <c r="B96" s="32"/>
      <c r="C96" s="29"/>
      <c r="D96" s="33"/>
      <c r="E96" s="170"/>
      <c r="F96" s="137"/>
      <c r="G96" s="165"/>
      <c r="H96" s="165"/>
    </row>
    <row r="97" spans="1:8" s="34" customFormat="1" ht="14.45">
      <c r="A97" s="31"/>
      <c r="B97" s="39"/>
      <c r="C97" s="29"/>
      <c r="D97" s="33"/>
      <c r="E97" s="170"/>
      <c r="F97" s="137"/>
      <c r="G97" s="165"/>
      <c r="H97" s="165"/>
    </row>
    <row r="98" spans="1:8" s="34" customFormat="1" ht="14.45">
      <c r="A98" s="31"/>
      <c r="B98" s="32"/>
      <c r="C98" s="29"/>
      <c r="D98" s="33"/>
      <c r="E98" s="170"/>
      <c r="F98" s="137"/>
      <c r="G98" s="165"/>
      <c r="H98" s="165"/>
    </row>
    <row r="99" spans="1:8" s="34" customFormat="1" ht="14.45">
      <c r="A99" s="31"/>
      <c r="B99" s="39"/>
      <c r="C99" s="29"/>
      <c r="D99" s="33"/>
      <c r="E99" s="170"/>
      <c r="F99" s="137"/>
      <c r="G99" s="165"/>
      <c r="H99" s="165"/>
    </row>
    <row r="100" spans="1:8" s="34" customFormat="1" ht="14.45">
      <c r="A100" s="31"/>
      <c r="B100" s="32"/>
      <c r="C100" s="29"/>
      <c r="D100" s="33"/>
      <c r="E100" s="170"/>
      <c r="F100" s="137"/>
      <c r="G100" s="165"/>
      <c r="H100" s="165"/>
    </row>
    <row r="101" spans="1:8" s="34" customFormat="1" ht="14.45">
      <c r="A101" s="31"/>
      <c r="B101" s="39"/>
      <c r="C101" s="29"/>
      <c r="D101" s="33"/>
      <c r="E101" s="170"/>
      <c r="F101" s="137"/>
      <c r="G101" s="165"/>
      <c r="H101" s="165"/>
    </row>
    <row r="102" spans="1:8" s="34" customFormat="1" ht="14.45">
      <c r="A102" s="31"/>
      <c r="B102" s="32"/>
      <c r="C102" s="29"/>
      <c r="D102" s="33"/>
      <c r="E102" s="170"/>
      <c r="F102" s="137"/>
      <c r="G102" s="165"/>
      <c r="H102" s="165"/>
    </row>
    <row r="103" spans="1:8" s="34" customFormat="1" ht="14.45">
      <c r="A103" s="31"/>
      <c r="B103" s="39"/>
      <c r="C103" s="29"/>
      <c r="D103" s="33"/>
      <c r="E103" s="170"/>
      <c r="F103" s="137"/>
      <c r="G103" s="165"/>
      <c r="H103" s="165"/>
    </row>
    <row r="104" spans="1:8" s="34" customFormat="1" ht="14.45">
      <c r="A104" s="31"/>
      <c r="B104" s="32"/>
      <c r="C104" s="29"/>
      <c r="D104" s="33"/>
      <c r="E104" s="170"/>
      <c r="F104" s="137"/>
      <c r="G104" s="165"/>
      <c r="H104" s="165"/>
    </row>
    <row r="105" spans="1:8" s="34" customFormat="1" ht="14.45">
      <c r="A105" s="31"/>
      <c r="B105" s="39"/>
      <c r="C105" s="29"/>
      <c r="D105" s="33"/>
      <c r="E105" s="170"/>
      <c r="F105" s="137"/>
      <c r="G105" s="165"/>
      <c r="H105" s="165"/>
    </row>
    <row r="106" spans="1:8" s="34" customFormat="1" ht="14.45">
      <c r="A106" s="31"/>
      <c r="B106" s="32"/>
      <c r="C106" s="29"/>
      <c r="D106" s="33"/>
      <c r="E106" s="170"/>
      <c r="F106" s="137"/>
      <c r="G106" s="165"/>
      <c r="H106" s="165"/>
    </row>
    <row r="107" spans="1:8" s="34" customFormat="1" ht="14.45">
      <c r="A107" s="31"/>
      <c r="B107" s="32"/>
      <c r="C107" s="29"/>
      <c r="D107" s="33"/>
      <c r="E107" s="170"/>
      <c r="F107" s="137"/>
      <c r="G107" s="165"/>
      <c r="H107" s="165"/>
    </row>
    <row r="108" spans="1:8" s="34" customFormat="1" ht="14.45">
      <c r="A108" s="31"/>
      <c r="B108" s="32"/>
      <c r="C108" s="29"/>
      <c r="D108" s="33"/>
      <c r="E108" s="170"/>
      <c r="F108" s="137"/>
      <c r="G108" s="165"/>
      <c r="H108" s="165"/>
    </row>
    <row r="109" spans="1:8" s="34" customFormat="1" ht="14.45">
      <c r="A109" s="31"/>
      <c r="B109" s="32"/>
      <c r="C109" s="29"/>
      <c r="D109" s="33"/>
      <c r="E109" s="170"/>
      <c r="F109" s="137"/>
      <c r="G109" s="165"/>
      <c r="H109" s="165"/>
    </row>
    <row r="110" spans="1:8" s="34" customFormat="1" ht="14.45">
      <c r="A110" s="31"/>
      <c r="B110" s="32"/>
      <c r="C110" s="29"/>
      <c r="D110" s="33"/>
      <c r="E110" s="170"/>
      <c r="F110" s="137"/>
      <c r="G110" s="165"/>
      <c r="H110" s="165"/>
    </row>
    <row r="111" spans="1:8" s="34" customFormat="1" ht="14.45">
      <c r="A111" s="31"/>
      <c r="B111" s="32"/>
      <c r="C111" s="29"/>
      <c r="D111" s="33"/>
      <c r="E111" s="170"/>
      <c r="F111" s="137"/>
      <c r="G111" s="165"/>
      <c r="H111" s="165"/>
    </row>
    <row r="112" spans="1:8" s="34" customFormat="1" ht="14.45">
      <c r="A112" s="31"/>
      <c r="B112" s="32"/>
      <c r="C112" s="29"/>
      <c r="D112" s="33"/>
      <c r="E112" s="170"/>
      <c r="F112" s="137"/>
      <c r="G112" s="165"/>
      <c r="H112" s="165"/>
    </row>
    <row r="113" spans="1:8" s="34" customFormat="1" ht="14.45">
      <c r="A113" s="31"/>
      <c r="B113" s="32"/>
      <c r="C113" s="29"/>
      <c r="D113" s="33"/>
      <c r="E113" s="170"/>
      <c r="F113" s="137"/>
      <c r="G113" s="165"/>
      <c r="H113" s="165"/>
    </row>
    <row r="114" spans="1:8" s="34" customFormat="1" ht="14.45">
      <c r="A114" s="31"/>
      <c r="B114" s="32"/>
      <c r="C114" s="29"/>
      <c r="D114" s="33"/>
      <c r="E114" s="170"/>
      <c r="F114" s="137"/>
      <c r="G114" s="165"/>
      <c r="H114" s="165"/>
    </row>
    <row r="115" spans="1:8" s="34" customFormat="1" ht="14.45">
      <c r="A115" s="31"/>
      <c r="B115" s="32"/>
      <c r="C115" s="29"/>
      <c r="D115" s="33"/>
      <c r="E115" s="170"/>
      <c r="F115" s="137"/>
      <c r="G115" s="165"/>
      <c r="H115" s="165"/>
    </row>
    <row r="116" spans="1:8" s="34" customFormat="1" ht="14.45">
      <c r="A116" s="31"/>
      <c r="B116" s="32"/>
      <c r="C116" s="29"/>
      <c r="D116" s="33"/>
      <c r="E116" s="170"/>
      <c r="F116" s="137"/>
      <c r="G116" s="165"/>
      <c r="H116" s="165"/>
    </row>
    <row r="117" spans="1:8" s="34" customFormat="1" ht="14.45">
      <c r="A117" s="31"/>
      <c r="B117" s="32"/>
      <c r="C117" s="29"/>
      <c r="D117" s="33"/>
      <c r="E117" s="170"/>
      <c r="F117" s="137"/>
      <c r="G117" s="165"/>
      <c r="H117" s="165"/>
    </row>
    <row r="118" spans="1:8" s="34" customFormat="1" ht="14.45">
      <c r="A118" s="31"/>
      <c r="B118" s="32"/>
      <c r="C118" s="29"/>
      <c r="D118" s="33"/>
      <c r="E118" s="170"/>
      <c r="F118" s="137"/>
      <c r="G118" s="165"/>
      <c r="H118" s="165"/>
    </row>
    <row r="119" spans="1:8" s="34" customFormat="1" ht="14.45">
      <c r="A119" s="31"/>
      <c r="B119" s="32"/>
      <c r="C119" s="29"/>
      <c r="D119" s="33"/>
      <c r="E119" s="170"/>
      <c r="F119" s="137"/>
      <c r="G119" s="165"/>
      <c r="H119" s="165"/>
    </row>
    <row r="120" spans="1:8" s="34" customFormat="1" ht="14.45">
      <c r="A120" s="31"/>
      <c r="B120" s="32"/>
      <c r="C120" s="29"/>
      <c r="D120" s="33"/>
      <c r="E120" s="170"/>
      <c r="F120" s="137"/>
      <c r="G120" s="165"/>
      <c r="H120" s="165"/>
    </row>
    <row r="121" spans="1:8" s="34" customFormat="1" ht="14.45">
      <c r="A121" s="31"/>
      <c r="B121" s="32"/>
      <c r="C121" s="29"/>
      <c r="D121" s="33"/>
      <c r="E121" s="170"/>
      <c r="F121" s="137"/>
      <c r="G121" s="165"/>
      <c r="H121" s="165"/>
    </row>
    <row r="122" spans="1:8" s="34" customFormat="1" ht="14.45">
      <c r="A122" s="31"/>
      <c r="B122" s="32"/>
      <c r="C122" s="29"/>
      <c r="D122" s="33"/>
      <c r="E122" s="170"/>
      <c r="F122" s="137"/>
      <c r="G122" s="165"/>
      <c r="H122" s="165"/>
    </row>
    <row r="123" spans="1:8" s="34" customFormat="1" ht="14.45">
      <c r="A123" s="31"/>
      <c r="B123" s="32"/>
      <c r="C123" s="29"/>
      <c r="D123" s="33"/>
      <c r="E123" s="170"/>
      <c r="F123" s="137"/>
      <c r="G123" s="165"/>
      <c r="H123" s="165"/>
    </row>
    <row r="124" spans="1:8" s="34" customFormat="1" ht="14.45">
      <c r="A124" s="31"/>
      <c r="B124" s="32"/>
      <c r="C124" s="29"/>
      <c r="D124" s="33"/>
      <c r="E124" s="170"/>
      <c r="F124" s="137"/>
      <c r="G124" s="165"/>
      <c r="H124" s="165"/>
    </row>
    <row r="125" spans="1:8" s="34" customFormat="1" ht="14.45">
      <c r="A125" s="31"/>
      <c r="B125" s="32"/>
      <c r="C125" s="29"/>
      <c r="D125" s="33"/>
      <c r="E125" s="170"/>
      <c r="F125" s="137"/>
      <c r="G125" s="165"/>
      <c r="H125" s="165"/>
    </row>
    <row r="126" spans="1:8" s="34" customFormat="1" ht="14.45">
      <c r="A126" s="31"/>
      <c r="B126" s="32"/>
      <c r="C126" s="29"/>
      <c r="D126" s="33"/>
      <c r="E126" s="170"/>
      <c r="F126" s="137"/>
      <c r="G126" s="165"/>
      <c r="H126" s="165"/>
    </row>
    <row r="127" spans="1:8" s="34" customFormat="1" ht="14.45">
      <c r="A127" s="31"/>
      <c r="B127" s="32"/>
      <c r="C127" s="29"/>
      <c r="D127" s="33"/>
      <c r="E127" s="170"/>
      <c r="F127" s="137"/>
      <c r="G127" s="165"/>
      <c r="H127" s="165"/>
    </row>
    <row r="128" spans="1:8" s="34" customFormat="1" ht="14.45">
      <c r="A128" s="31"/>
      <c r="B128" s="32"/>
      <c r="C128" s="29"/>
      <c r="D128" s="33"/>
      <c r="E128" s="170"/>
      <c r="F128" s="137"/>
      <c r="G128" s="165"/>
      <c r="H128" s="165"/>
    </row>
    <row r="129" spans="1:8" s="34" customFormat="1" ht="14.45">
      <c r="A129" s="31"/>
      <c r="B129" s="32"/>
      <c r="C129" s="29"/>
      <c r="D129" s="33"/>
      <c r="E129" s="170"/>
      <c r="F129" s="137"/>
      <c r="G129" s="165"/>
      <c r="H129" s="165"/>
    </row>
    <row r="130" spans="1:8" s="34" customFormat="1" ht="14.45">
      <c r="A130" s="31"/>
      <c r="B130" s="32"/>
      <c r="C130" s="29"/>
      <c r="D130" s="33"/>
      <c r="E130" s="170"/>
      <c r="F130" s="137"/>
      <c r="G130" s="165"/>
      <c r="H130" s="165"/>
    </row>
    <row r="131" spans="1:8" s="34" customFormat="1" ht="14.45">
      <c r="A131" s="31"/>
      <c r="B131" s="32"/>
      <c r="C131" s="29"/>
      <c r="D131" s="33"/>
      <c r="E131" s="170"/>
      <c r="F131" s="137"/>
      <c r="G131" s="165"/>
      <c r="H131" s="165"/>
    </row>
    <row r="132" spans="1:8" s="34" customFormat="1" ht="14.45">
      <c r="A132" s="31"/>
      <c r="B132" s="32"/>
      <c r="C132" s="29"/>
      <c r="D132" s="33"/>
      <c r="E132" s="170"/>
      <c r="F132" s="137"/>
      <c r="G132" s="165"/>
      <c r="H132" s="165"/>
    </row>
    <row r="133" spans="1:8" s="34" customFormat="1" ht="14.45">
      <c r="A133" s="71"/>
      <c r="B133" s="72"/>
      <c r="C133" s="73"/>
      <c r="D133" s="74"/>
      <c r="E133" s="171"/>
      <c r="F133" s="138"/>
      <c r="G133" s="165"/>
      <c r="H133" s="165"/>
    </row>
    <row r="134" spans="1:8" s="34" customFormat="1" ht="14.45">
      <c r="A134" s="75"/>
      <c r="B134" s="76"/>
      <c r="C134" s="77" t="s">
        <v>116</v>
      </c>
      <c r="D134" s="77"/>
      <c r="E134" s="172" t="s">
        <v>8</v>
      </c>
      <c r="F134" s="139">
        <f>SUM(F89:F100)</f>
        <v>5590258.6499999994</v>
      </c>
      <c r="G134" s="165"/>
      <c r="H134" s="165"/>
    </row>
    <row r="135" spans="1:8" s="34" customFormat="1" ht="14.45">
      <c r="A135" s="53"/>
      <c r="B135" s="54"/>
      <c r="C135" s="56"/>
      <c r="D135" s="57"/>
      <c r="E135" s="161"/>
      <c r="F135" s="140"/>
      <c r="G135" s="165"/>
      <c r="H135" s="165"/>
    </row>
  </sheetData>
  <customSheetViews>
    <customSheetView guid="{3432A39B-C5E3-4DF0-8655-3886C046AF9C}" scale="85" showPageBreaks="1" printArea="1" view="pageBreakPreview" topLeftCell="A112">
      <selection activeCell="G134" sqref="G134"/>
      <rowBreaks count="2" manualBreakCount="2">
        <brk id="43" max="5" man="1"/>
        <brk id="87" max="5" man="1"/>
      </rowBreaks>
      <pageMargins left="0" right="0" top="0" bottom="0" header="0" footer="0"/>
      <printOptions horizontalCentered="1"/>
      <pageSetup paperSize="9" scale="91" fitToHeight="0" orientation="portrait" useFirstPageNumber="1" r:id="rId1"/>
      <headerFooter>
        <oddHeader>&amp;R&amp;11&amp;U
BILL NO. 3 - MALL REFURBISHMENT
MASONRY</oddHeader>
        <oddFooter>&amp;L&amp;8DMS 148704 BOQ - Nakheel Mall Al Khail&amp;C3/D/&amp;P</oddFooter>
      </headerFooter>
    </customSheetView>
    <customSheetView guid="{47E345F0-E696-46B9-B7A2-C22AD1CF4FAA}" scale="85" showPageBreaks="1" printArea="1" view="pageBreakPreview" topLeftCell="A23">
      <selection activeCell="E22" sqref="E22"/>
      <rowBreaks count="2" manualBreakCount="2">
        <brk id="43" max="5" man="1"/>
        <brk id="87" max="5" man="1"/>
      </rowBreaks>
      <pageMargins left="0" right="0" top="0" bottom="0" header="0" footer="0"/>
      <printOptions horizontalCentered="1"/>
      <pageSetup paperSize="9" scale="91" fitToHeight="0" orientation="portrait" useFirstPageNumber="1" r:id="rId2"/>
      <headerFooter>
        <oddHeader>&amp;R&amp;11&amp;U
BILL NO. 3 - MALL REFURBISHMENT
MASONRY</oddHeader>
        <oddFooter>&amp;L&amp;8DMS 148704 BOQ - Nakheel Mall Al Khail&amp;C3/D/&amp;P</oddFooter>
      </headerFooter>
    </customSheetView>
    <customSheetView guid="{252EBC6A-BD49-4FC3-9285-77861935BFE3}" scale="85" showPageBreaks="1" printArea="1" view="pageBreakPreview" topLeftCell="A107">
      <selection activeCell="B122" sqref="B122"/>
      <rowBreaks count="2" manualBreakCount="2">
        <brk id="43" max="5" man="1"/>
        <brk id="87" max="5" man="1"/>
      </rowBreaks>
      <pageMargins left="0" right="0" top="0" bottom="0" header="0" footer="0"/>
      <printOptions horizontalCentered="1"/>
      <pageSetup paperSize="9" scale="91" fitToHeight="0" orientation="portrait" useFirstPageNumber="1" r:id="rId3"/>
      <headerFooter>
        <oddHeader>&amp;R&amp;11&amp;U
BILL NO. 3 - MALL REFURBISHMENT
MASONRY</oddHeader>
        <oddFooter>&amp;L&amp;8DMS 148704 BOQ - Nakheel Mall Al Khail&amp;C3/D/&amp;P</oddFooter>
      </headerFooter>
    </customSheetView>
    <customSheetView guid="{80D5E0F2-D974-412D-A20C-052459C7A221}" scale="85" showPageBreaks="1" printArea="1" view="pageBreakPreview" topLeftCell="A112">
      <selection activeCell="G134" sqref="G134"/>
      <rowBreaks count="2" manualBreakCount="2">
        <brk id="43" max="5" man="1"/>
        <brk id="87" max="5" man="1"/>
      </rowBreaks>
      <pageMargins left="0" right="0" top="0" bottom="0" header="0" footer="0"/>
      <printOptions horizontalCentered="1"/>
      <pageSetup paperSize="9" scale="91" fitToHeight="0" orientation="portrait" useFirstPageNumber="1" r:id="rId4"/>
      <headerFooter>
        <oddHeader>&amp;R&amp;11&amp;U
BILL NO. 3 - MALL REFURBISHMENT
MASONRY</oddHeader>
        <oddFooter>&amp;L&amp;8DMS 148704 BOQ - Nakheel Mall Al Khail&amp;C3/D/&amp;P</oddFooter>
      </headerFooter>
    </customSheetView>
  </customSheetViews>
  <mergeCells count="4">
    <mergeCell ref="A1:A2"/>
    <mergeCell ref="B1:B2"/>
    <mergeCell ref="C1:C2"/>
    <mergeCell ref="D1:D2"/>
  </mergeCells>
  <printOptions horizontalCentered="1"/>
  <pageMargins left="0.6692913385826772" right="0.19685039370078741" top="0.82677165354330717" bottom="0.47244094488188981" header="0.19685039370078741" footer="0.23622047244094491"/>
  <pageSetup paperSize="9" scale="91" fitToHeight="0" orientation="portrait" useFirstPageNumber="1" r:id="rId5"/>
  <headerFooter>
    <oddHeader>&amp;R&amp;11&amp;U
BILL NO. 3 - MALL REFURBISHMENT
MASONRY</oddHeader>
    <oddFooter>&amp;L&amp;8DMS 148704 BOQ - Nakheel Mall Al Khail&amp;C3/D/&amp;P</oddFooter>
  </headerFooter>
  <rowBreaks count="2" manualBreakCount="2">
    <brk id="43" max="5" man="1"/>
    <brk id="87" max="5"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60DB8B-3754-4075-B005-F7EF33884EEA}">
  <dimension ref="A1:I293"/>
  <sheetViews>
    <sheetView view="pageBreakPreview" topLeftCell="A62" zoomScaleNormal="100" zoomScaleSheetLayoutView="100" zoomScalePageLayoutView="70" workbookViewId="0">
      <selection activeCell="C1" sqref="C1:C1048576"/>
    </sheetView>
  </sheetViews>
  <sheetFormatPr defaultColWidth="9.28515625" defaultRowHeight="13.9"/>
  <cols>
    <col min="1" max="1" width="5.7109375" style="206" customWidth="1"/>
    <col min="2" max="2" width="46" style="207" customWidth="1"/>
    <col min="3" max="3" width="9.5703125" style="318" customWidth="1"/>
    <col min="4" max="4" width="6.7109375" style="208" customWidth="1"/>
    <col min="5" max="5" width="13" style="214" customWidth="1"/>
    <col min="6" max="6" width="16.28515625" style="142" customWidth="1"/>
    <col min="7" max="7" width="9.28515625" style="194"/>
    <col min="8" max="8" width="17" style="241" customWidth="1"/>
    <col min="9" max="9" width="14.7109375" style="241" customWidth="1"/>
    <col min="10" max="12" width="7" style="194" customWidth="1"/>
    <col min="13" max="16384" width="9.28515625" style="194"/>
  </cols>
  <sheetData>
    <row r="1" spans="1:9" s="180" customFormat="1" ht="14.45">
      <c r="A1" s="338" t="s">
        <v>2</v>
      </c>
      <c r="B1" s="338" t="s">
        <v>3</v>
      </c>
      <c r="C1" s="340" t="s">
        <v>4</v>
      </c>
      <c r="D1" s="342" t="s">
        <v>5</v>
      </c>
      <c r="E1" s="210" t="s">
        <v>6</v>
      </c>
      <c r="F1" s="135" t="s">
        <v>7</v>
      </c>
      <c r="H1" s="285"/>
      <c r="I1" s="285"/>
    </row>
    <row r="2" spans="1:9" s="180" customFormat="1" ht="14.45">
      <c r="A2" s="339"/>
      <c r="B2" s="339"/>
      <c r="C2" s="341"/>
      <c r="D2" s="343"/>
      <c r="E2" s="211" t="s">
        <v>8</v>
      </c>
      <c r="F2" s="136" t="s">
        <v>8</v>
      </c>
      <c r="H2" s="285"/>
      <c r="I2" s="285"/>
    </row>
    <row r="3" spans="1:9" s="182" customFormat="1" ht="14.45">
      <c r="A3" s="183"/>
      <c r="B3" s="63"/>
      <c r="C3" s="311"/>
      <c r="D3" s="184"/>
      <c r="E3" s="212"/>
      <c r="F3" s="137"/>
      <c r="H3" s="286"/>
      <c r="I3" s="286"/>
    </row>
    <row r="4" spans="1:9" s="182" customFormat="1" ht="14.45">
      <c r="A4" s="183"/>
      <c r="B4" s="64" t="s">
        <v>241</v>
      </c>
      <c r="C4" s="311"/>
      <c r="D4" s="184"/>
      <c r="E4" s="212"/>
      <c r="F4" s="137"/>
      <c r="H4" s="286"/>
      <c r="I4" s="286"/>
    </row>
    <row r="5" spans="1:9" s="182" customFormat="1" ht="14.45">
      <c r="A5" s="183"/>
      <c r="B5" s="185"/>
      <c r="C5" s="311"/>
      <c r="D5" s="184"/>
      <c r="E5" s="212"/>
      <c r="F5" s="137"/>
      <c r="H5" s="286"/>
      <c r="I5" s="286"/>
    </row>
    <row r="6" spans="1:9" s="182" customFormat="1" ht="14.45">
      <c r="A6" s="66"/>
      <c r="B6" s="67" t="s">
        <v>11</v>
      </c>
      <c r="C6" s="68"/>
      <c r="D6" s="69"/>
      <c r="E6" s="212"/>
      <c r="F6" s="137"/>
      <c r="H6" s="286"/>
      <c r="I6" s="286"/>
    </row>
    <row r="7" spans="1:9" s="182" customFormat="1" ht="14.45">
      <c r="A7" s="183"/>
      <c r="B7" s="185"/>
      <c r="C7" s="311"/>
      <c r="D7" s="184"/>
      <c r="E7" s="212"/>
      <c r="F7" s="137"/>
      <c r="H7" s="286"/>
      <c r="I7" s="286"/>
    </row>
    <row r="8" spans="1:9" s="182" customFormat="1" ht="27.6">
      <c r="A8" s="66"/>
      <c r="B8" s="67" t="s">
        <v>242</v>
      </c>
      <c r="C8" s="68"/>
      <c r="D8" s="69"/>
      <c r="E8" s="212"/>
      <c r="F8" s="137"/>
      <c r="H8" s="286"/>
      <c r="I8" s="286"/>
    </row>
    <row r="9" spans="1:9" s="182" customFormat="1" ht="14.45">
      <c r="A9" s="183"/>
      <c r="B9" s="185"/>
      <c r="C9" s="311"/>
      <c r="D9" s="184"/>
      <c r="E9" s="212"/>
      <c r="F9" s="137"/>
      <c r="H9" s="286"/>
      <c r="I9" s="286"/>
    </row>
    <row r="10" spans="1:9" s="182" customFormat="1" ht="14.45">
      <c r="A10" s="66"/>
      <c r="B10" s="67" t="s">
        <v>243</v>
      </c>
      <c r="C10" s="68"/>
      <c r="D10" s="69"/>
      <c r="E10" s="212"/>
      <c r="F10" s="137"/>
      <c r="H10" s="286"/>
      <c r="I10" s="286"/>
    </row>
    <row r="11" spans="1:9" s="182" customFormat="1" ht="14.45">
      <c r="A11" s="183"/>
      <c r="B11" s="185"/>
      <c r="C11" s="311"/>
      <c r="D11" s="184"/>
      <c r="E11" s="212"/>
      <c r="F11" s="137"/>
      <c r="H11" s="286"/>
      <c r="I11" s="286"/>
    </row>
    <row r="12" spans="1:9" s="182" customFormat="1" ht="14.45">
      <c r="A12" s="66"/>
      <c r="B12" s="67" t="s">
        <v>244</v>
      </c>
      <c r="C12" s="68"/>
      <c r="D12" s="69"/>
      <c r="E12" s="212"/>
      <c r="F12" s="137"/>
      <c r="H12" s="286"/>
      <c r="I12" s="286"/>
    </row>
    <row r="13" spans="1:9" s="182" customFormat="1" ht="14.45">
      <c r="A13" s="183"/>
      <c r="B13" s="185"/>
      <c r="C13" s="311"/>
      <c r="D13" s="184"/>
      <c r="E13" s="212"/>
      <c r="F13" s="137"/>
      <c r="H13" s="286"/>
      <c r="I13" s="286"/>
    </row>
    <row r="14" spans="1:9" s="182" customFormat="1" ht="73.5" customHeight="1">
      <c r="A14" s="66"/>
      <c r="B14" s="70" t="s">
        <v>245</v>
      </c>
      <c r="C14" s="68"/>
      <c r="D14" s="69"/>
      <c r="E14" s="212"/>
      <c r="F14" s="137"/>
      <c r="H14" s="286"/>
      <c r="I14" s="286"/>
    </row>
    <row r="15" spans="1:9" s="182" customFormat="1" ht="14.45">
      <c r="A15" s="183"/>
      <c r="B15" s="185"/>
      <c r="C15" s="311"/>
      <c r="D15" s="184"/>
      <c r="E15" s="212"/>
      <c r="F15" s="137"/>
      <c r="H15" s="286"/>
      <c r="I15" s="286"/>
    </row>
    <row r="16" spans="1:9" s="182" customFormat="1" ht="27.6">
      <c r="A16" s="66" t="s">
        <v>14</v>
      </c>
      <c r="B16" s="67" t="s">
        <v>246</v>
      </c>
      <c r="C16" s="106">
        <v>1110</v>
      </c>
      <c r="D16" s="69" t="s">
        <v>199</v>
      </c>
      <c r="E16" s="212"/>
      <c r="F16" s="217" t="s">
        <v>247</v>
      </c>
      <c r="H16" s="286"/>
      <c r="I16" s="286"/>
    </row>
    <row r="17" spans="1:9" s="182" customFormat="1" ht="14.45">
      <c r="A17" s="183"/>
      <c r="B17" s="185"/>
      <c r="C17" s="311"/>
      <c r="D17" s="184"/>
      <c r="E17" s="212"/>
      <c r="F17" s="217"/>
      <c r="H17" s="286"/>
      <c r="I17" s="286"/>
    </row>
    <row r="18" spans="1:9" s="182" customFormat="1" ht="27.6">
      <c r="A18" s="66" t="s">
        <v>17</v>
      </c>
      <c r="B18" s="67" t="s">
        <v>248</v>
      </c>
      <c r="C18" s="68">
        <v>674</v>
      </c>
      <c r="D18" s="69" t="s">
        <v>199</v>
      </c>
      <c r="E18" s="212"/>
      <c r="F18" s="217" t="s">
        <v>247</v>
      </c>
      <c r="H18" s="286"/>
      <c r="I18" s="286"/>
    </row>
    <row r="19" spans="1:9" s="182" customFormat="1" ht="14.45">
      <c r="A19" s="183"/>
      <c r="B19" s="185"/>
      <c r="C19" s="311"/>
      <c r="D19" s="184"/>
      <c r="E19" s="212"/>
      <c r="F19" s="137"/>
      <c r="H19" s="286"/>
      <c r="I19" s="286"/>
    </row>
    <row r="20" spans="1:9" s="182" customFormat="1" ht="69">
      <c r="A20" s="66"/>
      <c r="B20" s="70" t="s">
        <v>249</v>
      </c>
      <c r="C20" s="68"/>
      <c r="D20" s="69"/>
      <c r="E20" s="212"/>
      <c r="F20" s="137"/>
      <c r="H20" s="286"/>
      <c r="I20" s="286"/>
    </row>
    <row r="21" spans="1:9" s="182" customFormat="1" ht="14.45">
      <c r="A21" s="183"/>
      <c r="B21" s="185"/>
      <c r="C21" s="311"/>
      <c r="D21" s="184"/>
      <c r="E21" s="212"/>
      <c r="F21" s="137"/>
      <c r="H21" s="286"/>
      <c r="I21" s="286"/>
    </row>
    <row r="22" spans="1:9" s="182" customFormat="1" ht="14.45">
      <c r="A22" s="66" t="s">
        <v>20</v>
      </c>
      <c r="B22" s="67" t="s">
        <v>250</v>
      </c>
      <c r="C22" s="68">
        <v>74</v>
      </c>
      <c r="D22" s="69" t="s">
        <v>199</v>
      </c>
      <c r="E22" s="212">
        <v>2583.04</v>
      </c>
      <c r="F22" s="137">
        <f>C22*E22</f>
        <v>191144.95999999999</v>
      </c>
      <c r="H22" s="286"/>
      <c r="I22" s="286"/>
    </row>
    <row r="23" spans="1:9" s="182" customFormat="1" ht="14.45">
      <c r="A23" s="183"/>
      <c r="B23" s="185"/>
      <c r="C23" s="311"/>
      <c r="D23" s="184"/>
      <c r="E23" s="212"/>
      <c r="F23" s="137"/>
      <c r="H23" s="286"/>
      <c r="I23" s="286"/>
    </row>
    <row r="24" spans="1:9" s="182" customFormat="1" ht="14.45">
      <c r="A24" s="66" t="s">
        <v>23</v>
      </c>
      <c r="B24" s="67" t="s">
        <v>251</v>
      </c>
      <c r="C24" s="68">
        <v>169</v>
      </c>
      <c r="D24" s="69" t="s">
        <v>199</v>
      </c>
      <c r="E24" s="212">
        <v>3318.05</v>
      </c>
      <c r="F24" s="137">
        <f>C24*E24</f>
        <v>560750.45000000007</v>
      </c>
      <c r="H24" s="286"/>
      <c r="I24" s="286"/>
    </row>
    <row r="25" spans="1:9" s="182" customFormat="1" ht="14.45">
      <c r="A25" s="183"/>
      <c r="B25" s="185"/>
      <c r="C25" s="311"/>
      <c r="D25" s="184"/>
      <c r="E25" s="212"/>
      <c r="F25" s="137"/>
      <c r="H25" s="286"/>
      <c r="I25" s="286"/>
    </row>
    <row r="26" spans="1:9" s="182" customFormat="1" ht="14.45">
      <c r="A26" s="66" t="s">
        <v>27</v>
      </c>
      <c r="B26" s="67" t="s">
        <v>252</v>
      </c>
      <c r="C26" s="68">
        <v>201</v>
      </c>
      <c r="D26" s="69" t="s">
        <v>199</v>
      </c>
      <c r="E26" s="212">
        <v>2583.04</v>
      </c>
      <c r="F26" s="137">
        <f>C26*E26</f>
        <v>519191.03999999998</v>
      </c>
      <c r="H26" s="286"/>
      <c r="I26" s="286"/>
    </row>
    <row r="27" spans="1:9" s="182" customFormat="1" ht="14.45">
      <c r="A27" s="183"/>
      <c r="B27" s="185"/>
      <c r="C27" s="311"/>
      <c r="D27" s="184"/>
      <c r="E27" s="212"/>
      <c r="F27" s="137"/>
      <c r="H27" s="286"/>
      <c r="I27" s="286"/>
    </row>
    <row r="28" spans="1:9" s="182" customFormat="1" ht="14.45">
      <c r="A28" s="66" t="s">
        <v>44</v>
      </c>
      <c r="B28" s="67" t="s">
        <v>253</v>
      </c>
      <c r="C28" s="68">
        <v>10</v>
      </c>
      <c r="D28" s="69" t="s">
        <v>199</v>
      </c>
      <c r="E28" s="212">
        <v>2898.05</v>
      </c>
      <c r="F28" s="137">
        <f>C28*E28</f>
        <v>28980.5</v>
      </c>
      <c r="H28" s="286"/>
      <c r="I28" s="286"/>
    </row>
    <row r="29" spans="1:9" s="182" customFormat="1" ht="14.45">
      <c r="A29" s="183"/>
      <c r="B29" s="185"/>
      <c r="C29" s="311"/>
      <c r="D29" s="184"/>
      <c r="E29" s="212"/>
      <c r="F29" s="137"/>
      <c r="H29" s="286"/>
      <c r="I29" s="286"/>
    </row>
    <row r="30" spans="1:9" s="182" customFormat="1" ht="14.45">
      <c r="A30" s="66" t="s">
        <v>48</v>
      </c>
      <c r="B30" s="67" t="s">
        <v>254</v>
      </c>
      <c r="C30" s="68">
        <v>883</v>
      </c>
      <c r="D30" s="69" t="s">
        <v>199</v>
      </c>
      <c r="E30" s="212">
        <v>3318.05</v>
      </c>
      <c r="F30" s="137">
        <f>C30*E30</f>
        <v>2929838.1500000004</v>
      </c>
      <c r="H30" s="286"/>
      <c r="I30" s="286"/>
    </row>
    <row r="31" spans="1:9" s="182" customFormat="1" ht="14.45">
      <c r="A31" s="183"/>
      <c r="B31" s="63"/>
      <c r="C31" s="311"/>
      <c r="D31" s="184"/>
      <c r="E31" s="212"/>
      <c r="F31" s="137"/>
      <c r="H31" s="286"/>
      <c r="I31" s="286"/>
    </row>
    <row r="32" spans="1:9" s="182" customFormat="1" ht="14.45">
      <c r="A32" s="183"/>
      <c r="B32" s="63"/>
      <c r="C32" s="311"/>
      <c r="D32" s="184"/>
      <c r="E32" s="212"/>
      <c r="F32" s="137"/>
      <c r="H32" s="286"/>
      <c r="I32" s="286"/>
    </row>
    <row r="33" spans="1:9" s="182" customFormat="1" ht="14.45">
      <c r="A33" s="183"/>
      <c r="B33" s="63"/>
      <c r="C33" s="311"/>
      <c r="D33" s="184"/>
      <c r="E33" s="212"/>
      <c r="F33" s="137"/>
      <c r="H33" s="286"/>
      <c r="I33" s="286"/>
    </row>
    <row r="34" spans="1:9" s="182" customFormat="1" ht="14.45">
      <c r="A34" s="183"/>
      <c r="B34" s="63"/>
      <c r="C34" s="311"/>
      <c r="D34" s="184"/>
      <c r="E34" s="212"/>
      <c r="F34" s="137"/>
      <c r="H34" s="286"/>
      <c r="I34" s="286"/>
    </row>
    <row r="35" spans="1:9" s="182" customFormat="1" ht="14.45">
      <c r="A35" s="186"/>
      <c r="B35" s="187"/>
      <c r="C35" s="312"/>
      <c r="D35" s="188"/>
      <c r="E35" s="213"/>
      <c r="F35" s="138"/>
      <c r="H35" s="286"/>
      <c r="I35" s="286"/>
    </row>
    <row r="36" spans="1:9" s="182" customFormat="1" ht="14.45">
      <c r="A36" s="189"/>
      <c r="B36" s="190"/>
      <c r="C36" s="191" t="s">
        <v>30</v>
      </c>
      <c r="D36" s="191"/>
      <c r="E36" s="214" t="s">
        <v>8</v>
      </c>
      <c r="F36" s="139">
        <f>SUM(F21:F32)</f>
        <v>4229905.1000000006</v>
      </c>
      <c r="H36" s="286"/>
      <c r="I36" s="286"/>
    </row>
    <row r="37" spans="1:9" s="182" customFormat="1" ht="14.45">
      <c r="A37" s="189"/>
      <c r="B37" s="190"/>
      <c r="C37" s="313"/>
      <c r="D37" s="192"/>
      <c r="E37" s="215"/>
      <c r="F37" s="140"/>
      <c r="H37" s="286"/>
      <c r="I37" s="286"/>
    </row>
    <row r="38" spans="1:9" s="182" customFormat="1" ht="14.45">
      <c r="A38" s="183"/>
      <c r="B38" s="63"/>
      <c r="C38" s="311"/>
      <c r="D38" s="184"/>
      <c r="E38" s="212"/>
      <c r="F38" s="137"/>
      <c r="H38" s="286"/>
      <c r="I38" s="286"/>
    </row>
    <row r="39" spans="1:9" s="182" customFormat="1" ht="14.45">
      <c r="A39" s="183"/>
      <c r="B39" s="64" t="s">
        <v>241</v>
      </c>
      <c r="C39" s="311"/>
      <c r="D39" s="184"/>
      <c r="E39" s="212"/>
      <c r="F39" s="137"/>
      <c r="H39" s="286"/>
      <c r="I39" s="286"/>
    </row>
    <row r="40" spans="1:9" s="182" customFormat="1" ht="14.45">
      <c r="A40" s="183"/>
      <c r="B40" s="185"/>
      <c r="C40" s="311"/>
      <c r="D40" s="184"/>
      <c r="E40" s="212"/>
      <c r="F40" s="137"/>
      <c r="H40" s="286"/>
      <c r="I40" s="286"/>
    </row>
    <row r="41" spans="1:9" s="182" customFormat="1" ht="14.45">
      <c r="A41" s="66"/>
      <c r="B41" s="67" t="s">
        <v>11</v>
      </c>
      <c r="C41" s="68"/>
      <c r="D41" s="69"/>
      <c r="E41" s="212"/>
      <c r="F41" s="137"/>
      <c r="H41" s="286"/>
      <c r="I41" s="286"/>
    </row>
    <row r="42" spans="1:9" s="182" customFormat="1" ht="14.45">
      <c r="A42" s="183"/>
      <c r="B42" s="185"/>
      <c r="C42" s="311"/>
      <c r="D42" s="184"/>
      <c r="E42" s="212"/>
      <c r="F42" s="137"/>
      <c r="H42" s="286"/>
      <c r="I42" s="286"/>
    </row>
    <row r="43" spans="1:9" s="182" customFormat="1" ht="27.6">
      <c r="A43" s="66"/>
      <c r="B43" s="67" t="s">
        <v>242</v>
      </c>
      <c r="C43" s="68"/>
      <c r="D43" s="69"/>
      <c r="E43" s="212"/>
      <c r="F43" s="137"/>
      <c r="H43" s="286"/>
      <c r="I43" s="286"/>
    </row>
    <row r="44" spans="1:9" s="182" customFormat="1" ht="14.45">
      <c r="A44" s="183"/>
      <c r="B44" s="185"/>
      <c r="C44" s="311"/>
      <c r="D44" s="184"/>
      <c r="E44" s="212"/>
      <c r="F44" s="137"/>
      <c r="H44" s="286"/>
      <c r="I44" s="286"/>
    </row>
    <row r="45" spans="1:9" s="182" customFormat="1" ht="14.45">
      <c r="A45" s="66"/>
      <c r="B45" s="67" t="s">
        <v>243</v>
      </c>
      <c r="C45" s="68"/>
      <c r="D45" s="69"/>
      <c r="E45" s="212"/>
      <c r="F45" s="137"/>
      <c r="H45" s="286"/>
      <c r="I45" s="286"/>
    </row>
    <row r="46" spans="1:9" s="182" customFormat="1" ht="14.45">
      <c r="A46" s="183"/>
      <c r="B46" s="185"/>
      <c r="C46" s="311"/>
      <c r="D46" s="184"/>
      <c r="E46" s="212"/>
      <c r="F46" s="137"/>
      <c r="H46" s="286"/>
      <c r="I46" s="286"/>
    </row>
    <row r="47" spans="1:9" s="182" customFormat="1" ht="14.45">
      <c r="A47" s="66"/>
      <c r="B47" s="67" t="s">
        <v>244</v>
      </c>
      <c r="C47" s="68"/>
      <c r="D47" s="69"/>
      <c r="E47" s="212"/>
      <c r="F47" s="137"/>
      <c r="H47" s="286"/>
      <c r="I47" s="286"/>
    </row>
    <row r="48" spans="1:9" s="182" customFormat="1" ht="14.45">
      <c r="A48" s="183"/>
      <c r="B48" s="185"/>
      <c r="C48" s="311"/>
      <c r="D48" s="184"/>
      <c r="E48" s="212"/>
      <c r="F48" s="137"/>
      <c r="H48" s="286"/>
      <c r="I48" s="286"/>
    </row>
    <row r="49" spans="1:9" s="182" customFormat="1" ht="86.25" customHeight="1">
      <c r="A49" s="66"/>
      <c r="B49" s="70" t="s">
        <v>255</v>
      </c>
      <c r="C49" s="68"/>
      <c r="D49" s="69"/>
      <c r="E49" s="212"/>
      <c r="F49" s="137"/>
      <c r="H49" s="286"/>
      <c r="I49" s="286"/>
    </row>
    <row r="50" spans="1:9" s="182" customFormat="1" ht="14.45">
      <c r="A50" s="183"/>
      <c r="B50" s="185"/>
      <c r="C50" s="311"/>
      <c r="D50" s="184"/>
      <c r="E50" s="212"/>
      <c r="F50" s="137"/>
      <c r="H50" s="286"/>
      <c r="I50" s="286"/>
    </row>
    <row r="51" spans="1:9" s="182" customFormat="1" ht="14.45">
      <c r="A51" s="66" t="s">
        <v>14</v>
      </c>
      <c r="B51" s="67" t="s">
        <v>256</v>
      </c>
      <c r="C51" s="106">
        <v>1110</v>
      </c>
      <c r="D51" s="69" t="s">
        <v>199</v>
      </c>
      <c r="E51" s="212">
        <v>457.7</v>
      </c>
      <c r="F51" s="137" t="s">
        <v>257</v>
      </c>
      <c r="H51" s="286"/>
      <c r="I51" s="286"/>
    </row>
    <row r="52" spans="1:9" s="182" customFormat="1" ht="14.45">
      <c r="A52" s="183"/>
      <c r="B52" s="185"/>
      <c r="C52" s="311"/>
      <c r="D52" s="184"/>
      <c r="E52" s="212"/>
      <c r="F52" s="137"/>
      <c r="H52" s="286"/>
      <c r="I52" s="286"/>
    </row>
    <row r="53" spans="1:9" s="182" customFormat="1" ht="16.5" customHeight="1">
      <c r="A53" s="66" t="s">
        <v>17</v>
      </c>
      <c r="B53" s="67" t="s">
        <v>258</v>
      </c>
      <c r="C53" s="68">
        <v>674</v>
      </c>
      <c r="D53" s="69" t="s">
        <v>199</v>
      </c>
      <c r="E53" s="212">
        <v>565.39</v>
      </c>
      <c r="F53" s="137" t="s">
        <v>257</v>
      </c>
      <c r="H53" s="286"/>
      <c r="I53" s="286"/>
    </row>
    <row r="54" spans="1:9" s="182" customFormat="1" ht="14.45">
      <c r="A54" s="183"/>
      <c r="B54" s="185"/>
      <c r="C54" s="311"/>
      <c r="D54" s="184"/>
      <c r="E54" s="212"/>
      <c r="F54" s="137"/>
      <c r="H54" s="286"/>
      <c r="I54" s="286"/>
    </row>
    <row r="55" spans="1:9" s="182" customFormat="1" ht="82.9">
      <c r="A55" s="66"/>
      <c r="B55" s="70" t="s">
        <v>259</v>
      </c>
      <c r="C55" s="68"/>
      <c r="D55" s="69"/>
      <c r="E55" s="212"/>
      <c r="F55" s="137"/>
      <c r="H55" s="286"/>
      <c r="I55" s="286"/>
    </row>
    <row r="56" spans="1:9" s="182" customFormat="1" ht="14.45">
      <c r="A56" s="183"/>
      <c r="B56" s="185"/>
      <c r="C56" s="311"/>
      <c r="D56" s="184"/>
      <c r="E56" s="212"/>
      <c r="F56" s="137"/>
      <c r="H56" s="286"/>
      <c r="I56" s="286"/>
    </row>
    <row r="57" spans="1:9" s="182" customFormat="1" ht="14.45">
      <c r="A57" s="66" t="s">
        <v>20</v>
      </c>
      <c r="B57" s="67" t="s">
        <v>260</v>
      </c>
      <c r="C57" s="68">
        <v>74</v>
      </c>
      <c r="D57" s="69" t="s">
        <v>199</v>
      </c>
      <c r="E57" s="212">
        <v>2625.88</v>
      </c>
      <c r="F57" s="137" t="s">
        <v>257</v>
      </c>
      <c r="H57" s="286"/>
      <c r="I57" s="286"/>
    </row>
    <row r="58" spans="1:9" s="182" customFormat="1" ht="14.45">
      <c r="A58" s="183"/>
      <c r="B58" s="185"/>
      <c r="C58" s="311"/>
      <c r="D58" s="184"/>
      <c r="E58" s="212"/>
      <c r="F58" s="137"/>
      <c r="H58" s="286"/>
      <c r="I58" s="286"/>
    </row>
    <row r="59" spans="1:9" s="182" customFormat="1" ht="15.75" customHeight="1">
      <c r="A59" s="66" t="s">
        <v>23</v>
      </c>
      <c r="B59" s="67" t="s">
        <v>261</v>
      </c>
      <c r="C59" s="68">
        <v>169</v>
      </c>
      <c r="D59" s="69" t="s">
        <v>199</v>
      </c>
      <c r="E59" s="212">
        <v>3373.08</v>
      </c>
      <c r="F59" s="137" t="s">
        <v>257</v>
      </c>
      <c r="H59" s="286"/>
      <c r="I59" s="286"/>
    </row>
    <row r="60" spans="1:9" s="182" customFormat="1" ht="14.45">
      <c r="A60" s="183"/>
      <c r="B60" s="185"/>
      <c r="C60" s="311"/>
      <c r="D60" s="184"/>
      <c r="E60" s="212"/>
      <c r="F60" s="137"/>
      <c r="H60" s="286"/>
      <c r="I60" s="286"/>
    </row>
    <row r="61" spans="1:9" s="182" customFormat="1" ht="14.45">
      <c r="A61" s="66" t="s">
        <v>27</v>
      </c>
      <c r="B61" s="67" t="s">
        <v>262</v>
      </c>
      <c r="C61" s="68">
        <v>192</v>
      </c>
      <c r="D61" s="69" t="s">
        <v>199</v>
      </c>
      <c r="E61" s="212">
        <v>2625.88</v>
      </c>
      <c r="F61" s="137" t="s">
        <v>257</v>
      </c>
      <c r="H61" s="286"/>
      <c r="I61" s="286"/>
    </row>
    <row r="62" spans="1:9" s="182" customFormat="1" ht="14.45">
      <c r="A62" s="183"/>
      <c r="B62" s="185"/>
      <c r="C62" s="311"/>
      <c r="D62" s="184"/>
      <c r="E62" s="212"/>
      <c r="F62" s="137"/>
      <c r="H62" s="286"/>
      <c r="I62" s="286"/>
    </row>
    <row r="63" spans="1:9" s="182" customFormat="1" ht="18" customHeight="1">
      <c r="A63" s="66" t="s">
        <v>44</v>
      </c>
      <c r="B63" s="67" t="s">
        <v>263</v>
      </c>
      <c r="C63" s="68">
        <v>10</v>
      </c>
      <c r="D63" s="69" t="s">
        <v>199</v>
      </c>
      <c r="E63" s="212">
        <v>2946.11</v>
      </c>
      <c r="F63" s="137" t="s">
        <v>257</v>
      </c>
      <c r="H63" s="286"/>
      <c r="I63" s="286"/>
    </row>
    <row r="64" spans="1:9" s="182" customFormat="1" ht="14.45">
      <c r="A64" s="183"/>
      <c r="B64" s="185"/>
      <c r="C64" s="311"/>
      <c r="D64" s="184"/>
      <c r="E64" s="212"/>
      <c r="F64" s="137"/>
      <c r="H64" s="286"/>
      <c r="I64" s="286"/>
    </row>
    <row r="65" spans="1:9" s="182" customFormat="1" ht="14.45">
      <c r="A65" s="66" t="s">
        <v>48</v>
      </c>
      <c r="B65" s="67" t="s">
        <v>264</v>
      </c>
      <c r="C65" s="68">
        <v>883</v>
      </c>
      <c r="D65" s="69" t="s">
        <v>199</v>
      </c>
      <c r="E65" s="212">
        <v>3373.08</v>
      </c>
      <c r="F65" s="137" t="s">
        <v>257</v>
      </c>
      <c r="H65" s="286"/>
      <c r="I65" s="286"/>
    </row>
    <row r="66" spans="1:9" s="182" customFormat="1" ht="14.45">
      <c r="A66" s="183"/>
      <c r="B66" s="63"/>
      <c r="C66" s="311"/>
      <c r="D66" s="184"/>
      <c r="E66" s="212"/>
      <c r="F66" s="137"/>
      <c r="H66" s="286"/>
      <c r="I66" s="286"/>
    </row>
    <row r="67" spans="1:9" s="182" customFormat="1" ht="14.45">
      <c r="A67" s="183"/>
      <c r="B67" s="63"/>
      <c r="C67" s="311"/>
      <c r="D67" s="184"/>
      <c r="E67" s="212"/>
      <c r="F67" s="137"/>
      <c r="H67" s="286"/>
      <c r="I67" s="286"/>
    </row>
    <row r="68" spans="1:9" s="182" customFormat="1" ht="14.45">
      <c r="A68" s="183"/>
      <c r="B68" s="63"/>
      <c r="C68" s="311"/>
      <c r="D68" s="184"/>
      <c r="E68" s="212"/>
      <c r="F68" s="137"/>
      <c r="H68" s="286"/>
      <c r="I68" s="286"/>
    </row>
    <row r="69" spans="1:9" s="182" customFormat="1" ht="14.45">
      <c r="A69" s="183"/>
      <c r="B69" s="63"/>
      <c r="C69" s="311"/>
      <c r="D69" s="184"/>
      <c r="E69" s="212"/>
      <c r="F69" s="137"/>
      <c r="H69" s="286"/>
      <c r="I69" s="286"/>
    </row>
    <row r="70" spans="1:9" s="182" customFormat="1" ht="14.45">
      <c r="A70" s="183"/>
      <c r="B70" s="63"/>
      <c r="C70" s="311"/>
      <c r="D70" s="184"/>
      <c r="E70" s="212"/>
      <c r="F70" s="137"/>
      <c r="H70" s="286"/>
      <c r="I70" s="286"/>
    </row>
    <row r="71" spans="1:9" s="182" customFormat="1" ht="14.45">
      <c r="A71" s="186"/>
      <c r="B71" s="187"/>
      <c r="C71" s="312"/>
      <c r="D71" s="188"/>
      <c r="E71" s="213"/>
      <c r="F71" s="138"/>
      <c r="H71" s="286"/>
      <c r="I71" s="286"/>
    </row>
    <row r="72" spans="1:9" s="182" customFormat="1" ht="14.45">
      <c r="A72" s="189"/>
      <c r="B72" s="190"/>
      <c r="C72" s="191" t="s">
        <v>30</v>
      </c>
      <c r="D72" s="191"/>
      <c r="E72" s="214" t="s">
        <v>8</v>
      </c>
      <c r="F72" s="139"/>
      <c r="H72" s="286"/>
      <c r="I72" s="286"/>
    </row>
    <row r="73" spans="1:9" s="182" customFormat="1" ht="14.45">
      <c r="A73" s="189"/>
      <c r="B73" s="190"/>
      <c r="C73" s="313"/>
      <c r="D73" s="192"/>
      <c r="E73" s="215"/>
      <c r="F73" s="140"/>
      <c r="H73" s="286"/>
      <c r="I73" s="286"/>
    </row>
    <row r="74" spans="1:9" s="182" customFormat="1" ht="14.45">
      <c r="A74" s="183"/>
      <c r="B74" s="63"/>
      <c r="C74" s="311"/>
      <c r="D74" s="184"/>
      <c r="E74" s="212"/>
      <c r="F74" s="137"/>
      <c r="H74" s="286"/>
      <c r="I74" s="286"/>
    </row>
    <row r="75" spans="1:9" s="182" customFormat="1" ht="14.45">
      <c r="A75" s="183"/>
      <c r="B75" s="64" t="s">
        <v>241</v>
      </c>
      <c r="C75" s="311"/>
      <c r="D75" s="184"/>
      <c r="E75" s="212"/>
      <c r="F75" s="137"/>
      <c r="H75" s="286"/>
      <c r="I75" s="286"/>
    </row>
    <row r="76" spans="1:9" s="182" customFormat="1" ht="14.45">
      <c r="A76" s="183"/>
      <c r="B76" s="185"/>
      <c r="C76" s="311"/>
      <c r="D76" s="184"/>
      <c r="E76" s="212"/>
      <c r="F76" s="137"/>
      <c r="H76" s="286"/>
      <c r="I76" s="286"/>
    </row>
    <row r="77" spans="1:9" s="182" customFormat="1" ht="14.45">
      <c r="A77" s="66"/>
      <c r="B77" s="67" t="s">
        <v>11</v>
      </c>
      <c r="C77" s="68"/>
      <c r="D77" s="69"/>
      <c r="E77" s="212"/>
      <c r="F77" s="137"/>
      <c r="H77" s="286"/>
      <c r="I77" s="286"/>
    </row>
    <row r="78" spans="1:9" s="182" customFormat="1" ht="14.45">
      <c r="A78" s="183"/>
      <c r="B78" s="185"/>
      <c r="C78" s="311"/>
      <c r="D78" s="184"/>
      <c r="E78" s="212"/>
      <c r="F78" s="137"/>
      <c r="H78" s="286"/>
      <c r="I78" s="286"/>
    </row>
    <row r="79" spans="1:9" s="182" customFormat="1" ht="27.6">
      <c r="A79" s="66"/>
      <c r="B79" s="67" t="s">
        <v>242</v>
      </c>
      <c r="C79" s="68"/>
      <c r="D79" s="69"/>
      <c r="E79" s="212"/>
      <c r="F79" s="137"/>
      <c r="H79" s="286"/>
      <c r="I79" s="286"/>
    </row>
    <row r="80" spans="1:9" s="182" customFormat="1" ht="14.45">
      <c r="A80" s="183"/>
      <c r="B80" s="185"/>
      <c r="C80" s="311"/>
      <c r="D80" s="184"/>
      <c r="E80" s="212"/>
      <c r="F80" s="137"/>
      <c r="H80" s="286"/>
      <c r="I80" s="286"/>
    </row>
    <row r="81" spans="1:9" s="182" customFormat="1" ht="14.45">
      <c r="A81" s="66"/>
      <c r="B81" s="67" t="s">
        <v>243</v>
      </c>
      <c r="C81" s="68"/>
      <c r="D81" s="69"/>
      <c r="E81" s="212"/>
      <c r="F81" s="137"/>
      <c r="H81" s="286"/>
      <c r="I81" s="286"/>
    </row>
    <row r="82" spans="1:9" s="182" customFormat="1" ht="14.45">
      <c r="A82" s="183"/>
      <c r="B82" s="185"/>
      <c r="C82" s="311"/>
      <c r="D82" s="184"/>
      <c r="E82" s="212"/>
      <c r="F82" s="137"/>
      <c r="H82" s="286"/>
      <c r="I82" s="286"/>
    </row>
    <row r="83" spans="1:9" s="182" customFormat="1" ht="14.45">
      <c r="A83" s="66"/>
      <c r="B83" s="67" t="s">
        <v>244</v>
      </c>
      <c r="C83" s="68"/>
      <c r="D83" s="69"/>
      <c r="E83" s="212"/>
      <c r="F83" s="137"/>
      <c r="H83" s="286"/>
      <c r="I83" s="286"/>
    </row>
    <row r="84" spans="1:9" s="182" customFormat="1" ht="14.45">
      <c r="A84" s="183"/>
      <c r="B84" s="185"/>
      <c r="C84" s="311"/>
      <c r="D84" s="184"/>
      <c r="E84" s="212"/>
      <c r="F84" s="137"/>
      <c r="H84" s="286"/>
      <c r="I84" s="286"/>
    </row>
    <row r="85" spans="1:9" s="182" customFormat="1" ht="85.5" customHeight="1">
      <c r="A85" s="66"/>
      <c r="B85" s="70" t="s">
        <v>265</v>
      </c>
      <c r="C85" s="68"/>
      <c r="D85" s="69"/>
      <c r="E85" s="212"/>
      <c r="F85" s="137"/>
      <c r="H85" s="286"/>
      <c r="I85" s="286"/>
    </row>
    <row r="86" spans="1:9" s="182" customFormat="1" ht="14.45">
      <c r="A86" s="183"/>
      <c r="B86" s="185"/>
      <c r="C86" s="311"/>
      <c r="D86" s="184"/>
      <c r="E86" s="212"/>
      <c r="F86" s="137"/>
      <c r="H86" s="286"/>
      <c r="I86" s="286"/>
    </row>
    <row r="87" spans="1:9" s="182" customFormat="1" ht="14.45">
      <c r="A87" s="66" t="s">
        <v>14</v>
      </c>
      <c r="B87" s="67" t="s">
        <v>256</v>
      </c>
      <c r="C87" s="106">
        <v>1110</v>
      </c>
      <c r="D87" s="69" t="s">
        <v>199</v>
      </c>
      <c r="E87" s="212" t="s">
        <v>266</v>
      </c>
      <c r="F87" s="137" t="s">
        <v>257</v>
      </c>
      <c r="H87" s="286"/>
      <c r="I87" s="286"/>
    </row>
    <row r="88" spans="1:9" s="182" customFormat="1" ht="14.45">
      <c r="A88" s="183"/>
      <c r="B88" s="185"/>
      <c r="C88" s="311"/>
      <c r="D88" s="184"/>
      <c r="E88" s="212"/>
      <c r="F88" s="137"/>
      <c r="H88" s="286"/>
      <c r="I88" s="286"/>
    </row>
    <row r="89" spans="1:9" s="182" customFormat="1" ht="16.5" customHeight="1">
      <c r="A89" s="66" t="s">
        <v>17</v>
      </c>
      <c r="B89" s="67" t="s">
        <v>258</v>
      </c>
      <c r="C89" s="68">
        <v>674</v>
      </c>
      <c r="D89" s="69" t="s">
        <v>199</v>
      </c>
      <c r="E89" s="212" t="s">
        <v>266</v>
      </c>
      <c r="F89" s="137" t="s">
        <v>257</v>
      </c>
      <c r="H89" s="286"/>
      <c r="I89" s="286"/>
    </row>
    <row r="90" spans="1:9" s="182" customFormat="1" ht="14.45">
      <c r="A90" s="183"/>
      <c r="B90" s="185"/>
      <c r="C90" s="311"/>
      <c r="D90" s="184"/>
      <c r="E90" s="212"/>
      <c r="F90" s="137"/>
      <c r="H90" s="286"/>
      <c r="I90" s="286"/>
    </row>
    <row r="91" spans="1:9" s="182" customFormat="1" ht="69">
      <c r="A91" s="66"/>
      <c r="B91" s="70" t="s">
        <v>267</v>
      </c>
      <c r="C91" s="68"/>
      <c r="D91" s="69"/>
      <c r="E91" s="212"/>
      <c r="F91" s="137"/>
      <c r="H91" s="286"/>
      <c r="I91" s="286"/>
    </row>
    <row r="92" spans="1:9" s="182" customFormat="1" ht="14.45">
      <c r="A92" s="183"/>
      <c r="B92" s="185"/>
      <c r="C92" s="311"/>
      <c r="D92" s="184"/>
      <c r="E92" s="212"/>
      <c r="F92" s="137"/>
      <c r="H92" s="286"/>
      <c r="I92" s="286"/>
    </row>
    <row r="93" spans="1:9" s="182" customFormat="1" ht="14.45">
      <c r="A93" s="66" t="s">
        <v>20</v>
      </c>
      <c r="B93" s="67" t="s">
        <v>260</v>
      </c>
      <c r="C93" s="68">
        <v>74</v>
      </c>
      <c r="D93" s="69" t="s">
        <v>199</v>
      </c>
      <c r="E93" s="212">
        <v>3106.97</v>
      </c>
      <c r="F93" s="137" t="s">
        <v>257</v>
      </c>
      <c r="H93" s="286"/>
      <c r="I93" s="286"/>
    </row>
    <row r="94" spans="1:9" s="182" customFormat="1" ht="14.45">
      <c r="A94" s="183"/>
      <c r="B94" s="185"/>
      <c r="C94" s="311"/>
      <c r="D94" s="184"/>
      <c r="E94" s="212"/>
      <c r="F94" s="137"/>
      <c r="H94" s="286"/>
      <c r="I94" s="286"/>
    </row>
    <row r="95" spans="1:9" s="182" customFormat="1" ht="15.75" customHeight="1">
      <c r="A95" s="66" t="s">
        <v>23</v>
      </c>
      <c r="B95" s="67" t="s">
        <v>261</v>
      </c>
      <c r="C95" s="68">
        <v>169</v>
      </c>
      <c r="D95" s="69" t="s">
        <v>199</v>
      </c>
      <c r="E95" s="212">
        <v>3968.52</v>
      </c>
      <c r="F95" s="137" t="s">
        <v>257</v>
      </c>
      <c r="H95" s="286"/>
      <c r="I95" s="286"/>
    </row>
    <row r="96" spans="1:9" s="182" customFormat="1" ht="14.45">
      <c r="A96" s="183"/>
      <c r="B96" s="185"/>
      <c r="C96" s="311"/>
      <c r="D96" s="184"/>
      <c r="E96" s="212"/>
      <c r="F96" s="137"/>
      <c r="H96" s="286"/>
      <c r="I96" s="286"/>
    </row>
    <row r="97" spans="1:9" s="182" customFormat="1" ht="14.45">
      <c r="A97" s="66" t="s">
        <v>27</v>
      </c>
      <c r="B97" s="67" t="s">
        <v>262</v>
      </c>
      <c r="C97" s="68">
        <v>192</v>
      </c>
      <c r="D97" s="69" t="s">
        <v>199</v>
      </c>
      <c r="E97" s="212">
        <v>3106.97</v>
      </c>
      <c r="F97" s="137" t="s">
        <v>257</v>
      </c>
      <c r="H97" s="286"/>
      <c r="I97" s="286"/>
    </row>
    <row r="98" spans="1:9" s="182" customFormat="1" ht="14.45">
      <c r="A98" s="183"/>
      <c r="B98" s="185"/>
      <c r="C98" s="311"/>
      <c r="D98" s="184"/>
      <c r="E98" s="212"/>
      <c r="F98" s="137"/>
      <c r="H98" s="286"/>
      <c r="I98" s="286"/>
    </row>
    <row r="99" spans="1:9" s="182" customFormat="1" ht="18" customHeight="1">
      <c r="A99" s="66" t="s">
        <v>44</v>
      </c>
      <c r="B99" s="67" t="s">
        <v>263</v>
      </c>
      <c r="C99" s="68">
        <v>10</v>
      </c>
      <c r="D99" s="69" t="s">
        <v>199</v>
      </c>
      <c r="E99" s="212">
        <v>3430.05</v>
      </c>
      <c r="F99" s="137" t="s">
        <v>257</v>
      </c>
      <c r="H99" s="286"/>
      <c r="I99" s="286"/>
    </row>
    <row r="100" spans="1:9" s="182" customFormat="1" ht="14.45">
      <c r="A100" s="183"/>
      <c r="B100" s="185"/>
      <c r="C100" s="311"/>
      <c r="D100" s="184"/>
      <c r="E100" s="212"/>
      <c r="F100" s="137"/>
      <c r="H100" s="286"/>
      <c r="I100" s="286"/>
    </row>
    <row r="101" spans="1:9" s="182" customFormat="1" ht="14.45">
      <c r="A101" s="66" t="s">
        <v>48</v>
      </c>
      <c r="B101" s="67" t="s">
        <v>264</v>
      </c>
      <c r="C101" s="68">
        <v>883</v>
      </c>
      <c r="D101" s="69" t="s">
        <v>199</v>
      </c>
      <c r="E101" s="212">
        <v>3968.52</v>
      </c>
      <c r="F101" s="137" t="s">
        <v>257</v>
      </c>
      <c r="H101" s="286"/>
      <c r="I101" s="286"/>
    </row>
    <row r="102" spans="1:9" s="182" customFormat="1" ht="14.45">
      <c r="A102" s="183"/>
      <c r="B102" s="63"/>
      <c r="C102" s="311"/>
      <c r="D102" s="184"/>
      <c r="E102" s="212"/>
      <c r="F102" s="137"/>
      <c r="H102" s="286"/>
      <c r="I102" s="286"/>
    </row>
    <row r="103" spans="1:9" s="182" customFormat="1" ht="14.45">
      <c r="A103" s="183"/>
      <c r="B103" s="63"/>
      <c r="C103" s="311"/>
      <c r="D103" s="184"/>
      <c r="E103" s="212"/>
      <c r="F103" s="137"/>
      <c r="H103" s="286"/>
      <c r="I103" s="286"/>
    </row>
    <row r="104" spans="1:9" s="182" customFormat="1" ht="14.45">
      <c r="A104" s="183"/>
      <c r="B104" s="63"/>
      <c r="C104" s="311"/>
      <c r="D104" s="184"/>
      <c r="E104" s="212"/>
      <c r="F104" s="137"/>
      <c r="H104" s="286"/>
      <c r="I104" s="286"/>
    </row>
    <row r="105" spans="1:9" s="182" customFormat="1" ht="14.45">
      <c r="A105" s="183"/>
      <c r="B105" s="63"/>
      <c r="C105" s="311"/>
      <c r="D105" s="184"/>
      <c r="E105" s="212"/>
      <c r="F105" s="137"/>
      <c r="H105" s="286"/>
      <c r="I105" s="286"/>
    </row>
    <row r="106" spans="1:9" s="182" customFormat="1" ht="14.45">
      <c r="A106" s="183"/>
      <c r="B106" s="63"/>
      <c r="C106" s="311"/>
      <c r="D106" s="184"/>
      <c r="E106" s="212"/>
      <c r="F106" s="137"/>
      <c r="H106" s="286"/>
      <c r="I106" s="286"/>
    </row>
    <row r="107" spans="1:9" s="182" customFormat="1" ht="14.45">
      <c r="A107" s="183"/>
      <c r="B107" s="63"/>
      <c r="C107" s="311"/>
      <c r="D107" s="184"/>
      <c r="E107" s="212"/>
      <c r="F107" s="137"/>
      <c r="H107" s="286"/>
      <c r="I107" s="286"/>
    </row>
    <row r="108" spans="1:9" s="182" customFormat="1" ht="14.45">
      <c r="A108" s="186"/>
      <c r="B108" s="187"/>
      <c r="C108" s="312"/>
      <c r="D108" s="188"/>
      <c r="E108" s="213"/>
      <c r="F108" s="138"/>
      <c r="H108" s="286"/>
      <c r="I108" s="286"/>
    </row>
    <row r="109" spans="1:9" s="182" customFormat="1" ht="14.45">
      <c r="A109" s="189"/>
      <c r="B109" s="190"/>
      <c r="C109" s="191" t="s">
        <v>30</v>
      </c>
      <c r="D109" s="191"/>
      <c r="E109" s="214" t="s">
        <v>8</v>
      </c>
      <c r="F109" s="139"/>
      <c r="H109" s="286"/>
      <c r="I109" s="286"/>
    </row>
    <row r="110" spans="1:9" s="182" customFormat="1" ht="14.45">
      <c r="A110" s="189"/>
      <c r="B110" s="190"/>
      <c r="C110" s="313"/>
      <c r="D110" s="192"/>
      <c r="E110" s="215"/>
      <c r="F110" s="140"/>
      <c r="H110" s="286"/>
      <c r="I110" s="286"/>
    </row>
    <row r="111" spans="1:9" s="182" customFormat="1" ht="14.45">
      <c r="A111" s="183"/>
      <c r="B111" s="63"/>
      <c r="C111" s="311"/>
      <c r="D111" s="184"/>
      <c r="E111" s="212"/>
      <c r="F111" s="137"/>
      <c r="H111" s="286"/>
      <c r="I111" s="286"/>
    </row>
    <row r="112" spans="1:9" s="182" customFormat="1" ht="14.45">
      <c r="A112" s="183"/>
      <c r="B112" s="64" t="s">
        <v>268</v>
      </c>
      <c r="C112" s="311"/>
      <c r="D112" s="184"/>
      <c r="E112" s="212"/>
      <c r="F112" s="137"/>
      <c r="H112" s="286"/>
      <c r="I112" s="286"/>
    </row>
    <row r="113" spans="1:9" s="182" customFormat="1" ht="14.45">
      <c r="A113" s="183"/>
      <c r="B113" s="185"/>
      <c r="C113" s="311"/>
      <c r="D113" s="184"/>
      <c r="E113" s="212"/>
      <c r="F113" s="137"/>
      <c r="H113" s="286"/>
      <c r="I113" s="286"/>
    </row>
    <row r="114" spans="1:9" s="182" customFormat="1" ht="75.75" customHeight="1">
      <c r="A114" s="66"/>
      <c r="B114" s="70" t="s">
        <v>269</v>
      </c>
      <c r="C114" s="68"/>
      <c r="D114" s="69"/>
      <c r="E114" s="212"/>
      <c r="F114" s="137"/>
      <c r="H114" s="286"/>
      <c r="I114" s="286"/>
    </row>
    <row r="115" spans="1:9" s="182" customFormat="1" ht="14.45">
      <c r="A115" s="183"/>
      <c r="B115" s="185"/>
      <c r="C115" s="311"/>
      <c r="D115" s="184"/>
      <c r="E115" s="212"/>
      <c r="F115" s="137"/>
      <c r="H115" s="286"/>
      <c r="I115" s="286"/>
    </row>
    <row r="116" spans="1:9" s="182" customFormat="1" ht="27.6">
      <c r="A116" s="66" t="s">
        <v>14</v>
      </c>
      <c r="B116" s="67" t="s">
        <v>270</v>
      </c>
      <c r="C116" s="68">
        <v>305</v>
      </c>
      <c r="D116" s="69" t="s">
        <v>199</v>
      </c>
      <c r="E116" s="212"/>
      <c r="F116" s="217" t="s">
        <v>247</v>
      </c>
      <c r="H116" s="286"/>
      <c r="I116" s="286"/>
    </row>
    <row r="117" spans="1:9" s="182" customFormat="1" ht="14.45">
      <c r="A117" s="183"/>
      <c r="B117" s="185"/>
      <c r="C117" s="311"/>
      <c r="D117" s="184"/>
      <c r="E117" s="212"/>
      <c r="F117" s="218"/>
      <c r="H117" s="286"/>
      <c r="I117" s="286"/>
    </row>
    <row r="118" spans="1:9" s="182" customFormat="1" ht="27.6">
      <c r="A118" s="66" t="s">
        <v>17</v>
      </c>
      <c r="B118" s="67" t="s">
        <v>271</v>
      </c>
      <c r="C118" s="68">
        <v>56</v>
      </c>
      <c r="D118" s="69" t="s">
        <v>199</v>
      </c>
      <c r="E118" s="212"/>
      <c r="F118" s="217" t="s">
        <v>247</v>
      </c>
      <c r="H118" s="286"/>
      <c r="I118" s="286"/>
    </row>
    <row r="119" spans="1:9" s="182" customFormat="1" ht="14.45">
      <c r="A119" s="183"/>
      <c r="B119" s="185"/>
      <c r="C119" s="311"/>
      <c r="D119" s="184"/>
      <c r="E119" s="212"/>
      <c r="F119" s="137"/>
      <c r="H119" s="286"/>
      <c r="I119" s="286"/>
    </row>
    <row r="120" spans="1:9" s="182" customFormat="1" ht="55.15">
      <c r="A120" s="66"/>
      <c r="B120" s="70" t="s">
        <v>272</v>
      </c>
      <c r="C120" s="68"/>
      <c r="D120" s="69"/>
      <c r="E120" s="212"/>
      <c r="F120" s="137"/>
      <c r="H120" s="286"/>
      <c r="I120" s="286"/>
    </row>
    <row r="121" spans="1:9" s="182" customFormat="1" ht="14.45">
      <c r="A121" s="183"/>
      <c r="B121" s="185"/>
      <c r="C121" s="311"/>
      <c r="D121" s="184"/>
      <c r="E121" s="212"/>
      <c r="F121" s="137"/>
      <c r="H121" s="286"/>
      <c r="I121" s="286"/>
    </row>
    <row r="122" spans="1:9" s="182" customFormat="1" ht="14.45">
      <c r="A122" s="66" t="s">
        <v>20</v>
      </c>
      <c r="B122" s="67" t="s">
        <v>273</v>
      </c>
      <c r="C122" s="68">
        <v>56</v>
      </c>
      <c r="D122" s="69" t="s">
        <v>199</v>
      </c>
      <c r="E122" s="212">
        <v>233.7</v>
      </c>
      <c r="F122" s="137">
        <f>C122*E122</f>
        <v>13087.199999999999</v>
      </c>
      <c r="H122" s="286"/>
      <c r="I122" s="286"/>
    </row>
    <row r="123" spans="1:9" s="182" customFormat="1" ht="14.45">
      <c r="A123" s="183"/>
      <c r="B123" s="185"/>
      <c r="C123" s="311"/>
      <c r="D123" s="184"/>
      <c r="E123" s="212"/>
      <c r="F123" s="137"/>
      <c r="H123" s="286"/>
      <c r="I123" s="286"/>
    </row>
    <row r="124" spans="1:9" s="182" customFormat="1" ht="69">
      <c r="A124" s="66"/>
      <c r="B124" s="70" t="s">
        <v>274</v>
      </c>
      <c r="C124" s="68"/>
      <c r="D124" s="69"/>
      <c r="E124" s="212"/>
      <c r="F124" s="137"/>
      <c r="H124" s="286"/>
      <c r="I124" s="286"/>
    </row>
    <row r="125" spans="1:9" s="182" customFormat="1" ht="14.45">
      <c r="A125" s="183"/>
      <c r="B125" s="185"/>
      <c r="C125" s="311"/>
      <c r="D125" s="184"/>
      <c r="E125" s="212"/>
      <c r="F125" s="137"/>
      <c r="H125" s="286"/>
      <c r="I125" s="286"/>
    </row>
    <row r="126" spans="1:9" s="182" customFormat="1" ht="14.45">
      <c r="A126" s="66" t="s">
        <v>23</v>
      </c>
      <c r="B126" s="67" t="s">
        <v>273</v>
      </c>
      <c r="C126" s="68">
        <v>56</v>
      </c>
      <c r="D126" s="69" t="s">
        <v>199</v>
      </c>
      <c r="E126" s="212">
        <v>1055.4000000000001</v>
      </c>
      <c r="F126" s="137">
        <f>C126*E126</f>
        <v>59102.400000000009</v>
      </c>
      <c r="H126" s="286"/>
      <c r="I126" s="286"/>
    </row>
    <row r="127" spans="1:9" s="182" customFormat="1" ht="14.45">
      <c r="A127" s="183"/>
      <c r="B127" s="185"/>
      <c r="C127" s="311"/>
      <c r="D127" s="184"/>
      <c r="E127" s="212"/>
      <c r="F127" s="137"/>
      <c r="H127" s="286"/>
      <c r="I127" s="286"/>
    </row>
    <row r="128" spans="1:9" s="182" customFormat="1" ht="27.6">
      <c r="A128" s="66"/>
      <c r="B128" s="70" t="s">
        <v>275</v>
      </c>
      <c r="C128" s="68"/>
      <c r="D128" s="69"/>
      <c r="E128" s="212"/>
      <c r="F128" s="137"/>
      <c r="H128" s="286"/>
      <c r="I128" s="286"/>
    </row>
    <row r="129" spans="1:9" s="182" customFormat="1" ht="14.45">
      <c r="A129" s="183"/>
      <c r="B129" s="185"/>
      <c r="C129" s="311"/>
      <c r="D129" s="184"/>
      <c r="E129" s="212"/>
      <c r="F129" s="137"/>
      <c r="H129" s="286"/>
      <c r="I129" s="286"/>
    </row>
    <row r="130" spans="1:9" s="182" customFormat="1" ht="14.45">
      <c r="A130" s="66" t="s">
        <v>27</v>
      </c>
      <c r="B130" s="67" t="s">
        <v>276</v>
      </c>
      <c r="C130" s="68">
        <v>309</v>
      </c>
      <c r="D130" s="69" t="s">
        <v>199</v>
      </c>
      <c r="E130" s="212">
        <v>169.08</v>
      </c>
      <c r="F130" s="137">
        <f>C130*E130</f>
        <v>52245.72</v>
      </c>
      <c r="H130" s="286"/>
      <c r="I130" s="286"/>
    </row>
    <row r="131" spans="1:9" s="182" customFormat="1" ht="14.45">
      <c r="A131" s="183"/>
      <c r="B131" s="185"/>
      <c r="C131" s="311"/>
      <c r="D131" s="184"/>
      <c r="E131" s="212"/>
      <c r="F131" s="137"/>
      <c r="H131" s="286"/>
      <c r="I131" s="286"/>
    </row>
    <row r="132" spans="1:9" s="182" customFormat="1" ht="14.45">
      <c r="A132" s="183"/>
      <c r="B132" s="63"/>
      <c r="C132" s="311"/>
      <c r="D132" s="184"/>
      <c r="E132" s="212"/>
      <c r="F132" s="137"/>
      <c r="H132" s="286"/>
      <c r="I132" s="286"/>
    </row>
    <row r="133" spans="1:9" s="182" customFormat="1" ht="14.45">
      <c r="A133" s="183"/>
      <c r="B133" s="63"/>
      <c r="C133" s="311"/>
      <c r="D133" s="184"/>
      <c r="E133" s="212"/>
      <c r="F133" s="137"/>
      <c r="H133" s="286"/>
      <c r="I133" s="286"/>
    </row>
    <row r="134" spans="1:9" s="182" customFormat="1" ht="14.45">
      <c r="A134" s="183"/>
      <c r="B134" s="63"/>
      <c r="C134" s="311"/>
      <c r="D134" s="184"/>
      <c r="E134" s="212"/>
      <c r="F134" s="137"/>
      <c r="H134" s="286"/>
      <c r="I134" s="286"/>
    </row>
    <row r="135" spans="1:9" s="182" customFormat="1" ht="14.45">
      <c r="A135" s="183"/>
      <c r="B135" s="63"/>
      <c r="C135" s="311"/>
      <c r="D135" s="184"/>
      <c r="E135" s="212"/>
      <c r="F135" s="137"/>
      <c r="H135" s="286"/>
      <c r="I135" s="286"/>
    </row>
    <row r="136" spans="1:9" s="182" customFormat="1" ht="14.45">
      <c r="A136" s="183"/>
      <c r="B136" s="63"/>
      <c r="C136" s="311"/>
      <c r="D136" s="184"/>
      <c r="E136" s="212"/>
      <c r="F136" s="137"/>
      <c r="H136" s="286"/>
      <c r="I136" s="286"/>
    </row>
    <row r="137" spans="1:9" s="182" customFormat="1" ht="14.45">
      <c r="A137" s="183"/>
      <c r="B137" s="63"/>
      <c r="C137" s="311"/>
      <c r="D137" s="184"/>
      <c r="E137" s="212"/>
      <c r="F137" s="137"/>
      <c r="H137" s="286"/>
      <c r="I137" s="286"/>
    </row>
    <row r="138" spans="1:9" s="182" customFormat="1" ht="14.45">
      <c r="A138" s="183"/>
      <c r="B138" s="63"/>
      <c r="C138" s="311"/>
      <c r="D138" s="184"/>
      <c r="E138" s="212"/>
      <c r="F138" s="137"/>
      <c r="H138" s="286"/>
      <c r="I138" s="286"/>
    </row>
    <row r="139" spans="1:9" s="182" customFormat="1" ht="14.45">
      <c r="A139" s="183"/>
      <c r="B139" s="63"/>
      <c r="C139" s="311"/>
      <c r="D139" s="184"/>
      <c r="E139" s="212"/>
      <c r="F139" s="137"/>
      <c r="H139" s="286"/>
      <c r="I139" s="286"/>
    </row>
    <row r="140" spans="1:9" s="182" customFormat="1" ht="14.45">
      <c r="A140" s="183"/>
      <c r="B140" s="63"/>
      <c r="C140" s="311"/>
      <c r="D140" s="184"/>
      <c r="E140" s="212"/>
      <c r="F140" s="137"/>
      <c r="H140" s="286"/>
      <c r="I140" s="286"/>
    </row>
    <row r="141" spans="1:9" s="182" customFormat="1" ht="14.45">
      <c r="A141" s="186"/>
      <c r="B141" s="187"/>
      <c r="C141" s="312"/>
      <c r="D141" s="188"/>
      <c r="E141" s="213"/>
      <c r="F141" s="138"/>
      <c r="H141" s="286"/>
      <c r="I141" s="286"/>
    </row>
    <row r="142" spans="1:9" s="182" customFormat="1" ht="14.45">
      <c r="A142" s="189"/>
      <c r="B142" s="190"/>
      <c r="C142" s="191" t="s">
        <v>30</v>
      </c>
      <c r="D142" s="191"/>
      <c r="E142" s="214" t="s">
        <v>8</v>
      </c>
      <c r="F142" s="139">
        <f>SUM(F115:F140)</f>
        <v>124435.32</v>
      </c>
      <c r="H142" s="286"/>
      <c r="I142" s="286"/>
    </row>
    <row r="143" spans="1:9" s="182" customFormat="1" ht="14.45">
      <c r="A143" s="189"/>
      <c r="B143" s="190"/>
      <c r="C143" s="313"/>
      <c r="D143" s="192"/>
      <c r="E143" s="215"/>
      <c r="F143" s="140"/>
      <c r="H143" s="286"/>
      <c r="I143" s="286"/>
    </row>
    <row r="144" spans="1:9" s="182" customFormat="1" ht="14.45">
      <c r="A144" s="183"/>
      <c r="B144" s="63"/>
      <c r="C144" s="311"/>
      <c r="D144" s="184"/>
      <c r="E144" s="212"/>
      <c r="F144" s="137"/>
      <c r="H144" s="286"/>
      <c r="I144" s="286"/>
    </row>
    <row r="145" spans="1:9" s="182" customFormat="1" ht="14.45">
      <c r="A145" s="183"/>
      <c r="B145" s="64" t="s">
        <v>268</v>
      </c>
      <c r="C145" s="311"/>
      <c r="D145" s="184"/>
      <c r="E145" s="212"/>
      <c r="F145" s="137"/>
      <c r="H145" s="286"/>
      <c r="I145" s="286"/>
    </row>
    <row r="146" spans="1:9" s="182" customFormat="1" ht="14.45">
      <c r="A146" s="183"/>
      <c r="B146" s="185"/>
      <c r="C146" s="311"/>
      <c r="D146" s="184"/>
      <c r="E146" s="212"/>
      <c r="F146" s="137"/>
      <c r="H146" s="286"/>
      <c r="I146" s="286"/>
    </row>
    <row r="147" spans="1:9" s="182" customFormat="1" ht="87.75" customHeight="1">
      <c r="A147" s="66"/>
      <c r="B147" s="70" t="s">
        <v>277</v>
      </c>
      <c r="C147" s="68"/>
      <c r="D147" s="69"/>
      <c r="E147" s="212"/>
      <c r="F147" s="137"/>
      <c r="H147" s="286"/>
      <c r="I147" s="286"/>
    </row>
    <row r="148" spans="1:9" s="182" customFormat="1" ht="14.45">
      <c r="A148" s="183"/>
      <c r="B148" s="185"/>
      <c r="C148" s="311"/>
      <c r="D148" s="184"/>
      <c r="E148" s="212"/>
      <c r="F148" s="137"/>
      <c r="H148" s="286"/>
      <c r="I148" s="286"/>
    </row>
    <row r="149" spans="1:9" s="182" customFormat="1" ht="14.45">
      <c r="A149" s="66" t="s">
        <v>14</v>
      </c>
      <c r="B149" s="67" t="s">
        <v>278</v>
      </c>
      <c r="C149" s="68" t="s">
        <v>279</v>
      </c>
      <c r="D149" s="69" t="s">
        <v>199</v>
      </c>
      <c r="E149" s="212">
        <v>646.16</v>
      </c>
      <c r="F149" s="137" t="s">
        <v>257</v>
      </c>
      <c r="H149" s="286"/>
      <c r="I149" s="286"/>
    </row>
    <row r="150" spans="1:9" s="182" customFormat="1" ht="14.45">
      <c r="A150" s="183"/>
      <c r="B150" s="185"/>
      <c r="C150" s="311"/>
      <c r="D150" s="184"/>
      <c r="E150" s="212"/>
      <c r="F150" s="137"/>
      <c r="H150" s="286"/>
      <c r="I150" s="286"/>
    </row>
    <row r="151" spans="1:9" s="182" customFormat="1" ht="14.45">
      <c r="A151" s="66" t="s">
        <v>17</v>
      </c>
      <c r="B151" s="67" t="s">
        <v>280</v>
      </c>
      <c r="C151" s="68" t="s">
        <v>281</v>
      </c>
      <c r="D151" s="69" t="s">
        <v>199</v>
      </c>
      <c r="E151" s="212">
        <v>807.71</v>
      </c>
      <c r="F151" s="137" t="s">
        <v>257</v>
      </c>
      <c r="H151" s="286"/>
      <c r="I151" s="286"/>
    </row>
    <row r="152" spans="1:9" s="182" customFormat="1" ht="14.45">
      <c r="A152" s="183"/>
      <c r="B152" s="185"/>
      <c r="C152" s="311"/>
      <c r="D152" s="184"/>
      <c r="E152" s="212"/>
      <c r="F152" s="137"/>
      <c r="H152" s="286"/>
      <c r="I152" s="286"/>
    </row>
    <row r="153" spans="1:9" s="182" customFormat="1" ht="14.45">
      <c r="A153" s="183"/>
      <c r="B153" s="185"/>
      <c r="C153" s="311"/>
      <c r="D153" s="184"/>
      <c r="E153" s="212"/>
      <c r="F153" s="137"/>
      <c r="H153" s="286"/>
      <c r="I153" s="286"/>
    </row>
    <row r="154" spans="1:9" s="182" customFormat="1" ht="14.45">
      <c r="A154" s="183"/>
      <c r="B154" s="185"/>
      <c r="C154" s="311"/>
      <c r="D154" s="184"/>
      <c r="E154" s="212"/>
      <c r="F154" s="137"/>
      <c r="H154" s="286"/>
      <c r="I154" s="286"/>
    </row>
    <row r="155" spans="1:9" s="182" customFormat="1" ht="14.45">
      <c r="A155" s="183"/>
      <c r="B155" s="185"/>
      <c r="C155" s="311"/>
      <c r="D155" s="184"/>
      <c r="E155" s="212"/>
      <c r="F155" s="137"/>
      <c r="H155" s="286"/>
      <c r="I155" s="286"/>
    </row>
    <row r="156" spans="1:9" s="182" customFormat="1" ht="14.45">
      <c r="A156" s="183"/>
      <c r="B156" s="185"/>
      <c r="C156" s="311"/>
      <c r="D156" s="184"/>
      <c r="E156" s="212"/>
      <c r="F156" s="137"/>
      <c r="H156" s="286"/>
      <c r="I156" s="286"/>
    </row>
    <row r="157" spans="1:9" s="182" customFormat="1" ht="14.45">
      <c r="A157" s="183"/>
      <c r="B157" s="185"/>
      <c r="C157" s="311"/>
      <c r="D157" s="184"/>
      <c r="E157" s="212"/>
      <c r="F157" s="137"/>
      <c r="H157" s="286"/>
      <c r="I157" s="286"/>
    </row>
    <row r="158" spans="1:9" s="182" customFormat="1" ht="14.45">
      <c r="A158" s="183"/>
      <c r="B158" s="185"/>
      <c r="C158" s="311"/>
      <c r="D158" s="184"/>
      <c r="E158" s="212"/>
      <c r="F158" s="137"/>
      <c r="H158" s="286"/>
      <c r="I158" s="286"/>
    </row>
    <row r="159" spans="1:9" s="182" customFormat="1" ht="14.45">
      <c r="A159" s="183"/>
      <c r="B159" s="185"/>
      <c r="C159" s="311"/>
      <c r="D159" s="184"/>
      <c r="E159" s="212"/>
      <c r="F159" s="137"/>
      <c r="H159" s="286"/>
      <c r="I159" s="286"/>
    </row>
    <row r="160" spans="1:9" s="182" customFormat="1" ht="14.45">
      <c r="A160" s="183"/>
      <c r="B160" s="185"/>
      <c r="C160" s="311"/>
      <c r="D160" s="184"/>
      <c r="E160" s="212"/>
      <c r="F160" s="137"/>
      <c r="H160" s="286"/>
      <c r="I160" s="286"/>
    </row>
    <row r="161" spans="1:9" s="182" customFormat="1" ht="14.45">
      <c r="A161" s="183"/>
      <c r="B161" s="185"/>
      <c r="C161" s="311"/>
      <c r="D161" s="184"/>
      <c r="E161" s="212"/>
      <c r="F161" s="137"/>
      <c r="H161" s="286"/>
      <c r="I161" s="286"/>
    </row>
    <row r="162" spans="1:9" s="182" customFormat="1" ht="14.45">
      <c r="A162" s="183"/>
      <c r="B162" s="185"/>
      <c r="C162" s="311"/>
      <c r="D162" s="184"/>
      <c r="E162" s="212"/>
      <c r="F162" s="137"/>
      <c r="H162" s="286"/>
      <c r="I162" s="286"/>
    </row>
    <row r="163" spans="1:9" s="182" customFormat="1" ht="14.45">
      <c r="A163" s="183"/>
      <c r="B163" s="185"/>
      <c r="C163" s="311"/>
      <c r="D163" s="184"/>
      <c r="E163" s="212"/>
      <c r="F163" s="137"/>
      <c r="H163" s="286"/>
      <c r="I163" s="286"/>
    </row>
    <row r="164" spans="1:9" s="182" customFormat="1" ht="14.45">
      <c r="A164" s="183"/>
      <c r="B164" s="185"/>
      <c r="C164" s="311"/>
      <c r="D164" s="184"/>
      <c r="E164" s="212"/>
      <c r="F164" s="137"/>
      <c r="H164" s="286"/>
      <c r="I164" s="286"/>
    </row>
    <row r="165" spans="1:9">
      <c r="A165" s="183"/>
      <c r="B165" s="185"/>
      <c r="C165" s="311"/>
      <c r="D165" s="184"/>
      <c r="E165" s="212"/>
      <c r="F165" s="137"/>
    </row>
    <row r="166" spans="1:9" s="182" customFormat="1" ht="14.45">
      <c r="A166" s="183"/>
      <c r="B166" s="185"/>
      <c r="C166" s="311"/>
      <c r="D166" s="184"/>
      <c r="E166" s="212"/>
      <c r="F166" s="137"/>
      <c r="H166" s="286"/>
      <c r="I166" s="286"/>
    </row>
    <row r="167" spans="1:9" s="182" customFormat="1" ht="14.45">
      <c r="A167" s="183"/>
      <c r="B167" s="185"/>
      <c r="C167" s="311"/>
      <c r="D167" s="184"/>
      <c r="E167" s="212"/>
      <c r="F167" s="137"/>
      <c r="H167" s="286"/>
      <c r="I167" s="286"/>
    </row>
    <row r="168" spans="1:9" s="182" customFormat="1" ht="14.45">
      <c r="A168" s="183"/>
      <c r="B168" s="185"/>
      <c r="C168" s="311"/>
      <c r="D168" s="184"/>
      <c r="E168" s="212"/>
      <c r="F168" s="137"/>
      <c r="H168" s="286"/>
      <c r="I168" s="286"/>
    </row>
    <row r="169" spans="1:9" s="182" customFormat="1" ht="14.45">
      <c r="A169" s="183"/>
      <c r="B169" s="185"/>
      <c r="C169" s="311"/>
      <c r="D169" s="184"/>
      <c r="E169" s="212"/>
      <c r="F169" s="137"/>
      <c r="H169" s="286"/>
      <c r="I169" s="286"/>
    </row>
    <row r="170" spans="1:9" s="182" customFormat="1" ht="14.45">
      <c r="A170" s="66"/>
      <c r="B170" s="67"/>
      <c r="C170" s="68"/>
      <c r="D170" s="69"/>
      <c r="E170" s="212"/>
      <c r="F170" s="137"/>
      <c r="H170" s="286"/>
      <c r="I170" s="286"/>
    </row>
    <row r="171" spans="1:9" s="182" customFormat="1" ht="14.45">
      <c r="A171" s="183"/>
      <c r="B171" s="185"/>
      <c r="C171" s="311"/>
      <c r="D171" s="184"/>
      <c r="E171" s="212"/>
      <c r="F171" s="137"/>
      <c r="H171" s="286"/>
      <c r="I171" s="286"/>
    </row>
    <row r="172" spans="1:9" s="182" customFormat="1" ht="14.45">
      <c r="A172" s="183"/>
      <c r="B172" s="63"/>
      <c r="C172" s="311"/>
      <c r="D172" s="184"/>
      <c r="E172" s="212"/>
      <c r="F172" s="137"/>
      <c r="H172" s="286"/>
      <c r="I172" s="286"/>
    </row>
    <row r="173" spans="1:9" s="182" customFormat="1" ht="14.45">
      <c r="A173" s="183"/>
      <c r="B173" s="63"/>
      <c r="C173" s="311"/>
      <c r="D173" s="184"/>
      <c r="E173" s="212"/>
      <c r="F173" s="137"/>
      <c r="H173" s="286"/>
      <c r="I173" s="286"/>
    </row>
    <row r="174" spans="1:9" s="182" customFormat="1" ht="14.45">
      <c r="A174" s="183"/>
      <c r="B174" s="63"/>
      <c r="C174" s="311"/>
      <c r="D174" s="184"/>
      <c r="E174" s="212"/>
      <c r="F174" s="137"/>
      <c r="H174" s="286"/>
      <c r="I174" s="286"/>
    </row>
    <row r="175" spans="1:9" s="182" customFormat="1" ht="14.45">
      <c r="A175" s="183"/>
      <c r="B175" s="63"/>
      <c r="C175" s="311"/>
      <c r="D175" s="184"/>
      <c r="E175" s="212"/>
      <c r="F175" s="137"/>
      <c r="H175" s="286"/>
      <c r="I175" s="286"/>
    </row>
    <row r="176" spans="1:9" s="182" customFormat="1" ht="14.45">
      <c r="A176" s="183"/>
      <c r="B176" s="63"/>
      <c r="C176" s="311"/>
      <c r="D176" s="184"/>
      <c r="E176" s="212"/>
      <c r="F176" s="137"/>
      <c r="H176" s="286"/>
      <c r="I176" s="286"/>
    </row>
    <row r="177" spans="1:9" s="182" customFormat="1" ht="14.45">
      <c r="A177" s="183"/>
      <c r="B177" s="63"/>
      <c r="C177" s="311"/>
      <c r="D177" s="184"/>
      <c r="E177" s="212"/>
      <c r="F177" s="137"/>
      <c r="H177" s="286"/>
      <c r="I177" s="286"/>
    </row>
    <row r="178" spans="1:9" s="182" customFormat="1" ht="14.45">
      <c r="A178" s="183"/>
      <c r="B178" s="63"/>
      <c r="C178" s="311"/>
      <c r="D178" s="184"/>
      <c r="E178" s="212"/>
      <c r="F178" s="137"/>
      <c r="H178" s="286"/>
      <c r="I178" s="286"/>
    </row>
    <row r="179" spans="1:9" s="182" customFormat="1" ht="14.45">
      <c r="A179" s="183"/>
      <c r="B179" s="63"/>
      <c r="C179" s="311"/>
      <c r="D179" s="184"/>
      <c r="E179" s="212"/>
      <c r="F179" s="137"/>
      <c r="H179" s="286"/>
      <c r="I179" s="286"/>
    </row>
    <row r="180" spans="1:9" s="182" customFormat="1" ht="14.45">
      <c r="A180" s="183"/>
      <c r="B180" s="63"/>
      <c r="C180" s="311"/>
      <c r="D180" s="184"/>
      <c r="E180" s="212"/>
      <c r="F180" s="137"/>
      <c r="H180" s="286"/>
      <c r="I180" s="286"/>
    </row>
    <row r="181" spans="1:9" s="182" customFormat="1" ht="14.45">
      <c r="A181" s="183"/>
      <c r="B181" s="63"/>
      <c r="C181" s="311"/>
      <c r="D181" s="184"/>
      <c r="E181" s="212"/>
      <c r="F181" s="137"/>
      <c r="H181" s="286"/>
      <c r="I181" s="286"/>
    </row>
    <row r="182" spans="1:9" s="182" customFormat="1" ht="14.45">
      <c r="A182" s="183"/>
      <c r="B182" s="63"/>
      <c r="C182" s="311"/>
      <c r="D182" s="184"/>
      <c r="E182" s="212"/>
      <c r="F182" s="137"/>
      <c r="H182" s="286"/>
      <c r="I182" s="286"/>
    </row>
    <row r="183" spans="1:9" s="182" customFormat="1" ht="14.45">
      <c r="A183" s="183"/>
      <c r="B183" s="63"/>
      <c r="C183" s="311"/>
      <c r="D183" s="184"/>
      <c r="E183" s="212"/>
      <c r="F183" s="137"/>
      <c r="H183" s="286"/>
      <c r="I183" s="286"/>
    </row>
    <row r="184" spans="1:9" s="182" customFormat="1" ht="14.45">
      <c r="A184" s="186"/>
      <c r="B184" s="187"/>
      <c r="C184" s="312"/>
      <c r="D184" s="188"/>
      <c r="E184" s="213"/>
      <c r="F184" s="138"/>
      <c r="H184" s="286"/>
      <c r="I184" s="286"/>
    </row>
    <row r="185" spans="1:9" s="182" customFormat="1" ht="14.45">
      <c r="A185" s="189"/>
      <c r="B185" s="190"/>
      <c r="C185" s="191" t="s">
        <v>30</v>
      </c>
      <c r="D185" s="191"/>
      <c r="E185" s="214" t="s">
        <v>8</v>
      </c>
      <c r="F185" s="139"/>
      <c r="H185" s="286"/>
      <c r="I185" s="286"/>
    </row>
    <row r="186" spans="1:9" s="182" customFormat="1" ht="14.45">
      <c r="A186" s="189"/>
      <c r="B186" s="190"/>
      <c r="C186" s="313"/>
      <c r="D186" s="192"/>
      <c r="E186" s="215"/>
      <c r="F186" s="140"/>
      <c r="H186" s="286"/>
      <c r="I186" s="286"/>
    </row>
    <row r="187" spans="1:9" s="182" customFormat="1" ht="14.45">
      <c r="A187" s="183"/>
      <c r="B187" s="63"/>
      <c r="C187" s="311"/>
      <c r="D187" s="184"/>
      <c r="E187" s="212"/>
      <c r="F187" s="137"/>
      <c r="H187" s="286"/>
      <c r="I187" s="286"/>
    </row>
    <row r="188" spans="1:9" s="182" customFormat="1" ht="14.45">
      <c r="A188" s="183"/>
      <c r="B188" s="64" t="s">
        <v>268</v>
      </c>
      <c r="C188" s="311"/>
      <c r="D188" s="184"/>
      <c r="E188" s="212"/>
      <c r="F188" s="137"/>
      <c r="H188" s="286"/>
      <c r="I188" s="286"/>
    </row>
    <row r="189" spans="1:9" s="182" customFormat="1" ht="14.45">
      <c r="A189" s="183"/>
      <c r="B189" s="185"/>
      <c r="C189" s="311"/>
      <c r="D189" s="184"/>
      <c r="E189" s="212"/>
      <c r="F189" s="137"/>
      <c r="H189" s="286"/>
      <c r="I189" s="286"/>
    </row>
    <row r="190" spans="1:9" s="182" customFormat="1" ht="82.9">
      <c r="A190" s="66"/>
      <c r="B190" s="70" t="s">
        <v>282</v>
      </c>
      <c r="C190" s="68"/>
      <c r="D190" s="69"/>
      <c r="E190" s="212"/>
      <c r="F190" s="137"/>
      <c r="H190" s="286"/>
      <c r="I190" s="286"/>
    </row>
    <row r="191" spans="1:9" s="182" customFormat="1" ht="14.45">
      <c r="A191" s="183"/>
      <c r="B191" s="185"/>
      <c r="C191" s="311"/>
      <c r="D191" s="184"/>
      <c r="E191" s="212"/>
      <c r="F191" s="137"/>
      <c r="H191" s="286"/>
      <c r="I191" s="286"/>
    </row>
    <row r="192" spans="1:9" s="182" customFormat="1" ht="14.45">
      <c r="A192" s="66" t="s">
        <v>14</v>
      </c>
      <c r="B192" s="67" t="s">
        <v>278</v>
      </c>
      <c r="C192" s="68">
        <v>305</v>
      </c>
      <c r="D192" s="69" t="s">
        <v>199</v>
      </c>
      <c r="E192" s="212" t="s">
        <v>266</v>
      </c>
      <c r="F192" s="137" t="s">
        <v>257</v>
      </c>
      <c r="H192" s="286"/>
      <c r="I192" s="286"/>
    </row>
    <row r="193" spans="1:9" s="182" customFormat="1" ht="14.45">
      <c r="A193" s="183"/>
      <c r="B193" s="185"/>
      <c r="C193" s="311"/>
      <c r="D193" s="184"/>
      <c r="E193" s="212"/>
      <c r="F193" s="137"/>
      <c r="H193" s="286"/>
      <c r="I193" s="286"/>
    </row>
    <row r="194" spans="1:9" s="182" customFormat="1" ht="14.45">
      <c r="A194" s="66" t="s">
        <v>17</v>
      </c>
      <c r="B194" s="67" t="s">
        <v>280</v>
      </c>
      <c r="C194" s="68">
        <v>56</v>
      </c>
      <c r="D194" s="69" t="s">
        <v>199</v>
      </c>
      <c r="E194" s="212" t="s">
        <v>266</v>
      </c>
      <c r="F194" s="137" t="s">
        <v>257</v>
      </c>
      <c r="H194" s="286"/>
      <c r="I194" s="286"/>
    </row>
    <row r="195" spans="1:9" s="182" customFormat="1" ht="14.45">
      <c r="A195" s="183"/>
      <c r="B195" s="185"/>
      <c r="C195" s="311"/>
      <c r="D195" s="184"/>
      <c r="E195" s="212"/>
      <c r="F195" s="137"/>
      <c r="H195" s="286"/>
      <c r="I195" s="286"/>
    </row>
    <row r="196" spans="1:9" s="182" customFormat="1" ht="14.45">
      <c r="A196" s="183"/>
      <c r="B196" s="185"/>
      <c r="C196" s="311"/>
      <c r="D196" s="184"/>
      <c r="E196" s="212"/>
      <c r="F196" s="137"/>
      <c r="H196" s="286"/>
      <c r="I196" s="286"/>
    </row>
    <row r="197" spans="1:9" s="182" customFormat="1" ht="14.45">
      <c r="A197" s="183"/>
      <c r="B197" s="185"/>
      <c r="C197" s="311"/>
      <c r="D197" s="184"/>
      <c r="E197" s="212"/>
      <c r="F197" s="137"/>
      <c r="H197" s="286"/>
      <c r="I197" s="286"/>
    </row>
    <row r="198" spans="1:9" s="182" customFormat="1" ht="14.45">
      <c r="A198" s="183"/>
      <c r="B198" s="185"/>
      <c r="C198" s="311"/>
      <c r="D198" s="184"/>
      <c r="E198" s="212"/>
      <c r="F198" s="137"/>
      <c r="H198" s="286"/>
      <c r="I198" s="286"/>
    </row>
    <row r="199" spans="1:9" s="182" customFormat="1" ht="14.45">
      <c r="A199" s="183"/>
      <c r="B199" s="185"/>
      <c r="C199" s="311"/>
      <c r="D199" s="184"/>
      <c r="E199" s="212"/>
      <c r="F199" s="137"/>
      <c r="H199" s="286"/>
      <c r="I199" s="286"/>
    </row>
    <row r="200" spans="1:9" s="182" customFormat="1" ht="14.45">
      <c r="A200" s="183"/>
      <c r="B200" s="185"/>
      <c r="C200" s="311"/>
      <c r="D200" s="184"/>
      <c r="E200" s="212"/>
      <c r="F200" s="137"/>
      <c r="H200" s="286"/>
      <c r="I200" s="286"/>
    </row>
    <row r="201" spans="1:9" s="182" customFormat="1" ht="14.45">
      <c r="A201" s="183"/>
      <c r="B201" s="185"/>
      <c r="C201" s="311"/>
      <c r="D201" s="184"/>
      <c r="E201" s="212"/>
      <c r="F201" s="137"/>
      <c r="H201" s="286"/>
      <c r="I201" s="286"/>
    </row>
    <row r="202" spans="1:9" s="182" customFormat="1" ht="14.45">
      <c r="A202" s="183"/>
      <c r="B202" s="185"/>
      <c r="C202" s="311"/>
      <c r="D202" s="184"/>
      <c r="E202" s="212"/>
      <c r="F202" s="137"/>
      <c r="H202" s="286"/>
      <c r="I202" s="286"/>
    </row>
    <row r="203" spans="1:9" s="182" customFormat="1" ht="14.45">
      <c r="A203" s="183"/>
      <c r="B203" s="185"/>
      <c r="C203" s="311"/>
      <c r="D203" s="184"/>
      <c r="E203" s="212"/>
      <c r="F203" s="137"/>
      <c r="H203" s="286"/>
      <c r="I203" s="286"/>
    </row>
    <row r="204" spans="1:9" s="182" customFormat="1" ht="14.45">
      <c r="A204" s="183"/>
      <c r="B204" s="185"/>
      <c r="C204" s="311"/>
      <c r="D204" s="184"/>
      <c r="E204" s="212"/>
      <c r="F204" s="137"/>
      <c r="H204" s="286"/>
      <c r="I204" s="286"/>
    </row>
    <row r="205" spans="1:9" s="182" customFormat="1" ht="14.45">
      <c r="A205" s="183"/>
      <c r="B205" s="185"/>
      <c r="C205" s="311"/>
      <c r="D205" s="184"/>
      <c r="E205" s="212"/>
      <c r="F205" s="137"/>
      <c r="H205" s="286"/>
      <c r="I205" s="286"/>
    </row>
    <row r="206" spans="1:9" s="182" customFormat="1" ht="14.45">
      <c r="A206" s="183"/>
      <c r="B206" s="185"/>
      <c r="C206" s="311"/>
      <c r="D206" s="184"/>
      <c r="E206" s="212"/>
      <c r="F206" s="137"/>
      <c r="H206" s="286"/>
      <c r="I206" s="286"/>
    </row>
    <row r="207" spans="1:9" s="182" customFormat="1" ht="14.45">
      <c r="A207" s="183"/>
      <c r="B207" s="185"/>
      <c r="C207" s="311"/>
      <c r="D207" s="184"/>
      <c r="E207" s="212"/>
      <c r="F207" s="137"/>
      <c r="H207" s="286"/>
      <c r="I207" s="286"/>
    </row>
    <row r="208" spans="1:9" s="182" customFormat="1" ht="14.45">
      <c r="A208" s="183"/>
      <c r="B208" s="185"/>
      <c r="C208" s="311"/>
      <c r="D208" s="184"/>
      <c r="E208" s="212"/>
      <c r="F208" s="137"/>
      <c r="H208" s="286"/>
      <c r="I208" s="286"/>
    </row>
    <row r="209" spans="1:9" s="182" customFormat="1" ht="14.45">
      <c r="A209" s="183"/>
      <c r="B209" s="185"/>
      <c r="C209" s="311"/>
      <c r="D209" s="184"/>
      <c r="E209" s="212"/>
      <c r="F209" s="137"/>
      <c r="H209" s="286"/>
      <c r="I209" s="286"/>
    </row>
    <row r="210" spans="1:9" s="182" customFormat="1" ht="14.45">
      <c r="A210" s="183"/>
      <c r="B210" s="185"/>
      <c r="C210" s="311"/>
      <c r="D210" s="184"/>
      <c r="E210" s="212"/>
      <c r="F210" s="137"/>
      <c r="H210" s="286"/>
      <c r="I210" s="286"/>
    </row>
    <row r="211" spans="1:9" s="182" customFormat="1" ht="14.45">
      <c r="A211" s="66"/>
      <c r="B211" s="70"/>
      <c r="C211" s="68"/>
      <c r="D211" s="69"/>
      <c r="E211" s="212"/>
      <c r="F211" s="137"/>
      <c r="H211" s="286"/>
      <c r="I211" s="286"/>
    </row>
    <row r="212" spans="1:9" s="182" customFormat="1" ht="14.45">
      <c r="A212" s="183"/>
      <c r="B212" s="185"/>
      <c r="C212" s="311"/>
      <c r="D212" s="184"/>
      <c r="E212" s="212"/>
      <c r="F212" s="137"/>
      <c r="H212" s="286"/>
      <c r="I212" s="286"/>
    </row>
    <row r="213" spans="1:9" s="182" customFormat="1" ht="14.45">
      <c r="A213" s="66"/>
      <c r="B213" s="67"/>
      <c r="C213" s="68"/>
      <c r="D213" s="69"/>
      <c r="E213" s="212"/>
      <c r="F213" s="137"/>
      <c r="H213" s="286"/>
      <c r="I213" s="286"/>
    </row>
    <row r="214" spans="1:9" s="182" customFormat="1" ht="14.45">
      <c r="A214" s="183"/>
      <c r="B214" s="185"/>
      <c r="C214" s="311"/>
      <c r="D214" s="184"/>
      <c r="E214" s="212"/>
      <c r="F214" s="137"/>
      <c r="H214" s="286"/>
      <c r="I214" s="286"/>
    </row>
    <row r="215" spans="1:9" s="182" customFormat="1" ht="14.45">
      <c r="A215" s="183"/>
      <c r="B215" s="63"/>
      <c r="C215" s="311"/>
      <c r="D215" s="184"/>
      <c r="E215" s="212"/>
      <c r="F215" s="137"/>
      <c r="H215" s="286"/>
      <c r="I215" s="286"/>
    </row>
    <row r="216" spans="1:9" s="182" customFormat="1" ht="14.45">
      <c r="A216" s="183"/>
      <c r="B216" s="63"/>
      <c r="C216" s="311"/>
      <c r="D216" s="184"/>
      <c r="E216" s="212"/>
      <c r="F216" s="137"/>
      <c r="H216" s="286"/>
      <c r="I216" s="286"/>
    </row>
    <row r="217" spans="1:9" s="182" customFormat="1" ht="14.45">
      <c r="A217" s="183"/>
      <c r="B217" s="63"/>
      <c r="C217" s="311"/>
      <c r="D217" s="184"/>
      <c r="E217" s="212"/>
      <c r="F217" s="137"/>
      <c r="H217" s="286"/>
      <c r="I217" s="286"/>
    </row>
    <row r="218" spans="1:9" s="182" customFormat="1" ht="14.45">
      <c r="A218" s="183"/>
      <c r="B218" s="63"/>
      <c r="C218" s="311"/>
      <c r="D218" s="184"/>
      <c r="E218" s="212"/>
      <c r="F218" s="137"/>
      <c r="H218" s="286"/>
      <c r="I218" s="286"/>
    </row>
    <row r="219" spans="1:9" s="182" customFormat="1" ht="14.45">
      <c r="A219" s="183"/>
      <c r="B219" s="63"/>
      <c r="C219" s="311"/>
      <c r="D219" s="184"/>
      <c r="E219" s="212"/>
      <c r="F219" s="137"/>
      <c r="H219" s="286"/>
      <c r="I219" s="286"/>
    </row>
    <row r="220" spans="1:9" s="182" customFormat="1" ht="14.45">
      <c r="A220" s="183"/>
      <c r="B220" s="63"/>
      <c r="C220" s="311"/>
      <c r="D220" s="184"/>
      <c r="E220" s="212"/>
      <c r="F220" s="137"/>
      <c r="H220" s="286"/>
      <c r="I220" s="286"/>
    </row>
    <row r="221" spans="1:9" s="182" customFormat="1" ht="14.45">
      <c r="A221" s="183"/>
      <c r="B221" s="63"/>
      <c r="C221" s="311"/>
      <c r="D221" s="184"/>
      <c r="E221" s="212"/>
      <c r="F221" s="137"/>
      <c r="H221" s="286"/>
      <c r="I221" s="286"/>
    </row>
    <row r="222" spans="1:9" s="182" customFormat="1" ht="14.45">
      <c r="A222" s="183"/>
      <c r="B222" s="63"/>
      <c r="C222" s="311"/>
      <c r="D222" s="184"/>
      <c r="E222" s="212"/>
      <c r="F222" s="137"/>
      <c r="H222" s="286"/>
      <c r="I222" s="286"/>
    </row>
    <row r="223" spans="1:9" s="182" customFormat="1" ht="14.45">
      <c r="A223" s="183"/>
      <c r="B223" s="63"/>
      <c r="C223" s="311"/>
      <c r="D223" s="184"/>
      <c r="E223" s="212"/>
      <c r="F223" s="137"/>
      <c r="H223" s="286"/>
      <c r="I223" s="286"/>
    </row>
    <row r="224" spans="1:9" s="182" customFormat="1" ht="14.45">
      <c r="A224" s="183"/>
      <c r="B224" s="63"/>
      <c r="C224" s="311"/>
      <c r="D224" s="184"/>
      <c r="E224" s="212"/>
      <c r="F224" s="137"/>
      <c r="H224" s="286"/>
      <c r="I224" s="286"/>
    </row>
    <row r="225" spans="1:9" s="182" customFormat="1" ht="14.45">
      <c r="A225" s="183"/>
      <c r="B225" s="63"/>
      <c r="C225" s="311"/>
      <c r="D225" s="184"/>
      <c r="E225" s="212"/>
      <c r="F225" s="137"/>
      <c r="H225" s="286"/>
      <c r="I225" s="286"/>
    </row>
    <row r="226" spans="1:9" s="182" customFormat="1" ht="14.45">
      <c r="A226" s="186"/>
      <c r="B226" s="187"/>
      <c r="C226" s="312"/>
      <c r="D226" s="188"/>
      <c r="E226" s="213"/>
      <c r="F226" s="138"/>
      <c r="H226" s="286"/>
      <c r="I226" s="286"/>
    </row>
    <row r="227" spans="1:9" s="182" customFormat="1" ht="14.45">
      <c r="A227" s="189"/>
      <c r="B227" s="190"/>
      <c r="C227" s="191" t="s">
        <v>30</v>
      </c>
      <c r="D227" s="191"/>
      <c r="E227" s="214" t="s">
        <v>8</v>
      </c>
      <c r="F227" s="139"/>
      <c r="H227" s="286"/>
      <c r="I227" s="286"/>
    </row>
    <row r="228" spans="1:9" s="182" customFormat="1" ht="14.45">
      <c r="A228" s="189"/>
      <c r="B228" s="190"/>
      <c r="C228" s="313"/>
      <c r="D228" s="192"/>
      <c r="E228" s="215"/>
      <c r="F228" s="140"/>
      <c r="H228" s="286"/>
      <c r="I228" s="286"/>
    </row>
    <row r="229" spans="1:9" s="182" customFormat="1" ht="14.45">
      <c r="A229" s="183"/>
      <c r="B229" s="63"/>
      <c r="C229" s="311"/>
      <c r="D229" s="184"/>
      <c r="E229" s="212"/>
      <c r="F229" s="137"/>
      <c r="H229" s="286"/>
      <c r="I229" s="286"/>
    </row>
    <row r="230" spans="1:9" s="182" customFormat="1" ht="14.45">
      <c r="A230" s="183"/>
      <c r="B230" s="64" t="s">
        <v>105</v>
      </c>
      <c r="C230" s="311"/>
      <c r="D230" s="184"/>
      <c r="E230" s="212"/>
      <c r="F230" s="137"/>
      <c r="H230" s="286"/>
      <c r="I230" s="286"/>
    </row>
    <row r="231" spans="1:9" s="182" customFormat="1" ht="14.45">
      <c r="A231" s="183"/>
      <c r="B231" s="193"/>
      <c r="C231" s="311"/>
      <c r="D231" s="184"/>
      <c r="E231" s="212"/>
      <c r="F231" s="137"/>
      <c r="H231" s="286"/>
      <c r="I231" s="286"/>
    </row>
    <row r="232" spans="1:9" s="182" customFormat="1" ht="55.15">
      <c r="A232" s="66"/>
      <c r="B232" s="67" t="s">
        <v>283</v>
      </c>
      <c r="C232" s="68"/>
      <c r="D232" s="69" t="s">
        <v>2</v>
      </c>
      <c r="E232" s="212"/>
      <c r="F232" s="137"/>
      <c r="H232" s="286"/>
      <c r="I232" s="286"/>
    </row>
    <row r="233" spans="1:9" s="182" customFormat="1" ht="14.45">
      <c r="A233" s="195"/>
      <c r="B233" s="48"/>
      <c r="C233" s="314"/>
      <c r="D233" s="196"/>
      <c r="E233" s="212"/>
      <c r="F233" s="137"/>
      <c r="H233" s="286"/>
      <c r="I233" s="286"/>
    </row>
    <row r="234" spans="1:9" s="182" customFormat="1" ht="55.15">
      <c r="A234" s="305" t="s">
        <v>14</v>
      </c>
      <c r="B234" s="304" t="s">
        <v>284</v>
      </c>
      <c r="C234" s="305"/>
      <c r="D234" s="306" t="s">
        <v>2</v>
      </c>
      <c r="E234" s="307"/>
      <c r="F234" s="308">
        <v>376929</v>
      </c>
      <c r="H234" s="286"/>
      <c r="I234" s="286"/>
    </row>
    <row r="235" spans="1:9" s="182" customFormat="1" ht="14.45">
      <c r="A235" s="195"/>
      <c r="B235" s="303"/>
      <c r="C235" s="314"/>
      <c r="D235" s="196"/>
      <c r="E235" s="212"/>
      <c r="F235" s="137"/>
      <c r="H235" s="286"/>
      <c r="I235" s="286"/>
    </row>
    <row r="236" spans="1:9" s="182" customFormat="1" ht="79.150000000000006">
      <c r="A236" s="195"/>
      <c r="B236" s="209" t="s">
        <v>285</v>
      </c>
      <c r="C236" s="314"/>
      <c r="D236" s="196"/>
      <c r="E236" s="212"/>
      <c r="F236" s="137"/>
      <c r="H236" s="286"/>
      <c r="I236" s="286"/>
    </row>
    <row r="237" spans="1:9" s="182" customFormat="1" ht="14.45">
      <c r="A237" s="195"/>
      <c r="B237" s="48"/>
      <c r="C237" s="314"/>
      <c r="D237" s="196"/>
      <c r="E237" s="212"/>
      <c r="F237" s="137"/>
      <c r="H237" s="286"/>
      <c r="I237" s="286"/>
    </row>
    <row r="238" spans="1:9" s="182" customFormat="1" ht="14.45">
      <c r="A238" s="195" t="s">
        <v>17</v>
      </c>
      <c r="B238" s="67" t="s">
        <v>286</v>
      </c>
      <c r="C238" s="314">
        <v>23</v>
      </c>
      <c r="D238" s="196" t="s">
        <v>199</v>
      </c>
      <c r="E238" s="212">
        <v>2583.04</v>
      </c>
      <c r="F238" s="137">
        <f>C238*E238</f>
        <v>59409.919999999998</v>
      </c>
      <c r="H238" s="286"/>
      <c r="I238" s="286"/>
    </row>
    <row r="239" spans="1:9" s="182" customFormat="1" ht="14.45">
      <c r="A239" s="195"/>
      <c r="B239" s="48"/>
      <c r="C239" s="314"/>
      <c r="D239" s="196"/>
      <c r="E239" s="212"/>
      <c r="F239" s="137"/>
      <c r="H239" s="286"/>
      <c r="I239" s="286"/>
    </row>
    <row r="240" spans="1:9" s="182" customFormat="1" ht="14.45">
      <c r="A240" s="195" t="s">
        <v>20</v>
      </c>
      <c r="B240" s="67" t="s">
        <v>287</v>
      </c>
      <c r="C240" s="314">
        <v>12</v>
      </c>
      <c r="D240" s="196" t="s">
        <v>199</v>
      </c>
      <c r="E240" s="212">
        <v>2898.05</v>
      </c>
      <c r="F240" s="137">
        <f>C240*E240</f>
        <v>34776.600000000006</v>
      </c>
      <c r="H240" s="286"/>
      <c r="I240" s="286"/>
    </row>
    <row r="241" spans="1:9" s="182" customFormat="1" ht="14.45">
      <c r="A241" s="195"/>
      <c r="B241" s="67"/>
      <c r="C241" s="314"/>
      <c r="D241" s="196"/>
      <c r="E241" s="212"/>
      <c r="F241" s="137"/>
      <c r="H241" s="286"/>
      <c r="I241" s="286"/>
    </row>
    <row r="242" spans="1:9" s="182" customFormat="1" ht="14.45">
      <c r="A242" s="195"/>
      <c r="B242" s="67"/>
      <c r="C242" s="314"/>
      <c r="D242" s="196"/>
      <c r="E242" s="212"/>
      <c r="F242" s="137"/>
      <c r="H242" s="286"/>
      <c r="I242" s="286"/>
    </row>
    <row r="243" spans="1:9" s="182" customFormat="1" ht="14.45">
      <c r="A243" s="195"/>
      <c r="B243" s="48" t="s">
        <v>241</v>
      </c>
      <c r="C243" s="314"/>
      <c r="D243" s="196"/>
      <c r="E243" s="212"/>
      <c r="F243" s="137"/>
      <c r="H243" s="286"/>
      <c r="I243" s="286"/>
    </row>
    <row r="244" spans="1:9" s="182" customFormat="1" ht="14.45">
      <c r="A244" s="195"/>
      <c r="B244" s="67"/>
      <c r="C244" s="314"/>
      <c r="D244" s="196"/>
      <c r="E244" s="212"/>
      <c r="F244" s="137"/>
      <c r="H244" s="286"/>
      <c r="I244" s="286"/>
    </row>
    <row r="245" spans="1:9" s="182" customFormat="1" ht="27.6">
      <c r="A245" s="195" t="s">
        <v>23</v>
      </c>
      <c r="B245" s="67" t="s">
        <v>288</v>
      </c>
      <c r="C245" s="314">
        <v>3502</v>
      </c>
      <c r="D245" s="196" t="s">
        <v>199</v>
      </c>
      <c r="E245" s="212">
        <v>269.24</v>
      </c>
      <c r="F245" s="137">
        <f>C245*E245</f>
        <v>942878.48</v>
      </c>
      <c r="H245" s="286"/>
      <c r="I245" s="286"/>
    </row>
    <row r="246" spans="1:9" s="182" customFormat="1" ht="14.45">
      <c r="A246" s="195"/>
      <c r="B246" s="67"/>
      <c r="C246" s="314"/>
      <c r="D246" s="196"/>
      <c r="E246" s="212"/>
      <c r="F246" s="137"/>
      <c r="H246" s="286"/>
      <c r="I246" s="286"/>
    </row>
    <row r="247" spans="1:9" s="182" customFormat="1" ht="41.45">
      <c r="A247" s="195" t="s">
        <v>27</v>
      </c>
      <c r="B247" s="67" t="s">
        <v>289</v>
      </c>
      <c r="C247" s="314">
        <v>2204</v>
      </c>
      <c r="D247" s="196" t="s">
        <v>199</v>
      </c>
      <c r="E247" s="212">
        <v>520.92999999999995</v>
      </c>
      <c r="F247" s="137">
        <f>C247*E247</f>
        <v>1148129.72</v>
      </c>
      <c r="H247" s="286"/>
      <c r="I247" s="286"/>
    </row>
    <row r="248" spans="1:9" s="182" customFormat="1" ht="14.45">
      <c r="A248" s="195"/>
      <c r="B248" s="67"/>
      <c r="C248" s="314"/>
      <c r="D248" s="196"/>
      <c r="E248" s="212"/>
      <c r="F248" s="137"/>
      <c r="H248" s="286"/>
      <c r="I248" s="286"/>
    </row>
    <row r="249" spans="1:9" s="182" customFormat="1" ht="14.45">
      <c r="A249" s="195"/>
      <c r="B249" s="67"/>
      <c r="C249" s="314"/>
      <c r="D249" s="196"/>
      <c r="E249" s="212"/>
      <c r="F249" s="137"/>
      <c r="H249" s="286"/>
      <c r="I249" s="286"/>
    </row>
    <row r="250" spans="1:9" s="182" customFormat="1" ht="14.45">
      <c r="A250" s="195"/>
      <c r="B250" s="67" t="s">
        <v>213</v>
      </c>
      <c r="C250" s="314"/>
      <c r="D250" s="196"/>
      <c r="E250" s="212"/>
      <c r="F250" s="137"/>
      <c r="H250" s="286"/>
      <c r="I250" s="286"/>
    </row>
    <row r="251" spans="1:9" s="182" customFormat="1" ht="14.45">
      <c r="A251" s="195"/>
      <c r="B251" s="67"/>
      <c r="C251" s="314"/>
      <c r="D251" s="196"/>
      <c r="E251" s="212"/>
      <c r="F251" s="137"/>
      <c r="H251" s="286"/>
      <c r="I251" s="286"/>
    </row>
    <row r="252" spans="1:9" s="182" customFormat="1" ht="27.6">
      <c r="A252" s="287"/>
      <c r="B252" s="220" t="s">
        <v>214</v>
      </c>
      <c r="C252" s="315">
        <v>1</v>
      </c>
      <c r="D252" s="288" t="s">
        <v>215</v>
      </c>
      <c r="E252" s="289"/>
      <c r="F252" s="284">
        <f>C252*E252</f>
        <v>0</v>
      </c>
      <c r="H252" s="286"/>
      <c r="I252" s="286"/>
    </row>
    <row r="253" spans="1:9" s="182" customFormat="1" ht="14.45">
      <c r="A253" s="195"/>
      <c r="B253" s="67"/>
      <c r="C253" s="314"/>
      <c r="D253" s="196"/>
      <c r="E253" s="212"/>
      <c r="F253" s="137"/>
      <c r="H253" s="286"/>
      <c r="I253" s="286"/>
    </row>
    <row r="254" spans="1:9" s="182" customFormat="1" ht="14.45">
      <c r="A254" s="195"/>
      <c r="B254" s="67"/>
      <c r="C254" s="314"/>
      <c r="D254" s="196"/>
      <c r="E254" s="212"/>
      <c r="F254" s="137"/>
      <c r="H254" s="286"/>
      <c r="I254" s="286"/>
    </row>
    <row r="255" spans="1:9" s="182" customFormat="1" ht="14.45">
      <c r="A255" s="195"/>
      <c r="B255" s="67"/>
      <c r="C255" s="314"/>
      <c r="D255" s="196"/>
      <c r="E255" s="212"/>
      <c r="F255" s="137"/>
      <c r="H255" s="286"/>
      <c r="I255" s="286"/>
    </row>
    <row r="256" spans="1:9" s="182" customFormat="1" ht="14.45">
      <c r="A256" s="195"/>
      <c r="B256" s="48"/>
      <c r="C256" s="314"/>
      <c r="D256" s="196"/>
      <c r="E256" s="212"/>
      <c r="F256" s="137"/>
      <c r="H256" s="286"/>
      <c r="I256" s="286"/>
    </row>
    <row r="257" spans="1:9" s="182" customFormat="1" ht="14.45">
      <c r="A257" s="195"/>
      <c r="B257" s="48"/>
      <c r="C257" s="314"/>
      <c r="D257" s="196"/>
      <c r="E257" s="212"/>
      <c r="F257" s="137"/>
      <c r="H257" s="286"/>
      <c r="I257" s="286"/>
    </row>
    <row r="258" spans="1:9" s="182" customFormat="1" ht="14.45">
      <c r="A258" s="195"/>
      <c r="B258" s="48"/>
      <c r="C258" s="314"/>
      <c r="D258" s="196"/>
      <c r="E258" s="212"/>
      <c r="F258" s="137"/>
      <c r="H258" s="286"/>
      <c r="I258" s="286"/>
    </row>
    <row r="259" spans="1:9" s="182" customFormat="1" ht="14.45">
      <c r="A259" s="197"/>
      <c r="B259" s="198"/>
      <c r="C259" s="316"/>
      <c r="D259" s="199"/>
      <c r="E259" s="213"/>
      <c r="F259" s="138"/>
      <c r="H259" s="286"/>
      <c r="I259" s="286"/>
    </row>
    <row r="260" spans="1:9" s="182" customFormat="1" ht="14.45">
      <c r="A260" s="200"/>
      <c r="B260" s="201"/>
      <c r="C260" s="202" t="s">
        <v>30</v>
      </c>
      <c r="D260" s="202"/>
      <c r="E260" s="214" t="s">
        <v>8</v>
      </c>
      <c r="F260" s="139">
        <f>SUM(F232:F256)</f>
        <v>2562123.7199999997</v>
      </c>
      <c r="H260" s="286"/>
      <c r="I260" s="286"/>
    </row>
    <row r="261" spans="1:9" s="182" customFormat="1" ht="14.45">
      <c r="A261" s="200"/>
      <c r="B261" s="201"/>
      <c r="C261" s="317"/>
      <c r="D261" s="203"/>
      <c r="E261" s="215"/>
      <c r="F261" s="140"/>
      <c r="H261" s="286"/>
      <c r="I261" s="286"/>
    </row>
    <row r="262" spans="1:9" s="182" customFormat="1" ht="14.45">
      <c r="A262" s="183"/>
      <c r="B262" s="63"/>
      <c r="C262" s="311"/>
      <c r="D262" s="184"/>
      <c r="E262" s="216"/>
      <c r="F262" s="137"/>
      <c r="H262" s="286"/>
      <c r="I262" s="286"/>
    </row>
    <row r="263" spans="1:9" s="182" customFormat="1" ht="14.45">
      <c r="A263" s="183"/>
      <c r="B263" s="204" t="s">
        <v>109</v>
      </c>
      <c r="C263" s="311"/>
      <c r="D263" s="184"/>
      <c r="E263" s="216"/>
      <c r="F263" s="137"/>
      <c r="H263" s="286"/>
      <c r="I263" s="286"/>
    </row>
    <row r="264" spans="1:9">
      <c r="A264" s="183"/>
      <c r="B264" s="181"/>
      <c r="C264" s="311"/>
      <c r="D264" s="184"/>
      <c r="E264" s="216"/>
      <c r="F264" s="137"/>
    </row>
    <row r="265" spans="1:9">
      <c r="A265" s="183"/>
      <c r="B265" s="205" t="s">
        <v>290</v>
      </c>
      <c r="C265" s="311"/>
      <c r="D265" s="184"/>
      <c r="E265" s="216"/>
      <c r="F265" s="137">
        <f>F36</f>
        <v>4229905.1000000006</v>
      </c>
    </row>
    <row r="266" spans="1:9">
      <c r="A266" s="183"/>
      <c r="B266" s="181"/>
      <c r="C266" s="311"/>
      <c r="D266" s="184"/>
      <c r="E266" s="216"/>
      <c r="F266" s="137"/>
    </row>
    <row r="267" spans="1:9">
      <c r="A267" s="183"/>
      <c r="B267" s="205" t="s">
        <v>291</v>
      </c>
      <c r="C267" s="311"/>
      <c r="D267" s="184"/>
      <c r="E267" s="216"/>
      <c r="F267" s="137" t="s">
        <v>257</v>
      </c>
    </row>
    <row r="268" spans="1:9">
      <c r="A268" s="183"/>
      <c r="B268" s="181"/>
      <c r="C268" s="311"/>
      <c r="D268" s="184"/>
      <c r="E268" s="216"/>
      <c r="F268" s="137"/>
    </row>
    <row r="269" spans="1:9">
      <c r="A269" s="183"/>
      <c r="B269" s="205" t="s">
        <v>292</v>
      </c>
      <c r="C269" s="311"/>
      <c r="D269" s="184"/>
      <c r="E269" s="216"/>
      <c r="F269" s="137" t="s">
        <v>257</v>
      </c>
    </row>
    <row r="270" spans="1:9">
      <c r="A270" s="183"/>
      <c r="B270" s="181"/>
      <c r="C270" s="311"/>
      <c r="D270" s="184"/>
      <c r="E270" s="216"/>
      <c r="F270" s="137"/>
    </row>
    <row r="271" spans="1:9">
      <c r="A271" s="183"/>
      <c r="B271" s="205" t="s">
        <v>293</v>
      </c>
      <c r="C271" s="311"/>
      <c r="D271" s="184"/>
      <c r="E271" s="216"/>
      <c r="F271" s="137">
        <f>F142</f>
        <v>124435.32</v>
      </c>
    </row>
    <row r="272" spans="1:9">
      <c r="A272" s="183"/>
      <c r="B272" s="181"/>
      <c r="C272" s="311"/>
      <c r="D272" s="184"/>
      <c r="E272" s="216"/>
      <c r="F272" s="137"/>
    </row>
    <row r="273" spans="1:6">
      <c r="A273" s="183"/>
      <c r="B273" s="205" t="s">
        <v>294</v>
      </c>
      <c r="C273" s="311"/>
      <c r="D273" s="184"/>
      <c r="E273" s="216"/>
      <c r="F273" s="137" t="s">
        <v>257</v>
      </c>
    </row>
    <row r="274" spans="1:6">
      <c r="A274" s="183"/>
      <c r="B274" s="181"/>
      <c r="C274" s="311"/>
      <c r="D274" s="184"/>
      <c r="E274" s="216"/>
      <c r="F274" s="137"/>
    </row>
    <row r="275" spans="1:6">
      <c r="A275" s="195"/>
      <c r="B275" s="205" t="s">
        <v>295</v>
      </c>
      <c r="C275" s="314"/>
      <c r="D275" s="196"/>
      <c r="E275" s="212"/>
      <c r="F275" s="137" t="s">
        <v>257</v>
      </c>
    </row>
    <row r="276" spans="1:6">
      <c r="A276" s="195"/>
      <c r="B276" s="181"/>
      <c r="C276" s="314"/>
      <c r="D276" s="196"/>
      <c r="E276" s="212"/>
      <c r="F276" s="137"/>
    </row>
    <row r="277" spans="1:6">
      <c r="A277" s="195"/>
      <c r="B277" s="205" t="s">
        <v>296</v>
      </c>
      <c r="C277" s="314"/>
      <c r="D277" s="196"/>
      <c r="E277" s="212"/>
      <c r="F277" s="137">
        <f>F260</f>
        <v>2562123.7199999997</v>
      </c>
    </row>
    <row r="278" spans="1:6">
      <c r="A278" s="195"/>
      <c r="B278" s="181"/>
      <c r="C278" s="314"/>
      <c r="D278" s="196"/>
      <c r="E278" s="212"/>
      <c r="F278" s="137"/>
    </row>
    <row r="279" spans="1:6">
      <c r="A279" s="195"/>
      <c r="B279" s="205"/>
      <c r="C279" s="314"/>
      <c r="D279" s="196"/>
      <c r="E279" s="212"/>
      <c r="F279" s="137"/>
    </row>
    <row r="280" spans="1:6">
      <c r="A280" s="195"/>
      <c r="B280" s="48"/>
      <c r="C280" s="314"/>
      <c r="D280" s="196"/>
      <c r="E280" s="212"/>
      <c r="F280" s="137"/>
    </row>
    <row r="281" spans="1:6">
      <c r="A281" s="195"/>
      <c r="B281" s="48"/>
      <c r="C281" s="314"/>
      <c r="D281" s="196"/>
      <c r="E281" s="212"/>
      <c r="F281" s="137"/>
    </row>
    <row r="282" spans="1:6">
      <c r="A282" s="195"/>
      <c r="B282" s="48"/>
      <c r="C282" s="314"/>
      <c r="D282" s="196"/>
      <c r="E282" s="212"/>
      <c r="F282" s="137"/>
    </row>
    <row r="283" spans="1:6">
      <c r="A283" s="195"/>
      <c r="B283" s="48"/>
      <c r="C283" s="314"/>
      <c r="D283" s="196"/>
      <c r="E283" s="212"/>
      <c r="F283" s="137"/>
    </row>
    <row r="284" spans="1:6">
      <c r="A284" s="195"/>
      <c r="B284" s="48"/>
      <c r="C284" s="314"/>
      <c r="D284" s="196"/>
      <c r="E284" s="212"/>
      <c r="F284" s="137"/>
    </row>
    <row r="285" spans="1:6">
      <c r="A285" s="195"/>
      <c r="B285" s="48"/>
      <c r="C285" s="314"/>
      <c r="D285" s="196"/>
      <c r="E285" s="212"/>
      <c r="F285" s="137"/>
    </row>
    <row r="286" spans="1:6">
      <c r="A286" s="195"/>
      <c r="B286" s="48"/>
      <c r="C286" s="314"/>
      <c r="D286" s="196"/>
      <c r="E286" s="212"/>
      <c r="F286" s="137"/>
    </row>
    <row r="287" spans="1:6">
      <c r="A287" s="195"/>
      <c r="B287" s="48"/>
      <c r="C287" s="314"/>
      <c r="D287" s="196"/>
      <c r="E287" s="212"/>
      <c r="F287" s="137"/>
    </row>
    <row r="288" spans="1:6">
      <c r="A288" s="195"/>
      <c r="B288" s="48"/>
      <c r="C288" s="314"/>
      <c r="D288" s="196"/>
      <c r="E288" s="212"/>
      <c r="F288" s="137"/>
    </row>
    <row r="289" spans="1:6">
      <c r="A289" s="195"/>
      <c r="B289" s="48"/>
      <c r="C289" s="314"/>
      <c r="D289" s="196"/>
      <c r="E289" s="212"/>
      <c r="F289" s="137"/>
    </row>
    <row r="290" spans="1:6">
      <c r="A290" s="195"/>
      <c r="B290" s="48"/>
      <c r="C290" s="314"/>
      <c r="D290" s="196"/>
      <c r="E290" s="212"/>
      <c r="F290" s="137"/>
    </row>
    <row r="291" spans="1:6">
      <c r="A291" s="197"/>
      <c r="B291" s="198"/>
      <c r="C291" s="316"/>
      <c r="D291" s="199"/>
      <c r="E291" s="213"/>
      <c r="F291" s="138"/>
    </row>
    <row r="292" spans="1:6">
      <c r="A292" s="200"/>
      <c r="B292" s="201"/>
      <c r="C292" s="202" t="s">
        <v>116</v>
      </c>
      <c r="D292" s="202"/>
      <c r="E292" s="214" t="s">
        <v>8</v>
      </c>
      <c r="F292" s="139">
        <f>SUM(F264:F290)</f>
        <v>6916464.1400000006</v>
      </c>
    </row>
    <row r="293" spans="1:6">
      <c r="A293" s="200"/>
      <c r="B293" s="201"/>
      <c r="C293" s="317"/>
      <c r="D293" s="203"/>
      <c r="E293" s="215"/>
      <c r="F293" s="140"/>
    </row>
  </sheetData>
  <mergeCells count="4">
    <mergeCell ref="A1:A2"/>
    <mergeCell ref="B1:B2"/>
    <mergeCell ref="C1:C2"/>
    <mergeCell ref="D1:D2"/>
  </mergeCells>
  <printOptions horizontalCentered="1"/>
  <pageMargins left="0.66929133858267698" right="0.196850393700787" top="0.82677165354330695" bottom="0.47" header="0.196850393700787" footer="0.24"/>
  <pageSetup paperSize="9" scale="97" fitToHeight="0" orientation="portrait" r:id="rId1"/>
  <headerFooter>
    <oddHeader>&amp;R&amp;11&amp;U
BILL NO. 3 - MALL REFURBISHMENT
METALWORK</oddHeader>
    <oddFooter>&amp;L&amp;8DMS 148704 BOQ - Nakheel Mall Al Khail&amp;C3/E/&amp;P</oddFooter>
  </headerFooter>
  <rowBreaks count="7" manualBreakCount="7">
    <brk id="37" max="5" man="1"/>
    <brk id="73" max="5" man="1"/>
    <brk id="110" max="5" man="1"/>
    <brk id="143" max="5" man="1"/>
    <brk id="186" max="5" man="1"/>
    <brk id="228" max="5" man="1"/>
    <brk id="261" max="5"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63832-FAC6-4896-9FC9-77A4FC7F9323}">
  <sheetPr codeName="Sheet7"/>
  <dimension ref="A1:G415"/>
  <sheetViews>
    <sheetView view="pageBreakPreview" zoomScale="85" zoomScaleNormal="100" zoomScaleSheetLayoutView="85" zoomScalePageLayoutView="70" workbookViewId="0">
      <pane ySplit="2" topLeftCell="A262" activePane="bottomLeft" state="frozen"/>
      <selection pane="bottomLeft" activeCell="C1" sqref="C1:C1048576"/>
      <selection activeCell="F34" sqref="F34"/>
    </sheetView>
  </sheetViews>
  <sheetFormatPr defaultColWidth="9.28515625" defaultRowHeight="13.9"/>
  <cols>
    <col min="1" max="1" width="5.7109375" style="36" customWidth="1"/>
    <col min="2" max="2" width="44.140625" style="27" customWidth="1"/>
    <col min="3" max="3" width="10.7109375" style="28" customWidth="1"/>
    <col min="4" max="4" width="6.7109375" style="37" customWidth="1"/>
    <col min="5" max="5" width="12.42578125" style="162" customWidth="1"/>
    <col min="6" max="6" width="15.7109375" style="142" customWidth="1"/>
    <col min="7" max="7" width="9.28515625" style="229" customWidth="1"/>
    <col min="8" max="16384" width="9.28515625" style="35"/>
  </cols>
  <sheetData>
    <row r="1" spans="1:7" s="30" customFormat="1" ht="14.45">
      <c r="A1" s="332" t="s">
        <v>2</v>
      </c>
      <c r="B1" s="332" t="s">
        <v>3</v>
      </c>
      <c r="C1" s="334" t="s">
        <v>4</v>
      </c>
      <c r="D1" s="336" t="s">
        <v>5</v>
      </c>
      <c r="E1" s="155" t="s">
        <v>6</v>
      </c>
      <c r="F1" s="135" t="s">
        <v>7</v>
      </c>
      <c r="G1" s="344" t="s">
        <v>297</v>
      </c>
    </row>
    <row r="2" spans="1:7" s="30" customFormat="1" ht="14.45">
      <c r="A2" s="333"/>
      <c r="B2" s="333"/>
      <c r="C2" s="335"/>
      <c r="D2" s="337"/>
      <c r="E2" s="156" t="s">
        <v>8</v>
      </c>
      <c r="F2" s="136" t="s">
        <v>8</v>
      </c>
      <c r="G2" s="345"/>
    </row>
    <row r="3" spans="1:7" s="34" customFormat="1" ht="14.45">
      <c r="A3" s="31"/>
      <c r="B3" s="32"/>
      <c r="C3" s="29"/>
      <c r="D3" s="33"/>
      <c r="E3" s="157"/>
      <c r="F3" s="137"/>
      <c r="G3" s="217"/>
    </row>
    <row r="4" spans="1:7" s="34" customFormat="1" ht="14.45">
      <c r="A4" s="59"/>
      <c r="B4" s="60" t="s">
        <v>298</v>
      </c>
      <c r="C4" s="61"/>
      <c r="D4" s="62"/>
      <c r="E4" s="157"/>
      <c r="F4" s="137"/>
      <c r="G4" s="217"/>
    </row>
    <row r="5" spans="1:7" s="34" customFormat="1" ht="14.45">
      <c r="A5" s="59"/>
      <c r="B5" s="63"/>
      <c r="C5" s="61"/>
      <c r="D5" s="62"/>
      <c r="E5" s="157"/>
      <c r="F5" s="137"/>
      <c r="G5" s="217"/>
    </row>
    <row r="6" spans="1:7" s="34" customFormat="1" ht="14.45">
      <c r="A6" s="59"/>
      <c r="B6" s="64" t="s">
        <v>299</v>
      </c>
      <c r="C6" s="61"/>
      <c r="D6" s="62"/>
      <c r="E6" s="157"/>
      <c r="F6" s="137"/>
      <c r="G6" s="217"/>
    </row>
    <row r="7" spans="1:7" s="34" customFormat="1" ht="14.45">
      <c r="A7" s="59"/>
      <c r="B7" s="65"/>
      <c r="C7" s="61"/>
      <c r="D7" s="62"/>
      <c r="E7" s="157"/>
      <c r="F7" s="137"/>
      <c r="G7" s="217"/>
    </row>
    <row r="8" spans="1:7" s="34" customFormat="1" ht="14.45">
      <c r="A8" s="66"/>
      <c r="B8" s="67" t="s">
        <v>11</v>
      </c>
      <c r="C8" s="68"/>
      <c r="D8" s="69"/>
      <c r="E8" s="157"/>
      <c r="F8" s="137"/>
      <c r="G8" s="217"/>
    </row>
    <row r="9" spans="1:7" s="34" customFormat="1" ht="14.45">
      <c r="A9" s="59"/>
      <c r="B9" s="65"/>
      <c r="C9" s="61"/>
      <c r="D9" s="62"/>
      <c r="E9" s="157"/>
      <c r="F9" s="137"/>
      <c r="G9" s="217"/>
    </row>
    <row r="10" spans="1:7" s="34" customFormat="1" ht="27.6">
      <c r="A10" s="66"/>
      <c r="B10" s="67" t="s">
        <v>300</v>
      </c>
      <c r="C10" s="68"/>
      <c r="D10" s="69"/>
      <c r="E10" s="157"/>
      <c r="F10" s="137"/>
      <c r="G10" s="217"/>
    </row>
    <row r="11" spans="1:7" s="34" customFormat="1" ht="14.45">
      <c r="A11" s="59"/>
      <c r="B11" s="65"/>
      <c r="C11" s="61"/>
      <c r="D11" s="62"/>
      <c r="E11" s="157"/>
      <c r="F11" s="137"/>
      <c r="G11" s="217"/>
    </row>
    <row r="12" spans="1:7" s="34" customFormat="1" ht="14.45">
      <c r="A12" s="66"/>
      <c r="B12" s="67" t="s">
        <v>301</v>
      </c>
      <c r="C12" s="68"/>
      <c r="D12" s="69"/>
      <c r="E12" s="157"/>
      <c r="F12" s="137"/>
      <c r="G12" s="217"/>
    </row>
    <row r="13" spans="1:7" s="34" customFormat="1" ht="14.45">
      <c r="A13" s="59"/>
      <c r="B13" s="65"/>
      <c r="C13" s="61"/>
      <c r="D13" s="62"/>
      <c r="E13" s="157"/>
      <c r="F13" s="137"/>
      <c r="G13" s="217"/>
    </row>
    <row r="14" spans="1:7" s="34" customFormat="1" ht="110.45">
      <c r="A14" s="66"/>
      <c r="B14" s="98" t="s">
        <v>302</v>
      </c>
      <c r="C14" s="68"/>
      <c r="D14" s="69"/>
      <c r="E14" s="157"/>
      <c r="F14" s="137"/>
      <c r="G14" s="217"/>
    </row>
    <row r="15" spans="1:7" s="34" customFormat="1" ht="14.45">
      <c r="A15" s="59"/>
      <c r="B15" s="100"/>
      <c r="C15" s="61"/>
      <c r="D15" s="62"/>
      <c r="E15" s="157"/>
      <c r="F15" s="137"/>
      <c r="G15" s="217"/>
    </row>
    <row r="16" spans="1:7" s="34" customFormat="1" ht="27.6">
      <c r="A16" s="66" t="s">
        <v>14</v>
      </c>
      <c r="B16" s="67" t="s">
        <v>303</v>
      </c>
      <c r="C16" s="68" t="s">
        <v>304</v>
      </c>
      <c r="D16" s="69" t="s">
        <v>63</v>
      </c>
      <c r="E16" s="157">
        <v>43993</v>
      </c>
      <c r="F16" s="137">
        <f>C16*E16</f>
        <v>43993</v>
      </c>
      <c r="G16" s="217"/>
    </row>
    <row r="17" spans="1:7" s="34" customFormat="1" ht="14.45">
      <c r="A17" s="59"/>
      <c r="B17" s="100"/>
      <c r="C17" s="61"/>
      <c r="D17" s="62"/>
      <c r="E17" s="157"/>
      <c r="F17" s="137"/>
      <c r="G17" s="217"/>
    </row>
    <row r="18" spans="1:7" s="34" customFormat="1" ht="27.6">
      <c r="A18" s="66" t="s">
        <v>17</v>
      </c>
      <c r="B18" s="67" t="s">
        <v>305</v>
      </c>
      <c r="C18" s="68" t="s">
        <v>304</v>
      </c>
      <c r="D18" s="69" t="s">
        <v>63</v>
      </c>
      <c r="E18" s="157">
        <v>40923.72</v>
      </c>
      <c r="F18" s="137">
        <f>C18*E18</f>
        <v>40923.72</v>
      </c>
      <c r="G18" s="217"/>
    </row>
    <row r="19" spans="1:7" s="34" customFormat="1" ht="14.45">
      <c r="A19" s="59"/>
      <c r="B19" s="100"/>
      <c r="C19" s="61"/>
      <c r="D19" s="62"/>
      <c r="E19" s="157"/>
      <c r="F19" s="137"/>
      <c r="G19" s="217"/>
    </row>
    <row r="20" spans="1:7" s="41" customFormat="1" ht="14.45">
      <c r="A20" s="80" t="s">
        <v>20</v>
      </c>
      <c r="B20" s="81" t="s">
        <v>306</v>
      </c>
      <c r="C20" s="82" t="s">
        <v>304</v>
      </c>
      <c r="D20" s="83" t="s">
        <v>63</v>
      </c>
      <c r="E20" s="158">
        <v>49108.46</v>
      </c>
      <c r="F20" s="137">
        <f>C20*E20</f>
        <v>49108.46</v>
      </c>
      <c r="G20" s="217"/>
    </row>
    <row r="21" spans="1:7" s="34" customFormat="1" ht="14.45">
      <c r="A21" s="59"/>
      <c r="B21" s="100"/>
      <c r="C21" s="61"/>
      <c r="D21" s="62"/>
      <c r="E21" s="157"/>
      <c r="F21" s="137"/>
      <c r="G21" s="217"/>
    </row>
    <row r="22" spans="1:7" s="34" customFormat="1" ht="27.6">
      <c r="A22" s="66" t="s">
        <v>23</v>
      </c>
      <c r="B22" s="67" t="s">
        <v>307</v>
      </c>
      <c r="C22" s="68" t="s">
        <v>308</v>
      </c>
      <c r="D22" s="69" t="s">
        <v>199</v>
      </c>
      <c r="E22" s="157">
        <v>2670.27</v>
      </c>
      <c r="F22" s="137">
        <f>C22*E22</f>
        <v>32043.239999999998</v>
      </c>
      <c r="G22" s="217"/>
    </row>
    <row r="23" spans="1:7" s="34" customFormat="1" ht="14.45">
      <c r="A23" s="59"/>
      <c r="B23" s="100"/>
      <c r="C23" s="61"/>
      <c r="D23" s="62"/>
      <c r="E23" s="157"/>
      <c r="F23" s="137"/>
      <c r="G23" s="217"/>
    </row>
    <row r="24" spans="1:7" s="34" customFormat="1" ht="110.45">
      <c r="A24" s="66"/>
      <c r="B24" s="98" t="s">
        <v>309</v>
      </c>
      <c r="C24" s="68"/>
      <c r="D24" s="69"/>
      <c r="E24" s="157"/>
      <c r="F24" s="137"/>
      <c r="G24" s="217"/>
    </row>
    <row r="25" spans="1:7" s="34" customFormat="1" ht="14.45">
      <c r="A25" s="59"/>
      <c r="B25" s="100"/>
      <c r="C25" s="61"/>
      <c r="D25" s="62"/>
      <c r="E25" s="157"/>
      <c r="F25" s="137"/>
      <c r="G25" s="217"/>
    </row>
    <row r="26" spans="1:7" s="34" customFormat="1" ht="27.6">
      <c r="A26" s="66" t="s">
        <v>27</v>
      </c>
      <c r="B26" s="67" t="s">
        <v>310</v>
      </c>
      <c r="C26" s="68" t="s">
        <v>304</v>
      </c>
      <c r="D26" s="69" t="s">
        <v>63</v>
      </c>
      <c r="E26" s="157">
        <v>20461.86</v>
      </c>
      <c r="F26" s="137">
        <f>C26*E26</f>
        <v>20461.86</v>
      </c>
      <c r="G26" s="217"/>
    </row>
    <row r="27" spans="1:7" s="34" customFormat="1" ht="14.45">
      <c r="A27" s="59"/>
      <c r="B27" s="100"/>
      <c r="C27" s="61"/>
      <c r="D27" s="62"/>
      <c r="E27" s="157"/>
      <c r="F27" s="137"/>
      <c r="G27" s="217"/>
    </row>
    <row r="28" spans="1:7" s="34" customFormat="1" ht="27.6">
      <c r="A28" s="66" t="s">
        <v>44</v>
      </c>
      <c r="B28" s="67" t="s">
        <v>311</v>
      </c>
      <c r="C28" s="68" t="s">
        <v>312</v>
      </c>
      <c r="D28" s="69" t="s">
        <v>199</v>
      </c>
      <c r="E28" s="157">
        <v>2670.27</v>
      </c>
      <c r="F28" s="137">
        <f>C28*E28</f>
        <v>34713.51</v>
      </c>
      <c r="G28" s="217"/>
    </row>
    <row r="29" spans="1:7" s="34" customFormat="1" ht="14.45">
      <c r="A29" s="59"/>
      <c r="B29" s="63"/>
      <c r="C29" s="61"/>
      <c r="D29" s="62"/>
      <c r="E29" s="157"/>
      <c r="F29" s="137"/>
      <c r="G29" s="217"/>
    </row>
    <row r="30" spans="1:7" s="34" customFormat="1" ht="14.45">
      <c r="A30" s="71"/>
      <c r="B30" s="72"/>
      <c r="C30" s="73"/>
      <c r="D30" s="74"/>
      <c r="E30" s="159"/>
      <c r="F30" s="138"/>
      <c r="G30" s="226"/>
    </row>
    <row r="31" spans="1:7" s="34" customFormat="1" ht="14.45">
      <c r="A31" s="75"/>
      <c r="B31" s="76"/>
      <c r="C31" s="77" t="s">
        <v>30</v>
      </c>
      <c r="D31" s="77"/>
      <c r="E31" s="160" t="s">
        <v>8</v>
      </c>
      <c r="F31" s="139">
        <f>SUM(F15:F28)</f>
        <v>221243.78999999998</v>
      </c>
      <c r="G31" s="227"/>
    </row>
    <row r="32" spans="1:7" s="34" customFormat="1" ht="14.45">
      <c r="A32" s="75"/>
      <c r="B32" s="76"/>
      <c r="C32" s="78"/>
      <c r="D32" s="79"/>
      <c r="E32" s="161"/>
      <c r="F32" s="140"/>
      <c r="G32" s="228"/>
    </row>
    <row r="33" spans="1:7" s="34" customFormat="1" ht="14.45">
      <c r="A33" s="59"/>
      <c r="B33" s="63"/>
      <c r="C33" s="61"/>
      <c r="D33" s="62"/>
      <c r="E33" s="157"/>
      <c r="F33" s="137"/>
      <c r="G33" s="217"/>
    </row>
    <row r="34" spans="1:7" s="34" customFormat="1" ht="14.45">
      <c r="A34" s="59"/>
      <c r="B34" s="64" t="s">
        <v>313</v>
      </c>
      <c r="C34" s="61"/>
      <c r="D34" s="62"/>
      <c r="E34" s="157"/>
      <c r="F34" s="137"/>
      <c r="G34" s="217"/>
    </row>
    <row r="35" spans="1:7" s="34" customFormat="1" ht="14.45">
      <c r="A35" s="59"/>
      <c r="B35" s="100"/>
      <c r="C35" s="61"/>
      <c r="D35" s="62"/>
      <c r="E35" s="157"/>
      <c r="F35" s="137"/>
      <c r="G35" s="217"/>
    </row>
    <row r="36" spans="1:7" s="34" customFormat="1" ht="96.6">
      <c r="A36" s="66"/>
      <c r="B36" s="98" t="s">
        <v>314</v>
      </c>
      <c r="C36" s="68"/>
      <c r="D36" s="69"/>
      <c r="E36" s="157"/>
      <c r="F36" s="137"/>
      <c r="G36" s="217"/>
    </row>
    <row r="37" spans="1:7" s="34" customFormat="1" ht="14.45">
      <c r="A37" s="59"/>
      <c r="B37" s="100"/>
      <c r="C37" s="61"/>
      <c r="D37" s="62"/>
      <c r="E37" s="157"/>
      <c r="F37" s="137"/>
      <c r="G37" s="217"/>
    </row>
    <row r="38" spans="1:7" s="34" customFormat="1" ht="27.6">
      <c r="A38" s="66" t="s">
        <v>14</v>
      </c>
      <c r="B38" s="67" t="s">
        <v>315</v>
      </c>
      <c r="C38" s="68" t="s">
        <v>304</v>
      </c>
      <c r="D38" s="69" t="s">
        <v>63</v>
      </c>
      <c r="E38" s="157">
        <v>34029.15</v>
      </c>
      <c r="F38" s="137">
        <f>C38*E38</f>
        <v>34029.15</v>
      </c>
      <c r="G38" s="217"/>
    </row>
    <row r="39" spans="1:7" s="34" customFormat="1" ht="14.45">
      <c r="A39" s="59"/>
      <c r="B39" s="100"/>
      <c r="C39" s="61"/>
      <c r="D39" s="62"/>
      <c r="E39" s="157"/>
      <c r="F39" s="137"/>
      <c r="G39" s="217"/>
    </row>
    <row r="40" spans="1:7" s="34" customFormat="1" ht="27.6">
      <c r="A40" s="66" t="s">
        <v>17</v>
      </c>
      <c r="B40" s="67" t="s">
        <v>316</v>
      </c>
      <c r="C40" s="68" t="s">
        <v>304</v>
      </c>
      <c r="D40" s="69" t="s">
        <v>63</v>
      </c>
      <c r="E40" s="157">
        <v>46031.65</v>
      </c>
      <c r="F40" s="137">
        <f>C40*E40</f>
        <v>46031.65</v>
      </c>
      <c r="G40" s="217"/>
    </row>
    <row r="41" spans="1:7" s="34" customFormat="1" ht="14.45">
      <c r="A41" s="59"/>
      <c r="B41" s="100"/>
      <c r="C41" s="61"/>
      <c r="D41" s="62"/>
      <c r="E41" s="157"/>
      <c r="F41" s="137"/>
      <c r="G41" s="217"/>
    </row>
    <row r="42" spans="1:7" s="34" customFormat="1" ht="27.6">
      <c r="A42" s="66" t="s">
        <v>20</v>
      </c>
      <c r="B42" s="67" t="s">
        <v>317</v>
      </c>
      <c r="C42" s="68" t="s">
        <v>304</v>
      </c>
      <c r="D42" s="69" t="s">
        <v>63</v>
      </c>
      <c r="E42" s="157">
        <v>49693.24</v>
      </c>
      <c r="F42" s="137">
        <f>C42*E42</f>
        <v>49693.24</v>
      </c>
      <c r="G42" s="217"/>
    </row>
    <row r="43" spans="1:7" s="34" customFormat="1" ht="14.45">
      <c r="A43" s="59"/>
      <c r="B43" s="100"/>
      <c r="C43" s="61"/>
      <c r="D43" s="62"/>
      <c r="E43" s="157"/>
      <c r="F43" s="137"/>
      <c r="G43" s="217"/>
    </row>
    <row r="44" spans="1:7" s="34" customFormat="1" ht="96.6">
      <c r="A44" s="66"/>
      <c r="B44" s="98" t="s">
        <v>318</v>
      </c>
      <c r="C44" s="68"/>
      <c r="D44" s="69"/>
      <c r="E44" s="157"/>
      <c r="F44" s="137"/>
      <c r="G44" s="217"/>
    </row>
    <row r="45" spans="1:7" s="34" customFormat="1" ht="14.45">
      <c r="A45" s="59"/>
      <c r="B45" s="100"/>
      <c r="C45" s="61"/>
      <c r="D45" s="62"/>
      <c r="E45" s="157"/>
      <c r="F45" s="137"/>
      <c r="G45" s="217"/>
    </row>
    <row r="46" spans="1:7" s="34" customFormat="1" ht="27.6">
      <c r="A46" s="66" t="s">
        <v>23</v>
      </c>
      <c r="B46" s="67" t="s">
        <v>319</v>
      </c>
      <c r="C46" s="68" t="s">
        <v>152</v>
      </c>
      <c r="D46" s="69" t="s">
        <v>63</v>
      </c>
      <c r="E46" s="157">
        <v>25577.33</v>
      </c>
      <c r="F46" s="137">
        <f>C46*E46</f>
        <v>51154.66</v>
      </c>
      <c r="G46" s="217"/>
    </row>
    <row r="47" spans="1:7" s="34" customFormat="1" ht="14.45">
      <c r="A47" s="59"/>
      <c r="B47" s="100"/>
      <c r="C47" s="61"/>
      <c r="D47" s="62"/>
      <c r="E47" s="157"/>
      <c r="F47" s="137"/>
      <c r="G47" s="217"/>
    </row>
    <row r="48" spans="1:7" s="34" customFormat="1" ht="124.15">
      <c r="A48" s="66"/>
      <c r="B48" s="98" t="s">
        <v>320</v>
      </c>
      <c r="C48" s="68"/>
      <c r="D48" s="69"/>
      <c r="E48" s="157"/>
      <c r="F48" s="137"/>
      <c r="G48" s="217"/>
    </row>
    <row r="49" spans="1:7" s="34" customFormat="1" ht="14.45">
      <c r="A49" s="59"/>
      <c r="B49" s="100"/>
      <c r="C49" s="61"/>
      <c r="D49" s="62"/>
      <c r="E49" s="157"/>
      <c r="F49" s="137"/>
      <c r="G49" s="217"/>
    </row>
    <row r="50" spans="1:7" s="34" customFormat="1" ht="27.6">
      <c r="A50" s="66" t="s">
        <v>27</v>
      </c>
      <c r="B50" s="67" t="s">
        <v>321</v>
      </c>
      <c r="C50" s="68" t="s">
        <v>304</v>
      </c>
      <c r="D50" s="69" t="s">
        <v>63</v>
      </c>
      <c r="E50" s="157">
        <v>31112.799999999999</v>
      </c>
      <c r="F50" s="137">
        <f>C50*E50</f>
        <v>31112.799999999999</v>
      </c>
      <c r="G50" s="217" t="s">
        <v>322</v>
      </c>
    </row>
    <row r="51" spans="1:7" s="34" customFormat="1" ht="14.45">
      <c r="A51" s="59"/>
      <c r="B51" s="63"/>
      <c r="C51" s="61"/>
      <c r="D51" s="62"/>
      <c r="E51" s="157"/>
      <c r="F51" s="137"/>
      <c r="G51" s="217"/>
    </row>
    <row r="52" spans="1:7" s="34" customFormat="1" ht="28.9">
      <c r="A52" s="59"/>
      <c r="B52" s="230" t="s">
        <v>323</v>
      </c>
      <c r="C52" s="61"/>
      <c r="D52" s="62"/>
      <c r="E52" s="157"/>
      <c r="F52" s="137"/>
      <c r="G52" s="217"/>
    </row>
    <row r="53" spans="1:7" s="34" customFormat="1" ht="14.45">
      <c r="A53" s="71"/>
      <c r="B53" s="72"/>
      <c r="C53" s="73"/>
      <c r="D53" s="74"/>
      <c r="E53" s="159"/>
      <c r="F53" s="138"/>
      <c r="G53" s="226"/>
    </row>
    <row r="54" spans="1:7" s="34" customFormat="1" ht="14.45">
      <c r="A54" s="75"/>
      <c r="B54" s="76"/>
      <c r="C54" s="77" t="s">
        <v>30</v>
      </c>
      <c r="D54" s="77"/>
      <c r="E54" s="160" t="s">
        <v>8</v>
      </c>
      <c r="F54" s="139">
        <f>SUM(F36:F51)</f>
        <v>212021.5</v>
      </c>
      <c r="G54" s="227"/>
    </row>
    <row r="55" spans="1:7" s="34" customFormat="1" ht="14.45">
      <c r="A55" s="75"/>
      <c r="B55" s="76"/>
      <c r="C55" s="78"/>
      <c r="D55" s="79"/>
      <c r="E55" s="161"/>
      <c r="F55" s="140"/>
      <c r="G55" s="228"/>
    </row>
    <row r="56" spans="1:7" s="34" customFormat="1" ht="14.45">
      <c r="A56" s="59"/>
      <c r="B56" s="63"/>
      <c r="C56" s="61"/>
      <c r="D56" s="62"/>
      <c r="E56" s="157"/>
      <c r="F56" s="137"/>
      <c r="G56" s="217"/>
    </row>
    <row r="57" spans="1:7" s="34" customFormat="1" ht="14.45">
      <c r="A57" s="59"/>
      <c r="B57" s="64" t="s">
        <v>313</v>
      </c>
      <c r="C57" s="61"/>
      <c r="D57" s="62"/>
      <c r="E57" s="157"/>
      <c r="F57" s="137"/>
      <c r="G57" s="217"/>
    </row>
    <row r="58" spans="1:7" s="34" customFormat="1" ht="14.45">
      <c r="A58" s="59"/>
      <c r="B58" s="100"/>
      <c r="C58" s="61"/>
      <c r="D58" s="62"/>
      <c r="E58" s="157"/>
      <c r="F58" s="137"/>
      <c r="G58" s="217"/>
    </row>
    <row r="59" spans="1:7" s="34" customFormat="1" ht="27.6">
      <c r="A59" s="66" t="s">
        <v>14</v>
      </c>
      <c r="B59" s="67" t="s">
        <v>324</v>
      </c>
      <c r="C59" s="68" t="s">
        <v>325</v>
      </c>
      <c r="D59" s="69" t="s">
        <v>16</v>
      </c>
      <c r="E59" s="157">
        <v>2046.19</v>
      </c>
      <c r="F59" s="137">
        <f>C59*E59</f>
        <v>14323.33</v>
      </c>
      <c r="G59" s="217"/>
    </row>
    <row r="60" spans="1:7" s="34" customFormat="1" ht="14.45">
      <c r="A60" s="59"/>
      <c r="B60" s="100"/>
      <c r="C60" s="61"/>
      <c r="D60" s="62"/>
      <c r="E60" s="157"/>
      <c r="F60" s="137"/>
      <c r="G60" s="217"/>
    </row>
    <row r="61" spans="1:7" s="34" customFormat="1" ht="124.15">
      <c r="A61" s="66"/>
      <c r="B61" s="98" t="s">
        <v>326</v>
      </c>
      <c r="C61" s="68"/>
      <c r="D61" s="69"/>
      <c r="E61" s="157"/>
      <c r="F61" s="137"/>
      <c r="G61" s="217"/>
    </row>
    <row r="62" spans="1:7" s="34" customFormat="1" ht="14.45">
      <c r="A62" s="59"/>
      <c r="B62" s="100"/>
      <c r="C62" s="61"/>
      <c r="D62" s="62"/>
      <c r="E62" s="157"/>
      <c r="F62" s="137"/>
      <c r="G62" s="217"/>
    </row>
    <row r="63" spans="1:7" s="34" customFormat="1" ht="27.6">
      <c r="A63" s="66" t="s">
        <v>17</v>
      </c>
      <c r="B63" s="67" t="s">
        <v>327</v>
      </c>
      <c r="C63" s="68" t="s">
        <v>304</v>
      </c>
      <c r="D63" s="69" t="s">
        <v>63</v>
      </c>
      <c r="E63" s="157">
        <v>25114.240000000002</v>
      </c>
      <c r="F63" s="137">
        <f>C63*E63</f>
        <v>25114.240000000002</v>
      </c>
      <c r="G63" s="217" t="s">
        <v>322</v>
      </c>
    </row>
    <row r="64" spans="1:7" s="34" customFormat="1" ht="14.45">
      <c r="A64" s="59"/>
      <c r="B64" s="100"/>
      <c r="C64" s="61"/>
      <c r="D64" s="62"/>
      <c r="E64" s="157"/>
      <c r="F64" s="137"/>
      <c r="G64" s="217"/>
    </row>
    <row r="65" spans="1:7" s="34" customFormat="1" ht="27.6">
      <c r="A65" s="66" t="s">
        <v>20</v>
      </c>
      <c r="B65" s="67" t="s">
        <v>328</v>
      </c>
      <c r="C65" s="68" t="s">
        <v>39</v>
      </c>
      <c r="D65" s="69" t="s">
        <v>16</v>
      </c>
      <c r="E65" s="157">
        <v>2046.19</v>
      </c>
      <c r="F65" s="137">
        <f>C65*E65</f>
        <v>12277.14</v>
      </c>
      <c r="G65" s="217"/>
    </row>
    <row r="66" spans="1:7" s="34" customFormat="1" ht="14.45">
      <c r="A66" s="59"/>
      <c r="B66" s="100"/>
      <c r="C66" s="61"/>
      <c r="D66" s="62"/>
      <c r="E66" s="157"/>
      <c r="F66" s="137"/>
      <c r="G66" s="217"/>
    </row>
    <row r="67" spans="1:7" s="34" customFormat="1" ht="110.45">
      <c r="A67" s="66"/>
      <c r="B67" s="98" t="s">
        <v>329</v>
      </c>
      <c r="C67" s="68"/>
      <c r="D67" s="69"/>
      <c r="E67" s="157"/>
      <c r="F67" s="137"/>
      <c r="G67" s="217"/>
    </row>
    <row r="68" spans="1:7" s="34" customFormat="1" ht="14.45">
      <c r="A68" s="59"/>
      <c r="B68" s="100"/>
      <c r="C68" s="61"/>
      <c r="D68" s="62"/>
      <c r="E68" s="157"/>
      <c r="F68" s="137"/>
      <c r="G68" s="217"/>
    </row>
    <row r="69" spans="1:7" s="34" customFormat="1" ht="27.6">
      <c r="A69" s="66" t="s">
        <v>23</v>
      </c>
      <c r="B69" s="67" t="s">
        <v>330</v>
      </c>
      <c r="C69" s="68" t="s">
        <v>152</v>
      </c>
      <c r="D69" s="69" t="s">
        <v>63</v>
      </c>
      <c r="E69" s="157">
        <v>21948.04</v>
      </c>
      <c r="F69" s="137">
        <f>C69*E69</f>
        <v>43896.08</v>
      </c>
      <c r="G69" s="217" t="s">
        <v>322</v>
      </c>
    </row>
    <row r="70" spans="1:7" s="34" customFormat="1" ht="14.45">
      <c r="A70" s="59"/>
      <c r="B70" s="100"/>
      <c r="C70" s="61"/>
      <c r="D70" s="62"/>
      <c r="E70" s="157"/>
      <c r="F70" s="137"/>
      <c r="G70" s="217"/>
    </row>
    <row r="71" spans="1:7" s="34" customFormat="1" ht="27.6">
      <c r="A71" s="66" t="s">
        <v>27</v>
      </c>
      <c r="B71" s="67" t="s">
        <v>331</v>
      </c>
      <c r="C71" s="68" t="s">
        <v>332</v>
      </c>
      <c r="D71" s="69" t="s">
        <v>16</v>
      </c>
      <c r="E71" s="157">
        <v>2046.19</v>
      </c>
      <c r="F71" s="137">
        <f>C71*E71</f>
        <v>20461.900000000001</v>
      </c>
      <c r="G71" s="217"/>
    </row>
    <row r="72" spans="1:7" s="34" customFormat="1" ht="14.45">
      <c r="A72" s="59"/>
      <c r="B72" s="100"/>
      <c r="C72" s="61"/>
      <c r="D72" s="62"/>
      <c r="E72" s="157"/>
      <c r="F72" s="137"/>
      <c r="G72" s="217"/>
    </row>
    <row r="73" spans="1:7" s="34" customFormat="1" ht="110.45">
      <c r="A73" s="66"/>
      <c r="B73" s="98" t="s">
        <v>333</v>
      </c>
      <c r="C73" s="68"/>
      <c r="D73" s="69"/>
      <c r="E73" s="157"/>
      <c r="F73" s="137"/>
      <c r="G73" s="217"/>
    </row>
    <row r="74" spans="1:7" s="34" customFormat="1" ht="14.45">
      <c r="A74" s="66"/>
      <c r="B74" s="98"/>
      <c r="C74" s="68"/>
      <c r="D74" s="69"/>
      <c r="E74" s="157"/>
      <c r="F74" s="137"/>
      <c r="G74" s="217"/>
    </row>
    <row r="75" spans="1:7" s="34" customFormat="1" ht="28.9">
      <c r="A75" s="59"/>
      <c r="B75" s="230" t="s">
        <v>323</v>
      </c>
      <c r="C75" s="61"/>
      <c r="D75" s="62"/>
      <c r="E75" s="157"/>
      <c r="F75" s="137"/>
      <c r="G75" s="217"/>
    </row>
    <row r="76" spans="1:7" s="34" customFormat="1" ht="14.45">
      <c r="A76" s="71"/>
      <c r="B76" s="72"/>
      <c r="C76" s="73"/>
      <c r="D76" s="74"/>
      <c r="E76" s="159"/>
      <c r="F76" s="138"/>
      <c r="G76" s="226"/>
    </row>
    <row r="77" spans="1:7" s="34" customFormat="1" ht="14.45">
      <c r="A77" s="75"/>
      <c r="B77" s="76"/>
      <c r="C77" s="77" t="s">
        <v>30</v>
      </c>
      <c r="D77" s="77"/>
      <c r="E77" s="160" t="s">
        <v>8</v>
      </c>
      <c r="F77" s="139">
        <f>SUM(F57:F73)</f>
        <v>116072.69</v>
      </c>
      <c r="G77" s="227"/>
    </row>
    <row r="78" spans="1:7" s="34" customFormat="1" ht="14.45">
      <c r="A78" s="75"/>
      <c r="B78" s="76"/>
      <c r="C78" s="78"/>
      <c r="D78" s="79"/>
      <c r="E78" s="161"/>
      <c r="F78" s="140"/>
      <c r="G78" s="228"/>
    </row>
    <row r="79" spans="1:7" s="34" customFormat="1" ht="14.45">
      <c r="A79" s="59"/>
      <c r="B79" s="63"/>
      <c r="C79" s="61"/>
      <c r="D79" s="62"/>
      <c r="E79" s="157"/>
      <c r="F79" s="137"/>
      <c r="G79" s="217"/>
    </row>
    <row r="80" spans="1:7" s="34" customFormat="1" ht="14.45">
      <c r="A80" s="59"/>
      <c r="B80" s="64" t="s">
        <v>313</v>
      </c>
      <c r="C80" s="61"/>
      <c r="D80" s="62"/>
      <c r="E80" s="157"/>
      <c r="F80" s="137"/>
      <c r="G80" s="217"/>
    </row>
    <row r="81" spans="1:7" s="34" customFormat="1" ht="14.45">
      <c r="A81" s="59"/>
      <c r="B81" s="100"/>
      <c r="C81" s="61"/>
      <c r="D81" s="62"/>
      <c r="E81" s="157"/>
      <c r="F81" s="137"/>
      <c r="G81" s="217"/>
    </row>
    <row r="82" spans="1:7" s="34" customFormat="1" ht="14.45">
      <c r="A82" s="66" t="s">
        <v>14</v>
      </c>
      <c r="B82" s="67" t="s">
        <v>334</v>
      </c>
      <c r="C82" s="68" t="s">
        <v>335</v>
      </c>
      <c r="D82" s="69" t="s">
        <v>63</v>
      </c>
      <c r="E82" s="157">
        <v>8796.93</v>
      </c>
      <c r="F82" s="137">
        <f>C82*E82</f>
        <v>26390.79</v>
      </c>
      <c r="G82" s="217" t="s">
        <v>322</v>
      </c>
    </row>
    <row r="83" spans="1:7" s="34" customFormat="1" ht="14.45">
      <c r="A83" s="59"/>
      <c r="B83" s="100"/>
      <c r="C83" s="61"/>
      <c r="D83" s="62"/>
      <c r="E83" s="157"/>
      <c r="F83" s="137"/>
      <c r="G83" s="217"/>
    </row>
    <row r="84" spans="1:7" s="34" customFormat="1" ht="14.45">
      <c r="A84" s="66" t="s">
        <v>17</v>
      </c>
      <c r="B84" s="67" t="s">
        <v>336</v>
      </c>
      <c r="C84" s="68" t="s">
        <v>304</v>
      </c>
      <c r="D84" s="69" t="s">
        <v>16</v>
      </c>
      <c r="E84" s="157">
        <v>3067.87</v>
      </c>
      <c r="F84" s="137">
        <f>C84*E84</f>
        <v>3067.87</v>
      </c>
      <c r="G84" s="217"/>
    </row>
    <row r="85" spans="1:7" s="34" customFormat="1" ht="14.45">
      <c r="A85" s="59"/>
      <c r="B85" s="100"/>
      <c r="C85" s="61"/>
      <c r="D85" s="62"/>
      <c r="E85" s="157"/>
      <c r="F85" s="137"/>
      <c r="G85" s="217"/>
    </row>
    <row r="86" spans="1:7" s="34" customFormat="1" ht="110.45">
      <c r="A86" s="66"/>
      <c r="B86" s="98" t="s">
        <v>337</v>
      </c>
      <c r="C86" s="68"/>
      <c r="D86" s="69"/>
      <c r="E86" s="157"/>
      <c r="F86" s="137"/>
      <c r="G86" s="217"/>
    </row>
    <row r="87" spans="1:7" s="34" customFormat="1" ht="14.45">
      <c r="A87" s="59"/>
      <c r="B87" s="100"/>
      <c r="C87" s="61"/>
      <c r="D87" s="62"/>
      <c r="E87" s="157"/>
      <c r="F87" s="137"/>
      <c r="G87" s="217"/>
    </row>
    <row r="88" spans="1:7" s="34" customFormat="1" ht="27.6">
      <c r="A88" s="66" t="s">
        <v>20</v>
      </c>
      <c r="B88" s="67" t="s">
        <v>338</v>
      </c>
      <c r="C88" s="68" t="s">
        <v>339</v>
      </c>
      <c r="D88" s="69" t="s">
        <v>63</v>
      </c>
      <c r="E88" s="157">
        <v>18693.38</v>
      </c>
      <c r="F88" s="137">
        <f>C88*E88</f>
        <v>373867.60000000003</v>
      </c>
      <c r="G88" s="217" t="s">
        <v>322</v>
      </c>
    </row>
    <row r="89" spans="1:7" s="34" customFormat="1" ht="14.45">
      <c r="A89" s="59"/>
      <c r="B89" s="100"/>
      <c r="C89" s="61"/>
      <c r="D89" s="62"/>
      <c r="E89" s="157"/>
      <c r="F89" s="137"/>
      <c r="G89" s="217"/>
    </row>
    <row r="90" spans="1:7" s="34" customFormat="1" ht="41.45">
      <c r="A90" s="66"/>
      <c r="B90" s="98" t="s">
        <v>340</v>
      </c>
      <c r="C90" s="68"/>
      <c r="D90" s="69"/>
      <c r="E90" s="157"/>
      <c r="F90" s="137"/>
      <c r="G90" s="217"/>
    </row>
    <row r="91" spans="1:7" s="34" customFormat="1" ht="14.45">
      <c r="A91" s="59"/>
      <c r="B91" s="100"/>
      <c r="C91" s="61"/>
      <c r="D91" s="62"/>
      <c r="E91" s="157"/>
      <c r="F91" s="137"/>
      <c r="G91" s="217"/>
    </row>
    <row r="92" spans="1:7" s="34" customFormat="1" ht="14.45">
      <c r="A92" s="66" t="s">
        <v>23</v>
      </c>
      <c r="B92" s="67" t="s">
        <v>341</v>
      </c>
      <c r="C92" s="68">
        <v>269</v>
      </c>
      <c r="D92" s="69" t="s">
        <v>63</v>
      </c>
      <c r="E92" s="157">
        <v>613.86</v>
      </c>
      <c r="F92" s="137">
        <f>C92*E92</f>
        <v>165128.34</v>
      </c>
      <c r="G92" s="217"/>
    </row>
    <row r="93" spans="1:7" s="34" customFormat="1" ht="14.45">
      <c r="A93" s="59"/>
      <c r="B93" s="100"/>
      <c r="C93" s="61"/>
      <c r="D93" s="62"/>
      <c r="E93" s="157"/>
      <c r="F93" s="137"/>
      <c r="G93" s="217"/>
    </row>
    <row r="94" spans="1:7" s="34" customFormat="1" ht="14.45">
      <c r="A94" s="66" t="s">
        <v>27</v>
      </c>
      <c r="B94" s="67" t="s">
        <v>342</v>
      </c>
      <c r="C94" s="68">
        <v>466</v>
      </c>
      <c r="D94" s="69" t="s">
        <v>199</v>
      </c>
      <c r="E94" s="157">
        <v>214.58</v>
      </c>
      <c r="F94" s="137">
        <f>C94*E94</f>
        <v>99994.28</v>
      </c>
      <c r="G94" s="217"/>
    </row>
    <row r="95" spans="1:7" s="34" customFormat="1" ht="14.45">
      <c r="A95" s="59"/>
      <c r="B95" s="100"/>
      <c r="C95" s="61"/>
      <c r="D95" s="62"/>
      <c r="E95" s="157"/>
      <c r="F95" s="137"/>
      <c r="G95" s="217"/>
    </row>
    <row r="96" spans="1:7" s="34" customFormat="1" ht="14.45">
      <c r="A96" s="66" t="s">
        <v>44</v>
      </c>
      <c r="B96" s="67" t="s">
        <v>343</v>
      </c>
      <c r="C96" s="68">
        <v>759</v>
      </c>
      <c r="D96" s="69" t="s">
        <v>16</v>
      </c>
      <c r="E96" s="157">
        <v>213.39</v>
      </c>
      <c r="F96" s="137">
        <f>C96*E96</f>
        <v>161963.00999999998</v>
      </c>
      <c r="G96" s="217" t="s">
        <v>344</v>
      </c>
    </row>
    <row r="97" spans="1:7" s="34" customFormat="1" ht="14.45">
      <c r="A97" s="59"/>
      <c r="B97" s="100"/>
      <c r="C97" s="61"/>
      <c r="D97" s="62"/>
      <c r="E97" s="157"/>
      <c r="F97" s="137"/>
      <c r="G97" s="217"/>
    </row>
    <row r="98" spans="1:7" s="34" customFormat="1" ht="14.45">
      <c r="A98" s="66" t="s">
        <v>48</v>
      </c>
      <c r="B98" s="67" t="s">
        <v>345</v>
      </c>
      <c r="C98" s="68">
        <v>469</v>
      </c>
      <c r="D98" s="69" t="s">
        <v>16</v>
      </c>
      <c r="E98" s="157">
        <v>2439.4499999999998</v>
      </c>
      <c r="F98" s="137">
        <f>C98*E98</f>
        <v>1144102.0499999998</v>
      </c>
      <c r="G98" s="217"/>
    </row>
    <row r="99" spans="1:7" s="34" customFormat="1" ht="14.45">
      <c r="A99" s="59"/>
      <c r="B99" s="100"/>
      <c r="C99" s="61"/>
      <c r="D99" s="62"/>
      <c r="E99" s="157"/>
      <c r="F99" s="137"/>
      <c r="G99" s="217"/>
    </row>
    <row r="100" spans="1:7" s="34" customFormat="1" ht="14.45">
      <c r="A100" s="66" t="s">
        <v>84</v>
      </c>
      <c r="B100" s="67" t="s">
        <v>346</v>
      </c>
      <c r="C100" s="68">
        <v>2110</v>
      </c>
      <c r="D100" s="69" t="s">
        <v>16</v>
      </c>
      <c r="E100" s="157">
        <v>1648.89</v>
      </c>
      <c r="F100" s="137">
        <f>C100*E100</f>
        <v>3479157.9000000004</v>
      </c>
      <c r="G100" s="217"/>
    </row>
    <row r="101" spans="1:7" s="34" customFormat="1" ht="14.45">
      <c r="A101" s="59"/>
      <c r="B101" s="100"/>
      <c r="C101" s="61"/>
      <c r="D101" s="62"/>
      <c r="E101" s="157"/>
      <c r="F101" s="137"/>
      <c r="G101" s="217"/>
    </row>
    <row r="102" spans="1:7" s="34" customFormat="1" ht="14.45">
      <c r="A102" s="66" t="s">
        <v>86</v>
      </c>
      <c r="B102" s="67" t="s">
        <v>347</v>
      </c>
      <c r="C102" s="68">
        <v>269</v>
      </c>
      <c r="D102" s="69" t="s">
        <v>63</v>
      </c>
      <c r="E102" s="157">
        <v>1144.06</v>
      </c>
      <c r="F102" s="137">
        <f>C102*E102</f>
        <v>307752.14</v>
      </c>
      <c r="G102" s="217"/>
    </row>
    <row r="103" spans="1:7" s="34" customFormat="1" ht="14.45">
      <c r="A103" s="59"/>
      <c r="B103" s="100"/>
      <c r="C103" s="61"/>
      <c r="D103" s="62"/>
      <c r="E103" s="157"/>
      <c r="F103" s="137"/>
      <c r="G103" s="217"/>
    </row>
    <row r="104" spans="1:7" s="34" customFormat="1" ht="41.45">
      <c r="A104" s="66"/>
      <c r="B104" s="98" t="s">
        <v>348</v>
      </c>
      <c r="C104" s="68"/>
      <c r="D104" s="69"/>
      <c r="E104" s="157"/>
      <c r="F104" s="137"/>
      <c r="G104" s="217"/>
    </row>
    <row r="105" spans="1:7" s="34" customFormat="1" ht="14.45">
      <c r="A105" s="59"/>
      <c r="B105" s="100"/>
      <c r="C105" s="61"/>
      <c r="D105" s="62"/>
      <c r="E105" s="157"/>
      <c r="F105" s="137"/>
      <c r="G105" s="217"/>
    </row>
    <row r="106" spans="1:7" s="34" customFormat="1" ht="14.45">
      <c r="A106" s="66" t="s">
        <v>90</v>
      </c>
      <c r="B106" s="67" t="s">
        <v>349</v>
      </c>
      <c r="C106" s="68" t="s">
        <v>152</v>
      </c>
      <c r="D106" s="69" t="s">
        <v>63</v>
      </c>
      <c r="E106" s="157">
        <v>33217.14</v>
      </c>
      <c r="F106" s="137">
        <f>C106*E106</f>
        <v>66434.28</v>
      </c>
      <c r="G106" s="217"/>
    </row>
    <row r="107" spans="1:7" s="34" customFormat="1" ht="14.45">
      <c r="A107" s="59"/>
      <c r="B107" s="100"/>
      <c r="C107" s="61"/>
      <c r="D107" s="62"/>
      <c r="E107" s="157"/>
      <c r="F107" s="137"/>
      <c r="G107" s="217"/>
    </row>
    <row r="108" spans="1:7" s="34" customFormat="1" ht="14.45">
      <c r="A108" s="66" t="s">
        <v>92</v>
      </c>
      <c r="B108" s="67" t="s">
        <v>350</v>
      </c>
      <c r="C108" s="68" t="s">
        <v>304</v>
      </c>
      <c r="D108" s="69" t="s">
        <v>63</v>
      </c>
      <c r="E108" s="157">
        <v>49825.71</v>
      </c>
      <c r="F108" s="137">
        <f>C108*E108</f>
        <v>49825.71</v>
      </c>
      <c r="G108" s="217"/>
    </row>
    <row r="109" spans="1:7" s="34" customFormat="1" ht="14.45">
      <c r="A109" s="59"/>
      <c r="B109" s="100"/>
      <c r="C109" s="61"/>
      <c r="D109" s="62"/>
      <c r="E109" s="157"/>
      <c r="F109" s="137"/>
      <c r="G109" s="217"/>
    </row>
    <row r="110" spans="1:7" s="34" customFormat="1" ht="14.45">
      <c r="A110" s="66" t="s">
        <v>94</v>
      </c>
      <c r="B110" s="67" t="s">
        <v>351</v>
      </c>
      <c r="C110" s="68" t="s">
        <v>304</v>
      </c>
      <c r="D110" s="69" t="s">
        <v>63</v>
      </c>
      <c r="E110" s="157">
        <v>49825.71</v>
      </c>
      <c r="F110" s="137">
        <f>C110*E110</f>
        <v>49825.71</v>
      </c>
      <c r="G110" s="217"/>
    </row>
    <row r="111" spans="1:7" s="34" customFormat="1" ht="14.45">
      <c r="A111" s="66"/>
      <c r="B111" s="99"/>
      <c r="C111" s="68"/>
      <c r="D111" s="69"/>
      <c r="E111" s="157"/>
      <c r="F111" s="137"/>
      <c r="G111" s="217"/>
    </row>
    <row r="112" spans="1:7" s="34" customFormat="1" ht="28.9">
      <c r="A112" s="59"/>
      <c r="B112" s="230" t="s">
        <v>323</v>
      </c>
      <c r="C112" s="61"/>
      <c r="D112" s="62"/>
      <c r="E112" s="157"/>
      <c r="F112" s="137"/>
      <c r="G112" s="217"/>
    </row>
    <row r="113" spans="1:7" s="34" customFormat="1" ht="14.45">
      <c r="A113" s="71"/>
      <c r="B113" s="72"/>
      <c r="C113" s="73"/>
      <c r="D113" s="74"/>
      <c r="E113" s="159"/>
      <c r="F113" s="138"/>
      <c r="G113" s="226"/>
    </row>
    <row r="114" spans="1:7" s="34" customFormat="1" ht="14.45">
      <c r="A114" s="75"/>
      <c r="B114" s="76"/>
      <c r="C114" s="77" t="s">
        <v>30</v>
      </c>
      <c r="D114" s="77"/>
      <c r="E114" s="160" t="s">
        <v>8</v>
      </c>
      <c r="F114" s="139">
        <f>SUM(F80:F111)</f>
        <v>5927509.6799999997</v>
      </c>
      <c r="G114" s="227"/>
    </row>
    <row r="115" spans="1:7" s="34" customFormat="1" ht="14.45">
      <c r="A115" s="75"/>
      <c r="B115" s="76"/>
      <c r="C115" s="78"/>
      <c r="D115" s="79"/>
      <c r="E115" s="161"/>
      <c r="F115" s="140"/>
      <c r="G115" s="228"/>
    </row>
    <row r="116" spans="1:7" s="34" customFormat="1" ht="14.45">
      <c r="A116" s="59"/>
      <c r="B116" s="63"/>
      <c r="C116" s="61"/>
      <c r="D116" s="62"/>
      <c r="E116" s="157"/>
      <c r="F116" s="137"/>
      <c r="G116" s="217"/>
    </row>
    <row r="117" spans="1:7" s="34" customFormat="1" ht="14.45">
      <c r="A117" s="59"/>
      <c r="B117" s="64" t="s">
        <v>313</v>
      </c>
      <c r="C117" s="61"/>
      <c r="D117" s="62"/>
      <c r="E117" s="157"/>
      <c r="F117" s="137"/>
      <c r="G117" s="217"/>
    </row>
    <row r="118" spans="1:7" s="34" customFormat="1" ht="14.45">
      <c r="A118" s="59"/>
      <c r="B118" s="100"/>
      <c r="C118" s="61"/>
      <c r="D118" s="62"/>
      <c r="E118" s="157"/>
      <c r="F118" s="137"/>
      <c r="G118" s="217"/>
    </row>
    <row r="119" spans="1:7" s="34" customFormat="1" ht="55.15">
      <c r="A119" s="66"/>
      <c r="B119" s="98" t="s">
        <v>352</v>
      </c>
      <c r="C119" s="68"/>
      <c r="D119" s="69"/>
      <c r="E119" s="157"/>
      <c r="F119" s="137"/>
      <c r="G119" s="217"/>
    </row>
    <row r="120" spans="1:7" s="34" customFormat="1" ht="14.45">
      <c r="A120" s="59"/>
      <c r="B120" s="100"/>
      <c r="C120" s="61"/>
      <c r="D120" s="62"/>
      <c r="E120" s="157"/>
      <c r="F120" s="137"/>
      <c r="G120" s="217"/>
    </row>
    <row r="121" spans="1:7" s="34" customFormat="1" ht="27.6">
      <c r="A121" s="66" t="s">
        <v>14</v>
      </c>
      <c r="B121" s="67" t="s">
        <v>353</v>
      </c>
      <c r="C121" s="68" t="s">
        <v>304</v>
      </c>
      <c r="D121" s="69" t="s">
        <v>63</v>
      </c>
      <c r="E121" s="157">
        <v>26088.87</v>
      </c>
      <c r="F121" s="137">
        <f>C121*E121</f>
        <v>26088.87</v>
      </c>
      <c r="G121" s="217"/>
    </row>
    <row r="122" spans="1:7" s="34" customFormat="1" ht="14.45">
      <c r="A122" s="59"/>
      <c r="B122" s="100"/>
      <c r="C122" s="61"/>
      <c r="D122" s="62"/>
      <c r="E122" s="157"/>
      <c r="F122" s="137"/>
      <c r="G122" s="217"/>
    </row>
    <row r="123" spans="1:7" s="34" customFormat="1" ht="27.6">
      <c r="A123" s="66" t="s">
        <v>17</v>
      </c>
      <c r="B123" s="67" t="s">
        <v>354</v>
      </c>
      <c r="C123" s="68" t="s">
        <v>304</v>
      </c>
      <c r="D123" s="69" t="s">
        <v>63</v>
      </c>
      <c r="E123" s="157">
        <v>35092.089999999997</v>
      </c>
      <c r="F123" s="137">
        <f>C123*E123</f>
        <v>35092.089999999997</v>
      </c>
      <c r="G123" s="217"/>
    </row>
    <row r="124" spans="1:7" s="34" customFormat="1" ht="14.45">
      <c r="A124" s="59"/>
      <c r="B124" s="100"/>
      <c r="C124" s="61"/>
      <c r="D124" s="62"/>
      <c r="E124" s="157"/>
      <c r="F124" s="137"/>
      <c r="G124" s="217"/>
    </row>
    <row r="125" spans="1:7" s="34" customFormat="1" ht="27.6">
      <c r="A125" s="66" t="s">
        <v>20</v>
      </c>
      <c r="B125" s="67" t="s">
        <v>355</v>
      </c>
      <c r="C125" s="68" t="s">
        <v>304</v>
      </c>
      <c r="D125" s="69" t="s">
        <v>63</v>
      </c>
      <c r="E125" s="157">
        <v>10998.25</v>
      </c>
      <c r="F125" s="137">
        <f>C125*E125</f>
        <v>10998.25</v>
      </c>
      <c r="G125" s="217"/>
    </row>
    <row r="126" spans="1:7" s="34" customFormat="1" ht="14.45">
      <c r="A126" s="59"/>
      <c r="B126" s="100"/>
      <c r="C126" s="61"/>
      <c r="D126" s="62"/>
      <c r="E126" s="157"/>
      <c r="F126" s="137"/>
      <c r="G126" s="217"/>
    </row>
    <row r="127" spans="1:7" s="34" customFormat="1" ht="55.15">
      <c r="A127" s="66"/>
      <c r="B127" s="98" t="s">
        <v>356</v>
      </c>
      <c r="C127" s="68"/>
      <c r="D127" s="69"/>
      <c r="E127" s="157"/>
      <c r="F127" s="137"/>
      <c r="G127" s="217"/>
    </row>
    <row r="128" spans="1:7" s="34" customFormat="1" ht="14.45">
      <c r="A128" s="59"/>
      <c r="B128" s="100"/>
      <c r="C128" s="61"/>
      <c r="D128" s="62"/>
      <c r="E128" s="157"/>
      <c r="F128" s="137"/>
      <c r="G128" s="217"/>
    </row>
    <row r="129" spans="1:7" s="34" customFormat="1" ht="14.45">
      <c r="A129" s="66" t="s">
        <v>23</v>
      </c>
      <c r="B129" s="67" t="s">
        <v>357</v>
      </c>
      <c r="C129" s="68" t="s">
        <v>62</v>
      </c>
      <c r="D129" s="69" t="s">
        <v>63</v>
      </c>
      <c r="E129" s="157">
        <v>4092.37</v>
      </c>
      <c r="F129" s="137">
        <f>C129*E129</f>
        <v>20461.849999999999</v>
      </c>
      <c r="G129" s="217"/>
    </row>
    <row r="130" spans="1:7" s="34" customFormat="1" ht="14.45">
      <c r="A130" s="59"/>
      <c r="B130" s="100"/>
      <c r="C130" s="61"/>
      <c r="D130" s="62"/>
      <c r="E130" s="157"/>
      <c r="F130" s="137"/>
      <c r="G130" s="217"/>
    </row>
    <row r="131" spans="1:7" s="34" customFormat="1" ht="55.15">
      <c r="A131" s="66"/>
      <c r="B131" s="98" t="s">
        <v>358</v>
      </c>
      <c r="C131" s="68"/>
      <c r="D131" s="69"/>
      <c r="E131" s="157"/>
      <c r="F131" s="137"/>
      <c r="G131" s="217"/>
    </row>
    <row r="132" spans="1:7" s="34" customFormat="1" ht="13.15" customHeight="1">
      <c r="A132" s="59"/>
      <c r="B132" s="100"/>
      <c r="C132" s="61"/>
      <c r="D132" s="62"/>
      <c r="E132" s="157"/>
      <c r="F132" s="137"/>
      <c r="G132" s="217"/>
    </row>
    <row r="133" spans="1:7" s="34" customFormat="1" ht="14.45">
      <c r="A133" s="66" t="s">
        <v>27</v>
      </c>
      <c r="B133" s="67" t="s">
        <v>359</v>
      </c>
      <c r="C133" s="68" t="s">
        <v>304</v>
      </c>
      <c r="D133" s="69" t="s">
        <v>63</v>
      </c>
      <c r="E133" s="157">
        <v>3069.28</v>
      </c>
      <c r="F133" s="137">
        <f>C133*E133</f>
        <v>3069.28</v>
      </c>
      <c r="G133" s="217"/>
    </row>
    <row r="134" spans="1:7" s="34" customFormat="1" ht="13.15" customHeight="1">
      <c r="A134" s="59"/>
      <c r="B134" s="100"/>
      <c r="C134" s="61"/>
      <c r="D134" s="62"/>
      <c r="E134" s="157"/>
      <c r="F134" s="137"/>
      <c r="G134" s="217"/>
    </row>
    <row r="135" spans="1:7" s="34" customFormat="1" ht="14.45">
      <c r="A135" s="66" t="s">
        <v>44</v>
      </c>
      <c r="B135" s="67" t="s">
        <v>360</v>
      </c>
      <c r="C135" s="68" t="s">
        <v>304</v>
      </c>
      <c r="D135" s="69" t="s">
        <v>63</v>
      </c>
      <c r="E135" s="157">
        <v>3683.13</v>
      </c>
      <c r="F135" s="137">
        <f>C135*E135</f>
        <v>3683.13</v>
      </c>
      <c r="G135" s="217"/>
    </row>
    <row r="136" spans="1:7" s="34" customFormat="1" ht="13.15" customHeight="1">
      <c r="A136" s="59"/>
      <c r="B136" s="100"/>
      <c r="C136" s="61"/>
      <c r="D136" s="62"/>
      <c r="E136" s="157"/>
      <c r="F136" s="137"/>
      <c r="G136" s="217"/>
    </row>
    <row r="137" spans="1:7" s="34" customFormat="1" ht="14.45">
      <c r="A137" s="66" t="s">
        <v>48</v>
      </c>
      <c r="B137" s="67" t="s">
        <v>361</v>
      </c>
      <c r="C137" s="68" t="s">
        <v>304</v>
      </c>
      <c r="D137" s="69" t="s">
        <v>63</v>
      </c>
      <c r="E137" s="157">
        <v>4501.6099999999997</v>
      </c>
      <c r="F137" s="137">
        <f>C137*E137</f>
        <v>4501.6099999999997</v>
      </c>
      <c r="G137" s="217"/>
    </row>
    <row r="138" spans="1:7" s="34" customFormat="1" ht="13.15" customHeight="1">
      <c r="A138" s="59"/>
      <c r="B138" s="100"/>
      <c r="C138" s="61"/>
      <c r="D138" s="62"/>
      <c r="E138" s="157"/>
      <c r="F138" s="137"/>
      <c r="G138" s="217"/>
    </row>
    <row r="139" spans="1:7" s="34" customFormat="1" ht="14.45">
      <c r="A139" s="66" t="s">
        <v>84</v>
      </c>
      <c r="B139" s="67" t="s">
        <v>362</v>
      </c>
      <c r="C139" s="68" t="s">
        <v>304</v>
      </c>
      <c r="D139" s="69" t="s">
        <v>63</v>
      </c>
      <c r="E139" s="157">
        <v>4910.8500000000004</v>
      </c>
      <c r="F139" s="137">
        <f>C139*E139</f>
        <v>4910.8500000000004</v>
      </c>
      <c r="G139" s="217"/>
    </row>
    <row r="140" spans="1:7" s="34" customFormat="1" ht="13.15" customHeight="1">
      <c r="A140" s="59"/>
      <c r="B140" s="100"/>
      <c r="C140" s="61"/>
      <c r="D140" s="62"/>
      <c r="E140" s="157"/>
      <c r="F140" s="137"/>
      <c r="G140" s="217"/>
    </row>
    <row r="141" spans="1:7" s="34" customFormat="1" ht="14.45">
      <c r="A141" s="66" t="s">
        <v>86</v>
      </c>
      <c r="B141" s="67" t="s">
        <v>363</v>
      </c>
      <c r="C141" s="68" t="s">
        <v>304</v>
      </c>
      <c r="D141" s="69" t="s">
        <v>63</v>
      </c>
      <c r="E141" s="157">
        <v>2455.42</v>
      </c>
      <c r="F141" s="137">
        <f>C141*E141</f>
        <v>2455.42</v>
      </c>
      <c r="G141" s="217"/>
    </row>
    <row r="142" spans="1:7" s="34" customFormat="1" ht="13.15" customHeight="1">
      <c r="A142" s="59"/>
      <c r="B142" s="100"/>
      <c r="C142" s="61"/>
      <c r="D142" s="62"/>
      <c r="E142" s="157"/>
      <c r="F142" s="137"/>
      <c r="G142" s="217"/>
    </row>
    <row r="143" spans="1:7" s="34" customFormat="1" ht="14.45">
      <c r="A143" s="66" t="s">
        <v>90</v>
      </c>
      <c r="B143" s="67" t="s">
        <v>364</v>
      </c>
      <c r="C143" s="68" t="s">
        <v>304</v>
      </c>
      <c r="D143" s="69" t="s">
        <v>63</v>
      </c>
      <c r="E143" s="157">
        <v>3325.05</v>
      </c>
      <c r="F143" s="137">
        <f>C143*E143</f>
        <v>3325.05</v>
      </c>
      <c r="G143" s="217"/>
    </row>
    <row r="144" spans="1:7" s="34" customFormat="1" ht="13.15" customHeight="1">
      <c r="A144" s="59"/>
      <c r="B144" s="100"/>
      <c r="C144" s="61"/>
      <c r="D144" s="62"/>
      <c r="E144" s="157"/>
      <c r="F144" s="137"/>
      <c r="G144" s="217"/>
    </row>
    <row r="145" spans="1:7" s="34" customFormat="1" ht="14.45">
      <c r="A145" s="66" t="s">
        <v>92</v>
      </c>
      <c r="B145" s="67" t="s">
        <v>365</v>
      </c>
      <c r="C145" s="68" t="s">
        <v>304</v>
      </c>
      <c r="D145" s="69" t="s">
        <v>63</v>
      </c>
      <c r="E145" s="157">
        <v>4706.2299999999996</v>
      </c>
      <c r="F145" s="137">
        <f>C145*E145</f>
        <v>4706.2299999999996</v>
      </c>
      <c r="G145" s="217"/>
    </row>
    <row r="146" spans="1:7" s="34" customFormat="1" ht="13.15" customHeight="1">
      <c r="A146" s="59"/>
      <c r="B146" s="100"/>
      <c r="C146" s="61"/>
      <c r="D146" s="62"/>
      <c r="E146" s="157"/>
      <c r="F146" s="137"/>
      <c r="G146" s="217"/>
    </row>
    <row r="147" spans="1:7" s="34" customFormat="1" ht="14.45">
      <c r="A147" s="66" t="s">
        <v>94</v>
      </c>
      <c r="B147" s="67" t="s">
        <v>366</v>
      </c>
      <c r="C147" s="68" t="s">
        <v>304</v>
      </c>
      <c r="D147" s="69" t="s">
        <v>63</v>
      </c>
      <c r="E147" s="157">
        <v>5933.94</v>
      </c>
      <c r="F147" s="137">
        <f>C147*E147</f>
        <v>5933.94</v>
      </c>
      <c r="G147" s="217"/>
    </row>
    <row r="148" spans="1:7" s="34" customFormat="1" ht="13.15" customHeight="1">
      <c r="A148" s="59"/>
      <c r="B148" s="100"/>
      <c r="C148" s="61"/>
      <c r="D148" s="62"/>
      <c r="E148" s="157"/>
      <c r="F148" s="137"/>
      <c r="G148" s="217"/>
    </row>
    <row r="149" spans="1:7" s="34" customFormat="1" ht="14.45">
      <c r="A149" s="66" t="s">
        <v>140</v>
      </c>
      <c r="B149" s="67" t="s">
        <v>367</v>
      </c>
      <c r="C149" s="68" t="s">
        <v>304</v>
      </c>
      <c r="D149" s="69" t="s">
        <v>63</v>
      </c>
      <c r="E149" s="157">
        <v>3990.06</v>
      </c>
      <c r="F149" s="137">
        <f>C149*E149</f>
        <v>3990.06</v>
      </c>
      <c r="G149" s="217"/>
    </row>
    <row r="150" spans="1:7" s="34" customFormat="1" ht="14.45">
      <c r="A150" s="59"/>
      <c r="B150" s="63"/>
      <c r="C150" s="61"/>
      <c r="D150" s="62"/>
      <c r="E150" s="157"/>
      <c r="F150" s="137"/>
      <c r="G150" s="217"/>
    </row>
    <row r="151" spans="1:7" s="34" customFormat="1" ht="14.45">
      <c r="A151" s="71"/>
      <c r="B151" s="72"/>
      <c r="C151" s="73"/>
      <c r="D151" s="74"/>
      <c r="E151" s="159"/>
      <c r="F151" s="138"/>
      <c r="G151" s="226"/>
    </row>
    <row r="152" spans="1:7" s="34" customFormat="1" ht="14.45">
      <c r="A152" s="75"/>
      <c r="B152" s="76"/>
      <c r="C152" s="77" t="s">
        <v>30</v>
      </c>
      <c r="D152" s="77"/>
      <c r="E152" s="160" t="s">
        <v>8</v>
      </c>
      <c r="F152" s="139">
        <f>SUM(F119:F149)</f>
        <v>129216.63</v>
      </c>
      <c r="G152" s="227"/>
    </row>
    <row r="153" spans="1:7" s="34" customFormat="1" ht="14.45">
      <c r="A153" s="75"/>
      <c r="B153" s="76"/>
      <c r="C153" s="78"/>
      <c r="D153" s="79"/>
      <c r="E153" s="161"/>
      <c r="F153" s="140"/>
      <c r="G153" s="228"/>
    </row>
    <row r="154" spans="1:7" s="34" customFormat="1" ht="14.45">
      <c r="A154" s="59"/>
      <c r="B154" s="63"/>
      <c r="C154" s="61"/>
      <c r="D154" s="62"/>
      <c r="E154" s="157"/>
      <c r="F154" s="137"/>
      <c r="G154" s="217"/>
    </row>
    <row r="155" spans="1:7" s="34" customFormat="1" ht="14.45">
      <c r="A155" s="59"/>
      <c r="B155" s="64" t="s">
        <v>313</v>
      </c>
      <c r="C155" s="61"/>
      <c r="D155" s="62"/>
      <c r="E155" s="157"/>
      <c r="F155" s="137"/>
      <c r="G155" s="217"/>
    </row>
    <row r="156" spans="1:7" s="34" customFormat="1" ht="14.45">
      <c r="A156" s="59"/>
      <c r="B156" s="100"/>
      <c r="C156" s="61"/>
      <c r="D156" s="62"/>
      <c r="E156" s="157"/>
      <c r="F156" s="137"/>
      <c r="G156" s="217"/>
    </row>
    <row r="157" spans="1:7" s="34" customFormat="1" ht="14.45">
      <c r="A157" s="66" t="s">
        <v>14</v>
      </c>
      <c r="B157" s="67" t="s">
        <v>368</v>
      </c>
      <c r="C157" s="68" t="s">
        <v>304</v>
      </c>
      <c r="D157" s="69" t="s">
        <v>63</v>
      </c>
      <c r="E157" s="157">
        <v>3990.06</v>
      </c>
      <c r="F157" s="137">
        <f>C157*E157</f>
        <v>3990.06</v>
      </c>
      <c r="G157" s="217"/>
    </row>
    <row r="158" spans="1:7" s="34" customFormat="1" ht="14.45">
      <c r="A158" s="59"/>
      <c r="B158" s="100"/>
      <c r="C158" s="61"/>
      <c r="D158" s="62"/>
      <c r="E158" s="157"/>
      <c r="F158" s="137"/>
      <c r="G158" s="217"/>
    </row>
    <row r="159" spans="1:7" s="34" customFormat="1" ht="14.45">
      <c r="A159" s="66" t="s">
        <v>17</v>
      </c>
      <c r="B159" s="67" t="s">
        <v>369</v>
      </c>
      <c r="C159" s="68" t="s">
        <v>304</v>
      </c>
      <c r="D159" s="69" t="s">
        <v>63</v>
      </c>
      <c r="E159" s="157">
        <v>6547.8</v>
      </c>
      <c r="F159" s="137">
        <f>C159*E159</f>
        <v>6547.8</v>
      </c>
      <c r="G159" s="217"/>
    </row>
    <row r="160" spans="1:7" s="34" customFormat="1" ht="14.45">
      <c r="A160" s="59"/>
      <c r="B160" s="100"/>
      <c r="C160" s="61"/>
      <c r="D160" s="62"/>
      <c r="E160" s="157"/>
      <c r="F160" s="137"/>
      <c r="G160" s="217"/>
    </row>
    <row r="161" spans="1:7" s="34" customFormat="1" ht="82.9">
      <c r="A161" s="66"/>
      <c r="B161" s="98" t="s">
        <v>370</v>
      </c>
      <c r="C161" s="68"/>
      <c r="D161" s="69"/>
      <c r="E161" s="157"/>
      <c r="F161" s="137"/>
      <c r="G161" s="217"/>
    </row>
    <row r="162" spans="1:7" s="34" customFormat="1" ht="14.45">
      <c r="A162" s="59"/>
      <c r="B162" s="100"/>
      <c r="C162" s="61"/>
      <c r="D162" s="62"/>
      <c r="E162" s="157"/>
      <c r="F162" s="137"/>
      <c r="G162" s="217"/>
    </row>
    <row r="163" spans="1:7" s="34" customFormat="1" ht="27.6">
      <c r="A163" s="66" t="s">
        <v>20</v>
      </c>
      <c r="B163" s="67" t="s">
        <v>371</v>
      </c>
      <c r="C163" s="68" t="s">
        <v>304</v>
      </c>
      <c r="D163" s="69" t="s">
        <v>63</v>
      </c>
      <c r="E163" s="157">
        <v>8760.2800000000007</v>
      </c>
      <c r="F163" s="137">
        <f>C163*E163</f>
        <v>8760.2800000000007</v>
      </c>
      <c r="G163" s="217"/>
    </row>
    <row r="164" spans="1:7" s="34" customFormat="1" ht="14.45">
      <c r="A164" s="59"/>
      <c r="B164" s="100"/>
      <c r="C164" s="61"/>
      <c r="D164" s="62"/>
      <c r="E164" s="157"/>
      <c r="F164" s="137"/>
      <c r="G164" s="217"/>
    </row>
    <row r="165" spans="1:7" s="34" customFormat="1" ht="27.6">
      <c r="A165" s="66" t="s">
        <v>23</v>
      </c>
      <c r="B165" s="67" t="s">
        <v>372</v>
      </c>
      <c r="C165" s="68" t="s">
        <v>304</v>
      </c>
      <c r="D165" s="69" t="s">
        <v>63</v>
      </c>
      <c r="E165" s="157">
        <v>8760.2800000000007</v>
      </c>
      <c r="F165" s="137">
        <f>C165*E165</f>
        <v>8760.2800000000007</v>
      </c>
      <c r="G165" s="217"/>
    </row>
    <row r="166" spans="1:7" s="34" customFormat="1" ht="14.45">
      <c r="A166" s="59"/>
      <c r="B166" s="100"/>
      <c r="C166" s="61"/>
      <c r="D166" s="62"/>
      <c r="E166" s="157"/>
      <c r="F166" s="137"/>
      <c r="G166" s="217"/>
    </row>
    <row r="167" spans="1:7" s="34" customFormat="1" ht="27.6">
      <c r="A167" s="66" t="s">
        <v>27</v>
      </c>
      <c r="B167" s="67" t="s">
        <v>373</v>
      </c>
      <c r="C167" s="68" t="s">
        <v>304</v>
      </c>
      <c r="D167" s="69" t="s">
        <v>63</v>
      </c>
      <c r="E167" s="157">
        <v>8865.2199999999993</v>
      </c>
      <c r="F167" s="137">
        <f>C167*E167</f>
        <v>8865.2199999999993</v>
      </c>
      <c r="G167" s="217"/>
    </row>
    <row r="168" spans="1:7" s="34" customFormat="1" ht="14.45">
      <c r="A168" s="59"/>
      <c r="B168" s="100"/>
      <c r="C168" s="61"/>
      <c r="D168" s="62"/>
      <c r="E168" s="157"/>
      <c r="F168" s="137"/>
      <c r="G168" s="217"/>
    </row>
    <row r="169" spans="1:7" s="34" customFormat="1" ht="27.6">
      <c r="A169" s="66" t="s">
        <v>44</v>
      </c>
      <c r="B169" s="67" t="s">
        <v>374</v>
      </c>
      <c r="C169" s="68" t="s">
        <v>304</v>
      </c>
      <c r="D169" s="69" t="s">
        <v>63</v>
      </c>
      <c r="E169" s="157">
        <v>8913.68</v>
      </c>
      <c r="F169" s="137">
        <f>C169*E169</f>
        <v>8913.68</v>
      </c>
      <c r="G169" s="217"/>
    </row>
    <row r="170" spans="1:7" s="34" customFormat="1" ht="14.45">
      <c r="A170" s="59"/>
      <c r="B170" s="100"/>
      <c r="C170" s="61"/>
      <c r="D170" s="62"/>
      <c r="E170" s="157"/>
      <c r="F170" s="137"/>
      <c r="G170" s="217"/>
    </row>
    <row r="171" spans="1:7" s="34" customFormat="1" ht="27.6">
      <c r="A171" s="66" t="s">
        <v>48</v>
      </c>
      <c r="B171" s="67" t="s">
        <v>375</v>
      </c>
      <c r="C171" s="68" t="s">
        <v>304</v>
      </c>
      <c r="D171" s="69" t="s">
        <v>63</v>
      </c>
      <c r="E171" s="157">
        <v>8970.15</v>
      </c>
      <c r="F171" s="137">
        <f>C171*E171</f>
        <v>8970.15</v>
      </c>
      <c r="G171" s="217"/>
    </row>
    <row r="172" spans="1:7" s="34" customFormat="1" ht="14.45">
      <c r="A172" s="59"/>
      <c r="B172" s="100"/>
      <c r="C172" s="61"/>
      <c r="D172" s="62"/>
      <c r="E172" s="157"/>
      <c r="F172" s="137"/>
      <c r="G172" s="217"/>
    </row>
    <row r="173" spans="1:7" s="34" customFormat="1" ht="27.6">
      <c r="A173" s="66" t="s">
        <v>84</v>
      </c>
      <c r="B173" s="67" t="s">
        <v>376</v>
      </c>
      <c r="C173" s="68" t="s">
        <v>325</v>
      </c>
      <c r="D173" s="69" t="s">
        <v>63</v>
      </c>
      <c r="E173" s="157">
        <v>9608.16</v>
      </c>
      <c r="F173" s="137">
        <f>C173*E173</f>
        <v>67257.119999999995</v>
      </c>
      <c r="G173" s="217"/>
    </row>
    <row r="174" spans="1:7" s="34" customFormat="1" ht="14.45">
      <c r="A174" s="59"/>
      <c r="B174" s="100"/>
      <c r="C174" s="61"/>
      <c r="D174" s="62"/>
      <c r="E174" s="157"/>
      <c r="F174" s="137"/>
      <c r="G174" s="217"/>
    </row>
    <row r="175" spans="1:7" s="34" customFormat="1" ht="27.6">
      <c r="A175" s="66" t="s">
        <v>86</v>
      </c>
      <c r="B175" s="67" t="s">
        <v>377</v>
      </c>
      <c r="C175" s="68" t="s">
        <v>335</v>
      </c>
      <c r="D175" s="69" t="s">
        <v>63</v>
      </c>
      <c r="E175" s="157">
        <v>10019.879999999999</v>
      </c>
      <c r="F175" s="137">
        <f>C175*E175</f>
        <v>30059.64</v>
      </c>
      <c r="G175" s="217"/>
    </row>
    <row r="176" spans="1:7" s="34" customFormat="1" ht="14.45">
      <c r="A176" s="59"/>
      <c r="B176" s="100"/>
      <c r="C176" s="61"/>
      <c r="D176" s="62"/>
      <c r="E176" s="157"/>
      <c r="F176" s="137"/>
      <c r="G176" s="217"/>
    </row>
    <row r="177" spans="1:7" s="34" customFormat="1" ht="27.6">
      <c r="A177" s="66" t="s">
        <v>90</v>
      </c>
      <c r="B177" s="67" t="s">
        <v>378</v>
      </c>
      <c r="C177" s="68" t="s">
        <v>335</v>
      </c>
      <c r="D177" s="69" t="s">
        <v>63</v>
      </c>
      <c r="E177" s="157">
        <v>10722.37</v>
      </c>
      <c r="F177" s="137">
        <f>C177*E177</f>
        <v>32167.11</v>
      </c>
      <c r="G177" s="217"/>
    </row>
    <row r="178" spans="1:7" s="34" customFormat="1" ht="14.45">
      <c r="A178" s="59"/>
      <c r="B178" s="100"/>
      <c r="C178" s="61"/>
      <c r="D178" s="62"/>
      <c r="E178" s="157"/>
      <c r="F178" s="137"/>
      <c r="G178" s="217"/>
    </row>
    <row r="179" spans="1:7" s="34" customFormat="1" ht="27.6">
      <c r="A179" s="66" t="s">
        <v>92</v>
      </c>
      <c r="B179" s="67" t="s">
        <v>379</v>
      </c>
      <c r="C179" s="68" t="s">
        <v>152</v>
      </c>
      <c r="D179" s="69" t="s">
        <v>63</v>
      </c>
      <c r="E179" s="157">
        <v>12402.12</v>
      </c>
      <c r="F179" s="137">
        <f>C179*E179</f>
        <v>24804.240000000002</v>
      </c>
      <c r="G179" s="217"/>
    </row>
    <row r="180" spans="1:7" s="34" customFormat="1" ht="14.45">
      <c r="A180" s="59"/>
      <c r="B180" s="100"/>
      <c r="C180" s="61"/>
      <c r="D180" s="62"/>
      <c r="E180" s="157"/>
      <c r="F180" s="137"/>
      <c r="G180" s="217"/>
    </row>
    <row r="181" spans="1:7" s="34" customFormat="1" ht="27.6">
      <c r="A181" s="66" t="s">
        <v>94</v>
      </c>
      <c r="B181" s="67" t="s">
        <v>380</v>
      </c>
      <c r="C181" s="68" t="s">
        <v>304</v>
      </c>
      <c r="D181" s="69" t="s">
        <v>63</v>
      </c>
      <c r="E181" s="157">
        <v>12563.52</v>
      </c>
      <c r="F181" s="137">
        <f>C181*E181</f>
        <v>12563.52</v>
      </c>
      <c r="G181" s="217"/>
    </row>
    <row r="182" spans="1:7" s="34" customFormat="1" ht="14.45">
      <c r="A182" s="59"/>
      <c r="B182" s="100"/>
      <c r="C182" s="61"/>
      <c r="D182" s="62"/>
      <c r="E182" s="157"/>
      <c r="F182" s="137"/>
      <c r="G182" s="217"/>
    </row>
    <row r="183" spans="1:7" s="34" customFormat="1" ht="27.6">
      <c r="A183" s="66" t="s">
        <v>140</v>
      </c>
      <c r="B183" s="67" t="s">
        <v>381</v>
      </c>
      <c r="C183" s="68" t="s">
        <v>304</v>
      </c>
      <c r="D183" s="69" t="s">
        <v>63</v>
      </c>
      <c r="E183" s="157">
        <v>12902.75</v>
      </c>
      <c r="F183" s="137">
        <f>C183*E183</f>
        <v>12902.75</v>
      </c>
      <c r="G183" s="217"/>
    </row>
    <row r="184" spans="1:7" s="34" customFormat="1" ht="14.45">
      <c r="A184" s="71"/>
      <c r="B184" s="72"/>
      <c r="C184" s="73"/>
      <c r="D184" s="74"/>
      <c r="E184" s="159"/>
      <c r="F184" s="138"/>
      <c r="G184" s="226"/>
    </row>
    <row r="185" spans="1:7" s="34" customFormat="1" ht="14.45">
      <c r="A185" s="75"/>
      <c r="B185" s="76"/>
      <c r="C185" s="77" t="s">
        <v>30</v>
      </c>
      <c r="D185" s="77"/>
      <c r="E185" s="160" t="s">
        <v>8</v>
      </c>
      <c r="F185" s="139">
        <f>SUM(F155:F183)</f>
        <v>234561.84999999995</v>
      </c>
      <c r="G185" s="227"/>
    </row>
    <row r="186" spans="1:7" s="34" customFormat="1" ht="14.45">
      <c r="A186" s="75"/>
      <c r="B186" s="76"/>
      <c r="C186" s="78"/>
      <c r="D186" s="79"/>
      <c r="E186" s="161"/>
      <c r="F186" s="140"/>
      <c r="G186" s="228"/>
    </row>
    <row r="187" spans="1:7" s="34" customFormat="1" ht="14.45">
      <c r="A187" s="59"/>
      <c r="B187" s="63"/>
      <c r="C187" s="61"/>
      <c r="D187" s="62"/>
      <c r="E187" s="157"/>
      <c r="F187" s="137"/>
      <c r="G187" s="217"/>
    </row>
    <row r="188" spans="1:7" s="34" customFormat="1" ht="14.45">
      <c r="A188" s="59"/>
      <c r="B188" s="64" t="s">
        <v>313</v>
      </c>
      <c r="C188" s="61"/>
      <c r="D188" s="62"/>
      <c r="E188" s="157"/>
      <c r="F188" s="137"/>
      <c r="G188" s="217"/>
    </row>
    <row r="189" spans="1:7" s="34" customFormat="1" ht="14.45">
      <c r="A189" s="59"/>
      <c r="B189" s="100"/>
      <c r="C189" s="61"/>
      <c r="D189" s="62"/>
      <c r="E189" s="157"/>
      <c r="F189" s="137"/>
      <c r="G189" s="217"/>
    </row>
    <row r="190" spans="1:7" s="34" customFormat="1" ht="27.6">
      <c r="A190" s="66" t="s">
        <v>14</v>
      </c>
      <c r="B190" s="67" t="s">
        <v>382</v>
      </c>
      <c r="C190" s="68" t="s">
        <v>335</v>
      </c>
      <c r="D190" s="69" t="s">
        <v>63</v>
      </c>
      <c r="E190" s="157">
        <v>14808.37</v>
      </c>
      <c r="F190" s="137">
        <f>C190*E190</f>
        <v>44425.11</v>
      </c>
      <c r="G190" s="217"/>
    </row>
    <row r="191" spans="1:7" s="34" customFormat="1" ht="14.45">
      <c r="A191" s="59"/>
      <c r="B191" s="100"/>
      <c r="C191" s="61"/>
      <c r="D191" s="62"/>
      <c r="E191" s="157"/>
      <c r="F191" s="137"/>
      <c r="G191" s="217"/>
    </row>
    <row r="192" spans="1:7" s="34" customFormat="1" ht="82.9">
      <c r="A192" s="66"/>
      <c r="B192" s="98" t="s">
        <v>383</v>
      </c>
      <c r="C192" s="68"/>
      <c r="D192" s="69"/>
      <c r="E192" s="157"/>
      <c r="F192" s="137"/>
      <c r="G192" s="217"/>
    </row>
    <row r="193" spans="1:7" s="34" customFormat="1" ht="14.45">
      <c r="A193" s="59"/>
      <c r="B193" s="100"/>
      <c r="C193" s="61"/>
      <c r="D193" s="62"/>
      <c r="E193" s="157"/>
      <c r="F193" s="137"/>
      <c r="G193" s="217"/>
    </row>
    <row r="194" spans="1:7" s="34" customFormat="1" ht="27.6">
      <c r="A194" s="66" t="s">
        <v>17</v>
      </c>
      <c r="B194" s="67" t="s">
        <v>384</v>
      </c>
      <c r="C194" s="68" t="s">
        <v>335</v>
      </c>
      <c r="D194" s="69" t="s">
        <v>63</v>
      </c>
      <c r="E194" s="157">
        <v>9269.35</v>
      </c>
      <c r="F194" s="137">
        <f>C194*E194</f>
        <v>27808.050000000003</v>
      </c>
      <c r="G194" s="217"/>
    </row>
    <row r="195" spans="1:7" s="34" customFormat="1" ht="14.45">
      <c r="A195" s="59"/>
      <c r="B195" s="100"/>
      <c r="C195" s="61"/>
      <c r="D195" s="62"/>
      <c r="E195" s="157"/>
      <c r="F195" s="137"/>
      <c r="G195" s="217"/>
    </row>
    <row r="196" spans="1:7" s="34" customFormat="1" ht="27.6">
      <c r="A196" s="66" t="s">
        <v>20</v>
      </c>
      <c r="B196" s="67" t="s">
        <v>385</v>
      </c>
      <c r="C196" s="68" t="s">
        <v>335</v>
      </c>
      <c r="D196" s="69" t="s">
        <v>63</v>
      </c>
      <c r="E196" s="157">
        <v>9866.91</v>
      </c>
      <c r="F196" s="137">
        <f>C196*E196</f>
        <v>29600.73</v>
      </c>
      <c r="G196" s="217"/>
    </row>
    <row r="197" spans="1:7" s="34" customFormat="1" ht="14.45">
      <c r="A197" s="59"/>
      <c r="B197" s="100"/>
      <c r="C197" s="61"/>
      <c r="D197" s="62"/>
      <c r="E197" s="157"/>
      <c r="F197" s="137"/>
      <c r="G197" s="217"/>
    </row>
    <row r="198" spans="1:7" s="34" customFormat="1" ht="27.6">
      <c r="A198" s="66" t="s">
        <v>23</v>
      </c>
      <c r="B198" s="67" t="s">
        <v>386</v>
      </c>
      <c r="C198" s="68" t="s">
        <v>62</v>
      </c>
      <c r="D198" s="69" t="s">
        <v>63</v>
      </c>
      <c r="E198" s="157">
        <v>10577.41</v>
      </c>
      <c r="F198" s="137">
        <f>C198*E198</f>
        <v>52887.05</v>
      </c>
      <c r="G198" s="217"/>
    </row>
    <row r="199" spans="1:7" s="34" customFormat="1" ht="14.45">
      <c r="A199" s="59"/>
      <c r="B199" s="100"/>
      <c r="C199" s="61"/>
      <c r="D199" s="62"/>
      <c r="E199" s="157"/>
      <c r="F199" s="137"/>
      <c r="G199" s="217"/>
    </row>
    <row r="200" spans="1:7" s="34" customFormat="1" ht="41.45">
      <c r="A200" s="66"/>
      <c r="B200" s="98" t="s">
        <v>387</v>
      </c>
      <c r="C200" s="68"/>
      <c r="D200" s="69"/>
      <c r="E200" s="157"/>
      <c r="F200" s="137"/>
      <c r="G200" s="217"/>
    </row>
    <row r="201" spans="1:7" s="34" customFormat="1" ht="14.45">
      <c r="A201" s="59"/>
      <c r="B201" s="100"/>
      <c r="C201" s="61"/>
      <c r="D201" s="62"/>
      <c r="E201" s="157"/>
      <c r="F201" s="137"/>
      <c r="G201" s="217"/>
    </row>
    <row r="202" spans="1:7" s="34" customFormat="1" ht="27.6">
      <c r="A202" s="66" t="s">
        <v>27</v>
      </c>
      <c r="B202" s="67" t="s">
        <v>388</v>
      </c>
      <c r="C202" s="68" t="s">
        <v>152</v>
      </c>
      <c r="D202" s="69" t="s">
        <v>63</v>
      </c>
      <c r="E202" s="157">
        <v>7161.65</v>
      </c>
      <c r="F202" s="137">
        <f>C202*E202</f>
        <v>14323.3</v>
      </c>
      <c r="G202" s="217"/>
    </row>
    <row r="203" spans="1:7" s="34" customFormat="1" ht="14.45">
      <c r="A203" s="59"/>
      <c r="B203" s="100"/>
      <c r="C203" s="61"/>
      <c r="D203" s="62"/>
      <c r="E203" s="157"/>
      <c r="F203" s="137"/>
      <c r="G203" s="217"/>
    </row>
    <row r="204" spans="1:7" s="34" customFormat="1" ht="27.6">
      <c r="A204" s="66" t="s">
        <v>44</v>
      </c>
      <c r="B204" s="67" t="s">
        <v>389</v>
      </c>
      <c r="C204" s="68" t="s">
        <v>152</v>
      </c>
      <c r="D204" s="69" t="s">
        <v>63</v>
      </c>
      <c r="E204" s="157">
        <v>8184.74</v>
      </c>
      <c r="F204" s="137">
        <f>C204*E204</f>
        <v>16369.48</v>
      </c>
      <c r="G204" s="217"/>
    </row>
    <row r="205" spans="1:7" s="34" customFormat="1" ht="14.45">
      <c r="A205" s="59"/>
      <c r="B205" s="100"/>
      <c r="C205" s="61"/>
      <c r="D205" s="62"/>
      <c r="E205" s="157"/>
      <c r="F205" s="137"/>
      <c r="G205" s="217"/>
    </row>
    <row r="206" spans="1:7" s="34" customFormat="1" ht="27.6">
      <c r="A206" s="66" t="s">
        <v>48</v>
      </c>
      <c r="B206" s="67" t="s">
        <v>390</v>
      </c>
      <c r="C206" s="68" t="s">
        <v>152</v>
      </c>
      <c r="D206" s="69" t="s">
        <v>63</v>
      </c>
      <c r="E206" s="157">
        <v>8696.2900000000009</v>
      </c>
      <c r="F206" s="137">
        <f>C206*E206</f>
        <v>17392.580000000002</v>
      </c>
      <c r="G206" s="217"/>
    </row>
    <row r="207" spans="1:7" s="34" customFormat="1" ht="14.45">
      <c r="A207" s="59"/>
      <c r="B207" s="63"/>
      <c r="C207" s="61"/>
      <c r="D207" s="62"/>
      <c r="E207" s="157"/>
      <c r="F207" s="137"/>
      <c r="G207" s="217"/>
    </row>
    <row r="208" spans="1:7" s="34" customFormat="1" ht="14.45">
      <c r="A208" s="59"/>
      <c r="B208" s="63"/>
      <c r="C208" s="61"/>
      <c r="D208" s="62"/>
      <c r="E208" s="157"/>
      <c r="F208" s="137"/>
      <c r="G208" s="217"/>
    </row>
    <row r="209" spans="1:7" s="34" customFormat="1" ht="14.45">
      <c r="A209" s="59"/>
      <c r="B209" s="63"/>
      <c r="C209" s="61"/>
      <c r="D209" s="62"/>
      <c r="E209" s="157"/>
      <c r="F209" s="137"/>
      <c r="G209" s="217"/>
    </row>
    <row r="210" spans="1:7" s="34" customFormat="1" ht="14.45">
      <c r="A210" s="59"/>
      <c r="B210" s="63"/>
      <c r="C210" s="61"/>
      <c r="D210" s="62"/>
      <c r="E210" s="157"/>
      <c r="F210" s="137"/>
      <c r="G210" s="217"/>
    </row>
    <row r="211" spans="1:7" s="34" customFormat="1" ht="14.45">
      <c r="A211" s="59"/>
      <c r="B211" s="63"/>
      <c r="C211" s="61"/>
      <c r="D211" s="62"/>
      <c r="E211" s="157"/>
      <c r="F211" s="137"/>
      <c r="G211" s="217"/>
    </row>
    <row r="212" spans="1:7" s="34" customFormat="1" ht="14.45">
      <c r="A212" s="59"/>
      <c r="B212" s="63"/>
      <c r="C212" s="61"/>
      <c r="D212" s="62"/>
      <c r="E212" s="157"/>
      <c r="F212" s="137"/>
      <c r="G212" s="217"/>
    </row>
    <row r="213" spans="1:7" s="34" customFormat="1" ht="14.45">
      <c r="A213" s="59"/>
      <c r="B213" s="63"/>
      <c r="C213" s="61"/>
      <c r="D213" s="62"/>
      <c r="E213" s="157"/>
      <c r="F213" s="137"/>
      <c r="G213" s="217"/>
    </row>
    <row r="214" spans="1:7" s="34" customFormat="1" ht="14.45">
      <c r="A214" s="59"/>
      <c r="B214" s="63"/>
      <c r="C214" s="61"/>
      <c r="D214" s="62"/>
      <c r="E214" s="157"/>
      <c r="F214" s="137"/>
      <c r="G214" s="217"/>
    </row>
    <row r="215" spans="1:7" s="34" customFormat="1" ht="14.45">
      <c r="A215" s="59"/>
      <c r="B215" s="63"/>
      <c r="C215" s="61"/>
      <c r="D215" s="62"/>
      <c r="E215" s="157"/>
      <c r="F215" s="137"/>
      <c r="G215" s="217"/>
    </row>
    <row r="216" spans="1:7" s="34" customFormat="1" ht="14.45">
      <c r="A216" s="59"/>
      <c r="B216" s="63"/>
      <c r="C216" s="61"/>
      <c r="D216" s="62"/>
      <c r="E216" s="157"/>
      <c r="F216" s="137"/>
      <c r="G216" s="217"/>
    </row>
    <row r="217" spans="1:7" s="34" customFormat="1" ht="14.45">
      <c r="A217" s="59"/>
      <c r="B217" s="63"/>
      <c r="C217" s="61"/>
      <c r="D217" s="62"/>
      <c r="E217" s="157"/>
      <c r="F217" s="137"/>
      <c r="G217" s="217"/>
    </row>
    <row r="218" spans="1:7" s="34" customFormat="1" ht="14.45">
      <c r="A218" s="59"/>
      <c r="B218" s="63"/>
      <c r="C218" s="61"/>
      <c r="D218" s="62"/>
      <c r="E218" s="157"/>
      <c r="F218" s="137"/>
      <c r="G218" s="217"/>
    </row>
    <row r="219" spans="1:7" s="34" customFormat="1" ht="14.45">
      <c r="A219" s="71"/>
      <c r="B219" s="72"/>
      <c r="C219" s="73"/>
      <c r="D219" s="74"/>
      <c r="E219" s="159"/>
      <c r="F219" s="138"/>
      <c r="G219" s="226"/>
    </row>
    <row r="220" spans="1:7" s="34" customFormat="1" ht="14.45">
      <c r="A220" s="75"/>
      <c r="B220" s="76"/>
      <c r="C220" s="77" t="s">
        <v>30</v>
      </c>
      <c r="D220" s="77"/>
      <c r="E220" s="160" t="s">
        <v>8</v>
      </c>
      <c r="F220" s="139">
        <f>SUM(F189:F212)</f>
        <v>202806.3</v>
      </c>
      <c r="G220" s="227"/>
    </row>
    <row r="221" spans="1:7" s="34" customFormat="1" ht="14.45">
      <c r="A221" s="75"/>
      <c r="B221" s="76"/>
      <c r="C221" s="78"/>
      <c r="D221" s="79"/>
      <c r="E221" s="161"/>
      <c r="F221" s="140"/>
      <c r="G221" s="228"/>
    </row>
    <row r="222" spans="1:7" s="34" customFormat="1" ht="14.45">
      <c r="A222" s="59"/>
      <c r="B222" s="63"/>
      <c r="C222" s="61"/>
      <c r="D222" s="62"/>
      <c r="E222" s="157"/>
      <c r="F222" s="137"/>
      <c r="G222" s="217"/>
    </row>
    <row r="223" spans="1:7" s="34" customFormat="1" ht="14.45">
      <c r="A223" s="59"/>
      <c r="B223" s="64" t="s">
        <v>313</v>
      </c>
      <c r="C223" s="61"/>
      <c r="D223" s="62"/>
      <c r="E223" s="157"/>
      <c r="F223" s="137"/>
      <c r="G223" s="217"/>
    </row>
    <row r="224" spans="1:7" s="34" customFormat="1" ht="14.45">
      <c r="A224" s="59"/>
      <c r="B224" s="100"/>
      <c r="C224" s="61"/>
      <c r="D224" s="62"/>
      <c r="E224" s="157"/>
      <c r="F224" s="137"/>
      <c r="G224" s="217"/>
    </row>
    <row r="225" spans="1:7" s="34" customFormat="1" ht="82.9">
      <c r="A225" s="66"/>
      <c r="B225" s="98" t="s">
        <v>391</v>
      </c>
      <c r="C225" s="68"/>
      <c r="D225" s="69"/>
      <c r="E225" s="157"/>
      <c r="F225" s="137"/>
      <c r="G225" s="217"/>
    </row>
    <row r="226" spans="1:7" s="34" customFormat="1" ht="14.45">
      <c r="A226" s="59"/>
      <c r="B226" s="100"/>
      <c r="C226" s="61"/>
      <c r="D226" s="62"/>
      <c r="E226" s="157"/>
      <c r="F226" s="137"/>
      <c r="G226" s="217"/>
    </row>
    <row r="227" spans="1:7" s="34" customFormat="1" ht="27.6">
      <c r="A227" s="66" t="s">
        <v>14</v>
      </c>
      <c r="B227" s="67" t="s">
        <v>392</v>
      </c>
      <c r="C227" s="68" t="s">
        <v>335</v>
      </c>
      <c r="D227" s="69" t="s">
        <v>63</v>
      </c>
      <c r="E227" s="157">
        <v>29794.55</v>
      </c>
      <c r="F227" s="137">
        <f>C227*E227</f>
        <v>89383.65</v>
      </c>
      <c r="G227" s="217"/>
    </row>
    <row r="228" spans="1:7" s="34" customFormat="1" ht="14.45">
      <c r="A228" s="59"/>
      <c r="B228" s="100"/>
      <c r="C228" s="61"/>
      <c r="D228" s="62"/>
      <c r="E228" s="157"/>
      <c r="F228" s="137"/>
      <c r="G228" s="217"/>
    </row>
    <row r="229" spans="1:7" s="34" customFormat="1" ht="27.6">
      <c r="A229" s="66" t="s">
        <v>17</v>
      </c>
      <c r="B229" s="67" t="s">
        <v>393</v>
      </c>
      <c r="C229" s="68" t="s">
        <v>335</v>
      </c>
      <c r="D229" s="69" t="s">
        <v>63</v>
      </c>
      <c r="E229" s="157">
        <v>45576.36</v>
      </c>
      <c r="F229" s="137">
        <f>C229*E229</f>
        <v>136729.08000000002</v>
      </c>
      <c r="G229" s="217"/>
    </row>
    <row r="230" spans="1:7" s="34" customFormat="1" ht="14.45">
      <c r="A230" s="59"/>
      <c r="B230" s="100"/>
      <c r="C230" s="61"/>
      <c r="D230" s="62"/>
      <c r="E230" s="157"/>
      <c r="F230" s="137"/>
      <c r="G230" s="217"/>
    </row>
    <row r="231" spans="1:7" s="34" customFormat="1" ht="82.9">
      <c r="A231" s="66"/>
      <c r="B231" s="98" t="s">
        <v>394</v>
      </c>
      <c r="C231" s="68"/>
      <c r="D231" s="69"/>
      <c r="E231" s="157"/>
      <c r="F231" s="137"/>
      <c r="G231" s="217"/>
    </row>
    <row r="232" spans="1:7" s="34" customFormat="1" ht="14.45">
      <c r="A232" s="59"/>
      <c r="B232" s="100"/>
      <c r="C232" s="61"/>
      <c r="D232" s="62"/>
      <c r="E232" s="157"/>
      <c r="F232" s="137"/>
      <c r="G232" s="217"/>
    </row>
    <row r="233" spans="1:7" s="34" customFormat="1" ht="27.6">
      <c r="A233" s="66" t="s">
        <v>20</v>
      </c>
      <c r="B233" s="67" t="s">
        <v>395</v>
      </c>
      <c r="C233" s="68" t="s">
        <v>65</v>
      </c>
      <c r="D233" s="69" t="s">
        <v>63</v>
      </c>
      <c r="E233" s="157">
        <v>29963.95</v>
      </c>
      <c r="F233" s="137">
        <f>C233*E233</f>
        <v>119855.8</v>
      </c>
      <c r="G233" s="217"/>
    </row>
    <row r="234" spans="1:7" s="34" customFormat="1" ht="14.45">
      <c r="A234" s="59"/>
      <c r="B234" s="100"/>
      <c r="C234" s="61"/>
      <c r="D234" s="62"/>
      <c r="E234" s="157"/>
      <c r="F234" s="137"/>
      <c r="G234" s="217"/>
    </row>
    <row r="235" spans="1:7" s="34" customFormat="1" ht="27.6">
      <c r="A235" s="66" t="s">
        <v>23</v>
      </c>
      <c r="B235" s="67" t="s">
        <v>396</v>
      </c>
      <c r="C235" s="68" t="s">
        <v>152</v>
      </c>
      <c r="D235" s="69" t="s">
        <v>63</v>
      </c>
      <c r="E235" s="157">
        <v>39393.43</v>
      </c>
      <c r="F235" s="137">
        <f>C235*E235</f>
        <v>78786.86</v>
      </c>
      <c r="G235" s="217"/>
    </row>
    <row r="236" spans="1:7" s="34" customFormat="1" ht="14.45">
      <c r="A236" s="59"/>
      <c r="B236" s="100"/>
      <c r="C236" s="61"/>
      <c r="D236" s="62"/>
      <c r="E236" s="157"/>
      <c r="F236" s="137"/>
      <c r="G236" s="217"/>
    </row>
    <row r="237" spans="1:7" s="34" customFormat="1" ht="27.6">
      <c r="A237" s="66" t="s">
        <v>27</v>
      </c>
      <c r="B237" s="67" t="s">
        <v>397</v>
      </c>
      <c r="C237" s="68" t="s">
        <v>308</v>
      </c>
      <c r="D237" s="69" t="s">
        <v>63</v>
      </c>
      <c r="E237" s="157">
        <v>45576.36</v>
      </c>
      <c r="F237" s="137">
        <f>C237*E237</f>
        <v>546916.32000000007</v>
      </c>
      <c r="G237" s="217"/>
    </row>
    <row r="238" spans="1:7" s="34" customFormat="1" ht="14.45">
      <c r="A238" s="59"/>
      <c r="B238" s="100"/>
      <c r="C238" s="61"/>
      <c r="D238" s="62"/>
      <c r="E238" s="157"/>
      <c r="F238" s="137"/>
      <c r="G238" s="217"/>
    </row>
    <row r="239" spans="1:7" s="34" customFormat="1" ht="27.6">
      <c r="A239" s="66" t="s">
        <v>44</v>
      </c>
      <c r="B239" s="67" t="s">
        <v>398</v>
      </c>
      <c r="C239" s="68" t="s">
        <v>65</v>
      </c>
      <c r="D239" s="69" t="s">
        <v>63</v>
      </c>
      <c r="E239" s="157">
        <v>16369.49</v>
      </c>
      <c r="F239" s="137">
        <f>C239*E239</f>
        <v>65477.96</v>
      </c>
      <c r="G239" s="217"/>
    </row>
    <row r="240" spans="1:7" s="34" customFormat="1" ht="14.45">
      <c r="A240" s="59"/>
      <c r="B240" s="100"/>
      <c r="C240" s="61"/>
      <c r="D240" s="62"/>
      <c r="E240" s="157"/>
      <c r="F240" s="137"/>
      <c r="G240" s="217"/>
    </row>
    <row r="241" spans="1:7" s="34" customFormat="1" ht="27.6">
      <c r="A241" s="66" t="s">
        <v>48</v>
      </c>
      <c r="B241" s="67" t="s">
        <v>399</v>
      </c>
      <c r="C241" s="68" t="s">
        <v>152</v>
      </c>
      <c r="D241" s="69" t="s">
        <v>63</v>
      </c>
      <c r="E241" s="157">
        <v>22508.05</v>
      </c>
      <c r="F241" s="137">
        <f>C241*E241</f>
        <v>45016.1</v>
      </c>
      <c r="G241" s="217"/>
    </row>
    <row r="242" spans="1:7" s="34" customFormat="1" ht="14.45">
      <c r="A242" s="59"/>
      <c r="B242" s="100"/>
      <c r="C242" s="61"/>
      <c r="D242" s="62"/>
      <c r="E242" s="157"/>
      <c r="F242" s="137"/>
      <c r="G242" s="217"/>
    </row>
    <row r="243" spans="1:7" s="34" customFormat="1" ht="27.6">
      <c r="A243" s="66" t="s">
        <v>84</v>
      </c>
      <c r="B243" s="67" t="s">
        <v>400</v>
      </c>
      <c r="C243" s="68" t="s">
        <v>308</v>
      </c>
      <c r="D243" s="69" t="s">
        <v>63</v>
      </c>
      <c r="E243" s="157">
        <v>25577.33</v>
      </c>
      <c r="F243" s="137">
        <f>C243*E243</f>
        <v>306927.96000000002</v>
      </c>
      <c r="G243" s="217"/>
    </row>
    <row r="244" spans="1:7" s="34" customFormat="1" ht="14.45">
      <c r="A244" s="59"/>
      <c r="B244" s="100"/>
      <c r="C244" s="61"/>
      <c r="D244" s="62"/>
      <c r="E244" s="157"/>
      <c r="F244" s="137"/>
      <c r="G244" s="217"/>
    </row>
    <row r="245" spans="1:7" s="34" customFormat="1" ht="55.15">
      <c r="A245" s="66"/>
      <c r="B245" s="98" t="s">
        <v>401</v>
      </c>
      <c r="C245" s="68"/>
      <c r="D245" s="69"/>
      <c r="E245" s="157"/>
      <c r="F245" s="137"/>
      <c r="G245" s="217"/>
    </row>
    <row r="246" spans="1:7" s="34" customFormat="1" ht="14.45">
      <c r="A246" s="59"/>
      <c r="B246" s="63"/>
      <c r="C246" s="61"/>
      <c r="D246" s="62"/>
      <c r="E246" s="157"/>
      <c r="F246" s="137"/>
      <c r="G246" s="217"/>
    </row>
    <row r="247" spans="1:7" s="34" customFormat="1" ht="14.45">
      <c r="A247" s="59"/>
      <c r="B247" s="63"/>
      <c r="C247" s="61"/>
      <c r="D247" s="62"/>
      <c r="E247" s="157"/>
      <c r="F247" s="137"/>
      <c r="G247" s="217"/>
    </row>
    <row r="248" spans="1:7" s="34" customFormat="1" ht="14.45">
      <c r="A248" s="71"/>
      <c r="B248" s="72"/>
      <c r="C248" s="73"/>
      <c r="D248" s="74"/>
      <c r="E248" s="159"/>
      <c r="F248" s="138"/>
      <c r="G248" s="226"/>
    </row>
    <row r="249" spans="1:7" s="34" customFormat="1" ht="14.45">
      <c r="A249" s="75"/>
      <c r="B249" s="76"/>
      <c r="C249" s="77" t="s">
        <v>30</v>
      </c>
      <c r="D249" s="77"/>
      <c r="E249" s="160" t="s">
        <v>8</v>
      </c>
      <c r="F249" s="139">
        <f>SUM(F225:F245)</f>
        <v>1389093.73</v>
      </c>
      <c r="G249" s="227"/>
    </row>
    <row r="250" spans="1:7" s="34" customFormat="1" ht="14.45">
      <c r="A250" s="75"/>
      <c r="B250" s="76"/>
      <c r="C250" s="78"/>
      <c r="D250" s="79"/>
      <c r="E250" s="161"/>
      <c r="F250" s="140"/>
      <c r="G250" s="228"/>
    </row>
    <row r="251" spans="1:7" s="34" customFormat="1" ht="14.45">
      <c r="A251" s="59"/>
      <c r="B251" s="63"/>
      <c r="C251" s="61"/>
      <c r="D251" s="62"/>
      <c r="E251" s="157"/>
      <c r="F251" s="137"/>
      <c r="G251" s="217"/>
    </row>
    <row r="252" spans="1:7" s="34" customFormat="1" ht="14.45">
      <c r="A252" s="59"/>
      <c r="B252" s="64" t="s">
        <v>313</v>
      </c>
      <c r="C252" s="61"/>
      <c r="D252" s="62"/>
      <c r="E252" s="157"/>
      <c r="F252" s="137"/>
      <c r="G252" s="217"/>
    </row>
    <row r="253" spans="1:7" s="34" customFormat="1" ht="14.45">
      <c r="A253" s="59"/>
      <c r="B253" s="100"/>
      <c r="C253" s="61"/>
      <c r="D253" s="62"/>
      <c r="E253" s="157"/>
      <c r="F253" s="137"/>
      <c r="G253" s="217"/>
    </row>
    <row r="254" spans="1:7" s="34" customFormat="1" ht="27.6">
      <c r="A254" s="66" t="s">
        <v>14</v>
      </c>
      <c r="B254" s="67" t="s">
        <v>402</v>
      </c>
      <c r="C254" s="68" t="s">
        <v>152</v>
      </c>
      <c r="D254" s="69" t="s">
        <v>63</v>
      </c>
      <c r="E254" s="157">
        <v>414311.66</v>
      </c>
      <c r="F254" s="137">
        <f>C254*E254</f>
        <v>828623.32</v>
      </c>
      <c r="G254" s="217"/>
    </row>
    <row r="255" spans="1:7" s="34" customFormat="1" ht="14.45">
      <c r="A255" s="59"/>
      <c r="B255" s="100"/>
      <c r="C255" s="61"/>
      <c r="D255" s="62"/>
      <c r="E255" s="157"/>
      <c r="F255" s="137"/>
      <c r="G255" s="217"/>
    </row>
    <row r="256" spans="1:7" s="34" customFormat="1" ht="27.6">
      <c r="A256" s="66" t="s">
        <v>17</v>
      </c>
      <c r="B256" s="67" t="s">
        <v>403</v>
      </c>
      <c r="C256" s="68" t="s">
        <v>152</v>
      </c>
      <c r="D256" s="69" t="s">
        <v>63</v>
      </c>
      <c r="E256" s="157">
        <v>969038.67</v>
      </c>
      <c r="F256" s="137">
        <f>C256*E256</f>
        <v>1938077.34</v>
      </c>
      <c r="G256" s="217"/>
    </row>
    <row r="257" spans="1:7" s="34" customFormat="1" ht="14.45">
      <c r="A257" s="59"/>
      <c r="B257" s="100"/>
      <c r="C257" s="61"/>
      <c r="D257" s="62"/>
      <c r="E257" s="157"/>
      <c r="F257" s="137"/>
      <c r="G257" s="217"/>
    </row>
    <row r="258" spans="1:7" s="34" customFormat="1" ht="27.6">
      <c r="A258" s="66" t="s">
        <v>20</v>
      </c>
      <c r="B258" s="67" t="s">
        <v>404</v>
      </c>
      <c r="C258" s="68" t="s">
        <v>152</v>
      </c>
      <c r="D258" s="69" t="s">
        <v>63</v>
      </c>
      <c r="E258" s="157">
        <v>428451.45</v>
      </c>
      <c r="F258" s="137">
        <f>C258*E258</f>
        <v>856902.9</v>
      </c>
      <c r="G258" s="217"/>
    </row>
    <row r="259" spans="1:7" s="34" customFormat="1" ht="14.45">
      <c r="A259" s="59"/>
      <c r="B259" s="100"/>
      <c r="C259" s="61"/>
      <c r="D259" s="62"/>
      <c r="E259" s="157"/>
      <c r="F259" s="137"/>
      <c r="G259" s="217"/>
    </row>
    <row r="260" spans="1:7" s="34" customFormat="1" ht="27.6">
      <c r="A260" s="66" t="s">
        <v>23</v>
      </c>
      <c r="B260" s="67" t="s">
        <v>405</v>
      </c>
      <c r="C260" s="68" t="s">
        <v>304</v>
      </c>
      <c r="D260" s="69" t="s">
        <v>63</v>
      </c>
      <c r="E260" s="157">
        <v>344188.69</v>
      </c>
      <c r="F260" s="137">
        <f>C260*E260</f>
        <v>344188.69</v>
      </c>
      <c r="G260" s="217"/>
    </row>
    <row r="261" spans="1:7" s="34" customFormat="1" ht="14.45">
      <c r="A261" s="59"/>
      <c r="B261" s="100"/>
      <c r="C261" s="61"/>
      <c r="D261" s="62"/>
      <c r="E261" s="157"/>
      <c r="F261" s="137"/>
      <c r="G261" s="217"/>
    </row>
    <row r="262" spans="1:7" s="34" customFormat="1" ht="27.6">
      <c r="A262" s="66" t="s">
        <v>27</v>
      </c>
      <c r="B262" s="67" t="s">
        <v>406</v>
      </c>
      <c r="C262" s="68" t="s">
        <v>304</v>
      </c>
      <c r="D262" s="69" t="s">
        <v>63</v>
      </c>
      <c r="E262" s="157">
        <v>843452.03</v>
      </c>
      <c r="F262" s="137">
        <f>C262*E262</f>
        <v>843452.03</v>
      </c>
      <c r="G262" s="217"/>
    </row>
    <row r="263" spans="1:7" s="34" customFormat="1" ht="14.45">
      <c r="A263" s="59"/>
      <c r="B263" s="100"/>
      <c r="C263" s="61"/>
      <c r="D263" s="62"/>
      <c r="E263" s="157"/>
      <c r="F263" s="137"/>
      <c r="G263" s="217"/>
    </row>
    <row r="264" spans="1:7" s="34" customFormat="1" ht="69">
      <c r="A264" s="66"/>
      <c r="B264" s="98" t="s">
        <v>407</v>
      </c>
      <c r="C264" s="68"/>
      <c r="D264" s="69"/>
      <c r="E264" s="157"/>
      <c r="F264" s="137"/>
      <c r="G264" s="217"/>
    </row>
    <row r="265" spans="1:7" s="34" customFormat="1" ht="14.1" customHeight="1">
      <c r="A265" s="59"/>
      <c r="B265" s="100"/>
      <c r="C265" s="61"/>
      <c r="D265" s="62"/>
      <c r="E265" s="157"/>
      <c r="F265" s="137"/>
      <c r="G265" s="217"/>
    </row>
    <row r="266" spans="1:7" s="34" customFormat="1" ht="27.6">
      <c r="A266" s="66" t="s">
        <v>44</v>
      </c>
      <c r="B266" s="67" t="s">
        <v>408</v>
      </c>
      <c r="C266" s="68">
        <v>1111</v>
      </c>
      <c r="D266" s="69" t="s">
        <v>199</v>
      </c>
      <c r="E266" s="157">
        <v>632.45000000000005</v>
      </c>
      <c r="F266" s="137">
        <f>C266*E266</f>
        <v>702651.95000000007</v>
      </c>
      <c r="G266" s="217"/>
    </row>
    <row r="267" spans="1:7" s="34" customFormat="1" ht="14.1" customHeight="1">
      <c r="A267" s="59"/>
      <c r="B267" s="100"/>
      <c r="C267" s="61"/>
      <c r="D267" s="62"/>
      <c r="E267" s="157"/>
      <c r="F267" s="137"/>
      <c r="G267" s="217"/>
    </row>
    <row r="268" spans="1:7" s="34" customFormat="1" ht="14.45">
      <c r="A268" s="66" t="s">
        <v>48</v>
      </c>
      <c r="B268" s="67" t="s">
        <v>409</v>
      </c>
      <c r="C268" s="68">
        <v>504</v>
      </c>
      <c r="D268" s="69" t="s">
        <v>199</v>
      </c>
      <c r="E268" s="157">
        <v>508.22</v>
      </c>
      <c r="F268" s="137">
        <f>C268*E268</f>
        <v>256142.88</v>
      </c>
      <c r="G268" s="217"/>
    </row>
    <row r="269" spans="1:7" s="34" customFormat="1" ht="14.1" customHeight="1">
      <c r="A269" s="59"/>
      <c r="B269" s="100"/>
      <c r="C269" s="61"/>
      <c r="D269" s="62"/>
      <c r="E269" s="157"/>
      <c r="F269" s="137"/>
      <c r="G269" s="217"/>
    </row>
    <row r="270" spans="1:7" s="34" customFormat="1" ht="41.45">
      <c r="A270" s="66"/>
      <c r="B270" s="98" t="s">
        <v>410</v>
      </c>
      <c r="C270" s="68"/>
      <c r="D270" s="69"/>
      <c r="E270" s="157"/>
      <c r="F270" s="137"/>
      <c r="G270" s="217"/>
    </row>
    <row r="271" spans="1:7" s="34" customFormat="1" ht="14.1" customHeight="1">
      <c r="A271" s="59"/>
      <c r="B271" s="100"/>
      <c r="C271" s="61"/>
      <c r="D271" s="62"/>
      <c r="E271" s="157"/>
      <c r="F271" s="137"/>
      <c r="G271" s="217"/>
    </row>
    <row r="272" spans="1:7" s="34" customFormat="1" ht="14.45">
      <c r="A272" s="66" t="s">
        <v>84</v>
      </c>
      <c r="B272" s="67" t="s">
        <v>411</v>
      </c>
      <c r="C272" s="68" t="s">
        <v>412</v>
      </c>
      <c r="D272" s="69" t="s">
        <v>199</v>
      </c>
      <c r="E272" s="157">
        <v>861.55</v>
      </c>
      <c r="F272" s="137">
        <f>C272*E272</f>
        <v>508314.5</v>
      </c>
      <c r="G272" s="217" t="s">
        <v>413</v>
      </c>
    </row>
    <row r="273" spans="1:7" s="34" customFormat="1" ht="14.1" customHeight="1">
      <c r="A273" s="59"/>
      <c r="B273" s="100"/>
      <c r="C273" s="61"/>
      <c r="D273" s="62"/>
      <c r="E273" s="157"/>
      <c r="F273" s="137"/>
      <c r="G273" s="217"/>
    </row>
    <row r="274" spans="1:7" s="34" customFormat="1" ht="14.45">
      <c r="A274" s="66" t="s">
        <v>86</v>
      </c>
      <c r="B274" s="67" t="s">
        <v>414</v>
      </c>
      <c r="C274" s="68" t="s">
        <v>415</v>
      </c>
      <c r="D274" s="69" t="s">
        <v>199</v>
      </c>
      <c r="E274" s="157">
        <v>861.55</v>
      </c>
      <c r="F274" s="137">
        <f>C274*E274</f>
        <v>404928.5</v>
      </c>
      <c r="G274" s="217" t="s">
        <v>413</v>
      </c>
    </row>
    <row r="275" spans="1:7" s="34" customFormat="1" ht="14.1" customHeight="1">
      <c r="A275" s="59"/>
      <c r="B275" s="100"/>
      <c r="C275" s="61"/>
      <c r="D275" s="62"/>
      <c r="E275" s="157"/>
      <c r="F275" s="137"/>
      <c r="G275" s="217"/>
    </row>
    <row r="276" spans="1:7" s="34" customFormat="1" ht="69">
      <c r="A276" s="66"/>
      <c r="B276" s="98" t="s">
        <v>416</v>
      </c>
      <c r="C276" s="68"/>
      <c r="D276" s="69"/>
      <c r="E276" s="157"/>
      <c r="F276" s="137"/>
      <c r="G276" s="217"/>
    </row>
    <row r="277" spans="1:7" s="34" customFormat="1" ht="14.1" customHeight="1">
      <c r="A277" s="59"/>
      <c r="B277" s="100"/>
      <c r="C277" s="61"/>
      <c r="D277" s="62"/>
      <c r="E277" s="157"/>
      <c r="F277" s="137"/>
      <c r="G277" s="217"/>
    </row>
    <row r="278" spans="1:7" s="34" customFormat="1" ht="14.45">
      <c r="A278" s="66" t="s">
        <v>90</v>
      </c>
      <c r="B278" s="67" t="s">
        <v>417</v>
      </c>
      <c r="C278" s="68">
        <v>542</v>
      </c>
      <c r="D278" s="69" t="s">
        <v>16</v>
      </c>
      <c r="E278" s="157">
        <v>1507.72</v>
      </c>
      <c r="F278" s="137">
        <f>C278*E278</f>
        <v>817184.24</v>
      </c>
      <c r="G278" s="217" t="s">
        <v>418</v>
      </c>
    </row>
    <row r="279" spans="1:7" s="34" customFormat="1" ht="14.1" customHeight="1">
      <c r="A279" s="59"/>
      <c r="B279" s="100"/>
      <c r="C279" s="61"/>
      <c r="D279" s="62"/>
      <c r="E279" s="157"/>
      <c r="F279" s="137"/>
      <c r="G279" s="217"/>
    </row>
    <row r="280" spans="1:7" s="34" customFormat="1" ht="14.45">
      <c r="A280" s="66" t="s">
        <v>92</v>
      </c>
      <c r="B280" s="67" t="s">
        <v>419</v>
      </c>
      <c r="C280" s="68">
        <v>60</v>
      </c>
      <c r="D280" s="69" t="s">
        <v>16</v>
      </c>
      <c r="E280" s="157">
        <v>1507.72</v>
      </c>
      <c r="F280" s="137">
        <f>C280*E280</f>
        <v>90463.2</v>
      </c>
      <c r="G280" s="217" t="s">
        <v>418</v>
      </c>
    </row>
    <row r="281" spans="1:7" s="34" customFormat="1" ht="28.15" customHeight="1">
      <c r="A281" s="59"/>
      <c r="B281" s="230" t="s">
        <v>420</v>
      </c>
      <c r="C281" s="61"/>
      <c r="D281" s="62"/>
      <c r="E281" s="157"/>
      <c r="F281" s="137"/>
      <c r="G281" s="217"/>
    </row>
    <row r="282" spans="1:7" s="34" customFormat="1" ht="14.45">
      <c r="A282" s="71"/>
      <c r="B282" s="72"/>
      <c r="C282" s="73"/>
      <c r="D282" s="74"/>
      <c r="E282" s="159"/>
      <c r="F282" s="138"/>
      <c r="G282" s="226"/>
    </row>
    <row r="283" spans="1:7" s="34" customFormat="1" ht="14.45">
      <c r="A283" s="75"/>
      <c r="B283" s="76"/>
      <c r="C283" s="77" t="s">
        <v>30</v>
      </c>
      <c r="D283" s="77"/>
      <c r="E283" s="160" t="s">
        <v>8</v>
      </c>
      <c r="F283" s="139">
        <f>SUM(F252:F281)</f>
        <v>7590929.5500000007</v>
      </c>
      <c r="G283" s="227"/>
    </row>
    <row r="284" spans="1:7" s="34" customFormat="1" ht="14.45">
      <c r="A284" s="75"/>
      <c r="B284" s="76"/>
      <c r="C284" s="78"/>
      <c r="D284" s="79"/>
      <c r="E284" s="161"/>
      <c r="F284" s="140"/>
      <c r="G284" s="228"/>
    </row>
    <row r="285" spans="1:7" s="34" customFormat="1" ht="14.45">
      <c r="A285" s="59"/>
      <c r="B285" s="63"/>
      <c r="C285" s="61"/>
      <c r="D285" s="62"/>
      <c r="E285" s="157"/>
      <c r="F285" s="137"/>
      <c r="G285" s="217"/>
    </row>
    <row r="286" spans="1:7" s="34" customFormat="1" ht="14.45">
      <c r="A286" s="59"/>
      <c r="B286" s="64" t="s">
        <v>313</v>
      </c>
      <c r="C286" s="61"/>
      <c r="D286" s="62"/>
      <c r="E286" s="157"/>
      <c r="F286" s="137"/>
      <c r="G286" s="217"/>
    </row>
    <row r="287" spans="1:7" s="34" customFormat="1" ht="14.45">
      <c r="A287" s="59"/>
      <c r="B287" s="103"/>
      <c r="C287" s="61"/>
      <c r="D287" s="62"/>
      <c r="E287" s="157"/>
      <c r="F287" s="137"/>
      <c r="G287" s="217"/>
    </row>
    <row r="288" spans="1:7" s="34" customFormat="1" ht="55.15">
      <c r="A288" s="66"/>
      <c r="B288" s="98" t="s">
        <v>421</v>
      </c>
      <c r="C288" s="68"/>
      <c r="D288" s="69"/>
      <c r="E288" s="157"/>
      <c r="F288" s="137"/>
      <c r="G288" s="217"/>
    </row>
    <row r="289" spans="1:7" s="34" customFormat="1" ht="14.45">
      <c r="A289" s="59"/>
      <c r="B289" s="100"/>
      <c r="C289" s="61"/>
      <c r="D289" s="62"/>
      <c r="E289" s="157"/>
      <c r="F289" s="137"/>
      <c r="G289" s="217"/>
    </row>
    <row r="290" spans="1:7" s="34" customFormat="1" ht="27.6">
      <c r="A290" s="66" t="s">
        <v>14</v>
      </c>
      <c r="B290" s="67" t="s">
        <v>422</v>
      </c>
      <c r="C290" s="68">
        <v>30</v>
      </c>
      <c r="D290" s="69" t="s">
        <v>16</v>
      </c>
      <c r="E290" s="157">
        <v>665.01</v>
      </c>
      <c r="F290" s="137">
        <f>C290*E290</f>
        <v>19950.3</v>
      </c>
      <c r="G290" s="217"/>
    </row>
    <row r="291" spans="1:7" s="34" customFormat="1" ht="14.45">
      <c r="A291" s="59"/>
      <c r="B291" s="100"/>
      <c r="C291" s="61"/>
      <c r="D291" s="62"/>
      <c r="E291" s="157"/>
      <c r="F291" s="137"/>
      <c r="G291" s="217"/>
    </row>
    <row r="292" spans="1:7" s="34" customFormat="1" ht="27.6">
      <c r="A292" s="66" t="s">
        <v>17</v>
      </c>
      <c r="B292" s="67" t="s">
        <v>423</v>
      </c>
      <c r="C292" s="68" t="s">
        <v>424</v>
      </c>
      <c r="D292" s="69" t="s">
        <v>16</v>
      </c>
      <c r="E292" s="157">
        <v>767.32</v>
      </c>
      <c r="F292" s="137">
        <f>C292*E292</f>
        <v>232497.96000000002</v>
      </c>
      <c r="G292" s="217"/>
    </row>
    <row r="293" spans="1:7" s="34" customFormat="1" ht="14.45">
      <c r="A293" s="59"/>
      <c r="B293" s="100"/>
      <c r="C293" s="61"/>
      <c r="D293" s="62"/>
      <c r="E293" s="157"/>
      <c r="F293" s="137"/>
      <c r="G293" s="217"/>
    </row>
    <row r="294" spans="1:7" s="34" customFormat="1" ht="27.6">
      <c r="A294" s="66" t="s">
        <v>20</v>
      </c>
      <c r="B294" s="67" t="s">
        <v>425</v>
      </c>
      <c r="C294" s="68">
        <v>394</v>
      </c>
      <c r="D294" s="69" t="s">
        <v>16</v>
      </c>
      <c r="E294" s="157">
        <v>869.63</v>
      </c>
      <c r="F294" s="137">
        <f>C294*E294</f>
        <v>342634.22</v>
      </c>
      <c r="G294" s="217"/>
    </row>
    <row r="295" spans="1:7" s="34" customFormat="1" ht="14.45">
      <c r="A295" s="59"/>
      <c r="B295" s="63"/>
      <c r="C295" s="61"/>
      <c r="D295" s="62"/>
      <c r="E295" s="157"/>
      <c r="F295" s="137"/>
      <c r="G295" s="217"/>
    </row>
    <row r="296" spans="1:7" s="34" customFormat="1" ht="14.45">
      <c r="A296" s="59"/>
      <c r="B296" s="63"/>
      <c r="C296" s="61"/>
      <c r="D296" s="62"/>
      <c r="E296" s="157"/>
      <c r="F296" s="137"/>
      <c r="G296" s="217"/>
    </row>
    <row r="297" spans="1:7" s="34" customFormat="1" ht="14.45">
      <c r="A297" s="59"/>
      <c r="B297" s="63"/>
      <c r="C297" s="61"/>
      <c r="D297" s="62"/>
      <c r="E297" s="157"/>
      <c r="F297" s="137"/>
      <c r="G297" s="217"/>
    </row>
    <row r="298" spans="1:7" s="34" customFormat="1" ht="14.45">
      <c r="A298" s="59"/>
      <c r="B298" s="63"/>
      <c r="C298" s="61"/>
      <c r="D298" s="62"/>
      <c r="E298" s="157"/>
      <c r="F298" s="137"/>
      <c r="G298" s="217"/>
    </row>
    <row r="299" spans="1:7" s="34" customFormat="1" ht="14.45">
      <c r="A299" s="59"/>
      <c r="B299" s="63"/>
      <c r="C299" s="61"/>
      <c r="D299" s="62"/>
      <c r="E299" s="157"/>
      <c r="F299" s="137"/>
      <c r="G299" s="217"/>
    </row>
    <row r="300" spans="1:7" s="34" customFormat="1" ht="14.45">
      <c r="A300" s="59"/>
      <c r="B300" s="63"/>
      <c r="C300" s="61"/>
      <c r="D300" s="62"/>
      <c r="E300" s="157"/>
      <c r="F300" s="137"/>
      <c r="G300" s="217"/>
    </row>
    <row r="301" spans="1:7" s="34" customFormat="1" ht="14.45">
      <c r="A301" s="59"/>
      <c r="B301" s="63"/>
      <c r="C301" s="61"/>
      <c r="D301" s="62"/>
      <c r="E301" s="157"/>
      <c r="F301" s="137"/>
      <c r="G301" s="217"/>
    </row>
    <row r="302" spans="1:7" s="34" customFormat="1" ht="14.45">
      <c r="A302" s="59"/>
      <c r="B302" s="63"/>
      <c r="C302" s="61"/>
      <c r="D302" s="62"/>
      <c r="E302" s="157"/>
      <c r="F302" s="137"/>
      <c r="G302" s="217"/>
    </row>
    <row r="303" spans="1:7" s="34" customFormat="1" ht="14.45">
      <c r="A303" s="59"/>
      <c r="B303" s="63"/>
      <c r="C303" s="61"/>
      <c r="D303" s="62"/>
      <c r="E303" s="157"/>
      <c r="F303" s="137"/>
      <c r="G303" s="217"/>
    </row>
    <row r="304" spans="1:7" s="34" customFormat="1" ht="14.45">
      <c r="A304" s="59"/>
      <c r="B304" s="63"/>
      <c r="C304" s="61"/>
      <c r="D304" s="62"/>
      <c r="E304" s="157"/>
      <c r="F304" s="137"/>
      <c r="G304" s="217"/>
    </row>
    <row r="305" spans="1:7" s="34" customFormat="1" ht="14.45">
      <c r="A305" s="59"/>
      <c r="B305" s="63"/>
      <c r="C305" s="61"/>
      <c r="D305" s="62"/>
      <c r="E305" s="157"/>
      <c r="F305" s="137"/>
      <c r="G305" s="217"/>
    </row>
    <row r="306" spans="1:7" s="34" customFormat="1" ht="14.45">
      <c r="A306" s="59"/>
      <c r="B306" s="63"/>
      <c r="C306" s="61"/>
      <c r="D306" s="62"/>
      <c r="E306" s="157"/>
      <c r="F306" s="137"/>
      <c r="G306" s="217"/>
    </row>
    <row r="307" spans="1:7" s="34" customFormat="1" ht="14.45">
      <c r="A307" s="59"/>
      <c r="B307" s="63"/>
      <c r="C307" s="61"/>
      <c r="D307" s="62"/>
      <c r="E307" s="157"/>
      <c r="F307" s="137"/>
      <c r="G307" s="217"/>
    </row>
    <row r="308" spans="1:7" s="34" customFormat="1" ht="14.45">
      <c r="A308" s="59"/>
      <c r="B308" s="63"/>
      <c r="C308" s="61"/>
      <c r="D308" s="62"/>
      <c r="E308" s="157"/>
      <c r="F308" s="137"/>
      <c r="G308" s="217"/>
    </row>
    <row r="309" spans="1:7" s="34" customFormat="1" ht="14.45">
      <c r="A309" s="59"/>
      <c r="B309" s="63"/>
      <c r="C309" s="61"/>
      <c r="D309" s="62"/>
      <c r="E309" s="157"/>
      <c r="F309" s="137"/>
      <c r="G309" s="217"/>
    </row>
    <row r="310" spans="1:7" s="34" customFormat="1" ht="14.45">
      <c r="A310" s="59"/>
      <c r="B310" s="63"/>
      <c r="C310" s="61"/>
      <c r="D310" s="62"/>
      <c r="E310" s="157"/>
      <c r="F310" s="137"/>
      <c r="G310" s="217"/>
    </row>
    <row r="311" spans="1:7" s="34" customFormat="1" ht="14.45">
      <c r="A311" s="59"/>
      <c r="B311" s="63"/>
      <c r="C311" s="61"/>
      <c r="D311" s="62"/>
      <c r="E311" s="157"/>
      <c r="F311" s="137"/>
      <c r="G311" s="217"/>
    </row>
    <row r="312" spans="1:7" s="34" customFormat="1" ht="14.45">
      <c r="A312" s="59"/>
      <c r="B312" s="63"/>
      <c r="C312" s="61"/>
      <c r="D312" s="62"/>
      <c r="E312" s="157"/>
      <c r="F312" s="137"/>
      <c r="G312" s="217"/>
    </row>
    <row r="313" spans="1:7" s="34" customFormat="1" ht="14.45">
      <c r="A313" s="59"/>
      <c r="B313" s="63"/>
      <c r="C313" s="61"/>
      <c r="D313" s="62"/>
      <c r="E313" s="157"/>
      <c r="F313" s="137"/>
      <c r="G313" s="217"/>
    </row>
    <row r="314" spans="1:7" s="34" customFormat="1" ht="14.45">
      <c r="A314" s="59"/>
      <c r="B314" s="63"/>
      <c r="C314" s="61"/>
      <c r="D314" s="62"/>
      <c r="E314" s="157"/>
      <c r="F314" s="137"/>
      <c r="G314" s="217"/>
    </row>
    <row r="315" spans="1:7" s="34" customFormat="1" ht="14.45">
      <c r="A315" s="59"/>
      <c r="B315" s="63"/>
      <c r="C315" s="61"/>
      <c r="D315" s="62"/>
      <c r="E315" s="157"/>
      <c r="F315" s="137"/>
      <c r="G315" s="217"/>
    </row>
    <row r="316" spans="1:7" s="34" customFormat="1" ht="14.45">
      <c r="A316" s="59"/>
      <c r="B316" s="63"/>
      <c r="C316" s="61"/>
      <c r="D316" s="62"/>
      <c r="E316" s="157"/>
      <c r="F316" s="137"/>
      <c r="G316" s="217"/>
    </row>
    <row r="317" spans="1:7" s="34" customFormat="1" ht="14.45">
      <c r="A317" s="59"/>
      <c r="B317" s="63"/>
      <c r="C317" s="61"/>
      <c r="D317" s="62"/>
      <c r="E317" s="157"/>
      <c r="F317" s="137"/>
      <c r="G317" s="217"/>
    </row>
    <row r="318" spans="1:7" s="34" customFormat="1" ht="14.45">
      <c r="A318" s="59"/>
      <c r="B318" s="63"/>
      <c r="C318" s="61"/>
      <c r="D318" s="62"/>
      <c r="E318" s="157"/>
      <c r="F318" s="137"/>
      <c r="G318" s="217"/>
    </row>
    <row r="319" spans="1:7" s="34" customFormat="1" ht="14.45">
      <c r="A319" s="59"/>
      <c r="B319" s="63"/>
      <c r="C319" s="61"/>
      <c r="D319" s="62"/>
      <c r="E319" s="157"/>
      <c r="F319" s="137"/>
      <c r="G319" s="217"/>
    </row>
    <row r="320" spans="1:7" s="34" customFormat="1" ht="14.45">
      <c r="A320" s="59"/>
      <c r="B320" s="63"/>
      <c r="C320" s="61"/>
      <c r="D320" s="62"/>
      <c r="E320" s="157"/>
      <c r="F320" s="137"/>
      <c r="G320" s="217"/>
    </row>
    <row r="321" spans="1:7" s="34" customFormat="1" ht="14.45">
      <c r="A321" s="59"/>
      <c r="B321" s="63"/>
      <c r="C321" s="61"/>
      <c r="D321" s="62"/>
      <c r="E321" s="157"/>
      <c r="F321" s="137"/>
      <c r="G321" s="217"/>
    </row>
    <row r="322" spans="1:7" s="34" customFormat="1" ht="14.45">
      <c r="A322" s="59"/>
      <c r="B322" s="63"/>
      <c r="C322" s="61"/>
      <c r="D322" s="62"/>
      <c r="E322" s="157"/>
      <c r="F322" s="137"/>
      <c r="G322" s="217"/>
    </row>
    <row r="323" spans="1:7" s="34" customFormat="1" ht="14.45">
      <c r="A323" s="59"/>
      <c r="B323" s="63"/>
      <c r="C323" s="61"/>
      <c r="D323" s="62"/>
      <c r="E323" s="157"/>
      <c r="F323" s="137"/>
      <c r="G323" s="217"/>
    </row>
    <row r="324" spans="1:7" s="34" customFormat="1" ht="14.45">
      <c r="A324" s="71"/>
      <c r="B324" s="72"/>
      <c r="C324" s="73"/>
      <c r="D324" s="74"/>
      <c r="E324" s="159"/>
      <c r="F324" s="138"/>
      <c r="G324" s="226"/>
    </row>
    <row r="325" spans="1:7" s="34" customFormat="1" ht="14.45">
      <c r="A325" s="75"/>
      <c r="B325" s="76"/>
      <c r="C325" s="77" t="s">
        <v>30</v>
      </c>
      <c r="D325" s="77"/>
      <c r="E325" s="160" t="s">
        <v>8</v>
      </c>
      <c r="F325" s="139">
        <f>SUM(F287:F301)</f>
        <v>595082.48</v>
      </c>
      <c r="G325" s="227"/>
    </row>
    <row r="326" spans="1:7" s="34" customFormat="1" ht="14.45">
      <c r="A326" s="75"/>
      <c r="B326" s="76"/>
      <c r="C326" s="78"/>
      <c r="D326" s="79"/>
      <c r="E326" s="161"/>
      <c r="F326" s="140"/>
      <c r="G326" s="228"/>
    </row>
    <row r="327" spans="1:7" s="34" customFormat="1" ht="14.45">
      <c r="A327" s="59"/>
      <c r="B327" s="63"/>
      <c r="C327" s="61"/>
      <c r="D327" s="62"/>
      <c r="E327" s="157"/>
      <c r="F327" s="137"/>
      <c r="G327" s="217"/>
    </row>
    <row r="328" spans="1:7" s="34" customFormat="1" ht="14.45">
      <c r="A328" s="59"/>
      <c r="B328" s="64" t="s">
        <v>105</v>
      </c>
      <c r="C328" s="61"/>
      <c r="D328" s="62"/>
      <c r="E328" s="157"/>
      <c r="F328" s="137"/>
      <c r="G328" s="217"/>
    </row>
    <row r="329" spans="1:7" s="34" customFormat="1" ht="14.45">
      <c r="A329" s="59"/>
      <c r="B329" s="100"/>
      <c r="C329" s="61"/>
      <c r="D329" s="62"/>
      <c r="E329" s="157"/>
      <c r="F329" s="137"/>
      <c r="G329" s="217"/>
    </row>
    <row r="330" spans="1:7" s="34" customFormat="1" ht="69">
      <c r="A330" s="66" t="s">
        <v>14</v>
      </c>
      <c r="B330" s="67" t="s">
        <v>426</v>
      </c>
      <c r="C330" s="68"/>
      <c r="D330" s="69" t="s">
        <v>2</v>
      </c>
      <c r="E330" s="157"/>
      <c r="F330" s="137">
        <f>C330*E330</f>
        <v>0</v>
      </c>
      <c r="G330" s="217"/>
    </row>
    <row r="331" spans="1:7" s="34" customFormat="1" ht="14.45">
      <c r="A331" s="66"/>
      <c r="B331" s="67"/>
      <c r="C331" s="68"/>
      <c r="D331" s="69"/>
      <c r="E331" s="157"/>
      <c r="F331" s="137"/>
      <c r="G331" s="217"/>
    </row>
    <row r="332" spans="1:7" s="34" customFormat="1" ht="14.45">
      <c r="A332" s="147" t="s">
        <v>210</v>
      </c>
      <c r="B332" s="146" t="s">
        <v>213</v>
      </c>
      <c r="C332" s="148"/>
      <c r="D332" s="149"/>
      <c r="E332" s="157"/>
      <c r="F332" s="137"/>
      <c r="G332" s="217"/>
    </row>
    <row r="333" spans="1:7" s="34" customFormat="1" ht="14.45">
      <c r="A333" s="147"/>
      <c r="B333" s="146"/>
      <c r="C333" s="148"/>
      <c r="D333" s="149"/>
      <c r="E333" s="157"/>
      <c r="F333" s="137"/>
      <c r="G333" s="217"/>
    </row>
    <row r="334" spans="1:7" s="34" customFormat="1" ht="27.6">
      <c r="A334" s="290" t="s">
        <v>17</v>
      </c>
      <c r="B334" s="291" t="s">
        <v>214</v>
      </c>
      <c r="C334" s="292">
        <v>1</v>
      </c>
      <c r="D334" s="293" t="s">
        <v>215</v>
      </c>
      <c r="E334" s="283"/>
      <c r="F334" s="284">
        <f>+C334*E334</f>
        <v>0</v>
      </c>
      <c r="G334" s="294"/>
    </row>
    <row r="335" spans="1:7" s="34" customFormat="1" ht="14.45">
      <c r="A335" s="45"/>
      <c r="B335" s="48"/>
      <c r="C335" s="46"/>
      <c r="D335" s="47"/>
      <c r="E335" s="157"/>
      <c r="F335" s="137"/>
      <c r="G335" s="217"/>
    </row>
    <row r="336" spans="1:7" s="34" customFormat="1" ht="14.45">
      <c r="A336" s="45"/>
      <c r="B336" s="48"/>
      <c r="C336" s="46"/>
      <c r="D336" s="47"/>
      <c r="E336" s="157"/>
      <c r="F336" s="137"/>
      <c r="G336" s="217"/>
    </row>
    <row r="337" spans="1:7" s="34" customFormat="1" ht="14.45">
      <c r="A337" s="45"/>
      <c r="B337" s="48"/>
      <c r="C337" s="46"/>
      <c r="D337" s="47"/>
      <c r="E337" s="157"/>
      <c r="F337" s="137"/>
      <c r="G337" s="217"/>
    </row>
    <row r="338" spans="1:7" s="34" customFormat="1" ht="14.45">
      <c r="A338" s="45"/>
      <c r="B338" s="48"/>
      <c r="C338" s="46"/>
      <c r="D338" s="47"/>
      <c r="E338" s="157"/>
      <c r="F338" s="137"/>
      <c r="G338" s="217"/>
    </row>
    <row r="339" spans="1:7" s="34" customFormat="1" ht="14.45">
      <c r="A339" s="45"/>
      <c r="B339" s="48"/>
      <c r="C339" s="46"/>
      <c r="D339" s="47"/>
      <c r="E339" s="157"/>
      <c r="F339" s="137"/>
      <c r="G339" s="217"/>
    </row>
    <row r="340" spans="1:7" s="34" customFormat="1" ht="14.45">
      <c r="A340" s="45"/>
      <c r="B340" s="48"/>
      <c r="C340" s="46"/>
      <c r="D340" s="47"/>
      <c r="E340" s="157"/>
      <c r="F340" s="137"/>
      <c r="G340" s="217"/>
    </row>
    <row r="341" spans="1:7" s="34" customFormat="1" ht="14.45">
      <c r="A341" s="45"/>
      <c r="B341" s="48"/>
      <c r="C341" s="46"/>
      <c r="D341" s="47"/>
      <c r="E341" s="157"/>
      <c r="F341" s="137"/>
      <c r="G341" s="217"/>
    </row>
    <row r="342" spans="1:7" s="34" customFormat="1" ht="14.45">
      <c r="A342" s="45"/>
      <c r="B342" s="48"/>
      <c r="C342" s="46"/>
      <c r="D342" s="47"/>
      <c r="E342" s="157"/>
      <c r="F342" s="137"/>
      <c r="G342" s="217"/>
    </row>
    <row r="343" spans="1:7" s="34" customFormat="1" ht="14.45">
      <c r="A343" s="45"/>
      <c r="B343" s="48"/>
      <c r="C343" s="46"/>
      <c r="D343" s="47"/>
      <c r="E343" s="157"/>
      <c r="F343" s="137"/>
      <c r="G343" s="217"/>
    </row>
    <row r="344" spans="1:7" s="34" customFormat="1" ht="14.45">
      <c r="A344" s="45"/>
      <c r="B344" s="48"/>
      <c r="C344" s="46"/>
      <c r="D344" s="47"/>
      <c r="E344" s="157"/>
      <c r="F344" s="137"/>
      <c r="G344" s="217"/>
    </row>
    <row r="345" spans="1:7" s="34" customFormat="1" ht="14.45">
      <c r="A345" s="45"/>
      <c r="B345" s="48"/>
      <c r="C345" s="46"/>
      <c r="D345" s="47"/>
      <c r="E345" s="157"/>
      <c r="F345" s="137"/>
      <c r="G345" s="217"/>
    </row>
    <row r="346" spans="1:7" s="34" customFormat="1" ht="14.45">
      <c r="A346" s="45"/>
      <c r="B346" s="48"/>
      <c r="C346" s="46"/>
      <c r="D346" s="47"/>
      <c r="E346" s="157"/>
      <c r="F346" s="137"/>
      <c r="G346" s="217"/>
    </row>
    <row r="347" spans="1:7" s="34" customFormat="1" ht="14.45">
      <c r="A347" s="45"/>
      <c r="B347" s="48"/>
      <c r="C347" s="46"/>
      <c r="D347" s="47"/>
      <c r="E347" s="157"/>
      <c r="F347" s="137"/>
      <c r="G347" s="217"/>
    </row>
    <row r="348" spans="1:7" s="34" customFormat="1" ht="14.45">
      <c r="A348" s="45"/>
      <c r="B348" s="48"/>
      <c r="C348" s="46"/>
      <c r="D348" s="47"/>
      <c r="E348" s="157"/>
      <c r="F348" s="137"/>
      <c r="G348" s="217"/>
    </row>
    <row r="349" spans="1:7" s="34" customFormat="1" ht="14.45">
      <c r="A349" s="45"/>
      <c r="B349" s="48"/>
      <c r="C349" s="46"/>
      <c r="D349" s="47"/>
      <c r="E349" s="157"/>
      <c r="F349" s="137"/>
      <c r="G349" s="217"/>
    </row>
    <row r="350" spans="1:7" s="34" customFormat="1" ht="14.45">
      <c r="A350" s="45"/>
      <c r="B350" s="48"/>
      <c r="C350" s="46"/>
      <c r="D350" s="47"/>
      <c r="E350" s="157"/>
      <c r="F350" s="137"/>
      <c r="G350" s="217"/>
    </row>
    <row r="351" spans="1:7" s="34" customFormat="1" ht="14.45">
      <c r="A351" s="45"/>
      <c r="B351" s="48"/>
      <c r="C351" s="46"/>
      <c r="D351" s="47"/>
      <c r="E351" s="157"/>
      <c r="F351" s="137"/>
      <c r="G351" s="217"/>
    </row>
    <row r="352" spans="1:7" s="34" customFormat="1" ht="14.45">
      <c r="A352" s="45"/>
      <c r="B352" s="48"/>
      <c r="C352" s="46"/>
      <c r="D352" s="47"/>
      <c r="E352" s="157"/>
      <c r="F352" s="137"/>
      <c r="G352" s="217"/>
    </row>
    <row r="353" spans="1:7" s="34" customFormat="1" ht="14.45">
      <c r="A353" s="45"/>
      <c r="B353" s="48"/>
      <c r="C353" s="46"/>
      <c r="D353" s="47"/>
      <c r="E353" s="157"/>
      <c r="F353" s="137"/>
      <c r="G353" s="217"/>
    </row>
    <row r="354" spans="1:7" s="34" customFormat="1" ht="14.45">
      <c r="A354" s="45"/>
      <c r="B354" s="48"/>
      <c r="C354" s="46"/>
      <c r="D354" s="47"/>
      <c r="E354" s="157"/>
      <c r="F354" s="137"/>
      <c r="G354" s="217"/>
    </row>
    <row r="355" spans="1:7" s="34" customFormat="1" ht="14.45">
      <c r="A355" s="45"/>
      <c r="B355" s="48"/>
      <c r="C355" s="46"/>
      <c r="D355" s="47"/>
      <c r="E355" s="157"/>
      <c r="F355" s="137"/>
      <c r="G355" s="217"/>
    </row>
    <row r="356" spans="1:7" s="34" customFormat="1" ht="14.45">
      <c r="A356" s="45"/>
      <c r="B356" s="48"/>
      <c r="C356" s="46"/>
      <c r="D356" s="47"/>
      <c r="E356" s="157"/>
      <c r="F356" s="137"/>
      <c r="G356" s="217"/>
    </row>
    <row r="357" spans="1:7" s="34" customFormat="1" ht="14.45">
      <c r="A357" s="45"/>
      <c r="B357" s="48"/>
      <c r="C357" s="46"/>
      <c r="D357" s="47"/>
      <c r="E357" s="157"/>
      <c r="F357" s="137"/>
      <c r="G357" s="217"/>
    </row>
    <row r="358" spans="1:7" s="34" customFormat="1" ht="14.45">
      <c r="A358" s="45"/>
      <c r="B358" s="48"/>
      <c r="C358" s="46"/>
      <c r="D358" s="47"/>
      <c r="E358" s="157"/>
      <c r="F358" s="137"/>
      <c r="G358" s="217"/>
    </row>
    <row r="359" spans="1:7" s="34" customFormat="1" ht="14.45">
      <c r="A359" s="45"/>
      <c r="B359" s="48"/>
      <c r="C359" s="46"/>
      <c r="D359" s="47"/>
      <c r="E359" s="157"/>
      <c r="F359" s="137"/>
      <c r="G359" s="217"/>
    </row>
    <row r="360" spans="1:7" s="34" customFormat="1" ht="14.45">
      <c r="A360" s="45"/>
      <c r="B360" s="48"/>
      <c r="C360" s="46"/>
      <c r="D360" s="47"/>
      <c r="E360" s="157"/>
      <c r="F360" s="137"/>
      <c r="G360" s="217"/>
    </row>
    <row r="361" spans="1:7" s="34" customFormat="1" ht="14.45">
      <c r="A361" s="45"/>
      <c r="B361" s="48"/>
      <c r="C361" s="46"/>
      <c r="D361" s="47"/>
      <c r="E361" s="157"/>
      <c r="F361" s="137"/>
      <c r="G361" s="217"/>
    </row>
    <row r="362" spans="1:7" s="34" customFormat="1" ht="14.45">
      <c r="A362" s="45"/>
      <c r="B362" s="48"/>
      <c r="C362" s="46"/>
      <c r="D362" s="47"/>
      <c r="E362" s="157"/>
      <c r="F362" s="137"/>
      <c r="G362" s="217"/>
    </row>
    <row r="363" spans="1:7" s="34" customFormat="1" ht="14.45">
      <c r="A363" s="45"/>
      <c r="B363" s="48"/>
      <c r="C363" s="46"/>
      <c r="D363" s="47"/>
      <c r="E363" s="157"/>
      <c r="F363" s="137"/>
      <c r="G363" s="217"/>
    </row>
    <row r="364" spans="1:7" s="34" customFormat="1" ht="14.45">
      <c r="A364" s="45"/>
      <c r="B364" s="48"/>
      <c r="C364" s="46"/>
      <c r="D364" s="47"/>
      <c r="E364" s="157"/>
      <c r="F364" s="137"/>
      <c r="G364" s="217"/>
    </row>
    <row r="365" spans="1:7" s="34" customFormat="1" ht="14.45">
      <c r="A365" s="49"/>
      <c r="B365" s="50"/>
      <c r="C365" s="51"/>
      <c r="D365" s="52"/>
      <c r="E365" s="159"/>
      <c r="F365" s="138"/>
      <c r="G365" s="226"/>
    </row>
    <row r="366" spans="1:7" s="34" customFormat="1" ht="14.45">
      <c r="A366" s="53"/>
      <c r="B366" s="54"/>
      <c r="C366" s="55" t="s">
        <v>30</v>
      </c>
      <c r="D366" s="55"/>
      <c r="E366" s="160" t="s">
        <v>8</v>
      </c>
      <c r="F366" s="139">
        <f>SUM(F330:F343)</f>
        <v>0</v>
      </c>
      <c r="G366" s="227"/>
    </row>
    <row r="367" spans="1:7" s="34" customFormat="1" ht="14.45">
      <c r="A367" s="53"/>
      <c r="B367" s="54"/>
      <c r="C367" s="56"/>
      <c r="D367" s="57"/>
      <c r="E367" s="161"/>
      <c r="F367" s="140"/>
      <c r="G367" s="228"/>
    </row>
    <row r="368" spans="1:7" s="34" customFormat="1" ht="14.45">
      <c r="A368" s="45"/>
      <c r="B368" s="63"/>
      <c r="C368" s="61"/>
      <c r="D368" s="62"/>
      <c r="E368" s="157"/>
      <c r="F368" s="137"/>
      <c r="G368" s="217"/>
    </row>
    <row r="369" spans="1:7" s="34" customFormat="1" ht="14.45">
      <c r="A369" s="45"/>
      <c r="B369" s="38" t="s">
        <v>109</v>
      </c>
      <c r="C369" s="61"/>
      <c r="D369" s="62"/>
      <c r="E369" s="157"/>
      <c r="F369" s="137"/>
      <c r="G369" s="217"/>
    </row>
    <row r="370" spans="1:7" s="34" customFormat="1" ht="14.45">
      <c r="A370" s="45"/>
      <c r="B370" s="32"/>
      <c r="C370" s="61"/>
      <c r="D370" s="62"/>
      <c r="E370" s="157"/>
      <c r="F370" s="137"/>
      <c r="G370" s="217"/>
    </row>
    <row r="371" spans="1:7" s="34" customFormat="1" ht="14.45">
      <c r="A371" s="45"/>
      <c r="B371" s="39" t="s">
        <v>427</v>
      </c>
      <c r="C371" s="61"/>
      <c r="D371" s="62"/>
      <c r="E371" s="157"/>
      <c r="F371" s="137">
        <f>F31</f>
        <v>221243.78999999998</v>
      </c>
      <c r="G371" s="217"/>
    </row>
    <row r="372" spans="1:7" s="34" customFormat="1" ht="14.45">
      <c r="A372" s="45"/>
      <c r="B372" s="32"/>
      <c r="C372" s="61"/>
      <c r="D372" s="62"/>
      <c r="E372" s="157"/>
      <c r="F372" s="137"/>
      <c r="G372" s="217"/>
    </row>
    <row r="373" spans="1:7" s="34" customFormat="1" ht="14.45">
      <c r="A373" s="45"/>
      <c r="B373" s="39" t="s">
        <v>428</v>
      </c>
      <c r="C373" s="61"/>
      <c r="D373" s="62"/>
      <c r="E373" s="157"/>
      <c r="F373" s="137">
        <f>F54</f>
        <v>212021.5</v>
      </c>
      <c r="G373" s="217"/>
    </row>
    <row r="374" spans="1:7" s="34" customFormat="1" ht="14.45">
      <c r="A374" s="45"/>
      <c r="B374" s="32"/>
      <c r="C374" s="61"/>
      <c r="D374" s="62"/>
      <c r="E374" s="157"/>
      <c r="F374" s="137"/>
      <c r="G374" s="217"/>
    </row>
    <row r="375" spans="1:7" s="34" customFormat="1" ht="14.45">
      <c r="A375" s="45"/>
      <c r="B375" s="39" t="s">
        <v>429</v>
      </c>
      <c r="C375" s="61"/>
      <c r="D375" s="62"/>
      <c r="E375" s="157"/>
      <c r="F375" s="137">
        <f>F77</f>
        <v>116072.69</v>
      </c>
      <c r="G375" s="217"/>
    </row>
    <row r="376" spans="1:7" s="34" customFormat="1" ht="14.45">
      <c r="A376" s="45"/>
      <c r="B376" s="32"/>
      <c r="C376" s="61"/>
      <c r="D376" s="62"/>
      <c r="E376" s="157"/>
      <c r="F376" s="137"/>
      <c r="G376" s="217"/>
    </row>
    <row r="377" spans="1:7" s="34" customFormat="1" ht="14.45">
      <c r="A377" s="45"/>
      <c r="B377" s="39" t="s">
        <v>430</v>
      </c>
      <c r="C377" s="61"/>
      <c r="D377" s="62"/>
      <c r="E377" s="157"/>
      <c r="F377" s="137">
        <f>F114</f>
        <v>5927509.6799999997</v>
      </c>
      <c r="G377" s="217"/>
    </row>
    <row r="378" spans="1:7" s="34" customFormat="1" ht="14.45">
      <c r="A378" s="45"/>
      <c r="B378" s="32"/>
      <c r="C378" s="61"/>
      <c r="D378" s="62"/>
      <c r="E378" s="157"/>
      <c r="F378" s="137"/>
      <c r="G378" s="217"/>
    </row>
    <row r="379" spans="1:7" s="34" customFormat="1" ht="14.45">
      <c r="A379" s="45"/>
      <c r="B379" s="39" t="s">
        <v>431</v>
      </c>
      <c r="C379" s="61"/>
      <c r="D379" s="62"/>
      <c r="E379" s="157"/>
      <c r="F379" s="137">
        <f>F152</f>
        <v>129216.63</v>
      </c>
      <c r="G379" s="217"/>
    </row>
    <row r="380" spans="1:7" s="34" customFormat="1" ht="14.45">
      <c r="A380" s="45"/>
      <c r="B380" s="32"/>
      <c r="C380" s="61"/>
      <c r="D380" s="62"/>
      <c r="E380" s="157"/>
      <c r="F380" s="137"/>
      <c r="G380" s="217"/>
    </row>
    <row r="381" spans="1:7" s="34" customFormat="1" ht="14.45">
      <c r="A381" s="45"/>
      <c r="B381" s="39" t="s">
        <v>432</v>
      </c>
      <c r="C381" s="61"/>
      <c r="D381" s="62"/>
      <c r="E381" s="157"/>
      <c r="F381" s="137">
        <f>F185</f>
        <v>234561.84999999995</v>
      </c>
      <c r="G381" s="217"/>
    </row>
    <row r="382" spans="1:7" s="34" customFormat="1" ht="14.45">
      <c r="A382" s="45"/>
      <c r="B382" s="32"/>
      <c r="C382" s="61"/>
      <c r="D382" s="62"/>
      <c r="E382" s="157"/>
      <c r="F382" s="137"/>
      <c r="G382" s="217"/>
    </row>
    <row r="383" spans="1:7" s="34" customFormat="1" ht="14.45">
      <c r="A383" s="45"/>
      <c r="B383" s="39" t="s">
        <v>433</v>
      </c>
      <c r="C383" s="61"/>
      <c r="D383" s="62"/>
      <c r="E383" s="157"/>
      <c r="F383" s="137">
        <f>F220</f>
        <v>202806.3</v>
      </c>
      <c r="G383" s="217"/>
    </row>
    <row r="384" spans="1:7" s="34" customFormat="1" ht="14.45">
      <c r="A384" s="45"/>
      <c r="B384" s="32"/>
      <c r="C384" s="61"/>
      <c r="D384" s="62"/>
      <c r="E384" s="157"/>
      <c r="F384" s="137"/>
      <c r="G384" s="217"/>
    </row>
    <row r="385" spans="1:7" s="34" customFormat="1" ht="14.45">
      <c r="A385" s="45"/>
      <c r="B385" s="39" t="s">
        <v>434</v>
      </c>
      <c r="C385" s="61"/>
      <c r="D385" s="62"/>
      <c r="E385" s="157"/>
      <c r="F385" s="137">
        <f>F249</f>
        <v>1389093.73</v>
      </c>
      <c r="G385" s="217"/>
    </row>
    <row r="386" spans="1:7" s="34" customFormat="1" ht="14.45">
      <c r="A386" s="45"/>
      <c r="B386" s="32"/>
      <c r="C386" s="61"/>
      <c r="D386" s="62"/>
      <c r="E386" s="157"/>
      <c r="F386" s="137"/>
      <c r="G386" s="217"/>
    </row>
    <row r="387" spans="1:7" s="34" customFormat="1" ht="14.45">
      <c r="A387" s="45"/>
      <c r="B387" s="39" t="s">
        <v>435</v>
      </c>
      <c r="C387" s="61"/>
      <c r="D387" s="62"/>
      <c r="E387" s="157"/>
      <c r="F387" s="137">
        <f>F283</f>
        <v>7590929.5500000007</v>
      </c>
      <c r="G387" s="217"/>
    </row>
    <row r="388" spans="1:7" s="34" customFormat="1" ht="14.45">
      <c r="A388" s="45"/>
      <c r="B388" s="32"/>
      <c r="C388" s="61"/>
      <c r="D388" s="62"/>
      <c r="E388" s="157"/>
      <c r="F388" s="137"/>
      <c r="G388" s="217"/>
    </row>
    <row r="389" spans="1:7" s="34" customFormat="1" ht="14.45">
      <c r="A389" s="45"/>
      <c r="B389" s="39" t="s">
        <v>436</v>
      </c>
      <c r="C389" s="61"/>
      <c r="D389" s="62"/>
      <c r="E389" s="157"/>
      <c r="F389" s="137">
        <f>F325</f>
        <v>595082.48</v>
      </c>
      <c r="G389" s="217"/>
    </row>
    <row r="390" spans="1:7" s="34" customFormat="1" ht="14.45">
      <c r="A390" s="45"/>
      <c r="B390" s="32"/>
      <c r="C390" s="61"/>
      <c r="D390" s="62"/>
      <c r="E390" s="157"/>
      <c r="F390" s="137"/>
      <c r="G390" s="217"/>
    </row>
    <row r="391" spans="1:7" s="34" customFormat="1" ht="14.45">
      <c r="A391" s="45"/>
      <c r="B391" s="39" t="s">
        <v>437</v>
      </c>
      <c r="C391" s="61"/>
      <c r="D391" s="62"/>
      <c r="E391" s="157"/>
      <c r="F391" s="137">
        <f>F366</f>
        <v>0</v>
      </c>
      <c r="G391" s="217"/>
    </row>
    <row r="392" spans="1:7" s="34" customFormat="1" ht="14.45">
      <c r="A392" s="45"/>
      <c r="B392" s="63"/>
      <c r="C392" s="61"/>
      <c r="D392" s="62"/>
      <c r="E392" s="157"/>
      <c r="F392" s="137"/>
      <c r="G392" s="217"/>
    </row>
    <row r="393" spans="1:7" s="34" customFormat="1" ht="14.45">
      <c r="A393" s="45"/>
      <c r="B393" s="39"/>
      <c r="C393" s="61"/>
      <c r="D393" s="62"/>
      <c r="E393" s="157"/>
      <c r="F393" s="137"/>
      <c r="G393" s="217"/>
    </row>
    <row r="394" spans="1:7" s="34" customFormat="1" ht="14.45">
      <c r="A394" s="45"/>
      <c r="B394" s="43"/>
      <c r="C394" s="46"/>
      <c r="D394" s="47"/>
      <c r="E394" s="157"/>
      <c r="F394" s="137"/>
      <c r="G394" s="217"/>
    </row>
    <row r="395" spans="1:7" s="34" customFormat="1" ht="14.45">
      <c r="A395" s="45"/>
      <c r="B395" s="48"/>
      <c r="C395" s="46"/>
      <c r="D395" s="47"/>
      <c r="E395" s="157"/>
      <c r="F395" s="137"/>
      <c r="G395" s="217"/>
    </row>
    <row r="396" spans="1:7" s="34" customFormat="1" ht="14.45">
      <c r="A396" s="45"/>
      <c r="B396" s="48"/>
      <c r="C396" s="46"/>
      <c r="D396" s="47"/>
      <c r="E396" s="157"/>
      <c r="F396" s="137"/>
      <c r="G396" s="217"/>
    </row>
    <row r="397" spans="1:7" s="34" customFormat="1" ht="14.45">
      <c r="A397" s="45"/>
      <c r="B397" s="48"/>
      <c r="C397" s="46"/>
      <c r="D397" s="47"/>
      <c r="E397" s="157"/>
      <c r="F397" s="137"/>
      <c r="G397" s="217"/>
    </row>
    <row r="398" spans="1:7" s="34" customFormat="1" ht="14.45">
      <c r="A398" s="45"/>
      <c r="B398" s="48"/>
      <c r="C398" s="46"/>
      <c r="D398" s="47"/>
      <c r="E398" s="157"/>
      <c r="F398" s="137"/>
      <c r="G398" s="217"/>
    </row>
    <row r="399" spans="1:7" s="34" customFormat="1" ht="14.45">
      <c r="A399" s="45"/>
      <c r="B399" s="48"/>
      <c r="C399" s="46"/>
      <c r="D399" s="47"/>
      <c r="E399" s="157"/>
      <c r="F399" s="137"/>
      <c r="G399" s="217"/>
    </row>
    <row r="400" spans="1:7" s="34" customFormat="1" ht="14.45">
      <c r="A400" s="45"/>
      <c r="B400" s="48"/>
      <c r="C400" s="46"/>
      <c r="D400" s="47"/>
      <c r="E400" s="157"/>
      <c r="F400" s="137"/>
      <c r="G400" s="217"/>
    </row>
    <row r="401" spans="1:7" s="34" customFormat="1" ht="14.45">
      <c r="A401" s="45"/>
      <c r="B401" s="48"/>
      <c r="C401" s="46"/>
      <c r="D401" s="47"/>
      <c r="E401" s="157"/>
      <c r="F401" s="137"/>
      <c r="G401" s="217"/>
    </row>
    <row r="402" spans="1:7" s="34" customFormat="1" ht="14.45">
      <c r="A402" s="45"/>
      <c r="B402" s="48"/>
      <c r="C402" s="46"/>
      <c r="D402" s="47"/>
      <c r="E402" s="157"/>
      <c r="F402" s="137"/>
      <c r="G402" s="217"/>
    </row>
    <row r="403" spans="1:7" s="34" customFormat="1" ht="14.45">
      <c r="A403" s="45"/>
      <c r="B403" s="48"/>
      <c r="C403" s="46"/>
      <c r="D403" s="47"/>
      <c r="E403" s="157"/>
      <c r="F403" s="137"/>
      <c r="G403" s="217"/>
    </row>
    <row r="404" spans="1:7" s="34" customFormat="1" ht="14.45">
      <c r="A404" s="45"/>
      <c r="B404" s="48"/>
      <c r="C404" s="46"/>
      <c r="D404" s="47"/>
      <c r="E404" s="157"/>
      <c r="F404" s="137"/>
      <c r="G404" s="217"/>
    </row>
    <row r="405" spans="1:7" s="34" customFormat="1" ht="14.45">
      <c r="A405" s="45"/>
      <c r="B405" s="48"/>
      <c r="C405" s="46"/>
      <c r="D405" s="47"/>
      <c r="E405" s="157"/>
      <c r="F405" s="137"/>
      <c r="G405" s="217"/>
    </row>
    <row r="406" spans="1:7" s="34" customFormat="1" ht="14.45">
      <c r="A406" s="45"/>
      <c r="B406" s="48"/>
      <c r="C406" s="46"/>
      <c r="D406" s="47"/>
      <c r="E406" s="157"/>
      <c r="F406" s="137"/>
      <c r="G406" s="217"/>
    </row>
    <row r="407" spans="1:7" s="34" customFormat="1" ht="14.45">
      <c r="A407" s="45"/>
      <c r="B407" s="48"/>
      <c r="C407" s="46"/>
      <c r="D407" s="47"/>
      <c r="E407" s="157"/>
      <c r="F407" s="137"/>
      <c r="G407" s="217"/>
    </row>
    <row r="408" spans="1:7" s="34" customFormat="1" ht="14.45">
      <c r="A408" s="45"/>
      <c r="B408" s="48"/>
      <c r="C408" s="46"/>
      <c r="D408" s="47"/>
      <c r="E408" s="157"/>
      <c r="F408" s="137"/>
      <c r="G408" s="217"/>
    </row>
    <row r="409" spans="1:7" s="34" customFormat="1" ht="14.45">
      <c r="A409" s="45"/>
      <c r="B409" s="48"/>
      <c r="C409" s="46"/>
      <c r="D409" s="47"/>
      <c r="E409" s="157"/>
      <c r="F409" s="137"/>
      <c r="G409" s="217"/>
    </row>
    <row r="410" spans="1:7" s="34" customFormat="1" ht="14.45">
      <c r="A410" s="45"/>
      <c r="B410" s="48"/>
      <c r="C410" s="46"/>
      <c r="D410" s="47"/>
      <c r="E410" s="157"/>
      <c r="F410" s="137"/>
      <c r="G410" s="217"/>
    </row>
    <row r="411" spans="1:7" s="34" customFormat="1" ht="14.45">
      <c r="A411" s="45"/>
      <c r="B411" s="48"/>
      <c r="C411" s="46"/>
      <c r="D411" s="47"/>
      <c r="E411" s="157"/>
      <c r="F411" s="137"/>
      <c r="G411" s="217"/>
    </row>
    <row r="412" spans="1:7" s="34" customFormat="1" ht="14.45">
      <c r="A412" s="45"/>
      <c r="B412" s="48"/>
      <c r="C412" s="46"/>
      <c r="D412" s="47"/>
      <c r="E412" s="157"/>
      <c r="F412" s="137"/>
      <c r="G412" s="217"/>
    </row>
    <row r="413" spans="1:7" s="34" customFormat="1" ht="14.45">
      <c r="A413" s="49"/>
      <c r="B413" s="50"/>
      <c r="C413" s="51"/>
      <c r="D413" s="52"/>
      <c r="E413" s="159"/>
      <c r="F413" s="138"/>
      <c r="G413" s="226"/>
    </row>
    <row r="414" spans="1:7" s="34" customFormat="1" ht="14.45">
      <c r="A414" s="53"/>
      <c r="B414" s="54"/>
      <c r="C414" s="55" t="s">
        <v>116</v>
      </c>
      <c r="D414" s="55"/>
      <c r="E414" s="160" t="s">
        <v>8</v>
      </c>
      <c r="F414" s="139">
        <f>SUM(F370:F401)</f>
        <v>16618538.200000001</v>
      </c>
      <c r="G414" s="227"/>
    </row>
    <row r="415" spans="1:7" s="34" customFormat="1" ht="14.45">
      <c r="A415" s="53"/>
      <c r="B415" s="54"/>
      <c r="C415" s="56"/>
      <c r="D415" s="57"/>
      <c r="E415" s="161"/>
      <c r="F415" s="140"/>
      <c r="G415" s="228"/>
    </row>
  </sheetData>
  <customSheetViews>
    <customSheetView guid="{3432A39B-C5E3-4DF0-8655-3886C046AF9C}" showPageBreaks="1" printArea="1" view="pageBreakPreview" topLeftCell="A397">
      <selection activeCell="G343" sqref="G343"/>
      <rowBreaks count="11" manualBreakCount="11">
        <brk id="32" max="5" man="1"/>
        <brk id="57" max="5" man="1"/>
        <brk id="80" max="5" man="1"/>
        <brk id="117" max="5" man="1"/>
        <brk id="155" max="5" man="1"/>
        <brk id="188" max="5" man="1"/>
        <brk id="223" max="5" man="1"/>
        <brk id="252" max="5" man="1"/>
        <brk id="286" max="5" man="1"/>
        <brk id="328" max="5" man="1"/>
        <brk id="369" max="5" man="1"/>
      </rowBreaks>
      <pageMargins left="0" right="0" top="0" bottom="0" header="0" footer="0"/>
      <printOptions horizontalCentered="1"/>
      <pageSetup paperSize="9" fitToHeight="0" orientation="portrait" useFirstPageNumber="1" r:id="rId1"/>
      <headerFooter>
        <oddHeader>&amp;R&amp;11&amp;U
BILL NO. 3 - MALL REFURBISHMENT
WOODWORK</oddHeader>
        <oddFooter>&amp;L&amp;8DMS 148704 BOQ - Nakheel Mall Al Khail&amp;C3/F/&amp;P</oddFooter>
      </headerFooter>
    </customSheetView>
    <customSheetView guid="{47E345F0-E696-46B9-B7A2-C22AD1CF4FAA}" showPageBreaks="1" printArea="1" view="pageBreakPreview" topLeftCell="A350">
      <selection activeCell="B14" sqref="B14"/>
      <rowBreaks count="11" manualBreakCount="11">
        <brk id="32" max="5" man="1"/>
        <brk id="57" max="5" man="1"/>
        <brk id="80" max="5" man="1"/>
        <brk id="117" max="5" man="1"/>
        <brk id="155" max="5" man="1"/>
        <brk id="188" max="5" man="1"/>
        <brk id="223" max="5" man="1"/>
        <brk id="252" max="5" man="1"/>
        <brk id="286" max="5" man="1"/>
        <brk id="328" max="5" man="1"/>
        <brk id="372" max="5" man="1"/>
      </rowBreaks>
      <pageMargins left="0" right="0" top="0" bottom="0" header="0" footer="0"/>
      <printOptions horizontalCentered="1"/>
      <pageSetup paperSize="9" fitToHeight="0" orientation="portrait" useFirstPageNumber="1" r:id="rId2"/>
      <headerFooter>
        <oddHeader>&amp;R&amp;11&amp;U
BILL NO. 3 - MALL REFURBISHMENT
WOODWORK</oddHeader>
        <oddFooter>&amp;L&amp;8DMS 148704 BOQ - Nakheel Mall Al Khail&amp;C3/F/&amp;P</oddFooter>
      </headerFooter>
    </customSheetView>
    <customSheetView guid="{252EBC6A-BD49-4FC3-9285-77861935BFE3}" showPageBreaks="1" printArea="1" view="pageBreakPreview" topLeftCell="A402">
      <selection activeCell="F420" sqref="F420"/>
      <rowBreaks count="11" manualBreakCount="11">
        <brk id="32" max="5" man="1"/>
        <brk id="57" max="5" man="1"/>
        <brk id="80" max="5" man="1"/>
        <brk id="117" max="5" man="1"/>
        <brk id="155" max="5" man="1"/>
        <brk id="188" max="5" man="1"/>
        <brk id="223" max="5" man="1"/>
        <brk id="252" max="5" man="1"/>
        <brk id="286" max="5" man="1"/>
        <brk id="328" max="5" man="1"/>
        <brk id="372" max="5" man="1"/>
      </rowBreaks>
      <pageMargins left="0" right="0" top="0" bottom="0" header="0" footer="0"/>
      <printOptions horizontalCentered="1"/>
      <pageSetup paperSize="9" fitToHeight="0" orientation="portrait" useFirstPageNumber="1" r:id="rId3"/>
      <headerFooter>
        <oddHeader>&amp;R&amp;11&amp;U
BILL NO. 3 - MALL REFURBISHMENT
WOODWORK</oddHeader>
        <oddFooter>&amp;L&amp;8DMS 148704 BOQ - Nakheel Mall Al Khail&amp;C3/F/&amp;P</oddFooter>
      </headerFooter>
    </customSheetView>
    <customSheetView guid="{80D5E0F2-D974-412D-A20C-052459C7A221}" showPageBreaks="1" printArea="1" view="pageBreakPreview" topLeftCell="A397">
      <selection activeCell="G343" sqref="G343"/>
      <rowBreaks count="11" manualBreakCount="11">
        <brk id="32" max="5" man="1"/>
        <brk id="57" max="5" man="1"/>
        <brk id="80" max="5" man="1"/>
        <brk id="117" max="5" man="1"/>
        <brk id="155" max="5" man="1"/>
        <brk id="188" max="5" man="1"/>
        <brk id="223" max="5" man="1"/>
        <brk id="252" max="5" man="1"/>
        <brk id="286" max="5" man="1"/>
        <brk id="328" max="5" man="1"/>
        <brk id="369" max="5" man="1"/>
      </rowBreaks>
      <pageMargins left="0" right="0" top="0" bottom="0" header="0" footer="0"/>
      <printOptions horizontalCentered="1"/>
      <pageSetup paperSize="9" fitToHeight="0" orientation="portrait" useFirstPageNumber="1" r:id="rId4"/>
      <headerFooter>
        <oddHeader>&amp;R&amp;11&amp;U
BILL NO. 3 - MALL REFURBISHMENT
WOODWORK</oddHeader>
        <oddFooter>&amp;L&amp;8DMS 148704 BOQ - Nakheel Mall Al Khail&amp;C3/F/&amp;P</oddFooter>
      </headerFooter>
    </customSheetView>
  </customSheetViews>
  <mergeCells count="5">
    <mergeCell ref="A1:A2"/>
    <mergeCell ref="B1:B2"/>
    <mergeCell ref="C1:C2"/>
    <mergeCell ref="D1:D2"/>
    <mergeCell ref="G1:G2"/>
  </mergeCells>
  <printOptions horizontalCentered="1"/>
  <pageMargins left="0.6692913385826772" right="0.19685039370078741" top="0.82677165354330717" bottom="0.47244094488188981" header="0.19685039370078741" footer="0.23622047244094491"/>
  <pageSetup paperSize="9" scale="91" fitToHeight="0" orientation="portrait" useFirstPageNumber="1" r:id="rId5"/>
  <headerFooter>
    <oddHeader>&amp;R&amp;11&amp;U
BILL NO. 3 - MALL REFURBISHMENT
WOODWORK</oddHeader>
    <oddFooter>&amp;L&amp;8DMS 148704 BOQ - Nakheel Mall Al Khail&amp;C3/F/&amp;P</oddFooter>
  </headerFooter>
  <rowBreaks count="11" manualBreakCount="11">
    <brk id="32" max="6" man="1"/>
    <brk id="55" max="6" man="1"/>
    <brk id="78" max="6" man="1"/>
    <brk id="115" max="6" man="1"/>
    <brk id="153" max="6" man="1"/>
    <brk id="186" max="6" man="1"/>
    <brk id="221" max="6" man="1"/>
    <brk id="250" max="6" man="1"/>
    <brk id="284" max="6" man="1"/>
    <brk id="326" max="6" man="1"/>
    <brk id="367" max="6"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0CA60-D8DE-4649-BF4E-078AB446701E}">
  <sheetPr codeName="Sheet8"/>
  <dimension ref="A1:F141"/>
  <sheetViews>
    <sheetView view="pageBreakPreview" topLeftCell="A11" zoomScale="85" zoomScaleNormal="100" zoomScaleSheetLayoutView="85" zoomScalePageLayoutView="70" workbookViewId="0">
      <selection activeCell="C11" sqref="C1:C1048576"/>
    </sheetView>
  </sheetViews>
  <sheetFormatPr defaultColWidth="9.28515625" defaultRowHeight="13.9"/>
  <cols>
    <col min="1" max="1" width="5.7109375" style="36" customWidth="1"/>
    <col min="2" max="2" width="46" style="27" customWidth="1"/>
    <col min="3" max="3" width="9.28515625" style="28" customWidth="1"/>
    <col min="4" max="4" width="6.7109375" style="37" customWidth="1"/>
    <col min="5" max="5" width="11.7109375" style="162" customWidth="1"/>
    <col min="6" max="6" width="15.7109375" style="142" customWidth="1"/>
    <col min="7" max="16384" width="9.28515625" style="35"/>
  </cols>
  <sheetData>
    <row r="1" spans="1:6" s="30" customFormat="1" ht="14.45">
      <c r="A1" s="332" t="s">
        <v>2</v>
      </c>
      <c r="B1" s="332" t="s">
        <v>3</v>
      </c>
      <c r="C1" s="334" t="s">
        <v>4</v>
      </c>
      <c r="D1" s="336" t="s">
        <v>5</v>
      </c>
      <c r="E1" s="155" t="s">
        <v>6</v>
      </c>
      <c r="F1" s="135" t="s">
        <v>7</v>
      </c>
    </row>
    <row r="2" spans="1:6" s="30" customFormat="1" ht="14.45">
      <c r="A2" s="333"/>
      <c r="B2" s="333"/>
      <c r="C2" s="335"/>
      <c r="D2" s="337"/>
      <c r="E2" s="156" t="s">
        <v>8</v>
      </c>
      <c r="F2" s="136" t="s">
        <v>8</v>
      </c>
    </row>
    <row r="3" spans="1:6" s="34" customFormat="1" ht="14.45">
      <c r="A3" s="31"/>
      <c r="B3" s="32"/>
      <c r="C3" s="29"/>
      <c r="D3" s="33"/>
      <c r="E3" s="157"/>
      <c r="F3" s="137"/>
    </row>
    <row r="4" spans="1:6" s="34" customFormat="1" ht="14.45">
      <c r="A4" s="59"/>
      <c r="B4" s="63" t="s">
        <v>438</v>
      </c>
      <c r="C4" s="61"/>
      <c r="D4" s="62"/>
      <c r="E4" s="157"/>
      <c r="F4" s="137"/>
    </row>
    <row r="5" spans="1:6" s="34" customFormat="1" ht="14.45">
      <c r="A5" s="59"/>
      <c r="B5" s="63"/>
      <c r="C5" s="61"/>
      <c r="D5" s="62"/>
      <c r="E5" s="157"/>
      <c r="F5" s="137"/>
    </row>
    <row r="6" spans="1:6" s="34" customFormat="1" ht="14.45">
      <c r="A6" s="59"/>
      <c r="B6" s="64" t="s">
        <v>439</v>
      </c>
      <c r="C6" s="61"/>
      <c r="D6" s="62"/>
      <c r="E6" s="157"/>
      <c r="F6" s="137"/>
    </row>
    <row r="7" spans="1:6" s="34" customFormat="1" ht="14.45">
      <c r="A7" s="59"/>
      <c r="B7" s="65"/>
      <c r="C7" s="61"/>
      <c r="D7" s="62"/>
      <c r="E7" s="157"/>
      <c r="F7" s="137"/>
    </row>
    <row r="8" spans="1:6" s="34" customFormat="1" ht="14.45">
      <c r="A8" s="66"/>
      <c r="B8" s="67" t="s">
        <v>52</v>
      </c>
      <c r="C8" s="68"/>
      <c r="D8" s="69"/>
      <c r="E8" s="157"/>
      <c r="F8" s="137"/>
    </row>
    <row r="9" spans="1:6" s="34" customFormat="1" ht="14.45">
      <c r="A9" s="59"/>
      <c r="B9" s="65"/>
      <c r="C9" s="61"/>
      <c r="D9" s="62"/>
      <c r="E9" s="157"/>
      <c r="F9" s="137"/>
    </row>
    <row r="10" spans="1:6" s="34" customFormat="1" ht="14.45">
      <c r="A10" s="66"/>
      <c r="B10" s="67" t="s">
        <v>53</v>
      </c>
      <c r="C10" s="68"/>
      <c r="D10" s="69"/>
      <c r="E10" s="157"/>
      <c r="F10" s="137"/>
    </row>
    <row r="11" spans="1:6" s="34" customFormat="1" ht="14.45">
      <c r="A11" s="59"/>
      <c r="B11" s="65"/>
      <c r="C11" s="61"/>
      <c r="D11" s="62"/>
      <c r="E11" s="157"/>
      <c r="F11" s="137"/>
    </row>
    <row r="12" spans="1:6" s="34" customFormat="1" ht="14.45">
      <c r="A12" s="66"/>
      <c r="B12" s="67" t="s">
        <v>125</v>
      </c>
      <c r="C12" s="68"/>
      <c r="D12" s="69"/>
      <c r="E12" s="157"/>
      <c r="F12" s="137"/>
    </row>
    <row r="13" spans="1:6" s="34" customFormat="1" ht="14.45">
      <c r="A13" s="59"/>
      <c r="B13" s="65"/>
      <c r="C13" s="61"/>
      <c r="D13" s="62"/>
      <c r="E13" s="157"/>
      <c r="F13" s="137"/>
    </row>
    <row r="14" spans="1:6" s="34" customFormat="1" ht="41.45">
      <c r="A14" s="66"/>
      <c r="B14" s="98" t="s">
        <v>440</v>
      </c>
      <c r="C14" s="68"/>
      <c r="D14" s="69"/>
      <c r="E14" s="157"/>
      <c r="F14" s="137"/>
    </row>
    <row r="15" spans="1:6" s="34" customFormat="1" ht="14.45">
      <c r="A15" s="59"/>
      <c r="B15" s="100"/>
      <c r="C15" s="61"/>
      <c r="D15" s="62"/>
      <c r="E15" s="157"/>
      <c r="F15" s="137"/>
    </row>
    <row r="16" spans="1:6" s="34" customFormat="1" ht="14.45">
      <c r="A16" s="66" t="s">
        <v>14</v>
      </c>
      <c r="B16" s="67" t="s">
        <v>441</v>
      </c>
      <c r="C16" s="68">
        <v>3040</v>
      </c>
      <c r="D16" s="69" t="s">
        <v>16</v>
      </c>
      <c r="E16" s="157">
        <v>23.69</v>
      </c>
      <c r="F16" s="137">
        <f>C16*E16</f>
        <v>72017.600000000006</v>
      </c>
    </row>
    <row r="17" spans="1:6" s="34" customFormat="1" ht="14.45">
      <c r="A17" s="59"/>
      <c r="B17" s="100"/>
      <c r="C17" s="61"/>
      <c r="D17" s="62"/>
      <c r="E17" s="157"/>
      <c r="F17" s="137"/>
    </row>
    <row r="18" spans="1:6" s="34" customFormat="1" ht="14.45">
      <c r="A18" s="66" t="s">
        <v>17</v>
      </c>
      <c r="B18" s="67" t="s">
        <v>442</v>
      </c>
      <c r="C18" s="68">
        <v>3761</v>
      </c>
      <c r="D18" s="69" t="s">
        <v>199</v>
      </c>
      <c r="E18" s="157">
        <v>10.77</v>
      </c>
      <c r="F18" s="137">
        <f>C18*E18</f>
        <v>40505.97</v>
      </c>
    </row>
    <row r="19" spans="1:6" s="34" customFormat="1" ht="14.45">
      <c r="A19" s="59"/>
      <c r="B19" s="100"/>
      <c r="C19" s="61"/>
      <c r="D19" s="62"/>
      <c r="E19" s="157"/>
      <c r="F19" s="137"/>
    </row>
    <row r="20" spans="1:6" s="34" customFormat="1" ht="41.45">
      <c r="A20" s="66"/>
      <c r="B20" s="98" t="s">
        <v>443</v>
      </c>
      <c r="C20" s="68"/>
      <c r="D20" s="69"/>
      <c r="E20" s="157"/>
      <c r="F20" s="137"/>
    </row>
    <row r="21" spans="1:6" s="34" customFormat="1" ht="14.45">
      <c r="A21" s="59"/>
      <c r="B21" s="100"/>
      <c r="C21" s="61"/>
      <c r="D21" s="62"/>
      <c r="E21" s="157"/>
      <c r="F21" s="137"/>
    </row>
    <row r="22" spans="1:6" s="34" customFormat="1" ht="14.45">
      <c r="A22" s="66" t="s">
        <v>20</v>
      </c>
      <c r="B22" s="67" t="s">
        <v>444</v>
      </c>
      <c r="C22" s="68">
        <v>51</v>
      </c>
      <c r="D22" s="69" t="s">
        <v>16</v>
      </c>
      <c r="E22" s="157">
        <v>37.69</v>
      </c>
      <c r="F22" s="137">
        <f>C22*E22</f>
        <v>1922.1899999999998</v>
      </c>
    </row>
    <row r="23" spans="1:6" s="34" customFormat="1" ht="14.45">
      <c r="A23" s="59"/>
      <c r="B23" s="100"/>
      <c r="C23" s="61"/>
      <c r="D23" s="62"/>
      <c r="E23" s="157"/>
      <c r="F23" s="137"/>
    </row>
    <row r="24" spans="1:6" s="34" customFormat="1" ht="14.45">
      <c r="A24" s="66" t="s">
        <v>23</v>
      </c>
      <c r="B24" s="67" t="s">
        <v>445</v>
      </c>
      <c r="C24" s="68">
        <v>907</v>
      </c>
      <c r="D24" s="69" t="s">
        <v>16</v>
      </c>
      <c r="E24" s="157">
        <v>37.69</v>
      </c>
      <c r="F24" s="137">
        <f>C24*E24</f>
        <v>34184.829999999994</v>
      </c>
    </row>
    <row r="25" spans="1:6" s="34" customFormat="1" ht="14.45">
      <c r="A25" s="59"/>
      <c r="B25" s="100"/>
      <c r="C25" s="61"/>
      <c r="D25" s="62"/>
      <c r="E25" s="157"/>
      <c r="F25" s="137"/>
    </row>
    <row r="26" spans="1:6" s="34" customFormat="1" ht="14.45">
      <c r="A26" s="66" t="s">
        <v>27</v>
      </c>
      <c r="B26" s="67" t="s">
        <v>446</v>
      </c>
      <c r="C26" s="68">
        <v>1386</v>
      </c>
      <c r="D26" s="69" t="s">
        <v>16</v>
      </c>
      <c r="E26" s="157">
        <v>37.69</v>
      </c>
      <c r="F26" s="137">
        <f>C26*E26</f>
        <v>52238.34</v>
      </c>
    </row>
    <row r="27" spans="1:6" s="34" customFormat="1" ht="14.45">
      <c r="A27" s="59"/>
      <c r="B27" s="100"/>
      <c r="C27" s="61"/>
      <c r="D27" s="62"/>
      <c r="E27" s="157"/>
      <c r="F27" s="137"/>
    </row>
    <row r="28" spans="1:6" s="34" customFormat="1" ht="14.45">
      <c r="A28" s="66" t="s">
        <v>44</v>
      </c>
      <c r="B28" s="67" t="s">
        <v>447</v>
      </c>
      <c r="C28" s="68" t="s">
        <v>25</v>
      </c>
      <c r="D28" s="69" t="s">
        <v>16</v>
      </c>
      <c r="E28" s="157">
        <v>37.69</v>
      </c>
      <c r="F28" s="137">
        <f>C28*E28</f>
        <v>4899.7</v>
      </c>
    </row>
    <row r="29" spans="1:6" s="34" customFormat="1" ht="14.45">
      <c r="A29" s="59"/>
      <c r="B29" s="100"/>
      <c r="C29" s="61"/>
      <c r="D29" s="62"/>
      <c r="E29" s="157"/>
      <c r="F29" s="137"/>
    </row>
    <row r="30" spans="1:6" s="34" customFormat="1" ht="14.45">
      <c r="A30" s="66" t="s">
        <v>48</v>
      </c>
      <c r="B30" s="67" t="s">
        <v>448</v>
      </c>
      <c r="C30" s="68" t="s">
        <v>449</v>
      </c>
      <c r="D30" s="69" t="s">
        <v>16</v>
      </c>
      <c r="E30" s="157">
        <v>37.69</v>
      </c>
      <c r="F30" s="137">
        <f>C30*E30</f>
        <v>30453.519999999997</v>
      </c>
    </row>
    <row r="31" spans="1:6" s="34" customFormat="1" ht="14.45">
      <c r="A31" s="59"/>
      <c r="B31" s="100"/>
      <c r="C31" s="61"/>
      <c r="D31" s="62"/>
      <c r="E31" s="157"/>
      <c r="F31" s="137"/>
    </row>
    <row r="32" spans="1:6" s="34" customFormat="1" ht="14.45">
      <c r="A32" s="66" t="s">
        <v>84</v>
      </c>
      <c r="B32" s="67" t="s">
        <v>450</v>
      </c>
      <c r="C32" s="68" t="s">
        <v>451</v>
      </c>
      <c r="D32" s="69" t="s">
        <v>16</v>
      </c>
      <c r="E32" s="157">
        <v>37.69</v>
      </c>
      <c r="F32" s="137">
        <f>C32*E32</f>
        <v>603.04</v>
      </c>
    </row>
    <row r="33" spans="1:6" s="34" customFormat="1" ht="14.45">
      <c r="A33" s="66"/>
      <c r="B33" s="99"/>
      <c r="C33" s="68"/>
      <c r="D33" s="69"/>
      <c r="E33" s="157"/>
      <c r="F33" s="137"/>
    </row>
    <row r="34" spans="1:6" s="34" customFormat="1" ht="14.45">
      <c r="A34" s="66"/>
      <c r="B34" s="99"/>
      <c r="C34" s="68"/>
      <c r="D34" s="69"/>
      <c r="E34" s="157"/>
      <c r="F34" s="137"/>
    </row>
    <row r="35" spans="1:6" s="34" customFormat="1" ht="14.45">
      <c r="A35" s="59"/>
      <c r="B35" s="100"/>
      <c r="C35" s="61"/>
      <c r="D35" s="62"/>
      <c r="E35" s="157"/>
      <c r="F35" s="137"/>
    </row>
    <row r="36" spans="1:6" s="34" customFormat="1" ht="14.45">
      <c r="A36" s="59"/>
      <c r="B36" s="100"/>
      <c r="C36" s="61"/>
      <c r="D36" s="62"/>
      <c r="E36" s="157"/>
      <c r="F36" s="137"/>
    </row>
    <row r="37" spans="1:6" s="34" customFormat="1" ht="14.45">
      <c r="A37" s="66"/>
      <c r="B37" s="99"/>
      <c r="C37" s="68"/>
      <c r="D37" s="69"/>
      <c r="E37" s="157"/>
      <c r="F37" s="137"/>
    </row>
    <row r="38" spans="1:6" s="34" customFormat="1" ht="14.45">
      <c r="A38" s="59"/>
      <c r="B38" s="100"/>
      <c r="C38" s="61"/>
      <c r="D38" s="62"/>
      <c r="E38" s="157"/>
      <c r="F38" s="137"/>
    </row>
    <row r="39" spans="1:6" s="34" customFormat="1" ht="14.45">
      <c r="A39" s="66"/>
      <c r="B39" s="99"/>
      <c r="C39" s="68"/>
      <c r="D39" s="69"/>
      <c r="E39" s="157"/>
      <c r="F39" s="137"/>
    </row>
    <row r="40" spans="1:6" s="34" customFormat="1" ht="14.45">
      <c r="A40" s="59"/>
      <c r="B40" s="100"/>
      <c r="C40" s="61"/>
      <c r="D40" s="62"/>
      <c r="E40" s="157"/>
      <c r="F40" s="137"/>
    </row>
    <row r="41" spans="1:6" s="34" customFormat="1" ht="14.45">
      <c r="A41" s="59"/>
      <c r="B41" s="100"/>
      <c r="C41" s="61"/>
      <c r="D41" s="62"/>
      <c r="E41" s="157"/>
      <c r="F41" s="137"/>
    </row>
    <row r="42" spans="1:6" s="34" customFormat="1" ht="14.45">
      <c r="A42" s="66"/>
      <c r="B42" s="99"/>
      <c r="C42" s="68"/>
      <c r="D42" s="69"/>
      <c r="E42" s="157"/>
      <c r="F42" s="137"/>
    </row>
    <row r="43" spans="1:6" s="34" customFormat="1" ht="14.45">
      <c r="A43" s="71"/>
      <c r="B43" s="72"/>
      <c r="C43" s="73"/>
      <c r="D43" s="74"/>
      <c r="E43" s="159"/>
      <c r="F43" s="138"/>
    </row>
    <row r="44" spans="1:6" s="34" customFormat="1" ht="14.45">
      <c r="A44" s="75"/>
      <c r="B44" s="76"/>
      <c r="C44" s="77" t="s">
        <v>30</v>
      </c>
      <c r="D44" s="77"/>
      <c r="E44" s="160" t="s">
        <v>8</v>
      </c>
      <c r="F44" s="139">
        <f>SUM(F13:F36)</f>
        <v>236825.19</v>
      </c>
    </row>
    <row r="45" spans="1:6" s="34" customFormat="1" ht="14.45">
      <c r="A45" s="75"/>
      <c r="B45" s="76"/>
      <c r="C45" s="78"/>
      <c r="D45" s="79"/>
      <c r="E45" s="161"/>
      <c r="F45" s="140"/>
    </row>
    <row r="46" spans="1:6" s="34" customFormat="1" ht="14.45">
      <c r="A46" s="31"/>
      <c r="B46" s="101"/>
      <c r="C46" s="29"/>
      <c r="D46" s="33"/>
      <c r="E46" s="157"/>
      <c r="F46" s="137"/>
    </row>
    <row r="47" spans="1:6" s="34" customFormat="1" ht="14.45">
      <c r="A47" s="59"/>
      <c r="B47" s="64" t="s">
        <v>105</v>
      </c>
      <c r="C47" s="61"/>
      <c r="D47" s="62"/>
      <c r="E47" s="157"/>
      <c r="F47" s="137"/>
    </row>
    <row r="48" spans="1:6" s="34" customFormat="1" ht="14.45">
      <c r="A48" s="59"/>
      <c r="B48" s="103"/>
      <c r="C48" s="61"/>
      <c r="D48" s="62"/>
      <c r="E48" s="157"/>
      <c r="F48" s="137"/>
    </row>
    <row r="49" spans="1:6" s="34" customFormat="1" ht="69">
      <c r="A49" s="66"/>
      <c r="B49" s="67" t="s">
        <v>452</v>
      </c>
      <c r="C49" s="68"/>
      <c r="D49" s="69" t="s">
        <v>2</v>
      </c>
      <c r="E49" s="157"/>
      <c r="F49" s="137">
        <f>C49*E49</f>
        <v>0</v>
      </c>
    </row>
    <row r="50" spans="1:6" s="34" customFormat="1" ht="14.45">
      <c r="A50" s="42"/>
      <c r="B50" s="104"/>
      <c r="C50" s="40"/>
      <c r="D50" s="44"/>
      <c r="E50" s="157"/>
      <c r="F50" s="137"/>
    </row>
    <row r="51" spans="1:6" s="34" customFormat="1" ht="14.45">
      <c r="A51" s="42" t="s">
        <v>14</v>
      </c>
      <c r="B51" s="43" t="s">
        <v>453</v>
      </c>
      <c r="C51" s="40">
        <v>942</v>
      </c>
      <c r="D51" s="44" t="s">
        <v>16</v>
      </c>
      <c r="E51" s="157">
        <v>22.62</v>
      </c>
      <c r="F51" s="137">
        <f>+C51*E51</f>
        <v>21308.04</v>
      </c>
    </row>
    <row r="52" spans="1:6" s="34" customFormat="1" ht="14.45">
      <c r="A52" s="42"/>
      <c r="B52" s="104"/>
      <c r="C52" s="40"/>
      <c r="D52" s="44"/>
      <c r="E52" s="157"/>
      <c r="F52" s="137"/>
    </row>
    <row r="53" spans="1:6" s="34" customFormat="1" ht="14.45">
      <c r="A53" s="42" t="s">
        <v>210</v>
      </c>
      <c r="B53" s="43" t="s">
        <v>213</v>
      </c>
      <c r="C53" s="40"/>
      <c r="D53" s="44"/>
      <c r="E53" s="157"/>
      <c r="F53" s="137"/>
    </row>
    <row r="54" spans="1:6" s="34" customFormat="1" ht="14.45">
      <c r="A54" s="42"/>
      <c r="B54" s="43"/>
      <c r="C54" s="40"/>
      <c r="D54" s="44"/>
      <c r="E54" s="157"/>
      <c r="F54" s="137"/>
    </row>
    <row r="55" spans="1:6" s="34" customFormat="1" ht="27.6">
      <c r="A55" s="280" t="s">
        <v>17</v>
      </c>
      <c r="B55" s="281" t="s">
        <v>214</v>
      </c>
      <c r="C55" s="309">
        <v>1</v>
      </c>
      <c r="D55" s="282" t="s">
        <v>215</v>
      </c>
      <c r="E55" s="283"/>
      <c r="F55" s="284">
        <f>+C55*E55</f>
        <v>0</v>
      </c>
    </row>
    <row r="56" spans="1:6" s="34" customFormat="1" ht="14.45">
      <c r="A56" s="42"/>
      <c r="B56" s="104"/>
      <c r="C56" s="40"/>
      <c r="D56" s="44"/>
      <c r="E56" s="157"/>
      <c r="F56" s="137"/>
    </row>
    <row r="57" spans="1:6" s="34" customFormat="1" ht="14.45">
      <c r="A57" s="42"/>
      <c r="B57" s="104"/>
      <c r="C57" s="40"/>
      <c r="D57" s="44"/>
      <c r="E57" s="157"/>
      <c r="F57" s="137"/>
    </row>
    <row r="58" spans="1:6" s="34" customFormat="1" ht="14.45">
      <c r="A58" s="42"/>
      <c r="B58" s="104"/>
      <c r="C58" s="40"/>
      <c r="D58" s="44"/>
      <c r="E58" s="157"/>
      <c r="F58" s="137"/>
    </row>
    <row r="59" spans="1:6" s="34" customFormat="1" ht="14.45">
      <c r="A59" s="42"/>
      <c r="B59" s="104"/>
      <c r="C59" s="40"/>
      <c r="D59" s="44"/>
      <c r="E59" s="157"/>
      <c r="F59" s="137"/>
    </row>
    <row r="60" spans="1:6" s="34" customFormat="1" ht="14.45">
      <c r="A60" s="42"/>
      <c r="B60" s="104"/>
      <c r="C60" s="40"/>
      <c r="D60" s="44"/>
      <c r="E60" s="157"/>
      <c r="F60" s="137"/>
    </row>
    <row r="61" spans="1:6" s="34" customFormat="1" ht="14.45">
      <c r="A61" s="42"/>
      <c r="B61" s="104"/>
      <c r="C61" s="40"/>
      <c r="D61" s="44"/>
      <c r="E61" s="157"/>
      <c r="F61" s="137"/>
    </row>
    <row r="62" spans="1:6" s="34" customFormat="1" ht="14.45">
      <c r="A62" s="42"/>
      <c r="B62" s="104"/>
      <c r="C62" s="40"/>
      <c r="D62" s="44"/>
      <c r="E62" s="157"/>
      <c r="F62" s="137"/>
    </row>
    <row r="63" spans="1:6" s="34" customFormat="1" ht="14.45">
      <c r="A63" s="42"/>
      <c r="B63" s="104"/>
      <c r="C63" s="40"/>
      <c r="D63" s="44"/>
      <c r="E63" s="157"/>
      <c r="F63" s="137"/>
    </row>
    <row r="64" spans="1:6" s="34" customFormat="1" ht="14.45">
      <c r="A64" s="42"/>
      <c r="B64" s="104"/>
      <c r="C64" s="40"/>
      <c r="D64" s="44"/>
      <c r="E64" s="157"/>
      <c r="F64" s="137"/>
    </row>
    <row r="65" spans="1:6" s="34" customFormat="1" ht="14.45">
      <c r="A65" s="42"/>
      <c r="B65" s="104"/>
      <c r="C65" s="40"/>
      <c r="D65" s="44"/>
      <c r="E65" s="157"/>
      <c r="F65" s="137"/>
    </row>
    <row r="66" spans="1:6" s="34" customFormat="1" ht="14.45">
      <c r="A66" s="42"/>
      <c r="B66" s="104"/>
      <c r="C66" s="40"/>
      <c r="D66" s="44"/>
      <c r="E66" s="157"/>
      <c r="F66" s="137"/>
    </row>
    <row r="67" spans="1:6" s="34" customFormat="1" ht="14.45">
      <c r="A67" s="42"/>
      <c r="B67" s="104"/>
      <c r="C67" s="40"/>
      <c r="D67" s="44"/>
      <c r="E67" s="157"/>
      <c r="F67" s="137"/>
    </row>
    <row r="68" spans="1:6" s="34" customFormat="1" ht="14.45">
      <c r="A68" s="42"/>
      <c r="B68" s="104"/>
      <c r="C68" s="40"/>
      <c r="D68" s="44"/>
      <c r="E68" s="157"/>
      <c r="F68" s="137"/>
    </row>
    <row r="69" spans="1:6" s="34" customFormat="1" ht="14.45">
      <c r="A69" s="42"/>
      <c r="B69" s="104"/>
      <c r="C69" s="40"/>
      <c r="D69" s="44"/>
      <c r="E69" s="157"/>
      <c r="F69" s="137"/>
    </row>
    <row r="70" spans="1:6" s="34" customFormat="1" ht="14.45">
      <c r="A70" s="42"/>
      <c r="B70" s="104"/>
      <c r="C70" s="40"/>
      <c r="D70" s="44"/>
      <c r="E70" s="157"/>
      <c r="F70" s="137"/>
    </row>
    <row r="71" spans="1:6" s="34" customFormat="1" ht="14.45">
      <c r="A71" s="42"/>
      <c r="B71" s="104"/>
      <c r="C71" s="40"/>
      <c r="D71" s="44"/>
      <c r="E71" s="157"/>
      <c r="F71" s="137"/>
    </row>
    <row r="72" spans="1:6" s="34" customFormat="1" ht="14.45">
      <c r="A72" s="42"/>
      <c r="B72" s="104"/>
      <c r="C72" s="40"/>
      <c r="D72" s="44"/>
      <c r="E72" s="157"/>
      <c r="F72" s="137"/>
    </row>
    <row r="73" spans="1:6" s="34" customFormat="1" ht="14.45">
      <c r="A73" s="42"/>
      <c r="B73" s="104"/>
      <c r="C73" s="40"/>
      <c r="D73" s="44"/>
      <c r="E73" s="157"/>
      <c r="F73" s="137"/>
    </row>
    <row r="74" spans="1:6" s="34" customFormat="1" ht="14.45">
      <c r="A74" s="42"/>
      <c r="B74" s="104"/>
      <c r="C74" s="40"/>
      <c r="D74" s="44"/>
      <c r="E74" s="157"/>
      <c r="F74" s="137"/>
    </row>
    <row r="75" spans="1:6" s="34" customFormat="1" ht="14.45">
      <c r="A75" s="42"/>
      <c r="B75" s="104"/>
      <c r="C75" s="40"/>
      <c r="D75" s="44"/>
      <c r="E75" s="157"/>
      <c r="F75" s="137"/>
    </row>
    <row r="76" spans="1:6" s="34" customFormat="1" ht="14.45">
      <c r="A76" s="42"/>
      <c r="B76" s="104"/>
      <c r="C76" s="40"/>
      <c r="D76" s="44"/>
      <c r="E76" s="157"/>
      <c r="F76" s="137"/>
    </row>
    <row r="77" spans="1:6" s="34" customFormat="1" ht="14.45">
      <c r="A77" s="42"/>
      <c r="B77" s="104"/>
      <c r="C77" s="40"/>
      <c r="D77" s="44"/>
      <c r="E77" s="157"/>
      <c r="F77" s="137"/>
    </row>
    <row r="78" spans="1:6" s="34" customFormat="1" ht="14.45">
      <c r="A78" s="42"/>
      <c r="B78" s="104"/>
      <c r="C78" s="40"/>
      <c r="D78" s="44"/>
      <c r="E78" s="157"/>
      <c r="F78" s="137"/>
    </row>
    <row r="79" spans="1:6" s="34" customFormat="1" ht="14.45">
      <c r="A79" s="42"/>
      <c r="B79" s="104"/>
      <c r="C79" s="40"/>
      <c r="D79" s="44"/>
      <c r="E79" s="157"/>
      <c r="F79" s="137"/>
    </row>
    <row r="80" spans="1:6" s="34" customFormat="1" ht="14.45">
      <c r="A80" s="42"/>
      <c r="B80" s="104"/>
      <c r="C80" s="40"/>
      <c r="D80" s="44"/>
      <c r="E80" s="157"/>
      <c r="F80" s="137"/>
    </row>
    <row r="81" spans="1:6" s="34" customFormat="1" ht="14.45">
      <c r="A81" s="42"/>
      <c r="B81" s="104"/>
      <c r="C81" s="40"/>
      <c r="D81" s="44"/>
      <c r="E81" s="157"/>
      <c r="F81" s="137"/>
    </row>
    <row r="82" spans="1:6" s="34" customFormat="1" ht="14.45">
      <c r="A82" s="42"/>
      <c r="B82" s="104"/>
      <c r="C82" s="40"/>
      <c r="D82" s="44"/>
      <c r="E82" s="157"/>
      <c r="F82" s="137"/>
    </row>
    <row r="83" spans="1:6" s="34" customFormat="1" ht="14.45">
      <c r="A83" s="42"/>
      <c r="B83" s="43"/>
      <c r="C83" s="40"/>
      <c r="D83" s="44"/>
      <c r="E83" s="157"/>
      <c r="F83" s="137"/>
    </row>
    <row r="84" spans="1:6" s="34" customFormat="1" ht="14.45">
      <c r="A84" s="42"/>
      <c r="B84" s="43"/>
      <c r="C84" s="40"/>
      <c r="D84" s="44"/>
      <c r="E84" s="157"/>
      <c r="F84" s="137"/>
    </row>
    <row r="85" spans="1:6" s="34" customFormat="1" ht="14.45">
      <c r="A85" s="42"/>
      <c r="B85" s="43"/>
      <c r="C85" s="40"/>
      <c r="D85" s="44"/>
      <c r="E85" s="157"/>
      <c r="F85" s="137"/>
    </row>
    <row r="86" spans="1:6" s="34" customFormat="1" ht="14.45">
      <c r="A86" s="49"/>
      <c r="B86" s="50"/>
      <c r="C86" s="51"/>
      <c r="D86" s="52"/>
      <c r="E86" s="159"/>
      <c r="F86" s="138"/>
    </row>
    <row r="87" spans="1:6" s="34" customFormat="1" ht="14.45">
      <c r="A87" s="53"/>
      <c r="B87" s="54"/>
      <c r="C87" s="55" t="s">
        <v>30</v>
      </c>
      <c r="D87" s="55"/>
      <c r="E87" s="160" t="s">
        <v>8</v>
      </c>
      <c r="F87" s="139">
        <f>SUM(F48:F71)</f>
        <v>21308.04</v>
      </c>
    </row>
    <row r="88" spans="1:6" s="34" customFormat="1" ht="14.45">
      <c r="A88" s="53"/>
      <c r="B88" s="54"/>
      <c r="C88" s="56"/>
      <c r="D88" s="57"/>
      <c r="E88" s="161"/>
      <c r="F88" s="140"/>
    </row>
    <row r="89" spans="1:6" s="34" customFormat="1" ht="14.45">
      <c r="A89" s="31"/>
      <c r="B89" s="32"/>
      <c r="C89" s="29"/>
      <c r="D89" s="33"/>
      <c r="E89" s="157"/>
      <c r="F89" s="137"/>
    </row>
    <row r="90" spans="1:6" s="34" customFormat="1" ht="14.45">
      <c r="A90" s="31"/>
      <c r="B90" s="38" t="s">
        <v>109</v>
      </c>
      <c r="C90" s="29"/>
      <c r="D90" s="33"/>
      <c r="E90" s="157"/>
      <c r="F90" s="137"/>
    </row>
    <row r="91" spans="1:6" s="34" customFormat="1" ht="14.45">
      <c r="A91" s="31"/>
      <c r="B91" s="32"/>
      <c r="C91" s="29"/>
      <c r="D91" s="33"/>
      <c r="E91" s="157"/>
      <c r="F91" s="137"/>
    </row>
    <row r="92" spans="1:6" s="34" customFormat="1" ht="14.45">
      <c r="A92" s="31"/>
      <c r="B92" s="39" t="s">
        <v>454</v>
      </c>
      <c r="C92" s="29"/>
      <c r="D92" s="33"/>
      <c r="E92" s="157"/>
      <c r="F92" s="137">
        <f>F44</f>
        <v>236825.19</v>
      </c>
    </row>
    <row r="93" spans="1:6" s="34" customFormat="1" ht="14.45">
      <c r="A93" s="31"/>
      <c r="B93" s="32"/>
      <c r="C93" s="29"/>
      <c r="D93" s="33"/>
      <c r="E93" s="157"/>
      <c r="F93" s="137"/>
    </row>
    <row r="94" spans="1:6" s="34" customFormat="1" ht="14.45">
      <c r="A94" s="31"/>
      <c r="B94" s="39" t="s">
        <v>455</v>
      </c>
      <c r="C94" s="29"/>
      <c r="D94" s="33"/>
      <c r="E94" s="157"/>
      <c r="F94" s="137">
        <f>F87</f>
        <v>21308.04</v>
      </c>
    </row>
    <row r="95" spans="1:6" s="34" customFormat="1" ht="14.45">
      <c r="A95" s="31"/>
      <c r="B95" s="32"/>
      <c r="C95" s="29"/>
      <c r="D95" s="33"/>
      <c r="E95" s="157"/>
      <c r="F95" s="137"/>
    </row>
    <row r="96" spans="1:6" s="34" customFormat="1" ht="14.45">
      <c r="A96" s="31"/>
      <c r="B96" s="39"/>
      <c r="C96" s="29"/>
      <c r="D96" s="33"/>
      <c r="E96" s="157"/>
      <c r="F96" s="137"/>
    </row>
    <row r="97" spans="1:6" s="34" customFormat="1" ht="14.45">
      <c r="A97" s="31"/>
      <c r="B97" s="32"/>
      <c r="C97" s="29"/>
      <c r="D97" s="33"/>
      <c r="E97" s="157"/>
      <c r="F97" s="137"/>
    </row>
    <row r="98" spans="1:6" s="34" customFormat="1" ht="14.45">
      <c r="A98" s="31"/>
      <c r="B98" s="39"/>
      <c r="C98" s="29"/>
      <c r="D98" s="33"/>
      <c r="E98" s="157"/>
      <c r="F98" s="137"/>
    </row>
    <row r="99" spans="1:6" s="34" customFormat="1" ht="14.45">
      <c r="A99" s="31"/>
      <c r="B99" s="32"/>
      <c r="C99" s="29"/>
      <c r="D99" s="33"/>
      <c r="E99" s="157"/>
      <c r="F99" s="137"/>
    </row>
    <row r="100" spans="1:6" s="34" customFormat="1" ht="14.45">
      <c r="A100" s="31"/>
      <c r="B100" s="39"/>
      <c r="C100" s="29"/>
      <c r="D100" s="33"/>
      <c r="E100" s="157"/>
      <c r="F100" s="137"/>
    </row>
    <row r="101" spans="1:6" s="34" customFormat="1" ht="14.45">
      <c r="A101" s="31"/>
      <c r="B101" s="32"/>
      <c r="C101" s="29"/>
      <c r="D101" s="33"/>
      <c r="E101" s="157"/>
      <c r="F101" s="137"/>
    </row>
    <row r="102" spans="1:6" s="34" customFormat="1" ht="14.45">
      <c r="A102" s="31"/>
      <c r="B102" s="39"/>
      <c r="C102" s="29"/>
      <c r="D102" s="33"/>
      <c r="E102" s="157"/>
      <c r="F102" s="137"/>
    </row>
    <row r="103" spans="1:6" s="34" customFormat="1" ht="14.45">
      <c r="A103" s="31"/>
      <c r="B103" s="32"/>
      <c r="C103" s="29"/>
      <c r="D103" s="33"/>
      <c r="E103" s="157"/>
      <c r="F103" s="137"/>
    </row>
    <row r="104" spans="1:6" s="34" customFormat="1" ht="14.45">
      <c r="A104" s="31"/>
      <c r="B104" s="39"/>
      <c r="C104" s="29"/>
      <c r="D104" s="33"/>
      <c r="E104" s="157"/>
      <c r="F104" s="137"/>
    </row>
    <row r="105" spans="1:6" s="34" customFormat="1" ht="14.45">
      <c r="A105" s="31"/>
      <c r="B105" s="32"/>
      <c r="C105" s="29"/>
      <c r="D105" s="33"/>
      <c r="E105" s="157"/>
      <c r="F105" s="137"/>
    </row>
    <row r="106" spans="1:6" s="34" customFormat="1" ht="14.45">
      <c r="A106" s="31"/>
      <c r="B106" s="39"/>
      <c r="C106" s="29"/>
      <c r="D106" s="33"/>
      <c r="E106" s="157"/>
      <c r="F106" s="137"/>
    </row>
    <row r="107" spans="1:6" s="34" customFormat="1" ht="14.45">
      <c r="A107" s="31"/>
      <c r="B107" s="32"/>
      <c r="C107" s="29"/>
      <c r="D107" s="33"/>
      <c r="E107" s="157"/>
      <c r="F107" s="137"/>
    </row>
    <row r="108" spans="1:6" s="34" customFormat="1" ht="14.45">
      <c r="A108" s="31"/>
      <c r="B108" s="32"/>
      <c r="C108" s="29"/>
      <c r="D108" s="33"/>
      <c r="E108" s="157"/>
      <c r="F108" s="137"/>
    </row>
    <row r="109" spans="1:6" s="34" customFormat="1" ht="14.45">
      <c r="A109" s="31"/>
      <c r="B109" s="32"/>
      <c r="C109" s="29"/>
      <c r="D109" s="33"/>
      <c r="E109" s="157"/>
      <c r="F109" s="137"/>
    </row>
    <row r="110" spans="1:6" s="34" customFormat="1" ht="14.45">
      <c r="A110" s="31"/>
      <c r="B110" s="32"/>
      <c r="C110" s="29"/>
      <c r="D110" s="33"/>
      <c r="E110" s="157"/>
      <c r="F110" s="137"/>
    </row>
    <row r="111" spans="1:6" s="34" customFormat="1" ht="14.45">
      <c r="A111" s="31"/>
      <c r="B111" s="32"/>
      <c r="C111" s="29"/>
      <c r="D111" s="33"/>
      <c r="E111" s="157"/>
      <c r="F111" s="137"/>
    </row>
    <row r="112" spans="1:6" s="34" customFormat="1" ht="14.45">
      <c r="A112" s="31"/>
      <c r="B112" s="32"/>
      <c r="C112" s="29"/>
      <c r="D112" s="33"/>
      <c r="E112" s="157"/>
      <c r="F112" s="137"/>
    </row>
    <row r="113" spans="1:6" s="34" customFormat="1" ht="14.45">
      <c r="A113" s="31"/>
      <c r="B113" s="32"/>
      <c r="C113" s="29"/>
      <c r="D113" s="33"/>
      <c r="E113" s="157"/>
      <c r="F113" s="137"/>
    </row>
    <row r="114" spans="1:6" s="34" customFormat="1" ht="14.45">
      <c r="A114" s="31"/>
      <c r="B114" s="32"/>
      <c r="C114" s="29"/>
      <c r="D114" s="33"/>
      <c r="E114" s="157"/>
      <c r="F114" s="137"/>
    </row>
    <row r="115" spans="1:6" s="34" customFormat="1" ht="14.45">
      <c r="A115" s="31"/>
      <c r="B115" s="32"/>
      <c r="C115" s="29"/>
      <c r="D115" s="33"/>
      <c r="E115" s="157"/>
      <c r="F115" s="137"/>
    </row>
    <row r="116" spans="1:6" s="34" customFormat="1" ht="14.45">
      <c r="A116" s="31"/>
      <c r="B116" s="32"/>
      <c r="C116" s="29"/>
      <c r="D116" s="33"/>
      <c r="E116" s="157"/>
      <c r="F116" s="137"/>
    </row>
    <row r="117" spans="1:6" s="34" customFormat="1" ht="14.45">
      <c r="A117" s="31"/>
      <c r="B117" s="32"/>
      <c r="C117" s="29"/>
      <c r="D117" s="33"/>
      <c r="E117" s="157"/>
      <c r="F117" s="137"/>
    </row>
    <row r="118" spans="1:6" s="34" customFormat="1" ht="14.45">
      <c r="A118" s="31"/>
      <c r="B118" s="32"/>
      <c r="C118" s="29"/>
      <c r="D118" s="33"/>
      <c r="E118" s="157"/>
      <c r="F118" s="137"/>
    </row>
    <row r="119" spans="1:6" s="34" customFormat="1" ht="14.45">
      <c r="A119" s="31"/>
      <c r="B119" s="32"/>
      <c r="C119" s="29"/>
      <c r="D119" s="33"/>
      <c r="E119" s="157"/>
      <c r="F119" s="137"/>
    </row>
    <row r="120" spans="1:6" s="34" customFormat="1" ht="14.45">
      <c r="A120" s="31"/>
      <c r="B120" s="32"/>
      <c r="C120" s="29"/>
      <c r="D120" s="33"/>
      <c r="E120" s="157"/>
      <c r="F120" s="137"/>
    </row>
    <row r="121" spans="1:6" s="34" customFormat="1" ht="14.45">
      <c r="A121" s="31"/>
      <c r="B121" s="32"/>
      <c r="C121" s="29"/>
      <c r="D121" s="33"/>
      <c r="E121" s="157"/>
      <c r="F121" s="137"/>
    </row>
    <row r="122" spans="1:6" s="34" customFormat="1" ht="14.45">
      <c r="A122" s="31"/>
      <c r="B122" s="32"/>
      <c r="C122" s="29"/>
      <c r="D122" s="33"/>
      <c r="E122" s="157"/>
      <c r="F122" s="137"/>
    </row>
    <row r="123" spans="1:6" s="34" customFormat="1" ht="14.45">
      <c r="A123" s="31"/>
      <c r="B123" s="32"/>
      <c r="C123" s="29"/>
      <c r="D123" s="33"/>
      <c r="E123" s="157"/>
      <c r="F123" s="137"/>
    </row>
    <row r="124" spans="1:6" s="34" customFormat="1" ht="14.45">
      <c r="A124" s="31"/>
      <c r="B124" s="32"/>
      <c r="C124" s="29"/>
      <c r="D124" s="33"/>
      <c r="E124" s="157"/>
      <c r="F124" s="137"/>
    </row>
    <row r="125" spans="1:6" s="34" customFormat="1" ht="14.45">
      <c r="A125" s="31"/>
      <c r="B125" s="32"/>
      <c r="C125" s="29"/>
      <c r="D125" s="33"/>
      <c r="E125" s="157"/>
      <c r="F125" s="137"/>
    </row>
    <row r="126" spans="1:6" s="34" customFormat="1" ht="14.45">
      <c r="A126" s="31"/>
      <c r="B126" s="32"/>
      <c r="C126" s="29"/>
      <c r="D126" s="33"/>
      <c r="E126" s="157"/>
      <c r="F126" s="137"/>
    </row>
    <row r="127" spans="1:6" s="34" customFormat="1" ht="14.45">
      <c r="A127" s="31"/>
      <c r="B127" s="32"/>
      <c r="C127" s="29"/>
      <c r="D127" s="33"/>
      <c r="E127" s="157"/>
      <c r="F127" s="137"/>
    </row>
    <row r="128" spans="1:6" s="34" customFormat="1" ht="14.45">
      <c r="A128" s="31"/>
      <c r="B128" s="32"/>
      <c r="C128" s="29"/>
      <c r="D128" s="33"/>
      <c r="E128" s="157"/>
      <c r="F128" s="137"/>
    </row>
    <row r="129" spans="1:6" s="34" customFormat="1" ht="14.45">
      <c r="A129" s="31"/>
      <c r="B129" s="32"/>
      <c r="C129" s="29"/>
      <c r="D129" s="33"/>
      <c r="E129" s="157"/>
      <c r="F129" s="137"/>
    </row>
    <row r="130" spans="1:6" s="34" customFormat="1" ht="14.45">
      <c r="A130" s="31"/>
      <c r="B130" s="32"/>
      <c r="C130" s="29"/>
      <c r="D130" s="33"/>
      <c r="E130" s="157"/>
      <c r="F130" s="137"/>
    </row>
    <row r="131" spans="1:6" s="34" customFormat="1" ht="14.45">
      <c r="A131" s="31"/>
      <c r="B131" s="32"/>
      <c r="C131" s="29"/>
      <c r="D131" s="33"/>
      <c r="E131" s="157"/>
      <c r="F131" s="137"/>
    </row>
    <row r="132" spans="1:6" s="34" customFormat="1" ht="14.45">
      <c r="A132" s="31"/>
      <c r="B132" s="32"/>
      <c r="C132" s="29"/>
      <c r="D132" s="33"/>
      <c r="E132" s="157"/>
      <c r="F132" s="137"/>
    </row>
    <row r="133" spans="1:6" s="34" customFormat="1" ht="14.45">
      <c r="A133" s="31"/>
      <c r="B133" s="32"/>
      <c r="C133" s="29"/>
      <c r="D133" s="33"/>
      <c r="E133" s="157"/>
      <c r="F133" s="137"/>
    </row>
    <row r="134" spans="1:6" s="34" customFormat="1" ht="14.45">
      <c r="A134" s="71"/>
      <c r="B134" s="72"/>
      <c r="C134" s="73"/>
      <c r="D134" s="74"/>
      <c r="E134" s="159"/>
      <c r="F134" s="138"/>
    </row>
    <row r="135" spans="1:6" s="34" customFormat="1" ht="14.45">
      <c r="A135" s="75"/>
      <c r="B135" s="76"/>
      <c r="C135" s="77" t="s">
        <v>116</v>
      </c>
      <c r="D135" s="77"/>
      <c r="E135" s="160" t="s">
        <v>8</v>
      </c>
      <c r="F135" s="139">
        <f>SUM(F90:F105)</f>
        <v>258133.23</v>
      </c>
    </row>
    <row r="136" spans="1:6" s="34" customFormat="1" ht="14.45">
      <c r="A136" s="75"/>
      <c r="B136" s="76"/>
      <c r="C136" s="78"/>
      <c r="D136" s="79"/>
      <c r="E136" s="161"/>
      <c r="F136" s="140"/>
    </row>
    <row r="137" spans="1:6">
      <c r="A137" s="85"/>
      <c r="B137" s="86"/>
      <c r="C137" s="87"/>
      <c r="D137" s="88"/>
    </row>
    <row r="138" spans="1:6">
      <c r="A138" s="85"/>
      <c r="B138" s="86"/>
      <c r="C138" s="87"/>
      <c r="D138" s="88"/>
    </row>
    <row r="139" spans="1:6">
      <c r="A139" s="85"/>
      <c r="B139" s="86"/>
      <c r="C139" s="87"/>
      <c r="D139" s="88"/>
    </row>
    <row r="140" spans="1:6">
      <c r="A140" s="85"/>
      <c r="B140" s="86"/>
      <c r="C140" s="87"/>
      <c r="D140" s="88"/>
    </row>
    <row r="141" spans="1:6">
      <c r="A141" s="85"/>
      <c r="B141" s="86"/>
      <c r="C141" s="87"/>
      <c r="D141" s="88"/>
    </row>
  </sheetData>
  <customSheetViews>
    <customSheetView guid="{3432A39B-C5E3-4DF0-8655-3886C046AF9C}" showPageBreaks="1" printArea="1" view="pageBreakPreview" topLeftCell="A121">
      <selection activeCell="G136" sqref="G136"/>
      <rowBreaks count="2" manualBreakCount="2">
        <brk id="45" max="5" man="1"/>
        <brk id="89" max="5" man="1"/>
      </rowBreaks>
      <pageMargins left="0" right="0" top="0" bottom="0" header="0" footer="0"/>
      <printOptions horizontalCentered="1"/>
      <pageSetup paperSize="9" fitToHeight="0" orientation="portrait" useFirstPageNumber="1" r:id="rId1"/>
      <headerFooter>
        <oddHeader xml:space="preserve">&amp;R&amp;11&amp;U
BILL NO. 3 - MALL REFURBISHMENT
THERMAL AND MOISTURE PROTECTION
</oddHeader>
        <oddFooter>&amp;L&amp;8DMS 148704 BOQ - Nakheel Mall Al Khail&amp;C3/G/&amp;P</oddFooter>
      </headerFooter>
    </customSheetView>
    <customSheetView guid="{47E345F0-E696-46B9-B7A2-C22AD1CF4FAA}" showPageBreaks="1" printArea="1" view="pageBreakPreview" topLeftCell="A93">
      <selection activeCell="D103" sqref="D103"/>
      <rowBreaks count="2" manualBreakCount="2">
        <brk id="45" max="5" man="1"/>
        <brk id="89" max="5" man="1"/>
      </rowBreaks>
      <pageMargins left="0" right="0" top="0" bottom="0" header="0" footer="0"/>
      <printOptions horizontalCentered="1"/>
      <pageSetup paperSize="9" fitToHeight="0" orientation="portrait" useFirstPageNumber="1" r:id="rId2"/>
      <headerFooter>
        <oddHeader xml:space="preserve">&amp;R&amp;11&amp;U
BILL NO. 3 - MALL REFURBISHMENT
THERMAL AND MOISTURE PROTECTION
</oddHeader>
        <oddFooter>&amp;L&amp;8DMS 148704 BOQ - Nakheel Mall Al Khail&amp;C3/G/&amp;P</oddFooter>
      </headerFooter>
    </customSheetView>
    <customSheetView guid="{252EBC6A-BD49-4FC3-9285-77861935BFE3}" showPageBreaks="1" printArea="1" view="pageBreakPreview" topLeftCell="A119">
      <selection activeCell="F137" sqref="F137"/>
      <rowBreaks count="2" manualBreakCount="2">
        <brk id="45" max="5" man="1"/>
        <brk id="89" max="5" man="1"/>
      </rowBreaks>
      <pageMargins left="0" right="0" top="0" bottom="0" header="0" footer="0"/>
      <printOptions horizontalCentered="1"/>
      <pageSetup paperSize="9" fitToHeight="0" orientation="portrait" useFirstPageNumber="1" r:id="rId3"/>
      <headerFooter>
        <oddHeader xml:space="preserve">&amp;R&amp;11&amp;U
BILL NO. 3 - MALL REFURBISHMENT
THERMAL AND MOISTURE PROTECTION
</oddHeader>
        <oddFooter>&amp;L&amp;8DMS 148704 BOQ - Nakheel Mall Al Khail&amp;C3/G/&amp;P</oddFooter>
      </headerFooter>
    </customSheetView>
    <customSheetView guid="{80D5E0F2-D974-412D-A20C-052459C7A221}" showPageBreaks="1" printArea="1" view="pageBreakPreview" topLeftCell="A121">
      <selection activeCell="G136" sqref="G136"/>
      <rowBreaks count="2" manualBreakCount="2">
        <brk id="45" max="5" man="1"/>
        <brk id="89" max="5" man="1"/>
      </rowBreaks>
      <pageMargins left="0" right="0" top="0" bottom="0" header="0" footer="0"/>
      <printOptions horizontalCentered="1"/>
      <pageSetup paperSize="9" fitToHeight="0" orientation="portrait" useFirstPageNumber="1" r:id="rId4"/>
      <headerFooter>
        <oddHeader xml:space="preserve">&amp;R&amp;11&amp;U
BILL NO. 3 - MALL REFURBISHMENT
THERMAL AND MOISTURE PROTECTION
</oddHeader>
        <oddFooter>&amp;L&amp;8DMS 148704 BOQ - Nakheel Mall Al Khail&amp;C3/G/&amp;P</oddFooter>
      </headerFooter>
    </customSheetView>
  </customSheetViews>
  <mergeCells count="4">
    <mergeCell ref="A1:A2"/>
    <mergeCell ref="B1:B2"/>
    <mergeCell ref="C1:C2"/>
    <mergeCell ref="D1:D2"/>
  </mergeCells>
  <printOptions horizontalCentered="1"/>
  <pageMargins left="0.6692913385826772" right="0.19685039370078741" top="0.82677165354330717" bottom="0.47244094488188981" header="0.19685039370078741" footer="0.23622047244094491"/>
  <pageSetup paperSize="9" fitToHeight="0" orientation="portrait" useFirstPageNumber="1" r:id="rId5"/>
  <headerFooter>
    <oddHeader xml:space="preserve">&amp;R&amp;11&amp;U
BILL NO. 3 - MALL REFURBISHMENT
THERMAL AND MOISTURE PROTECTION
</oddHeader>
    <oddFooter>&amp;L&amp;8DMS 148704 BOQ - Nakheel Mall Al Khail&amp;C3/G/&amp;P</oddFooter>
  </headerFooter>
  <rowBreaks count="2" manualBreakCount="2">
    <brk id="45" max="5" man="1"/>
    <brk id="88" max="5"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984CD-F6AD-44AD-B359-5857D344891E}">
  <sheetPr codeName="Sheet9"/>
  <dimension ref="A1:G438"/>
  <sheetViews>
    <sheetView view="pageBreakPreview" zoomScaleNormal="100" zoomScaleSheetLayoutView="100" zoomScalePageLayoutView="70" workbookViewId="0">
      <pane ySplit="2" topLeftCell="A336" activePane="bottomLeft" state="frozen"/>
      <selection pane="bottomLeft" activeCell="C1" sqref="C1:C1048576"/>
      <selection activeCell="F34" sqref="F34"/>
    </sheetView>
  </sheetViews>
  <sheetFormatPr defaultColWidth="9.28515625" defaultRowHeight="13.9"/>
  <cols>
    <col min="1" max="1" width="5.7109375" style="85" customWidth="1"/>
    <col min="2" max="2" width="43.7109375" style="86" customWidth="1"/>
    <col min="3" max="3" width="8.7109375" style="87" customWidth="1"/>
    <col min="4" max="4" width="6.7109375" style="88" customWidth="1"/>
    <col min="5" max="5" width="14.28515625" style="162" customWidth="1"/>
    <col min="6" max="6" width="15.7109375" style="142" customWidth="1"/>
    <col min="7" max="7" width="7.7109375" style="229" customWidth="1"/>
    <col min="8" max="16384" width="9.28515625" style="35"/>
  </cols>
  <sheetData>
    <row r="1" spans="1:7" s="30" customFormat="1" ht="14.45">
      <c r="A1" s="332" t="s">
        <v>2</v>
      </c>
      <c r="B1" s="332" t="s">
        <v>3</v>
      </c>
      <c r="C1" s="334" t="s">
        <v>4</v>
      </c>
      <c r="D1" s="336" t="s">
        <v>5</v>
      </c>
      <c r="E1" s="155" t="s">
        <v>6</v>
      </c>
      <c r="F1" s="135" t="s">
        <v>7</v>
      </c>
      <c r="G1" s="344" t="s">
        <v>297</v>
      </c>
    </row>
    <row r="2" spans="1:7" s="30" customFormat="1" ht="14.45">
      <c r="A2" s="333"/>
      <c r="B2" s="333"/>
      <c r="C2" s="335"/>
      <c r="D2" s="337"/>
      <c r="E2" s="156" t="s">
        <v>8</v>
      </c>
      <c r="F2" s="136" t="s">
        <v>8</v>
      </c>
      <c r="G2" s="345"/>
    </row>
    <row r="3" spans="1:7" s="34" customFormat="1" ht="14.45">
      <c r="A3" s="31"/>
      <c r="B3" s="32"/>
      <c r="C3" s="29"/>
      <c r="D3" s="33"/>
      <c r="E3" s="157"/>
      <c r="F3" s="137"/>
      <c r="G3" s="217"/>
    </row>
    <row r="4" spans="1:7" s="34" customFormat="1" ht="14.45">
      <c r="A4" s="59"/>
      <c r="B4" s="60" t="s">
        <v>456</v>
      </c>
      <c r="C4" s="61"/>
      <c r="D4" s="62"/>
      <c r="E4" s="157"/>
      <c r="F4" s="137"/>
      <c r="G4" s="217"/>
    </row>
    <row r="5" spans="1:7" s="34" customFormat="1" ht="14.45">
      <c r="A5" s="59"/>
      <c r="B5" s="63"/>
      <c r="C5" s="61"/>
      <c r="D5" s="62"/>
      <c r="E5" s="157"/>
      <c r="F5" s="137"/>
      <c r="G5" s="217"/>
    </row>
    <row r="6" spans="1:7" s="34" customFormat="1" ht="14.45">
      <c r="A6" s="59"/>
      <c r="B6" s="64" t="s">
        <v>457</v>
      </c>
      <c r="C6" s="61"/>
      <c r="D6" s="62"/>
      <c r="E6" s="157"/>
      <c r="F6" s="137"/>
      <c r="G6" s="217"/>
    </row>
    <row r="7" spans="1:7" s="34" customFormat="1" ht="14.45">
      <c r="A7" s="59"/>
      <c r="B7" s="65"/>
      <c r="C7" s="61"/>
      <c r="D7" s="62"/>
      <c r="E7" s="157"/>
      <c r="F7" s="137"/>
      <c r="G7" s="217"/>
    </row>
    <row r="8" spans="1:7" s="34" customFormat="1" ht="14.45">
      <c r="A8" s="66"/>
      <c r="B8" s="67" t="s">
        <v>11</v>
      </c>
      <c r="C8" s="68"/>
      <c r="D8" s="69"/>
      <c r="E8" s="157"/>
      <c r="F8" s="137"/>
      <c r="G8" s="217"/>
    </row>
    <row r="9" spans="1:7" s="34" customFormat="1" ht="14.45">
      <c r="A9" s="59"/>
      <c r="B9" s="65"/>
      <c r="C9" s="61"/>
      <c r="D9" s="62"/>
      <c r="E9" s="157"/>
      <c r="F9" s="137"/>
      <c r="G9" s="217"/>
    </row>
    <row r="10" spans="1:7" s="34" customFormat="1" ht="27.6">
      <c r="A10" s="66"/>
      <c r="B10" s="67" t="s">
        <v>458</v>
      </c>
      <c r="C10" s="68"/>
      <c r="D10" s="69"/>
      <c r="E10" s="157"/>
      <c r="F10" s="137"/>
      <c r="G10" s="217"/>
    </row>
    <row r="11" spans="1:7" s="34" customFormat="1" ht="14.45">
      <c r="A11" s="59"/>
      <c r="B11" s="65"/>
      <c r="C11" s="61"/>
      <c r="D11" s="62"/>
      <c r="E11" s="157"/>
      <c r="F11" s="137"/>
      <c r="G11" s="217"/>
    </row>
    <row r="12" spans="1:7" s="34" customFormat="1" ht="88.9" customHeight="1">
      <c r="A12" s="66"/>
      <c r="B12" s="98" t="s">
        <v>459</v>
      </c>
      <c r="C12" s="68"/>
      <c r="D12" s="69"/>
      <c r="E12" s="157"/>
      <c r="F12" s="137"/>
      <c r="G12" s="217"/>
    </row>
    <row r="13" spans="1:7" s="34" customFormat="1" ht="14.45">
      <c r="A13" s="59"/>
      <c r="B13" s="100"/>
      <c r="C13" s="61"/>
      <c r="D13" s="62"/>
      <c r="E13" s="157"/>
      <c r="F13" s="137"/>
      <c r="G13" s="217"/>
    </row>
    <row r="14" spans="1:7" s="34" customFormat="1" ht="27.6">
      <c r="A14" s="66" t="s">
        <v>14</v>
      </c>
      <c r="B14" s="67" t="s">
        <v>460</v>
      </c>
      <c r="C14" s="68">
        <v>2</v>
      </c>
      <c r="D14" s="69" t="s">
        <v>63</v>
      </c>
      <c r="E14" s="157">
        <v>1958.95</v>
      </c>
      <c r="F14" s="137">
        <f>C14*E14</f>
        <v>3917.9</v>
      </c>
      <c r="G14" s="217"/>
    </row>
    <row r="15" spans="1:7" s="34" customFormat="1" ht="14.45">
      <c r="A15" s="59"/>
      <c r="B15" s="100"/>
      <c r="C15" s="61"/>
      <c r="D15" s="62"/>
      <c r="E15" s="157"/>
      <c r="F15" s="137"/>
      <c r="G15" s="217"/>
    </row>
    <row r="16" spans="1:7" s="34" customFormat="1" ht="27.6">
      <c r="A16" s="66" t="s">
        <v>17</v>
      </c>
      <c r="B16" s="67" t="s">
        <v>461</v>
      </c>
      <c r="C16" s="68">
        <v>2</v>
      </c>
      <c r="D16" s="69" t="s">
        <v>63</v>
      </c>
      <c r="E16" s="157">
        <v>1951.42</v>
      </c>
      <c r="F16" s="137">
        <f>C16*E16</f>
        <v>3902.84</v>
      </c>
      <c r="G16" s="217"/>
    </row>
    <row r="17" spans="1:7" s="34" customFormat="1" ht="14.45">
      <c r="A17" s="59"/>
      <c r="B17" s="100"/>
      <c r="C17" s="61"/>
      <c r="D17" s="62"/>
      <c r="E17" s="157"/>
      <c r="F17" s="137"/>
      <c r="G17" s="217"/>
    </row>
    <row r="18" spans="1:7" s="34" customFormat="1" ht="27.6">
      <c r="A18" s="66" t="s">
        <v>20</v>
      </c>
      <c r="B18" s="67" t="s">
        <v>462</v>
      </c>
      <c r="C18" s="68">
        <v>14</v>
      </c>
      <c r="D18" s="69" t="s">
        <v>63</v>
      </c>
      <c r="E18" s="157">
        <v>1967.57</v>
      </c>
      <c r="F18" s="137">
        <f>C18*E18</f>
        <v>27545.98</v>
      </c>
      <c r="G18" s="217"/>
    </row>
    <row r="19" spans="1:7" s="34" customFormat="1" ht="14.45">
      <c r="A19" s="59"/>
      <c r="B19" s="100"/>
      <c r="C19" s="61"/>
      <c r="D19" s="62"/>
      <c r="E19" s="157"/>
      <c r="F19" s="137"/>
      <c r="G19" s="217"/>
    </row>
    <row r="20" spans="1:7" s="34" customFormat="1" ht="41.45">
      <c r="A20" s="66" t="s">
        <v>23</v>
      </c>
      <c r="B20" s="67" t="s">
        <v>463</v>
      </c>
      <c r="C20" s="68">
        <v>3</v>
      </c>
      <c r="D20" s="69" t="s">
        <v>63</v>
      </c>
      <c r="E20" s="157">
        <v>2240.04</v>
      </c>
      <c r="F20" s="137">
        <f>C20*E20</f>
        <v>6720.12</v>
      </c>
      <c r="G20" s="217"/>
    </row>
    <row r="21" spans="1:7" s="34" customFormat="1" ht="14.45">
      <c r="A21" s="59"/>
      <c r="B21" s="100"/>
      <c r="C21" s="61"/>
      <c r="D21" s="62"/>
      <c r="E21" s="157"/>
      <c r="F21" s="137"/>
      <c r="G21" s="217"/>
    </row>
    <row r="22" spans="1:7" s="34" customFormat="1" ht="27.6">
      <c r="A22" s="66" t="s">
        <v>27</v>
      </c>
      <c r="B22" s="67" t="s">
        <v>464</v>
      </c>
      <c r="C22" s="68">
        <v>39</v>
      </c>
      <c r="D22" s="69" t="s">
        <v>63</v>
      </c>
      <c r="E22" s="157">
        <v>2156.0300000000002</v>
      </c>
      <c r="F22" s="137">
        <f>C22*E22</f>
        <v>84085.170000000013</v>
      </c>
      <c r="G22" s="217"/>
    </row>
    <row r="23" spans="1:7" s="34" customFormat="1" ht="14.45">
      <c r="A23" s="59"/>
      <c r="B23" s="100"/>
      <c r="C23" s="61"/>
      <c r="D23" s="62"/>
      <c r="E23" s="157"/>
      <c r="F23" s="137"/>
      <c r="G23" s="217"/>
    </row>
    <row r="24" spans="1:7" s="34" customFormat="1" ht="27.6">
      <c r="A24" s="66" t="s">
        <v>44</v>
      </c>
      <c r="B24" s="67" t="s">
        <v>465</v>
      </c>
      <c r="C24" s="68" t="s">
        <v>304</v>
      </c>
      <c r="D24" s="69" t="s">
        <v>63</v>
      </c>
      <c r="E24" s="157">
        <v>2498.5</v>
      </c>
      <c r="F24" s="137">
        <f>C24*E24</f>
        <v>2498.5</v>
      </c>
      <c r="G24" s="217"/>
    </row>
    <row r="25" spans="1:7" s="34" customFormat="1" ht="14.45">
      <c r="A25" s="59"/>
      <c r="B25" s="100"/>
      <c r="C25" s="61"/>
      <c r="D25" s="62"/>
      <c r="E25" s="157"/>
      <c r="F25" s="137"/>
      <c r="G25" s="217"/>
    </row>
    <row r="26" spans="1:7" s="34" customFormat="1" ht="27.6">
      <c r="A26" s="66" t="s">
        <v>48</v>
      </c>
      <c r="B26" s="67" t="s">
        <v>466</v>
      </c>
      <c r="C26" s="68">
        <v>19</v>
      </c>
      <c r="D26" s="69" t="s">
        <v>63</v>
      </c>
      <c r="E26" s="157">
        <v>3077.89</v>
      </c>
      <c r="F26" s="137">
        <f>C26*E26</f>
        <v>58479.909999999996</v>
      </c>
      <c r="G26" s="217"/>
    </row>
    <row r="27" spans="1:7" s="34" customFormat="1" ht="14.45">
      <c r="A27" s="59"/>
      <c r="B27" s="100"/>
      <c r="C27" s="61"/>
      <c r="D27" s="62"/>
      <c r="E27" s="157"/>
      <c r="F27" s="137"/>
      <c r="G27" s="217"/>
    </row>
    <row r="28" spans="1:7" s="34" customFormat="1" ht="27.6">
      <c r="A28" s="66" t="s">
        <v>84</v>
      </c>
      <c r="B28" s="67" t="s">
        <v>467</v>
      </c>
      <c r="C28" s="68">
        <v>33</v>
      </c>
      <c r="D28" s="69" t="s">
        <v>63</v>
      </c>
      <c r="E28" s="157">
        <v>3240.51</v>
      </c>
      <c r="F28" s="137">
        <f>C28*E28</f>
        <v>106936.83</v>
      </c>
      <c r="G28" s="217"/>
    </row>
    <row r="29" spans="1:7" s="34" customFormat="1" ht="14.45">
      <c r="A29" s="59"/>
      <c r="B29" s="100"/>
      <c r="C29" s="61"/>
      <c r="D29" s="62"/>
      <c r="E29" s="157"/>
      <c r="F29" s="137"/>
      <c r="G29" s="217"/>
    </row>
    <row r="30" spans="1:7" s="34" customFormat="1" ht="27.6">
      <c r="A30" s="66" t="s">
        <v>86</v>
      </c>
      <c r="B30" s="67" t="s">
        <v>468</v>
      </c>
      <c r="C30" s="68">
        <v>3</v>
      </c>
      <c r="D30" s="69" t="s">
        <v>63</v>
      </c>
      <c r="E30" s="157">
        <v>3155.43</v>
      </c>
      <c r="F30" s="137">
        <f>C30*E30</f>
        <v>9466.2899999999991</v>
      </c>
      <c r="G30" s="217"/>
    </row>
    <row r="31" spans="1:7" s="34" customFormat="1" ht="14.45">
      <c r="A31" s="59"/>
      <c r="B31" s="100"/>
      <c r="C31" s="61"/>
      <c r="D31" s="62"/>
      <c r="E31" s="157"/>
      <c r="F31" s="137"/>
      <c r="G31" s="217"/>
    </row>
    <row r="32" spans="1:7" s="34" customFormat="1" ht="27.6">
      <c r="A32" s="66" t="s">
        <v>90</v>
      </c>
      <c r="B32" s="67" t="s">
        <v>469</v>
      </c>
      <c r="C32" s="68">
        <v>3</v>
      </c>
      <c r="D32" s="69" t="s">
        <v>63</v>
      </c>
      <c r="E32" s="157">
        <v>2188.34</v>
      </c>
      <c r="F32" s="137">
        <f>C32*E32</f>
        <v>6565.02</v>
      </c>
      <c r="G32" s="217"/>
    </row>
    <row r="33" spans="1:7" s="34" customFormat="1" ht="14.45">
      <c r="A33" s="59"/>
      <c r="B33" s="63"/>
      <c r="C33" s="61"/>
      <c r="D33" s="62"/>
      <c r="E33" s="157"/>
      <c r="F33" s="137"/>
      <c r="G33" s="217"/>
    </row>
    <row r="34" spans="1:7" s="34" customFormat="1" ht="14.45">
      <c r="A34" s="71"/>
      <c r="B34" s="72"/>
      <c r="C34" s="73"/>
      <c r="D34" s="74"/>
      <c r="E34" s="159"/>
      <c r="F34" s="138"/>
      <c r="G34" s="226"/>
    </row>
    <row r="35" spans="1:7" s="34" customFormat="1" ht="14.45">
      <c r="A35" s="75"/>
      <c r="B35" s="76"/>
      <c r="C35" s="77" t="s">
        <v>30</v>
      </c>
      <c r="D35" s="77"/>
      <c r="E35" s="160" t="s">
        <v>8</v>
      </c>
      <c r="F35" s="139">
        <f>SUM(F13:F32)</f>
        <v>310118.56</v>
      </c>
      <c r="G35" s="227"/>
    </row>
    <row r="36" spans="1:7" s="34" customFormat="1" ht="14.45">
      <c r="A36" s="75"/>
      <c r="B36" s="76"/>
      <c r="C36" s="78"/>
      <c r="D36" s="79"/>
      <c r="E36" s="161"/>
      <c r="F36" s="140"/>
      <c r="G36" s="228"/>
    </row>
    <row r="37" spans="1:7" s="34" customFormat="1" ht="14.45">
      <c r="A37" s="59"/>
      <c r="B37" s="63"/>
      <c r="C37" s="61"/>
      <c r="D37" s="62"/>
      <c r="E37" s="157"/>
      <c r="F37" s="137"/>
      <c r="G37" s="217"/>
    </row>
    <row r="38" spans="1:7" s="34" customFormat="1" ht="14.45">
      <c r="A38" s="59"/>
      <c r="B38" s="64" t="s">
        <v>470</v>
      </c>
      <c r="C38" s="61"/>
      <c r="D38" s="62"/>
      <c r="E38" s="157"/>
      <c r="F38" s="137"/>
      <c r="G38" s="217"/>
    </row>
    <row r="39" spans="1:7" s="34" customFormat="1" ht="14.45">
      <c r="A39" s="59"/>
      <c r="B39" s="100"/>
      <c r="C39" s="61"/>
      <c r="D39" s="62"/>
      <c r="E39" s="157"/>
      <c r="F39" s="137"/>
      <c r="G39" s="217"/>
    </row>
    <row r="40" spans="1:7" s="34" customFormat="1" ht="27.6">
      <c r="A40" s="66" t="s">
        <v>14</v>
      </c>
      <c r="B40" s="67" t="s">
        <v>471</v>
      </c>
      <c r="C40" s="68" t="s">
        <v>152</v>
      </c>
      <c r="D40" s="69" t="s">
        <v>63</v>
      </c>
      <c r="E40" s="157">
        <v>3615.29</v>
      </c>
      <c r="F40" s="137">
        <f>C40*E40</f>
        <v>7230.58</v>
      </c>
      <c r="G40" s="217"/>
    </row>
    <row r="41" spans="1:7" s="34" customFormat="1" ht="14.45">
      <c r="A41" s="59"/>
      <c r="B41" s="100"/>
      <c r="C41" s="61"/>
      <c r="D41" s="62"/>
      <c r="E41" s="157"/>
      <c r="F41" s="137"/>
      <c r="G41" s="217"/>
    </row>
    <row r="42" spans="1:7" s="34" customFormat="1" ht="27.6">
      <c r="A42" s="66" t="s">
        <v>17</v>
      </c>
      <c r="B42" s="67" t="s">
        <v>472</v>
      </c>
      <c r="C42" s="68">
        <v>23</v>
      </c>
      <c r="D42" s="69" t="s">
        <v>63</v>
      </c>
      <c r="E42" s="157">
        <v>3222.2</v>
      </c>
      <c r="F42" s="137">
        <f>C42*E42</f>
        <v>74110.599999999991</v>
      </c>
      <c r="G42" s="217"/>
    </row>
    <row r="43" spans="1:7" s="34" customFormat="1" ht="14.45">
      <c r="A43" s="59"/>
      <c r="B43" s="100"/>
      <c r="C43" s="61"/>
      <c r="D43" s="62"/>
      <c r="E43" s="157"/>
      <c r="F43" s="137"/>
      <c r="G43" s="217"/>
    </row>
    <row r="44" spans="1:7" s="34" customFormat="1" ht="27.6">
      <c r="A44" s="66" t="s">
        <v>20</v>
      </c>
      <c r="B44" s="67" t="s">
        <v>473</v>
      </c>
      <c r="C44" s="68" t="s">
        <v>152</v>
      </c>
      <c r="D44" s="69" t="s">
        <v>63</v>
      </c>
      <c r="E44" s="157">
        <v>3176.97</v>
      </c>
      <c r="F44" s="137">
        <f>C44*E44</f>
        <v>6353.94</v>
      </c>
      <c r="G44" s="217"/>
    </row>
    <row r="45" spans="1:7" s="34" customFormat="1" ht="14.45">
      <c r="A45" s="59"/>
      <c r="B45" s="100"/>
      <c r="C45" s="61"/>
      <c r="D45" s="62"/>
      <c r="E45" s="157"/>
      <c r="F45" s="137"/>
      <c r="G45" s="217"/>
    </row>
    <row r="46" spans="1:7" s="34" customFormat="1" ht="27.6">
      <c r="A46" s="66" t="s">
        <v>23</v>
      </c>
      <c r="B46" s="67" t="s">
        <v>474</v>
      </c>
      <c r="C46" s="68" t="s">
        <v>152</v>
      </c>
      <c r="D46" s="69" t="s">
        <v>63</v>
      </c>
      <c r="E46" s="157">
        <v>3451.59</v>
      </c>
      <c r="F46" s="137">
        <f>C46*E46</f>
        <v>6903.18</v>
      </c>
      <c r="G46" s="217"/>
    </row>
    <row r="47" spans="1:7" s="34" customFormat="1" ht="14.45">
      <c r="A47" s="59"/>
      <c r="B47" s="100"/>
      <c r="C47" s="61"/>
      <c r="D47" s="62"/>
      <c r="E47" s="157"/>
      <c r="F47" s="137"/>
      <c r="G47" s="217"/>
    </row>
    <row r="48" spans="1:7" s="34" customFormat="1" ht="14.45">
      <c r="A48" s="66" t="s">
        <v>27</v>
      </c>
      <c r="B48" s="67" t="s">
        <v>475</v>
      </c>
      <c r="C48" s="68" t="s">
        <v>152</v>
      </c>
      <c r="D48" s="69" t="s">
        <v>63</v>
      </c>
      <c r="E48" s="157">
        <v>3168.36</v>
      </c>
      <c r="F48" s="137">
        <f>C48*E48</f>
        <v>6336.72</v>
      </c>
      <c r="G48" s="217"/>
    </row>
    <row r="49" spans="1:7" s="34" customFormat="1" ht="14.45">
      <c r="A49" s="59"/>
      <c r="B49" s="100"/>
      <c r="C49" s="61"/>
      <c r="D49" s="62"/>
      <c r="E49" s="157"/>
      <c r="F49" s="137"/>
      <c r="G49" s="217"/>
    </row>
    <row r="50" spans="1:7" s="34" customFormat="1" ht="14.45">
      <c r="A50" s="66" t="s">
        <v>44</v>
      </c>
      <c r="B50" s="67" t="s">
        <v>476</v>
      </c>
      <c r="C50" s="68" t="s">
        <v>304</v>
      </c>
      <c r="D50" s="69" t="s">
        <v>63</v>
      </c>
      <c r="E50" s="157">
        <v>3168.36</v>
      </c>
      <c r="F50" s="137">
        <f>C50*E50</f>
        <v>3168.36</v>
      </c>
      <c r="G50" s="217"/>
    </row>
    <row r="51" spans="1:7" s="34" customFormat="1" ht="14.45">
      <c r="A51" s="59"/>
      <c r="B51" s="100"/>
      <c r="C51" s="61"/>
      <c r="D51" s="62"/>
      <c r="E51" s="157"/>
      <c r="F51" s="137"/>
      <c r="G51" s="217"/>
    </row>
    <row r="52" spans="1:7" s="34" customFormat="1" ht="82.9">
      <c r="A52" s="66"/>
      <c r="B52" s="98" t="s">
        <v>477</v>
      </c>
      <c r="C52" s="68"/>
      <c r="D52" s="69"/>
      <c r="E52" s="157"/>
      <c r="F52" s="137"/>
      <c r="G52" s="217"/>
    </row>
    <row r="53" spans="1:7" s="34" customFormat="1" ht="14.45">
      <c r="A53" s="59"/>
      <c r="B53" s="100"/>
      <c r="C53" s="61"/>
      <c r="D53" s="62"/>
      <c r="E53" s="157"/>
      <c r="F53" s="137"/>
      <c r="G53" s="217"/>
    </row>
    <row r="54" spans="1:7" s="34" customFormat="1" ht="27.6">
      <c r="A54" s="66" t="s">
        <v>48</v>
      </c>
      <c r="B54" s="67" t="s">
        <v>478</v>
      </c>
      <c r="C54" s="68" t="s">
        <v>479</v>
      </c>
      <c r="D54" s="69" t="s">
        <v>63</v>
      </c>
      <c r="E54" s="157">
        <v>5944.08</v>
      </c>
      <c r="F54" s="137">
        <f>C54*E54</f>
        <v>53496.72</v>
      </c>
      <c r="G54" s="217"/>
    </row>
    <row r="55" spans="1:7" s="34" customFormat="1" ht="14.45">
      <c r="A55" s="59"/>
      <c r="B55" s="100"/>
      <c r="C55" s="61"/>
      <c r="D55" s="62"/>
      <c r="E55" s="157"/>
      <c r="F55" s="137"/>
      <c r="G55" s="217"/>
    </row>
    <row r="56" spans="1:7" s="34" customFormat="1" ht="27.6">
      <c r="A56" s="66" t="s">
        <v>84</v>
      </c>
      <c r="B56" s="67" t="s">
        <v>480</v>
      </c>
      <c r="C56" s="68" t="s">
        <v>481</v>
      </c>
      <c r="D56" s="69" t="s">
        <v>63</v>
      </c>
      <c r="E56" s="157">
        <v>4953.3999999999996</v>
      </c>
      <c r="F56" s="137">
        <f>C56*E56</f>
        <v>178322.4</v>
      </c>
      <c r="G56" s="217"/>
    </row>
    <row r="57" spans="1:7" s="34" customFormat="1" ht="14.45">
      <c r="A57" s="59"/>
      <c r="B57" s="100"/>
      <c r="C57" s="61"/>
      <c r="D57" s="62"/>
      <c r="E57" s="157"/>
      <c r="F57" s="137"/>
      <c r="G57" s="217"/>
    </row>
    <row r="58" spans="1:7" s="41" customFormat="1" ht="14.45">
      <c r="A58" s="80" t="s">
        <v>86</v>
      </c>
      <c r="B58" s="81" t="s">
        <v>482</v>
      </c>
      <c r="C58" s="82" t="s">
        <v>483</v>
      </c>
      <c r="D58" s="83" t="s">
        <v>63</v>
      </c>
      <c r="E58" s="158">
        <v>4733.25</v>
      </c>
      <c r="F58" s="137">
        <f>C58*E58</f>
        <v>227196</v>
      </c>
      <c r="G58" s="217"/>
    </row>
    <row r="59" spans="1:7" s="34" customFormat="1" ht="14.45">
      <c r="A59" s="59"/>
      <c r="B59" s="100"/>
      <c r="C59" s="61"/>
      <c r="D59" s="62"/>
      <c r="E59" s="157"/>
      <c r="F59" s="137"/>
      <c r="G59" s="217"/>
    </row>
    <row r="60" spans="1:7" s="41" customFormat="1" ht="14.45">
      <c r="A60" s="80" t="s">
        <v>90</v>
      </c>
      <c r="B60" s="81" t="s">
        <v>484</v>
      </c>
      <c r="C60" s="82" t="s">
        <v>485</v>
      </c>
      <c r="D60" s="83" t="s">
        <v>63</v>
      </c>
      <c r="E60" s="158">
        <v>4733.25</v>
      </c>
      <c r="F60" s="137">
        <f>C60*E60</f>
        <v>118331.25</v>
      </c>
      <c r="G60" s="217"/>
    </row>
    <row r="61" spans="1:7" s="34" customFormat="1" ht="14.45">
      <c r="A61" s="59"/>
      <c r="B61" s="100"/>
      <c r="C61" s="61"/>
      <c r="D61" s="62"/>
      <c r="E61" s="157"/>
      <c r="F61" s="137"/>
      <c r="G61" s="217"/>
    </row>
    <row r="62" spans="1:7" s="41" customFormat="1" ht="14.45">
      <c r="A62" s="80" t="s">
        <v>92</v>
      </c>
      <c r="B62" s="81" t="s">
        <v>486</v>
      </c>
      <c r="C62" s="82" t="s">
        <v>487</v>
      </c>
      <c r="D62" s="83" t="s">
        <v>63</v>
      </c>
      <c r="E62" s="158">
        <v>4733.25</v>
      </c>
      <c r="F62" s="137">
        <f>C62*E62</f>
        <v>132531</v>
      </c>
      <c r="G62" s="217"/>
    </row>
    <row r="63" spans="1:7" s="34" customFormat="1" ht="14.45">
      <c r="A63" s="59"/>
      <c r="B63" s="100"/>
      <c r="C63" s="61"/>
      <c r="D63" s="62"/>
      <c r="E63" s="157"/>
      <c r="F63" s="137"/>
      <c r="G63" s="217"/>
    </row>
    <row r="64" spans="1:7" s="34" customFormat="1" ht="27.6">
      <c r="A64" s="66" t="s">
        <v>94</v>
      </c>
      <c r="B64" s="67" t="s">
        <v>488</v>
      </c>
      <c r="C64" s="68" t="s">
        <v>65</v>
      </c>
      <c r="D64" s="69" t="s">
        <v>63</v>
      </c>
      <c r="E64" s="157">
        <v>5944.08</v>
      </c>
      <c r="F64" s="137">
        <f>C64*E64</f>
        <v>23776.32</v>
      </c>
      <c r="G64" s="217"/>
    </row>
    <row r="65" spans="1:7" s="34" customFormat="1" ht="14.45">
      <c r="A65" s="59"/>
      <c r="B65" s="100"/>
      <c r="C65" s="61"/>
      <c r="D65" s="62"/>
      <c r="E65" s="157"/>
      <c r="F65" s="137"/>
      <c r="G65" s="217"/>
    </row>
    <row r="66" spans="1:7" s="34" customFormat="1" ht="27.6">
      <c r="A66" s="66" t="s">
        <v>140</v>
      </c>
      <c r="B66" s="67" t="s">
        <v>489</v>
      </c>
      <c r="C66" s="68" t="s">
        <v>65</v>
      </c>
      <c r="D66" s="69" t="s">
        <v>63</v>
      </c>
      <c r="E66" s="157">
        <v>5944.08</v>
      </c>
      <c r="F66" s="137">
        <f>C66*E66</f>
        <v>23776.32</v>
      </c>
      <c r="G66" s="217"/>
    </row>
    <row r="67" spans="1:7" s="34" customFormat="1" ht="14.45">
      <c r="A67" s="66"/>
      <c r="B67" s="99"/>
      <c r="C67" s="68"/>
      <c r="D67" s="69"/>
      <c r="E67" s="157"/>
      <c r="F67" s="137"/>
      <c r="G67" s="217"/>
    </row>
    <row r="68" spans="1:7" s="34" customFormat="1" ht="14.45">
      <c r="A68" s="66"/>
      <c r="B68" s="99"/>
      <c r="C68" s="68"/>
      <c r="D68" s="69"/>
      <c r="E68" s="157"/>
      <c r="F68" s="137"/>
      <c r="G68" s="217"/>
    </row>
    <row r="69" spans="1:7" s="34" customFormat="1" ht="14.45">
      <c r="A69" s="59"/>
      <c r="B69" s="63"/>
      <c r="C69" s="61"/>
      <c r="D69" s="62"/>
      <c r="E69" s="157"/>
      <c r="F69" s="137"/>
      <c r="G69" s="217"/>
    </row>
    <row r="70" spans="1:7" s="34" customFormat="1" ht="14.45">
      <c r="A70" s="71"/>
      <c r="B70" s="72"/>
      <c r="C70" s="73"/>
      <c r="D70" s="74"/>
      <c r="E70" s="159"/>
      <c r="F70" s="138"/>
      <c r="G70" s="226"/>
    </row>
    <row r="71" spans="1:7" s="34" customFormat="1" ht="14.45">
      <c r="A71" s="75"/>
      <c r="B71" s="76"/>
      <c r="C71" s="77" t="s">
        <v>30</v>
      </c>
      <c r="D71" s="77"/>
      <c r="E71" s="160" t="s">
        <v>8</v>
      </c>
      <c r="F71" s="139">
        <f>SUM(F39:F68)</f>
        <v>861533.3899999999</v>
      </c>
      <c r="G71" s="227"/>
    </row>
    <row r="72" spans="1:7" s="34" customFormat="1" ht="14.45">
      <c r="A72" s="75"/>
      <c r="B72" s="76"/>
      <c r="C72" s="78"/>
      <c r="D72" s="79"/>
      <c r="E72" s="161"/>
      <c r="F72" s="140"/>
      <c r="G72" s="228"/>
    </row>
    <row r="73" spans="1:7" s="34" customFormat="1" ht="14.45">
      <c r="A73" s="59"/>
      <c r="B73" s="63"/>
      <c r="C73" s="61"/>
      <c r="D73" s="62"/>
      <c r="E73" s="157"/>
      <c r="F73" s="137"/>
      <c r="G73" s="217"/>
    </row>
    <row r="74" spans="1:7" s="34" customFormat="1" ht="14.45">
      <c r="A74" s="59"/>
      <c r="B74" s="64" t="s">
        <v>470</v>
      </c>
      <c r="C74" s="61"/>
      <c r="D74" s="62"/>
      <c r="E74" s="157"/>
      <c r="F74" s="137"/>
      <c r="G74" s="217"/>
    </row>
    <row r="75" spans="1:7" s="34" customFormat="1" ht="14.45">
      <c r="A75" s="59"/>
      <c r="B75" s="100"/>
      <c r="C75" s="61"/>
      <c r="D75" s="62"/>
      <c r="E75" s="157"/>
      <c r="F75" s="137"/>
      <c r="G75" s="217"/>
    </row>
    <row r="76" spans="1:7" s="34" customFormat="1" ht="27.6">
      <c r="A76" s="66" t="s">
        <v>14</v>
      </c>
      <c r="B76" s="67" t="s">
        <v>490</v>
      </c>
      <c r="C76" s="68" t="s">
        <v>152</v>
      </c>
      <c r="D76" s="69" t="s">
        <v>63</v>
      </c>
      <c r="E76" s="157">
        <v>9356.43</v>
      </c>
      <c r="F76" s="137">
        <f>C76*E76</f>
        <v>18712.86</v>
      </c>
      <c r="G76" s="217"/>
    </row>
    <row r="77" spans="1:7" s="34" customFormat="1" ht="14.45">
      <c r="A77" s="59"/>
      <c r="B77" s="100"/>
      <c r="C77" s="61"/>
      <c r="D77" s="62"/>
      <c r="E77" s="157"/>
      <c r="F77" s="137"/>
      <c r="G77" s="217"/>
    </row>
    <row r="78" spans="1:7" s="34" customFormat="1" ht="27.6">
      <c r="A78" s="66" t="s">
        <v>17</v>
      </c>
      <c r="B78" s="67" t="s">
        <v>491</v>
      </c>
      <c r="C78" s="68" t="s">
        <v>332</v>
      </c>
      <c r="D78" s="69" t="s">
        <v>63</v>
      </c>
      <c r="E78" s="157">
        <v>4733.25</v>
      </c>
      <c r="F78" s="137">
        <f>C78*E78</f>
        <v>47332.5</v>
      </c>
      <c r="G78" s="217"/>
    </row>
    <row r="79" spans="1:7" s="34" customFormat="1" ht="14.45">
      <c r="A79" s="59"/>
      <c r="B79" s="63"/>
      <c r="C79" s="61"/>
      <c r="D79" s="62"/>
      <c r="E79" s="157"/>
      <c r="F79" s="137"/>
      <c r="G79" s="217"/>
    </row>
    <row r="80" spans="1:7" s="34" customFormat="1" ht="69">
      <c r="A80" s="59"/>
      <c r="B80" s="63" t="s">
        <v>492</v>
      </c>
      <c r="C80" s="61"/>
      <c r="D80" s="62"/>
      <c r="E80" s="157"/>
      <c r="F80" s="152"/>
      <c r="G80" s="227"/>
    </row>
    <row r="81" spans="1:7" s="34" customFormat="1" ht="14.45">
      <c r="A81" s="59"/>
      <c r="B81" s="63"/>
      <c r="C81" s="61"/>
      <c r="D81" s="62"/>
      <c r="E81" s="157"/>
      <c r="F81" s="152"/>
      <c r="G81" s="227"/>
    </row>
    <row r="82" spans="1:7" s="34" customFormat="1" ht="14.45">
      <c r="A82" s="66" t="s">
        <v>20</v>
      </c>
      <c r="B82" s="295" t="s">
        <v>493</v>
      </c>
      <c r="C82" s="68">
        <v>2</v>
      </c>
      <c r="D82" s="69" t="s">
        <v>63</v>
      </c>
      <c r="E82" s="157">
        <v>201549.78</v>
      </c>
      <c r="F82" s="152">
        <f>C82*E82</f>
        <v>403099.56</v>
      </c>
      <c r="G82" s="227"/>
    </row>
    <row r="83" spans="1:7" s="34" customFormat="1" ht="14.45">
      <c r="A83" s="59"/>
      <c r="B83" s="63"/>
      <c r="C83" s="61"/>
      <c r="D83" s="62"/>
      <c r="E83" s="157"/>
      <c r="F83" s="137"/>
      <c r="G83" s="217"/>
    </row>
    <row r="84" spans="1:7" s="34" customFormat="1" ht="14.45">
      <c r="A84" s="59"/>
      <c r="B84" s="63"/>
      <c r="C84" s="61"/>
      <c r="D84" s="62"/>
      <c r="E84" s="157"/>
      <c r="F84" s="137"/>
      <c r="G84" s="217"/>
    </row>
    <row r="85" spans="1:7" s="34" customFormat="1" ht="14.45">
      <c r="A85" s="59"/>
      <c r="B85" s="63"/>
      <c r="C85" s="61"/>
      <c r="D85" s="62"/>
      <c r="E85" s="157"/>
      <c r="F85" s="137"/>
      <c r="G85" s="217"/>
    </row>
    <row r="86" spans="1:7" s="34" customFormat="1" ht="14.45">
      <c r="A86" s="59"/>
      <c r="B86" s="63"/>
      <c r="C86" s="61"/>
      <c r="D86" s="62"/>
      <c r="E86" s="157"/>
      <c r="F86" s="137"/>
      <c r="G86" s="217"/>
    </row>
    <row r="87" spans="1:7" s="34" customFormat="1" ht="14.45">
      <c r="A87" s="59"/>
      <c r="B87" s="63"/>
      <c r="C87" s="61"/>
      <c r="D87" s="62"/>
      <c r="E87" s="157"/>
      <c r="F87" s="137"/>
      <c r="G87" s="217"/>
    </row>
    <row r="88" spans="1:7" s="34" customFormat="1" ht="14.45">
      <c r="A88" s="59"/>
      <c r="B88" s="63"/>
      <c r="C88" s="61"/>
      <c r="D88" s="62"/>
      <c r="E88" s="157"/>
      <c r="F88" s="137"/>
      <c r="G88" s="217"/>
    </row>
    <row r="89" spans="1:7" s="34" customFormat="1" ht="14.45">
      <c r="A89" s="59"/>
      <c r="B89" s="63"/>
      <c r="C89" s="61"/>
      <c r="D89" s="62"/>
      <c r="E89" s="157"/>
      <c r="F89" s="137"/>
      <c r="G89" s="217"/>
    </row>
    <row r="90" spans="1:7" s="34" customFormat="1" ht="14.45">
      <c r="A90" s="59"/>
      <c r="B90" s="63"/>
      <c r="C90" s="61"/>
      <c r="D90" s="62"/>
      <c r="E90" s="157"/>
      <c r="F90" s="137"/>
      <c r="G90" s="217"/>
    </row>
    <row r="91" spans="1:7" s="34" customFormat="1" ht="14.45">
      <c r="A91" s="59"/>
      <c r="B91" s="63"/>
      <c r="C91" s="61"/>
      <c r="D91" s="62"/>
      <c r="E91" s="157"/>
      <c r="F91" s="137"/>
      <c r="G91" s="217"/>
    </row>
    <row r="92" spans="1:7" s="34" customFormat="1" ht="14.45">
      <c r="A92" s="59"/>
      <c r="B92" s="63"/>
      <c r="C92" s="61"/>
      <c r="D92" s="62"/>
      <c r="E92" s="157"/>
      <c r="F92" s="137"/>
      <c r="G92" s="217"/>
    </row>
    <row r="93" spans="1:7" s="34" customFormat="1" ht="14.45">
      <c r="A93" s="59"/>
      <c r="B93" s="63"/>
      <c r="C93" s="61"/>
      <c r="D93" s="62"/>
      <c r="E93" s="157"/>
      <c r="F93" s="137"/>
      <c r="G93" s="217"/>
    </row>
    <row r="94" spans="1:7" s="34" customFormat="1" ht="14.45">
      <c r="A94" s="59"/>
      <c r="B94" s="63"/>
      <c r="C94" s="61"/>
      <c r="D94" s="62"/>
      <c r="E94" s="157"/>
      <c r="F94" s="137"/>
      <c r="G94" s="217"/>
    </row>
    <row r="95" spans="1:7" s="34" customFormat="1" ht="14.45">
      <c r="A95" s="59"/>
      <c r="B95" s="63"/>
      <c r="C95" s="61"/>
      <c r="D95" s="62"/>
      <c r="E95" s="157"/>
      <c r="F95" s="137"/>
      <c r="G95" s="217"/>
    </row>
    <row r="96" spans="1:7" s="34" customFormat="1" ht="14.45">
      <c r="A96" s="59"/>
      <c r="B96" s="63"/>
      <c r="C96" s="61"/>
      <c r="D96" s="62"/>
      <c r="E96" s="157"/>
      <c r="F96" s="137"/>
      <c r="G96" s="217"/>
    </row>
    <row r="97" spans="1:7" s="34" customFormat="1" ht="14.45">
      <c r="A97" s="59"/>
      <c r="B97" s="63"/>
      <c r="C97" s="61"/>
      <c r="D97" s="62"/>
      <c r="E97" s="157"/>
      <c r="F97" s="137"/>
      <c r="G97" s="217"/>
    </row>
    <row r="98" spans="1:7" s="34" customFormat="1" ht="14.45">
      <c r="A98" s="59"/>
      <c r="B98" s="63"/>
      <c r="C98" s="61"/>
      <c r="D98" s="62"/>
      <c r="E98" s="157"/>
      <c r="F98" s="137"/>
      <c r="G98" s="217"/>
    </row>
    <row r="99" spans="1:7" s="34" customFormat="1" ht="14.45">
      <c r="A99" s="59"/>
      <c r="B99" s="63"/>
      <c r="C99" s="61"/>
      <c r="D99" s="62"/>
      <c r="E99" s="157"/>
      <c r="F99" s="137"/>
      <c r="G99" s="217"/>
    </row>
    <row r="100" spans="1:7" s="34" customFormat="1" ht="14.45">
      <c r="A100" s="59"/>
      <c r="B100" s="63"/>
      <c r="C100" s="61"/>
      <c r="D100" s="62"/>
      <c r="E100" s="157"/>
      <c r="F100" s="137"/>
      <c r="G100" s="217"/>
    </row>
    <row r="101" spans="1:7" s="34" customFormat="1" ht="14.45">
      <c r="A101" s="59"/>
      <c r="B101" s="63"/>
      <c r="C101" s="61"/>
      <c r="D101" s="62"/>
      <c r="E101" s="157"/>
      <c r="F101" s="137"/>
      <c r="G101" s="217"/>
    </row>
    <row r="102" spans="1:7" s="34" customFormat="1" ht="14.45">
      <c r="A102" s="59"/>
      <c r="B102" s="63"/>
      <c r="C102" s="61"/>
      <c r="D102" s="62"/>
      <c r="E102" s="157"/>
      <c r="F102" s="137"/>
      <c r="G102" s="217"/>
    </row>
    <row r="103" spans="1:7" s="34" customFormat="1" ht="14.45">
      <c r="A103" s="59"/>
      <c r="B103" s="63"/>
      <c r="C103" s="61"/>
      <c r="D103" s="62"/>
      <c r="E103" s="157"/>
      <c r="F103" s="137"/>
      <c r="G103" s="217"/>
    </row>
    <row r="104" spans="1:7" s="34" customFormat="1" ht="14.45">
      <c r="A104" s="59"/>
      <c r="B104" s="63"/>
      <c r="C104" s="61"/>
      <c r="D104" s="62"/>
      <c r="E104" s="157"/>
      <c r="F104" s="137"/>
      <c r="G104" s="217"/>
    </row>
    <row r="105" spans="1:7" s="34" customFormat="1" ht="14.45">
      <c r="A105" s="59"/>
      <c r="B105" s="63"/>
      <c r="C105" s="61"/>
      <c r="D105" s="62"/>
      <c r="E105" s="157"/>
      <c r="F105" s="137"/>
      <c r="G105" s="217"/>
    </row>
    <row r="106" spans="1:7" s="34" customFormat="1" ht="14.45">
      <c r="A106" s="59"/>
      <c r="B106" s="63"/>
      <c r="C106" s="61"/>
      <c r="D106" s="62"/>
      <c r="E106" s="157"/>
      <c r="F106" s="137"/>
      <c r="G106" s="217"/>
    </row>
    <row r="107" spans="1:7" s="34" customFormat="1" ht="14.45">
      <c r="A107" s="59"/>
      <c r="B107" s="63"/>
      <c r="C107" s="61"/>
      <c r="D107" s="62"/>
      <c r="E107" s="157"/>
      <c r="F107" s="137"/>
      <c r="G107" s="217"/>
    </row>
    <row r="108" spans="1:7" s="34" customFormat="1" ht="14.45">
      <c r="A108" s="59"/>
      <c r="B108" s="63"/>
      <c r="C108" s="61"/>
      <c r="D108" s="62"/>
      <c r="E108" s="157"/>
      <c r="F108" s="137"/>
      <c r="G108" s="217"/>
    </row>
    <row r="109" spans="1:7" s="34" customFormat="1" ht="14.45">
      <c r="A109" s="59"/>
      <c r="B109" s="63"/>
      <c r="C109" s="61"/>
      <c r="D109" s="62"/>
      <c r="E109" s="157"/>
      <c r="F109" s="137"/>
      <c r="G109" s="217"/>
    </row>
    <row r="110" spans="1:7" s="34" customFormat="1" ht="14.45">
      <c r="A110" s="59"/>
      <c r="B110" s="63"/>
      <c r="C110" s="61"/>
      <c r="D110" s="62"/>
      <c r="E110" s="157"/>
      <c r="F110" s="137"/>
      <c r="G110" s="217"/>
    </row>
    <row r="111" spans="1:7" s="34" customFormat="1" ht="14.45">
      <c r="A111" s="59"/>
      <c r="B111" s="63"/>
      <c r="C111" s="61"/>
      <c r="D111" s="62"/>
      <c r="E111" s="157"/>
      <c r="F111" s="137"/>
      <c r="G111" s="217"/>
    </row>
    <row r="112" spans="1:7" s="34" customFormat="1" ht="14.45">
      <c r="A112" s="71"/>
      <c r="B112" s="72"/>
      <c r="C112" s="73"/>
      <c r="D112" s="74"/>
      <c r="E112" s="159"/>
      <c r="F112" s="138"/>
      <c r="G112" s="226"/>
    </row>
    <row r="113" spans="1:7" s="34" customFormat="1" ht="14.45">
      <c r="A113" s="75"/>
      <c r="B113" s="76"/>
      <c r="C113" s="77" t="s">
        <v>30</v>
      </c>
      <c r="D113" s="77"/>
      <c r="E113" s="160" t="s">
        <v>8</v>
      </c>
      <c r="F113" s="139">
        <f>SUM(F75:F89)</f>
        <v>469144.92</v>
      </c>
      <c r="G113" s="227"/>
    </row>
    <row r="114" spans="1:7" s="34" customFormat="1" ht="14.45">
      <c r="A114" s="75"/>
      <c r="B114" s="76"/>
      <c r="C114" s="78"/>
      <c r="D114" s="79"/>
      <c r="E114" s="161"/>
      <c r="F114" s="140"/>
      <c r="G114" s="228"/>
    </row>
    <row r="115" spans="1:7" s="34" customFormat="1" ht="14.45">
      <c r="A115" s="59"/>
      <c r="B115" s="63"/>
      <c r="C115" s="61"/>
      <c r="D115" s="62"/>
      <c r="E115" s="157"/>
      <c r="F115" s="137"/>
      <c r="G115" s="217"/>
    </row>
    <row r="116" spans="1:7" s="34" customFormat="1" ht="14.45">
      <c r="A116" s="59"/>
      <c r="B116" s="64" t="s">
        <v>494</v>
      </c>
      <c r="C116" s="61"/>
      <c r="D116" s="62"/>
      <c r="E116" s="157"/>
      <c r="F116" s="137"/>
      <c r="G116" s="217"/>
    </row>
    <row r="117" spans="1:7" s="34" customFormat="1" ht="14.45">
      <c r="A117" s="59"/>
      <c r="B117" s="100"/>
      <c r="C117" s="61"/>
      <c r="D117" s="62"/>
      <c r="E117" s="157"/>
      <c r="F117" s="137"/>
      <c r="G117" s="217"/>
    </row>
    <row r="118" spans="1:7" s="34" customFormat="1" ht="14.45">
      <c r="A118" s="66"/>
      <c r="B118" s="99" t="s">
        <v>11</v>
      </c>
      <c r="C118" s="68"/>
      <c r="D118" s="69"/>
      <c r="E118" s="157"/>
      <c r="F118" s="137"/>
      <c r="G118" s="217"/>
    </row>
    <row r="119" spans="1:7" s="34" customFormat="1" ht="14.45">
      <c r="A119" s="59"/>
      <c r="B119" s="100"/>
      <c r="C119" s="61"/>
      <c r="D119" s="62"/>
      <c r="E119" s="157"/>
      <c r="F119" s="137"/>
      <c r="G119" s="217"/>
    </row>
    <row r="120" spans="1:7" s="34" customFormat="1" ht="27.6">
      <c r="A120" s="66"/>
      <c r="B120" s="99" t="s">
        <v>242</v>
      </c>
      <c r="C120" s="68"/>
      <c r="D120" s="69"/>
      <c r="E120" s="157"/>
      <c r="F120" s="137"/>
      <c r="G120" s="217"/>
    </row>
    <row r="121" spans="1:7" s="34" customFormat="1" ht="14.45">
      <c r="A121" s="59"/>
      <c r="B121" s="100"/>
      <c r="C121" s="61"/>
      <c r="D121" s="62"/>
      <c r="E121" s="157"/>
      <c r="F121" s="137"/>
      <c r="G121" s="217"/>
    </row>
    <row r="122" spans="1:7" s="34" customFormat="1" ht="14.45">
      <c r="A122" s="66"/>
      <c r="B122" s="99" t="s">
        <v>495</v>
      </c>
      <c r="C122" s="68"/>
      <c r="D122" s="69"/>
      <c r="E122" s="157"/>
      <c r="F122" s="137"/>
      <c r="G122" s="217"/>
    </row>
    <row r="123" spans="1:7" s="34" customFormat="1" ht="14.45">
      <c r="A123" s="59"/>
      <c r="B123" s="100"/>
      <c r="C123" s="61"/>
      <c r="D123" s="62"/>
      <c r="E123" s="157"/>
      <c r="F123" s="137"/>
      <c r="G123" s="217"/>
    </row>
    <row r="124" spans="1:7" s="34" customFormat="1" ht="96.6">
      <c r="A124" s="66"/>
      <c r="B124" s="98" t="s">
        <v>496</v>
      </c>
      <c r="C124" s="68"/>
      <c r="D124" s="69"/>
      <c r="E124" s="157"/>
      <c r="F124" s="137"/>
      <c r="G124" s="217"/>
    </row>
    <row r="125" spans="1:7" s="34" customFormat="1" ht="14.45">
      <c r="A125" s="59"/>
      <c r="B125" s="100"/>
      <c r="C125" s="61"/>
      <c r="D125" s="62"/>
      <c r="E125" s="157"/>
      <c r="F125" s="137"/>
      <c r="G125" s="217"/>
    </row>
    <row r="126" spans="1:7" s="34" customFormat="1" ht="27.6">
      <c r="A126" s="66" t="s">
        <v>14</v>
      </c>
      <c r="B126" s="67" t="s">
        <v>497</v>
      </c>
      <c r="C126" s="68">
        <v>363</v>
      </c>
      <c r="D126" s="69" t="s">
        <v>16</v>
      </c>
      <c r="E126" s="157">
        <v>2047.53</v>
      </c>
      <c r="F126" s="137">
        <f>C126*E126</f>
        <v>743253.39</v>
      </c>
      <c r="G126" s="217"/>
    </row>
    <row r="127" spans="1:7" s="34" customFormat="1" ht="14.45">
      <c r="A127" s="59"/>
      <c r="B127" s="100"/>
      <c r="C127" s="61"/>
      <c r="D127" s="62"/>
      <c r="E127" s="157"/>
      <c r="F127" s="137"/>
      <c r="G127" s="217"/>
    </row>
    <row r="128" spans="1:7" s="34" customFormat="1" ht="41.45">
      <c r="A128" s="66" t="s">
        <v>17</v>
      </c>
      <c r="B128" s="67" t="s">
        <v>498</v>
      </c>
      <c r="C128" s="68" t="s">
        <v>304</v>
      </c>
      <c r="D128" s="69" t="s">
        <v>63</v>
      </c>
      <c r="E128" s="157">
        <v>389556.12</v>
      </c>
      <c r="F128" s="137">
        <f>C128*E128</f>
        <v>389556.12</v>
      </c>
      <c r="G128" s="217"/>
    </row>
    <row r="129" spans="1:7" s="34" customFormat="1" ht="14.45">
      <c r="A129" s="59"/>
      <c r="B129" s="100"/>
      <c r="C129" s="61"/>
      <c r="D129" s="62"/>
      <c r="E129" s="157"/>
      <c r="F129" s="137"/>
      <c r="G129" s="217"/>
    </row>
    <row r="130" spans="1:7" s="34" customFormat="1" ht="27.6">
      <c r="A130" s="66" t="s">
        <v>20</v>
      </c>
      <c r="B130" s="67" t="s">
        <v>499</v>
      </c>
      <c r="C130" s="68" t="s">
        <v>65</v>
      </c>
      <c r="D130" s="69" t="s">
        <v>63</v>
      </c>
      <c r="E130" s="157">
        <v>3175.25</v>
      </c>
      <c r="F130" s="137">
        <f>C130*E130</f>
        <v>12701</v>
      </c>
      <c r="G130" s="217"/>
    </row>
    <row r="131" spans="1:7" s="34" customFormat="1" ht="14.45">
      <c r="A131" s="59"/>
      <c r="B131" s="100"/>
      <c r="C131" s="61"/>
      <c r="D131" s="62"/>
      <c r="E131" s="157"/>
      <c r="F131" s="137"/>
      <c r="G131" s="217"/>
    </row>
    <row r="132" spans="1:7" s="34" customFormat="1" ht="27.6">
      <c r="A132" s="66" t="s">
        <v>23</v>
      </c>
      <c r="B132" s="67" t="s">
        <v>500</v>
      </c>
      <c r="C132" s="68" t="s">
        <v>501</v>
      </c>
      <c r="D132" s="69" t="s">
        <v>16</v>
      </c>
      <c r="E132" s="157">
        <v>2606.14</v>
      </c>
      <c r="F132" s="137">
        <f>C132*E132</f>
        <v>122488.57999999999</v>
      </c>
      <c r="G132" s="217"/>
    </row>
    <row r="133" spans="1:7" s="34" customFormat="1" ht="14.45">
      <c r="A133" s="59"/>
      <c r="B133" s="100"/>
      <c r="C133" s="61"/>
      <c r="D133" s="62"/>
      <c r="E133" s="157"/>
      <c r="F133" s="137"/>
      <c r="G133" s="217"/>
    </row>
    <row r="134" spans="1:7" s="34" customFormat="1" ht="27.6">
      <c r="A134" s="66" t="s">
        <v>27</v>
      </c>
      <c r="B134" s="67" t="s">
        <v>502</v>
      </c>
      <c r="C134" s="68" t="s">
        <v>304</v>
      </c>
      <c r="D134" s="69" t="s">
        <v>63</v>
      </c>
      <c r="E134" s="157">
        <v>207310.95</v>
      </c>
      <c r="F134" s="137">
        <f>C134*E134</f>
        <v>207310.95</v>
      </c>
      <c r="G134" s="217"/>
    </row>
    <row r="135" spans="1:7" s="34" customFormat="1" ht="14.45">
      <c r="A135" s="59"/>
      <c r="B135" s="100"/>
      <c r="C135" s="61"/>
      <c r="D135" s="62"/>
      <c r="E135" s="157"/>
      <c r="F135" s="137"/>
      <c r="G135" s="217"/>
    </row>
    <row r="136" spans="1:7" s="34" customFormat="1" ht="27.6">
      <c r="A136" s="66" t="s">
        <v>44</v>
      </c>
      <c r="B136" s="67" t="s">
        <v>503</v>
      </c>
      <c r="C136" s="68">
        <v>1038</v>
      </c>
      <c r="D136" s="69" t="s">
        <v>16</v>
      </c>
      <c r="E136" s="157">
        <v>4074.52</v>
      </c>
      <c r="F136" s="137">
        <f>C136*E136</f>
        <v>4229351.76</v>
      </c>
      <c r="G136" s="217" t="s">
        <v>504</v>
      </c>
    </row>
    <row r="137" spans="1:7" s="34" customFormat="1" ht="14.45">
      <c r="A137" s="59"/>
      <c r="B137" s="100"/>
      <c r="C137" s="61"/>
      <c r="D137" s="62"/>
      <c r="E137" s="157"/>
      <c r="F137" s="137"/>
      <c r="G137" s="217"/>
    </row>
    <row r="138" spans="1:7" s="34" customFormat="1" ht="27.6">
      <c r="A138" s="66" t="s">
        <v>48</v>
      </c>
      <c r="B138" s="67" t="s">
        <v>505</v>
      </c>
      <c r="C138" s="68" t="s">
        <v>65</v>
      </c>
      <c r="D138" s="69" t="s">
        <v>63</v>
      </c>
      <c r="E138" s="157">
        <v>10500.17</v>
      </c>
      <c r="F138" s="137">
        <f>C138*E138</f>
        <v>42000.68</v>
      </c>
      <c r="G138" s="217"/>
    </row>
    <row r="139" spans="1:7" s="34" customFormat="1" ht="14.45">
      <c r="A139" s="59"/>
      <c r="B139" s="100"/>
      <c r="C139" s="61"/>
      <c r="D139" s="62"/>
      <c r="E139" s="157"/>
      <c r="F139" s="137"/>
      <c r="G139" s="217"/>
    </row>
    <row r="140" spans="1:7" s="34" customFormat="1" ht="27.6">
      <c r="A140" s="66" t="s">
        <v>84</v>
      </c>
      <c r="B140" s="67" t="s">
        <v>506</v>
      </c>
      <c r="C140" s="68" t="s">
        <v>152</v>
      </c>
      <c r="D140" s="69" t="s">
        <v>63</v>
      </c>
      <c r="E140" s="157">
        <v>29925.47</v>
      </c>
      <c r="F140" s="137">
        <f>C140*E140</f>
        <v>59850.94</v>
      </c>
      <c r="G140" s="217"/>
    </row>
    <row r="141" spans="1:7" s="34" customFormat="1" ht="14.45">
      <c r="A141" s="59"/>
      <c r="B141" s="100"/>
      <c r="C141" s="61"/>
      <c r="D141" s="62"/>
      <c r="E141" s="157"/>
      <c r="F141" s="137"/>
      <c r="G141" s="217"/>
    </row>
    <row r="142" spans="1:7" s="34" customFormat="1" ht="27.6">
      <c r="A142" s="66" t="s">
        <v>86</v>
      </c>
      <c r="B142" s="67" t="s">
        <v>507</v>
      </c>
      <c r="C142" s="68">
        <v>2307</v>
      </c>
      <c r="D142" s="69" t="s">
        <v>16</v>
      </c>
      <c r="E142" s="157">
        <v>2205.0300000000002</v>
      </c>
      <c r="F142" s="137">
        <f>C142*E142</f>
        <v>5087004.2100000009</v>
      </c>
      <c r="G142" s="217"/>
    </row>
    <row r="143" spans="1:7" s="34" customFormat="1" ht="14.45">
      <c r="A143" s="66"/>
      <c r="B143" s="67"/>
      <c r="C143" s="68"/>
      <c r="D143" s="69"/>
      <c r="E143" s="157"/>
      <c r="F143" s="137"/>
      <c r="G143" s="217"/>
    </row>
    <row r="144" spans="1:7" s="34" customFormat="1" ht="28.9">
      <c r="A144" s="59"/>
      <c r="B144" s="230" t="s">
        <v>420</v>
      </c>
      <c r="C144" s="61"/>
      <c r="D144" s="62"/>
      <c r="E144" s="157"/>
      <c r="F144" s="137"/>
      <c r="G144" s="217"/>
    </row>
    <row r="145" spans="1:7" s="34" customFormat="1" ht="14.45">
      <c r="A145" s="71"/>
      <c r="B145" s="72"/>
      <c r="C145" s="73"/>
      <c r="D145" s="74"/>
      <c r="E145" s="159"/>
      <c r="F145" s="138"/>
      <c r="G145" s="226"/>
    </row>
    <row r="146" spans="1:7" s="34" customFormat="1" ht="14.45">
      <c r="A146" s="75"/>
      <c r="B146" s="76"/>
      <c r="C146" s="77" t="s">
        <v>30</v>
      </c>
      <c r="D146" s="77"/>
      <c r="E146" s="160" t="s">
        <v>8</v>
      </c>
      <c r="F146" s="139">
        <f>SUM(F124:F144)</f>
        <v>10893517.630000001</v>
      </c>
      <c r="G146" s="227"/>
    </row>
    <row r="147" spans="1:7" s="34" customFormat="1" ht="14.45">
      <c r="A147" s="75"/>
      <c r="B147" s="76"/>
      <c r="C147" s="78"/>
      <c r="D147" s="79"/>
      <c r="E147" s="161"/>
      <c r="F147" s="140"/>
      <c r="G147" s="228"/>
    </row>
    <row r="148" spans="1:7" s="34" customFormat="1" ht="14.45">
      <c r="A148" s="59"/>
      <c r="B148" s="63"/>
      <c r="C148" s="61"/>
      <c r="D148" s="62"/>
      <c r="E148" s="157"/>
      <c r="F148" s="137"/>
      <c r="G148" s="217"/>
    </row>
    <row r="149" spans="1:7" s="34" customFormat="1" ht="14.45">
      <c r="A149" s="59"/>
      <c r="B149" s="64" t="s">
        <v>508</v>
      </c>
      <c r="C149" s="61"/>
      <c r="D149" s="62"/>
      <c r="E149" s="157"/>
      <c r="F149" s="137"/>
      <c r="G149" s="217"/>
    </row>
    <row r="150" spans="1:7" s="34" customFormat="1" ht="14.45">
      <c r="A150" s="59"/>
      <c r="B150" s="100"/>
      <c r="C150" s="61"/>
      <c r="D150" s="62"/>
      <c r="E150" s="157"/>
      <c r="F150" s="137"/>
      <c r="G150" s="217"/>
    </row>
    <row r="151" spans="1:7" s="34" customFormat="1" ht="27.6">
      <c r="A151" s="66" t="s">
        <v>14</v>
      </c>
      <c r="B151" s="67" t="s">
        <v>509</v>
      </c>
      <c r="C151" s="68" t="s">
        <v>65</v>
      </c>
      <c r="D151" s="69" t="s">
        <v>63</v>
      </c>
      <c r="E151" s="157">
        <v>10500.17</v>
      </c>
      <c r="F151" s="137">
        <f>C151*E151</f>
        <v>42000.68</v>
      </c>
      <c r="G151" s="217"/>
    </row>
    <row r="152" spans="1:7" s="34" customFormat="1" ht="14.45">
      <c r="A152" s="59"/>
      <c r="B152" s="100"/>
      <c r="C152" s="61"/>
      <c r="D152" s="62"/>
      <c r="E152" s="157"/>
      <c r="F152" s="137"/>
      <c r="G152" s="217"/>
    </row>
    <row r="153" spans="1:7" s="34" customFormat="1" ht="27.6">
      <c r="A153" s="66" t="s">
        <v>17</v>
      </c>
      <c r="B153" s="67" t="s">
        <v>510</v>
      </c>
      <c r="C153" s="68" t="s">
        <v>152</v>
      </c>
      <c r="D153" s="69" t="s">
        <v>63</v>
      </c>
      <c r="E153" s="157">
        <v>37551.74</v>
      </c>
      <c r="F153" s="137">
        <f>C153*E153</f>
        <v>75103.48</v>
      </c>
      <c r="G153" s="217"/>
    </row>
    <row r="154" spans="1:7" s="34" customFormat="1" ht="14.45">
      <c r="A154" s="59"/>
      <c r="B154" s="100"/>
      <c r="C154" s="61"/>
      <c r="D154" s="62"/>
      <c r="E154" s="157"/>
      <c r="F154" s="137"/>
      <c r="G154" s="217"/>
    </row>
    <row r="155" spans="1:7" s="34" customFormat="1" ht="27.6">
      <c r="A155" s="66" t="s">
        <v>20</v>
      </c>
      <c r="B155" s="67" t="s">
        <v>511</v>
      </c>
      <c r="C155" s="68" t="s">
        <v>152</v>
      </c>
      <c r="D155" s="69" t="s">
        <v>63</v>
      </c>
      <c r="E155" s="157">
        <v>25137.4</v>
      </c>
      <c r="F155" s="137">
        <f>C155*E155</f>
        <v>50274.8</v>
      </c>
      <c r="G155" s="217"/>
    </row>
    <row r="156" spans="1:7" s="34" customFormat="1" ht="14.45">
      <c r="A156" s="59"/>
      <c r="B156" s="100"/>
      <c r="C156" s="61"/>
      <c r="D156" s="62"/>
      <c r="E156" s="157"/>
      <c r="F156" s="137"/>
      <c r="G156" s="217"/>
    </row>
    <row r="157" spans="1:7" s="34" customFormat="1" ht="27.6">
      <c r="A157" s="66" t="s">
        <v>23</v>
      </c>
      <c r="B157" s="67" t="s">
        <v>512</v>
      </c>
      <c r="C157" s="68">
        <v>0</v>
      </c>
      <c r="D157" s="69" t="s">
        <v>63</v>
      </c>
      <c r="E157" s="157">
        <v>48657.760000000002</v>
      </c>
      <c r="F157" s="137">
        <f>C157*E157</f>
        <v>0</v>
      </c>
      <c r="G157" s="217"/>
    </row>
    <row r="158" spans="1:7" s="34" customFormat="1" ht="14.45">
      <c r="A158" s="59"/>
      <c r="B158" s="100"/>
      <c r="C158" s="61"/>
      <c r="D158" s="62"/>
      <c r="E158" s="157"/>
      <c r="F158" s="137"/>
      <c r="G158" s="217"/>
    </row>
    <row r="159" spans="1:7" s="34" customFormat="1" ht="27.6">
      <c r="A159" s="66" t="s">
        <v>27</v>
      </c>
      <c r="B159" s="67" t="s">
        <v>513</v>
      </c>
      <c r="C159" s="68" t="s">
        <v>308</v>
      </c>
      <c r="D159" s="69" t="s">
        <v>63</v>
      </c>
      <c r="E159" s="157">
        <v>25843.01</v>
      </c>
      <c r="F159" s="137">
        <f>C159*E159</f>
        <v>310116.12</v>
      </c>
      <c r="G159" s="217"/>
    </row>
    <row r="160" spans="1:7" s="34" customFormat="1" ht="14.45">
      <c r="A160" s="59"/>
      <c r="B160" s="100"/>
      <c r="C160" s="61"/>
      <c r="D160" s="62"/>
      <c r="E160" s="157"/>
      <c r="F160" s="137"/>
      <c r="G160" s="217"/>
    </row>
    <row r="161" spans="1:7" s="34" customFormat="1" ht="27.6">
      <c r="A161" s="66" t="s">
        <v>44</v>
      </c>
      <c r="B161" s="67" t="s">
        <v>514</v>
      </c>
      <c r="C161" s="68" t="s">
        <v>308</v>
      </c>
      <c r="D161" s="69" t="s">
        <v>63</v>
      </c>
      <c r="E161" s="157">
        <v>50539.39</v>
      </c>
      <c r="F161" s="137">
        <f>C161*E161</f>
        <v>606472.67999999993</v>
      </c>
      <c r="G161" s="217"/>
    </row>
    <row r="162" spans="1:7" s="34" customFormat="1" ht="14.45">
      <c r="A162" s="59"/>
      <c r="B162" s="100"/>
      <c r="C162" s="61"/>
      <c r="D162" s="62"/>
      <c r="E162" s="157"/>
      <c r="F162" s="137"/>
      <c r="G162" s="217"/>
    </row>
    <row r="163" spans="1:7" s="34" customFormat="1" ht="14.45">
      <c r="A163" s="66" t="s">
        <v>48</v>
      </c>
      <c r="B163" s="67" t="s">
        <v>515</v>
      </c>
      <c r="C163" s="68">
        <v>298</v>
      </c>
      <c r="D163" s="69" t="s">
        <v>16</v>
      </c>
      <c r="E163" s="157">
        <v>2467.54</v>
      </c>
      <c r="F163" s="137">
        <f>C163*E163</f>
        <v>735326.92</v>
      </c>
      <c r="G163" s="217"/>
    </row>
    <row r="164" spans="1:7" s="34" customFormat="1" ht="14.45">
      <c r="A164" s="59"/>
      <c r="B164" s="100"/>
      <c r="C164" s="61"/>
      <c r="D164" s="62"/>
      <c r="E164" s="157"/>
      <c r="F164" s="137"/>
      <c r="G164" s="217"/>
    </row>
    <row r="165" spans="1:7" s="34" customFormat="1" ht="96.6">
      <c r="A165" s="66"/>
      <c r="B165" s="98" t="s">
        <v>516</v>
      </c>
      <c r="C165" s="68"/>
      <c r="D165" s="69"/>
      <c r="E165" s="157"/>
      <c r="F165" s="137"/>
      <c r="G165" s="217"/>
    </row>
    <row r="166" spans="1:7" s="34" customFormat="1" ht="14.45">
      <c r="A166" s="59"/>
      <c r="B166" s="100"/>
      <c r="C166" s="61"/>
      <c r="D166" s="62"/>
      <c r="E166" s="157"/>
      <c r="F166" s="137"/>
      <c r="G166" s="217"/>
    </row>
    <row r="167" spans="1:7" s="34" customFormat="1" ht="14.45">
      <c r="A167" s="66" t="s">
        <v>84</v>
      </c>
      <c r="B167" s="67" t="s">
        <v>515</v>
      </c>
      <c r="C167" s="68" t="s">
        <v>517</v>
      </c>
      <c r="D167" s="69" t="s">
        <v>16</v>
      </c>
      <c r="E167" s="157">
        <v>2467.54</v>
      </c>
      <c r="F167" s="137">
        <f>C167*E167</f>
        <v>377533.62</v>
      </c>
      <c r="G167" s="217"/>
    </row>
    <row r="168" spans="1:7" s="34" customFormat="1" ht="14.45">
      <c r="A168" s="59"/>
      <c r="B168" s="100"/>
      <c r="C168" s="61"/>
      <c r="D168" s="62"/>
      <c r="E168" s="157"/>
      <c r="F168" s="137"/>
      <c r="G168" s="217"/>
    </row>
    <row r="169" spans="1:7" s="34" customFormat="1" ht="55.15">
      <c r="A169" s="66"/>
      <c r="B169" s="98" t="s">
        <v>518</v>
      </c>
      <c r="C169" s="68"/>
      <c r="D169" s="69"/>
      <c r="E169" s="157"/>
      <c r="F169" s="137"/>
      <c r="G169" s="217"/>
    </row>
    <row r="170" spans="1:7" s="34" customFormat="1" ht="14.45">
      <c r="A170" s="59"/>
      <c r="B170" s="100"/>
      <c r="C170" s="61"/>
      <c r="D170" s="62"/>
      <c r="E170" s="157"/>
      <c r="F170" s="137"/>
      <c r="G170" s="217"/>
    </row>
    <row r="171" spans="1:7" s="34" customFormat="1" ht="14.45">
      <c r="A171" s="66" t="s">
        <v>86</v>
      </c>
      <c r="B171" s="67" t="s">
        <v>519</v>
      </c>
      <c r="C171" s="68" t="s">
        <v>520</v>
      </c>
      <c r="D171" s="69" t="s">
        <v>199</v>
      </c>
      <c r="E171" s="157">
        <v>8239.48</v>
      </c>
      <c r="F171" s="137">
        <f>C171*E171</f>
        <v>675637.36</v>
      </c>
      <c r="G171" s="217"/>
    </row>
    <row r="172" spans="1:7" s="34" customFormat="1" ht="14.45">
      <c r="A172" s="59"/>
      <c r="B172" s="100"/>
      <c r="C172" s="61"/>
      <c r="D172" s="62"/>
      <c r="E172" s="157"/>
      <c r="F172" s="137"/>
      <c r="G172" s="217"/>
    </row>
    <row r="173" spans="1:7" s="34" customFormat="1" ht="14.45">
      <c r="A173" s="66" t="s">
        <v>90</v>
      </c>
      <c r="B173" s="67" t="s">
        <v>521</v>
      </c>
      <c r="C173" s="68" t="s">
        <v>520</v>
      </c>
      <c r="D173" s="69" t="s">
        <v>199</v>
      </c>
      <c r="E173" s="157">
        <v>10473.91</v>
      </c>
      <c r="F173" s="137">
        <f>C173*E173</f>
        <v>858860.62</v>
      </c>
      <c r="G173" s="217"/>
    </row>
    <row r="174" spans="1:7" s="34" customFormat="1" ht="14.45">
      <c r="A174" s="59"/>
      <c r="B174" s="63"/>
      <c r="C174" s="61"/>
      <c r="D174" s="62"/>
      <c r="E174" s="157"/>
      <c r="F174" s="137"/>
      <c r="G174" s="217"/>
    </row>
    <row r="175" spans="1:7" s="34" customFormat="1" ht="14.45">
      <c r="A175" s="59"/>
      <c r="B175" s="63"/>
      <c r="C175" s="61"/>
      <c r="D175" s="62"/>
      <c r="E175" s="157"/>
      <c r="F175" s="137"/>
      <c r="G175" s="217"/>
    </row>
    <row r="176" spans="1:7" s="34" customFormat="1" ht="14.45">
      <c r="A176" s="59"/>
      <c r="B176" s="63"/>
      <c r="C176" s="61"/>
      <c r="D176" s="62"/>
      <c r="E176" s="157"/>
      <c r="F176" s="137"/>
      <c r="G176" s="217"/>
    </row>
    <row r="177" spans="1:7" s="34" customFormat="1" ht="14.45">
      <c r="A177" s="59"/>
      <c r="B177" s="63"/>
      <c r="C177" s="61"/>
      <c r="D177" s="62"/>
      <c r="E177" s="157"/>
      <c r="F177" s="137"/>
      <c r="G177" s="217"/>
    </row>
    <row r="178" spans="1:7" s="34" customFormat="1" ht="14.45">
      <c r="A178" s="59"/>
      <c r="B178" s="63"/>
      <c r="C178" s="61"/>
      <c r="D178" s="62"/>
      <c r="E178" s="157"/>
      <c r="F178" s="137"/>
      <c r="G178" s="217"/>
    </row>
    <row r="179" spans="1:7" s="34" customFormat="1" ht="14.45">
      <c r="A179" s="71"/>
      <c r="B179" s="72"/>
      <c r="C179" s="73"/>
      <c r="D179" s="74"/>
      <c r="E179" s="159"/>
      <c r="F179" s="138"/>
      <c r="G179" s="226"/>
    </row>
    <row r="180" spans="1:7" s="34" customFormat="1" ht="14.45">
      <c r="A180" s="75"/>
      <c r="B180" s="76"/>
      <c r="C180" s="77" t="s">
        <v>30</v>
      </c>
      <c r="D180" s="77"/>
      <c r="E180" s="160" t="s">
        <v>8</v>
      </c>
      <c r="F180" s="139">
        <f>SUM(F150:F175)</f>
        <v>3731326.2800000003</v>
      </c>
      <c r="G180" s="227"/>
    </row>
    <row r="181" spans="1:7" s="34" customFormat="1" ht="14.45">
      <c r="A181" s="75"/>
      <c r="B181" s="76"/>
      <c r="C181" s="78"/>
      <c r="D181" s="79"/>
      <c r="E181" s="161"/>
      <c r="F181" s="140"/>
      <c r="G181" s="228"/>
    </row>
    <row r="182" spans="1:7" s="34" customFormat="1" ht="14.45">
      <c r="A182" s="59"/>
      <c r="B182" s="63"/>
      <c r="C182" s="61"/>
      <c r="D182" s="62"/>
      <c r="E182" s="157"/>
      <c r="F182" s="137"/>
      <c r="G182" s="217"/>
    </row>
    <row r="183" spans="1:7" s="34" customFormat="1" ht="14.45">
      <c r="A183" s="59"/>
      <c r="B183" s="64" t="s">
        <v>508</v>
      </c>
      <c r="C183" s="61"/>
      <c r="D183" s="62"/>
      <c r="E183" s="157"/>
      <c r="F183" s="137"/>
      <c r="G183" s="217"/>
    </row>
    <row r="184" spans="1:7" s="34" customFormat="1" ht="14.45">
      <c r="A184" s="59"/>
      <c r="B184" s="100"/>
      <c r="C184" s="61"/>
      <c r="D184" s="62"/>
      <c r="E184" s="157"/>
      <c r="F184" s="137"/>
      <c r="G184" s="217"/>
    </row>
    <row r="185" spans="1:7" s="34" customFormat="1" ht="57" customHeight="1">
      <c r="A185" s="66"/>
      <c r="B185" s="98" t="s">
        <v>522</v>
      </c>
      <c r="C185" s="68"/>
      <c r="D185" s="69"/>
      <c r="E185" s="157"/>
      <c r="F185" s="137"/>
      <c r="G185" s="217"/>
    </row>
    <row r="186" spans="1:7" s="34" customFormat="1" ht="14.45">
      <c r="A186" s="59"/>
      <c r="B186" s="100"/>
      <c r="C186" s="61"/>
      <c r="D186" s="62"/>
      <c r="E186" s="157"/>
      <c r="F186" s="137"/>
      <c r="G186" s="217"/>
    </row>
    <row r="187" spans="1:7" s="34" customFormat="1" ht="14.45">
      <c r="A187" s="66" t="s">
        <v>14</v>
      </c>
      <c r="B187" s="67" t="s">
        <v>523</v>
      </c>
      <c r="C187" s="68" t="s">
        <v>524</v>
      </c>
      <c r="D187" s="69" t="s">
        <v>16</v>
      </c>
      <c r="E187" s="157">
        <v>1564.52</v>
      </c>
      <c r="F187" s="137">
        <f>C187*E187</f>
        <v>106387.36</v>
      </c>
      <c r="G187" s="217"/>
    </row>
    <row r="188" spans="1:7" s="34" customFormat="1" ht="14.45">
      <c r="A188" s="59"/>
      <c r="B188" s="100"/>
      <c r="C188" s="61"/>
      <c r="D188" s="62"/>
      <c r="E188" s="157"/>
      <c r="F188" s="137"/>
      <c r="G188" s="217"/>
    </row>
    <row r="189" spans="1:7" s="34" customFormat="1" ht="55.15">
      <c r="A189" s="66"/>
      <c r="B189" s="98" t="s">
        <v>525</v>
      </c>
      <c r="C189" s="68"/>
      <c r="D189" s="69"/>
      <c r="E189" s="157"/>
      <c r="F189" s="137"/>
      <c r="G189" s="217"/>
    </row>
    <row r="190" spans="1:7" s="34" customFormat="1" ht="14.45">
      <c r="A190" s="59"/>
      <c r="B190" s="100"/>
      <c r="C190" s="61"/>
      <c r="D190" s="62"/>
      <c r="E190" s="157"/>
      <c r="F190" s="137"/>
      <c r="G190" s="217"/>
    </row>
    <row r="191" spans="1:7" s="34" customFormat="1" ht="14.45">
      <c r="A191" s="66" t="s">
        <v>17</v>
      </c>
      <c r="B191" s="67" t="s">
        <v>526</v>
      </c>
      <c r="C191" s="68" t="s">
        <v>527</v>
      </c>
      <c r="D191" s="69" t="s">
        <v>199</v>
      </c>
      <c r="E191" s="157">
        <v>315</v>
      </c>
      <c r="F191" s="137">
        <f>C191*E191</f>
        <v>4080195</v>
      </c>
      <c r="G191" s="217"/>
    </row>
    <row r="192" spans="1:7" s="34" customFormat="1" ht="14.45">
      <c r="A192" s="59"/>
      <c r="B192" s="100"/>
      <c r="C192" s="61"/>
      <c r="D192" s="62"/>
      <c r="E192" s="157"/>
      <c r="F192" s="137"/>
      <c r="G192" s="217"/>
    </row>
    <row r="193" spans="1:7" s="34" customFormat="1" ht="14.45">
      <c r="A193" s="66" t="s">
        <v>20</v>
      </c>
      <c r="B193" s="67" t="s">
        <v>528</v>
      </c>
      <c r="C193" s="68" t="s">
        <v>529</v>
      </c>
      <c r="D193" s="69" t="s">
        <v>199</v>
      </c>
      <c r="E193" s="157">
        <v>735.01</v>
      </c>
      <c r="F193" s="137">
        <f>C193*E193</f>
        <v>687234.35</v>
      </c>
      <c r="G193" s="217"/>
    </row>
    <row r="194" spans="1:7" s="34" customFormat="1" ht="14.45">
      <c r="A194" s="59"/>
      <c r="B194" s="100"/>
      <c r="C194" s="61"/>
      <c r="D194" s="62"/>
      <c r="E194" s="157"/>
      <c r="F194" s="137"/>
      <c r="G194" s="217"/>
    </row>
    <row r="195" spans="1:7" s="34" customFormat="1" ht="14.45">
      <c r="A195" s="66" t="s">
        <v>23</v>
      </c>
      <c r="B195" s="67" t="s">
        <v>530</v>
      </c>
      <c r="C195" s="68" t="s">
        <v>531</v>
      </c>
      <c r="D195" s="69" t="s">
        <v>199</v>
      </c>
      <c r="E195" s="157">
        <v>183.75</v>
      </c>
      <c r="F195" s="137">
        <f>C195*E195</f>
        <v>2180745</v>
      </c>
      <c r="G195" s="217"/>
    </row>
    <row r="196" spans="1:7" s="34" customFormat="1" ht="14.45">
      <c r="A196" s="59"/>
      <c r="B196" s="100"/>
      <c r="C196" s="61"/>
      <c r="D196" s="62"/>
      <c r="E196" s="157"/>
      <c r="F196" s="137"/>
      <c r="G196" s="217"/>
    </row>
    <row r="197" spans="1:7" s="34" customFormat="1" ht="14.45">
      <c r="A197" s="66" t="s">
        <v>27</v>
      </c>
      <c r="B197" s="67" t="s">
        <v>532</v>
      </c>
      <c r="C197" s="68" t="s">
        <v>533</v>
      </c>
      <c r="D197" s="69" t="s">
        <v>199</v>
      </c>
      <c r="E197" s="157">
        <v>262.5</v>
      </c>
      <c r="F197" s="137">
        <f>C197*E197</f>
        <v>161700</v>
      </c>
      <c r="G197" s="217"/>
    </row>
    <row r="198" spans="1:7" s="34" customFormat="1" ht="14.45">
      <c r="A198" s="59"/>
      <c r="B198" s="100"/>
      <c r="C198" s="61"/>
      <c r="D198" s="62"/>
      <c r="E198" s="157"/>
      <c r="F198" s="137"/>
      <c r="G198" s="217"/>
    </row>
    <row r="199" spans="1:7" s="34" customFormat="1" ht="41.45">
      <c r="A199" s="66"/>
      <c r="B199" s="98" t="s">
        <v>534</v>
      </c>
      <c r="C199" s="68"/>
      <c r="D199" s="69"/>
      <c r="E199" s="157"/>
      <c r="F199" s="137"/>
      <c r="G199" s="217"/>
    </row>
    <row r="200" spans="1:7" s="34" customFormat="1" ht="14.45">
      <c r="A200" s="59"/>
      <c r="B200" s="100"/>
      <c r="C200" s="61"/>
      <c r="D200" s="62"/>
      <c r="E200" s="157"/>
      <c r="F200" s="137"/>
      <c r="G200" s="217"/>
    </row>
    <row r="201" spans="1:7" s="34" customFormat="1" ht="14.45">
      <c r="A201" s="66" t="s">
        <v>44</v>
      </c>
      <c r="B201" s="67" t="s">
        <v>535</v>
      </c>
      <c r="C201" s="68">
        <v>29</v>
      </c>
      <c r="D201" s="69" t="s">
        <v>16</v>
      </c>
      <c r="E201" s="157">
        <v>787.51</v>
      </c>
      <c r="F201" s="137">
        <f>C201*E201</f>
        <v>22837.79</v>
      </c>
      <c r="G201" s="217"/>
    </row>
    <row r="202" spans="1:7" s="34" customFormat="1" ht="14.45">
      <c r="A202" s="59"/>
      <c r="B202" s="100"/>
      <c r="C202" s="61"/>
      <c r="D202" s="62"/>
      <c r="E202" s="157"/>
      <c r="F202" s="137"/>
      <c r="G202" s="217"/>
    </row>
    <row r="203" spans="1:7" s="34" customFormat="1" ht="41.45">
      <c r="A203" s="66"/>
      <c r="B203" s="98" t="s">
        <v>536</v>
      </c>
      <c r="C203" s="68"/>
      <c r="D203" s="69"/>
      <c r="E203" s="157"/>
      <c r="F203" s="137"/>
      <c r="G203" s="217"/>
    </row>
    <row r="204" spans="1:7" s="34" customFormat="1" ht="14.45">
      <c r="A204" s="59"/>
      <c r="B204" s="100"/>
      <c r="C204" s="61"/>
      <c r="D204" s="62"/>
      <c r="E204" s="157"/>
      <c r="F204" s="137"/>
      <c r="G204" s="217"/>
    </row>
    <row r="205" spans="1:7" s="34" customFormat="1" ht="14.45">
      <c r="A205" s="66" t="s">
        <v>48</v>
      </c>
      <c r="B205" s="67" t="s">
        <v>537</v>
      </c>
      <c r="C205" s="68">
        <v>566</v>
      </c>
      <c r="D205" s="69" t="s">
        <v>16</v>
      </c>
      <c r="E205" s="157">
        <v>829.24</v>
      </c>
      <c r="F205" s="137">
        <f>C205*E205</f>
        <v>469349.84</v>
      </c>
      <c r="G205" s="217"/>
    </row>
    <row r="206" spans="1:7" s="34" customFormat="1" ht="14.45">
      <c r="A206" s="59"/>
      <c r="B206" s="100"/>
      <c r="C206" s="61"/>
      <c r="D206" s="62"/>
      <c r="E206" s="157"/>
      <c r="F206" s="137"/>
      <c r="G206" s="217"/>
    </row>
    <row r="207" spans="1:7" s="34" customFormat="1" ht="41.45">
      <c r="A207" s="66"/>
      <c r="B207" s="98" t="s">
        <v>538</v>
      </c>
      <c r="C207" s="68"/>
      <c r="D207" s="69"/>
      <c r="E207" s="157"/>
      <c r="F207" s="137"/>
      <c r="G207" s="217"/>
    </row>
    <row r="208" spans="1:7" s="34" customFormat="1" ht="14.45">
      <c r="A208" s="59"/>
      <c r="B208" s="100"/>
      <c r="C208" s="61"/>
      <c r="D208" s="62"/>
      <c r="E208" s="157"/>
      <c r="F208" s="137"/>
      <c r="G208" s="217"/>
    </row>
    <row r="209" spans="1:7" s="34" customFormat="1" ht="14.45">
      <c r="A209" s="66" t="s">
        <v>84</v>
      </c>
      <c r="B209" s="67" t="s">
        <v>539</v>
      </c>
      <c r="C209" s="68">
        <v>42</v>
      </c>
      <c r="D209" s="69" t="s">
        <v>16</v>
      </c>
      <c r="E209" s="157">
        <v>787.51</v>
      </c>
      <c r="F209" s="137">
        <f>C209*E209</f>
        <v>33075.42</v>
      </c>
      <c r="G209" s="217"/>
    </row>
    <row r="210" spans="1:7" s="34" customFormat="1" ht="14.45">
      <c r="A210" s="59"/>
      <c r="B210" s="100"/>
      <c r="C210" s="61"/>
      <c r="D210" s="62"/>
      <c r="E210" s="157"/>
      <c r="F210" s="137"/>
      <c r="G210" s="217"/>
    </row>
    <row r="211" spans="1:7" s="34" customFormat="1" ht="14.45">
      <c r="A211" s="66" t="s">
        <v>86</v>
      </c>
      <c r="B211" s="67" t="s">
        <v>540</v>
      </c>
      <c r="C211" s="68">
        <v>500</v>
      </c>
      <c r="D211" s="69" t="s">
        <v>16</v>
      </c>
      <c r="E211" s="157">
        <v>787.51</v>
      </c>
      <c r="F211" s="137">
        <f>C211*E211</f>
        <v>393755</v>
      </c>
      <c r="G211" s="217"/>
    </row>
    <row r="212" spans="1:7" s="34" customFormat="1" ht="14.45">
      <c r="A212" s="59"/>
      <c r="B212" s="100"/>
      <c r="C212" s="61"/>
      <c r="D212" s="62"/>
      <c r="E212" s="157"/>
      <c r="F212" s="137"/>
      <c r="G212" s="217"/>
    </row>
    <row r="213" spans="1:7" s="34" customFormat="1" ht="14.45">
      <c r="A213" s="66" t="s">
        <v>90</v>
      </c>
      <c r="B213" s="67" t="s">
        <v>541</v>
      </c>
      <c r="C213" s="68" t="s">
        <v>325</v>
      </c>
      <c r="D213" s="69" t="s">
        <v>199</v>
      </c>
      <c r="E213" s="157">
        <v>1890.03</v>
      </c>
      <c r="F213" s="137">
        <f>C213*E213</f>
        <v>13230.21</v>
      </c>
      <c r="G213" s="217"/>
    </row>
    <row r="214" spans="1:7" s="34" customFormat="1" ht="14.45">
      <c r="A214" s="59"/>
      <c r="B214" s="100"/>
      <c r="C214" s="61"/>
      <c r="D214" s="62"/>
      <c r="E214" s="157"/>
      <c r="F214" s="137"/>
      <c r="G214" s="217"/>
    </row>
    <row r="215" spans="1:7" s="34" customFormat="1" ht="14.45">
      <c r="A215" s="66" t="s">
        <v>92</v>
      </c>
      <c r="B215" s="67" t="s">
        <v>542</v>
      </c>
      <c r="C215" s="68" t="s">
        <v>501</v>
      </c>
      <c r="D215" s="69" t="s">
        <v>199</v>
      </c>
      <c r="E215" s="157">
        <v>1956.18</v>
      </c>
      <c r="F215" s="137">
        <f>C215*E215</f>
        <v>91940.46</v>
      </c>
      <c r="G215" s="217"/>
    </row>
    <row r="216" spans="1:7" s="34" customFormat="1" ht="14.45">
      <c r="A216" s="71"/>
      <c r="B216" s="72"/>
      <c r="C216" s="73"/>
      <c r="D216" s="74"/>
      <c r="E216" s="159"/>
      <c r="F216" s="138"/>
      <c r="G216" s="226"/>
    </row>
    <row r="217" spans="1:7" s="34" customFormat="1" ht="14.45">
      <c r="A217" s="75"/>
      <c r="B217" s="76"/>
      <c r="C217" s="77" t="s">
        <v>30</v>
      </c>
      <c r="D217" s="77"/>
      <c r="E217" s="160" t="s">
        <v>8</v>
      </c>
      <c r="F217" s="139">
        <f>SUM(F185:F215)</f>
        <v>8240450.4299999997</v>
      </c>
      <c r="G217" s="227"/>
    </row>
    <row r="218" spans="1:7" s="34" customFormat="1" ht="14.45">
      <c r="A218" s="75"/>
      <c r="B218" s="76"/>
      <c r="C218" s="78"/>
      <c r="D218" s="79"/>
      <c r="E218" s="161"/>
      <c r="F218" s="140"/>
      <c r="G218" s="228"/>
    </row>
    <row r="219" spans="1:7" s="34" customFormat="1" ht="14.45">
      <c r="A219" s="59"/>
      <c r="B219" s="63"/>
      <c r="C219" s="61"/>
      <c r="D219" s="62"/>
      <c r="E219" s="157"/>
      <c r="F219" s="137"/>
      <c r="G219" s="217"/>
    </row>
    <row r="220" spans="1:7" s="34" customFormat="1" ht="14.45">
      <c r="A220" s="59"/>
      <c r="B220" s="64" t="s">
        <v>508</v>
      </c>
      <c r="C220" s="61"/>
      <c r="D220" s="62"/>
      <c r="E220" s="157"/>
      <c r="F220" s="137"/>
      <c r="G220" s="217"/>
    </row>
    <row r="221" spans="1:7" s="34" customFormat="1" ht="14.45">
      <c r="A221" s="59"/>
      <c r="B221" s="103"/>
      <c r="C221" s="61"/>
      <c r="D221" s="62"/>
      <c r="E221" s="157"/>
      <c r="F221" s="137"/>
      <c r="G221" s="217"/>
    </row>
    <row r="222" spans="1:7" s="34" customFormat="1" ht="82.9">
      <c r="A222" s="66"/>
      <c r="B222" s="98" t="s">
        <v>543</v>
      </c>
      <c r="C222" s="68"/>
      <c r="D222" s="69"/>
      <c r="E222" s="157"/>
      <c r="F222" s="137"/>
      <c r="G222" s="217"/>
    </row>
    <row r="223" spans="1:7" s="34" customFormat="1" ht="14.45">
      <c r="A223" s="59"/>
      <c r="B223" s="100"/>
      <c r="C223" s="61"/>
      <c r="D223" s="62"/>
      <c r="E223" s="157"/>
      <c r="F223" s="137"/>
      <c r="G223" s="217"/>
    </row>
    <row r="224" spans="1:7" s="34" customFormat="1" ht="14.45">
      <c r="A224" s="66" t="s">
        <v>14</v>
      </c>
      <c r="B224" s="67" t="s">
        <v>544</v>
      </c>
      <c r="C224" s="68">
        <v>4538</v>
      </c>
      <c r="D224" s="69" t="s">
        <v>16</v>
      </c>
      <c r="E224" s="157">
        <v>461.41</v>
      </c>
      <c r="F224" s="137">
        <f>C224*E224</f>
        <v>2093878.58</v>
      </c>
      <c r="G224" s="217"/>
    </row>
    <row r="225" spans="1:7" s="34" customFormat="1" ht="14.45">
      <c r="A225" s="59"/>
      <c r="B225" s="100"/>
      <c r="C225" s="61"/>
      <c r="D225" s="62"/>
      <c r="E225" s="157"/>
      <c r="F225" s="137"/>
      <c r="G225" s="217"/>
    </row>
    <row r="226" spans="1:7" s="34" customFormat="1" ht="27.6">
      <c r="A226" s="66" t="s">
        <v>17</v>
      </c>
      <c r="B226" s="67" t="s">
        <v>545</v>
      </c>
      <c r="C226" s="68">
        <v>187</v>
      </c>
      <c r="D226" s="69" t="s">
        <v>199</v>
      </c>
      <c r="E226" s="157">
        <v>10807.15</v>
      </c>
      <c r="F226" s="137">
        <f>C226*E226</f>
        <v>2020937.05</v>
      </c>
      <c r="G226" s="240" t="s">
        <v>546</v>
      </c>
    </row>
    <row r="227" spans="1:7" s="34" customFormat="1" ht="14.45">
      <c r="A227" s="59"/>
      <c r="B227" s="100"/>
      <c r="C227" s="61"/>
      <c r="D227" s="62"/>
      <c r="E227" s="157"/>
      <c r="F227" s="137"/>
      <c r="G227" s="217"/>
    </row>
    <row r="228" spans="1:7" s="34" customFormat="1" ht="27.6">
      <c r="A228" s="66" t="s">
        <v>20</v>
      </c>
      <c r="B228" s="67" t="s">
        <v>547</v>
      </c>
      <c r="C228" s="68">
        <v>85</v>
      </c>
      <c r="D228" s="69" t="s">
        <v>199</v>
      </c>
      <c r="E228" s="157">
        <v>22658.73</v>
      </c>
      <c r="F228" s="137">
        <f>C228*E228</f>
        <v>1925992.05</v>
      </c>
      <c r="G228" s="240" t="s">
        <v>546</v>
      </c>
    </row>
    <row r="229" spans="1:7" s="34" customFormat="1" ht="14.45">
      <c r="A229" s="59"/>
      <c r="B229" s="100"/>
      <c r="C229" s="61"/>
      <c r="D229" s="62"/>
      <c r="E229" s="157"/>
      <c r="F229" s="137"/>
      <c r="G229" s="217"/>
    </row>
    <row r="230" spans="1:7" s="34" customFormat="1" ht="14.45">
      <c r="A230" s="66" t="s">
        <v>23</v>
      </c>
      <c r="B230" s="67" t="s">
        <v>548</v>
      </c>
      <c r="C230" s="68">
        <v>252</v>
      </c>
      <c r="D230" s="69" t="s">
        <v>199</v>
      </c>
      <c r="E230" s="157">
        <v>537.12</v>
      </c>
      <c r="F230" s="137">
        <f>C230*E230</f>
        <v>135354.23999999999</v>
      </c>
      <c r="G230" s="217"/>
    </row>
    <row r="231" spans="1:7" s="34" customFormat="1" ht="14.45">
      <c r="A231" s="59"/>
      <c r="B231" s="63"/>
      <c r="C231" s="61"/>
      <c r="D231" s="62"/>
      <c r="E231" s="157"/>
      <c r="F231" s="137"/>
      <c r="G231" s="217"/>
    </row>
    <row r="232" spans="1:7" s="34" customFormat="1" ht="14.45">
      <c r="A232" s="59"/>
      <c r="B232" s="63"/>
      <c r="C232" s="61"/>
      <c r="D232" s="62"/>
      <c r="E232" s="157"/>
      <c r="F232" s="137"/>
      <c r="G232" s="217"/>
    </row>
    <row r="233" spans="1:7" s="34" customFormat="1" ht="14.45">
      <c r="A233" s="59"/>
      <c r="B233" s="63"/>
      <c r="C233" s="61"/>
      <c r="D233" s="62"/>
      <c r="E233" s="157"/>
      <c r="F233" s="137"/>
      <c r="G233" s="217"/>
    </row>
    <row r="234" spans="1:7" s="34" customFormat="1" ht="14.45">
      <c r="A234" s="59"/>
      <c r="B234" s="63"/>
      <c r="C234" s="61"/>
      <c r="D234" s="62"/>
      <c r="E234" s="157"/>
      <c r="F234" s="137"/>
      <c r="G234" s="217"/>
    </row>
    <row r="235" spans="1:7" s="34" customFormat="1" ht="14.45">
      <c r="A235" s="59"/>
      <c r="B235" s="63"/>
      <c r="C235" s="61"/>
      <c r="D235" s="62"/>
      <c r="E235" s="157"/>
      <c r="F235" s="137"/>
      <c r="G235" s="217"/>
    </row>
    <row r="236" spans="1:7" s="34" customFormat="1" ht="14.45">
      <c r="A236" s="59"/>
      <c r="B236" s="63"/>
      <c r="C236" s="61"/>
      <c r="D236" s="62"/>
      <c r="E236" s="157"/>
      <c r="F236" s="137"/>
      <c r="G236" s="217"/>
    </row>
    <row r="237" spans="1:7" s="34" customFormat="1" ht="14.45">
      <c r="A237" s="59"/>
      <c r="B237" s="63"/>
      <c r="C237" s="61"/>
      <c r="D237" s="62"/>
      <c r="E237" s="157"/>
      <c r="F237" s="137"/>
      <c r="G237" s="217"/>
    </row>
    <row r="238" spans="1:7" s="34" customFormat="1" ht="14.45">
      <c r="A238" s="59"/>
      <c r="B238" s="63"/>
      <c r="C238" s="61"/>
      <c r="D238" s="62"/>
      <c r="E238" s="157"/>
      <c r="F238" s="137"/>
      <c r="G238" s="217"/>
    </row>
    <row r="239" spans="1:7" s="34" customFormat="1" ht="14.45">
      <c r="A239" s="59"/>
      <c r="B239" s="63"/>
      <c r="C239" s="61"/>
      <c r="D239" s="62"/>
      <c r="E239" s="157"/>
      <c r="F239" s="137"/>
      <c r="G239" s="217"/>
    </row>
    <row r="240" spans="1:7" s="34" customFormat="1" ht="14.45">
      <c r="A240" s="59"/>
      <c r="B240" s="63"/>
      <c r="C240" s="61"/>
      <c r="D240" s="62"/>
      <c r="E240" s="157"/>
      <c r="F240" s="137"/>
      <c r="G240" s="217"/>
    </row>
    <row r="241" spans="1:7" s="34" customFormat="1" ht="14.45">
      <c r="A241" s="59"/>
      <c r="B241" s="63"/>
      <c r="C241" s="61"/>
      <c r="D241" s="62"/>
      <c r="E241" s="157"/>
      <c r="F241" s="137"/>
      <c r="G241" s="217"/>
    </row>
    <row r="242" spans="1:7" s="34" customFormat="1" ht="14.45">
      <c r="A242" s="59"/>
      <c r="B242" s="63"/>
      <c r="C242" s="61"/>
      <c r="D242" s="62"/>
      <c r="E242" s="157"/>
      <c r="F242" s="137"/>
      <c r="G242" s="217"/>
    </row>
    <row r="243" spans="1:7" s="34" customFormat="1" ht="14.45">
      <c r="A243" s="59"/>
      <c r="B243" s="63"/>
      <c r="C243" s="61"/>
      <c r="D243" s="62"/>
      <c r="E243" s="157"/>
      <c r="F243" s="137"/>
      <c r="G243" s="217"/>
    </row>
    <row r="244" spans="1:7" s="34" customFormat="1" ht="14.45">
      <c r="A244" s="59"/>
      <c r="B244" s="63"/>
      <c r="C244" s="61"/>
      <c r="D244" s="62"/>
      <c r="E244" s="157"/>
      <c r="F244" s="137"/>
      <c r="G244" s="217"/>
    </row>
    <row r="245" spans="1:7" s="34" customFormat="1" ht="14.45">
      <c r="A245" s="59"/>
      <c r="B245" s="63"/>
      <c r="C245" s="61"/>
      <c r="D245" s="62"/>
      <c r="E245" s="157"/>
      <c r="F245" s="137"/>
      <c r="G245" s="217"/>
    </row>
    <row r="246" spans="1:7" s="34" customFormat="1" ht="14.45">
      <c r="A246" s="59"/>
      <c r="B246" s="63"/>
      <c r="C246" s="61"/>
      <c r="D246" s="62"/>
      <c r="E246" s="157"/>
      <c r="F246" s="137"/>
      <c r="G246" s="217"/>
    </row>
    <row r="247" spans="1:7" s="34" customFormat="1" ht="14.45">
      <c r="A247" s="59"/>
      <c r="B247" s="63"/>
      <c r="C247" s="61"/>
      <c r="D247" s="62"/>
      <c r="E247" s="157"/>
      <c r="F247" s="137"/>
      <c r="G247" s="217"/>
    </row>
    <row r="248" spans="1:7" s="34" customFormat="1" ht="14.45">
      <c r="A248" s="59"/>
      <c r="B248" s="63"/>
      <c r="C248" s="61"/>
      <c r="D248" s="62"/>
      <c r="E248" s="157"/>
      <c r="F248" s="137"/>
      <c r="G248" s="217"/>
    </row>
    <row r="249" spans="1:7" s="34" customFormat="1" ht="14.45">
      <c r="A249" s="59"/>
      <c r="B249" s="63"/>
      <c r="C249" s="61"/>
      <c r="D249" s="62"/>
      <c r="E249" s="157"/>
      <c r="F249" s="137"/>
      <c r="G249" s="217"/>
    </row>
    <row r="250" spans="1:7" s="34" customFormat="1" ht="14.45">
      <c r="A250" s="59"/>
      <c r="B250" s="63"/>
      <c r="C250" s="61"/>
      <c r="D250" s="62"/>
      <c r="E250" s="157"/>
      <c r="F250" s="137"/>
      <c r="G250" s="217"/>
    </row>
    <row r="251" spans="1:7" s="34" customFormat="1" ht="14.45">
      <c r="A251" s="59"/>
      <c r="B251" s="63"/>
      <c r="C251" s="61"/>
      <c r="D251" s="62"/>
      <c r="E251" s="157"/>
      <c r="F251" s="137"/>
      <c r="G251" s="217"/>
    </row>
    <row r="252" spans="1:7" s="34" customFormat="1" ht="14.45">
      <c r="A252" s="59"/>
      <c r="B252" s="63"/>
      <c r="C252" s="61"/>
      <c r="D252" s="62"/>
      <c r="E252" s="157"/>
      <c r="F252" s="137"/>
      <c r="G252" s="217"/>
    </row>
    <row r="253" spans="1:7" s="34" customFormat="1" ht="57.6">
      <c r="A253" s="59"/>
      <c r="B253" s="225" t="s">
        <v>549</v>
      </c>
      <c r="C253" s="61"/>
      <c r="D253" s="62"/>
      <c r="E253" s="157"/>
      <c r="F253" s="137"/>
      <c r="G253" s="217"/>
    </row>
    <row r="254" spans="1:7" s="34" customFormat="1" ht="14.45">
      <c r="A254" s="71"/>
      <c r="B254" s="72"/>
      <c r="C254" s="73"/>
      <c r="D254" s="74"/>
      <c r="E254" s="159"/>
      <c r="F254" s="138"/>
      <c r="G254" s="226"/>
    </row>
    <row r="255" spans="1:7" s="34" customFormat="1" ht="14.45">
      <c r="A255" s="75"/>
      <c r="B255" s="76"/>
      <c r="C255" s="77" t="s">
        <v>30</v>
      </c>
      <c r="D255" s="77"/>
      <c r="E255" s="160" t="s">
        <v>8</v>
      </c>
      <c r="F255" s="139">
        <f>SUM(F222:F242)</f>
        <v>6176161.9199999999</v>
      </c>
      <c r="G255" s="227"/>
    </row>
    <row r="256" spans="1:7" s="34" customFormat="1" ht="14.45">
      <c r="A256" s="75"/>
      <c r="B256" s="76"/>
      <c r="C256" s="78"/>
      <c r="D256" s="79"/>
      <c r="E256" s="161"/>
      <c r="F256" s="140"/>
      <c r="G256" s="228"/>
    </row>
    <row r="257" spans="1:7" s="34" customFormat="1" ht="14.45">
      <c r="A257" s="59"/>
      <c r="B257" s="63"/>
      <c r="C257" s="61"/>
      <c r="D257" s="62"/>
      <c r="E257" s="157"/>
      <c r="F257" s="137"/>
      <c r="G257" s="217"/>
    </row>
    <row r="258" spans="1:7" s="34" customFormat="1" ht="14.45">
      <c r="A258" s="59"/>
      <c r="B258" s="64" t="s">
        <v>550</v>
      </c>
      <c r="C258" s="61"/>
      <c r="D258" s="62"/>
      <c r="E258" s="157"/>
      <c r="F258" s="137"/>
      <c r="G258" s="217"/>
    </row>
    <row r="259" spans="1:7" s="34" customFormat="1" ht="14.45">
      <c r="A259" s="59"/>
      <c r="B259" s="100"/>
      <c r="C259" s="61"/>
      <c r="D259" s="62"/>
      <c r="E259" s="157"/>
      <c r="F259" s="137"/>
      <c r="G259" s="217"/>
    </row>
    <row r="260" spans="1:7" s="34" customFormat="1" ht="27.6">
      <c r="A260" s="66"/>
      <c r="B260" s="98" t="s">
        <v>551</v>
      </c>
      <c r="C260" s="68"/>
      <c r="D260" s="69"/>
      <c r="E260" s="157"/>
      <c r="F260" s="137"/>
      <c r="G260" s="217"/>
    </row>
    <row r="261" spans="1:7" s="34" customFormat="1" ht="14.45">
      <c r="A261" s="59"/>
      <c r="B261" s="100"/>
      <c r="C261" s="61"/>
      <c r="D261" s="62"/>
      <c r="E261" s="157"/>
      <c r="F261" s="137"/>
      <c r="G261" s="217"/>
    </row>
    <row r="262" spans="1:7" s="34" customFormat="1" ht="27.6">
      <c r="A262" s="66" t="s">
        <v>14</v>
      </c>
      <c r="B262" s="67" t="s">
        <v>460</v>
      </c>
      <c r="C262" s="68">
        <v>2</v>
      </c>
      <c r="D262" s="69" t="s">
        <v>63</v>
      </c>
      <c r="E262" s="157">
        <v>2971.28</v>
      </c>
      <c r="F262" s="137">
        <f>C262*E262</f>
        <v>5942.56</v>
      </c>
      <c r="G262" s="217"/>
    </row>
    <row r="263" spans="1:7" s="34" customFormat="1" ht="14.45">
      <c r="A263" s="59"/>
      <c r="B263" s="100"/>
      <c r="C263" s="61"/>
      <c r="D263" s="62"/>
      <c r="E263" s="157"/>
      <c r="F263" s="137"/>
      <c r="G263" s="217"/>
    </row>
    <row r="264" spans="1:7" s="34" customFormat="1" ht="27.6">
      <c r="A264" s="66" t="s">
        <v>17</v>
      </c>
      <c r="B264" s="67" t="s">
        <v>461</v>
      </c>
      <c r="C264" s="68">
        <v>2</v>
      </c>
      <c r="D264" s="69" t="s">
        <v>63</v>
      </c>
      <c r="E264" s="157">
        <v>2971.28</v>
      </c>
      <c r="F264" s="137">
        <f>C264*E264</f>
        <v>5942.56</v>
      </c>
      <c r="G264" s="217"/>
    </row>
    <row r="265" spans="1:7" s="34" customFormat="1" ht="14.45">
      <c r="A265" s="59"/>
      <c r="B265" s="100"/>
      <c r="C265" s="61"/>
      <c r="D265" s="62"/>
      <c r="E265" s="157"/>
      <c r="F265" s="137"/>
      <c r="G265" s="217"/>
    </row>
    <row r="266" spans="1:7" s="34" customFormat="1" ht="27.6">
      <c r="A266" s="66" t="s">
        <v>20</v>
      </c>
      <c r="B266" s="67" t="s">
        <v>462</v>
      </c>
      <c r="C266" s="68">
        <v>14</v>
      </c>
      <c r="D266" s="69" t="s">
        <v>63</v>
      </c>
      <c r="E266" s="157">
        <v>3755.29</v>
      </c>
      <c r="F266" s="137">
        <f>C266*E266</f>
        <v>52574.06</v>
      </c>
      <c r="G266" s="217"/>
    </row>
    <row r="267" spans="1:7" s="34" customFormat="1" ht="14.45">
      <c r="A267" s="59"/>
      <c r="B267" s="100"/>
      <c r="C267" s="61"/>
      <c r="D267" s="62"/>
      <c r="E267" s="157"/>
      <c r="F267" s="137"/>
      <c r="G267" s="217"/>
    </row>
    <row r="268" spans="1:7" s="34" customFormat="1" ht="41.45">
      <c r="A268" s="66" t="s">
        <v>23</v>
      </c>
      <c r="B268" s="67" t="s">
        <v>463</v>
      </c>
      <c r="C268" s="68">
        <v>3</v>
      </c>
      <c r="D268" s="69" t="s">
        <v>63</v>
      </c>
      <c r="E268" s="157">
        <v>4920.54</v>
      </c>
      <c r="F268" s="137">
        <f>C268*E268</f>
        <v>14761.619999999999</v>
      </c>
      <c r="G268" s="217"/>
    </row>
    <row r="269" spans="1:7" s="34" customFormat="1" ht="14.45">
      <c r="A269" s="59"/>
      <c r="B269" s="100"/>
      <c r="C269" s="61"/>
      <c r="D269" s="62"/>
      <c r="E269" s="157"/>
      <c r="F269" s="137"/>
      <c r="G269" s="217"/>
    </row>
    <row r="270" spans="1:7" s="34" customFormat="1" ht="27.6">
      <c r="A270" s="66" t="s">
        <v>27</v>
      </c>
      <c r="B270" s="67" t="s">
        <v>464</v>
      </c>
      <c r="C270" s="68">
        <v>39</v>
      </c>
      <c r="D270" s="69" t="s">
        <v>63</v>
      </c>
      <c r="E270" s="157">
        <v>3792.98</v>
      </c>
      <c r="F270" s="137">
        <f>C270*E270</f>
        <v>147926.22</v>
      </c>
      <c r="G270" s="217"/>
    </row>
    <row r="271" spans="1:7" s="34" customFormat="1" ht="14.45">
      <c r="A271" s="59"/>
      <c r="B271" s="100"/>
      <c r="C271" s="61"/>
      <c r="D271" s="62"/>
      <c r="E271" s="157"/>
      <c r="F271" s="137"/>
      <c r="G271" s="217"/>
    </row>
    <row r="272" spans="1:7" s="34" customFormat="1" ht="27.6">
      <c r="A272" s="66" t="s">
        <v>44</v>
      </c>
      <c r="B272" s="67" t="s">
        <v>465</v>
      </c>
      <c r="C272" s="68" t="s">
        <v>304</v>
      </c>
      <c r="D272" s="69" t="s">
        <v>63</v>
      </c>
      <c r="E272" s="157">
        <v>2553.42</v>
      </c>
      <c r="F272" s="137">
        <f>C272*E272</f>
        <v>2553.42</v>
      </c>
      <c r="G272" s="217"/>
    </row>
    <row r="273" spans="1:7" s="34" customFormat="1" ht="14.45">
      <c r="A273" s="59"/>
      <c r="B273" s="100"/>
      <c r="C273" s="61"/>
      <c r="D273" s="62"/>
      <c r="E273" s="157"/>
      <c r="F273" s="137"/>
      <c r="G273" s="217"/>
    </row>
    <row r="274" spans="1:7" s="34" customFormat="1" ht="27.6">
      <c r="A274" s="66" t="s">
        <v>48</v>
      </c>
      <c r="B274" s="67" t="s">
        <v>466</v>
      </c>
      <c r="C274" s="68">
        <v>19</v>
      </c>
      <c r="D274" s="69" t="s">
        <v>63</v>
      </c>
      <c r="E274" s="157">
        <v>2806.51</v>
      </c>
      <c r="F274" s="137">
        <f>C274*E274</f>
        <v>53323.69</v>
      </c>
      <c r="G274" s="217"/>
    </row>
    <row r="275" spans="1:7" s="34" customFormat="1" ht="14.45">
      <c r="A275" s="59"/>
      <c r="B275" s="100"/>
      <c r="C275" s="61"/>
      <c r="D275" s="62"/>
      <c r="E275" s="157"/>
      <c r="F275" s="137"/>
      <c r="G275" s="217"/>
    </row>
    <row r="276" spans="1:7" s="34" customFormat="1" ht="27.6">
      <c r="A276" s="66" t="s">
        <v>84</v>
      </c>
      <c r="B276" s="67" t="s">
        <v>467</v>
      </c>
      <c r="C276" s="68">
        <v>33</v>
      </c>
      <c r="D276" s="69" t="s">
        <v>63</v>
      </c>
      <c r="E276" s="157">
        <v>2986.35</v>
      </c>
      <c r="F276" s="137">
        <f>C276*E276</f>
        <v>98549.55</v>
      </c>
      <c r="G276" s="217"/>
    </row>
    <row r="277" spans="1:7" s="34" customFormat="1" ht="14.45">
      <c r="A277" s="59"/>
      <c r="B277" s="100"/>
      <c r="C277" s="61"/>
      <c r="D277" s="62"/>
      <c r="E277" s="157"/>
      <c r="F277" s="137"/>
      <c r="G277" s="217"/>
    </row>
    <row r="278" spans="1:7" s="34" customFormat="1" ht="27.6">
      <c r="A278" s="66" t="s">
        <v>86</v>
      </c>
      <c r="B278" s="67" t="s">
        <v>468</v>
      </c>
      <c r="C278" s="68">
        <v>3</v>
      </c>
      <c r="D278" s="69" t="s">
        <v>63</v>
      </c>
      <c r="E278" s="157">
        <v>2553.42</v>
      </c>
      <c r="F278" s="137">
        <f>C278*E278</f>
        <v>7660.26</v>
      </c>
      <c r="G278" s="217"/>
    </row>
    <row r="279" spans="1:7" s="34" customFormat="1" ht="14.45">
      <c r="A279" s="59"/>
      <c r="B279" s="100"/>
      <c r="C279" s="61"/>
      <c r="D279" s="62"/>
      <c r="E279" s="157"/>
      <c r="F279" s="137"/>
      <c r="G279" s="217"/>
    </row>
    <row r="280" spans="1:7" s="34" customFormat="1" ht="27.6">
      <c r="A280" s="66" t="s">
        <v>90</v>
      </c>
      <c r="B280" s="67" t="s">
        <v>469</v>
      </c>
      <c r="C280" s="68">
        <v>3</v>
      </c>
      <c r="D280" s="69" t="s">
        <v>63</v>
      </c>
      <c r="E280" s="157">
        <v>4838.6899999999996</v>
      </c>
      <c r="F280" s="137">
        <f>C280*E280</f>
        <v>14516.07</v>
      </c>
      <c r="G280" s="217"/>
    </row>
    <row r="281" spans="1:7" s="34" customFormat="1" ht="14.45">
      <c r="A281" s="59"/>
      <c r="B281" s="100"/>
      <c r="C281" s="61"/>
      <c r="D281" s="62"/>
      <c r="E281" s="157"/>
      <c r="F281" s="137"/>
      <c r="G281" s="217"/>
    </row>
    <row r="282" spans="1:7" s="34" customFormat="1" ht="27.6">
      <c r="A282" s="66" t="s">
        <v>92</v>
      </c>
      <c r="B282" s="67" t="s">
        <v>471</v>
      </c>
      <c r="C282" s="68" t="s">
        <v>152</v>
      </c>
      <c r="D282" s="69" t="s">
        <v>63</v>
      </c>
      <c r="E282" s="157">
        <v>1103.8599999999999</v>
      </c>
      <c r="F282" s="137">
        <f>C282*E282</f>
        <v>2207.7199999999998</v>
      </c>
      <c r="G282" s="217"/>
    </row>
    <row r="283" spans="1:7" s="34" customFormat="1" ht="14.45">
      <c r="A283" s="59"/>
      <c r="B283" s="100"/>
      <c r="C283" s="61"/>
      <c r="D283" s="62"/>
      <c r="E283" s="157"/>
      <c r="F283" s="137"/>
      <c r="G283" s="217"/>
    </row>
    <row r="284" spans="1:7" s="34" customFormat="1" ht="27.6">
      <c r="A284" s="66" t="s">
        <v>94</v>
      </c>
      <c r="B284" s="67" t="s">
        <v>472</v>
      </c>
      <c r="C284" s="68">
        <v>23</v>
      </c>
      <c r="D284" s="69" t="s">
        <v>63</v>
      </c>
      <c r="E284" s="157">
        <v>2553.42</v>
      </c>
      <c r="F284" s="137">
        <f>C284*E284</f>
        <v>58728.66</v>
      </c>
      <c r="G284" s="217"/>
    </row>
    <row r="285" spans="1:7" s="34" customFormat="1" ht="14.45">
      <c r="A285" s="59"/>
      <c r="B285" s="100"/>
      <c r="C285" s="61"/>
      <c r="D285" s="62"/>
      <c r="E285" s="157"/>
      <c r="F285" s="137"/>
      <c r="G285" s="217"/>
    </row>
    <row r="286" spans="1:7" s="34" customFormat="1" ht="27.6">
      <c r="A286" s="66" t="s">
        <v>140</v>
      </c>
      <c r="B286" s="67" t="s">
        <v>473</v>
      </c>
      <c r="C286" s="68">
        <v>2</v>
      </c>
      <c r="D286" s="69" t="s">
        <v>63</v>
      </c>
      <c r="E286" s="157">
        <v>3554.98</v>
      </c>
      <c r="F286" s="137">
        <f>C286*E286</f>
        <v>7109.96</v>
      </c>
      <c r="G286" s="217"/>
    </row>
    <row r="287" spans="1:7" s="34" customFormat="1" ht="14.45">
      <c r="A287" s="59"/>
      <c r="B287" s="63"/>
      <c r="C287" s="61"/>
      <c r="D287" s="62"/>
      <c r="E287" s="157"/>
      <c r="F287" s="137"/>
      <c r="G287" s="217"/>
    </row>
    <row r="288" spans="1:7" s="34" customFormat="1" ht="14.45">
      <c r="A288" s="71"/>
      <c r="B288" s="72"/>
      <c r="C288" s="73"/>
      <c r="D288" s="74"/>
      <c r="E288" s="159"/>
      <c r="F288" s="138"/>
      <c r="G288" s="226"/>
    </row>
    <row r="289" spans="1:7" s="34" customFormat="1" ht="14.45">
      <c r="A289" s="75"/>
      <c r="B289" s="76"/>
      <c r="C289" s="77" t="s">
        <v>30</v>
      </c>
      <c r="D289" s="77"/>
      <c r="E289" s="160" t="s">
        <v>8</v>
      </c>
      <c r="F289" s="139">
        <f>SUM(F260:F287)</f>
        <v>471796.35000000003</v>
      </c>
      <c r="G289" s="227"/>
    </row>
    <row r="290" spans="1:7" s="34" customFormat="1" ht="14.45">
      <c r="A290" s="75"/>
      <c r="B290" s="76"/>
      <c r="C290" s="78"/>
      <c r="D290" s="79"/>
      <c r="E290" s="161"/>
      <c r="F290" s="140"/>
      <c r="G290" s="228"/>
    </row>
    <row r="291" spans="1:7" s="34" customFormat="1" ht="14.45">
      <c r="A291" s="59"/>
      <c r="B291" s="63"/>
      <c r="C291" s="61"/>
      <c r="D291" s="62"/>
      <c r="E291" s="157"/>
      <c r="F291" s="137"/>
      <c r="G291" s="217"/>
    </row>
    <row r="292" spans="1:7" s="34" customFormat="1" ht="14.45">
      <c r="A292" s="59"/>
      <c r="B292" s="64" t="s">
        <v>552</v>
      </c>
      <c r="C292" s="61"/>
      <c r="D292" s="62"/>
      <c r="E292" s="157"/>
      <c r="F292" s="137"/>
      <c r="G292" s="217"/>
    </row>
    <row r="293" spans="1:7" s="34" customFormat="1" ht="14.45">
      <c r="A293" s="59"/>
      <c r="B293" s="100"/>
      <c r="C293" s="61"/>
      <c r="D293" s="62"/>
      <c r="E293" s="157"/>
      <c r="F293" s="137"/>
      <c r="G293" s="217"/>
    </row>
    <row r="294" spans="1:7" s="34" customFormat="1" ht="27.6">
      <c r="A294" s="66" t="s">
        <v>14</v>
      </c>
      <c r="B294" s="67" t="s">
        <v>474</v>
      </c>
      <c r="C294" s="68" t="s">
        <v>152</v>
      </c>
      <c r="D294" s="69" t="s">
        <v>63</v>
      </c>
      <c r="E294" s="157">
        <v>1335.41</v>
      </c>
      <c r="F294" s="137">
        <f>C294*E294</f>
        <v>2670.82</v>
      </c>
      <c r="G294" s="217"/>
    </row>
    <row r="295" spans="1:7" s="34" customFormat="1" ht="14.45">
      <c r="A295" s="59"/>
      <c r="B295" s="100"/>
      <c r="C295" s="61"/>
      <c r="D295" s="62"/>
      <c r="E295" s="157"/>
      <c r="F295" s="137"/>
      <c r="G295" s="217"/>
    </row>
    <row r="296" spans="1:7" s="34" customFormat="1" ht="14.45">
      <c r="A296" s="66" t="s">
        <v>17</v>
      </c>
      <c r="B296" s="67" t="s">
        <v>475</v>
      </c>
      <c r="C296" s="68">
        <v>0</v>
      </c>
      <c r="D296" s="69" t="s">
        <v>63</v>
      </c>
      <c r="E296" s="157">
        <v>900.32</v>
      </c>
      <c r="F296" s="137">
        <f>C296*E296</f>
        <v>0</v>
      </c>
      <c r="G296" s="217"/>
    </row>
    <row r="297" spans="1:7" s="34" customFormat="1" ht="14.45">
      <c r="A297" s="59"/>
      <c r="B297" s="100"/>
      <c r="C297" s="61"/>
      <c r="D297" s="62"/>
      <c r="E297" s="157"/>
      <c r="F297" s="137"/>
      <c r="G297" s="217"/>
    </row>
    <row r="298" spans="1:7" s="34" customFormat="1" ht="14.45">
      <c r="A298" s="66" t="s">
        <v>20</v>
      </c>
      <c r="B298" s="67" t="s">
        <v>476</v>
      </c>
      <c r="C298" s="68" t="s">
        <v>304</v>
      </c>
      <c r="D298" s="69" t="s">
        <v>63</v>
      </c>
      <c r="E298" s="157">
        <v>900.32</v>
      </c>
      <c r="F298" s="137">
        <f>C298*E298</f>
        <v>900.32</v>
      </c>
      <c r="G298" s="217"/>
    </row>
    <row r="299" spans="1:7" s="34" customFormat="1" ht="14.45">
      <c r="A299" s="59"/>
      <c r="B299" s="100"/>
      <c r="C299" s="61"/>
      <c r="D299" s="62"/>
      <c r="E299" s="157"/>
      <c r="F299" s="137"/>
      <c r="G299" s="217"/>
    </row>
    <row r="300" spans="1:7" s="34" customFormat="1" ht="27.6">
      <c r="A300" s="66"/>
      <c r="B300" s="98" t="s">
        <v>553</v>
      </c>
      <c r="C300" s="68"/>
      <c r="D300" s="69"/>
      <c r="E300" s="157"/>
      <c r="F300" s="137"/>
      <c r="G300" s="217"/>
    </row>
    <row r="301" spans="1:7" s="34" customFormat="1" ht="14.45">
      <c r="A301" s="59"/>
      <c r="B301" s="100"/>
      <c r="C301" s="61"/>
      <c r="D301" s="62"/>
      <c r="E301" s="157"/>
      <c r="F301" s="137"/>
      <c r="G301" s="217"/>
    </row>
    <row r="302" spans="1:7" s="34" customFormat="1" ht="27.6">
      <c r="A302" s="66" t="s">
        <v>23</v>
      </c>
      <c r="B302" s="67" t="s">
        <v>478</v>
      </c>
      <c r="C302" s="68" t="s">
        <v>479</v>
      </c>
      <c r="D302" s="69" t="s">
        <v>63</v>
      </c>
      <c r="E302" s="157">
        <v>1335.41</v>
      </c>
      <c r="F302" s="137">
        <f>C302*E302</f>
        <v>12018.69</v>
      </c>
      <c r="G302" s="217"/>
    </row>
    <row r="303" spans="1:7" s="34" customFormat="1" ht="14.45">
      <c r="A303" s="59"/>
      <c r="B303" s="100"/>
      <c r="C303" s="61"/>
      <c r="D303" s="62"/>
      <c r="E303" s="157"/>
      <c r="F303" s="137"/>
      <c r="G303" s="217"/>
    </row>
    <row r="304" spans="1:7" s="34" customFormat="1" ht="27.6">
      <c r="A304" s="66" t="s">
        <v>27</v>
      </c>
      <c r="B304" s="67" t="s">
        <v>480</v>
      </c>
      <c r="C304" s="68" t="s">
        <v>481</v>
      </c>
      <c r="D304" s="69" t="s">
        <v>63</v>
      </c>
      <c r="E304" s="157">
        <v>2856.04</v>
      </c>
      <c r="F304" s="137">
        <f>C304*E304</f>
        <v>102817.44</v>
      </c>
      <c r="G304" s="217"/>
    </row>
    <row r="305" spans="1:7" s="34" customFormat="1" ht="14.45">
      <c r="A305" s="59"/>
      <c r="B305" s="100"/>
      <c r="C305" s="61"/>
      <c r="D305" s="62"/>
      <c r="E305" s="157"/>
      <c r="F305" s="137"/>
      <c r="G305" s="217"/>
    </row>
    <row r="306" spans="1:7" s="34" customFormat="1" ht="27.6">
      <c r="A306" s="66" t="s">
        <v>44</v>
      </c>
      <c r="B306" s="67" t="s">
        <v>482</v>
      </c>
      <c r="C306" s="68" t="s">
        <v>483</v>
      </c>
      <c r="D306" s="69" t="s">
        <v>63</v>
      </c>
      <c r="E306" s="157">
        <v>2030.03</v>
      </c>
      <c r="F306" s="137">
        <f>C306*E306</f>
        <v>97441.44</v>
      </c>
      <c r="G306" s="217"/>
    </row>
    <row r="307" spans="1:7" s="34" customFormat="1" ht="14.45">
      <c r="A307" s="59"/>
      <c r="B307" s="100"/>
      <c r="C307" s="61"/>
      <c r="D307" s="62"/>
      <c r="E307" s="157"/>
      <c r="F307" s="137"/>
      <c r="G307" s="217"/>
    </row>
    <row r="308" spans="1:7" s="34" customFormat="1" ht="27.6">
      <c r="A308" s="66" t="s">
        <v>48</v>
      </c>
      <c r="B308" s="67" t="s">
        <v>484</v>
      </c>
      <c r="C308" s="68" t="s">
        <v>485</v>
      </c>
      <c r="D308" s="69" t="s">
        <v>63</v>
      </c>
      <c r="E308" s="157">
        <v>688.16</v>
      </c>
      <c r="F308" s="137">
        <f>C308*E308</f>
        <v>17204</v>
      </c>
      <c r="G308" s="217"/>
    </row>
    <row r="309" spans="1:7" s="34" customFormat="1" ht="14.45">
      <c r="A309" s="59"/>
      <c r="B309" s="100"/>
      <c r="C309" s="61"/>
      <c r="D309" s="62"/>
      <c r="E309" s="157"/>
      <c r="F309" s="137"/>
      <c r="G309" s="217"/>
    </row>
    <row r="310" spans="1:7" s="34" customFormat="1" ht="27.6">
      <c r="A310" s="66" t="s">
        <v>84</v>
      </c>
      <c r="B310" s="67" t="s">
        <v>486</v>
      </c>
      <c r="C310" s="68" t="s">
        <v>487</v>
      </c>
      <c r="D310" s="69" t="s">
        <v>63</v>
      </c>
      <c r="E310" s="157">
        <v>1351.56</v>
      </c>
      <c r="F310" s="137">
        <f>C310*E310</f>
        <v>37843.68</v>
      </c>
      <c r="G310" s="217"/>
    </row>
    <row r="311" spans="1:7" s="34" customFormat="1" ht="14.45">
      <c r="A311" s="59"/>
      <c r="B311" s="100"/>
      <c r="C311" s="61"/>
      <c r="D311" s="62"/>
      <c r="E311" s="157"/>
      <c r="F311" s="137"/>
      <c r="G311" s="217"/>
    </row>
    <row r="312" spans="1:7" s="34" customFormat="1" ht="27.6">
      <c r="A312" s="66" t="s">
        <v>86</v>
      </c>
      <c r="B312" s="67" t="s">
        <v>488</v>
      </c>
      <c r="C312" s="68" t="s">
        <v>65</v>
      </c>
      <c r="D312" s="69" t="s">
        <v>63</v>
      </c>
      <c r="E312" s="157">
        <v>1439.87</v>
      </c>
      <c r="F312" s="137">
        <f>C312*E312</f>
        <v>5759.48</v>
      </c>
      <c r="G312" s="217"/>
    </row>
    <row r="313" spans="1:7" s="34" customFormat="1" ht="14.45">
      <c r="A313" s="59"/>
      <c r="B313" s="100"/>
      <c r="C313" s="61"/>
      <c r="D313" s="62"/>
      <c r="E313" s="157"/>
      <c r="F313" s="137"/>
      <c r="G313" s="217"/>
    </row>
    <row r="314" spans="1:7" s="34" customFormat="1" ht="27.6">
      <c r="A314" s="66" t="s">
        <v>90</v>
      </c>
      <c r="B314" s="67" t="s">
        <v>489</v>
      </c>
      <c r="C314" s="68" t="s">
        <v>65</v>
      </c>
      <c r="D314" s="69" t="s">
        <v>63</v>
      </c>
      <c r="E314" s="157">
        <v>1673.56</v>
      </c>
      <c r="F314" s="137">
        <f>C314*E314</f>
        <v>6694.24</v>
      </c>
      <c r="G314" s="217"/>
    </row>
    <row r="315" spans="1:7" s="34" customFormat="1" ht="14.45">
      <c r="A315" s="59"/>
      <c r="B315" s="100"/>
      <c r="C315" s="61"/>
      <c r="D315" s="62"/>
      <c r="E315" s="157"/>
      <c r="F315" s="137"/>
      <c r="G315" s="217"/>
    </row>
    <row r="316" spans="1:7" s="34" customFormat="1" ht="27.6">
      <c r="A316" s="66" t="s">
        <v>92</v>
      </c>
      <c r="B316" s="67" t="s">
        <v>490</v>
      </c>
      <c r="C316" s="68" t="s">
        <v>152</v>
      </c>
      <c r="D316" s="69" t="s">
        <v>63</v>
      </c>
      <c r="E316" s="157">
        <v>2856.04</v>
      </c>
      <c r="F316" s="137">
        <f>C316*E316</f>
        <v>5712.08</v>
      </c>
      <c r="G316" s="217"/>
    </row>
    <row r="317" spans="1:7" s="34" customFormat="1" ht="14.45">
      <c r="A317" s="59"/>
      <c r="B317" s="100"/>
      <c r="C317" s="61"/>
      <c r="D317" s="62"/>
      <c r="E317" s="157"/>
      <c r="F317" s="137"/>
      <c r="G317" s="217"/>
    </row>
    <row r="318" spans="1:7" s="34" customFormat="1" ht="14.45">
      <c r="A318" s="66" t="s">
        <v>94</v>
      </c>
      <c r="B318" s="81" t="s">
        <v>491</v>
      </c>
      <c r="C318" s="68" t="s">
        <v>332</v>
      </c>
      <c r="D318" s="69" t="s">
        <v>63</v>
      </c>
      <c r="E318" s="157">
        <v>1335.41</v>
      </c>
      <c r="F318" s="137">
        <f>C318*E318</f>
        <v>13354.1</v>
      </c>
      <c r="G318" s="217"/>
    </row>
    <row r="319" spans="1:7" s="34" customFormat="1" ht="14.45">
      <c r="A319" s="59"/>
      <c r="B319" s="63"/>
      <c r="C319" s="61"/>
      <c r="D319" s="62"/>
      <c r="E319" s="157"/>
      <c r="F319" s="137"/>
      <c r="G319" s="217"/>
    </row>
    <row r="320" spans="1:7" s="34" customFormat="1" ht="14.45">
      <c r="A320" s="59"/>
      <c r="B320" s="63"/>
      <c r="C320" s="61"/>
      <c r="D320" s="62"/>
      <c r="E320" s="157"/>
      <c r="F320" s="137"/>
      <c r="G320" s="217"/>
    </row>
    <row r="321" spans="1:7" s="34" customFormat="1" ht="14.45">
      <c r="A321" s="59"/>
      <c r="B321" s="63"/>
      <c r="C321" s="61"/>
      <c r="D321" s="62"/>
      <c r="E321" s="157"/>
      <c r="F321" s="137"/>
      <c r="G321" s="217"/>
    </row>
    <row r="322" spans="1:7" s="34" customFormat="1" ht="14.45">
      <c r="A322" s="59"/>
      <c r="B322" s="63"/>
      <c r="C322" s="61"/>
      <c r="D322" s="62"/>
      <c r="E322" s="157"/>
      <c r="F322" s="137"/>
      <c r="G322" s="217"/>
    </row>
    <row r="323" spans="1:7" s="34" customFormat="1" ht="14.45">
      <c r="A323" s="59"/>
      <c r="B323" s="63"/>
      <c r="C323" s="61"/>
      <c r="D323" s="62"/>
      <c r="E323" s="157"/>
      <c r="F323" s="137"/>
      <c r="G323" s="217"/>
    </row>
    <row r="324" spans="1:7" s="34" customFormat="1" ht="14.45">
      <c r="A324" s="59"/>
      <c r="B324" s="63"/>
      <c r="C324" s="61"/>
      <c r="D324" s="62"/>
      <c r="E324" s="157"/>
      <c r="F324" s="137"/>
      <c r="G324" s="217"/>
    </row>
    <row r="325" spans="1:7" s="34" customFormat="1" ht="14.45">
      <c r="A325" s="59"/>
      <c r="B325" s="63"/>
      <c r="C325" s="61"/>
      <c r="D325" s="62"/>
      <c r="E325" s="157"/>
      <c r="F325" s="137"/>
      <c r="G325" s="217"/>
    </row>
    <row r="326" spans="1:7" s="34" customFormat="1" ht="14.45">
      <c r="A326" s="59"/>
      <c r="B326" s="63"/>
      <c r="C326" s="61"/>
      <c r="D326" s="62"/>
      <c r="E326" s="157"/>
      <c r="F326" s="137"/>
      <c r="G326" s="217"/>
    </row>
    <row r="327" spans="1:7" s="34" customFormat="1" ht="14.45">
      <c r="A327" s="71"/>
      <c r="B327" s="72"/>
      <c r="C327" s="73"/>
      <c r="D327" s="74"/>
      <c r="E327" s="159"/>
      <c r="F327" s="138"/>
      <c r="G327" s="226"/>
    </row>
    <row r="328" spans="1:7" s="34" customFormat="1" ht="14.45">
      <c r="A328" s="75"/>
      <c r="B328" s="76"/>
      <c r="C328" s="77" t="s">
        <v>30</v>
      </c>
      <c r="D328" s="77"/>
      <c r="E328" s="160" t="s">
        <v>8</v>
      </c>
      <c r="F328" s="139">
        <f>SUM(F292:F324)</f>
        <v>302416.28999999998</v>
      </c>
      <c r="G328" s="227"/>
    </row>
    <row r="329" spans="1:7" s="34" customFormat="1" ht="14.45">
      <c r="A329" s="75"/>
      <c r="B329" s="76"/>
      <c r="C329" s="78"/>
      <c r="D329" s="79"/>
      <c r="E329" s="161"/>
      <c r="F329" s="140"/>
      <c r="G329" s="228"/>
    </row>
    <row r="330" spans="1:7" s="34" customFormat="1" ht="14.45">
      <c r="A330" s="59"/>
      <c r="B330" s="63"/>
      <c r="C330" s="61"/>
      <c r="D330" s="62"/>
      <c r="E330" s="157"/>
      <c r="F330" s="137"/>
      <c r="G330" s="217"/>
    </row>
    <row r="331" spans="1:7" s="34" customFormat="1" ht="14.45">
      <c r="A331" s="59"/>
      <c r="B331" s="64" t="s">
        <v>554</v>
      </c>
      <c r="C331" s="61"/>
      <c r="D331" s="62"/>
      <c r="E331" s="157"/>
      <c r="F331" s="137"/>
      <c r="G331" s="217"/>
    </row>
    <row r="332" spans="1:7" s="34" customFormat="1" ht="14.45">
      <c r="A332" s="59"/>
      <c r="B332" s="100"/>
      <c r="C332" s="61"/>
      <c r="D332" s="62"/>
      <c r="E332" s="157"/>
      <c r="F332" s="137"/>
      <c r="G332" s="217"/>
    </row>
    <row r="333" spans="1:7" s="34" customFormat="1" ht="14.45">
      <c r="A333" s="66"/>
      <c r="B333" s="99" t="s">
        <v>11</v>
      </c>
      <c r="C333" s="68"/>
      <c r="D333" s="69"/>
      <c r="E333" s="157"/>
      <c r="F333" s="137"/>
      <c r="G333" s="217"/>
    </row>
    <row r="334" spans="1:7" s="34" customFormat="1" ht="14.45">
      <c r="A334" s="59"/>
      <c r="B334" s="100"/>
      <c r="C334" s="61"/>
      <c r="D334" s="62"/>
      <c r="E334" s="157"/>
      <c r="F334" s="137"/>
      <c r="G334" s="217"/>
    </row>
    <row r="335" spans="1:7" s="34" customFormat="1" ht="27.6">
      <c r="A335" s="66"/>
      <c r="B335" s="99" t="s">
        <v>242</v>
      </c>
      <c r="C335" s="68"/>
      <c r="D335" s="69"/>
      <c r="E335" s="157"/>
      <c r="F335" s="137"/>
      <c r="G335" s="217"/>
    </row>
    <row r="336" spans="1:7" s="34" customFormat="1" ht="14.45">
      <c r="A336" s="59"/>
      <c r="B336" s="100"/>
      <c r="C336" s="61"/>
      <c r="D336" s="62"/>
      <c r="E336" s="157"/>
      <c r="F336" s="137"/>
      <c r="G336" s="217"/>
    </row>
    <row r="337" spans="1:7" s="34" customFormat="1" ht="14.45">
      <c r="A337" s="66"/>
      <c r="B337" s="99" t="s">
        <v>495</v>
      </c>
      <c r="C337" s="68"/>
      <c r="D337" s="69"/>
      <c r="E337" s="157"/>
      <c r="F337" s="137"/>
      <c r="G337" s="217"/>
    </row>
    <row r="338" spans="1:7" s="34" customFormat="1" ht="14.45">
      <c r="A338" s="59"/>
      <c r="B338" s="100"/>
      <c r="C338" s="61"/>
      <c r="D338" s="62"/>
      <c r="E338" s="157"/>
      <c r="F338" s="137"/>
      <c r="G338" s="217"/>
    </row>
    <row r="339" spans="1:7" s="34" customFormat="1" ht="82.9">
      <c r="A339" s="66"/>
      <c r="B339" s="98" t="s">
        <v>555</v>
      </c>
      <c r="C339" s="68"/>
      <c r="D339" s="69"/>
      <c r="E339" s="157"/>
      <c r="F339" s="137"/>
      <c r="G339" s="217"/>
    </row>
    <row r="340" spans="1:7" s="34" customFormat="1" ht="14.45">
      <c r="A340" s="59"/>
      <c r="B340" s="100"/>
      <c r="C340" s="61"/>
      <c r="D340" s="62"/>
      <c r="E340" s="157"/>
      <c r="F340" s="137"/>
      <c r="G340" s="217"/>
    </row>
    <row r="341" spans="1:7" s="34" customFormat="1" ht="14.45">
      <c r="A341" s="66" t="s">
        <v>14</v>
      </c>
      <c r="B341" s="67" t="s">
        <v>556</v>
      </c>
      <c r="C341" s="68">
        <v>610</v>
      </c>
      <c r="D341" s="69" t="s">
        <v>16</v>
      </c>
      <c r="E341" s="157">
        <v>2310.04</v>
      </c>
      <c r="F341" s="137">
        <f>C341*E341</f>
        <v>1409124.4</v>
      </c>
      <c r="G341" s="217"/>
    </row>
    <row r="342" spans="1:7" s="34" customFormat="1" ht="14.45">
      <c r="A342" s="59"/>
      <c r="B342" s="100"/>
      <c r="C342" s="61"/>
      <c r="D342" s="62"/>
      <c r="E342" s="157"/>
      <c r="F342" s="137"/>
      <c r="G342" s="217"/>
    </row>
    <row r="343" spans="1:7" s="34" customFormat="1" ht="27.6">
      <c r="A343" s="66" t="s">
        <v>17</v>
      </c>
      <c r="B343" s="67" t="s">
        <v>557</v>
      </c>
      <c r="C343" s="68">
        <v>463</v>
      </c>
      <c r="D343" s="69" t="s">
        <v>16</v>
      </c>
      <c r="E343" s="157">
        <v>735.01</v>
      </c>
      <c r="F343" s="137">
        <f>C343*E343</f>
        <v>340309.63</v>
      </c>
      <c r="G343" s="217"/>
    </row>
    <row r="344" spans="1:7" s="34" customFormat="1" ht="14.45">
      <c r="A344" s="59"/>
      <c r="B344" s="100"/>
      <c r="C344" s="61"/>
      <c r="D344" s="62"/>
      <c r="E344" s="157"/>
      <c r="F344" s="137"/>
      <c r="G344" s="217"/>
    </row>
    <row r="345" spans="1:7" s="34" customFormat="1" ht="82.9">
      <c r="A345" s="66"/>
      <c r="B345" s="98" t="s">
        <v>558</v>
      </c>
      <c r="C345" s="68"/>
      <c r="D345" s="69"/>
      <c r="E345" s="157"/>
      <c r="F345" s="137"/>
      <c r="G345" s="217"/>
    </row>
    <row r="346" spans="1:7" s="34" customFormat="1" ht="14.45">
      <c r="A346" s="59"/>
      <c r="B346" s="100"/>
      <c r="C346" s="61"/>
      <c r="D346" s="62"/>
      <c r="E346" s="157"/>
      <c r="F346" s="137"/>
      <c r="G346" s="217"/>
    </row>
    <row r="347" spans="1:7" s="34" customFormat="1" ht="14.45">
      <c r="A347" s="66" t="s">
        <v>20</v>
      </c>
      <c r="B347" s="67" t="s">
        <v>559</v>
      </c>
      <c r="C347" s="68">
        <v>470</v>
      </c>
      <c r="D347" s="69" t="s">
        <v>16</v>
      </c>
      <c r="E347" s="157">
        <v>4620.07</v>
      </c>
      <c r="F347" s="137">
        <f>C347*E347</f>
        <v>2171432.9</v>
      </c>
      <c r="G347" s="217"/>
    </row>
    <row r="348" spans="1:7" s="34" customFormat="1" ht="14.45">
      <c r="A348" s="59"/>
      <c r="B348" s="100"/>
      <c r="C348" s="61"/>
      <c r="D348" s="62"/>
      <c r="E348" s="157"/>
      <c r="F348" s="137"/>
      <c r="G348" s="217"/>
    </row>
    <row r="349" spans="1:7" s="34" customFormat="1" ht="69">
      <c r="A349" s="66"/>
      <c r="B349" s="98" t="s">
        <v>560</v>
      </c>
      <c r="C349" s="68"/>
      <c r="D349" s="69"/>
      <c r="E349" s="157"/>
      <c r="F349" s="137"/>
      <c r="G349" s="217"/>
    </row>
    <row r="350" spans="1:7" s="34" customFormat="1" ht="14.45">
      <c r="A350" s="59"/>
      <c r="B350" s="100"/>
      <c r="C350" s="61"/>
      <c r="D350" s="62"/>
      <c r="E350" s="157"/>
      <c r="F350" s="137"/>
      <c r="G350" s="217"/>
    </row>
    <row r="351" spans="1:7" s="34" customFormat="1" ht="14.45">
      <c r="A351" s="66" t="s">
        <v>23</v>
      </c>
      <c r="B351" s="67" t="s">
        <v>561</v>
      </c>
      <c r="C351" s="68" t="s">
        <v>562</v>
      </c>
      <c r="D351" s="69" t="s">
        <v>199</v>
      </c>
      <c r="E351" s="157">
        <v>1995.03</v>
      </c>
      <c r="F351" s="137">
        <f>C351*E351</f>
        <v>600504.03</v>
      </c>
      <c r="G351" s="217"/>
    </row>
    <row r="352" spans="1:7" s="34" customFormat="1" ht="14.45">
      <c r="A352" s="59"/>
      <c r="B352" s="63"/>
      <c r="C352" s="61"/>
      <c r="D352" s="62"/>
      <c r="E352" s="157"/>
      <c r="F352" s="137"/>
      <c r="G352" s="217"/>
    </row>
    <row r="353" spans="1:7" s="34" customFormat="1" ht="14.45">
      <c r="A353" s="59"/>
      <c r="B353" s="63"/>
      <c r="C353" s="61"/>
      <c r="D353" s="62"/>
      <c r="E353" s="157"/>
      <c r="F353" s="137"/>
      <c r="G353" s="217"/>
    </row>
    <row r="354" spans="1:7" s="34" customFormat="1" ht="14.45">
      <c r="A354" s="59"/>
      <c r="B354" s="63"/>
      <c r="C354" s="61"/>
      <c r="D354" s="62"/>
      <c r="E354" s="157"/>
      <c r="F354" s="137"/>
      <c r="G354" s="217"/>
    </row>
    <row r="355" spans="1:7" s="34" customFormat="1" ht="14.45">
      <c r="A355" s="59"/>
      <c r="B355" s="63"/>
      <c r="C355" s="61"/>
      <c r="D355" s="62"/>
      <c r="E355" s="157"/>
      <c r="F355" s="137"/>
      <c r="G355" s="217"/>
    </row>
    <row r="356" spans="1:7" s="34" customFormat="1" ht="14.45">
      <c r="A356" s="59"/>
      <c r="B356" s="63"/>
      <c r="C356" s="61"/>
      <c r="D356" s="62"/>
      <c r="E356" s="157"/>
      <c r="F356" s="137"/>
      <c r="G356" s="217"/>
    </row>
    <row r="357" spans="1:7" s="34" customFormat="1" ht="14.45">
      <c r="A357" s="59"/>
      <c r="B357" s="63"/>
      <c r="C357" s="61"/>
      <c r="D357" s="62"/>
      <c r="E357" s="157"/>
      <c r="F357" s="137"/>
      <c r="G357" s="217"/>
    </row>
    <row r="358" spans="1:7" s="34" customFormat="1" ht="14.45">
      <c r="A358" s="59"/>
      <c r="B358" s="63"/>
      <c r="C358" s="61"/>
      <c r="D358" s="62"/>
      <c r="E358" s="157"/>
      <c r="F358" s="137"/>
      <c r="G358" s="217"/>
    </row>
    <row r="359" spans="1:7" s="34" customFormat="1" ht="14.45">
      <c r="A359" s="59"/>
      <c r="B359" s="63"/>
      <c r="C359" s="61"/>
      <c r="D359" s="62"/>
      <c r="E359" s="157"/>
      <c r="F359" s="137"/>
      <c r="G359" s="217"/>
    </row>
    <row r="360" spans="1:7" s="34" customFormat="1" ht="14.45">
      <c r="A360" s="71"/>
      <c r="B360" s="72"/>
      <c r="C360" s="73"/>
      <c r="D360" s="74"/>
      <c r="E360" s="159"/>
      <c r="F360" s="138"/>
      <c r="G360" s="226"/>
    </row>
    <row r="361" spans="1:7" s="34" customFormat="1" ht="14.45">
      <c r="A361" s="75"/>
      <c r="B361" s="76"/>
      <c r="C361" s="77" t="s">
        <v>30</v>
      </c>
      <c r="D361" s="77"/>
      <c r="E361" s="160" t="s">
        <v>8</v>
      </c>
      <c r="F361" s="139">
        <f>SUM(F339:F355)</f>
        <v>4521370.96</v>
      </c>
      <c r="G361" s="227"/>
    </row>
    <row r="362" spans="1:7" s="34" customFormat="1" ht="14.45">
      <c r="A362" s="75"/>
      <c r="B362" s="76"/>
      <c r="C362" s="78"/>
      <c r="D362" s="79"/>
      <c r="E362" s="161"/>
      <c r="F362" s="140"/>
      <c r="G362" s="228"/>
    </row>
    <row r="363" spans="1:7" s="34" customFormat="1" ht="14.45">
      <c r="A363" s="59"/>
      <c r="B363" s="63"/>
      <c r="C363" s="61"/>
      <c r="D363" s="62"/>
      <c r="E363" s="157"/>
      <c r="F363" s="137"/>
      <c r="G363" s="217"/>
    </row>
    <row r="364" spans="1:7" s="34" customFormat="1" ht="14.45">
      <c r="A364" s="59"/>
      <c r="B364" s="64" t="s">
        <v>105</v>
      </c>
      <c r="C364" s="61"/>
      <c r="D364" s="62"/>
      <c r="E364" s="157"/>
      <c r="F364" s="137"/>
      <c r="G364" s="217"/>
    </row>
    <row r="365" spans="1:7" s="34" customFormat="1" ht="14.45">
      <c r="A365" s="59"/>
      <c r="B365" s="100"/>
      <c r="C365" s="61"/>
      <c r="D365" s="62"/>
      <c r="E365" s="157"/>
      <c r="F365" s="137"/>
      <c r="G365" s="217"/>
    </row>
    <row r="366" spans="1:7" s="34" customFormat="1" ht="69">
      <c r="A366" s="66" t="s">
        <v>14</v>
      </c>
      <c r="B366" s="67" t="s">
        <v>563</v>
      </c>
      <c r="C366" s="68"/>
      <c r="D366" s="69" t="s">
        <v>2</v>
      </c>
      <c r="E366" s="157"/>
      <c r="F366" s="137">
        <f>C366*E366</f>
        <v>0</v>
      </c>
      <c r="G366" s="217"/>
    </row>
    <row r="367" spans="1:7" s="34" customFormat="1" ht="14.45">
      <c r="A367" s="45"/>
      <c r="B367" s="48"/>
      <c r="C367" s="46"/>
      <c r="D367" s="47"/>
      <c r="E367" s="157"/>
      <c r="F367" s="137"/>
      <c r="G367" s="217"/>
    </row>
    <row r="368" spans="1:7" s="34" customFormat="1" ht="69">
      <c r="A368" s="147" t="s">
        <v>210</v>
      </c>
      <c r="B368" s="146" t="s">
        <v>492</v>
      </c>
      <c r="C368" s="148"/>
      <c r="D368" s="149"/>
      <c r="E368" s="157"/>
      <c r="F368" s="137"/>
      <c r="G368" s="217"/>
    </row>
    <row r="369" spans="1:7" s="34" customFormat="1" ht="14.45">
      <c r="A369" s="147"/>
      <c r="B369" s="146"/>
      <c r="C369" s="148"/>
      <c r="D369" s="149"/>
      <c r="E369" s="157"/>
      <c r="F369" s="137"/>
      <c r="G369" s="217"/>
    </row>
    <row r="370" spans="1:7" s="34" customFormat="1" ht="14.45">
      <c r="A370" s="147" t="s">
        <v>14</v>
      </c>
      <c r="B370" s="146" t="s">
        <v>564</v>
      </c>
      <c r="C370" s="148">
        <v>1</v>
      </c>
      <c r="D370" s="149" t="s">
        <v>63</v>
      </c>
      <c r="E370" s="157">
        <v>134752.12</v>
      </c>
      <c r="F370" s="137">
        <f>+C370*E370</f>
        <v>134752.12</v>
      </c>
      <c r="G370" s="217"/>
    </row>
    <row r="371" spans="1:7" s="34" customFormat="1" ht="14.45">
      <c r="A371" s="147"/>
      <c r="B371" s="146"/>
      <c r="C371" s="148"/>
      <c r="D371" s="149"/>
      <c r="E371" s="157"/>
      <c r="F371" s="137"/>
      <c r="G371" s="217"/>
    </row>
    <row r="372" spans="1:7" s="34" customFormat="1" ht="14.45">
      <c r="A372" s="147" t="s">
        <v>17</v>
      </c>
      <c r="B372" s="146" t="s">
        <v>565</v>
      </c>
      <c r="C372" s="148">
        <v>1</v>
      </c>
      <c r="D372" s="149" t="s">
        <v>63</v>
      </c>
      <c r="E372" s="157">
        <v>279869.78000000003</v>
      </c>
      <c r="F372" s="137">
        <f>+C372*E372</f>
        <v>279869.78000000003</v>
      </c>
      <c r="G372" s="217"/>
    </row>
    <row r="373" spans="1:7" s="34" customFormat="1" ht="14.45">
      <c r="A373" s="147"/>
      <c r="B373" s="146"/>
      <c r="C373" s="148"/>
      <c r="D373" s="149"/>
      <c r="E373" s="157"/>
      <c r="F373" s="137"/>
      <c r="G373" s="217"/>
    </row>
    <row r="374" spans="1:7" s="34" customFormat="1" ht="14.45">
      <c r="A374" s="147" t="s">
        <v>20</v>
      </c>
      <c r="B374" s="146" t="s">
        <v>566</v>
      </c>
      <c r="C374" s="148">
        <v>13</v>
      </c>
      <c r="D374" s="149" t="s">
        <v>63</v>
      </c>
      <c r="E374" s="157">
        <v>49185.56</v>
      </c>
      <c r="F374" s="137">
        <f>+C374*E374</f>
        <v>639412.28</v>
      </c>
      <c r="G374" s="217"/>
    </row>
    <row r="375" spans="1:7" s="34" customFormat="1" ht="14.45">
      <c r="A375" s="45"/>
      <c r="B375" s="48"/>
      <c r="C375" s="46"/>
      <c r="D375" s="47"/>
      <c r="E375" s="157"/>
      <c r="F375" s="137"/>
      <c r="G375" s="217"/>
    </row>
    <row r="376" spans="1:7" s="34" customFormat="1" ht="14.45">
      <c r="A376" s="45"/>
      <c r="B376" s="48"/>
      <c r="C376" s="46"/>
      <c r="D376" s="47"/>
      <c r="E376" s="157"/>
      <c r="F376" s="137"/>
      <c r="G376" s="217"/>
    </row>
    <row r="377" spans="1:7" s="34" customFormat="1" ht="14.45">
      <c r="A377" s="45" t="s">
        <v>210</v>
      </c>
      <c r="B377" s="146" t="s">
        <v>567</v>
      </c>
      <c r="C377" s="46"/>
      <c r="D377" s="47"/>
      <c r="E377" s="157"/>
      <c r="F377" s="137"/>
      <c r="G377" s="217"/>
    </row>
    <row r="378" spans="1:7" s="34" customFormat="1" ht="14.45">
      <c r="A378" s="45"/>
      <c r="B378" s="146"/>
      <c r="C378" s="46"/>
      <c r="D378" s="47"/>
      <c r="E378" s="157"/>
      <c r="F378" s="137"/>
      <c r="G378" s="217"/>
    </row>
    <row r="379" spans="1:7" s="177" customFormat="1" ht="27.6">
      <c r="A379" s="45" t="s">
        <v>23</v>
      </c>
      <c r="B379" s="173" t="s">
        <v>568</v>
      </c>
      <c r="C379" s="45">
        <v>1</v>
      </c>
      <c r="D379" s="174" t="s">
        <v>63</v>
      </c>
      <c r="E379" s="175">
        <v>6909.65</v>
      </c>
      <c r="F379" s="176">
        <f>+C379*E379</f>
        <v>6909.65</v>
      </c>
      <c r="G379" s="233"/>
    </row>
    <row r="380" spans="1:7" s="34" customFormat="1" ht="14.45">
      <c r="A380" s="45"/>
      <c r="B380" s="146"/>
      <c r="C380" s="46"/>
      <c r="D380" s="47"/>
      <c r="E380" s="157"/>
      <c r="F380" s="137"/>
      <c r="G380" s="217"/>
    </row>
    <row r="381" spans="1:7" s="34" customFormat="1" ht="14.45">
      <c r="A381" s="45" t="s">
        <v>210</v>
      </c>
      <c r="B381" s="146" t="s">
        <v>213</v>
      </c>
      <c r="C381" s="46"/>
      <c r="D381" s="47"/>
      <c r="E381" s="157"/>
      <c r="F381" s="137"/>
      <c r="G381" s="217"/>
    </row>
    <row r="382" spans="1:7" s="34" customFormat="1" ht="14.45">
      <c r="A382" s="45"/>
      <c r="B382" s="146"/>
      <c r="C382" s="46"/>
      <c r="D382" s="47"/>
      <c r="E382" s="157"/>
      <c r="F382" s="137"/>
      <c r="G382" s="217"/>
    </row>
    <row r="383" spans="1:7" s="177" customFormat="1" ht="27.6">
      <c r="A383" s="290" t="s">
        <v>92</v>
      </c>
      <c r="B383" s="296" t="s">
        <v>214</v>
      </c>
      <c r="C383" s="290">
        <v>1</v>
      </c>
      <c r="D383" s="297" t="s">
        <v>215</v>
      </c>
      <c r="E383" s="298"/>
      <c r="F383" s="299">
        <f>+C383*E383</f>
        <v>0</v>
      </c>
      <c r="G383" s="300"/>
    </row>
    <row r="384" spans="1:7" s="34" customFormat="1" ht="14.45">
      <c r="A384" s="45"/>
      <c r="B384" s="48"/>
      <c r="C384" s="46"/>
      <c r="D384" s="47"/>
      <c r="E384" s="157"/>
      <c r="F384" s="137"/>
      <c r="G384" s="217"/>
    </row>
    <row r="385" spans="1:7" s="34" customFormat="1" ht="14.45">
      <c r="A385" s="45"/>
      <c r="B385" s="48"/>
      <c r="C385" s="46"/>
      <c r="D385" s="47"/>
      <c r="E385" s="157"/>
      <c r="F385" s="137"/>
      <c r="G385" s="217"/>
    </row>
    <row r="386" spans="1:7" s="34" customFormat="1" ht="14.45">
      <c r="A386" s="45"/>
      <c r="B386" s="48"/>
      <c r="C386" s="46"/>
      <c r="D386" s="47"/>
      <c r="E386" s="157"/>
      <c r="F386" s="137"/>
      <c r="G386" s="217"/>
    </row>
    <row r="387" spans="1:7" s="34" customFormat="1" ht="14.45">
      <c r="A387" s="45"/>
      <c r="B387" s="48"/>
      <c r="C387" s="46"/>
      <c r="D387" s="47"/>
      <c r="E387" s="157"/>
      <c r="F387" s="137"/>
      <c r="G387" s="217"/>
    </row>
    <row r="388" spans="1:7" s="34" customFormat="1" ht="14.45">
      <c r="A388" s="71"/>
      <c r="B388" s="72"/>
      <c r="C388" s="73"/>
      <c r="D388" s="74"/>
      <c r="E388" s="159"/>
      <c r="F388" s="138"/>
      <c r="G388" s="226"/>
    </row>
    <row r="389" spans="1:7" s="34" customFormat="1" ht="14.45">
      <c r="A389" s="75"/>
      <c r="B389" s="76"/>
      <c r="C389" s="77" t="s">
        <v>30</v>
      </c>
      <c r="D389" s="77"/>
      <c r="E389" s="160" t="s">
        <v>8</v>
      </c>
      <c r="F389" s="139">
        <f>SUM(F364:F385)</f>
        <v>1060943.83</v>
      </c>
      <c r="G389" s="227"/>
    </row>
    <row r="390" spans="1:7" s="34" customFormat="1" ht="14.45">
      <c r="A390" s="75"/>
      <c r="B390" s="76"/>
      <c r="C390" s="78"/>
      <c r="D390" s="79"/>
      <c r="E390" s="161"/>
      <c r="F390" s="140"/>
      <c r="G390" s="228"/>
    </row>
    <row r="391" spans="1:7" s="34" customFormat="1" ht="14.45">
      <c r="A391" s="59"/>
      <c r="B391" s="63"/>
      <c r="C391" s="61"/>
      <c r="D391" s="62"/>
      <c r="E391" s="157"/>
      <c r="F391" s="137"/>
      <c r="G391" s="217"/>
    </row>
    <row r="392" spans="1:7" s="34" customFormat="1" ht="14.45">
      <c r="A392" s="59"/>
      <c r="B392" s="38" t="s">
        <v>109</v>
      </c>
      <c r="C392" s="61"/>
      <c r="D392" s="62"/>
      <c r="E392" s="157"/>
      <c r="F392" s="137"/>
      <c r="G392" s="217"/>
    </row>
    <row r="393" spans="1:7" s="34" customFormat="1" ht="14.45">
      <c r="A393" s="59"/>
      <c r="B393" s="32"/>
      <c r="C393" s="61"/>
      <c r="D393" s="62"/>
      <c r="E393" s="157"/>
      <c r="F393" s="137"/>
      <c r="G393" s="217"/>
    </row>
    <row r="394" spans="1:7" s="34" customFormat="1" ht="14.45">
      <c r="A394" s="59"/>
      <c r="B394" s="39" t="s">
        <v>569</v>
      </c>
      <c r="C394" s="61"/>
      <c r="D394" s="62"/>
      <c r="E394" s="157"/>
      <c r="F394" s="137">
        <f>F35</f>
        <v>310118.56</v>
      </c>
      <c r="G394" s="217"/>
    </row>
    <row r="395" spans="1:7" s="34" customFormat="1" ht="14.45">
      <c r="A395" s="59"/>
      <c r="B395" s="32"/>
      <c r="C395" s="61"/>
      <c r="D395" s="62"/>
      <c r="E395" s="157"/>
      <c r="F395" s="137"/>
      <c r="G395" s="217"/>
    </row>
    <row r="396" spans="1:7" s="34" customFormat="1" ht="14.45">
      <c r="A396" s="59"/>
      <c r="B396" s="39" t="s">
        <v>570</v>
      </c>
      <c r="C396" s="61"/>
      <c r="D396" s="62"/>
      <c r="E396" s="157"/>
      <c r="F396" s="137">
        <f>F71</f>
        <v>861533.3899999999</v>
      </c>
      <c r="G396" s="217"/>
    </row>
    <row r="397" spans="1:7" s="34" customFormat="1" ht="14.45">
      <c r="A397" s="59"/>
      <c r="B397" s="32"/>
      <c r="C397" s="61"/>
      <c r="D397" s="62"/>
      <c r="E397" s="157"/>
      <c r="F397" s="137"/>
      <c r="G397" s="217"/>
    </row>
    <row r="398" spans="1:7" s="34" customFormat="1" ht="14.45">
      <c r="A398" s="59"/>
      <c r="B398" s="39" t="s">
        <v>571</v>
      </c>
      <c r="C398" s="61"/>
      <c r="D398" s="62"/>
      <c r="E398" s="157"/>
      <c r="F398" s="137">
        <f>F113</f>
        <v>469144.92</v>
      </c>
      <c r="G398" s="217"/>
    </row>
    <row r="399" spans="1:7" s="34" customFormat="1" ht="14.45">
      <c r="A399" s="59"/>
      <c r="B399" s="32"/>
      <c r="C399" s="61"/>
      <c r="D399" s="62"/>
      <c r="E399" s="157"/>
      <c r="F399" s="137"/>
      <c r="G399" s="217"/>
    </row>
    <row r="400" spans="1:7" s="34" customFormat="1" ht="14.45">
      <c r="A400" s="59"/>
      <c r="B400" s="39" t="s">
        <v>572</v>
      </c>
      <c r="C400" s="61"/>
      <c r="D400" s="62"/>
      <c r="E400" s="157"/>
      <c r="F400" s="137">
        <f>F146</f>
        <v>10893517.630000001</v>
      </c>
      <c r="G400" s="217"/>
    </row>
    <row r="401" spans="1:7" s="34" customFormat="1" ht="14.45">
      <c r="A401" s="59"/>
      <c r="B401" s="32"/>
      <c r="C401" s="61"/>
      <c r="D401" s="62"/>
      <c r="E401" s="157"/>
      <c r="F401" s="137"/>
      <c r="G401" s="217"/>
    </row>
    <row r="402" spans="1:7" s="34" customFormat="1" ht="14.45">
      <c r="A402" s="59"/>
      <c r="B402" s="39" t="s">
        <v>573</v>
      </c>
      <c r="C402" s="61"/>
      <c r="D402" s="62"/>
      <c r="E402" s="157"/>
      <c r="F402" s="137">
        <f>F180</f>
        <v>3731326.2800000003</v>
      </c>
      <c r="G402" s="217"/>
    </row>
    <row r="403" spans="1:7" s="34" customFormat="1" ht="14.45">
      <c r="A403" s="59"/>
      <c r="B403" s="32"/>
      <c r="C403" s="61"/>
      <c r="D403" s="62"/>
      <c r="E403" s="157"/>
      <c r="F403" s="137"/>
      <c r="G403" s="217"/>
    </row>
    <row r="404" spans="1:7" s="34" customFormat="1" ht="14.45">
      <c r="A404" s="59"/>
      <c r="B404" s="39" t="s">
        <v>574</v>
      </c>
      <c r="C404" s="61"/>
      <c r="D404" s="62"/>
      <c r="E404" s="157"/>
      <c r="F404" s="137">
        <f>F217</f>
        <v>8240450.4299999997</v>
      </c>
      <c r="G404" s="217"/>
    </row>
    <row r="405" spans="1:7" s="34" customFormat="1" ht="14.45">
      <c r="A405" s="59"/>
      <c r="B405" s="32"/>
      <c r="C405" s="61"/>
      <c r="D405" s="62"/>
      <c r="E405" s="157"/>
      <c r="F405" s="137"/>
      <c r="G405" s="217"/>
    </row>
    <row r="406" spans="1:7" s="34" customFormat="1" ht="14.45">
      <c r="A406" s="59"/>
      <c r="B406" s="39" t="s">
        <v>575</v>
      </c>
      <c r="C406" s="61"/>
      <c r="D406" s="62"/>
      <c r="E406" s="157"/>
      <c r="F406" s="137">
        <f>F255</f>
        <v>6176161.9199999999</v>
      </c>
      <c r="G406" s="217"/>
    </row>
    <row r="407" spans="1:7" s="34" customFormat="1" ht="14.45">
      <c r="A407" s="59"/>
      <c r="B407" s="32"/>
      <c r="C407" s="61"/>
      <c r="D407" s="62"/>
      <c r="E407" s="157"/>
      <c r="F407" s="137"/>
      <c r="G407" s="217"/>
    </row>
    <row r="408" spans="1:7" s="34" customFormat="1" ht="14.45">
      <c r="A408" s="59"/>
      <c r="B408" s="39" t="s">
        <v>576</v>
      </c>
      <c r="C408" s="61"/>
      <c r="D408" s="62"/>
      <c r="E408" s="157"/>
      <c r="F408" s="137">
        <f>F289</f>
        <v>471796.35000000003</v>
      </c>
      <c r="G408" s="217"/>
    </row>
    <row r="409" spans="1:7" s="34" customFormat="1" ht="14.45">
      <c r="A409" s="59"/>
      <c r="B409" s="32"/>
      <c r="C409" s="61"/>
      <c r="D409" s="62"/>
      <c r="E409" s="157"/>
      <c r="F409" s="137"/>
      <c r="G409" s="217"/>
    </row>
    <row r="410" spans="1:7" s="34" customFormat="1" ht="14.45">
      <c r="A410" s="59"/>
      <c r="B410" s="39" t="s">
        <v>577</v>
      </c>
      <c r="C410" s="61"/>
      <c r="D410" s="62"/>
      <c r="E410" s="157"/>
      <c r="F410" s="137">
        <f>F328</f>
        <v>302416.28999999998</v>
      </c>
      <c r="G410" s="217"/>
    </row>
    <row r="411" spans="1:7" s="34" customFormat="1" ht="14.45">
      <c r="A411" s="59"/>
      <c r="B411" s="32"/>
      <c r="C411" s="61"/>
      <c r="D411" s="62"/>
      <c r="E411" s="157"/>
      <c r="F411" s="137"/>
      <c r="G411" s="217"/>
    </row>
    <row r="412" spans="1:7" s="34" customFormat="1" ht="14.45">
      <c r="A412" s="59"/>
      <c r="B412" s="39" t="s">
        <v>578</v>
      </c>
      <c r="C412" s="61"/>
      <c r="D412" s="62"/>
      <c r="E412" s="157"/>
      <c r="F412" s="137">
        <f>F361</f>
        <v>4521370.96</v>
      </c>
      <c r="G412" s="217"/>
    </row>
    <row r="413" spans="1:7" s="34" customFormat="1" ht="14.45">
      <c r="A413" s="59"/>
      <c r="B413" s="32"/>
      <c r="C413" s="61"/>
      <c r="D413" s="62"/>
      <c r="E413" s="157"/>
      <c r="F413" s="137"/>
      <c r="G413" s="217"/>
    </row>
    <row r="414" spans="1:7" s="34" customFormat="1" ht="14.45">
      <c r="A414" s="59"/>
      <c r="B414" s="39" t="s">
        <v>579</v>
      </c>
      <c r="C414" s="61"/>
      <c r="D414" s="62"/>
      <c r="E414" s="157"/>
      <c r="F414" s="137">
        <f>F389</f>
        <v>1060943.83</v>
      </c>
      <c r="G414" s="217"/>
    </row>
    <row r="415" spans="1:7" s="34" customFormat="1" ht="14.45">
      <c r="A415" s="59"/>
      <c r="B415" s="63"/>
      <c r="C415" s="61"/>
      <c r="D415" s="62"/>
      <c r="E415" s="157"/>
      <c r="F415" s="137"/>
      <c r="G415" s="217"/>
    </row>
    <row r="416" spans="1:7" s="34" customFormat="1" ht="14.45">
      <c r="A416" s="59"/>
      <c r="B416" s="39"/>
      <c r="C416" s="61"/>
      <c r="D416" s="62"/>
      <c r="E416" s="157"/>
      <c r="F416" s="137"/>
      <c r="G416" s="217"/>
    </row>
    <row r="417" spans="1:7" s="34" customFormat="1" ht="14.45">
      <c r="A417" s="59"/>
      <c r="B417" s="32"/>
      <c r="C417" s="61"/>
      <c r="D417" s="62"/>
      <c r="E417" s="157"/>
      <c r="F417" s="137"/>
      <c r="G417" s="217"/>
    </row>
    <row r="418" spans="1:7" s="34" customFormat="1" ht="14.45">
      <c r="A418" s="59"/>
      <c r="B418" s="63"/>
      <c r="C418" s="61"/>
      <c r="D418" s="62"/>
      <c r="E418" s="157"/>
      <c r="F418" s="137"/>
      <c r="G418" s="217"/>
    </row>
    <row r="419" spans="1:7" s="34" customFormat="1" ht="14.45">
      <c r="A419" s="59"/>
      <c r="B419" s="63"/>
      <c r="C419" s="61"/>
      <c r="D419" s="62"/>
      <c r="E419" s="157"/>
      <c r="F419" s="137"/>
      <c r="G419" s="217"/>
    </row>
    <row r="420" spans="1:7" s="34" customFormat="1" ht="14.45">
      <c r="A420" s="59"/>
      <c r="B420" s="63"/>
      <c r="C420" s="61"/>
      <c r="D420" s="62"/>
      <c r="E420" s="157"/>
      <c r="F420" s="137"/>
      <c r="G420" s="217"/>
    </row>
    <row r="421" spans="1:7" s="34" customFormat="1" ht="14.45">
      <c r="A421" s="59"/>
      <c r="B421" s="63"/>
      <c r="C421" s="61"/>
      <c r="D421" s="62"/>
      <c r="E421" s="157"/>
      <c r="F421" s="137"/>
      <c r="G421" s="217"/>
    </row>
    <row r="422" spans="1:7" s="34" customFormat="1" ht="14.45">
      <c r="A422" s="59"/>
      <c r="B422" s="63"/>
      <c r="C422" s="61"/>
      <c r="D422" s="62"/>
      <c r="E422" s="157"/>
      <c r="F422" s="137"/>
      <c r="G422" s="217"/>
    </row>
    <row r="423" spans="1:7" s="34" customFormat="1" ht="14.45">
      <c r="A423" s="59"/>
      <c r="B423" s="63"/>
      <c r="C423" s="61"/>
      <c r="D423" s="62"/>
      <c r="E423" s="157"/>
      <c r="F423" s="137"/>
      <c r="G423" s="217"/>
    </row>
    <row r="424" spans="1:7" s="34" customFormat="1" ht="14.45">
      <c r="A424" s="59"/>
      <c r="B424" s="63"/>
      <c r="C424" s="61"/>
      <c r="D424" s="62"/>
      <c r="E424" s="157"/>
      <c r="F424" s="137"/>
      <c r="G424" s="217"/>
    </row>
    <row r="425" spans="1:7" s="34" customFormat="1" ht="14.45">
      <c r="A425" s="59"/>
      <c r="B425" s="63"/>
      <c r="C425" s="61"/>
      <c r="D425" s="62"/>
      <c r="E425" s="157"/>
      <c r="F425" s="137"/>
      <c r="G425" s="217"/>
    </row>
    <row r="426" spans="1:7" s="34" customFormat="1" ht="14.45">
      <c r="A426" s="59"/>
      <c r="B426" s="63"/>
      <c r="C426" s="61"/>
      <c r="D426" s="62"/>
      <c r="E426" s="157"/>
      <c r="F426" s="137"/>
      <c r="G426" s="217"/>
    </row>
    <row r="427" spans="1:7" s="34" customFormat="1" ht="14.45">
      <c r="A427" s="59"/>
      <c r="B427" s="63"/>
      <c r="C427" s="61"/>
      <c r="D427" s="62"/>
      <c r="E427" s="157"/>
      <c r="F427" s="137"/>
      <c r="G427" s="217"/>
    </row>
    <row r="428" spans="1:7" s="34" customFormat="1" ht="14.45">
      <c r="A428" s="59"/>
      <c r="B428" s="63"/>
      <c r="C428" s="61"/>
      <c r="D428" s="62"/>
      <c r="E428" s="157"/>
      <c r="F428" s="137"/>
      <c r="G428" s="217"/>
    </row>
    <row r="429" spans="1:7" s="34" customFormat="1" ht="14.45">
      <c r="A429" s="59"/>
      <c r="B429" s="63"/>
      <c r="C429" s="61"/>
      <c r="D429" s="62"/>
      <c r="E429" s="157"/>
      <c r="F429" s="137"/>
      <c r="G429" s="217"/>
    </row>
    <row r="430" spans="1:7" s="34" customFormat="1" ht="14.45">
      <c r="A430" s="59"/>
      <c r="B430" s="63"/>
      <c r="C430" s="61"/>
      <c r="D430" s="62"/>
      <c r="E430" s="157"/>
      <c r="F430" s="137"/>
      <c r="G430" s="217"/>
    </row>
    <row r="431" spans="1:7" s="34" customFormat="1" ht="14.45">
      <c r="A431" s="59"/>
      <c r="B431" s="63"/>
      <c r="C431" s="61"/>
      <c r="D431" s="62"/>
      <c r="E431" s="157"/>
      <c r="F431" s="137"/>
      <c r="G431" s="217"/>
    </row>
    <row r="432" spans="1:7" s="34" customFormat="1" ht="14.45">
      <c r="A432" s="59"/>
      <c r="B432" s="63"/>
      <c r="C432" s="61"/>
      <c r="D432" s="62"/>
      <c r="E432" s="157"/>
      <c r="F432" s="137"/>
      <c r="G432" s="217"/>
    </row>
    <row r="433" spans="1:7" s="34" customFormat="1" ht="14.45">
      <c r="A433" s="59"/>
      <c r="B433" s="63"/>
      <c r="C433" s="61"/>
      <c r="D433" s="62"/>
      <c r="E433" s="157"/>
      <c r="F433" s="137"/>
      <c r="G433" s="217"/>
    </row>
    <row r="434" spans="1:7" s="34" customFormat="1" ht="14.45">
      <c r="A434" s="59"/>
      <c r="B434" s="63"/>
      <c r="C434" s="61"/>
      <c r="D434" s="62"/>
      <c r="E434" s="157"/>
      <c r="F434" s="137"/>
      <c r="G434" s="217"/>
    </row>
    <row r="435" spans="1:7" s="34" customFormat="1" ht="14.45">
      <c r="A435" s="59"/>
      <c r="B435" s="63"/>
      <c r="C435" s="61"/>
      <c r="D435" s="62"/>
      <c r="E435" s="157"/>
      <c r="F435" s="137"/>
      <c r="G435" s="217"/>
    </row>
    <row r="436" spans="1:7" s="34" customFormat="1" ht="14.45">
      <c r="A436" s="71"/>
      <c r="B436" s="72"/>
      <c r="C436" s="73"/>
      <c r="D436" s="74"/>
      <c r="E436" s="159"/>
      <c r="F436" s="138"/>
      <c r="G436" s="226"/>
    </row>
    <row r="437" spans="1:7" s="34" customFormat="1" ht="14.45">
      <c r="A437" s="75"/>
      <c r="B437" s="76"/>
      <c r="C437" s="77" t="s">
        <v>116</v>
      </c>
      <c r="D437" s="77"/>
      <c r="E437" s="160" t="s">
        <v>8</v>
      </c>
      <c r="F437" s="139">
        <f>SUM(F392:F427)</f>
        <v>37038780.560000002</v>
      </c>
      <c r="G437" s="227"/>
    </row>
    <row r="438" spans="1:7" s="34" customFormat="1" ht="14.45">
      <c r="A438" s="75"/>
      <c r="B438" s="76"/>
      <c r="C438" s="78"/>
      <c r="D438" s="79"/>
      <c r="E438" s="161"/>
      <c r="F438" s="140"/>
      <c r="G438" s="228"/>
    </row>
  </sheetData>
  <customSheetViews>
    <customSheetView guid="{3432A39B-C5E3-4DF0-8655-3886C046AF9C}" showPageBreaks="1" printArea="1" view="pageBreakPreview" topLeftCell="A431">
      <selection activeCell="G439" sqref="G439"/>
      <rowBreaks count="11" manualBreakCount="11">
        <brk id="36" max="5" man="1"/>
        <brk id="72" max="5" man="1"/>
        <brk id="114" max="5" man="1"/>
        <brk id="146" max="5" man="1"/>
        <brk id="180" max="5" man="1"/>
        <brk id="217" max="5" man="1"/>
        <brk id="258" max="5" man="1"/>
        <brk id="292" max="5" man="1"/>
        <brk id="331" max="5" man="1"/>
        <brk id="364" max="5" man="1"/>
        <brk id="392" max="5" man="1"/>
      </rowBreaks>
      <pageMargins left="0" right="0" top="0" bottom="0" header="0" footer="0"/>
      <printOptions horizontalCentered="1"/>
      <pageSetup paperSize="9" fitToHeight="0" orientation="portrait" useFirstPageNumber="1" r:id="rId1"/>
      <headerFooter>
        <oddHeader>&amp;R&amp;11&amp;U
BILL NO. 3 - MALL REFURBISHMENT
DOORS AND WINDOWS</oddHeader>
        <oddFooter>&amp;L&amp;8DMS 148704 BOQ - Nakheel Mall Al Khail&amp;C3/H/&amp;P</oddFooter>
      </headerFooter>
    </customSheetView>
    <customSheetView guid="{47E345F0-E696-46B9-B7A2-C22AD1CF4FAA}" showPageBreaks="1" printArea="1" view="pageBreakPreview" topLeftCell="A400">
      <selection activeCell="E157" sqref="E157"/>
      <rowBreaks count="11" manualBreakCount="11">
        <brk id="36" max="5" man="1"/>
        <brk id="72" max="5" man="1"/>
        <brk id="114" max="5" man="1"/>
        <brk id="146" max="5" man="1"/>
        <brk id="180" max="5" man="1"/>
        <brk id="217" max="5" man="1"/>
        <brk id="258" max="5" man="1"/>
        <brk id="292" max="5" man="1"/>
        <brk id="331" max="5" man="1"/>
        <brk id="364" max="5" man="1"/>
        <brk id="408" max="5" man="1"/>
      </rowBreaks>
      <pageMargins left="0" right="0" top="0" bottom="0" header="0" footer="0"/>
      <printOptions horizontalCentered="1"/>
      <pageSetup paperSize="9" fitToHeight="0" orientation="portrait" useFirstPageNumber="1" r:id="rId2"/>
      <headerFooter>
        <oddHeader>&amp;R&amp;11&amp;U
BILL NO. 3 - MALL REFURBISHMENT
DOORS AND WINDOWS</oddHeader>
        <oddFooter>&amp;L&amp;8DMS 148704 BOQ - Nakheel Mall Al Khail&amp;C3/H/&amp;P</oddFooter>
      </headerFooter>
    </customSheetView>
    <customSheetView guid="{252EBC6A-BD49-4FC3-9285-77861935BFE3}" showPageBreaks="1" printArea="1" view="pageBreakPreview" topLeftCell="A421">
      <selection activeCell="F433" sqref="F433"/>
      <rowBreaks count="11" manualBreakCount="11">
        <brk id="36" max="5" man="1"/>
        <brk id="72" max="5" man="1"/>
        <brk id="114" max="5" man="1"/>
        <brk id="146" max="5" man="1"/>
        <brk id="180" max="5" man="1"/>
        <brk id="217" max="5" man="1"/>
        <brk id="258" max="5" man="1"/>
        <brk id="292" max="5" man="1"/>
        <brk id="331" max="5" man="1"/>
        <brk id="364" max="5" man="1"/>
        <brk id="408" max="5" man="1"/>
      </rowBreaks>
      <pageMargins left="0" right="0" top="0" bottom="0" header="0" footer="0"/>
      <printOptions horizontalCentered="1"/>
      <pageSetup paperSize="9" fitToHeight="0" orientation="portrait" useFirstPageNumber="1" r:id="rId3"/>
      <headerFooter>
        <oddHeader>&amp;R&amp;11&amp;U
BILL NO. 3 - MALL REFURBISHMENT
DOORS AND WINDOWS</oddHeader>
        <oddFooter>&amp;L&amp;8DMS 148704 BOQ - Nakheel Mall Al Khail&amp;C3/H/&amp;P</oddFooter>
      </headerFooter>
    </customSheetView>
    <customSheetView guid="{80D5E0F2-D974-412D-A20C-052459C7A221}" showPageBreaks="1" printArea="1" view="pageBreakPreview" topLeftCell="A431">
      <selection activeCell="G439" sqref="G439"/>
      <rowBreaks count="11" manualBreakCount="11">
        <brk id="36" max="5" man="1"/>
        <brk id="72" max="5" man="1"/>
        <brk id="114" max="5" man="1"/>
        <brk id="146" max="5" man="1"/>
        <brk id="180" max="5" man="1"/>
        <brk id="217" max="5" man="1"/>
        <brk id="258" max="5" man="1"/>
        <brk id="292" max="5" man="1"/>
        <brk id="331" max="5" man="1"/>
        <brk id="364" max="5" man="1"/>
        <brk id="392" max="5" man="1"/>
      </rowBreaks>
      <pageMargins left="0" right="0" top="0" bottom="0" header="0" footer="0"/>
      <printOptions horizontalCentered="1"/>
      <pageSetup paperSize="9" fitToHeight="0" orientation="portrait" useFirstPageNumber="1" r:id="rId4"/>
      <headerFooter>
        <oddHeader>&amp;R&amp;11&amp;U
BILL NO. 3 - MALL REFURBISHMENT
DOORS AND WINDOWS</oddHeader>
        <oddFooter>&amp;L&amp;8DMS 148704 BOQ - Nakheel Mall Al Khail&amp;C3/H/&amp;P</oddFooter>
      </headerFooter>
    </customSheetView>
  </customSheetViews>
  <mergeCells count="5">
    <mergeCell ref="A1:A2"/>
    <mergeCell ref="B1:B2"/>
    <mergeCell ref="C1:C2"/>
    <mergeCell ref="D1:D2"/>
    <mergeCell ref="G1:G2"/>
  </mergeCells>
  <printOptions horizontalCentered="1"/>
  <pageMargins left="0.6692913385826772" right="0.19685039370078741" top="0.82677165354330717" bottom="0.47244094488188981" header="0.19685039370078741" footer="0.23622047244094491"/>
  <pageSetup paperSize="9" scale="93" fitToHeight="0" orientation="portrait" useFirstPageNumber="1" r:id="rId5"/>
  <headerFooter>
    <oddHeader>&amp;R&amp;11&amp;U
BILL NO. 3 - MALL REFURBISHMENT
DOORS AND WINDOWS</oddHeader>
    <oddFooter>&amp;L&amp;8DMS 148704 BOQ - Nakheel Mall Al Khail&amp;C3/H/&amp;P</oddFooter>
  </headerFooter>
  <rowBreaks count="11" manualBreakCount="11">
    <brk id="36" max="6" man="1"/>
    <brk id="72" max="6" man="1"/>
    <brk id="114" max="6" man="1"/>
    <brk id="147" max="6" man="1"/>
    <brk id="181" max="6" man="1"/>
    <brk id="218" max="6" man="1"/>
    <brk id="256" max="6" man="1"/>
    <brk id="290" max="6" man="1"/>
    <brk id="329" max="6" man="1"/>
    <brk id="362" max="6" man="1"/>
    <brk id="390" max="6"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1BB9C-FA20-487E-AD02-DBF4EDF955E6}">
  <sheetPr codeName="Sheet10"/>
  <dimension ref="A1:K835"/>
  <sheetViews>
    <sheetView view="pageBreakPreview" zoomScaleNormal="100" zoomScaleSheetLayoutView="100" zoomScalePageLayoutView="70" workbookViewId="0">
      <pane ySplit="2" topLeftCell="A183" activePane="bottomLeft" state="frozen"/>
      <selection pane="bottomLeft" activeCell="E1" sqref="E1:E1048576"/>
      <selection activeCell="F34" sqref="F34"/>
    </sheetView>
  </sheetViews>
  <sheetFormatPr defaultColWidth="9.28515625" defaultRowHeight="13.9"/>
  <cols>
    <col min="1" max="1" width="5.7109375" style="85" customWidth="1"/>
    <col min="2" max="2" width="43.42578125" style="86" customWidth="1"/>
    <col min="3" max="3" width="9.7109375" style="87" customWidth="1"/>
    <col min="4" max="4" width="6.7109375" style="88" customWidth="1"/>
    <col min="5" max="5" width="13.7109375" style="162" customWidth="1"/>
    <col min="6" max="6" width="15.7109375" style="154" customWidth="1"/>
    <col min="7" max="7" width="8.28515625" style="232" customWidth="1"/>
    <col min="8" max="8" width="13.28515625" style="167" customWidth="1"/>
    <col min="9" max="9" width="16.28515625" style="35" customWidth="1"/>
    <col min="10" max="10" width="12" style="35" customWidth="1"/>
    <col min="11" max="11" width="12.7109375" style="241" customWidth="1"/>
    <col min="12" max="16384" width="9.28515625" style="35"/>
  </cols>
  <sheetData>
    <row r="1" spans="1:11" s="30" customFormat="1" ht="14.45">
      <c r="A1" s="332" t="s">
        <v>2</v>
      </c>
      <c r="B1" s="332" t="s">
        <v>3</v>
      </c>
      <c r="C1" s="334" t="s">
        <v>4</v>
      </c>
      <c r="D1" s="336" t="s">
        <v>5</v>
      </c>
      <c r="E1" s="155" t="s">
        <v>6</v>
      </c>
      <c r="F1" s="150" t="s">
        <v>7</v>
      </c>
      <c r="G1" s="344" t="s">
        <v>297</v>
      </c>
      <c r="H1" s="223"/>
      <c r="K1" s="285"/>
    </row>
    <row r="2" spans="1:11" s="30" customFormat="1" ht="14.45">
      <c r="A2" s="333"/>
      <c r="B2" s="333"/>
      <c r="C2" s="335"/>
      <c r="D2" s="337"/>
      <c r="E2" s="156" t="s">
        <v>8</v>
      </c>
      <c r="F2" s="151" t="s">
        <v>8</v>
      </c>
      <c r="G2" s="345"/>
      <c r="H2" s="224"/>
      <c r="K2" s="285"/>
    </row>
    <row r="3" spans="1:11" s="34" customFormat="1" ht="14.45">
      <c r="A3" s="31"/>
      <c r="B3" s="32"/>
      <c r="C3" s="29"/>
      <c r="D3" s="33"/>
      <c r="E3" s="157"/>
      <c r="F3" s="152"/>
      <c r="G3" s="227"/>
      <c r="H3" s="165"/>
      <c r="K3" s="286"/>
    </row>
    <row r="4" spans="1:11" s="34" customFormat="1" ht="14.45">
      <c r="A4" s="59"/>
      <c r="B4" s="60" t="s">
        <v>580</v>
      </c>
      <c r="C4" s="61"/>
      <c r="D4" s="62"/>
      <c r="E4" s="157"/>
      <c r="F4" s="152"/>
      <c r="G4" s="227"/>
      <c r="H4" s="165"/>
      <c r="K4" s="286"/>
    </row>
    <row r="5" spans="1:11" s="34" customFormat="1" ht="14.45">
      <c r="A5" s="59"/>
      <c r="B5" s="63"/>
      <c r="C5" s="61"/>
      <c r="D5" s="62"/>
      <c r="E5" s="157"/>
      <c r="F5" s="152"/>
      <c r="G5" s="227"/>
      <c r="H5" s="165"/>
      <c r="K5" s="286"/>
    </row>
    <row r="6" spans="1:11" s="34" customFormat="1" ht="14.45">
      <c r="A6" s="59"/>
      <c r="B6" s="64" t="s">
        <v>581</v>
      </c>
      <c r="C6" s="61"/>
      <c r="D6" s="62"/>
      <c r="E6" s="157"/>
      <c r="F6" s="152"/>
      <c r="G6" s="227"/>
      <c r="H6" s="165"/>
      <c r="K6" s="286"/>
    </row>
    <row r="7" spans="1:11" s="34" customFormat="1" ht="14.45">
      <c r="A7" s="59"/>
      <c r="B7" s="65"/>
      <c r="C7" s="61"/>
      <c r="D7" s="62"/>
      <c r="E7" s="157"/>
      <c r="F7" s="152"/>
      <c r="G7" s="227"/>
      <c r="H7" s="165"/>
      <c r="K7" s="286"/>
    </row>
    <row r="8" spans="1:11" s="34" customFormat="1" ht="14.45">
      <c r="A8" s="66"/>
      <c r="B8" s="67" t="s">
        <v>11</v>
      </c>
      <c r="C8" s="68"/>
      <c r="D8" s="69"/>
      <c r="E8" s="157"/>
      <c r="F8" s="152"/>
      <c r="G8" s="227"/>
      <c r="H8" s="165"/>
      <c r="K8" s="286"/>
    </row>
    <row r="9" spans="1:11" s="34" customFormat="1" ht="14.45">
      <c r="A9" s="59"/>
      <c r="B9" s="65"/>
      <c r="C9" s="61"/>
      <c r="D9" s="62"/>
      <c r="E9" s="157"/>
      <c r="F9" s="152"/>
      <c r="G9" s="227"/>
      <c r="H9" s="165"/>
      <c r="K9" s="286"/>
    </row>
    <row r="10" spans="1:11" s="34" customFormat="1" ht="27.6">
      <c r="A10" s="66"/>
      <c r="B10" s="67" t="s">
        <v>582</v>
      </c>
      <c r="C10" s="68"/>
      <c r="D10" s="69"/>
      <c r="E10" s="157"/>
      <c r="F10" s="152"/>
      <c r="G10" s="227"/>
      <c r="H10" s="165"/>
      <c r="K10" s="286"/>
    </row>
    <row r="11" spans="1:11" s="34" customFormat="1" ht="14.45">
      <c r="A11" s="59"/>
      <c r="B11" s="65"/>
      <c r="C11" s="61"/>
      <c r="D11" s="62"/>
      <c r="E11" s="157"/>
      <c r="F11" s="152"/>
      <c r="G11" s="227"/>
      <c r="H11" s="165"/>
      <c r="K11" s="286"/>
    </row>
    <row r="12" spans="1:11" s="34" customFormat="1" ht="27.6">
      <c r="A12" s="66"/>
      <c r="B12" s="67" t="s">
        <v>583</v>
      </c>
      <c r="C12" s="68"/>
      <c r="D12" s="69"/>
      <c r="E12" s="157"/>
      <c r="F12" s="152"/>
      <c r="G12" s="227"/>
      <c r="H12" s="165"/>
      <c r="K12" s="286"/>
    </row>
    <row r="13" spans="1:11" s="34" customFormat="1" ht="14.45">
      <c r="A13" s="59"/>
      <c r="B13" s="65"/>
      <c r="C13" s="61"/>
      <c r="D13" s="62"/>
      <c r="E13" s="157"/>
      <c r="F13" s="152"/>
      <c r="G13" s="227"/>
      <c r="H13" s="165"/>
      <c r="K13" s="286"/>
    </row>
    <row r="14" spans="1:11" s="34" customFormat="1" ht="14.45">
      <c r="A14" s="66"/>
      <c r="B14" s="67" t="s">
        <v>584</v>
      </c>
      <c r="C14" s="68"/>
      <c r="D14" s="69"/>
      <c r="E14" s="157"/>
      <c r="F14" s="152"/>
      <c r="G14" s="227"/>
      <c r="H14" s="165"/>
      <c r="K14" s="286"/>
    </row>
    <row r="15" spans="1:11" s="34" customFormat="1" ht="14.45">
      <c r="A15" s="59"/>
      <c r="B15" s="65"/>
      <c r="C15" s="61"/>
      <c r="D15" s="62"/>
      <c r="E15" s="157"/>
      <c r="F15" s="152"/>
      <c r="G15" s="227"/>
      <c r="H15" s="165"/>
      <c r="K15" s="286"/>
    </row>
    <row r="16" spans="1:11" s="34" customFormat="1" ht="27.6">
      <c r="A16" s="66"/>
      <c r="B16" s="67" t="s">
        <v>585</v>
      </c>
      <c r="C16" s="68"/>
      <c r="D16" s="69"/>
      <c r="E16" s="157"/>
      <c r="F16" s="152"/>
      <c r="G16" s="227"/>
      <c r="H16" s="165"/>
      <c r="K16" s="286"/>
    </row>
    <row r="17" spans="1:11" s="34" customFormat="1" ht="14.45">
      <c r="A17" s="59"/>
      <c r="B17" s="65"/>
      <c r="C17" s="61"/>
      <c r="D17" s="62"/>
      <c r="E17" s="157"/>
      <c r="F17" s="152"/>
      <c r="G17" s="227"/>
      <c r="H17" s="165"/>
      <c r="K17" s="286"/>
    </row>
    <row r="18" spans="1:11" s="34" customFormat="1" ht="41.45">
      <c r="A18" s="66"/>
      <c r="B18" s="67" t="s">
        <v>586</v>
      </c>
      <c r="C18" s="68"/>
      <c r="D18" s="69"/>
      <c r="E18" s="157"/>
      <c r="F18" s="152"/>
      <c r="G18" s="227"/>
      <c r="H18" s="165"/>
      <c r="K18" s="286"/>
    </row>
    <row r="19" spans="1:11" s="34" customFormat="1" ht="14.45">
      <c r="A19" s="59"/>
      <c r="B19" s="65"/>
      <c r="C19" s="61"/>
      <c r="D19" s="62"/>
      <c r="E19" s="157"/>
      <c r="F19" s="152"/>
      <c r="G19" s="227"/>
      <c r="H19" s="165"/>
      <c r="K19" s="286"/>
    </row>
    <row r="20" spans="1:11" s="34" customFormat="1" ht="41.45">
      <c r="A20" s="66"/>
      <c r="B20" s="98" t="s">
        <v>587</v>
      </c>
      <c r="C20" s="68"/>
      <c r="D20" s="69"/>
      <c r="E20" s="157"/>
      <c r="F20" s="152"/>
      <c r="G20" s="227"/>
      <c r="H20" s="165"/>
      <c r="K20" s="286"/>
    </row>
    <row r="21" spans="1:11" s="34" customFormat="1" ht="14.45">
      <c r="A21" s="59"/>
      <c r="B21" s="100"/>
      <c r="C21" s="61"/>
      <c r="D21" s="62"/>
      <c r="E21" s="157"/>
      <c r="F21" s="152"/>
      <c r="G21" s="227"/>
      <c r="H21" s="165"/>
      <c r="K21" s="286"/>
    </row>
    <row r="22" spans="1:11" s="34" customFormat="1" ht="14.45">
      <c r="A22" s="66" t="s">
        <v>14</v>
      </c>
      <c r="B22" s="67" t="s">
        <v>588</v>
      </c>
      <c r="C22" s="106">
        <v>50312</v>
      </c>
      <c r="D22" s="69" t="s">
        <v>16</v>
      </c>
      <c r="E22" s="157">
        <v>41.77</v>
      </c>
      <c r="F22" s="152">
        <f>C22*E22</f>
        <v>2101532.2400000002</v>
      </c>
      <c r="G22" s="227"/>
      <c r="H22" s="165"/>
      <c r="I22" s="165"/>
      <c r="K22" s="286"/>
    </row>
    <row r="23" spans="1:11" s="34" customFormat="1" ht="14.45">
      <c r="A23" s="59"/>
      <c r="B23" s="100"/>
      <c r="C23" s="61"/>
      <c r="D23" s="62"/>
      <c r="E23" s="157"/>
      <c r="F23" s="152"/>
      <c r="G23" s="227"/>
      <c r="H23" s="165"/>
      <c r="I23" s="165"/>
      <c r="K23" s="286"/>
    </row>
    <row r="24" spans="1:11" s="34" customFormat="1" ht="14.45">
      <c r="A24" s="66" t="s">
        <v>17</v>
      </c>
      <c r="B24" s="67" t="s">
        <v>589</v>
      </c>
      <c r="C24" s="68">
        <v>5413</v>
      </c>
      <c r="D24" s="69" t="s">
        <v>16</v>
      </c>
      <c r="E24" s="157">
        <v>45.11</v>
      </c>
      <c r="F24" s="152">
        <f>C24*E24</f>
        <v>244180.43</v>
      </c>
      <c r="G24" s="227"/>
      <c r="H24" s="165"/>
      <c r="I24" s="165"/>
      <c r="K24" s="286"/>
    </row>
    <row r="25" spans="1:11" s="34" customFormat="1" ht="14.45">
      <c r="A25" s="59"/>
      <c r="B25" s="100"/>
      <c r="C25" s="61"/>
      <c r="D25" s="62"/>
      <c r="E25" s="157"/>
      <c r="F25" s="152"/>
      <c r="G25" s="227"/>
      <c r="H25" s="165"/>
      <c r="I25" s="165"/>
      <c r="K25" s="286"/>
    </row>
    <row r="26" spans="1:11" s="34" customFormat="1" ht="27.6">
      <c r="A26" s="66"/>
      <c r="B26" s="98" t="s">
        <v>590</v>
      </c>
      <c r="C26" s="68"/>
      <c r="D26" s="69"/>
      <c r="E26" s="157"/>
      <c r="F26" s="152"/>
      <c r="G26" s="227"/>
      <c r="H26" s="165"/>
      <c r="I26" s="165"/>
      <c r="K26" s="286"/>
    </row>
    <row r="27" spans="1:11" s="34" customFormat="1" ht="14.45">
      <c r="A27" s="59"/>
      <c r="B27" s="100"/>
      <c r="C27" s="61"/>
      <c r="D27" s="62"/>
      <c r="E27" s="157"/>
      <c r="F27" s="152"/>
      <c r="G27" s="227"/>
      <c r="H27" s="165"/>
      <c r="I27" s="165"/>
      <c r="K27" s="286"/>
    </row>
    <row r="28" spans="1:11" s="34" customFormat="1" ht="14.45">
      <c r="A28" s="66" t="s">
        <v>20</v>
      </c>
      <c r="B28" s="67" t="s">
        <v>591</v>
      </c>
      <c r="C28" s="68" t="s">
        <v>592</v>
      </c>
      <c r="D28" s="69" t="s">
        <v>16</v>
      </c>
      <c r="E28" s="157">
        <v>375.58</v>
      </c>
      <c r="F28" s="152">
        <f>C28*E28</f>
        <v>5633.7</v>
      </c>
      <c r="G28" s="227"/>
      <c r="H28" s="165"/>
      <c r="I28" s="165"/>
      <c r="K28" s="286"/>
    </row>
    <row r="29" spans="1:11" s="34" customFormat="1" ht="14.45">
      <c r="A29" s="59"/>
      <c r="B29" s="100"/>
      <c r="C29" s="61"/>
      <c r="D29" s="62"/>
      <c r="E29" s="157"/>
      <c r="F29" s="152"/>
      <c r="G29" s="227"/>
      <c r="H29" s="165"/>
      <c r="I29" s="165"/>
      <c r="K29" s="286"/>
    </row>
    <row r="30" spans="1:11" s="34" customFormat="1" ht="27.6">
      <c r="A30" s="66"/>
      <c r="B30" s="98" t="s">
        <v>593</v>
      </c>
      <c r="C30" s="68"/>
      <c r="D30" s="69"/>
      <c r="E30" s="157"/>
      <c r="F30" s="152"/>
      <c r="G30" s="227"/>
      <c r="H30" s="165"/>
      <c r="I30" s="165"/>
      <c r="K30" s="286"/>
    </row>
    <row r="31" spans="1:11" s="34" customFormat="1" ht="14.45">
      <c r="A31" s="59"/>
      <c r="B31" s="100"/>
      <c r="C31" s="61"/>
      <c r="D31" s="62"/>
      <c r="E31" s="157"/>
      <c r="F31" s="152"/>
      <c r="G31" s="227"/>
      <c r="H31" s="165"/>
      <c r="I31" s="165"/>
      <c r="K31" s="286"/>
    </row>
    <row r="32" spans="1:11" s="34" customFormat="1" ht="14.45">
      <c r="A32" s="66" t="s">
        <v>23</v>
      </c>
      <c r="B32" s="67" t="s">
        <v>594</v>
      </c>
      <c r="C32" s="68" t="s">
        <v>595</v>
      </c>
      <c r="D32" s="69" t="s">
        <v>16</v>
      </c>
      <c r="E32" s="157">
        <v>568.04</v>
      </c>
      <c r="F32" s="152">
        <f>C32*E32</f>
        <v>22153.559999999998</v>
      </c>
      <c r="G32" s="227"/>
      <c r="H32" s="165"/>
      <c r="I32" s="165"/>
      <c r="K32" s="286"/>
    </row>
    <row r="33" spans="1:11" s="34" customFormat="1" ht="14.45">
      <c r="A33" s="59"/>
      <c r="B33" s="100"/>
      <c r="C33" s="61"/>
      <c r="D33" s="62"/>
      <c r="E33" s="157"/>
      <c r="F33" s="152"/>
      <c r="G33" s="227"/>
      <c r="H33" s="165"/>
      <c r="I33" s="165"/>
      <c r="K33" s="286"/>
    </row>
    <row r="34" spans="1:11" s="34" customFormat="1" ht="14.45">
      <c r="A34" s="66" t="s">
        <v>27</v>
      </c>
      <c r="B34" s="67" t="s">
        <v>596</v>
      </c>
      <c r="C34" s="68" t="s">
        <v>339</v>
      </c>
      <c r="D34" s="69" t="s">
        <v>16</v>
      </c>
      <c r="E34" s="157">
        <v>355.03</v>
      </c>
      <c r="F34" s="152">
        <f>C34*E34</f>
        <v>7100.5999999999995</v>
      </c>
      <c r="G34" s="227"/>
      <c r="H34" s="165"/>
      <c r="I34" s="165"/>
      <c r="K34" s="286"/>
    </row>
    <row r="35" spans="1:11" s="34" customFormat="1" ht="14.45">
      <c r="A35" s="59"/>
      <c r="B35" s="100"/>
      <c r="C35" s="61"/>
      <c r="D35" s="62"/>
      <c r="E35" s="157"/>
      <c r="F35" s="152"/>
      <c r="G35" s="227"/>
      <c r="H35" s="165"/>
      <c r="I35" s="165"/>
      <c r="K35" s="286"/>
    </row>
    <row r="36" spans="1:11" s="34" customFormat="1" ht="14.45">
      <c r="A36" s="66" t="s">
        <v>44</v>
      </c>
      <c r="B36" s="67" t="s">
        <v>597</v>
      </c>
      <c r="C36" s="68" t="s">
        <v>325</v>
      </c>
      <c r="D36" s="69" t="s">
        <v>16</v>
      </c>
      <c r="E36" s="157">
        <v>142.01</v>
      </c>
      <c r="F36" s="152">
        <f>C36*E36</f>
        <v>994.06999999999994</v>
      </c>
      <c r="G36" s="227"/>
      <c r="H36" s="165"/>
      <c r="I36" s="165"/>
      <c r="K36" s="286"/>
    </row>
    <row r="37" spans="1:11" s="34" customFormat="1" ht="14.45">
      <c r="A37" s="59"/>
      <c r="B37" s="100"/>
      <c r="C37" s="61"/>
      <c r="D37" s="62"/>
      <c r="E37" s="157"/>
      <c r="F37" s="152"/>
      <c r="G37" s="227"/>
      <c r="H37" s="165"/>
      <c r="I37" s="165"/>
      <c r="K37" s="286"/>
    </row>
    <row r="38" spans="1:11" s="34" customFormat="1" ht="14.45">
      <c r="A38" s="66" t="s">
        <v>48</v>
      </c>
      <c r="B38" s="67" t="s">
        <v>598</v>
      </c>
      <c r="C38" s="68" t="s">
        <v>449</v>
      </c>
      <c r="D38" s="69" t="s">
        <v>16</v>
      </c>
      <c r="E38" s="157">
        <v>284.02</v>
      </c>
      <c r="F38" s="152">
        <f>C38*E38</f>
        <v>229488.15999999997</v>
      </c>
      <c r="G38" s="227"/>
      <c r="H38" s="165"/>
      <c r="I38" s="165"/>
      <c r="K38" s="286"/>
    </row>
    <row r="39" spans="1:11" s="34" customFormat="1" ht="14.45">
      <c r="A39" s="59"/>
      <c r="B39" s="100"/>
      <c r="C39" s="61"/>
      <c r="D39" s="62"/>
      <c r="E39" s="157"/>
      <c r="F39" s="152"/>
      <c r="G39" s="227"/>
      <c r="H39" s="165"/>
      <c r="I39" s="165"/>
      <c r="K39" s="286"/>
    </row>
    <row r="40" spans="1:11" s="34" customFormat="1" ht="14.45">
      <c r="A40" s="66" t="s">
        <v>84</v>
      </c>
      <c r="B40" s="67" t="s">
        <v>599</v>
      </c>
      <c r="C40" s="68" t="s">
        <v>451</v>
      </c>
      <c r="D40" s="69" t="s">
        <v>16</v>
      </c>
      <c r="E40" s="157">
        <v>284.02</v>
      </c>
      <c r="F40" s="152">
        <f>C40*E40</f>
        <v>4544.32</v>
      </c>
      <c r="G40" s="227"/>
      <c r="H40" s="165"/>
      <c r="I40" s="165"/>
      <c r="K40" s="286"/>
    </row>
    <row r="41" spans="1:11" s="34" customFormat="1" ht="14.45">
      <c r="A41" s="59"/>
      <c r="B41" s="63"/>
      <c r="C41" s="61"/>
      <c r="D41" s="62"/>
      <c r="E41" s="157"/>
      <c r="F41" s="152"/>
      <c r="G41" s="227"/>
      <c r="H41" s="165"/>
      <c r="I41" s="165"/>
      <c r="K41" s="286"/>
    </row>
    <row r="42" spans="1:11" s="34" customFormat="1" ht="14.45">
      <c r="A42" s="71"/>
      <c r="B42" s="72"/>
      <c r="C42" s="73"/>
      <c r="D42" s="74"/>
      <c r="E42" s="159"/>
      <c r="F42" s="138"/>
      <c r="G42" s="226"/>
      <c r="H42" s="165"/>
      <c r="I42" s="165"/>
      <c r="K42" s="286"/>
    </row>
    <row r="43" spans="1:11" s="34" customFormat="1" ht="14.45">
      <c r="A43" s="75"/>
      <c r="B43" s="76"/>
      <c r="C43" s="77" t="s">
        <v>30</v>
      </c>
      <c r="D43" s="77"/>
      <c r="E43" s="160" t="s">
        <v>8</v>
      </c>
      <c r="F43" s="139">
        <f>SUM(F16:F41)</f>
        <v>2615627.0800000005</v>
      </c>
      <c r="G43" s="227"/>
      <c r="H43" s="165"/>
      <c r="I43" s="165"/>
      <c r="K43" s="286"/>
    </row>
    <row r="44" spans="1:11" s="34" customFormat="1" ht="14.45">
      <c r="A44" s="75"/>
      <c r="B44" s="76"/>
      <c r="C44" s="78"/>
      <c r="D44" s="79"/>
      <c r="E44" s="161"/>
      <c r="F44" s="140"/>
      <c r="G44" s="228"/>
      <c r="H44" s="165"/>
      <c r="I44" s="165"/>
      <c r="K44" s="286"/>
    </row>
    <row r="45" spans="1:11" s="34" customFormat="1" ht="14.45">
      <c r="A45" s="59"/>
      <c r="B45" s="63"/>
      <c r="C45" s="61"/>
      <c r="D45" s="62"/>
      <c r="E45" s="157"/>
      <c r="F45" s="152"/>
      <c r="G45" s="227"/>
      <c r="H45" s="165"/>
      <c r="I45" s="165"/>
      <c r="K45" s="286"/>
    </row>
    <row r="46" spans="1:11" s="34" customFormat="1" ht="14.45">
      <c r="A46" s="59"/>
      <c r="B46" s="64" t="s">
        <v>600</v>
      </c>
      <c r="C46" s="61"/>
      <c r="D46" s="62"/>
      <c r="E46" s="157"/>
      <c r="F46" s="152"/>
      <c r="G46" s="227"/>
      <c r="H46" s="165"/>
      <c r="I46" s="165"/>
      <c r="K46" s="286"/>
    </row>
    <row r="47" spans="1:11" s="34" customFormat="1" ht="14.45">
      <c r="A47" s="59"/>
      <c r="B47" s="100"/>
      <c r="C47" s="61"/>
      <c r="D47" s="62"/>
      <c r="E47" s="157"/>
      <c r="F47" s="152"/>
      <c r="G47" s="227"/>
      <c r="H47" s="165"/>
      <c r="I47" s="165"/>
      <c r="K47" s="286"/>
    </row>
    <row r="48" spans="1:11" s="34" customFormat="1" ht="27.6">
      <c r="A48" s="66"/>
      <c r="B48" s="98" t="s">
        <v>601</v>
      </c>
      <c r="C48" s="68"/>
      <c r="D48" s="69"/>
      <c r="E48" s="157"/>
      <c r="F48" s="152"/>
      <c r="G48" s="227"/>
      <c r="H48" s="165"/>
      <c r="I48" s="165"/>
      <c r="K48" s="286"/>
    </row>
    <row r="49" spans="1:11" s="34" customFormat="1" ht="14.45">
      <c r="A49" s="59"/>
      <c r="B49" s="100"/>
      <c r="C49" s="61"/>
      <c r="D49" s="62"/>
      <c r="E49" s="157"/>
      <c r="F49" s="152"/>
      <c r="G49" s="227"/>
      <c r="H49" s="165"/>
      <c r="I49" s="165"/>
      <c r="K49" s="286"/>
    </row>
    <row r="50" spans="1:11" s="34" customFormat="1" ht="14.45">
      <c r="A50" s="66" t="s">
        <v>14</v>
      </c>
      <c r="B50" s="67" t="s">
        <v>602</v>
      </c>
      <c r="C50" s="68">
        <v>10810</v>
      </c>
      <c r="D50" s="69" t="s">
        <v>16</v>
      </c>
      <c r="E50" s="157">
        <v>48.05</v>
      </c>
      <c r="F50" s="152">
        <f>C50*E50</f>
        <v>519420.49999999994</v>
      </c>
      <c r="G50" s="227"/>
      <c r="H50" s="165"/>
      <c r="I50" s="165"/>
      <c r="K50" s="286"/>
    </row>
    <row r="51" spans="1:11" s="34" customFormat="1" ht="14.45">
      <c r="A51" s="59"/>
      <c r="B51" s="100"/>
      <c r="C51" s="61"/>
      <c r="D51" s="62"/>
      <c r="E51" s="157"/>
      <c r="F51" s="152"/>
      <c r="G51" s="227"/>
      <c r="H51" s="165"/>
      <c r="I51" s="165"/>
      <c r="K51" s="286"/>
    </row>
    <row r="52" spans="1:11" s="34" customFormat="1" ht="14.45">
      <c r="A52" s="66" t="s">
        <v>17</v>
      </c>
      <c r="B52" s="67" t="s">
        <v>603</v>
      </c>
      <c r="C52" s="68">
        <v>1023</v>
      </c>
      <c r="D52" s="69" t="s">
        <v>16</v>
      </c>
      <c r="E52" s="157">
        <v>48.05</v>
      </c>
      <c r="F52" s="152">
        <f>C52*E52</f>
        <v>49155.149999999994</v>
      </c>
      <c r="G52" s="227"/>
      <c r="H52" s="165"/>
      <c r="I52" s="165"/>
      <c r="K52" s="286"/>
    </row>
    <row r="53" spans="1:11" s="34" customFormat="1" ht="14.45">
      <c r="A53" s="59"/>
      <c r="B53" s="100"/>
      <c r="C53" s="61"/>
      <c r="D53" s="62"/>
      <c r="E53" s="157"/>
      <c r="F53" s="152"/>
      <c r="G53" s="227"/>
      <c r="H53" s="165"/>
      <c r="I53" s="165"/>
      <c r="K53" s="286"/>
    </row>
    <row r="54" spans="1:11" s="34" customFormat="1" ht="27.6">
      <c r="A54" s="66" t="s">
        <v>20</v>
      </c>
      <c r="B54" s="67" t="s">
        <v>604</v>
      </c>
      <c r="C54" s="68">
        <v>12931</v>
      </c>
      <c r="D54" s="69" t="s">
        <v>16</v>
      </c>
      <c r="E54" s="157">
        <v>48.05</v>
      </c>
      <c r="F54" s="152">
        <f>C54*E54</f>
        <v>621334.54999999993</v>
      </c>
      <c r="G54" s="227" t="s">
        <v>605</v>
      </c>
      <c r="H54" s="165"/>
      <c r="I54" s="165"/>
      <c r="K54" s="286"/>
    </row>
    <row r="55" spans="1:11" s="34" customFormat="1" ht="14.45">
      <c r="A55" s="59"/>
      <c r="B55" s="63"/>
      <c r="C55" s="61"/>
      <c r="D55" s="62"/>
      <c r="E55" s="157"/>
      <c r="F55" s="152"/>
      <c r="G55" s="227"/>
      <c r="H55" s="165"/>
      <c r="I55" s="165"/>
      <c r="K55" s="286"/>
    </row>
    <row r="56" spans="1:11" s="34" customFormat="1" ht="14.45">
      <c r="A56" s="59"/>
      <c r="B56" s="63"/>
      <c r="C56" s="61"/>
      <c r="D56" s="62"/>
      <c r="E56" s="157"/>
      <c r="F56" s="152"/>
      <c r="G56" s="227"/>
      <c r="H56" s="165"/>
      <c r="I56" s="165"/>
      <c r="K56" s="286"/>
    </row>
    <row r="57" spans="1:11" s="34" customFormat="1" ht="14.45">
      <c r="A57" s="59"/>
      <c r="B57" s="63"/>
      <c r="C57" s="61"/>
      <c r="D57" s="62"/>
      <c r="E57" s="157"/>
      <c r="F57" s="152"/>
      <c r="G57" s="227"/>
      <c r="H57" s="165"/>
      <c r="I57" s="165"/>
      <c r="K57" s="286"/>
    </row>
    <row r="58" spans="1:11" s="34" customFormat="1" ht="14.45">
      <c r="A58" s="59"/>
      <c r="B58" s="63"/>
      <c r="C58" s="61"/>
      <c r="D58" s="62"/>
      <c r="E58" s="157"/>
      <c r="F58" s="152"/>
      <c r="G58" s="227"/>
      <c r="H58" s="165"/>
      <c r="I58" s="165"/>
      <c r="K58" s="286"/>
    </row>
    <row r="59" spans="1:11" s="34" customFormat="1" ht="14.45">
      <c r="A59" s="59"/>
      <c r="B59" s="63"/>
      <c r="C59" s="61"/>
      <c r="D59" s="62"/>
      <c r="E59" s="157"/>
      <c r="F59" s="152"/>
      <c r="G59" s="227"/>
      <c r="H59" s="165"/>
      <c r="I59" s="165"/>
      <c r="K59" s="286"/>
    </row>
    <row r="60" spans="1:11" s="34" customFormat="1" ht="14.45">
      <c r="A60" s="59"/>
      <c r="B60" s="63"/>
      <c r="C60" s="61"/>
      <c r="D60" s="62"/>
      <c r="E60" s="157"/>
      <c r="F60" s="152"/>
      <c r="G60" s="227"/>
      <c r="H60" s="165"/>
      <c r="I60" s="165"/>
      <c r="K60" s="286"/>
    </row>
    <row r="61" spans="1:11" s="34" customFormat="1" ht="14.45">
      <c r="A61" s="59"/>
      <c r="B61" s="63"/>
      <c r="C61" s="61"/>
      <c r="D61" s="62"/>
      <c r="E61" s="157"/>
      <c r="F61" s="152"/>
      <c r="G61" s="227"/>
      <c r="H61" s="165"/>
      <c r="I61" s="165"/>
      <c r="K61" s="286"/>
    </row>
    <row r="62" spans="1:11" s="34" customFormat="1" ht="14.45">
      <c r="A62" s="59"/>
      <c r="B62" s="63"/>
      <c r="C62" s="61"/>
      <c r="D62" s="62"/>
      <c r="E62" s="157"/>
      <c r="F62" s="152"/>
      <c r="G62" s="227"/>
      <c r="H62" s="165"/>
      <c r="I62" s="165"/>
      <c r="K62" s="286"/>
    </row>
    <row r="63" spans="1:11" s="34" customFormat="1" ht="14.45">
      <c r="A63" s="59"/>
      <c r="B63" s="63"/>
      <c r="C63" s="61"/>
      <c r="D63" s="62"/>
      <c r="E63" s="157"/>
      <c r="F63" s="152"/>
      <c r="G63" s="227"/>
      <c r="H63" s="165"/>
      <c r="I63" s="165"/>
      <c r="K63" s="286"/>
    </row>
    <row r="64" spans="1:11" s="34" customFormat="1" ht="14.45">
      <c r="A64" s="59"/>
      <c r="B64" s="63"/>
      <c r="C64" s="61"/>
      <c r="D64" s="62"/>
      <c r="E64" s="157"/>
      <c r="F64" s="152"/>
      <c r="G64" s="227"/>
      <c r="H64" s="165"/>
      <c r="I64" s="165"/>
      <c r="K64" s="286"/>
    </row>
    <row r="65" spans="1:11" s="34" customFormat="1" ht="14.45">
      <c r="A65" s="59"/>
      <c r="B65" s="63"/>
      <c r="C65" s="61"/>
      <c r="D65" s="62"/>
      <c r="E65" s="157"/>
      <c r="F65" s="152"/>
      <c r="G65" s="227"/>
      <c r="H65" s="165"/>
      <c r="I65" s="165"/>
      <c r="K65" s="286"/>
    </row>
    <row r="66" spans="1:11" s="34" customFormat="1" ht="14.45">
      <c r="A66" s="59"/>
      <c r="B66" s="63"/>
      <c r="C66" s="61"/>
      <c r="D66" s="62"/>
      <c r="E66" s="157"/>
      <c r="F66" s="152"/>
      <c r="G66" s="227"/>
      <c r="H66" s="165"/>
      <c r="I66" s="165"/>
      <c r="K66" s="286"/>
    </row>
    <row r="67" spans="1:11" s="34" customFormat="1" ht="14.45">
      <c r="A67" s="59"/>
      <c r="B67" s="63"/>
      <c r="C67" s="61"/>
      <c r="D67" s="62"/>
      <c r="E67" s="157"/>
      <c r="F67" s="152"/>
      <c r="G67" s="227"/>
      <c r="H67" s="165"/>
      <c r="I67" s="165"/>
      <c r="K67" s="286"/>
    </row>
    <row r="68" spans="1:11" s="34" customFormat="1" ht="14.45">
      <c r="A68" s="59"/>
      <c r="B68" s="63"/>
      <c r="C68" s="61"/>
      <c r="D68" s="62"/>
      <c r="E68" s="157"/>
      <c r="F68" s="152"/>
      <c r="G68" s="227"/>
      <c r="H68" s="165"/>
      <c r="I68" s="165"/>
      <c r="K68" s="286"/>
    </row>
    <row r="69" spans="1:11" s="34" customFormat="1" ht="14.45">
      <c r="A69" s="59"/>
      <c r="B69" s="63"/>
      <c r="C69" s="61"/>
      <c r="D69" s="62"/>
      <c r="E69" s="157"/>
      <c r="F69" s="152"/>
      <c r="G69" s="227"/>
      <c r="H69" s="165"/>
      <c r="I69" s="165"/>
      <c r="K69" s="286"/>
    </row>
    <row r="70" spans="1:11" s="34" customFormat="1" ht="14.45">
      <c r="A70" s="59"/>
      <c r="B70" s="63"/>
      <c r="C70" s="61"/>
      <c r="D70" s="62"/>
      <c r="E70" s="157"/>
      <c r="F70" s="152"/>
      <c r="G70" s="227"/>
      <c r="H70" s="165"/>
      <c r="I70" s="165"/>
      <c r="K70" s="286"/>
    </row>
    <row r="71" spans="1:11" s="34" customFormat="1" ht="14.45">
      <c r="A71" s="59"/>
      <c r="B71" s="63"/>
      <c r="C71" s="61"/>
      <c r="D71" s="62"/>
      <c r="E71" s="157"/>
      <c r="F71" s="152"/>
      <c r="G71" s="227"/>
      <c r="H71" s="165"/>
      <c r="I71" s="165"/>
      <c r="K71" s="286"/>
    </row>
    <row r="72" spans="1:11" s="34" customFormat="1" ht="14.45">
      <c r="A72" s="59"/>
      <c r="B72" s="63"/>
      <c r="C72" s="61"/>
      <c r="D72" s="62"/>
      <c r="E72" s="157"/>
      <c r="F72" s="152"/>
      <c r="G72" s="227"/>
      <c r="H72" s="165"/>
      <c r="I72" s="165"/>
      <c r="K72" s="286"/>
    </row>
    <row r="73" spans="1:11" s="34" customFormat="1" ht="14.45">
      <c r="A73" s="59"/>
      <c r="B73" s="63"/>
      <c r="C73" s="61"/>
      <c r="D73" s="62"/>
      <c r="E73" s="157"/>
      <c r="F73" s="152"/>
      <c r="G73" s="227"/>
      <c r="H73" s="165"/>
      <c r="I73" s="165"/>
      <c r="K73" s="286"/>
    </row>
    <row r="74" spans="1:11" s="34" customFormat="1" ht="14.45">
      <c r="A74" s="59"/>
      <c r="B74" s="63"/>
      <c r="C74" s="61"/>
      <c r="D74" s="62"/>
      <c r="E74" s="157"/>
      <c r="F74" s="152"/>
      <c r="G74" s="227"/>
      <c r="H74" s="165"/>
      <c r="I74" s="165"/>
      <c r="K74" s="286"/>
    </row>
    <row r="75" spans="1:11" s="34" customFormat="1" ht="14.45">
      <c r="A75" s="59"/>
      <c r="B75" s="63"/>
      <c r="C75" s="61"/>
      <c r="D75" s="62"/>
      <c r="E75" s="157"/>
      <c r="F75" s="152"/>
      <c r="G75" s="227"/>
      <c r="H75" s="165"/>
      <c r="I75" s="165"/>
      <c r="K75" s="286"/>
    </row>
    <row r="76" spans="1:11" s="34" customFormat="1" ht="14.45">
      <c r="A76" s="59"/>
      <c r="B76" s="63"/>
      <c r="C76" s="61"/>
      <c r="D76" s="62"/>
      <c r="E76" s="157"/>
      <c r="F76" s="152"/>
      <c r="G76" s="227"/>
      <c r="H76" s="165"/>
      <c r="I76" s="165"/>
      <c r="K76" s="286"/>
    </row>
    <row r="77" spans="1:11" s="34" customFormat="1" ht="14.45">
      <c r="A77" s="59"/>
      <c r="B77" s="63"/>
      <c r="C77" s="61"/>
      <c r="D77" s="62"/>
      <c r="E77" s="157"/>
      <c r="F77" s="152"/>
      <c r="G77" s="227"/>
      <c r="H77" s="165"/>
      <c r="I77" s="165"/>
      <c r="K77" s="286"/>
    </row>
    <row r="78" spans="1:11" s="34" customFormat="1" ht="14.45">
      <c r="A78" s="59"/>
      <c r="B78" s="63"/>
      <c r="C78" s="61"/>
      <c r="D78" s="62"/>
      <c r="E78" s="157"/>
      <c r="F78" s="152"/>
      <c r="G78" s="227"/>
      <c r="H78" s="165"/>
      <c r="I78" s="165"/>
      <c r="K78" s="286"/>
    </row>
    <row r="79" spans="1:11" s="34" customFormat="1" ht="14.45">
      <c r="A79" s="59"/>
      <c r="B79" s="63"/>
      <c r="C79" s="61"/>
      <c r="D79" s="62"/>
      <c r="E79" s="157"/>
      <c r="F79" s="152"/>
      <c r="G79" s="227"/>
      <c r="H79" s="165"/>
      <c r="I79" s="165"/>
      <c r="K79" s="286"/>
    </row>
    <row r="80" spans="1:11" s="34" customFormat="1" ht="14.45">
      <c r="A80" s="59"/>
      <c r="B80" s="63"/>
      <c r="C80" s="61"/>
      <c r="D80" s="62"/>
      <c r="E80" s="157"/>
      <c r="F80" s="152"/>
      <c r="G80" s="227"/>
      <c r="H80" s="165"/>
      <c r="I80" s="165"/>
      <c r="K80" s="286"/>
    </row>
    <row r="81" spans="1:11" s="34" customFormat="1" ht="14.45">
      <c r="A81" s="59"/>
      <c r="B81" s="63"/>
      <c r="C81" s="61"/>
      <c r="D81" s="62"/>
      <c r="E81" s="157"/>
      <c r="F81" s="152"/>
      <c r="G81" s="227"/>
      <c r="H81" s="165"/>
      <c r="I81" s="165"/>
      <c r="K81" s="286"/>
    </row>
    <row r="82" spans="1:11" s="34" customFormat="1" ht="14.45">
      <c r="A82" s="59"/>
      <c r="B82" s="63"/>
      <c r="C82" s="61"/>
      <c r="D82" s="62"/>
      <c r="E82" s="157"/>
      <c r="F82" s="152"/>
      <c r="G82" s="227"/>
      <c r="H82" s="165"/>
      <c r="I82" s="165"/>
      <c r="K82" s="286"/>
    </row>
    <row r="83" spans="1:11" s="34" customFormat="1" ht="14.45">
      <c r="A83" s="59"/>
      <c r="B83" s="63"/>
      <c r="C83" s="61"/>
      <c r="D83" s="62"/>
      <c r="E83" s="157"/>
      <c r="F83" s="152"/>
      <c r="G83" s="227"/>
      <c r="H83" s="165"/>
      <c r="I83" s="165"/>
      <c r="K83" s="286"/>
    </row>
    <row r="84" spans="1:11" s="34" customFormat="1" ht="14.45">
      <c r="A84" s="59"/>
      <c r="B84" s="63"/>
      <c r="C84" s="61"/>
      <c r="D84" s="62"/>
      <c r="E84" s="157"/>
      <c r="F84" s="152"/>
      <c r="G84" s="227"/>
      <c r="H84" s="165"/>
      <c r="I84" s="165"/>
      <c r="K84" s="286"/>
    </row>
    <row r="85" spans="1:11" s="34" customFormat="1" ht="28.9">
      <c r="A85" s="59"/>
      <c r="B85" s="230" t="s">
        <v>323</v>
      </c>
      <c r="C85" s="61"/>
      <c r="D85" s="62"/>
      <c r="E85" s="157"/>
      <c r="F85" s="152"/>
      <c r="G85" s="227"/>
      <c r="H85" s="165"/>
      <c r="I85" s="165"/>
      <c r="K85" s="286"/>
    </row>
    <row r="86" spans="1:11" s="34" customFormat="1" ht="14.45">
      <c r="A86" s="71"/>
      <c r="B86" s="72"/>
      <c r="C86" s="73"/>
      <c r="D86" s="74"/>
      <c r="E86" s="159"/>
      <c r="F86" s="138"/>
      <c r="G86" s="226"/>
      <c r="H86" s="165"/>
      <c r="I86" s="165"/>
      <c r="K86" s="286"/>
    </row>
    <row r="87" spans="1:11" s="34" customFormat="1" ht="14.45">
      <c r="A87" s="75"/>
      <c r="B87" s="76"/>
      <c r="C87" s="77" t="s">
        <v>30</v>
      </c>
      <c r="D87" s="77"/>
      <c r="E87" s="160" t="s">
        <v>8</v>
      </c>
      <c r="F87" s="139">
        <f>SUM(F48:F66)</f>
        <v>1189910.1999999997</v>
      </c>
      <c r="G87" s="227"/>
      <c r="H87" s="165"/>
      <c r="I87" s="165"/>
      <c r="K87" s="286"/>
    </row>
    <row r="88" spans="1:11" s="34" customFormat="1" ht="14.45">
      <c r="A88" s="75"/>
      <c r="B88" s="76"/>
      <c r="C88" s="78"/>
      <c r="D88" s="79"/>
      <c r="E88" s="161"/>
      <c r="F88" s="140"/>
      <c r="G88" s="228"/>
      <c r="H88" s="165"/>
      <c r="I88" s="165"/>
      <c r="K88" s="286"/>
    </row>
    <row r="89" spans="1:11" s="34" customFormat="1" ht="14.45">
      <c r="A89" s="59"/>
      <c r="B89" s="63"/>
      <c r="C89" s="61"/>
      <c r="D89" s="62"/>
      <c r="E89" s="157"/>
      <c r="F89" s="152"/>
      <c r="G89" s="227"/>
      <c r="H89" s="165"/>
      <c r="I89" s="165"/>
      <c r="K89" s="286"/>
    </row>
    <row r="90" spans="1:11" s="34" customFormat="1" ht="14.45">
      <c r="A90" s="59"/>
      <c r="B90" s="64" t="s">
        <v>606</v>
      </c>
      <c r="C90" s="61"/>
      <c r="D90" s="62"/>
      <c r="E90" s="157"/>
      <c r="F90" s="152"/>
      <c r="G90" s="227"/>
      <c r="H90" s="165"/>
      <c r="I90" s="165"/>
      <c r="K90" s="286"/>
    </row>
    <row r="91" spans="1:11" s="34" customFormat="1" ht="14.45">
      <c r="A91" s="59"/>
      <c r="B91" s="103"/>
      <c r="C91" s="61"/>
      <c r="D91" s="62"/>
      <c r="E91" s="157"/>
      <c r="F91" s="152"/>
      <c r="G91" s="227"/>
      <c r="H91" s="165"/>
      <c r="I91" s="165"/>
      <c r="K91" s="286"/>
    </row>
    <row r="92" spans="1:11" s="34" customFormat="1" ht="14.45">
      <c r="A92" s="66"/>
      <c r="B92" s="99" t="s">
        <v>11</v>
      </c>
      <c r="C92" s="68"/>
      <c r="D92" s="69"/>
      <c r="E92" s="157"/>
      <c r="F92" s="152"/>
      <c r="G92" s="227"/>
      <c r="H92" s="165"/>
      <c r="I92" s="165"/>
      <c r="K92" s="286"/>
    </row>
    <row r="93" spans="1:11" s="34" customFormat="1" ht="14.45">
      <c r="A93" s="59"/>
      <c r="B93" s="100"/>
      <c r="C93" s="61"/>
      <c r="D93" s="62"/>
      <c r="E93" s="157"/>
      <c r="F93" s="152"/>
      <c r="G93" s="227"/>
      <c r="H93" s="165"/>
      <c r="I93" s="165"/>
      <c r="K93" s="286"/>
    </row>
    <row r="94" spans="1:11" s="34" customFormat="1" ht="27.6">
      <c r="A94" s="66"/>
      <c r="B94" s="99" t="s">
        <v>582</v>
      </c>
      <c r="C94" s="68"/>
      <c r="D94" s="69"/>
      <c r="E94" s="157"/>
      <c r="F94" s="152"/>
      <c r="G94" s="227"/>
      <c r="H94" s="165"/>
      <c r="I94" s="165"/>
      <c r="K94" s="286"/>
    </row>
    <row r="95" spans="1:11" s="34" customFormat="1" ht="14.45">
      <c r="A95" s="59"/>
      <c r="B95" s="100"/>
      <c r="C95" s="61"/>
      <c r="D95" s="62"/>
      <c r="E95" s="157"/>
      <c r="F95" s="152"/>
      <c r="G95" s="227"/>
      <c r="H95" s="165"/>
      <c r="I95" s="165"/>
      <c r="K95" s="286"/>
    </row>
    <row r="96" spans="1:11" s="34" customFormat="1" ht="27.6">
      <c r="A96" s="66"/>
      <c r="B96" s="99" t="s">
        <v>583</v>
      </c>
      <c r="C96" s="68"/>
      <c r="D96" s="69"/>
      <c r="E96" s="157"/>
      <c r="F96" s="152"/>
      <c r="G96" s="227"/>
      <c r="H96" s="165"/>
      <c r="I96" s="165"/>
      <c r="K96" s="286"/>
    </row>
    <row r="97" spans="1:11" s="34" customFormat="1" ht="14.45">
      <c r="A97" s="59"/>
      <c r="B97" s="100"/>
      <c r="C97" s="61"/>
      <c r="D97" s="62"/>
      <c r="E97" s="157"/>
      <c r="F97" s="152"/>
      <c r="G97" s="227"/>
      <c r="H97" s="165"/>
      <c r="I97" s="165"/>
      <c r="K97" s="286"/>
    </row>
    <row r="98" spans="1:11" s="34" customFormat="1" ht="14.45">
      <c r="A98" s="66"/>
      <c r="B98" s="99" t="s">
        <v>584</v>
      </c>
      <c r="C98" s="68"/>
      <c r="D98" s="69"/>
      <c r="E98" s="157"/>
      <c r="F98" s="152"/>
      <c r="G98" s="227"/>
      <c r="H98" s="165"/>
      <c r="I98" s="165"/>
      <c r="K98" s="286"/>
    </row>
    <row r="99" spans="1:11" s="34" customFormat="1" ht="14.45">
      <c r="A99" s="59"/>
      <c r="B99" s="100"/>
      <c r="C99" s="61"/>
      <c r="D99" s="62"/>
      <c r="E99" s="157"/>
      <c r="F99" s="152"/>
      <c r="G99" s="227"/>
      <c r="H99" s="165"/>
      <c r="I99" s="165"/>
      <c r="K99" s="286"/>
    </row>
    <row r="100" spans="1:11" s="34" customFormat="1" ht="27.6">
      <c r="A100" s="66"/>
      <c r="B100" s="99" t="s">
        <v>585</v>
      </c>
      <c r="C100" s="68"/>
      <c r="D100" s="69"/>
      <c r="E100" s="157"/>
      <c r="F100" s="152"/>
      <c r="G100" s="227"/>
      <c r="H100" s="165"/>
      <c r="I100" s="165"/>
      <c r="K100" s="286"/>
    </row>
    <row r="101" spans="1:11" s="34" customFormat="1" ht="14.45">
      <c r="A101" s="59"/>
      <c r="B101" s="100"/>
      <c r="C101" s="61"/>
      <c r="D101" s="62"/>
      <c r="E101" s="157"/>
      <c r="F101" s="152"/>
      <c r="G101" s="227"/>
      <c r="H101" s="165"/>
      <c r="I101" s="165"/>
      <c r="K101" s="286"/>
    </row>
    <row r="102" spans="1:11" s="34" customFormat="1" ht="41.45">
      <c r="A102" s="66"/>
      <c r="B102" s="99" t="s">
        <v>586</v>
      </c>
      <c r="C102" s="68"/>
      <c r="D102" s="69"/>
      <c r="E102" s="157"/>
      <c r="F102" s="152"/>
      <c r="G102" s="227"/>
      <c r="H102" s="165"/>
      <c r="I102" s="165"/>
      <c r="K102" s="286"/>
    </row>
    <row r="103" spans="1:11" s="34" customFormat="1" ht="14.45">
      <c r="A103" s="59"/>
      <c r="B103" s="100"/>
      <c r="C103" s="61"/>
      <c r="D103" s="62"/>
      <c r="E103" s="157"/>
      <c r="F103" s="152"/>
      <c r="G103" s="227"/>
      <c r="H103" s="165"/>
      <c r="I103" s="165"/>
      <c r="K103" s="286"/>
    </row>
    <row r="104" spans="1:11" s="34" customFormat="1" ht="69">
      <c r="A104" s="66"/>
      <c r="B104" s="98" t="s">
        <v>607</v>
      </c>
      <c r="C104" s="68"/>
      <c r="D104" s="69"/>
      <c r="E104" s="157"/>
      <c r="F104" s="152"/>
      <c r="G104" s="227"/>
      <c r="H104" s="165"/>
      <c r="I104" s="165"/>
      <c r="K104" s="286"/>
    </row>
    <row r="105" spans="1:11" s="34" customFormat="1" ht="14.45">
      <c r="A105" s="59"/>
      <c r="B105" s="100"/>
      <c r="C105" s="61"/>
      <c r="D105" s="62"/>
      <c r="E105" s="157"/>
      <c r="F105" s="152"/>
      <c r="G105" s="227"/>
      <c r="H105" s="165"/>
      <c r="I105" s="165"/>
      <c r="K105" s="286"/>
    </row>
    <row r="106" spans="1:11" s="34" customFormat="1" ht="14.45">
      <c r="A106" s="66" t="s">
        <v>14</v>
      </c>
      <c r="B106" s="67" t="s">
        <v>608</v>
      </c>
      <c r="C106" s="68">
        <v>93</v>
      </c>
      <c r="D106" s="69" t="s">
        <v>16</v>
      </c>
      <c r="E106" s="157">
        <v>269.24</v>
      </c>
      <c r="F106" s="152">
        <f>C106*E106</f>
        <v>25039.32</v>
      </c>
      <c r="G106" s="227"/>
      <c r="H106" s="165"/>
      <c r="I106" s="165"/>
      <c r="K106" s="286"/>
    </row>
    <row r="107" spans="1:11" s="34" customFormat="1" ht="14.45">
      <c r="A107" s="59"/>
      <c r="B107" s="100"/>
      <c r="C107" s="61"/>
      <c r="D107" s="62"/>
      <c r="E107" s="157"/>
      <c r="F107" s="152"/>
      <c r="G107" s="227"/>
      <c r="H107" s="165"/>
      <c r="I107" s="165"/>
      <c r="K107" s="286"/>
    </row>
    <row r="108" spans="1:11" s="34" customFormat="1" ht="14.45">
      <c r="A108" s="66" t="s">
        <v>17</v>
      </c>
      <c r="B108" s="67" t="s">
        <v>609</v>
      </c>
      <c r="C108" s="68">
        <v>62</v>
      </c>
      <c r="D108" s="69" t="s">
        <v>199</v>
      </c>
      <c r="E108" s="157">
        <v>53.85</v>
      </c>
      <c r="F108" s="152">
        <f>C108*E108</f>
        <v>3338.7000000000003</v>
      </c>
      <c r="G108" s="227"/>
      <c r="H108" s="165"/>
      <c r="I108" s="165"/>
      <c r="K108" s="286"/>
    </row>
    <row r="109" spans="1:11" s="34" customFormat="1" ht="14.45">
      <c r="A109" s="59"/>
      <c r="B109" s="100"/>
      <c r="C109" s="61"/>
      <c r="D109" s="62"/>
      <c r="E109" s="157"/>
      <c r="F109" s="152"/>
      <c r="G109" s="227"/>
      <c r="H109" s="165"/>
      <c r="I109" s="165"/>
      <c r="K109" s="286"/>
    </row>
    <row r="110" spans="1:11" s="34" customFormat="1" ht="69">
      <c r="A110" s="66"/>
      <c r="B110" s="98" t="s">
        <v>610</v>
      </c>
      <c r="C110" s="68"/>
      <c r="D110" s="69"/>
      <c r="E110" s="157"/>
      <c r="F110" s="152"/>
      <c r="G110" s="227"/>
      <c r="H110" s="165"/>
      <c r="I110" s="165"/>
      <c r="K110" s="286"/>
    </row>
    <row r="111" spans="1:11" s="34" customFormat="1" ht="14.45">
      <c r="A111" s="59"/>
      <c r="B111" s="100"/>
      <c r="C111" s="61"/>
      <c r="D111" s="62"/>
      <c r="E111" s="157"/>
      <c r="F111" s="152"/>
      <c r="G111" s="227"/>
      <c r="H111" s="165"/>
      <c r="I111" s="165"/>
      <c r="K111" s="286"/>
    </row>
    <row r="112" spans="1:11" s="34" customFormat="1" ht="14.45">
      <c r="A112" s="66" t="s">
        <v>20</v>
      </c>
      <c r="B112" s="67" t="s">
        <v>611</v>
      </c>
      <c r="C112" s="68" t="s">
        <v>612</v>
      </c>
      <c r="D112" s="69" t="s">
        <v>16</v>
      </c>
      <c r="E112" s="157">
        <v>177.82</v>
      </c>
      <c r="F112" s="152">
        <f>C112*E112</f>
        <v>182798.96</v>
      </c>
      <c r="G112" s="227" t="s">
        <v>344</v>
      </c>
      <c r="H112" s="165"/>
      <c r="I112" s="165"/>
      <c r="K112" s="286"/>
    </row>
    <row r="113" spans="1:11" s="34" customFormat="1" ht="14.45">
      <c r="A113" s="59"/>
      <c r="B113" s="100"/>
      <c r="C113" s="61"/>
      <c r="D113" s="62"/>
      <c r="E113" s="157"/>
      <c r="F113" s="152"/>
      <c r="G113" s="227"/>
      <c r="H113" s="165"/>
      <c r="I113" s="165"/>
      <c r="K113" s="286"/>
    </row>
    <row r="114" spans="1:11" s="34" customFormat="1" ht="14.45">
      <c r="A114" s="66" t="s">
        <v>23</v>
      </c>
      <c r="B114" s="67" t="s">
        <v>613</v>
      </c>
      <c r="C114" s="68" t="s">
        <v>614</v>
      </c>
      <c r="D114" s="69" t="s">
        <v>199</v>
      </c>
      <c r="E114" s="157">
        <v>74.67</v>
      </c>
      <c r="F114" s="152">
        <f>C114*E114</f>
        <v>75864.72</v>
      </c>
      <c r="G114" s="227" t="s">
        <v>344</v>
      </c>
      <c r="H114" s="165"/>
      <c r="I114" s="165"/>
      <c r="K114" s="286"/>
    </row>
    <row r="115" spans="1:11" s="34" customFormat="1" ht="14.45">
      <c r="A115" s="59"/>
      <c r="B115" s="100"/>
      <c r="C115" s="61"/>
      <c r="D115" s="62"/>
      <c r="E115" s="157"/>
      <c r="F115" s="152"/>
      <c r="G115" s="227"/>
      <c r="H115" s="165"/>
      <c r="I115" s="165"/>
      <c r="K115" s="286"/>
    </row>
    <row r="116" spans="1:11" s="34" customFormat="1" ht="69">
      <c r="A116" s="66"/>
      <c r="B116" s="98" t="s">
        <v>615</v>
      </c>
      <c r="C116" s="68"/>
      <c r="D116" s="69"/>
      <c r="E116" s="157"/>
      <c r="F116" s="152"/>
      <c r="G116" s="227"/>
      <c r="H116" s="165"/>
      <c r="I116" s="165"/>
      <c r="K116" s="286"/>
    </row>
    <row r="117" spans="1:11" s="34" customFormat="1" ht="28.9">
      <c r="A117" s="59"/>
      <c r="B117" s="230" t="s">
        <v>323</v>
      </c>
      <c r="C117" s="61"/>
      <c r="D117" s="62"/>
      <c r="E117" s="157"/>
      <c r="F117" s="152"/>
      <c r="G117" s="227"/>
      <c r="H117" s="165"/>
      <c r="I117" s="165"/>
      <c r="K117" s="286"/>
    </row>
    <row r="118" spans="1:11" s="34" customFormat="1" ht="14.45">
      <c r="A118" s="71"/>
      <c r="B118" s="72"/>
      <c r="C118" s="73"/>
      <c r="D118" s="74"/>
      <c r="E118" s="159"/>
      <c r="F118" s="138"/>
      <c r="G118" s="226"/>
      <c r="H118" s="165"/>
      <c r="I118" s="165"/>
      <c r="K118" s="286"/>
    </row>
    <row r="119" spans="1:11" s="34" customFormat="1" ht="14.45">
      <c r="A119" s="75"/>
      <c r="B119" s="76"/>
      <c r="C119" s="77" t="s">
        <v>30</v>
      </c>
      <c r="D119" s="77"/>
      <c r="E119" s="160" t="s">
        <v>8</v>
      </c>
      <c r="F119" s="139">
        <f>SUM(F104:F116)</f>
        <v>287041.69999999995</v>
      </c>
      <c r="G119" s="227"/>
      <c r="H119" s="165"/>
      <c r="I119" s="165"/>
      <c r="K119" s="286"/>
    </row>
    <row r="120" spans="1:11" s="34" customFormat="1" ht="14.45">
      <c r="A120" s="75"/>
      <c r="B120" s="76"/>
      <c r="C120" s="78"/>
      <c r="D120" s="79"/>
      <c r="E120" s="161"/>
      <c r="F120" s="140"/>
      <c r="G120" s="228"/>
      <c r="H120" s="165"/>
      <c r="I120" s="165"/>
      <c r="K120" s="286"/>
    </row>
    <row r="121" spans="1:11" s="34" customFormat="1" ht="14.45">
      <c r="A121" s="59"/>
      <c r="B121" s="63"/>
      <c r="C121" s="61"/>
      <c r="D121" s="62"/>
      <c r="E121" s="157"/>
      <c r="F121" s="152"/>
      <c r="G121" s="227"/>
      <c r="H121" s="165"/>
      <c r="I121" s="165"/>
      <c r="K121" s="286"/>
    </row>
    <row r="122" spans="1:11" s="34" customFormat="1" ht="14.45">
      <c r="A122" s="59"/>
      <c r="B122" s="64" t="s">
        <v>616</v>
      </c>
      <c r="C122" s="61"/>
      <c r="D122" s="62"/>
      <c r="E122" s="157"/>
      <c r="F122" s="152"/>
      <c r="G122" s="227"/>
      <c r="H122" s="165"/>
      <c r="I122" s="165"/>
      <c r="K122" s="286"/>
    </row>
    <row r="123" spans="1:11" s="34" customFormat="1" ht="14.45">
      <c r="A123" s="59"/>
      <c r="B123" s="100"/>
      <c r="C123" s="61"/>
      <c r="D123" s="62"/>
      <c r="E123" s="157"/>
      <c r="F123" s="152"/>
      <c r="G123" s="227"/>
      <c r="H123" s="165"/>
      <c r="I123" s="165"/>
      <c r="K123" s="286"/>
    </row>
    <row r="124" spans="1:11" s="34" customFormat="1" ht="14.45">
      <c r="A124" s="66" t="s">
        <v>14</v>
      </c>
      <c r="B124" s="67" t="s">
        <v>617</v>
      </c>
      <c r="C124" s="68">
        <v>30288</v>
      </c>
      <c r="D124" s="69" t="s">
        <v>16</v>
      </c>
      <c r="E124" s="157">
        <v>218.91</v>
      </c>
      <c r="F124" s="152">
        <f>C124*E124</f>
        <v>6630346.0800000001</v>
      </c>
      <c r="G124" s="227" t="s">
        <v>344</v>
      </c>
      <c r="H124" s="165"/>
      <c r="I124" s="165"/>
      <c r="K124" s="286"/>
    </row>
    <row r="125" spans="1:11" s="34" customFormat="1" ht="14.45">
      <c r="A125" s="59"/>
      <c r="B125" s="100"/>
      <c r="C125" s="61"/>
      <c r="D125" s="62"/>
      <c r="E125" s="157"/>
      <c r="F125" s="152"/>
      <c r="G125" s="227"/>
      <c r="H125" s="165"/>
      <c r="I125" s="165"/>
      <c r="K125" s="286"/>
    </row>
    <row r="126" spans="1:11" s="34" customFormat="1" ht="14.45">
      <c r="A126" s="66" t="s">
        <v>17</v>
      </c>
      <c r="B126" s="67" t="s">
        <v>618</v>
      </c>
      <c r="C126" s="68" t="s">
        <v>619</v>
      </c>
      <c r="D126" s="69" t="s">
        <v>16</v>
      </c>
      <c r="E126" s="157">
        <v>218.91</v>
      </c>
      <c r="F126" s="152">
        <f>C126*E126</f>
        <v>33931.050000000003</v>
      </c>
      <c r="G126" s="227" t="s">
        <v>344</v>
      </c>
      <c r="H126" s="165"/>
      <c r="I126" s="165"/>
      <c r="K126" s="286"/>
    </row>
    <row r="127" spans="1:11" s="34" customFormat="1" ht="14.45">
      <c r="A127" s="59"/>
      <c r="B127" s="100"/>
      <c r="C127" s="61"/>
      <c r="D127" s="62"/>
      <c r="E127" s="157"/>
      <c r="F127" s="152"/>
      <c r="G127" s="227"/>
      <c r="H127" s="165"/>
      <c r="I127" s="165"/>
      <c r="K127" s="286"/>
    </row>
    <row r="128" spans="1:11" s="34" customFormat="1" ht="14.45">
      <c r="A128" s="66" t="s">
        <v>20</v>
      </c>
      <c r="B128" s="67" t="s">
        <v>620</v>
      </c>
      <c r="C128" s="68" t="s">
        <v>621</v>
      </c>
      <c r="D128" s="69" t="s">
        <v>16</v>
      </c>
      <c r="E128" s="157">
        <v>218.91</v>
      </c>
      <c r="F128" s="152">
        <f>C128*E128</f>
        <v>709487.30999999994</v>
      </c>
      <c r="G128" s="227" t="s">
        <v>344</v>
      </c>
      <c r="H128" s="165"/>
      <c r="I128" s="165"/>
      <c r="K128" s="286"/>
    </row>
    <row r="129" spans="1:11" s="34" customFormat="1" ht="14.45">
      <c r="A129" s="59"/>
      <c r="B129" s="100"/>
      <c r="C129" s="61"/>
      <c r="D129" s="62"/>
      <c r="E129" s="157"/>
      <c r="F129" s="152"/>
      <c r="G129" s="227"/>
      <c r="H129" s="165"/>
      <c r="I129" s="165"/>
      <c r="K129" s="286"/>
    </row>
    <row r="130" spans="1:11" s="34" customFormat="1" ht="14.45">
      <c r="A130" s="66" t="s">
        <v>23</v>
      </c>
      <c r="B130" s="67" t="s">
        <v>622</v>
      </c>
      <c r="C130" s="68" t="s">
        <v>623</v>
      </c>
      <c r="D130" s="69" t="s">
        <v>16</v>
      </c>
      <c r="E130" s="157">
        <v>218.91</v>
      </c>
      <c r="F130" s="152">
        <f>C130*E130</f>
        <v>237079.53</v>
      </c>
      <c r="G130" s="227" t="s">
        <v>344</v>
      </c>
      <c r="H130" s="165"/>
      <c r="I130" s="165"/>
      <c r="K130" s="286"/>
    </row>
    <row r="131" spans="1:11" s="34" customFormat="1" ht="14.45">
      <c r="A131" s="59"/>
      <c r="B131" s="100"/>
      <c r="C131" s="61"/>
      <c r="D131" s="62"/>
      <c r="E131" s="157"/>
      <c r="F131" s="152"/>
      <c r="G131" s="227"/>
      <c r="H131" s="165"/>
      <c r="I131" s="165"/>
      <c r="K131" s="286"/>
    </row>
    <row r="132" spans="1:11" s="34" customFormat="1" ht="14.45">
      <c r="A132" s="66" t="s">
        <v>27</v>
      </c>
      <c r="B132" s="67" t="s">
        <v>624</v>
      </c>
      <c r="C132" s="68">
        <v>630</v>
      </c>
      <c r="D132" s="69" t="s">
        <v>16</v>
      </c>
      <c r="E132" s="157">
        <v>218.91</v>
      </c>
      <c r="F132" s="152">
        <f>C132*E132</f>
        <v>137913.29999999999</v>
      </c>
      <c r="G132" s="227" t="s">
        <v>344</v>
      </c>
      <c r="H132" s="165"/>
      <c r="I132" s="165"/>
      <c r="K132" s="286"/>
    </row>
    <row r="133" spans="1:11" s="34" customFormat="1" ht="14.45">
      <c r="A133" s="59"/>
      <c r="B133" s="100"/>
      <c r="C133" s="61"/>
      <c r="D133" s="62"/>
      <c r="E133" s="157"/>
      <c r="F133" s="152"/>
      <c r="G133" s="227"/>
      <c r="H133" s="165"/>
      <c r="I133" s="165"/>
      <c r="K133" s="286"/>
    </row>
    <row r="134" spans="1:11" s="34" customFormat="1" ht="14.45">
      <c r="A134" s="66" t="s">
        <v>44</v>
      </c>
      <c r="B134" s="67" t="s">
        <v>625</v>
      </c>
      <c r="C134" s="68">
        <v>271</v>
      </c>
      <c r="D134" s="69" t="s">
        <v>16</v>
      </c>
      <c r="E134" s="157">
        <v>218.91</v>
      </c>
      <c r="F134" s="152">
        <f>C134*E134</f>
        <v>59324.61</v>
      </c>
      <c r="G134" s="227" t="s">
        <v>344</v>
      </c>
      <c r="H134" s="165"/>
      <c r="I134" s="165"/>
      <c r="K134" s="286"/>
    </row>
    <row r="135" spans="1:11" s="34" customFormat="1" ht="14.45">
      <c r="A135" s="59"/>
      <c r="B135" s="100"/>
      <c r="C135" s="61"/>
      <c r="D135" s="62"/>
      <c r="E135" s="157"/>
      <c r="F135" s="152"/>
      <c r="G135" s="227"/>
      <c r="H135" s="165"/>
      <c r="I135" s="165"/>
      <c r="K135" s="286"/>
    </row>
    <row r="136" spans="1:11" s="34" customFormat="1" ht="14.45">
      <c r="A136" s="66" t="s">
        <v>48</v>
      </c>
      <c r="B136" s="67" t="s">
        <v>626</v>
      </c>
      <c r="C136" s="68">
        <v>8069</v>
      </c>
      <c r="D136" s="69" t="s">
        <v>16</v>
      </c>
      <c r="E136" s="157">
        <v>220.27</v>
      </c>
      <c r="F136" s="152">
        <f>C136*E136</f>
        <v>1777358.6300000001</v>
      </c>
      <c r="G136" s="227" t="s">
        <v>344</v>
      </c>
      <c r="H136" s="165"/>
      <c r="I136" s="165"/>
      <c r="K136" s="286"/>
    </row>
    <row r="137" spans="1:11" s="34" customFormat="1" ht="14.45">
      <c r="A137" s="59"/>
      <c r="B137" s="100"/>
      <c r="C137" s="61"/>
      <c r="D137" s="62"/>
      <c r="E137" s="157"/>
      <c r="F137" s="152"/>
      <c r="G137" s="227"/>
      <c r="H137" s="165"/>
      <c r="I137" s="165"/>
      <c r="K137" s="286"/>
    </row>
    <row r="138" spans="1:11" s="34" customFormat="1" ht="14.45">
      <c r="A138" s="66" t="s">
        <v>84</v>
      </c>
      <c r="B138" s="67" t="s">
        <v>627</v>
      </c>
      <c r="C138" s="68">
        <v>1684</v>
      </c>
      <c r="D138" s="69" t="s">
        <v>16</v>
      </c>
      <c r="E138" s="157">
        <v>218.91</v>
      </c>
      <c r="F138" s="152">
        <f>C138*E138</f>
        <v>368644.44</v>
      </c>
      <c r="G138" s="227" t="s">
        <v>344</v>
      </c>
      <c r="H138" s="165"/>
      <c r="I138" s="165"/>
      <c r="K138" s="286"/>
    </row>
    <row r="139" spans="1:11" s="34" customFormat="1" ht="14.45">
      <c r="A139" s="59"/>
      <c r="B139" s="100"/>
      <c r="C139" s="61"/>
      <c r="D139" s="62"/>
      <c r="E139" s="157"/>
      <c r="F139" s="152"/>
      <c r="G139" s="227"/>
      <c r="H139" s="165"/>
      <c r="I139" s="165"/>
      <c r="K139" s="286"/>
    </row>
    <row r="140" spans="1:11" s="34" customFormat="1" ht="14.45">
      <c r="A140" s="66" t="s">
        <v>86</v>
      </c>
      <c r="B140" s="67" t="s">
        <v>628</v>
      </c>
      <c r="C140" s="68">
        <v>695</v>
      </c>
      <c r="D140" s="69" t="s">
        <v>16</v>
      </c>
      <c r="E140" s="157">
        <v>220.27</v>
      </c>
      <c r="F140" s="152">
        <f>C140*E140</f>
        <v>153087.65</v>
      </c>
      <c r="G140" s="227" t="s">
        <v>344</v>
      </c>
      <c r="H140" s="165"/>
      <c r="I140" s="165"/>
      <c r="K140" s="286"/>
    </row>
    <row r="141" spans="1:11" s="34" customFormat="1" ht="14.45">
      <c r="A141" s="59"/>
      <c r="B141" s="100"/>
      <c r="C141" s="61"/>
      <c r="D141" s="62"/>
      <c r="E141" s="157"/>
      <c r="F141" s="152"/>
      <c r="G141" s="227"/>
      <c r="H141" s="165"/>
      <c r="I141" s="165"/>
      <c r="K141" s="286"/>
    </row>
    <row r="142" spans="1:11" s="34" customFormat="1" ht="14.45">
      <c r="A142" s="66" t="s">
        <v>90</v>
      </c>
      <c r="B142" s="67" t="s">
        <v>629</v>
      </c>
      <c r="C142" s="68">
        <v>282</v>
      </c>
      <c r="D142" s="69" t="s">
        <v>16</v>
      </c>
      <c r="E142" s="157">
        <v>238.24</v>
      </c>
      <c r="F142" s="152">
        <f>C142*E142</f>
        <v>67183.680000000008</v>
      </c>
      <c r="G142" s="227" t="s">
        <v>344</v>
      </c>
      <c r="H142" s="165"/>
      <c r="I142" s="165"/>
      <c r="K142" s="286"/>
    </row>
    <row r="143" spans="1:11" s="34" customFormat="1" ht="14.45">
      <c r="A143" s="59"/>
      <c r="B143" s="100"/>
      <c r="C143" s="61"/>
      <c r="D143" s="62"/>
      <c r="E143" s="157"/>
      <c r="F143" s="152"/>
      <c r="G143" s="227"/>
      <c r="H143" s="165"/>
      <c r="I143" s="165"/>
      <c r="K143" s="286"/>
    </row>
    <row r="144" spans="1:11" s="34" customFormat="1" ht="27.6">
      <c r="A144" s="66" t="s">
        <v>92</v>
      </c>
      <c r="B144" s="67" t="s">
        <v>630</v>
      </c>
      <c r="C144" s="68">
        <v>133</v>
      </c>
      <c r="D144" s="69" t="s">
        <v>16</v>
      </c>
      <c r="E144" s="157">
        <v>218.91</v>
      </c>
      <c r="F144" s="152">
        <f>C144*E144</f>
        <v>29115.03</v>
      </c>
      <c r="G144" s="227" t="s">
        <v>344</v>
      </c>
      <c r="H144" s="165"/>
      <c r="I144" s="165"/>
      <c r="K144" s="286"/>
    </row>
    <row r="145" spans="1:11" s="34" customFormat="1" ht="14.45">
      <c r="A145" s="59"/>
      <c r="B145" s="100"/>
      <c r="C145" s="61"/>
      <c r="D145" s="62"/>
      <c r="E145" s="157"/>
      <c r="F145" s="152"/>
      <c r="G145" s="227"/>
      <c r="H145" s="165"/>
      <c r="I145" s="165"/>
      <c r="K145" s="286"/>
    </row>
    <row r="146" spans="1:11" s="34" customFormat="1" ht="14.45">
      <c r="A146" s="66" t="s">
        <v>94</v>
      </c>
      <c r="B146" s="67" t="s">
        <v>631</v>
      </c>
      <c r="C146" s="68">
        <v>1563</v>
      </c>
      <c r="D146" s="69" t="s">
        <v>16</v>
      </c>
      <c r="E146" s="157">
        <v>238.24</v>
      </c>
      <c r="F146" s="152">
        <f>C146*E146</f>
        <v>372369.12</v>
      </c>
      <c r="G146" s="227" t="s">
        <v>344</v>
      </c>
      <c r="H146" s="165"/>
      <c r="I146" s="165"/>
      <c r="K146" s="286"/>
    </row>
    <row r="147" spans="1:11" s="34" customFormat="1" ht="14.45">
      <c r="A147" s="59"/>
      <c r="B147" s="100"/>
      <c r="C147" s="61"/>
      <c r="D147" s="62"/>
      <c r="E147" s="157"/>
      <c r="F147" s="152"/>
      <c r="G147" s="227"/>
      <c r="H147" s="165"/>
      <c r="I147" s="165"/>
      <c r="K147" s="286"/>
    </row>
    <row r="148" spans="1:11" s="34" customFormat="1" ht="14.45">
      <c r="A148" s="66" t="s">
        <v>140</v>
      </c>
      <c r="B148" s="67" t="s">
        <v>632</v>
      </c>
      <c r="C148" s="68">
        <v>310</v>
      </c>
      <c r="D148" s="69" t="s">
        <v>16</v>
      </c>
      <c r="E148" s="157">
        <v>218.91</v>
      </c>
      <c r="F148" s="152">
        <f>C148*E148</f>
        <v>67862.100000000006</v>
      </c>
      <c r="G148" s="227" t="s">
        <v>344</v>
      </c>
      <c r="H148" s="165"/>
      <c r="I148" s="165"/>
      <c r="K148" s="286"/>
    </row>
    <row r="149" spans="1:11" s="34" customFormat="1" ht="14.45">
      <c r="A149" s="59"/>
      <c r="B149" s="100"/>
      <c r="C149" s="61"/>
      <c r="D149" s="62"/>
      <c r="E149" s="157"/>
      <c r="F149" s="152"/>
      <c r="G149" s="227"/>
      <c r="H149" s="165"/>
      <c r="I149" s="165"/>
      <c r="K149" s="286"/>
    </row>
    <row r="150" spans="1:11" s="34" customFormat="1" ht="14.45">
      <c r="A150" s="66" t="s">
        <v>159</v>
      </c>
      <c r="B150" s="67" t="s">
        <v>633</v>
      </c>
      <c r="C150" s="68">
        <v>725</v>
      </c>
      <c r="D150" s="69" t="s">
        <v>16</v>
      </c>
      <c r="E150" s="157">
        <v>218.91</v>
      </c>
      <c r="F150" s="152">
        <f>C150*E150</f>
        <v>158709.75</v>
      </c>
      <c r="G150" s="227" t="s">
        <v>344</v>
      </c>
      <c r="H150" s="165"/>
      <c r="I150" s="165"/>
      <c r="K150" s="286"/>
    </row>
    <row r="151" spans="1:11" s="34" customFormat="1" ht="14.45">
      <c r="A151" s="59"/>
      <c r="B151" s="100"/>
      <c r="C151" s="61"/>
      <c r="D151" s="62"/>
      <c r="E151" s="157"/>
      <c r="F151" s="152"/>
      <c r="G151" s="227"/>
      <c r="H151" s="165"/>
      <c r="I151" s="165"/>
      <c r="K151" s="286"/>
    </row>
    <row r="152" spans="1:11" s="34" customFormat="1" ht="14.45">
      <c r="A152" s="66" t="s">
        <v>162</v>
      </c>
      <c r="B152" s="67" t="s">
        <v>634</v>
      </c>
      <c r="C152" s="68">
        <v>63</v>
      </c>
      <c r="D152" s="69" t="s">
        <v>199</v>
      </c>
      <c r="E152" s="157">
        <v>111.26</v>
      </c>
      <c r="F152" s="152">
        <f>C152*E152</f>
        <v>7009.38</v>
      </c>
      <c r="G152" s="227" t="s">
        <v>344</v>
      </c>
      <c r="H152" s="165"/>
      <c r="I152" s="165"/>
      <c r="K152" s="286"/>
    </row>
    <row r="153" spans="1:11" s="34" customFormat="1" ht="14.45">
      <c r="A153" s="59"/>
      <c r="B153" s="100"/>
      <c r="C153" s="61"/>
      <c r="D153" s="62"/>
      <c r="E153" s="157"/>
      <c r="F153" s="152"/>
      <c r="G153" s="227"/>
      <c r="H153" s="165"/>
      <c r="I153" s="165"/>
      <c r="K153" s="286"/>
    </row>
    <row r="154" spans="1:11" s="34" customFormat="1" ht="14.45">
      <c r="A154" s="66" t="s">
        <v>164</v>
      </c>
      <c r="B154" s="67" t="s">
        <v>635</v>
      </c>
      <c r="C154" s="68">
        <v>60</v>
      </c>
      <c r="D154" s="69" t="s">
        <v>199</v>
      </c>
      <c r="E154" s="157">
        <v>111.26</v>
      </c>
      <c r="F154" s="152">
        <f>C154*E154</f>
        <v>6675.6</v>
      </c>
      <c r="G154" s="227" t="s">
        <v>344</v>
      </c>
      <c r="H154" s="165"/>
      <c r="I154" s="165"/>
      <c r="K154" s="286"/>
    </row>
    <row r="155" spans="1:11" s="34" customFormat="1" ht="14.45">
      <c r="A155" s="59"/>
      <c r="B155" s="100"/>
      <c r="C155" s="61"/>
      <c r="D155" s="62"/>
      <c r="E155" s="157"/>
      <c r="F155" s="152"/>
      <c r="G155" s="227"/>
      <c r="H155" s="165"/>
      <c r="I155" s="165"/>
      <c r="K155" s="286"/>
    </row>
    <row r="156" spans="1:11" s="34" customFormat="1" ht="14.45">
      <c r="A156" s="66" t="s">
        <v>166</v>
      </c>
      <c r="B156" s="67" t="s">
        <v>636</v>
      </c>
      <c r="C156" s="68" t="s">
        <v>637</v>
      </c>
      <c r="D156" s="69" t="s">
        <v>199</v>
      </c>
      <c r="E156" s="157">
        <v>127.59</v>
      </c>
      <c r="F156" s="152">
        <f>C156*E156</f>
        <v>6889.8600000000006</v>
      </c>
      <c r="G156" s="227" t="s">
        <v>344</v>
      </c>
      <c r="H156" s="165"/>
      <c r="I156" s="165"/>
      <c r="K156" s="286"/>
    </row>
    <row r="157" spans="1:11" s="34" customFormat="1" ht="14.45">
      <c r="A157" s="59"/>
      <c r="B157" s="100"/>
      <c r="C157" s="61"/>
      <c r="D157" s="62"/>
      <c r="E157" s="157"/>
      <c r="F157" s="152"/>
      <c r="G157" s="227"/>
      <c r="H157" s="165"/>
      <c r="I157" s="165"/>
      <c r="K157" s="286"/>
    </row>
    <row r="158" spans="1:11" s="34" customFormat="1" ht="58.5" customHeight="1">
      <c r="A158" s="66"/>
      <c r="B158" s="98" t="s">
        <v>638</v>
      </c>
      <c r="C158" s="68"/>
      <c r="D158" s="69"/>
      <c r="E158" s="157"/>
      <c r="F158" s="152"/>
      <c r="G158" s="227"/>
      <c r="H158" s="165"/>
      <c r="I158" s="165"/>
      <c r="K158" s="286"/>
    </row>
    <row r="159" spans="1:11" s="34" customFormat="1" ht="14.45">
      <c r="A159" s="59"/>
      <c r="B159" s="100"/>
      <c r="C159" s="61"/>
      <c r="D159" s="62"/>
      <c r="E159" s="157"/>
      <c r="F159" s="152"/>
      <c r="G159" s="227"/>
      <c r="H159" s="165"/>
      <c r="I159" s="165"/>
      <c r="K159" s="286"/>
    </row>
    <row r="160" spans="1:11" s="34" customFormat="1" ht="14.45">
      <c r="A160" s="66" t="s">
        <v>168</v>
      </c>
      <c r="B160" s="67" t="s">
        <v>639</v>
      </c>
      <c r="C160" s="68">
        <v>902</v>
      </c>
      <c r="D160" s="69" t="s">
        <v>16</v>
      </c>
      <c r="E160" s="320">
        <v>716.17</v>
      </c>
      <c r="F160" s="152">
        <f>C160*E160</f>
        <v>645985.34</v>
      </c>
      <c r="G160" s="227" t="s">
        <v>640</v>
      </c>
      <c r="H160" s="165"/>
      <c r="I160" s="165"/>
      <c r="K160" s="286"/>
    </row>
    <row r="161" spans="1:11" s="34" customFormat="1" ht="14.45">
      <c r="A161" s="66"/>
      <c r="B161" s="67"/>
      <c r="C161" s="68"/>
      <c r="D161" s="69"/>
      <c r="E161" s="320"/>
      <c r="F161" s="152"/>
      <c r="G161" s="227"/>
      <c r="H161" s="165"/>
      <c r="I161" s="165"/>
      <c r="K161" s="286"/>
    </row>
    <row r="162" spans="1:11" s="34" customFormat="1" ht="28.9">
      <c r="A162" s="59"/>
      <c r="B162" s="230" t="s">
        <v>323</v>
      </c>
      <c r="C162" s="61"/>
      <c r="D162" s="62"/>
      <c r="E162" s="157"/>
      <c r="F162" s="152"/>
      <c r="G162" s="227"/>
      <c r="H162" s="165"/>
      <c r="I162" s="165"/>
      <c r="K162" s="286"/>
    </row>
    <row r="163" spans="1:11" s="34" customFormat="1" ht="14.45">
      <c r="A163" s="71"/>
      <c r="B163" s="72"/>
      <c r="C163" s="73"/>
      <c r="D163" s="74"/>
      <c r="E163" s="159"/>
      <c r="F163" s="138"/>
      <c r="G163" s="226"/>
      <c r="H163" s="165"/>
      <c r="I163" s="165"/>
      <c r="K163" s="286"/>
    </row>
    <row r="164" spans="1:11" s="34" customFormat="1" ht="14.45">
      <c r="A164" s="75"/>
      <c r="B164" s="76"/>
      <c r="C164" s="77" t="s">
        <v>30</v>
      </c>
      <c r="D164" s="77"/>
      <c r="E164" s="160" t="s">
        <v>8</v>
      </c>
      <c r="F164" s="139">
        <f>SUM(F122:F162)</f>
        <v>11468972.459999997</v>
      </c>
      <c r="G164" s="227"/>
      <c r="H164" s="165"/>
      <c r="I164" s="165"/>
      <c r="K164" s="286"/>
    </row>
    <row r="165" spans="1:11" s="34" customFormat="1" ht="14.45">
      <c r="A165" s="75"/>
      <c r="B165" s="76"/>
      <c r="C165" s="78"/>
      <c r="D165" s="79"/>
      <c r="E165" s="161"/>
      <c r="F165" s="140"/>
      <c r="G165" s="228"/>
      <c r="H165" s="165"/>
      <c r="I165" s="165"/>
      <c r="K165" s="286"/>
    </row>
    <row r="166" spans="1:11" s="34" customFormat="1" ht="14.45">
      <c r="A166" s="59"/>
      <c r="B166" s="63"/>
      <c r="C166" s="61"/>
      <c r="D166" s="62"/>
      <c r="E166" s="157"/>
      <c r="F166" s="152"/>
      <c r="G166" s="227"/>
      <c r="H166" s="165"/>
      <c r="I166" s="165"/>
      <c r="K166" s="286"/>
    </row>
    <row r="167" spans="1:11" s="34" customFormat="1" ht="14.45">
      <c r="A167" s="59"/>
      <c r="B167" s="64" t="s">
        <v>616</v>
      </c>
      <c r="C167" s="61"/>
      <c r="D167" s="62"/>
      <c r="E167" s="157"/>
      <c r="F167" s="152"/>
      <c r="G167" s="227"/>
      <c r="H167" s="165"/>
      <c r="I167" s="165"/>
      <c r="K167" s="286"/>
    </row>
    <row r="168" spans="1:11" s="34" customFormat="1" ht="14.45">
      <c r="A168" s="59"/>
      <c r="B168" s="100"/>
      <c r="C168" s="61"/>
      <c r="D168" s="62"/>
      <c r="E168" s="157"/>
      <c r="F168" s="152"/>
      <c r="G168" s="227"/>
      <c r="H168" s="165"/>
      <c r="I168" s="165"/>
      <c r="K168" s="286"/>
    </row>
    <row r="169" spans="1:11" s="34" customFormat="1" ht="27.6">
      <c r="A169" s="66"/>
      <c r="B169" s="98" t="s">
        <v>641</v>
      </c>
      <c r="C169" s="68"/>
      <c r="D169" s="69"/>
      <c r="E169" s="157"/>
      <c r="F169" s="152"/>
      <c r="G169" s="227"/>
      <c r="H169" s="165"/>
      <c r="I169" s="165"/>
      <c r="K169" s="286"/>
    </row>
    <row r="170" spans="1:11" s="34" customFormat="1" ht="14.45">
      <c r="A170" s="59"/>
      <c r="B170" s="100"/>
      <c r="C170" s="61"/>
      <c r="D170" s="62"/>
      <c r="E170" s="157"/>
      <c r="F170" s="152"/>
      <c r="G170" s="227"/>
      <c r="H170" s="165"/>
      <c r="I170" s="165"/>
      <c r="K170" s="286"/>
    </row>
    <row r="171" spans="1:11" s="34" customFormat="1" ht="27.6">
      <c r="A171" s="66" t="s">
        <v>14</v>
      </c>
      <c r="B171" s="67" t="s">
        <v>642</v>
      </c>
      <c r="C171" s="68" t="s">
        <v>643</v>
      </c>
      <c r="D171" s="69" t="s">
        <v>199</v>
      </c>
      <c r="E171" s="157">
        <v>214.58</v>
      </c>
      <c r="F171" s="152">
        <f>C171*E171</f>
        <v>250414.86000000002</v>
      </c>
      <c r="G171" s="227"/>
      <c r="H171" s="165"/>
      <c r="I171" s="165"/>
      <c r="K171" s="286"/>
    </row>
    <row r="172" spans="1:11" s="34" customFormat="1" ht="14.45">
      <c r="A172" s="59"/>
      <c r="B172" s="100"/>
      <c r="C172" s="61"/>
      <c r="D172" s="62"/>
      <c r="E172" s="157"/>
      <c r="F172" s="152"/>
      <c r="G172" s="227"/>
      <c r="H172" s="165"/>
      <c r="I172" s="165"/>
      <c r="K172" s="286"/>
    </row>
    <row r="173" spans="1:11" s="34" customFormat="1" ht="27.6">
      <c r="A173" s="66" t="s">
        <v>17</v>
      </c>
      <c r="B173" s="67" t="s">
        <v>644</v>
      </c>
      <c r="C173" s="68">
        <v>216</v>
      </c>
      <c r="D173" s="69" t="s">
        <v>199</v>
      </c>
      <c r="E173" s="157">
        <v>225.88</v>
      </c>
      <c r="F173" s="152">
        <f>C173*E173</f>
        <v>48790.080000000002</v>
      </c>
      <c r="G173" s="227"/>
      <c r="H173" s="165"/>
      <c r="I173" s="165"/>
      <c r="K173" s="286"/>
    </row>
    <row r="174" spans="1:11" s="34" customFormat="1" ht="14.45">
      <c r="A174" s="59"/>
      <c r="B174" s="100"/>
      <c r="C174" s="61"/>
      <c r="D174" s="62"/>
      <c r="E174" s="157"/>
      <c r="F174" s="152"/>
      <c r="G174" s="227"/>
      <c r="H174" s="165"/>
      <c r="I174" s="165"/>
      <c r="K174" s="286"/>
    </row>
    <row r="175" spans="1:11" s="34" customFormat="1" ht="82.9">
      <c r="A175" s="66"/>
      <c r="B175" s="98" t="s">
        <v>645</v>
      </c>
      <c r="C175" s="68"/>
      <c r="D175" s="69"/>
      <c r="E175" s="157"/>
      <c r="F175" s="152"/>
      <c r="G175" s="227"/>
      <c r="H175" s="165"/>
      <c r="I175" s="165"/>
      <c r="K175" s="286"/>
    </row>
    <row r="176" spans="1:11" s="34" customFormat="1" ht="14.45">
      <c r="A176" s="59"/>
      <c r="B176" s="100"/>
      <c r="C176" s="61"/>
      <c r="D176" s="62"/>
      <c r="E176" s="157"/>
      <c r="F176" s="152"/>
      <c r="G176" s="227"/>
      <c r="H176" s="165"/>
      <c r="I176" s="165"/>
      <c r="K176" s="286"/>
    </row>
    <row r="177" spans="1:11" s="34" customFormat="1" ht="41.45">
      <c r="A177" s="66" t="s">
        <v>20</v>
      </c>
      <c r="B177" s="67" t="s">
        <v>646</v>
      </c>
      <c r="C177" s="68" t="s">
        <v>647</v>
      </c>
      <c r="D177" s="69" t="s">
        <v>16</v>
      </c>
      <c r="E177" s="157">
        <v>426.9</v>
      </c>
      <c r="F177" s="152">
        <f>C177*E177</f>
        <v>93064.2</v>
      </c>
      <c r="G177" s="227"/>
      <c r="H177" s="165"/>
      <c r="I177" s="165"/>
      <c r="K177" s="286"/>
    </row>
    <row r="178" spans="1:11" s="34" customFormat="1" ht="14.45">
      <c r="A178" s="59"/>
      <c r="B178" s="100"/>
      <c r="C178" s="61"/>
      <c r="D178" s="62"/>
      <c r="E178" s="157"/>
      <c r="F178" s="152"/>
      <c r="G178" s="227"/>
      <c r="H178" s="165"/>
      <c r="I178" s="165"/>
      <c r="K178" s="286"/>
    </row>
    <row r="179" spans="1:11" s="34" customFormat="1" ht="41.45">
      <c r="A179" s="66" t="s">
        <v>23</v>
      </c>
      <c r="B179" s="67" t="s">
        <v>648</v>
      </c>
      <c r="C179" s="68">
        <v>469</v>
      </c>
      <c r="D179" s="69" t="s">
        <v>16</v>
      </c>
      <c r="E179" s="157">
        <v>426.9</v>
      </c>
      <c r="F179" s="152">
        <f>C179*E179</f>
        <v>200216.09999999998</v>
      </c>
      <c r="G179" s="227"/>
      <c r="H179" s="165"/>
      <c r="I179" s="165"/>
      <c r="K179" s="286"/>
    </row>
    <row r="180" spans="1:11" s="34" customFormat="1" ht="14.45">
      <c r="A180" s="59"/>
      <c r="B180" s="100"/>
      <c r="C180" s="61"/>
      <c r="D180" s="62"/>
      <c r="E180" s="157"/>
      <c r="F180" s="152"/>
      <c r="G180" s="227"/>
      <c r="H180" s="165"/>
      <c r="I180" s="165"/>
      <c r="K180" s="286"/>
    </row>
    <row r="181" spans="1:11" s="34" customFormat="1" ht="41.45">
      <c r="A181" s="66" t="s">
        <v>27</v>
      </c>
      <c r="B181" s="67" t="s">
        <v>649</v>
      </c>
      <c r="C181" s="68" t="s">
        <v>650</v>
      </c>
      <c r="D181" s="69" t="s">
        <v>16</v>
      </c>
      <c r="E181" s="157">
        <v>388.79</v>
      </c>
      <c r="F181" s="152">
        <f>C181*E181</f>
        <v>48598.75</v>
      </c>
      <c r="G181" s="227"/>
      <c r="H181" s="165"/>
      <c r="I181" s="165"/>
      <c r="K181" s="286"/>
    </row>
    <row r="182" spans="1:11" s="34" customFormat="1" ht="14.45">
      <c r="A182" s="59"/>
      <c r="B182" s="100"/>
      <c r="C182" s="61"/>
      <c r="D182" s="62"/>
      <c r="E182" s="157"/>
      <c r="F182" s="152"/>
      <c r="G182" s="227"/>
      <c r="H182" s="165"/>
      <c r="I182" s="165"/>
      <c r="K182" s="286"/>
    </row>
    <row r="183" spans="1:11" s="34" customFormat="1" ht="82.9">
      <c r="A183" s="66"/>
      <c r="B183" s="98" t="s">
        <v>651</v>
      </c>
      <c r="C183" s="68"/>
      <c r="D183" s="69"/>
      <c r="E183" s="157"/>
      <c r="F183" s="152"/>
      <c r="G183" s="227"/>
      <c r="H183" s="165"/>
      <c r="I183" s="165"/>
      <c r="K183" s="286"/>
    </row>
    <row r="184" spans="1:11" s="34" customFormat="1" ht="14.45">
      <c r="A184" s="59"/>
      <c r="B184" s="100"/>
      <c r="C184" s="61"/>
      <c r="D184" s="62"/>
      <c r="E184" s="157"/>
      <c r="F184" s="152"/>
      <c r="G184" s="227"/>
      <c r="H184" s="165"/>
      <c r="I184" s="165"/>
      <c r="K184" s="286"/>
    </row>
    <row r="185" spans="1:11" s="34" customFormat="1" ht="41.45">
      <c r="A185" s="66" t="s">
        <v>44</v>
      </c>
      <c r="B185" s="67" t="s">
        <v>652</v>
      </c>
      <c r="C185" s="68">
        <v>98</v>
      </c>
      <c r="D185" s="69" t="s">
        <v>199</v>
      </c>
      <c r="E185" s="157">
        <v>144</v>
      </c>
      <c r="F185" s="152">
        <f>C185*E185</f>
        <v>14112</v>
      </c>
      <c r="G185" s="227"/>
      <c r="H185" s="165"/>
      <c r="I185" s="165"/>
      <c r="K185" s="286"/>
    </row>
    <row r="186" spans="1:11" s="34" customFormat="1" ht="14.45">
      <c r="A186" s="59"/>
      <c r="B186" s="100"/>
      <c r="C186" s="61"/>
      <c r="D186" s="62"/>
      <c r="E186" s="157"/>
      <c r="F186" s="152"/>
      <c r="G186" s="227"/>
      <c r="H186" s="165"/>
      <c r="I186" s="165"/>
      <c r="K186" s="286"/>
    </row>
    <row r="187" spans="1:11" s="34" customFormat="1" ht="55.15">
      <c r="A187" s="66"/>
      <c r="B187" s="98" t="s">
        <v>653</v>
      </c>
      <c r="C187" s="68"/>
      <c r="D187" s="69"/>
      <c r="E187" s="157"/>
      <c r="F187" s="152"/>
      <c r="G187" s="227"/>
      <c r="H187" s="165"/>
      <c r="I187" s="165"/>
      <c r="K187" s="286"/>
    </row>
    <row r="188" spans="1:11" s="34" customFormat="1" ht="14.45">
      <c r="A188" s="59"/>
      <c r="B188" s="63"/>
      <c r="C188" s="61"/>
      <c r="D188" s="62"/>
      <c r="E188" s="157"/>
      <c r="F188" s="152"/>
      <c r="G188" s="227"/>
      <c r="H188" s="165"/>
      <c r="I188" s="165"/>
      <c r="K188" s="286"/>
    </row>
    <row r="189" spans="1:11" s="34" customFormat="1" ht="14.45">
      <c r="A189" s="59"/>
      <c r="B189" s="63"/>
      <c r="C189" s="61"/>
      <c r="D189" s="62"/>
      <c r="E189" s="157"/>
      <c r="F189" s="152"/>
      <c r="G189" s="227"/>
      <c r="H189" s="165"/>
      <c r="I189" s="165"/>
      <c r="K189" s="286"/>
    </row>
    <row r="190" spans="1:11" s="34" customFormat="1" ht="14.45">
      <c r="A190" s="71"/>
      <c r="B190" s="72"/>
      <c r="C190" s="73"/>
      <c r="D190" s="74"/>
      <c r="E190" s="159"/>
      <c r="F190" s="138"/>
      <c r="G190" s="226"/>
      <c r="H190" s="165"/>
      <c r="I190" s="165"/>
      <c r="K190" s="286"/>
    </row>
    <row r="191" spans="1:11" s="34" customFormat="1" ht="14.45">
      <c r="A191" s="75"/>
      <c r="B191" s="76"/>
      <c r="C191" s="77" t="s">
        <v>30</v>
      </c>
      <c r="D191" s="77"/>
      <c r="E191" s="160" t="s">
        <v>8</v>
      </c>
      <c r="F191" s="139">
        <f>SUM(F167:F189)</f>
        <v>655195.99</v>
      </c>
      <c r="G191" s="227"/>
      <c r="H191" s="165"/>
      <c r="I191" s="165"/>
      <c r="K191" s="286"/>
    </row>
    <row r="192" spans="1:11" s="34" customFormat="1" ht="14.45">
      <c r="A192" s="75"/>
      <c r="B192" s="76"/>
      <c r="C192" s="78"/>
      <c r="D192" s="79"/>
      <c r="E192" s="161"/>
      <c r="F192" s="140"/>
      <c r="G192" s="228"/>
      <c r="H192" s="165"/>
      <c r="I192" s="165"/>
      <c r="K192" s="286"/>
    </row>
    <row r="193" spans="1:11" s="34" customFormat="1" ht="14.45">
      <c r="A193" s="59"/>
      <c r="B193" s="63"/>
      <c r="C193" s="61"/>
      <c r="D193" s="62"/>
      <c r="E193" s="157"/>
      <c r="F193" s="152"/>
      <c r="G193" s="227"/>
      <c r="H193" s="165"/>
      <c r="I193" s="165"/>
      <c r="K193" s="286"/>
    </row>
    <row r="194" spans="1:11" s="34" customFormat="1" ht="14.45">
      <c r="A194" s="59"/>
      <c r="B194" s="64" t="s">
        <v>616</v>
      </c>
      <c r="C194" s="61"/>
      <c r="D194" s="62"/>
      <c r="E194" s="157"/>
      <c r="F194" s="152"/>
      <c r="G194" s="227"/>
      <c r="H194" s="165"/>
      <c r="I194" s="165"/>
      <c r="K194" s="286"/>
    </row>
    <row r="195" spans="1:11" s="34" customFormat="1" ht="14.45">
      <c r="A195" s="59"/>
      <c r="B195" s="100"/>
      <c r="C195" s="61"/>
      <c r="D195" s="62"/>
      <c r="E195" s="157"/>
      <c r="F195" s="152"/>
      <c r="G195" s="227"/>
      <c r="H195" s="165"/>
      <c r="I195" s="165"/>
      <c r="K195" s="286"/>
    </row>
    <row r="196" spans="1:11" s="34" customFormat="1" ht="14.45">
      <c r="A196" s="66" t="s">
        <v>14</v>
      </c>
      <c r="B196" s="67" t="s">
        <v>654</v>
      </c>
      <c r="C196" s="68">
        <v>612</v>
      </c>
      <c r="D196" s="69" t="s">
        <v>16</v>
      </c>
      <c r="E196" s="157">
        <v>491.28</v>
      </c>
      <c r="F196" s="152">
        <f>C196*E196</f>
        <v>300663.36</v>
      </c>
      <c r="G196" s="227" t="s">
        <v>655</v>
      </c>
      <c r="H196" s="165"/>
      <c r="I196" s="165"/>
      <c r="K196" s="286"/>
    </row>
    <row r="197" spans="1:11" s="34" customFormat="1" ht="14.45">
      <c r="A197" s="59"/>
      <c r="B197" s="100"/>
      <c r="C197" s="61"/>
      <c r="D197" s="62"/>
      <c r="E197" s="157"/>
      <c r="F197" s="152"/>
      <c r="G197" s="227"/>
      <c r="H197" s="165"/>
      <c r="I197" s="165"/>
      <c r="K197" s="286"/>
    </row>
    <row r="198" spans="1:11" s="34" customFormat="1" ht="55.15">
      <c r="A198" s="66"/>
      <c r="B198" s="98" t="s">
        <v>656</v>
      </c>
      <c r="C198" s="68"/>
      <c r="D198" s="69"/>
      <c r="E198" s="157"/>
      <c r="F198" s="152"/>
      <c r="G198" s="227"/>
      <c r="H198" s="165"/>
      <c r="I198" s="165"/>
      <c r="K198" s="286"/>
    </row>
    <row r="199" spans="1:11" s="34" customFormat="1" ht="14.45">
      <c r="A199" s="59"/>
      <c r="B199" s="100"/>
      <c r="C199" s="61"/>
      <c r="D199" s="62"/>
      <c r="E199" s="157"/>
      <c r="F199" s="152"/>
      <c r="G199" s="227"/>
      <c r="H199" s="165"/>
      <c r="I199" s="165"/>
      <c r="K199" s="286"/>
    </row>
    <row r="200" spans="1:11" s="34" customFormat="1" ht="14.45">
      <c r="A200" s="66" t="s">
        <v>17</v>
      </c>
      <c r="B200" s="67" t="s">
        <v>343</v>
      </c>
      <c r="C200" s="68">
        <v>2057</v>
      </c>
      <c r="D200" s="69" t="s">
        <v>16</v>
      </c>
      <c r="E200" s="157">
        <v>218.77</v>
      </c>
      <c r="F200" s="152">
        <f>C200*E200</f>
        <v>450009.89</v>
      </c>
      <c r="G200" s="227" t="s">
        <v>344</v>
      </c>
      <c r="H200" s="165"/>
      <c r="I200" s="165"/>
      <c r="K200" s="286"/>
    </row>
    <row r="201" spans="1:11" s="34" customFormat="1" ht="14.45">
      <c r="A201" s="59"/>
      <c r="B201" s="100"/>
      <c r="C201" s="61"/>
      <c r="D201" s="62"/>
      <c r="E201" s="157"/>
      <c r="F201" s="152"/>
      <c r="G201" s="227"/>
      <c r="H201" s="165"/>
      <c r="I201" s="165"/>
      <c r="K201" s="286"/>
    </row>
    <row r="202" spans="1:11" s="34" customFormat="1" ht="14.45">
      <c r="A202" s="66" t="s">
        <v>20</v>
      </c>
      <c r="B202" s="67" t="s">
        <v>657</v>
      </c>
      <c r="C202" s="68">
        <v>2130</v>
      </c>
      <c r="D202" s="69" t="s">
        <v>16</v>
      </c>
      <c r="E202" s="157">
        <v>213.39</v>
      </c>
      <c r="F202" s="152">
        <f>C202*E202</f>
        <v>454520.69999999995</v>
      </c>
      <c r="G202" s="227" t="s">
        <v>344</v>
      </c>
      <c r="H202" s="165"/>
      <c r="I202" s="165"/>
      <c r="K202" s="286"/>
    </row>
    <row r="203" spans="1:11" s="34" customFormat="1" ht="14.45">
      <c r="A203" s="59"/>
      <c r="B203" s="100"/>
      <c r="C203" s="61"/>
      <c r="D203" s="62"/>
      <c r="E203" s="157"/>
      <c r="F203" s="152"/>
      <c r="G203" s="227"/>
      <c r="H203" s="165"/>
      <c r="I203" s="165"/>
      <c r="K203" s="286"/>
    </row>
    <row r="204" spans="1:11" s="34" customFormat="1" ht="14.45">
      <c r="A204" s="66" t="s">
        <v>23</v>
      </c>
      <c r="B204" s="67" t="s">
        <v>658</v>
      </c>
      <c r="C204" s="68">
        <v>776</v>
      </c>
      <c r="D204" s="69" t="s">
        <v>16</v>
      </c>
      <c r="E204" s="157">
        <v>238.98</v>
      </c>
      <c r="F204" s="152">
        <f>C204*E204</f>
        <v>185448.47999999998</v>
      </c>
      <c r="G204" s="227" t="s">
        <v>344</v>
      </c>
      <c r="H204" s="165"/>
      <c r="I204" s="165"/>
      <c r="K204" s="286"/>
    </row>
    <row r="205" spans="1:11" s="34" customFormat="1" ht="14.45">
      <c r="A205" s="59"/>
      <c r="B205" s="100"/>
      <c r="C205" s="61"/>
      <c r="D205" s="62"/>
      <c r="E205" s="157"/>
      <c r="F205" s="152"/>
      <c r="G205" s="227"/>
      <c r="H205" s="165"/>
      <c r="I205" s="165"/>
      <c r="K205" s="286"/>
    </row>
    <row r="206" spans="1:11" s="34" customFormat="1" ht="14.45">
      <c r="A206" s="66" t="s">
        <v>27</v>
      </c>
      <c r="B206" s="67" t="s">
        <v>659</v>
      </c>
      <c r="C206" s="68" t="s">
        <v>660</v>
      </c>
      <c r="D206" s="69" t="s">
        <v>16</v>
      </c>
      <c r="E206" s="157">
        <v>238.98</v>
      </c>
      <c r="F206" s="152">
        <f>C206*E206</f>
        <v>1133243.1599999999</v>
      </c>
      <c r="G206" s="227" t="s">
        <v>344</v>
      </c>
      <c r="H206" s="165"/>
      <c r="I206" s="165"/>
      <c r="K206" s="286"/>
    </row>
    <row r="207" spans="1:11" s="34" customFormat="1" ht="14.45">
      <c r="A207" s="59"/>
      <c r="B207" s="100"/>
      <c r="C207" s="61"/>
      <c r="D207" s="62"/>
      <c r="E207" s="157"/>
      <c r="F207" s="152"/>
      <c r="G207" s="227"/>
      <c r="H207" s="165"/>
      <c r="I207" s="165"/>
      <c r="K207" s="286"/>
    </row>
    <row r="208" spans="1:11" s="34" customFormat="1" ht="14.45">
      <c r="A208" s="66" t="s">
        <v>44</v>
      </c>
      <c r="B208" s="67" t="s">
        <v>661</v>
      </c>
      <c r="C208" s="68">
        <v>325</v>
      </c>
      <c r="D208" s="69" t="s">
        <v>16</v>
      </c>
      <c r="E208" s="157">
        <v>218.77</v>
      </c>
      <c r="F208" s="152">
        <f>C208*E208</f>
        <v>71100.25</v>
      </c>
      <c r="G208" s="227" t="s">
        <v>344</v>
      </c>
      <c r="H208" s="165"/>
      <c r="I208" s="165"/>
      <c r="K208" s="286"/>
    </row>
    <row r="209" spans="1:11" s="34" customFormat="1" ht="14.45">
      <c r="A209" s="59"/>
      <c r="B209" s="100"/>
      <c r="C209" s="61"/>
      <c r="D209" s="62"/>
      <c r="E209" s="157"/>
      <c r="F209" s="152"/>
      <c r="G209" s="227"/>
      <c r="H209" s="165"/>
      <c r="I209" s="165"/>
      <c r="K209" s="286"/>
    </row>
    <row r="210" spans="1:11" s="34" customFormat="1" ht="41.45">
      <c r="A210" s="66"/>
      <c r="B210" s="98" t="s">
        <v>662</v>
      </c>
      <c r="C210" s="68"/>
      <c r="D210" s="69"/>
      <c r="E210" s="157"/>
      <c r="F210" s="152"/>
      <c r="G210" s="227"/>
      <c r="H210" s="165"/>
      <c r="I210" s="165"/>
      <c r="K210" s="286"/>
    </row>
    <row r="211" spans="1:11" s="34" customFormat="1" ht="14.45">
      <c r="A211" s="59"/>
      <c r="B211" s="100"/>
      <c r="C211" s="61"/>
      <c r="D211" s="62"/>
      <c r="E211" s="157"/>
      <c r="F211" s="152"/>
      <c r="G211" s="227"/>
      <c r="H211" s="165"/>
      <c r="I211" s="165"/>
      <c r="K211" s="286"/>
    </row>
    <row r="212" spans="1:11" s="34" customFormat="1" ht="14.45">
      <c r="A212" s="66" t="s">
        <v>48</v>
      </c>
      <c r="B212" s="67" t="s">
        <v>343</v>
      </c>
      <c r="C212" s="68" t="s">
        <v>663</v>
      </c>
      <c r="D212" s="69" t="s">
        <v>16</v>
      </c>
      <c r="E212" s="157">
        <v>218.77</v>
      </c>
      <c r="F212" s="152">
        <f>C212*E212</f>
        <v>502295.92000000004</v>
      </c>
      <c r="G212" s="227" t="s">
        <v>344</v>
      </c>
      <c r="H212" s="165"/>
      <c r="I212" s="165"/>
      <c r="K212" s="286"/>
    </row>
    <row r="213" spans="1:11" s="34" customFormat="1" ht="14.45">
      <c r="A213" s="59"/>
      <c r="B213" s="100"/>
      <c r="C213" s="61"/>
      <c r="D213" s="62"/>
      <c r="E213" s="157"/>
      <c r="F213" s="152"/>
      <c r="G213" s="227"/>
      <c r="H213" s="165"/>
      <c r="I213" s="165"/>
      <c r="K213" s="286"/>
    </row>
    <row r="214" spans="1:11" s="34" customFormat="1" ht="14.45">
      <c r="A214" s="66" t="s">
        <v>84</v>
      </c>
      <c r="B214" s="67" t="s">
        <v>664</v>
      </c>
      <c r="C214" s="68">
        <v>296</v>
      </c>
      <c r="D214" s="69" t="s">
        <v>16</v>
      </c>
      <c r="E214" s="157">
        <v>238.98</v>
      </c>
      <c r="F214" s="152">
        <f>C214*E214</f>
        <v>70738.080000000002</v>
      </c>
      <c r="G214" s="227" t="s">
        <v>344</v>
      </c>
      <c r="H214" s="165"/>
      <c r="I214" s="165"/>
      <c r="K214" s="286"/>
    </row>
    <row r="215" spans="1:11" s="34" customFormat="1" ht="14.45">
      <c r="A215" s="59"/>
      <c r="B215" s="100"/>
      <c r="C215" s="61"/>
      <c r="D215" s="62"/>
      <c r="E215" s="157"/>
      <c r="F215" s="152"/>
      <c r="G215" s="227"/>
      <c r="H215" s="165"/>
      <c r="I215" s="165"/>
      <c r="K215" s="286"/>
    </row>
    <row r="216" spans="1:11" s="34" customFormat="1" ht="14.45">
      <c r="A216" s="66" t="s">
        <v>86</v>
      </c>
      <c r="B216" s="67" t="s">
        <v>665</v>
      </c>
      <c r="C216" s="68" t="s">
        <v>666</v>
      </c>
      <c r="D216" s="69" t="s">
        <v>16</v>
      </c>
      <c r="E216" s="157">
        <v>238.98</v>
      </c>
      <c r="F216" s="152">
        <f>C216*E216</f>
        <v>126898.37999999999</v>
      </c>
      <c r="G216" s="227" t="s">
        <v>344</v>
      </c>
      <c r="H216" s="165"/>
      <c r="I216" s="165"/>
      <c r="K216" s="286"/>
    </row>
    <row r="217" spans="1:11" s="34" customFormat="1" ht="14.45">
      <c r="A217" s="59"/>
      <c r="B217" s="100"/>
      <c r="C217" s="61"/>
      <c r="D217" s="62"/>
      <c r="E217" s="157"/>
      <c r="F217" s="152"/>
      <c r="G217" s="227"/>
      <c r="H217" s="165"/>
      <c r="I217" s="165"/>
      <c r="K217" s="286"/>
    </row>
    <row r="218" spans="1:11" s="34" customFormat="1" ht="27.6">
      <c r="A218" s="66"/>
      <c r="B218" s="98" t="s">
        <v>667</v>
      </c>
      <c r="C218" s="68"/>
      <c r="D218" s="69"/>
      <c r="E218" s="157"/>
      <c r="F218" s="152"/>
      <c r="G218" s="227"/>
      <c r="H218" s="165"/>
      <c r="I218" s="165"/>
      <c r="K218" s="286"/>
    </row>
    <row r="219" spans="1:11" s="34" customFormat="1" ht="14.45">
      <c r="A219" s="59"/>
      <c r="B219" s="100"/>
      <c r="C219" s="61"/>
      <c r="D219" s="62"/>
      <c r="E219" s="157"/>
      <c r="F219" s="152"/>
      <c r="G219" s="227"/>
      <c r="H219" s="165"/>
      <c r="I219" s="165"/>
      <c r="K219" s="286"/>
    </row>
    <row r="220" spans="1:11" s="34" customFormat="1" ht="14.45">
      <c r="A220" s="66" t="s">
        <v>90</v>
      </c>
      <c r="B220" s="67" t="s">
        <v>668</v>
      </c>
      <c r="C220" s="68">
        <v>64</v>
      </c>
      <c r="D220" s="69" t="s">
        <v>16</v>
      </c>
      <c r="E220" s="157">
        <v>2936.38</v>
      </c>
      <c r="F220" s="152">
        <f>C220*E220</f>
        <v>187928.32000000001</v>
      </c>
      <c r="G220" s="227"/>
      <c r="H220" s="165"/>
      <c r="I220" s="165"/>
      <c r="K220" s="286"/>
    </row>
    <row r="221" spans="1:11" s="34" customFormat="1" ht="14.45">
      <c r="A221" s="59"/>
      <c r="B221" s="100"/>
      <c r="C221" s="61"/>
      <c r="D221" s="62"/>
      <c r="E221" s="157"/>
      <c r="F221" s="152"/>
      <c r="G221" s="227"/>
      <c r="H221" s="165"/>
      <c r="I221" s="165"/>
      <c r="K221" s="286"/>
    </row>
    <row r="222" spans="1:11" s="34" customFormat="1" ht="27.6">
      <c r="A222" s="66" t="s">
        <v>92</v>
      </c>
      <c r="B222" s="67" t="s">
        <v>669</v>
      </c>
      <c r="C222" s="68">
        <v>219</v>
      </c>
      <c r="D222" s="69" t="s">
        <v>16</v>
      </c>
      <c r="E222" s="157">
        <v>2439.4499999999998</v>
      </c>
      <c r="F222" s="152">
        <f>C222*E222</f>
        <v>534239.54999999993</v>
      </c>
      <c r="G222" s="227"/>
      <c r="H222" s="165"/>
      <c r="I222" s="165"/>
      <c r="K222" s="286"/>
    </row>
    <row r="223" spans="1:11" s="34" customFormat="1" ht="14.45">
      <c r="A223" s="59"/>
      <c r="B223" s="100"/>
      <c r="C223" s="61"/>
      <c r="D223" s="62"/>
      <c r="E223" s="157"/>
      <c r="F223" s="152"/>
      <c r="G223" s="227"/>
      <c r="H223" s="165"/>
      <c r="I223" s="165"/>
      <c r="K223" s="286"/>
    </row>
    <row r="224" spans="1:11" s="34" customFormat="1" ht="27.6">
      <c r="A224" s="66" t="s">
        <v>94</v>
      </c>
      <c r="B224" s="67" t="s">
        <v>670</v>
      </c>
      <c r="C224" s="68">
        <v>78</v>
      </c>
      <c r="D224" s="69" t="s">
        <v>16</v>
      </c>
      <c r="E224" s="157">
        <v>2823.44</v>
      </c>
      <c r="F224" s="152">
        <f>C224*E224</f>
        <v>220228.32</v>
      </c>
      <c r="G224" s="227"/>
      <c r="H224" s="165"/>
      <c r="I224" s="165"/>
      <c r="K224" s="286"/>
    </row>
    <row r="225" spans="1:11" s="34" customFormat="1" ht="14.45">
      <c r="A225" s="59"/>
      <c r="B225" s="100"/>
      <c r="C225" s="61"/>
      <c r="D225" s="62"/>
      <c r="E225" s="157"/>
      <c r="F225" s="152"/>
      <c r="G225" s="227"/>
      <c r="H225" s="165"/>
      <c r="I225" s="165"/>
      <c r="K225" s="286"/>
    </row>
    <row r="226" spans="1:11" s="34" customFormat="1" ht="14.45">
      <c r="A226" s="66" t="s">
        <v>140</v>
      </c>
      <c r="B226" s="67" t="s">
        <v>671</v>
      </c>
      <c r="C226" s="68" t="s">
        <v>481</v>
      </c>
      <c r="D226" s="69" t="s">
        <v>16</v>
      </c>
      <c r="E226" s="157">
        <v>2823.44</v>
      </c>
      <c r="F226" s="152">
        <f>C226*E226</f>
        <v>101643.84</v>
      </c>
      <c r="G226" s="227"/>
      <c r="H226" s="165"/>
      <c r="I226" s="165"/>
      <c r="K226" s="286"/>
    </row>
    <row r="227" spans="1:11" s="34" customFormat="1" ht="14.45">
      <c r="A227" s="59"/>
      <c r="B227" s="100"/>
      <c r="C227" s="61"/>
      <c r="D227" s="62"/>
      <c r="E227" s="157"/>
      <c r="F227" s="152"/>
      <c r="G227" s="227"/>
      <c r="H227" s="165"/>
      <c r="I227" s="165"/>
      <c r="K227" s="286"/>
    </row>
    <row r="228" spans="1:11" s="34" customFormat="1" ht="14.45">
      <c r="A228" s="66" t="s">
        <v>159</v>
      </c>
      <c r="B228" s="67" t="s">
        <v>672</v>
      </c>
      <c r="C228" s="68">
        <v>44</v>
      </c>
      <c r="D228" s="69" t="s">
        <v>16</v>
      </c>
      <c r="E228" s="157">
        <v>2823.44</v>
      </c>
      <c r="F228" s="152">
        <f>C228*E228</f>
        <v>124231.36</v>
      </c>
      <c r="G228" s="227"/>
      <c r="H228" s="165"/>
      <c r="I228" s="165"/>
      <c r="K228" s="286"/>
    </row>
    <row r="229" spans="1:11" s="34" customFormat="1" ht="14.45">
      <c r="A229" s="59"/>
      <c r="B229" s="100"/>
      <c r="C229" s="61"/>
      <c r="D229" s="62"/>
      <c r="E229" s="157"/>
      <c r="F229" s="152"/>
      <c r="G229" s="227"/>
      <c r="H229" s="165"/>
      <c r="I229" s="165"/>
      <c r="K229" s="286"/>
    </row>
    <row r="230" spans="1:11" s="34" customFormat="1" ht="14.45">
      <c r="A230" s="66" t="s">
        <v>162</v>
      </c>
      <c r="B230" s="67" t="s">
        <v>673</v>
      </c>
      <c r="C230" s="68" t="s">
        <v>674</v>
      </c>
      <c r="D230" s="69" t="s">
        <v>199</v>
      </c>
      <c r="E230" s="157">
        <v>350.11</v>
      </c>
      <c r="F230" s="152">
        <f>C230*E230</f>
        <v>29409.24</v>
      </c>
      <c r="G230" s="227"/>
      <c r="H230" s="165"/>
      <c r="I230" s="165"/>
      <c r="K230" s="286"/>
    </row>
    <row r="231" spans="1:11" s="34" customFormat="1" ht="14.45">
      <c r="A231" s="66"/>
      <c r="B231" s="67"/>
      <c r="C231" s="68"/>
      <c r="D231" s="69"/>
      <c r="E231" s="157"/>
      <c r="F231" s="152"/>
      <c r="G231" s="227"/>
      <c r="H231" s="165"/>
      <c r="I231" s="165"/>
      <c r="K231" s="286"/>
    </row>
    <row r="232" spans="1:11" s="34" customFormat="1" ht="57.6">
      <c r="A232" s="66"/>
      <c r="B232" s="225" t="s">
        <v>549</v>
      </c>
      <c r="C232" s="68"/>
      <c r="D232" s="69"/>
      <c r="E232" s="157"/>
      <c r="F232" s="152"/>
      <c r="G232" s="227"/>
      <c r="H232" s="165"/>
      <c r="I232" s="165"/>
      <c r="K232" s="286"/>
    </row>
    <row r="233" spans="1:11" s="34" customFormat="1" ht="14.45">
      <c r="A233" s="71"/>
      <c r="B233" s="72"/>
      <c r="C233" s="73"/>
      <c r="D233" s="74"/>
      <c r="E233" s="159"/>
      <c r="F233" s="138"/>
      <c r="G233" s="226"/>
      <c r="H233" s="165"/>
      <c r="I233" s="165"/>
      <c r="K233" s="286"/>
    </row>
    <row r="234" spans="1:11" s="34" customFormat="1" ht="14.45">
      <c r="A234" s="75"/>
      <c r="B234" s="76"/>
      <c r="C234" s="77" t="s">
        <v>30</v>
      </c>
      <c r="D234" s="77"/>
      <c r="E234" s="160" t="s">
        <v>8</v>
      </c>
      <c r="F234" s="139">
        <f>SUM(F194:F230)</f>
        <v>4492598.8499999996</v>
      </c>
      <c r="G234" s="227"/>
      <c r="H234" s="165"/>
      <c r="I234" s="165"/>
      <c r="K234" s="286"/>
    </row>
    <row r="235" spans="1:11" s="34" customFormat="1" ht="14.45">
      <c r="A235" s="75"/>
      <c r="B235" s="76"/>
      <c r="C235" s="78"/>
      <c r="D235" s="79"/>
      <c r="E235" s="161"/>
      <c r="F235" s="140"/>
      <c r="G235" s="228"/>
      <c r="H235" s="165"/>
      <c r="I235" s="165"/>
      <c r="K235" s="286"/>
    </row>
    <row r="236" spans="1:11" s="34" customFormat="1" ht="14.45">
      <c r="A236" s="59"/>
      <c r="B236" s="63"/>
      <c r="C236" s="61"/>
      <c r="D236" s="62"/>
      <c r="E236" s="157"/>
      <c r="F236" s="152"/>
      <c r="G236" s="227"/>
      <c r="H236" s="165"/>
      <c r="I236" s="165"/>
      <c r="K236" s="286"/>
    </row>
    <row r="237" spans="1:11" s="34" customFormat="1" ht="14.45">
      <c r="A237" s="59"/>
      <c r="B237" s="64" t="s">
        <v>616</v>
      </c>
      <c r="C237" s="61"/>
      <c r="D237" s="62"/>
      <c r="E237" s="157"/>
      <c r="F237" s="152"/>
      <c r="G237" s="227"/>
      <c r="H237" s="165"/>
      <c r="I237" s="165"/>
      <c r="K237" s="286"/>
    </row>
    <row r="238" spans="1:11" s="34" customFormat="1" ht="14.45">
      <c r="A238" s="59"/>
      <c r="B238" s="100"/>
      <c r="C238" s="61"/>
      <c r="D238" s="62"/>
      <c r="E238" s="157"/>
      <c r="F238" s="152"/>
      <c r="G238" s="227"/>
      <c r="H238" s="165"/>
      <c r="I238" s="165"/>
      <c r="K238" s="286"/>
    </row>
    <row r="239" spans="1:11" s="34" customFormat="1" ht="14.45">
      <c r="A239" s="66" t="s">
        <v>14</v>
      </c>
      <c r="B239" s="67" t="s">
        <v>675</v>
      </c>
      <c r="C239" s="68">
        <v>27</v>
      </c>
      <c r="D239" s="69" t="s">
        <v>199</v>
      </c>
      <c r="E239" s="157">
        <v>214.58</v>
      </c>
      <c r="F239" s="152">
        <f>C239*E239</f>
        <v>5793.6600000000008</v>
      </c>
      <c r="G239" s="227"/>
      <c r="H239" s="165"/>
      <c r="I239" s="165"/>
      <c r="K239" s="286"/>
    </row>
    <row r="240" spans="1:11" s="34" customFormat="1" ht="14.45">
      <c r="A240" s="59"/>
      <c r="B240" s="100"/>
      <c r="C240" s="61"/>
      <c r="D240" s="62"/>
      <c r="E240" s="157"/>
      <c r="F240" s="152"/>
      <c r="G240" s="227"/>
      <c r="H240" s="165"/>
      <c r="I240" s="165"/>
      <c r="K240" s="286"/>
    </row>
    <row r="241" spans="1:11" s="34" customFormat="1" ht="41.45">
      <c r="A241" s="66"/>
      <c r="B241" s="98" t="s">
        <v>676</v>
      </c>
      <c r="C241" s="68"/>
      <c r="D241" s="69"/>
      <c r="E241" s="157"/>
      <c r="F241" s="152"/>
      <c r="G241" s="227"/>
      <c r="H241" s="165"/>
      <c r="I241" s="165"/>
      <c r="K241" s="286"/>
    </row>
    <row r="242" spans="1:11" s="34" customFormat="1" ht="14.45">
      <c r="A242" s="59"/>
      <c r="B242" s="100"/>
      <c r="C242" s="61"/>
      <c r="D242" s="62"/>
      <c r="E242" s="157"/>
      <c r="F242" s="152"/>
      <c r="G242" s="227"/>
      <c r="H242" s="165"/>
      <c r="I242" s="165"/>
      <c r="K242" s="286"/>
    </row>
    <row r="243" spans="1:11" s="34" customFormat="1" ht="14.45">
      <c r="A243" s="66" t="s">
        <v>17</v>
      </c>
      <c r="B243" s="67" t="s">
        <v>535</v>
      </c>
      <c r="C243" s="106">
        <v>1102</v>
      </c>
      <c r="D243" s="69" t="s">
        <v>16</v>
      </c>
      <c r="E243" s="157">
        <v>456.3</v>
      </c>
      <c r="F243" s="152">
        <f>C243*E243</f>
        <v>502842.60000000003</v>
      </c>
      <c r="G243" s="227"/>
      <c r="H243" s="165"/>
      <c r="I243" s="165"/>
      <c r="K243" s="286"/>
    </row>
    <row r="244" spans="1:11" s="34" customFormat="1" ht="14.45">
      <c r="A244" s="59"/>
      <c r="B244" s="100"/>
      <c r="C244" s="61"/>
      <c r="D244" s="62"/>
      <c r="E244" s="157"/>
      <c r="F244" s="152"/>
      <c r="G244" s="227"/>
      <c r="H244" s="165"/>
      <c r="I244" s="165"/>
      <c r="K244" s="286"/>
    </row>
    <row r="245" spans="1:11" s="34" customFormat="1" ht="55.15">
      <c r="A245" s="66"/>
      <c r="B245" s="98" t="s">
        <v>677</v>
      </c>
      <c r="C245" s="68"/>
      <c r="D245" s="69"/>
      <c r="E245" s="157"/>
      <c r="F245" s="152"/>
      <c r="G245" s="227"/>
      <c r="H245" s="165"/>
      <c r="I245" s="165"/>
      <c r="K245" s="286"/>
    </row>
    <row r="246" spans="1:11" s="34" customFormat="1" ht="14.45">
      <c r="A246" s="59"/>
      <c r="B246" s="100"/>
      <c r="C246" s="61"/>
      <c r="D246" s="62"/>
      <c r="E246" s="157"/>
      <c r="F246" s="152"/>
      <c r="G246" s="227"/>
      <c r="H246" s="165"/>
      <c r="I246" s="165"/>
      <c r="K246" s="286"/>
    </row>
    <row r="247" spans="1:11" s="34" customFormat="1" ht="14.45">
      <c r="A247" s="66" t="s">
        <v>20</v>
      </c>
      <c r="B247" s="67" t="s">
        <v>535</v>
      </c>
      <c r="C247" s="68" t="s">
        <v>678</v>
      </c>
      <c r="D247" s="69" t="s">
        <v>16</v>
      </c>
      <c r="E247" s="157">
        <v>752.13</v>
      </c>
      <c r="F247" s="152">
        <f>C247*E247</f>
        <v>610729.55999999994</v>
      </c>
      <c r="G247" s="227"/>
      <c r="H247" s="165"/>
      <c r="I247" s="165"/>
      <c r="K247" s="286"/>
    </row>
    <row r="248" spans="1:11" s="34" customFormat="1" ht="14.45">
      <c r="A248" s="59"/>
      <c r="B248" s="100"/>
      <c r="C248" s="61"/>
      <c r="D248" s="62"/>
      <c r="E248" s="157"/>
      <c r="F248" s="152"/>
      <c r="G248" s="227"/>
      <c r="H248" s="165"/>
      <c r="I248" s="165"/>
      <c r="K248" s="286"/>
    </row>
    <row r="249" spans="1:11" s="34" customFormat="1" ht="69">
      <c r="A249" s="66"/>
      <c r="B249" s="98" t="s">
        <v>679</v>
      </c>
      <c r="C249" s="68"/>
      <c r="D249" s="69"/>
      <c r="E249" s="157"/>
      <c r="F249" s="152"/>
      <c r="G249" s="227"/>
      <c r="H249" s="165"/>
      <c r="I249" s="165"/>
      <c r="K249" s="286"/>
    </row>
    <row r="250" spans="1:11" s="34" customFormat="1" ht="14.45">
      <c r="A250" s="59"/>
      <c r="B250" s="100"/>
      <c r="C250" s="61"/>
      <c r="D250" s="62"/>
      <c r="E250" s="157"/>
      <c r="F250" s="152"/>
      <c r="G250" s="227"/>
      <c r="H250" s="165"/>
      <c r="I250" s="165"/>
      <c r="K250" s="286"/>
    </row>
    <row r="251" spans="1:11" s="34" customFormat="1" ht="27.6">
      <c r="A251" s="66" t="s">
        <v>23</v>
      </c>
      <c r="B251" s="67" t="s">
        <v>680</v>
      </c>
      <c r="C251" s="68" t="s">
        <v>335</v>
      </c>
      <c r="D251" s="69" t="s">
        <v>63</v>
      </c>
      <c r="E251" s="157"/>
      <c r="F251" s="152" t="s">
        <v>681</v>
      </c>
      <c r="G251" s="227" t="s">
        <v>682</v>
      </c>
      <c r="H251" s="165"/>
      <c r="I251" s="165"/>
      <c r="K251" s="286"/>
    </row>
    <row r="252" spans="1:11" s="34" customFormat="1" ht="14.45">
      <c r="A252" s="59"/>
      <c r="B252" s="100"/>
      <c r="C252" s="61"/>
      <c r="D252" s="62"/>
      <c r="E252" s="157"/>
      <c r="F252" s="152"/>
      <c r="G252" s="227"/>
      <c r="H252" s="165"/>
      <c r="I252" s="165"/>
      <c r="K252" s="286"/>
    </row>
    <row r="253" spans="1:11" s="34" customFormat="1" ht="27.6">
      <c r="A253" s="66" t="s">
        <v>27</v>
      </c>
      <c r="B253" s="67" t="s">
        <v>683</v>
      </c>
      <c r="C253" s="68" t="s">
        <v>335</v>
      </c>
      <c r="D253" s="69" t="s">
        <v>63</v>
      </c>
      <c r="E253" s="157"/>
      <c r="F253" s="152" t="s">
        <v>681</v>
      </c>
      <c r="G253" s="227" t="s">
        <v>682</v>
      </c>
      <c r="H253" s="165"/>
      <c r="I253" s="165"/>
      <c r="K253" s="286"/>
    </row>
    <row r="254" spans="1:11" s="34" customFormat="1" ht="14.45">
      <c r="A254" s="59"/>
      <c r="B254" s="100"/>
      <c r="C254" s="61"/>
      <c r="D254" s="62"/>
      <c r="E254" s="157"/>
      <c r="F254" s="152"/>
      <c r="G254" s="227"/>
      <c r="H254" s="165"/>
      <c r="I254" s="165"/>
      <c r="K254" s="286"/>
    </row>
    <row r="255" spans="1:11" s="34" customFormat="1" ht="27.6">
      <c r="A255" s="66" t="s">
        <v>44</v>
      </c>
      <c r="B255" s="67" t="s">
        <v>684</v>
      </c>
      <c r="C255" s="68" t="s">
        <v>335</v>
      </c>
      <c r="D255" s="69" t="s">
        <v>63</v>
      </c>
      <c r="E255" s="157"/>
      <c r="F255" s="152" t="s">
        <v>681</v>
      </c>
      <c r="G255" s="227" t="s">
        <v>682</v>
      </c>
      <c r="H255" s="165"/>
      <c r="I255" s="165"/>
      <c r="K255" s="286"/>
    </row>
    <row r="256" spans="1:11" s="34" customFormat="1" ht="14.45">
      <c r="A256" s="59"/>
      <c r="B256" s="100"/>
      <c r="C256" s="61"/>
      <c r="D256" s="62"/>
      <c r="E256" s="157"/>
      <c r="F256" s="152"/>
      <c r="G256" s="227"/>
      <c r="H256" s="165"/>
      <c r="I256" s="165"/>
      <c r="K256" s="286"/>
    </row>
    <row r="257" spans="1:11" s="34" customFormat="1" ht="14.45">
      <c r="A257" s="66" t="s">
        <v>48</v>
      </c>
      <c r="B257" s="67" t="s">
        <v>685</v>
      </c>
      <c r="C257" s="68" t="s">
        <v>335</v>
      </c>
      <c r="D257" s="69" t="s">
        <v>63</v>
      </c>
      <c r="E257" s="157"/>
      <c r="F257" s="152" t="s">
        <v>681</v>
      </c>
      <c r="G257" s="227"/>
      <c r="H257" s="165"/>
      <c r="I257" s="165"/>
      <c r="K257" s="286"/>
    </row>
    <row r="258" spans="1:11" s="34" customFormat="1" ht="14.45">
      <c r="A258" s="59"/>
      <c r="B258" s="100"/>
      <c r="C258" s="61"/>
      <c r="D258" s="62"/>
      <c r="E258" s="157"/>
      <c r="F258" s="152"/>
      <c r="G258" s="227"/>
      <c r="H258" s="165"/>
      <c r="I258" s="165"/>
      <c r="K258" s="286"/>
    </row>
    <row r="259" spans="1:11" s="34" customFormat="1" ht="55.15">
      <c r="A259" s="66"/>
      <c r="B259" s="98" t="s">
        <v>686</v>
      </c>
      <c r="C259" s="68"/>
      <c r="D259" s="69"/>
      <c r="E259" s="157"/>
      <c r="F259" s="152"/>
      <c r="G259" s="227"/>
      <c r="H259" s="165"/>
      <c r="I259" s="165"/>
      <c r="K259" s="286"/>
    </row>
    <row r="260" spans="1:11" s="34" customFormat="1" ht="14.45">
      <c r="A260" s="59"/>
      <c r="B260" s="100"/>
      <c r="C260" s="61"/>
      <c r="D260" s="62"/>
      <c r="E260" s="157"/>
      <c r="F260" s="152"/>
      <c r="G260" s="227"/>
      <c r="H260" s="165"/>
      <c r="I260" s="165"/>
      <c r="K260" s="286"/>
    </row>
    <row r="261" spans="1:11" s="34" customFormat="1" ht="14.45">
      <c r="A261" s="66" t="s">
        <v>84</v>
      </c>
      <c r="B261" s="67" t="s">
        <v>687</v>
      </c>
      <c r="C261" s="68" t="s">
        <v>688</v>
      </c>
      <c r="D261" s="69" t="s">
        <v>16</v>
      </c>
      <c r="E261" s="157">
        <v>615.51</v>
      </c>
      <c r="F261" s="152">
        <f>C261*E261</f>
        <v>24620.400000000001</v>
      </c>
      <c r="G261" s="227" t="s">
        <v>689</v>
      </c>
      <c r="H261" s="165"/>
      <c r="I261" s="165"/>
      <c r="K261" s="286"/>
    </row>
    <row r="262" spans="1:11" s="34" customFormat="1" ht="14.45">
      <c r="A262" s="59"/>
      <c r="B262" s="100"/>
      <c r="C262" s="61"/>
      <c r="D262" s="62"/>
      <c r="E262" s="157"/>
      <c r="F262" s="152"/>
      <c r="G262" s="227"/>
      <c r="H262" s="165"/>
      <c r="I262" s="165"/>
      <c r="K262" s="286"/>
    </row>
    <row r="263" spans="1:11" s="34" customFormat="1" ht="27.6">
      <c r="A263" s="66" t="s">
        <v>86</v>
      </c>
      <c r="B263" s="67" t="s">
        <v>690</v>
      </c>
      <c r="C263" s="68" t="s">
        <v>691</v>
      </c>
      <c r="D263" s="69" t="s">
        <v>16</v>
      </c>
      <c r="E263" s="157">
        <v>615.51</v>
      </c>
      <c r="F263" s="152">
        <f>C263*E263</f>
        <v>513950.85</v>
      </c>
      <c r="G263" s="227" t="s">
        <v>689</v>
      </c>
      <c r="H263" s="165"/>
      <c r="I263" s="165"/>
      <c r="K263" s="286"/>
    </row>
    <row r="264" spans="1:11" s="34" customFormat="1" ht="14.45">
      <c r="A264" s="59"/>
      <c r="B264" s="100"/>
      <c r="C264" s="61"/>
      <c r="D264" s="62"/>
      <c r="E264" s="157"/>
      <c r="F264" s="152"/>
      <c r="G264" s="227"/>
      <c r="H264" s="165"/>
      <c r="I264" s="165"/>
      <c r="K264" s="286"/>
    </row>
    <row r="265" spans="1:11" s="34" customFormat="1" ht="27.6">
      <c r="A265" s="66" t="s">
        <v>90</v>
      </c>
      <c r="B265" s="67" t="s">
        <v>692</v>
      </c>
      <c r="C265" s="68">
        <v>2008</v>
      </c>
      <c r="D265" s="69" t="s">
        <v>16</v>
      </c>
      <c r="E265" s="157">
        <v>771.53</v>
      </c>
      <c r="F265" s="152">
        <f>C265*E265</f>
        <v>1549232.24</v>
      </c>
      <c r="G265" s="227" t="s">
        <v>689</v>
      </c>
      <c r="H265" s="165"/>
      <c r="I265" s="165"/>
      <c r="K265" s="286"/>
    </row>
    <row r="266" spans="1:11" s="34" customFormat="1" ht="14.45">
      <c r="A266" s="59"/>
      <c r="B266" s="63"/>
      <c r="C266" s="61"/>
      <c r="D266" s="62"/>
      <c r="E266" s="157"/>
      <c r="F266" s="152"/>
      <c r="G266" s="227"/>
      <c r="H266" s="165"/>
      <c r="I266" s="165"/>
      <c r="K266" s="286"/>
    </row>
    <row r="267" spans="1:11" s="34" customFormat="1" ht="28.9">
      <c r="A267" s="59"/>
      <c r="B267" s="230" t="s">
        <v>420</v>
      </c>
      <c r="C267" s="61"/>
      <c r="D267" s="62"/>
      <c r="E267" s="157"/>
      <c r="F267" s="152"/>
      <c r="G267" s="227"/>
      <c r="H267" s="165"/>
      <c r="I267" s="165"/>
      <c r="K267" s="286"/>
    </row>
    <row r="268" spans="1:11" s="34" customFormat="1" ht="14.45">
      <c r="A268" s="71"/>
      <c r="B268" s="72"/>
      <c r="C268" s="73"/>
      <c r="D268" s="74"/>
      <c r="E268" s="159"/>
      <c r="F268" s="138"/>
      <c r="G268" s="226"/>
      <c r="H268" s="165"/>
      <c r="I268" s="165"/>
      <c r="K268" s="286"/>
    </row>
    <row r="269" spans="1:11" s="34" customFormat="1" ht="14.45">
      <c r="A269" s="75"/>
      <c r="B269" s="76"/>
      <c r="C269" s="77" t="s">
        <v>30</v>
      </c>
      <c r="D269" s="77"/>
      <c r="E269" s="160" t="s">
        <v>8</v>
      </c>
      <c r="F269" s="139">
        <f>SUM(F238:F266)</f>
        <v>3207169.3099999996</v>
      </c>
      <c r="G269" s="227"/>
      <c r="H269" s="165"/>
      <c r="I269" s="165"/>
      <c r="K269" s="286"/>
    </row>
    <row r="270" spans="1:11" s="34" customFormat="1" ht="14.45">
      <c r="A270" s="75"/>
      <c r="B270" s="76"/>
      <c r="C270" s="78"/>
      <c r="D270" s="79"/>
      <c r="E270" s="161"/>
      <c r="F270" s="140"/>
      <c r="G270" s="228"/>
      <c r="H270" s="165"/>
      <c r="I270" s="165"/>
      <c r="K270" s="286"/>
    </row>
    <row r="271" spans="1:11" s="34" customFormat="1" ht="14.45">
      <c r="A271" s="59"/>
      <c r="B271" s="63"/>
      <c r="C271" s="61"/>
      <c r="D271" s="62"/>
      <c r="E271" s="157"/>
      <c r="F271" s="152"/>
      <c r="G271" s="227"/>
      <c r="H271" s="165"/>
      <c r="I271" s="165"/>
      <c r="K271" s="286"/>
    </row>
    <row r="272" spans="1:11" s="34" customFormat="1" ht="14.45">
      <c r="A272" s="59"/>
      <c r="B272" s="64" t="s">
        <v>616</v>
      </c>
      <c r="C272" s="61"/>
      <c r="D272" s="62"/>
      <c r="E272" s="157"/>
      <c r="F272" s="152"/>
      <c r="G272" s="227"/>
      <c r="H272" s="165"/>
      <c r="I272" s="165"/>
      <c r="K272" s="286"/>
    </row>
    <row r="273" spans="1:11" s="34" customFormat="1" ht="14.45">
      <c r="A273" s="59"/>
      <c r="B273" s="100"/>
      <c r="C273" s="61"/>
      <c r="D273" s="62"/>
      <c r="E273" s="157"/>
      <c r="F273" s="152"/>
      <c r="G273" s="227"/>
      <c r="H273" s="165"/>
      <c r="I273" s="165"/>
      <c r="K273" s="286"/>
    </row>
    <row r="274" spans="1:11" s="34" customFormat="1" ht="14.45">
      <c r="A274" s="66" t="s">
        <v>14</v>
      </c>
      <c r="B274" s="67" t="s">
        <v>693</v>
      </c>
      <c r="C274" s="68">
        <v>780</v>
      </c>
      <c r="D274" s="69" t="s">
        <v>199</v>
      </c>
      <c r="E274" s="157">
        <v>255.77</v>
      </c>
      <c r="F274" s="152">
        <f>C274*E274</f>
        <v>199500.6</v>
      </c>
      <c r="G274" s="227"/>
      <c r="H274" s="165"/>
      <c r="I274" s="165"/>
      <c r="K274" s="286"/>
    </row>
    <row r="275" spans="1:11" s="34" customFormat="1" ht="14.45">
      <c r="A275" s="59"/>
      <c r="B275" s="100"/>
      <c r="C275" s="61"/>
      <c r="D275" s="62"/>
      <c r="E275" s="157"/>
      <c r="F275" s="152"/>
      <c r="G275" s="227"/>
      <c r="H275" s="165"/>
      <c r="I275" s="165"/>
      <c r="K275" s="286"/>
    </row>
    <row r="276" spans="1:11" s="34" customFormat="1" ht="27.6">
      <c r="A276" s="66" t="s">
        <v>17</v>
      </c>
      <c r="B276" s="67" t="s">
        <v>694</v>
      </c>
      <c r="C276" s="68">
        <v>1340</v>
      </c>
      <c r="D276" s="69" t="s">
        <v>199</v>
      </c>
      <c r="E276" s="157">
        <v>255.77</v>
      </c>
      <c r="F276" s="152">
        <f>C276*E276</f>
        <v>342731.8</v>
      </c>
      <c r="G276" s="227"/>
      <c r="H276" s="165"/>
      <c r="I276" s="165"/>
      <c r="K276" s="286"/>
    </row>
    <row r="277" spans="1:11" s="34" customFormat="1" ht="14.45">
      <c r="A277" s="59"/>
      <c r="B277" s="100"/>
      <c r="C277" s="61"/>
      <c r="D277" s="62"/>
      <c r="E277" s="157"/>
      <c r="F277" s="152"/>
      <c r="G277" s="227"/>
      <c r="H277" s="165"/>
      <c r="I277" s="165"/>
      <c r="K277" s="286"/>
    </row>
    <row r="278" spans="1:11" s="34" customFormat="1" ht="41.45">
      <c r="A278" s="66"/>
      <c r="B278" s="98" t="s">
        <v>695</v>
      </c>
      <c r="C278" s="68"/>
      <c r="D278" s="69"/>
      <c r="E278" s="157"/>
      <c r="F278" s="152"/>
      <c r="G278" s="227"/>
      <c r="H278" s="165"/>
      <c r="I278" s="165"/>
      <c r="K278" s="286"/>
    </row>
    <row r="279" spans="1:11" s="34" customFormat="1" ht="14.45">
      <c r="A279" s="59"/>
      <c r="B279" s="100"/>
      <c r="C279" s="61"/>
      <c r="D279" s="62"/>
      <c r="E279" s="157"/>
      <c r="F279" s="152"/>
      <c r="G279" s="227"/>
      <c r="H279" s="165"/>
      <c r="I279" s="165"/>
      <c r="K279" s="286"/>
    </row>
    <row r="280" spans="1:11" s="34" customFormat="1" ht="14.45">
      <c r="A280" s="66" t="s">
        <v>20</v>
      </c>
      <c r="B280" s="67" t="s">
        <v>696</v>
      </c>
      <c r="C280" s="68" t="s">
        <v>697</v>
      </c>
      <c r="D280" s="69" t="s">
        <v>16</v>
      </c>
      <c r="E280" s="157">
        <v>134.75</v>
      </c>
      <c r="F280" s="152">
        <f>C280*E280</f>
        <v>81119.5</v>
      </c>
      <c r="G280" s="227" t="s">
        <v>698</v>
      </c>
      <c r="H280" s="165"/>
      <c r="I280" s="165"/>
      <c r="K280" s="286"/>
    </row>
    <row r="281" spans="1:11" s="34" customFormat="1" ht="14.45">
      <c r="A281" s="59"/>
      <c r="B281" s="100"/>
      <c r="C281" s="61"/>
      <c r="D281" s="62"/>
      <c r="E281" s="157"/>
      <c r="F281" s="152"/>
      <c r="G281" s="227"/>
      <c r="H281" s="165"/>
      <c r="I281" s="165"/>
      <c r="K281" s="286"/>
    </row>
    <row r="282" spans="1:11" s="34" customFormat="1" ht="14.45">
      <c r="A282" s="66" t="s">
        <v>23</v>
      </c>
      <c r="B282" s="67" t="s">
        <v>699</v>
      </c>
      <c r="C282" s="68" t="s">
        <v>700</v>
      </c>
      <c r="D282" s="69" t="s">
        <v>16</v>
      </c>
      <c r="E282" s="157">
        <v>134.75</v>
      </c>
      <c r="F282" s="152">
        <f>C282*E282</f>
        <v>16035.25</v>
      </c>
      <c r="G282" s="227" t="s">
        <v>698</v>
      </c>
      <c r="H282" s="165"/>
      <c r="I282" s="165"/>
      <c r="K282" s="286"/>
    </row>
    <row r="283" spans="1:11" s="34" customFormat="1" ht="14.45">
      <c r="A283" s="59"/>
      <c r="B283" s="100"/>
      <c r="C283" s="61"/>
      <c r="D283" s="62"/>
      <c r="E283" s="157"/>
      <c r="F283" s="152"/>
      <c r="G283" s="227"/>
      <c r="H283" s="165"/>
      <c r="I283" s="165"/>
      <c r="K283" s="286"/>
    </row>
    <row r="284" spans="1:11" s="34" customFormat="1" ht="14.45">
      <c r="A284" s="66" t="s">
        <v>27</v>
      </c>
      <c r="B284" s="67" t="s">
        <v>701</v>
      </c>
      <c r="C284" s="68" t="s">
        <v>688</v>
      </c>
      <c r="D284" s="69" t="s">
        <v>16</v>
      </c>
      <c r="E284" s="157">
        <v>134.75</v>
      </c>
      <c r="F284" s="152">
        <f>C284*E284</f>
        <v>5390</v>
      </c>
      <c r="G284" s="227" t="s">
        <v>698</v>
      </c>
      <c r="H284" s="165"/>
      <c r="I284" s="165"/>
      <c r="K284" s="286"/>
    </row>
    <row r="285" spans="1:11" s="34" customFormat="1" ht="14.45">
      <c r="A285" s="59"/>
      <c r="B285" s="100"/>
      <c r="C285" s="61"/>
      <c r="D285" s="62"/>
      <c r="E285" s="157"/>
      <c r="F285" s="152"/>
      <c r="G285" s="227"/>
      <c r="H285" s="165"/>
      <c r="I285" s="165"/>
      <c r="K285" s="286"/>
    </row>
    <row r="286" spans="1:11" s="34" customFormat="1" ht="27.6">
      <c r="A286" s="66"/>
      <c r="B286" s="98" t="s">
        <v>702</v>
      </c>
      <c r="C286" s="68"/>
      <c r="D286" s="69"/>
      <c r="E286" s="157"/>
      <c r="F286" s="152"/>
      <c r="G286" s="227"/>
      <c r="H286" s="165"/>
      <c r="I286" s="165"/>
      <c r="K286" s="286"/>
    </row>
    <row r="287" spans="1:11" s="34" customFormat="1" ht="14.45">
      <c r="A287" s="59"/>
      <c r="B287" s="100"/>
      <c r="C287" s="61"/>
      <c r="D287" s="62"/>
      <c r="E287" s="157"/>
      <c r="F287" s="152"/>
      <c r="G287" s="227"/>
      <c r="H287" s="165"/>
      <c r="I287" s="165"/>
      <c r="K287" s="286"/>
    </row>
    <row r="288" spans="1:11" s="34" customFormat="1" ht="14.45">
      <c r="A288" s="66" t="s">
        <v>44</v>
      </c>
      <c r="B288" s="67" t="s">
        <v>703</v>
      </c>
      <c r="C288" s="68">
        <v>340</v>
      </c>
      <c r="D288" s="69" t="s">
        <v>16</v>
      </c>
      <c r="E288" s="157">
        <v>179.04</v>
      </c>
      <c r="F288" s="152">
        <f>C288*E288</f>
        <v>60873.599999999999</v>
      </c>
      <c r="G288" s="227"/>
      <c r="H288" s="165"/>
      <c r="I288" s="165"/>
      <c r="K288" s="286"/>
    </row>
    <row r="289" spans="1:11" s="34" customFormat="1" ht="14.45">
      <c r="A289" s="66"/>
      <c r="B289" s="99"/>
      <c r="C289" s="68"/>
      <c r="D289" s="69"/>
      <c r="E289" s="157"/>
      <c r="F289" s="152"/>
      <c r="G289" s="227"/>
      <c r="H289" s="165"/>
      <c r="I289" s="165"/>
      <c r="K289" s="286"/>
    </row>
    <row r="290" spans="1:11" s="34" customFormat="1" ht="14.45">
      <c r="A290" s="66" t="s">
        <v>48</v>
      </c>
      <c r="B290" s="67" t="s">
        <v>704</v>
      </c>
      <c r="C290" s="68">
        <v>696</v>
      </c>
      <c r="D290" s="69" t="s">
        <v>16</v>
      </c>
      <c r="E290" s="157">
        <v>179.04</v>
      </c>
      <c r="F290" s="152">
        <f>C290*E290</f>
        <v>124611.84</v>
      </c>
      <c r="G290" s="227"/>
      <c r="H290" s="165"/>
      <c r="I290" s="165"/>
      <c r="K290" s="286"/>
    </row>
    <row r="291" spans="1:11" s="34" customFormat="1" ht="14.45">
      <c r="A291" s="59"/>
      <c r="B291" s="100"/>
      <c r="C291" s="61"/>
      <c r="D291" s="62"/>
      <c r="E291" s="157"/>
      <c r="F291" s="152"/>
      <c r="G291" s="227"/>
      <c r="H291" s="165"/>
      <c r="I291" s="165"/>
      <c r="K291" s="286"/>
    </row>
    <row r="292" spans="1:11" s="34" customFormat="1" ht="55.15">
      <c r="A292" s="66"/>
      <c r="B292" s="98" t="s">
        <v>705</v>
      </c>
      <c r="C292" s="68"/>
      <c r="D292" s="69"/>
      <c r="E292" s="157"/>
      <c r="F292" s="152"/>
      <c r="G292" s="227"/>
      <c r="H292" s="165"/>
      <c r="I292" s="165"/>
      <c r="K292" s="286"/>
    </row>
    <row r="293" spans="1:11" s="34" customFormat="1" ht="14.45">
      <c r="A293" s="66" t="s">
        <v>84</v>
      </c>
      <c r="B293" s="81" t="s">
        <v>706</v>
      </c>
      <c r="C293" s="68">
        <v>2768</v>
      </c>
      <c r="D293" s="69" t="s">
        <v>16</v>
      </c>
      <c r="E293" s="157">
        <v>778.61</v>
      </c>
      <c r="F293" s="152">
        <f>C293*E293</f>
        <v>2155192.48</v>
      </c>
      <c r="G293" s="227" t="s">
        <v>707</v>
      </c>
      <c r="H293" s="165"/>
      <c r="I293" s="165"/>
      <c r="K293" s="286"/>
    </row>
    <row r="294" spans="1:11" s="34" customFormat="1" ht="14.45">
      <c r="A294" s="59"/>
      <c r="B294" s="100"/>
      <c r="C294" s="61"/>
      <c r="D294" s="62"/>
      <c r="E294" s="157"/>
      <c r="F294" s="152"/>
      <c r="G294" s="227"/>
      <c r="H294" s="165"/>
      <c r="I294" s="165"/>
      <c r="K294" s="286"/>
    </row>
    <row r="295" spans="1:11" s="34" customFormat="1" ht="14.45">
      <c r="A295" s="66" t="s">
        <v>86</v>
      </c>
      <c r="B295" s="67" t="s">
        <v>708</v>
      </c>
      <c r="C295" s="68" t="s">
        <v>709</v>
      </c>
      <c r="D295" s="69" t="s">
        <v>199</v>
      </c>
      <c r="E295" s="157">
        <v>177.79</v>
      </c>
      <c r="F295" s="152">
        <f>C295*E295</f>
        <v>954732.29999999993</v>
      </c>
      <c r="G295" s="227"/>
      <c r="H295" s="165"/>
      <c r="I295" s="165"/>
      <c r="J295" s="165"/>
      <c r="K295" s="286"/>
    </row>
    <row r="296" spans="1:11" s="34" customFormat="1" ht="14.45">
      <c r="A296" s="59"/>
      <c r="B296" s="100"/>
      <c r="C296" s="61"/>
      <c r="D296" s="62"/>
      <c r="E296" s="157"/>
      <c r="F296" s="152"/>
      <c r="G296" s="227"/>
      <c r="H296" s="165"/>
      <c r="I296" s="165"/>
      <c r="K296" s="286"/>
    </row>
    <row r="297" spans="1:11" s="34" customFormat="1" ht="55.15">
      <c r="A297" s="66"/>
      <c r="B297" s="98" t="s">
        <v>710</v>
      </c>
      <c r="C297" s="68"/>
      <c r="D297" s="69"/>
      <c r="E297" s="157"/>
      <c r="F297" s="152"/>
      <c r="G297" s="227"/>
      <c r="H297" s="165"/>
      <c r="I297" s="165"/>
      <c r="K297" s="286"/>
    </row>
    <row r="298" spans="1:11" s="34" customFormat="1" ht="14.45">
      <c r="A298" s="59"/>
      <c r="B298" s="100"/>
      <c r="C298" s="61"/>
      <c r="D298" s="62"/>
      <c r="E298" s="157"/>
      <c r="F298" s="152"/>
      <c r="G298" s="227"/>
      <c r="H298" s="165"/>
      <c r="I298" s="165"/>
      <c r="K298" s="286"/>
    </row>
    <row r="299" spans="1:11" s="34" customFormat="1" ht="27.6">
      <c r="A299" s="66" t="s">
        <v>90</v>
      </c>
      <c r="B299" s="67" t="s">
        <v>711</v>
      </c>
      <c r="C299" s="68" t="s">
        <v>712</v>
      </c>
      <c r="D299" s="69" t="s">
        <v>16</v>
      </c>
      <c r="E299" s="157">
        <v>2936.38</v>
      </c>
      <c r="F299" s="152">
        <f>C299*E299</f>
        <v>91027.78</v>
      </c>
      <c r="G299" s="227"/>
      <c r="H299" s="165"/>
      <c r="I299" s="165"/>
      <c r="K299" s="286"/>
    </row>
    <row r="300" spans="1:11" s="34" customFormat="1" ht="14.45">
      <c r="A300" s="59"/>
      <c r="B300" s="100"/>
      <c r="C300" s="61"/>
      <c r="D300" s="62"/>
      <c r="E300" s="157"/>
      <c r="F300" s="152"/>
      <c r="G300" s="227"/>
      <c r="H300" s="165"/>
      <c r="I300" s="165"/>
      <c r="K300" s="286"/>
    </row>
    <row r="301" spans="1:11" s="34" customFormat="1" ht="27.6">
      <c r="A301" s="66" t="s">
        <v>92</v>
      </c>
      <c r="B301" s="67" t="s">
        <v>713</v>
      </c>
      <c r="C301" s="68" t="s">
        <v>714</v>
      </c>
      <c r="D301" s="69" t="s">
        <v>16</v>
      </c>
      <c r="E301" s="157">
        <v>3388.13</v>
      </c>
      <c r="F301" s="152">
        <f>C301*E301</f>
        <v>27105.040000000001</v>
      </c>
      <c r="G301" s="227"/>
      <c r="H301" s="165"/>
      <c r="I301" s="165"/>
      <c r="K301" s="286"/>
    </row>
    <row r="302" spans="1:11" s="34" customFormat="1" ht="14.45">
      <c r="A302" s="59"/>
      <c r="B302" s="100"/>
      <c r="C302" s="61"/>
      <c r="D302" s="62"/>
      <c r="E302" s="157"/>
      <c r="F302" s="152"/>
      <c r="G302" s="227"/>
      <c r="H302" s="165"/>
      <c r="I302" s="165"/>
      <c r="K302" s="286"/>
    </row>
    <row r="303" spans="1:11" s="34" customFormat="1" ht="14.45">
      <c r="A303" s="66" t="s">
        <v>94</v>
      </c>
      <c r="B303" s="67" t="s">
        <v>715</v>
      </c>
      <c r="C303" s="68" t="s">
        <v>716</v>
      </c>
      <c r="D303" s="69" t="s">
        <v>16</v>
      </c>
      <c r="E303" s="157">
        <v>2936.38</v>
      </c>
      <c r="F303" s="152">
        <f>C303*E303</f>
        <v>70473.119999999995</v>
      </c>
      <c r="G303" s="227"/>
      <c r="H303" s="165"/>
      <c r="I303" s="165"/>
      <c r="K303" s="286"/>
    </row>
    <row r="304" spans="1:11" s="34" customFormat="1" ht="14.45">
      <c r="A304" s="66"/>
      <c r="B304" s="67"/>
      <c r="C304" s="68"/>
      <c r="D304" s="69"/>
      <c r="E304" s="157"/>
      <c r="F304" s="152"/>
      <c r="G304" s="227"/>
      <c r="H304" s="165"/>
      <c r="I304" s="165"/>
      <c r="K304" s="286"/>
    </row>
    <row r="305" spans="1:11" s="34" customFormat="1" ht="28.9">
      <c r="A305" s="59"/>
      <c r="B305" s="230" t="s">
        <v>420</v>
      </c>
      <c r="C305" s="61"/>
      <c r="D305" s="62"/>
      <c r="E305" s="157"/>
      <c r="F305" s="152"/>
      <c r="G305" s="227"/>
      <c r="H305" s="165"/>
      <c r="I305" s="165"/>
      <c r="K305" s="286"/>
    </row>
    <row r="306" spans="1:11" s="34" customFormat="1" ht="14.45">
      <c r="A306" s="71"/>
      <c r="B306" s="72"/>
      <c r="C306" s="73"/>
      <c r="D306" s="74"/>
      <c r="E306" s="159"/>
      <c r="F306" s="138"/>
      <c r="G306" s="226"/>
      <c r="H306" s="165"/>
      <c r="I306" s="165"/>
      <c r="K306" s="286"/>
    </row>
    <row r="307" spans="1:11" s="34" customFormat="1" ht="14.45">
      <c r="A307" s="75"/>
      <c r="B307" s="76"/>
      <c r="C307" s="77" t="s">
        <v>30</v>
      </c>
      <c r="D307" s="77"/>
      <c r="E307" s="160" t="s">
        <v>8</v>
      </c>
      <c r="F307" s="139">
        <f>SUM(F272:F305)</f>
        <v>4128793.3099999996</v>
      </c>
      <c r="G307" s="227"/>
      <c r="H307" s="165"/>
      <c r="I307" s="165"/>
      <c r="K307" s="286"/>
    </row>
    <row r="308" spans="1:11" s="34" customFormat="1" ht="14.45">
      <c r="A308" s="75"/>
      <c r="B308" s="76"/>
      <c r="C308" s="78"/>
      <c r="D308" s="79"/>
      <c r="E308" s="161"/>
      <c r="F308" s="140"/>
      <c r="G308" s="228"/>
      <c r="H308" s="165"/>
      <c r="I308" s="165"/>
      <c r="K308" s="286"/>
    </row>
    <row r="309" spans="1:11" s="34" customFormat="1" ht="14.45">
      <c r="A309" s="59"/>
      <c r="B309" s="63"/>
      <c r="C309" s="61"/>
      <c r="D309" s="62"/>
      <c r="E309" s="157"/>
      <c r="F309" s="152"/>
      <c r="G309" s="227"/>
      <c r="H309" s="165"/>
      <c r="I309" s="165"/>
      <c r="K309" s="286"/>
    </row>
    <row r="310" spans="1:11" s="34" customFormat="1" ht="14.45">
      <c r="A310" s="59"/>
      <c r="B310" s="64" t="s">
        <v>616</v>
      </c>
      <c r="C310" s="61"/>
      <c r="D310" s="62"/>
      <c r="E310" s="157"/>
      <c r="F310" s="152"/>
      <c r="G310" s="227"/>
      <c r="H310" s="165"/>
      <c r="I310" s="165"/>
      <c r="K310" s="286"/>
    </row>
    <row r="311" spans="1:11" s="34" customFormat="1" ht="14.45">
      <c r="A311" s="59"/>
      <c r="B311" s="100"/>
      <c r="C311" s="61"/>
      <c r="D311" s="62"/>
      <c r="E311" s="157"/>
      <c r="F311" s="152"/>
      <c r="G311" s="227"/>
      <c r="H311" s="165"/>
      <c r="I311" s="165"/>
      <c r="K311" s="286"/>
    </row>
    <row r="312" spans="1:11" s="34" customFormat="1" ht="14.45">
      <c r="A312" s="66" t="s">
        <v>14</v>
      </c>
      <c r="B312" s="67" t="s">
        <v>717</v>
      </c>
      <c r="C312" s="68">
        <v>20</v>
      </c>
      <c r="D312" s="69" t="s">
        <v>16</v>
      </c>
      <c r="E312" s="157">
        <v>3614</v>
      </c>
      <c r="F312" s="152">
        <f>C312*E312</f>
        <v>72280</v>
      </c>
      <c r="G312" s="227"/>
      <c r="H312" s="165"/>
      <c r="I312" s="165"/>
      <c r="K312" s="286"/>
    </row>
    <row r="313" spans="1:11" s="34" customFormat="1" ht="14.45">
      <c r="A313" s="59"/>
      <c r="B313" s="100"/>
      <c r="C313" s="61"/>
      <c r="D313" s="62"/>
      <c r="E313" s="157"/>
      <c r="F313" s="152"/>
      <c r="G313" s="227"/>
      <c r="H313" s="165"/>
      <c r="I313" s="165"/>
      <c r="K313" s="286"/>
    </row>
    <row r="314" spans="1:11" s="34" customFormat="1" ht="14.45">
      <c r="A314" s="66" t="s">
        <v>17</v>
      </c>
      <c r="B314" s="67" t="s">
        <v>718</v>
      </c>
      <c r="C314" s="68">
        <v>114</v>
      </c>
      <c r="D314" s="69" t="s">
        <v>16</v>
      </c>
      <c r="E314" s="157">
        <v>2439.4499999999998</v>
      </c>
      <c r="F314" s="152">
        <f>C314*E314</f>
        <v>278097.3</v>
      </c>
      <c r="G314" s="227"/>
      <c r="H314" s="165"/>
      <c r="I314" s="165"/>
      <c r="K314" s="286"/>
    </row>
    <row r="315" spans="1:11" s="34" customFormat="1" ht="14.45">
      <c r="A315" s="59"/>
      <c r="B315" s="100"/>
      <c r="C315" s="61"/>
      <c r="D315" s="62"/>
      <c r="E315" s="157"/>
      <c r="F315" s="152"/>
      <c r="G315" s="227"/>
      <c r="H315" s="165"/>
      <c r="I315" s="165"/>
      <c r="K315" s="286"/>
    </row>
    <row r="316" spans="1:11" s="34" customFormat="1" ht="14.45">
      <c r="A316" s="66" t="s">
        <v>20</v>
      </c>
      <c r="B316" s="67" t="s">
        <v>719</v>
      </c>
      <c r="C316" s="68">
        <v>13</v>
      </c>
      <c r="D316" s="69" t="s">
        <v>16</v>
      </c>
      <c r="E316" s="157">
        <v>3171.29</v>
      </c>
      <c r="F316" s="152">
        <f>C316*E316</f>
        <v>41226.769999999997</v>
      </c>
      <c r="G316" s="227"/>
      <c r="H316" s="165"/>
      <c r="I316" s="165"/>
      <c r="K316" s="286"/>
    </row>
    <row r="317" spans="1:11" s="34" customFormat="1" ht="14.45">
      <c r="A317" s="59"/>
      <c r="B317" s="100"/>
      <c r="C317" s="61"/>
      <c r="D317" s="62"/>
      <c r="E317" s="157"/>
      <c r="F317" s="152"/>
      <c r="G317" s="227"/>
      <c r="H317" s="165"/>
      <c r="I317" s="165"/>
      <c r="K317" s="286"/>
    </row>
    <row r="318" spans="1:11" s="34" customFormat="1" ht="55.15">
      <c r="A318" s="66"/>
      <c r="B318" s="98" t="s">
        <v>720</v>
      </c>
      <c r="C318" s="68"/>
      <c r="D318" s="69"/>
      <c r="E318" s="157"/>
      <c r="F318" s="152"/>
      <c r="G318" s="227"/>
      <c r="H318" s="165"/>
      <c r="I318" s="165"/>
      <c r="K318" s="286"/>
    </row>
    <row r="319" spans="1:11" s="34" customFormat="1" ht="14.45">
      <c r="A319" s="59"/>
      <c r="B319" s="100"/>
      <c r="C319" s="61"/>
      <c r="D319" s="62"/>
      <c r="E319" s="157"/>
      <c r="F319" s="152"/>
      <c r="G319" s="227"/>
      <c r="H319" s="165"/>
      <c r="I319" s="165"/>
      <c r="K319" s="286"/>
    </row>
    <row r="320" spans="1:11" s="34" customFormat="1" ht="14.45">
      <c r="A320" s="66" t="s">
        <v>23</v>
      </c>
      <c r="B320" s="67" t="s">
        <v>721</v>
      </c>
      <c r="C320" s="68" t="s">
        <v>722</v>
      </c>
      <c r="D320" s="69" t="s">
        <v>199</v>
      </c>
      <c r="E320" s="157">
        <v>2641.13</v>
      </c>
      <c r="F320" s="152">
        <f>C320*E320</f>
        <v>274677.52</v>
      </c>
      <c r="G320" s="227"/>
      <c r="H320" s="165"/>
      <c r="I320" s="165"/>
      <c r="K320" s="286"/>
    </row>
    <row r="321" spans="1:11" s="34" customFormat="1" ht="14.45">
      <c r="A321" s="59"/>
      <c r="B321" s="100"/>
      <c r="C321" s="61"/>
      <c r="D321" s="62"/>
      <c r="E321" s="157"/>
      <c r="F321" s="152"/>
      <c r="G321" s="227"/>
      <c r="H321" s="165"/>
      <c r="I321" s="165"/>
      <c r="K321" s="286"/>
    </row>
    <row r="322" spans="1:11" s="34" customFormat="1" ht="55.15">
      <c r="A322" s="66"/>
      <c r="B322" s="98" t="s">
        <v>723</v>
      </c>
      <c r="C322" s="68"/>
      <c r="D322" s="69"/>
      <c r="E322" s="157"/>
      <c r="F322" s="152"/>
      <c r="G322" s="227"/>
      <c r="H322" s="165"/>
      <c r="I322" s="165"/>
      <c r="K322" s="286"/>
    </row>
    <row r="323" spans="1:11" s="34" customFormat="1" ht="14.45">
      <c r="A323" s="59"/>
      <c r="B323" s="100"/>
      <c r="C323" s="61"/>
      <c r="D323" s="62"/>
      <c r="E323" s="157"/>
      <c r="F323" s="152"/>
      <c r="G323" s="227"/>
      <c r="H323" s="165"/>
      <c r="I323" s="165"/>
      <c r="K323" s="286"/>
    </row>
    <row r="324" spans="1:11" s="34" customFormat="1" ht="27.6">
      <c r="A324" s="66" t="s">
        <v>27</v>
      </c>
      <c r="B324" s="67" t="s">
        <v>724</v>
      </c>
      <c r="C324" s="68" t="s">
        <v>725</v>
      </c>
      <c r="D324" s="69" t="s">
        <v>16</v>
      </c>
      <c r="E324" s="157">
        <v>1265.3699999999999</v>
      </c>
      <c r="F324" s="152">
        <f>C324*E324</f>
        <v>310015.64999999997</v>
      </c>
      <c r="G324" s="227" t="s">
        <v>726</v>
      </c>
      <c r="H324" s="165"/>
      <c r="I324" s="165"/>
      <c r="K324" s="286"/>
    </row>
    <row r="325" spans="1:11" s="34" customFormat="1" ht="14.45">
      <c r="A325" s="59"/>
      <c r="B325" s="100"/>
      <c r="C325" s="61"/>
      <c r="D325" s="62"/>
      <c r="E325" s="157"/>
      <c r="F325" s="152"/>
      <c r="G325" s="227"/>
      <c r="H325" s="165"/>
      <c r="I325" s="165"/>
      <c r="K325" s="286"/>
    </row>
    <row r="326" spans="1:11" s="34" customFormat="1" ht="27.6">
      <c r="A326" s="66" t="s">
        <v>44</v>
      </c>
      <c r="B326" s="67" t="s">
        <v>727</v>
      </c>
      <c r="C326" s="68">
        <v>133</v>
      </c>
      <c r="D326" s="69" t="s">
        <v>16</v>
      </c>
      <c r="E326" s="157">
        <v>1265.3699999999999</v>
      </c>
      <c r="F326" s="152">
        <f>C326*E326</f>
        <v>168294.21</v>
      </c>
      <c r="G326" s="227" t="s">
        <v>726</v>
      </c>
      <c r="H326" s="165"/>
      <c r="I326" s="165"/>
      <c r="K326" s="286"/>
    </row>
    <row r="327" spans="1:11" s="34" customFormat="1" ht="14.45">
      <c r="A327" s="59"/>
      <c r="B327" s="100"/>
      <c r="C327" s="61"/>
      <c r="D327" s="62"/>
      <c r="E327" s="157"/>
      <c r="F327" s="152"/>
      <c r="G327" s="227"/>
      <c r="H327" s="165"/>
      <c r="I327" s="165"/>
      <c r="K327" s="286"/>
    </row>
    <row r="328" spans="1:11" s="34" customFormat="1" ht="27.6">
      <c r="A328" s="66" t="s">
        <v>48</v>
      </c>
      <c r="B328" s="67" t="s">
        <v>728</v>
      </c>
      <c r="C328" s="68">
        <v>438</v>
      </c>
      <c r="D328" s="69" t="s">
        <v>16</v>
      </c>
      <c r="E328" s="157">
        <v>1265.3699999999999</v>
      </c>
      <c r="F328" s="152">
        <f>C328*E328</f>
        <v>554232.05999999994</v>
      </c>
      <c r="G328" s="227" t="s">
        <v>726</v>
      </c>
      <c r="H328" s="165"/>
      <c r="I328" s="165"/>
      <c r="K328" s="286"/>
    </row>
    <row r="329" spans="1:11" s="34" customFormat="1" ht="14.45">
      <c r="A329" s="59"/>
      <c r="B329" s="100"/>
      <c r="C329" s="61"/>
      <c r="D329" s="62"/>
      <c r="E329" s="157"/>
      <c r="F329" s="152"/>
      <c r="G329" s="227"/>
      <c r="H329" s="165"/>
      <c r="I329" s="165"/>
      <c r="K329" s="286"/>
    </row>
    <row r="330" spans="1:11" s="34" customFormat="1" ht="55.15">
      <c r="A330" s="66"/>
      <c r="B330" s="98" t="s">
        <v>729</v>
      </c>
      <c r="C330" s="68"/>
      <c r="D330" s="69"/>
      <c r="E330" s="157"/>
      <c r="F330" s="152"/>
      <c r="G330" s="227"/>
      <c r="H330" s="165"/>
      <c r="I330" s="165"/>
      <c r="K330" s="286"/>
    </row>
    <row r="331" spans="1:11" s="34" customFormat="1" ht="14.45">
      <c r="A331" s="59"/>
      <c r="B331" s="100"/>
      <c r="C331" s="61"/>
      <c r="D331" s="62"/>
      <c r="E331" s="157"/>
      <c r="F331" s="152"/>
      <c r="G331" s="227"/>
      <c r="H331" s="165"/>
      <c r="I331" s="165"/>
      <c r="K331" s="286"/>
    </row>
    <row r="332" spans="1:11" s="34" customFormat="1" ht="27.6">
      <c r="A332" s="66" t="s">
        <v>84</v>
      </c>
      <c r="B332" s="67" t="s">
        <v>730</v>
      </c>
      <c r="C332" s="68">
        <v>279</v>
      </c>
      <c r="D332" s="69" t="s">
        <v>16</v>
      </c>
      <c r="E332" s="157">
        <v>2975.39</v>
      </c>
      <c r="F332" s="152">
        <f>C332*E332</f>
        <v>830133.80999999994</v>
      </c>
      <c r="G332" s="227"/>
      <c r="H332" s="165"/>
      <c r="I332" s="165"/>
      <c r="K332" s="286"/>
    </row>
    <row r="333" spans="1:11" s="34" customFormat="1" ht="14.45">
      <c r="A333" s="59"/>
      <c r="B333" s="100"/>
      <c r="C333" s="61"/>
      <c r="D333" s="62"/>
      <c r="E333" s="157"/>
      <c r="F333" s="152"/>
      <c r="G333" s="227"/>
      <c r="H333" s="165"/>
      <c r="I333" s="165"/>
      <c r="K333" s="286"/>
    </row>
    <row r="334" spans="1:11" s="34" customFormat="1" ht="41.45">
      <c r="A334" s="66"/>
      <c r="B334" s="98" t="s">
        <v>731</v>
      </c>
      <c r="C334" s="68"/>
      <c r="D334" s="69"/>
      <c r="E334" s="157"/>
      <c r="F334" s="152"/>
      <c r="G334" s="227"/>
      <c r="H334" s="165"/>
      <c r="I334" s="165"/>
      <c r="K334" s="286"/>
    </row>
    <row r="335" spans="1:11" s="34" customFormat="1" ht="14.45">
      <c r="A335" s="59"/>
      <c r="B335" s="100"/>
      <c r="C335" s="61"/>
      <c r="D335" s="62"/>
      <c r="E335" s="157"/>
      <c r="F335" s="152"/>
      <c r="G335" s="227"/>
      <c r="H335" s="165"/>
      <c r="I335" s="165"/>
      <c r="K335" s="286"/>
    </row>
    <row r="336" spans="1:11" s="34" customFormat="1" ht="27.6">
      <c r="A336" s="66" t="s">
        <v>86</v>
      </c>
      <c r="B336" s="67" t="s">
        <v>732</v>
      </c>
      <c r="C336" s="68" t="s">
        <v>733</v>
      </c>
      <c r="D336" s="69" t="s">
        <v>199</v>
      </c>
      <c r="E336" s="157">
        <v>730.22</v>
      </c>
      <c r="F336" s="152">
        <f>C336*E336</f>
        <v>125597.84000000001</v>
      </c>
      <c r="G336" s="227"/>
      <c r="H336" s="165"/>
      <c r="I336" s="165"/>
      <c r="K336" s="286"/>
    </row>
    <row r="337" spans="1:11" s="34" customFormat="1" ht="14.45">
      <c r="A337" s="59"/>
      <c r="B337" s="63"/>
      <c r="C337" s="61"/>
      <c r="D337" s="62"/>
      <c r="E337" s="157"/>
      <c r="F337" s="152"/>
      <c r="G337" s="227"/>
      <c r="H337" s="165"/>
      <c r="I337" s="165"/>
      <c r="K337" s="286"/>
    </row>
    <row r="338" spans="1:11" s="34" customFormat="1" ht="28.9">
      <c r="A338" s="59"/>
      <c r="B338" s="230" t="s">
        <v>420</v>
      </c>
      <c r="C338" s="61"/>
      <c r="D338" s="62"/>
      <c r="E338" s="157"/>
      <c r="F338" s="152"/>
      <c r="G338" s="227"/>
      <c r="H338" s="165"/>
      <c r="I338" s="165"/>
      <c r="K338" s="286"/>
    </row>
    <row r="339" spans="1:11" s="34" customFormat="1" ht="14.45">
      <c r="A339" s="71"/>
      <c r="B339" s="72"/>
      <c r="C339" s="73"/>
      <c r="D339" s="74"/>
      <c r="E339" s="159"/>
      <c r="F339" s="138"/>
      <c r="G339" s="226"/>
      <c r="H339" s="165"/>
      <c r="I339" s="165"/>
      <c r="K339" s="286"/>
    </row>
    <row r="340" spans="1:11" s="34" customFormat="1" ht="14.45">
      <c r="A340" s="75"/>
      <c r="B340" s="76"/>
      <c r="C340" s="77" t="s">
        <v>30</v>
      </c>
      <c r="D340" s="77"/>
      <c r="E340" s="160" t="s">
        <v>8</v>
      </c>
      <c r="F340" s="139">
        <f>SUM(F310:F338)</f>
        <v>2654555.1599999997</v>
      </c>
      <c r="G340" s="227"/>
      <c r="H340" s="165"/>
      <c r="I340" s="165"/>
      <c r="K340" s="286"/>
    </row>
    <row r="341" spans="1:11" s="34" customFormat="1" ht="14.45">
      <c r="A341" s="75"/>
      <c r="B341" s="76"/>
      <c r="C341" s="78"/>
      <c r="D341" s="79"/>
      <c r="E341" s="161"/>
      <c r="F341" s="140"/>
      <c r="G341" s="228"/>
      <c r="H341" s="165"/>
      <c r="I341" s="165"/>
      <c r="K341" s="286"/>
    </row>
    <row r="342" spans="1:11" s="34" customFormat="1" ht="14.45">
      <c r="A342" s="59"/>
      <c r="B342" s="63"/>
      <c r="C342" s="61"/>
      <c r="D342" s="62"/>
      <c r="E342" s="157"/>
      <c r="F342" s="152"/>
      <c r="G342" s="227"/>
      <c r="H342" s="165"/>
      <c r="I342" s="165"/>
      <c r="K342" s="286"/>
    </row>
    <row r="343" spans="1:11" s="34" customFormat="1" ht="14.45">
      <c r="A343" s="59"/>
      <c r="B343" s="64" t="s">
        <v>616</v>
      </c>
      <c r="C343" s="61"/>
      <c r="D343" s="62"/>
      <c r="E343" s="157"/>
      <c r="F343" s="152"/>
      <c r="G343" s="227"/>
      <c r="H343" s="165"/>
      <c r="I343" s="165"/>
      <c r="K343" s="286"/>
    </row>
    <row r="344" spans="1:11" s="34" customFormat="1" ht="14.45">
      <c r="A344" s="59"/>
      <c r="B344" s="100"/>
      <c r="C344" s="61"/>
      <c r="D344" s="62"/>
      <c r="E344" s="157"/>
      <c r="F344" s="152"/>
      <c r="G344" s="227"/>
      <c r="H344" s="165"/>
      <c r="I344" s="165"/>
      <c r="K344" s="286"/>
    </row>
    <row r="345" spans="1:11" s="34" customFormat="1" ht="55.15">
      <c r="A345" s="66"/>
      <c r="B345" s="98" t="s">
        <v>734</v>
      </c>
      <c r="C345" s="68"/>
      <c r="D345" s="69"/>
      <c r="E345" s="157"/>
      <c r="F345" s="152"/>
      <c r="G345" s="227"/>
      <c r="H345" s="165"/>
      <c r="I345" s="165"/>
      <c r="K345" s="286"/>
    </row>
    <row r="346" spans="1:11" s="34" customFormat="1" ht="14.45">
      <c r="A346" s="59"/>
      <c r="B346" s="100"/>
      <c r="C346" s="61"/>
      <c r="D346" s="62"/>
      <c r="E346" s="157"/>
      <c r="F346" s="152"/>
      <c r="G346" s="227"/>
      <c r="H346" s="165"/>
      <c r="I346" s="165"/>
      <c r="K346" s="286"/>
    </row>
    <row r="347" spans="1:11" s="34" customFormat="1" ht="14.45">
      <c r="A347" s="66" t="s">
        <v>14</v>
      </c>
      <c r="B347" s="67" t="s">
        <v>735</v>
      </c>
      <c r="C347" s="68">
        <v>180</v>
      </c>
      <c r="D347" s="69" t="s">
        <v>199</v>
      </c>
      <c r="E347" s="157">
        <v>4338.72</v>
      </c>
      <c r="F347" s="152">
        <f>C347*E347</f>
        <v>780969.60000000009</v>
      </c>
      <c r="G347" s="227"/>
      <c r="H347" s="165"/>
      <c r="I347" s="165"/>
      <c r="K347" s="286"/>
    </row>
    <row r="348" spans="1:11" s="34" customFormat="1" ht="14.45">
      <c r="A348" s="59"/>
      <c r="B348" s="100"/>
      <c r="C348" s="61"/>
      <c r="D348" s="62"/>
      <c r="E348" s="157"/>
      <c r="F348" s="152"/>
      <c r="G348" s="227"/>
      <c r="H348" s="165"/>
      <c r="I348" s="165"/>
      <c r="K348" s="286"/>
    </row>
    <row r="349" spans="1:11" s="34" customFormat="1" ht="14.45">
      <c r="A349" s="66" t="s">
        <v>17</v>
      </c>
      <c r="B349" s="67" t="s">
        <v>736</v>
      </c>
      <c r="C349" s="68" t="s">
        <v>737</v>
      </c>
      <c r="D349" s="69" t="s">
        <v>199</v>
      </c>
      <c r="E349" s="157">
        <v>3979.3</v>
      </c>
      <c r="F349" s="152">
        <f>C349*E349</f>
        <v>238758</v>
      </c>
      <c r="G349" s="227"/>
      <c r="H349" s="165"/>
      <c r="I349" s="165"/>
      <c r="K349" s="286"/>
    </row>
    <row r="350" spans="1:11" s="34" customFormat="1" ht="14.45">
      <c r="A350" s="59"/>
      <c r="B350" s="100"/>
      <c r="C350" s="61"/>
      <c r="D350" s="62"/>
      <c r="E350" s="157"/>
      <c r="F350" s="152"/>
      <c r="G350" s="227"/>
      <c r="H350" s="165"/>
      <c r="I350" s="165"/>
      <c r="K350" s="286"/>
    </row>
    <row r="351" spans="1:11" s="34" customFormat="1" ht="41.45">
      <c r="A351" s="66"/>
      <c r="B351" s="98" t="s">
        <v>738</v>
      </c>
      <c r="C351" s="68"/>
      <c r="D351" s="69"/>
      <c r="E351" s="157"/>
      <c r="F351" s="152"/>
      <c r="G351" s="227"/>
      <c r="H351" s="165"/>
      <c r="I351" s="165"/>
      <c r="K351" s="286"/>
    </row>
    <row r="352" spans="1:11" s="34" customFormat="1" ht="14.45">
      <c r="A352" s="59"/>
      <c r="B352" s="100"/>
      <c r="C352" s="61"/>
      <c r="D352" s="62"/>
      <c r="E352" s="157"/>
      <c r="F352" s="152"/>
      <c r="G352" s="227"/>
      <c r="H352" s="165"/>
      <c r="I352" s="165"/>
      <c r="K352" s="286"/>
    </row>
    <row r="353" spans="1:11" s="34" customFormat="1" ht="14.45">
      <c r="A353" s="66" t="s">
        <v>20</v>
      </c>
      <c r="B353" s="67" t="s">
        <v>739</v>
      </c>
      <c r="C353" s="68" t="s">
        <v>740</v>
      </c>
      <c r="D353" s="69" t="s">
        <v>16</v>
      </c>
      <c r="E353" s="157">
        <v>218.77</v>
      </c>
      <c r="F353" s="152">
        <f>C353*E353</f>
        <v>23189.620000000003</v>
      </c>
      <c r="G353" s="227" t="s">
        <v>344</v>
      </c>
      <c r="H353" s="165"/>
      <c r="I353" s="165"/>
      <c r="K353" s="286"/>
    </row>
    <row r="354" spans="1:11" s="34" customFormat="1" ht="14.45">
      <c r="A354" s="59"/>
      <c r="B354" s="100"/>
      <c r="C354" s="61"/>
      <c r="D354" s="62"/>
      <c r="E354" s="157"/>
      <c r="F354" s="152"/>
      <c r="G354" s="227"/>
      <c r="H354" s="165"/>
      <c r="I354" s="165"/>
      <c r="K354" s="286"/>
    </row>
    <row r="355" spans="1:11" s="34" customFormat="1" ht="14.45">
      <c r="A355" s="66" t="s">
        <v>23</v>
      </c>
      <c r="B355" s="67" t="s">
        <v>741</v>
      </c>
      <c r="C355" s="68" t="s">
        <v>737</v>
      </c>
      <c r="D355" s="69" t="s">
        <v>16</v>
      </c>
      <c r="E355" s="157">
        <v>238.98</v>
      </c>
      <c r="F355" s="152">
        <f>C355*E355</f>
        <v>14338.8</v>
      </c>
      <c r="G355" s="227" t="s">
        <v>344</v>
      </c>
      <c r="H355" s="165"/>
      <c r="I355" s="165"/>
      <c r="K355" s="286"/>
    </row>
    <row r="356" spans="1:11" s="34" customFormat="1" ht="14.45">
      <c r="A356" s="59"/>
      <c r="B356" s="100"/>
      <c r="C356" s="61"/>
      <c r="D356" s="62"/>
      <c r="E356" s="157"/>
      <c r="F356" s="152"/>
      <c r="G356" s="227"/>
      <c r="H356" s="165"/>
      <c r="I356" s="165"/>
      <c r="K356" s="286"/>
    </row>
    <row r="357" spans="1:11" s="34" customFormat="1" ht="55.15">
      <c r="A357" s="66"/>
      <c r="B357" s="98" t="s">
        <v>742</v>
      </c>
      <c r="C357" s="68"/>
      <c r="D357" s="69"/>
      <c r="E357" s="157"/>
      <c r="F357" s="152"/>
      <c r="G357" s="227"/>
      <c r="H357" s="165"/>
      <c r="I357" s="165"/>
      <c r="K357" s="286"/>
    </row>
    <row r="358" spans="1:11" s="34" customFormat="1" ht="14.45">
      <c r="A358" s="59"/>
      <c r="B358" s="100"/>
      <c r="C358" s="61"/>
      <c r="D358" s="62"/>
      <c r="E358" s="157"/>
      <c r="F358" s="152"/>
      <c r="G358" s="227"/>
      <c r="H358" s="165"/>
      <c r="I358" s="165"/>
      <c r="K358" s="286"/>
    </row>
    <row r="359" spans="1:11" s="34" customFormat="1" ht="14.45">
      <c r="A359" s="66" t="s">
        <v>27</v>
      </c>
      <c r="B359" s="67" t="s">
        <v>654</v>
      </c>
      <c r="C359" s="68">
        <v>398</v>
      </c>
      <c r="D359" s="69" t="s">
        <v>16</v>
      </c>
      <c r="E359" s="157">
        <v>540.66</v>
      </c>
      <c r="F359" s="152">
        <f>C359*E359</f>
        <v>215182.68</v>
      </c>
      <c r="G359" s="227" t="s">
        <v>655</v>
      </c>
      <c r="H359" s="165"/>
      <c r="I359" s="165"/>
      <c r="K359" s="286"/>
    </row>
    <row r="360" spans="1:11" s="34" customFormat="1" ht="14.45">
      <c r="A360" s="59"/>
      <c r="B360" s="63"/>
      <c r="C360" s="61"/>
      <c r="D360" s="62"/>
      <c r="E360" s="157"/>
      <c r="F360" s="152"/>
      <c r="G360" s="227"/>
      <c r="H360" s="165"/>
      <c r="I360" s="165"/>
      <c r="K360" s="286"/>
    </row>
    <row r="361" spans="1:11" s="34" customFormat="1" ht="82.9">
      <c r="A361" s="59"/>
      <c r="B361" s="63" t="s">
        <v>743</v>
      </c>
      <c r="C361" s="61"/>
      <c r="D361" s="62"/>
      <c r="E361" s="157"/>
      <c r="F361" s="152"/>
      <c r="G361" s="227"/>
      <c r="H361" s="165"/>
      <c r="I361" s="165"/>
      <c r="K361" s="286"/>
    </row>
    <row r="362" spans="1:11" s="34" customFormat="1" ht="14.45">
      <c r="A362" s="59"/>
      <c r="B362" s="63"/>
      <c r="C362" s="61"/>
      <c r="D362" s="62"/>
      <c r="E362" s="157"/>
      <c r="F362" s="152"/>
      <c r="G362" s="227"/>
      <c r="H362" s="165"/>
      <c r="I362" s="165"/>
      <c r="K362" s="286"/>
    </row>
    <row r="363" spans="1:11" s="34" customFormat="1" ht="14.45">
      <c r="A363" s="319" t="s">
        <v>44</v>
      </c>
      <c r="B363" s="295" t="s">
        <v>744</v>
      </c>
      <c r="C363" s="61">
        <v>29</v>
      </c>
      <c r="D363" s="69" t="s">
        <v>16</v>
      </c>
      <c r="E363" s="157">
        <v>206.82</v>
      </c>
      <c r="F363" s="152">
        <f>C363*E363</f>
        <v>5997.78</v>
      </c>
      <c r="G363" s="227" t="s">
        <v>344</v>
      </c>
      <c r="H363" s="165"/>
      <c r="I363" s="165"/>
      <c r="K363" s="286"/>
    </row>
    <row r="364" spans="1:11" s="34" customFormat="1" ht="14.45">
      <c r="A364" s="59"/>
      <c r="B364" s="63"/>
      <c r="C364" s="61"/>
      <c r="D364" s="62"/>
      <c r="E364" s="157"/>
      <c r="F364" s="152"/>
      <c r="G364" s="227"/>
      <c r="H364" s="165"/>
      <c r="I364" s="165"/>
      <c r="K364" s="286"/>
    </row>
    <row r="365" spans="1:11" s="34" customFormat="1" ht="14.45">
      <c r="A365" s="319" t="s">
        <v>48</v>
      </c>
      <c r="B365" s="295" t="s">
        <v>745</v>
      </c>
      <c r="C365" s="61">
        <v>47</v>
      </c>
      <c r="D365" s="69" t="s">
        <v>199</v>
      </c>
      <c r="E365" s="157">
        <v>21.72</v>
      </c>
      <c r="F365" s="152">
        <f>C365*E365</f>
        <v>1020.8399999999999</v>
      </c>
      <c r="G365" s="227" t="s">
        <v>344</v>
      </c>
      <c r="H365" s="165"/>
      <c r="I365" s="165"/>
      <c r="K365" s="286"/>
    </row>
    <row r="366" spans="1:11" s="34" customFormat="1" ht="14.45">
      <c r="A366" s="59"/>
      <c r="B366" s="63"/>
      <c r="C366" s="61"/>
      <c r="D366" s="69"/>
      <c r="E366" s="157"/>
      <c r="F366" s="152"/>
      <c r="G366" s="227"/>
      <c r="H366" s="165"/>
      <c r="I366" s="165"/>
      <c r="K366" s="286"/>
    </row>
    <row r="367" spans="1:11" s="34" customFormat="1" ht="14.45">
      <c r="A367" s="319" t="s">
        <v>84</v>
      </c>
      <c r="B367" s="295" t="s">
        <v>746</v>
      </c>
      <c r="C367" s="61">
        <v>52</v>
      </c>
      <c r="D367" s="69" t="s">
        <v>199</v>
      </c>
      <c r="E367" s="157">
        <v>36.19</v>
      </c>
      <c r="F367" s="152">
        <f>C367*E367</f>
        <v>1881.8799999999999</v>
      </c>
      <c r="G367" s="227" t="s">
        <v>344</v>
      </c>
      <c r="H367" s="165"/>
      <c r="I367" s="165"/>
      <c r="K367" s="286"/>
    </row>
    <row r="368" spans="1:11" s="34" customFormat="1" ht="14.45">
      <c r="A368" s="59"/>
      <c r="B368" s="63"/>
      <c r="C368" s="61"/>
      <c r="D368" s="69"/>
      <c r="E368" s="157"/>
      <c r="F368" s="152"/>
      <c r="G368" s="227"/>
      <c r="H368" s="165"/>
      <c r="I368" s="165"/>
      <c r="K368" s="286"/>
    </row>
    <row r="369" spans="1:11" s="34" customFormat="1" ht="27.6">
      <c r="A369" s="319" t="s">
        <v>86</v>
      </c>
      <c r="B369" s="295" t="s">
        <v>747</v>
      </c>
      <c r="C369" s="61">
        <v>47</v>
      </c>
      <c r="D369" s="69" t="s">
        <v>199</v>
      </c>
      <c r="E369" s="157">
        <v>23.78</v>
      </c>
      <c r="F369" s="152">
        <f>C369*E369</f>
        <v>1117.6600000000001</v>
      </c>
      <c r="G369" s="227" t="s">
        <v>344</v>
      </c>
      <c r="H369" s="165"/>
      <c r="I369" s="165"/>
      <c r="K369" s="286"/>
    </row>
    <row r="370" spans="1:11" s="34" customFormat="1" ht="14.45">
      <c r="A370" s="59"/>
      <c r="B370" s="63"/>
      <c r="C370" s="61"/>
      <c r="D370" s="62"/>
      <c r="E370" s="157"/>
      <c r="F370" s="152"/>
      <c r="G370" s="227"/>
      <c r="H370" s="165"/>
      <c r="I370" s="165"/>
      <c r="K370" s="286"/>
    </row>
    <row r="371" spans="1:11" s="34" customFormat="1" ht="57.6">
      <c r="A371" s="59"/>
      <c r="B371" s="225" t="s">
        <v>549</v>
      </c>
      <c r="C371" s="61"/>
      <c r="D371" s="62"/>
      <c r="E371" s="157"/>
      <c r="F371" s="152"/>
      <c r="G371" s="227"/>
      <c r="H371" s="165"/>
      <c r="I371" s="165"/>
      <c r="K371" s="286"/>
    </row>
    <row r="372" spans="1:11" s="34" customFormat="1" ht="14.45">
      <c r="A372" s="71"/>
      <c r="B372" s="72"/>
      <c r="C372" s="73"/>
      <c r="D372" s="74"/>
      <c r="E372" s="159"/>
      <c r="F372" s="138"/>
      <c r="G372" s="226"/>
      <c r="H372" s="165"/>
      <c r="I372" s="165"/>
      <c r="K372" s="286"/>
    </row>
    <row r="373" spans="1:11" s="34" customFormat="1" ht="14.45">
      <c r="A373" s="75"/>
      <c r="B373" s="76"/>
      <c r="C373" s="77" t="s">
        <v>30</v>
      </c>
      <c r="D373" s="77"/>
      <c r="E373" s="160" t="s">
        <v>8</v>
      </c>
      <c r="F373" s="139">
        <f>SUM(F345:F370)</f>
        <v>1282456.8599999999</v>
      </c>
      <c r="G373" s="227"/>
      <c r="H373" s="165"/>
      <c r="I373" s="165"/>
      <c r="K373" s="286"/>
    </row>
    <row r="374" spans="1:11" s="34" customFormat="1" ht="14.45">
      <c r="A374" s="75"/>
      <c r="B374" s="76"/>
      <c r="C374" s="78"/>
      <c r="D374" s="79"/>
      <c r="E374" s="161"/>
      <c r="F374" s="140"/>
      <c r="G374" s="228"/>
      <c r="H374" s="165"/>
      <c r="I374" s="165"/>
      <c r="K374" s="286"/>
    </row>
    <row r="375" spans="1:11" s="34" customFormat="1" ht="14.45">
      <c r="A375" s="59"/>
      <c r="B375" s="63"/>
      <c r="C375" s="61"/>
      <c r="D375" s="62"/>
      <c r="E375" s="157"/>
      <c r="F375" s="152"/>
      <c r="G375" s="227"/>
      <c r="H375" s="165"/>
      <c r="I375" s="165"/>
      <c r="K375" s="286"/>
    </row>
    <row r="376" spans="1:11" s="34" customFormat="1" ht="14.45">
      <c r="A376" s="59"/>
      <c r="B376" s="64" t="s">
        <v>616</v>
      </c>
      <c r="C376" s="61"/>
      <c r="D376" s="62"/>
      <c r="E376" s="157"/>
      <c r="F376" s="152"/>
      <c r="G376" s="227"/>
      <c r="H376" s="165"/>
      <c r="I376" s="165"/>
      <c r="K376" s="286"/>
    </row>
    <row r="377" spans="1:11" s="34" customFormat="1" ht="14.45">
      <c r="A377" s="59"/>
      <c r="B377" s="100"/>
      <c r="C377" s="61"/>
      <c r="D377" s="62"/>
      <c r="E377" s="157"/>
      <c r="F377" s="152"/>
      <c r="G377" s="227"/>
      <c r="H377" s="165"/>
      <c r="I377" s="165"/>
      <c r="K377" s="286"/>
    </row>
    <row r="378" spans="1:11" s="34" customFormat="1" ht="69">
      <c r="A378" s="66"/>
      <c r="B378" s="99" t="s">
        <v>748</v>
      </c>
      <c r="C378" s="68"/>
      <c r="D378" s="69"/>
      <c r="E378" s="157"/>
      <c r="F378" s="152"/>
      <c r="G378" s="227"/>
      <c r="H378" s="165"/>
      <c r="I378" s="165"/>
      <c r="K378" s="286"/>
    </row>
    <row r="379" spans="1:11" s="34" customFormat="1" ht="14.45">
      <c r="A379" s="59"/>
      <c r="B379" s="100"/>
      <c r="C379" s="61"/>
      <c r="D379" s="62"/>
      <c r="E379" s="157"/>
      <c r="F379" s="152"/>
      <c r="G379" s="227"/>
      <c r="H379" s="165"/>
      <c r="I379" s="165"/>
      <c r="K379" s="286"/>
    </row>
    <row r="380" spans="1:11" s="34" customFormat="1" ht="14.45">
      <c r="A380" s="66" t="s">
        <v>14</v>
      </c>
      <c r="B380" s="67" t="s">
        <v>749</v>
      </c>
      <c r="C380" s="68">
        <v>437</v>
      </c>
      <c r="D380" s="69" t="s">
        <v>16</v>
      </c>
      <c r="E380" s="157">
        <v>1648.89</v>
      </c>
      <c r="F380" s="152">
        <f>C380*E380</f>
        <v>720564.93</v>
      </c>
      <c r="G380" s="227"/>
      <c r="H380" s="165"/>
      <c r="I380" s="165"/>
      <c r="K380" s="286"/>
    </row>
    <row r="381" spans="1:11" s="34" customFormat="1" ht="14.45">
      <c r="A381" s="59"/>
      <c r="B381" s="100"/>
      <c r="C381" s="61"/>
      <c r="D381" s="62"/>
      <c r="E381" s="157"/>
      <c r="F381" s="152"/>
      <c r="G381" s="227"/>
      <c r="H381" s="165"/>
      <c r="I381" s="165"/>
      <c r="K381" s="286"/>
    </row>
    <row r="382" spans="1:11" s="34" customFormat="1" ht="55.15">
      <c r="A382" s="66"/>
      <c r="B382" s="99" t="s">
        <v>750</v>
      </c>
      <c r="C382" s="68"/>
      <c r="D382" s="69"/>
      <c r="E382" s="157"/>
      <c r="F382" s="152"/>
      <c r="G382" s="227"/>
      <c r="H382" s="165"/>
      <c r="I382" s="165"/>
      <c r="K382" s="286"/>
    </row>
    <row r="383" spans="1:11" s="34" customFormat="1" ht="14.45">
      <c r="A383" s="59"/>
      <c r="B383" s="100"/>
      <c r="C383" s="61"/>
      <c r="D383" s="62"/>
      <c r="E383" s="157"/>
      <c r="F383" s="152"/>
      <c r="G383" s="227"/>
      <c r="H383" s="165"/>
      <c r="I383" s="165"/>
      <c r="K383" s="286"/>
    </row>
    <row r="384" spans="1:11" s="34" customFormat="1" ht="14.45">
      <c r="A384" s="66" t="s">
        <v>17</v>
      </c>
      <c r="B384" s="70" t="s">
        <v>654</v>
      </c>
      <c r="C384" s="68">
        <v>1354</v>
      </c>
      <c r="D384" s="69" t="s">
        <v>16</v>
      </c>
      <c r="E384" s="157">
        <v>491.28</v>
      </c>
      <c r="F384" s="152">
        <f>C384*E384</f>
        <v>665193.12</v>
      </c>
      <c r="G384" s="227" t="s">
        <v>655</v>
      </c>
      <c r="H384" s="165"/>
      <c r="I384" s="165"/>
      <c r="K384" s="286"/>
    </row>
    <row r="385" spans="1:11" s="34" customFormat="1" ht="14.45">
      <c r="A385" s="59"/>
      <c r="B385" s="100"/>
      <c r="C385" s="61"/>
      <c r="D385" s="62"/>
      <c r="E385" s="157"/>
      <c r="F385" s="152"/>
      <c r="G385" s="227"/>
      <c r="H385" s="165"/>
      <c r="I385" s="165"/>
      <c r="K385" s="286"/>
    </row>
    <row r="386" spans="1:11" s="34" customFormat="1" ht="14.45">
      <c r="A386" s="66"/>
      <c r="B386" s="99"/>
      <c r="C386" s="68"/>
      <c r="D386" s="69"/>
      <c r="E386" s="157"/>
      <c r="F386" s="152"/>
      <c r="G386" s="227"/>
      <c r="H386" s="165"/>
      <c r="I386" s="165"/>
      <c r="K386" s="286"/>
    </row>
    <row r="387" spans="1:11" s="34" customFormat="1" ht="14.45">
      <c r="A387" s="59"/>
      <c r="B387" s="100"/>
      <c r="C387" s="61"/>
      <c r="D387" s="62"/>
      <c r="E387" s="157"/>
      <c r="F387" s="152"/>
      <c r="G387" s="227"/>
      <c r="H387" s="165"/>
      <c r="I387" s="165"/>
      <c r="K387" s="286"/>
    </row>
    <row r="388" spans="1:11" s="34" customFormat="1" ht="14.45">
      <c r="A388" s="66"/>
      <c r="B388" s="98"/>
      <c r="C388" s="68"/>
      <c r="D388" s="69"/>
      <c r="E388" s="157"/>
      <c r="F388" s="152"/>
      <c r="G388" s="227"/>
      <c r="H388" s="165"/>
      <c r="I388" s="165"/>
      <c r="K388" s="286"/>
    </row>
    <row r="389" spans="1:11" s="34" customFormat="1" ht="14.45">
      <c r="A389" s="59"/>
      <c r="B389" s="100"/>
      <c r="C389" s="61"/>
      <c r="D389" s="62"/>
      <c r="E389" s="157"/>
      <c r="F389" s="152"/>
      <c r="G389" s="227"/>
      <c r="H389" s="165"/>
      <c r="I389" s="165"/>
      <c r="K389" s="286"/>
    </row>
    <row r="390" spans="1:11" s="34" customFormat="1" ht="14.45">
      <c r="A390" s="66"/>
      <c r="B390" s="99"/>
      <c r="C390" s="68"/>
      <c r="D390" s="69"/>
      <c r="E390" s="157"/>
      <c r="F390" s="152"/>
      <c r="G390" s="227"/>
      <c r="H390" s="165"/>
      <c r="I390" s="165"/>
      <c r="K390" s="286"/>
    </row>
    <row r="391" spans="1:11" s="34" customFormat="1" ht="14.45">
      <c r="A391" s="59"/>
      <c r="B391" s="100"/>
      <c r="C391" s="61"/>
      <c r="D391" s="62"/>
      <c r="E391" s="157"/>
      <c r="F391" s="152"/>
      <c r="G391" s="227"/>
      <c r="H391" s="165"/>
      <c r="I391" s="165"/>
      <c r="K391" s="286"/>
    </row>
    <row r="392" spans="1:11" s="34" customFormat="1" ht="14.45">
      <c r="A392" s="66"/>
      <c r="B392" s="98"/>
      <c r="C392" s="68"/>
      <c r="D392" s="69"/>
      <c r="E392" s="157"/>
      <c r="F392" s="152"/>
      <c r="G392" s="227"/>
      <c r="H392" s="165"/>
      <c r="I392" s="165"/>
      <c r="K392" s="286"/>
    </row>
    <row r="393" spans="1:11" s="34" customFormat="1" ht="14.45">
      <c r="A393" s="59"/>
      <c r="B393" s="100"/>
      <c r="C393" s="61"/>
      <c r="D393" s="62"/>
      <c r="E393" s="157"/>
      <c r="F393" s="152"/>
      <c r="G393" s="227"/>
      <c r="H393" s="165"/>
      <c r="I393" s="165"/>
      <c r="K393" s="286"/>
    </row>
    <row r="394" spans="1:11" s="34" customFormat="1" ht="14.45">
      <c r="A394" s="66"/>
      <c r="B394" s="99"/>
      <c r="C394" s="68"/>
      <c r="D394" s="69"/>
      <c r="E394" s="157"/>
      <c r="F394" s="152"/>
      <c r="G394" s="227"/>
      <c r="H394" s="165"/>
      <c r="I394" s="165"/>
      <c r="K394" s="286"/>
    </row>
    <row r="395" spans="1:11" s="34" customFormat="1" ht="14.45">
      <c r="A395" s="59"/>
      <c r="B395" s="100"/>
      <c r="C395" s="61"/>
      <c r="D395" s="62"/>
      <c r="E395" s="157"/>
      <c r="F395" s="152"/>
      <c r="G395" s="227"/>
      <c r="H395" s="165"/>
      <c r="I395" s="165"/>
      <c r="K395" s="286"/>
    </row>
    <row r="396" spans="1:11" s="34" customFormat="1" ht="14.45">
      <c r="A396" s="66"/>
      <c r="B396" s="98"/>
      <c r="C396" s="68"/>
      <c r="D396" s="69"/>
      <c r="E396" s="157"/>
      <c r="F396" s="152"/>
      <c r="G396" s="227"/>
      <c r="H396" s="165"/>
      <c r="I396" s="165"/>
      <c r="K396" s="286"/>
    </row>
    <row r="397" spans="1:11" s="34" customFormat="1" ht="14.45">
      <c r="A397" s="59"/>
      <c r="B397" s="100"/>
      <c r="C397" s="61"/>
      <c r="D397" s="62"/>
      <c r="E397" s="157"/>
      <c r="F397" s="152"/>
      <c r="G397" s="227"/>
      <c r="H397" s="165"/>
      <c r="I397" s="165"/>
      <c r="K397" s="286"/>
    </row>
    <row r="398" spans="1:11" s="34" customFormat="1" ht="14.45">
      <c r="A398" s="66"/>
      <c r="B398" s="99"/>
      <c r="C398" s="68"/>
      <c r="D398" s="69"/>
      <c r="E398" s="157"/>
      <c r="F398" s="152"/>
      <c r="G398" s="227"/>
      <c r="H398" s="165"/>
      <c r="I398" s="165"/>
      <c r="K398" s="286"/>
    </row>
    <row r="399" spans="1:11" s="34" customFormat="1" ht="14.45">
      <c r="A399" s="59"/>
      <c r="B399" s="100"/>
      <c r="C399" s="61"/>
      <c r="D399" s="62"/>
      <c r="E399" s="157"/>
      <c r="F399" s="152"/>
      <c r="G399" s="227"/>
      <c r="H399" s="165"/>
      <c r="I399" s="165"/>
      <c r="K399" s="286"/>
    </row>
    <row r="400" spans="1:11" s="34" customFormat="1" ht="14.45">
      <c r="A400" s="66"/>
      <c r="B400" s="99"/>
      <c r="C400" s="68"/>
      <c r="D400" s="69"/>
      <c r="E400" s="157"/>
      <c r="F400" s="152"/>
      <c r="G400" s="227"/>
      <c r="H400" s="165"/>
      <c r="I400" s="165"/>
      <c r="K400" s="286"/>
    </row>
    <row r="401" spans="1:11" s="34" customFormat="1" ht="14.45">
      <c r="A401" s="59"/>
      <c r="B401" s="100"/>
      <c r="C401" s="61"/>
      <c r="D401" s="62"/>
      <c r="E401" s="157"/>
      <c r="F401" s="152"/>
      <c r="G401" s="227"/>
      <c r="H401" s="165"/>
      <c r="I401" s="165"/>
      <c r="K401" s="286"/>
    </row>
    <row r="402" spans="1:11" s="34" customFormat="1" ht="14.45">
      <c r="A402" s="66"/>
      <c r="B402" s="99"/>
      <c r="C402" s="68"/>
      <c r="D402" s="69"/>
      <c r="E402" s="157"/>
      <c r="F402" s="152"/>
      <c r="G402" s="227"/>
      <c r="H402" s="165"/>
      <c r="I402" s="165"/>
      <c r="K402" s="286"/>
    </row>
    <row r="403" spans="1:11" s="34" customFormat="1" ht="14.45">
      <c r="A403" s="59"/>
      <c r="B403" s="100"/>
      <c r="C403" s="61"/>
      <c r="D403" s="62"/>
      <c r="E403" s="157"/>
      <c r="F403" s="152"/>
      <c r="G403" s="227"/>
      <c r="H403" s="165"/>
      <c r="I403" s="165"/>
      <c r="K403" s="286"/>
    </row>
    <row r="404" spans="1:11" s="34" customFormat="1" ht="14.45">
      <c r="A404" s="66"/>
      <c r="B404" s="99"/>
      <c r="C404" s="68"/>
      <c r="D404" s="69"/>
      <c r="E404" s="157"/>
      <c r="F404" s="152"/>
      <c r="G404" s="227"/>
      <c r="H404" s="165"/>
      <c r="I404" s="165"/>
      <c r="K404" s="286"/>
    </row>
    <row r="405" spans="1:11" s="34" customFormat="1" ht="14.45">
      <c r="A405" s="59"/>
      <c r="B405" s="100"/>
      <c r="C405" s="61"/>
      <c r="D405" s="62"/>
      <c r="E405" s="157"/>
      <c r="F405" s="152"/>
      <c r="G405" s="227"/>
      <c r="H405" s="165"/>
      <c r="I405" s="165"/>
      <c r="K405" s="286"/>
    </row>
    <row r="406" spans="1:11" s="34" customFormat="1" ht="14.45">
      <c r="A406" s="59"/>
      <c r="B406" s="100"/>
      <c r="C406" s="61"/>
      <c r="D406" s="62"/>
      <c r="E406" s="157"/>
      <c r="F406" s="152"/>
      <c r="G406" s="227"/>
      <c r="H406" s="165"/>
      <c r="I406" s="165"/>
      <c r="K406" s="286"/>
    </row>
    <row r="407" spans="1:11" s="34" customFormat="1" ht="14.45">
      <c r="A407" s="59"/>
      <c r="B407" s="100"/>
      <c r="C407" s="61"/>
      <c r="D407" s="62"/>
      <c r="E407" s="157"/>
      <c r="F407" s="152"/>
      <c r="G407" s="227"/>
      <c r="H407" s="165"/>
      <c r="I407" s="165"/>
      <c r="K407" s="286"/>
    </row>
    <row r="408" spans="1:11" s="34" customFormat="1" ht="14.45">
      <c r="A408" s="66"/>
      <c r="B408" s="99"/>
      <c r="C408" s="68"/>
      <c r="D408" s="69"/>
      <c r="E408" s="157"/>
      <c r="F408" s="152"/>
      <c r="G408" s="227"/>
      <c r="H408" s="165"/>
      <c r="I408" s="165"/>
      <c r="K408" s="286"/>
    </row>
    <row r="409" spans="1:11" s="34" customFormat="1" ht="14.45">
      <c r="A409" s="66"/>
      <c r="B409" s="99"/>
      <c r="C409" s="68"/>
      <c r="D409" s="69"/>
      <c r="E409" s="157"/>
      <c r="F409" s="152"/>
      <c r="G409" s="227"/>
      <c r="H409" s="165"/>
      <c r="I409" s="165"/>
      <c r="K409" s="286"/>
    </row>
    <row r="410" spans="1:11" s="34" customFormat="1" ht="28.9">
      <c r="A410" s="59"/>
      <c r="B410" s="230" t="s">
        <v>420</v>
      </c>
      <c r="C410" s="61"/>
      <c r="D410" s="62"/>
      <c r="E410" s="157"/>
      <c r="F410" s="152"/>
      <c r="G410" s="227"/>
      <c r="H410" s="165"/>
      <c r="I410" s="165"/>
      <c r="K410" s="286"/>
    </row>
    <row r="411" spans="1:11" s="34" customFormat="1" ht="14.45">
      <c r="A411" s="71"/>
      <c r="B411" s="72"/>
      <c r="C411" s="73"/>
      <c r="D411" s="74"/>
      <c r="E411" s="159"/>
      <c r="F411" s="138"/>
      <c r="G411" s="226"/>
      <c r="H411" s="165"/>
      <c r="I411" s="165"/>
      <c r="K411" s="286"/>
    </row>
    <row r="412" spans="1:11" s="34" customFormat="1" ht="14.45">
      <c r="A412" s="75"/>
      <c r="B412" s="76"/>
      <c r="C412" s="77" t="s">
        <v>30</v>
      </c>
      <c r="D412" s="77"/>
      <c r="E412" s="160" t="s">
        <v>8</v>
      </c>
      <c r="F412" s="139">
        <f>SUM(F378:F395)</f>
        <v>1385758.05</v>
      </c>
      <c r="G412" s="227"/>
      <c r="H412" s="165"/>
      <c r="I412" s="165"/>
      <c r="K412" s="286"/>
    </row>
    <row r="413" spans="1:11" s="34" customFormat="1" ht="14.45">
      <c r="A413" s="75"/>
      <c r="B413" s="76"/>
      <c r="C413" s="78"/>
      <c r="D413" s="79"/>
      <c r="E413" s="161"/>
      <c r="F413" s="140"/>
      <c r="G413" s="228"/>
      <c r="H413" s="165"/>
      <c r="I413" s="165"/>
      <c r="K413" s="286"/>
    </row>
    <row r="414" spans="1:11" s="34" customFormat="1" ht="14.45">
      <c r="A414" s="59"/>
      <c r="B414" s="63"/>
      <c r="C414" s="61"/>
      <c r="D414" s="62"/>
      <c r="E414" s="157"/>
      <c r="F414" s="152"/>
      <c r="G414" s="227"/>
      <c r="H414" s="165"/>
      <c r="I414" s="165"/>
      <c r="K414" s="286"/>
    </row>
    <row r="415" spans="1:11" s="34" customFormat="1" ht="14.45">
      <c r="A415" s="59"/>
      <c r="B415" s="64" t="s">
        <v>751</v>
      </c>
      <c r="C415" s="61"/>
      <c r="D415" s="62"/>
      <c r="E415" s="157"/>
      <c r="F415" s="152"/>
      <c r="G415" s="227"/>
      <c r="H415" s="165"/>
      <c r="I415" s="165"/>
      <c r="K415" s="286"/>
    </row>
    <row r="416" spans="1:11" s="34" customFormat="1" ht="14.45">
      <c r="A416" s="59"/>
      <c r="B416" s="100"/>
      <c r="C416" s="61"/>
      <c r="D416" s="62"/>
      <c r="E416" s="157"/>
      <c r="F416" s="152"/>
      <c r="G416" s="227"/>
      <c r="H416" s="165"/>
      <c r="I416" s="165"/>
      <c r="K416" s="286"/>
    </row>
    <row r="417" spans="1:11" s="34" customFormat="1" ht="14.45">
      <c r="A417" s="66"/>
      <c r="B417" s="99" t="s">
        <v>11</v>
      </c>
      <c r="C417" s="68"/>
      <c r="D417" s="69"/>
      <c r="E417" s="157"/>
      <c r="F417" s="152"/>
      <c r="G417" s="227"/>
      <c r="H417" s="165"/>
      <c r="I417" s="165"/>
      <c r="K417" s="286"/>
    </row>
    <row r="418" spans="1:11" s="34" customFormat="1" ht="14.45">
      <c r="A418" s="59"/>
      <c r="B418" s="100"/>
      <c r="C418" s="61"/>
      <c r="D418" s="62"/>
      <c r="E418" s="157"/>
      <c r="F418" s="152"/>
      <c r="G418" s="227"/>
      <c r="H418" s="165"/>
      <c r="I418" s="165"/>
      <c r="K418" s="286"/>
    </row>
    <row r="419" spans="1:11" s="34" customFormat="1" ht="27.6">
      <c r="A419" s="66"/>
      <c r="B419" s="99" t="s">
        <v>242</v>
      </c>
      <c r="C419" s="68"/>
      <c r="D419" s="69"/>
      <c r="E419" s="157"/>
      <c r="F419" s="152"/>
      <c r="G419" s="227"/>
      <c r="H419" s="165"/>
      <c r="I419" s="165"/>
      <c r="K419" s="286"/>
    </row>
    <row r="420" spans="1:11" s="34" customFormat="1" ht="14.45">
      <c r="A420" s="59"/>
      <c r="B420" s="100"/>
      <c r="C420" s="61"/>
      <c r="D420" s="62"/>
      <c r="E420" s="157"/>
      <c r="F420" s="152"/>
      <c r="G420" s="227"/>
      <c r="H420" s="165"/>
      <c r="I420" s="165"/>
      <c r="K420" s="286"/>
    </row>
    <row r="421" spans="1:11" s="34" customFormat="1" ht="14.45">
      <c r="A421" s="66"/>
      <c r="B421" s="99" t="s">
        <v>495</v>
      </c>
      <c r="C421" s="68"/>
      <c r="D421" s="69"/>
      <c r="E421" s="157"/>
      <c r="F421" s="152"/>
      <c r="G421" s="227"/>
      <c r="H421" s="165"/>
      <c r="I421" s="165"/>
      <c r="K421" s="286"/>
    </row>
    <row r="422" spans="1:11" s="34" customFormat="1" ht="14.45">
      <c r="A422" s="59"/>
      <c r="B422" s="100"/>
      <c r="C422" s="61"/>
      <c r="D422" s="62"/>
      <c r="E422" s="157"/>
      <c r="F422" s="152"/>
      <c r="G422" s="227"/>
      <c r="H422" s="165"/>
      <c r="I422" s="165"/>
      <c r="K422" s="286"/>
    </row>
    <row r="423" spans="1:11" s="34" customFormat="1" ht="41.45">
      <c r="A423" s="66"/>
      <c r="B423" s="98" t="s">
        <v>752</v>
      </c>
      <c r="C423" s="68"/>
      <c r="D423" s="69"/>
      <c r="E423" s="157"/>
      <c r="F423" s="152"/>
      <c r="G423" s="227"/>
      <c r="H423" s="165"/>
      <c r="I423" s="165"/>
      <c r="K423" s="286"/>
    </row>
    <row r="424" spans="1:11" s="34" customFormat="1" ht="14.45">
      <c r="A424" s="59"/>
      <c r="B424" s="100"/>
      <c r="C424" s="61"/>
      <c r="D424" s="62"/>
      <c r="E424" s="157"/>
      <c r="F424" s="152"/>
      <c r="G424" s="227"/>
      <c r="H424" s="165"/>
      <c r="I424" s="165"/>
      <c r="K424" s="286"/>
    </row>
    <row r="425" spans="1:11" s="34" customFormat="1" ht="14.45">
      <c r="A425" s="66" t="s">
        <v>14</v>
      </c>
      <c r="B425" s="67" t="s">
        <v>753</v>
      </c>
      <c r="C425" s="68">
        <v>680</v>
      </c>
      <c r="D425" s="69" t="s">
        <v>16</v>
      </c>
      <c r="E425" s="157">
        <v>1265.3699999999999</v>
      </c>
      <c r="F425" s="152">
        <f>C425*E425</f>
        <v>860451.6</v>
      </c>
      <c r="G425" s="227" t="s">
        <v>726</v>
      </c>
      <c r="H425" s="165"/>
      <c r="I425" s="165"/>
      <c r="K425" s="286"/>
    </row>
    <row r="426" spans="1:11" s="34" customFormat="1" ht="14.45">
      <c r="A426" s="59"/>
      <c r="B426" s="100"/>
      <c r="C426" s="61"/>
      <c r="D426" s="62"/>
      <c r="E426" s="157"/>
      <c r="F426" s="152"/>
      <c r="G426" s="227"/>
      <c r="H426" s="165"/>
      <c r="I426" s="165"/>
      <c r="K426" s="286"/>
    </row>
    <row r="427" spans="1:11" s="34" customFormat="1" ht="55.15">
      <c r="A427" s="66"/>
      <c r="B427" s="98" t="s">
        <v>754</v>
      </c>
      <c r="C427" s="68"/>
      <c r="D427" s="69"/>
      <c r="E427" s="157"/>
      <c r="F427" s="152"/>
      <c r="G427" s="227"/>
      <c r="H427" s="165"/>
      <c r="I427" s="165"/>
      <c r="K427" s="286"/>
    </row>
    <row r="428" spans="1:11" s="34" customFormat="1" ht="14.45">
      <c r="A428" s="59"/>
      <c r="B428" s="100"/>
      <c r="C428" s="61"/>
      <c r="D428" s="62"/>
      <c r="E428" s="157"/>
      <c r="F428" s="152"/>
      <c r="G428" s="227"/>
      <c r="H428" s="165"/>
      <c r="I428" s="165"/>
      <c r="K428" s="286"/>
    </row>
    <row r="429" spans="1:11" s="34" customFormat="1" ht="14.45">
      <c r="A429" s="66" t="s">
        <v>17</v>
      </c>
      <c r="B429" s="67" t="s">
        <v>755</v>
      </c>
      <c r="C429" s="68" t="s">
        <v>756</v>
      </c>
      <c r="D429" s="69" t="s">
        <v>16</v>
      </c>
      <c r="E429" s="157">
        <v>664.67</v>
      </c>
      <c r="F429" s="152">
        <f>C429*E429</f>
        <v>1696902.51</v>
      </c>
      <c r="G429" s="227"/>
      <c r="H429" s="165"/>
      <c r="I429" s="165"/>
      <c r="K429" s="286"/>
    </row>
    <row r="430" spans="1:11" s="34" customFormat="1" ht="14.45">
      <c r="A430" s="59"/>
      <c r="B430" s="100"/>
      <c r="C430" s="61"/>
      <c r="D430" s="62"/>
      <c r="E430" s="157"/>
      <c r="F430" s="152"/>
      <c r="G430" s="227"/>
      <c r="H430" s="165"/>
      <c r="I430" s="165"/>
      <c r="K430" s="286"/>
    </row>
    <row r="431" spans="1:11" s="34" customFormat="1" ht="55.15">
      <c r="A431" s="66"/>
      <c r="B431" s="98" t="s">
        <v>757</v>
      </c>
      <c r="C431" s="68"/>
      <c r="D431" s="69"/>
      <c r="E431" s="157"/>
      <c r="F431" s="152"/>
      <c r="G431" s="227"/>
      <c r="H431" s="165"/>
      <c r="I431" s="165"/>
      <c r="K431" s="286"/>
    </row>
    <row r="432" spans="1:11" s="34" customFormat="1" ht="14.45">
      <c r="A432" s="59"/>
      <c r="B432" s="100"/>
      <c r="C432" s="61"/>
      <c r="D432" s="62"/>
      <c r="E432" s="157"/>
      <c r="F432" s="152"/>
      <c r="G432" s="227"/>
      <c r="H432" s="165"/>
      <c r="I432" s="165"/>
      <c r="K432" s="286"/>
    </row>
    <row r="433" spans="1:11" s="34" customFormat="1" ht="14.45">
      <c r="A433" s="66" t="s">
        <v>20</v>
      </c>
      <c r="B433" s="67" t="s">
        <v>758</v>
      </c>
      <c r="C433" s="68">
        <v>1248</v>
      </c>
      <c r="D433" s="69" t="s">
        <v>16</v>
      </c>
      <c r="E433" s="157">
        <v>828.07</v>
      </c>
      <c r="F433" s="152">
        <f>C433*E433</f>
        <v>1033431.3600000001</v>
      </c>
      <c r="G433" s="227"/>
      <c r="H433" s="165"/>
      <c r="I433" s="165"/>
      <c r="K433" s="286"/>
    </row>
    <row r="434" spans="1:11" s="34" customFormat="1" ht="14.45">
      <c r="A434" s="59"/>
      <c r="B434" s="100"/>
      <c r="C434" s="61"/>
      <c r="D434" s="62"/>
      <c r="E434" s="157"/>
      <c r="F434" s="152"/>
      <c r="G434" s="227"/>
      <c r="H434" s="165"/>
      <c r="I434" s="165"/>
      <c r="K434" s="286"/>
    </row>
    <row r="435" spans="1:11" s="34" customFormat="1" ht="69">
      <c r="A435" s="66"/>
      <c r="B435" s="98" t="s">
        <v>759</v>
      </c>
      <c r="C435" s="68"/>
      <c r="D435" s="69"/>
      <c r="E435" s="157"/>
      <c r="F435" s="152"/>
      <c r="G435" s="227"/>
      <c r="H435" s="165"/>
      <c r="I435" s="165"/>
      <c r="K435" s="286"/>
    </row>
    <row r="436" spans="1:11" s="34" customFormat="1" ht="14.45">
      <c r="A436" s="59"/>
      <c r="B436" s="100"/>
      <c r="C436" s="61"/>
      <c r="D436" s="62"/>
      <c r="E436" s="157"/>
      <c r="F436" s="152"/>
      <c r="G436" s="227"/>
      <c r="H436" s="165"/>
      <c r="I436" s="165"/>
      <c r="K436" s="286"/>
    </row>
    <row r="437" spans="1:11" s="34" customFormat="1" ht="14.45">
      <c r="A437" s="66" t="s">
        <v>23</v>
      </c>
      <c r="B437" s="67" t="s">
        <v>760</v>
      </c>
      <c r="C437" s="68">
        <v>11</v>
      </c>
      <c r="D437" s="69" t="s">
        <v>63</v>
      </c>
      <c r="E437" s="157"/>
      <c r="F437" s="152" t="s">
        <v>69</v>
      </c>
      <c r="G437" s="227" t="s">
        <v>761</v>
      </c>
      <c r="H437" s="165"/>
      <c r="I437" s="165"/>
      <c r="K437" s="286"/>
    </row>
    <row r="438" spans="1:11" s="34" customFormat="1" ht="14.45">
      <c r="A438" s="59"/>
      <c r="B438" s="100"/>
      <c r="C438" s="61"/>
      <c r="D438" s="62"/>
      <c r="E438" s="157"/>
      <c r="F438" s="152"/>
      <c r="G438" s="227"/>
      <c r="H438" s="165"/>
      <c r="I438" s="165"/>
      <c r="K438" s="286"/>
    </row>
    <row r="439" spans="1:11" s="34" customFormat="1" ht="14.45">
      <c r="A439" s="66" t="s">
        <v>27</v>
      </c>
      <c r="B439" s="67" t="s">
        <v>762</v>
      </c>
      <c r="C439" s="68">
        <v>3267</v>
      </c>
      <c r="D439" s="69" t="s">
        <v>16</v>
      </c>
      <c r="E439" s="157">
        <v>2479.65</v>
      </c>
      <c r="F439" s="152">
        <f>C439*E439</f>
        <v>8101016.5500000007</v>
      </c>
      <c r="G439" s="227" t="s">
        <v>763</v>
      </c>
      <c r="H439" s="165"/>
      <c r="I439" s="165"/>
      <c r="K439" s="286"/>
    </row>
    <row r="440" spans="1:11" s="34" customFormat="1" ht="14.45">
      <c r="A440" s="59"/>
      <c r="B440" s="100"/>
      <c r="C440" s="61"/>
      <c r="D440" s="62"/>
      <c r="E440" s="157"/>
      <c r="F440" s="152"/>
      <c r="G440" s="227"/>
      <c r="H440" s="165"/>
      <c r="I440" s="165"/>
      <c r="K440" s="286"/>
    </row>
    <row r="441" spans="1:11" s="34" customFormat="1" ht="14.45">
      <c r="A441" s="219" t="s">
        <v>44</v>
      </c>
      <c r="B441" s="220" t="s">
        <v>764</v>
      </c>
      <c r="C441" s="221">
        <v>0</v>
      </c>
      <c r="D441" s="222" t="s">
        <v>16</v>
      </c>
      <c r="E441" s="157"/>
      <c r="F441" s="152" t="s">
        <v>765</v>
      </c>
      <c r="G441" s="227"/>
      <c r="H441" s="165"/>
      <c r="I441" s="165"/>
      <c r="K441" s="286"/>
    </row>
    <row r="442" spans="1:11" s="34" customFormat="1" ht="14.45">
      <c r="A442" s="59"/>
      <c r="B442" s="100"/>
      <c r="C442" s="61"/>
      <c r="D442" s="62"/>
      <c r="E442" s="157"/>
      <c r="F442" s="152"/>
      <c r="G442" s="227"/>
      <c r="H442" s="165"/>
      <c r="I442" s="165"/>
      <c r="K442" s="286"/>
    </row>
    <row r="443" spans="1:11" s="34" customFormat="1" ht="14.45">
      <c r="A443" s="66" t="s">
        <v>48</v>
      </c>
      <c r="B443" s="67" t="s">
        <v>766</v>
      </c>
      <c r="C443" s="68">
        <v>1023</v>
      </c>
      <c r="D443" s="69" t="s">
        <v>199</v>
      </c>
      <c r="E443" s="157">
        <v>2457.04</v>
      </c>
      <c r="F443" s="152">
        <f>C443*E443</f>
        <v>2513551.92</v>
      </c>
      <c r="G443" s="227"/>
      <c r="H443" s="165"/>
      <c r="I443" s="165"/>
      <c r="K443" s="286"/>
    </row>
    <row r="444" spans="1:11" s="34" customFormat="1" ht="14.45">
      <c r="A444" s="59"/>
      <c r="B444" s="100"/>
      <c r="C444" s="61"/>
      <c r="D444" s="62"/>
      <c r="E444" s="157"/>
      <c r="F444" s="152"/>
      <c r="G444" s="227"/>
      <c r="H444" s="165"/>
      <c r="I444" s="165"/>
      <c r="K444" s="286"/>
    </row>
    <row r="445" spans="1:11" s="34" customFormat="1" ht="14.45">
      <c r="A445" s="66" t="s">
        <v>84</v>
      </c>
      <c r="B445" s="67" t="s">
        <v>767</v>
      </c>
      <c r="C445" s="68">
        <v>631</v>
      </c>
      <c r="D445" s="69" t="s">
        <v>199</v>
      </c>
      <c r="E445" s="157">
        <v>735.01</v>
      </c>
      <c r="F445" s="152">
        <f>C445*E445</f>
        <v>463791.31</v>
      </c>
      <c r="G445" s="227"/>
      <c r="H445" s="165"/>
      <c r="I445" s="165"/>
      <c r="K445" s="286"/>
    </row>
    <row r="446" spans="1:11" s="34" customFormat="1" ht="14.45">
      <c r="A446" s="66"/>
      <c r="B446" s="67"/>
      <c r="C446" s="68"/>
      <c r="D446" s="69"/>
      <c r="E446" s="157"/>
      <c r="F446" s="152"/>
      <c r="G446" s="227"/>
      <c r="H446" s="165"/>
      <c r="I446" s="165"/>
      <c r="K446" s="286"/>
    </row>
    <row r="447" spans="1:11" s="34" customFormat="1" ht="28.9">
      <c r="A447" s="59"/>
      <c r="B447" s="230" t="s">
        <v>420</v>
      </c>
      <c r="C447" s="61"/>
      <c r="D447" s="62"/>
      <c r="E447" s="157"/>
      <c r="F447" s="152"/>
      <c r="G447" s="227"/>
      <c r="H447" s="165"/>
      <c r="I447" s="165"/>
      <c r="K447" s="286"/>
    </row>
    <row r="448" spans="1:11" s="34" customFormat="1" ht="14.45">
      <c r="A448" s="71"/>
      <c r="B448" s="72"/>
      <c r="C448" s="73"/>
      <c r="D448" s="74"/>
      <c r="E448" s="159"/>
      <c r="F448" s="138"/>
      <c r="G448" s="226"/>
      <c r="H448" s="165"/>
      <c r="I448" s="165"/>
      <c r="K448" s="286"/>
    </row>
    <row r="449" spans="1:11" s="34" customFormat="1" ht="14.45">
      <c r="A449" s="75"/>
      <c r="B449" s="76"/>
      <c r="C449" s="77" t="s">
        <v>30</v>
      </c>
      <c r="D449" s="77"/>
      <c r="E449" s="160" t="s">
        <v>8</v>
      </c>
      <c r="F449" s="139">
        <f>SUM(F423:F447)</f>
        <v>14669145.25</v>
      </c>
      <c r="G449" s="227"/>
      <c r="H449" s="165"/>
      <c r="I449" s="165"/>
      <c r="K449" s="286"/>
    </row>
    <row r="450" spans="1:11" s="34" customFormat="1" ht="14.45">
      <c r="A450" s="75"/>
      <c r="B450" s="76"/>
      <c r="C450" s="78"/>
      <c r="D450" s="79"/>
      <c r="E450" s="161"/>
      <c r="F450" s="140"/>
      <c r="G450" s="228"/>
      <c r="H450" s="165"/>
      <c r="I450" s="165"/>
      <c r="K450" s="286"/>
    </row>
    <row r="451" spans="1:11" s="34" customFormat="1" ht="14.45">
      <c r="A451" s="59"/>
      <c r="B451" s="63"/>
      <c r="C451" s="61"/>
      <c r="D451" s="62"/>
      <c r="E451" s="157"/>
      <c r="F451" s="152"/>
      <c r="G451" s="227"/>
      <c r="H451" s="165"/>
      <c r="I451" s="165"/>
      <c r="K451" s="286"/>
    </row>
    <row r="452" spans="1:11" s="34" customFormat="1" ht="14.45">
      <c r="A452" s="59"/>
      <c r="B452" s="64" t="s">
        <v>768</v>
      </c>
      <c r="C452" s="61"/>
      <c r="D452" s="62"/>
      <c r="E452" s="157"/>
      <c r="F452" s="152"/>
      <c r="G452" s="227"/>
      <c r="H452" s="165"/>
      <c r="I452" s="165"/>
      <c r="K452" s="286"/>
    </row>
    <row r="453" spans="1:11" s="34" customFormat="1" ht="14.45">
      <c r="A453" s="59"/>
      <c r="B453" s="100"/>
      <c r="C453" s="61"/>
      <c r="D453" s="62"/>
      <c r="E453" s="157"/>
      <c r="F453" s="152"/>
      <c r="G453" s="227"/>
      <c r="H453" s="165"/>
      <c r="I453" s="165"/>
      <c r="K453" s="286"/>
    </row>
    <row r="454" spans="1:11" s="34" customFormat="1" ht="41.45">
      <c r="A454" s="66"/>
      <c r="B454" s="98" t="s">
        <v>769</v>
      </c>
      <c r="C454" s="68"/>
      <c r="D454" s="69"/>
      <c r="E454" s="157"/>
      <c r="F454" s="152"/>
      <c r="G454" s="227"/>
      <c r="H454" s="165"/>
      <c r="I454" s="165"/>
      <c r="K454" s="286"/>
    </row>
    <row r="455" spans="1:11" s="34" customFormat="1" ht="14.45">
      <c r="A455" s="59"/>
      <c r="B455" s="100"/>
      <c r="C455" s="61"/>
      <c r="D455" s="62"/>
      <c r="E455" s="157"/>
      <c r="F455" s="152"/>
      <c r="G455" s="227"/>
      <c r="H455" s="165"/>
      <c r="I455" s="165"/>
      <c r="K455" s="286"/>
    </row>
    <row r="456" spans="1:11" s="34" customFormat="1" ht="14.45">
      <c r="A456" s="66" t="s">
        <v>14</v>
      </c>
      <c r="B456" s="67" t="s">
        <v>770</v>
      </c>
      <c r="C456" s="68">
        <v>334</v>
      </c>
      <c r="D456" s="69" t="s">
        <v>199</v>
      </c>
      <c r="E456" s="157">
        <v>4937.51</v>
      </c>
      <c r="F456" s="152">
        <f>C456*E456</f>
        <v>1649128.34</v>
      </c>
      <c r="G456" s="227"/>
      <c r="H456" s="165"/>
      <c r="I456" s="165"/>
      <c r="K456" s="286"/>
    </row>
    <row r="457" spans="1:11" s="34" customFormat="1" ht="14.45">
      <c r="A457" s="59"/>
      <c r="B457" s="100"/>
      <c r="C457" s="61"/>
      <c r="D457" s="62"/>
      <c r="E457" s="157"/>
      <c r="F457" s="152"/>
      <c r="G457" s="227"/>
      <c r="H457" s="165"/>
      <c r="I457" s="165"/>
      <c r="K457" s="286"/>
    </row>
    <row r="458" spans="1:11" s="34" customFormat="1" ht="41.45">
      <c r="A458" s="66"/>
      <c r="B458" s="98" t="s">
        <v>771</v>
      </c>
      <c r="C458" s="68"/>
      <c r="D458" s="69"/>
      <c r="E458" s="157"/>
      <c r="F458" s="152"/>
      <c r="G458" s="227"/>
      <c r="H458" s="165"/>
      <c r="I458" s="165"/>
      <c r="K458" s="286"/>
    </row>
    <row r="459" spans="1:11" s="34" customFormat="1" ht="14.45">
      <c r="A459" s="59"/>
      <c r="B459" s="100"/>
      <c r="C459" s="61"/>
      <c r="D459" s="62"/>
      <c r="E459" s="157"/>
      <c r="F459" s="152"/>
      <c r="G459" s="227"/>
      <c r="H459" s="165"/>
      <c r="I459" s="165"/>
      <c r="K459" s="286"/>
    </row>
    <row r="460" spans="1:11" s="34" customFormat="1" ht="14.45">
      <c r="A460" s="66" t="s">
        <v>17</v>
      </c>
      <c r="B460" s="67" t="s">
        <v>772</v>
      </c>
      <c r="C460" s="68">
        <v>704</v>
      </c>
      <c r="D460" s="69" t="s">
        <v>16</v>
      </c>
      <c r="E460" s="157">
        <v>1514.02</v>
      </c>
      <c r="F460" s="152">
        <f>C460*E460</f>
        <v>1065870.08</v>
      </c>
      <c r="G460" s="227"/>
      <c r="H460" s="165"/>
      <c r="I460" s="165"/>
      <c r="K460" s="286"/>
    </row>
    <row r="461" spans="1:11" s="34" customFormat="1" ht="14.45">
      <c r="A461" s="59"/>
      <c r="B461" s="63"/>
      <c r="C461" s="61"/>
      <c r="D461" s="62"/>
      <c r="E461" s="157"/>
      <c r="F461" s="152"/>
      <c r="G461" s="227"/>
      <c r="H461" s="165"/>
      <c r="I461" s="165"/>
      <c r="K461" s="286"/>
    </row>
    <row r="462" spans="1:11" s="34" customFormat="1" ht="14.45">
      <c r="A462" s="59"/>
      <c r="B462" s="63"/>
      <c r="C462" s="61"/>
      <c r="D462" s="62"/>
      <c r="E462" s="157"/>
      <c r="F462" s="152"/>
      <c r="G462" s="227"/>
      <c r="H462" s="165"/>
      <c r="I462" s="165"/>
      <c r="K462" s="286"/>
    </row>
    <row r="463" spans="1:11" s="34" customFormat="1" ht="14.45">
      <c r="A463" s="59"/>
      <c r="B463" s="63"/>
      <c r="C463" s="61"/>
      <c r="D463" s="62"/>
      <c r="E463" s="157"/>
      <c r="F463" s="152"/>
      <c r="G463" s="227"/>
      <c r="H463" s="165"/>
      <c r="I463" s="165"/>
      <c r="K463" s="286"/>
    </row>
    <row r="464" spans="1:11" s="34" customFormat="1" ht="14.45">
      <c r="A464" s="59"/>
      <c r="B464" s="63"/>
      <c r="C464" s="61"/>
      <c r="D464" s="62"/>
      <c r="E464" s="157"/>
      <c r="F464" s="152"/>
      <c r="G464" s="227"/>
      <c r="H464" s="165"/>
      <c r="I464" s="165"/>
      <c r="K464" s="286"/>
    </row>
    <row r="465" spans="1:11" s="34" customFormat="1" ht="14.45">
      <c r="A465" s="59"/>
      <c r="B465" s="63"/>
      <c r="C465" s="61"/>
      <c r="D465" s="62"/>
      <c r="E465" s="157"/>
      <c r="F465" s="152"/>
      <c r="G465" s="227"/>
      <c r="H465" s="165"/>
      <c r="I465" s="165"/>
      <c r="K465" s="286"/>
    </row>
    <row r="466" spans="1:11" s="34" customFormat="1" ht="14.45">
      <c r="A466" s="59"/>
      <c r="B466" s="63"/>
      <c r="C466" s="61"/>
      <c r="D466" s="62"/>
      <c r="E466" s="157"/>
      <c r="F466" s="152"/>
      <c r="G466" s="227"/>
      <c r="H466" s="165"/>
      <c r="I466" s="165"/>
      <c r="K466" s="286"/>
    </row>
    <row r="467" spans="1:11" s="34" customFormat="1" ht="14.45">
      <c r="A467" s="59"/>
      <c r="B467" s="63"/>
      <c r="C467" s="61"/>
      <c r="D467" s="62"/>
      <c r="E467" s="157"/>
      <c r="F467" s="152"/>
      <c r="G467" s="227"/>
      <c r="H467" s="165"/>
      <c r="I467" s="165"/>
      <c r="K467" s="286"/>
    </row>
    <row r="468" spans="1:11" s="34" customFormat="1" ht="14.45">
      <c r="A468" s="59"/>
      <c r="B468" s="63"/>
      <c r="C468" s="61"/>
      <c r="D468" s="62"/>
      <c r="E468" s="157"/>
      <c r="F468" s="152"/>
      <c r="G468" s="227"/>
      <c r="H468" s="165"/>
      <c r="I468" s="165"/>
      <c r="K468" s="286"/>
    </row>
    <row r="469" spans="1:11" s="34" customFormat="1" ht="14.45">
      <c r="A469" s="59"/>
      <c r="B469" s="63"/>
      <c r="C469" s="61"/>
      <c r="D469" s="62"/>
      <c r="E469" s="157"/>
      <c r="F469" s="152"/>
      <c r="G469" s="227"/>
      <c r="H469" s="165"/>
      <c r="I469" s="165"/>
      <c r="K469" s="286"/>
    </row>
    <row r="470" spans="1:11" s="34" customFormat="1" ht="14.45">
      <c r="A470" s="59"/>
      <c r="B470" s="63"/>
      <c r="C470" s="61"/>
      <c r="D470" s="62"/>
      <c r="E470" s="157"/>
      <c r="F470" s="152"/>
      <c r="G470" s="227"/>
      <c r="H470" s="165"/>
      <c r="I470" s="165"/>
      <c r="K470" s="286"/>
    </row>
    <row r="471" spans="1:11" s="34" customFormat="1" ht="14.45">
      <c r="A471" s="59"/>
      <c r="B471" s="63"/>
      <c r="C471" s="61"/>
      <c r="D471" s="62"/>
      <c r="E471" s="157"/>
      <c r="F471" s="152"/>
      <c r="G471" s="227"/>
      <c r="H471" s="165"/>
      <c r="I471" s="165"/>
      <c r="K471" s="286"/>
    </row>
    <row r="472" spans="1:11" s="34" customFormat="1" ht="14.45">
      <c r="A472" s="59"/>
      <c r="B472" s="63"/>
      <c r="C472" s="61"/>
      <c r="D472" s="62"/>
      <c r="E472" s="157"/>
      <c r="F472" s="152"/>
      <c r="G472" s="227"/>
      <c r="H472" s="165"/>
      <c r="I472" s="165"/>
      <c r="K472" s="286"/>
    </row>
    <row r="473" spans="1:11" s="34" customFormat="1" ht="14.45">
      <c r="A473" s="59"/>
      <c r="B473" s="63"/>
      <c r="C473" s="61"/>
      <c r="D473" s="62"/>
      <c r="E473" s="157"/>
      <c r="F473" s="152"/>
      <c r="G473" s="227"/>
      <c r="H473" s="165"/>
      <c r="I473" s="165"/>
      <c r="K473" s="286"/>
    </row>
    <row r="474" spans="1:11" s="34" customFormat="1" ht="14.45">
      <c r="A474" s="59"/>
      <c r="B474" s="63"/>
      <c r="C474" s="61"/>
      <c r="D474" s="62"/>
      <c r="E474" s="157"/>
      <c r="F474" s="152"/>
      <c r="G474" s="227"/>
      <c r="H474" s="165"/>
      <c r="I474" s="165"/>
      <c r="K474" s="286"/>
    </row>
    <row r="475" spans="1:11" s="34" customFormat="1" ht="14.45">
      <c r="A475" s="59"/>
      <c r="B475" s="63"/>
      <c r="C475" s="61"/>
      <c r="D475" s="62"/>
      <c r="E475" s="157"/>
      <c r="F475" s="152"/>
      <c r="G475" s="227"/>
      <c r="H475" s="165"/>
      <c r="I475" s="165"/>
      <c r="K475" s="286"/>
    </row>
    <row r="476" spans="1:11" s="34" customFormat="1" ht="14.45">
      <c r="A476" s="59"/>
      <c r="B476" s="63"/>
      <c r="C476" s="61"/>
      <c r="D476" s="62"/>
      <c r="E476" s="157"/>
      <c r="F476" s="152"/>
      <c r="G476" s="227"/>
      <c r="H476" s="165"/>
      <c r="I476" s="165"/>
      <c r="K476" s="286"/>
    </row>
    <row r="477" spans="1:11" s="34" customFormat="1" ht="14.45">
      <c r="A477" s="59"/>
      <c r="B477" s="63"/>
      <c r="C477" s="61"/>
      <c r="D477" s="62"/>
      <c r="E477" s="157"/>
      <c r="F477" s="152"/>
      <c r="G477" s="227"/>
      <c r="H477" s="165"/>
      <c r="I477" s="165"/>
      <c r="K477" s="286"/>
    </row>
    <row r="478" spans="1:11" s="34" customFormat="1" ht="14.45">
      <c r="A478" s="59"/>
      <c r="B478" s="63"/>
      <c r="C478" s="61"/>
      <c r="D478" s="62"/>
      <c r="E478" s="157"/>
      <c r="F478" s="152"/>
      <c r="G478" s="227"/>
      <c r="H478" s="165"/>
      <c r="I478" s="165"/>
      <c r="K478" s="286"/>
    </row>
    <row r="479" spans="1:11" s="34" customFormat="1" ht="14.45">
      <c r="A479" s="59"/>
      <c r="B479" s="63"/>
      <c r="C479" s="61"/>
      <c r="D479" s="62"/>
      <c r="E479" s="157"/>
      <c r="F479" s="152"/>
      <c r="G479" s="227"/>
      <c r="H479" s="165"/>
      <c r="I479" s="165"/>
      <c r="K479" s="286"/>
    </row>
    <row r="480" spans="1:11" s="34" customFormat="1" ht="14.45">
      <c r="A480" s="59"/>
      <c r="B480" s="63"/>
      <c r="C480" s="61"/>
      <c r="D480" s="62"/>
      <c r="E480" s="157"/>
      <c r="F480" s="152"/>
      <c r="G480" s="227"/>
      <c r="H480" s="165"/>
      <c r="I480" s="165"/>
      <c r="K480" s="286"/>
    </row>
    <row r="481" spans="1:11" s="34" customFormat="1" ht="14.45">
      <c r="A481" s="59"/>
      <c r="B481" s="63"/>
      <c r="C481" s="61"/>
      <c r="D481" s="62"/>
      <c r="E481" s="157"/>
      <c r="F481" s="152"/>
      <c r="G481" s="227"/>
      <c r="H481" s="165"/>
      <c r="I481" s="165"/>
      <c r="K481" s="286"/>
    </row>
    <row r="482" spans="1:11" s="34" customFormat="1" ht="14.45">
      <c r="A482" s="59"/>
      <c r="B482" s="63"/>
      <c r="C482" s="61"/>
      <c r="D482" s="62"/>
      <c r="E482" s="157"/>
      <c r="F482" s="152"/>
      <c r="G482" s="227"/>
      <c r="H482" s="165"/>
      <c r="I482" s="165"/>
      <c r="K482" s="286"/>
    </row>
    <row r="483" spans="1:11" s="34" customFormat="1" ht="14.45">
      <c r="A483" s="59"/>
      <c r="B483" s="63"/>
      <c r="C483" s="61"/>
      <c r="D483" s="62"/>
      <c r="E483" s="157"/>
      <c r="F483" s="152"/>
      <c r="G483" s="227"/>
      <c r="H483" s="165"/>
      <c r="I483" s="165"/>
      <c r="K483" s="286"/>
    </row>
    <row r="484" spans="1:11" s="34" customFormat="1" ht="14.45">
      <c r="A484" s="59"/>
      <c r="B484" s="63"/>
      <c r="C484" s="61"/>
      <c r="D484" s="62"/>
      <c r="E484" s="157"/>
      <c r="F484" s="152"/>
      <c r="G484" s="227"/>
      <c r="H484" s="165"/>
      <c r="I484" s="165"/>
      <c r="K484" s="286"/>
    </row>
    <row r="485" spans="1:11" s="34" customFormat="1" ht="14.45">
      <c r="A485" s="59"/>
      <c r="B485" s="63"/>
      <c r="C485" s="61"/>
      <c r="D485" s="62"/>
      <c r="E485" s="157"/>
      <c r="F485" s="152"/>
      <c r="G485" s="227"/>
      <c r="H485" s="165"/>
      <c r="I485" s="165"/>
      <c r="K485" s="286"/>
    </row>
    <row r="486" spans="1:11" s="34" customFormat="1" ht="14.45">
      <c r="A486" s="59"/>
      <c r="B486" s="63"/>
      <c r="C486" s="61"/>
      <c r="D486" s="62"/>
      <c r="E486" s="157"/>
      <c r="F486" s="152"/>
      <c r="G486" s="227"/>
      <c r="H486" s="165"/>
      <c r="I486" s="165"/>
      <c r="K486" s="286"/>
    </row>
    <row r="487" spans="1:11" s="34" customFormat="1" ht="14.45">
      <c r="A487" s="59"/>
      <c r="B487" s="63"/>
      <c r="C487" s="61"/>
      <c r="D487" s="62"/>
      <c r="E487" s="157"/>
      <c r="F487" s="152"/>
      <c r="G487" s="227"/>
      <c r="H487" s="165"/>
      <c r="I487" s="165"/>
      <c r="K487" s="286"/>
    </row>
    <row r="488" spans="1:11" s="34" customFormat="1" ht="14.45">
      <c r="A488" s="59"/>
      <c r="B488" s="63"/>
      <c r="C488" s="61"/>
      <c r="D488" s="62"/>
      <c r="E488" s="157"/>
      <c r="F488" s="152"/>
      <c r="G488" s="227"/>
      <c r="H488" s="165"/>
      <c r="I488" s="165"/>
      <c r="K488" s="286"/>
    </row>
    <row r="489" spans="1:11" s="34" customFormat="1" ht="14.45">
      <c r="A489" s="59"/>
      <c r="B489" s="63"/>
      <c r="C489" s="61"/>
      <c r="D489" s="62"/>
      <c r="E489" s="157"/>
      <c r="F489" s="152"/>
      <c r="G489" s="227"/>
      <c r="H489" s="165"/>
      <c r="I489" s="165"/>
      <c r="K489" s="286"/>
    </row>
    <row r="490" spans="1:11" s="34" customFormat="1" ht="14.45">
      <c r="A490" s="59"/>
      <c r="B490" s="63"/>
      <c r="C490" s="61"/>
      <c r="D490" s="62"/>
      <c r="E490" s="157"/>
      <c r="F490" s="152"/>
      <c r="G490" s="227"/>
      <c r="H490" s="165"/>
      <c r="I490" s="165"/>
      <c r="K490" s="286"/>
    </row>
    <row r="491" spans="1:11" s="34" customFormat="1" ht="14.45">
      <c r="A491" s="59"/>
      <c r="B491" s="63"/>
      <c r="C491" s="61"/>
      <c r="D491" s="62"/>
      <c r="E491" s="157"/>
      <c r="F491" s="152"/>
      <c r="G491" s="227"/>
      <c r="H491" s="165"/>
      <c r="I491" s="165"/>
      <c r="K491" s="286"/>
    </row>
    <row r="492" spans="1:11" s="34" customFormat="1" ht="14.45">
      <c r="A492" s="71"/>
      <c r="B492" s="72"/>
      <c r="C492" s="73"/>
      <c r="D492" s="74"/>
      <c r="E492" s="159"/>
      <c r="F492" s="138"/>
      <c r="G492" s="226"/>
      <c r="H492" s="165"/>
      <c r="I492" s="165"/>
      <c r="K492" s="286"/>
    </row>
    <row r="493" spans="1:11" s="34" customFormat="1" ht="14.45">
      <c r="A493" s="75"/>
      <c r="B493" s="76"/>
      <c r="C493" s="77" t="s">
        <v>30</v>
      </c>
      <c r="D493" s="77"/>
      <c r="E493" s="160" t="s">
        <v>8</v>
      </c>
      <c r="F493" s="139">
        <f>SUM(F452:F474)</f>
        <v>2714998.42</v>
      </c>
      <c r="G493" s="227"/>
      <c r="H493" s="165"/>
      <c r="I493" s="165"/>
      <c r="K493" s="286"/>
    </row>
    <row r="494" spans="1:11" s="34" customFormat="1" ht="14.45">
      <c r="A494" s="75"/>
      <c r="B494" s="76"/>
      <c r="C494" s="78"/>
      <c r="D494" s="79"/>
      <c r="E494" s="161"/>
      <c r="F494" s="140"/>
      <c r="G494" s="228"/>
      <c r="H494" s="165"/>
      <c r="I494" s="165"/>
      <c r="K494" s="286"/>
    </row>
    <row r="495" spans="1:11" s="34" customFormat="1" ht="14.45">
      <c r="A495" s="59"/>
      <c r="B495" s="63"/>
      <c r="C495" s="61"/>
      <c r="D495" s="62"/>
      <c r="E495" s="157"/>
      <c r="F495" s="152"/>
      <c r="G495" s="227"/>
      <c r="H495" s="165"/>
      <c r="I495" s="165"/>
      <c r="K495" s="286"/>
    </row>
    <row r="496" spans="1:11" s="34" customFormat="1" ht="14.45">
      <c r="A496" s="59"/>
      <c r="B496" s="64" t="s">
        <v>203</v>
      </c>
      <c r="C496" s="61"/>
      <c r="D496" s="62"/>
      <c r="E496" s="157"/>
      <c r="F496" s="152"/>
      <c r="G496" s="227"/>
      <c r="H496" s="165"/>
      <c r="I496" s="165"/>
      <c r="K496" s="286"/>
    </row>
    <row r="497" spans="1:11" s="34" customFormat="1" ht="14.45">
      <c r="A497" s="59"/>
      <c r="B497" s="100"/>
      <c r="C497" s="61"/>
      <c r="D497" s="62"/>
      <c r="E497" s="157"/>
      <c r="F497" s="152"/>
      <c r="G497" s="227"/>
      <c r="H497" s="165"/>
      <c r="I497" s="165"/>
      <c r="K497" s="286"/>
    </row>
    <row r="498" spans="1:11" s="34" customFormat="1" ht="27.6">
      <c r="A498" s="66"/>
      <c r="B498" s="98" t="s">
        <v>773</v>
      </c>
      <c r="C498" s="68"/>
      <c r="D498" s="69"/>
      <c r="E498" s="157"/>
      <c r="F498" s="152"/>
      <c r="G498" s="227"/>
      <c r="H498" s="165"/>
      <c r="I498" s="165"/>
      <c r="K498" s="286"/>
    </row>
    <row r="499" spans="1:11" s="34" customFormat="1" ht="14.45">
      <c r="A499" s="59"/>
      <c r="B499" s="100"/>
      <c r="C499" s="61"/>
      <c r="D499" s="62"/>
      <c r="E499" s="157"/>
      <c r="F499" s="152"/>
      <c r="G499" s="227"/>
      <c r="H499" s="165"/>
      <c r="I499" s="165"/>
      <c r="K499" s="286"/>
    </row>
    <row r="500" spans="1:11" s="34" customFormat="1" ht="14.45">
      <c r="A500" s="66" t="s">
        <v>14</v>
      </c>
      <c r="B500" s="67" t="s">
        <v>774</v>
      </c>
      <c r="C500" s="68" t="s">
        <v>775</v>
      </c>
      <c r="D500" s="69" t="s">
        <v>199</v>
      </c>
      <c r="E500" s="157">
        <v>124.23</v>
      </c>
      <c r="F500" s="152">
        <f>C500*E500</f>
        <v>238397.37</v>
      </c>
      <c r="G500" s="227"/>
      <c r="H500" s="165"/>
      <c r="I500" s="165"/>
      <c r="K500" s="286"/>
    </row>
    <row r="501" spans="1:11" s="34" customFormat="1" ht="14.45">
      <c r="A501" s="59"/>
      <c r="B501" s="100"/>
      <c r="C501" s="61"/>
      <c r="D501" s="62"/>
      <c r="E501" s="157"/>
      <c r="F501" s="152"/>
      <c r="G501" s="227"/>
      <c r="H501" s="165"/>
      <c r="I501" s="165"/>
      <c r="K501" s="286"/>
    </row>
    <row r="502" spans="1:11" s="34" customFormat="1" ht="27.6">
      <c r="A502" s="66" t="s">
        <v>17</v>
      </c>
      <c r="B502" s="67" t="s">
        <v>776</v>
      </c>
      <c r="C502" s="68" t="s">
        <v>777</v>
      </c>
      <c r="D502" s="69" t="s">
        <v>199</v>
      </c>
      <c r="E502" s="157">
        <v>191.99</v>
      </c>
      <c r="F502" s="152">
        <f>C502*E502</f>
        <v>318511.41000000003</v>
      </c>
      <c r="G502" s="227"/>
      <c r="H502" s="165"/>
      <c r="I502" s="165"/>
      <c r="K502" s="286"/>
    </row>
    <row r="503" spans="1:11" s="34" customFormat="1" ht="14.45">
      <c r="A503" s="59"/>
      <c r="B503" s="100"/>
      <c r="C503" s="61"/>
      <c r="D503" s="62"/>
      <c r="E503" s="157"/>
      <c r="F503" s="152"/>
      <c r="G503" s="227"/>
      <c r="H503" s="165"/>
      <c r="I503" s="165"/>
      <c r="K503" s="286"/>
    </row>
    <row r="504" spans="1:11" s="34" customFormat="1" ht="27.6">
      <c r="A504" s="66" t="s">
        <v>20</v>
      </c>
      <c r="B504" s="67" t="s">
        <v>778</v>
      </c>
      <c r="C504" s="68" t="s">
        <v>779</v>
      </c>
      <c r="D504" s="69" t="s">
        <v>199</v>
      </c>
      <c r="E504" s="157">
        <v>191.99</v>
      </c>
      <c r="F504" s="152">
        <f>C504*E504</f>
        <v>49917.4</v>
      </c>
      <c r="G504" s="227"/>
      <c r="H504" s="165"/>
      <c r="I504" s="165"/>
      <c r="K504" s="286"/>
    </row>
    <row r="505" spans="1:11" s="34" customFormat="1" ht="14.45">
      <c r="A505" s="59"/>
      <c r="B505" s="100"/>
      <c r="C505" s="61"/>
      <c r="D505" s="62"/>
      <c r="E505" s="157"/>
      <c r="F505" s="152"/>
      <c r="G505" s="227"/>
      <c r="H505" s="165"/>
      <c r="I505" s="165"/>
      <c r="K505" s="286"/>
    </row>
    <row r="506" spans="1:11" s="34" customFormat="1" ht="14.45">
      <c r="A506" s="66" t="s">
        <v>23</v>
      </c>
      <c r="B506" s="67" t="s">
        <v>780</v>
      </c>
      <c r="C506" s="68" t="s">
        <v>781</v>
      </c>
      <c r="D506" s="69" t="s">
        <v>63</v>
      </c>
      <c r="E506" s="157">
        <v>734.09</v>
      </c>
      <c r="F506" s="152">
        <f>C506*E506</f>
        <v>22022.7</v>
      </c>
      <c r="G506" s="227"/>
      <c r="H506" s="165"/>
      <c r="I506" s="165"/>
      <c r="K506" s="286"/>
    </row>
    <row r="507" spans="1:11" s="34" customFormat="1" ht="14.45">
      <c r="A507" s="59"/>
      <c r="B507" s="100"/>
      <c r="C507" s="61"/>
      <c r="D507" s="62"/>
      <c r="E507" s="157"/>
      <c r="F507" s="152"/>
      <c r="G507" s="227"/>
      <c r="H507" s="165"/>
      <c r="I507" s="165"/>
      <c r="K507" s="286"/>
    </row>
    <row r="508" spans="1:11" s="34" customFormat="1" ht="27.6">
      <c r="A508" s="66" t="s">
        <v>27</v>
      </c>
      <c r="B508" s="67" t="s">
        <v>782</v>
      </c>
      <c r="C508" s="68" t="s">
        <v>783</v>
      </c>
      <c r="D508" s="69" t="s">
        <v>199</v>
      </c>
      <c r="E508" s="157">
        <v>152.93</v>
      </c>
      <c r="F508" s="152">
        <f>C508*E508</f>
        <v>8869.94</v>
      </c>
      <c r="G508" s="227"/>
      <c r="H508" s="165"/>
      <c r="I508" s="165"/>
      <c r="K508" s="286"/>
    </row>
    <row r="509" spans="1:11" s="34" customFormat="1" ht="14.45">
      <c r="A509" s="59"/>
      <c r="B509" s="100"/>
      <c r="C509" s="61"/>
      <c r="D509" s="62"/>
      <c r="E509" s="157"/>
      <c r="F509" s="152"/>
      <c r="G509" s="227"/>
      <c r="H509" s="165"/>
      <c r="I509" s="165"/>
      <c r="K509" s="286"/>
    </row>
    <row r="510" spans="1:11" s="34" customFormat="1" ht="27.6">
      <c r="A510" s="66" t="s">
        <v>44</v>
      </c>
      <c r="B510" s="67" t="s">
        <v>784</v>
      </c>
      <c r="C510" s="68" t="s">
        <v>785</v>
      </c>
      <c r="D510" s="69" t="s">
        <v>199</v>
      </c>
      <c r="E510" s="157">
        <v>219.7</v>
      </c>
      <c r="F510" s="152">
        <f>C510*E510</f>
        <v>153570.29999999999</v>
      </c>
      <c r="G510" s="227"/>
      <c r="H510" s="165"/>
      <c r="I510" s="165"/>
      <c r="K510" s="286"/>
    </row>
    <row r="511" spans="1:11" s="34" customFormat="1" ht="14.45">
      <c r="A511" s="59"/>
      <c r="B511" s="100"/>
      <c r="C511" s="61"/>
      <c r="D511" s="62"/>
      <c r="E511" s="157"/>
      <c r="F511" s="152"/>
      <c r="G511" s="227"/>
      <c r="H511" s="165"/>
      <c r="I511" s="165"/>
      <c r="K511" s="286"/>
    </row>
    <row r="512" spans="1:11" s="34" customFormat="1" ht="14.45">
      <c r="A512" s="66" t="s">
        <v>48</v>
      </c>
      <c r="B512" s="67" t="s">
        <v>786</v>
      </c>
      <c r="C512" s="68" t="s">
        <v>787</v>
      </c>
      <c r="D512" s="69" t="s">
        <v>199</v>
      </c>
      <c r="E512" s="157">
        <v>355.75</v>
      </c>
      <c r="F512" s="152">
        <f>C512*E512</f>
        <v>35219.25</v>
      </c>
      <c r="G512" s="227"/>
      <c r="H512" s="165"/>
      <c r="I512" s="165"/>
      <c r="K512" s="286"/>
    </row>
    <row r="513" spans="1:11" s="34" customFormat="1" ht="14.45">
      <c r="A513" s="59"/>
      <c r="B513" s="100"/>
      <c r="C513" s="61"/>
      <c r="D513" s="62"/>
      <c r="E513" s="157"/>
      <c r="F513" s="152"/>
      <c r="G513" s="227"/>
      <c r="H513" s="165"/>
      <c r="I513" s="165"/>
      <c r="K513" s="286"/>
    </row>
    <row r="514" spans="1:11" s="34" customFormat="1" ht="14.45">
      <c r="A514" s="66" t="s">
        <v>84</v>
      </c>
      <c r="B514" s="67" t="s">
        <v>788</v>
      </c>
      <c r="C514" s="68" t="s">
        <v>789</v>
      </c>
      <c r="D514" s="69" t="s">
        <v>199</v>
      </c>
      <c r="E514" s="157">
        <v>124.23</v>
      </c>
      <c r="F514" s="152">
        <f>C514*E514</f>
        <v>7329.5700000000006</v>
      </c>
      <c r="G514" s="227"/>
      <c r="H514" s="165"/>
      <c r="I514" s="165"/>
      <c r="K514" s="286"/>
    </row>
    <row r="515" spans="1:11" s="34" customFormat="1" ht="14.45">
      <c r="A515" s="59"/>
      <c r="B515" s="100"/>
      <c r="C515" s="61"/>
      <c r="D515" s="62"/>
      <c r="E515" s="157"/>
      <c r="F515" s="152"/>
      <c r="G515" s="227"/>
      <c r="H515" s="165"/>
      <c r="I515" s="165"/>
      <c r="K515" s="286"/>
    </row>
    <row r="516" spans="1:11" s="34" customFormat="1" ht="55.15">
      <c r="A516" s="66"/>
      <c r="B516" s="98" t="s">
        <v>790</v>
      </c>
      <c r="C516" s="68"/>
      <c r="D516" s="69"/>
      <c r="E516" s="157"/>
      <c r="F516" s="152"/>
      <c r="G516" s="227"/>
      <c r="H516" s="165"/>
      <c r="I516" s="165"/>
      <c r="K516" s="286"/>
    </row>
    <row r="517" spans="1:11" s="34" customFormat="1" ht="14.45">
      <c r="A517" s="59"/>
      <c r="B517" s="100"/>
      <c r="C517" s="61"/>
      <c r="D517" s="62"/>
      <c r="E517" s="157"/>
      <c r="F517" s="152"/>
      <c r="G517" s="227"/>
      <c r="H517" s="165"/>
      <c r="I517" s="165"/>
      <c r="K517" s="286"/>
    </row>
    <row r="518" spans="1:11" s="34" customFormat="1" ht="14.45">
      <c r="A518" s="66" t="s">
        <v>86</v>
      </c>
      <c r="B518" s="67" t="s">
        <v>791</v>
      </c>
      <c r="C518" s="68">
        <v>542</v>
      </c>
      <c r="D518" s="69" t="s">
        <v>199</v>
      </c>
      <c r="E518" s="157">
        <v>1432.33</v>
      </c>
      <c r="F518" s="152">
        <f>C518*E518</f>
        <v>776322.86</v>
      </c>
      <c r="G518" s="227"/>
      <c r="H518" s="165"/>
      <c r="I518" s="165"/>
      <c r="K518" s="286"/>
    </row>
    <row r="519" spans="1:11" s="34" customFormat="1" ht="14.45">
      <c r="A519" s="59"/>
      <c r="B519" s="63"/>
      <c r="C519" s="61"/>
      <c r="D519" s="62"/>
      <c r="E519" s="157"/>
      <c r="F519" s="152"/>
      <c r="G519" s="227"/>
      <c r="H519" s="165"/>
      <c r="I519" s="165"/>
      <c r="K519" s="286"/>
    </row>
    <row r="520" spans="1:11" s="34" customFormat="1" ht="14.45">
      <c r="A520" s="59"/>
      <c r="B520" s="63"/>
      <c r="C520" s="61"/>
      <c r="D520" s="62"/>
      <c r="E520" s="157"/>
      <c r="F520" s="152"/>
      <c r="G520" s="227"/>
      <c r="H520" s="165"/>
      <c r="I520" s="165"/>
      <c r="K520" s="286"/>
    </row>
    <row r="521" spans="1:11" s="34" customFormat="1" ht="14.45">
      <c r="A521" s="59"/>
      <c r="B521" s="63"/>
      <c r="C521" s="61"/>
      <c r="D521" s="62"/>
      <c r="E521" s="157"/>
      <c r="F521" s="152"/>
      <c r="G521" s="227"/>
      <c r="H521" s="165"/>
      <c r="I521" s="165"/>
      <c r="K521" s="286"/>
    </row>
    <row r="522" spans="1:11" s="34" customFormat="1" ht="14.45">
      <c r="A522" s="59"/>
      <c r="B522" s="63"/>
      <c r="C522" s="61"/>
      <c r="D522" s="62"/>
      <c r="E522" s="157"/>
      <c r="F522" s="152"/>
      <c r="G522" s="227"/>
      <c r="H522" s="165"/>
      <c r="I522" s="165"/>
      <c r="K522" s="286"/>
    </row>
    <row r="523" spans="1:11" s="34" customFormat="1" ht="14.45">
      <c r="A523" s="59"/>
      <c r="B523" s="63"/>
      <c r="C523" s="61"/>
      <c r="D523" s="62"/>
      <c r="E523" s="157"/>
      <c r="F523" s="152"/>
      <c r="G523" s="227"/>
      <c r="H523" s="165"/>
      <c r="I523" s="165"/>
      <c r="K523" s="286"/>
    </row>
    <row r="524" spans="1:11" s="34" customFormat="1" ht="14.45">
      <c r="A524" s="59"/>
      <c r="B524" s="63"/>
      <c r="C524" s="61"/>
      <c r="D524" s="62"/>
      <c r="E524" s="157"/>
      <c r="F524" s="152"/>
      <c r="G524" s="227"/>
      <c r="H524" s="165"/>
      <c r="I524" s="165"/>
      <c r="K524" s="286"/>
    </row>
    <row r="525" spans="1:11" s="34" customFormat="1" ht="14.45">
      <c r="A525" s="59"/>
      <c r="B525" s="63"/>
      <c r="C525" s="61"/>
      <c r="D525" s="62"/>
      <c r="E525" s="157"/>
      <c r="F525" s="152"/>
      <c r="G525" s="227"/>
      <c r="H525" s="165"/>
      <c r="I525" s="165"/>
      <c r="K525" s="286"/>
    </row>
    <row r="526" spans="1:11" s="34" customFormat="1" ht="14.45">
      <c r="A526" s="59"/>
      <c r="B526" s="63"/>
      <c r="C526" s="61"/>
      <c r="D526" s="62"/>
      <c r="E526" s="157"/>
      <c r="F526" s="152"/>
      <c r="G526" s="227"/>
      <c r="H526" s="165"/>
      <c r="I526" s="165"/>
      <c r="K526" s="286"/>
    </row>
    <row r="527" spans="1:11" s="34" customFormat="1" ht="14.45">
      <c r="A527" s="59"/>
      <c r="B527" s="63"/>
      <c r="C527" s="61"/>
      <c r="D527" s="62"/>
      <c r="E527" s="157"/>
      <c r="F527" s="152"/>
      <c r="G527" s="227"/>
      <c r="H527" s="165"/>
      <c r="I527" s="165"/>
      <c r="K527" s="286"/>
    </row>
    <row r="528" spans="1:11" s="34" customFormat="1" ht="14.45">
      <c r="A528" s="59"/>
      <c r="B528" s="63"/>
      <c r="C528" s="61"/>
      <c r="D528" s="62"/>
      <c r="E528" s="157"/>
      <c r="F528" s="152"/>
      <c r="G528" s="227"/>
      <c r="H528" s="165"/>
      <c r="I528" s="165"/>
      <c r="K528" s="286"/>
    </row>
    <row r="529" spans="1:11" s="34" customFormat="1" ht="14.45">
      <c r="A529" s="59"/>
      <c r="B529" s="63"/>
      <c r="C529" s="61"/>
      <c r="D529" s="62"/>
      <c r="E529" s="157"/>
      <c r="F529" s="152"/>
      <c r="G529" s="227"/>
      <c r="H529" s="165"/>
      <c r="I529" s="165"/>
      <c r="K529" s="286"/>
    </row>
    <row r="530" spans="1:11" s="34" customFormat="1" ht="14.45">
      <c r="A530" s="59"/>
      <c r="B530" s="63"/>
      <c r="C530" s="61"/>
      <c r="D530" s="62"/>
      <c r="E530" s="157"/>
      <c r="F530" s="152"/>
      <c r="G530" s="227"/>
      <c r="H530" s="165"/>
      <c r="I530" s="165"/>
      <c r="K530" s="286"/>
    </row>
    <row r="531" spans="1:11" s="34" customFormat="1" ht="14.45">
      <c r="A531" s="59"/>
      <c r="B531" s="63"/>
      <c r="C531" s="61"/>
      <c r="D531" s="62"/>
      <c r="E531" s="157"/>
      <c r="F531" s="152"/>
      <c r="G531" s="227"/>
      <c r="H531" s="165"/>
      <c r="I531" s="165"/>
      <c r="K531" s="286"/>
    </row>
    <row r="532" spans="1:11" s="34" customFormat="1" ht="14.45">
      <c r="A532" s="59"/>
      <c r="B532" s="63"/>
      <c r="C532" s="61"/>
      <c r="D532" s="62"/>
      <c r="E532" s="157"/>
      <c r="F532" s="152"/>
      <c r="G532" s="227"/>
      <c r="H532" s="165"/>
      <c r="I532" s="165"/>
      <c r="K532" s="286"/>
    </row>
    <row r="533" spans="1:11" s="34" customFormat="1" ht="14.45">
      <c r="A533" s="71"/>
      <c r="B533" s="72"/>
      <c r="C533" s="73"/>
      <c r="D533" s="74"/>
      <c r="E533" s="159"/>
      <c r="F533" s="138"/>
      <c r="G533" s="226"/>
      <c r="H533" s="165"/>
      <c r="I533" s="165"/>
      <c r="K533" s="286"/>
    </row>
    <row r="534" spans="1:11" s="34" customFormat="1" ht="14.45">
      <c r="A534" s="75"/>
      <c r="B534" s="76"/>
      <c r="C534" s="77" t="s">
        <v>30</v>
      </c>
      <c r="D534" s="77"/>
      <c r="E534" s="160" t="s">
        <v>8</v>
      </c>
      <c r="F534" s="139">
        <f>SUM(F498:F525)</f>
        <v>1610160.7999999998</v>
      </c>
      <c r="G534" s="227"/>
      <c r="H534" s="165"/>
      <c r="I534" s="165"/>
      <c r="K534" s="286"/>
    </row>
    <row r="535" spans="1:11" s="34" customFormat="1" ht="14.45">
      <c r="A535" s="75"/>
      <c r="B535" s="76"/>
      <c r="C535" s="78"/>
      <c r="D535" s="79"/>
      <c r="E535" s="161"/>
      <c r="F535" s="140"/>
      <c r="G535" s="228"/>
      <c r="H535" s="165"/>
      <c r="I535" s="165"/>
      <c r="K535" s="286"/>
    </row>
    <row r="536" spans="1:11" s="34" customFormat="1" ht="14.45">
      <c r="A536" s="59"/>
      <c r="B536" s="63"/>
      <c r="C536" s="61"/>
      <c r="D536" s="62"/>
      <c r="E536" s="157"/>
      <c r="F536" s="152"/>
      <c r="G536" s="227"/>
      <c r="H536" s="165"/>
      <c r="I536" s="165"/>
      <c r="K536" s="286"/>
    </row>
    <row r="537" spans="1:11" s="34" customFormat="1" ht="14.45">
      <c r="A537" s="59"/>
      <c r="B537" s="64" t="s">
        <v>792</v>
      </c>
      <c r="C537" s="61"/>
      <c r="D537" s="62"/>
      <c r="E537" s="157"/>
      <c r="F537" s="152"/>
      <c r="G537" s="227"/>
      <c r="H537" s="165"/>
      <c r="I537" s="165"/>
      <c r="K537" s="286"/>
    </row>
    <row r="538" spans="1:11" s="34" customFormat="1" ht="14.45">
      <c r="A538" s="59"/>
      <c r="B538" s="100"/>
      <c r="C538" s="61"/>
      <c r="D538" s="62"/>
      <c r="E538" s="157"/>
      <c r="F538" s="152"/>
      <c r="G538" s="227"/>
      <c r="H538" s="165"/>
      <c r="I538" s="165"/>
      <c r="K538" s="286"/>
    </row>
    <row r="539" spans="1:11" s="34" customFormat="1" ht="14.45">
      <c r="A539" s="66"/>
      <c r="B539" s="99" t="s">
        <v>11</v>
      </c>
      <c r="C539" s="68"/>
      <c r="D539" s="69"/>
      <c r="E539" s="157"/>
      <c r="F539" s="152"/>
      <c r="G539" s="227"/>
      <c r="H539" s="165"/>
      <c r="I539" s="165"/>
      <c r="K539" s="286"/>
    </row>
    <row r="540" spans="1:11" s="34" customFormat="1" ht="14.45">
      <c r="A540" s="59"/>
      <c r="B540" s="100"/>
      <c r="C540" s="61"/>
      <c r="D540" s="62"/>
      <c r="E540" s="157"/>
      <c r="F540" s="152"/>
      <c r="G540" s="227"/>
      <c r="H540" s="165"/>
      <c r="I540" s="165"/>
      <c r="K540" s="286"/>
    </row>
    <row r="541" spans="1:11" s="34" customFormat="1" ht="27.6">
      <c r="A541" s="66"/>
      <c r="B541" s="99" t="s">
        <v>793</v>
      </c>
      <c r="C541" s="68"/>
      <c r="D541" s="69"/>
      <c r="E541" s="157"/>
      <c r="F541" s="152"/>
      <c r="G541" s="227"/>
      <c r="H541" s="165"/>
      <c r="I541" s="165"/>
      <c r="K541" s="286"/>
    </row>
    <row r="542" spans="1:11" s="34" customFormat="1" ht="14.45">
      <c r="A542" s="59"/>
      <c r="B542" s="100"/>
      <c r="C542" s="61"/>
      <c r="D542" s="62"/>
      <c r="E542" s="157"/>
      <c r="F542" s="152"/>
      <c r="G542" s="227"/>
      <c r="H542" s="165"/>
      <c r="I542" s="165"/>
      <c r="K542" s="286"/>
    </row>
    <row r="543" spans="1:11" s="34" customFormat="1" ht="27.6">
      <c r="A543" s="66"/>
      <c r="B543" s="99" t="s">
        <v>794</v>
      </c>
      <c r="C543" s="68"/>
      <c r="D543" s="69"/>
      <c r="E543" s="157"/>
      <c r="F543" s="152"/>
      <c r="G543" s="227"/>
      <c r="H543" s="165"/>
      <c r="I543" s="165"/>
      <c r="K543" s="286"/>
    </row>
    <row r="544" spans="1:11" s="34" customFormat="1" ht="14.45">
      <c r="A544" s="59"/>
      <c r="B544" s="100"/>
      <c r="C544" s="61"/>
      <c r="D544" s="62"/>
      <c r="E544" s="157"/>
      <c r="F544" s="152"/>
      <c r="G544" s="227"/>
      <c r="H544" s="165"/>
      <c r="I544" s="165"/>
      <c r="K544" s="286"/>
    </row>
    <row r="545" spans="1:11" s="34" customFormat="1" ht="14.45">
      <c r="A545" s="66"/>
      <c r="B545" s="102" t="s">
        <v>244</v>
      </c>
      <c r="C545" s="68"/>
      <c r="D545" s="69"/>
      <c r="E545" s="157"/>
      <c r="F545" s="152"/>
      <c r="G545" s="227"/>
      <c r="H545" s="165"/>
      <c r="I545" s="165"/>
      <c r="K545" s="286"/>
    </row>
    <row r="546" spans="1:11" s="34" customFormat="1" ht="14.45">
      <c r="A546" s="59"/>
      <c r="B546" s="100"/>
      <c r="C546" s="61"/>
      <c r="D546" s="62"/>
      <c r="E546" s="157"/>
      <c r="F546" s="152"/>
      <c r="G546" s="227"/>
      <c r="H546" s="165"/>
      <c r="I546" s="165"/>
      <c r="K546" s="286"/>
    </row>
    <row r="547" spans="1:11" s="34" customFormat="1" ht="55.15">
      <c r="A547" s="66"/>
      <c r="B547" s="98" t="s">
        <v>795</v>
      </c>
      <c r="C547" s="68"/>
      <c r="D547" s="69"/>
      <c r="E547" s="157"/>
      <c r="F547" s="152"/>
      <c r="G547" s="227"/>
      <c r="H547" s="165"/>
      <c r="I547" s="165"/>
      <c r="K547" s="286"/>
    </row>
    <row r="548" spans="1:11" s="34" customFormat="1" ht="14.45">
      <c r="A548" s="59"/>
      <c r="B548" s="100"/>
      <c r="C548" s="61"/>
      <c r="D548" s="62"/>
      <c r="E548" s="157"/>
      <c r="F548" s="152"/>
      <c r="G548" s="227"/>
      <c r="H548" s="165"/>
      <c r="I548" s="165"/>
      <c r="K548" s="286"/>
    </row>
    <row r="549" spans="1:11" s="34" customFormat="1" ht="14.45">
      <c r="A549" s="66" t="s">
        <v>14</v>
      </c>
      <c r="B549" s="67" t="s">
        <v>796</v>
      </c>
      <c r="C549" s="68" t="s">
        <v>797</v>
      </c>
      <c r="D549" s="69" t="s">
        <v>16</v>
      </c>
      <c r="E549" s="157">
        <v>73.59</v>
      </c>
      <c r="F549" s="152">
        <f>C549*E549</f>
        <v>8683.6200000000008</v>
      </c>
      <c r="G549" s="227"/>
      <c r="H549" s="165"/>
      <c r="I549" s="165"/>
      <c r="K549" s="286"/>
    </row>
    <row r="550" spans="1:11" s="34" customFormat="1" ht="14.45">
      <c r="A550" s="59"/>
      <c r="B550" s="100"/>
      <c r="C550" s="61"/>
      <c r="D550" s="62"/>
      <c r="E550" s="157"/>
      <c r="F550" s="152"/>
      <c r="G550" s="227"/>
      <c r="H550" s="165"/>
      <c r="I550" s="165"/>
      <c r="K550" s="286"/>
    </row>
    <row r="551" spans="1:11" s="34" customFormat="1" ht="27.6">
      <c r="A551" s="66" t="s">
        <v>17</v>
      </c>
      <c r="B551" s="67" t="s">
        <v>798</v>
      </c>
      <c r="C551" s="68" t="s">
        <v>799</v>
      </c>
      <c r="D551" s="69" t="s">
        <v>16</v>
      </c>
      <c r="E551" s="157">
        <v>73.59</v>
      </c>
      <c r="F551" s="152">
        <f>C551*E551</f>
        <v>776816.04</v>
      </c>
      <c r="G551" s="227"/>
      <c r="H551" s="165"/>
      <c r="I551" s="165"/>
      <c r="K551" s="286"/>
    </row>
    <row r="552" spans="1:11" s="34" customFormat="1" ht="14.45">
      <c r="A552" s="59"/>
      <c r="B552" s="100"/>
      <c r="C552" s="61"/>
      <c r="D552" s="62"/>
      <c r="E552" s="157"/>
      <c r="F552" s="152"/>
      <c r="G552" s="227"/>
      <c r="H552" s="165"/>
      <c r="I552" s="165"/>
      <c r="K552" s="286"/>
    </row>
    <row r="553" spans="1:11" s="34" customFormat="1" ht="27.6">
      <c r="A553" s="66" t="s">
        <v>20</v>
      </c>
      <c r="B553" s="67" t="s">
        <v>800</v>
      </c>
      <c r="C553" s="68">
        <v>26722</v>
      </c>
      <c r="D553" s="69" t="s">
        <v>16</v>
      </c>
      <c r="E553" s="157">
        <v>78.849999999999994</v>
      </c>
      <c r="F553" s="152">
        <f>C553*E553</f>
        <v>2107029.6999999997</v>
      </c>
      <c r="G553" s="227"/>
      <c r="H553" s="165"/>
      <c r="I553" s="165"/>
      <c r="K553" s="286"/>
    </row>
    <row r="554" spans="1:11" s="34" customFormat="1" ht="14.45">
      <c r="A554" s="59"/>
      <c r="B554" s="100"/>
      <c r="C554" s="61"/>
      <c r="D554" s="62"/>
      <c r="E554" s="157"/>
      <c r="F554" s="152"/>
      <c r="G554" s="227"/>
      <c r="H554" s="165"/>
      <c r="I554" s="165"/>
      <c r="K554" s="286"/>
    </row>
    <row r="555" spans="1:11" s="34" customFormat="1" ht="27.6">
      <c r="A555" s="66" t="s">
        <v>23</v>
      </c>
      <c r="B555" s="67" t="s">
        <v>801</v>
      </c>
      <c r="C555" s="68" t="s">
        <v>802</v>
      </c>
      <c r="D555" s="69" t="s">
        <v>16</v>
      </c>
      <c r="E555" s="157">
        <v>84.11</v>
      </c>
      <c r="F555" s="152">
        <f>C555*E555</f>
        <v>67035.67</v>
      </c>
      <c r="G555" s="227"/>
      <c r="H555" s="165"/>
      <c r="I555" s="165"/>
      <c r="K555" s="286"/>
    </row>
    <row r="556" spans="1:11" s="34" customFormat="1" ht="14.45">
      <c r="A556" s="59"/>
      <c r="B556" s="100"/>
      <c r="C556" s="61"/>
      <c r="D556" s="62"/>
      <c r="E556" s="157"/>
      <c r="F556" s="152"/>
      <c r="G556" s="227"/>
      <c r="H556" s="165"/>
      <c r="I556" s="165"/>
      <c r="K556" s="286"/>
    </row>
    <row r="557" spans="1:11" s="34" customFormat="1" ht="27.6">
      <c r="A557" s="66" t="s">
        <v>27</v>
      </c>
      <c r="B557" s="67" t="s">
        <v>803</v>
      </c>
      <c r="C557" s="68" t="s">
        <v>804</v>
      </c>
      <c r="D557" s="69" t="s">
        <v>16</v>
      </c>
      <c r="E557" s="157">
        <v>94.62</v>
      </c>
      <c r="F557" s="152">
        <f>C557*E557</f>
        <v>38131.86</v>
      </c>
      <c r="G557" s="227"/>
      <c r="H557" s="165"/>
      <c r="I557" s="165"/>
      <c r="K557" s="286"/>
    </row>
    <row r="558" spans="1:11" s="34" customFormat="1" ht="14.45">
      <c r="A558" s="59"/>
      <c r="B558" s="100"/>
      <c r="C558" s="61"/>
      <c r="D558" s="62"/>
      <c r="E558" s="157"/>
      <c r="F558" s="152"/>
      <c r="G558" s="227"/>
      <c r="H558" s="165"/>
      <c r="I558" s="165"/>
      <c r="K558" s="286"/>
    </row>
    <row r="559" spans="1:11" s="34" customFormat="1" ht="27.6">
      <c r="A559" s="66" t="s">
        <v>44</v>
      </c>
      <c r="B559" s="67" t="s">
        <v>805</v>
      </c>
      <c r="C559" s="68" t="s">
        <v>88</v>
      </c>
      <c r="D559" s="69" t="s">
        <v>16</v>
      </c>
      <c r="E559" s="157">
        <v>115.65</v>
      </c>
      <c r="F559" s="152">
        <f>C559*E559</f>
        <v>1619.1000000000001</v>
      </c>
      <c r="G559" s="227"/>
      <c r="H559" s="165"/>
      <c r="I559" s="165"/>
      <c r="K559" s="286"/>
    </row>
    <row r="560" spans="1:11" s="34" customFormat="1" ht="14.45">
      <c r="A560" s="59"/>
      <c r="B560" s="100"/>
      <c r="C560" s="61"/>
      <c r="D560" s="62"/>
      <c r="E560" s="157"/>
      <c r="F560" s="152"/>
      <c r="G560" s="227"/>
      <c r="H560" s="165"/>
      <c r="I560" s="165"/>
      <c r="K560" s="286"/>
    </row>
    <row r="561" spans="1:11" s="34" customFormat="1" ht="14.45">
      <c r="A561" s="66" t="s">
        <v>48</v>
      </c>
      <c r="B561" s="67" t="s">
        <v>806</v>
      </c>
      <c r="C561" s="68">
        <v>1837</v>
      </c>
      <c r="D561" s="69" t="s">
        <v>199</v>
      </c>
      <c r="E561" s="157">
        <v>47.31</v>
      </c>
      <c r="F561" s="152">
        <f>C561*E561</f>
        <v>86908.47</v>
      </c>
      <c r="G561" s="227"/>
      <c r="H561" s="165"/>
      <c r="I561" s="165"/>
      <c r="K561" s="286"/>
    </row>
    <row r="562" spans="1:11" s="34" customFormat="1" ht="14.45">
      <c r="A562" s="59"/>
      <c r="B562" s="100"/>
      <c r="C562" s="61"/>
      <c r="D562" s="62"/>
      <c r="E562" s="157"/>
      <c r="F562" s="152"/>
      <c r="G562" s="227"/>
      <c r="H562" s="165"/>
      <c r="I562" s="165"/>
      <c r="K562" s="286"/>
    </row>
    <row r="563" spans="1:11" s="34" customFormat="1" ht="14.45">
      <c r="A563" s="66" t="s">
        <v>84</v>
      </c>
      <c r="B563" s="67" t="s">
        <v>807</v>
      </c>
      <c r="C563" s="68" t="s">
        <v>808</v>
      </c>
      <c r="D563" s="69" t="s">
        <v>199</v>
      </c>
      <c r="E563" s="157">
        <v>89.36</v>
      </c>
      <c r="F563" s="152">
        <f>C563*E563</f>
        <v>14029.52</v>
      </c>
      <c r="G563" s="227"/>
      <c r="H563" s="165"/>
      <c r="I563" s="165"/>
      <c r="K563" s="286"/>
    </row>
    <row r="564" spans="1:11" s="34" customFormat="1" ht="14.45">
      <c r="A564" s="59"/>
      <c r="B564" s="100"/>
      <c r="C564" s="61"/>
      <c r="D564" s="62"/>
      <c r="E564" s="157"/>
      <c r="F564" s="152"/>
      <c r="G564" s="227"/>
      <c r="H564" s="165"/>
      <c r="I564" s="165"/>
      <c r="K564" s="286"/>
    </row>
    <row r="565" spans="1:11" s="34" customFormat="1" ht="14.45">
      <c r="A565" s="66" t="s">
        <v>86</v>
      </c>
      <c r="B565" s="67" t="s">
        <v>809</v>
      </c>
      <c r="C565" s="68">
        <v>782</v>
      </c>
      <c r="D565" s="69" t="s">
        <v>199</v>
      </c>
      <c r="E565" s="157">
        <v>47.31</v>
      </c>
      <c r="F565" s="152">
        <f>C565*E565</f>
        <v>36996.42</v>
      </c>
      <c r="G565" s="227"/>
      <c r="H565" s="165"/>
      <c r="I565" s="165"/>
      <c r="K565" s="286"/>
    </row>
    <row r="566" spans="1:11" s="34" customFormat="1" ht="14.45">
      <c r="A566" s="59"/>
      <c r="B566" s="100"/>
      <c r="C566" s="61"/>
      <c r="D566" s="62"/>
      <c r="E566" s="157"/>
      <c r="F566" s="152"/>
      <c r="G566" s="227"/>
      <c r="H566" s="165"/>
      <c r="I566" s="165"/>
      <c r="K566" s="286"/>
    </row>
    <row r="567" spans="1:11" s="34" customFormat="1" ht="14.45">
      <c r="A567" s="66" t="s">
        <v>90</v>
      </c>
      <c r="B567" s="67" t="s">
        <v>810</v>
      </c>
      <c r="C567" s="68" t="s">
        <v>811</v>
      </c>
      <c r="D567" s="69" t="s">
        <v>199</v>
      </c>
      <c r="E567" s="157">
        <v>47.31</v>
      </c>
      <c r="F567" s="152">
        <f>C567*E567</f>
        <v>22330.32</v>
      </c>
      <c r="G567" s="227"/>
      <c r="H567" s="165"/>
      <c r="I567" s="165"/>
      <c r="K567" s="286"/>
    </row>
    <row r="568" spans="1:11" s="34" customFormat="1" ht="14.45">
      <c r="A568" s="59"/>
      <c r="B568" s="100"/>
      <c r="C568" s="61"/>
      <c r="D568" s="62"/>
      <c r="E568" s="157"/>
      <c r="F568" s="152"/>
      <c r="G568" s="227"/>
      <c r="H568" s="165"/>
      <c r="I568" s="165"/>
      <c r="K568" s="286"/>
    </row>
    <row r="569" spans="1:11" s="34" customFormat="1" ht="14.45">
      <c r="A569" s="66" t="s">
        <v>92</v>
      </c>
      <c r="B569" s="67" t="s">
        <v>812</v>
      </c>
      <c r="C569" s="68">
        <v>403</v>
      </c>
      <c r="D569" s="69" t="s">
        <v>16</v>
      </c>
      <c r="E569" s="157">
        <v>215.52</v>
      </c>
      <c r="F569" s="152">
        <f>C569*E569</f>
        <v>86854.56</v>
      </c>
      <c r="G569" s="227"/>
      <c r="H569" s="165"/>
      <c r="I569" s="165"/>
      <c r="K569" s="286"/>
    </row>
    <row r="570" spans="1:11" s="34" customFormat="1" ht="14.45">
      <c r="A570" s="59"/>
      <c r="B570" s="63"/>
      <c r="C570" s="61"/>
      <c r="D570" s="62"/>
      <c r="E570" s="157"/>
      <c r="F570" s="152"/>
      <c r="G570" s="227"/>
      <c r="H570" s="165"/>
      <c r="I570" s="165"/>
      <c r="K570" s="286"/>
    </row>
    <row r="571" spans="1:11" s="34" customFormat="1" ht="14.45">
      <c r="A571" s="59"/>
      <c r="B571" s="63"/>
      <c r="C571" s="61"/>
      <c r="D571" s="62"/>
      <c r="E571" s="157"/>
      <c r="F571" s="152"/>
      <c r="G571" s="227"/>
      <c r="H571" s="165"/>
      <c r="I571" s="165"/>
      <c r="K571" s="286"/>
    </row>
    <row r="572" spans="1:11" s="34" customFormat="1" ht="14.45">
      <c r="A572" s="71"/>
      <c r="B572" s="72"/>
      <c r="C572" s="73"/>
      <c r="D572" s="74"/>
      <c r="E572" s="159"/>
      <c r="F572" s="138"/>
      <c r="G572" s="226"/>
      <c r="H572" s="165"/>
      <c r="I572" s="165"/>
      <c r="K572" s="286"/>
    </row>
    <row r="573" spans="1:11" s="34" customFormat="1" ht="14.45">
      <c r="A573" s="75"/>
      <c r="B573" s="76"/>
      <c r="C573" s="77" t="s">
        <v>30</v>
      </c>
      <c r="D573" s="77"/>
      <c r="E573" s="160" t="s">
        <v>8</v>
      </c>
      <c r="F573" s="139">
        <f>SUM(F544:F570)</f>
        <v>3246435.28</v>
      </c>
      <c r="G573" s="227"/>
      <c r="H573" s="165"/>
      <c r="I573" s="165"/>
      <c r="K573" s="286"/>
    </row>
    <row r="574" spans="1:11" s="34" customFormat="1" ht="14.45">
      <c r="A574" s="75"/>
      <c r="B574" s="76"/>
      <c r="C574" s="78"/>
      <c r="D574" s="79"/>
      <c r="E574" s="161"/>
      <c r="F574" s="140"/>
      <c r="G574" s="228"/>
      <c r="H574" s="165"/>
      <c r="I574" s="165"/>
      <c r="K574" s="286"/>
    </row>
    <row r="575" spans="1:11" s="34" customFormat="1" ht="14.45">
      <c r="A575" s="59"/>
      <c r="B575" s="63"/>
      <c r="C575" s="61"/>
      <c r="D575" s="62"/>
      <c r="E575" s="157"/>
      <c r="F575" s="152"/>
      <c r="G575" s="227"/>
      <c r="H575" s="165"/>
      <c r="I575" s="165"/>
      <c r="K575" s="286"/>
    </row>
    <row r="576" spans="1:11" s="34" customFormat="1" ht="14.45">
      <c r="A576" s="59"/>
      <c r="B576" s="64" t="s">
        <v>813</v>
      </c>
      <c r="C576" s="61"/>
      <c r="D576" s="62"/>
      <c r="E576" s="157"/>
      <c r="F576" s="152"/>
      <c r="G576" s="227"/>
      <c r="H576" s="165"/>
      <c r="I576" s="165"/>
      <c r="K576" s="286"/>
    </row>
    <row r="577" spans="1:11" s="34" customFormat="1" ht="14.45">
      <c r="A577" s="59"/>
      <c r="B577" s="100"/>
      <c r="C577" s="61"/>
      <c r="D577" s="62"/>
      <c r="E577" s="157"/>
      <c r="F577" s="152"/>
      <c r="G577" s="227"/>
      <c r="H577" s="165"/>
      <c r="I577" s="165"/>
      <c r="K577" s="286"/>
    </row>
    <row r="578" spans="1:11" s="34" customFormat="1" ht="14.45">
      <c r="A578" s="66" t="s">
        <v>14</v>
      </c>
      <c r="B578" s="67" t="s">
        <v>814</v>
      </c>
      <c r="C578" s="68" t="s">
        <v>815</v>
      </c>
      <c r="D578" s="69" t="s">
        <v>199</v>
      </c>
      <c r="E578" s="157">
        <v>57.82</v>
      </c>
      <c r="F578" s="152">
        <f>C578*E578</f>
        <v>2948.82</v>
      </c>
      <c r="G578" s="227"/>
      <c r="H578" s="165"/>
      <c r="I578" s="165"/>
      <c r="K578" s="286"/>
    </row>
    <row r="579" spans="1:11" s="34" customFormat="1" ht="14.45">
      <c r="A579" s="59"/>
      <c r="B579" s="100"/>
      <c r="C579" s="61"/>
      <c r="D579" s="62"/>
      <c r="E579" s="157"/>
      <c r="F579" s="152"/>
      <c r="G579" s="227"/>
      <c r="H579" s="165"/>
      <c r="I579" s="165"/>
      <c r="K579" s="286"/>
    </row>
    <row r="580" spans="1:11" s="34" customFormat="1" ht="14.45">
      <c r="A580" s="66" t="s">
        <v>17</v>
      </c>
      <c r="B580" s="67" t="s">
        <v>816</v>
      </c>
      <c r="C580" s="68" t="s">
        <v>817</v>
      </c>
      <c r="D580" s="69" t="s">
        <v>199</v>
      </c>
      <c r="E580" s="157">
        <v>126.16</v>
      </c>
      <c r="F580" s="152">
        <f>C580*E580</f>
        <v>1083966.72</v>
      </c>
      <c r="G580" s="227"/>
      <c r="H580" s="165"/>
      <c r="I580" s="165"/>
      <c r="K580" s="286"/>
    </row>
    <row r="581" spans="1:11" s="34" customFormat="1" ht="14.45">
      <c r="A581" s="59"/>
      <c r="B581" s="100"/>
      <c r="C581" s="61"/>
      <c r="D581" s="62"/>
      <c r="E581" s="157"/>
      <c r="F581" s="152"/>
      <c r="G581" s="227"/>
      <c r="H581" s="165"/>
      <c r="I581" s="165"/>
      <c r="K581" s="286"/>
    </row>
    <row r="582" spans="1:11" s="34" customFormat="1" ht="14.45">
      <c r="A582" s="66" t="s">
        <v>20</v>
      </c>
      <c r="B582" s="67" t="s">
        <v>818</v>
      </c>
      <c r="C582" s="68" t="s">
        <v>819</v>
      </c>
      <c r="D582" s="69" t="s">
        <v>199</v>
      </c>
      <c r="E582" s="157">
        <v>189.24</v>
      </c>
      <c r="F582" s="152">
        <f>C582*E582</f>
        <v>981777.12</v>
      </c>
      <c r="G582" s="227"/>
      <c r="H582" s="165"/>
      <c r="I582" s="165"/>
      <c r="K582" s="286"/>
    </row>
    <row r="583" spans="1:11" s="34" customFormat="1" ht="14.45">
      <c r="A583" s="59"/>
      <c r="B583" s="100"/>
      <c r="C583" s="61"/>
      <c r="D583" s="62"/>
      <c r="E583" s="157"/>
      <c r="F583" s="152"/>
      <c r="G583" s="227"/>
      <c r="H583" s="165"/>
      <c r="I583" s="165"/>
      <c r="K583" s="286"/>
    </row>
    <row r="584" spans="1:11" s="34" customFormat="1" ht="55.15">
      <c r="A584" s="66"/>
      <c r="B584" s="98" t="s">
        <v>820</v>
      </c>
      <c r="C584" s="68"/>
      <c r="D584" s="69"/>
      <c r="E584" s="157"/>
      <c r="F584" s="152"/>
      <c r="G584" s="227"/>
      <c r="H584" s="165"/>
      <c r="I584" s="165"/>
      <c r="K584" s="286"/>
    </row>
    <row r="585" spans="1:11" s="34" customFormat="1" ht="14.45">
      <c r="A585" s="59"/>
      <c r="B585" s="100"/>
      <c r="C585" s="61"/>
      <c r="D585" s="62"/>
      <c r="E585" s="157"/>
      <c r="F585" s="152"/>
      <c r="G585" s="227"/>
      <c r="H585" s="165"/>
      <c r="I585" s="165"/>
      <c r="K585" s="286"/>
    </row>
    <row r="586" spans="1:11" s="34" customFormat="1" ht="27.6">
      <c r="A586" s="66" t="s">
        <v>23</v>
      </c>
      <c r="B586" s="67" t="s">
        <v>798</v>
      </c>
      <c r="C586" s="68" t="s">
        <v>821</v>
      </c>
      <c r="D586" s="69" t="s">
        <v>16</v>
      </c>
      <c r="E586" s="157">
        <v>77.8</v>
      </c>
      <c r="F586" s="152">
        <f>C586*E586</f>
        <v>196600.6</v>
      </c>
      <c r="G586" s="227"/>
      <c r="H586" s="165"/>
      <c r="I586" s="165"/>
      <c r="K586" s="286"/>
    </row>
    <row r="587" spans="1:11" s="34" customFormat="1" ht="14.45">
      <c r="A587" s="59"/>
      <c r="B587" s="100"/>
      <c r="C587" s="61"/>
      <c r="D587" s="62"/>
      <c r="E587" s="157"/>
      <c r="F587" s="152"/>
      <c r="G587" s="227"/>
      <c r="H587" s="165"/>
      <c r="I587" s="165"/>
      <c r="K587" s="286"/>
    </row>
    <row r="588" spans="1:11" s="34" customFormat="1" ht="27.6">
      <c r="A588" s="66" t="s">
        <v>27</v>
      </c>
      <c r="B588" s="67" t="s">
        <v>800</v>
      </c>
      <c r="C588" s="68" t="s">
        <v>39</v>
      </c>
      <c r="D588" s="69" t="s">
        <v>16</v>
      </c>
      <c r="E588" s="157">
        <v>77.8</v>
      </c>
      <c r="F588" s="152">
        <f>C588*E588</f>
        <v>466.79999999999995</v>
      </c>
      <c r="G588" s="227"/>
      <c r="H588" s="165"/>
      <c r="I588" s="165"/>
      <c r="K588" s="286"/>
    </row>
    <row r="589" spans="1:11" s="34" customFormat="1" ht="14.45">
      <c r="A589" s="59"/>
      <c r="B589" s="100"/>
      <c r="C589" s="61"/>
      <c r="D589" s="62"/>
      <c r="E589" s="157"/>
      <c r="F589" s="152"/>
      <c r="G589" s="227"/>
      <c r="H589" s="165"/>
      <c r="I589" s="165"/>
      <c r="K589" s="286"/>
    </row>
    <row r="590" spans="1:11" s="34" customFormat="1" ht="14.45">
      <c r="A590" s="66" t="s">
        <v>44</v>
      </c>
      <c r="B590" s="67" t="s">
        <v>822</v>
      </c>
      <c r="C590" s="68" t="s">
        <v>823</v>
      </c>
      <c r="D590" s="69" t="s">
        <v>199</v>
      </c>
      <c r="E590" s="157">
        <v>47.31</v>
      </c>
      <c r="F590" s="152">
        <f>C590*E590</f>
        <v>9509.3100000000013</v>
      </c>
      <c r="G590" s="227"/>
      <c r="H590" s="165"/>
      <c r="I590" s="165"/>
      <c r="K590" s="286"/>
    </row>
    <row r="591" spans="1:11" s="34" customFormat="1" ht="14.45">
      <c r="A591" s="59"/>
      <c r="B591" s="100"/>
      <c r="C591" s="61"/>
      <c r="D591" s="62"/>
      <c r="E591" s="157"/>
      <c r="F591" s="152"/>
      <c r="G591" s="227"/>
      <c r="H591" s="165"/>
      <c r="I591" s="165"/>
      <c r="K591" s="286"/>
    </row>
    <row r="592" spans="1:11" s="34" customFormat="1" ht="14.45">
      <c r="A592" s="66" t="s">
        <v>48</v>
      </c>
      <c r="B592" s="67" t="s">
        <v>824</v>
      </c>
      <c r="C592" s="68">
        <v>25</v>
      </c>
      <c r="D592" s="69" t="s">
        <v>199</v>
      </c>
      <c r="E592" s="157">
        <v>47.31</v>
      </c>
      <c r="F592" s="152">
        <f>C592*E592</f>
        <v>1182.75</v>
      </c>
      <c r="G592" s="227"/>
      <c r="H592" s="165"/>
      <c r="I592" s="165"/>
      <c r="K592" s="286"/>
    </row>
    <row r="593" spans="1:11" s="34" customFormat="1" ht="14.45">
      <c r="A593" s="59"/>
      <c r="B593" s="100"/>
      <c r="C593" s="61"/>
      <c r="D593" s="62"/>
      <c r="E593" s="157"/>
      <c r="F593" s="152"/>
      <c r="G593" s="227"/>
      <c r="H593" s="165"/>
      <c r="I593" s="165"/>
      <c r="K593" s="286"/>
    </row>
    <row r="594" spans="1:11" s="34" customFormat="1" ht="14.45">
      <c r="A594" s="66" t="s">
        <v>84</v>
      </c>
      <c r="B594" s="67" t="s">
        <v>825</v>
      </c>
      <c r="C594" s="68">
        <v>276</v>
      </c>
      <c r="D594" s="69" t="s">
        <v>199</v>
      </c>
      <c r="E594" s="157">
        <v>47.31</v>
      </c>
      <c r="F594" s="152">
        <f>C594*E594</f>
        <v>13057.560000000001</v>
      </c>
      <c r="G594" s="227"/>
      <c r="H594" s="165"/>
      <c r="I594" s="165"/>
      <c r="K594" s="286"/>
    </row>
    <row r="595" spans="1:11" s="34" customFormat="1" ht="14.45">
      <c r="A595" s="59"/>
      <c r="B595" s="100"/>
      <c r="C595" s="61"/>
      <c r="D595" s="62"/>
      <c r="E595" s="157"/>
      <c r="F595" s="152"/>
      <c r="G595" s="227"/>
      <c r="H595" s="165"/>
      <c r="I595" s="165"/>
      <c r="K595" s="286"/>
    </row>
    <row r="596" spans="1:11" s="34" customFormat="1" ht="14.45">
      <c r="A596" s="66" t="s">
        <v>86</v>
      </c>
      <c r="B596" s="67" t="s">
        <v>814</v>
      </c>
      <c r="C596" s="68" t="s">
        <v>716</v>
      </c>
      <c r="D596" s="69" t="s">
        <v>16</v>
      </c>
      <c r="E596" s="157">
        <v>57.82</v>
      </c>
      <c r="F596" s="152">
        <f>C596*E596</f>
        <v>1387.68</v>
      </c>
      <c r="G596" s="227"/>
      <c r="H596" s="165"/>
      <c r="I596" s="165"/>
      <c r="K596" s="286"/>
    </row>
    <row r="597" spans="1:11" s="34" customFormat="1" ht="14.45">
      <c r="A597" s="59"/>
      <c r="B597" s="100"/>
      <c r="C597" s="61"/>
      <c r="D597" s="62"/>
      <c r="E597" s="157"/>
      <c r="F597" s="152"/>
      <c r="G597" s="227"/>
      <c r="H597" s="165"/>
      <c r="I597" s="165"/>
      <c r="K597" s="286"/>
    </row>
    <row r="598" spans="1:11" s="34" customFormat="1" ht="14.45">
      <c r="A598" s="66" t="s">
        <v>90</v>
      </c>
      <c r="B598" s="67" t="s">
        <v>826</v>
      </c>
      <c r="C598" s="68">
        <v>36</v>
      </c>
      <c r="D598" s="69" t="s">
        <v>16</v>
      </c>
      <c r="E598" s="157">
        <v>99.88</v>
      </c>
      <c r="F598" s="152">
        <f>C598*E598</f>
        <v>3595.68</v>
      </c>
      <c r="G598" s="227"/>
      <c r="H598" s="165"/>
      <c r="I598" s="165"/>
      <c r="K598" s="286"/>
    </row>
    <row r="599" spans="1:11" s="34" customFormat="1" ht="14.45">
      <c r="A599" s="59"/>
      <c r="B599" s="100"/>
      <c r="C599" s="61"/>
      <c r="D599" s="62"/>
      <c r="E599" s="157"/>
      <c r="F599" s="152"/>
      <c r="G599" s="227"/>
      <c r="H599" s="165"/>
      <c r="I599" s="165"/>
      <c r="K599" s="286"/>
    </row>
    <row r="600" spans="1:11" s="34" customFormat="1" ht="14.45">
      <c r="A600" s="66" t="s">
        <v>92</v>
      </c>
      <c r="B600" s="67" t="s">
        <v>816</v>
      </c>
      <c r="C600" s="68" t="s">
        <v>827</v>
      </c>
      <c r="D600" s="69" t="s">
        <v>199</v>
      </c>
      <c r="E600" s="157">
        <v>126.16</v>
      </c>
      <c r="F600" s="152">
        <f>C600*E600</f>
        <v>201729.84</v>
      </c>
      <c r="G600" s="227"/>
      <c r="H600" s="165"/>
      <c r="I600" s="165"/>
      <c r="K600" s="286"/>
    </row>
    <row r="601" spans="1:11" s="34" customFormat="1" ht="14.45">
      <c r="A601" s="59"/>
      <c r="B601" s="100"/>
      <c r="C601" s="61"/>
      <c r="D601" s="62"/>
      <c r="E601" s="157"/>
      <c r="F601" s="152"/>
      <c r="G601" s="227"/>
      <c r="H601" s="165"/>
      <c r="I601" s="165"/>
      <c r="K601" s="286"/>
    </row>
    <row r="602" spans="1:11" s="34" customFormat="1" ht="14.45">
      <c r="A602" s="66" t="s">
        <v>94</v>
      </c>
      <c r="B602" s="67" t="s">
        <v>818</v>
      </c>
      <c r="C602" s="68" t="s">
        <v>828</v>
      </c>
      <c r="D602" s="69" t="s">
        <v>199</v>
      </c>
      <c r="E602" s="157">
        <v>126.16</v>
      </c>
      <c r="F602" s="152">
        <f>C602*E602</f>
        <v>16022.32</v>
      </c>
      <c r="G602" s="227"/>
      <c r="H602" s="165"/>
      <c r="I602" s="165"/>
      <c r="K602" s="286"/>
    </row>
    <row r="603" spans="1:11" s="34" customFormat="1" ht="14.45">
      <c r="A603" s="59"/>
      <c r="B603" s="100"/>
      <c r="C603" s="61"/>
      <c r="D603" s="62"/>
      <c r="E603" s="157"/>
      <c r="F603" s="152"/>
      <c r="G603" s="227"/>
      <c r="H603" s="165"/>
      <c r="I603" s="165"/>
      <c r="K603" s="286"/>
    </row>
    <row r="604" spans="1:11" s="34" customFormat="1" ht="55.15">
      <c r="A604" s="66"/>
      <c r="B604" s="98" t="s">
        <v>829</v>
      </c>
      <c r="C604" s="68"/>
      <c r="D604" s="69"/>
      <c r="E604" s="157"/>
      <c r="F604" s="152"/>
      <c r="G604" s="227"/>
      <c r="H604" s="165"/>
      <c r="I604" s="165"/>
      <c r="K604" s="286"/>
    </row>
    <row r="605" spans="1:11" s="34" customFormat="1" ht="14.45">
      <c r="A605" s="59"/>
      <c r="B605" s="100"/>
      <c r="C605" s="61"/>
      <c r="D605" s="62"/>
      <c r="E605" s="157"/>
      <c r="F605" s="152"/>
      <c r="G605" s="227"/>
      <c r="H605" s="165"/>
      <c r="I605" s="165"/>
      <c r="K605" s="286"/>
    </row>
    <row r="606" spans="1:11" s="34" customFormat="1" ht="14.45">
      <c r="A606" s="66" t="s">
        <v>140</v>
      </c>
      <c r="B606" s="67" t="s">
        <v>830</v>
      </c>
      <c r="C606" s="68">
        <v>286</v>
      </c>
      <c r="D606" s="69" t="s">
        <v>16</v>
      </c>
      <c r="E606" s="157">
        <v>326.51</v>
      </c>
      <c r="F606" s="152">
        <f>C606*E606</f>
        <v>93381.86</v>
      </c>
      <c r="G606" s="227"/>
      <c r="H606" s="165"/>
      <c r="I606" s="165"/>
      <c r="K606" s="286"/>
    </row>
    <row r="607" spans="1:11" s="34" customFormat="1" ht="14.45">
      <c r="A607" s="66"/>
      <c r="B607" s="99"/>
      <c r="C607" s="68"/>
      <c r="D607" s="69"/>
      <c r="E607" s="157"/>
      <c r="F607" s="152"/>
      <c r="G607" s="227"/>
      <c r="H607" s="165"/>
      <c r="I607" s="165"/>
      <c r="K607" s="286"/>
    </row>
    <row r="608" spans="1:11" s="34" customFormat="1" ht="14.45">
      <c r="A608" s="66"/>
      <c r="B608" s="99"/>
      <c r="C608" s="68"/>
      <c r="D608" s="69"/>
      <c r="E608" s="157"/>
      <c r="F608" s="152"/>
      <c r="G608" s="227"/>
      <c r="H608" s="165"/>
      <c r="I608" s="165"/>
      <c r="K608" s="286"/>
    </row>
    <row r="609" spans="1:11" s="34" customFormat="1" ht="14.45">
      <c r="A609" s="66"/>
      <c r="B609" s="99"/>
      <c r="C609" s="68"/>
      <c r="D609" s="69"/>
      <c r="E609" s="157"/>
      <c r="F609" s="152"/>
      <c r="G609" s="227"/>
      <c r="H609" s="165"/>
      <c r="I609" s="165"/>
      <c r="K609" s="286"/>
    </row>
    <row r="610" spans="1:11" s="34" customFormat="1" ht="14.45">
      <c r="A610" s="66"/>
      <c r="B610" s="99"/>
      <c r="C610" s="68"/>
      <c r="D610" s="69"/>
      <c r="E610" s="157"/>
      <c r="F610" s="152"/>
      <c r="G610" s="227"/>
      <c r="H610" s="165"/>
      <c r="I610" s="165"/>
      <c r="K610" s="286"/>
    </row>
    <row r="611" spans="1:11" s="34" customFormat="1" ht="14.45">
      <c r="A611" s="66"/>
      <c r="B611" s="99"/>
      <c r="C611" s="68"/>
      <c r="D611" s="69"/>
      <c r="E611" s="157"/>
      <c r="F611" s="152"/>
      <c r="G611" s="227"/>
      <c r="H611" s="165"/>
      <c r="I611" s="165"/>
      <c r="K611" s="286"/>
    </row>
    <row r="612" spans="1:11" s="34" customFormat="1" ht="14.45">
      <c r="A612" s="59"/>
      <c r="B612" s="100"/>
      <c r="C612" s="61"/>
      <c r="D612" s="62"/>
      <c r="E612" s="157"/>
      <c r="F612" s="152"/>
      <c r="G612" s="227"/>
      <c r="H612" s="165"/>
      <c r="I612" s="165"/>
      <c r="K612" s="286"/>
    </row>
    <row r="613" spans="1:11" s="34" customFormat="1" ht="14.45">
      <c r="A613" s="71"/>
      <c r="B613" s="72"/>
      <c r="C613" s="73"/>
      <c r="D613" s="74"/>
      <c r="E613" s="159"/>
      <c r="F613" s="138"/>
      <c r="G613" s="226"/>
      <c r="H613" s="165"/>
      <c r="I613" s="165"/>
      <c r="K613" s="286"/>
    </row>
    <row r="614" spans="1:11" s="34" customFormat="1" ht="14.45">
      <c r="A614" s="75"/>
      <c r="B614" s="76"/>
      <c r="C614" s="77" t="s">
        <v>30</v>
      </c>
      <c r="D614" s="77"/>
      <c r="E614" s="160" t="s">
        <v>8</v>
      </c>
      <c r="F614" s="139">
        <f>SUM(F576:F610)</f>
        <v>2605627.06</v>
      </c>
      <c r="G614" s="227"/>
      <c r="H614" s="165"/>
      <c r="I614" s="165"/>
      <c r="K614" s="286"/>
    </row>
    <row r="615" spans="1:11" s="34" customFormat="1" ht="14.45">
      <c r="A615" s="75"/>
      <c r="B615" s="76"/>
      <c r="C615" s="78"/>
      <c r="D615" s="79"/>
      <c r="E615" s="161"/>
      <c r="F615" s="140"/>
      <c r="G615" s="228"/>
      <c r="H615" s="165"/>
      <c r="I615" s="165"/>
      <c r="K615" s="286"/>
    </row>
    <row r="616" spans="1:11" s="34" customFormat="1" ht="14.45">
      <c r="A616" s="59"/>
      <c r="B616" s="63"/>
      <c r="C616" s="61"/>
      <c r="D616" s="62"/>
      <c r="E616" s="157"/>
      <c r="F616" s="152"/>
      <c r="G616" s="227"/>
      <c r="H616" s="165"/>
      <c r="I616" s="165"/>
      <c r="K616" s="286"/>
    </row>
    <row r="617" spans="1:11" s="34" customFormat="1" ht="14.45">
      <c r="A617" s="59"/>
      <c r="B617" s="64" t="s">
        <v>813</v>
      </c>
      <c r="C617" s="61"/>
      <c r="D617" s="62"/>
      <c r="E617" s="157"/>
      <c r="F617" s="152"/>
      <c r="G617" s="227"/>
      <c r="H617" s="165"/>
      <c r="I617" s="165"/>
      <c r="K617" s="286"/>
    </row>
    <row r="618" spans="1:11" s="34" customFormat="1" ht="14.45">
      <c r="A618" s="59"/>
      <c r="B618" s="100"/>
      <c r="C618" s="61"/>
      <c r="D618" s="62"/>
      <c r="E618" s="157"/>
      <c r="F618" s="152"/>
      <c r="G618" s="227"/>
      <c r="H618" s="165"/>
      <c r="I618" s="165"/>
      <c r="K618" s="286"/>
    </row>
    <row r="619" spans="1:11" s="34" customFormat="1" ht="82.9">
      <c r="A619" s="66"/>
      <c r="B619" s="98" t="s">
        <v>831</v>
      </c>
      <c r="C619" s="68"/>
      <c r="D619" s="69"/>
      <c r="E619" s="157"/>
      <c r="F619" s="152"/>
      <c r="G619" s="227"/>
      <c r="H619" s="165"/>
      <c r="I619" s="165"/>
      <c r="K619" s="286"/>
    </row>
    <row r="620" spans="1:11" s="34" customFormat="1" ht="14.45">
      <c r="A620" s="59"/>
      <c r="B620" s="100"/>
      <c r="C620" s="61"/>
      <c r="D620" s="62"/>
      <c r="E620" s="157"/>
      <c r="F620" s="152"/>
      <c r="G620" s="227"/>
      <c r="H620" s="165"/>
      <c r="I620" s="165"/>
      <c r="K620" s="286"/>
    </row>
    <row r="621" spans="1:11" s="34" customFormat="1" ht="14.45">
      <c r="A621" s="66" t="s">
        <v>14</v>
      </c>
      <c r="B621" s="67" t="s">
        <v>832</v>
      </c>
      <c r="C621" s="68" t="s">
        <v>797</v>
      </c>
      <c r="D621" s="69" t="s">
        <v>16</v>
      </c>
      <c r="E621" s="157">
        <v>326.51</v>
      </c>
      <c r="F621" s="152">
        <f>C621*E621</f>
        <v>38528.18</v>
      </c>
      <c r="G621" s="227"/>
      <c r="H621" s="165"/>
      <c r="I621" s="165"/>
      <c r="K621" s="286"/>
    </row>
    <row r="622" spans="1:11" s="34" customFormat="1" ht="14.45">
      <c r="A622" s="59"/>
      <c r="B622" s="100"/>
      <c r="C622" s="61"/>
      <c r="D622" s="62"/>
      <c r="E622" s="157"/>
      <c r="F622" s="152"/>
      <c r="G622" s="227"/>
      <c r="H622" s="165"/>
      <c r="I622" s="165"/>
      <c r="K622" s="286"/>
    </row>
    <row r="623" spans="1:11" s="34" customFormat="1" ht="41.45">
      <c r="A623" s="66"/>
      <c r="B623" s="98" t="s">
        <v>833</v>
      </c>
      <c r="C623" s="68"/>
      <c r="D623" s="69"/>
      <c r="E623" s="157"/>
      <c r="F623" s="152"/>
      <c r="G623" s="227"/>
      <c r="H623" s="165"/>
      <c r="I623" s="165"/>
      <c r="K623" s="286"/>
    </row>
    <row r="624" spans="1:11" s="34" customFormat="1" ht="14.45">
      <c r="A624" s="59"/>
      <c r="B624" s="100"/>
      <c r="C624" s="61"/>
      <c r="D624" s="62"/>
      <c r="E624" s="157"/>
      <c r="F624" s="152"/>
      <c r="G624" s="227"/>
      <c r="H624" s="165"/>
      <c r="I624" s="165"/>
      <c r="K624" s="286"/>
    </row>
    <row r="625" spans="1:11" s="34" customFormat="1" ht="27.6">
      <c r="A625" s="66" t="s">
        <v>17</v>
      </c>
      <c r="B625" s="67" t="s">
        <v>834</v>
      </c>
      <c r="C625" s="68" t="s">
        <v>835</v>
      </c>
      <c r="D625" s="69" t="s">
        <v>16</v>
      </c>
      <c r="E625" s="157">
        <v>1654.18</v>
      </c>
      <c r="F625" s="152">
        <f>C625*E625</f>
        <v>105867.52</v>
      </c>
      <c r="G625" s="227"/>
      <c r="H625" s="165"/>
      <c r="I625" s="165"/>
      <c r="K625" s="286"/>
    </row>
    <row r="626" spans="1:11" s="34" customFormat="1" ht="14.45">
      <c r="A626" s="59"/>
      <c r="B626" s="100"/>
      <c r="C626" s="61"/>
      <c r="D626" s="62"/>
      <c r="E626" s="157"/>
      <c r="F626" s="152"/>
      <c r="G626" s="227"/>
      <c r="H626" s="165"/>
      <c r="I626" s="165"/>
      <c r="K626" s="286"/>
    </row>
    <row r="627" spans="1:11" s="34" customFormat="1" ht="27.6">
      <c r="A627" s="66" t="s">
        <v>20</v>
      </c>
      <c r="B627" s="67" t="s">
        <v>836</v>
      </c>
      <c r="C627" s="68" t="s">
        <v>837</v>
      </c>
      <c r="D627" s="69" t="s">
        <v>16</v>
      </c>
      <c r="E627" s="157">
        <v>1654.18</v>
      </c>
      <c r="F627" s="152">
        <f>C627*E627</f>
        <v>299406.58</v>
      </c>
      <c r="G627" s="227"/>
      <c r="H627" s="165"/>
      <c r="I627" s="165"/>
      <c r="K627" s="286"/>
    </row>
    <row r="628" spans="1:11" s="34" customFormat="1" ht="14.45">
      <c r="A628" s="59"/>
      <c r="B628" s="100"/>
      <c r="C628" s="61"/>
      <c r="D628" s="62"/>
      <c r="E628" s="157"/>
      <c r="F628" s="152"/>
      <c r="G628" s="227"/>
      <c r="H628" s="165"/>
      <c r="I628" s="165"/>
      <c r="K628" s="286"/>
    </row>
    <row r="629" spans="1:11" s="34" customFormat="1" ht="27.6">
      <c r="A629" s="66" t="s">
        <v>23</v>
      </c>
      <c r="B629" s="67" t="s">
        <v>838</v>
      </c>
      <c r="C629" s="68" t="s">
        <v>839</v>
      </c>
      <c r="D629" s="69" t="s">
        <v>16</v>
      </c>
      <c r="E629" s="157">
        <v>1654.18</v>
      </c>
      <c r="F629" s="152">
        <f>C629*E629</f>
        <v>76092.28</v>
      </c>
      <c r="G629" s="227"/>
      <c r="H629" s="165"/>
      <c r="I629" s="165"/>
      <c r="K629" s="286"/>
    </row>
    <row r="630" spans="1:11" s="34" customFormat="1" ht="14.45">
      <c r="A630" s="59"/>
      <c r="B630" s="63"/>
      <c r="C630" s="61"/>
      <c r="D630" s="62"/>
      <c r="E630" s="157"/>
      <c r="F630" s="152"/>
      <c r="G630" s="227"/>
      <c r="H630" s="165"/>
      <c r="I630" s="165"/>
      <c r="K630" s="286"/>
    </row>
    <row r="631" spans="1:11" s="34" customFormat="1" ht="14.45">
      <c r="A631" s="59"/>
      <c r="B631" s="63"/>
      <c r="C631" s="61"/>
      <c r="D631" s="62"/>
      <c r="E631" s="157"/>
      <c r="F631" s="152"/>
      <c r="G631" s="227"/>
      <c r="H631" s="165"/>
      <c r="I631" s="165"/>
      <c r="K631" s="286"/>
    </row>
    <row r="632" spans="1:11" s="34" customFormat="1" ht="14.45">
      <c r="A632" s="59"/>
      <c r="B632" s="63"/>
      <c r="C632" s="61"/>
      <c r="D632" s="62"/>
      <c r="E632" s="157"/>
      <c r="F632" s="152"/>
      <c r="G632" s="227"/>
      <c r="H632" s="165"/>
      <c r="I632" s="165"/>
      <c r="K632" s="286"/>
    </row>
    <row r="633" spans="1:11" s="34" customFormat="1" ht="14.45">
      <c r="A633" s="59"/>
      <c r="B633" s="63"/>
      <c r="C633" s="61"/>
      <c r="D633" s="62"/>
      <c r="E633" s="157"/>
      <c r="F633" s="152"/>
      <c r="G633" s="227"/>
      <c r="H633" s="165"/>
      <c r="I633" s="165"/>
      <c r="K633" s="286"/>
    </row>
    <row r="634" spans="1:11" s="34" customFormat="1" ht="14.45">
      <c r="A634" s="59"/>
      <c r="B634" s="63"/>
      <c r="C634" s="61"/>
      <c r="D634" s="62"/>
      <c r="E634" s="157"/>
      <c r="F634" s="152"/>
      <c r="G634" s="227"/>
      <c r="H634" s="165"/>
      <c r="I634" s="165"/>
      <c r="K634" s="286"/>
    </row>
    <row r="635" spans="1:11" s="34" customFormat="1" ht="14.45">
      <c r="A635" s="59"/>
      <c r="B635" s="63"/>
      <c r="C635" s="61"/>
      <c r="D635" s="62"/>
      <c r="E635" s="157"/>
      <c r="F635" s="152"/>
      <c r="G635" s="227"/>
      <c r="H635" s="165"/>
      <c r="I635" s="165"/>
      <c r="K635" s="286"/>
    </row>
    <row r="636" spans="1:11" s="34" customFormat="1" ht="14.45">
      <c r="A636" s="59"/>
      <c r="B636" s="63"/>
      <c r="C636" s="61"/>
      <c r="D636" s="62"/>
      <c r="E636" s="157"/>
      <c r="F636" s="152"/>
      <c r="G636" s="227"/>
      <c r="H636" s="165"/>
      <c r="I636" s="165"/>
      <c r="K636" s="286"/>
    </row>
    <row r="637" spans="1:11" s="34" customFormat="1" ht="14.45">
      <c r="A637" s="59"/>
      <c r="B637" s="63"/>
      <c r="C637" s="61"/>
      <c r="D637" s="62"/>
      <c r="E637" s="157"/>
      <c r="F637" s="152"/>
      <c r="G637" s="227"/>
      <c r="H637" s="165"/>
      <c r="I637" s="165"/>
      <c r="K637" s="286"/>
    </row>
    <row r="638" spans="1:11" s="34" customFormat="1" ht="14.45">
      <c r="A638" s="59"/>
      <c r="B638" s="63"/>
      <c r="C638" s="61"/>
      <c r="D638" s="62"/>
      <c r="E638" s="157"/>
      <c r="F638" s="152"/>
      <c r="G638" s="227"/>
      <c r="H638" s="165"/>
      <c r="I638" s="165"/>
      <c r="K638" s="286"/>
    </row>
    <row r="639" spans="1:11" s="34" customFormat="1" ht="14.45">
      <c r="A639" s="59"/>
      <c r="B639" s="63"/>
      <c r="C639" s="61"/>
      <c r="D639" s="62"/>
      <c r="E639" s="157"/>
      <c r="F639" s="152"/>
      <c r="G639" s="227"/>
      <c r="H639" s="165"/>
      <c r="I639" s="165"/>
      <c r="K639" s="286"/>
    </row>
    <row r="640" spans="1:11" s="34" customFormat="1" ht="14.45">
      <c r="A640" s="59"/>
      <c r="B640" s="63"/>
      <c r="C640" s="61"/>
      <c r="D640" s="62"/>
      <c r="E640" s="157"/>
      <c r="F640" s="152"/>
      <c r="G640" s="227"/>
      <c r="H640" s="165"/>
      <c r="I640" s="165"/>
      <c r="K640" s="286"/>
    </row>
    <row r="641" spans="1:11" s="34" customFormat="1" ht="14.45">
      <c r="A641" s="59"/>
      <c r="B641" s="63"/>
      <c r="C641" s="61"/>
      <c r="D641" s="62"/>
      <c r="E641" s="157"/>
      <c r="F641" s="152"/>
      <c r="G641" s="227"/>
      <c r="H641" s="165"/>
      <c r="I641" s="165"/>
      <c r="K641" s="286"/>
    </row>
    <row r="642" spans="1:11" s="34" customFormat="1" ht="14.45">
      <c r="A642" s="59"/>
      <c r="B642" s="63"/>
      <c r="C642" s="61"/>
      <c r="D642" s="62"/>
      <c r="E642" s="157"/>
      <c r="F642" s="152"/>
      <c r="G642" s="227"/>
      <c r="H642" s="165"/>
      <c r="I642" s="165"/>
      <c r="K642" s="286"/>
    </row>
    <row r="643" spans="1:11" s="34" customFormat="1" ht="14.45">
      <c r="A643" s="59"/>
      <c r="B643" s="63"/>
      <c r="C643" s="61"/>
      <c r="D643" s="62"/>
      <c r="E643" s="157"/>
      <c r="F643" s="152"/>
      <c r="G643" s="227"/>
      <c r="H643" s="165"/>
      <c r="I643" s="165"/>
      <c r="K643" s="286"/>
    </row>
    <row r="644" spans="1:11" s="34" customFormat="1" ht="14.45">
      <c r="A644" s="59"/>
      <c r="B644" s="63"/>
      <c r="C644" s="61"/>
      <c r="D644" s="62"/>
      <c r="E644" s="157"/>
      <c r="F644" s="152"/>
      <c r="G644" s="227"/>
      <c r="H644" s="165"/>
      <c r="I644" s="165"/>
      <c r="K644" s="286"/>
    </row>
    <row r="645" spans="1:11" s="34" customFormat="1" ht="14.45">
      <c r="A645" s="59"/>
      <c r="B645" s="63"/>
      <c r="C645" s="61"/>
      <c r="D645" s="62"/>
      <c r="E645" s="157"/>
      <c r="F645" s="152"/>
      <c r="G645" s="227"/>
      <c r="H645" s="165"/>
      <c r="I645" s="165"/>
      <c r="K645" s="286"/>
    </row>
    <row r="646" spans="1:11" s="34" customFormat="1" ht="14.45">
      <c r="A646" s="59"/>
      <c r="B646" s="63"/>
      <c r="C646" s="61"/>
      <c r="D646" s="62"/>
      <c r="E646" s="157"/>
      <c r="F646" s="152"/>
      <c r="G646" s="227"/>
      <c r="H646" s="165"/>
      <c r="I646" s="165"/>
      <c r="K646" s="286"/>
    </row>
    <row r="647" spans="1:11" s="34" customFormat="1" ht="14.45">
      <c r="A647" s="59"/>
      <c r="B647" s="63"/>
      <c r="C647" s="61"/>
      <c r="D647" s="62"/>
      <c r="E647" s="157"/>
      <c r="F647" s="152"/>
      <c r="G647" s="227"/>
      <c r="H647" s="165"/>
      <c r="I647" s="165"/>
      <c r="K647" s="286"/>
    </row>
    <row r="648" spans="1:11" s="34" customFormat="1" ht="14.45">
      <c r="A648" s="59"/>
      <c r="B648" s="63"/>
      <c r="C648" s="61"/>
      <c r="D648" s="62"/>
      <c r="E648" s="157"/>
      <c r="F648" s="152"/>
      <c r="G648" s="227"/>
      <c r="H648" s="165"/>
      <c r="I648" s="165"/>
      <c r="K648" s="286"/>
    </row>
    <row r="649" spans="1:11" s="34" customFormat="1" ht="14.45">
      <c r="A649" s="59"/>
      <c r="B649" s="63"/>
      <c r="C649" s="61"/>
      <c r="D649" s="62"/>
      <c r="E649" s="157"/>
      <c r="F649" s="152"/>
      <c r="G649" s="227"/>
      <c r="H649" s="165"/>
      <c r="I649" s="165"/>
      <c r="K649" s="286"/>
    </row>
    <row r="650" spans="1:11" s="34" customFormat="1" ht="14.45">
      <c r="A650" s="59"/>
      <c r="B650" s="63"/>
      <c r="C650" s="61"/>
      <c r="D650" s="62"/>
      <c r="E650" s="157"/>
      <c r="F650" s="152"/>
      <c r="G650" s="227"/>
      <c r="H650" s="165"/>
      <c r="I650" s="165"/>
      <c r="K650" s="286"/>
    </row>
    <row r="651" spans="1:11" s="34" customFormat="1" ht="14.45">
      <c r="A651" s="59"/>
      <c r="B651" s="63"/>
      <c r="C651" s="61"/>
      <c r="D651" s="62"/>
      <c r="E651" s="157"/>
      <c r="F651" s="152"/>
      <c r="G651" s="227"/>
      <c r="H651" s="165"/>
      <c r="I651" s="165"/>
      <c r="K651" s="286"/>
    </row>
    <row r="652" spans="1:11" s="34" customFormat="1" ht="14.45">
      <c r="A652" s="71"/>
      <c r="B652" s="72"/>
      <c r="C652" s="73"/>
      <c r="D652" s="74"/>
      <c r="E652" s="159"/>
      <c r="F652" s="138"/>
      <c r="G652" s="226"/>
      <c r="H652" s="165"/>
      <c r="I652" s="165"/>
      <c r="K652" s="286"/>
    </row>
    <row r="653" spans="1:11" s="34" customFormat="1" ht="14.45">
      <c r="A653" s="75"/>
      <c r="B653" s="76"/>
      <c r="C653" s="77" t="s">
        <v>30</v>
      </c>
      <c r="D653" s="77"/>
      <c r="E653" s="160" t="s">
        <v>8</v>
      </c>
      <c r="F653" s="139">
        <f>SUM(F619:F639)</f>
        <v>519894.56000000006</v>
      </c>
      <c r="G653" s="227"/>
      <c r="H653" s="165"/>
      <c r="I653" s="165"/>
      <c r="K653" s="286"/>
    </row>
    <row r="654" spans="1:11" s="34" customFormat="1" ht="14.45">
      <c r="A654" s="75"/>
      <c r="B654" s="76"/>
      <c r="C654" s="78"/>
      <c r="D654" s="79"/>
      <c r="E654" s="161"/>
      <c r="F654" s="140"/>
      <c r="G654" s="228"/>
      <c r="H654" s="165"/>
      <c r="I654" s="165"/>
      <c r="K654" s="286"/>
    </row>
    <row r="655" spans="1:11" s="34" customFormat="1" ht="14.45">
      <c r="A655" s="59"/>
      <c r="B655" s="63"/>
      <c r="C655" s="61"/>
      <c r="D655" s="62"/>
      <c r="E655" s="157"/>
      <c r="F655" s="152"/>
      <c r="G655" s="227"/>
      <c r="H655" s="165"/>
      <c r="I655" s="165"/>
      <c r="K655" s="286"/>
    </row>
    <row r="656" spans="1:11" s="34" customFormat="1" ht="14.45">
      <c r="A656" s="59"/>
      <c r="B656" s="64" t="s">
        <v>840</v>
      </c>
      <c r="C656" s="61"/>
      <c r="D656" s="62"/>
      <c r="E656" s="157"/>
      <c r="F656" s="152"/>
      <c r="G656" s="227"/>
      <c r="H656" s="165"/>
      <c r="I656" s="165"/>
      <c r="K656" s="286"/>
    </row>
    <row r="657" spans="1:11" s="34" customFormat="1" ht="14.45">
      <c r="A657" s="59"/>
      <c r="B657" s="100"/>
      <c r="C657" s="61"/>
      <c r="D657" s="62"/>
      <c r="E657" s="157"/>
      <c r="F657" s="152"/>
      <c r="G657" s="227"/>
      <c r="H657" s="165"/>
      <c r="I657" s="165"/>
      <c r="K657" s="286"/>
    </row>
    <row r="658" spans="1:11" s="34" customFormat="1" ht="14.45">
      <c r="A658" s="66"/>
      <c r="B658" s="99" t="s">
        <v>11</v>
      </c>
      <c r="C658" s="68"/>
      <c r="D658" s="69"/>
      <c r="E658" s="157"/>
      <c r="F658" s="152"/>
      <c r="G658" s="227"/>
      <c r="H658" s="165"/>
      <c r="I658" s="165"/>
      <c r="K658" s="286"/>
    </row>
    <row r="659" spans="1:11" s="34" customFormat="1" ht="14.45">
      <c r="A659" s="59"/>
      <c r="B659" s="100"/>
      <c r="C659" s="61"/>
      <c r="D659" s="62"/>
      <c r="E659" s="157"/>
      <c r="F659" s="152"/>
      <c r="G659" s="227"/>
      <c r="H659" s="165"/>
      <c r="I659" s="165"/>
      <c r="K659" s="286"/>
    </row>
    <row r="660" spans="1:11" s="34" customFormat="1" ht="27.6">
      <c r="A660" s="66"/>
      <c r="B660" s="99" t="s">
        <v>582</v>
      </c>
      <c r="C660" s="68"/>
      <c r="D660" s="69"/>
      <c r="E660" s="157"/>
      <c r="F660" s="152"/>
      <c r="G660" s="227"/>
      <c r="H660" s="165"/>
      <c r="I660" s="165"/>
      <c r="K660" s="286"/>
    </row>
    <row r="661" spans="1:11" s="34" customFormat="1" ht="14.45">
      <c r="A661" s="59"/>
      <c r="B661" s="100"/>
      <c r="C661" s="61"/>
      <c r="D661" s="62"/>
      <c r="E661" s="157"/>
      <c r="F661" s="152"/>
      <c r="G661" s="227"/>
      <c r="H661" s="165"/>
      <c r="I661" s="165"/>
      <c r="K661" s="286"/>
    </row>
    <row r="662" spans="1:11" s="41" customFormat="1" ht="14.45">
      <c r="A662" s="80"/>
      <c r="B662" s="102" t="s">
        <v>583</v>
      </c>
      <c r="C662" s="82"/>
      <c r="D662" s="83"/>
      <c r="E662" s="158"/>
      <c r="F662" s="153"/>
      <c r="G662" s="231"/>
      <c r="H662" s="166"/>
      <c r="I662" s="165"/>
      <c r="K662" s="348"/>
    </row>
    <row r="663" spans="1:11" s="34" customFormat="1" ht="14.45">
      <c r="A663" s="59"/>
      <c r="B663" s="100"/>
      <c r="C663" s="61"/>
      <c r="D663" s="62"/>
      <c r="E663" s="157"/>
      <c r="F663" s="152"/>
      <c r="G663" s="227"/>
      <c r="H663" s="165"/>
      <c r="I663" s="165"/>
      <c r="K663" s="286"/>
    </row>
    <row r="664" spans="1:11" s="34" customFormat="1" ht="14.45">
      <c r="A664" s="66"/>
      <c r="B664" s="99" t="s">
        <v>584</v>
      </c>
      <c r="C664" s="68"/>
      <c r="D664" s="69"/>
      <c r="E664" s="157"/>
      <c r="F664" s="152"/>
      <c r="G664" s="227"/>
      <c r="H664" s="165"/>
      <c r="I664" s="165"/>
      <c r="K664" s="286"/>
    </row>
    <row r="665" spans="1:11" s="34" customFormat="1" ht="14.45">
      <c r="A665" s="59"/>
      <c r="B665" s="100"/>
      <c r="C665" s="61"/>
      <c r="D665" s="62"/>
      <c r="E665" s="157"/>
      <c r="F665" s="152"/>
      <c r="G665" s="227"/>
      <c r="H665" s="165"/>
      <c r="I665" s="165"/>
      <c r="K665" s="286"/>
    </row>
    <row r="666" spans="1:11" s="34" customFormat="1" ht="27.6">
      <c r="A666" s="66"/>
      <c r="B666" s="99" t="s">
        <v>585</v>
      </c>
      <c r="C666" s="68"/>
      <c r="D666" s="69"/>
      <c r="E666" s="157"/>
      <c r="F666" s="152"/>
      <c r="G666" s="227"/>
      <c r="H666" s="165"/>
      <c r="I666" s="165"/>
      <c r="K666" s="286"/>
    </row>
    <row r="667" spans="1:11" s="34" customFormat="1" ht="14.45">
      <c r="A667" s="59"/>
      <c r="B667" s="100"/>
      <c r="C667" s="61"/>
      <c r="D667" s="62"/>
      <c r="E667" s="157"/>
      <c r="F667" s="152"/>
      <c r="G667" s="227"/>
      <c r="H667" s="165"/>
      <c r="I667" s="165"/>
      <c r="K667" s="286"/>
    </row>
    <row r="668" spans="1:11" s="34" customFormat="1" ht="27.6">
      <c r="A668" s="66"/>
      <c r="B668" s="99" t="s">
        <v>586</v>
      </c>
      <c r="C668" s="68"/>
      <c r="D668" s="69"/>
      <c r="E668" s="157"/>
      <c r="F668" s="152"/>
      <c r="G668" s="227"/>
      <c r="H668" s="165"/>
      <c r="I668" s="165"/>
      <c r="K668" s="286"/>
    </row>
    <row r="669" spans="1:11" s="34" customFormat="1" ht="14.45">
      <c r="A669" s="59"/>
      <c r="B669" s="100"/>
      <c r="C669" s="61"/>
      <c r="D669" s="62"/>
      <c r="E669" s="157"/>
      <c r="F669" s="152"/>
      <c r="G669" s="227"/>
      <c r="H669" s="165"/>
      <c r="I669" s="165"/>
      <c r="K669" s="286"/>
    </row>
    <row r="670" spans="1:11" s="34" customFormat="1" ht="41.45">
      <c r="A670" s="66"/>
      <c r="B670" s="98" t="s">
        <v>841</v>
      </c>
      <c r="C670" s="68"/>
      <c r="D670" s="69"/>
      <c r="E670" s="157"/>
      <c r="F670" s="152"/>
      <c r="G670" s="227"/>
      <c r="H670" s="165"/>
      <c r="I670" s="165"/>
      <c r="K670" s="286"/>
    </row>
    <row r="671" spans="1:11" s="34" customFormat="1" ht="14.45">
      <c r="A671" s="59"/>
      <c r="B671" s="100"/>
      <c r="C671" s="61"/>
      <c r="D671" s="62"/>
      <c r="E671" s="157"/>
      <c r="F671" s="152"/>
      <c r="G671" s="227"/>
      <c r="H671" s="165"/>
      <c r="I671" s="165"/>
      <c r="K671" s="286"/>
    </row>
    <row r="672" spans="1:11" s="34" customFormat="1" ht="14.45">
      <c r="A672" s="66" t="s">
        <v>14</v>
      </c>
      <c r="B672" s="67" t="s">
        <v>842</v>
      </c>
      <c r="C672" s="68">
        <v>5072</v>
      </c>
      <c r="D672" s="69" t="s">
        <v>16</v>
      </c>
      <c r="E672" s="157">
        <v>33.76</v>
      </c>
      <c r="F672" s="152">
        <f>C672*E672</f>
        <v>171230.72</v>
      </c>
      <c r="G672" s="227"/>
      <c r="H672" s="165"/>
      <c r="I672" s="165"/>
      <c r="K672" s="286"/>
    </row>
    <row r="673" spans="1:11" s="34" customFormat="1" ht="14.45">
      <c r="A673" s="59"/>
      <c r="B673" s="100"/>
      <c r="C673" s="61"/>
      <c r="D673" s="62"/>
      <c r="E673" s="157"/>
      <c r="F673" s="152"/>
      <c r="G673" s="227"/>
      <c r="H673" s="165"/>
      <c r="I673" s="165"/>
      <c r="K673" s="286"/>
    </row>
    <row r="674" spans="1:11" s="34" customFormat="1" ht="14.45">
      <c r="A674" s="66" t="s">
        <v>17</v>
      </c>
      <c r="B674" s="67" t="s">
        <v>843</v>
      </c>
      <c r="C674" s="68">
        <v>4168</v>
      </c>
      <c r="D674" s="69" t="s">
        <v>16</v>
      </c>
      <c r="E674" s="157">
        <v>35.81</v>
      </c>
      <c r="F674" s="152">
        <f>C674*E674</f>
        <v>149256.08000000002</v>
      </c>
      <c r="G674" s="227"/>
      <c r="H674" s="165"/>
      <c r="I674" s="165"/>
      <c r="K674" s="286"/>
    </row>
    <row r="675" spans="1:11" s="34" customFormat="1" ht="14.45">
      <c r="A675" s="59"/>
      <c r="B675" s="100"/>
      <c r="C675" s="61"/>
      <c r="D675" s="62"/>
      <c r="E675" s="157"/>
      <c r="F675" s="152"/>
      <c r="G675" s="227"/>
      <c r="H675" s="165"/>
      <c r="I675" s="165"/>
      <c r="K675" s="286"/>
    </row>
    <row r="676" spans="1:11" s="34" customFormat="1" ht="14.45">
      <c r="A676" s="66" t="s">
        <v>20</v>
      </c>
      <c r="B676" s="67" t="s">
        <v>844</v>
      </c>
      <c r="C676" s="68" t="s">
        <v>845</v>
      </c>
      <c r="D676" s="69" t="s">
        <v>16</v>
      </c>
      <c r="E676" s="157">
        <v>33.76</v>
      </c>
      <c r="F676" s="152">
        <f>C676*E676</f>
        <v>4726.3999999999996</v>
      </c>
      <c r="G676" s="227"/>
      <c r="H676" s="165"/>
      <c r="I676" s="165"/>
      <c r="K676" s="286"/>
    </row>
    <row r="677" spans="1:11" s="34" customFormat="1" ht="14.45">
      <c r="A677" s="59"/>
      <c r="B677" s="100"/>
      <c r="C677" s="61"/>
      <c r="D677" s="62"/>
      <c r="E677" s="157"/>
      <c r="F677" s="152"/>
      <c r="G677" s="227"/>
      <c r="H677" s="165"/>
      <c r="I677" s="165"/>
      <c r="K677" s="286"/>
    </row>
    <row r="678" spans="1:11" s="34" customFormat="1" ht="14.45">
      <c r="A678" s="66" t="s">
        <v>23</v>
      </c>
      <c r="B678" s="67" t="s">
        <v>846</v>
      </c>
      <c r="C678" s="68">
        <v>1301</v>
      </c>
      <c r="D678" s="69" t="s">
        <v>199</v>
      </c>
      <c r="E678" s="157">
        <v>14.32</v>
      </c>
      <c r="F678" s="152">
        <f>C678*E678</f>
        <v>18630.32</v>
      </c>
      <c r="G678" s="227"/>
      <c r="H678" s="165"/>
      <c r="I678" s="165"/>
      <c r="K678" s="286"/>
    </row>
    <row r="679" spans="1:11" s="34" customFormat="1" ht="14.45">
      <c r="A679" s="59"/>
      <c r="B679" s="100"/>
      <c r="C679" s="61"/>
      <c r="D679" s="62"/>
      <c r="E679" s="157"/>
      <c r="F679" s="152"/>
      <c r="G679" s="227"/>
      <c r="H679" s="165"/>
      <c r="I679" s="165"/>
      <c r="K679" s="286"/>
    </row>
    <row r="680" spans="1:11" s="34" customFormat="1" ht="55.15">
      <c r="A680" s="66"/>
      <c r="B680" s="98" t="s">
        <v>847</v>
      </c>
      <c r="C680" s="68"/>
      <c r="D680" s="69"/>
      <c r="E680" s="157"/>
      <c r="F680" s="152"/>
      <c r="G680" s="227"/>
      <c r="H680" s="165"/>
      <c r="I680" s="165"/>
      <c r="K680" s="286"/>
    </row>
    <row r="681" spans="1:11" s="34" customFormat="1" ht="14.45">
      <c r="A681" s="59"/>
      <c r="B681" s="100"/>
      <c r="C681" s="61"/>
      <c r="D681" s="62"/>
      <c r="E681" s="157"/>
      <c r="F681" s="152"/>
      <c r="G681" s="227"/>
      <c r="H681" s="165"/>
      <c r="I681" s="165"/>
      <c r="K681" s="286"/>
    </row>
    <row r="682" spans="1:11" s="34" customFormat="1" ht="14.45">
      <c r="A682" s="66" t="s">
        <v>27</v>
      </c>
      <c r="B682" s="67" t="s">
        <v>848</v>
      </c>
      <c r="C682" s="68">
        <v>201</v>
      </c>
      <c r="D682" s="69" t="s">
        <v>16</v>
      </c>
      <c r="E682" s="157">
        <v>46.04</v>
      </c>
      <c r="F682" s="152">
        <f>C682*E682</f>
        <v>9254.0399999999991</v>
      </c>
      <c r="G682" s="227"/>
      <c r="H682" s="165"/>
      <c r="I682" s="165"/>
      <c r="K682" s="286"/>
    </row>
    <row r="683" spans="1:11" s="34" customFormat="1" ht="14.45">
      <c r="A683" s="59"/>
      <c r="B683" s="100"/>
      <c r="C683" s="61"/>
      <c r="D683" s="62"/>
      <c r="E683" s="157"/>
      <c r="F683" s="152"/>
      <c r="G683" s="227"/>
      <c r="H683" s="165"/>
      <c r="I683" s="165"/>
      <c r="K683" s="286"/>
    </row>
    <row r="684" spans="1:11" s="34" customFormat="1" ht="14.45">
      <c r="A684" s="66" t="s">
        <v>44</v>
      </c>
      <c r="B684" s="67" t="s">
        <v>849</v>
      </c>
      <c r="C684" s="68">
        <v>49</v>
      </c>
      <c r="D684" s="69" t="s">
        <v>199</v>
      </c>
      <c r="E684" s="157">
        <v>14.32</v>
      </c>
      <c r="F684" s="152">
        <f>C684*E684</f>
        <v>701.68000000000006</v>
      </c>
      <c r="G684" s="227"/>
      <c r="H684" s="165"/>
      <c r="I684" s="165"/>
      <c r="K684" s="286"/>
    </row>
    <row r="685" spans="1:11" s="34" customFormat="1" ht="14.45">
      <c r="A685" s="59"/>
      <c r="B685" s="100"/>
      <c r="C685" s="61"/>
      <c r="D685" s="62"/>
      <c r="E685" s="157"/>
      <c r="F685" s="152"/>
      <c r="G685" s="227"/>
      <c r="H685" s="165"/>
      <c r="I685" s="165"/>
      <c r="K685" s="286"/>
    </row>
    <row r="686" spans="1:11" s="34" customFormat="1" ht="57.75" customHeight="1">
      <c r="A686" s="66"/>
      <c r="B686" s="98" t="s">
        <v>850</v>
      </c>
      <c r="C686" s="68"/>
      <c r="D686" s="69"/>
      <c r="E686" s="157"/>
      <c r="F686" s="152"/>
      <c r="G686" s="227"/>
      <c r="H686" s="165"/>
      <c r="I686" s="165"/>
      <c r="K686" s="286"/>
    </row>
    <row r="687" spans="1:11" s="34" customFormat="1" ht="14.45">
      <c r="A687" s="59"/>
      <c r="B687" s="100"/>
      <c r="C687" s="61"/>
      <c r="D687" s="62"/>
      <c r="E687" s="157"/>
      <c r="F687" s="152"/>
      <c r="G687" s="227"/>
      <c r="H687" s="165"/>
      <c r="I687" s="165"/>
      <c r="K687" s="286"/>
    </row>
    <row r="688" spans="1:11" s="34" customFormat="1" ht="14.45">
      <c r="A688" s="66" t="s">
        <v>48</v>
      </c>
      <c r="B688" s="67" t="s">
        <v>851</v>
      </c>
      <c r="C688" s="68">
        <v>401</v>
      </c>
      <c r="D688" s="69" t="s">
        <v>16</v>
      </c>
      <c r="E688" s="157">
        <v>15.51</v>
      </c>
      <c r="F688" s="152">
        <f>C688*E688</f>
        <v>6219.51</v>
      </c>
      <c r="G688" s="227"/>
      <c r="H688" s="165"/>
      <c r="I688" s="165"/>
      <c r="K688" s="286"/>
    </row>
    <row r="689" spans="1:11" s="34" customFormat="1" ht="14.45">
      <c r="A689" s="59"/>
      <c r="B689" s="63"/>
      <c r="C689" s="61"/>
      <c r="D689" s="62"/>
      <c r="E689" s="157"/>
      <c r="F689" s="152"/>
      <c r="G689" s="227"/>
      <c r="H689" s="165"/>
      <c r="I689" s="165"/>
      <c r="K689" s="286"/>
    </row>
    <row r="690" spans="1:11" s="34" customFormat="1" ht="14.45">
      <c r="A690" s="71"/>
      <c r="B690" s="72"/>
      <c r="C690" s="73"/>
      <c r="D690" s="74"/>
      <c r="E690" s="159"/>
      <c r="F690" s="138"/>
      <c r="G690" s="226"/>
      <c r="H690" s="165"/>
      <c r="I690" s="165"/>
      <c r="K690" s="286"/>
    </row>
    <row r="691" spans="1:11" s="34" customFormat="1" ht="14.45">
      <c r="A691" s="75"/>
      <c r="B691" s="76"/>
      <c r="C691" s="77" t="s">
        <v>30</v>
      </c>
      <c r="D691" s="77"/>
      <c r="E691" s="160" t="s">
        <v>8</v>
      </c>
      <c r="F691" s="139">
        <f>SUM(F670:F689)</f>
        <v>360018.75000000006</v>
      </c>
      <c r="G691" s="227"/>
      <c r="H691" s="165"/>
      <c r="I691" s="165"/>
      <c r="K691" s="286"/>
    </row>
    <row r="692" spans="1:11" s="34" customFormat="1" ht="14.45">
      <c r="A692" s="75"/>
      <c r="B692" s="76"/>
      <c r="C692" s="78"/>
      <c r="D692" s="79"/>
      <c r="E692" s="161"/>
      <c r="F692" s="140"/>
      <c r="G692" s="228"/>
      <c r="H692" s="165"/>
      <c r="I692" s="165"/>
      <c r="K692" s="286"/>
    </row>
    <row r="693" spans="1:11" s="34" customFormat="1" ht="14.45">
      <c r="A693" s="59"/>
      <c r="B693" s="63"/>
      <c r="C693" s="61"/>
      <c r="D693" s="62"/>
      <c r="E693" s="157"/>
      <c r="F693" s="152"/>
      <c r="G693" s="227"/>
      <c r="H693" s="165"/>
      <c r="I693" s="165"/>
      <c r="K693" s="286"/>
    </row>
    <row r="694" spans="1:11" s="34" customFormat="1" ht="14.45">
      <c r="A694" s="59"/>
      <c r="B694" s="64" t="s">
        <v>852</v>
      </c>
      <c r="C694" s="61"/>
      <c r="D694" s="62"/>
      <c r="E694" s="157"/>
      <c r="F694" s="152"/>
      <c r="G694" s="227"/>
      <c r="H694" s="165"/>
      <c r="I694" s="165"/>
      <c r="K694" s="286"/>
    </row>
    <row r="695" spans="1:11" s="34" customFormat="1" ht="14.45">
      <c r="A695" s="59"/>
      <c r="B695" s="100"/>
      <c r="C695" s="61"/>
      <c r="D695" s="62"/>
      <c r="E695" s="157"/>
      <c r="F695" s="152"/>
      <c r="G695" s="227"/>
      <c r="H695" s="165"/>
      <c r="I695" s="165"/>
      <c r="K695" s="286"/>
    </row>
    <row r="696" spans="1:11" s="34" customFormat="1" ht="27.6">
      <c r="A696" s="66"/>
      <c r="B696" s="98" t="s">
        <v>853</v>
      </c>
      <c r="C696" s="68"/>
      <c r="D696" s="69"/>
      <c r="E696" s="157"/>
      <c r="F696" s="152"/>
      <c r="G696" s="227"/>
      <c r="H696" s="165"/>
      <c r="I696" s="165"/>
      <c r="K696" s="286"/>
    </row>
    <row r="697" spans="1:11" s="34" customFormat="1" ht="14.45">
      <c r="A697" s="59"/>
      <c r="B697" s="100"/>
      <c r="C697" s="61"/>
      <c r="D697" s="62"/>
      <c r="E697" s="157"/>
      <c r="F697" s="152"/>
      <c r="G697" s="227"/>
      <c r="H697" s="165"/>
      <c r="I697" s="165"/>
      <c r="K697" s="286"/>
    </row>
    <row r="698" spans="1:11" s="34" customFormat="1" ht="14.45">
      <c r="A698" s="66" t="s">
        <v>14</v>
      </c>
      <c r="B698" s="67" t="s">
        <v>854</v>
      </c>
      <c r="C698" s="68">
        <v>8849</v>
      </c>
      <c r="D698" s="69" t="s">
        <v>16</v>
      </c>
      <c r="E698" s="157">
        <v>15.51</v>
      </c>
      <c r="F698" s="152">
        <f>C698*E698</f>
        <v>137247.99</v>
      </c>
      <c r="G698" s="227"/>
      <c r="H698" s="165"/>
      <c r="I698" s="165"/>
      <c r="K698" s="286"/>
    </row>
    <row r="699" spans="1:11" s="34" customFormat="1" ht="14.45">
      <c r="A699" s="59"/>
      <c r="B699" s="100"/>
      <c r="C699" s="61"/>
      <c r="D699" s="62"/>
      <c r="E699" s="157"/>
      <c r="F699" s="152"/>
      <c r="G699" s="227"/>
      <c r="H699" s="165"/>
      <c r="I699" s="165"/>
      <c r="K699" s="286"/>
    </row>
    <row r="700" spans="1:11" s="34" customFormat="1" ht="14.45">
      <c r="A700" s="66" t="s">
        <v>17</v>
      </c>
      <c r="B700" s="67" t="s">
        <v>855</v>
      </c>
      <c r="C700" s="68">
        <v>6372</v>
      </c>
      <c r="D700" s="69" t="s">
        <v>16</v>
      </c>
      <c r="E700" s="157">
        <v>15.51</v>
      </c>
      <c r="F700" s="152">
        <f>C700*E700</f>
        <v>98829.72</v>
      </c>
      <c r="G700" s="227"/>
      <c r="H700" s="165"/>
      <c r="I700" s="165"/>
      <c r="K700" s="286"/>
    </row>
    <row r="701" spans="1:11" s="34" customFormat="1" ht="14.45">
      <c r="A701" s="59"/>
      <c r="B701" s="100"/>
      <c r="C701" s="61"/>
      <c r="D701" s="62"/>
      <c r="E701" s="157"/>
      <c r="F701" s="152"/>
      <c r="G701" s="227"/>
      <c r="H701" s="165"/>
      <c r="I701" s="165"/>
      <c r="K701" s="286"/>
    </row>
    <row r="702" spans="1:11" s="34" customFormat="1" ht="14.45">
      <c r="A702" s="66" t="s">
        <v>20</v>
      </c>
      <c r="B702" s="67" t="s">
        <v>856</v>
      </c>
      <c r="C702" s="68">
        <v>42298</v>
      </c>
      <c r="D702" s="69" t="s">
        <v>16</v>
      </c>
      <c r="E702" s="157">
        <v>15.51</v>
      </c>
      <c r="F702" s="152">
        <f>C702*E702</f>
        <v>656041.98</v>
      </c>
      <c r="G702" s="227"/>
      <c r="H702" s="165"/>
      <c r="I702" s="165"/>
      <c r="K702" s="286"/>
    </row>
    <row r="703" spans="1:11" s="34" customFormat="1" ht="14.45">
      <c r="A703" s="59"/>
      <c r="B703" s="100"/>
      <c r="C703" s="61"/>
      <c r="D703" s="62"/>
      <c r="E703" s="157"/>
      <c r="F703" s="152"/>
      <c r="G703" s="227"/>
      <c r="H703" s="165"/>
      <c r="I703" s="165"/>
      <c r="K703" s="286"/>
    </row>
    <row r="704" spans="1:11" s="34" customFormat="1" ht="14.45">
      <c r="A704" s="66" t="s">
        <v>23</v>
      </c>
      <c r="B704" s="67" t="s">
        <v>857</v>
      </c>
      <c r="C704" s="68">
        <v>866</v>
      </c>
      <c r="D704" s="69" t="s">
        <v>16</v>
      </c>
      <c r="E704" s="157">
        <v>15.51</v>
      </c>
      <c r="F704" s="152">
        <f>C704*E704</f>
        <v>13431.66</v>
      </c>
      <c r="G704" s="227"/>
      <c r="H704" s="165"/>
      <c r="I704" s="165"/>
      <c r="K704" s="286"/>
    </row>
    <row r="705" spans="1:11" s="34" customFormat="1" ht="14.45">
      <c r="A705" s="59"/>
      <c r="B705" s="100"/>
      <c r="C705" s="61"/>
      <c r="D705" s="62"/>
      <c r="E705" s="157"/>
      <c r="F705" s="152"/>
      <c r="G705" s="227"/>
      <c r="H705" s="165"/>
      <c r="I705" s="165"/>
      <c r="K705" s="286"/>
    </row>
    <row r="706" spans="1:11" s="34" customFormat="1" ht="14.45">
      <c r="A706" s="66" t="s">
        <v>27</v>
      </c>
      <c r="B706" s="67" t="s">
        <v>858</v>
      </c>
      <c r="C706" s="68">
        <v>6108</v>
      </c>
      <c r="D706" s="69" t="s">
        <v>16</v>
      </c>
      <c r="E706" s="157">
        <v>15.51</v>
      </c>
      <c r="F706" s="152">
        <f>C706*E706</f>
        <v>94735.08</v>
      </c>
      <c r="G706" s="227"/>
      <c r="H706" s="165"/>
      <c r="I706" s="165"/>
      <c r="K706" s="286"/>
    </row>
    <row r="707" spans="1:11" s="34" customFormat="1" ht="14.45">
      <c r="A707" s="59"/>
      <c r="B707" s="100"/>
      <c r="C707" s="61"/>
      <c r="D707" s="62"/>
      <c r="E707" s="157"/>
      <c r="F707" s="152"/>
      <c r="G707" s="227"/>
      <c r="H707" s="165"/>
      <c r="I707" s="165"/>
      <c r="K707" s="286"/>
    </row>
    <row r="708" spans="1:11" s="34" customFormat="1" ht="14.45">
      <c r="A708" s="66" t="s">
        <v>44</v>
      </c>
      <c r="B708" s="67" t="s">
        <v>859</v>
      </c>
      <c r="C708" s="68">
        <v>1098</v>
      </c>
      <c r="D708" s="69" t="s">
        <v>16</v>
      </c>
      <c r="E708" s="157">
        <v>15.51</v>
      </c>
      <c r="F708" s="152">
        <f>C708*E708</f>
        <v>17029.98</v>
      </c>
      <c r="G708" s="227"/>
      <c r="H708" s="165"/>
      <c r="I708" s="165"/>
      <c r="K708" s="286"/>
    </row>
    <row r="709" spans="1:11" s="34" customFormat="1" ht="14.45">
      <c r="A709" s="59"/>
      <c r="B709" s="100"/>
      <c r="C709" s="61"/>
      <c r="D709" s="62"/>
      <c r="E709" s="157"/>
      <c r="F709" s="152"/>
      <c r="G709" s="227"/>
      <c r="H709" s="165"/>
      <c r="I709" s="165"/>
      <c r="K709" s="286"/>
    </row>
    <row r="710" spans="1:11" s="34" customFormat="1" ht="14.45">
      <c r="A710" s="66" t="s">
        <v>48</v>
      </c>
      <c r="B710" s="67" t="s">
        <v>860</v>
      </c>
      <c r="C710" s="68">
        <v>2533</v>
      </c>
      <c r="D710" s="69" t="s">
        <v>16</v>
      </c>
      <c r="E710" s="157">
        <v>15.51</v>
      </c>
      <c r="F710" s="152">
        <f>C710*E710</f>
        <v>39286.83</v>
      </c>
      <c r="G710" s="227"/>
      <c r="H710" s="165"/>
      <c r="I710" s="165"/>
      <c r="K710" s="286"/>
    </row>
    <row r="711" spans="1:11" s="34" customFormat="1" ht="14.45">
      <c r="A711" s="59"/>
      <c r="B711" s="100"/>
      <c r="C711" s="61"/>
      <c r="D711" s="62"/>
      <c r="E711" s="157"/>
      <c r="F711" s="152"/>
      <c r="G711" s="227"/>
      <c r="H711" s="165"/>
      <c r="I711" s="165"/>
      <c r="K711" s="286"/>
    </row>
    <row r="712" spans="1:11" s="34" customFormat="1" ht="14.45">
      <c r="A712" s="66" t="s">
        <v>84</v>
      </c>
      <c r="B712" s="67" t="s">
        <v>861</v>
      </c>
      <c r="C712" s="68">
        <v>547</v>
      </c>
      <c r="D712" s="69" t="s">
        <v>16</v>
      </c>
      <c r="E712" s="157">
        <v>15.51</v>
      </c>
      <c r="F712" s="152">
        <f>C712*E712</f>
        <v>8483.9699999999993</v>
      </c>
      <c r="G712" s="227"/>
      <c r="H712" s="165"/>
      <c r="I712" s="165"/>
      <c r="K712" s="286"/>
    </row>
    <row r="713" spans="1:11" s="34" customFormat="1" ht="14.45">
      <c r="A713" s="59"/>
      <c r="B713" s="100"/>
      <c r="C713" s="61"/>
      <c r="D713" s="62"/>
      <c r="E713" s="157"/>
      <c r="F713" s="152"/>
      <c r="G713" s="227"/>
      <c r="H713" s="165"/>
      <c r="I713" s="165"/>
      <c r="K713" s="286"/>
    </row>
    <row r="714" spans="1:11" s="34" customFormat="1" ht="14.45">
      <c r="A714" s="66" t="s">
        <v>86</v>
      </c>
      <c r="B714" s="67" t="s">
        <v>862</v>
      </c>
      <c r="C714" s="68" t="s">
        <v>863</v>
      </c>
      <c r="D714" s="69" t="s">
        <v>16</v>
      </c>
      <c r="E714" s="157">
        <v>15.51</v>
      </c>
      <c r="F714" s="152">
        <f>C714*E714</f>
        <v>28476.36</v>
      </c>
      <c r="G714" s="227"/>
      <c r="H714" s="165"/>
      <c r="I714" s="165"/>
      <c r="K714" s="286"/>
    </row>
    <row r="715" spans="1:11" s="34" customFormat="1" ht="14.45">
      <c r="A715" s="59"/>
      <c r="B715" s="63"/>
      <c r="C715" s="61"/>
      <c r="D715" s="62"/>
      <c r="E715" s="157"/>
      <c r="F715" s="152"/>
      <c r="G715" s="227"/>
      <c r="H715" s="165"/>
      <c r="I715" s="165"/>
      <c r="K715" s="286"/>
    </row>
    <row r="716" spans="1:11" s="34" customFormat="1" ht="14.45">
      <c r="A716" s="59"/>
      <c r="B716" s="63"/>
      <c r="C716" s="61"/>
      <c r="D716" s="62"/>
      <c r="E716" s="157"/>
      <c r="F716" s="152"/>
      <c r="G716" s="227"/>
      <c r="H716" s="165"/>
      <c r="I716" s="165"/>
      <c r="K716" s="286"/>
    </row>
    <row r="717" spans="1:11" s="34" customFormat="1" ht="14.45">
      <c r="A717" s="59"/>
      <c r="B717" s="63"/>
      <c r="C717" s="61"/>
      <c r="D717" s="62"/>
      <c r="E717" s="157"/>
      <c r="F717" s="152"/>
      <c r="G717" s="227"/>
      <c r="H717" s="165"/>
      <c r="I717" s="165"/>
      <c r="K717" s="286"/>
    </row>
    <row r="718" spans="1:11" s="34" customFormat="1" ht="14.45">
      <c r="A718" s="59"/>
      <c r="B718" s="63"/>
      <c r="C718" s="61"/>
      <c r="D718" s="62"/>
      <c r="E718" s="157"/>
      <c r="F718" s="152"/>
      <c r="G718" s="227"/>
      <c r="H718" s="165"/>
      <c r="I718" s="165"/>
      <c r="K718" s="286"/>
    </row>
    <row r="719" spans="1:11" s="34" customFormat="1" ht="14.45">
      <c r="A719" s="59"/>
      <c r="B719" s="63"/>
      <c r="C719" s="61"/>
      <c r="D719" s="62"/>
      <c r="E719" s="157"/>
      <c r="F719" s="152"/>
      <c r="G719" s="227"/>
      <c r="H719" s="165"/>
      <c r="I719" s="165"/>
      <c r="K719" s="286"/>
    </row>
    <row r="720" spans="1:11" s="34" customFormat="1" ht="14.45">
      <c r="A720" s="59"/>
      <c r="B720" s="63"/>
      <c r="C720" s="61"/>
      <c r="D720" s="62"/>
      <c r="E720" s="157"/>
      <c r="F720" s="152"/>
      <c r="G720" s="227"/>
      <c r="H720" s="165"/>
      <c r="I720" s="165"/>
      <c r="K720" s="286"/>
    </row>
    <row r="721" spans="1:11" s="34" customFormat="1" ht="14.45">
      <c r="A721" s="59"/>
      <c r="B721" s="63"/>
      <c r="C721" s="61"/>
      <c r="D721" s="62"/>
      <c r="E721" s="157"/>
      <c r="F721" s="152"/>
      <c r="G721" s="227"/>
      <c r="H721" s="165"/>
      <c r="I721" s="165"/>
      <c r="K721" s="286"/>
    </row>
    <row r="722" spans="1:11" s="34" customFormat="1" ht="14.45">
      <c r="A722" s="59"/>
      <c r="B722" s="63"/>
      <c r="C722" s="61"/>
      <c r="D722" s="62"/>
      <c r="E722" s="157"/>
      <c r="F722" s="152"/>
      <c r="G722" s="227"/>
      <c r="H722" s="165"/>
      <c r="I722" s="165"/>
      <c r="K722" s="286"/>
    </row>
    <row r="723" spans="1:11" s="34" customFormat="1" ht="14.45">
      <c r="A723" s="59"/>
      <c r="B723" s="63"/>
      <c r="C723" s="61"/>
      <c r="D723" s="62"/>
      <c r="E723" s="157"/>
      <c r="F723" s="152"/>
      <c r="G723" s="227"/>
      <c r="H723" s="165"/>
      <c r="I723" s="165"/>
      <c r="K723" s="286"/>
    </row>
    <row r="724" spans="1:11" s="34" customFormat="1" ht="14.45">
      <c r="A724" s="59"/>
      <c r="B724" s="63"/>
      <c r="C724" s="61"/>
      <c r="D724" s="62"/>
      <c r="E724" s="157"/>
      <c r="F724" s="152"/>
      <c r="G724" s="227"/>
      <c r="H724" s="165"/>
      <c r="I724" s="165"/>
      <c r="K724" s="286"/>
    </row>
    <row r="725" spans="1:11" s="34" customFormat="1" ht="14.45">
      <c r="A725" s="59"/>
      <c r="B725" s="63"/>
      <c r="C725" s="61"/>
      <c r="D725" s="62"/>
      <c r="E725" s="157"/>
      <c r="F725" s="152"/>
      <c r="G725" s="227"/>
      <c r="H725" s="165"/>
      <c r="I725" s="165"/>
      <c r="K725" s="286"/>
    </row>
    <row r="726" spans="1:11" s="34" customFormat="1" ht="14.45">
      <c r="A726" s="59"/>
      <c r="B726" s="63"/>
      <c r="C726" s="61"/>
      <c r="D726" s="62"/>
      <c r="E726" s="157"/>
      <c r="F726" s="152"/>
      <c r="G726" s="227"/>
      <c r="H726" s="165"/>
      <c r="I726" s="165"/>
      <c r="K726" s="286"/>
    </row>
    <row r="727" spans="1:11" s="34" customFormat="1" ht="14.45">
      <c r="A727" s="59"/>
      <c r="B727" s="63"/>
      <c r="C727" s="61"/>
      <c r="D727" s="62"/>
      <c r="E727" s="157"/>
      <c r="F727" s="152"/>
      <c r="G727" s="227"/>
      <c r="H727" s="165"/>
      <c r="I727" s="165"/>
      <c r="K727" s="286"/>
    </row>
    <row r="728" spans="1:11" s="34" customFormat="1" ht="14.45">
      <c r="A728" s="59"/>
      <c r="B728" s="63"/>
      <c r="C728" s="61"/>
      <c r="D728" s="62"/>
      <c r="E728" s="157"/>
      <c r="F728" s="152"/>
      <c r="G728" s="227"/>
      <c r="H728" s="165"/>
      <c r="I728" s="165"/>
      <c r="K728" s="286"/>
    </row>
    <row r="729" spans="1:11" s="34" customFormat="1" ht="14.45">
      <c r="A729" s="59"/>
      <c r="B729" s="63"/>
      <c r="C729" s="61"/>
      <c r="D729" s="62"/>
      <c r="E729" s="157"/>
      <c r="F729" s="152"/>
      <c r="G729" s="227"/>
      <c r="H729" s="165"/>
      <c r="I729" s="165"/>
      <c r="K729" s="286"/>
    </row>
    <row r="730" spans="1:11" s="34" customFormat="1" ht="14.45">
      <c r="A730" s="59"/>
      <c r="B730" s="63"/>
      <c r="C730" s="61"/>
      <c r="D730" s="62"/>
      <c r="E730" s="157"/>
      <c r="F730" s="152"/>
      <c r="G730" s="227"/>
      <c r="H730" s="165"/>
      <c r="I730" s="165"/>
      <c r="K730" s="286"/>
    </row>
    <row r="731" spans="1:11" s="34" customFormat="1" ht="14.45">
      <c r="A731" s="59"/>
      <c r="B731" s="63"/>
      <c r="C731" s="61"/>
      <c r="D731" s="62"/>
      <c r="E731" s="157"/>
      <c r="F731" s="152"/>
      <c r="G731" s="227"/>
      <c r="H731" s="165"/>
      <c r="I731" s="165"/>
      <c r="K731" s="286"/>
    </row>
    <row r="732" spans="1:11" s="34" customFormat="1" ht="14.45">
      <c r="A732" s="59"/>
      <c r="B732" s="63"/>
      <c r="C732" s="61"/>
      <c r="D732" s="62"/>
      <c r="E732" s="157"/>
      <c r="F732" s="152"/>
      <c r="G732" s="227"/>
      <c r="H732" s="165"/>
      <c r="I732" s="165"/>
      <c r="K732" s="286"/>
    </row>
    <row r="733" spans="1:11" s="34" customFormat="1" ht="14.45">
      <c r="A733" s="59"/>
      <c r="B733" s="63"/>
      <c r="C733" s="61"/>
      <c r="D733" s="62"/>
      <c r="E733" s="157"/>
      <c r="F733" s="152"/>
      <c r="G733" s="227"/>
      <c r="H733" s="165"/>
      <c r="I733" s="165"/>
      <c r="K733" s="286"/>
    </row>
    <row r="734" spans="1:11" s="34" customFormat="1" ht="14.45">
      <c r="A734" s="59"/>
      <c r="B734" s="63"/>
      <c r="C734" s="61"/>
      <c r="D734" s="62"/>
      <c r="E734" s="157"/>
      <c r="F734" s="152"/>
      <c r="G734" s="227"/>
      <c r="H734" s="165"/>
      <c r="I734" s="165"/>
      <c r="K734" s="286"/>
    </row>
    <row r="735" spans="1:11" s="34" customFormat="1" ht="14.45">
      <c r="A735" s="59"/>
      <c r="B735" s="63"/>
      <c r="C735" s="61"/>
      <c r="D735" s="62"/>
      <c r="E735" s="157"/>
      <c r="F735" s="152"/>
      <c r="G735" s="227"/>
      <c r="H735" s="165"/>
      <c r="I735" s="165"/>
      <c r="K735" s="286"/>
    </row>
    <row r="736" spans="1:11" s="34" customFormat="1" ht="14.45">
      <c r="A736" s="59"/>
      <c r="B736" s="63"/>
      <c r="C736" s="61"/>
      <c r="D736" s="62"/>
      <c r="E736" s="157"/>
      <c r="F736" s="152"/>
      <c r="G736" s="227"/>
      <c r="H736" s="165"/>
      <c r="I736" s="165"/>
      <c r="K736" s="286"/>
    </row>
    <row r="737" spans="1:11" s="34" customFormat="1" ht="14.45">
      <c r="A737" s="71"/>
      <c r="B737" s="72"/>
      <c r="C737" s="73"/>
      <c r="D737" s="74"/>
      <c r="E737" s="159"/>
      <c r="F737" s="138"/>
      <c r="G737" s="226"/>
      <c r="H737" s="165"/>
      <c r="I737" s="165"/>
      <c r="K737" s="286"/>
    </row>
    <row r="738" spans="1:11" s="34" customFormat="1" ht="14.45">
      <c r="A738" s="75"/>
      <c r="B738" s="76"/>
      <c r="C738" s="77" t="s">
        <v>30</v>
      </c>
      <c r="D738" s="77"/>
      <c r="E738" s="160" t="s">
        <v>8</v>
      </c>
      <c r="F738" s="139">
        <f>SUM(F695:F720)</f>
        <v>1093563.57</v>
      </c>
      <c r="G738" s="227"/>
      <c r="H738" s="165"/>
      <c r="I738" s="165"/>
      <c r="K738" s="286"/>
    </row>
    <row r="739" spans="1:11" s="34" customFormat="1" ht="14.45">
      <c r="A739" s="75"/>
      <c r="B739" s="76"/>
      <c r="C739" s="78"/>
      <c r="D739" s="79"/>
      <c r="E739" s="161"/>
      <c r="F739" s="140"/>
      <c r="G739" s="228"/>
      <c r="H739" s="165"/>
      <c r="I739" s="165"/>
      <c r="K739" s="286"/>
    </row>
    <row r="740" spans="1:11" s="34" customFormat="1" ht="14.45">
      <c r="A740" s="59"/>
      <c r="B740" s="63"/>
      <c r="C740" s="61"/>
      <c r="D740" s="62"/>
      <c r="E740" s="157"/>
      <c r="F740" s="152"/>
      <c r="G740" s="227"/>
      <c r="H740" s="165"/>
      <c r="I740" s="165"/>
      <c r="K740" s="286"/>
    </row>
    <row r="741" spans="1:11" s="34" customFormat="1" ht="14.45">
      <c r="A741" s="59"/>
      <c r="B741" s="64" t="s">
        <v>105</v>
      </c>
      <c r="C741" s="61"/>
      <c r="D741" s="62"/>
      <c r="E741" s="157"/>
      <c r="F741" s="152"/>
      <c r="G741" s="227"/>
      <c r="H741" s="165"/>
      <c r="I741" s="165"/>
      <c r="K741" s="286"/>
    </row>
    <row r="742" spans="1:11" s="34" customFormat="1" ht="14.45">
      <c r="A742" s="59"/>
      <c r="B742" s="100"/>
      <c r="C742" s="61"/>
      <c r="D742" s="62"/>
      <c r="E742" s="157"/>
      <c r="F742" s="152"/>
      <c r="G742" s="227"/>
      <c r="H742" s="165"/>
      <c r="I742" s="165"/>
      <c r="K742" s="286"/>
    </row>
    <row r="743" spans="1:11" s="34" customFormat="1" ht="69">
      <c r="A743" s="66"/>
      <c r="B743" s="67" t="s">
        <v>864</v>
      </c>
      <c r="C743" s="68"/>
      <c r="D743" s="69" t="s">
        <v>2</v>
      </c>
      <c r="E743" s="157"/>
      <c r="F743" s="152">
        <f>C743*E743</f>
        <v>0</v>
      </c>
      <c r="G743" s="227"/>
      <c r="H743" s="165"/>
      <c r="I743" s="165"/>
      <c r="K743" s="286"/>
    </row>
    <row r="744" spans="1:11" s="34" customFormat="1" ht="14.45">
      <c r="A744" s="66"/>
      <c r="B744" s="67"/>
      <c r="C744" s="68"/>
      <c r="D744" s="69"/>
      <c r="E744" s="157"/>
      <c r="F744" s="152"/>
      <c r="G744" s="227"/>
      <c r="H744" s="165"/>
      <c r="I744" s="165"/>
      <c r="K744" s="286"/>
    </row>
    <row r="745" spans="1:11" s="34" customFormat="1" ht="14.45">
      <c r="A745" s="66"/>
      <c r="B745" s="67" t="s">
        <v>580</v>
      </c>
      <c r="C745" s="68"/>
      <c r="D745" s="69"/>
      <c r="E745" s="157"/>
      <c r="F745" s="152"/>
      <c r="G745" s="227"/>
      <c r="H745" s="165"/>
      <c r="I745" s="165"/>
      <c r="K745" s="286"/>
    </row>
    <row r="746" spans="1:11" s="34" customFormat="1" ht="3.6" customHeight="1">
      <c r="A746" s="66"/>
      <c r="B746" s="67"/>
      <c r="C746" s="68"/>
      <c r="D746" s="69"/>
      <c r="E746" s="157"/>
      <c r="F746" s="152"/>
      <c r="G746" s="227"/>
      <c r="H746" s="165"/>
      <c r="I746" s="165"/>
      <c r="K746" s="286"/>
    </row>
    <row r="747" spans="1:11" s="34" customFormat="1" ht="14.45">
      <c r="A747" s="66"/>
      <c r="B747" s="67" t="s">
        <v>865</v>
      </c>
      <c r="C747" s="68"/>
      <c r="D747" s="69"/>
      <c r="E747" s="157"/>
      <c r="F747" s="152"/>
      <c r="G747" s="227"/>
      <c r="H747" s="165"/>
      <c r="I747" s="165"/>
      <c r="K747" s="286"/>
    </row>
    <row r="748" spans="1:11" s="34" customFormat="1" ht="5.45" customHeight="1">
      <c r="A748" s="66"/>
      <c r="B748" s="67"/>
      <c r="C748" s="68"/>
      <c r="D748" s="69"/>
      <c r="E748" s="157"/>
      <c r="F748" s="152"/>
      <c r="G748" s="227"/>
      <c r="H748" s="165"/>
      <c r="I748" s="165"/>
      <c r="K748" s="286"/>
    </row>
    <row r="749" spans="1:11" s="34" customFormat="1" ht="14.45">
      <c r="A749" s="66" t="s">
        <v>14</v>
      </c>
      <c r="B749" s="67" t="s">
        <v>866</v>
      </c>
      <c r="C749" s="68">
        <v>1374</v>
      </c>
      <c r="D749" s="69" t="s">
        <v>16</v>
      </c>
      <c r="E749" s="157">
        <v>23.87</v>
      </c>
      <c r="F749" s="152">
        <f>+C749*E749</f>
        <v>32797.380000000005</v>
      </c>
      <c r="G749" s="227"/>
      <c r="H749" s="165"/>
      <c r="I749" s="165"/>
      <c r="K749" s="286"/>
    </row>
    <row r="750" spans="1:11" s="34" customFormat="1" ht="14.45">
      <c r="A750" s="66"/>
      <c r="B750" s="67"/>
      <c r="C750" s="68"/>
      <c r="D750" s="69"/>
      <c r="E750" s="157"/>
      <c r="F750" s="152"/>
      <c r="G750" s="227"/>
      <c r="H750" s="165"/>
      <c r="I750" s="165"/>
      <c r="K750" s="286"/>
    </row>
    <row r="751" spans="1:11" s="34" customFormat="1" ht="14.45">
      <c r="A751" s="66" t="s">
        <v>17</v>
      </c>
      <c r="B751" s="67" t="s">
        <v>867</v>
      </c>
      <c r="C751" s="68">
        <v>280</v>
      </c>
      <c r="D751" s="69" t="s">
        <v>16</v>
      </c>
      <c r="E751" s="157">
        <v>206.68</v>
      </c>
      <c r="F751" s="152">
        <f>+C751*E751</f>
        <v>57870.400000000001</v>
      </c>
      <c r="G751" s="227" t="s">
        <v>344</v>
      </c>
      <c r="H751" s="165"/>
      <c r="I751" s="165"/>
      <c r="K751" s="286"/>
    </row>
    <row r="752" spans="1:11" s="34" customFormat="1" ht="6.6" customHeight="1">
      <c r="A752" s="45"/>
      <c r="B752" s="146"/>
      <c r="C752" s="46"/>
      <c r="D752" s="47"/>
      <c r="E752" s="157"/>
      <c r="F752" s="152"/>
      <c r="G752" s="227"/>
      <c r="H752" s="165"/>
      <c r="I752" s="165"/>
      <c r="K752" s="286"/>
    </row>
    <row r="753" spans="1:11" s="34" customFormat="1" ht="27.6">
      <c r="A753" s="45" t="s">
        <v>20</v>
      </c>
      <c r="B753" s="146" t="s">
        <v>868</v>
      </c>
      <c r="C753" s="46">
        <v>3932</v>
      </c>
      <c r="D753" s="47" t="s">
        <v>199</v>
      </c>
      <c r="E753" s="157">
        <v>487.89</v>
      </c>
      <c r="F753" s="152">
        <f>+C753*E753</f>
        <v>1918383.48</v>
      </c>
      <c r="G753" s="227"/>
      <c r="H753" s="165"/>
      <c r="I753" s="165"/>
      <c r="K753" s="286"/>
    </row>
    <row r="754" spans="1:11" s="34" customFormat="1" ht="5.45" customHeight="1">
      <c r="A754" s="45"/>
      <c r="B754" s="146"/>
      <c r="C754" s="46"/>
      <c r="D754" s="47"/>
      <c r="E754" s="157"/>
      <c r="F754" s="152"/>
      <c r="G754" s="227"/>
      <c r="H754" s="165"/>
      <c r="I754" s="165"/>
      <c r="K754" s="286"/>
    </row>
    <row r="755" spans="1:11" s="34" customFormat="1" ht="41.45">
      <c r="A755" s="45" t="s">
        <v>23</v>
      </c>
      <c r="B755" s="146" t="s">
        <v>869</v>
      </c>
      <c r="C755" s="46">
        <v>1326</v>
      </c>
      <c r="D755" s="47" t="s">
        <v>16</v>
      </c>
      <c r="E755" s="157">
        <v>1612.85</v>
      </c>
      <c r="F755" s="152">
        <f>+C755*E755</f>
        <v>2138639.1</v>
      </c>
      <c r="G755" s="227" t="s">
        <v>870</v>
      </c>
      <c r="H755" s="165"/>
      <c r="I755" s="165"/>
      <c r="K755" s="286"/>
    </row>
    <row r="756" spans="1:11" s="34" customFormat="1" ht="7.9" customHeight="1">
      <c r="A756" s="45"/>
      <c r="B756" s="146"/>
      <c r="C756" s="46"/>
      <c r="D756" s="47"/>
      <c r="E756" s="157"/>
      <c r="F756" s="152"/>
      <c r="G756" s="227"/>
      <c r="H756" s="165"/>
      <c r="I756" s="165"/>
      <c r="K756" s="286"/>
    </row>
    <row r="757" spans="1:11" s="34" customFormat="1" ht="14.45">
      <c r="A757" s="45" t="s">
        <v>27</v>
      </c>
      <c r="B757" s="146" t="s">
        <v>871</v>
      </c>
      <c r="C757" s="46">
        <v>120</v>
      </c>
      <c r="D757" s="47" t="s">
        <v>16</v>
      </c>
      <c r="E757" s="157">
        <v>102.31</v>
      </c>
      <c r="F757" s="152">
        <f>+C757*E757</f>
        <v>12277.2</v>
      </c>
      <c r="G757" s="227"/>
      <c r="H757" s="165"/>
      <c r="I757" s="165"/>
      <c r="K757" s="286"/>
    </row>
    <row r="758" spans="1:11" s="34" customFormat="1" ht="14.45">
      <c r="A758" s="66"/>
      <c r="B758" s="67"/>
      <c r="C758" s="68"/>
      <c r="D758" s="69"/>
      <c r="E758" s="157"/>
      <c r="F758" s="152"/>
      <c r="G758" s="227"/>
      <c r="H758" s="165"/>
      <c r="I758" s="165"/>
      <c r="K758" s="286"/>
    </row>
    <row r="759" spans="1:11" s="34" customFormat="1" ht="55.15">
      <c r="A759" s="45"/>
      <c r="B759" s="146" t="s">
        <v>757</v>
      </c>
      <c r="C759" s="46"/>
      <c r="D759" s="47"/>
      <c r="E759" s="157"/>
      <c r="F759" s="152"/>
      <c r="G759" s="227"/>
      <c r="H759" s="165"/>
      <c r="I759" s="165"/>
      <c r="K759" s="286"/>
    </row>
    <row r="760" spans="1:11" s="34" customFormat="1" ht="14.45">
      <c r="A760" s="45"/>
      <c r="B760" s="146"/>
      <c r="C760" s="46"/>
      <c r="D760" s="47"/>
      <c r="E760" s="157"/>
      <c r="F760" s="152"/>
      <c r="G760" s="227"/>
      <c r="H760" s="165"/>
      <c r="I760" s="165"/>
      <c r="K760" s="286"/>
    </row>
    <row r="761" spans="1:11" s="34" customFormat="1" ht="14.45">
      <c r="A761" s="45"/>
      <c r="B761" s="146" t="s">
        <v>872</v>
      </c>
      <c r="C761" s="46"/>
      <c r="D761" s="47"/>
      <c r="E761" s="157"/>
      <c r="F761" s="152"/>
      <c r="G761" s="227"/>
      <c r="H761" s="165"/>
      <c r="I761" s="165"/>
      <c r="K761" s="286"/>
    </row>
    <row r="762" spans="1:11" s="34" customFormat="1" ht="6.6" customHeight="1">
      <c r="A762" s="45"/>
      <c r="B762" s="146"/>
      <c r="C762" s="46"/>
      <c r="D762" s="47"/>
      <c r="E762" s="157"/>
      <c r="F762" s="152"/>
      <c r="G762" s="227"/>
      <c r="H762" s="165"/>
      <c r="I762" s="165"/>
      <c r="K762" s="286"/>
    </row>
    <row r="763" spans="1:11" s="34" customFormat="1" ht="14.45">
      <c r="A763" s="45" t="s">
        <v>44</v>
      </c>
      <c r="B763" s="146" t="s">
        <v>873</v>
      </c>
      <c r="C763" s="46">
        <v>339</v>
      </c>
      <c r="D763" s="47" t="s">
        <v>16</v>
      </c>
      <c r="E763" s="157">
        <v>992.82</v>
      </c>
      <c r="F763" s="152">
        <f>+C763*E763</f>
        <v>336565.98000000004</v>
      </c>
      <c r="G763" s="227"/>
      <c r="H763" s="165"/>
      <c r="I763" s="165"/>
      <c r="K763" s="286"/>
    </row>
    <row r="764" spans="1:11" s="34" customFormat="1" ht="14.45">
      <c r="A764" s="45"/>
      <c r="B764" s="146"/>
      <c r="C764" s="46"/>
      <c r="D764" s="47"/>
      <c r="E764" s="157"/>
      <c r="F764" s="152"/>
      <c r="G764" s="227"/>
      <c r="H764" s="165"/>
      <c r="I764" s="165"/>
      <c r="K764" s="286"/>
    </row>
    <row r="765" spans="1:11" s="34" customFormat="1" ht="14.45">
      <c r="A765" s="45" t="s">
        <v>48</v>
      </c>
      <c r="B765" s="146" t="s">
        <v>874</v>
      </c>
      <c r="C765" s="46">
        <v>52</v>
      </c>
      <c r="D765" s="47" t="s">
        <v>16</v>
      </c>
      <c r="E765" s="157">
        <v>992.82</v>
      </c>
      <c r="F765" s="152">
        <f>+C765*E765</f>
        <v>51626.64</v>
      </c>
      <c r="G765" s="227"/>
      <c r="H765" s="165"/>
      <c r="I765" s="165"/>
      <c r="K765" s="286"/>
    </row>
    <row r="766" spans="1:11" s="34" customFormat="1" ht="14.45">
      <c r="A766" s="45"/>
      <c r="B766" s="146"/>
      <c r="C766" s="46"/>
      <c r="D766" s="47"/>
      <c r="E766" s="157"/>
      <c r="F766" s="152"/>
      <c r="G766" s="227"/>
      <c r="H766" s="165"/>
      <c r="I766" s="165"/>
      <c r="K766" s="286"/>
    </row>
    <row r="767" spans="1:11" s="34" customFormat="1" ht="27.6">
      <c r="A767" s="45" t="s">
        <v>84</v>
      </c>
      <c r="B767" s="146" t="s">
        <v>875</v>
      </c>
      <c r="C767" s="46">
        <v>1750</v>
      </c>
      <c r="D767" s="47" t="s">
        <v>199</v>
      </c>
      <c r="E767" s="157">
        <v>300.85000000000002</v>
      </c>
      <c r="F767" s="152">
        <f>+C767*E767</f>
        <v>526487.5</v>
      </c>
      <c r="G767" s="227"/>
      <c r="H767" s="165"/>
      <c r="I767" s="165"/>
      <c r="K767" s="286"/>
    </row>
    <row r="768" spans="1:11" s="34" customFormat="1" ht="7.15" customHeight="1">
      <c r="A768" s="45"/>
      <c r="B768" s="146"/>
      <c r="C768" s="46"/>
      <c r="D768" s="47"/>
      <c r="E768" s="157"/>
      <c r="F768" s="152"/>
      <c r="G768" s="227"/>
      <c r="H768" s="165"/>
      <c r="I768" s="165"/>
      <c r="K768" s="286"/>
    </row>
    <row r="769" spans="1:11" s="34" customFormat="1" ht="14.45">
      <c r="A769" s="45"/>
      <c r="B769" s="146" t="s">
        <v>876</v>
      </c>
      <c r="C769" s="46"/>
      <c r="D769" s="47"/>
      <c r="E769" s="157"/>
      <c r="F769" s="152"/>
      <c r="G769" s="227"/>
      <c r="H769" s="165"/>
      <c r="I769" s="165"/>
      <c r="K769" s="286"/>
    </row>
    <row r="770" spans="1:11" s="34" customFormat="1" ht="5.45" customHeight="1">
      <c r="A770" s="45"/>
      <c r="B770" s="146"/>
      <c r="C770" s="46"/>
      <c r="D770" s="47"/>
      <c r="E770" s="157"/>
      <c r="F770" s="152"/>
      <c r="G770" s="227"/>
      <c r="H770" s="165"/>
      <c r="I770" s="165"/>
      <c r="K770" s="286"/>
    </row>
    <row r="771" spans="1:11" s="34" customFormat="1" ht="55.15">
      <c r="A771" s="45" t="s">
        <v>86</v>
      </c>
      <c r="B771" s="146" t="s">
        <v>877</v>
      </c>
      <c r="C771" s="46">
        <v>5619</v>
      </c>
      <c r="D771" s="47" t="s">
        <v>16</v>
      </c>
      <c r="E771" s="157">
        <v>492.36</v>
      </c>
      <c r="F771" s="152">
        <f>+C771*E771</f>
        <v>2766570.84</v>
      </c>
      <c r="G771" s="227"/>
      <c r="H771" s="165"/>
      <c r="I771" s="165"/>
      <c r="K771" s="286"/>
    </row>
    <row r="772" spans="1:11" s="34" customFormat="1" ht="9" customHeight="1">
      <c r="A772" s="45"/>
      <c r="B772" s="146"/>
      <c r="C772" s="46"/>
      <c r="D772" s="47"/>
      <c r="E772" s="157"/>
      <c r="F772" s="152"/>
      <c r="G772" s="227"/>
      <c r="H772" s="165"/>
      <c r="I772" s="165"/>
      <c r="K772" s="286"/>
    </row>
    <row r="773" spans="1:11" s="34" customFormat="1" ht="27.6">
      <c r="A773" s="45"/>
      <c r="B773" s="146" t="s">
        <v>853</v>
      </c>
      <c r="C773" s="46"/>
      <c r="D773" s="47"/>
      <c r="E773" s="157"/>
      <c r="F773" s="152"/>
      <c r="G773" s="227"/>
      <c r="H773" s="165"/>
      <c r="I773" s="165"/>
      <c r="K773" s="286"/>
    </row>
    <row r="774" spans="1:11" s="34" customFormat="1" ht="6.6" customHeight="1">
      <c r="A774" s="45"/>
      <c r="B774" s="146"/>
      <c r="C774" s="46"/>
      <c r="D774" s="47"/>
      <c r="E774" s="157"/>
      <c r="F774" s="152"/>
      <c r="G774" s="227"/>
      <c r="H774" s="165"/>
      <c r="I774" s="165"/>
      <c r="K774" s="286"/>
    </row>
    <row r="775" spans="1:11" s="34" customFormat="1" ht="41.45">
      <c r="A775" s="147" t="s">
        <v>90</v>
      </c>
      <c r="B775" s="146" t="s">
        <v>878</v>
      </c>
      <c r="C775" s="46">
        <v>1496</v>
      </c>
      <c r="D775" s="47" t="s">
        <v>16</v>
      </c>
      <c r="E775" s="157">
        <v>15.51</v>
      </c>
      <c r="F775" s="152">
        <f>+C775*E775</f>
        <v>23202.959999999999</v>
      </c>
      <c r="G775" s="227"/>
      <c r="H775" s="165"/>
      <c r="I775" s="165"/>
      <c r="K775" s="286"/>
    </row>
    <row r="776" spans="1:11" s="34" customFormat="1" ht="6.6" customHeight="1">
      <c r="A776" s="45"/>
      <c r="B776" s="146"/>
      <c r="C776" s="46"/>
      <c r="D776" s="47"/>
      <c r="E776" s="157"/>
      <c r="F776" s="152"/>
      <c r="G776" s="227"/>
      <c r="H776" s="165"/>
      <c r="I776" s="165"/>
      <c r="K776" s="286"/>
    </row>
    <row r="777" spans="1:11" s="34" customFormat="1" ht="27.6">
      <c r="A777" s="45" t="s">
        <v>92</v>
      </c>
      <c r="B777" s="146" t="s">
        <v>879</v>
      </c>
      <c r="C777" s="46">
        <v>978</v>
      </c>
      <c r="D777" s="47" t="s">
        <v>16</v>
      </c>
      <c r="E777" s="157">
        <v>166.57</v>
      </c>
      <c r="F777" s="152">
        <f>+C777*E777</f>
        <v>162905.46</v>
      </c>
      <c r="G777" s="227"/>
      <c r="H777" s="165"/>
      <c r="I777" s="165"/>
      <c r="K777" s="286"/>
    </row>
    <row r="778" spans="1:11" s="34" customFormat="1" ht="14.45">
      <c r="A778" s="45"/>
      <c r="B778" s="146"/>
      <c r="C778" s="46"/>
      <c r="D778" s="47"/>
      <c r="E778" s="157"/>
      <c r="F778" s="152"/>
      <c r="G778" s="227"/>
      <c r="H778" s="165"/>
      <c r="I778" s="165"/>
      <c r="K778" s="286"/>
    </row>
    <row r="779" spans="1:11" s="34" customFormat="1" ht="14.45">
      <c r="A779" s="45"/>
      <c r="B779" s="146" t="s">
        <v>213</v>
      </c>
      <c r="C779" s="46"/>
      <c r="D779" s="47"/>
      <c r="E779" s="157"/>
      <c r="F779" s="152"/>
      <c r="G779" s="227"/>
      <c r="H779" s="165"/>
      <c r="I779" s="165"/>
      <c r="K779" s="286"/>
    </row>
    <row r="780" spans="1:11" s="34" customFormat="1" ht="9.6" customHeight="1">
      <c r="A780" s="45"/>
      <c r="B780" s="146"/>
      <c r="C780" s="46"/>
      <c r="D780" s="47"/>
      <c r="E780" s="157"/>
      <c r="F780" s="152"/>
      <c r="G780" s="227"/>
      <c r="H780" s="165"/>
      <c r="I780" s="165"/>
      <c r="K780" s="286"/>
    </row>
    <row r="781" spans="1:11" s="34" customFormat="1" ht="27.6">
      <c r="A781" s="290"/>
      <c r="B781" s="291" t="s">
        <v>214</v>
      </c>
      <c r="C781" s="292">
        <v>1</v>
      </c>
      <c r="D781" s="293" t="s">
        <v>215</v>
      </c>
      <c r="E781" s="283"/>
      <c r="F781" s="301">
        <f>+C781*E781</f>
        <v>0</v>
      </c>
      <c r="G781" s="302"/>
      <c r="H781" s="165"/>
      <c r="I781" s="165"/>
      <c r="K781" s="286"/>
    </row>
    <row r="782" spans="1:11" s="34" customFormat="1" ht="14.45">
      <c r="A782" s="45"/>
      <c r="B782" s="48"/>
      <c r="C782" s="46"/>
      <c r="D782" s="47"/>
      <c r="E782" s="157"/>
      <c r="F782" s="152"/>
      <c r="G782" s="227"/>
      <c r="H782" s="165"/>
      <c r="I782" s="165"/>
      <c r="K782" s="286"/>
    </row>
    <row r="783" spans="1:11" s="34" customFormat="1" ht="14.45">
      <c r="A783" s="45"/>
      <c r="B783" s="48"/>
      <c r="C783" s="46"/>
      <c r="D783" s="47"/>
      <c r="E783" s="157"/>
      <c r="F783" s="152"/>
      <c r="G783" s="227"/>
      <c r="H783" s="165"/>
      <c r="I783" s="165"/>
      <c r="K783" s="286"/>
    </row>
    <row r="784" spans="1:11" s="34" customFormat="1" ht="14.45">
      <c r="A784" s="45"/>
      <c r="B784" s="48"/>
      <c r="C784" s="46"/>
      <c r="D784" s="47"/>
      <c r="E784" s="157"/>
      <c r="F784" s="152"/>
      <c r="G784" s="227"/>
      <c r="H784" s="165"/>
      <c r="I784" s="165"/>
      <c r="K784" s="286"/>
    </row>
    <row r="785" spans="1:11" s="34" customFormat="1" ht="14.45">
      <c r="A785" s="71"/>
      <c r="B785" s="72"/>
      <c r="C785" s="73"/>
      <c r="D785" s="74"/>
      <c r="E785" s="159"/>
      <c r="F785" s="138"/>
      <c r="G785" s="226"/>
      <c r="H785" s="165"/>
      <c r="I785" s="165"/>
      <c r="K785" s="286"/>
    </row>
    <row r="786" spans="1:11" s="34" customFormat="1" ht="14.45">
      <c r="A786" s="75"/>
      <c r="B786" s="76"/>
      <c r="C786" s="77" t="s">
        <v>30</v>
      </c>
      <c r="D786" s="77"/>
      <c r="E786" s="160" t="s">
        <v>8</v>
      </c>
      <c r="F786" s="139">
        <f>SUM(F741:F782)</f>
        <v>8027326.9400000004</v>
      </c>
      <c r="G786" s="227"/>
      <c r="H786" s="165"/>
      <c r="I786" s="165"/>
      <c r="K786" s="286"/>
    </row>
    <row r="787" spans="1:11" s="34" customFormat="1" ht="14.45">
      <c r="A787" s="75"/>
      <c r="B787" s="76"/>
      <c r="C787" s="78"/>
      <c r="D787" s="79"/>
      <c r="E787" s="161"/>
      <c r="F787" s="140"/>
      <c r="G787" s="228"/>
      <c r="H787" s="165"/>
      <c r="I787" s="165"/>
      <c r="K787" s="286"/>
    </row>
    <row r="788" spans="1:11" s="34" customFormat="1" ht="14.45">
      <c r="A788" s="59"/>
      <c r="B788" s="63"/>
      <c r="C788" s="61"/>
      <c r="D788" s="62"/>
      <c r="E788" s="157"/>
      <c r="F788" s="152"/>
      <c r="G788" s="227"/>
      <c r="H788" s="165"/>
      <c r="I788" s="165"/>
      <c r="K788" s="286"/>
    </row>
    <row r="789" spans="1:11" s="34" customFormat="1" ht="14.45">
      <c r="A789" s="59"/>
      <c r="B789" s="38" t="s">
        <v>109</v>
      </c>
      <c r="C789" s="61"/>
      <c r="D789" s="62"/>
      <c r="E789" s="157"/>
      <c r="F789" s="152"/>
      <c r="G789" s="227"/>
      <c r="H789" s="165"/>
      <c r="I789" s="165"/>
      <c r="K789" s="286"/>
    </row>
    <row r="790" spans="1:11" s="34" customFormat="1" ht="14.45">
      <c r="A790" s="59"/>
      <c r="B790" s="32"/>
      <c r="C790" s="61"/>
      <c r="D790" s="62"/>
      <c r="E790" s="157"/>
      <c r="F790" s="152"/>
      <c r="G790" s="227"/>
      <c r="H790" s="165"/>
      <c r="I790" s="165"/>
      <c r="K790" s="286"/>
    </row>
    <row r="791" spans="1:11" s="34" customFormat="1" ht="14.45">
      <c r="A791" s="59"/>
      <c r="B791" s="39" t="s">
        <v>880</v>
      </c>
      <c r="C791" s="61"/>
      <c r="D791" s="62"/>
      <c r="E791" s="157"/>
      <c r="F791" s="152">
        <f>F43</f>
        <v>2615627.0800000005</v>
      </c>
      <c r="G791" s="227"/>
      <c r="H791" s="165"/>
      <c r="I791" s="165"/>
      <c r="K791" s="286"/>
    </row>
    <row r="792" spans="1:11" s="34" customFormat="1" ht="14.45">
      <c r="A792" s="59"/>
      <c r="B792" s="39"/>
      <c r="C792" s="61"/>
      <c r="D792" s="62"/>
      <c r="E792" s="157"/>
      <c r="F792" s="152"/>
      <c r="G792" s="227"/>
      <c r="H792" s="165"/>
      <c r="I792" s="165"/>
      <c r="K792" s="286"/>
    </row>
    <row r="793" spans="1:11" s="34" customFormat="1" ht="14.45">
      <c r="A793" s="59"/>
      <c r="B793" s="39" t="s">
        <v>881</v>
      </c>
      <c r="C793" s="61"/>
      <c r="D793" s="62"/>
      <c r="E793" s="157"/>
      <c r="F793" s="152">
        <f>F87</f>
        <v>1189910.1999999997</v>
      </c>
      <c r="G793" s="227"/>
      <c r="H793" s="165"/>
      <c r="I793" s="165"/>
      <c r="K793" s="286"/>
    </row>
    <row r="794" spans="1:11" s="34" customFormat="1" ht="14.45">
      <c r="A794" s="59"/>
      <c r="B794" s="32"/>
      <c r="C794" s="61"/>
      <c r="D794" s="62"/>
      <c r="E794" s="157"/>
      <c r="F794" s="152"/>
      <c r="G794" s="227"/>
      <c r="H794" s="165"/>
      <c r="I794" s="165"/>
      <c r="K794" s="286"/>
    </row>
    <row r="795" spans="1:11" s="34" customFormat="1" ht="14.45">
      <c r="A795" s="59"/>
      <c r="B795" s="39" t="s">
        <v>882</v>
      </c>
      <c r="C795" s="61"/>
      <c r="D795" s="62"/>
      <c r="E795" s="157"/>
      <c r="F795" s="152">
        <f>F119</f>
        <v>287041.69999999995</v>
      </c>
      <c r="G795" s="227"/>
      <c r="H795" s="165"/>
      <c r="I795" s="165"/>
      <c r="K795" s="286"/>
    </row>
    <row r="796" spans="1:11" s="34" customFormat="1" ht="14.45">
      <c r="A796" s="59"/>
      <c r="B796" s="32"/>
      <c r="C796" s="61"/>
      <c r="D796" s="62"/>
      <c r="E796" s="157"/>
      <c r="F796" s="152"/>
      <c r="G796" s="227"/>
      <c r="H796" s="165"/>
      <c r="I796" s="165"/>
      <c r="K796" s="286"/>
    </row>
    <row r="797" spans="1:11" s="34" customFormat="1" ht="14.45">
      <c r="A797" s="59"/>
      <c r="B797" s="39" t="s">
        <v>883</v>
      </c>
      <c r="C797" s="61"/>
      <c r="D797" s="62"/>
      <c r="E797" s="157"/>
      <c r="F797" s="152">
        <f>F164</f>
        <v>11468972.459999997</v>
      </c>
      <c r="G797" s="227"/>
      <c r="H797" s="165"/>
      <c r="I797" s="165"/>
      <c r="K797" s="286"/>
    </row>
    <row r="798" spans="1:11" s="34" customFormat="1" ht="14.45">
      <c r="A798" s="59"/>
      <c r="B798" s="32"/>
      <c r="C798" s="61"/>
      <c r="D798" s="62"/>
      <c r="E798" s="157"/>
      <c r="F798" s="152"/>
      <c r="G798" s="227"/>
      <c r="H798" s="165"/>
      <c r="I798" s="165"/>
      <c r="K798" s="286"/>
    </row>
    <row r="799" spans="1:11" s="34" customFormat="1" ht="14.45">
      <c r="A799" s="59"/>
      <c r="B799" s="39" t="s">
        <v>884</v>
      </c>
      <c r="C799" s="61"/>
      <c r="D799" s="62"/>
      <c r="E799" s="157"/>
      <c r="F799" s="152">
        <f>+F191</f>
        <v>655195.99</v>
      </c>
      <c r="G799" s="227"/>
      <c r="H799" s="165"/>
      <c r="I799" s="165"/>
      <c r="K799" s="286"/>
    </row>
    <row r="800" spans="1:11" s="34" customFormat="1" ht="14.45">
      <c r="A800" s="59"/>
      <c r="B800" s="32"/>
      <c r="C800" s="61"/>
      <c r="D800" s="62"/>
      <c r="E800" s="157"/>
      <c r="F800" s="152"/>
      <c r="G800" s="227"/>
      <c r="H800" s="165"/>
      <c r="I800" s="165"/>
      <c r="K800" s="286"/>
    </row>
    <row r="801" spans="1:11" s="34" customFormat="1" ht="14.45">
      <c r="A801" s="59"/>
      <c r="B801" s="39" t="s">
        <v>885</v>
      </c>
      <c r="C801" s="61"/>
      <c r="D801" s="62"/>
      <c r="E801" s="157"/>
      <c r="F801" s="152">
        <f>F234</f>
        <v>4492598.8499999996</v>
      </c>
      <c r="G801" s="227"/>
      <c r="H801" s="165"/>
      <c r="I801" s="165"/>
      <c r="K801" s="286"/>
    </row>
    <row r="802" spans="1:11" s="34" customFormat="1" ht="14.45">
      <c r="A802" s="59"/>
      <c r="B802" s="32"/>
      <c r="C802" s="61"/>
      <c r="D802" s="62"/>
      <c r="E802" s="157"/>
      <c r="F802" s="152"/>
      <c r="G802" s="227"/>
      <c r="H802" s="165"/>
      <c r="I802" s="165"/>
      <c r="K802" s="286"/>
    </row>
    <row r="803" spans="1:11" s="34" customFormat="1" ht="14.45">
      <c r="A803" s="59"/>
      <c r="B803" s="39" t="s">
        <v>886</v>
      </c>
      <c r="C803" s="61"/>
      <c r="D803" s="62"/>
      <c r="E803" s="157"/>
      <c r="F803" s="152">
        <f>F269</f>
        <v>3207169.3099999996</v>
      </c>
      <c r="G803" s="227"/>
      <c r="H803" s="165"/>
      <c r="I803" s="165"/>
      <c r="K803" s="286"/>
    </row>
    <row r="804" spans="1:11" s="34" customFormat="1" ht="14.45">
      <c r="A804" s="59"/>
      <c r="B804" s="32"/>
      <c r="C804" s="61"/>
      <c r="D804" s="62"/>
      <c r="E804" s="157"/>
      <c r="F804" s="152"/>
      <c r="G804" s="227"/>
      <c r="H804" s="165"/>
      <c r="I804" s="165"/>
      <c r="K804" s="286"/>
    </row>
    <row r="805" spans="1:11" s="34" customFormat="1" ht="14.45">
      <c r="A805" s="59"/>
      <c r="B805" s="39" t="s">
        <v>887</v>
      </c>
      <c r="C805" s="61"/>
      <c r="D805" s="62"/>
      <c r="E805" s="157"/>
      <c r="F805" s="152">
        <f>F307</f>
        <v>4128793.3099999996</v>
      </c>
      <c r="G805" s="227"/>
      <c r="H805" s="165"/>
      <c r="I805" s="165"/>
      <c r="K805" s="286"/>
    </row>
    <row r="806" spans="1:11" s="34" customFormat="1" ht="14.45">
      <c r="A806" s="59"/>
      <c r="B806" s="32"/>
      <c r="C806" s="61"/>
      <c r="D806" s="62"/>
      <c r="E806" s="157"/>
      <c r="F806" s="152"/>
      <c r="G806" s="227"/>
      <c r="H806" s="165"/>
      <c r="I806" s="165"/>
      <c r="K806" s="286"/>
    </row>
    <row r="807" spans="1:11" s="34" customFormat="1" ht="14.45">
      <c r="A807" s="59"/>
      <c r="B807" s="39" t="s">
        <v>888</v>
      </c>
      <c r="C807" s="61"/>
      <c r="D807" s="62"/>
      <c r="E807" s="157"/>
      <c r="F807" s="152">
        <f>F340</f>
        <v>2654555.1599999997</v>
      </c>
      <c r="G807" s="227"/>
      <c r="H807" s="165"/>
      <c r="I807" s="165"/>
      <c r="K807" s="286"/>
    </row>
    <row r="808" spans="1:11" s="34" customFormat="1" ht="14.45">
      <c r="A808" s="59"/>
      <c r="B808" s="32"/>
      <c r="C808" s="61"/>
      <c r="D808" s="62"/>
      <c r="E808" s="157"/>
      <c r="F808" s="152"/>
      <c r="G808" s="227"/>
      <c r="H808" s="165"/>
      <c r="I808" s="165"/>
      <c r="K808" s="286"/>
    </row>
    <row r="809" spans="1:11" s="34" customFormat="1" ht="14.45">
      <c r="A809" s="59"/>
      <c r="B809" s="39" t="s">
        <v>889</v>
      </c>
      <c r="C809" s="61"/>
      <c r="D809" s="62"/>
      <c r="E809" s="157"/>
      <c r="F809" s="152">
        <f>F373</f>
        <v>1282456.8599999999</v>
      </c>
      <c r="G809" s="227"/>
      <c r="H809" s="165"/>
      <c r="I809" s="165"/>
      <c r="K809" s="286"/>
    </row>
    <row r="810" spans="1:11" s="34" customFormat="1" ht="14.45">
      <c r="A810" s="59"/>
      <c r="B810" s="32"/>
      <c r="C810" s="61"/>
      <c r="D810" s="62"/>
      <c r="E810" s="157"/>
      <c r="F810" s="152"/>
      <c r="G810" s="227"/>
      <c r="H810" s="165"/>
      <c r="I810" s="165"/>
      <c r="K810" s="286"/>
    </row>
    <row r="811" spans="1:11" s="34" customFormat="1" ht="14.45">
      <c r="A811" s="59"/>
      <c r="B811" s="39" t="s">
        <v>890</v>
      </c>
      <c r="C811" s="61"/>
      <c r="D811" s="62"/>
      <c r="E811" s="157"/>
      <c r="F811" s="152">
        <f>F412</f>
        <v>1385758.05</v>
      </c>
      <c r="G811" s="227"/>
      <c r="H811" s="165"/>
      <c r="I811" s="165"/>
      <c r="K811" s="286"/>
    </row>
    <row r="812" spans="1:11" s="34" customFormat="1" ht="14.45">
      <c r="A812" s="59"/>
      <c r="B812" s="63"/>
      <c r="C812" s="61"/>
      <c r="D812" s="62"/>
      <c r="E812" s="157"/>
      <c r="F812" s="152"/>
      <c r="G812" s="227"/>
      <c r="H812" s="165"/>
      <c r="I812" s="165"/>
      <c r="K812" s="286"/>
    </row>
    <row r="813" spans="1:11" s="34" customFormat="1" ht="14.45">
      <c r="A813" s="59"/>
      <c r="B813" s="39" t="s">
        <v>891</v>
      </c>
      <c r="C813" s="61"/>
      <c r="D813" s="62"/>
      <c r="E813" s="157"/>
      <c r="F813" s="152">
        <f>F449</f>
        <v>14669145.25</v>
      </c>
      <c r="G813" s="227"/>
      <c r="H813" s="165"/>
      <c r="I813" s="165"/>
      <c r="K813" s="286"/>
    </row>
    <row r="814" spans="1:11" s="34" customFormat="1" ht="14.45">
      <c r="A814" s="59"/>
      <c r="B814" s="32"/>
      <c r="C814" s="61"/>
      <c r="D814" s="62"/>
      <c r="E814" s="157"/>
      <c r="F814" s="152"/>
      <c r="G814" s="227"/>
      <c r="H814" s="165"/>
      <c r="I814" s="165"/>
      <c r="K814" s="286"/>
    </row>
    <row r="815" spans="1:11" s="34" customFormat="1" ht="14.45">
      <c r="A815" s="59"/>
      <c r="B815" s="39" t="s">
        <v>892</v>
      </c>
      <c r="C815" s="61"/>
      <c r="D815" s="62"/>
      <c r="E815" s="157"/>
      <c r="F815" s="152">
        <f>F493</f>
        <v>2714998.42</v>
      </c>
      <c r="G815" s="227"/>
      <c r="H815" s="165"/>
      <c r="I815" s="165"/>
      <c r="K815" s="286"/>
    </row>
    <row r="816" spans="1:11" s="34" customFormat="1" ht="14.45">
      <c r="A816" s="59"/>
      <c r="B816" s="32"/>
      <c r="C816" s="61"/>
      <c r="D816" s="62"/>
      <c r="E816" s="157"/>
      <c r="F816" s="152"/>
      <c r="G816" s="227"/>
      <c r="H816" s="165"/>
      <c r="I816" s="165"/>
      <c r="K816" s="286"/>
    </row>
    <row r="817" spans="1:11" s="34" customFormat="1" ht="14.45">
      <c r="A817" s="59"/>
      <c r="B817" s="39" t="s">
        <v>893</v>
      </c>
      <c r="C817" s="61"/>
      <c r="D817" s="62"/>
      <c r="E817" s="157"/>
      <c r="F817" s="152">
        <f>F534</f>
        <v>1610160.7999999998</v>
      </c>
      <c r="G817" s="227"/>
      <c r="H817" s="165"/>
      <c r="I817" s="165"/>
      <c r="K817" s="286"/>
    </row>
    <row r="818" spans="1:11" s="34" customFormat="1" ht="14.45">
      <c r="A818" s="59"/>
      <c r="B818" s="32"/>
      <c r="C818" s="61"/>
      <c r="D818" s="62"/>
      <c r="E818" s="157"/>
      <c r="F818" s="152"/>
      <c r="G818" s="227"/>
      <c r="H818" s="165"/>
      <c r="I818" s="165"/>
      <c r="K818" s="286"/>
    </row>
    <row r="819" spans="1:11" s="34" customFormat="1" ht="14.45">
      <c r="A819" s="59"/>
      <c r="B819" s="39" t="s">
        <v>894</v>
      </c>
      <c r="C819" s="61"/>
      <c r="D819" s="62"/>
      <c r="E819" s="157"/>
      <c r="F819" s="152">
        <f>F573</f>
        <v>3246435.28</v>
      </c>
      <c r="G819" s="227"/>
      <c r="H819" s="165"/>
      <c r="I819" s="165"/>
      <c r="K819" s="286"/>
    </row>
    <row r="820" spans="1:11" s="34" customFormat="1" ht="14.45">
      <c r="A820" s="59"/>
      <c r="B820" s="32"/>
      <c r="C820" s="61"/>
      <c r="D820" s="62"/>
      <c r="E820" s="157"/>
      <c r="F820" s="152"/>
      <c r="G820" s="227"/>
      <c r="H820" s="165"/>
      <c r="I820" s="165"/>
      <c r="K820" s="286"/>
    </row>
    <row r="821" spans="1:11" s="34" customFormat="1" ht="14.45">
      <c r="A821" s="59"/>
      <c r="B821" s="39" t="s">
        <v>895</v>
      </c>
      <c r="C821" s="61"/>
      <c r="D821" s="62"/>
      <c r="E821" s="157"/>
      <c r="F821" s="152">
        <f>F614</f>
        <v>2605627.06</v>
      </c>
      <c r="G821" s="227"/>
      <c r="H821" s="165"/>
      <c r="I821" s="165"/>
      <c r="K821" s="286"/>
    </row>
    <row r="822" spans="1:11" s="34" customFormat="1" ht="14.45">
      <c r="A822" s="59"/>
      <c r="B822" s="63"/>
      <c r="C822" s="61"/>
      <c r="D822" s="62"/>
      <c r="E822" s="157"/>
      <c r="F822" s="152"/>
      <c r="G822" s="227"/>
      <c r="H822" s="165"/>
      <c r="I822" s="165"/>
      <c r="K822" s="286"/>
    </row>
    <row r="823" spans="1:11" s="34" customFormat="1" ht="14.45">
      <c r="A823" s="59"/>
      <c r="B823" s="39" t="s">
        <v>896</v>
      </c>
      <c r="C823" s="61"/>
      <c r="D823" s="62"/>
      <c r="E823" s="157"/>
      <c r="F823" s="152">
        <f>F653</f>
        <v>519894.56000000006</v>
      </c>
      <c r="G823" s="227"/>
      <c r="H823" s="165"/>
      <c r="I823" s="165"/>
      <c r="K823" s="286"/>
    </row>
    <row r="824" spans="1:11" s="34" customFormat="1" ht="14.45">
      <c r="A824" s="59"/>
      <c r="B824" s="32"/>
      <c r="C824" s="61"/>
      <c r="D824" s="62"/>
      <c r="E824" s="157"/>
      <c r="F824" s="152"/>
      <c r="G824" s="227"/>
      <c r="H824" s="165"/>
      <c r="I824" s="165"/>
      <c r="K824" s="286"/>
    </row>
    <row r="825" spans="1:11" s="34" customFormat="1" ht="14.45">
      <c r="A825" s="59"/>
      <c r="B825" s="39" t="s">
        <v>897</v>
      </c>
      <c r="C825" s="61"/>
      <c r="D825" s="62"/>
      <c r="E825" s="157"/>
      <c r="F825" s="152">
        <f>F691</f>
        <v>360018.75000000006</v>
      </c>
      <c r="G825" s="227"/>
      <c r="H825" s="165"/>
      <c r="I825" s="165"/>
      <c r="K825" s="286"/>
    </row>
    <row r="826" spans="1:11" s="34" customFormat="1" ht="14.45">
      <c r="A826" s="59"/>
      <c r="B826" s="32"/>
      <c r="C826" s="61"/>
      <c r="D826" s="62"/>
      <c r="E826" s="157"/>
      <c r="F826" s="152"/>
      <c r="G826" s="227"/>
      <c r="H826" s="165"/>
      <c r="I826" s="165"/>
      <c r="K826" s="286"/>
    </row>
    <row r="827" spans="1:11" s="34" customFormat="1" ht="14.45">
      <c r="A827" s="59"/>
      <c r="B827" s="39" t="s">
        <v>898</v>
      </c>
      <c r="C827" s="61"/>
      <c r="D827" s="62"/>
      <c r="E827" s="157"/>
      <c r="F827" s="152">
        <f>F738</f>
        <v>1093563.57</v>
      </c>
      <c r="G827" s="227"/>
      <c r="H827" s="165"/>
      <c r="I827" s="165"/>
      <c r="K827" s="286"/>
    </row>
    <row r="828" spans="1:11" s="34" customFormat="1" ht="14.45">
      <c r="A828" s="59"/>
      <c r="B828" s="32"/>
      <c r="C828" s="61"/>
      <c r="D828" s="62"/>
      <c r="E828" s="157"/>
      <c r="F828" s="152"/>
      <c r="G828" s="227"/>
      <c r="H828" s="165"/>
      <c r="I828" s="165"/>
      <c r="K828" s="286"/>
    </row>
    <row r="829" spans="1:11" s="34" customFormat="1" ht="14.45">
      <c r="A829" s="59"/>
      <c r="B829" s="39" t="s">
        <v>899</v>
      </c>
      <c r="C829" s="61"/>
      <c r="D829" s="62"/>
      <c r="E829" s="157"/>
      <c r="F829" s="152">
        <f>F786</f>
        <v>8027326.9400000004</v>
      </c>
      <c r="G829" s="227"/>
      <c r="H829" s="165"/>
      <c r="I829" s="165"/>
      <c r="K829" s="286"/>
    </row>
    <row r="830" spans="1:11" s="34" customFormat="1" ht="14.45">
      <c r="A830" s="59"/>
      <c r="B830" s="63"/>
      <c r="C830" s="61"/>
      <c r="D830" s="62"/>
      <c r="E830" s="157"/>
      <c r="F830" s="152"/>
      <c r="G830" s="227"/>
      <c r="H830" s="165"/>
      <c r="I830" s="165"/>
      <c r="K830" s="286"/>
    </row>
    <row r="831" spans="1:11" s="34" customFormat="1" ht="14.45">
      <c r="A831" s="59"/>
      <c r="B831" s="63"/>
      <c r="C831" s="61"/>
      <c r="D831" s="62"/>
      <c r="E831" s="157"/>
      <c r="F831" s="152"/>
      <c r="G831" s="227"/>
      <c r="H831" s="165"/>
      <c r="I831" s="165"/>
      <c r="K831" s="286"/>
    </row>
    <row r="832" spans="1:11" s="34" customFormat="1" ht="14.45">
      <c r="A832" s="59"/>
      <c r="B832" s="63"/>
      <c r="C832" s="61"/>
      <c r="D832" s="62"/>
      <c r="E832" s="157"/>
      <c r="F832" s="152"/>
      <c r="G832" s="227"/>
      <c r="H832" s="165"/>
      <c r="I832" s="165"/>
      <c r="K832" s="286"/>
    </row>
    <row r="833" spans="1:11" s="34" customFormat="1" ht="14.45">
      <c r="A833" s="71"/>
      <c r="B833" s="72"/>
      <c r="C833" s="73"/>
      <c r="D833" s="74"/>
      <c r="E833" s="159"/>
      <c r="F833" s="138"/>
      <c r="G833" s="226"/>
      <c r="H833" s="165"/>
      <c r="I833" s="165"/>
      <c r="K833" s="286"/>
    </row>
    <row r="834" spans="1:11" s="34" customFormat="1" ht="14.45">
      <c r="A834" s="75"/>
      <c r="B834" s="76"/>
      <c r="C834" s="77" t="s">
        <v>116</v>
      </c>
      <c r="D834" s="77"/>
      <c r="E834" s="160" t="s">
        <v>8</v>
      </c>
      <c r="F834" s="139">
        <f>SUM(F788:F831)</f>
        <v>68215249.600000009</v>
      </c>
      <c r="G834" s="227"/>
      <c r="H834" s="165"/>
      <c r="I834" s="165"/>
      <c r="K834" s="286"/>
    </row>
    <row r="835" spans="1:11" s="34" customFormat="1" ht="14.45">
      <c r="A835" s="75"/>
      <c r="B835" s="76"/>
      <c r="C835" s="78"/>
      <c r="D835" s="79"/>
      <c r="E835" s="161"/>
      <c r="F835" s="140"/>
      <c r="G835" s="228"/>
      <c r="H835" s="165"/>
      <c r="K835" s="286"/>
    </row>
  </sheetData>
  <customSheetViews>
    <customSheetView guid="{3432A39B-C5E3-4DF0-8655-3886C046AF9C}" showPageBreaks="1" printArea="1" view="pageBreakPreview" topLeftCell="A816">
      <selection activeCell="H760" sqref="H760"/>
      <rowBreaks count="20" manualBreakCount="20">
        <brk id="44" max="5" man="1"/>
        <brk id="91" max="5" man="1"/>
        <brk id="124" max="5" man="1"/>
        <brk id="168" max="5" man="1"/>
        <brk id="195" max="5" man="1"/>
        <brk id="236" max="5" man="1"/>
        <brk id="271" max="5" man="1"/>
        <brk id="308" max="5" man="1"/>
        <brk id="341" max="5" man="1"/>
        <brk id="376" max="5" man="1"/>
        <brk id="417" max="5" man="1"/>
        <brk id="453" max="5" man="1"/>
        <brk id="497" max="5" man="1"/>
        <brk id="538" max="5" man="1"/>
        <brk id="577" max="5" man="1"/>
        <brk id="618" max="5" man="1"/>
        <brk id="657" max="5" man="1"/>
        <brk id="695" max="5" man="1"/>
        <brk id="742" max="5" man="1"/>
        <brk id="782" max="5" man="1"/>
      </rowBreaks>
      <pageMargins left="0" right="0" top="0" bottom="0" header="0" footer="0"/>
      <printOptions horizontalCentered="1"/>
      <pageSetup paperSize="9" fitToHeight="0" orientation="portrait" useFirstPageNumber="1" r:id="rId1"/>
      <headerFooter>
        <oddHeader>&amp;R&amp;11&amp;U
BILL NO. 3 - MALL REFURBISHMENT
FINISHES</oddHeader>
        <oddFooter>&amp;L&amp;8DMS 148704 BOQ - Nakheel Mall Al Khail&amp;C3/J/&amp;P</oddFooter>
      </headerFooter>
    </customSheetView>
    <customSheetView guid="{47E345F0-E696-46B9-B7A2-C22AD1CF4FAA}" showPageBreaks="1" printArea="1" view="pageBreakPreview" topLeftCell="A800">
      <selection activeCell="F250" sqref="F250"/>
      <rowBreaks count="20" manualBreakCount="20">
        <brk id="44" max="5" man="1"/>
        <brk id="91" max="5" man="1"/>
        <brk id="124" max="5" man="1"/>
        <brk id="168" max="5" man="1"/>
        <brk id="195" max="5" man="1"/>
        <brk id="236" max="5" man="1"/>
        <brk id="271" max="5" man="1"/>
        <brk id="308" max="5" man="1"/>
        <brk id="341" max="5" man="1"/>
        <brk id="376" max="5" man="1"/>
        <brk id="417" max="5" man="1"/>
        <brk id="453" max="5" man="1"/>
        <brk id="497" max="5" man="1"/>
        <brk id="538" max="5" man="1"/>
        <brk id="577" max="5" man="1"/>
        <brk id="618" max="5" man="1"/>
        <brk id="657" max="5" man="1"/>
        <brk id="695" max="5" man="1"/>
        <brk id="742" max="5" man="1"/>
        <brk id="786" max="5" man="1"/>
      </rowBreaks>
      <pageMargins left="0" right="0" top="0" bottom="0" header="0" footer="0"/>
      <printOptions horizontalCentered="1"/>
      <pageSetup paperSize="9" fitToHeight="0" orientation="portrait" useFirstPageNumber="1" r:id="rId2"/>
      <headerFooter>
        <oddHeader>&amp;R&amp;11&amp;U
BILL NO. 3 - MALL REFURBISHMENT
FINISHES</oddHeader>
        <oddFooter>&amp;L&amp;8DMS 148704 BOQ - Nakheel Mall Al Khail&amp;C3/J/&amp;P</oddFooter>
      </headerFooter>
    </customSheetView>
    <customSheetView guid="{252EBC6A-BD49-4FC3-9285-77861935BFE3}" showPageBreaks="1" printArea="1" view="pageBreakPreview" topLeftCell="A799">
      <selection activeCell="F829" sqref="F829"/>
      <rowBreaks count="20" manualBreakCount="20">
        <brk id="44" max="5" man="1"/>
        <brk id="91" max="5" man="1"/>
        <brk id="124" max="5" man="1"/>
        <brk id="168" max="5" man="1"/>
        <brk id="195" max="5" man="1"/>
        <brk id="236" max="5" man="1"/>
        <brk id="271" max="5" man="1"/>
        <brk id="308" max="5" man="1"/>
        <brk id="341" max="5" man="1"/>
        <brk id="376" max="5" man="1"/>
        <brk id="417" max="5" man="1"/>
        <brk id="453" max="5" man="1"/>
        <brk id="497" max="5" man="1"/>
        <brk id="538" max="5" man="1"/>
        <brk id="577" max="5" man="1"/>
        <brk id="618" max="5" man="1"/>
        <brk id="657" max="5" man="1"/>
        <brk id="695" max="5" man="1"/>
        <brk id="742" max="5" man="1"/>
        <brk id="786" max="5" man="1"/>
      </rowBreaks>
      <pageMargins left="0" right="0" top="0" bottom="0" header="0" footer="0"/>
      <printOptions horizontalCentered="1"/>
      <pageSetup paperSize="9" fitToHeight="0" orientation="portrait" useFirstPageNumber="1" r:id="rId3"/>
      <headerFooter>
        <oddHeader>&amp;R&amp;11&amp;U
BILL NO. 3 - MALL REFURBISHMENT
FINISHES</oddHeader>
        <oddFooter>&amp;L&amp;8DMS 148704 BOQ - Nakheel Mall Al Khail&amp;C3/J/&amp;P</oddFooter>
      </headerFooter>
    </customSheetView>
    <customSheetView guid="{80D5E0F2-D974-412D-A20C-052459C7A221}" showPageBreaks="1" printArea="1" view="pageBreakPreview" topLeftCell="A816">
      <selection activeCell="H760" sqref="H760"/>
      <rowBreaks count="20" manualBreakCount="20">
        <brk id="44" max="5" man="1"/>
        <brk id="91" max="5" man="1"/>
        <brk id="124" max="5" man="1"/>
        <brk id="168" max="5" man="1"/>
        <brk id="195" max="5" man="1"/>
        <brk id="236" max="5" man="1"/>
        <brk id="271" max="5" man="1"/>
        <brk id="308" max="5" man="1"/>
        <brk id="341" max="5" man="1"/>
        <brk id="376" max="5" man="1"/>
        <brk id="417" max="5" man="1"/>
        <brk id="453" max="5" man="1"/>
        <brk id="497" max="5" man="1"/>
        <brk id="538" max="5" man="1"/>
        <brk id="577" max="5" man="1"/>
        <brk id="618" max="5" man="1"/>
        <brk id="657" max="5" man="1"/>
        <brk id="695" max="5" man="1"/>
        <brk id="742" max="5" man="1"/>
        <brk id="782" max="5" man="1"/>
      </rowBreaks>
      <pageMargins left="0" right="0" top="0" bottom="0" header="0" footer="0"/>
      <printOptions horizontalCentered="1"/>
      <pageSetup paperSize="9" fitToHeight="0" orientation="portrait" useFirstPageNumber="1" r:id="rId4"/>
      <headerFooter>
        <oddHeader>&amp;R&amp;11&amp;U
BILL NO. 3 - MALL REFURBISHMENT
FINISHES</oddHeader>
        <oddFooter>&amp;L&amp;8DMS 148704 BOQ - Nakheel Mall Al Khail&amp;C3/J/&amp;P</oddFooter>
      </headerFooter>
    </customSheetView>
  </customSheetViews>
  <mergeCells count="5">
    <mergeCell ref="A1:A2"/>
    <mergeCell ref="B1:B2"/>
    <mergeCell ref="C1:C2"/>
    <mergeCell ref="D1:D2"/>
    <mergeCell ref="G1:G2"/>
  </mergeCells>
  <phoneticPr fontId="18" type="noConversion"/>
  <printOptions horizontalCentered="1"/>
  <pageMargins left="0.6692913385826772" right="0.19685039370078741" top="0.82677165354330717" bottom="0.47244094488188981" header="0.19685039370078741" footer="0.23622047244094491"/>
  <pageSetup paperSize="9" scale="79" fitToHeight="0" orientation="portrait" useFirstPageNumber="1" r:id="rId5"/>
  <headerFooter>
    <oddHeader>&amp;R&amp;11&amp;U
BILL NO. 3 - MALL REFURBISHMENT
FINISHES</oddHeader>
    <oddFooter>&amp;L&amp;8DMS 148704 BOQ - Nakheel Mall Al Khail&amp;C3/J/&amp;P</oddFooter>
  </headerFooter>
  <rowBreaks count="20" manualBreakCount="20">
    <brk id="44" max="6" man="1"/>
    <brk id="88" max="6" man="1"/>
    <brk id="120" max="6" man="1"/>
    <brk id="165" max="6" man="1"/>
    <brk id="192" max="6" man="1"/>
    <brk id="235" max="6" man="1"/>
    <brk id="270" max="6" man="1"/>
    <brk id="308" max="6" man="1"/>
    <brk id="341" max="6" man="1"/>
    <brk id="374" max="6" man="1"/>
    <brk id="413" max="6" man="1"/>
    <brk id="450" max="6" man="1"/>
    <brk id="494" max="6" man="1"/>
    <brk id="535" max="6" man="1"/>
    <brk id="574" max="6" man="1"/>
    <brk id="615" max="6" man="1"/>
    <brk id="654" max="6" man="1"/>
    <brk id="692" max="6" man="1"/>
    <brk id="739" max="6" man="1"/>
    <brk id="787" max="6"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07DCB-F0F7-4815-BEE2-DA5AFEC20157}">
  <sheetPr codeName="Sheet11"/>
  <dimension ref="A1:G615"/>
  <sheetViews>
    <sheetView view="pageBreakPreview" topLeftCell="A323" zoomScaleNormal="100" zoomScaleSheetLayoutView="100" zoomScalePageLayoutView="70" workbookViewId="0">
      <selection activeCell="C323" sqref="C1:C1048576"/>
    </sheetView>
  </sheetViews>
  <sheetFormatPr defaultColWidth="9.28515625" defaultRowHeight="13.9"/>
  <cols>
    <col min="1" max="1" width="5.7109375" style="85" customWidth="1"/>
    <col min="2" max="2" width="42.7109375" style="86" customWidth="1"/>
    <col min="3" max="3" width="9.7109375" style="87" customWidth="1"/>
    <col min="4" max="4" width="6.7109375" style="88" customWidth="1"/>
    <col min="5" max="5" width="12.5703125" style="162" customWidth="1"/>
    <col min="6" max="6" width="14.85546875" style="142" customWidth="1"/>
    <col min="7" max="7" width="7.85546875" style="87" customWidth="1"/>
    <col min="8" max="16384" width="9.28515625" style="89"/>
  </cols>
  <sheetData>
    <row r="1" spans="1:7" s="30" customFormat="1" ht="14.45" customHeight="1">
      <c r="A1" s="332" t="s">
        <v>2</v>
      </c>
      <c r="B1" s="332" t="s">
        <v>3</v>
      </c>
      <c r="C1" s="334" t="s">
        <v>4</v>
      </c>
      <c r="D1" s="336" t="s">
        <v>5</v>
      </c>
      <c r="E1" s="155" t="s">
        <v>6</v>
      </c>
      <c r="F1" s="135" t="s">
        <v>7</v>
      </c>
      <c r="G1" s="346" t="s">
        <v>297</v>
      </c>
    </row>
    <row r="2" spans="1:7" s="30" customFormat="1" ht="14.45">
      <c r="A2" s="333"/>
      <c r="B2" s="333"/>
      <c r="C2" s="335"/>
      <c r="D2" s="337"/>
      <c r="E2" s="156" t="s">
        <v>8</v>
      </c>
      <c r="F2" s="136" t="s">
        <v>8</v>
      </c>
      <c r="G2" s="347"/>
    </row>
    <row r="3" spans="1:7" s="30" customFormat="1" ht="14.45">
      <c r="A3" s="31"/>
      <c r="B3" s="32"/>
      <c r="C3" s="29"/>
      <c r="D3" s="33"/>
      <c r="E3" s="157"/>
      <c r="F3" s="137"/>
      <c r="G3" s="29"/>
    </row>
    <row r="4" spans="1:7" s="30" customFormat="1" ht="14.45">
      <c r="A4" s="59"/>
      <c r="B4" s="60" t="s">
        <v>900</v>
      </c>
      <c r="C4" s="61"/>
      <c r="D4" s="62"/>
      <c r="E4" s="157"/>
      <c r="F4" s="137"/>
      <c r="G4" s="61"/>
    </row>
    <row r="5" spans="1:7" s="30" customFormat="1" ht="14.45">
      <c r="A5" s="59"/>
      <c r="B5" s="63"/>
      <c r="C5" s="61"/>
      <c r="D5" s="62"/>
      <c r="E5" s="157"/>
      <c r="F5" s="137"/>
      <c r="G5" s="61"/>
    </row>
    <row r="6" spans="1:7" s="30" customFormat="1" ht="14.45">
      <c r="A6" s="59"/>
      <c r="B6" s="64" t="s">
        <v>901</v>
      </c>
      <c r="C6" s="61"/>
      <c r="D6" s="62"/>
      <c r="E6" s="157"/>
      <c r="F6" s="137"/>
      <c r="G6" s="61"/>
    </row>
    <row r="7" spans="1:7" s="30" customFormat="1" ht="14.45">
      <c r="A7" s="59"/>
      <c r="B7" s="84"/>
      <c r="C7" s="61"/>
      <c r="D7" s="62"/>
      <c r="E7" s="157"/>
      <c r="F7" s="137"/>
      <c r="G7" s="61"/>
    </row>
    <row r="8" spans="1:7" s="30" customFormat="1" ht="14.45">
      <c r="A8" s="66"/>
      <c r="B8" s="67" t="s">
        <v>11</v>
      </c>
      <c r="C8" s="68"/>
      <c r="D8" s="69"/>
      <c r="E8" s="157"/>
      <c r="F8" s="137"/>
      <c r="G8" s="68"/>
    </row>
    <row r="9" spans="1:7" s="30" customFormat="1" ht="14.45">
      <c r="A9" s="59"/>
      <c r="B9" s="65"/>
      <c r="C9" s="61"/>
      <c r="D9" s="62"/>
      <c r="E9" s="157"/>
      <c r="F9" s="137"/>
      <c r="G9" s="61"/>
    </row>
    <row r="10" spans="1:7" s="30" customFormat="1" ht="27.6">
      <c r="A10" s="66"/>
      <c r="B10" s="67" t="s">
        <v>582</v>
      </c>
      <c r="C10" s="68"/>
      <c r="D10" s="69"/>
      <c r="E10" s="157"/>
      <c r="F10" s="137"/>
      <c r="G10" s="68"/>
    </row>
    <row r="11" spans="1:7" s="30" customFormat="1" ht="14.45">
      <c r="A11" s="59"/>
      <c r="B11" s="65"/>
      <c r="C11" s="61"/>
      <c r="D11" s="62"/>
      <c r="E11" s="157"/>
      <c r="F11" s="137"/>
      <c r="G11" s="61"/>
    </row>
    <row r="12" spans="1:7" s="30" customFormat="1" ht="27.6">
      <c r="A12" s="66"/>
      <c r="B12" s="67" t="s">
        <v>583</v>
      </c>
      <c r="C12" s="68"/>
      <c r="D12" s="69"/>
      <c r="E12" s="157"/>
      <c r="F12" s="137"/>
      <c r="G12" s="68"/>
    </row>
    <row r="13" spans="1:7" s="30" customFormat="1" ht="14.45">
      <c r="A13" s="59"/>
      <c r="B13" s="65"/>
      <c r="C13" s="61"/>
      <c r="D13" s="62"/>
      <c r="E13" s="157"/>
      <c r="F13" s="137"/>
      <c r="G13" s="61"/>
    </row>
    <row r="14" spans="1:7" s="30" customFormat="1" ht="14.45">
      <c r="A14" s="66"/>
      <c r="B14" s="67" t="s">
        <v>584</v>
      </c>
      <c r="C14" s="68"/>
      <c r="D14" s="69"/>
      <c r="E14" s="157"/>
      <c r="F14" s="137"/>
      <c r="G14" s="68"/>
    </row>
    <row r="15" spans="1:7" s="30" customFormat="1" ht="14.45">
      <c r="A15" s="59"/>
      <c r="B15" s="65"/>
      <c r="C15" s="61"/>
      <c r="D15" s="62"/>
      <c r="E15" s="157"/>
      <c r="F15" s="137"/>
      <c r="G15" s="61"/>
    </row>
    <row r="16" spans="1:7" s="30" customFormat="1" ht="27.6">
      <c r="A16" s="66"/>
      <c r="B16" s="67" t="s">
        <v>585</v>
      </c>
      <c r="C16" s="68"/>
      <c r="D16" s="69"/>
      <c r="E16" s="157"/>
      <c r="F16" s="137"/>
      <c r="G16" s="68"/>
    </row>
    <row r="17" spans="1:7" s="30" customFormat="1" ht="14.45">
      <c r="A17" s="59"/>
      <c r="B17" s="65"/>
      <c r="C17" s="61"/>
      <c r="D17" s="62"/>
      <c r="E17" s="157"/>
      <c r="F17" s="137"/>
      <c r="G17" s="61"/>
    </row>
    <row r="18" spans="1:7" s="30" customFormat="1" ht="41.45">
      <c r="A18" s="66"/>
      <c r="B18" s="67" t="s">
        <v>586</v>
      </c>
      <c r="C18" s="68"/>
      <c r="D18" s="69"/>
      <c r="E18" s="157"/>
      <c r="F18" s="137"/>
      <c r="G18" s="68"/>
    </row>
    <row r="19" spans="1:7" s="30" customFormat="1" ht="14.45">
      <c r="A19" s="59"/>
      <c r="B19" s="65"/>
      <c r="C19" s="61"/>
      <c r="D19" s="62"/>
      <c r="E19" s="157"/>
      <c r="F19" s="137"/>
      <c r="G19" s="61"/>
    </row>
    <row r="20" spans="1:7" s="30" customFormat="1" ht="27.6">
      <c r="A20" s="66"/>
      <c r="B20" s="98" t="s">
        <v>902</v>
      </c>
      <c r="C20" s="68"/>
      <c r="D20" s="69"/>
      <c r="E20" s="157"/>
      <c r="F20" s="137"/>
      <c r="G20" s="68"/>
    </row>
    <row r="21" spans="1:7" s="30" customFormat="1" ht="14.45">
      <c r="A21" s="59"/>
      <c r="B21" s="100"/>
      <c r="C21" s="61"/>
      <c r="D21" s="62"/>
      <c r="E21" s="157"/>
      <c r="F21" s="137"/>
      <c r="G21" s="61"/>
    </row>
    <row r="22" spans="1:7" s="30" customFormat="1" ht="14.45">
      <c r="A22" s="66" t="s">
        <v>14</v>
      </c>
      <c r="B22" s="67" t="s">
        <v>903</v>
      </c>
      <c r="C22" s="68">
        <v>212</v>
      </c>
      <c r="D22" s="69" t="s">
        <v>16</v>
      </c>
      <c r="E22" s="157">
        <v>252.32</v>
      </c>
      <c r="F22" s="137">
        <f>C22*E22</f>
        <v>53491.839999999997</v>
      </c>
      <c r="G22" s="68"/>
    </row>
    <row r="23" spans="1:7" s="30" customFormat="1" ht="14.45">
      <c r="A23" s="59"/>
      <c r="B23" s="100"/>
      <c r="C23" s="61"/>
      <c r="D23" s="62"/>
      <c r="E23" s="157"/>
      <c r="F23" s="137"/>
      <c r="G23" s="61"/>
    </row>
    <row r="24" spans="1:7" s="30" customFormat="1" ht="14.45">
      <c r="A24" s="66" t="s">
        <v>17</v>
      </c>
      <c r="B24" s="67" t="s">
        <v>904</v>
      </c>
      <c r="C24" s="68">
        <v>4138</v>
      </c>
      <c r="D24" s="69" t="s">
        <v>16</v>
      </c>
      <c r="E24" s="157">
        <v>189.24</v>
      </c>
      <c r="F24" s="137">
        <f>C24*E24</f>
        <v>783075.12</v>
      </c>
      <c r="G24" s="68"/>
    </row>
    <row r="25" spans="1:7" s="30" customFormat="1" ht="14.45">
      <c r="A25" s="59"/>
      <c r="B25" s="100"/>
      <c r="C25" s="61"/>
      <c r="D25" s="62"/>
      <c r="E25" s="157"/>
      <c r="F25" s="137"/>
      <c r="G25" s="61"/>
    </row>
    <row r="26" spans="1:7" s="30" customFormat="1" ht="55.15">
      <c r="A26" s="66"/>
      <c r="B26" s="98" t="s">
        <v>905</v>
      </c>
      <c r="C26" s="68"/>
      <c r="D26" s="69"/>
      <c r="E26" s="157"/>
      <c r="F26" s="137"/>
      <c r="G26" s="68"/>
    </row>
    <row r="27" spans="1:7" s="30" customFormat="1" ht="14.45">
      <c r="A27" s="59"/>
      <c r="B27" s="100"/>
      <c r="C27" s="61"/>
      <c r="D27" s="62"/>
      <c r="E27" s="157"/>
      <c r="F27" s="137"/>
      <c r="G27" s="61"/>
    </row>
    <row r="28" spans="1:7" s="30" customFormat="1" ht="14.45">
      <c r="A28" s="66" t="s">
        <v>20</v>
      </c>
      <c r="B28" s="67" t="s">
        <v>906</v>
      </c>
      <c r="C28" s="68" t="s">
        <v>907</v>
      </c>
      <c r="D28" s="69" t="s">
        <v>16</v>
      </c>
      <c r="E28" s="157">
        <v>126.16</v>
      </c>
      <c r="F28" s="137">
        <f>C28*E28</f>
        <v>393493.04</v>
      </c>
      <c r="G28" s="68"/>
    </row>
    <row r="29" spans="1:7" s="30" customFormat="1" ht="14.45">
      <c r="A29" s="59"/>
      <c r="B29" s="100"/>
      <c r="C29" s="61"/>
      <c r="D29" s="62"/>
      <c r="E29" s="157"/>
      <c r="F29" s="137"/>
      <c r="G29" s="61"/>
    </row>
    <row r="30" spans="1:7" s="30" customFormat="1" ht="14.45">
      <c r="A30" s="66" t="s">
        <v>23</v>
      </c>
      <c r="B30" s="67" t="s">
        <v>908</v>
      </c>
      <c r="C30" s="68" t="s">
        <v>909</v>
      </c>
      <c r="D30" s="69" t="s">
        <v>16</v>
      </c>
      <c r="E30" s="157">
        <v>126.16</v>
      </c>
      <c r="F30" s="137">
        <f>C30*E30</f>
        <v>137388.24</v>
      </c>
      <c r="G30" s="68"/>
    </row>
    <row r="31" spans="1:7" s="30" customFormat="1" ht="14.45">
      <c r="A31" s="59"/>
      <c r="B31" s="100"/>
      <c r="C31" s="61"/>
      <c r="D31" s="62"/>
      <c r="E31" s="157"/>
      <c r="F31" s="137"/>
      <c r="G31" s="61"/>
    </row>
    <row r="32" spans="1:7" s="30" customFormat="1" ht="14.45">
      <c r="A32" s="66" t="s">
        <v>27</v>
      </c>
      <c r="B32" s="67" t="s">
        <v>910</v>
      </c>
      <c r="C32" s="68">
        <v>1853</v>
      </c>
      <c r="D32" s="69" t="s">
        <v>16</v>
      </c>
      <c r="E32" s="157">
        <v>168.21</v>
      </c>
      <c r="F32" s="137">
        <f>C32*E32</f>
        <v>311693.13</v>
      </c>
      <c r="G32" s="68"/>
    </row>
    <row r="33" spans="1:7" s="30" customFormat="1" ht="14.45">
      <c r="A33" s="59"/>
      <c r="B33" s="100"/>
      <c r="C33" s="61"/>
      <c r="D33" s="62"/>
      <c r="E33" s="157"/>
      <c r="F33" s="137"/>
      <c r="G33" s="61"/>
    </row>
    <row r="34" spans="1:7" s="30" customFormat="1" ht="55.15">
      <c r="A34" s="66"/>
      <c r="B34" s="98" t="s">
        <v>911</v>
      </c>
      <c r="C34" s="68"/>
      <c r="D34" s="69"/>
      <c r="E34" s="157"/>
      <c r="F34" s="137"/>
      <c r="G34" s="68"/>
    </row>
    <row r="35" spans="1:7" s="30" customFormat="1" ht="14.45">
      <c r="A35" s="59"/>
      <c r="B35" s="100"/>
      <c r="C35" s="61"/>
      <c r="D35" s="62"/>
      <c r="E35" s="157"/>
      <c r="F35" s="137"/>
      <c r="G35" s="61"/>
    </row>
    <row r="36" spans="1:7" s="30" customFormat="1" ht="27.6">
      <c r="A36" s="66" t="s">
        <v>44</v>
      </c>
      <c r="B36" s="67" t="s">
        <v>912</v>
      </c>
      <c r="C36" s="68" t="s">
        <v>304</v>
      </c>
      <c r="D36" s="69" t="s">
        <v>63</v>
      </c>
      <c r="E36" s="157">
        <v>5555.39</v>
      </c>
      <c r="F36" s="137">
        <f>C36*E36</f>
        <v>5555.39</v>
      </c>
      <c r="G36" s="68"/>
    </row>
    <row r="37" spans="1:7" s="30" customFormat="1" ht="14.45">
      <c r="A37" s="59"/>
      <c r="B37" s="100"/>
      <c r="C37" s="61"/>
      <c r="D37" s="62"/>
      <c r="E37" s="157"/>
      <c r="F37" s="137"/>
      <c r="G37" s="61"/>
    </row>
    <row r="38" spans="1:7" s="30" customFormat="1" ht="14.45">
      <c r="A38" s="71"/>
      <c r="B38" s="72"/>
      <c r="C38" s="73"/>
      <c r="D38" s="74"/>
      <c r="E38" s="159"/>
      <c r="F38" s="138"/>
      <c r="G38" s="73"/>
    </row>
    <row r="39" spans="1:7" s="30" customFormat="1" ht="14.45">
      <c r="A39" s="75"/>
      <c r="B39" s="76"/>
      <c r="C39" s="77" t="s">
        <v>30</v>
      </c>
      <c r="D39" s="77"/>
      <c r="E39" s="160" t="s">
        <v>8</v>
      </c>
      <c r="F39" s="139">
        <f>SUM(F21:F37)</f>
        <v>1684696.76</v>
      </c>
      <c r="G39" s="77"/>
    </row>
    <row r="40" spans="1:7" s="30" customFormat="1" ht="14.45">
      <c r="A40" s="75"/>
      <c r="B40" s="76"/>
      <c r="C40" s="78"/>
      <c r="D40" s="79"/>
      <c r="E40" s="161"/>
      <c r="F40" s="140"/>
      <c r="G40" s="78"/>
    </row>
    <row r="41" spans="1:7" s="30" customFormat="1" ht="14.45">
      <c r="A41" s="59"/>
      <c r="B41" s="63"/>
      <c r="C41" s="61"/>
      <c r="D41" s="62"/>
      <c r="E41" s="157"/>
      <c r="F41" s="137"/>
      <c r="G41" s="61"/>
    </row>
    <row r="42" spans="1:7" s="30" customFormat="1" ht="14.45">
      <c r="A42" s="59"/>
      <c r="B42" s="64" t="s">
        <v>913</v>
      </c>
      <c r="C42" s="61"/>
      <c r="D42" s="62"/>
      <c r="E42" s="157"/>
      <c r="F42" s="137"/>
      <c r="G42" s="61"/>
    </row>
    <row r="43" spans="1:7" s="30" customFormat="1" ht="14.45">
      <c r="A43" s="59"/>
      <c r="B43" s="100"/>
      <c r="C43" s="61"/>
      <c r="D43" s="62"/>
      <c r="E43" s="157"/>
      <c r="F43" s="137"/>
      <c r="G43" s="61"/>
    </row>
    <row r="44" spans="1:7" s="30" customFormat="1" ht="41.45">
      <c r="A44" s="66" t="s">
        <v>14</v>
      </c>
      <c r="B44" s="67" t="s">
        <v>914</v>
      </c>
      <c r="C44" s="68" t="s">
        <v>62</v>
      </c>
      <c r="D44" s="69" t="s">
        <v>63</v>
      </c>
      <c r="E44" s="157">
        <v>11110.79</v>
      </c>
      <c r="F44" s="137">
        <f>C44*E44</f>
        <v>55553.950000000004</v>
      </c>
      <c r="G44" s="68"/>
    </row>
    <row r="45" spans="1:7" s="30" customFormat="1" ht="14.45">
      <c r="A45" s="59"/>
      <c r="B45" s="100"/>
      <c r="C45" s="61"/>
      <c r="D45" s="62"/>
      <c r="E45" s="157"/>
      <c r="F45" s="137"/>
      <c r="G45" s="61"/>
    </row>
    <row r="46" spans="1:7" s="30" customFormat="1" ht="41.45">
      <c r="A46" s="66" t="s">
        <v>17</v>
      </c>
      <c r="B46" s="67" t="s">
        <v>915</v>
      </c>
      <c r="C46" s="68" t="s">
        <v>152</v>
      </c>
      <c r="D46" s="69" t="s">
        <v>63</v>
      </c>
      <c r="E46" s="157">
        <v>16666.18</v>
      </c>
      <c r="F46" s="137">
        <f>C46*E46</f>
        <v>33332.36</v>
      </c>
      <c r="G46" s="68"/>
    </row>
    <row r="47" spans="1:7" s="30" customFormat="1" ht="14.45">
      <c r="A47" s="59"/>
      <c r="B47" s="100"/>
      <c r="C47" s="61"/>
      <c r="D47" s="62"/>
      <c r="E47" s="157"/>
      <c r="F47" s="137"/>
      <c r="G47" s="61"/>
    </row>
    <row r="48" spans="1:7" s="30" customFormat="1" ht="27.6">
      <c r="A48" s="66" t="s">
        <v>20</v>
      </c>
      <c r="B48" s="67" t="s">
        <v>916</v>
      </c>
      <c r="C48" s="68" t="s">
        <v>152</v>
      </c>
      <c r="D48" s="69" t="s">
        <v>63</v>
      </c>
      <c r="E48" s="157">
        <v>16666.18</v>
      </c>
      <c r="F48" s="137">
        <f>C48*E48</f>
        <v>33332.36</v>
      </c>
      <c r="G48" s="68"/>
    </row>
    <row r="49" spans="1:7" s="30" customFormat="1" ht="14.45">
      <c r="A49" s="59"/>
      <c r="B49" s="100"/>
      <c r="C49" s="61"/>
      <c r="D49" s="62"/>
      <c r="E49" s="157"/>
      <c r="F49" s="137"/>
      <c r="G49" s="61"/>
    </row>
    <row r="50" spans="1:7" s="30" customFormat="1" ht="27.6">
      <c r="A50" s="66" t="s">
        <v>23</v>
      </c>
      <c r="B50" s="67" t="s">
        <v>917</v>
      </c>
      <c r="C50" s="68" t="s">
        <v>152</v>
      </c>
      <c r="D50" s="69" t="s">
        <v>63</v>
      </c>
      <c r="E50" s="157">
        <v>22221.58</v>
      </c>
      <c r="F50" s="137">
        <f>C50*E50</f>
        <v>44443.16</v>
      </c>
      <c r="G50" s="68"/>
    </row>
    <row r="51" spans="1:7" s="30" customFormat="1" ht="14.45">
      <c r="A51" s="59"/>
      <c r="B51" s="100"/>
      <c r="C51" s="61"/>
      <c r="D51" s="62"/>
      <c r="E51" s="157"/>
      <c r="F51" s="137"/>
      <c r="G51" s="61"/>
    </row>
    <row r="52" spans="1:7" s="30" customFormat="1" ht="41.45">
      <c r="A52" s="66" t="s">
        <v>27</v>
      </c>
      <c r="B52" s="67" t="s">
        <v>918</v>
      </c>
      <c r="C52" s="68" t="s">
        <v>152</v>
      </c>
      <c r="D52" s="69" t="s">
        <v>63</v>
      </c>
      <c r="E52" s="157">
        <v>22221.58</v>
      </c>
      <c r="F52" s="137">
        <f>C52*E52</f>
        <v>44443.16</v>
      </c>
      <c r="G52" s="68"/>
    </row>
    <row r="53" spans="1:7" s="30" customFormat="1" ht="14.45">
      <c r="A53" s="59"/>
      <c r="B53" s="100"/>
      <c r="C53" s="61"/>
      <c r="D53" s="62"/>
      <c r="E53" s="157"/>
      <c r="F53" s="137"/>
      <c r="G53" s="61"/>
    </row>
    <row r="54" spans="1:7" s="30" customFormat="1" ht="27.6">
      <c r="A54" s="66" t="s">
        <v>44</v>
      </c>
      <c r="B54" s="67" t="s">
        <v>919</v>
      </c>
      <c r="C54" s="68" t="s">
        <v>304</v>
      </c>
      <c r="D54" s="69" t="s">
        <v>63</v>
      </c>
      <c r="E54" s="157">
        <v>27776.97</v>
      </c>
      <c r="F54" s="137">
        <f>C54*E54</f>
        <v>27776.97</v>
      </c>
      <c r="G54" s="68"/>
    </row>
    <row r="55" spans="1:7" s="30" customFormat="1" ht="14.45">
      <c r="A55" s="59"/>
      <c r="B55" s="100"/>
      <c r="C55" s="61"/>
      <c r="D55" s="62"/>
      <c r="E55" s="157"/>
      <c r="F55" s="137"/>
      <c r="G55" s="61"/>
    </row>
    <row r="56" spans="1:7" s="30" customFormat="1" ht="27.6">
      <c r="A56" s="66"/>
      <c r="B56" s="99" t="s">
        <v>920</v>
      </c>
      <c r="C56" s="68" t="s">
        <v>152</v>
      </c>
      <c r="D56" s="69"/>
      <c r="E56" s="157">
        <v>27776.97</v>
      </c>
      <c r="F56" s="137">
        <f>C56*E56</f>
        <v>55553.94</v>
      </c>
      <c r="G56" s="68"/>
    </row>
    <row r="57" spans="1:7" s="30" customFormat="1" ht="14.45">
      <c r="A57" s="59"/>
      <c r="B57" s="100"/>
      <c r="C57" s="61"/>
      <c r="D57" s="62"/>
      <c r="E57" s="157"/>
      <c r="F57" s="137"/>
      <c r="G57" s="61"/>
    </row>
    <row r="58" spans="1:7" s="30" customFormat="1" ht="27.6">
      <c r="A58" s="66" t="s">
        <v>48</v>
      </c>
      <c r="B58" s="67" t="s">
        <v>921</v>
      </c>
      <c r="C58" s="68" t="s">
        <v>152</v>
      </c>
      <c r="D58" s="69" t="s">
        <v>63</v>
      </c>
      <c r="E58" s="157">
        <v>27776.97</v>
      </c>
      <c r="F58" s="137">
        <f>C58*E58</f>
        <v>55553.94</v>
      </c>
      <c r="G58" s="68"/>
    </row>
    <row r="59" spans="1:7" s="30" customFormat="1" ht="14.45">
      <c r="A59" s="59"/>
      <c r="B59" s="100"/>
      <c r="C59" s="61"/>
      <c r="D59" s="62"/>
      <c r="E59" s="157"/>
      <c r="F59" s="137"/>
      <c r="G59" s="61"/>
    </row>
    <row r="60" spans="1:7" s="30" customFormat="1" ht="27.6">
      <c r="A60" s="66" t="s">
        <v>84</v>
      </c>
      <c r="B60" s="67" t="s">
        <v>922</v>
      </c>
      <c r="C60" s="68" t="s">
        <v>152</v>
      </c>
      <c r="D60" s="69" t="s">
        <v>63</v>
      </c>
      <c r="E60" s="157">
        <v>33332.370000000003</v>
      </c>
      <c r="F60" s="137">
        <f>C60*E60</f>
        <v>66664.740000000005</v>
      </c>
      <c r="G60" s="68"/>
    </row>
    <row r="61" spans="1:7" s="30" customFormat="1" ht="14.45">
      <c r="A61" s="59"/>
      <c r="B61" s="100"/>
      <c r="C61" s="61"/>
      <c r="D61" s="62"/>
      <c r="E61" s="157"/>
      <c r="F61" s="137"/>
      <c r="G61" s="61"/>
    </row>
    <row r="62" spans="1:7" s="30" customFormat="1" ht="41.45">
      <c r="A62" s="66" t="s">
        <v>86</v>
      </c>
      <c r="B62" s="67" t="s">
        <v>923</v>
      </c>
      <c r="C62" s="68" t="s">
        <v>304</v>
      </c>
      <c r="D62" s="69" t="s">
        <v>63</v>
      </c>
      <c r="E62" s="157">
        <v>38887.760000000002</v>
      </c>
      <c r="F62" s="137">
        <f>C62*E62</f>
        <v>38887.760000000002</v>
      </c>
      <c r="G62" s="68"/>
    </row>
    <row r="63" spans="1:7" s="30" customFormat="1" ht="14.45">
      <c r="A63" s="59"/>
      <c r="B63" s="100"/>
      <c r="C63" s="61"/>
      <c r="D63" s="62"/>
      <c r="E63" s="157"/>
      <c r="F63" s="137"/>
      <c r="G63" s="61"/>
    </row>
    <row r="64" spans="1:7" s="30" customFormat="1" ht="41.45">
      <c r="A64" s="66" t="s">
        <v>90</v>
      </c>
      <c r="B64" s="67" t="s">
        <v>924</v>
      </c>
      <c r="C64" s="68" t="s">
        <v>304</v>
      </c>
      <c r="D64" s="69" t="s">
        <v>63</v>
      </c>
      <c r="E64" s="157">
        <v>38887.760000000002</v>
      </c>
      <c r="F64" s="137">
        <f>C64*E64</f>
        <v>38887.760000000002</v>
      </c>
      <c r="G64" s="68"/>
    </row>
    <row r="65" spans="1:7" s="30" customFormat="1" ht="14.45">
      <c r="A65" s="59"/>
      <c r="B65" s="100"/>
      <c r="C65" s="61"/>
      <c r="D65" s="62"/>
      <c r="E65" s="157"/>
      <c r="F65" s="137"/>
      <c r="G65" s="61"/>
    </row>
    <row r="66" spans="1:7" s="30" customFormat="1" ht="27.6">
      <c r="A66" s="66" t="s">
        <v>92</v>
      </c>
      <c r="B66" s="67" t="s">
        <v>925</v>
      </c>
      <c r="C66" s="68" t="s">
        <v>62</v>
      </c>
      <c r="D66" s="69" t="s">
        <v>63</v>
      </c>
      <c r="E66" s="157">
        <v>38887.760000000002</v>
      </c>
      <c r="F66" s="137">
        <f>C66*E66</f>
        <v>194438.80000000002</v>
      </c>
      <c r="G66" s="68"/>
    </row>
    <row r="67" spans="1:7" s="30" customFormat="1" ht="14.45">
      <c r="A67" s="59"/>
      <c r="B67" s="100"/>
      <c r="C67" s="61"/>
      <c r="D67" s="62"/>
      <c r="E67" s="157"/>
      <c r="F67" s="137"/>
      <c r="G67" s="61"/>
    </row>
    <row r="68" spans="1:7" s="30" customFormat="1" ht="27.6">
      <c r="A68" s="66" t="s">
        <v>94</v>
      </c>
      <c r="B68" s="67" t="s">
        <v>926</v>
      </c>
      <c r="C68" s="68" t="s">
        <v>152</v>
      </c>
      <c r="D68" s="69" t="s">
        <v>63</v>
      </c>
      <c r="E68" s="157">
        <v>44443.16</v>
      </c>
      <c r="F68" s="137">
        <f>C68*E68</f>
        <v>88886.32</v>
      </c>
      <c r="G68" s="68"/>
    </row>
    <row r="69" spans="1:7" s="30" customFormat="1" ht="14.45">
      <c r="A69" s="59"/>
      <c r="B69" s="100"/>
      <c r="C69" s="61"/>
      <c r="D69" s="62"/>
      <c r="E69" s="157"/>
      <c r="F69" s="137"/>
      <c r="G69" s="61"/>
    </row>
    <row r="70" spans="1:7" s="30" customFormat="1" ht="27.6">
      <c r="A70" s="66" t="s">
        <v>140</v>
      </c>
      <c r="B70" s="67" t="s">
        <v>927</v>
      </c>
      <c r="C70" s="68" t="s">
        <v>152</v>
      </c>
      <c r="D70" s="69" t="s">
        <v>63</v>
      </c>
      <c r="E70" s="157">
        <v>49998.55</v>
      </c>
      <c r="F70" s="137">
        <f>C70*E70</f>
        <v>99997.1</v>
      </c>
      <c r="G70" s="68"/>
    </row>
    <row r="71" spans="1:7" s="30" customFormat="1" ht="14.45">
      <c r="A71" s="66"/>
      <c r="B71" s="99"/>
      <c r="C71" s="68"/>
      <c r="D71" s="69"/>
      <c r="E71" s="157"/>
      <c r="F71" s="137"/>
      <c r="G71" s="68"/>
    </row>
    <row r="72" spans="1:7" s="30" customFormat="1" ht="14.45">
      <c r="A72" s="71"/>
      <c r="B72" s="72"/>
      <c r="C72" s="73"/>
      <c r="D72" s="74"/>
      <c r="E72" s="159"/>
      <c r="F72" s="138"/>
      <c r="G72" s="73"/>
    </row>
    <row r="73" spans="1:7" s="30" customFormat="1" ht="14.45">
      <c r="A73" s="75"/>
      <c r="B73" s="76"/>
      <c r="C73" s="77" t="s">
        <v>30</v>
      </c>
      <c r="D73" s="77"/>
      <c r="E73" s="160" t="s">
        <v>8</v>
      </c>
      <c r="F73" s="139">
        <f>SUM(F42:F71)</f>
        <v>877752.31999999995</v>
      </c>
      <c r="G73" s="77"/>
    </row>
    <row r="74" spans="1:7" s="30" customFormat="1" ht="14.45">
      <c r="A74" s="75"/>
      <c r="B74" s="76"/>
      <c r="C74" s="78"/>
      <c r="D74" s="79"/>
      <c r="E74" s="161"/>
      <c r="F74" s="140"/>
      <c r="G74" s="78"/>
    </row>
    <row r="75" spans="1:7" s="30" customFormat="1" ht="14.45">
      <c r="A75" s="59"/>
      <c r="B75" s="63"/>
      <c r="C75" s="61"/>
      <c r="D75" s="62"/>
      <c r="E75" s="157"/>
      <c r="F75" s="137"/>
      <c r="G75" s="61"/>
    </row>
    <row r="76" spans="1:7" s="30" customFormat="1" ht="14.45">
      <c r="A76" s="59"/>
      <c r="B76" s="64" t="s">
        <v>913</v>
      </c>
      <c r="C76" s="61"/>
      <c r="D76" s="62"/>
      <c r="E76" s="157"/>
      <c r="F76" s="137"/>
      <c r="G76" s="61"/>
    </row>
    <row r="77" spans="1:7" s="30" customFormat="1" ht="14.45">
      <c r="A77" s="59"/>
      <c r="B77" s="100"/>
      <c r="C77" s="61"/>
      <c r="D77" s="62"/>
      <c r="E77" s="157"/>
      <c r="F77" s="137"/>
      <c r="G77" s="61"/>
    </row>
    <row r="78" spans="1:7" s="30" customFormat="1" ht="27.6">
      <c r="A78" s="66" t="s">
        <v>14</v>
      </c>
      <c r="B78" s="67" t="s">
        <v>928</v>
      </c>
      <c r="C78" s="68" t="s">
        <v>62</v>
      </c>
      <c r="D78" s="69" t="s">
        <v>63</v>
      </c>
      <c r="E78" s="157">
        <v>49998.55</v>
      </c>
      <c r="F78" s="137">
        <f>C78*E78</f>
        <v>249992.75</v>
      </c>
      <c r="G78" s="68"/>
    </row>
    <row r="79" spans="1:7" s="30" customFormat="1" ht="14.45">
      <c r="A79" s="59"/>
      <c r="B79" s="100"/>
      <c r="C79" s="61"/>
      <c r="D79" s="62"/>
      <c r="E79" s="157"/>
      <c r="F79" s="137"/>
      <c r="G79" s="61"/>
    </row>
    <row r="80" spans="1:7" s="30" customFormat="1" ht="27.6">
      <c r="A80" s="66" t="s">
        <v>17</v>
      </c>
      <c r="B80" s="67" t="s">
        <v>929</v>
      </c>
      <c r="C80" s="68" t="s">
        <v>304</v>
      </c>
      <c r="D80" s="69" t="s">
        <v>63</v>
      </c>
      <c r="E80" s="157">
        <v>49998.55</v>
      </c>
      <c r="F80" s="137">
        <f>C80*E80</f>
        <v>49998.55</v>
      </c>
      <c r="G80" s="68"/>
    </row>
    <row r="81" spans="1:7" s="30" customFormat="1" ht="14.45">
      <c r="A81" s="59"/>
      <c r="B81" s="100"/>
      <c r="C81" s="61"/>
      <c r="D81" s="62"/>
      <c r="E81" s="157"/>
      <c r="F81" s="137"/>
      <c r="G81" s="61"/>
    </row>
    <row r="82" spans="1:7" s="30" customFormat="1" ht="27.6">
      <c r="A82" s="66" t="s">
        <v>20</v>
      </c>
      <c r="B82" s="67" t="s">
        <v>930</v>
      </c>
      <c r="C82" s="68" t="s">
        <v>152</v>
      </c>
      <c r="D82" s="69" t="s">
        <v>63</v>
      </c>
      <c r="E82" s="157">
        <v>49998.55</v>
      </c>
      <c r="F82" s="137">
        <f>C82*E82</f>
        <v>99997.1</v>
      </c>
      <c r="G82" s="68"/>
    </row>
    <row r="83" spans="1:7" s="30" customFormat="1" ht="14.45">
      <c r="A83" s="59"/>
      <c r="B83" s="100"/>
      <c r="C83" s="61"/>
      <c r="D83" s="62"/>
      <c r="E83" s="157"/>
      <c r="F83" s="137"/>
      <c r="G83" s="61"/>
    </row>
    <row r="84" spans="1:7" s="30" customFormat="1" ht="41.45">
      <c r="A84" s="66" t="s">
        <v>23</v>
      </c>
      <c r="B84" s="67" t="s">
        <v>931</v>
      </c>
      <c r="C84" s="68" t="s">
        <v>304</v>
      </c>
      <c r="D84" s="69" t="s">
        <v>63</v>
      </c>
      <c r="E84" s="157">
        <v>61109.34</v>
      </c>
      <c r="F84" s="137">
        <f>C84*E84</f>
        <v>61109.34</v>
      </c>
      <c r="G84" s="68"/>
    </row>
    <row r="85" spans="1:7" s="30" customFormat="1" ht="14.45">
      <c r="A85" s="59"/>
      <c r="B85" s="100"/>
      <c r="C85" s="61"/>
      <c r="D85" s="62"/>
      <c r="E85" s="157"/>
      <c r="F85" s="137"/>
      <c r="G85" s="61"/>
    </row>
    <row r="86" spans="1:7" s="30" customFormat="1" ht="55.15">
      <c r="A86" s="66"/>
      <c r="B86" s="98" t="s">
        <v>932</v>
      </c>
      <c r="C86" s="68"/>
      <c r="D86" s="69"/>
      <c r="E86" s="157"/>
      <c r="F86" s="137"/>
      <c r="G86" s="68"/>
    </row>
    <row r="87" spans="1:7" s="30" customFormat="1" ht="14.45">
      <c r="A87" s="59"/>
      <c r="B87" s="100"/>
      <c r="C87" s="61"/>
      <c r="D87" s="62"/>
      <c r="E87" s="157"/>
      <c r="F87" s="137"/>
      <c r="G87" s="61"/>
    </row>
    <row r="88" spans="1:7" s="30" customFormat="1" ht="41.45">
      <c r="A88" s="66" t="s">
        <v>27</v>
      </c>
      <c r="B88" s="67" t="s">
        <v>933</v>
      </c>
      <c r="C88" s="68" t="s">
        <v>152</v>
      </c>
      <c r="D88" s="69" t="s">
        <v>63</v>
      </c>
      <c r="E88" s="157">
        <v>11110.79</v>
      </c>
      <c r="F88" s="137">
        <f>C88*E88</f>
        <v>22221.58</v>
      </c>
      <c r="G88" s="68"/>
    </row>
    <row r="89" spans="1:7" s="30" customFormat="1" ht="14.45">
      <c r="A89" s="59"/>
      <c r="B89" s="100"/>
      <c r="C89" s="61"/>
      <c r="D89" s="62"/>
      <c r="E89" s="157"/>
      <c r="F89" s="137"/>
      <c r="G89" s="61"/>
    </row>
    <row r="90" spans="1:7" s="30" customFormat="1" ht="41.45">
      <c r="A90" s="66"/>
      <c r="B90" s="98" t="s">
        <v>934</v>
      </c>
      <c r="C90" s="68"/>
      <c r="D90" s="69"/>
      <c r="E90" s="157"/>
      <c r="F90" s="137"/>
      <c r="G90" s="68"/>
    </row>
    <row r="91" spans="1:7" s="30" customFormat="1" ht="14.45">
      <c r="A91" s="59"/>
      <c r="B91" s="100"/>
      <c r="C91" s="61"/>
      <c r="D91" s="62"/>
      <c r="E91" s="157"/>
      <c r="F91" s="137"/>
      <c r="G91" s="61"/>
    </row>
    <row r="92" spans="1:7" s="30" customFormat="1" ht="14.45">
      <c r="A92" s="66" t="s">
        <v>44</v>
      </c>
      <c r="B92" s="67" t="s">
        <v>935</v>
      </c>
      <c r="C92" s="68" t="s">
        <v>936</v>
      </c>
      <c r="D92" s="69" t="s">
        <v>63</v>
      </c>
      <c r="E92" s="157">
        <v>716.17</v>
      </c>
      <c r="F92" s="137">
        <f>C92*E92</f>
        <v>64455.299999999996</v>
      </c>
      <c r="G92" s="68"/>
    </row>
    <row r="93" spans="1:7" s="30" customFormat="1" ht="14.45">
      <c r="A93" s="59"/>
      <c r="B93" s="100"/>
      <c r="C93" s="61"/>
      <c r="D93" s="62"/>
      <c r="E93" s="157"/>
      <c r="F93" s="137"/>
      <c r="G93" s="61"/>
    </row>
    <row r="94" spans="1:7" s="30" customFormat="1" ht="55.15">
      <c r="A94" s="66"/>
      <c r="B94" s="98" t="s">
        <v>937</v>
      </c>
      <c r="C94" s="68"/>
      <c r="D94" s="69"/>
      <c r="E94" s="157"/>
      <c r="F94" s="137"/>
      <c r="G94" s="68"/>
    </row>
    <row r="95" spans="1:7" s="30" customFormat="1" ht="41.45">
      <c r="A95" s="66" t="s">
        <v>48</v>
      </c>
      <c r="B95" s="67" t="s">
        <v>938</v>
      </c>
      <c r="C95" s="68" t="s">
        <v>304</v>
      </c>
      <c r="D95" s="69" t="s">
        <v>63</v>
      </c>
      <c r="E95" s="157">
        <v>12123.65</v>
      </c>
      <c r="F95" s="137">
        <f>C95*E95</f>
        <v>12123.65</v>
      </c>
      <c r="G95" s="68"/>
    </row>
    <row r="96" spans="1:7" s="30" customFormat="1" ht="14.45">
      <c r="A96" s="59"/>
      <c r="B96" s="100"/>
      <c r="C96" s="61"/>
      <c r="D96" s="62"/>
      <c r="E96" s="157"/>
      <c r="F96" s="137"/>
      <c r="G96" s="61"/>
    </row>
    <row r="97" spans="1:7" s="30" customFormat="1" ht="41.45">
      <c r="A97" s="66" t="s">
        <v>84</v>
      </c>
      <c r="B97" s="67" t="s">
        <v>939</v>
      </c>
      <c r="C97" s="68" t="s">
        <v>304</v>
      </c>
      <c r="D97" s="69" t="s">
        <v>63</v>
      </c>
      <c r="E97" s="157">
        <v>12123.65</v>
      </c>
      <c r="F97" s="137">
        <f>C97*E97</f>
        <v>12123.65</v>
      </c>
      <c r="G97" s="68"/>
    </row>
    <row r="98" spans="1:7" s="30" customFormat="1" ht="14.45">
      <c r="A98" s="59"/>
      <c r="B98" s="100"/>
      <c r="C98" s="61"/>
      <c r="D98" s="62"/>
      <c r="E98" s="157"/>
      <c r="F98" s="137"/>
      <c r="G98" s="61"/>
    </row>
    <row r="99" spans="1:7" s="30" customFormat="1" ht="41.45">
      <c r="A99" s="66" t="s">
        <v>86</v>
      </c>
      <c r="B99" s="67" t="s">
        <v>940</v>
      </c>
      <c r="C99" s="68" t="s">
        <v>304</v>
      </c>
      <c r="D99" s="69" t="s">
        <v>63</v>
      </c>
      <c r="E99" s="157">
        <v>16164.87</v>
      </c>
      <c r="F99" s="137">
        <f>C99*E99</f>
        <v>16164.87</v>
      </c>
      <c r="G99" s="68"/>
    </row>
    <row r="100" spans="1:7" s="30" customFormat="1" ht="14.45">
      <c r="A100" s="59"/>
      <c r="B100" s="100"/>
      <c r="C100" s="61"/>
      <c r="D100" s="62"/>
      <c r="E100" s="157"/>
      <c r="F100" s="137"/>
      <c r="G100" s="61"/>
    </row>
    <row r="101" spans="1:7" s="30" customFormat="1" ht="41.45">
      <c r="A101" s="66" t="s">
        <v>90</v>
      </c>
      <c r="B101" s="67" t="s">
        <v>941</v>
      </c>
      <c r="C101" s="68" t="s">
        <v>304</v>
      </c>
      <c r="D101" s="69" t="s">
        <v>63</v>
      </c>
      <c r="E101" s="157">
        <v>16164.87</v>
      </c>
      <c r="F101" s="137">
        <f>C101*E101</f>
        <v>16164.87</v>
      </c>
      <c r="G101" s="68"/>
    </row>
    <row r="102" spans="1:7" s="30" customFormat="1" ht="14.45">
      <c r="A102" s="59"/>
      <c r="B102" s="100"/>
      <c r="C102" s="61"/>
      <c r="D102" s="62"/>
      <c r="E102" s="157"/>
      <c r="F102" s="137"/>
      <c r="G102" s="61"/>
    </row>
    <row r="103" spans="1:7" s="30" customFormat="1" ht="14.45">
      <c r="A103" s="71"/>
      <c r="B103" s="72"/>
      <c r="C103" s="73"/>
      <c r="D103" s="74"/>
      <c r="E103" s="159"/>
      <c r="F103" s="138"/>
      <c r="G103" s="73"/>
    </row>
    <row r="104" spans="1:7" s="30" customFormat="1" ht="14.45">
      <c r="A104" s="75"/>
      <c r="B104" s="76"/>
      <c r="C104" s="77" t="s">
        <v>30</v>
      </c>
      <c r="D104" s="77"/>
      <c r="E104" s="160" t="s">
        <v>8</v>
      </c>
      <c r="F104" s="139">
        <f>SUM(F76:F102)</f>
        <v>604351.66</v>
      </c>
      <c r="G104" s="77"/>
    </row>
    <row r="105" spans="1:7" s="30" customFormat="1" ht="14.45">
      <c r="A105" s="75"/>
      <c r="B105" s="76"/>
      <c r="C105" s="78"/>
      <c r="D105" s="79"/>
      <c r="E105" s="161"/>
      <c r="F105" s="140"/>
      <c r="G105" s="78"/>
    </row>
    <row r="106" spans="1:7" s="30" customFormat="1" ht="14.45">
      <c r="A106" s="59"/>
      <c r="B106" s="63"/>
      <c r="C106" s="61"/>
      <c r="D106" s="62"/>
      <c r="E106" s="157"/>
      <c r="F106" s="137"/>
      <c r="G106" s="61"/>
    </row>
    <row r="107" spans="1:7" s="30" customFormat="1" ht="14.45">
      <c r="A107" s="59"/>
      <c r="B107" s="64" t="s">
        <v>942</v>
      </c>
      <c r="C107" s="61"/>
      <c r="D107" s="62"/>
      <c r="E107" s="157"/>
      <c r="F107" s="137"/>
      <c r="G107" s="61"/>
    </row>
    <row r="108" spans="1:7" s="30" customFormat="1" ht="14.45">
      <c r="A108" s="59"/>
      <c r="B108" s="100"/>
      <c r="C108" s="61"/>
      <c r="D108" s="62"/>
      <c r="E108" s="157"/>
      <c r="F108" s="137"/>
      <c r="G108" s="61"/>
    </row>
    <row r="109" spans="1:7" s="30" customFormat="1" ht="14.45">
      <c r="A109" s="66"/>
      <c r="B109" s="99" t="s">
        <v>11</v>
      </c>
      <c r="C109" s="68"/>
      <c r="D109" s="69"/>
      <c r="E109" s="157"/>
      <c r="F109" s="137"/>
      <c r="G109" s="68"/>
    </row>
    <row r="110" spans="1:7" s="30" customFormat="1" ht="14.45">
      <c r="A110" s="59"/>
      <c r="B110" s="100"/>
      <c r="C110" s="61"/>
      <c r="D110" s="62"/>
      <c r="E110" s="157"/>
      <c r="F110" s="137"/>
      <c r="G110" s="61"/>
    </row>
    <row r="111" spans="1:7" s="30" customFormat="1" ht="27.6">
      <c r="A111" s="66"/>
      <c r="B111" s="99" t="s">
        <v>943</v>
      </c>
      <c r="C111" s="68"/>
      <c r="D111" s="69"/>
      <c r="E111" s="157"/>
      <c r="F111" s="137"/>
      <c r="G111" s="68"/>
    </row>
    <row r="112" spans="1:7" s="30" customFormat="1" ht="14.45">
      <c r="A112" s="59"/>
      <c r="B112" s="100"/>
      <c r="C112" s="61"/>
      <c r="D112" s="62"/>
      <c r="E112" s="157"/>
      <c r="F112" s="137"/>
      <c r="G112" s="61"/>
    </row>
    <row r="113" spans="1:7" s="30" customFormat="1" ht="69">
      <c r="A113" s="66"/>
      <c r="B113" s="98" t="s">
        <v>944</v>
      </c>
      <c r="C113" s="68"/>
      <c r="D113" s="69"/>
      <c r="E113" s="157"/>
      <c r="F113" s="137"/>
      <c r="G113" s="68"/>
    </row>
    <row r="114" spans="1:7" s="30" customFormat="1" ht="14.45">
      <c r="A114" s="59"/>
      <c r="B114" s="100"/>
      <c r="C114" s="61"/>
      <c r="D114" s="62"/>
      <c r="E114" s="157"/>
      <c r="F114" s="137"/>
      <c r="G114" s="61"/>
    </row>
    <row r="115" spans="1:7" s="30" customFormat="1" ht="14.45">
      <c r="A115" s="66" t="s">
        <v>14</v>
      </c>
      <c r="B115" s="81" t="s">
        <v>945</v>
      </c>
      <c r="C115" s="68" t="s">
        <v>946</v>
      </c>
      <c r="D115" s="69" t="s">
        <v>63</v>
      </c>
      <c r="E115" s="157">
        <v>529.38</v>
      </c>
      <c r="F115" s="137">
        <f>C115*E115</f>
        <v>131815.62</v>
      </c>
      <c r="G115" s="68"/>
    </row>
    <row r="116" spans="1:7" s="30" customFormat="1" ht="14.45">
      <c r="A116" s="59"/>
      <c r="B116" s="100"/>
      <c r="C116" s="61"/>
      <c r="D116" s="62"/>
      <c r="E116" s="157"/>
      <c r="F116" s="137"/>
      <c r="G116" s="61"/>
    </row>
    <row r="117" spans="1:7" s="30" customFormat="1" ht="14.45">
      <c r="A117" s="66" t="s">
        <v>17</v>
      </c>
      <c r="B117" s="67" t="s">
        <v>947</v>
      </c>
      <c r="C117" s="68" t="s">
        <v>948</v>
      </c>
      <c r="D117" s="69" t="s">
        <v>63</v>
      </c>
      <c r="E117" s="157">
        <v>1465.09</v>
      </c>
      <c r="F117" s="137">
        <f>C117*E117</f>
        <v>397039.38999999996</v>
      </c>
      <c r="G117" s="68"/>
    </row>
    <row r="118" spans="1:7" s="30" customFormat="1" ht="14.45">
      <c r="A118" s="59"/>
      <c r="B118" s="100"/>
      <c r="C118" s="61"/>
      <c r="D118" s="62"/>
      <c r="E118" s="157"/>
      <c r="F118" s="137"/>
      <c r="G118" s="61"/>
    </row>
    <row r="119" spans="1:7" s="30" customFormat="1" ht="27.6">
      <c r="A119" s="66" t="s">
        <v>20</v>
      </c>
      <c r="B119" s="67" t="s">
        <v>949</v>
      </c>
      <c r="C119" s="68" t="s">
        <v>325</v>
      </c>
      <c r="D119" s="69" t="s">
        <v>63</v>
      </c>
      <c r="E119" s="157">
        <v>1617.62</v>
      </c>
      <c r="F119" s="137">
        <f>C119*E119</f>
        <v>11323.34</v>
      </c>
      <c r="G119" s="68"/>
    </row>
    <row r="120" spans="1:7" s="30" customFormat="1" ht="14.45">
      <c r="A120" s="59"/>
      <c r="B120" s="100"/>
      <c r="C120" s="61"/>
      <c r="D120" s="62"/>
      <c r="E120" s="157"/>
      <c r="F120" s="137"/>
      <c r="G120" s="61"/>
    </row>
    <row r="121" spans="1:7" s="30" customFormat="1" ht="27.6">
      <c r="A121" s="66" t="s">
        <v>23</v>
      </c>
      <c r="B121" s="67" t="s">
        <v>950</v>
      </c>
      <c r="C121" s="68"/>
      <c r="D121" s="69" t="s">
        <v>2</v>
      </c>
      <c r="E121" s="157">
        <v>5811.21</v>
      </c>
      <c r="F121" s="137">
        <f>+E121</f>
        <v>5811.21</v>
      </c>
      <c r="G121" s="68"/>
    </row>
    <row r="122" spans="1:7" s="30" customFormat="1" ht="14.45">
      <c r="A122" s="59"/>
      <c r="B122" s="100"/>
      <c r="C122" s="61"/>
      <c r="D122" s="62"/>
      <c r="E122" s="157"/>
      <c r="F122" s="137"/>
      <c r="G122" s="61"/>
    </row>
    <row r="123" spans="1:7" s="30" customFormat="1" ht="27.6">
      <c r="A123" s="66" t="s">
        <v>27</v>
      </c>
      <c r="B123" s="67" t="s">
        <v>951</v>
      </c>
      <c r="C123" s="68"/>
      <c r="D123" s="69" t="s">
        <v>63</v>
      </c>
      <c r="E123" s="157">
        <v>1452.8</v>
      </c>
      <c r="F123" s="137" t="s">
        <v>71</v>
      </c>
      <c r="G123" s="68"/>
    </row>
    <row r="124" spans="1:7" s="30" customFormat="1" ht="14.45">
      <c r="A124" s="59"/>
      <c r="B124" s="100"/>
      <c r="C124" s="61"/>
      <c r="D124" s="62"/>
      <c r="E124" s="157"/>
      <c r="F124" s="137"/>
      <c r="G124" s="61"/>
    </row>
    <row r="125" spans="1:7" s="30" customFormat="1" ht="14.45">
      <c r="A125" s="66" t="s">
        <v>44</v>
      </c>
      <c r="B125" s="67" t="s">
        <v>952</v>
      </c>
      <c r="C125" s="68" t="s">
        <v>325</v>
      </c>
      <c r="D125" s="69" t="s">
        <v>63</v>
      </c>
      <c r="E125" s="157">
        <v>7129.87</v>
      </c>
      <c r="F125" s="137">
        <f>C125*E125</f>
        <v>49909.09</v>
      </c>
      <c r="G125" s="68"/>
    </row>
    <row r="126" spans="1:7" s="30" customFormat="1" ht="14.45">
      <c r="A126" s="59"/>
      <c r="B126" s="100"/>
      <c r="C126" s="61"/>
      <c r="D126" s="62"/>
      <c r="E126" s="157"/>
      <c r="F126" s="137"/>
      <c r="G126" s="61"/>
    </row>
    <row r="127" spans="1:7" s="30" customFormat="1" ht="14.45">
      <c r="A127" s="66" t="s">
        <v>48</v>
      </c>
      <c r="B127" s="67" t="s">
        <v>953</v>
      </c>
      <c r="C127" s="68"/>
      <c r="D127" s="69" t="s">
        <v>2</v>
      </c>
      <c r="E127" s="157">
        <v>44874.19</v>
      </c>
      <c r="F127" s="137">
        <f>+E127</f>
        <v>44874.19</v>
      </c>
      <c r="G127" s="68"/>
    </row>
    <row r="128" spans="1:7" s="30" customFormat="1" ht="14.45">
      <c r="A128" s="59"/>
      <c r="B128" s="100"/>
      <c r="C128" s="61"/>
      <c r="D128" s="62"/>
      <c r="E128" s="157"/>
      <c r="F128" s="137"/>
      <c r="G128" s="61"/>
    </row>
    <row r="129" spans="1:7" s="30" customFormat="1" ht="14.45">
      <c r="A129" s="66" t="s">
        <v>84</v>
      </c>
      <c r="B129" s="67" t="s">
        <v>953</v>
      </c>
      <c r="C129" s="68"/>
      <c r="D129" s="69" t="s">
        <v>63</v>
      </c>
      <c r="E129" s="157">
        <v>165.59</v>
      </c>
      <c r="F129" s="137" t="s">
        <v>71</v>
      </c>
      <c r="G129" s="68"/>
    </row>
    <row r="130" spans="1:7" s="30" customFormat="1" ht="14.45">
      <c r="A130" s="59"/>
      <c r="B130" s="100"/>
      <c r="C130" s="61"/>
      <c r="D130" s="62"/>
      <c r="E130" s="157"/>
      <c r="F130" s="137"/>
      <c r="G130" s="61"/>
    </row>
    <row r="131" spans="1:7" s="30" customFormat="1" ht="14.45">
      <c r="A131" s="66" t="s">
        <v>86</v>
      </c>
      <c r="B131" s="67" t="s">
        <v>954</v>
      </c>
      <c r="C131" s="68" t="s">
        <v>955</v>
      </c>
      <c r="D131" s="69" t="s">
        <v>63</v>
      </c>
      <c r="E131" s="157">
        <v>232.18</v>
      </c>
      <c r="F131" s="137">
        <f>C131*E131</f>
        <v>113303.84</v>
      </c>
      <c r="G131" s="68"/>
    </row>
    <row r="132" spans="1:7" s="30" customFormat="1" ht="14.45">
      <c r="A132" s="59"/>
      <c r="B132" s="100"/>
      <c r="C132" s="61"/>
      <c r="D132" s="62"/>
      <c r="E132" s="157"/>
      <c r="F132" s="137"/>
      <c r="G132" s="61"/>
    </row>
    <row r="133" spans="1:7" s="30" customFormat="1" ht="14.45">
      <c r="A133" s="66" t="s">
        <v>90</v>
      </c>
      <c r="B133" s="67" t="s">
        <v>956</v>
      </c>
      <c r="C133" s="68" t="s">
        <v>789</v>
      </c>
      <c r="D133" s="69" t="s">
        <v>63</v>
      </c>
      <c r="E133" s="157">
        <v>114.73</v>
      </c>
      <c r="F133" s="137">
        <f>C133*E133</f>
        <v>6769.0700000000006</v>
      </c>
      <c r="G133" s="68"/>
    </row>
    <row r="134" spans="1:7" s="30" customFormat="1" ht="14.45">
      <c r="A134" s="59"/>
      <c r="B134" s="100"/>
      <c r="C134" s="61"/>
      <c r="D134" s="62"/>
      <c r="E134" s="157"/>
      <c r="F134" s="137"/>
      <c r="G134" s="61"/>
    </row>
    <row r="135" spans="1:7" s="30" customFormat="1" ht="14.45">
      <c r="A135" s="66" t="s">
        <v>92</v>
      </c>
      <c r="B135" s="67" t="s">
        <v>957</v>
      </c>
      <c r="C135" s="68"/>
      <c r="D135" s="69" t="s">
        <v>2</v>
      </c>
      <c r="E135" s="157">
        <v>16223.77</v>
      </c>
      <c r="F135" s="137">
        <f>+E135</f>
        <v>16223.77</v>
      </c>
      <c r="G135" s="68"/>
    </row>
    <row r="136" spans="1:7" s="30" customFormat="1" ht="14.45">
      <c r="A136" s="59"/>
      <c r="B136" s="100"/>
      <c r="C136" s="61"/>
      <c r="D136" s="62"/>
      <c r="E136" s="157"/>
      <c r="F136" s="137"/>
      <c r="G136" s="61"/>
    </row>
    <row r="137" spans="1:7" s="30" customFormat="1" ht="14.45">
      <c r="A137" s="66" t="s">
        <v>94</v>
      </c>
      <c r="B137" s="67" t="s">
        <v>957</v>
      </c>
      <c r="C137" s="68"/>
      <c r="D137" s="69" t="s">
        <v>63</v>
      </c>
      <c r="E137" s="157">
        <v>289.70999999999998</v>
      </c>
      <c r="F137" s="137" t="s">
        <v>71</v>
      </c>
      <c r="G137" s="68"/>
    </row>
    <row r="138" spans="1:7" s="30" customFormat="1" ht="14.45">
      <c r="A138" s="59"/>
      <c r="B138" s="100"/>
      <c r="C138" s="61"/>
      <c r="D138" s="62"/>
      <c r="E138" s="157"/>
      <c r="F138" s="137"/>
      <c r="G138" s="61"/>
    </row>
    <row r="139" spans="1:7" s="30" customFormat="1" ht="14.45">
      <c r="A139" s="66" t="s">
        <v>140</v>
      </c>
      <c r="B139" s="67" t="s">
        <v>958</v>
      </c>
      <c r="C139" s="68" t="s">
        <v>716</v>
      </c>
      <c r="D139" s="69" t="s">
        <v>63</v>
      </c>
      <c r="E139" s="157">
        <v>242.83</v>
      </c>
      <c r="F139" s="137">
        <f>C139*E139</f>
        <v>5827.92</v>
      </c>
      <c r="G139" s="68"/>
    </row>
    <row r="140" spans="1:7" s="30" customFormat="1" ht="14.45">
      <c r="A140" s="59"/>
      <c r="B140" s="100"/>
      <c r="C140" s="61"/>
      <c r="D140" s="62"/>
      <c r="E140" s="157"/>
      <c r="F140" s="137"/>
      <c r="G140" s="61"/>
    </row>
    <row r="141" spans="1:7" s="30" customFormat="1" ht="14.45">
      <c r="A141" s="66" t="s">
        <v>159</v>
      </c>
      <c r="B141" s="67" t="s">
        <v>959</v>
      </c>
      <c r="C141" s="68" t="s">
        <v>716</v>
      </c>
      <c r="D141" s="69" t="s">
        <v>63</v>
      </c>
      <c r="E141" s="157">
        <v>690.08</v>
      </c>
      <c r="F141" s="137">
        <f>C141*E141</f>
        <v>16561.920000000002</v>
      </c>
      <c r="G141" s="68"/>
    </row>
    <row r="142" spans="1:7" s="30" customFormat="1" ht="14.45">
      <c r="A142" s="59"/>
      <c r="B142" s="100"/>
      <c r="C142" s="61"/>
      <c r="D142" s="62"/>
      <c r="E142" s="157"/>
      <c r="F142" s="137"/>
      <c r="G142" s="61"/>
    </row>
    <row r="143" spans="1:7" s="30" customFormat="1" ht="14.45">
      <c r="A143" s="66" t="s">
        <v>162</v>
      </c>
      <c r="B143" s="67" t="s">
        <v>960</v>
      </c>
      <c r="C143" s="68" t="s">
        <v>961</v>
      </c>
      <c r="D143" s="69" t="s">
        <v>63</v>
      </c>
      <c r="E143" s="157">
        <v>960.13</v>
      </c>
      <c r="F143" s="137">
        <f>C143*E143</f>
        <v>41285.589999999997</v>
      </c>
      <c r="G143" s="68"/>
    </row>
    <row r="144" spans="1:7" s="30" customFormat="1" ht="14.45">
      <c r="A144" s="59"/>
      <c r="B144" s="100"/>
      <c r="C144" s="61"/>
      <c r="D144" s="62"/>
      <c r="E144" s="157"/>
      <c r="F144" s="137"/>
      <c r="G144" s="61"/>
    </row>
    <row r="145" spans="1:7" s="30" customFormat="1" ht="14.45">
      <c r="A145" s="71"/>
      <c r="B145" s="72"/>
      <c r="C145" s="73"/>
      <c r="D145" s="74"/>
      <c r="E145" s="159"/>
      <c r="F145" s="138"/>
      <c r="G145" s="73"/>
    </row>
    <row r="146" spans="1:7" s="30" customFormat="1" ht="14.45">
      <c r="A146" s="75"/>
      <c r="B146" s="76"/>
      <c r="C146" s="77" t="s">
        <v>30</v>
      </c>
      <c r="D146" s="77"/>
      <c r="E146" s="160" t="s">
        <v>8</v>
      </c>
      <c r="F146" s="139">
        <f>SUM(F115:F143)</f>
        <v>840744.94999999984</v>
      </c>
      <c r="G146" s="77"/>
    </row>
    <row r="147" spans="1:7" s="30" customFormat="1" ht="14.45">
      <c r="A147" s="75"/>
      <c r="B147" s="76"/>
      <c r="C147" s="78"/>
      <c r="D147" s="79"/>
      <c r="E147" s="161"/>
      <c r="F147" s="140"/>
      <c r="G147" s="78"/>
    </row>
    <row r="148" spans="1:7" s="30" customFormat="1" ht="14.45">
      <c r="A148" s="59"/>
      <c r="B148" s="63"/>
      <c r="C148" s="61"/>
      <c r="D148" s="62"/>
      <c r="E148" s="157"/>
      <c r="F148" s="137"/>
      <c r="G148" s="61"/>
    </row>
    <row r="149" spans="1:7" s="30" customFormat="1" ht="14.45">
      <c r="A149" s="59"/>
      <c r="B149" s="64" t="s">
        <v>962</v>
      </c>
      <c r="C149" s="61"/>
      <c r="D149" s="62"/>
      <c r="E149" s="157"/>
      <c r="F149" s="137"/>
      <c r="G149" s="61"/>
    </row>
    <row r="150" spans="1:7" s="30" customFormat="1" ht="14.45">
      <c r="A150" s="59"/>
      <c r="B150" s="100"/>
      <c r="C150" s="61"/>
      <c r="D150" s="62"/>
      <c r="E150" s="157"/>
      <c r="F150" s="137"/>
      <c r="G150" s="61"/>
    </row>
    <row r="151" spans="1:7" s="30" customFormat="1" ht="27.6">
      <c r="A151" s="66" t="s">
        <v>14</v>
      </c>
      <c r="B151" s="67" t="s">
        <v>963</v>
      </c>
      <c r="C151" s="68" t="s">
        <v>281</v>
      </c>
      <c r="D151" s="69" t="s">
        <v>63</v>
      </c>
      <c r="E151" s="157">
        <v>1880.34</v>
      </c>
      <c r="F151" s="137">
        <f>C151*E151</f>
        <v>105299.04</v>
      </c>
      <c r="G151" s="68"/>
    </row>
    <row r="152" spans="1:7" s="30" customFormat="1" ht="14.45">
      <c r="A152" s="59"/>
      <c r="B152" s="100"/>
      <c r="C152" s="61"/>
      <c r="D152" s="62"/>
      <c r="E152" s="157"/>
      <c r="F152" s="137"/>
      <c r="G152" s="61"/>
    </row>
    <row r="153" spans="1:7" s="30" customFormat="1" ht="14.45">
      <c r="A153" s="66" t="s">
        <v>17</v>
      </c>
      <c r="B153" s="67" t="s">
        <v>964</v>
      </c>
      <c r="C153" s="68" t="s">
        <v>487</v>
      </c>
      <c r="D153" s="69" t="s">
        <v>63</v>
      </c>
      <c r="E153" s="157">
        <v>130.58000000000001</v>
      </c>
      <c r="F153" s="137">
        <f>C153*E153</f>
        <v>3656.2400000000002</v>
      </c>
      <c r="G153" s="68"/>
    </row>
    <row r="154" spans="1:7" s="30" customFormat="1" ht="14.45">
      <c r="A154" s="59"/>
      <c r="B154" s="100"/>
      <c r="C154" s="61"/>
      <c r="D154" s="62"/>
      <c r="E154" s="157"/>
      <c r="F154" s="137"/>
      <c r="G154" s="61"/>
    </row>
    <row r="155" spans="1:7" s="30" customFormat="1" ht="27.6">
      <c r="A155" s="66" t="s">
        <v>20</v>
      </c>
      <c r="B155" s="67" t="s">
        <v>965</v>
      </c>
      <c r="C155" s="68" t="s">
        <v>966</v>
      </c>
      <c r="D155" s="69" t="s">
        <v>63</v>
      </c>
      <c r="E155" s="157">
        <v>2089.2600000000002</v>
      </c>
      <c r="F155" s="137">
        <f>C155*E155</f>
        <v>369799.02</v>
      </c>
      <c r="G155" s="68"/>
    </row>
    <row r="156" spans="1:7" s="30" customFormat="1" ht="14.45">
      <c r="A156" s="59"/>
      <c r="B156" s="100"/>
      <c r="C156" s="61"/>
      <c r="D156" s="62"/>
      <c r="E156" s="157"/>
      <c r="F156" s="137"/>
      <c r="G156" s="61"/>
    </row>
    <row r="157" spans="1:7" s="30" customFormat="1" ht="14.45">
      <c r="A157" s="66" t="s">
        <v>23</v>
      </c>
      <c r="B157" s="67" t="s">
        <v>967</v>
      </c>
      <c r="C157" s="68" t="s">
        <v>152</v>
      </c>
      <c r="D157" s="69" t="s">
        <v>63</v>
      </c>
      <c r="E157" s="157">
        <v>438.75</v>
      </c>
      <c r="F157" s="137">
        <f>C157*E157</f>
        <v>877.5</v>
      </c>
      <c r="G157" s="68"/>
    </row>
    <row r="158" spans="1:7" s="30" customFormat="1" ht="14.45">
      <c r="A158" s="59"/>
      <c r="B158" s="100"/>
      <c r="C158" s="61"/>
      <c r="D158" s="62"/>
      <c r="E158" s="157"/>
      <c r="F158" s="137"/>
      <c r="G158" s="61"/>
    </row>
    <row r="159" spans="1:7" s="30" customFormat="1" ht="14.45">
      <c r="A159" s="66" t="s">
        <v>27</v>
      </c>
      <c r="B159" s="67" t="s">
        <v>968</v>
      </c>
      <c r="C159" s="68" t="s">
        <v>152</v>
      </c>
      <c r="D159" s="69" t="s">
        <v>63</v>
      </c>
      <c r="E159" s="157">
        <v>438.75</v>
      </c>
      <c r="F159" s="137">
        <f>C159*E159</f>
        <v>877.5</v>
      </c>
      <c r="G159" s="68"/>
    </row>
    <row r="160" spans="1:7" s="30" customFormat="1" ht="14.45">
      <c r="A160" s="59"/>
      <c r="B160" s="100"/>
      <c r="C160" s="61"/>
      <c r="D160" s="62"/>
      <c r="E160" s="157"/>
      <c r="F160" s="137"/>
      <c r="G160" s="61"/>
    </row>
    <row r="161" spans="1:7" s="30" customFormat="1" ht="27.6">
      <c r="A161" s="66"/>
      <c r="B161" s="98" t="s">
        <v>969</v>
      </c>
      <c r="C161" s="68"/>
      <c r="D161" s="69"/>
      <c r="E161" s="157"/>
      <c r="F161" s="137"/>
      <c r="G161" s="68"/>
    </row>
    <row r="162" spans="1:7" s="30" customFormat="1" ht="14.45">
      <c r="A162" s="59"/>
      <c r="B162" s="100"/>
      <c r="C162" s="61"/>
      <c r="D162" s="62"/>
      <c r="E162" s="157"/>
      <c r="F162" s="137"/>
      <c r="G162" s="61"/>
    </row>
    <row r="163" spans="1:7" s="30" customFormat="1" ht="14.45">
      <c r="A163" s="66" t="s">
        <v>44</v>
      </c>
      <c r="B163" s="67" t="s">
        <v>970</v>
      </c>
      <c r="C163" s="68" t="s">
        <v>971</v>
      </c>
      <c r="D163" s="69" t="s">
        <v>199</v>
      </c>
      <c r="E163" s="157">
        <v>226.16</v>
      </c>
      <c r="F163" s="137">
        <f>C163*E163</f>
        <v>59480.08</v>
      </c>
      <c r="G163" s="68"/>
    </row>
    <row r="164" spans="1:7" s="30" customFormat="1" ht="14.45">
      <c r="A164" s="59"/>
      <c r="B164" s="100"/>
      <c r="C164" s="61"/>
      <c r="D164" s="62"/>
      <c r="E164" s="157"/>
      <c r="F164" s="137"/>
      <c r="G164" s="61"/>
    </row>
    <row r="165" spans="1:7" s="30" customFormat="1" ht="14.45">
      <c r="A165" s="66" t="s">
        <v>48</v>
      </c>
      <c r="B165" s="67" t="s">
        <v>972</v>
      </c>
      <c r="C165" s="68" t="s">
        <v>712</v>
      </c>
      <c r="D165" s="69" t="s">
        <v>199</v>
      </c>
      <c r="E165" s="157">
        <v>226.16</v>
      </c>
      <c r="F165" s="137">
        <f>E165*C165</f>
        <v>7010.96</v>
      </c>
      <c r="G165" s="68"/>
    </row>
    <row r="166" spans="1:7" s="30" customFormat="1" ht="14.45">
      <c r="A166" s="59"/>
      <c r="B166" s="100"/>
      <c r="C166" s="61"/>
      <c r="D166" s="62"/>
      <c r="E166" s="157"/>
      <c r="F166" s="137"/>
      <c r="G166" s="61"/>
    </row>
    <row r="167" spans="1:7" s="30" customFormat="1" ht="27.6">
      <c r="A167" s="66"/>
      <c r="B167" s="98" t="s">
        <v>973</v>
      </c>
      <c r="C167" s="68"/>
      <c r="D167" s="69"/>
      <c r="E167" s="157"/>
      <c r="F167" s="137"/>
      <c r="G167" s="68"/>
    </row>
    <row r="168" spans="1:7" s="30" customFormat="1" ht="14.45">
      <c r="A168" s="59"/>
      <c r="B168" s="100"/>
      <c r="C168" s="61"/>
      <c r="D168" s="62"/>
      <c r="E168" s="157"/>
      <c r="F168" s="137"/>
      <c r="G168" s="61"/>
    </row>
    <row r="169" spans="1:7" s="30" customFormat="1" ht="14.45">
      <c r="A169" s="66" t="s">
        <v>84</v>
      </c>
      <c r="B169" s="67" t="s">
        <v>974</v>
      </c>
      <c r="C169" s="68" t="s">
        <v>975</v>
      </c>
      <c r="D169" s="69" t="s">
        <v>63</v>
      </c>
      <c r="E169" s="157">
        <v>253.82</v>
      </c>
      <c r="F169" s="137">
        <f>C169*E169</f>
        <v>7360.78</v>
      </c>
      <c r="G169" s="68"/>
    </row>
    <row r="170" spans="1:7" s="30" customFormat="1" ht="14.45">
      <c r="A170" s="59"/>
      <c r="B170" s="100"/>
      <c r="C170" s="61"/>
      <c r="D170" s="62"/>
      <c r="E170" s="157"/>
      <c r="F170" s="137"/>
      <c r="G170" s="61"/>
    </row>
    <row r="171" spans="1:7" s="30" customFormat="1" ht="27.6" customHeight="1">
      <c r="A171" s="66" t="s">
        <v>86</v>
      </c>
      <c r="B171" s="67" t="s">
        <v>976</v>
      </c>
      <c r="C171" s="68" t="s">
        <v>977</v>
      </c>
      <c r="D171" s="69" t="s">
        <v>16</v>
      </c>
      <c r="E171" s="157">
        <v>224.16</v>
      </c>
      <c r="F171" s="137">
        <f>C171*E171</f>
        <v>7173.12</v>
      </c>
      <c r="G171" s="243" t="s">
        <v>344</v>
      </c>
    </row>
    <row r="172" spans="1:7" s="30" customFormat="1" ht="14.45">
      <c r="A172" s="59"/>
      <c r="B172" s="63"/>
      <c r="C172" s="61"/>
      <c r="D172" s="62"/>
      <c r="E172" s="157"/>
      <c r="F172" s="137"/>
      <c r="G172" s="61"/>
    </row>
    <row r="173" spans="1:7" s="30" customFormat="1" ht="14.45">
      <c r="A173" s="59"/>
      <c r="B173" s="63"/>
      <c r="C173" s="61"/>
      <c r="D173" s="62"/>
      <c r="E173" s="157"/>
      <c r="F173" s="137"/>
      <c r="G173" s="61"/>
    </row>
    <row r="174" spans="1:7" s="30" customFormat="1" ht="14.45">
      <c r="A174" s="59"/>
      <c r="B174" s="63"/>
      <c r="C174" s="61"/>
      <c r="D174" s="62"/>
      <c r="E174" s="157"/>
      <c r="F174" s="137"/>
      <c r="G174" s="61"/>
    </row>
    <row r="175" spans="1:7" s="30" customFormat="1" ht="14.45">
      <c r="A175" s="59"/>
      <c r="B175" s="63"/>
      <c r="C175" s="61"/>
      <c r="D175" s="62"/>
      <c r="E175" s="157"/>
      <c r="F175" s="137"/>
      <c r="G175" s="61"/>
    </row>
    <row r="176" spans="1:7" s="30" customFormat="1" ht="14.45">
      <c r="A176" s="59"/>
      <c r="B176" s="63"/>
      <c r="C176" s="61"/>
      <c r="D176" s="62"/>
      <c r="E176" s="157"/>
      <c r="F176" s="137"/>
      <c r="G176" s="61"/>
    </row>
    <row r="177" spans="1:7" s="30" customFormat="1" ht="14.45">
      <c r="A177" s="59"/>
      <c r="B177" s="63"/>
      <c r="C177" s="61"/>
      <c r="D177" s="62"/>
      <c r="E177" s="157"/>
      <c r="F177" s="137"/>
      <c r="G177" s="61"/>
    </row>
    <row r="178" spans="1:7" s="30" customFormat="1" ht="14.45">
      <c r="A178" s="59"/>
      <c r="B178" s="63"/>
      <c r="C178" s="61"/>
      <c r="D178" s="62"/>
      <c r="E178" s="157"/>
      <c r="F178" s="137"/>
      <c r="G178" s="61"/>
    </row>
    <row r="179" spans="1:7" s="30" customFormat="1" ht="14.45">
      <c r="A179" s="59"/>
      <c r="B179" s="63"/>
      <c r="C179" s="61"/>
      <c r="D179" s="62"/>
      <c r="E179" s="157"/>
      <c r="F179" s="137"/>
      <c r="G179" s="61"/>
    </row>
    <row r="180" spans="1:7" s="30" customFormat="1" ht="14.45">
      <c r="A180" s="59"/>
      <c r="B180" s="63"/>
      <c r="C180" s="61"/>
      <c r="D180" s="62"/>
      <c r="E180" s="157"/>
      <c r="F180" s="137"/>
      <c r="G180" s="61"/>
    </row>
    <row r="181" spans="1:7" s="30" customFormat="1" ht="14.45">
      <c r="A181" s="59"/>
      <c r="B181" s="63"/>
      <c r="C181" s="61"/>
      <c r="D181" s="62"/>
      <c r="E181" s="157"/>
      <c r="F181" s="137"/>
      <c r="G181" s="61"/>
    </row>
    <row r="182" spans="1:7" s="30" customFormat="1" ht="14.45">
      <c r="A182" s="59"/>
      <c r="B182" s="63"/>
      <c r="C182" s="61"/>
      <c r="D182" s="62"/>
      <c r="E182" s="157"/>
      <c r="F182" s="137"/>
      <c r="G182" s="61"/>
    </row>
    <row r="183" spans="1:7" s="30" customFormat="1" ht="14.45">
      <c r="A183" s="59"/>
      <c r="B183" s="63"/>
      <c r="C183" s="61"/>
      <c r="D183" s="62"/>
      <c r="E183" s="157"/>
      <c r="F183" s="137"/>
      <c r="G183" s="61"/>
    </row>
    <row r="184" spans="1:7" s="30" customFormat="1" ht="14.45">
      <c r="A184" s="59"/>
      <c r="B184" s="63"/>
      <c r="C184" s="61"/>
      <c r="D184" s="62"/>
      <c r="E184" s="157"/>
      <c r="F184" s="137"/>
      <c r="G184" s="61"/>
    </row>
    <row r="185" spans="1:7" s="30" customFormat="1" ht="14.45">
      <c r="A185" s="59"/>
      <c r="B185" s="63"/>
      <c r="C185" s="61"/>
      <c r="D185" s="62"/>
      <c r="E185" s="157"/>
      <c r="F185" s="137"/>
      <c r="G185" s="61"/>
    </row>
    <row r="186" spans="1:7" s="30" customFormat="1" ht="14.45">
      <c r="A186" s="59"/>
      <c r="B186" s="63"/>
      <c r="C186" s="61"/>
      <c r="D186" s="62"/>
      <c r="E186" s="157"/>
      <c r="F186" s="137"/>
      <c r="G186" s="61"/>
    </row>
    <row r="187" spans="1:7" s="30" customFormat="1" ht="14.45">
      <c r="A187" s="59"/>
      <c r="B187" s="63"/>
      <c r="C187" s="61"/>
      <c r="D187" s="62"/>
      <c r="E187" s="157"/>
      <c r="F187" s="137"/>
      <c r="G187" s="61"/>
    </row>
    <row r="188" spans="1:7" s="30" customFormat="1" ht="14.45">
      <c r="A188" s="59"/>
      <c r="B188" s="63"/>
      <c r="C188" s="61"/>
      <c r="D188" s="62"/>
      <c r="E188" s="157"/>
      <c r="F188" s="137"/>
      <c r="G188" s="61"/>
    </row>
    <row r="189" spans="1:7" s="30" customFormat="1" ht="14.45">
      <c r="A189" s="71"/>
      <c r="B189" s="72"/>
      <c r="C189" s="73"/>
      <c r="D189" s="74"/>
      <c r="E189" s="159"/>
      <c r="F189" s="138"/>
      <c r="G189" s="73"/>
    </row>
    <row r="190" spans="1:7" s="30" customFormat="1" ht="14.45">
      <c r="A190" s="75"/>
      <c r="B190" s="76"/>
      <c r="C190" s="77" t="s">
        <v>30</v>
      </c>
      <c r="D190" s="77"/>
      <c r="E190" s="160" t="s">
        <v>8</v>
      </c>
      <c r="F190" s="139">
        <f>SUM(F150:F177)</f>
        <v>561534.24</v>
      </c>
      <c r="G190" s="77"/>
    </row>
    <row r="191" spans="1:7" s="30" customFormat="1" ht="14.45">
      <c r="A191" s="75"/>
      <c r="B191" s="76"/>
      <c r="C191" s="78"/>
      <c r="D191" s="79"/>
      <c r="E191" s="161"/>
      <c r="F191" s="140"/>
      <c r="G191" s="78"/>
    </row>
    <row r="192" spans="1:7" s="30" customFormat="1" ht="14.45">
      <c r="A192" s="59"/>
      <c r="B192" s="63"/>
      <c r="C192" s="61"/>
      <c r="D192" s="62"/>
      <c r="E192" s="157"/>
      <c r="F192" s="137"/>
      <c r="G192" s="61"/>
    </row>
    <row r="193" spans="1:7" s="30" customFormat="1" ht="14.45">
      <c r="A193" s="59"/>
      <c r="B193" s="64" t="s">
        <v>978</v>
      </c>
      <c r="C193" s="61"/>
      <c r="D193" s="62"/>
      <c r="E193" s="157"/>
      <c r="F193" s="137"/>
      <c r="G193" s="61"/>
    </row>
    <row r="194" spans="1:7" s="30" customFormat="1" ht="14.45">
      <c r="A194" s="59"/>
      <c r="B194" s="103"/>
      <c r="C194" s="61"/>
      <c r="D194" s="62"/>
      <c r="E194" s="157"/>
      <c r="F194" s="137"/>
      <c r="G194" s="61"/>
    </row>
    <row r="195" spans="1:7" s="30" customFormat="1" ht="14.45">
      <c r="A195" s="66"/>
      <c r="B195" s="99" t="s">
        <v>979</v>
      </c>
      <c r="C195" s="68"/>
      <c r="D195" s="69"/>
      <c r="E195" s="157"/>
      <c r="F195" s="137"/>
      <c r="G195" s="68"/>
    </row>
    <row r="196" spans="1:7" s="30" customFormat="1" ht="14.45">
      <c r="A196" s="59"/>
      <c r="B196" s="100"/>
      <c r="C196" s="61"/>
      <c r="D196" s="62"/>
      <c r="E196" s="157"/>
      <c r="F196" s="137"/>
      <c r="G196" s="61"/>
    </row>
    <row r="197" spans="1:7" s="30" customFormat="1" ht="27.6">
      <c r="A197" s="66"/>
      <c r="B197" s="99" t="s">
        <v>980</v>
      </c>
      <c r="C197" s="68"/>
      <c r="D197" s="69"/>
      <c r="E197" s="157"/>
      <c r="F197" s="137"/>
      <c r="G197" s="68"/>
    </row>
    <row r="198" spans="1:7" s="30" customFormat="1" ht="14.45">
      <c r="A198" s="59"/>
      <c r="B198" s="100"/>
      <c r="C198" s="61"/>
      <c r="D198" s="62"/>
      <c r="E198" s="157"/>
      <c r="F198" s="137"/>
      <c r="G198" s="61"/>
    </row>
    <row r="199" spans="1:7" s="30" customFormat="1" ht="41.45">
      <c r="A199" s="66"/>
      <c r="B199" s="99" t="s">
        <v>981</v>
      </c>
      <c r="C199" s="68"/>
      <c r="D199" s="69"/>
      <c r="E199" s="157"/>
      <c r="F199" s="137"/>
      <c r="G199" s="68"/>
    </row>
    <row r="200" spans="1:7" s="30" customFormat="1" ht="14.45">
      <c r="A200" s="59"/>
      <c r="B200" s="100"/>
      <c r="C200" s="61"/>
      <c r="D200" s="62"/>
      <c r="E200" s="157"/>
      <c r="F200" s="137"/>
      <c r="G200" s="61"/>
    </row>
    <row r="201" spans="1:7" s="30" customFormat="1" ht="27.6">
      <c r="A201" s="66"/>
      <c r="B201" s="99" t="s">
        <v>982</v>
      </c>
      <c r="C201" s="68"/>
      <c r="D201" s="69"/>
      <c r="E201" s="157"/>
      <c r="F201" s="137"/>
      <c r="G201" s="68"/>
    </row>
    <row r="202" spans="1:7" s="30" customFormat="1" ht="14.45">
      <c r="A202" s="59"/>
      <c r="B202" s="100"/>
      <c r="C202" s="61"/>
      <c r="D202" s="62"/>
      <c r="E202" s="157"/>
      <c r="F202" s="137"/>
      <c r="G202" s="61"/>
    </row>
    <row r="203" spans="1:7" s="30" customFormat="1" ht="27.6">
      <c r="A203" s="66"/>
      <c r="B203" s="98" t="s">
        <v>983</v>
      </c>
      <c r="C203" s="68"/>
      <c r="D203" s="69"/>
      <c r="E203" s="157"/>
      <c r="F203" s="137"/>
      <c r="G203" s="68"/>
    </row>
    <row r="204" spans="1:7" s="30" customFormat="1" ht="14.45">
      <c r="A204" s="59"/>
      <c r="B204" s="100"/>
      <c r="C204" s="61"/>
      <c r="D204" s="62"/>
      <c r="E204" s="157"/>
      <c r="F204" s="137"/>
      <c r="G204" s="61"/>
    </row>
    <row r="205" spans="1:7" s="30" customFormat="1" ht="27.6">
      <c r="A205" s="66" t="s">
        <v>14</v>
      </c>
      <c r="B205" s="67" t="s">
        <v>984</v>
      </c>
      <c r="C205" s="68">
        <v>120</v>
      </c>
      <c r="D205" s="69" t="s">
        <v>35</v>
      </c>
      <c r="E205" s="157">
        <v>149.63</v>
      </c>
      <c r="F205" s="137">
        <f>C205*E205</f>
        <v>17955.599999999999</v>
      </c>
      <c r="G205" s="68"/>
    </row>
    <row r="206" spans="1:7" s="30" customFormat="1" ht="14.45">
      <c r="A206" s="59"/>
      <c r="B206" s="100"/>
      <c r="C206" s="61"/>
      <c r="D206" s="62"/>
      <c r="E206" s="157"/>
      <c r="F206" s="137"/>
      <c r="G206" s="61"/>
    </row>
    <row r="207" spans="1:7" s="30" customFormat="1" ht="14.45">
      <c r="A207" s="66" t="s">
        <v>17</v>
      </c>
      <c r="B207" s="67" t="s">
        <v>985</v>
      </c>
      <c r="C207" s="68">
        <v>438</v>
      </c>
      <c r="D207" s="69" t="s">
        <v>35</v>
      </c>
      <c r="E207" s="157">
        <v>149.63</v>
      </c>
      <c r="F207" s="137">
        <f>C207*E207</f>
        <v>65537.94</v>
      </c>
      <c r="G207" s="68"/>
    </row>
    <row r="208" spans="1:7" s="30" customFormat="1" ht="14.45">
      <c r="A208" s="59"/>
      <c r="B208" s="100"/>
      <c r="C208" s="61"/>
      <c r="D208" s="62"/>
      <c r="E208" s="157"/>
      <c r="F208" s="137"/>
      <c r="G208" s="61"/>
    </row>
    <row r="209" spans="1:7" s="30" customFormat="1" ht="14.45">
      <c r="A209" s="66" t="s">
        <v>20</v>
      </c>
      <c r="B209" s="67" t="s">
        <v>986</v>
      </c>
      <c r="C209" s="68" t="s">
        <v>987</v>
      </c>
      <c r="D209" s="69" t="s">
        <v>35</v>
      </c>
      <c r="E209" s="157">
        <v>149.63</v>
      </c>
      <c r="F209" s="137">
        <f>C209*E209</f>
        <v>251378.4</v>
      </c>
      <c r="G209" s="68"/>
    </row>
    <row r="210" spans="1:7" s="30" customFormat="1" ht="14.45">
      <c r="A210" s="59"/>
      <c r="B210" s="100"/>
      <c r="C210" s="61"/>
      <c r="D210" s="62"/>
      <c r="E210" s="157"/>
      <c r="F210" s="137"/>
      <c r="G210" s="61"/>
    </row>
    <row r="211" spans="1:7" s="30" customFormat="1" ht="27.6">
      <c r="A211" s="66"/>
      <c r="B211" s="98" t="s">
        <v>988</v>
      </c>
      <c r="C211" s="68"/>
      <c r="D211" s="69"/>
      <c r="E211" s="157"/>
      <c r="F211" s="137"/>
      <c r="G211" s="68"/>
    </row>
    <row r="212" spans="1:7" s="30" customFormat="1" ht="14.45">
      <c r="A212" s="59"/>
      <c r="B212" s="100"/>
      <c r="C212" s="61"/>
      <c r="D212" s="62"/>
      <c r="E212" s="157"/>
      <c r="F212" s="137"/>
      <c r="G212" s="61"/>
    </row>
    <row r="213" spans="1:7" s="30" customFormat="1" ht="27.6">
      <c r="A213" s="66" t="s">
        <v>23</v>
      </c>
      <c r="B213" s="67" t="s">
        <v>989</v>
      </c>
      <c r="C213" s="68">
        <v>1339</v>
      </c>
      <c r="D213" s="69" t="s">
        <v>16</v>
      </c>
      <c r="E213" s="157">
        <v>41.77</v>
      </c>
      <c r="F213" s="137">
        <f>C213*E213</f>
        <v>55930.030000000006</v>
      </c>
      <c r="G213" s="68"/>
    </row>
    <row r="214" spans="1:7" s="30" customFormat="1" ht="14.45">
      <c r="A214" s="59"/>
      <c r="B214" s="100"/>
      <c r="C214" s="61"/>
      <c r="D214" s="62"/>
      <c r="E214" s="157"/>
      <c r="F214" s="137"/>
      <c r="G214" s="61"/>
    </row>
    <row r="215" spans="1:7" s="30" customFormat="1" ht="41.45">
      <c r="A215" s="66"/>
      <c r="B215" s="98" t="s">
        <v>990</v>
      </c>
      <c r="C215" s="68"/>
      <c r="D215" s="69"/>
      <c r="E215" s="157"/>
      <c r="F215" s="137"/>
      <c r="G215" s="68"/>
    </row>
    <row r="216" spans="1:7" s="30" customFormat="1" ht="14.45">
      <c r="A216" s="59"/>
      <c r="B216" s="100"/>
      <c r="C216" s="61"/>
      <c r="D216" s="62"/>
      <c r="E216" s="157"/>
      <c r="F216" s="137"/>
      <c r="G216" s="61"/>
    </row>
    <row r="217" spans="1:7" s="30" customFormat="1" ht="27.6">
      <c r="A217" s="66" t="s">
        <v>27</v>
      </c>
      <c r="B217" s="67" t="s">
        <v>991</v>
      </c>
      <c r="C217" s="68">
        <v>1339</v>
      </c>
      <c r="D217" s="69" t="s">
        <v>16</v>
      </c>
      <c r="E217" s="157">
        <v>70.25</v>
      </c>
      <c r="F217" s="137">
        <f>C217*E217</f>
        <v>94064.75</v>
      </c>
      <c r="G217" s="68"/>
    </row>
    <row r="218" spans="1:7" s="30" customFormat="1" ht="14.45">
      <c r="A218" s="59"/>
      <c r="B218" s="100"/>
      <c r="C218" s="61"/>
      <c r="D218" s="62"/>
      <c r="E218" s="157"/>
      <c r="F218" s="137"/>
      <c r="G218" s="61"/>
    </row>
    <row r="219" spans="1:7" s="30" customFormat="1" ht="27.6">
      <c r="A219" s="66"/>
      <c r="B219" s="98" t="s">
        <v>992</v>
      </c>
      <c r="C219" s="68"/>
      <c r="D219" s="69"/>
      <c r="E219" s="157"/>
      <c r="F219" s="137"/>
      <c r="G219" s="68"/>
    </row>
    <row r="220" spans="1:7" s="30" customFormat="1" ht="14.45">
      <c r="A220" s="59"/>
      <c r="B220" s="100"/>
      <c r="C220" s="61"/>
      <c r="D220" s="62"/>
      <c r="E220" s="157"/>
      <c r="F220" s="137"/>
      <c r="G220" s="61"/>
    </row>
    <row r="221" spans="1:7" s="30" customFormat="1" ht="27.6">
      <c r="A221" s="66" t="s">
        <v>44</v>
      </c>
      <c r="B221" s="67" t="s">
        <v>993</v>
      </c>
      <c r="C221" s="68">
        <v>1339</v>
      </c>
      <c r="D221" s="69" t="s">
        <v>16</v>
      </c>
      <c r="E221" s="157">
        <v>63.84</v>
      </c>
      <c r="F221" s="137">
        <f>C221*E221</f>
        <v>85481.760000000009</v>
      </c>
      <c r="G221" s="68"/>
    </row>
    <row r="222" spans="1:7" s="30" customFormat="1" ht="14.45">
      <c r="A222" s="59"/>
      <c r="B222" s="100"/>
      <c r="C222" s="61"/>
      <c r="D222" s="62"/>
      <c r="E222" s="157"/>
      <c r="F222" s="137"/>
      <c r="G222" s="61"/>
    </row>
    <row r="223" spans="1:7" s="30" customFormat="1" ht="14.45">
      <c r="A223" s="66" t="s">
        <v>48</v>
      </c>
      <c r="B223" s="67" t="s">
        <v>994</v>
      </c>
      <c r="C223" s="68">
        <v>319</v>
      </c>
      <c r="D223" s="69" t="s">
        <v>16</v>
      </c>
      <c r="E223" s="157">
        <v>63.84</v>
      </c>
      <c r="F223" s="137">
        <f>C223*E223</f>
        <v>20364.960000000003</v>
      </c>
      <c r="G223" s="68"/>
    </row>
    <row r="224" spans="1:7" s="30" customFormat="1" ht="14.45">
      <c r="A224" s="66"/>
      <c r="B224" s="99"/>
      <c r="C224" s="68"/>
      <c r="D224" s="69"/>
      <c r="E224" s="157"/>
      <c r="F224" s="137"/>
      <c r="G224" s="68"/>
    </row>
    <row r="225" spans="1:7" s="30" customFormat="1" ht="14.45">
      <c r="A225" s="59"/>
      <c r="B225" s="63"/>
      <c r="C225" s="61"/>
      <c r="D225" s="62"/>
      <c r="E225" s="157"/>
      <c r="F225" s="137"/>
      <c r="G225" s="61"/>
    </row>
    <row r="226" spans="1:7" s="30" customFormat="1" ht="14.45">
      <c r="A226" s="71"/>
      <c r="B226" s="72"/>
      <c r="C226" s="73"/>
      <c r="D226" s="74"/>
      <c r="E226" s="159"/>
      <c r="F226" s="138"/>
      <c r="G226" s="73"/>
    </row>
    <row r="227" spans="1:7" s="30" customFormat="1" ht="14.45">
      <c r="A227" s="75"/>
      <c r="B227" s="76"/>
      <c r="C227" s="77" t="s">
        <v>30</v>
      </c>
      <c r="D227" s="77"/>
      <c r="E227" s="160" t="s">
        <v>8</v>
      </c>
      <c r="F227" s="139">
        <f>SUM(F201:F224)</f>
        <v>590713.43999999994</v>
      </c>
      <c r="G227" s="77"/>
    </row>
    <row r="228" spans="1:7" s="30" customFormat="1" ht="14.45">
      <c r="A228" s="75"/>
      <c r="B228" s="76"/>
      <c r="C228" s="78"/>
      <c r="D228" s="79"/>
      <c r="E228" s="161"/>
      <c r="F228" s="140"/>
      <c r="G228" s="78"/>
    </row>
    <row r="229" spans="1:7" s="30" customFormat="1" ht="14.45">
      <c r="A229" s="59"/>
      <c r="B229" s="63"/>
      <c r="C229" s="61"/>
      <c r="D229" s="62"/>
      <c r="E229" s="157"/>
      <c r="F229" s="137"/>
      <c r="G229" s="61"/>
    </row>
    <row r="230" spans="1:7" s="30" customFormat="1" ht="14.45">
      <c r="A230" s="59"/>
      <c r="B230" s="64" t="s">
        <v>995</v>
      </c>
      <c r="C230" s="61"/>
      <c r="D230" s="62"/>
      <c r="E230" s="157"/>
      <c r="F230" s="137"/>
      <c r="G230" s="61"/>
    </row>
    <row r="231" spans="1:7" s="30" customFormat="1" ht="14.45">
      <c r="A231" s="59"/>
      <c r="B231" s="103"/>
      <c r="C231" s="61"/>
      <c r="D231" s="62"/>
      <c r="E231" s="157"/>
      <c r="F231" s="137"/>
      <c r="G231" s="61"/>
    </row>
    <row r="232" spans="1:7" s="30" customFormat="1" ht="27.6">
      <c r="A232" s="66"/>
      <c r="B232" s="98" t="s">
        <v>996</v>
      </c>
      <c r="C232" s="68"/>
      <c r="D232" s="69"/>
      <c r="E232" s="157"/>
      <c r="F232" s="137"/>
      <c r="G232" s="68"/>
    </row>
    <row r="233" spans="1:7" s="30" customFormat="1" ht="14.45">
      <c r="A233" s="59"/>
      <c r="B233" s="100"/>
      <c r="C233" s="61"/>
      <c r="D233" s="62"/>
      <c r="E233" s="157"/>
      <c r="F233" s="137"/>
      <c r="G233" s="61"/>
    </row>
    <row r="234" spans="1:7" s="30" customFormat="1" ht="27.6">
      <c r="A234" s="66" t="s">
        <v>14</v>
      </c>
      <c r="B234" s="67" t="s">
        <v>997</v>
      </c>
      <c r="C234" s="68">
        <v>37</v>
      </c>
      <c r="D234" s="69" t="s">
        <v>63</v>
      </c>
      <c r="E234" s="157">
        <v>989.52</v>
      </c>
      <c r="F234" s="137">
        <f>C234*E234</f>
        <v>36612.239999999998</v>
      </c>
      <c r="G234" s="68"/>
    </row>
    <row r="235" spans="1:7" s="30" customFormat="1" ht="14.45">
      <c r="A235" s="59"/>
      <c r="B235" s="100"/>
      <c r="C235" s="61"/>
      <c r="D235" s="62"/>
      <c r="E235" s="157"/>
      <c r="F235" s="137"/>
      <c r="G235" s="61"/>
    </row>
    <row r="236" spans="1:7" s="30" customFormat="1" ht="41.45">
      <c r="A236" s="66" t="s">
        <v>17</v>
      </c>
      <c r="B236" s="67" t="s">
        <v>998</v>
      </c>
      <c r="C236" s="68">
        <v>128</v>
      </c>
      <c r="D236" s="69" t="s">
        <v>63</v>
      </c>
      <c r="E236" s="157">
        <v>846.12</v>
      </c>
      <c r="F236" s="137">
        <f>C236*E236</f>
        <v>108303.36</v>
      </c>
      <c r="G236" s="68"/>
    </row>
    <row r="237" spans="1:7" s="30" customFormat="1" ht="14.45">
      <c r="A237" s="59"/>
      <c r="B237" s="100"/>
      <c r="C237" s="61"/>
      <c r="D237" s="62"/>
      <c r="E237" s="157"/>
      <c r="F237" s="137"/>
      <c r="G237" s="61"/>
    </row>
    <row r="238" spans="1:7" s="30" customFormat="1" ht="41.45">
      <c r="A238" s="66" t="s">
        <v>20</v>
      </c>
      <c r="B238" s="67" t="s">
        <v>999</v>
      </c>
      <c r="C238" s="68">
        <v>41</v>
      </c>
      <c r="D238" s="69" t="s">
        <v>63</v>
      </c>
      <c r="E238" s="157">
        <v>846.12</v>
      </c>
      <c r="F238" s="137">
        <f>C238*E238</f>
        <v>34690.92</v>
      </c>
      <c r="G238" s="68"/>
    </row>
    <row r="239" spans="1:7" s="30" customFormat="1" ht="14.45">
      <c r="A239" s="59"/>
      <c r="B239" s="100"/>
      <c r="C239" s="61"/>
      <c r="D239" s="62"/>
      <c r="E239" s="157"/>
      <c r="F239" s="137"/>
      <c r="G239" s="61"/>
    </row>
    <row r="240" spans="1:7" s="30" customFormat="1" ht="41.45">
      <c r="A240" s="66"/>
      <c r="B240" s="98" t="s">
        <v>1000</v>
      </c>
      <c r="C240" s="68"/>
      <c r="D240" s="69"/>
      <c r="E240" s="157"/>
      <c r="F240" s="137"/>
      <c r="G240" s="68"/>
    </row>
    <row r="241" spans="1:7" s="30" customFormat="1" ht="14.45">
      <c r="A241" s="59"/>
      <c r="B241" s="100"/>
      <c r="C241" s="61"/>
      <c r="D241" s="62"/>
      <c r="E241" s="157"/>
      <c r="F241" s="137"/>
      <c r="G241" s="61"/>
    </row>
    <row r="242" spans="1:7" s="30" customFormat="1" ht="27.6">
      <c r="A242" s="66" t="s">
        <v>23</v>
      </c>
      <c r="B242" s="67" t="s">
        <v>1001</v>
      </c>
      <c r="C242" s="68"/>
      <c r="D242" s="69" t="s">
        <v>2</v>
      </c>
      <c r="E242" s="157">
        <v>3290.26</v>
      </c>
      <c r="F242" s="137">
        <f>+E242</f>
        <v>3290.26</v>
      </c>
      <c r="G242" s="68"/>
    </row>
    <row r="243" spans="1:7" s="30" customFormat="1" ht="14.45">
      <c r="A243" s="59"/>
      <c r="B243" s="100"/>
      <c r="C243" s="61"/>
      <c r="D243" s="62"/>
      <c r="E243" s="157"/>
      <c r="F243" s="137"/>
      <c r="G243" s="61"/>
    </row>
    <row r="244" spans="1:7" s="30" customFormat="1" ht="27.6">
      <c r="A244" s="66" t="s">
        <v>27</v>
      </c>
      <c r="B244" s="67" t="s">
        <v>1002</v>
      </c>
      <c r="C244" s="68"/>
      <c r="D244" s="69" t="s">
        <v>63</v>
      </c>
      <c r="E244" s="157">
        <v>14.08</v>
      </c>
      <c r="F244" s="137" t="s">
        <v>71</v>
      </c>
      <c r="G244" s="68"/>
    </row>
    <row r="245" spans="1:7" s="30" customFormat="1" ht="14.45">
      <c r="A245" s="59"/>
      <c r="B245" s="100"/>
      <c r="C245" s="61"/>
      <c r="D245" s="62"/>
      <c r="E245" s="157"/>
      <c r="F245" s="137"/>
      <c r="G245" s="61"/>
    </row>
    <row r="246" spans="1:7" s="30" customFormat="1" ht="27.6">
      <c r="A246" s="66" t="s">
        <v>44</v>
      </c>
      <c r="B246" s="67" t="s">
        <v>1003</v>
      </c>
      <c r="C246" s="68"/>
      <c r="D246" s="69" t="s">
        <v>2</v>
      </c>
      <c r="E246" s="157">
        <v>3355.56</v>
      </c>
      <c r="F246" s="137">
        <f>+E246</f>
        <v>3355.56</v>
      </c>
      <c r="G246" s="68"/>
    </row>
    <row r="247" spans="1:7" s="30" customFormat="1" ht="14.45">
      <c r="A247" s="59"/>
      <c r="B247" s="100"/>
      <c r="C247" s="61"/>
      <c r="D247" s="62"/>
      <c r="E247" s="157"/>
      <c r="F247" s="137"/>
      <c r="G247" s="61"/>
    </row>
    <row r="248" spans="1:7" s="30" customFormat="1" ht="27.6">
      <c r="A248" s="66" t="s">
        <v>48</v>
      </c>
      <c r="B248" s="67" t="s">
        <v>1004</v>
      </c>
      <c r="C248" s="68"/>
      <c r="D248" s="69" t="s">
        <v>63</v>
      </c>
      <c r="E248" s="157">
        <v>14.08</v>
      </c>
      <c r="F248" s="137" t="s">
        <v>71</v>
      </c>
      <c r="G248" s="68"/>
    </row>
    <row r="249" spans="1:7" s="30" customFormat="1" ht="14.45">
      <c r="A249" s="59"/>
      <c r="B249" s="100"/>
      <c r="C249" s="61"/>
      <c r="D249" s="62"/>
      <c r="E249" s="157"/>
      <c r="F249" s="137"/>
      <c r="G249" s="61"/>
    </row>
    <row r="250" spans="1:7" s="30" customFormat="1" ht="27.6">
      <c r="A250" s="66"/>
      <c r="B250" s="98" t="s">
        <v>1005</v>
      </c>
      <c r="C250" s="68"/>
      <c r="D250" s="69"/>
      <c r="E250" s="157"/>
      <c r="F250" s="137"/>
      <c r="G250" s="68"/>
    </row>
    <row r="251" spans="1:7" s="30" customFormat="1" ht="14.45">
      <c r="A251" s="59"/>
      <c r="B251" s="100"/>
      <c r="C251" s="61"/>
      <c r="D251" s="62"/>
      <c r="E251" s="157"/>
      <c r="F251" s="137"/>
      <c r="G251" s="61"/>
    </row>
    <row r="252" spans="1:7" s="30" customFormat="1" ht="27.6">
      <c r="A252" s="66" t="s">
        <v>84</v>
      </c>
      <c r="B252" s="67" t="s">
        <v>1006</v>
      </c>
      <c r="C252" s="68">
        <v>918</v>
      </c>
      <c r="D252" s="69" t="s">
        <v>63</v>
      </c>
      <c r="E252" s="157">
        <v>75.37</v>
      </c>
      <c r="F252" s="137">
        <f>C252*E252</f>
        <v>69189.66</v>
      </c>
      <c r="G252" s="68"/>
    </row>
    <row r="253" spans="1:7" s="30" customFormat="1" ht="14.45">
      <c r="A253" s="59"/>
      <c r="B253" s="100"/>
      <c r="C253" s="61"/>
      <c r="D253" s="62"/>
      <c r="E253" s="157"/>
      <c r="F253" s="137"/>
      <c r="G253" s="61"/>
    </row>
    <row r="254" spans="1:7" s="30" customFormat="1" ht="27.6">
      <c r="A254" s="66" t="s">
        <v>86</v>
      </c>
      <c r="B254" s="67" t="s">
        <v>1007</v>
      </c>
      <c r="C254" s="68">
        <v>423</v>
      </c>
      <c r="D254" s="69" t="s">
        <v>63</v>
      </c>
      <c r="E254" s="157">
        <v>94.57</v>
      </c>
      <c r="F254" s="137">
        <f>C254*E254</f>
        <v>40003.11</v>
      </c>
      <c r="G254" s="68"/>
    </row>
    <row r="255" spans="1:7" s="30" customFormat="1" ht="14.45">
      <c r="A255" s="59"/>
      <c r="B255" s="100"/>
      <c r="C255" s="61"/>
      <c r="D255" s="62"/>
      <c r="E255" s="157"/>
      <c r="F255" s="137"/>
      <c r="G255" s="61"/>
    </row>
    <row r="256" spans="1:7" s="30" customFormat="1" ht="27.6">
      <c r="A256" s="66" t="s">
        <v>90</v>
      </c>
      <c r="B256" s="67" t="s">
        <v>1008</v>
      </c>
      <c r="C256" s="68" t="s">
        <v>1009</v>
      </c>
      <c r="D256" s="69" t="s">
        <v>63</v>
      </c>
      <c r="E256" s="157">
        <v>88.17</v>
      </c>
      <c r="F256" s="137">
        <f>C256*E256</f>
        <v>29448.78</v>
      </c>
      <c r="G256" s="68"/>
    </row>
    <row r="257" spans="1:7" s="30" customFormat="1" ht="14.45">
      <c r="A257" s="59"/>
      <c r="B257" s="100"/>
      <c r="C257" s="61"/>
      <c r="D257" s="62"/>
      <c r="E257" s="157"/>
      <c r="F257" s="137"/>
      <c r="G257" s="61"/>
    </row>
    <row r="258" spans="1:7" s="30" customFormat="1" ht="27.6">
      <c r="A258" s="66" t="s">
        <v>92</v>
      </c>
      <c r="B258" s="67" t="s">
        <v>1010</v>
      </c>
      <c r="C258" s="68">
        <v>756</v>
      </c>
      <c r="D258" s="69" t="s">
        <v>63</v>
      </c>
      <c r="E258" s="157">
        <v>394.17</v>
      </c>
      <c r="F258" s="137">
        <f>C258*E258</f>
        <v>297992.52</v>
      </c>
      <c r="G258" s="68"/>
    </row>
    <row r="259" spans="1:7" s="30" customFormat="1" ht="14.45">
      <c r="A259" s="59"/>
      <c r="B259" s="63"/>
      <c r="C259" s="61"/>
      <c r="D259" s="62"/>
      <c r="E259" s="157"/>
      <c r="F259" s="137"/>
      <c r="G259" s="61"/>
    </row>
    <row r="260" spans="1:7" s="30" customFormat="1" ht="14.45">
      <c r="A260" s="71"/>
      <c r="B260" s="72"/>
      <c r="C260" s="73"/>
      <c r="D260" s="74"/>
      <c r="E260" s="159"/>
      <c r="F260" s="138"/>
      <c r="G260" s="73"/>
    </row>
    <row r="261" spans="1:7" s="30" customFormat="1" ht="14.45">
      <c r="A261" s="75"/>
      <c r="B261" s="76"/>
      <c r="C261" s="77" t="s">
        <v>30</v>
      </c>
      <c r="D261" s="77"/>
      <c r="E261" s="160" t="s">
        <v>8</v>
      </c>
      <c r="F261" s="139">
        <f>SUM(F232:F259)</f>
        <v>622886.41</v>
      </c>
      <c r="G261" s="77"/>
    </row>
    <row r="262" spans="1:7" s="30" customFormat="1" ht="14.45">
      <c r="A262" s="75"/>
      <c r="B262" s="76"/>
      <c r="C262" s="78"/>
      <c r="D262" s="79"/>
      <c r="E262" s="161"/>
      <c r="F262" s="140"/>
      <c r="G262" s="78"/>
    </row>
    <row r="263" spans="1:7" s="30" customFormat="1" ht="14.45">
      <c r="A263" s="59"/>
      <c r="B263" s="63"/>
      <c r="C263" s="61"/>
      <c r="D263" s="62"/>
      <c r="E263" s="157"/>
      <c r="F263" s="137"/>
      <c r="G263" s="61"/>
    </row>
    <row r="264" spans="1:7" s="30" customFormat="1" ht="14.45">
      <c r="A264" s="59"/>
      <c r="B264" s="64" t="s">
        <v>995</v>
      </c>
      <c r="C264" s="61"/>
      <c r="D264" s="62"/>
      <c r="E264" s="157"/>
      <c r="F264" s="137"/>
      <c r="G264" s="61"/>
    </row>
    <row r="265" spans="1:7" s="30" customFormat="1" ht="14.45">
      <c r="A265" s="59"/>
      <c r="B265" s="103"/>
      <c r="C265" s="61"/>
      <c r="D265" s="62"/>
      <c r="E265" s="157"/>
      <c r="F265" s="137"/>
      <c r="G265" s="61"/>
    </row>
    <row r="266" spans="1:7" s="30" customFormat="1" ht="27.6">
      <c r="A266" s="66" t="s">
        <v>14</v>
      </c>
      <c r="B266" s="67" t="s">
        <v>1011</v>
      </c>
      <c r="C266" s="68">
        <v>844</v>
      </c>
      <c r="D266" s="69" t="s">
        <v>63</v>
      </c>
      <c r="E266" s="157">
        <v>394.17</v>
      </c>
      <c r="F266" s="137">
        <f>C266*E266</f>
        <v>332679.48000000004</v>
      </c>
      <c r="G266" s="68"/>
    </row>
    <row r="267" spans="1:7" s="30" customFormat="1" ht="14.45">
      <c r="A267" s="59"/>
      <c r="B267" s="100"/>
      <c r="C267" s="61"/>
      <c r="D267" s="62"/>
      <c r="E267" s="157"/>
      <c r="F267" s="137"/>
      <c r="G267" s="61"/>
    </row>
    <row r="268" spans="1:7" s="30" customFormat="1" ht="27.6">
      <c r="A268" s="66" t="s">
        <v>17</v>
      </c>
      <c r="B268" s="67" t="s">
        <v>1012</v>
      </c>
      <c r="C268" s="68">
        <v>1087</v>
      </c>
      <c r="D268" s="69" t="s">
        <v>63</v>
      </c>
      <c r="E268" s="157">
        <v>108.66</v>
      </c>
      <c r="F268" s="137">
        <f>C268*E268</f>
        <v>118113.42</v>
      </c>
      <c r="G268" s="68"/>
    </row>
    <row r="269" spans="1:7" s="30" customFormat="1" ht="14.45">
      <c r="A269" s="59"/>
      <c r="B269" s="100"/>
      <c r="C269" s="61"/>
      <c r="D269" s="62"/>
      <c r="E269" s="157"/>
      <c r="F269" s="137"/>
      <c r="G269" s="61"/>
    </row>
    <row r="270" spans="1:7" s="30" customFormat="1" ht="41.45">
      <c r="A270" s="66"/>
      <c r="B270" s="98" t="s">
        <v>1013</v>
      </c>
      <c r="C270" s="68"/>
      <c r="D270" s="69"/>
      <c r="E270" s="157"/>
      <c r="F270" s="137"/>
      <c r="G270" s="68"/>
    </row>
    <row r="271" spans="1:7" s="30" customFormat="1" ht="14.45">
      <c r="A271" s="59"/>
      <c r="B271" s="100"/>
      <c r="C271" s="61"/>
      <c r="D271" s="62"/>
      <c r="E271" s="157"/>
      <c r="F271" s="137"/>
      <c r="G271" s="61"/>
    </row>
    <row r="272" spans="1:7" s="30" customFormat="1" ht="27.6">
      <c r="A272" s="66" t="s">
        <v>20</v>
      </c>
      <c r="B272" s="67" t="s">
        <v>1014</v>
      </c>
      <c r="C272" s="68">
        <v>458</v>
      </c>
      <c r="D272" s="69" t="s">
        <v>63</v>
      </c>
      <c r="E272" s="157">
        <v>31.84</v>
      </c>
      <c r="F272" s="137">
        <f>C272*E272</f>
        <v>14582.72</v>
      </c>
      <c r="G272" s="68"/>
    </row>
    <row r="273" spans="1:7" s="30" customFormat="1" ht="14.45">
      <c r="A273" s="59"/>
      <c r="B273" s="100"/>
      <c r="C273" s="61"/>
      <c r="D273" s="62"/>
      <c r="E273" s="157"/>
      <c r="F273" s="137"/>
      <c r="G273" s="61"/>
    </row>
    <row r="274" spans="1:7" s="30" customFormat="1" ht="27.6">
      <c r="A274" s="66" t="s">
        <v>23</v>
      </c>
      <c r="B274" s="67" t="s">
        <v>1015</v>
      </c>
      <c r="C274" s="68">
        <v>159</v>
      </c>
      <c r="D274" s="69" t="s">
        <v>63</v>
      </c>
      <c r="E274" s="157">
        <v>24.15</v>
      </c>
      <c r="F274" s="137">
        <f>C274*E274</f>
        <v>3839.85</v>
      </c>
      <c r="G274" s="68"/>
    </row>
    <row r="275" spans="1:7" s="30" customFormat="1" ht="14.45">
      <c r="A275" s="59"/>
      <c r="B275" s="100"/>
      <c r="C275" s="61"/>
      <c r="D275" s="62"/>
      <c r="E275" s="157"/>
      <c r="F275" s="137"/>
      <c r="G275" s="61"/>
    </row>
    <row r="276" spans="1:7" s="30" customFormat="1" ht="27.6">
      <c r="A276" s="66" t="s">
        <v>27</v>
      </c>
      <c r="B276" s="67" t="s">
        <v>1016</v>
      </c>
      <c r="C276" s="68">
        <v>677</v>
      </c>
      <c r="D276" s="69" t="s">
        <v>63</v>
      </c>
      <c r="E276" s="157">
        <v>44.64</v>
      </c>
      <c r="F276" s="137">
        <f>C276*E276</f>
        <v>30221.279999999999</v>
      </c>
      <c r="G276" s="68"/>
    </row>
    <row r="277" spans="1:7" s="30" customFormat="1" ht="14.45">
      <c r="A277" s="59"/>
      <c r="B277" s="100"/>
      <c r="C277" s="61"/>
      <c r="D277" s="62"/>
      <c r="E277" s="157"/>
      <c r="F277" s="137"/>
      <c r="G277" s="61"/>
    </row>
    <row r="278" spans="1:7" s="30" customFormat="1" ht="27.6">
      <c r="A278" s="66" t="s">
        <v>44</v>
      </c>
      <c r="B278" s="67" t="s">
        <v>1017</v>
      </c>
      <c r="C278" s="68">
        <v>296</v>
      </c>
      <c r="D278" s="69" t="s">
        <v>63</v>
      </c>
      <c r="E278" s="157">
        <v>71.53</v>
      </c>
      <c r="F278" s="137">
        <f>C278*E278</f>
        <v>21172.880000000001</v>
      </c>
      <c r="G278" s="68"/>
    </row>
    <row r="279" spans="1:7" s="30" customFormat="1" ht="14.45">
      <c r="A279" s="59"/>
      <c r="B279" s="100"/>
      <c r="C279" s="61"/>
      <c r="D279" s="62"/>
      <c r="E279" s="157"/>
      <c r="F279" s="137"/>
      <c r="G279" s="61"/>
    </row>
    <row r="280" spans="1:7" s="30" customFormat="1" ht="27.6">
      <c r="A280" s="66" t="s">
        <v>48</v>
      </c>
      <c r="B280" s="67" t="s">
        <v>1018</v>
      </c>
      <c r="C280" s="68">
        <v>176</v>
      </c>
      <c r="D280" s="69" t="s">
        <v>63</v>
      </c>
      <c r="E280" s="157">
        <v>24.15</v>
      </c>
      <c r="F280" s="137">
        <f>C280*E280</f>
        <v>4250.3999999999996</v>
      </c>
      <c r="G280" s="68"/>
    </row>
    <row r="281" spans="1:7" s="30" customFormat="1" ht="14.45">
      <c r="A281" s="59"/>
      <c r="B281" s="100"/>
      <c r="C281" s="61"/>
      <c r="D281" s="62"/>
      <c r="E281" s="157"/>
      <c r="F281" s="137"/>
      <c r="G281" s="61"/>
    </row>
    <row r="282" spans="1:7" s="30" customFormat="1" ht="27.6">
      <c r="A282" s="66" t="s">
        <v>84</v>
      </c>
      <c r="B282" s="67" t="s">
        <v>1019</v>
      </c>
      <c r="C282" s="68">
        <v>270</v>
      </c>
      <c r="D282" s="69" t="s">
        <v>63</v>
      </c>
      <c r="E282" s="157">
        <v>45.92</v>
      </c>
      <c r="F282" s="137">
        <f>C282*E282</f>
        <v>12398.4</v>
      </c>
      <c r="G282" s="68"/>
    </row>
    <row r="283" spans="1:7" s="30" customFormat="1" ht="14.45">
      <c r="A283" s="59"/>
      <c r="B283" s="100"/>
      <c r="C283" s="61"/>
      <c r="D283" s="62"/>
      <c r="E283" s="157"/>
      <c r="F283" s="137"/>
      <c r="G283" s="61"/>
    </row>
    <row r="284" spans="1:7" s="30" customFormat="1" ht="14.45">
      <c r="A284" s="66"/>
      <c r="B284" s="98" t="s">
        <v>1020</v>
      </c>
      <c r="C284" s="68"/>
      <c r="D284" s="69"/>
      <c r="E284" s="157"/>
      <c r="F284" s="137"/>
      <c r="G284" s="68"/>
    </row>
    <row r="285" spans="1:7" s="30" customFormat="1" ht="14.45">
      <c r="A285" s="59"/>
      <c r="B285" s="100"/>
      <c r="C285" s="61"/>
      <c r="D285" s="62"/>
      <c r="E285" s="157"/>
      <c r="F285" s="137"/>
      <c r="G285" s="61"/>
    </row>
    <row r="286" spans="1:7" s="30" customFormat="1" ht="27.6">
      <c r="A286" s="66"/>
      <c r="B286" s="98" t="s">
        <v>1021</v>
      </c>
      <c r="C286" s="68"/>
      <c r="D286" s="69"/>
      <c r="E286" s="157"/>
      <c r="F286" s="137"/>
      <c r="G286" s="68"/>
    </row>
    <row r="287" spans="1:7" s="30" customFormat="1" ht="14.45">
      <c r="A287" s="59"/>
      <c r="B287" s="100"/>
      <c r="C287" s="61"/>
      <c r="D287" s="62"/>
      <c r="E287" s="157"/>
      <c r="F287" s="137"/>
      <c r="G287" s="61"/>
    </row>
    <row r="288" spans="1:7" s="30" customFormat="1" ht="14.45">
      <c r="A288" s="66" t="s">
        <v>86</v>
      </c>
      <c r="B288" s="67" t="s">
        <v>1022</v>
      </c>
      <c r="C288" s="68">
        <v>206</v>
      </c>
      <c r="D288" s="69" t="s">
        <v>63</v>
      </c>
      <c r="E288" s="157">
        <v>478.67</v>
      </c>
      <c r="F288" s="137">
        <f>C288*E288</f>
        <v>98606.02</v>
      </c>
      <c r="G288" s="68"/>
    </row>
    <row r="289" spans="1:7" s="30" customFormat="1" ht="14.45">
      <c r="A289" s="59"/>
      <c r="B289" s="100"/>
      <c r="C289" s="61"/>
      <c r="D289" s="62"/>
      <c r="E289" s="157"/>
      <c r="F289" s="137"/>
      <c r="G289" s="61"/>
    </row>
    <row r="290" spans="1:7" s="30" customFormat="1" ht="27.6">
      <c r="A290" s="66"/>
      <c r="B290" s="98" t="s">
        <v>1023</v>
      </c>
      <c r="C290" s="68"/>
      <c r="D290" s="69"/>
      <c r="E290" s="157"/>
      <c r="F290" s="137"/>
      <c r="G290" s="68"/>
    </row>
    <row r="291" spans="1:7" s="30" customFormat="1" ht="14.45">
      <c r="A291" s="59"/>
      <c r="B291" s="100"/>
      <c r="C291" s="61"/>
      <c r="D291" s="62"/>
      <c r="E291" s="157"/>
      <c r="F291" s="137"/>
      <c r="G291" s="61"/>
    </row>
    <row r="292" spans="1:7" s="30" customFormat="1" ht="27.6">
      <c r="A292" s="66" t="s">
        <v>90</v>
      </c>
      <c r="B292" s="67" t="s">
        <v>989</v>
      </c>
      <c r="C292" s="68">
        <v>1339</v>
      </c>
      <c r="D292" s="69" t="s">
        <v>16</v>
      </c>
      <c r="E292" s="157">
        <v>3.23</v>
      </c>
      <c r="F292" s="137">
        <f>C292*E292</f>
        <v>4324.97</v>
      </c>
      <c r="G292" s="68"/>
    </row>
    <row r="293" spans="1:7" s="30" customFormat="1" ht="14.45">
      <c r="A293" s="59"/>
      <c r="B293" s="63"/>
      <c r="C293" s="61"/>
      <c r="D293" s="62"/>
      <c r="E293" s="157"/>
      <c r="F293" s="137"/>
      <c r="G293" s="61"/>
    </row>
    <row r="294" spans="1:7" s="30" customFormat="1" ht="14.45">
      <c r="A294" s="59"/>
      <c r="B294" s="63"/>
      <c r="C294" s="61"/>
      <c r="D294" s="62"/>
      <c r="E294" s="157"/>
      <c r="F294" s="137"/>
      <c r="G294" s="61"/>
    </row>
    <row r="295" spans="1:7" s="30" customFormat="1" ht="3" customHeight="1">
      <c r="A295" s="59"/>
      <c r="B295" s="63"/>
      <c r="C295" s="61"/>
      <c r="D295" s="62"/>
      <c r="E295" s="157"/>
      <c r="F295" s="137"/>
      <c r="G295" s="61"/>
    </row>
    <row r="296" spans="1:7" s="30" customFormat="1" ht="14.45">
      <c r="A296" s="59"/>
      <c r="B296" s="63"/>
      <c r="C296" s="61"/>
      <c r="D296" s="62"/>
      <c r="E296" s="157"/>
      <c r="F296" s="137"/>
      <c r="G296" s="61"/>
    </row>
    <row r="297" spans="1:7" s="30" customFormat="1" ht="14.45">
      <c r="A297" s="71"/>
      <c r="B297" s="72"/>
      <c r="C297" s="73"/>
      <c r="D297" s="74"/>
      <c r="E297" s="159"/>
      <c r="F297" s="138"/>
      <c r="G297" s="73"/>
    </row>
    <row r="298" spans="1:7" s="30" customFormat="1" ht="14.45">
      <c r="A298" s="75"/>
      <c r="B298" s="76"/>
      <c r="C298" s="77" t="s">
        <v>30</v>
      </c>
      <c r="D298" s="77"/>
      <c r="E298" s="160" t="s">
        <v>8</v>
      </c>
      <c r="F298" s="139">
        <f>SUM(F265:F294)</f>
        <v>640189.42000000004</v>
      </c>
      <c r="G298" s="77"/>
    </row>
    <row r="299" spans="1:7" s="30" customFormat="1" ht="14.45">
      <c r="A299" s="75"/>
      <c r="B299" s="76"/>
      <c r="C299" s="78"/>
      <c r="D299" s="79"/>
      <c r="E299" s="161"/>
      <c r="F299" s="140"/>
      <c r="G299" s="78"/>
    </row>
    <row r="300" spans="1:7" s="30" customFormat="1" ht="14.45">
      <c r="A300" s="59"/>
      <c r="B300" s="63"/>
      <c r="C300" s="61"/>
      <c r="D300" s="62"/>
      <c r="E300" s="157"/>
      <c r="F300" s="137"/>
      <c r="G300" s="61"/>
    </row>
    <row r="301" spans="1:7" s="30" customFormat="1" ht="14.45">
      <c r="A301" s="59"/>
      <c r="B301" s="64" t="s">
        <v>995</v>
      </c>
      <c r="C301" s="61"/>
      <c r="D301" s="62"/>
      <c r="E301" s="157"/>
      <c r="F301" s="137"/>
      <c r="G301" s="61"/>
    </row>
    <row r="302" spans="1:7" s="30" customFormat="1" ht="14.45">
      <c r="A302" s="59"/>
      <c r="B302" s="100"/>
      <c r="C302" s="61"/>
      <c r="D302" s="62"/>
      <c r="E302" s="157"/>
      <c r="F302" s="137"/>
      <c r="G302" s="61"/>
    </row>
    <row r="303" spans="1:7" s="30" customFormat="1" ht="27.6">
      <c r="A303" s="66"/>
      <c r="B303" s="98" t="s">
        <v>1024</v>
      </c>
      <c r="C303" s="68"/>
      <c r="D303" s="69"/>
      <c r="E303" s="157"/>
      <c r="F303" s="137"/>
      <c r="G303" s="68"/>
    </row>
    <row r="304" spans="1:7" s="30" customFormat="1" ht="14.45">
      <c r="A304" s="59"/>
      <c r="B304" s="100"/>
      <c r="C304" s="61"/>
      <c r="D304" s="62"/>
      <c r="E304" s="157"/>
      <c r="F304" s="137"/>
      <c r="G304" s="61"/>
    </row>
    <row r="305" spans="1:7" s="30" customFormat="1" ht="14.45">
      <c r="A305" s="66" t="s">
        <v>14</v>
      </c>
      <c r="B305" s="67" t="s">
        <v>1025</v>
      </c>
      <c r="C305" s="68" t="s">
        <v>1026</v>
      </c>
      <c r="D305" s="69" t="s">
        <v>16</v>
      </c>
      <c r="E305" s="157">
        <v>28</v>
      </c>
      <c r="F305" s="137">
        <f>C305*E305</f>
        <v>7952</v>
      </c>
      <c r="G305" s="68"/>
    </row>
    <row r="306" spans="1:7" s="30" customFormat="1" ht="14.45">
      <c r="A306" s="59"/>
      <c r="B306" s="100"/>
      <c r="C306" s="61"/>
      <c r="D306" s="62"/>
      <c r="E306" s="157"/>
      <c r="F306" s="137"/>
      <c r="G306" s="61"/>
    </row>
    <row r="307" spans="1:7" s="30" customFormat="1" ht="14.45">
      <c r="A307" s="66" t="s">
        <v>17</v>
      </c>
      <c r="B307" s="67" t="s">
        <v>1027</v>
      </c>
      <c r="C307" s="68" t="s">
        <v>1028</v>
      </c>
      <c r="D307" s="69" t="s">
        <v>16</v>
      </c>
      <c r="E307" s="157">
        <v>28</v>
      </c>
      <c r="F307" s="137">
        <f>C307*E307</f>
        <v>11816</v>
      </c>
      <c r="G307" s="68"/>
    </row>
    <row r="308" spans="1:7" s="30" customFormat="1" ht="14.45">
      <c r="A308" s="59"/>
      <c r="B308" s="100"/>
      <c r="C308" s="61"/>
      <c r="D308" s="62"/>
      <c r="E308" s="157"/>
      <c r="F308" s="137"/>
      <c r="G308" s="61"/>
    </row>
    <row r="309" spans="1:7" s="30" customFormat="1" ht="27.6">
      <c r="A309" s="66"/>
      <c r="B309" s="98" t="s">
        <v>1029</v>
      </c>
      <c r="C309" s="68"/>
      <c r="D309" s="69"/>
      <c r="E309" s="157"/>
      <c r="F309" s="137"/>
      <c r="G309" s="68"/>
    </row>
    <row r="310" spans="1:7" s="30" customFormat="1" ht="14.45">
      <c r="A310" s="59"/>
      <c r="B310" s="100"/>
      <c r="C310" s="61"/>
      <c r="D310" s="62"/>
      <c r="E310" s="157"/>
      <c r="F310" s="137"/>
      <c r="G310" s="61"/>
    </row>
    <row r="311" spans="1:7" s="30" customFormat="1" ht="14.45">
      <c r="A311" s="66" t="s">
        <v>20</v>
      </c>
      <c r="B311" s="67" t="s">
        <v>1025</v>
      </c>
      <c r="C311" s="68" t="s">
        <v>1026</v>
      </c>
      <c r="D311" s="69" t="s">
        <v>16</v>
      </c>
      <c r="E311" s="157">
        <v>61.39</v>
      </c>
      <c r="F311" s="137">
        <f>C311*E311</f>
        <v>17434.759999999998</v>
      </c>
      <c r="G311" s="68"/>
    </row>
    <row r="312" spans="1:7" s="30" customFormat="1" ht="14.45">
      <c r="A312" s="59"/>
      <c r="B312" s="100"/>
      <c r="C312" s="61"/>
      <c r="D312" s="62"/>
      <c r="E312" s="157"/>
      <c r="F312" s="137"/>
      <c r="G312" s="61"/>
    </row>
    <row r="313" spans="1:7" s="30" customFormat="1" ht="14.45">
      <c r="A313" s="66" t="s">
        <v>23</v>
      </c>
      <c r="B313" s="67" t="s">
        <v>1027</v>
      </c>
      <c r="C313" s="68" t="s">
        <v>1028</v>
      </c>
      <c r="D313" s="69" t="s">
        <v>16</v>
      </c>
      <c r="E313" s="157">
        <v>84</v>
      </c>
      <c r="F313" s="137">
        <f>C313*E313</f>
        <v>35448</v>
      </c>
      <c r="G313" s="68"/>
    </row>
    <row r="314" spans="1:7" s="30" customFormat="1" ht="14.45">
      <c r="A314" s="59"/>
      <c r="B314" s="100"/>
      <c r="C314" s="61"/>
      <c r="D314" s="62"/>
      <c r="E314" s="157"/>
      <c r="F314" s="137"/>
      <c r="G314" s="61"/>
    </row>
    <row r="315" spans="1:7" s="30" customFormat="1" ht="124.15">
      <c r="A315" s="66"/>
      <c r="B315" s="98" t="s">
        <v>1030</v>
      </c>
      <c r="C315" s="68"/>
      <c r="D315" s="69"/>
      <c r="E315" s="157"/>
      <c r="F315" s="137"/>
      <c r="G315" s="68"/>
    </row>
    <row r="316" spans="1:7" s="30" customFormat="1" ht="14.45">
      <c r="A316" s="59"/>
      <c r="B316" s="100"/>
      <c r="C316" s="61"/>
      <c r="D316" s="62"/>
      <c r="E316" s="157"/>
      <c r="F316" s="137"/>
      <c r="G316" s="61"/>
    </row>
    <row r="317" spans="1:7" s="30" customFormat="1" ht="27.6">
      <c r="A317" s="66" t="s">
        <v>27</v>
      </c>
      <c r="B317" s="67" t="s">
        <v>1031</v>
      </c>
      <c r="C317" s="68" t="s">
        <v>714</v>
      </c>
      <c r="D317" s="69" t="s">
        <v>199</v>
      </c>
      <c r="E317" s="157">
        <v>2714.12</v>
      </c>
      <c r="F317" s="137">
        <f>C317*E317</f>
        <v>21712.959999999999</v>
      </c>
      <c r="G317" s="68"/>
    </row>
    <row r="318" spans="1:7" s="30" customFormat="1" ht="14.45">
      <c r="A318" s="59"/>
      <c r="B318" s="100"/>
      <c r="C318" s="61"/>
      <c r="D318" s="62"/>
      <c r="E318" s="157"/>
      <c r="F318" s="137"/>
      <c r="G318" s="61"/>
    </row>
    <row r="319" spans="1:7" s="30" customFormat="1" ht="138">
      <c r="A319" s="66"/>
      <c r="B319" s="98" t="s">
        <v>1032</v>
      </c>
      <c r="C319" s="68"/>
      <c r="D319" s="69"/>
      <c r="E319" s="157"/>
      <c r="F319" s="137"/>
      <c r="G319" s="68"/>
    </row>
    <row r="320" spans="1:7" s="30" customFormat="1" ht="14.45">
      <c r="A320" s="59"/>
      <c r="B320" s="100"/>
      <c r="C320" s="61"/>
      <c r="D320" s="62"/>
      <c r="E320" s="157"/>
      <c r="F320" s="137"/>
      <c r="G320" s="61"/>
    </row>
    <row r="321" spans="1:7" s="30" customFormat="1" ht="27.6">
      <c r="A321" s="66" t="s">
        <v>44</v>
      </c>
      <c r="B321" s="67" t="s">
        <v>1033</v>
      </c>
      <c r="C321" s="68">
        <v>0</v>
      </c>
      <c r="D321" s="69" t="s">
        <v>199</v>
      </c>
      <c r="E321" s="157">
        <v>1084.43</v>
      </c>
      <c r="F321" s="137">
        <f>C321*E321</f>
        <v>0</v>
      </c>
      <c r="G321" s="68"/>
    </row>
    <row r="322" spans="1:7" s="30" customFormat="1" ht="14.45">
      <c r="A322" s="59"/>
      <c r="B322" s="100"/>
      <c r="C322" s="61"/>
      <c r="D322" s="62"/>
      <c r="E322" s="157"/>
      <c r="F322" s="137"/>
      <c r="G322" s="61"/>
    </row>
    <row r="323" spans="1:7" s="30" customFormat="1" ht="27.6">
      <c r="A323" s="66" t="s">
        <v>48</v>
      </c>
      <c r="B323" s="67" t="s">
        <v>1034</v>
      </c>
      <c r="C323" s="68">
        <v>1100</v>
      </c>
      <c r="D323" s="69" t="s">
        <v>199</v>
      </c>
      <c r="E323" s="157">
        <v>1161.08</v>
      </c>
      <c r="F323" s="137">
        <f>C323*E323</f>
        <v>1277188</v>
      </c>
      <c r="G323" s="68"/>
    </row>
    <row r="324" spans="1:7" s="30" customFormat="1" ht="14.45">
      <c r="A324" s="66"/>
      <c r="B324" s="99"/>
      <c r="C324" s="68"/>
      <c r="D324" s="69"/>
      <c r="E324" s="157"/>
      <c r="F324" s="137"/>
      <c r="G324" s="68"/>
    </row>
    <row r="325" spans="1:7" s="30" customFormat="1" ht="3.75" customHeight="1">
      <c r="A325" s="59"/>
      <c r="B325" s="100"/>
      <c r="C325" s="61"/>
      <c r="D325" s="62"/>
      <c r="E325" s="157"/>
      <c r="F325" s="137"/>
      <c r="G325" s="61"/>
    </row>
    <row r="326" spans="1:7" s="30" customFormat="1" ht="14.45">
      <c r="A326" s="71"/>
      <c r="B326" s="72"/>
      <c r="C326" s="73"/>
      <c r="D326" s="74"/>
      <c r="E326" s="159"/>
      <c r="F326" s="138"/>
      <c r="G326" s="73"/>
    </row>
    <row r="327" spans="1:7" s="30" customFormat="1" ht="14.45">
      <c r="A327" s="75"/>
      <c r="B327" s="76"/>
      <c r="C327" s="77" t="s">
        <v>30</v>
      </c>
      <c r="D327" s="77"/>
      <c r="E327" s="160" t="s">
        <v>8</v>
      </c>
      <c r="F327" s="139">
        <f>SUM(F303:F324)</f>
        <v>1371551.72</v>
      </c>
      <c r="G327" s="77"/>
    </row>
    <row r="328" spans="1:7" s="30" customFormat="1" ht="14.45">
      <c r="A328" s="75"/>
      <c r="B328" s="76"/>
      <c r="C328" s="78"/>
      <c r="D328" s="79"/>
      <c r="E328" s="161"/>
      <c r="F328" s="140"/>
      <c r="G328" s="78"/>
    </row>
    <row r="329" spans="1:7" s="30" customFormat="1" ht="14.45">
      <c r="A329" s="59"/>
      <c r="B329" s="63"/>
      <c r="C329" s="61"/>
      <c r="D329" s="62"/>
      <c r="E329" s="157"/>
      <c r="F329" s="137"/>
      <c r="G329" s="61"/>
    </row>
    <row r="330" spans="1:7" s="30" customFormat="1" ht="14.45">
      <c r="A330" s="59"/>
      <c r="B330" s="64" t="s">
        <v>995</v>
      </c>
      <c r="C330" s="61"/>
      <c r="D330" s="62"/>
      <c r="E330" s="157"/>
      <c r="F330" s="137"/>
      <c r="G330" s="61"/>
    </row>
    <row r="331" spans="1:7" s="30" customFormat="1" ht="14.45">
      <c r="A331" s="59"/>
      <c r="B331" s="100"/>
      <c r="C331" s="61"/>
      <c r="D331" s="62"/>
      <c r="E331" s="157"/>
      <c r="F331" s="137"/>
      <c r="G331" s="61"/>
    </row>
    <row r="332" spans="1:7" s="30" customFormat="1" ht="110.45">
      <c r="A332" s="66"/>
      <c r="B332" s="98" t="s">
        <v>1035</v>
      </c>
      <c r="C332" s="68"/>
      <c r="D332" s="69"/>
      <c r="E332" s="157"/>
      <c r="F332" s="137"/>
      <c r="G332" s="68"/>
    </row>
    <row r="333" spans="1:7" s="30" customFormat="1" ht="14.45">
      <c r="A333" s="59"/>
      <c r="B333" s="100"/>
      <c r="C333" s="61"/>
      <c r="D333" s="62"/>
      <c r="E333" s="157"/>
      <c r="F333" s="137"/>
      <c r="G333" s="61"/>
    </row>
    <row r="334" spans="1:7" s="30" customFormat="1" ht="27.6">
      <c r="A334" s="66" t="s">
        <v>14</v>
      </c>
      <c r="B334" s="67" t="s">
        <v>1036</v>
      </c>
      <c r="C334" s="68" t="s">
        <v>787</v>
      </c>
      <c r="D334" s="69" t="s">
        <v>199</v>
      </c>
      <c r="E334" s="157">
        <v>1807.65</v>
      </c>
      <c r="F334" s="137">
        <f>C334*E334</f>
        <v>178957.35</v>
      </c>
      <c r="G334" s="68"/>
    </row>
    <row r="335" spans="1:7" s="30" customFormat="1" ht="14.45">
      <c r="A335" s="59"/>
      <c r="B335" s="100"/>
      <c r="C335" s="61"/>
      <c r="D335" s="62"/>
      <c r="E335" s="157"/>
      <c r="F335" s="137"/>
      <c r="G335" s="61"/>
    </row>
    <row r="336" spans="1:7" s="30" customFormat="1" ht="27.6">
      <c r="A336" s="66" t="s">
        <v>17</v>
      </c>
      <c r="B336" s="67" t="s">
        <v>1037</v>
      </c>
      <c r="C336" s="68">
        <v>0</v>
      </c>
      <c r="D336" s="69" t="s">
        <v>35</v>
      </c>
      <c r="E336" s="157">
        <v>411.46</v>
      </c>
      <c r="F336" s="137">
        <f>C336*E336</f>
        <v>0</v>
      </c>
      <c r="G336" s="68"/>
    </row>
    <row r="337" spans="1:7" s="30" customFormat="1" ht="14.45">
      <c r="A337" s="59"/>
      <c r="B337" s="100"/>
      <c r="C337" s="61"/>
      <c r="D337" s="62"/>
      <c r="E337" s="157"/>
      <c r="F337" s="137"/>
      <c r="G337" s="61"/>
    </row>
    <row r="338" spans="1:7" s="30" customFormat="1" ht="27.6">
      <c r="A338" s="66" t="s">
        <v>20</v>
      </c>
      <c r="B338" s="67" t="s">
        <v>1038</v>
      </c>
      <c r="C338" s="68">
        <v>0</v>
      </c>
      <c r="D338" s="69" t="s">
        <v>35</v>
      </c>
      <c r="E338" s="157">
        <v>411.46</v>
      </c>
      <c r="F338" s="137">
        <f>C338*E338</f>
        <v>0</v>
      </c>
      <c r="G338" s="68"/>
    </row>
    <row r="339" spans="1:7" s="30" customFormat="1" ht="14.45">
      <c r="A339" s="59"/>
      <c r="B339" s="63"/>
      <c r="C339" s="61"/>
      <c r="D339" s="62"/>
      <c r="E339" s="157"/>
      <c r="F339" s="137"/>
      <c r="G339" s="61"/>
    </row>
    <row r="340" spans="1:7" s="30" customFormat="1" ht="14.45">
      <c r="A340" s="59"/>
      <c r="B340" s="63"/>
      <c r="C340" s="61"/>
      <c r="D340" s="62"/>
      <c r="E340" s="157"/>
      <c r="F340" s="137"/>
      <c r="G340" s="61"/>
    </row>
    <row r="341" spans="1:7" s="30" customFormat="1" ht="14.45">
      <c r="A341" s="59"/>
      <c r="B341" s="63"/>
      <c r="C341" s="61"/>
      <c r="D341" s="62"/>
      <c r="E341" s="157"/>
      <c r="F341" s="137"/>
      <c r="G341" s="61"/>
    </row>
    <row r="342" spans="1:7" s="30" customFormat="1" ht="14.45">
      <c r="A342" s="59"/>
      <c r="B342" s="63"/>
      <c r="C342" s="61"/>
      <c r="D342" s="62"/>
      <c r="E342" s="157"/>
      <c r="F342" s="137"/>
      <c r="G342" s="61"/>
    </row>
    <row r="343" spans="1:7" s="30" customFormat="1" ht="14.45">
      <c r="A343" s="59"/>
      <c r="B343" s="63"/>
      <c r="C343" s="61"/>
      <c r="D343" s="62"/>
      <c r="E343" s="157"/>
      <c r="F343" s="137"/>
      <c r="G343" s="61"/>
    </row>
    <row r="344" spans="1:7" s="30" customFormat="1" ht="14.45">
      <c r="A344" s="59"/>
      <c r="B344" s="63"/>
      <c r="C344" s="61"/>
      <c r="D344" s="62"/>
      <c r="E344" s="157"/>
      <c r="F344" s="137"/>
      <c r="G344" s="61"/>
    </row>
    <row r="345" spans="1:7" s="30" customFormat="1" ht="14.45">
      <c r="A345" s="59"/>
      <c r="B345" s="63"/>
      <c r="C345" s="61"/>
      <c r="D345" s="62"/>
      <c r="E345" s="157"/>
      <c r="F345" s="137"/>
      <c r="G345" s="61"/>
    </row>
    <row r="346" spans="1:7" s="30" customFormat="1" ht="14.45">
      <c r="A346" s="59"/>
      <c r="B346" s="63"/>
      <c r="C346" s="61"/>
      <c r="D346" s="62"/>
      <c r="E346" s="157"/>
      <c r="F346" s="137"/>
      <c r="G346" s="61"/>
    </row>
    <row r="347" spans="1:7" s="30" customFormat="1" ht="14.45">
      <c r="A347" s="59"/>
      <c r="B347" s="63"/>
      <c r="C347" s="61"/>
      <c r="D347" s="62"/>
      <c r="E347" s="157"/>
      <c r="F347" s="137"/>
      <c r="G347" s="61"/>
    </row>
    <row r="348" spans="1:7" s="30" customFormat="1" ht="14.45">
      <c r="A348" s="59"/>
      <c r="B348" s="63"/>
      <c r="C348" s="61"/>
      <c r="D348" s="62"/>
      <c r="E348" s="157"/>
      <c r="F348" s="137"/>
      <c r="G348" s="61"/>
    </row>
    <row r="349" spans="1:7" s="30" customFormat="1" ht="14.45">
      <c r="A349" s="59"/>
      <c r="B349" s="63"/>
      <c r="C349" s="61"/>
      <c r="D349" s="62"/>
      <c r="E349" s="157"/>
      <c r="F349" s="137"/>
      <c r="G349" s="61"/>
    </row>
    <row r="350" spans="1:7" s="30" customFormat="1" ht="14.45">
      <c r="A350" s="59"/>
      <c r="B350" s="63"/>
      <c r="C350" s="61"/>
      <c r="D350" s="62"/>
      <c r="E350" s="157"/>
      <c r="F350" s="137"/>
      <c r="G350" s="61"/>
    </row>
    <row r="351" spans="1:7" s="30" customFormat="1" ht="14.45">
      <c r="A351" s="59"/>
      <c r="B351" s="63"/>
      <c r="C351" s="61"/>
      <c r="D351" s="62"/>
      <c r="E351" s="157"/>
      <c r="F351" s="137"/>
      <c r="G351" s="61"/>
    </row>
    <row r="352" spans="1:7" s="30" customFormat="1" ht="14.45">
      <c r="A352" s="59"/>
      <c r="B352" s="63"/>
      <c r="C352" s="61"/>
      <c r="D352" s="62"/>
      <c r="E352" s="157"/>
      <c r="F352" s="137"/>
      <c r="G352" s="61"/>
    </row>
    <row r="353" spans="1:7" s="30" customFormat="1" ht="14.45">
      <c r="A353" s="59"/>
      <c r="B353" s="63"/>
      <c r="C353" s="61"/>
      <c r="D353" s="62"/>
      <c r="E353" s="157"/>
      <c r="F353" s="137"/>
      <c r="G353" s="61"/>
    </row>
    <row r="354" spans="1:7" s="30" customFormat="1" ht="14.45">
      <c r="A354" s="59"/>
      <c r="B354" s="63"/>
      <c r="C354" s="61"/>
      <c r="D354" s="62"/>
      <c r="E354" s="157"/>
      <c r="F354" s="137"/>
      <c r="G354" s="61"/>
    </row>
    <row r="355" spans="1:7" s="30" customFormat="1" ht="14.45">
      <c r="A355" s="59"/>
      <c r="B355" s="63"/>
      <c r="C355" s="61"/>
      <c r="D355" s="62"/>
      <c r="E355" s="157"/>
      <c r="F355" s="137"/>
      <c r="G355" s="61"/>
    </row>
    <row r="356" spans="1:7" s="30" customFormat="1" ht="14.45">
      <c r="A356" s="59"/>
      <c r="B356" s="63"/>
      <c r="C356" s="61"/>
      <c r="D356" s="62"/>
      <c r="E356" s="157"/>
      <c r="F356" s="137"/>
      <c r="G356" s="61"/>
    </row>
    <row r="357" spans="1:7" s="30" customFormat="1" ht="14.45">
      <c r="A357" s="59"/>
      <c r="B357" s="63"/>
      <c r="C357" s="61"/>
      <c r="D357" s="62"/>
      <c r="E357" s="157"/>
      <c r="F357" s="137"/>
      <c r="G357" s="61"/>
    </row>
    <row r="358" spans="1:7" s="30" customFormat="1" ht="14.45">
      <c r="A358" s="59"/>
      <c r="B358" s="63"/>
      <c r="C358" s="61"/>
      <c r="D358" s="62"/>
      <c r="E358" s="157"/>
      <c r="F358" s="137"/>
      <c r="G358" s="61"/>
    </row>
    <row r="359" spans="1:7" s="30" customFormat="1" ht="14.45">
      <c r="A359" s="59"/>
      <c r="B359" s="63"/>
      <c r="C359" s="61"/>
      <c r="D359" s="62"/>
      <c r="E359" s="157"/>
      <c r="F359" s="137"/>
      <c r="G359" s="61"/>
    </row>
    <row r="360" spans="1:7" s="30" customFormat="1" ht="14.45">
      <c r="A360" s="59"/>
      <c r="B360" s="63"/>
      <c r="C360" s="61"/>
      <c r="D360" s="62"/>
      <c r="E360" s="157"/>
      <c r="F360" s="137"/>
      <c r="G360" s="61"/>
    </row>
    <row r="361" spans="1:7" s="30" customFormat="1" ht="14.45">
      <c r="A361" s="59"/>
      <c r="B361" s="63"/>
      <c r="C361" s="61"/>
      <c r="D361" s="62"/>
      <c r="E361" s="157"/>
      <c r="F361" s="137"/>
      <c r="G361" s="61"/>
    </row>
    <row r="362" spans="1:7" s="30" customFormat="1" ht="14.45">
      <c r="A362" s="59"/>
      <c r="B362" s="63"/>
      <c r="C362" s="61"/>
      <c r="D362" s="62"/>
      <c r="E362" s="157"/>
      <c r="F362" s="137"/>
      <c r="G362" s="61"/>
    </row>
    <row r="363" spans="1:7" s="30" customFormat="1" ht="14.45">
      <c r="A363" s="59"/>
      <c r="B363" s="63"/>
      <c r="C363" s="61"/>
      <c r="D363" s="62"/>
      <c r="E363" s="157"/>
      <c r="F363" s="137"/>
      <c r="G363" s="61"/>
    </row>
    <row r="364" spans="1:7" s="30" customFormat="1" ht="14.45">
      <c r="A364" s="59"/>
      <c r="B364" s="63"/>
      <c r="C364" s="61"/>
      <c r="D364" s="62"/>
      <c r="E364" s="157"/>
      <c r="F364" s="137"/>
      <c r="G364" s="61"/>
    </row>
    <row r="365" spans="1:7" s="30" customFormat="1" ht="14.45">
      <c r="A365" s="71"/>
      <c r="B365" s="72"/>
      <c r="C365" s="73"/>
      <c r="D365" s="74"/>
      <c r="E365" s="159"/>
      <c r="F365" s="138"/>
      <c r="G365" s="73"/>
    </row>
    <row r="366" spans="1:7" s="30" customFormat="1" ht="14.45">
      <c r="A366" s="75"/>
      <c r="B366" s="76"/>
      <c r="C366" s="77" t="s">
        <v>30</v>
      </c>
      <c r="D366" s="77"/>
      <c r="E366" s="160" t="s">
        <v>8</v>
      </c>
      <c r="F366" s="139">
        <f>SUM(F332:F348)</f>
        <v>178957.35</v>
      </c>
      <c r="G366" s="77"/>
    </row>
    <row r="367" spans="1:7" s="30" customFormat="1" ht="14.45">
      <c r="A367" s="75"/>
      <c r="B367" s="76"/>
      <c r="C367" s="78"/>
      <c r="D367" s="79"/>
      <c r="E367" s="161"/>
      <c r="F367" s="140"/>
      <c r="G367" s="78"/>
    </row>
    <row r="368" spans="1:7" s="30" customFormat="1" ht="14.45">
      <c r="A368" s="59"/>
      <c r="B368" s="63"/>
      <c r="C368" s="61"/>
      <c r="D368" s="62"/>
      <c r="E368" s="157"/>
      <c r="F368" s="137"/>
      <c r="G368" s="61"/>
    </row>
    <row r="369" spans="1:7" s="30" customFormat="1" ht="14.45">
      <c r="A369" s="59"/>
      <c r="B369" s="64" t="s">
        <v>1039</v>
      </c>
      <c r="C369" s="61"/>
      <c r="D369" s="62"/>
      <c r="E369" s="157"/>
      <c r="F369" s="137"/>
      <c r="G369" s="61"/>
    </row>
    <row r="370" spans="1:7" s="30" customFormat="1" ht="14.45">
      <c r="A370" s="59"/>
      <c r="B370" s="100"/>
      <c r="C370" s="61"/>
      <c r="D370" s="62"/>
      <c r="E370" s="157"/>
      <c r="F370" s="137"/>
      <c r="G370" s="61"/>
    </row>
    <row r="371" spans="1:7" s="30" customFormat="1" ht="14.45">
      <c r="A371" s="66"/>
      <c r="B371" s="99" t="s">
        <v>11</v>
      </c>
      <c r="C371" s="68"/>
      <c r="D371" s="69"/>
      <c r="E371" s="157"/>
      <c r="F371" s="137"/>
      <c r="G371" s="68"/>
    </row>
    <row r="372" spans="1:7" s="30" customFormat="1" ht="14.45">
      <c r="A372" s="59"/>
      <c r="B372" s="100"/>
      <c r="C372" s="61"/>
      <c r="D372" s="62"/>
      <c r="E372" s="157"/>
      <c r="F372" s="137"/>
      <c r="G372" s="61"/>
    </row>
    <row r="373" spans="1:7" s="30" customFormat="1" ht="27.6">
      <c r="A373" s="66"/>
      <c r="B373" s="99" t="s">
        <v>1040</v>
      </c>
      <c r="C373" s="68"/>
      <c r="D373" s="69"/>
      <c r="E373" s="157"/>
      <c r="F373" s="137"/>
      <c r="G373" s="68"/>
    </row>
    <row r="374" spans="1:7" s="30" customFormat="1" ht="14.45">
      <c r="A374" s="59"/>
      <c r="B374" s="100"/>
      <c r="C374" s="61"/>
      <c r="D374" s="62"/>
      <c r="E374" s="157"/>
      <c r="F374" s="137"/>
      <c r="G374" s="61"/>
    </row>
    <row r="375" spans="1:7" s="30" customFormat="1" ht="14.45">
      <c r="A375" s="66"/>
      <c r="B375" s="98" t="s">
        <v>1041</v>
      </c>
      <c r="C375" s="68"/>
      <c r="D375" s="69"/>
      <c r="E375" s="157"/>
      <c r="F375" s="137"/>
      <c r="G375" s="68"/>
    </row>
    <row r="376" spans="1:7" s="30" customFormat="1" ht="14.45">
      <c r="A376" s="59"/>
      <c r="B376" s="100"/>
      <c r="C376" s="61"/>
      <c r="D376" s="62"/>
      <c r="E376" s="157"/>
      <c r="F376" s="137"/>
      <c r="G376" s="61"/>
    </row>
    <row r="377" spans="1:7" s="30" customFormat="1" ht="69">
      <c r="A377" s="66"/>
      <c r="B377" s="98" t="s">
        <v>1042</v>
      </c>
      <c r="C377" s="68"/>
      <c r="D377" s="69"/>
      <c r="E377" s="157"/>
      <c r="F377" s="137"/>
      <c r="G377" s="68"/>
    </row>
    <row r="378" spans="1:7" s="30" customFormat="1" ht="14.45">
      <c r="A378" s="59"/>
      <c r="B378" s="100"/>
      <c r="C378" s="61"/>
      <c r="D378" s="62"/>
      <c r="E378" s="157"/>
      <c r="F378" s="137"/>
      <c r="G378" s="61"/>
    </row>
    <row r="379" spans="1:7" s="30" customFormat="1" ht="27.6">
      <c r="A379" s="66" t="s">
        <v>14</v>
      </c>
      <c r="B379" s="67" t="s">
        <v>1043</v>
      </c>
      <c r="C379" s="68" t="s">
        <v>304</v>
      </c>
      <c r="D379" s="69" t="s">
        <v>1044</v>
      </c>
      <c r="E379" s="157">
        <v>963150.52</v>
      </c>
      <c r="F379" s="137">
        <f>C379*E379</f>
        <v>963150.52</v>
      </c>
      <c r="G379" s="68"/>
    </row>
    <row r="380" spans="1:7" s="30" customFormat="1" ht="14.45">
      <c r="A380" s="59"/>
      <c r="B380" s="100"/>
      <c r="C380" s="61"/>
      <c r="D380" s="62"/>
      <c r="E380" s="157"/>
      <c r="F380" s="137"/>
      <c r="G380" s="61"/>
    </row>
    <row r="381" spans="1:7" s="30" customFormat="1" ht="27.6">
      <c r="A381" s="66" t="s">
        <v>17</v>
      </c>
      <c r="B381" s="67" t="s">
        <v>1045</v>
      </c>
      <c r="C381" s="68" t="s">
        <v>304</v>
      </c>
      <c r="D381" s="69" t="s">
        <v>1044</v>
      </c>
      <c r="E381" s="157">
        <v>323835.86</v>
      </c>
      <c r="F381" s="137">
        <f>C381*E381</f>
        <v>323835.86</v>
      </c>
      <c r="G381" s="68"/>
    </row>
    <row r="382" spans="1:7" s="30" customFormat="1" ht="14.45">
      <c r="A382" s="59"/>
      <c r="B382" s="100"/>
      <c r="C382" s="61"/>
      <c r="D382" s="62"/>
      <c r="E382" s="157"/>
      <c r="F382" s="137"/>
      <c r="G382" s="61"/>
    </row>
    <row r="383" spans="1:7" s="30" customFormat="1" ht="27.6">
      <c r="A383" s="66" t="s">
        <v>20</v>
      </c>
      <c r="B383" s="67" t="s">
        <v>1046</v>
      </c>
      <c r="C383" s="68" t="s">
        <v>335</v>
      </c>
      <c r="D383" s="69" t="s">
        <v>1044</v>
      </c>
      <c r="E383" s="157">
        <v>30607.71</v>
      </c>
      <c r="F383" s="137">
        <f>C383*E383</f>
        <v>91823.13</v>
      </c>
      <c r="G383" s="68"/>
    </row>
    <row r="384" spans="1:7" s="30" customFormat="1" ht="14.45">
      <c r="A384" s="59"/>
      <c r="B384" s="100"/>
      <c r="C384" s="61"/>
      <c r="D384" s="62"/>
      <c r="E384" s="157"/>
      <c r="F384" s="137"/>
      <c r="G384" s="61"/>
    </row>
    <row r="385" spans="1:7" s="30" customFormat="1" ht="69">
      <c r="A385" s="66"/>
      <c r="B385" s="98" t="s">
        <v>1047</v>
      </c>
      <c r="C385" s="68"/>
      <c r="D385" s="69"/>
      <c r="E385" s="157"/>
      <c r="F385" s="137"/>
      <c r="G385" s="68"/>
    </row>
    <row r="386" spans="1:7" s="30" customFormat="1" ht="14.45">
      <c r="A386" s="59"/>
      <c r="B386" s="100"/>
      <c r="C386" s="61"/>
      <c r="D386" s="62"/>
      <c r="E386" s="157"/>
      <c r="F386" s="137"/>
      <c r="G386" s="61"/>
    </row>
    <row r="387" spans="1:7" s="30" customFormat="1" ht="27.6">
      <c r="A387" s="66" t="s">
        <v>23</v>
      </c>
      <c r="B387" s="67" t="s">
        <v>1048</v>
      </c>
      <c r="C387" s="68" t="s">
        <v>304</v>
      </c>
      <c r="D387" s="69" t="s">
        <v>1044</v>
      </c>
      <c r="E387" s="157">
        <v>60588.639999999999</v>
      </c>
      <c r="F387" s="137">
        <f>C387*E387</f>
        <v>60588.639999999999</v>
      </c>
      <c r="G387" s="68"/>
    </row>
    <row r="388" spans="1:7" s="30" customFormat="1" ht="14.45">
      <c r="A388" s="59"/>
      <c r="B388" s="100"/>
      <c r="C388" s="61"/>
      <c r="D388" s="62"/>
      <c r="E388" s="157"/>
      <c r="F388" s="137"/>
      <c r="G388" s="61"/>
    </row>
    <row r="389" spans="1:7" s="30" customFormat="1" ht="14.45">
      <c r="A389" s="66" t="s">
        <v>27</v>
      </c>
      <c r="B389" s="67" t="s">
        <v>1049</v>
      </c>
      <c r="C389" s="68" t="s">
        <v>304</v>
      </c>
      <c r="D389" s="69" t="s">
        <v>1044</v>
      </c>
      <c r="E389" s="157">
        <v>86871.58</v>
      </c>
      <c r="F389" s="137">
        <f>C389*E389</f>
        <v>86871.58</v>
      </c>
      <c r="G389" s="68"/>
    </row>
    <row r="390" spans="1:7" s="30" customFormat="1" ht="14.45">
      <c r="A390" s="59"/>
      <c r="B390" s="100"/>
      <c r="C390" s="61"/>
      <c r="D390" s="62"/>
      <c r="E390" s="157"/>
      <c r="F390" s="137"/>
      <c r="G390" s="61"/>
    </row>
    <row r="391" spans="1:7" s="30" customFormat="1" ht="41.45">
      <c r="A391" s="66"/>
      <c r="B391" s="98" t="s">
        <v>1050</v>
      </c>
      <c r="C391" s="68"/>
      <c r="D391" s="69"/>
      <c r="E391" s="157"/>
      <c r="F391" s="137"/>
      <c r="G391" s="68"/>
    </row>
    <row r="392" spans="1:7" s="30" customFormat="1" ht="14.45">
      <c r="A392" s="59"/>
      <c r="B392" s="100"/>
      <c r="C392" s="61"/>
      <c r="D392" s="62"/>
      <c r="E392" s="157"/>
      <c r="F392" s="137"/>
      <c r="G392" s="61"/>
    </row>
    <row r="393" spans="1:7" s="30" customFormat="1" ht="27.6">
      <c r="A393" s="66" t="s">
        <v>44</v>
      </c>
      <c r="B393" s="67" t="s">
        <v>1051</v>
      </c>
      <c r="C393" s="68" t="s">
        <v>65</v>
      </c>
      <c r="D393" s="69" t="s">
        <v>1044</v>
      </c>
      <c r="E393" s="157"/>
      <c r="F393" s="137" t="s">
        <v>1052</v>
      </c>
      <c r="G393" s="68"/>
    </row>
    <row r="394" spans="1:7" s="30" customFormat="1" ht="14.45">
      <c r="A394" s="59"/>
      <c r="B394" s="63"/>
      <c r="C394" s="61"/>
      <c r="D394" s="62"/>
      <c r="E394" s="157"/>
      <c r="F394" s="137"/>
      <c r="G394" s="61"/>
    </row>
    <row r="395" spans="1:7" s="30" customFormat="1" ht="14.45">
      <c r="A395" s="59"/>
      <c r="B395" s="63"/>
      <c r="C395" s="61"/>
      <c r="D395" s="62"/>
      <c r="E395" s="157"/>
      <c r="F395" s="137"/>
      <c r="G395" s="61"/>
    </row>
    <row r="396" spans="1:7" s="30" customFormat="1" ht="14.45">
      <c r="A396" s="59"/>
      <c r="B396" s="63"/>
      <c r="C396" s="61"/>
      <c r="D396" s="62"/>
      <c r="E396" s="157"/>
      <c r="F396" s="137"/>
      <c r="G396" s="61"/>
    </row>
    <row r="397" spans="1:7" s="30" customFormat="1" ht="14.45">
      <c r="A397" s="59"/>
      <c r="B397" s="63"/>
      <c r="C397" s="61"/>
      <c r="D397" s="62"/>
      <c r="E397" s="157"/>
      <c r="F397" s="137"/>
      <c r="G397" s="61"/>
    </row>
    <row r="398" spans="1:7" s="30" customFormat="1" ht="14.45">
      <c r="A398" s="59"/>
      <c r="B398" s="63"/>
      <c r="C398" s="61"/>
      <c r="D398" s="62"/>
      <c r="E398" s="157"/>
      <c r="F398" s="137"/>
      <c r="G398" s="61"/>
    </row>
    <row r="399" spans="1:7" s="30" customFormat="1" ht="14.45">
      <c r="A399" s="71"/>
      <c r="B399" s="72"/>
      <c r="C399" s="73"/>
      <c r="D399" s="74"/>
      <c r="E399" s="159"/>
      <c r="F399" s="138"/>
      <c r="G399" s="73"/>
    </row>
    <row r="400" spans="1:7" s="30" customFormat="1" ht="14.45">
      <c r="A400" s="75"/>
      <c r="B400" s="76"/>
      <c r="C400" s="77" t="s">
        <v>30</v>
      </c>
      <c r="D400" s="77"/>
      <c r="E400" s="160" t="s">
        <v>8</v>
      </c>
      <c r="F400" s="139">
        <f>SUM(F377:F396)</f>
        <v>1526269.7299999997</v>
      </c>
      <c r="G400" s="77"/>
    </row>
    <row r="401" spans="1:7" s="30" customFormat="1" ht="14.45">
      <c r="A401" s="75"/>
      <c r="B401" s="76"/>
      <c r="C401" s="78"/>
      <c r="D401" s="79"/>
      <c r="E401" s="161"/>
      <c r="F401" s="140"/>
      <c r="G401" s="78"/>
    </row>
    <row r="402" spans="1:7" s="30" customFormat="1" ht="14.45">
      <c r="A402" s="59"/>
      <c r="B402" s="63"/>
      <c r="C402" s="61"/>
      <c r="D402" s="62"/>
      <c r="E402" s="157"/>
      <c r="F402" s="137"/>
      <c r="G402" s="61"/>
    </row>
    <row r="403" spans="1:7" s="30" customFormat="1" ht="14.45">
      <c r="A403" s="59"/>
      <c r="B403" s="64" t="s">
        <v>1053</v>
      </c>
      <c r="C403" s="61"/>
      <c r="D403" s="62"/>
      <c r="E403" s="157"/>
      <c r="F403" s="137"/>
      <c r="G403" s="61"/>
    </row>
    <row r="404" spans="1:7" s="30" customFormat="1" ht="14.45">
      <c r="A404" s="59"/>
      <c r="B404" s="100"/>
      <c r="C404" s="61"/>
      <c r="D404" s="62"/>
      <c r="E404" s="157"/>
      <c r="F404" s="137"/>
      <c r="G404" s="61"/>
    </row>
    <row r="405" spans="1:7" s="30" customFormat="1" ht="69">
      <c r="A405" s="66"/>
      <c r="B405" s="98" t="s">
        <v>1054</v>
      </c>
      <c r="C405" s="68"/>
      <c r="D405" s="69"/>
      <c r="E405" s="157"/>
      <c r="F405" s="137"/>
      <c r="G405" s="68"/>
    </row>
    <row r="406" spans="1:7" s="30" customFormat="1" ht="14.45">
      <c r="A406" s="59"/>
      <c r="B406" s="100"/>
      <c r="C406" s="61"/>
      <c r="D406" s="62"/>
      <c r="E406" s="157"/>
      <c r="F406" s="137"/>
      <c r="G406" s="61"/>
    </row>
    <row r="407" spans="1:7" s="30" customFormat="1" ht="41.45">
      <c r="A407" s="66" t="s">
        <v>14</v>
      </c>
      <c r="B407" s="67" t="s">
        <v>1055</v>
      </c>
      <c r="C407" s="68">
        <v>22</v>
      </c>
      <c r="D407" s="69" t="s">
        <v>1044</v>
      </c>
      <c r="E407" s="157">
        <v>4074.06</v>
      </c>
      <c r="F407" s="137">
        <f>C407*E407</f>
        <v>89629.319999999992</v>
      </c>
      <c r="G407" s="68"/>
    </row>
    <row r="408" spans="1:7" s="30" customFormat="1" ht="14.45">
      <c r="A408" s="59"/>
      <c r="B408" s="100"/>
      <c r="C408" s="61"/>
      <c r="D408" s="62"/>
      <c r="E408" s="157"/>
      <c r="F408" s="137"/>
      <c r="G408" s="61"/>
    </row>
    <row r="409" spans="1:7" s="30" customFormat="1" ht="27.6">
      <c r="A409" s="66" t="s">
        <v>17</v>
      </c>
      <c r="B409" s="67" t="s">
        <v>1056</v>
      </c>
      <c r="C409" s="68" t="s">
        <v>39</v>
      </c>
      <c r="D409" s="69" t="s">
        <v>1044</v>
      </c>
      <c r="E409" s="157">
        <v>9582.41</v>
      </c>
      <c r="F409" s="137">
        <f>C409*E409</f>
        <v>57494.46</v>
      </c>
      <c r="G409" s="68"/>
    </row>
    <row r="410" spans="1:7" s="30" customFormat="1" ht="14.45">
      <c r="A410" s="59"/>
      <c r="B410" s="100"/>
      <c r="C410" s="61"/>
      <c r="D410" s="62"/>
      <c r="E410" s="157"/>
      <c r="F410" s="137"/>
      <c r="G410" s="61"/>
    </row>
    <row r="411" spans="1:7" s="30" customFormat="1" ht="27.6">
      <c r="A411" s="66" t="s">
        <v>20</v>
      </c>
      <c r="B411" s="67" t="s">
        <v>1057</v>
      </c>
      <c r="C411" s="68" t="s">
        <v>332</v>
      </c>
      <c r="D411" s="69" t="s">
        <v>1044</v>
      </c>
      <c r="E411" s="157">
        <v>5310.61</v>
      </c>
      <c r="F411" s="137">
        <f>C411*E411</f>
        <v>53106.1</v>
      </c>
      <c r="G411" s="68"/>
    </row>
    <row r="412" spans="1:7" s="30" customFormat="1" ht="14.45">
      <c r="A412" s="59"/>
      <c r="B412" s="100"/>
      <c r="C412" s="61"/>
      <c r="D412" s="62"/>
      <c r="E412" s="157"/>
      <c r="F412" s="137"/>
      <c r="G412" s="61"/>
    </row>
    <row r="413" spans="1:7" s="30" customFormat="1" ht="27.6">
      <c r="A413" s="66" t="s">
        <v>23</v>
      </c>
      <c r="B413" s="67" t="s">
        <v>1058</v>
      </c>
      <c r="C413" s="68" t="s">
        <v>62</v>
      </c>
      <c r="D413" s="69" t="s">
        <v>1044</v>
      </c>
      <c r="E413" s="157">
        <v>6621.3</v>
      </c>
      <c r="F413" s="137">
        <f>C413*E413</f>
        <v>33106.5</v>
      </c>
      <c r="G413" s="68"/>
    </row>
    <row r="414" spans="1:7" s="30" customFormat="1" ht="14.45">
      <c r="A414" s="59"/>
      <c r="B414" s="100"/>
      <c r="C414" s="61"/>
      <c r="D414" s="62"/>
      <c r="E414" s="157"/>
      <c r="F414" s="137"/>
      <c r="G414" s="61"/>
    </row>
    <row r="415" spans="1:7" s="30" customFormat="1" ht="69">
      <c r="A415" s="66"/>
      <c r="B415" s="98" t="s">
        <v>1059</v>
      </c>
      <c r="C415" s="68"/>
      <c r="D415" s="69"/>
      <c r="E415" s="157"/>
      <c r="F415" s="137"/>
      <c r="G415" s="68"/>
    </row>
    <row r="416" spans="1:7" s="30" customFormat="1" ht="14.45">
      <c r="A416" s="59"/>
      <c r="B416" s="100"/>
      <c r="C416" s="61"/>
      <c r="D416" s="62"/>
      <c r="E416" s="157"/>
      <c r="F416" s="137"/>
      <c r="G416" s="61"/>
    </row>
    <row r="417" spans="1:7" s="30" customFormat="1" ht="14.45">
      <c r="A417" s="66" t="s">
        <v>27</v>
      </c>
      <c r="B417" s="67" t="s">
        <v>1060</v>
      </c>
      <c r="C417" s="68" t="s">
        <v>304</v>
      </c>
      <c r="D417" s="69" t="s">
        <v>1044</v>
      </c>
      <c r="E417" s="157">
        <v>1034.19</v>
      </c>
      <c r="F417" s="137">
        <f>C417*E417</f>
        <v>1034.19</v>
      </c>
      <c r="G417" s="68"/>
    </row>
    <row r="418" spans="1:7" s="30" customFormat="1" ht="14.45">
      <c r="A418" s="59"/>
      <c r="B418" s="100"/>
      <c r="C418" s="61"/>
      <c r="D418" s="62"/>
      <c r="E418" s="157"/>
      <c r="F418" s="137"/>
      <c r="G418" s="61"/>
    </row>
    <row r="419" spans="1:7" s="30" customFormat="1" ht="96.6">
      <c r="A419" s="66"/>
      <c r="B419" s="98" t="s">
        <v>1061</v>
      </c>
      <c r="C419" s="68"/>
      <c r="D419" s="69"/>
      <c r="E419" s="157"/>
      <c r="F419" s="137"/>
      <c r="G419" s="68"/>
    </row>
    <row r="420" spans="1:7" s="30" customFormat="1" ht="14.45">
      <c r="A420" s="59"/>
      <c r="B420" s="100"/>
      <c r="C420" s="61"/>
      <c r="D420" s="62"/>
      <c r="E420" s="157"/>
      <c r="F420" s="137"/>
      <c r="G420" s="61"/>
    </row>
    <row r="421" spans="1:7" s="30" customFormat="1" ht="27.6">
      <c r="A421" s="66" t="s">
        <v>44</v>
      </c>
      <c r="B421" s="67" t="s">
        <v>1062</v>
      </c>
      <c r="C421" s="68" t="s">
        <v>335</v>
      </c>
      <c r="D421" s="69" t="s">
        <v>1044</v>
      </c>
      <c r="E421" s="157">
        <v>5745.47</v>
      </c>
      <c r="F421" s="137">
        <f>C421*E421</f>
        <v>17236.41</v>
      </c>
      <c r="G421" s="68"/>
    </row>
    <row r="422" spans="1:7" s="30" customFormat="1" ht="14.45">
      <c r="A422" s="59"/>
      <c r="B422" s="63"/>
      <c r="C422" s="61"/>
      <c r="D422" s="62"/>
      <c r="E422" s="157"/>
      <c r="F422" s="137"/>
      <c r="G422" s="61"/>
    </row>
    <row r="423" spans="1:7" s="30" customFormat="1" ht="14.45">
      <c r="A423" s="59"/>
      <c r="B423" s="63"/>
      <c r="C423" s="61"/>
      <c r="D423" s="62"/>
      <c r="E423" s="157"/>
      <c r="F423" s="137"/>
      <c r="G423" s="61"/>
    </row>
    <row r="424" spans="1:7" s="30" customFormat="1" ht="14.45">
      <c r="A424" s="59"/>
      <c r="B424" s="63"/>
      <c r="C424" s="61"/>
      <c r="D424" s="62"/>
      <c r="E424" s="157"/>
      <c r="F424" s="137"/>
      <c r="G424" s="61"/>
    </row>
    <row r="425" spans="1:7" s="30" customFormat="1" ht="14.45">
      <c r="A425" s="59"/>
      <c r="B425" s="63"/>
      <c r="C425" s="61"/>
      <c r="D425" s="62"/>
      <c r="E425" s="157"/>
      <c r="F425" s="137"/>
      <c r="G425" s="61"/>
    </row>
    <row r="426" spans="1:7" s="30" customFormat="1" ht="14.45">
      <c r="A426" s="59"/>
      <c r="B426" s="63"/>
      <c r="C426" s="61"/>
      <c r="D426" s="62"/>
      <c r="E426" s="157"/>
      <c r="F426" s="137"/>
      <c r="G426" s="61"/>
    </row>
    <row r="427" spans="1:7" s="30" customFormat="1" ht="14.45">
      <c r="A427" s="59"/>
      <c r="B427" s="63"/>
      <c r="C427" s="61"/>
      <c r="D427" s="62"/>
      <c r="E427" s="157"/>
      <c r="F427" s="137"/>
      <c r="G427" s="61"/>
    </row>
    <row r="428" spans="1:7" s="30" customFormat="1" ht="14.45">
      <c r="A428" s="71"/>
      <c r="B428" s="72"/>
      <c r="C428" s="73"/>
      <c r="D428" s="74"/>
      <c r="E428" s="159"/>
      <c r="F428" s="138"/>
      <c r="G428" s="73"/>
    </row>
    <row r="429" spans="1:7" s="30" customFormat="1" ht="14.45">
      <c r="A429" s="75"/>
      <c r="B429" s="76"/>
      <c r="C429" s="77" t="s">
        <v>30</v>
      </c>
      <c r="D429" s="77"/>
      <c r="E429" s="160" t="s">
        <v>8</v>
      </c>
      <c r="F429" s="139">
        <f>SUM(F406:F424)</f>
        <v>251606.98</v>
      </c>
      <c r="G429" s="77"/>
    </row>
    <row r="430" spans="1:7" s="30" customFormat="1" ht="14.45">
      <c r="A430" s="75"/>
      <c r="B430" s="76"/>
      <c r="C430" s="78"/>
      <c r="D430" s="79"/>
      <c r="E430" s="161"/>
      <c r="F430" s="140"/>
      <c r="G430" s="78"/>
    </row>
    <row r="431" spans="1:7" s="30" customFormat="1" ht="14.45">
      <c r="A431" s="59"/>
      <c r="B431" s="63"/>
      <c r="C431" s="61"/>
      <c r="D431" s="62"/>
      <c r="E431" s="157"/>
      <c r="F431" s="137"/>
      <c r="G431" s="61"/>
    </row>
    <row r="432" spans="1:7" s="30" customFormat="1" ht="14.45">
      <c r="A432" s="59"/>
      <c r="B432" s="64" t="s">
        <v>1053</v>
      </c>
      <c r="C432" s="61"/>
      <c r="D432" s="62"/>
      <c r="E432" s="157"/>
      <c r="F432" s="137"/>
      <c r="G432" s="61"/>
    </row>
    <row r="433" spans="1:7" s="30" customFormat="1" ht="14.45">
      <c r="A433" s="59"/>
      <c r="B433" s="100"/>
      <c r="C433" s="61"/>
      <c r="D433" s="62"/>
      <c r="E433" s="157"/>
      <c r="F433" s="137"/>
      <c r="G433" s="61"/>
    </row>
    <row r="434" spans="1:7" s="30" customFormat="1" ht="69">
      <c r="A434" s="66"/>
      <c r="B434" s="98" t="s">
        <v>1063</v>
      </c>
      <c r="C434" s="68"/>
      <c r="D434" s="69"/>
      <c r="E434" s="157"/>
      <c r="F434" s="137"/>
      <c r="G434" s="68"/>
    </row>
    <row r="435" spans="1:7" s="30" customFormat="1" ht="14.45">
      <c r="A435" s="59"/>
      <c r="B435" s="100"/>
      <c r="C435" s="61"/>
      <c r="D435" s="62"/>
      <c r="E435" s="157"/>
      <c r="F435" s="137"/>
      <c r="G435" s="61"/>
    </row>
    <row r="436" spans="1:7" s="30" customFormat="1" ht="27.6">
      <c r="A436" s="66" t="s">
        <v>14</v>
      </c>
      <c r="B436" s="67" t="s">
        <v>1064</v>
      </c>
      <c r="C436" s="68" t="s">
        <v>304</v>
      </c>
      <c r="D436" s="69" t="s">
        <v>1044</v>
      </c>
      <c r="E436" s="157">
        <v>4512.8100000000004</v>
      </c>
      <c r="F436" s="137">
        <f>C436*E436</f>
        <v>4512.8100000000004</v>
      </c>
      <c r="G436" s="68"/>
    </row>
    <row r="437" spans="1:7" s="30" customFormat="1" ht="14.45">
      <c r="A437" s="59"/>
      <c r="B437" s="100"/>
      <c r="C437" s="61"/>
      <c r="D437" s="62"/>
      <c r="E437" s="157"/>
      <c r="F437" s="137"/>
      <c r="G437" s="61"/>
    </row>
    <row r="438" spans="1:7" s="30" customFormat="1" ht="14.45">
      <c r="A438" s="66"/>
      <c r="B438" s="98" t="s">
        <v>1065</v>
      </c>
      <c r="C438" s="68"/>
      <c r="D438" s="69"/>
      <c r="E438" s="157"/>
      <c r="F438" s="137"/>
      <c r="G438" s="68"/>
    </row>
    <row r="439" spans="1:7" s="30" customFormat="1" ht="14.45">
      <c r="A439" s="59"/>
      <c r="B439" s="100"/>
      <c r="C439" s="61"/>
      <c r="D439" s="62"/>
      <c r="E439" s="157"/>
      <c r="F439" s="137"/>
      <c r="G439" s="61"/>
    </row>
    <row r="440" spans="1:7" s="30" customFormat="1" ht="82.9">
      <c r="A440" s="66"/>
      <c r="B440" s="98" t="s">
        <v>1066</v>
      </c>
      <c r="C440" s="68"/>
      <c r="D440" s="69"/>
      <c r="E440" s="157"/>
      <c r="F440" s="137"/>
      <c r="G440" s="68"/>
    </row>
    <row r="441" spans="1:7" s="30" customFormat="1" ht="14.45">
      <c r="A441" s="59"/>
      <c r="B441" s="100"/>
      <c r="C441" s="61"/>
      <c r="D441" s="62"/>
      <c r="E441" s="157"/>
      <c r="F441" s="137"/>
      <c r="G441" s="61"/>
    </row>
    <row r="442" spans="1:7" s="30" customFormat="1" ht="27.6">
      <c r="A442" s="66" t="s">
        <v>17</v>
      </c>
      <c r="B442" s="67" t="s">
        <v>1067</v>
      </c>
      <c r="C442" s="68" t="s">
        <v>716</v>
      </c>
      <c r="D442" s="69" t="s">
        <v>1044</v>
      </c>
      <c r="E442" s="157">
        <v>10185.16</v>
      </c>
      <c r="F442" s="137">
        <f>C442*E442</f>
        <v>244443.84</v>
      </c>
      <c r="G442" s="68"/>
    </row>
    <row r="443" spans="1:7" s="30" customFormat="1" ht="14.45">
      <c r="A443" s="59"/>
      <c r="B443" s="100"/>
      <c r="C443" s="61"/>
      <c r="D443" s="62"/>
      <c r="E443" s="157"/>
      <c r="F443" s="137"/>
      <c r="G443" s="61"/>
    </row>
    <row r="444" spans="1:7" s="30" customFormat="1" ht="110.45">
      <c r="A444" s="66"/>
      <c r="B444" s="98" t="s">
        <v>1068</v>
      </c>
      <c r="C444" s="68"/>
      <c r="D444" s="69"/>
      <c r="E444" s="157"/>
      <c r="F444" s="137"/>
      <c r="G444" s="68"/>
    </row>
    <row r="445" spans="1:7" s="30" customFormat="1" ht="14.45">
      <c r="A445" s="59"/>
      <c r="B445" s="100"/>
      <c r="C445" s="61"/>
      <c r="D445" s="62"/>
      <c r="E445" s="157"/>
      <c r="F445" s="137"/>
      <c r="G445" s="61"/>
    </row>
    <row r="446" spans="1:7" s="30" customFormat="1" ht="14.45">
      <c r="A446" s="66" t="s">
        <v>20</v>
      </c>
      <c r="B446" s="67" t="s">
        <v>1069</v>
      </c>
      <c r="C446" s="68" t="s">
        <v>781</v>
      </c>
      <c r="D446" s="69" t="s">
        <v>1044</v>
      </c>
      <c r="E446" s="157">
        <v>1410.25</v>
      </c>
      <c r="F446" s="137">
        <f>C446*E446</f>
        <v>42307.5</v>
      </c>
      <c r="G446" s="68"/>
    </row>
    <row r="447" spans="1:7" s="30" customFormat="1" ht="14.45">
      <c r="A447" s="59"/>
      <c r="B447" s="100"/>
      <c r="C447" s="61"/>
      <c r="D447" s="62"/>
      <c r="E447" s="157"/>
      <c r="F447" s="137"/>
      <c r="G447" s="61"/>
    </row>
    <row r="448" spans="1:7" s="30" customFormat="1" ht="96.6">
      <c r="A448" s="66"/>
      <c r="B448" s="98" t="s">
        <v>1070</v>
      </c>
      <c r="C448" s="68"/>
      <c r="D448" s="69"/>
      <c r="E448" s="157"/>
      <c r="F448" s="137"/>
      <c r="G448" s="68"/>
    </row>
    <row r="449" spans="1:7" s="30" customFormat="1" ht="14.45">
      <c r="A449" s="59"/>
      <c r="B449" s="100"/>
      <c r="C449" s="61"/>
      <c r="D449" s="62"/>
      <c r="E449" s="157"/>
      <c r="F449" s="137"/>
      <c r="G449" s="61"/>
    </row>
    <row r="450" spans="1:7" s="30" customFormat="1" ht="14.45">
      <c r="A450" s="66" t="s">
        <v>23</v>
      </c>
      <c r="B450" s="81" t="s">
        <v>1071</v>
      </c>
      <c r="C450" s="68" t="s">
        <v>1072</v>
      </c>
      <c r="D450" s="69" t="s">
        <v>1044</v>
      </c>
      <c r="E450" s="157">
        <v>8258.7999999999993</v>
      </c>
      <c r="F450" s="137">
        <f>C450*E450</f>
        <v>140399.59999999998</v>
      </c>
      <c r="G450" s="68"/>
    </row>
    <row r="451" spans="1:7" s="30" customFormat="1" ht="14.45">
      <c r="A451" s="59"/>
      <c r="B451" s="63"/>
      <c r="C451" s="61"/>
      <c r="D451" s="62"/>
      <c r="E451" s="157"/>
      <c r="F451" s="137"/>
      <c r="G451" s="61"/>
    </row>
    <row r="452" spans="1:7" s="30" customFormat="1" ht="14.45">
      <c r="A452" s="59"/>
      <c r="B452" s="63"/>
      <c r="C452" s="61"/>
      <c r="D452" s="62"/>
      <c r="E452" s="157"/>
      <c r="F452" s="137"/>
      <c r="G452" s="61"/>
    </row>
    <row r="453" spans="1:7" s="30" customFormat="1" ht="14.45">
      <c r="A453" s="71"/>
      <c r="B453" s="72"/>
      <c r="C453" s="73"/>
      <c r="D453" s="74"/>
      <c r="E453" s="159"/>
      <c r="F453" s="138"/>
      <c r="G453" s="73"/>
    </row>
    <row r="454" spans="1:7" s="30" customFormat="1" ht="14.45">
      <c r="A454" s="75"/>
      <c r="B454" s="76"/>
      <c r="C454" s="77" t="s">
        <v>30</v>
      </c>
      <c r="D454" s="77"/>
      <c r="E454" s="160" t="s">
        <v>8</v>
      </c>
      <c r="F454" s="139">
        <f>SUM(F435:F451)</f>
        <v>431663.75</v>
      </c>
      <c r="G454" s="77"/>
    </row>
    <row r="455" spans="1:7" s="30" customFormat="1" ht="14.45">
      <c r="A455" s="75"/>
      <c r="B455" s="76"/>
      <c r="C455" s="78"/>
      <c r="D455" s="79"/>
      <c r="E455" s="161"/>
      <c r="F455" s="140"/>
      <c r="G455" s="78"/>
    </row>
    <row r="456" spans="1:7" s="30" customFormat="1" ht="14.45">
      <c r="A456" s="59"/>
      <c r="B456" s="63"/>
      <c r="C456" s="61"/>
      <c r="D456" s="62"/>
      <c r="E456" s="157"/>
      <c r="F456" s="137"/>
      <c r="G456" s="61"/>
    </row>
    <row r="457" spans="1:7" s="30" customFormat="1" ht="14.45">
      <c r="A457" s="59"/>
      <c r="B457" s="64" t="s">
        <v>1053</v>
      </c>
      <c r="C457" s="61"/>
      <c r="D457" s="62"/>
      <c r="E457" s="157"/>
      <c r="F457" s="137"/>
      <c r="G457" s="61"/>
    </row>
    <row r="458" spans="1:7" s="30" customFormat="1" ht="14.45">
      <c r="A458" s="59"/>
      <c r="B458" s="103"/>
      <c r="C458" s="61"/>
      <c r="D458" s="62"/>
      <c r="E458" s="157"/>
      <c r="F458" s="137"/>
      <c r="G458" s="61"/>
    </row>
    <row r="459" spans="1:7" s="30" customFormat="1" ht="82.9">
      <c r="A459" s="66"/>
      <c r="B459" s="98" t="s">
        <v>1073</v>
      </c>
      <c r="C459" s="68"/>
      <c r="D459" s="69"/>
      <c r="E459" s="157"/>
      <c r="F459" s="137"/>
      <c r="G459" s="68"/>
    </row>
    <row r="460" spans="1:7" s="30" customFormat="1" ht="14.45">
      <c r="A460" s="59"/>
      <c r="B460" s="100"/>
      <c r="C460" s="61"/>
      <c r="D460" s="62"/>
      <c r="E460" s="157"/>
      <c r="F460" s="137"/>
      <c r="G460" s="61"/>
    </row>
    <row r="461" spans="1:7" s="30" customFormat="1" ht="27.6">
      <c r="A461" s="66" t="s">
        <v>14</v>
      </c>
      <c r="B461" s="67" t="s">
        <v>1074</v>
      </c>
      <c r="C461" s="68" t="s">
        <v>325</v>
      </c>
      <c r="D461" s="69" t="s">
        <v>1044</v>
      </c>
      <c r="E461" s="157">
        <v>3133.9</v>
      </c>
      <c r="F461" s="137">
        <f>C461*E461</f>
        <v>21937.3</v>
      </c>
      <c r="G461" s="68"/>
    </row>
    <row r="462" spans="1:7" s="30" customFormat="1" ht="14.45">
      <c r="A462" s="59"/>
      <c r="B462" s="100"/>
      <c r="C462" s="61"/>
      <c r="D462" s="62"/>
      <c r="E462" s="157"/>
      <c r="F462" s="137"/>
      <c r="G462" s="61"/>
    </row>
    <row r="463" spans="1:7" s="30" customFormat="1" ht="82.9">
      <c r="A463" s="66"/>
      <c r="B463" s="98" t="s">
        <v>1075</v>
      </c>
      <c r="C463" s="68"/>
      <c r="D463" s="69"/>
      <c r="E463" s="157"/>
      <c r="F463" s="137"/>
      <c r="G463" s="68"/>
    </row>
    <row r="464" spans="1:7" s="30" customFormat="1" ht="14.45">
      <c r="A464" s="59"/>
      <c r="B464" s="100"/>
      <c r="C464" s="61"/>
      <c r="D464" s="62"/>
      <c r="E464" s="157"/>
      <c r="F464" s="137"/>
      <c r="G464" s="61"/>
    </row>
    <row r="465" spans="1:7" s="30" customFormat="1" ht="27.6">
      <c r="A465" s="66" t="s">
        <v>17</v>
      </c>
      <c r="B465" s="67" t="s">
        <v>1076</v>
      </c>
      <c r="C465" s="68">
        <v>24</v>
      </c>
      <c r="D465" s="69" t="s">
        <v>1044</v>
      </c>
      <c r="E465" s="157">
        <v>7834.74</v>
      </c>
      <c r="F465" s="137">
        <f>C465*E465</f>
        <v>188033.76</v>
      </c>
      <c r="G465" s="68"/>
    </row>
    <row r="466" spans="1:7" s="30" customFormat="1" ht="14.45">
      <c r="A466" s="59"/>
      <c r="B466" s="100"/>
      <c r="C466" s="61"/>
      <c r="D466" s="62"/>
      <c r="E466" s="157"/>
      <c r="F466" s="137"/>
      <c r="G466" s="61"/>
    </row>
    <row r="467" spans="1:7" s="30" customFormat="1" ht="14.45">
      <c r="A467" s="66" t="s">
        <v>20</v>
      </c>
      <c r="B467" s="81" t="s">
        <v>1077</v>
      </c>
      <c r="C467" s="68" t="s">
        <v>1078</v>
      </c>
      <c r="D467" s="69" t="s">
        <v>1044</v>
      </c>
      <c r="E467" s="157">
        <v>1034.19</v>
      </c>
      <c r="F467" s="137">
        <f>C467*E467</f>
        <v>21717.99</v>
      </c>
      <c r="G467" s="68"/>
    </row>
    <row r="468" spans="1:7" s="30" customFormat="1" ht="14.45">
      <c r="A468" s="59"/>
      <c r="B468" s="100"/>
      <c r="C468" s="61"/>
      <c r="D468" s="62"/>
      <c r="E468" s="157"/>
      <c r="F468" s="137"/>
      <c r="G468" s="61"/>
    </row>
    <row r="469" spans="1:7" s="30" customFormat="1" ht="27.6">
      <c r="A469" s="66" t="s">
        <v>23</v>
      </c>
      <c r="B469" s="67" t="s">
        <v>1079</v>
      </c>
      <c r="C469" s="68" t="s">
        <v>781</v>
      </c>
      <c r="D469" s="69" t="s">
        <v>1044</v>
      </c>
      <c r="E469" s="157">
        <v>203.7</v>
      </c>
      <c r="F469" s="137">
        <f>C469*E469</f>
        <v>6111</v>
      </c>
      <c r="G469" s="68"/>
    </row>
    <row r="470" spans="1:7" s="30" customFormat="1" ht="14.45">
      <c r="A470" s="59"/>
      <c r="B470" s="100"/>
      <c r="C470" s="61"/>
      <c r="D470" s="62"/>
      <c r="E470" s="157"/>
      <c r="F470" s="137"/>
      <c r="G470" s="61"/>
    </row>
    <row r="471" spans="1:7" s="30" customFormat="1" ht="14.45">
      <c r="A471" s="66" t="s">
        <v>27</v>
      </c>
      <c r="B471" s="81" t="s">
        <v>1080</v>
      </c>
      <c r="C471" s="68" t="s">
        <v>716</v>
      </c>
      <c r="D471" s="69" t="s">
        <v>1044</v>
      </c>
      <c r="E471" s="157">
        <v>470.08</v>
      </c>
      <c r="F471" s="137">
        <f>C471*E471</f>
        <v>11281.92</v>
      </c>
      <c r="G471" s="68"/>
    </row>
    <row r="472" spans="1:7" s="30" customFormat="1" ht="14.45">
      <c r="A472" s="59"/>
      <c r="B472" s="100"/>
      <c r="C472" s="61"/>
      <c r="D472" s="62"/>
      <c r="E472" s="157"/>
      <c r="F472" s="137"/>
      <c r="G472" s="61"/>
    </row>
    <row r="473" spans="1:7" s="30" customFormat="1" ht="69">
      <c r="A473" s="66"/>
      <c r="B473" s="98" t="s">
        <v>1081</v>
      </c>
      <c r="C473" s="68"/>
      <c r="D473" s="69"/>
      <c r="E473" s="157"/>
      <c r="F473" s="137"/>
      <c r="G473" s="68"/>
    </row>
    <row r="474" spans="1:7" s="30" customFormat="1" ht="14.45">
      <c r="A474" s="59"/>
      <c r="B474" s="100"/>
      <c r="C474" s="61"/>
      <c r="D474" s="62"/>
      <c r="E474" s="157"/>
      <c r="F474" s="137"/>
      <c r="G474" s="61"/>
    </row>
    <row r="475" spans="1:7" s="30" customFormat="1" ht="14.45">
      <c r="A475" s="66" t="s">
        <v>44</v>
      </c>
      <c r="B475" s="81" t="s">
        <v>1082</v>
      </c>
      <c r="C475" s="68" t="s">
        <v>308</v>
      </c>
      <c r="D475" s="69" t="s">
        <v>1044</v>
      </c>
      <c r="E475" s="157">
        <v>4074.06</v>
      </c>
      <c r="F475" s="137">
        <f>C475*E475</f>
        <v>48888.72</v>
      </c>
      <c r="G475" s="68"/>
    </row>
    <row r="476" spans="1:7" s="30" customFormat="1" ht="14.45">
      <c r="A476" s="59"/>
      <c r="B476" s="63"/>
      <c r="C476" s="61"/>
      <c r="D476" s="62"/>
      <c r="E476" s="157"/>
      <c r="F476" s="137"/>
      <c r="G476" s="61"/>
    </row>
    <row r="477" spans="1:7" s="30" customFormat="1" ht="14.45">
      <c r="A477" s="59"/>
      <c r="B477" s="63"/>
      <c r="C477" s="61"/>
      <c r="D477" s="62"/>
      <c r="E477" s="157"/>
      <c r="F477" s="137"/>
      <c r="G477" s="61"/>
    </row>
    <row r="478" spans="1:7" s="30" customFormat="1" ht="14.45">
      <c r="A478" s="59"/>
      <c r="B478" s="63"/>
      <c r="C478" s="61"/>
      <c r="D478" s="62"/>
      <c r="E478" s="157"/>
      <c r="F478" s="137"/>
      <c r="G478" s="61"/>
    </row>
    <row r="479" spans="1:7" s="30" customFormat="1" ht="14.45">
      <c r="A479" s="59"/>
      <c r="B479" s="63"/>
      <c r="C479" s="61"/>
      <c r="D479" s="62"/>
      <c r="E479" s="157"/>
      <c r="F479" s="137"/>
      <c r="G479" s="61"/>
    </row>
    <row r="480" spans="1:7" s="30" customFormat="1" ht="14.45">
      <c r="A480" s="59"/>
      <c r="B480" s="63"/>
      <c r="C480" s="61"/>
      <c r="D480" s="62"/>
      <c r="E480" s="157"/>
      <c r="F480" s="137"/>
      <c r="G480" s="61"/>
    </row>
    <row r="481" spans="1:7" s="30" customFormat="1" ht="14.45">
      <c r="A481" s="59"/>
      <c r="B481" s="63"/>
      <c r="C481" s="61"/>
      <c r="D481" s="62"/>
      <c r="E481" s="157"/>
      <c r="F481" s="137"/>
      <c r="G481" s="61"/>
    </row>
    <row r="482" spans="1:7" s="30" customFormat="1" ht="14.45">
      <c r="A482" s="59"/>
      <c r="B482" s="63"/>
      <c r="C482" s="61"/>
      <c r="D482" s="62"/>
      <c r="E482" s="157"/>
      <c r="F482" s="137"/>
      <c r="G482" s="61"/>
    </row>
    <row r="483" spans="1:7" s="30" customFormat="1" ht="14.45">
      <c r="A483" s="59"/>
      <c r="B483" s="63"/>
      <c r="C483" s="61"/>
      <c r="D483" s="62"/>
      <c r="E483" s="157"/>
      <c r="F483" s="137"/>
      <c r="G483" s="61"/>
    </row>
    <row r="484" spans="1:7" s="30" customFormat="1" ht="14.45">
      <c r="A484" s="59"/>
      <c r="B484" s="63"/>
      <c r="C484" s="61"/>
      <c r="D484" s="62"/>
      <c r="E484" s="157"/>
      <c r="F484" s="137"/>
      <c r="G484" s="61"/>
    </row>
    <row r="485" spans="1:7" s="30" customFormat="1" ht="14.45">
      <c r="A485" s="71"/>
      <c r="B485" s="72"/>
      <c r="C485" s="73"/>
      <c r="D485" s="74"/>
      <c r="E485" s="159"/>
      <c r="F485" s="138"/>
      <c r="G485" s="73"/>
    </row>
    <row r="486" spans="1:7" s="30" customFormat="1" ht="14.45">
      <c r="A486" s="75"/>
      <c r="B486" s="76"/>
      <c r="C486" s="77" t="s">
        <v>30</v>
      </c>
      <c r="D486" s="77"/>
      <c r="E486" s="160" t="s">
        <v>8</v>
      </c>
      <c r="F486" s="139">
        <f>SUM(F459:F480)</f>
        <v>297970.69</v>
      </c>
      <c r="G486" s="77"/>
    </row>
    <row r="487" spans="1:7" s="30" customFormat="1" ht="14.45">
      <c r="A487" s="75"/>
      <c r="B487" s="76"/>
      <c r="C487" s="78"/>
      <c r="D487" s="79"/>
      <c r="E487" s="161"/>
      <c r="F487" s="140"/>
      <c r="G487" s="78"/>
    </row>
    <row r="488" spans="1:7" s="30" customFormat="1" ht="14.45">
      <c r="A488" s="59"/>
      <c r="B488" s="63"/>
      <c r="C488" s="61"/>
      <c r="D488" s="62"/>
      <c r="E488" s="157"/>
      <c r="F488" s="137"/>
      <c r="G488" s="61"/>
    </row>
    <row r="489" spans="1:7" s="30" customFormat="1" ht="14.45">
      <c r="A489" s="59"/>
      <c r="B489" s="64" t="s">
        <v>1053</v>
      </c>
      <c r="C489" s="61"/>
      <c r="D489" s="62"/>
      <c r="E489" s="157"/>
      <c r="F489" s="137"/>
      <c r="G489" s="61"/>
    </row>
    <row r="490" spans="1:7" s="30" customFormat="1" ht="14.45">
      <c r="A490" s="59"/>
      <c r="B490" s="100"/>
      <c r="C490" s="61"/>
      <c r="D490" s="62"/>
      <c r="E490" s="157"/>
      <c r="F490" s="137"/>
      <c r="G490" s="61"/>
    </row>
    <row r="491" spans="1:7" s="30" customFormat="1" ht="96.6">
      <c r="A491" s="66"/>
      <c r="B491" s="98" t="s">
        <v>1083</v>
      </c>
      <c r="C491" s="68"/>
      <c r="D491" s="69"/>
      <c r="E491" s="157"/>
      <c r="F491" s="137"/>
      <c r="G491" s="68"/>
    </row>
    <row r="492" spans="1:7" s="30" customFormat="1" ht="14.45">
      <c r="A492" s="59"/>
      <c r="B492" s="100"/>
      <c r="C492" s="61"/>
      <c r="D492" s="62"/>
      <c r="E492" s="157"/>
      <c r="F492" s="137"/>
      <c r="G492" s="61"/>
    </row>
    <row r="493" spans="1:7" s="30" customFormat="1" ht="27.6">
      <c r="A493" s="66" t="s">
        <v>14</v>
      </c>
      <c r="B493" s="67" t="s">
        <v>1084</v>
      </c>
      <c r="C493" s="68" t="s">
        <v>65</v>
      </c>
      <c r="D493" s="69" t="s">
        <v>1044</v>
      </c>
      <c r="E493" s="157">
        <v>522.32000000000005</v>
      </c>
      <c r="F493" s="137">
        <f>C493*E493</f>
        <v>2089.2800000000002</v>
      </c>
      <c r="G493" s="68"/>
    </row>
    <row r="494" spans="1:7" s="30" customFormat="1" ht="14.45">
      <c r="A494" s="59"/>
      <c r="B494" s="63"/>
      <c r="C494" s="61"/>
      <c r="D494" s="62"/>
      <c r="E494" s="157"/>
      <c r="F494" s="137"/>
      <c r="G494" s="61"/>
    </row>
    <row r="495" spans="1:7" s="30" customFormat="1" ht="27.6">
      <c r="A495" s="59"/>
      <c r="B495" s="63" t="s">
        <v>1085</v>
      </c>
      <c r="C495" s="61"/>
      <c r="D495" s="62"/>
      <c r="E495" s="157"/>
      <c r="F495" s="137"/>
      <c r="G495" s="61"/>
    </row>
    <row r="496" spans="1:7" s="30" customFormat="1" ht="14.45">
      <c r="A496" s="59"/>
      <c r="B496" s="63"/>
      <c r="C496" s="61"/>
      <c r="D496" s="62"/>
      <c r="E496" s="157"/>
      <c r="F496" s="137"/>
      <c r="G496" s="61"/>
    </row>
    <row r="497" spans="1:7" s="30" customFormat="1" ht="27.6">
      <c r="A497" s="66" t="s">
        <v>17</v>
      </c>
      <c r="B497" s="67" t="s">
        <v>1086</v>
      </c>
      <c r="C497" s="68"/>
      <c r="D497" s="69" t="s">
        <v>2</v>
      </c>
      <c r="E497" s="157"/>
      <c r="F497" s="137" t="s">
        <v>1087</v>
      </c>
      <c r="G497" s="68"/>
    </row>
    <row r="498" spans="1:7" s="30" customFormat="1" ht="14.45">
      <c r="A498" s="59"/>
      <c r="B498" s="63"/>
      <c r="C498" s="61"/>
      <c r="D498" s="62"/>
      <c r="E498" s="157"/>
      <c r="F498" s="137"/>
      <c r="G498" s="61"/>
    </row>
    <row r="499" spans="1:7" s="30" customFormat="1" ht="14.45">
      <c r="A499" s="59"/>
      <c r="B499" s="63"/>
      <c r="C499" s="61"/>
      <c r="D499" s="62"/>
      <c r="E499" s="157"/>
      <c r="F499" s="137"/>
      <c r="G499" s="61"/>
    </row>
    <row r="500" spans="1:7" s="30" customFormat="1" ht="14.45">
      <c r="A500" s="59"/>
      <c r="B500" s="63"/>
      <c r="C500" s="61"/>
      <c r="D500" s="62"/>
      <c r="E500" s="157"/>
      <c r="F500" s="137"/>
      <c r="G500" s="61"/>
    </row>
    <row r="501" spans="1:7" s="30" customFormat="1" ht="14.45">
      <c r="A501" s="59"/>
      <c r="B501" s="63"/>
      <c r="C501" s="61"/>
      <c r="D501" s="62"/>
      <c r="E501" s="157"/>
      <c r="F501" s="137"/>
      <c r="G501" s="61"/>
    </row>
    <row r="502" spans="1:7" s="30" customFormat="1" ht="14.45">
      <c r="A502" s="59"/>
      <c r="B502" s="63"/>
      <c r="C502" s="61"/>
      <c r="D502" s="62"/>
      <c r="E502" s="157"/>
      <c r="F502" s="137"/>
      <c r="G502" s="61"/>
    </row>
    <row r="503" spans="1:7" s="30" customFormat="1" ht="14.45">
      <c r="A503" s="59"/>
      <c r="B503" s="63"/>
      <c r="C503" s="61"/>
      <c r="D503" s="62"/>
      <c r="E503" s="157"/>
      <c r="F503" s="137"/>
      <c r="G503" s="61"/>
    </row>
    <row r="504" spans="1:7" s="30" customFormat="1" ht="14.45">
      <c r="A504" s="59"/>
      <c r="B504" s="63"/>
      <c r="C504" s="61"/>
      <c r="D504" s="62"/>
      <c r="E504" s="157"/>
      <c r="F504" s="137"/>
      <c r="G504" s="61"/>
    </row>
    <row r="505" spans="1:7" s="30" customFormat="1" ht="14.45">
      <c r="A505" s="59"/>
      <c r="B505" s="63"/>
      <c r="C505" s="61"/>
      <c r="D505" s="62"/>
      <c r="E505" s="157"/>
      <c r="F505" s="137"/>
      <c r="G505" s="61"/>
    </row>
    <row r="506" spans="1:7" s="30" customFormat="1" ht="14.45">
      <c r="A506" s="59"/>
      <c r="B506" s="63"/>
      <c r="C506" s="61"/>
      <c r="D506" s="62"/>
      <c r="E506" s="157"/>
      <c r="F506" s="137"/>
      <c r="G506" s="61"/>
    </row>
    <row r="507" spans="1:7" s="30" customFormat="1" ht="14.45">
      <c r="A507" s="59"/>
      <c r="B507" s="63"/>
      <c r="C507" s="61"/>
      <c r="D507" s="62"/>
      <c r="E507" s="157"/>
      <c r="F507" s="137"/>
      <c r="G507" s="61"/>
    </row>
    <row r="508" spans="1:7" s="30" customFormat="1" ht="14.45">
      <c r="A508" s="59"/>
      <c r="B508" s="63"/>
      <c r="C508" s="61"/>
      <c r="D508" s="62"/>
      <c r="E508" s="157"/>
      <c r="F508" s="137"/>
      <c r="G508" s="61"/>
    </row>
    <row r="509" spans="1:7" s="30" customFormat="1" ht="14.45">
      <c r="A509" s="59"/>
      <c r="B509" s="63"/>
      <c r="C509" s="61"/>
      <c r="D509" s="62"/>
      <c r="E509" s="157"/>
      <c r="F509" s="137"/>
      <c r="G509" s="61"/>
    </row>
    <row r="510" spans="1:7" s="30" customFormat="1" ht="14.45">
      <c r="A510" s="59"/>
      <c r="B510" s="63"/>
      <c r="C510" s="61"/>
      <c r="D510" s="62"/>
      <c r="E510" s="157"/>
      <c r="F510" s="137"/>
      <c r="G510" s="61"/>
    </row>
    <row r="511" spans="1:7" s="30" customFormat="1" ht="14.45">
      <c r="A511" s="59"/>
      <c r="B511" s="63"/>
      <c r="C511" s="61"/>
      <c r="D511" s="62"/>
      <c r="E511" s="157"/>
      <c r="F511" s="137"/>
      <c r="G511" s="61"/>
    </row>
    <row r="512" spans="1:7" s="30" customFormat="1" ht="14.45">
      <c r="A512" s="59"/>
      <c r="B512" s="63"/>
      <c r="C512" s="61"/>
      <c r="D512" s="62"/>
      <c r="E512" s="157"/>
      <c r="F512" s="137"/>
      <c r="G512" s="61"/>
    </row>
    <row r="513" spans="1:7" s="30" customFormat="1" ht="14.45">
      <c r="A513" s="59"/>
      <c r="B513" s="63"/>
      <c r="C513" s="61"/>
      <c r="D513" s="62"/>
      <c r="E513" s="157"/>
      <c r="F513" s="137"/>
      <c r="G513" s="61"/>
    </row>
    <row r="514" spans="1:7" s="30" customFormat="1" ht="14.45">
      <c r="A514" s="59"/>
      <c r="B514" s="63"/>
      <c r="C514" s="61"/>
      <c r="D514" s="62"/>
      <c r="E514" s="157"/>
      <c r="F514" s="137"/>
      <c r="G514" s="61"/>
    </row>
    <row r="515" spans="1:7" s="30" customFormat="1" ht="14.45">
      <c r="A515" s="59"/>
      <c r="B515" s="63"/>
      <c r="C515" s="61"/>
      <c r="D515" s="62"/>
      <c r="E515" s="157"/>
      <c r="F515" s="137"/>
      <c r="G515" s="61"/>
    </row>
    <row r="516" spans="1:7" s="30" customFormat="1" ht="14.45">
      <c r="A516" s="59"/>
      <c r="B516" s="63"/>
      <c r="C516" s="61"/>
      <c r="D516" s="62"/>
      <c r="E516" s="157"/>
      <c r="F516" s="137"/>
      <c r="G516" s="61"/>
    </row>
    <row r="517" spans="1:7" s="30" customFormat="1" ht="14.45">
      <c r="A517" s="59"/>
      <c r="B517" s="63"/>
      <c r="C517" s="61"/>
      <c r="D517" s="62"/>
      <c r="E517" s="157"/>
      <c r="F517" s="137"/>
      <c r="G517" s="61"/>
    </row>
    <row r="518" spans="1:7" s="30" customFormat="1" ht="14.45">
      <c r="A518" s="59"/>
      <c r="B518" s="63"/>
      <c r="C518" s="61"/>
      <c r="D518" s="62"/>
      <c r="E518" s="157"/>
      <c r="F518" s="137"/>
      <c r="G518" s="61"/>
    </row>
    <row r="519" spans="1:7" s="30" customFormat="1" ht="14.45">
      <c r="A519" s="59"/>
      <c r="B519" s="63"/>
      <c r="C519" s="61"/>
      <c r="D519" s="62"/>
      <c r="E519" s="157"/>
      <c r="F519" s="137"/>
      <c r="G519" s="61"/>
    </row>
    <row r="520" spans="1:7" s="30" customFormat="1" ht="14.45">
      <c r="A520" s="59"/>
      <c r="B520" s="63"/>
      <c r="C520" s="61"/>
      <c r="D520" s="62"/>
      <c r="E520" s="157"/>
      <c r="F520" s="137"/>
      <c r="G520" s="61"/>
    </row>
    <row r="521" spans="1:7" s="30" customFormat="1" ht="14.45">
      <c r="A521" s="59"/>
      <c r="B521" s="63"/>
      <c r="C521" s="61"/>
      <c r="D521" s="62"/>
      <c r="E521" s="157"/>
      <c r="F521" s="137"/>
      <c r="G521" s="61"/>
    </row>
    <row r="522" spans="1:7" s="30" customFormat="1" ht="14.45">
      <c r="A522" s="59"/>
      <c r="B522" s="63"/>
      <c r="C522" s="61"/>
      <c r="D522" s="62"/>
      <c r="E522" s="157"/>
      <c r="F522" s="137"/>
      <c r="G522" s="61"/>
    </row>
    <row r="523" spans="1:7" s="30" customFormat="1" ht="14.45">
      <c r="A523" s="59"/>
      <c r="B523" s="63"/>
      <c r="C523" s="61"/>
      <c r="D523" s="62"/>
      <c r="E523" s="157"/>
      <c r="F523" s="137"/>
      <c r="G523" s="61"/>
    </row>
    <row r="524" spans="1:7" s="30" customFormat="1" ht="14.45">
      <c r="A524" s="59"/>
      <c r="B524" s="63"/>
      <c r="C524" s="61"/>
      <c r="D524" s="62"/>
      <c r="E524" s="157"/>
      <c r="F524" s="137"/>
      <c r="G524" s="61"/>
    </row>
    <row r="525" spans="1:7" s="30" customFormat="1" ht="14.45">
      <c r="A525" s="71"/>
      <c r="B525" s="72"/>
      <c r="C525" s="73"/>
      <c r="D525" s="74"/>
      <c r="E525" s="159"/>
      <c r="F525" s="138"/>
      <c r="G525" s="73"/>
    </row>
    <row r="526" spans="1:7" s="30" customFormat="1" ht="14.45">
      <c r="A526" s="75"/>
      <c r="B526" s="76"/>
      <c r="C526" s="77" t="s">
        <v>30</v>
      </c>
      <c r="D526" s="77"/>
      <c r="E526" s="160" t="s">
        <v>8</v>
      </c>
      <c r="F526" s="139">
        <f>SUM(F491:F519)</f>
        <v>2089.2800000000002</v>
      </c>
      <c r="G526" s="77"/>
    </row>
    <row r="527" spans="1:7" s="30" customFormat="1" ht="14.45">
      <c r="A527" s="75"/>
      <c r="B527" s="76"/>
      <c r="C527" s="78"/>
      <c r="D527" s="79"/>
      <c r="E527" s="161"/>
      <c r="F527" s="140"/>
      <c r="G527" s="78"/>
    </row>
    <row r="528" spans="1:7" s="30" customFormat="1" ht="14.45">
      <c r="A528" s="59"/>
      <c r="B528" s="63"/>
      <c r="C528" s="61"/>
      <c r="D528" s="62"/>
      <c r="E528" s="157"/>
      <c r="F528" s="137"/>
      <c r="G528" s="61"/>
    </row>
    <row r="529" spans="1:7" s="30" customFormat="1" ht="14.45">
      <c r="A529" s="59"/>
      <c r="B529" s="64" t="s">
        <v>105</v>
      </c>
      <c r="C529" s="61"/>
      <c r="D529" s="62"/>
      <c r="E529" s="157"/>
      <c r="F529" s="137"/>
      <c r="G529" s="61"/>
    </row>
    <row r="530" spans="1:7" s="30" customFormat="1" ht="14.45">
      <c r="A530" s="59"/>
      <c r="B530" s="100"/>
      <c r="C530" s="61"/>
      <c r="D530" s="62"/>
      <c r="E530" s="157"/>
      <c r="F530" s="137"/>
      <c r="G530" s="61"/>
    </row>
    <row r="531" spans="1:7" s="30" customFormat="1" ht="69">
      <c r="A531" s="66" t="s">
        <v>14</v>
      </c>
      <c r="B531" s="67" t="s">
        <v>1088</v>
      </c>
      <c r="C531" s="68"/>
      <c r="D531" s="69" t="s">
        <v>2</v>
      </c>
      <c r="E531" s="157"/>
      <c r="F531" s="137">
        <f>C531*E531</f>
        <v>0</v>
      </c>
      <c r="G531" s="68"/>
    </row>
    <row r="532" spans="1:7" s="30" customFormat="1" ht="14.45">
      <c r="A532" s="45"/>
      <c r="B532" s="146"/>
      <c r="C532" s="46"/>
      <c r="D532" s="47"/>
      <c r="E532" s="157"/>
      <c r="F532" s="137"/>
      <c r="G532" s="46"/>
    </row>
    <row r="533" spans="1:7" s="30" customFormat="1" ht="41.45">
      <c r="A533" s="45"/>
      <c r="B533" s="146" t="s">
        <v>1089</v>
      </c>
      <c r="C533" s="46"/>
      <c r="D533" s="47"/>
      <c r="E533" s="157"/>
      <c r="F533" s="137"/>
      <c r="G533" s="46"/>
    </row>
    <row r="534" spans="1:7" s="30" customFormat="1" ht="41.45">
      <c r="A534" s="147" t="s">
        <v>17</v>
      </c>
      <c r="B534" s="146" t="s">
        <v>1090</v>
      </c>
      <c r="C534" s="46">
        <v>1496</v>
      </c>
      <c r="D534" s="47" t="s">
        <v>16</v>
      </c>
      <c r="E534" s="157">
        <v>168.21</v>
      </c>
      <c r="F534" s="137">
        <f>+C534*E534</f>
        <v>251642.16</v>
      </c>
      <c r="G534" s="46"/>
    </row>
    <row r="535" spans="1:7" s="30" customFormat="1" ht="14.45">
      <c r="A535" s="45"/>
      <c r="B535" s="48"/>
      <c r="C535" s="46"/>
      <c r="D535" s="47"/>
      <c r="E535" s="157"/>
      <c r="F535" s="137"/>
      <c r="G535" s="46"/>
    </row>
    <row r="536" spans="1:7" s="30" customFormat="1" ht="14.45">
      <c r="A536" s="147" t="s">
        <v>210</v>
      </c>
      <c r="B536" s="146" t="s">
        <v>213</v>
      </c>
      <c r="C536" s="148"/>
      <c r="D536" s="149"/>
      <c r="E536" s="157"/>
      <c r="F536" s="137"/>
      <c r="G536" s="148"/>
    </row>
    <row r="537" spans="1:7" s="30" customFormat="1" ht="14.45">
      <c r="A537" s="147"/>
      <c r="B537" s="146"/>
      <c r="C537" s="148"/>
      <c r="D537" s="149"/>
      <c r="E537" s="157"/>
      <c r="F537" s="137"/>
      <c r="G537" s="148"/>
    </row>
    <row r="538" spans="1:7" s="30" customFormat="1" ht="27.6">
      <c r="A538" s="290" t="s">
        <v>20</v>
      </c>
      <c r="B538" s="291" t="s">
        <v>214</v>
      </c>
      <c r="C538" s="292">
        <v>1</v>
      </c>
      <c r="D538" s="293" t="s">
        <v>215</v>
      </c>
      <c r="E538" s="283"/>
      <c r="F538" s="284">
        <f>+C538*E538</f>
        <v>0</v>
      </c>
      <c r="G538" s="292"/>
    </row>
    <row r="539" spans="1:7" s="30" customFormat="1" ht="14.45">
      <c r="A539" s="45"/>
      <c r="B539" s="48"/>
      <c r="C539" s="46"/>
      <c r="D539" s="47"/>
      <c r="E539" s="157"/>
      <c r="F539" s="137"/>
      <c r="G539" s="46"/>
    </row>
    <row r="540" spans="1:7" s="30" customFormat="1" ht="14.45">
      <c r="A540" s="45"/>
      <c r="B540" s="48"/>
      <c r="C540" s="46"/>
      <c r="D540" s="47"/>
      <c r="E540" s="157"/>
      <c r="F540" s="137"/>
      <c r="G540" s="46"/>
    </row>
    <row r="541" spans="1:7" s="30" customFormat="1" ht="14.45">
      <c r="A541" s="45"/>
      <c r="B541" s="48"/>
      <c r="C541" s="46"/>
      <c r="D541" s="47"/>
      <c r="E541" s="157"/>
      <c r="F541" s="137"/>
      <c r="G541" s="46"/>
    </row>
    <row r="542" spans="1:7" s="30" customFormat="1" ht="14.45">
      <c r="A542" s="45"/>
      <c r="B542" s="48"/>
      <c r="C542" s="46"/>
      <c r="D542" s="47"/>
      <c r="E542" s="157"/>
      <c r="F542" s="137"/>
      <c r="G542" s="46"/>
    </row>
    <row r="543" spans="1:7" s="30" customFormat="1" ht="14.45">
      <c r="A543" s="45"/>
      <c r="B543" s="48"/>
      <c r="C543" s="46"/>
      <c r="D543" s="47"/>
      <c r="E543" s="157"/>
      <c r="F543" s="137"/>
      <c r="G543" s="46"/>
    </row>
    <row r="544" spans="1:7" s="30" customFormat="1" ht="14.45">
      <c r="A544" s="45"/>
      <c r="B544" s="48"/>
      <c r="C544" s="46"/>
      <c r="D544" s="47"/>
      <c r="E544" s="157"/>
      <c r="F544" s="137"/>
      <c r="G544" s="46"/>
    </row>
    <row r="545" spans="1:7" s="30" customFormat="1" ht="14.45">
      <c r="A545" s="45"/>
      <c r="B545" s="48"/>
      <c r="C545" s="46"/>
      <c r="D545" s="47"/>
      <c r="E545" s="157"/>
      <c r="F545" s="137"/>
      <c r="G545" s="46"/>
    </row>
    <row r="546" spans="1:7" s="30" customFormat="1" ht="14.45">
      <c r="A546" s="45"/>
      <c r="B546" s="48"/>
      <c r="C546" s="46"/>
      <c r="D546" s="47"/>
      <c r="E546" s="157"/>
      <c r="F546" s="137"/>
      <c r="G546" s="46"/>
    </row>
    <row r="547" spans="1:7" s="30" customFormat="1" ht="14.45">
      <c r="A547" s="45"/>
      <c r="B547" s="48"/>
      <c r="C547" s="46"/>
      <c r="D547" s="47"/>
      <c r="E547" s="157"/>
      <c r="F547" s="137"/>
      <c r="G547" s="46"/>
    </row>
    <row r="548" spans="1:7" s="30" customFormat="1" ht="14.45">
      <c r="A548" s="45"/>
      <c r="B548" s="48"/>
      <c r="C548" s="46"/>
      <c r="D548" s="47"/>
      <c r="E548" s="157"/>
      <c r="F548" s="137"/>
      <c r="G548" s="46"/>
    </row>
    <row r="549" spans="1:7" s="30" customFormat="1" ht="14.45">
      <c r="A549" s="45"/>
      <c r="B549" s="48"/>
      <c r="C549" s="46"/>
      <c r="D549" s="47"/>
      <c r="E549" s="157"/>
      <c r="F549" s="137"/>
      <c r="G549" s="46"/>
    </row>
    <row r="550" spans="1:7" s="30" customFormat="1" ht="14.45">
      <c r="A550" s="45"/>
      <c r="B550" s="48"/>
      <c r="C550" s="46"/>
      <c r="D550" s="47"/>
      <c r="E550" s="157"/>
      <c r="F550" s="137"/>
      <c r="G550" s="46"/>
    </row>
    <row r="551" spans="1:7" s="30" customFormat="1" ht="14.45">
      <c r="A551" s="45"/>
      <c r="B551" s="48"/>
      <c r="C551" s="46"/>
      <c r="D551" s="47"/>
      <c r="E551" s="157"/>
      <c r="F551" s="137"/>
      <c r="G551" s="46"/>
    </row>
    <row r="552" spans="1:7" s="30" customFormat="1" ht="14.45">
      <c r="A552" s="45"/>
      <c r="B552" s="48"/>
      <c r="C552" s="46"/>
      <c r="D552" s="47"/>
      <c r="E552" s="157"/>
      <c r="F552" s="137"/>
      <c r="G552" s="46"/>
    </row>
    <row r="553" spans="1:7" s="30" customFormat="1" ht="14.45">
      <c r="A553" s="45"/>
      <c r="B553" s="48"/>
      <c r="C553" s="46"/>
      <c r="D553" s="47"/>
      <c r="E553" s="157"/>
      <c r="F553" s="137"/>
      <c r="G553" s="46"/>
    </row>
    <row r="554" spans="1:7" s="30" customFormat="1" ht="14.45">
      <c r="A554" s="45"/>
      <c r="B554" s="48"/>
      <c r="C554" s="46"/>
      <c r="D554" s="47"/>
      <c r="E554" s="157"/>
      <c r="F554" s="137"/>
      <c r="G554" s="46"/>
    </row>
    <row r="555" spans="1:7" s="30" customFormat="1" ht="14.45">
      <c r="A555" s="45"/>
      <c r="B555" s="48"/>
      <c r="C555" s="46"/>
      <c r="D555" s="47"/>
      <c r="E555" s="157"/>
      <c r="F555" s="137"/>
      <c r="G555" s="46"/>
    </row>
    <row r="556" spans="1:7" s="30" customFormat="1" ht="14.45">
      <c r="A556" s="45"/>
      <c r="B556" s="48"/>
      <c r="C556" s="46"/>
      <c r="D556" s="47"/>
      <c r="E556" s="157"/>
      <c r="F556" s="137"/>
      <c r="G556" s="46"/>
    </row>
    <row r="557" spans="1:7" s="30" customFormat="1" ht="14.45">
      <c r="A557" s="45"/>
      <c r="B557" s="48"/>
      <c r="C557" s="46"/>
      <c r="D557" s="47"/>
      <c r="E557" s="157"/>
      <c r="F557" s="137"/>
      <c r="G557" s="46"/>
    </row>
    <row r="558" spans="1:7" s="30" customFormat="1" ht="14.45">
      <c r="A558" s="45"/>
      <c r="B558" s="48"/>
      <c r="C558" s="46"/>
      <c r="D558" s="47"/>
      <c r="E558" s="157"/>
      <c r="F558" s="137"/>
      <c r="G558" s="46"/>
    </row>
    <row r="559" spans="1:7" s="30" customFormat="1" ht="14.45">
      <c r="A559" s="45"/>
      <c r="B559" s="48"/>
      <c r="C559" s="46"/>
      <c r="D559" s="47"/>
      <c r="E559" s="157"/>
      <c r="F559" s="137"/>
      <c r="G559" s="46"/>
    </row>
    <row r="560" spans="1:7" s="30" customFormat="1" ht="14.45">
      <c r="A560" s="45"/>
      <c r="B560" s="48"/>
      <c r="C560" s="46"/>
      <c r="D560" s="47"/>
      <c r="E560" s="157"/>
      <c r="F560" s="137"/>
      <c r="G560" s="46"/>
    </row>
    <row r="561" spans="1:7" s="30" customFormat="1" ht="14.45">
      <c r="A561" s="45"/>
      <c r="B561" s="48"/>
      <c r="C561" s="46"/>
      <c r="D561" s="47"/>
      <c r="E561" s="157"/>
      <c r="F561" s="137"/>
      <c r="G561" s="46"/>
    </row>
    <row r="562" spans="1:7" s="30" customFormat="1" ht="14.45">
      <c r="A562" s="45"/>
      <c r="B562" s="48"/>
      <c r="C562" s="46"/>
      <c r="D562" s="47"/>
      <c r="E562" s="157"/>
      <c r="F562" s="137"/>
      <c r="G562" s="46"/>
    </row>
    <row r="563" spans="1:7" s="30" customFormat="1" ht="14.45">
      <c r="A563" s="45"/>
      <c r="B563" s="48"/>
      <c r="C563" s="46"/>
      <c r="D563" s="47"/>
      <c r="E563" s="157"/>
      <c r="F563" s="137"/>
      <c r="G563" s="46"/>
    </row>
    <row r="564" spans="1:7" s="30" customFormat="1" ht="14.45">
      <c r="A564" s="59"/>
      <c r="B564" s="63"/>
      <c r="C564" s="61"/>
      <c r="D564" s="62"/>
      <c r="E564" s="157"/>
      <c r="F564" s="137"/>
      <c r="G564" s="61"/>
    </row>
    <row r="565" spans="1:7" s="30" customFormat="1" ht="14.45">
      <c r="A565" s="71"/>
      <c r="B565" s="72"/>
      <c r="C565" s="73"/>
      <c r="D565" s="74"/>
      <c r="E565" s="159"/>
      <c r="F565" s="138"/>
      <c r="G565" s="73"/>
    </row>
    <row r="566" spans="1:7" s="30" customFormat="1" ht="14.45">
      <c r="A566" s="75"/>
      <c r="B566" s="76"/>
      <c r="C566" s="77" t="s">
        <v>30</v>
      </c>
      <c r="D566" s="77"/>
      <c r="E566" s="160" t="s">
        <v>8</v>
      </c>
      <c r="F566" s="139">
        <f>SUM(F529:F555)</f>
        <v>251642.16</v>
      </c>
      <c r="G566" s="77"/>
    </row>
    <row r="567" spans="1:7" s="30" customFormat="1" ht="14.45">
      <c r="A567" s="75"/>
      <c r="B567" s="76"/>
      <c r="C567" s="78"/>
      <c r="D567" s="79"/>
      <c r="E567" s="161"/>
      <c r="F567" s="140"/>
      <c r="G567" s="78"/>
    </row>
    <row r="568" spans="1:7" s="30" customFormat="1" ht="14.45">
      <c r="A568" s="59"/>
      <c r="B568" s="63"/>
      <c r="C568" s="61"/>
      <c r="D568" s="62"/>
      <c r="E568" s="157"/>
      <c r="F568" s="137"/>
      <c r="G568" s="61"/>
    </row>
    <row r="569" spans="1:7" s="30" customFormat="1" ht="14.45">
      <c r="A569" s="59"/>
      <c r="B569" s="38" t="s">
        <v>109</v>
      </c>
      <c r="C569" s="61"/>
      <c r="D569" s="62"/>
      <c r="E569" s="157"/>
      <c r="F569" s="137"/>
      <c r="G569" s="61"/>
    </row>
    <row r="570" spans="1:7" s="30" customFormat="1" ht="14.45">
      <c r="A570" s="59"/>
      <c r="B570" s="32"/>
      <c r="C570" s="61"/>
      <c r="D570" s="62"/>
      <c r="E570" s="157"/>
      <c r="F570" s="137"/>
      <c r="G570" s="61"/>
    </row>
    <row r="571" spans="1:7" s="30" customFormat="1" ht="14.45">
      <c r="A571" s="59"/>
      <c r="B571" s="39" t="s">
        <v>1091</v>
      </c>
      <c r="C571" s="61"/>
      <c r="D571" s="62"/>
      <c r="E571" s="157"/>
      <c r="F571" s="137">
        <f>F39</f>
        <v>1684696.76</v>
      </c>
      <c r="G571" s="61"/>
    </row>
    <row r="572" spans="1:7" s="30" customFormat="1" ht="14.45">
      <c r="A572" s="59"/>
      <c r="B572" s="32"/>
      <c r="C572" s="61"/>
      <c r="D572" s="62"/>
      <c r="E572" s="157"/>
      <c r="F572" s="137"/>
      <c r="G572" s="61"/>
    </row>
    <row r="573" spans="1:7" s="30" customFormat="1" ht="14.45">
      <c r="A573" s="59"/>
      <c r="B573" s="39" t="s">
        <v>1092</v>
      </c>
      <c r="C573" s="61"/>
      <c r="D573" s="62"/>
      <c r="E573" s="157"/>
      <c r="F573" s="137">
        <f>F73</f>
        <v>877752.31999999995</v>
      </c>
      <c r="G573" s="61"/>
    </row>
    <row r="574" spans="1:7" s="30" customFormat="1" ht="14.45">
      <c r="A574" s="59"/>
      <c r="B574" s="32"/>
      <c r="C574" s="61"/>
      <c r="D574" s="62"/>
      <c r="E574" s="157"/>
      <c r="F574" s="137"/>
      <c r="G574" s="61"/>
    </row>
    <row r="575" spans="1:7" s="30" customFormat="1" ht="14.45">
      <c r="A575" s="59"/>
      <c r="B575" s="39" t="s">
        <v>1093</v>
      </c>
      <c r="C575" s="61"/>
      <c r="D575" s="62"/>
      <c r="E575" s="157"/>
      <c r="F575" s="137">
        <f>F104</f>
        <v>604351.66</v>
      </c>
      <c r="G575" s="61"/>
    </row>
    <row r="576" spans="1:7" s="30" customFormat="1" ht="14.45">
      <c r="A576" s="59"/>
      <c r="B576" s="32"/>
      <c r="C576" s="61"/>
      <c r="D576" s="62"/>
      <c r="E576" s="157"/>
      <c r="F576" s="137"/>
      <c r="G576" s="61"/>
    </row>
    <row r="577" spans="1:7" s="30" customFormat="1" ht="14.45">
      <c r="A577" s="59"/>
      <c r="B577" s="39" t="s">
        <v>1094</v>
      </c>
      <c r="C577" s="61"/>
      <c r="D577" s="62"/>
      <c r="E577" s="157"/>
      <c r="F577" s="137">
        <f>F146</f>
        <v>840744.94999999984</v>
      </c>
      <c r="G577" s="61"/>
    </row>
    <row r="578" spans="1:7" s="30" customFormat="1" ht="14.45">
      <c r="A578" s="59"/>
      <c r="B578" s="32"/>
      <c r="C578" s="61"/>
      <c r="D578" s="62"/>
      <c r="E578" s="157"/>
      <c r="F578" s="137"/>
      <c r="G578" s="61"/>
    </row>
    <row r="579" spans="1:7" s="30" customFormat="1" ht="14.45">
      <c r="A579" s="59"/>
      <c r="B579" s="39" t="s">
        <v>1095</v>
      </c>
      <c r="C579" s="61"/>
      <c r="D579" s="62"/>
      <c r="E579" s="157"/>
      <c r="F579" s="137">
        <f>F190</f>
        <v>561534.24</v>
      </c>
      <c r="G579" s="61"/>
    </row>
    <row r="580" spans="1:7" s="30" customFormat="1" ht="14.45">
      <c r="A580" s="59"/>
      <c r="B580" s="32"/>
      <c r="C580" s="61"/>
      <c r="D580" s="62"/>
      <c r="E580" s="157"/>
      <c r="F580" s="137"/>
      <c r="G580" s="61"/>
    </row>
    <row r="581" spans="1:7" s="30" customFormat="1" ht="14.45">
      <c r="A581" s="59"/>
      <c r="B581" s="39" t="s">
        <v>1096</v>
      </c>
      <c r="C581" s="61"/>
      <c r="D581" s="62"/>
      <c r="E581" s="157"/>
      <c r="F581" s="137">
        <f>F227</f>
        <v>590713.43999999994</v>
      </c>
      <c r="G581" s="61"/>
    </row>
    <row r="582" spans="1:7" s="30" customFormat="1" ht="14.45">
      <c r="A582" s="59"/>
      <c r="B582" s="32"/>
      <c r="C582" s="61"/>
      <c r="D582" s="62"/>
      <c r="E582" s="157"/>
      <c r="F582" s="137"/>
      <c r="G582" s="61"/>
    </row>
    <row r="583" spans="1:7" s="30" customFormat="1" ht="14.45">
      <c r="A583" s="59"/>
      <c r="B583" s="39" t="s">
        <v>1097</v>
      </c>
      <c r="C583" s="61"/>
      <c r="D583" s="62"/>
      <c r="E583" s="157"/>
      <c r="F583" s="137">
        <f>F261</f>
        <v>622886.41</v>
      </c>
      <c r="G583" s="61"/>
    </row>
    <row r="584" spans="1:7" s="30" customFormat="1" ht="14.45">
      <c r="A584" s="59"/>
      <c r="B584" s="32"/>
      <c r="C584" s="61"/>
      <c r="D584" s="62"/>
      <c r="E584" s="157"/>
      <c r="F584" s="137"/>
      <c r="G584" s="61"/>
    </row>
    <row r="585" spans="1:7" s="30" customFormat="1" ht="14.45">
      <c r="A585" s="59"/>
      <c r="B585" s="39" t="s">
        <v>1098</v>
      </c>
      <c r="C585" s="61"/>
      <c r="D585" s="62"/>
      <c r="E585" s="157"/>
      <c r="F585" s="137">
        <f>F298</f>
        <v>640189.42000000004</v>
      </c>
      <c r="G585" s="61"/>
    </row>
    <row r="586" spans="1:7" s="30" customFormat="1" ht="14.45">
      <c r="A586" s="59"/>
      <c r="B586" s="32"/>
      <c r="C586" s="61"/>
      <c r="D586" s="62"/>
      <c r="E586" s="157"/>
      <c r="F586" s="137"/>
      <c r="G586" s="61"/>
    </row>
    <row r="587" spans="1:7" s="30" customFormat="1" ht="14.45">
      <c r="A587" s="59"/>
      <c r="B587" s="39" t="s">
        <v>1099</v>
      </c>
      <c r="C587" s="61"/>
      <c r="D587" s="62"/>
      <c r="E587" s="157"/>
      <c r="F587" s="137">
        <f>F327</f>
        <v>1371551.72</v>
      </c>
      <c r="G587" s="61"/>
    </row>
    <row r="588" spans="1:7" s="30" customFormat="1" ht="14.45">
      <c r="A588" s="59"/>
      <c r="B588" s="32"/>
      <c r="C588" s="61"/>
      <c r="D588" s="62"/>
      <c r="E588" s="157"/>
      <c r="F588" s="137"/>
      <c r="G588" s="61"/>
    </row>
    <row r="589" spans="1:7" s="30" customFormat="1" ht="14.45">
      <c r="A589" s="59"/>
      <c r="B589" s="39" t="s">
        <v>1100</v>
      </c>
      <c r="C589" s="61"/>
      <c r="D589" s="62"/>
      <c r="E589" s="157"/>
      <c r="F589" s="137">
        <f>F366</f>
        <v>178957.35</v>
      </c>
      <c r="G589" s="61"/>
    </row>
    <row r="590" spans="1:7" s="30" customFormat="1" ht="14.45">
      <c r="A590" s="59"/>
      <c r="B590" s="32"/>
      <c r="C590" s="61"/>
      <c r="D590" s="62"/>
      <c r="E590" s="157"/>
      <c r="F590" s="137"/>
      <c r="G590" s="61"/>
    </row>
    <row r="591" spans="1:7" s="30" customFormat="1" ht="14.45">
      <c r="A591" s="59"/>
      <c r="B591" s="39" t="s">
        <v>1101</v>
      </c>
      <c r="C591" s="61"/>
      <c r="D591" s="62"/>
      <c r="E591" s="157"/>
      <c r="F591" s="137">
        <f>F400</f>
        <v>1526269.7299999997</v>
      </c>
      <c r="G591" s="61"/>
    </row>
    <row r="592" spans="1:7" s="30" customFormat="1" ht="14.45">
      <c r="A592" s="59"/>
      <c r="B592" s="63"/>
      <c r="C592" s="61"/>
      <c r="D592" s="62"/>
      <c r="E592" s="157"/>
      <c r="F592" s="137"/>
      <c r="G592" s="61"/>
    </row>
    <row r="593" spans="1:7" s="30" customFormat="1" ht="14.45">
      <c r="A593" s="59"/>
      <c r="B593" s="39" t="s">
        <v>1102</v>
      </c>
      <c r="C593" s="61"/>
      <c r="D593" s="62"/>
      <c r="E593" s="157"/>
      <c r="F593" s="137">
        <f>F429</f>
        <v>251606.98</v>
      </c>
      <c r="G593" s="61"/>
    </row>
    <row r="594" spans="1:7" s="30" customFormat="1" ht="14.45">
      <c r="A594" s="59"/>
      <c r="B594" s="32"/>
      <c r="C594" s="61"/>
      <c r="D594" s="62"/>
      <c r="E594" s="157"/>
      <c r="F594" s="137"/>
      <c r="G594" s="61"/>
    </row>
    <row r="595" spans="1:7" s="30" customFormat="1" ht="14.45">
      <c r="A595" s="59"/>
      <c r="B595" s="39" t="s">
        <v>1103</v>
      </c>
      <c r="C595" s="61"/>
      <c r="D595" s="62"/>
      <c r="E595" s="157"/>
      <c r="F595" s="137">
        <f>F454</f>
        <v>431663.75</v>
      </c>
      <c r="G595" s="61"/>
    </row>
    <row r="596" spans="1:7" s="30" customFormat="1" ht="14.45">
      <c r="A596" s="59"/>
      <c r="B596" s="32"/>
      <c r="C596" s="61"/>
      <c r="D596" s="62"/>
      <c r="E596" s="157"/>
      <c r="F596" s="137"/>
      <c r="G596" s="61"/>
    </row>
    <row r="597" spans="1:7" s="30" customFormat="1" ht="14.45">
      <c r="A597" s="59"/>
      <c r="B597" s="39" t="s">
        <v>1104</v>
      </c>
      <c r="C597" s="61"/>
      <c r="D597" s="62"/>
      <c r="E597" s="157"/>
      <c r="F597" s="137">
        <f>F486</f>
        <v>297970.69</v>
      </c>
      <c r="G597" s="61"/>
    </row>
    <row r="598" spans="1:7" s="30" customFormat="1" ht="14.45">
      <c r="A598" s="59"/>
      <c r="B598" s="32"/>
      <c r="C598" s="61"/>
      <c r="D598" s="62"/>
      <c r="E598" s="157"/>
      <c r="F598" s="137"/>
      <c r="G598" s="61"/>
    </row>
    <row r="599" spans="1:7" s="30" customFormat="1" ht="14.45">
      <c r="A599" s="59"/>
      <c r="B599" s="39" t="s">
        <v>1105</v>
      </c>
      <c r="C599" s="61"/>
      <c r="D599" s="62"/>
      <c r="E599" s="157"/>
      <c r="F599" s="137">
        <f>F526</f>
        <v>2089.2800000000002</v>
      </c>
      <c r="G599" s="61"/>
    </row>
    <row r="600" spans="1:7" s="30" customFormat="1" ht="14.45">
      <c r="A600" s="59"/>
      <c r="B600" s="32"/>
      <c r="C600" s="61"/>
      <c r="D600" s="62"/>
      <c r="E600" s="157"/>
      <c r="F600" s="137"/>
      <c r="G600" s="61"/>
    </row>
    <row r="601" spans="1:7" s="30" customFormat="1" ht="14.45">
      <c r="A601" s="59"/>
      <c r="B601" s="39" t="s">
        <v>1106</v>
      </c>
      <c r="C601" s="61"/>
      <c r="D601" s="62"/>
      <c r="E601" s="157"/>
      <c r="F601" s="137">
        <f>F566</f>
        <v>251642.16</v>
      </c>
      <c r="G601" s="61"/>
    </row>
    <row r="602" spans="1:7" s="30" customFormat="1" ht="14.45">
      <c r="A602" s="59"/>
      <c r="B602" s="63"/>
      <c r="C602" s="61"/>
      <c r="D602" s="62"/>
      <c r="E602" s="157"/>
      <c r="F602" s="137"/>
      <c r="G602" s="61"/>
    </row>
    <row r="603" spans="1:7" s="30" customFormat="1" ht="14.45">
      <c r="A603" s="59"/>
      <c r="B603" s="39"/>
      <c r="C603" s="61"/>
      <c r="D603" s="62"/>
      <c r="E603" s="157"/>
      <c r="F603" s="137"/>
      <c r="G603" s="61"/>
    </row>
    <row r="604" spans="1:7" s="30" customFormat="1" ht="14.45">
      <c r="A604" s="59"/>
      <c r="B604" s="63"/>
      <c r="C604" s="61"/>
      <c r="D604" s="62"/>
      <c r="E604" s="157"/>
      <c r="F604" s="137"/>
      <c r="G604" s="61"/>
    </row>
    <row r="605" spans="1:7" s="30" customFormat="1" ht="14.45">
      <c r="A605" s="59"/>
      <c r="B605" s="63"/>
      <c r="C605" s="61"/>
      <c r="D605" s="62"/>
      <c r="E605" s="157"/>
      <c r="F605" s="137"/>
      <c r="G605" s="61"/>
    </row>
    <row r="606" spans="1:7" s="30" customFormat="1" ht="14.45">
      <c r="A606" s="59"/>
      <c r="B606" s="63"/>
      <c r="C606" s="61"/>
      <c r="D606" s="62"/>
      <c r="E606" s="157"/>
      <c r="F606" s="137"/>
      <c r="G606" s="61"/>
    </row>
    <row r="607" spans="1:7" s="30" customFormat="1" ht="14.45">
      <c r="A607" s="59"/>
      <c r="B607" s="63"/>
      <c r="C607" s="61"/>
      <c r="D607" s="62"/>
      <c r="E607" s="157"/>
      <c r="F607" s="137"/>
      <c r="G607" s="61"/>
    </row>
    <row r="608" spans="1:7" s="30" customFormat="1" ht="14.45">
      <c r="A608" s="59"/>
      <c r="B608" s="63"/>
      <c r="C608" s="61"/>
      <c r="D608" s="62"/>
      <c r="E608" s="157"/>
      <c r="F608" s="137"/>
      <c r="G608" s="61"/>
    </row>
    <row r="609" spans="1:7" s="30" customFormat="1" ht="14.45">
      <c r="A609" s="59"/>
      <c r="B609" s="63"/>
      <c r="C609" s="61"/>
      <c r="D609" s="62"/>
      <c r="E609" s="157"/>
      <c r="F609" s="137"/>
      <c r="G609" s="61"/>
    </row>
    <row r="610" spans="1:7" s="30" customFormat="1" ht="14.45">
      <c r="A610" s="59"/>
      <c r="B610" s="63"/>
      <c r="C610" s="61"/>
      <c r="D610" s="62"/>
      <c r="E610" s="157"/>
      <c r="F610" s="137"/>
      <c r="G610" s="61"/>
    </row>
    <row r="611" spans="1:7" s="30" customFormat="1" ht="14.45">
      <c r="A611" s="59"/>
      <c r="B611" s="63"/>
      <c r="C611" s="61"/>
      <c r="D611" s="62"/>
      <c r="E611" s="157"/>
      <c r="F611" s="137"/>
      <c r="G611" s="61"/>
    </row>
    <row r="612" spans="1:7" s="30" customFormat="1" ht="14.45">
      <c r="A612" s="59"/>
      <c r="B612" s="63"/>
      <c r="C612" s="61"/>
      <c r="D612" s="62"/>
      <c r="E612" s="157"/>
      <c r="F612" s="137"/>
      <c r="G612" s="61"/>
    </row>
    <row r="613" spans="1:7" s="30" customFormat="1" ht="14.45">
      <c r="A613" s="71"/>
      <c r="B613" s="72"/>
      <c r="C613" s="73"/>
      <c r="D613" s="74"/>
      <c r="E613" s="159"/>
      <c r="F613" s="138"/>
      <c r="G613" s="73"/>
    </row>
    <row r="614" spans="1:7" s="30" customFormat="1" ht="14.45">
      <c r="A614" s="75"/>
      <c r="B614" s="76"/>
      <c r="C614" s="77" t="s">
        <v>116</v>
      </c>
      <c r="D614" s="77"/>
      <c r="E614" s="160" t="s">
        <v>8</v>
      </c>
      <c r="F614" s="139">
        <f>SUM(F568:F606)</f>
        <v>10734620.859999998</v>
      </c>
      <c r="G614" s="77"/>
    </row>
    <row r="615" spans="1:7" s="30" customFormat="1" ht="14.45">
      <c r="A615" s="75"/>
      <c r="B615" s="76"/>
      <c r="C615" s="78"/>
      <c r="D615" s="79"/>
      <c r="E615" s="161"/>
      <c r="F615" s="140"/>
      <c r="G615" s="78"/>
    </row>
  </sheetData>
  <customSheetViews>
    <customSheetView guid="{3432A39B-C5E3-4DF0-8655-3886C046AF9C}" showPageBreaks="1" printArea="1" view="pageBreakPreview" topLeftCell="A602">
      <selection activeCell="G621" sqref="G621"/>
      <rowBreaks count="16" manualBreakCount="16">
        <brk id="40" max="5" man="1"/>
        <brk id="75" max="5" man="1"/>
        <brk id="106" max="5" man="1"/>
        <brk id="148" max="5" man="1"/>
        <brk id="192" max="5" man="1"/>
        <brk id="230" max="5" man="1"/>
        <brk id="264" max="5" man="1"/>
        <brk id="301" max="5" man="1"/>
        <brk id="330" max="5" man="1"/>
        <brk id="369" max="5" man="1"/>
        <brk id="404" max="5" man="1"/>
        <brk id="433" max="5" man="1"/>
        <brk id="458" max="5" man="1"/>
        <brk id="490" max="5" man="1"/>
        <brk id="531" max="5" man="1"/>
        <brk id="574" max="5" man="1"/>
      </rowBreaks>
      <pageMargins left="0" right="0" top="0" bottom="0" header="0" footer="0"/>
      <printOptions horizontalCentered="1"/>
      <pageSetup paperSize="9" fitToHeight="0" orientation="portrait" useFirstPageNumber="1" r:id="rId1"/>
      <headerFooter>
        <oddHeader>&amp;R&amp;11&amp;U
BILL NO. 3 - MALL REFURBISHMENT
ACCESSORIES</oddHeader>
        <oddFooter>&amp;L&amp;8DMS 148704 BOQ - Nakheel Mall Al Khail&amp;C3/K/&amp;P</oddFooter>
      </headerFooter>
    </customSheetView>
    <customSheetView guid="{47E345F0-E696-46B9-B7A2-C22AD1CF4FAA}" showPageBreaks="1" printArea="1" view="pageBreakPreview" topLeftCell="A576">
      <selection activeCell="F506" sqref="F506"/>
      <rowBreaks count="16" manualBreakCount="16">
        <brk id="40" max="5" man="1"/>
        <brk id="75" max="5" man="1"/>
        <brk id="106" max="5" man="1"/>
        <brk id="148" max="5" man="1"/>
        <brk id="192" max="5" man="1"/>
        <brk id="230" max="5" man="1"/>
        <brk id="264" max="5" man="1"/>
        <brk id="301" max="5" man="1"/>
        <brk id="330" max="5" man="1"/>
        <brk id="369" max="5" man="1"/>
        <brk id="404" max="5" man="1"/>
        <brk id="433" max="5" man="1"/>
        <brk id="458" max="5" man="1"/>
        <brk id="490" max="5" man="1"/>
        <brk id="531" max="5" man="1"/>
        <brk id="575" max="5" man="1"/>
      </rowBreaks>
      <pageMargins left="0" right="0" top="0" bottom="0" header="0" footer="0"/>
      <printOptions horizontalCentered="1"/>
      <pageSetup paperSize="9" fitToHeight="0" orientation="portrait" useFirstPageNumber="1" r:id="rId2"/>
      <headerFooter>
        <oddHeader>&amp;R&amp;11&amp;U
BILL NO. 3 - MALL REFURBISHMENT
ACCESSORIES</oddHeader>
        <oddFooter>&amp;L&amp;8DMS 148704 BOQ - Nakheel Mall Al Khail&amp;C3/K/&amp;P</oddFooter>
      </headerFooter>
    </customSheetView>
    <customSheetView guid="{252EBC6A-BD49-4FC3-9285-77861935BFE3}" showPageBreaks="1" printArea="1" view="pageBreakPreview" topLeftCell="A599">
      <selection activeCell="F623" sqref="F623"/>
      <rowBreaks count="16" manualBreakCount="16">
        <brk id="40" max="5" man="1"/>
        <brk id="75" max="5" man="1"/>
        <brk id="106" max="5" man="1"/>
        <brk id="148" max="5" man="1"/>
        <brk id="192" max="5" man="1"/>
        <brk id="230" max="5" man="1"/>
        <brk id="264" max="5" man="1"/>
        <brk id="301" max="5" man="1"/>
        <brk id="330" max="5" man="1"/>
        <brk id="369" max="5" man="1"/>
        <brk id="404" max="5" man="1"/>
        <brk id="433" max="5" man="1"/>
        <brk id="458" max="5" man="1"/>
        <brk id="490" max="5" man="1"/>
        <brk id="531" max="5" man="1"/>
        <brk id="575" max="5" man="1"/>
      </rowBreaks>
      <pageMargins left="0" right="0" top="0" bottom="0" header="0" footer="0"/>
      <printOptions horizontalCentered="1"/>
      <pageSetup paperSize="9" fitToHeight="0" orientation="portrait" useFirstPageNumber="1" r:id="rId3"/>
      <headerFooter>
        <oddHeader>&amp;R&amp;11&amp;U
BILL NO. 3 - MALL REFURBISHMENT
ACCESSORIES</oddHeader>
        <oddFooter>&amp;L&amp;8DMS 148704 BOQ - Nakheel Mall Al Khail&amp;C3/K/&amp;P</oddFooter>
      </headerFooter>
    </customSheetView>
    <customSheetView guid="{80D5E0F2-D974-412D-A20C-052459C7A221}" showPageBreaks="1" printArea="1" view="pageBreakPreview" topLeftCell="A602">
      <selection activeCell="G621" sqref="G621"/>
      <rowBreaks count="16" manualBreakCount="16">
        <brk id="40" max="5" man="1"/>
        <brk id="75" max="5" man="1"/>
        <brk id="106" max="5" man="1"/>
        <brk id="148" max="5" man="1"/>
        <brk id="192" max="5" man="1"/>
        <brk id="230" max="5" man="1"/>
        <brk id="264" max="5" man="1"/>
        <brk id="301" max="5" man="1"/>
        <brk id="330" max="5" man="1"/>
        <brk id="369" max="5" man="1"/>
        <brk id="404" max="5" man="1"/>
        <brk id="433" max="5" man="1"/>
        <brk id="458" max="5" man="1"/>
        <brk id="490" max="5" man="1"/>
        <brk id="531" max="5" man="1"/>
        <brk id="574" max="5" man="1"/>
      </rowBreaks>
      <pageMargins left="0" right="0" top="0" bottom="0" header="0" footer="0"/>
      <printOptions horizontalCentered="1"/>
      <pageSetup paperSize="9" fitToHeight="0" orientation="portrait" useFirstPageNumber="1" r:id="rId4"/>
      <headerFooter>
        <oddHeader>&amp;R&amp;11&amp;U
BILL NO. 3 - MALL REFURBISHMENT
ACCESSORIES</oddHeader>
        <oddFooter>&amp;L&amp;8DMS 148704 BOQ - Nakheel Mall Al Khail&amp;C3/K/&amp;P</oddFooter>
      </headerFooter>
    </customSheetView>
  </customSheetViews>
  <mergeCells count="5">
    <mergeCell ref="G1:G2"/>
    <mergeCell ref="A1:A2"/>
    <mergeCell ref="B1:B2"/>
    <mergeCell ref="C1:C2"/>
    <mergeCell ref="D1:D2"/>
  </mergeCells>
  <printOptions horizontalCentered="1"/>
  <pageMargins left="0.6692913385826772" right="0.19685039370078741" top="0.82677165354330717" bottom="0.47244094488188981" header="0.19685039370078741" footer="0.23622047244094491"/>
  <pageSetup paperSize="9" scale="91" fitToHeight="0" orientation="portrait" useFirstPageNumber="1" r:id="rId5"/>
  <headerFooter>
    <oddHeader>&amp;R&amp;11&amp;U
BILL NO. 3 - MALL REFURBISHMENT
ACCESSORIES</oddHeader>
    <oddFooter>&amp;L&amp;8DMS 148704 BOQ - Nakheel Mall Al Khail&amp;C3/K/&amp;P</oddFooter>
  </headerFooter>
  <rowBreaks count="16" manualBreakCount="16">
    <brk id="40" max="6" man="1"/>
    <brk id="74" max="6" man="1"/>
    <brk id="105" max="6" man="1"/>
    <brk id="147" max="6" man="1"/>
    <brk id="191" max="6" man="1"/>
    <brk id="228" max="6" man="1"/>
    <brk id="262" max="6" man="1"/>
    <brk id="299" max="6" man="1"/>
    <brk id="328" max="6" man="1"/>
    <brk id="367" max="6" man="1"/>
    <brk id="401" max="6" man="1"/>
    <brk id="430" max="6" man="1"/>
    <brk id="455" max="6" man="1"/>
    <brk id="487" max="6" man="1"/>
    <brk id="527" max="6" man="1"/>
    <brk id="567" max="6"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04C24-3461-43DB-BA3F-6DCE14621A9B}">
  <sheetPr codeName="Sheet12"/>
  <dimension ref="A1:F281"/>
  <sheetViews>
    <sheetView view="pageBreakPreview" topLeftCell="A59" zoomScaleNormal="100" zoomScaleSheetLayoutView="100" zoomScalePageLayoutView="70" workbookViewId="0">
      <selection activeCell="C64" sqref="C64"/>
    </sheetView>
  </sheetViews>
  <sheetFormatPr defaultColWidth="9.28515625" defaultRowHeight="13.9"/>
  <cols>
    <col min="1" max="1" width="5.7109375" style="85" customWidth="1"/>
    <col min="2" max="2" width="45.28515625" style="86" customWidth="1"/>
    <col min="3" max="3" width="9.28515625" style="87" customWidth="1"/>
    <col min="4" max="4" width="6.7109375" style="88" customWidth="1"/>
    <col min="5" max="5" width="13.28515625" style="162" customWidth="1"/>
    <col min="6" max="6" width="15.7109375" style="142" customWidth="1"/>
    <col min="7" max="16384" width="9.28515625" style="89"/>
  </cols>
  <sheetData>
    <row r="1" spans="1:6" s="30" customFormat="1" ht="14.45">
      <c r="A1" s="332" t="s">
        <v>2</v>
      </c>
      <c r="B1" s="332" t="s">
        <v>3</v>
      </c>
      <c r="C1" s="334" t="s">
        <v>4</v>
      </c>
      <c r="D1" s="336" t="s">
        <v>5</v>
      </c>
      <c r="E1" s="155" t="s">
        <v>6</v>
      </c>
      <c r="F1" s="135" t="s">
        <v>7</v>
      </c>
    </row>
    <row r="2" spans="1:6" s="30" customFormat="1" ht="14.45">
      <c r="A2" s="333"/>
      <c r="B2" s="333"/>
      <c r="C2" s="335"/>
      <c r="D2" s="337"/>
      <c r="E2" s="156" t="s">
        <v>8</v>
      </c>
      <c r="F2" s="136" t="s">
        <v>8</v>
      </c>
    </row>
    <row r="3" spans="1:6" s="30" customFormat="1" ht="14.45">
      <c r="A3" s="31"/>
      <c r="B3" s="32"/>
      <c r="C3" s="29"/>
      <c r="D3" s="33"/>
      <c r="E3" s="157"/>
      <c r="F3" s="137"/>
    </row>
    <row r="4" spans="1:6" s="30" customFormat="1" ht="14.45">
      <c r="A4" s="59"/>
      <c r="B4" s="60" t="s">
        <v>1107</v>
      </c>
      <c r="C4" s="61"/>
      <c r="D4" s="62"/>
      <c r="E4" s="178"/>
      <c r="F4" s="137"/>
    </row>
    <row r="5" spans="1:6" s="30" customFormat="1" ht="14.45">
      <c r="A5" s="59"/>
      <c r="B5" s="63"/>
      <c r="C5" s="61"/>
      <c r="D5" s="62"/>
      <c r="E5" s="178"/>
      <c r="F5" s="137"/>
    </row>
    <row r="6" spans="1:6" s="30" customFormat="1" ht="14.45">
      <c r="A6" s="59"/>
      <c r="B6" s="64" t="s">
        <v>1108</v>
      </c>
      <c r="C6" s="61"/>
      <c r="D6" s="62"/>
      <c r="E6" s="178"/>
      <c r="F6" s="137"/>
    </row>
    <row r="7" spans="1:6" s="30" customFormat="1" ht="14.45">
      <c r="A7" s="59"/>
      <c r="B7" s="65"/>
      <c r="C7" s="61"/>
      <c r="D7" s="62"/>
      <c r="E7" s="178"/>
      <c r="F7" s="137"/>
    </row>
    <row r="8" spans="1:6" s="30" customFormat="1" ht="14.45">
      <c r="A8" s="66"/>
      <c r="B8" s="67" t="s">
        <v>11</v>
      </c>
      <c r="C8" s="68"/>
      <c r="D8" s="69"/>
      <c r="E8" s="178"/>
      <c r="F8" s="137"/>
    </row>
    <row r="9" spans="1:6" s="30" customFormat="1" ht="14.45">
      <c r="A9" s="59"/>
      <c r="B9" s="65"/>
      <c r="C9" s="61"/>
      <c r="D9" s="62"/>
      <c r="E9" s="178"/>
      <c r="F9" s="137"/>
    </row>
    <row r="10" spans="1:6" s="30" customFormat="1" ht="27.6">
      <c r="A10" s="66"/>
      <c r="B10" s="67" t="s">
        <v>300</v>
      </c>
      <c r="C10" s="68"/>
      <c r="D10" s="69"/>
      <c r="E10" s="178"/>
      <c r="F10" s="137"/>
    </row>
    <row r="11" spans="1:6" s="30" customFormat="1" ht="14.45">
      <c r="A11" s="59"/>
      <c r="B11" s="65"/>
      <c r="C11" s="61"/>
      <c r="D11" s="62"/>
      <c r="E11" s="178"/>
      <c r="F11" s="137"/>
    </row>
    <row r="12" spans="1:6" s="30" customFormat="1" ht="27.6">
      <c r="A12" s="66"/>
      <c r="B12" s="98" t="s">
        <v>1109</v>
      </c>
      <c r="C12" s="68"/>
      <c r="D12" s="69"/>
      <c r="E12" s="178"/>
      <c r="F12" s="137"/>
    </row>
    <row r="13" spans="1:6" s="30" customFormat="1" ht="14.1" customHeight="1">
      <c r="A13" s="59"/>
      <c r="B13" s="100"/>
      <c r="C13" s="61"/>
      <c r="D13" s="62"/>
      <c r="E13" s="178"/>
      <c r="F13" s="137"/>
    </row>
    <row r="14" spans="1:6" s="30" customFormat="1" ht="14.45">
      <c r="A14" s="66"/>
      <c r="B14" s="98" t="s">
        <v>1110</v>
      </c>
      <c r="C14" s="68"/>
      <c r="D14" s="69"/>
      <c r="E14" s="178"/>
      <c r="F14" s="137"/>
    </row>
    <row r="15" spans="1:6" s="30" customFormat="1" ht="14.1" customHeight="1">
      <c r="A15" s="59"/>
      <c r="B15" s="100"/>
      <c r="C15" s="61"/>
      <c r="D15" s="62"/>
      <c r="E15" s="178"/>
      <c r="F15" s="137"/>
    </row>
    <row r="16" spans="1:6" s="30" customFormat="1" ht="14.45">
      <c r="A16" s="66" t="s">
        <v>14</v>
      </c>
      <c r="B16" s="67" t="s">
        <v>1111</v>
      </c>
      <c r="C16" s="68" t="s">
        <v>335</v>
      </c>
      <c r="D16" s="69" t="s">
        <v>63</v>
      </c>
      <c r="E16" s="178">
        <v>10174.99</v>
      </c>
      <c r="F16" s="137">
        <f>C16*E16</f>
        <v>30524.97</v>
      </c>
    </row>
    <row r="17" spans="1:6" s="30" customFormat="1" ht="14.1" customHeight="1">
      <c r="A17" s="59"/>
      <c r="B17" s="100"/>
      <c r="C17" s="61"/>
      <c r="D17" s="62"/>
      <c r="E17" s="178"/>
      <c r="F17" s="137"/>
    </row>
    <row r="18" spans="1:6" s="30" customFormat="1" ht="14.45">
      <c r="A18" s="66" t="s">
        <v>17</v>
      </c>
      <c r="B18" s="67" t="s">
        <v>1112</v>
      </c>
      <c r="C18" s="68" t="s">
        <v>308</v>
      </c>
      <c r="D18" s="69" t="s">
        <v>63</v>
      </c>
      <c r="E18" s="178">
        <v>2511.64</v>
      </c>
      <c r="F18" s="137">
        <f>C18*E18</f>
        <v>30139.68</v>
      </c>
    </row>
    <row r="19" spans="1:6" s="30" customFormat="1" ht="14.1" customHeight="1">
      <c r="A19" s="59"/>
      <c r="B19" s="100"/>
      <c r="C19" s="61"/>
      <c r="D19" s="62"/>
      <c r="E19" s="178"/>
      <c r="F19" s="137"/>
    </row>
    <row r="20" spans="1:6" s="30" customFormat="1" ht="14.45">
      <c r="A20" s="66" t="s">
        <v>20</v>
      </c>
      <c r="B20" s="67" t="s">
        <v>1113</v>
      </c>
      <c r="C20" s="68" t="s">
        <v>1114</v>
      </c>
      <c r="D20" s="69" t="s">
        <v>63</v>
      </c>
      <c r="E20" s="178">
        <v>1968.62</v>
      </c>
      <c r="F20" s="137">
        <f>C20*E20</f>
        <v>53152.74</v>
      </c>
    </row>
    <row r="21" spans="1:6" s="30" customFormat="1" ht="14.1" customHeight="1">
      <c r="A21" s="59"/>
      <c r="B21" s="100"/>
      <c r="C21" s="61"/>
      <c r="D21" s="62"/>
      <c r="E21" s="178"/>
      <c r="F21" s="137"/>
    </row>
    <row r="22" spans="1:6" s="30" customFormat="1" ht="14.45">
      <c r="A22" s="66" t="s">
        <v>23</v>
      </c>
      <c r="B22" s="67" t="s">
        <v>1115</v>
      </c>
      <c r="C22" s="68" t="s">
        <v>479</v>
      </c>
      <c r="D22" s="69" t="s">
        <v>63</v>
      </c>
      <c r="E22" s="178">
        <v>5904.76</v>
      </c>
      <c r="F22" s="137">
        <f>C22*E22</f>
        <v>53142.840000000004</v>
      </c>
    </row>
    <row r="23" spans="1:6" s="30" customFormat="1" ht="14.1" customHeight="1">
      <c r="A23" s="59"/>
      <c r="B23" s="100"/>
      <c r="C23" s="61"/>
      <c r="D23" s="62"/>
      <c r="E23" s="178"/>
      <c r="F23" s="137"/>
    </row>
    <row r="24" spans="1:6" s="30" customFormat="1" ht="14.45">
      <c r="A24" s="66" t="s">
        <v>27</v>
      </c>
      <c r="B24" s="67" t="s">
        <v>1116</v>
      </c>
      <c r="C24" s="68">
        <v>39</v>
      </c>
      <c r="D24" s="69" t="s">
        <v>63</v>
      </c>
      <c r="E24" s="178">
        <v>1425.59</v>
      </c>
      <c r="F24" s="137">
        <f>C24*E24</f>
        <v>55598.009999999995</v>
      </c>
    </row>
    <row r="25" spans="1:6" s="30" customFormat="1" ht="14.1" customHeight="1">
      <c r="A25" s="59"/>
      <c r="B25" s="100"/>
      <c r="C25" s="61"/>
      <c r="D25" s="62"/>
      <c r="E25" s="178"/>
      <c r="F25" s="137"/>
    </row>
    <row r="26" spans="1:6" s="30" customFormat="1" ht="14.45">
      <c r="A26" s="66"/>
      <c r="B26" s="98" t="s">
        <v>1117</v>
      </c>
      <c r="C26" s="68"/>
      <c r="D26" s="69"/>
      <c r="E26" s="178"/>
      <c r="F26" s="137"/>
    </row>
    <row r="27" spans="1:6" s="30" customFormat="1" ht="14.1" customHeight="1">
      <c r="A27" s="59"/>
      <c r="B27" s="100"/>
      <c r="C27" s="61"/>
      <c r="D27" s="62"/>
      <c r="E27" s="178"/>
      <c r="F27" s="137"/>
    </row>
    <row r="28" spans="1:6" s="30" customFormat="1" ht="14.45">
      <c r="A28" s="66" t="s">
        <v>44</v>
      </c>
      <c r="B28" s="67" t="s">
        <v>1118</v>
      </c>
      <c r="C28" s="68" t="s">
        <v>190</v>
      </c>
      <c r="D28" s="69" t="s">
        <v>63</v>
      </c>
      <c r="E28" s="178">
        <v>6578.37</v>
      </c>
      <c r="F28" s="137">
        <f>C28*E28</f>
        <v>72362.069999999992</v>
      </c>
    </row>
    <row r="29" spans="1:6" s="30" customFormat="1" ht="14.1" customHeight="1">
      <c r="A29" s="59"/>
      <c r="B29" s="100"/>
      <c r="C29" s="61"/>
      <c r="D29" s="62"/>
      <c r="E29" s="178"/>
      <c r="F29" s="137"/>
    </row>
    <row r="30" spans="1:6" s="30" customFormat="1" ht="14.45">
      <c r="A30" s="66" t="s">
        <v>48</v>
      </c>
      <c r="B30" s="67" t="s">
        <v>1119</v>
      </c>
      <c r="C30" s="68" t="s">
        <v>39</v>
      </c>
      <c r="D30" s="69" t="s">
        <v>63</v>
      </c>
      <c r="E30" s="178">
        <v>3596.61</v>
      </c>
      <c r="F30" s="137">
        <f>C30*E30</f>
        <v>21579.66</v>
      </c>
    </row>
    <row r="31" spans="1:6" s="30" customFormat="1" ht="13.15" customHeight="1">
      <c r="A31" s="59"/>
      <c r="B31" s="100"/>
      <c r="C31" s="61"/>
      <c r="D31" s="62"/>
      <c r="E31" s="178"/>
      <c r="F31" s="137"/>
    </row>
    <row r="32" spans="1:6" s="30" customFormat="1" ht="14.45">
      <c r="A32" s="66" t="s">
        <v>84</v>
      </c>
      <c r="B32" s="67" t="s">
        <v>1120</v>
      </c>
      <c r="C32" s="68" t="s">
        <v>1121</v>
      </c>
      <c r="D32" s="69" t="s">
        <v>63</v>
      </c>
      <c r="E32" s="178">
        <v>2511.64</v>
      </c>
      <c r="F32" s="137">
        <f>C32*E32</f>
        <v>87907.4</v>
      </c>
    </row>
    <row r="33" spans="1:6" s="30" customFormat="1" ht="13.15" customHeight="1">
      <c r="A33" s="59"/>
      <c r="B33" s="100"/>
      <c r="C33" s="61"/>
      <c r="D33" s="62"/>
      <c r="E33" s="178"/>
      <c r="F33" s="137"/>
    </row>
    <row r="34" spans="1:6" s="30" customFormat="1" ht="14.45">
      <c r="A34" s="66" t="s">
        <v>86</v>
      </c>
      <c r="B34" s="67" t="s">
        <v>1122</v>
      </c>
      <c r="C34" s="68" t="s">
        <v>1123</v>
      </c>
      <c r="D34" s="69" t="s">
        <v>63</v>
      </c>
      <c r="E34" s="178">
        <v>1288.47</v>
      </c>
      <c r="F34" s="137">
        <f>C34*E34</f>
        <v>56692.68</v>
      </c>
    </row>
    <row r="35" spans="1:6" s="30" customFormat="1" ht="13.15" customHeight="1">
      <c r="A35" s="59"/>
      <c r="B35" s="100"/>
      <c r="C35" s="61"/>
      <c r="D35" s="62"/>
      <c r="E35" s="178"/>
      <c r="F35" s="137"/>
    </row>
    <row r="36" spans="1:6" s="30" customFormat="1" ht="14.45">
      <c r="A36" s="66" t="s">
        <v>90</v>
      </c>
      <c r="B36" s="67" t="s">
        <v>1124</v>
      </c>
      <c r="C36" s="68" t="s">
        <v>1125</v>
      </c>
      <c r="D36" s="69" t="s">
        <v>63</v>
      </c>
      <c r="E36" s="178">
        <v>1056.68</v>
      </c>
      <c r="F36" s="137">
        <f>C36*E36</f>
        <v>51777.32</v>
      </c>
    </row>
    <row r="37" spans="1:6" s="30" customFormat="1" ht="13.15" customHeight="1">
      <c r="A37" s="59"/>
      <c r="B37" s="100"/>
      <c r="C37" s="61"/>
      <c r="D37" s="62"/>
      <c r="E37" s="178"/>
      <c r="F37" s="137"/>
    </row>
    <row r="38" spans="1:6" s="30" customFormat="1" ht="14.45">
      <c r="A38" s="66" t="s">
        <v>92</v>
      </c>
      <c r="B38" s="67" t="s">
        <v>1126</v>
      </c>
      <c r="C38" s="68" t="s">
        <v>712</v>
      </c>
      <c r="D38" s="69" t="s">
        <v>63</v>
      </c>
      <c r="E38" s="178">
        <v>1150.26</v>
      </c>
      <c r="F38" s="137">
        <f>C38*E38</f>
        <v>35658.06</v>
      </c>
    </row>
    <row r="39" spans="1:6" s="30" customFormat="1" ht="13.15" customHeight="1">
      <c r="A39" s="59"/>
      <c r="B39" s="100"/>
      <c r="C39" s="61"/>
      <c r="D39" s="62"/>
      <c r="E39" s="178"/>
      <c r="F39" s="137"/>
    </row>
    <row r="40" spans="1:6" s="30" customFormat="1" ht="14.45">
      <c r="A40" s="66" t="s">
        <v>94</v>
      </c>
      <c r="B40" s="67" t="s">
        <v>1127</v>
      </c>
      <c r="C40" s="68" t="s">
        <v>1128</v>
      </c>
      <c r="D40" s="69" t="s">
        <v>63</v>
      </c>
      <c r="E40" s="178">
        <v>2105.73</v>
      </c>
      <c r="F40" s="137">
        <f>C40*E40</f>
        <v>46326.06</v>
      </c>
    </row>
    <row r="41" spans="1:6" s="30" customFormat="1" ht="13.15" customHeight="1">
      <c r="A41" s="59"/>
      <c r="B41" s="100"/>
      <c r="C41" s="61"/>
      <c r="D41" s="62"/>
      <c r="E41" s="178"/>
      <c r="F41" s="137"/>
    </row>
    <row r="42" spans="1:6" s="30" customFormat="1" ht="14.45">
      <c r="A42" s="66"/>
      <c r="B42" s="98" t="s">
        <v>1129</v>
      </c>
      <c r="C42" s="68"/>
      <c r="D42" s="69"/>
      <c r="E42" s="178"/>
      <c r="F42" s="137"/>
    </row>
    <row r="43" spans="1:6" s="30" customFormat="1" ht="13.15" customHeight="1">
      <c r="A43" s="59"/>
      <c r="B43" s="100"/>
      <c r="C43" s="61"/>
      <c r="D43" s="62"/>
      <c r="E43" s="178"/>
      <c r="F43" s="137"/>
    </row>
    <row r="44" spans="1:6" s="30" customFormat="1" ht="14.45">
      <c r="A44" s="66" t="s">
        <v>140</v>
      </c>
      <c r="B44" s="67" t="s">
        <v>1130</v>
      </c>
      <c r="C44" s="68" t="s">
        <v>65</v>
      </c>
      <c r="D44" s="69" t="s">
        <v>63</v>
      </c>
      <c r="E44" s="178">
        <v>5224.6099999999997</v>
      </c>
      <c r="F44" s="137">
        <f>C44*E44</f>
        <v>20898.439999999999</v>
      </c>
    </row>
    <row r="45" spans="1:6" s="30" customFormat="1" ht="13.15" customHeight="1">
      <c r="A45" s="59"/>
      <c r="B45" s="100"/>
      <c r="C45" s="61"/>
      <c r="D45" s="62"/>
      <c r="E45" s="178"/>
      <c r="F45" s="137"/>
    </row>
    <row r="46" spans="1:6" s="30" customFormat="1" ht="14.45">
      <c r="A46" s="66" t="s">
        <v>159</v>
      </c>
      <c r="B46" s="67" t="s">
        <v>1131</v>
      </c>
      <c r="C46" s="68" t="s">
        <v>1128</v>
      </c>
      <c r="D46" s="69" t="s">
        <v>63</v>
      </c>
      <c r="E46" s="178">
        <v>1968.62</v>
      </c>
      <c r="F46" s="137">
        <f>C46*E46</f>
        <v>43309.64</v>
      </c>
    </row>
    <row r="47" spans="1:6" s="30" customFormat="1" ht="13.15" customHeight="1">
      <c r="A47" s="59"/>
      <c r="B47" s="100"/>
      <c r="C47" s="61"/>
      <c r="D47" s="62"/>
      <c r="E47" s="178"/>
      <c r="F47" s="137"/>
    </row>
    <row r="48" spans="1:6" s="30" customFormat="1" ht="14.45">
      <c r="A48" s="66" t="s">
        <v>162</v>
      </c>
      <c r="B48" s="67" t="s">
        <v>1132</v>
      </c>
      <c r="C48" s="68">
        <v>10</v>
      </c>
      <c r="D48" s="69" t="s">
        <v>63</v>
      </c>
      <c r="E48" s="178">
        <v>1562.7</v>
      </c>
      <c r="F48" s="137">
        <f>C48*E48</f>
        <v>15627</v>
      </c>
    </row>
    <row r="49" spans="1:6" s="30" customFormat="1" ht="14.45">
      <c r="A49" s="71"/>
      <c r="B49" s="72"/>
      <c r="C49" s="73"/>
      <c r="D49" s="74"/>
      <c r="E49" s="159"/>
      <c r="F49" s="138"/>
    </row>
    <row r="50" spans="1:6" s="30" customFormat="1" ht="14.45">
      <c r="A50" s="75"/>
      <c r="B50" s="76"/>
      <c r="C50" s="77" t="s">
        <v>30</v>
      </c>
      <c r="D50" s="77"/>
      <c r="E50" s="160" t="s">
        <v>8</v>
      </c>
      <c r="F50" s="139">
        <f>SUM(F14:F48)</f>
        <v>674696.57</v>
      </c>
    </row>
    <row r="51" spans="1:6" s="30" customFormat="1" ht="14.45">
      <c r="A51" s="75"/>
      <c r="B51" s="76"/>
      <c r="C51" s="78"/>
      <c r="D51" s="79"/>
      <c r="E51" s="161"/>
      <c r="F51" s="140"/>
    </row>
    <row r="52" spans="1:6" s="30" customFormat="1" ht="14.45">
      <c r="A52" s="59"/>
      <c r="B52" s="63"/>
      <c r="C52" s="61"/>
      <c r="D52" s="62"/>
      <c r="E52" s="157"/>
      <c r="F52" s="137"/>
    </row>
    <row r="53" spans="1:6" s="30" customFormat="1" ht="14.45">
      <c r="A53" s="59"/>
      <c r="B53" s="64" t="s">
        <v>1133</v>
      </c>
      <c r="C53" s="61"/>
      <c r="D53" s="62"/>
      <c r="E53" s="157"/>
      <c r="F53" s="137"/>
    </row>
    <row r="54" spans="1:6" s="30" customFormat="1" ht="14.45">
      <c r="A54" s="59"/>
      <c r="B54" s="100"/>
      <c r="C54" s="61"/>
      <c r="D54" s="62"/>
      <c r="E54" s="157"/>
      <c r="F54" s="137"/>
    </row>
    <row r="55" spans="1:6" s="30" customFormat="1" ht="14.45">
      <c r="A55" s="66" t="s">
        <v>14</v>
      </c>
      <c r="B55" s="67" t="s">
        <v>1134</v>
      </c>
      <c r="C55" s="68" t="s">
        <v>308</v>
      </c>
      <c r="D55" s="69" t="s">
        <v>63</v>
      </c>
      <c r="E55" s="157">
        <v>745.44</v>
      </c>
      <c r="F55" s="137">
        <f>C55*E55</f>
        <v>8945.2800000000007</v>
      </c>
    </row>
    <row r="56" spans="1:6" s="30" customFormat="1" ht="14.45">
      <c r="A56" s="59"/>
      <c r="B56" s="100"/>
      <c r="C56" s="61"/>
      <c r="D56" s="62"/>
      <c r="E56" s="157"/>
      <c r="F56" s="137"/>
    </row>
    <row r="57" spans="1:6" s="30" customFormat="1" ht="14.45">
      <c r="A57" s="66"/>
      <c r="B57" s="98" t="s">
        <v>1135</v>
      </c>
      <c r="C57" s="68"/>
      <c r="D57" s="69"/>
      <c r="E57" s="157"/>
      <c r="F57" s="137"/>
    </row>
    <row r="58" spans="1:6" s="30" customFormat="1" ht="14.45">
      <c r="A58" s="59"/>
      <c r="B58" s="100"/>
      <c r="C58" s="61"/>
      <c r="D58" s="62"/>
      <c r="E58" s="157"/>
      <c r="F58" s="137"/>
    </row>
    <row r="59" spans="1:6" s="30" customFormat="1" ht="14.45">
      <c r="A59" s="66" t="s">
        <v>17</v>
      </c>
      <c r="B59" s="67" t="s">
        <v>1136</v>
      </c>
      <c r="C59" s="68" t="s">
        <v>335</v>
      </c>
      <c r="D59" s="69" t="s">
        <v>63</v>
      </c>
      <c r="E59" s="157">
        <v>2511.64</v>
      </c>
      <c r="F59" s="137">
        <f>C59*E59</f>
        <v>7534.92</v>
      </c>
    </row>
    <row r="60" spans="1:6" s="30" customFormat="1" ht="14.45">
      <c r="A60" s="59"/>
      <c r="B60" s="100"/>
      <c r="C60" s="61"/>
      <c r="D60" s="62"/>
      <c r="E60" s="157"/>
      <c r="F60" s="137"/>
    </row>
    <row r="61" spans="1:6" s="30" customFormat="1" ht="14.45">
      <c r="A61" s="66" t="s">
        <v>20</v>
      </c>
      <c r="B61" s="67" t="s">
        <v>1137</v>
      </c>
      <c r="C61" s="68" t="s">
        <v>39</v>
      </c>
      <c r="D61" s="69" t="s">
        <v>63</v>
      </c>
      <c r="E61" s="157">
        <v>1193.79</v>
      </c>
      <c r="F61" s="137">
        <f>C61*E61</f>
        <v>7162.74</v>
      </c>
    </row>
    <row r="62" spans="1:6" s="30" customFormat="1" ht="14.45">
      <c r="A62" s="59"/>
      <c r="B62" s="100"/>
      <c r="C62" s="61"/>
      <c r="D62" s="62"/>
      <c r="E62" s="157"/>
      <c r="F62" s="137"/>
    </row>
    <row r="63" spans="1:6" s="30" customFormat="1" ht="14.45">
      <c r="A63" s="66" t="s">
        <v>23</v>
      </c>
      <c r="B63" s="67" t="s">
        <v>1138</v>
      </c>
      <c r="C63" s="68">
        <v>7</v>
      </c>
      <c r="D63" s="69" t="s">
        <v>63</v>
      </c>
      <c r="E63" s="157">
        <v>1562.7</v>
      </c>
      <c r="F63" s="137">
        <f>C63*E63</f>
        <v>10938.9</v>
      </c>
    </row>
    <row r="64" spans="1:6" s="30" customFormat="1" ht="14.45">
      <c r="A64" s="59"/>
      <c r="B64" s="100"/>
      <c r="C64" s="61"/>
      <c r="D64" s="62"/>
      <c r="E64" s="157"/>
      <c r="F64" s="137"/>
    </row>
    <row r="65" spans="1:6" s="30" customFormat="1" ht="14.45">
      <c r="A65" s="66" t="s">
        <v>27</v>
      </c>
      <c r="B65" s="67" t="s">
        <v>1139</v>
      </c>
      <c r="C65" s="68" t="s">
        <v>716</v>
      </c>
      <c r="D65" s="69" t="s">
        <v>63</v>
      </c>
      <c r="E65" s="157">
        <v>1193.79</v>
      </c>
      <c r="F65" s="137">
        <f>C65*E65</f>
        <v>28650.959999999999</v>
      </c>
    </row>
    <row r="66" spans="1:6" s="30" customFormat="1" ht="14.45">
      <c r="A66" s="59"/>
      <c r="B66" s="100"/>
      <c r="C66" s="61"/>
      <c r="D66" s="62"/>
      <c r="E66" s="157"/>
      <c r="F66" s="137"/>
    </row>
    <row r="67" spans="1:6" s="30" customFormat="1" ht="14.45">
      <c r="A67" s="66" t="s">
        <v>44</v>
      </c>
      <c r="B67" s="67" t="s">
        <v>1140</v>
      </c>
      <c r="C67" s="68" t="s">
        <v>335</v>
      </c>
      <c r="D67" s="69" t="s">
        <v>63</v>
      </c>
      <c r="E67" s="157">
        <v>1968.62</v>
      </c>
      <c r="F67" s="137">
        <f>C67*E67</f>
        <v>5905.86</v>
      </c>
    </row>
    <row r="68" spans="1:6" s="30" customFormat="1" ht="14.45">
      <c r="A68" s="59"/>
      <c r="B68" s="100"/>
      <c r="C68" s="61"/>
      <c r="D68" s="62"/>
      <c r="E68" s="157"/>
      <c r="F68" s="137"/>
    </row>
    <row r="69" spans="1:6" s="30" customFormat="1" ht="14.45">
      <c r="A69" s="66" t="s">
        <v>48</v>
      </c>
      <c r="B69" s="67" t="s">
        <v>1141</v>
      </c>
      <c r="C69" s="68" t="s">
        <v>335</v>
      </c>
      <c r="D69" s="69" t="s">
        <v>63</v>
      </c>
      <c r="E69" s="157">
        <v>1425.59</v>
      </c>
      <c r="F69" s="137">
        <f>C69*E69</f>
        <v>4276.7699999999995</v>
      </c>
    </row>
    <row r="70" spans="1:6" s="30" customFormat="1" ht="14.45">
      <c r="A70" s="59"/>
      <c r="B70" s="100"/>
      <c r="C70" s="61"/>
      <c r="D70" s="62"/>
      <c r="E70" s="157"/>
      <c r="F70" s="137"/>
    </row>
    <row r="71" spans="1:6" s="30" customFormat="1" ht="14.45">
      <c r="A71" s="66" t="s">
        <v>84</v>
      </c>
      <c r="B71" s="67" t="s">
        <v>1142</v>
      </c>
      <c r="C71" s="68" t="s">
        <v>335</v>
      </c>
      <c r="D71" s="69" t="s">
        <v>63</v>
      </c>
      <c r="E71" s="157">
        <v>4950.38</v>
      </c>
      <c r="F71" s="137">
        <f>C71*E71</f>
        <v>14851.14</v>
      </c>
    </row>
    <row r="72" spans="1:6" s="30" customFormat="1" ht="14.45">
      <c r="A72" s="59"/>
      <c r="B72" s="100"/>
      <c r="C72" s="61"/>
      <c r="D72" s="62"/>
      <c r="E72" s="157"/>
      <c r="F72" s="137"/>
    </row>
    <row r="73" spans="1:6" s="30" customFormat="1" ht="14.45">
      <c r="A73" s="66" t="s">
        <v>86</v>
      </c>
      <c r="B73" s="67" t="s">
        <v>1143</v>
      </c>
      <c r="C73" s="68" t="s">
        <v>39</v>
      </c>
      <c r="D73" s="69" t="s">
        <v>63</v>
      </c>
      <c r="E73" s="157">
        <v>882.56</v>
      </c>
      <c r="F73" s="137">
        <f>C73*E73</f>
        <v>5295.36</v>
      </c>
    </row>
    <row r="74" spans="1:6" s="30" customFormat="1" ht="14.45">
      <c r="A74" s="59"/>
      <c r="B74" s="100"/>
      <c r="C74" s="61"/>
      <c r="D74" s="62"/>
      <c r="E74" s="157"/>
      <c r="F74" s="137"/>
    </row>
    <row r="75" spans="1:6" s="30" customFormat="1" ht="14.45">
      <c r="A75" s="66"/>
      <c r="B75" s="98" t="s">
        <v>1144</v>
      </c>
      <c r="C75" s="68"/>
      <c r="D75" s="69"/>
      <c r="E75" s="157"/>
      <c r="F75" s="137"/>
    </row>
    <row r="76" spans="1:6" s="30" customFormat="1" ht="14.45">
      <c r="A76" s="59"/>
      <c r="B76" s="100"/>
      <c r="C76" s="61"/>
      <c r="D76" s="62"/>
      <c r="E76" s="157"/>
      <c r="F76" s="137"/>
    </row>
    <row r="77" spans="1:6" s="30" customFormat="1" ht="14.45">
      <c r="A77" s="66" t="s">
        <v>90</v>
      </c>
      <c r="B77" s="67" t="s">
        <v>1145</v>
      </c>
      <c r="C77" s="68" t="s">
        <v>65</v>
      </c>
      <c r="D77" s="69" t="s">
        <v>63</v>
      </c>
      <c r="E77" s="157">
        <v>2236.3200000000002</v>
      </c>
      <c r="F77" s="137">
        <f>C77*E77</f>
        <v>8945.2800000000007</v>
      </c>
    </row>
    <row r="78" spans="1:6" s="30" customFormat="1" ht="14.45">
      <c r="A78" s="59"/>
      <c r="B78" s="100"/>
      <c r="C78" s="61"/>
      <c r="D78" s="62"/>
      <c r="E78" s="157"/>
      <c r="F78" s="137"/>
    </row>
    <row r="79" spans="1:6" s="30" customFormat="1" ht="14.45">
      <c r="A79" s="66" t="s">
        <v>92</v>
      </c>
      <c r="B79" s="67" t="s">
        <v>1146</v>
      </c>
      <c r="C79" s="68" t="s">
        <v>325</v>
      </c>
      <c r="D79" s="69" t="s">
        <v>63</v>
      </c>
      <c r="E79" s="157">
        <v>650.76</v>
      </c>
      <c r="F79" s="137">
        <f>C79*E79</f>
        <v>4555.32</v>
      </c>
    </row>
    <row r="80" spans="1:6" s="30" customFormat="1" ht="14.45">
      <c r="A80" s="59"/>
      <c r="B80" s="100"/>
      <c r="C80" s="61"/>
      <c r="D80" s="62"/>
      <c r="E80" s="157"/>
      <c r="F80" s="137"/>
    </row>
    <row r="81" spans="1:6" s="30" customFormat="1" ht="14.45">
      <c r="A81" s="66" t="s">
        <v>94</v>
      </c>
      <c r="B81" s="67" t="s">
        <v>1147</v>
      </c>
      <c r="C81" s="68" t="s">
        <v>479</v>
      </c>
      <c r="D81" s="69" t="s">
        <v>63</v>
      </c>
      <c r="E81" s="157">
        <v>2236.3200000000002</v>
      </c>
      <c r="F81" s="137">
        <f>C81*E81</f>
        <v>20126.88</v>
      </c>
    </row>
    <row r="82" spans="1:6" s="30" customFormat="1" ht="14.45">
      <c r="A82" s="59"/>
      <c r="B82" s="100"/>
      <c r="C82" s="61"/>
      <c r="D82" s="62"/>
      <c r="E82" s="157"/>
      <c r="F82" s="137"/>
    </row>
    <row r="83" spans="1:6" s="30" customFormat="1" ht="14.45">
      <c r="A83" s="66" t="s">
        <v>140</v>
      </c>
      <c r="B83" s="67" t="s">
        <v>1148</v>
      </c>
      <c r="C83" s="68" t="s">
        <v>332</v>
      </c>
      <c r="D83" s="69" t="s">
        <v>63</v>
      </c>
      <c r="E83" s="157">
        <v>245.94</v>
      </c>
      <c r="F83" s="137">
        <f>C83*E83</f>
        <v>2459.4</v>
      </c>
    </row>
    <row r="84" spans="1:6" s="30" customFormat="1" ht="14.45">
      <c r="A84" s="59"/>
      <c r="B84" s="100"/>
      <c r="C84" s="61"/>
      <c r="D84" s="62"/>
      <c r="E84" s="157"/>
      <c r="F84" s="137"/>
    </row>
    <row r="85" spans="1:6" s="30" customFormat="1" ht="14.45">
      <c r="A85" s="66" t="s">
        <v>159</v>
      </c>
      <c r="B85" s="67" t="s">
        <v>1141</v>
      </c>
      <c r="C85" s="68" t="s">
        <v>714</v>
      </c>
      <c r="D85" s="69" t="s">
        <v>63</v>
      </c>
      <c r="E85" s="157">
        <v>1425.59</v>
      </c>
      <c r="F85" s="137">
        <f>C85*E85</f>
        <v>11404.72</v>
      </c>
    </row>
    <row r="86" spans="1:6" s="30" customFormat="1" ht="14.45">
      <c r="A86" s="59"/>
      <c r="B86" s="100"/>
      <c r="C86" s="61"/>
      <c r="D86" s="62"/>
      <c r="E86" s="157"/>
      <c r="F86" s="137"/>
    </row>
    <row r="87" spans="1:6" s="30" customFormat="1" ht="14.45">
      <c r="A87" s="66"/>
      <c r="B87" s="98" t="s">
        <v>1149</v>
      </c>
      <c r="C87" s="68"/>
      <c r="D87" s="69"/>
      <c r="E87" s="157"/>
      <c r="F87" s="137"/>
    </row>
    <row r="88" spans="1:6" s="30" customFormat="1" ht="14.45">
      <c r="A88" s="59"/>
      <c r="B88" s="100"/>
      <c r="C88" s="61"/>
      <c r="D88" s="62"/>
      <c r="E88" s="157"/>
      <c r="F88" s="137"/>
    </row>
    <row r="89" spans="1:6" s="30" customFormat="1" ht="14.45">
      <c r="A89" s="66" t="s">
        <v>162</v>
      </c>
      <c r="B89" s="67" t="s">
        <v>1150</v>
      </c>
      <c r="C89" s="68" t="s">
        <v>485</v>
      </c>
      <c r="D89" s="69" t="s">
        <v>63</v>
      </c>
      <c r="E89" s="157">
        <v>2236.3200000000002</v>
      </c>
      <c r="F89" s="137">
        <f>C89*E89</f>
        <v>55908.000000000007</v>
      </c>
    </row>
    <row r="90" spans="1:6" s="30" customFormat="1" ht="14.45">
      <c r="A90" s="59"/>
      <c r="B90" s="100"/>
      <c r="C90" s="61"/>
      <c r="D90" s="62"/>
      <c r="E90" s="157"/>
      <c r="F90" s="137"/>
    </row>
    <row r="91" spans="1:6" s="30" customFormat="1" ht="14.45">
      <c r="A91" s="66" t="s">
        <v>164</v>
      </c>
      <c r="B91" s="67" t="s">
        <v>1151</v>
      </c>
      <c r="C91" s="68" t="s">
        <v>485</v>
      </c>
      <c r="D91" s="69" t="s">
        <v>63</v>
      </c>
      <c r="E91" s="157">
        <v>1693.29</v>
      </c>
      <c r="F91" s="137">
        <f>C91*E91</f>
        <v>42332.25</v>
      </c>
    </row>
    <row r="92" spans="1:6" s="30" customFormat="1" ht="14.45">
      <c r="A92" s="59"/>
      <c r="B92" s="63"/>
      <c r="C92" s="61"/>
      <c r="D92" s="62"/>
      <c r="E92" s="157"/>
      <c r="F92" s="137"/>
    </row>
    <row r="93" spans="1:6" s="30" customFormat="1" ht="14.45">
      <c r="A93" s="59"/>
      <c r="B93" s="63"/>
      <c r="C93" s="61"/>
      <c r="D93" s="62"/>
      <c r="E93" s="157"/>
      <c r="F93" s="137"/>
    </row>
    <row r="94" spans="1:6" s="30" customFormat="1" ht="14.45">
      <c r="A94" s="59"/>
      <c r="B94" s="63"/>
      <c r="C94" s="61"/>
      <c r="D94" s="62"/>
      <c r="E94" s="157"/>
      <c r="F94" s="137"/>
    </row>
    <row r="95" spans="1:6" s="30" customFormat="1" ht="14.45">
      <c r="A95" s="59"/>
      <c r="B95" s="63"/>
      <c r="C95" s="61"/>
      <c r="D95" s="62"/>
      <c r="E95" s="157"/>
      <c r="F95" s="137"/>
    </row>
    <row r="96" spans="1:6" s="30" customFormat="1" ht="14.45">
      <c r="A96" s="59"/>
      <c r="B96" s="63"/>
      <c r="C96" s="61"/>
      <c r="D96" s="62"/>
      <c r="E96" s="157"/>
      <c r="F96" s="137"/>
    </row>
    <row r="97" spans="1:6" s="30" customFormat="1" ht="14.45">
      <c r="A97" s="71"/>
      <c r="B97" s="72"/>
      <c r="C97" s="73"/>
      <c r="D97" s="74"/>
      <c r="E97" s="159"/>
      <c r="F97" s="138"/>
    </row>
    <row r="98" spans="1:6" s="30" customFormat="1" ht="14.45">
      <c r="A98" s="75"/>
      <c r="B98" s="76"/>
      <c r="C98" s="77" t="s">
        <v>30</v>
      </c>
      <c r="D98" s="77"/>
      <c r="E98" s="160" t="s">
        <v>8</v>
      </c>
      <c r="F98" s="139">
        <f>SUM(F53:F94)</f>
        <v>239293.78</v>
      </c>
    </row>
    <row r="99" spans="1:6" s="30" customFormat="1" ht="14.45">
      <c r="A99" s="75"/>
      <c r="B99" s="76"/>
      <c r="C99" s="78"/>
      <c r="D99" s="79"/>
      <c r="E99" s="161"/>
      <c r="F99" s="140"/>
    </row>
    <row r="100" spans="1:6" s="30" customFormat="1" ht="14.45">
      <c r="A100" s="59"/>
      <c r="B100" s="63"/>
      <c r="C100" s="61"/>
      <c r="D100" s="62"/>
      <c r="E100" s="157"/>
      <c r="F100" s="137"/>
    </row>
    <row r="101" spans="1:6" s="30" customFormat="1" ht="14.45">
      <c r="A101" s="59"/>
      <c r="B101" s="64" t="s">
        <v>1133</v>
      </c>
      <c r="C101" s="61"/>
      <c r="D101" s="62"/>
      <c r="E101" s="157"/>
      <c r="F101" s="137"/>
    </row>
    <row r="102" spans="1:6" s="30" customFormat="1" ht="14.45">
      <c r="A102" s="59"/>
      <c r="B102" s="100"/>
      <c r="C102" s="61"/>
      <c r="D102" s="62"/>
      <c r="E102" s="157"/>
      <c r="F102" s="137"/>
    </row>
    <row r="103" spans="1:6" s="30" customFormat="1" ht="14.45">
      <c r="A103" s="66"/>
      <c r="B103" s="98" t="s">
        <v>1152</v>
      </c>
      <c r="C103" s="68"/>
      <c r="D103" s="69"/>
      <c r="E103" s="157"/>
      <c r="F103" s="137"/>
    </row>
    <row r="104" spans="1:6" s="30" customFormat="1" ht="14.45">
      <c r="A104" s="59"/>
      <c r="B104" s="100"/>
      <c r="C104" s="61"/>
      <c r="D104" s="62"/>
      <c r="E104" s="157"/>
      <c r="F104" s="137"/>
    </row>
    <row r="105" spans="1:6" s="30" customFormat="1" ht="14.45">
      <c r="A105" s="66" t="s">
        <v>14</v>
      </c>
      <c r="B105" s="67" t="s">
        <v>1153</v>
      </c>
      <c r="C105" s="68" t="s">
        <v>483</v>
      </c>
      <c r="D105" s="69" t="s">
        <v>63</v>
      </c>
      <c r="E105" s="157">
        <v>2012.14</v>
      </c>
      <c r="F105" s="137">
        <f>C105*E105</f>
        <v>96582.720000000001</v>
      </c>
    </row>
    <row r="106" spans="1:6" s="30" customFormat="1" ht="14.45">
      <c r="A106" s="59"/>
      <c r="B106" s="100"/>
      <c r="C106" s="61"/>
      <c r="D106" s="62"/>
      <c r="E106" s="157"/>
      <c r="F106" s="137"/>
    </row>
    <row r="107" spans="1:6" s="30" customFormat="1" ht="14.45">
      <c r="A107" s="66" t="s">
        <v>17</v>
      </c>
      <c r="B107" s="67" t="s">
        <v>1154</v>
      </c>
      <c r="C107" s="68" t="s">
        <v>1155</v>
      </c>
      <c r="D107" s="69" t="s">
        <v>63</v>
      </c>
      <c r="E107" s="157">
        <v>224.18</v>
      </c>
      <c r="F107" s="137">
        <f>C107*E107</f>
        <v>4259.42</v>
      </c>
    </row>
    <row r="108" spans="1:6" s="30" customFormat="1" ht="14.45">
      <c r="A108" s="59"/>
      <c r="B108" s="100"/>
      <c r="C108" s="61"/>
      <c r="D108" s="62"/>
      <c r="E108" s="157"/>
      <c r="F108" s="137"/>
    </row>
    <row r="109" spans="1:6" s="30" customFormat="1" ht="14.45">
      <c r="A109" s="66" t="s">
        <v>20</v>
      </c>
      <c r="B109" s="67" t="s">
        <v>1156</v>
      </c>
      <c r="C109" s="68" t="s">
        <v>1128</v>
      </c>
      <c r="D109" s="69" t="s">
        <v>63</v>
      </c>
      <c r="E109" s="157">
        <v>470.12</v>
      </c>
      <c r="F109" s="137">
        <f>C109*E109</f>
        <v>10342.64</v>
      </c>
    </row>
    <row r="110" spans="1:6" s="30" customFormat="1" ht="14.45">
      <c r="A110" s="59"/>
      <c r="B110" s="100"/>
      <c r="C110" s="61"/>
      <c r="D110" s="62"/>
      <c r="E110" s="157"/>
      <c r="F110" s="137"/>
    </row>
    <row r="111" spans="1:6" s="30" customFormat="1" ht="14.45">
      <c r="A111" s="66" t="s">
        <v>23</v>
      </c>
      <c r="B111" s="67" t="s">
        <v>1157</v>
      </c>
      <c r="C111" s="68" t="s">
        <v>1158</v>
      </c>
      <c r="D111" s="69" t="s">
        <v>63</v>
      </c>
      <c r="E111" s="157">
        <v>5192.82</v>
      </c>
      <c r="F111" s="137">
        <f>C111*E111</f>
        <v>337533.3</v>
      </c>
    </row>
    <row r="112" spans="1:6" s="30" customFormat="1" ht="14.45">
      <c r="A112" s="59"/>
      <c r="B112" s="63"/>
      <c r="C112" s="61"/>
      <c r="D112" s="62"/>
      <c r="E112" s="157"/>
      <c r="F112" s="137"/>
    </row>
    <row r="113" spans="1:6" s="30" customFormat="1" ht="14.45">
      <c r="A113" s="59"/>
      <c r="B113" s="63"/>
      <c r="C113" s="61"/>
      <c r="D113" s="62"/>
      <c r="E113" s="157"/>
      <c r="F113" s="137"/>
    </row>
    <row r="114" spans="1:6" s="30" customFormat="1" ht="14.45">
      <c r="A114" s="59"/>
      <c r="B114" s="63"/>
      <c r="C114" s="61"/>
      <c r="D114" s="62"/>
      <c r="E114" s="157"/>
      <c r="F114" s="137"/>
    </row>
    <row r="115" spans="1:6" s="30" customFormat="1" ht="14.45">
      <c r="A115" s="59"/>
      <c r="B115" s="63"/>
      <c r="C115" s="61"/>
      <c r="D115" s="62"/>
      <c r="E115" s="157"/>
      <c r="F115" s="137"/>
    </row>
    <row r="116" spans="1:6" s="30" customFormat="1" ht="14.45">
      <c r="A116" s="59"/>
      <c r="B116" s="63"/>
      <c r="C116" s="61"/>
      <c r="D116" s="62"/>
      <c r="E116" s="157"/>
      <c r="F116" s="137"/>
    </row>
    <row r="117" spans="1:6" s="30" customFormat="1" ht="14.45">
      <c r="A117" s="59"/>
      <c r="B117" s="63"/>
      <c r="C117" s="61"/>
      <c r="D117" s="62"/>
      <c r="E117" s="157"/>
      <c r="F117" s="137"/>
    </row>
    <row r="118" spans="1:6" s="30" customFormat="1" ht="14.45">
      <c r="A118" s="59"/>
      <c r="B118" s="63"/>
      <c r="C118" s="61"/>
      <c r="D118" s="62"/>
      <c r="E118" s="157"/>
      <c r="F118" s="137"/>
    </row>
    <row r="119" spans="1:6" s="30" customFormat="1" ht="14.45">
      <c r="A119" s="59"/>
      <c r="B119" s="63"/>
      <c r="C119" s="61"/>
      <c r="D119" s="62"/>
      <c r="E119" s="157"/>
      <c r="F119" s="137"/>
    </row>
    <row r="120" spans="1:6" s="30" customFormat="1" ht="14.45">
      <c r="A120" s="59"/>
      <c r="B120" s="63"/>
      <c r="C120" s="61"/>
      <c r="D120" s="62"/>
      <c r="E120" s="157"/>
      <c r="F120" s="137"/>
    </row>
    <row r="121" spans="1:6" s="30" customFormat="1" ht="14.45">
      <c r="A121" s="59"/>
      <c r="B121" s="63"/>
      <c r="C121" s="61"/>
      <c r="D121" s="62"/>
      <c r="E121" s="157"/>
      <c r="F121" s="137"/>
    </row>
    <row r="122" spans="1:6" s="30" customFormat="1" ht="14.45">
      <c r="A122" s="59"/>
      <c r="B122" s="63"/>
      <c r="C122" s="61"/>
      <c r="D122" s="62"/>
      <c r="E122" s="157"/>
      <c r="F122" s="137"/>
    </row>
    <row r="123" spans="1:6" s="30" customFormat="1" ht="14.45">
      <c r="A123" s="59"/>
      <c r="B123" s="63"/>
      <c r="C123" s="61"/>
      <c r="D123" s="62"/>
      <c r="E123" s="157"/>
      <c r="F123" s="137"/>
    </row>
    <row r="124" spans="1:6" s="30" customFormat="1" ht="14.45">
      <c r="A124" s="59"/>
      <c r="B124" s="63"/>
      <c r="C124" s="61"/>
      <c r="D124" s="62"/>
      <c r="E124" s="157"/>
      <c r="F124" s="137"/>
    </row>
    <row r="125" spans="1:6" s="30" customFormat="1" ht="14.45">
      <c r="A125" s="59"/>
      <c r="B125" s="63"/>
      <c r="C125" s="61"/>
      <c r="D125" s="62"/>
      <c r="E125" s="157"/>
      <c r="F125" s="137"/>
    </row>
    <row r="126" spans="1:6" s="30" customFormat="1" ht="14.45">
      <c r="A126" s="59"/>
      <c r="B126" s="63"/>
      <c r="C126" s="61"/>
      <c r="D126" s="62"/>
      <c r="E126" s="157"/>
      <c r="F126" s="137"/>
    </row>
    <row r="127" spans="1:6" s="30" customFormat="1" ht="14.45">
      <c r="A127" s="59"/>
      <c r="B127" s="63"/>
      <c r="C127" s="61"/>
      <c r="D127" s="62"/>
      <c r="E127" s="157"/>
      <c r="F127" s="137"/>
    </row>
    <row r="128" spans="1:6" s="30" customFormat="1" ht="14.45">
      <c r="A128" s="59"/>
      <c r="B128" s="63"/>
      <c r="C128" s="61"/>
      <c r="D128" s="62"/>
      <c r="E128" s="157"/>
      <c r="F128" s="137"/>
    </row>
    <row r="129" spans="1:6" s="30" customFormat="1" ht="14.45">
      <c r="A129" s="59"/>
      <c r="B129" s="63"/>
      <c r="C129" s="61"/>
      <c r="D129" s="62"/>
      <c r="E129" s="157"/>
      <c r="F129" s="137"/>
    </row>
    <row r="130" spans="1:6" s="30" customFormat="1" ht="14.45">
      <c r="A130" s="59"/>
      <c r="B130" s="63"/>
      <c r="C130" s="61"/>
      <c r="D130" s="62"/>
      <c r="E130" s="157"/>
      <c r="F130" s="137"/>
    </row>
    <row r="131" spans="1:6" s="30" customFormat="1" ht="14.45">
      <c r="A131" s="59"/>
      <c r="B131" s="63"/>
      <c r="C131" s="61"/>
      <c r="D131" s="62"/>
      <c r="E131" s="157"/>
      <c r="F131" s="137"/>
    </row>
    <row r="132" spans="1:6" s="30" customFormat="1" ht="14.45">
      <c r="A132" s="59"/>
      <c r="B132" s="63"/>
      <c r="C132" s="61"/>
      <c r="D132" s="62"/>
      <c r="E132" s="157"/>
      <c r="F132" s="137"/>
    </row>
    <row r="133" spans="1:6" s="30" customFormat="1" ht="14.45">
      <c r="A133" s="59"/>
      <c r="B133" s="63"/>
      <c r="C133" s="61"/>
      <c r="D133" s="62"/>
      <c r="E133" s="157"/>
      <c r="F133" s="137"/>
    </row>
    <row r="134" spans="1:6" s="30" customFormat="1" ht="14.45">
      <c r="A134" s="59"/>
      <c r="B134" s="63"/>
      <c r="C134" s="61"/>
      <c r="D134" s="62"/>
      <c r="E134" s="157"/>
      <c r="F134" s="137"/>
    </row>
    <row r="135" spans="1:6" s="30" customFormat="1" ht="14.45">
      <c r="A135" s="59"/>
      <c r="B135" s="63"/>
      <c r="C135" s="61"/>
      <c r="D135" s="62"/>
      <c r="E135" s="157"/>
      <c r="F135" s="137"/>
    </row>
    <row r="136" spans="1:6" s="30" customFormat="1" ht="14.45">
      <c r="A136" s="59"/>
      <c r="B136" s="63"/>
      <c r="C136" s="61"/>
      <c r="D136" s="62"/>
      <c r="E136" s="157"/>
      <c r="F136" s="137"/>
    </row>
    <row r="137" spans="1:6" s="30" customFormat="1" ht="14.45">
      <c r="A137" s="59"/>
      <c r="B137" s="63"/>
      <c r="C137" s="61"/>
      <c r="D137" s="62"/>
      <c r="E137" s="157"/>
      <c r="F137" s="137"/>
    </row>
    <row r="138" spans="1:6" s="30" customFormat="1" ht="14.45">
      <c r="A138" s="59"/>
      <c r="B138" s="63"/>
      <c r="C138" s="61"/>
      <c r="D138" s="62"/>
      <c r="E138" s="157"/>
      <c r="F138" s="137"/>
    </row>
    <row r="139" spans="1:6" s="30" customFormat="1" ht="14.45">
      <c r="A139" s="59"/>
      <c r="B139" s="63"/>
      <c r="C139" s="61"/>
      <c r="D139" s="62"/>
      <c r="E139" s="157"/>
      <c r="F139" s="137"/>
    </row>
    <row r="140" spans="1:6" s="30" customFormat="1" ht="14.45">
      <c r="A140" s="59"/>
      <c r="B140" s="63"/>
      <c r="C140" s="61"/>
      <c r="D140" s="62"/>
      <c r="E140" s="157"/>
      <c r="F140" s="137"/>
    </row>
    <row r="141" spans="1:6" s="30" customFormat="1" ht="14.45">
      <c r="A141" s="59"/>
      <c r="B141" s="63"/>
      <c r="C141" s="61"/>
      <c r="D141" s="62"/>
      <c r="E141" s="157"/>
      <c r="F141" s="137"/>
    </row>
    <row r="142" spans="1:6" s="30" customFormat="1" ht="14.45">
      <c r="A142" s="59"/>
      <c r="B142" s="63"/>
      <c r="C142" s="61"/>
      <c r="D142" s="62"/>
      <c r="E142" s="157"/>
      <c r="F142" s="137"/>
    </row>
    <row r="143" spans="1:6" s="30" customFormat="1" ht="14.45">
      <c r="A143" s="59"/>
      <c r="B143" s="63"/>
      <c r="C143" s="61"/>
      <c r="D143" s="62"/>
      <c r="E143" s="157"/>
      <c r="F143" s="137"/>
    </row>
    <row r="144" spans="1:6" s="30" customFormat="1" ht="14.45">
      <c r="A144" s="59"/>
      <c r="B144" s="63"/>
      <c r="C144" s="61"/>
      <c r="D144" s="62"/>
      <c r="E144" s="157"/>
      <c r="F144" s="137"/>
    </row>
    <row r="145" spans="1:6" s="30" customFormat="1" ht="14.45">
      <c r="A145" s="71"/>
      <c r="B145" s="72"/>
      <c r="C145" s="73"/>
      <c r="D145" s="74"/>
      <c r="E145" s="159"/>
      <c r="F145" s="138"/>
    </row>
    <row r="146" spans="1:6" s="30" customFormat="1" ht="14.45">
      <c r="A146" s="75"/>
      <c r="B146" s="76"/>
      <c r="C146" s="77" t="s">
        <v>30</v>
      </c>
      <c r="D146" s="77"/>
      <c r="E146" s="160" t="s">
        <v>8</v>
      </c>
      <c r="F146" s="139">
        <f>SUM(F101:F133)</f>
        <v>448718.07999999996</v>
      </c>
    </row>
    <row r="147" spans="1:6" s="30" customFormat="1" ht="14.45">
      <c r="A147" s="75"/>
      <c r="B147" s="76"/>
      <c r="C147" s="78"/>
      <c r="D147" s="79"/>
      <c r="E147" s="161"/>
      <c r="F147" s="140"/>
    </row>
    <row r="148" spans="1:6" s="30" customFormat="1" ht="14.45">
      <c r="A148" s="59"/>
      <c r="B148" s="63"/>
      <c r="C148" s="61"/>
      <c r="D148" s="62"/>
      <c r="E148" s="157"/>
      <c r="F148" s="137"/>
    </row>
    <row r="149" spans="1:6" s="30" customFormat="1" ht="14.45">
      <c r="A149" s="59"/>
      <c r="B149" s="64" t="s">
        <v>1159</v>
      </c>
      <c r="C149" s="61"/>
      <c r="D149" s="62"/>
      <c r="E149" s="157"/>
      <c r="F149" s="137"/>
    </row>
    <row r="150" spans="1:6" s="30" customFormat="1" ht="14.45">
      <c r="A150" s="59"/>
      <c r="B150" s="100"/>
      <c r="C150" s="61"/>
      <c r="D150" s="62"/>
      <c r="E150" s="157"/>
      <c r="F150" s="137"/>
    </row>
    <row r="151" spans="1:6" s="30" customFormat="1" ht="14.45">
      <c r="A151" s="66"/>
      <c r="B151" s="99" t="s">
        <v>11</v>
      </c>
      <c r="C151" s="68"/>
      <c r="D151" s="69"/>
      <c r="E151" s="157"/>
      <c r="F151" s="137"/>
    </row>
    <row r="152" spans="1:6" s="30" customFormat="1" ht="14.45">
      <c r="A152" s="59"/>
      <c r="B152" s="100"/>
      <c r="C152" s="61"/>
      <c r="D152" s="62"/>
      <c r="E152" s="157"/>
      <c r="F152" s="137"/>
    </row>
    <row r="153" spans="1:6" s="30" customFormat="1" ht="27.6">
      <c r="A153" s="66"/>
      <c r="B153" s="99" t="s">
        <v>1160</v>
      </c>
      <c r="C153" s="68"/>
      <c r="D153" s="69"/>
      <c r="E153" s="157"/>
      <c r="F153" s="137"/>
    </row>
    <row r="154" spans="1:6" s="30" customFormat="1" ht="14.45">
      <c r="A154" s="59"/>
      <c r="B154" s="100"/>
      <c r="C154" s="61"/>
      <c r="D154" s="62"/>
      <c r="E154" s="157"/>
      <c r="F154" s="137"/>
    </row>
    <row r="155" spans="1:6" s="30" customFormat="1" ht="27.6">
      <c r="A155" s="66"/>
      <c r="B155" s="99" t="s">
        <v>1161</v>
      </c>
      <c r="C155" s="68"/>
      <c r="D155" s="69"/>
      <c r="E155" s="157"/>
      <c r="F155" s="137"/>
    </row>
    <row r="156" spans="1:6" s="30" customFormat="1" ht="14.45">
      <c r="A156" s="59"/>
      <c r="B156" s="100"/>
      <c r="C156" s="61"/>
      <c r="D156" s="62"/>
      <c r="E156" s="157"/>
      <c r="F156" s="137"/>
    </row>
    <row r="157" spans="1:6" s="30" customFormat="1" ht="27.6">
      <c r="A157" s="66"/>
      <c r="B157" s="98" t="s">
        <v>1162</v>
      </c>
      <c r="C157" s="68"/>
      <c r="D157" s="69"/>
      <c r="E157" s="157"/>
      <c r="F157" s="137"/>
    </row>
    <row r="158" spans="1:6" s="30" customFormat="1" ht="14.45">
      <c r="A158" s="59"/>
      <c r="B158" s="100"/>
      <c r="C158" s="61"/>
      <c r="D158" s="62"/>
      <c r="E158" s="157"/>
      <c r="F158" s="137"/>
    </row>
    <row r="159" spans="1:6" s="30" customFormat="1" ht="14.45">
      <c r="A159" s="66" t="s">
        <v>14</v>
      </c>
      <c r="B159" s="67" t="s">
        <v>1163</v>
      </c>
      <c r="C159" s="68">
        <v>14</v>
      </c>
      <c r="D159" s="69" t="s">
        <v>199</v>
      </c>
      <c r="E159" s="157">
        <v>2130.29</v>
      </c>
      <c r="F159" s="137">
        <f>C159*E159</f>
        <v>29824.059999999998</v>
      </c>
    </row>
    <row r="160" spans="1:6" s="30" customFormat="1" ht="14.45">
      <c r="A160" s="59"/>
      <c r="B160" s="100"/>
      <c r="C160" s="61"/>
      <c r="D160" s="62"/>
      <c r="E160" s="157"/>
      <c r="F160" s="137"/>
    </row>
    <row r="161" spans="1:6" s="30" customFormat="1" ht="14.45">
      <c r="A161" s="66" t="s">
        <v>17</v>
      </c>
      <c r="B161" s="67" t="s">
        <v>1164</v>
      </c>
      <c r="C161" s="68" t="s">
        <v>1165</v>
      </c>
      <c r="D161" s="69" t="s">
        <v>199</v>
      </c>
      <c r="E161" s="157">
        <v>2507.98</v>
      </c>
      <c r="F161" s="137">
        <f>C161*E161</f>
        <v>366165.08</v>
      </c>
    </row>
    <row r="162" spans="1:6" s="30" customFormat="1" ht="14.45">
      <c r="A162" s="59"/>
      <c r="B162" s="100"/>
      <c r="C162" s="61"/>
      <c r="D162" s="62"/>
      <c r="E162" s="157"/>
      <c r="F162" s="137"/>
    </row>
    <row r="163" spans="1:6" s="30" customFormat="1" ht="14.45">
      <c r="A163" s="66" t="s">
        <v>20</v>
      </c>
      <c r="B163" s="67" t="s">
        <v>1166</v>
      </c>
      <c r="C163" s="68" t="s">
        <v>39</v>
      </c>
      <c r="D163" s="69" t="s">
        <v>63</v>
      </c>
      <c r="E163" s="157">
        <v>6009.67</v>
      </c>
      <c r="F163" s="137">
        <f>C163*E163</f>
        <v>36058.020000000004</v>
      </c>
    </row>
    <row r="164" spans="1:6" s="30" customFormat="1" ht="14.45">
      <c r="A164" s="59"/>
      <c r="B164" s="100"/>
      <c r="C164" s="61"/>
      <c r="D164" s="62"/>
      <c r="E164" s="157"/>
      <c r="F164" s="137"/>
    </row>
    <row r="165" spans="1:6" s="30" customFormat="1" ht="27.6">
      <c r="A165" s="66" t="s">
        <v>23</v>
      </c>
      <c r="B165" s="67" t="s">
        <v>1167</v>
      </c>
      <c r="C165" s="68" t="s">
        <v>501</v>
      </c>
      <c r="D165" s="69" t="s">
        <v>199</v>
      </c>
      <c r="E165" s="157">
        <v>3630.83</v>
      </c>
      <c r="F165" s="137">
        <f>C165*E165</f>
        <v>170649.01</v>
      </c>
    </row>
    <row r="166" spans="1:6" s="30" customFormat="1" ht="14.45">
      <c r="A166" s="59"/>
      <c r="B166" s="100"/>
      <c r="C166" s="61"/>
      <c r="D166" s="62"/>
      <c r="E166" s="157"/>
      <c r="F166" s="137"/>
    </row>
    <row r="167" spans="1:6" s="30" customFormat="1" ht="27.6">
      <c r="A167" s="66" t="s">
        <v>27</v>
      </c>
      <c r="B167" s="67" t="s">
        <v>1168</v>
      </c>
      <c r="C167" s="68" t="s">
        <v>961</v>
      </c>
      <c r="D167" s="69" t="s">
        <v>199</v>
      </c>
      <c r="E167" s="157">
        <v>3630.83</v>
      </c>
      <c r="F167" s="137">
        <f>C167*E167</f>
        <v>156125.69</v>
      </c>
    </row>
    <row r="168" spans="1:6" s="30" customFormat="1" ht="14.45">
      <c r="A168" s="59"/>
      <c r="B168" s="100"/>
      <c r="C168" s="61"/>
      <c r="D168" s="62"/>
      <c r="E168" s="157"/>
      <c r="F168" s="137"/>
    </row>
    <row r="169" spans="1:6" s="30" customFormat="1" ht="27.6">
      <c r="A169" s="66" t="s">
        <v>44</v>
      </c>
      <c r="B169" s="67" t="s">
        <v>1167</v>
      </c>
      <c r="C169" s="68">
        <v>75</v>
      </c>
      <c r="D169" s="69" t="s">
        <v>199</v>
      </c>
      <c r="E169" s="157">
        <v>3630.83</v>
      </c>
      <c r="F169" s="137">
        <f>C169*E169</f>
        <v>272312.25</v>
      </c>
    </row>
    <row r="170" spans="1:6" s="30" customFormat="1" ht="14.45">
      <c r="A170" s="59"/>
      <c r="B170" s="100"/>
      <c r="C170" s="61"/>
      <c r="D170" s="62"/>
      <c r="E170" s="157"/>
      <c r="F170" s="137"/>
    </row>
    <row r="171" spans="1:6" s="30" customFormat="1" ht="14.45">
      <c r="A171" s="66" t="s">
        <v>48</v>
      </c>
      <c r="B171" s="67" t="s">
        <v>1169</v>
      </c>
      <c r="C171" s="68" t="s">
        <v>62</v>
      </c>
      <c r="D171" s="69" t="s">
        <v>63</v>
      </c>
      <c r="E171" s="157">
        <v>6366.88</v>
      </c>
      <c r="F171" s="137">
        <f>C171*E171</f>
        <v>31834.400000000001</v>
      </c>
    </row>
    <row r="172" spans="1:6" s="30" customFormat="1" ht="14.45">
      <c r="A172" s="59"/>
      <c r="B172" s="63"/>
      <c r="C172" s="61"/>
      <c r="D172" s="62"/>
      <c r="E172" s="157"/>
      <c r="F172" s="137"/>
    </row>
    <row r="173" spans="1:6" s="30" customFormat="1" ht="14.45">
      <c r="A173" s="59"/>
      <c r="B173" s="63"/>
      <c r="C173" s="61"/>
      <c r="D173" s="62"/>
      <c r="E173" s="157"/>
      <c r="F173" s="137"/>
    </row>
    <row r="174" spans="1:6" s="30" customFormat="1" ht="14.45">
      <c r="A174" s="59"/>
      <c r="B174" s="63"/>
      <c r="C174" s="61"/>
      <c r="D174" s="62"/>
      <c r="E174" s="157"/>
      <c r="F174" s="137"/>
    </row>
    <row r="175" spans="1:6" s="30" customFormat="1" ht="14.45">
      <c r="A175" s="59"/>
      <c r="B175" s="63"/>
      <c r="C175" s="61"/>
      <c r="D175" s="62"/>
      <c r="E175" s="157"/>
      <c r="F175" s="137"/>
    </row>
    <row r="176" spans="1:6" s="30" customFormat="1" ht="14.45">
      <c r="A176" s="59"/>
      <c r="B176" s="63"/>
      <c r="C176" s="61"/>
      <c r="D176" s="62"/>
      <c r="E176" s="157"/>
      <c r="F176" s="137"/>
    </row>
    <row r="177" spans="1:6" s="30" customFormat="1" ht="14.45">
      <c r="A177" s="59"/>
      <c r="B177" s="63"/>
      <c r="C177" s="61"/>
      <c r="D177" s="62"/>
      <c r="E177" s="157"/>
      <c r="F177" s="137"/>
    </row>
    <row r="178" spans="1:6" s="30" customFormat="1" ht="14.45">
      <c r="A178" s="59"/>
      <c r="B178" s="63"/>
      <c r="C178" s="61"/>
      <c r="D178" s="62"/>
      <c r="E178" s="157"/>
      <c r="F178" s="137"/>
    </row>
    <row r="179" spans="1:6" s="30" customFormat="1" ht="14.45">
      <c r="A179" s="59"/>
      <c r="B179" s="63"/>
      <c r="C179" s="61"/>
      <c r="D179" s="62"/>
      <c r="E179" s="157"/>
      <c r="F179" s="137"/>
    </row>
    <row r="180" spans="1:6" s="30" customFormat="1" ht="14.45">
      <c r="A180" s="59"/>
      <c r="B180" s="63"/>
      <c r="C180" s="61"/>
      <c r="D180" s="62"/>
      <c r="E180" s="157"/>
      <c r="F180" s="137"/>
    </row>
    <row r="181" spans="1:6" s="30" customFormat="1" ht="14.45">
      <c r="A181" s="59"/>
      <c r="B181" s="63"/>
      <c r="C181" s="61"/>
      <c r="D181" s="62"/>
      <c r="E181" s="157"/>
      <c r="F181" s="137"/>
    </row>
    <row r="182" spans="1:6" s="30" customFormat="1" ht="14.45">
      <c r="A182" s="59"/>
      <c r="B182" s="63"/>
      <c r="C182" s="61"/>
      <c r="D182" s="62"/>
      <c r="E182" s="157"/>
      <c r="F182" s="137"/>
    </row>
    <row r="183" spans="1:6" s="30" customFormat="1" ht="14.45">
      <c r="A183" s="59"/>
      <c r="B183" s="63"/>
      <c r="C183" s="61"/>
      <c r="D183" s="62"/>
      <c r="E183" s="157"/>
      <c r="F183" s="137"/>
    </row>
    <row r="184" spans="1:6" s="30" customFormat="1" ht="14.45">
      <c r="A184" s="59"/>
      <c r="B184" s="63"/>
      <c r="C184" s="61"/>
      <c r="D184" s="62"/>
      <c r="E184" s="157"/>
      <c r="F184" s="137"/>
    </row>
    <row r="185" spans="1:6" s="30" customFormat="1" ht="14.45">
      <c r="A185" s="59"/>
      <c r="B185" s="63"/>
      <c r="C185" s="61"/>
      <c r="D185" s="62"/>
      <c r="E185" s="157"/>
      <c r="F185" s="137"/>
    </row>
    <row r="186" spans="1:6" s="30" customFormat="1" ht="14.45">
      <c r="A186" s="59"/>
      <c r="B186" s="63"/>
      <c r="C186" s="61"/>
      <c r="D186" s="62"/>
      <c r="E186" s="157"/>
      <c r="F186" s="137"/>
    </row>
    <row r="187" spans="1:6" s="30" customFormat="1" ht="14.45">
      <c r="A187" s="59"/>
      <c r="B187" s="63"/>
      <c r="C187" s="61"/>
      <c r="D187" s="62"/>
      <c r="E187" s="157"/>
      <c r="F187" s="137"/>
    </row>
    <row r="188" spans="1:6" s="30" customFormat="1" ht="14.45">
      <c r="A188" s="71"/>
      <c r="B188" s="72"/>
      <c r="C188" s="73"/>
      <c r="D188" s="74"/>
      <c r="E188" s="159"/>
      <c r="F188" s="138"/>
    </row>
    <row r="189" spans="1:6" s="30" customFormat="1" ht="14.45">
      <c r="A189" s="75"/>
      <c r="B189" s="76"/>
      <c r="C189" s="77" t="s">
        <v>30</v>
      </c>
      <c r="D189" s="77"/>
      <c r="E189" s="160" t="s">
        <v>8</v>
      </c>
      <c r="F189" s="139">
        <f>SUM(F155:F178)</f>
        <v>1062968.51</v>
      </c>
    </row>
    <row r="190" spans="1:6" s="30" customFormat="1" ht="14.45">
      <c r="A190" s="75"/>
      <c r="B190" s="76"/>
      <c r="C190" s="78"/>
      <c r="D190" s="79"/>
      <c r="E190" s="161"/>
      <c r="F190" s="140"/>
    </row>
    <row r="191" spans="1:6" s="30" customFormat="1" ht="14.45">
      <c r="A191" s="59"/>
      <c r="B191" s="63"/>
      <c r="C191" s="61"/>
      <c r="D191" s="62"/>
      <c r="E191" s="157"/>
      <c r="F191" s="137"/>
    </row>
    <row r="192" spans="1:6" s="30" customFormat="1" ht="14.45">
      <c r="A192" s="59"/>
      <c r="B192" s="64" t="s">
        <v>105</v>
      </c>
      <c r="C192" s="61"/>
      <c r="D192" s="62"/>
      <c r="E192" s="157"/>
      <c r="F192" s="137"/>
    </row>
    <row r="193" spans="1:6" s="30" customFormat="1" ht="14.45">
      <c r="A193" s="59"/>
      <c r="B193" s="100"/>
      <c r="C193" s="61"/>
      <c r="D193" s="62"/>
      <c r="E193" s="157"/>
      <c r="F193" s="137"/>
    </row>
    <row r="194" spans="1:6" s="30" customFormat="1" ht="55.15">
      <c r="A194" s="66"/>
      <c r="B194" s="67" t="s">
        <v>1170</v>
      </c>
      <c r="C194" s="68"/>
      <c r="D194" s="69" t="s">
        <v>2</v>
      </c>
      <c r="E194" s="157"/>
      <c r="F194" s="137">
        <f>C194*E194</f>
        <v>0</v>
      </c>
    </row>
    <row r="195" spans="1:6" s="30" customFormat="1" ht="14.45">
      <c r="A195" s="45" t="s">
        <v>210</v>
      </c>
      <c r="B195" s="146" t="s">
        <v>213</v>
      </c>
      <c r="C195" s="46"/>
      <c r="D195" s="47"/>
      <c r="E195" s="157"/>
      <c r="F195" s="137"/>
    </row>
    <row r="196" spans="1:6" s="30" customFormat="1" ht="14.45">
      <c r="A196" s="45"/>
      <c r="B196" s="146"/>
      <c r="C196" s="46"/>
      <c r="D196" s="47"/>
      <c r="E196" s="157"/>
      <c r="F196" s="137"/>
    </row>
    <row r="197" spans="1:6" s="30" customFormat="1" ht="27.6">
      <c r="A197" s="290" t="s">
        <v>14</v>
      </c>
      <c r="B197" s="291" t="s">
        <v>214</v>
      </c>
      <c r="C197" s="292">
        <v>1</v>
      </c>
      <c r="D197" s="293" t="s">
        <v>215</v>
      </c>
      <c r="E197" s="283"/>
      <c r="F197" s="284">
        <f>+C197*E197</f>
        <v>0</v>
      </c>
    </row>
    <row r="198" spans="1:6" s="30" customFormat="1" ht="14.45">
      <c r="A198" s="45"/>
      <c r="B198" s="146"/>
      <c r="C198" s="46"/>
      <c r="D198" s="47"/>
      <c r="E198" s="157"/>
      <c r="F198" s="137"/>
    </row>
    <row r="199" spans="1:6" s="30" customFormat="1" ht="14.45">
      <c r="A199" s="45"/>
      <c r="B199" s="48"/>
      <c r="C199" s="46"/>
      <c r="D199" s="47"/>
      <c r="E199" s="157"/>
      <c r="F199" s="137"/>
    </row>
    <row r="200" spans="1:6" s="30" customFormat="1" ht="14.45">
      <c r="A200" s="45"/>
      <c r="B200" s="48"/>
      <c r="C200" s="46"/>
      <c r="D200" s="47"/>
      <c r="E200" s="157"/>
      <c r="F200" s="137"/>
    </row>
    <row r="201" spans="1:6" s="30" customFormat="1" ht="14.45">
      <c r="A201" s="45"/>
      <c r="B201" s="48"/>
      <c r="C201" s="46"/>
      <c r="D201" s="47"/>
      <c r="E201" s="157"/>
      <c r="F201" s="137"/>
    </row>
    <row r="202" spans="1:6" s="30" customFormat="1" ht="14.45">
      <c r="A202" s="45"/>
      <c r="B202" s="48"/>
      <c r="C202" s="46"/>
      <c r="D202" s="47"/>
      <c r="E202" s="157"/>
      <c r="F202" s="137"/>
    </row>
    <row r="203" spans="1:6" s="30" customFormat="1" ht="14.45">
      <c r="A203" s="45"/>
      <c r="B203" s="48"/>
      <c r="C203" s="46"/>
      <c r="D203" s="47"/>
      <c r="E203" s="157"/>
      <c r="F203" s="137"/>
    </row>
    <row r="204" spans="1:6" s="30" customFormat="1" ht="14.45">
      <c r="A204" s="45"/>
      <c r="B204" s="48"/>
      <c r="C204" s="46"/>
      <c r="D204" s="47"/>
      <c r="E204" s="157"/>
      <c r="F204" s="137"/>
    </row>
    <row r="205" spans="1:6" s="30" customFormat="1" ht="14.45">
      <c r="A205" s="45"/>
      <c r="B205" s="48"/>
      <c r="C205" s="46"/>
      <c r="D205" s="47"/>
      <c r="E205" s="157"/>
      <c r="F205" s="137"/>
    </row>
    <row r="206" spans="1:6" s="30" customFormat="1" ht="14.45">
      <c r="A206" s="45"/>
      <c r="B206" s="48"/>
      <c r="C206" s="46"/>
      <c r="D206" s="47"/>
      <c r="E206" s="157"/>
      <c r="F206" s="137"/>
    </row>
    <row r="207" spans="1:6" s="30" customFormat="1" ht="14.45">
      <c r="A207" s="45"/>
      <c r="B207" s="48"/>
      <c r="C207" s="46"/>
      <c r="D207" s="47"/>
      <c r="E207" s="157"/>
      <c r="F207" s="137"/>
    </row>
    <row r="208" spans="1:6" s="30" customFormat="1" ht="14.45">
      <c r="A208" s="45"/>
      <c r="B208" s="48"/>
      <c r="C208" s="46"/>
      <c r="D208" s="47"/>
      <c r="E208" s="157"/>
      <c r="F208" s="137"/>
    </row>
    <row r="209" spans="1:6" s="30" customFormat="1" ht="14.45">
      <c r="A209" s="45"/>
      <c r="B209" s="48"/>
      <c r="C209" s="46"/>
      <c r="D209" s="47"/>
      <c r="E209" s="157"/>
      <c r="F209" s="137"/>
    </row>
    <row r="210" spans="1:6" s="30" customFormat="1" ht="14.45">
      <c r="A210" s="45"/>
      <c r="B210" s="48"/>
      <c r="C210" s="46"/>
      <c r="D210" s="47"/>
      <c r="E210" s="157"/>
      <c r="F210" s="137"/>
    </row>
    <row r="211" spans="1:6" s="30" customFormat="1" ht="14.45">
      <c r="A211" s="45"/>
      <c r="B211" s="48"/>
      <c r="C211" s="46"/>
      <c r="D211" s="47"/>
      <c r="E211" s="157"/>
      <c r="F211" s="137"/>
    </row>
    <row r="212" spans="1:6" s="30" customFormat="1" ht="14.45">
      <c r="A212" s="45"/>
      <c r="B212" s="48"/>
      <c r="C212" s="46"/>
      <c r="D212" s="47"/>
      <c r="E212" s="157"/>
      <c r="F212" s="137"/>
    </row>
    <row r="213" spans="1:6" s="30" customFormat="1" ht="14.45">
      <c r="A213" s="45"/>
      <c r="B213" s="48"/>
      <c r="C213" s="46"/>
      <c r="D213" s="47"/>
      <c r="E213" s="157"/>
      <c r="F213" s="137"/>
    </row>
    <row r="214" spans="1:6" s="30" customFormat="1" ht="14.45">
      <c r="A214" s="45"/>
      <c r="B214" s="48"/>
      <c r="C214" s="46"/>
      <c r="D214" s="47"/>
      <c r="E214" s="157"/>
      <c r="F214" s="137"/>
    </row>
    <row r="215" spans="1:6" s="30" customFormat="1" ht="14.45">
      <c r="A215" s="45"/>
      <c r="B215" s="48"/>
      <c r="C215" s="46"/>
      <c r="D215" s="47"/>
      <c r="E215" s="157"/>
      <c r="F215" s="137"/>
    </row>
    <row r="216" spans="1:6" s="30" customFormat="1" ht="14.45">
      <c r="A216" s="45"/>
      <c r="B216" s="48"/>
      <c r="C216" s="46"/>
      <c r="D216" s="47"/>
      <c r="E216" s="157"/>
      <c r="F216" s="137"/>
    </row>
    <row r="217" spans="1:6" s="30" customFormat="1" ht="14.45">
      <c r="A217" s="45"/>
      <c r="B217" s="48"/>
      <c r="C217" s="46"/>
      <c r="D217" s="47"/>
      <c r="E217" s="157"/>
      <c r="F217" s="137"/>
    </row>
    <row r="218" spans="1:6" s="30" customFormat="1" ht="14.45">
      <c r="A218" s="45"/>
      <c r="B218" s="48"/>
      <c r="C218" s="46"/>
      <c r="D218" s="47"/>
      <c r="E218" s="157"/>
      <c r="F218" s="137"/>
    </row>
    <row r="219" spans="1:6" s="30" customFormat="1" ht="14.45">
      <c r="A219" s="45"/>
      <c r="B219" s="48"/>
      <c r="C219" s="46"/>
      <c r="D219" s="47"/>
      <c r="E219" s="157"/>
      <c r="F219" s="137"/>
    </row>
    <row r="220" spans="1:6" s="30" customFormat="1" ht="14.45">
      <c r="A220" s="45"/>
      <c r="B220" s="48"/>
      <c r="C220" s="46"/>
      <c r="D220" s="47"/>
      <c r="E220" s="157"/>
      <c r="F220" s="137"/>
    </row>
    <row r="221" spans="1:6" s="30" customFormat="1" ht="14.45">
      <c r="A221" s="45"/>
      <c r="B221" s="48"/>
      <c r="C221" s="46"/>
      <c r="D221" s="47"/>
      <c r="E221" s="157"/>
      <c r="F221" s="137"/>
    </row>
    <row r="222" spans="1:6" s="30" customFormat="1" ht="14.45">
      <c r="A222" s="45"/>
      <c r="B222" s="48"/>
      <c r="C222" s="46"/>
      <c r="D222" s="47"/>
      <c r="E222" s="157"/>
      <c r="F222" s="137"/>
    </row>
    <row r="223" spans="1:6" s="30" customFormat="1" ht="14.45">
      <c r="A223" s="45"/>
      <c r="B223" s="48"/>
      <c r="C223" s="46"/>
      <c r="D223" s="47"/>
      <c r="E223" s="157"/>
      <c r="F223" s="137"/>
    </row>
    <row r="224" spans="1:6" s="30" customFormat="1" ht="14.45">
      <c r="A224" s="45"/>
      <c r="B224" s="48"/>
      <c r="C224" s="46"/>
      <c r="D224" s="47"/>
      <c r="E224" s="157"/>
      <c r="F224" s="137"/>
    </row>
    <row r="225" spans="1:6" s="30" customFormat="1" ht="14.45">
      <c r="A225" s="45"/>
      <c r="B225" s="48"/>
      <c r="C225" s="46"/>
      <c r="D225" s="47"/>
      <c r="E225" s="157"/>
      <c r="F225" s="137"/>
    </row>
    <row r="226" spans="1:6" s="30" customFormat="1" ht="14.45">
      <c r="A226" s="45"/>
      <c r="B226" s="48"/>
      <c r="C226" s="46"/>
      <c r="D226" s="47"/>
      <c r="E226" s="157"/>
      <c r="F226" s="137"/>
    </row>
    <row r="227" spans="1:6" s="30" customFormat="1" ht="14.45">
      <c r="A227" s="45"/>
      <c r="B227" s="48"/>
      <c r="C227" s="46"/>
      <c r="D227" s="47"/>
      <c r="E227" s="157"/>
      <c r="F227" s="137"/>
    </row>
    <row r="228" spans="1:6" s="30" customFormat="1" ht="14.45">
      <c r="A228" s="45"/>
      <c r="B228" s="48"/>
      <c r="C228" s="46"/>
      <c r="D228" s="47"/>
      <c r="E228" s="157"/>
      <c r="F228" s="137"/>
    </row>
    <row r="229" spans="1:6" s="30" customFormat="1" ht="14.45">
      <c r="A229" s="45"/>
      <c r="B229" s="48"/>
      <c r="C229" s="46"/>
      <c r="D229" s="47"/>
      <c r="E229" s="157"/>
      <c r="F229" s="137"/>
    </row>
    <row r="230" spans="1:6" s="30" customFormat="1" ht="14.45">
      <c r="A230" s="59"/>
      <c r="B230" s="63"/>
      <c r="C230" s="61"/>
      <c r="D230" s="62"/>
      <c r="E230" s="157"/>
      <c r="F230" s="137"/>
    </row>
    <row r="231" spans="1:6" s="30" customFormat="1" ht="14.45">
      <c r="A231" s="71"/>
      <c r="B231" s="72"/>
      <c r="C231" s="73"/>
      <c r="D231" s="74"/>
      <c r="E231" s="159"/>
      <c r="F231" s="138"/>
    </row>
    <row r="232" spans="1:6" s="30" customFormat="1" ht="14.45">
      <c r="A232" s="75"/>
      <c r="B232" s="76"/>
      <c r="C232" s="77" t="s">
        <v>30</v>
      </c>
      <c r="D232" s="77"/>
      <c r="E232" s="160" t="s">
        <v>8</v>
      </c>
      <c r="F232" s="139">
        <f>SUM(F192:F214)</f>
        <v>0</v>
      </c>
    </row>
    <row r="233" spans="1:6" s="30" customFormat="1" ht="14.45">
      <c r="A233" s="75"/>
      <c r="B233" s="76"/>
      <c r="C233" s="78"/>
      <c r="D233" s="79"/>
      <c r="E233" s="161"/>
      <c r="F233" s="140"/>
    </row>
    <row r="234" spans="1:6" s="30" customFormat="1" ht="14.45">
      <c r="A234" s="59"/>
      <c r="B234" s="63"/>
      <c r="C234" s="61"/>
      <c r="D234" s="62"/>
      <c r="E234" s="157"/>
      <c r="F234" s="137"/>
    </row>
    <row r="235" spans="1:6" s="30" customFormat="1" ht="14.45">
      <c r="A235" s="59"/>
      <c r="B235" s="38" t="s">
        <v>109</v>
      </c>
      <c r="C235" s="61"/>
      <c r="D235" s="62"/>
      <c r="E235" s="157"/>
      <c r="F235" s="137"/>
    </row>
    <row r="236" spans="1:6" s="30" customFormat="1" ht="14.45">
      <c r="A236" s="59"/>
      <c r="B236" s="32"/>
      <c r="C236" s="61"/>
      <c r="D236" s="62"/>
      <c r="E236" s="157"/>
      <c r="F236" s="137"/>
    </row>
    <row r="237" spans="1:6" s="30" customFormat="1" ht="14.45">
      <c r="A237" s="59"/>
      <c r="B237" s="39" t="s">
        <v>1171</v>
      </c>
      <c r="C237" s="61"/>
      <c r="D237" s="62"/>
      <c r="E237" s="157"/>
      <c r="F237" s="137">
        <f>F50</f>
        <v>674696.57</v>
      </c>
    </row>
    <row r="238" spans="1:6" s="30" customFormat="1" ht="14.45">
      <c r="A238" s="59"/>
      <c r="B238" s="32"/>
      <c r="C238" s="61"/>
      <c r="D238" s="62"/>
      <c r="E238" s="157"/>
      <c r="F238" s="137"/>
    </row>
    <row r="239" spans="1:6" s="30" customFormat="1" ht="14.45">
      <c r="A239" s="59"/>
      <c r="B239" s="39" t="s">
        <v>1172</v>
      </c>
      <c r="C239" s="61"/>
      <c r="D239" s="62"/>
      <c r="E239" s="157"/>
      <c r="F239" s="137">
        <f>F98</f>
        <v>239293.78</v>
      </c>
    </row>
    <row r="240" spans="1:6" s="30" customFormat="1" ht="14.45">
      <c r="A240" s="59"/>
      <c r="B240" s="32"/>
      <c r="C240" s="61"/>
      <c r="D240" s="62"/>
      <c r="E240" s="157"/>
      <c r="F240" s="137"/>
    </row>
    <row r="241" spans="1:6" s="30" customFormat="1" ht="14.45">
      <c r="A241" s="59"/>
      <c r="B241" s="39" t="s">
        <v>1173</v>
      </c>
      <c r="C241" s="61"/>
      <c r="D241" s="62"/>
      <c r="E241" s="157"/>
      <c r="F241" s="137">
        <f>F146</f>
        <v>448718.07999999996</v>
      </c>
    </row>
    <row r="242" spans="1:6" s="30" customFormat="1" ht="14.45">
      <c r="A242" s="59"/>
      <c r="B242" s="32"/>
      <c r="C242" s="61"/>
      <c r="D242" s="62"/>
      <c r="E242" s="157"/>
      <c r="F242" s="137"/>
    </row>
    <row r="243" spans="1:6" s="30" customFormat="1" ht="14.45">
      <c r="A243" s="59"/>
      <c r="B243" s="39" t="s">
        <v>1174</v>
      </c>
      <c r="C243" s="61"/>
      <c r="D243" s="62"/>
      <c r="E243" s="157"/>
      <c r="F243" s="137">
        <f>F189</f>
        <v>1062968.51</v>
      </c>
    </row>
    <row r="244" spans="1:6" s="30" customFormat="1" ht="14.45">
      <c r="A244" s="59"/>
      <c r="B244" s="32"/>
      <c r="C244" s="61"/>
      <c r="D244" s="62"/>
      <c r="E244" s="157"/>
      <c r="F244" s="137"/>
    </row>
    <row r="245" spans="1:6" s="30" customFormat="1" ht="14.45">
      <c r="A245" s="59"/>
      <c r="B245" s="39" t="s">
        <v>1175</v>
      </c>
      <c r="C245" s="61"/>
      <c r="D245" s="62"/>
      <c r="E245" s="157"/>
      <c r="F245" s="137">
        <f>F232</f>
        <v>0</v>
      </c>
    </row>
    <row r="246" spans="1:6" s="30" customFormat="1" ht="14.45">
      <c r="A246" s="59"/>
      <c r="B246" s="63"/>
      <c r="C246" s="61"/>
      <c r="D246" s="62"/>
      <c r="E246" s="157"/>
      <c r="F246" s="137"/>
    </row>
    <row r="247" spans="1:6" s="30" customFormat="1" ht="14.45">
      <c r="A247" s="59"/>
      <c r="B247" s="63"/>
      <c r="C247" s="61"/>
      <c r="D247" s="62"/>
      <c r="E247" s="157"/>
      <c r="F247" s="137"/>
    </row>
    <row r="248" spans="1:6" s="30" customFormat="1" ht="14.45">
      <c r="A248" s="59"/>
      <c r="B248" s="63"/>
      <c r="C248" s="61"/>
      <c r="D248" s="62"/>
      <c r="E248" s="157"/>
      <c r="F248" s="137"/>
    </row>
    <row r="249" spans="1:6" s="30" customFormat="1" ht="14.45">
      <c r="A249" s="59"/>
      <c r="B249" s="63"/>
      <c r="C249" s="61"/>
      <c r="D249" s="62"/>
      <c r="E249" s="157"/>
      <c r="F249" s="137"/>
    </row>
    <row r="250" spans="1:6" s="30" customFormat="1" ht="14.45">
      <c r="A250" s="59"/>
      <c r="B250" s="63"/>
      <c r="C250" s="61"/>
      <c r="D250" s="62"/>
      <c r="E250" s="157"/>
      <c r="F250" s="137"/>
    </row>
    <row r="251" spans="1:6" s="30" customFormat="1" ht="14.45">
      <c r="A251" s="59"/>
      <c r="B251" s="63"/>
      <c r="C251" s="61"/>
      <c r="D251" s="62"/>
      <c r="E251" s="157"/>
      <c r="F251" s="137"/>
    </row>
    <row r="252" spans="1:6" s="30" customFormat="1" ht="14.45">
      <c r="A252" s="59"/>
      <c r="B252" s="63"/>
      <c r="C252" s="61"/>
      <c r="D252" s="62"/>
      <c r="E252" s="157"/>
      <c r="F252" s="137"/>
    </row>
    <row r="253" spans="1:6" s="30" customFormat="1" ht="14.45">
      <c r="A253" s="59"/>
      <c r="B253" s="63"/>
      <c r="C253" s="61"/>
      <c r="D253" s="62"/>
      <c r="E253" s="157"/>
      <c r="F253" s="137"/>
    </row>
    <row r="254" spans="1:6" s="30" customFormat="1" ht="14.45">
      <c r="A254" s="59"/>
      <c r="B254" s="63"/>
      <c r="C254" s="61"/>
      <c r="D254" s="62"/>
      <c r="E254" s="157"/>
      <c r="F254" s="137"/>
    </row>
    <row r="255" spans="1:6" s="30" customFormat="1" ht="14.45">
      <c r="A255" s="59"/>
      <c r="B255" s="63"/>
      <c r="C255" s="61"/>
      <c r="D255" s="62"/>
      <c r="E255" s="157"/>
      <c r="F255" s="137"/>
    </row>
    <row r="256" spans="1:6" s="30" customFormat="1" ht="14.45">
      <c r="A256" s="59"/>
      <c r="B256" s="63"/>
      <c r="C256" s="61"/>
      <c r="D256" s="62"/>
      <c r="E256" s="157"/>
      <c r="F256" s="137"/>
    </row>
    <row r="257" spans="1:6" s="30" customFormat="1" ht="14.45">
      <c r="A257" s="59"/>
      <c r="B257" s="63"/>
      <c r="C257" s="61"/>
      <c r="D257" s="62"/>
      <c r="E257" s="157"/>
      <c r="F257" s="137"/>
    </row>
    <row r="258" spans="1:6" s="30" customFormat="1" ht="14.45">
      <c r="A258" s="59"/>
      <c r="B258" s="63"/>
      <c r="C258" s="61"/>
      <c r="D258" s="62"/>
      <c r="E258" s="157"/>
      <c r="F258" s="137"/>
    </row>
    <row r="259" spans="1:6" s="30" customFormat="1" ht="14.45">
      <c r="A259" s="59"/>
      <c r="B259" s="63"/>
      <c r="C259" s="61"/>
      <c r="D259" s="62"/>
      <c r="E259" s="157"/>
      <c r="F259" s="137"/>
    </row>
    <row r="260" spans="1:6" s="30" customFormat="1" ht="14.45">
      <c r="A260" s="59"/>
      <c r="B260" s="63"/>
      <c r="C260" s="61"/>
      <c r="D260" s="62"/>
      <c r="E260" s="157"/>
      <c r="F260" s="137"/>
    </row>
    <row r="261" spans="1:6" s="30" customFormat="1" ht="14.45">
      <c r="A261" s="59"/>
      <c r="B261" s="63"/>
      <c r="C261" s="61"/>
      <c r="D261" s="62"/>
      <c r="E261" s="157"/>
      <c r="F261" s="137"/>
    </row>
    <row r="262" spans="1:6" s="30" customFormat="1" ht="14.45">
      <c r="A262" s="59"/>
      <c r="B262" s="63"/>
      <c r="C262" s="61"/>
      <c r="D262" s="62"/>
      <c r="E262" s="157"/>
      <c r="F262" s="137"/>
    </row>
    <row r="263" spans="1:6" s="30" customFormat="1" ht="14.45">
      <c r="A263" s="59"/>
      <c r="B263" s="63"/>
      <c r="C263" s="61"/>
      <c r="D263" s="62"/>
      <c r="E263" s="157"/>
      <c r="F263" s="137"/>
    </row>
    <row r="264" spans="1:6" s="30" customFormat="1" ht="14.45">
      <c r="A264" s="59"/>
      <c r="B264" s="63"/>
      <c r="C264" s="61"/>
      <c r="D264" s="62"/>
      <c r="E264" s="157"/>
      <c r="F264" s="137"/>
    </row>
    <row r="265" spans="1:6" s="30" customFormat="1" ht="14.45">
      <c r="A265" s="59"/>
      <c r="B265" s="63"/>
      <c r="C265" s="61"/>
      <c r="D265" s="62"/>
      <c r="E265" s="157"/>
      <c r="F265" s="137"/>
    </row>
    <row r="266" spans="1:6" s="30" customFormat="1" ht="14.45">
      <c r="A266" s="59"/>
      <c r="B266" s="63"/>
      <c r="C266" s="61"/>
      <c r="D266" s="62"/>
      <c r="E266" s="157"/>
      <c r="F266" s="137"/>
    </row>
    <row r="267" spans="1:6" s="30" customFormat="1" ht="14.45">
      <c r="A267" s="59"/>
      <c r="B267" s="63"/>
      <c r="C267" s="61"/>
      <c r="D267" s="62"/>
      <c r="E267" s="157"/>
      <c r="F267" s="137"/>
    </row>
    <row r="268" spans="1:6" s="30" customFormat="1" ht="14.45">
      <c r="A268" s="59"/>
      <c r="B268" s="63"/>
      <c r="C268" s="61"/>
      <c r="D268" s="62"/>
      <c r="E268" s="157"/>
      <c r="F268" s="137"/>
    </row>
    <row r="269" spans="1:6" s="30" customFormat="1" ht="14.45">
      <c r="A269" s="59"/>
      <c r="B269" s="63"/>
      <c r="C269" s="61"/>
      <c r="D269" s="62"/>
      <c r="E269" s="157"/>
      <c r="F269" s="137"/>
    </row>
    <row r="270" spans="1:6" s="30" customFormat="1" ht="14.45">
      <c r="A270" s="59"/>
      <c r="B270" s="63"/>
      <c r="C270" s="61"/>
      <c r="D270" s="62"/>
      <c r="E270" s="157"/>
      <c r="F270" s="137"/>
    </row>
    <row r="271" spans="1:6" s="30" customFormat="1" ht="14.45">
      <c r="A271" s="59"/>
      <c r="B271" s="63"/>
      <c r="C271" s="61"/>
      <c r="D271" s="62"/>
      <c r="E271" s="157"/>
      <c r="F271" s="137"/>
    </row>
    <row r="272" spans="1:6" s="30" customFormat="1" ht="14.45">
      <c r="A272" s="59"/>
      <c r="B272" s="63"/>
      <c r="C272" s="61"/>
      <c r="D272" s="62"/>
      <c r="E272" s="157"/>
      <c r="F272" s="137"/>
    </row>
    <row r="273" spans="1:6" s="30" customFormat="1" ht="14.45">
      <c r="A273" s="59"/>
      <c r="B273" s="63"/>
      <c r="C273" s="61"/>
      <c r="D273" s="62"/>
      <c r="E273" s="157"/>
      <c r="F273" s="137"/>
    </row>
    <row r="274" spans="1:6" s="30" customFormat="1" ht="14.45">
      <c r="A274" s="59"/>
      <c r="B274" s="63"/>
      <c r="C274" s="61"/>
      <c r="D274" s="62"/>
      <c r="E274" s="157"/>
      <c r="F274" s="137"/>
    </row>
    <row r="275" spans="1:6" s="30" customFormat="1" ht="14.45">
      <c r="A275" s="59"/>
      <c r="B275" s="63"/>
      <c r="C275" s="61"/>
      <c r="D275" s="62"/>
      <c r="E275" s="157"/>
      <c r="F275" s="137"/>
    </row>
    <row r="276" spans="1:6" s="30" customFormat="1" ht="14.45">
      <c r="A276" s="59"/>
      <c r="B276" s="63"/>
      <c r="C276" s="61"/>
      <c r="D276" s="62"/>
      <c r="E276" s="157"/>
      <c r="F276" s="137"/>
    </row>
    <row r="277" spans="1:6" s="30" customFormat="1" ht="14.45">
      <c r="A277" s="59"/>
      <c r="B277" s="63"/>
      <c r="C277" s="61"/>
      <c r="D277" s="62"/>
      <c r="E277" s="157"/>
      <c r="F277" s="137"/>
    </row>
    <row r="278" spans="1:6" s="30" customFormat="1" ht="14.45">
      <c r="A278" s="59"/>
      <c r="B278" s="63"/>
      <c r="C278" s="61"/>
      <c r="D278" s="62"/>
      <c r="E278" s="157"/>
      <c r="F278" s="137"/>
    </row>
    <row r="279" spans="1:6" s="30" customFormat="1" ht="14.45">
      <c r="A279" s="71"/>
      <c r="B279" s="72"/>
      <c r="C279" s="73"/>
      <c r="D279" s="74"/>
      <c r="E279" s="159"/>
      <c r="F279" s="138"/>
    </row>
    <row r="280" spans="1:6" s="30" customFormat="1" ht="14.45">
      <c r="A280" s="75"/>
      <c r="B280" s="76"/>
      <c r="C280" s="77" t="s">
        <v>116</v>
      </c>
      <c r="D280" s="77"/>
      <c r="E280" s="160" t="s">
        <v>8</v>
      </c>
      <c r="F280" s="139">
        <f>SUM(F235:F252)</f>
        <v>2425676.94</v>
      </c>
    </row>
    <row r="281" spans="1:6" s="30" customFormat="1" ht="14.45">
      <c r="A281" s="75"/>
      <c r="B281" s="76"/>
      <c r="C281" s="78"/>
      <c r="D281" s="79"/>
      <c r="E281" s="161"/>
      <c r="F281" s="140"/>
    </row>
  </sheetData>
  <customSheetViews>
    <customSheetView guid="{3432A39B-C5E3-4DF0-8655-3886C046AF9C}" showPageBreaks="1" printArea="1" view="pageBreakPreview" topLeftCell="A265">
      <selection activeCell="G281" sqref="G281"/>
      <rowBreaks count="5" manualBreakCount="5">
        <brk id="51" max="5" man="1"/>
        <brk id="99" max="5" man="1"/>
        <brk id="147" max="5" man="1"/>
        <brk id="190" max="5" man="1"/>
        <brk id="234" max="5" man="1"/>
      </rowBreaks>
      <pageMargins left="0" right="0" top="0" bottom="0" header="0" footer="0"/>
      <printOptions horizontalCentered="1"/>
      <pageSetup paperSize="9" fitToHeight="0" orientation="portrait" useFirstPageNumber="1" r:id="rId1"/>
      <headerFooter>
        <oddHeader>&amp;R&amp;11&amp;U
BILL NO. 3 - MALL REFURBISHMENT
FURNISHINGS</oddHeader>
        <oddFooter>&amp;L&amp;8DMS 148704 BOQ - Nakheel Mall Al Khail&amp;C3/M/&amp;P</oddFooter>
      </headerFooter>
    </customSheetView>
    <customSheetView guid="{47E345F0-E696-46B9-B7A2-C22AD1CF4FAA}" showPageBreaks="1" printArea="1" view="pageBreakPreview" topLeftCell="A213">
      <selection activeCell="C249" sqref="C249"/>
      <rowBreaks count="5" manualBreakCount="5">
        <brk id="51" max="5" man="1"/>
        <brk id="99" max="5" man="1"/>
        <brk id="147" max="5" man="1"/>
        <brk id="190" max="5" man="1"/>
        <brk id="234" max="5" man="1"/>
      </rowBreaks>
      <pageMargins left="0" right="0" top="0" bottom="0" header="0" footer="0"/>
      <printOptions horizontalCentered="1"/>
      <pageSetup paperSize="9" fitToHeight="0" orientation="portrait" useFirstPageNumber="1" r:id="rId2"/>
      <headerFooter>
        <oddHeader>&amp;R&amp;11&amp;U
BILL NO. 3 - MALL REFURBISHMENT
FURNISHINGS</oddHeader>
        <oddFooter>&amp;L&amp;8DMS 148704 BOQ - Nakheel Mall Al Khail&amp;C3/M/&amp;P</oddFooter>
      </headerFooter>
    </customSheetView>
    <customSheetView guid="{252EBC6A-BD49-4FC3-9285-77861935BFE3}" showPageBreaks="1" printArea="1" view="pageBreakPreview" topLeftCell="A261">
      <selection activeCell="F247" sqref="F247"/>
      <rowBreaks count="5" manualBreakCount="5">
        <brk id="51" max="5" man="1"/>
        <brk id="99" max="5" man="1"/>
        <brk id="147" max="5" man="1"/>
        <brk id="190" max="5" man="1"/>
        <brk id="234" max="5" man="1"/>
      </rowBreaks>
      <pageMargins left="0" right="0" top="0" bottom="0" header="0" footer="0"/>
      <printOptions horizontalCentered="1"/>
      <pageSetup paperSize="9" fitToHeight="0" orientation="portrait" useFirstPageNumber="1" r:id="rId3"/>
      <headerFooter>
        <oddHeader>&amp;R&amp;11&amp;U
BILL NO. 3 - MALL REFURBISHMENT
FURNISHINGS</oddHeader>
        <oddFooter>&amp;L&amp;8DMS 148704 BOQ - Nakheel Mall Al Khail&amp;C3/M/&amp;P</oddFooter>
      </headerFooter>
    </customSheetView>
    <customSheetView guid="{80D5E0F2-D974-412D-A20C-052459C7A221}" showPageBreaks="1" printArea="1" view="pageBreakPreview" topLeftCell="A265">
      <selection activeCell="G281" sqref="G281"/>
      <rowBreaks count="5" manualBreakCount="5">
        <brk id="51" max="5" man="1"/>
        <brk id="99" max="5" man="1"/>
        <brk id="147" max="5" man="1"/>
        <brk id="190" max="5" man="1"/>
        <brk id="234" max="5" man="1"/>
      </rowBreaks>
      <pageMargins left="0" right="0" top="0" bottom="0" header="0" footer="0"/>
      <printOptions horizontalCentered="1"/>
      <pageSetup paperSize="9" fitToHeight="0" orientation="portrait" useFirstPageNumber="1" r:id="rId4"/>
      <headerFooter>
        <oddHeader>&amp;R&amp;11&amp;U
BILL NO. 3 - MALL REFURBISHMENT
FURNISHINGS</oddHeader>
        <oddFooter>&amp;L&amp;8DMS 148704 BOQ - Nakheel Mall Al Khail&amp;C3/M/&amp;P</oddFooter>
      </headerFooter>
    </customSheetView>
  </customSheetViews>
  <mergeCells count="4">
    <mergeCell ref="A1:A2"/>
    <mergeCell ref="B1:B2"/>
    <mergeCell ref="C1:C2"/>
    <mergeCell ref="D1:D2"/>
  </mergeCells>
  <printOptions horizontalCentered="1"/>
  <pageMargins left="0.6692913385826772" right="0.19685039370078741" top="0.82677165354330717" bottom="0.47244094488188981" header="0.19685039370078741" footer="0.23622047244094491"/>
  <pageSetup paperSize="9" fitToHeight="0" orientation="portrait" useFirstPageNumber="1" r:id="rId5"/>
  <headerFooter>
    <oddHeader>&amp;R&amp;11&amp;U
BILL NO. 3 - MALL REFURBISHMENT
FURNISHINGS</oddHeader>
    <oddFooter>&amp;L&amp;8DMS 148704 BOQ - Nakheel Mall Al Khail&amp;C3/M/&amp;P</oddFooter>
  </headerFooter>
  <rowBreaks count="5" manualBreakCount="5">
    <brk id="51" max="5" man="1"/>
    <brk id="99" max="5" man="1"/>
    <brk id="147" max="5" man="1"/>
    <brk id="190" max="5" man="1"/>
    <brk id="233" max="5"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535AD-8B1F-4320-B427-655DF0A804D8}">
  <sheetPr codeName="Sheet13"/>
  <dimension ref="A1:F173"/>
  <sheetViews>
    <sheetView view="pageBreakPreview" topLeftCell="A27" zoomScaleNormal="100" zoomScaleSheetLayoutView="100" zoomScalePageLayoutView="70" workbookViewId="0">
      <selection activeCell="C3" sqref="C1:C1048576"/>
    </sheetView>
  </sheetViews>
  <sheetFormatPr defaultColWidth="9.28515625" defaultRowHeight="13.9"/>
  <cols>
    <col min="1" max="1" width="5.7109375" style="85" customWidth="1"/>
    <col min="2" max="2" width="43.28515625" style="86" customWidth="1"/>
    <col min="3" max="3" width="10.7109375" style="87" customWidth="1"/>
    <col min="4" max="4" width="6.7109375" style="88" customWidth="1"/>
    <col min="5" max="5" width="13.5703125" style="162" customWidth="1"/>
    <col min="6" max="6" width="15.7109375" style="142" customWidth="1"/>
    <col min="7" max="16384" width="9.28515625" style="89"/>
  </cols>
  <sheetData>
    <row r="1" spans="1:6" s="30" customFormat="1" ht="14.45">
      <c r="A1" s="332" t="s">
        <v>2</v>
      </c>
      <c r="B1" s="332" t="s">
        <v>3</v>
      </c>
      <c r="C1" s="334" t="s">
        <v>4</v>
      </c>
      <c r="D1" s="336" t="s">
        <v>5</v>
      </c>
      <c r="E1" s="155" t="s">
        <v>6</v>
      </c>
      <c r="F1" s="135" t="s">
        <v>7</v>
      </c>
    </row>
    <row r="2" spans="1:6" s="30" customFormat="1" ht="14.45">
      <c r="A2" s="333"/>
      <c r="B2" s="333"/>
      <c r="C2" s="335"/>
      <c r="D2" s="337"/>
      <c r="E2" s="156" t="s">
        <v>8</v>
      </c>
      <c r="F2" s="136" t="s">
        <v>8</v>
      </c>
    </row>
    <row r="3" spans="1:6" s="30" customFormat="1" ht="14.45">
      <c r="A3" s="31"/>
      <c r="B3" s="32"/>
      <c r="C3" s="29"/>
      <c r="D3" s="33"/>
      <c r="E3" s="157"/>
      <c r="F3" s="137"/>
    </row>
    <row r="4" spans="1:6" s="30" customFormat="1" ht="14.45">
      <c r="A4" s="59"/>
      <c r="B4" s="60" t="s">
        <v>1176</v>
      </c>
      <c r="C4" s="61"/>
      <c r="D4" s="62"/>
      <c r="E4" s="157"/>
      <c r="F4" s="137"/>
    </row>
    <row r="5" spans="1:6" s="30" customFormat="1" ht="7.5" customHeight="1">
      <c r="A5" s="59"/>
      <c r="B5" s="63"/>
      <c r="C5" s="61"/>
      <c r="D5" s="62"/>
      <c r="E5" s="157"/>
      <c r="F5" s="137"/>
    </row>
    <row r="6" spans="1:6" s="30" customFormat="1" ht="14.45">
      <c r="A6" s="59"/>
      <c r="B6" s="64" t="s">
        <v>1177</v>
      </c>
      <c r="C6" s="61"/>
      <c r="D6" s="62"/>
      <c r="E6" s="157"/>
      <c r="F6" s="137"/>
    </row>
    <row r="7" spans="1:6" s="30" customFormat="1" ht="14.45">
      <c r="A7" s="59"/>
      <c r="B7" s="65"/>
      <c r="C7" s="61"/>
      <c r="D7" s="62"/>
      <c r="E7" s="157"/>
      <c r="F7" s="137"/>
    </row>
    <row r="8" spans="1:6" s="30" customFormat="1" ht="14.45">
      <c r="A8" s="66"/>
      <c r="B8" s="67" t="s">
        <v>11</v>
      </c>
      <c r="C8" s="68"/>
      <c r="D8" s="69"/>
      <c r="E8" s="157"/>
      <c r="F8" s="137"/>
    </row>
    <row r="9" spans="1:6" s="30" customFormat="1" ht="14.45">
      <c r="A9" s="59"/>
      <c r="B9" s="65"/>
      <c r="C9" s="61"/>
      <c r="D9" s="62"/>
      <c r="E9" s="157"/>
      <c r="F9" s="137"/>
    </row>
    <row r="10" spans="1:6" s="30" customFormat="1" ht="27.6">
      <c r="A10" s="66"/>
      <c r="B10" s="67" t="s">
        <v>1160</v>
      </c>
      <c r="C10" s="68"/>
      <c r="D10" s="69"/>
      <c r="E10" s="157"/>
      <c r="F10" s="137"/>
    </row>
    <row r="11" spans="1:6" s="30" customFormat="1" ht="14.45">
      <c r="A11" s="59"/>
      <c r="B11" s="65"/>
      <c r="C11" s="61"/>
      <c r="D11" s="62"/>
      <c r="E11" s="157"/>
      <c r="F11" s="137"/>
    </row>
    <row r="12" spans="1:6" s="30" customFormat="1" ht="27.6">
      <c r="A12" s="66"/>
      <c r="B12" s="67" t="s">
        <v>1161</v>
      </c>
      <c r="C12" s="68"/>
      <c r="D12" s="69"/>
      <c r="E12" s="157"/>
      <c r="F12" s="137"/>
    </row>
    <row r="13" spans="1:6" s="30" customFormat="1" ht="14.45">
      <c r="A13" s="59"/>
      <c r="B13" s="65"/>
      <c r="C13" s="61"/>
      <c r="D13" s="62"/>
      <c r="E13" s="157"/>
      <c r="F13" s="137"/>
    </row>
    <row r="14" spans="1:6" s="30" customFormat="1" ht="41.45">
      <c r="A14" s="66"/>
      <c r="B14" s="98" t="s">
        <v>1178</v>
      </c>
      <c r="C14" s="68"/>
      <c r="D14" s="69"/>
      <c r="E14" s="157"/>
      <c r="F14" s="137"/>
    </row>
    <row r="15" spans="1:6" s="30" customFormat="1" ht="14.45">
      <c r="A15" s="59"/>
      <c r="B15" s="65"/>
      <c r="C15" s="61"/>
      <c r="D15" s="62"/>
      <c r="E15" s="157"/>
      <c r="F15" s="137"/>
    </row>
    <row r="16" spans="1:6" s="30" customFormat="1" ht="27.6">
      <c r="A16" s="66" t="s">
        <v>14</v>
      </c>
      <c r="B16" s="67" t="s">
        <v>1179</v>
      </c>
      <c r="C16" s="68" t="s">
        <v>789</v>
      </c>
      <c r="D16" s="69" t="s">
        <v>16</v>
      </c>
      <c r="E16" s="157">
        <v>1213.58</v>
      </c>
      <c r="F16" s="137">
        <f>C16*E16</f>
        <v>71601.22</v>
      </c>
    </row>
    <row r="17" spans="1:6" s="30" customFormat="1" ht="14.45">
      <c r="A17" s="59"/>
      <c r="B17" s="65"/>
      <c r="C17" s="61"/>
      <c r="D17" s="62"/>
      <c r="E17" s="157"/>
      <c r="F17" s="137"/>
    </row>
    <row r="18" spans="1:6" s="30" customFormat="1" ht="41.45">
      <c r="A18" s="66"/>
      <c r="B18" s="98" t="s">
        <v>1180</v>
      </c>
      <c r="C18" s="68"/>
      <c r="D18" s="69"/>
      <c r="E18" s="157"/>
      <c r="F18" s="137"/>
    </row>
    <row r="19" spans="1:6" s="30" customFormat="1" ht="14.45">
      <c r="A19" s="59"/>
      <c r="B19" s="65"/>
      <c r="C19" s="61"/>
      <c r="D19" s="62"/>
      <c r="E19" s="157"/>
      <c r="F19" s="137"/>
    </row>
    <row r="20" spans="1:6" s="30" customFormat="1" ht="27.6">
      <c r="A20" s="66" t="s">
        <v>17</v>
      </c>
      <c r="B20" s="67" t="s">
        <v>1181</v>
      </c>
      <c r="C20" s="68">
        <v>21</v>
      </c>
      <c r="D20" s="69" t="s">
        <v>16</v>
      </c>
      <c r="E20" s="157">
        <v>759.06</v>
      </c>
      <c r="F20" s="137">
        <f>C20*E20</f>
        <v>15940.259999999998</v>
      </c>
    </row>
    <row r="21" spans="1:6" s="30" customFormat="1" ht="14.45">
      <c r="A21" s="59"/>
      <c r="B21" s="65"/>
      <c r="C21" s="61"/>
      <c r="D21" s="62"/>
      <c r="E21" s="157"/>
      <c r="F21" s="137"/>
    </row>
    <row r="22" spans="1:6" s="30" customFormat="1" ht="41.45">
      <c r="A22" s="66"/>
      <c r="B22" s="98" t="s">
        <v>1182</v>
      </c>
      <c r="C22" s="68"/>
      <c r="D22" s="69"/>
      <c r="E22" s="157"/>
      <c r="F22" s="137"/>
    </row>
    <row r="23" spans="1:6" s="30" customFormat="1" ht="14.45">
      <c r="A23" s="59"/>
      <c r="B23" s="65"/>
      <c r="C23" s="61"/>
      <c r="D23" s="62"/>
      <c r="E23" s="157"/>
      <c r="F23" s="137"/>
    </row>
    <row r="24" spans="1:6" s="30" customFormat="1" ht="27.6">
      <c r="A24" s="66" t="s">
        <v>20</v>
      </c>
      <c r="B24" s="67" t="s">
        <v>1183</v>
      </c>
      <c r="C24" s="68">
        <v>127</v>
      </c>
      <c r="D24" s="69" t="s">
        <v>16</v>
      </c>
      <c r="E24" s="157">
        <v>584.94000000000005</v>
      </c>
      <c r="F24" s="137">
        <f>C24*E24</f>
        <v>74287.38</v>
      </c>
    </row>
    <row r="25" spans="1:6" s="30" customFormat="1" ht="14.45">
      <c r="A25" s="59"/>
      <c r="B25" s="65"/>
      <c r="C25" s="61"/>
      <c r="D25" s="62"/>
      <c r="E25" s="157"/>
      <c r="F25" s="137"/>
    </row>
    <row r="26" spans="1:6" s="30" customFormat="1" ht="27.6">
      <c r="A26" s="66"/>
      <c r="B26" s="70" t="s">
        <v>1184</v>
      </c>
      <c r="C26" s="68"/>
      <c r="D26" s="69"/>
      <c r="E26" s="157"/>
      <c r="F26" s="137"/>
    </row>
    <row r="27" spans="1:6" s="30" customFormat="1" ht="14.45">
      <c r="A27" s="59"/>
      <c r="B27" s="65"/>
      <c r="C27" s="61"/>
      <c r="D27" s="62"/>
      <c r="E27" s="157"/>
      <c r="F27" s="137"/>
    </row>
    <row r="28" spans="1:6" s="30" customFormat="1" ht="14.45">
      <c r="A28" s="66" t="s">
        <v>23</v>
      </c>
      <c r="B28" s="67" t="s">
        <v>1185</v>
      </c>
      <c r="C28" s="68" t="s">
        <v>1186</v>
      </c>
      <c r="D28" s="69" t="s">
        <v>16</v>
      </c>
      <c r="E28" s="157">
        <v>184.19</v>
      </c>
      <c r="F28" s="137">
        <f>C28*E28</f>
        <v>34259.339999999997</v>
      </c>
    </row>
    <row r="29" spans="1:6" s="30" customFormat="1" ht="14.45">
      <c r="A29" s="59"/>
      <c r="B29" s="65"/>
      <c r="C29" s="61"/>
      <c r="D29" s="62"/>
      <c r="E29" s="157"/>
      <c r="F29" s="137"/>
    </row>
    <row r="30" spans="1:6" s="30" customFormat="1" ht="14.45">
      <c r="A30" s="66" t="s">
        <v>27</v>
      </c>
      <c r="B30" s="67" t="s">
        <v>535</v>
      </c>
      <c r="C30" s="68" t="s">
        <v>487</v>
      </c>
      <c r="D30" s="69" t="s">
        <v>16</v>
      </c>
      <c r="E30" s="157">
        <v>184.19</v>
      </c>
      <c r="F30" s="137">
        <f>C30*E30</f>
        <v>5157.32</v>
      </c>
    </row>
    <row r="31" spans="1:6" s="30" customFormat="1" ht="14.45">
      <c r="A31" s="59"/>
      <c r="B31" s="65"/>
      <c r="C31" s="61"/>
      <c r="D31" s="62"/>
      <c r="E31" s="157"/>
      <c r="F31" s="137"/>
    </row>
    <row r="32" spans="1:6" s="30" customFormat="1" ht="41.45">
      <c r="A32" s="66"/>
      <c r="B32" s="70" t="s">
        <v>1187</v>
      </c>
      <c r="C32" s="68"/>
      <c r="D32" s="69"/>
      <c r="E32" s="157"/>
      <c r="F32" s="137"/>
    </row>
    <row r="33" spans="1:6" s="30" customFormat="1" ht="14.45">
      <c r="A33" s="59"/>
      <c r="B33" s="65"/>
      <c r="C33" s="61"/>
      <c r="D33" s="62"/>
      <c r="E33" s="157"/>
      <c r="F33" s="137"/>
    </row>
    <row r="34" spans="1:6" s="30" customFormat="1" ht="14.45">
      <c r="A34" s="66" t="s">
        <v>44</v>
      </c>
      <c r="B34" s="67" t="s">
        <v>1188</v>
      </c>
      <c r="C34" s="68" t="s">
        <v>1123</v>
      </c>
      <c r="D34" s="69" t="s">
        <v>35</v>
      </c>
      <c r="E34" s="157">
        <v>1603.77</v>
      </c>
      <c r="F34" s="137">
        <f>C34*E34</f>
        <v>70565.88</v>
      </c>
    </row>
    <row r="35" spans="1:6" s="30" customFormat="1" ht="14.45">
      <c r="A35" s="59"/>
      <c r="B35" s="63"/>
      <c r="C35" s="61"/>
      <c r="D35" s="62"/>
      <c r="E35" s="157"/>
      <c r="F35" s="137"/>
    </row>
    <row r="36" spans="1:6" s="30" customFormat="1" ht="14.45">
      <c r="A36" s="71"/>
      <c r="B36" s="72"/>
      <c r="C36" s="73"/>
      <c r="D36" s="74"/>
      <c r="E36" s="159"/>
      <c r="F36" s="138"/>
    </row>
    <row r="37" spans="1:6" s="30" customFormat="1" ht="14.45">
      <c r="A37" s="75"/>
      <c r="B37" s="76"/>
      <c r="C37" s="77" t="s">
        <v>30</v>
      </c>
      <c r="D37" s="77"/>
      <c r="E37" s="160" t="s">
        <v>8</v>
      </c>
      <c r="F37" s="139">
        <f>SUM(F13:F35)</f>
        <v>271811.40000000002</v>
      </c>
    </row>
    <row r="38" spans="1:6" s="30" customFormat="1" ht="14.45">
      <c r="A38" s="75"/>
      <c r="B38" s="76"/>
      <c r="C38" s="78"/>
      <c r="D38" s="79"/>
      <c r="E38" s="161"/>
      <c r="F38" s="140"/>
    </row>
    <row r="39" spans="1:6" s="30" customFormat="1" ht="14.45">
      <c r="A39" s="59"/>
      <c r="B39" s="63"/>
      <c r="C39" s="61"/>
      <c r="D39" s="62"/>
      <c r="E39" s="157"/>
      <c r="F39" s="137"/>
    </row>
    <row r="40" spans="1:6" s="30" customFormat="1" ht="14.45">
      <c r="A40" s="59"/>
      <c r="B40" s="64" t="s">
        <v>1189</v>
      </c>
      <c r="C40" s="61"/>
      <c r="D40" s="62"/>
      <c r="E40" s="157"/>
      <c r="F40" s="137"/>
    </row>
    <row r="41" spans="1:6" s="30" customFormat="1" ht="14.45">
      <c r="A41" s="59"/>
      <c r="B41" s="65"/>
      <c r="C41" s="61"/>
      <c r="D41" s="62"/>
      <c r="E41" s="157"/>
      <c r="F41" s="137"/>
    </row>
    <row r="42" spans="1:6" s="30" customFormat="1" ht="41.45">
      <c r="A42" s="66" t="s">
        <v>14</v>
      </c>
      <c r="B42" s="67" t="s">
        <v>1190</v>
      </c>
      <c r="C42" s="68"/>
      <c r="D42" s="69" t="s">
        <v>2</v>
      </c>
      <c r="E42" s="157">
        <v>307287.78000000003</v>
      </c>
      <c r="F42" s="137">
        <f>+E42</f>
        <v>307287.78000000003</v>
      </c>
    </row>
    <row r="43" spans="1:6" s="30" customFormat="1" ht="14.45">
      <c r="A43" s="59"/>
      <c r="B43" s="65"/>
      <c r="C43" s="61"/>
      <c r="D43" s="62"/>
      <c r="E43" s="157"/>
      <c r="F43" s="137"/>
    </row>
    <row r="44" spans="1:6" s="30" customFormat="1" ht="14.45">
      <c r="A44" s="66" t="s">
        <v>17</v>
      </c>
      <c r="B44" s="67" t="s">
        <v>1191</v>
      </c>
      <c r="C44" s="68"/>
      <c r="D44" s="69" t="s">
        <v>2</v>
      </c>
      <c r="E44" s="157"/>
      <c r="F44" s="217" t="s">
        <v>1192</v>
      </c>
    </row>
    <row r="45" spans="1:6" s="30" customFormat="1" ht="14.45">
      <c r="A45" s="59"/>
      <c r="B45" s="63"/>
      <c r="C45" s="61"/>
      <c r="D45" s="62"/>
      <c r="E45" s="157"/>
      <c r="F45" s="137"/>
    </row>
    <row r="46" spans="1:6" s="30" customFormat="1" ht="14.45">
      <c r="A46" s="59"/>
      <c r="B46" s="63"/>
      <c r="C46" s="61"/>
      <c r="D46" s="62"/>
      <c r="E46" s="157"/>
      <c r="F46" s="137"/>
    </row>
    <row r="47" spans="1:6" s="30" customFormat="1" ht="14.45">
      <c r="A47" s="59"/>
      <c r="B47" s="63"/>
      <c r="C47" s="61"/>
      <c r="D47" s="62"/>
      <c r="E47" s="157"/>
      <c r="F47" s="137"/>
    </row>
    <row r="48" spans="1:6" s="30" customFormat="1" ht="14.45">
      <c r="A48" s="59"/>
      <c r="B48" s="63"/>
      <c r="C48" s="61"/>
      <c r="D48" s="62"/>
      <c r="E48" s="157"/>
      <c r="F48" s="137"/>
    </row>
    <row r="49" spans="1:6" s="30" customFormat="1" ht="14.45">
      <c r="A49" s="59"/>
      <c r="B49" s="63"/>
      <c r="C49" s="61"/>
      <c r="D49" s="62"/>
      <c r="E49" s="157"/>
      <c r="F49" s="137"/>
    </row>
    <row r="50" spans="1:6" s="30" customFormat="1" ht="14.45">
      <c r="A50" s="59"/>
      <c r="B50" s="63"/>
      <c r="C50" s="61"/>
      <c r="D50" s="62"/>
      <c r="E50" s="157"/>
      <c r="F50" s="137"/>
    </row>
    <row r="51" spans="1:6" s="30" customFormat="1" ht="14.45">
      <c r="A51" s="59"/>
      <c r="B51" s="63"/>
      <c r="C51" s="61"/>
      <c r="D51" s="62"/>
      <c r="E51" s="157"/>
      <c r="F51" s="137"/>
    </row>
    <row r="52" spans="1:6" s="30" customFormat="1" ht="14.45">
      <c r="A52" s="59"/>
      <c r="B52" s="63"/>
      <c r="C52" s="61"/>
      <c r="D52" s="62"/>
      <c r="E52" s="157"/>
      <c r="F52" s="137"/>
    </row>
    <row r="53" spans="1:6" s="30" customFormat="1" ht="14.45">
      <c r="A53" s="59"/>
      <c r="B53" s="63"/>
      <c r="C53" s="61"/>
      <c r="D53" s="62"/>
      <c r="E53" s="157"/>
      <c r="F53" s="137"/>
    </row>
    <row r="54" spans="1:6" s="30" customFormat="1" ht="14.45">
      <c r="A54" s="59"/>
      <c r="B54" s="63"/>
      <c r="C54" s="61"/>
      <c r="D54" s="62"/>
      <c r="E54" s="157"/>
      <c r="F54" s="137"/>
    </row>
    <row r="55" spans="1:6" s="30" customFormat="1" ht="14.45">
      <c r="A55" s="59"/>
      <c r="B55" s="63"/>
      <c r="C55" s="61"/>
      <c r="D55" s="62"/>
      <c r="E55" s="157"/>
      <c r="F55" s="137"/>
    </row>
    <row r="56" spans="1:6" s="30" customFormat="1" ht="14.45">
      <c r="A56" s="59"/>
      <c r="B56" s="63"/>
      <c r="C56" s="61"/>
      <c r="D56" s="62"/>
      <c r="E56" s="157"/>
      <c r="F56" s="137"/>
    </row>
    <row r="57" spans="1:6" s="30" customFormat="1" ht="14.45">
      <c r="A57" s="59"/>
      <c r="B57" s="63"/>
      <c r="C57" s="61"/>
      <c r="D57" s="62"/>
      <c r="E57" s="157"/>
      <c r="F57" s="137"/>
    </row>
    <row r="58" spans="1:6" s="30" customFormat="1" ht="14.45">
      <c r="A58" s="59"/>
      <c r="B58" s="63"/>
      <c r="C58" s="61"/>
      <c r="D58" s="62"/>
      <c r="E58" s="157"/>
      <c r="F58" s="137"/>
    </row>
    <row r="59" spans="1:6" s="30" customFormat="1" ht="14.45">
      <c r="A59" s="59"/>
      <c r="B59" s="63"/>
      <c r="C59" s="61"/>
      <c r="D59" s="62"/>
      <c r="E59" s="157"/>
      <c r="F59" s="137"/>
    </row>
    <row r="60" spans="1:6" s="30" customFormat="1" ht="14.45">
      <c r="A60" s="59"/>
      <c r="B60" s="63"/>
      <c r="C60" s="61"/>
      <c r="D60" s="62"/>
      <c r="E60" s="157"/>
      <c r="F60" s="137"/>
    </row>
    <row r="61" spans="1:6" s="30" customFormat="1" ht="14.45">
      <c r="A61" s="59"/>
      <c r="B61" s="63"/>
      <c r="C61" s="61"/>
      <c r="D61" s="62"/>
      <c r="E61" s="157"/>
      <c r="F61" s="137"/>
    </row>
    <row r="62" spans="1:6" s="30" customFormat="1" ht="14.45">
      <c r="A62" s="59"/>
      <c r="B62" s="63"/>
      <c r="C62" s="61"/>
      <c r="D62" s="62"/>
      <c r="E62" s="157"/>
      <c r="F62" s="137"/>
    </row>
    <row r="63" spans="1:6" s="30" customFormat="1" ht="14.45">
      <c r="A63" s="59"/>
      <c r="B63" s="63"/>
      <c r="C63" s="61"/>
      <c r="D63" s="62"/>
      <c r="E63" s="157"/>
      <c r="F63" s="137"/>
    </row>
    <row r="64" spans="1:6" s="30" customFormat="1" ht="14.45">
      <c r="A64" s="59"/>
      <c r="B64" s="63"/>
      <c r="C64" s="61"/>
      <c r="D64" s="62"/>
      <c r="E64" s="157"/>
      <c r="F64" s="137"/>
    </row>
    <row r="65" spans="1:6" s="30" customFormat="1" ht="14.45">
      <c r="A65" s="59"/>
      <c r="B65" s="63"/>
      <c r="C65" s="61"/>
      <c r="D65" s="62"/>
      <c r="E65" s="157"/>
      <c r="F65" s="137"/>
    </row>
    <row r="66" spans="1:6" s="30" customFormat="1" ht="14.45">
      <c r="A66" s="59"/>
      <c r="B66" s="63"/>
      <c r="C66" s="61"/>
      <c r="D66" s="62"/>
      <c r="E66" s="157"/>
      <c r="F66" s="137"/>
    </row>
    <row r="67" spans="1:6" s="30" customFormat="1" ht="14.45">
      <c r="A67" s="59"/>
      <c r="B67" s="63"/>
      <c r="C67" s="61"/>
      <c r="D67" s="62"/>
      <c r="E67" s="157"/>
      <c r="F67" s="137"/>
    </row>
    <row r="68" spans="1:6" s="30" customFormat="1" ht="14.45">
      <c r="A68" s="59"/>
      <c r="B68" s="63"/>
      <c r="C68" s="61"/>
      <c r="D68" s="62"/>
      <c r="E68" s="157"/>
      <c r="F68" s="137"/>
    </row>
    <row r="69" spans="1:6" s="30" customFormat="1" ht="14.45">
      <c r="A69" s="59"/>
      <c r="B69" s="63"/>
      <c r="C69" s="61"/>
      <c r="D69" s="62"/>
      <c r="E69" s="157"/>
      <c r="F69" s="137"/>
    </row>
    <row r="70" spans="1:6" s="30" customFormat="1" ht="14.45">
      <c r="A70" s="59"/>
      <c r="B70" s="63"/>
      <c r="C70" s="61"/>
      <c r="D70" s="62"/>
      <c r="E70" s="157"/>
      <c r="F70" s="137"/>
    </row>
    <row r="71" spans="1:6" s="30" customFormat="1" ht="14.45">
      <c r="A71" s="59"/>
      <c r="B71" s="63"/>
      <c r="C71" s="61"/>
      <c r="D71" s="62"/>
      <c r="E71" s="157"/>
      <c r="F71" s="137"/>
    </row>
    <row r="72" spans="1:6" s="30" customFormat="1" ht="14.45">
      <c r="A72" s="59"/>
      <c r="B72" s="63"/>
      <c r="C72" s="61"/>
      <c r="D72" s="62"/>
      <c r="E72" s="157"/>
      <c r="F72" s="137"/>
    </row>
    <row r="73" spans="1:6" s="30" customFormat="1" ht="14.45">
      <c r="A73" s="59"/>
      <c r="B73" s="63"/>
      <c r="C73" s="61"/>
      <c r="D73" s="62"/>
      <c r="E73" s="157"/>
      <c r="F73" s="137"/>
    </row>
    <row r="74" spans="1:6" s="30" customFormat="1" ht="14.45">
      <c r="A74" s="59"/>
      <c r="B74" s="63"/>
      <c r="C74" s="61"/>
      <c r="D74" s="62"/>
      <c r="E74" s="157"/>
      <c r="F74" s="137"/>
    </row>
    <row r="75" spans="1:6" s="30" customFormat="1" ht="14.45">
      <c r="A75" s="59"/>
      <c r="B75" s="63"/>
      <c r="C75" s="61"/>
      <c r="D75" s="62"/>
      <c r="E75" s="157"/>
      <c r="F75" s="137"/>
    </row>
    <row r="76" spans="1:6" s="30" customFormat="1" ht="14.45">
      <c r="A76" s="59"/>
      <c r="B76" s="63"/>
      <c r="C76" s="61"/>
      <c r="D76" s="62"/>
      <c r="E76" s="157"/>
      <c r="F76" s="137"/>
    </row>
    <row r="77" spans="1:6" s="30" customFormat="1" ht="14.45">
      <c r="A77" s="59"/>
      <c r="B77" s="63"/>
      <c r="C77" s="61"/>
      <c r="D77" s="62"/>
      <c r="E77" s="157"/>
      <c r="F77" s="137"/>
    </row>
    <row r="78" spans="1:6" s="30" customFormat="1" ht="14.45">
      <c r="A78" s="59"/>
      <c r="B78" s="63"/>
      <c r="C78" s="61"/>
      <c r="D78" s="62"/>
      <c r="E78" s="157"/>
      <c r="F78" s="137"/>
    </row>
    <row r="79" spans="1:6" s="30" customFormat="1" ht="14.45">
      <c r="A79" s="59"/>
      <c r="B79" s="63"/>
      <c r="C79" s="61"/>
      <c r="D79" s="62"/>
      <c r="E79" s="157"/>
      <c r="F79" s="137"/>
    </row>
    <row r="80" spans="1:6" s="30" customFormat="1" ht="14.45">
      <c r="A80" s="59"/>
      <c r="B80" s="63"/>
      <c r="C80" s="61"/>
      <c r="D80" s="62"/>
      <c r="E80" s="157"/>
      <c r="F80" s="137"/>
    </row>
    <row r="81" spans="1:6" s="30" customFormat="1" ht="14.45">
      <c r="A81" s="71"/>
      <c r="B81" s="72"/>
      <c r="C81" s="73"/>
      <c r="D81" s="74"/>
      <c r="E81" s="159"/>
      <c r="F81" s="138"/>
    </row>
    <row r="82" spans="1:6" s="30" customFormat="1" ht="14.45">
      <c r="A82" s="75"/>
      <c r="B82" s="76"/>
      <c r="C82" s="77" t="s">
        <v>30</v>
      </c>
      <c r="D82" s="77"/>
      <c r="E82" s="160" t="s">
        <v>8</v>
      </c>
      <c r="F82" s="139">
        <f>SUM(F41:F59)</f>
        <v>307287.78000000003</v>
      </c>
    </row>
    <row r="83" spans="1:6" s="30" customFormat="1" ht="14.45">
      <c r="A83" s="75"/>
      <c r="B83" s="76"/>
      <c r="C83" s="78"/>
      <c r="D83" s="79"/>
      <c r="E83" s="161"/>
      <c r="F83" s="140"/>
    </row>
    <row r="84" spans="1:6" s="30" customFormat="1" ht="14.45">
      <c r="A84" s="59"/>
      <c r="B84" s="63"/>
      <c r="C84" s="61"/>
      <c r="D84" s="62"/>
      <c r="E84" s="157"/>
      <c r="F84" s="137"/>
    </row>
    <row r="85" spans="1:6" s="30" customFormat="1" ht="14.45">
      <c r="A85" s="59"/>
      <c r="B85" s="64" t="s">
        <v>105</v>
      </c>
      <c r="C85" s="61"/>
      <c r="D85" s="62"/>
      <c r="E85" s="157"/>
      <c r="F85" s="137"/>
    </row>
    <row r="86" spans="1:6" s="30" customFormat="1" ht="14.45">
      <c r="A86" s="59"/>
      <c r="B86" s="65"/>
      <c r="C86" s="61"/>
      <c r="D86" s="62"/>
      <c r="E86" s="157"/>
      <c r="F86" s="137"/>
    </row>
    <row r="87" spans="1:6" s="30" customFormat="1" ht="69">
      <c r="A87" s="66" t="s">
        <v>14</v>
      </c>
      <c r="B87" s="67" t="s">
        <v>1193</v>
      </c>
      <c r="C87" s="68"/>
      <c r="D87" s="69" t="s">
        <v>2</v>
      </c>
      <c r="E87" s="157"/>
      <c r="F87" s="137">
        <f>C87*E87</f>
        <v>0</v>
      </c>
    </row>
    <row r="88" spans="1:6" s="30" customFormat="1" ht="14.45">
      <c r="A88" s="59"/>
      <c r="B88" s="63"/>
      <c r="C88" s="61"/>
      <c r="D88" s="62"/>
      <c r="E88" s="157"/>
      <c r="F88" s="137"/>
    </row>
    <row r="89" spans="1:6" s="30" customFormat="1" ht="14.45">
      <c r="A89" s="45" t="s">
        <v>210</v>
      </c>
      <c r="B89" s="146" t="s">
        <v>1194</v>
      </c>
      <c r="C89" s="46"/>
      <c r="D89" s="47"/>
      <c r="E89" s="157"/>
      <c r="F89" s="137"/>
    </row>
    <row r="90" spans="1:6" s="30" customFormat="1" ht="14.45">
      <c r="A90" s="45"/>
      <c r="B90" s="146"/>
      <c r="C90" s="46"/>
      <c r="D90" s="47"/>
      <c r="E90" s="157"/>
      <c r="F90" s="137"/>
    </row>
    <row r="91" spans="1:6" s="30" customFormat="1" ht="14.45">
      <c r="A91" s="45"/>
      <c r="B91" s="146" t="s">
        <v>1195</v>
      </c>
      <c r="C91" s="46"/>
      <c r="D91" s="47"/>
      <c r="E91" s="157"/>
      <c r="F91" s="137"/>
    </row>
    <row r="92" spans="1:6" s="30" customFormat="1" ht="14.45">
      <c r="A92" s="45"/>
      <c r="B92" s="146"/>
      <c r="C92" s="46"/>
      <c r="D92" s="47"/>
      <c r="E92" s="157"/>
      <c r="F92" s="137"/>
    </row>
    <row r="93" spans="1:6" s="30" customFormat="1" ht="14.45">
      <c r="A93" s="45" t="s">
        <v>14</v>
      </c>
      <c r="B93" s="146" t="s">
        <v>1196</v>
      </c>
      <c r="C93" s="46">
        <v>1</v>
      </c>
      <c r="D93" s="47" t="s">
        <v>2</v>
      </c>
      <c r="E93" s="157">
        <v>228158.78</v>
      </c>
      <c r="F93" s="137">
        <f>+C93*E93</f>
        <v>228158.78</v>
      </c>
    </row>
    <row r="94" spans="1:6" s="30" customFormat="1" ht="14.45">
      <c r="A94" s="45"/>
      <c r="B94" s="146"/>
      <c r="C94" s="46"/>
      <c r="D94" s="47"/>
      <c r="E94" s="157"/>
      <c r="F94" s="137"/>
    </row>
    <row r="95" spans="1:6" s="30" customFormat="1" ht="14.45">
      <c r="A95" s="45" t="s">
        <v>17</v>
      </c>
      <c r="B95" s="146" t="s">
        <v>1197</v>
      </c>
      <c r="C95" s="46">
        <v>1</v>
      </c>
      <c r="D95" s="47" t="s">
        <v>2</v>
      </c>
      <c r="E95" s="157">
        <v>164823.67999999999</v>
      </c>
      <c r="F95" s="137">
        <f>+C95*E95</f>
        <v>164823.67999999999</v>
      </c>
    </row>
    <row r="96" spans="1:6" s="30" customFormat="1" ht="14.45">
      <c r="A96" s="45"/>
      <c r="B96" s="146"/>
      <c r="C96" s="46"/>
      <c r="D96" s="47"/>
      <c r="E96" s="157"/>
      <c r="F96" s="137"/>
    </row>
    <row r="97" spans="1:6" s="30" customFormat="1" ht="14.45">
      <c r="A97" s="45" t="s">
        <v>20</v>
      </c>
      <c r="B97" s="146" t="s">
        <v>1198</v>
      </c>
      <c r="C97" s="46">
        <v>1</v>
      </c>
      <c r="D97" s="47" t="s">
        <v>2</v>
      </c>
      <c r="E97" s="157">
        <v>259933.87</v>
      </c>
      <c r="F97" s="137">
        <f>+C97*E97</f>
        <v>259933.87</v>
      </c>
    </row>
    <row r="98" spans="1:6" s="30" customFormat="1" ht="14.45">
      <c r="A98" s="45"/>
      <c r="B98" s="146"/>
      <c r="C98" s="46"/>
      <c r="D98" s="47"/>
      <c r="E98" s="157"/>
      <c r="F98" s="137"/>
    </row>
    <row r="99" spans="1:6" s="30" customFormat="1" ht="14.45">
      <c r="A99" s="45" t="s">
        <v>23</v>
      </c>
      <c r="B99" s="146" t="s">
        <v>1199</v>
      </c>
      <c r="C99" s="46">
        <v>1</v>
      </c>
      <c r="D99" s="47" t="s">
        <v>2</v>
      </c>
      <c r="E99" s="157">
        <v>178452.74</v>
      </c>
      <c r="F99" s="137">
        <f>+C99*E99</f>
        <v>178452.74</v>
      </c>
    </row>
    <row r="100" spans="1:6" s="30" customFormat="1" ht="14.45">
      <c r="A100" s="45"/>
      <c r="B100" s="146"/>
      <c r="C100" s="46"/>
      <c r="D100" s="47"/>
      <c r="E100" s="157"/>
      <c r="F100" s="137"/>
    </row>
    <row r="101" spans="1:6" s="30" customFormat="1" ht="14.45">
      <c r="A101" s="45" t="s">
        <v>27</v>
      </c>
      <c r="B101" s="146" t="s">
        <v>1200</v>
      </c>
      <c r="C101" s="46">
        <v>1</v>
      </c>
      <c r="D101" s="47" t="s">
        <v>2</v>
      </c>
      <c r="E101" s="157">
        <v>270766.69</v>
      </c>
      <c r="F101" s="137">
        <f>+C101*E101</f>
        <v>270766.69</v>
      </c>
    </row>
    <row r="102" spans="1:6" s="30" customFormat="1" ht="14.45">
      <c r="A102" s="45"/>
      <c r="B102" s="146"/>
      <c r="C102" s="46"/>
      <c r="D102" s="47"/>
      <c r="E102" s="157"/>
      <c r="F102" s="137"/>
    </row>
    <row r="103" spans="1:6" s="30" customFormat="1" ht="14.45">
      <c r="A103" s="45" t="s">
        <v>44</v>
      </c>
      <c r="B103" s="146" t="s">
        <v>1201</v>
      </c>
      <c r="C103" s="46">
        <v>1</v>
      </c>
      <c r="D103" s="47" t="s">
        <v>2</v>
      </c>
      <c r="E103" s="157">
        <v>216200.54</v>
      </c>
      <c r="F103" s="137">
        <f>+C103*E103</f>
        <v>216200.54</v>
      </c>
    </row>
    <row r="104" spans="1:6" s="30" customFormat="1" ht="14.45">
      <c r="A104" s="45"/>
      <c r="B104" s="146"/>
      <c r="C104" s="46"/>
      <c r="D104" s="47"/>
      <c r="E104" s="157"/>
      <c r="F104" s="137"/>
    </row>
    <row r="105" spans="1:6" s="30" customFormat="1" ht="14.45">
      <c r="A105" s="45" t="s">
        <v>48</v>
      </c>
      <c r="B105" s="146" t="s">
        <v>1202</v>
      </c>
      <c r="C105" s="46">
        <v>1</v>
      </c>
      <c r="D105" s="47" t="s">
        <v>2</v>
      </c>
      <c r="E105" s="157">
        <v>158053.32999999999</v>
      </c>
      <c r="F105" s="137">
        <f>+C105*E105</f>
        <v>158053.32999999999</v>
      </c>
    </row>
    <row r="106" spans="1:6" s="30" customFormat="1" ht="14.45">
      <c r="A106" s="45"/>
      <c r="B106" s="146"/>
      <c r="C106" s="46"/>
      <c r="D106" s="47"/>
      <c r="E106" s="157"/>
      <c r="F106" s="137"/>
    </row>
    <row r="107" spans="1:6" s="30" customFormat="1" ht="14.45">
      <c r="A107" s="45" t="s">
        <v>84</v>
      </c>
      <c r="B107" s="146" t="s">
        <v>1203</v>
      </c>
      <c r="C107" s="46">
        <v>1</v>
      </c>
      <c r="D107" s="47" t="s">
        <v>2</v>
      </c>
      <c r="E107" s="157">
        <v>235199.28</v>
      </c>
      <c r="F107" s="137">
        <f>+C107*E107</f>
        <v>235199.28</v>
      </c>
    </row>
    <row r="108" spans="1:6" s="30" customFormat="1" ht="14.45">
      <c r="A108" s="45"/>
      <c r="B108" s="146"/>
      <c r="C108" s="46"/>
      <c r="D108" s="47"/>
      <c r="E108" s="157"/>
      <c r="F108" s="137"/>
    </row>
    <row r="109" spans="1:6" s="30" customFormat="1" ht="14.45">
      <c r="A109" s="45" t="s">
        <v>86</v>
      </c>
      <c r="B109" s="146" t="s">
        <v>1204</v>
      </c>
      <c r="C109" s="46">
        <v>1</v>
      </c>
      <c r="D109" s="47" t="s">
        <v>2</v>
      </c>
      <c r="E109" s="157">
        <v>222005.54</v>
      </c>
      <c r="F109" s="137">
        <f>+C109*E109</f>
        <v>222005.54</v>
      </c>
    </row>
    <row r="110" spans="1:6" s="30" customFormat="1" ht="14.45">
      <c r="A110" s="45"/>
      <c r="B110" s="146"/>
      <c r="C110" s="46"/>
      <c r="D110" s="47"/>
      <c r="E110" s="157"/>
      <c r="F110" s="137"/>
    </row>
    <row r="111" spans="1:6" s="30" customFormat="1" ht="14.45">
      <c r="A111" s="45"/>
      <c r="B111" s="146" t="s">
        <v>1205</v>
      </c>
      <c r="C111" s="46"/>
      <c r="D111" s="47"/>
      <c r="E111" s="157"/>
      <c r="F111" s="137"/>
    </row>
    <row r="112" spans="1:6" s="30" customFormat="1" ht="14.45">
      <c r="A112" s="45"/>
      <c r="B112" s="146"/>
      <c r="C112" s="46"/>
      <c r="D112" s="47"/>
      <c r="E112" s="157"/>
      <c r="F112" s="137"/>
    </row>
    <row r="113" spans="1:6" s="30" customFormat="1" ht="27.6">
      <c r="A113" s="45" t="s">
        <v>90</v>
      </c>
      <c r="B113" s="146" t="s">
        <v>1206</v>
      </c>
      <c r="C113" s="46">
        <v>1</v>
      </c>
      <c r="D113" s="47" t="s">
        <v>2</v>
      </c>
      <c r="E113" s="157">
        <v>323923.21000000002</v>
      </c>
      <c r="F113" s="137">
        <f>+C113*E113</f>
        <v>323923.21000000002</v>
      </c>
    </row>
    <row r="114" spans="1:6" s="30" customFormat="1" ht="14.45">
      <c r="A114" s="45"/>
      <c r="B114" s="146"/>
      <c r="C114" s="46"/>
      <c r="D114" s="47"/>
      <c r="E114" s="157"/>
      <c r="F114" s="137"/>
    </row>
    <row r="115" spans="1:6" s="30" customFormat="1" ht="14.45">
      <c r="A115" s="45" t="s">
        <v>210</v>
      </c>
      <c r="B115" s="146" t="s">
        <v>213</v>
      </c>
      <c r="C115" s="46"/>
      <c r="D115" s="47"/>
      <c r="E115" s="157"/>
      <c r="F115" s="137"/>
    </row>
    <row r="116" spans="1:6" s="30" customFormat="1" ht="14.45">
      <c r="A116" s="45"/>
      <c r="B116" s="146"/>
      <c r="C116" s="46"/>
      <c r="D116" s="47"/>
      <c r="E116" s="157"/>
      <c r="F116" s="137"/>
    </row>
    <row r="117" spans="1:6" s="30" customFormat="1" ht="27.6">
      <c r="A117" s="290" t="s">
        <v>92</v>
      </c>
      <c r="B117" s="291" t="s">
        <v>214</v>
      </c>
      <c r="C117" s="292">
        <v>1</v>
      </c>
      <c r="D117" s="293" t="s">
        <v>215</v>
      </c>
      <c r="E117" s="283"/>
      <c r="F117" s="284">
        <f>+C117*E117</f>
        <v>0</v>
      </c>
    </row>
    <row r="118" spans="1:6" s="30" customFormat="1" ht="14.45">
      <c r="A118" s="45"/>
      <c r="B118" s="48"/>
      <c r="C118" s="46"/>
      <c r="D118" s="47"/>
      <c r="E118" s="157"/>
      <c r="F118" s="137"/>
    </row>
    <row r="119" spans="1:6" s="30" customFormat="1" ht="14.45">
      <c r="A119" s="45"/>
      <c r="B119" s="48"/>
      <c r="C119" s="46"/>
      <c r="D119" s="47"/>
      <c r="E119" s="157"/>
      <c r="F119" s="137"/>
    </row>
    <row r="120" spans="1:6" s="30" customFormat="1" ht="14.45">
      <c r="A120" s="45"/>
      <c r="B120" s="48"/>
      <c r="C120" s="46"/>
      <c r="D120" s="47"/>
      <c r="E120" s="157"/>
      <c r="F120" s="137"/>
    </row>
    <row r="121" spans="1:6" s="30" customFormat="1" ht="14.45">
      <c r="A121" s="45"/>
      <c r="B121" s="48"/>
      <c r="C121" s="46"/>
      <c r="D121" s="47"/>
      <c r="E121" s="157"/>
      <c r="F121" s="137"/>
    </row>
    <row r="122" spans="1:6" s="30" customFormat="1" ht="14.45">
      <c r="A122" s="59"/>
      <c r="B122" s="63"/>
      <c r="C122" s="61"/>
      <c r="D122" s="62"/>
      <c r="E122" s="157"/>
      <c r="F122" s="137"/>
    </row>
    <row r="123" spans="1:6" s="30" customFormat="1" ht="14.45">
      <c r="A123" s="71"/>
      <c r="B123" s="72"/>
      <c r="C123" s="73"/>
      <c r="D123" s="74"/>
      <c r="E123" s="159"/>
      <c r="F123" s="138"/>
    </row>
    <row r="124" spans="1:6" s="30" customFormat="1" ht="14.45">
      <c r="A124" s="75"/>
      <c r="B124" s="76"/>
      <c r="C124" s="77" t="s">
        <v>30</v>
      </c>
      <c r="D124" s="77"/>
      <c r="E124" s="160" t="s">
        <v>8</v>
      </c>
      <c r="F124" s="139">
        <f>SUM(F85:F119)</f>
        <v>2257517.66</v>
      </c>
    </row>
    <row r="125" spans="1:6" s="30" customFormat="1" ht="14.45">
      <c r="A125" s="75"/>
      <c r="B125" s="76"/>
      <c r="C125" s="78"/>
      <c r="D125" s="79"/>
      <c r="E125" s="161"/>
      <c r="F125" s="140"/>
    </row>
    <row r="126" spans="1:6" s="30" customFormat="1" ht="14.45">
      <c r="A126" s="59"/>
      <c r="B126" s="63"/>
      <c r="C126" s="61"/>
      <c r="D126" s="62"/>
      <c r="E126" s="157"/>
      <c r="F126" s="137"/>
    </row>
    <row r="127" spans="1:6" s="30" customFormat="1" ht="14.45">
      <c r="A127" s="59"/>
      <c r="B127" s="38" t="s">
        <v>109</v>
      </c>
      <c r="C127" s="61"/>
      <c r="D127" s="62"/>
      <c r="E127" s="157"/>
      <c r="F127" s="137"/>
    </row>
    <row r="128" spans="1:6" s="30" customFormat="1" ht="14.45">
      <c r="A128" s="59"/>
      <c r="B128" s="32"/>
      <c r="C128" s="61"/>
      <c r="D128" s="62"/>
      <c r="E128" s="157"/>
      <c r="F128" s="137"/>
    </row>
    <row r="129" spans="1:6" s="30" customFormat="1" ht="14.45">
      <c r="A129" s="59"/>
      <c r="B129" s="39" t="s">
        <v>1207</v>
      </c>
      <c r="C129" s="61"/>
      <c r="D129" s="62"/>
      <c r="E129" s="157"/>
      <c r="F129" s="137">
        <f>F37</f>
        <v>271811.40000000002</v>
      </c>
    </row>
    <row r="130" spans="1:6" s="30" customFormat="1" ht="14.45">
      <c r="A130" s="59"/>
      <c r="B130" s="32"/>
      <c r="C130" s="61"/>
      <c r="D130" s="62"/>
      <c r="E130" s="157"/>
      <c r="F130" s="137"/>
    </row>
    <row r="131" spans="1:6" s="30" customFormat="1" ht="14.45">
      <c r="A131" s="59"/>
      <c r="B131" s="39" t="s">
        <v>1208</v>
      </c>
      <c r="C131" s="61"/>
      <c r="D131" s="62"/>
      <c r="E131" s="157"/>
      <c r="F131" s="137">
        <f>F82</f>
        <v>307287.78000000003</v>
      </c>
    </row>
    <row r="132" spans="1:6" s="30" customFormat="1" ht="14.45">
      <c r="A132" s="59"/>
      <c r="B132" s="32"/>
      <c r="C132" s="61"/>
      <c r="D132" s="62"/>
      <c r="E132" s="157"/>
      <c r="F132" s="137"/>
    </row>
    <row r="133" spans="1:6" s="30" customFormat="1" ht="14.45">
      <c r="A133" s="59"/>
      <c r="B133" s="39" t="s">
        <v>1209</v>
      </c>
      <c r="C133" s="61"/>
      <c r="D133" s="62"/>
      <c r="E133" s="157"/>
      <c r="F133" s="137">
        <f>F124</f>
        <v>2257517.66</v>
      </c>
    </row>
    <row r="134" spans="1:6" s="30" customFormat="1" ht="14.45">
      <c r="A134" s="59"/>
      <c r="B134" s="32"/>
      <c r="C134" s="61"/>
      <c r="D134" s="62"/>
      <c r="E134" s="157"/>
      <c r="F134" s="137"/>
    </row>
    <row r="135" spans="1:6" s="30" customFormat="1" ht="14.45">
      <c r="A135" s="59"/>
      <c r="B135" s="39"/>
      <c r="C135" s="61"/>
      <c r="D135" s="62"/>
      <c r="E135" s="157"/>
      <c r="F135" s="137"/>
    </row>
    <row r="136" spans="1:6" s="30" customFormat="1" ht="14.45">
      <c r="A136" s="59"/>
      <c r="B136" s="63"/>
      <c r="C136" s="61"/>
      <c r="D136" s="62"/>
      <c r="E136" s="157"/>
      <c r="F136" s="137"/>
    </row>
    <row r="137" spans="1:6" s="30" customFormat="1" ht="14.45">
      <c r="A137" s="59"/>
      <c r="B137" s="63"/>
      <c r="C137" s="61"/>
      <c r="D137" s="62"/>
      <c r="E137" s="157"/>
      <c r="F137" s="137"/>
    </row>
    <row r="138" spans="1:6" s="30" customFormat="1" ht="14.45">
      <c r="A138" s="59"/>
      <c r="B138" s="63"/>
      <c r="C138" s="61"/>
      <c r="D138" s="62"/>
      <c r="E138" s="157"/>
      <c r="F138" s="137"/>
    </row>
    <row r="139" spans="1:6" s="30" customFormat="1" ht="14.45">
      <c r="A139" s="59"/>
      <c r="B139" s="63"/>
      <c r="C139" s="61"/>
      <c r="D139" s="62"/>
      <c r="E139" s="157"/>
      <c r="F139" s="137"/>
    </row>
    <row r="140" spans="1:6" s="30" customFormat="1" ht="14.45">
      <c r="A140" s="59"/>
      <c r="B140" s="63"/>
      <c r="C140" s="61"/>
      <c r="D140" s="62"/>
      <c r="E140" s="157"/>
      <c r="F140" s="137"/>
    </row>
    <row r="141" spans="1:6" s="30" customFormat="1" ht="14.45">
      <c r="A141" s="59"/>
      <c r="B141" s="63"/>
      <c r="C141" s="61"/>
      <c r="D141" s="62"/>
      <c r="E141" s="157"/>
      <c r="F141" s="137"/>
    </row>
    <row r="142" spans="1:6" s="30" customFormat="1" ht="14.45">
      <c r="A142" s="59"/>
      <c r="B142" s="63"/>
      <c r="C142" s="61"/>
      <c r="D142" s="62"/>
      <c r="E142" s="157"/>
      <c r="F142" s="137"/>
    </row>
    <row r="143" spans="1:6" s="30" customFormat="1" ht="14.45">
      <c r="A143" s="59"/>
      <c r="B143" s="63"/>
      <c r="C143" s="61"/>
      <c r="D143" s="62"/>
      <c r="E143" s="157"/>
      <c r="F143" s="137"/>
    </row>
    <row r="144" spans="1:6" s="30" customFormat="1" ht="14.45">
      <c r="A144" s="59"/>
      <c r="B144" s="63"/>
      <c r="C144" s="61"/>
      <c r="D144" s="62"/>
      <c r="E144" s="157"/>
      <c r="F144" s="137"/>
    </row>
    <row r="145" spans="1:6" s="30" customFormat="1" ht="14.45">
      <c r="A145" s="59"/>
      <c r="B145" s="63"/>
      <c r="C145" s="61"/>
      <c r="D145" s="62"/>
      <c r="E145" s="157"/>
      <c r="F145" s="137"/>
    </row>
    <row r="146" spans="1:6" s="30" customFormat="1" ht="14.45">
      <c r="A146" s="59"/>
      <c r="B146" s="63"/>
      <c r="C146" s="61"/>
      <c r="D146" s="62"/>
      <c r="E146" s="157"/>
      <c r="F146" s="137"/>
    </row>
    <row r="147" spans="1:6" s="30" customFormat="1" ht="14.45">
      <c r="A147" s="59"/>
      <c r="B147" s="63"/>
      <c r="C147" s="61"/>
      <c r="D147" s="62"/>
      <c r="E147" s="157"/>
      <c r="F147" s="137"/>
    </row>
    <row r="148" spans="1:6" s="30" customFormat="1" ht="14.45">
      <c r="A148" s="59"/>
      <c r="B148" s="63"/>
      <c r="C148" s="61"/>
      <c r="D148" s="62"/>
      <c r="E148" s="157"/>
      <c r="F148" s="137"/>
    </row>
    <row r="149" spans="1:6" s="30" customFormat="1" ht="14.45">
      <c r="A149" s="59"/>
      <c r="B149" s="63"/>
      <c r="C149" s="61"/>
      <c r="D149" s="62"/>
      <c r="E149" s="157"/>
      <c r="F149" s="137"/>
    </row>
    <row r="150" spans="1:6" s="30" customFormat="1" ht="14.45">
      <c r="A150" s="59"/>
      <c r="B150" s="63"/>
      <c r="C150" s="61"/>
      <c r="D150" s="62"/>
      <c r="E150" s="157"/>
      <c r="F150" s="137"/>
    </row>
    <row r="151" spans="1:6" s="30" customFormat="1" ht="14.45">
      <c r="A151" s="59"/>
      <c r="B151" s="63"/>
      <c r="C151" s="61"/>
      <c r="D151" s="62"/>
      <c r="E151" s="157"/>
      <c r="F151" s="137"/>
    </row>
    <row r="152" spans="1:6" s="30" customFormat="1" ht="14.45">
      <c r="A152" s="59"/>
      <c r="B152" s="63"/>
      <c r="C152" s="61"/>
      <c r="D152" s="62"/>
      <c r="E152" s="157"/>
      <c r="F152" s="137"/>
    </row>
    <row r="153" spans="1:6" s="30" customFormat="1" ht="14.45">
      <c r="A153" s="59"/>
      <c r="B153" s="63"/>
      <c r="C153" s="61"/>
      <c r="D153" s="62"/>
      <c r="E153" s="157"/>
      <c r="F153" s="137"/>
    </row>
    <row r="154" spans="1:6" s="30" customFormat="1" ht="14.45">
      <c r="A154" s="59"/>
      <c r="B154" s="63"/>
      <c r="C154" s="61"/>
      <c r="D154" s="62"/>
      <c r="E154" s="157"/>
      <c r="F154" s="137"/>
    </row>
    <row r="155" spans="1:6" s="30" customFormat="1" ht="14.45">
      <c r="A155" s="59"/>
      <c r="B155" s="63"/>
      <c r="C155" s="61"/>
      <c r="D155" s="62"/>
      <c r="E155" s="157"/>
      <c r="F155" s="137"/>
    </row>
    <row r="156" spans="1:6" s="30" customFormat="1" ht="14.45">
      <c r="A156" s="59"/>
      <c r="B156" s="63"/>
      <c r="C156" s="61"/>
      <c r="D156" s="62"/>
      <c r="E156" s="157"/>
      <c r="F156" s="137"/>
    </row>
    <row r="157" spans="1:6" s="30" customFormat="1" ht="14.45">
      <c r="A157" s="59"/>
      <c r="B157" s="63"/>
      <c r="C157" s="61"/>
      <c r="D157" s="62"/>
      <c r="E157" s="157"/>
      <c r="F157" s="137"/>
    </row>
    <row r="158" spans="1:6" s="30" customFormat="1" ht="14.45">
      <c r="A158" s="59"/>
      <c r="B158" s="63"/>
      <c r="C158" s="61"/>
      <c r="D158" s="62"/>
      <c r="E158" s="157"/>
      <c r="F158" s="137"/>
    </row>
    <row r="159" spans="1:6" s="30" customFormat="1" ht="14.45">
      <c r="A159" s="59"/>
      <c r="B159" s="63"/>
      <c r="C159" s="61"/>
      <c r="D159" s="62"/>
      <c r="E159" s="157"/>
      <c r="F159" s="137"/>
    </row>
    <row r="160" spans="1:6" s="30" customFormat="1" ht="14.45">
      <c r="A160" s="59"/>
      <c r="B160" s="63"/>
      <c r="C160" s="61"/>
      <c r="D160" s="62"/>
      <c r="E160" s="157"/>
      <c r="F160" s="137"/>
    </row>
    <row r="161" spans="1:6" s="30" customFormat="1" ht="14.45">
      <c r="A161" s="59"/>
      <c r="B161" s="63"/>
      <c r="C161" s="61"/>
      <c r="D161" s="62"/>
      <c r="E161" s="157"/>
      <c r="F161" s="137"/>
    </row>
    <row r="162" spans="1:6" s="30" customFormat="1" ht="14.45">
      <c r="A162" s="59"/>
      <c r="B162" s="63"/>
      <c r="C162" s="61"/>
      <c r="D162" s="62"/>
      <c r="E162" s="157"/>
      <c r="F162" s="137"/>
    </row>
    <row r="163" spans="1:6" s="30" customFormat="1" ht="14.45">
      <c r="A163" s="59"/>
      <c r="B163" s="63"/>
      <c r="C163" s="61"/>
      <c r="D163" s="62"/>
      <c r="E163" s="157"/>
      <c r="F163" s="137"/>
    </row>
    <row r="164" spans="1:6" s="30" customFormat="1" ht="14.45">
      <c r="A164" s="59"/>
      <c r="B164" s="63"/>
      <c r="C164" s="61"/>
      <c r="D164" s="62"/>
      <c r="E164" s="157"/>
      <c r="F164" s="137"/>
    </row>
    <row r="165" spans="1:6" s="30" customFormat="1" ht="14.45">
      <c r="A165" s="59"/>
      <c r="B165" s="63"/>
      <c r="C165" s="61"/>
      <c r="D165" s="62"/>
      <c r="E165" s="157"/>
      <c r="F165" s="137"/>
    </row>
    <row r="166" spans="1:6" s="30" customFormat="1" ht="14.45">
      <c r="A166" s="59"/>
      <c r="B166" s="63"/>
      <c r="C166" s="61"/>
      <c r="D166" s="62"/>
      <c r="E166" s="157"/>
      <c r="F166" s="137"/>
    </row>
    <row r="167" spans="1:6" s="30" customFormat="1" ht="14.45">
      <c r="A167" s="59"/>
      <c r="B167" s="63"/>
      <c r="C167" s="61"/>
      <c r="D167" s="62"/>
      <c r="E167" s="157"/>
      <c r="F167" s="137"/>
    </row>
    <row r="168" spans="1:6" s="30" customFormat="1" ht="14.45">
      <c r="A168" s="59"/>
      <c r="B168" s="63"/>
      <c r="C168" s="61"/>
      <c r="D168" s="62"/>
      <c r="E168" s="157"/>
      <c r="F168" s="137"/>
    </row>
    <row r="169" spans="1:6" s="30" customFormat="1" ht="14.45">
      <c r="A169" s="59"/>
      <c r="B169" s="63"/>
      <c r="C169" s="61"/>
      <c r="D169" s="62"/>
      <c r="E169" s="157"/>
      <c r="F169" s="137"/>
    </row>
    <row r="170" spans="1:6" s="30" customFormat="1" ht="14.45">
      <c r="A170" s="59"/>
      <c r="B170" s="63"/>
      <c r="C170" s="61"/>
      <c r="D170" s="62"/>
      <c r="E170" s="157"/>
      <c r="F170" s="137"/>
    </row>
    <row r="171" spans="1:6" s="30" customFormat="1" ht="14.45">
      <c r="A171" s="71"/>
      <c r="B171" s="72"/>
      <c r="C171" s="73"/>
      <c r="D171" s="74"/>
      <c r="E171" s="159"/>
      <c r="F171" s="138"/>
    </row>
    <row r="172" spans="1:6" s="30" customFormat="1" ht="14.45">
      <c r="A172" s="75"/>
      <c r="B172" s="76"/>
      <c r="C172" s="77" t="s">
        <v>116</v>
      </c>
      <c r="D172" s="77"/>
      <c r="E172" s="160" t="s">
        <v>8</v>
      </c>
      <c r="F172" s="139">
        <f>SUM(F126:F150)</f>
        <v>2836616.8400000003</v>
      </c>
    </row>
    <row r="173" spans="1:6" s="30" customFormat="1" ht="14.45">
      <c r="A173" s="75"/>
      <c r="B173" s="76"/>
      <c r="C173" s="78"/>
      <c r="D173" s="79"/>
      <c r="E173" s="161"/>
      <c r="F173" s="140"/>
    </row>
  </sheetData>
  <customSheetViews>
    <customSheetView guid="{3432A39B-C5E3-4DF0-8655-3886C046AF9C}" showPageBreaks="1" printArea="1" view="pageBreakPreview" topLeftCell="A160">
      <selection activeCell="G175" sqref="G175"/>
      <rowBreaks count="3" manualBreakCount="3">
        <brk id="38" max="5" man="1"/>
        <brk id="84" max="5" man="1"/>
        <brk id="128" max="5" man="1"/>
      </rowBreaks>
      <pageMargins left="0" right="0" top="0" bottom="0" header="0" footer="0"/>
      <printOptions horizontalCentered="1"/>
      <pageSetup paperSize="9" fitToHeight="0" orientation="portrait" useFirstPageNumber="1" r:id="rId1"/>
      <headerFooter>
        <oddHeader>&amp;R&amp;11&amp;U
BILL NO. 3 - MALL REFURBISHMENT
SPECIAL CONSTRUCTION</oddHeader>
        <oddFooter>&amp;L&amp;8DMS 148704 BOQ - Nakheel Mall Al Khail&amp;C3/N/&amp;P</oddFooter>
      </headerFooter>
    </customSheetView>
    <customSheetView guid="{47E345F0-E696-46B9-B7A2-C22AD1CF4FAA}" showPageBreaks="1" printArea="1" view="pageBreakPreview" topLeftCell="A125">
      <selection activeCell="F51" sqref="F51"/>
      <rowBreaks count="3" manualBreakCount="3">
        <brk id="38" max="5" man="1"/>
        <brk id="84" max="5" man="1"/>
        <brk id="128" max="5" man="1"/>
      </rowBreaks>
      <pageMargins left="0" right="0" top="0" bottom="0" header="0" footer="0"/>
      <printOptions horizontalCentered="1"/>
      <pageSetup paperSize="9" fitToHeight="0" orientation="portrait" useFirstPageNumber="1" r:id="rId2"/>
      <headerFooter>
        <oddHeader>&amp;R&amp;11&amp;U
BILL NO. 3 - MALL REFURBISHMENT
SPECIAL CONSTRUCTION</oddHeader>
        <oddFooter>&amp;L&amp;8DMS 148704 BOQ - Nakheel Mall Al Khail&amp;C3/N/&amp;P</oddFooter>
      </headerFooter>
    </customSheetView>
    <customSheetView guid="{252EBC6A-BD49-4FC3-9285-77861935BFE3}" showPageBreaks="1" printArea="1" view="pageBreakPreview" topLeftCell="A158">
      <selection activeCell="F176" sqref="F176"/>
      <rowBreaks count="3" manualBreakCount="3">
        <brk id="38" max="5" man="1"/>
        <brk id="84" max="5" man="1"/>
        <brk id="128" max="5" man="1"/>
      </rowBreaks>
      <pageMargins left="0" right="0" top="0" bottom="0" header="0" footer="0"/>
      <printOptions horizontalCentered="1"/>
      <pageSetup paperSize="9" fitToHeight="0" orientation="portrait" useFirstPageNumber="1" r:id="rId3"/>
      <headerFooter>
        <oddHeader>&amp;R&amp;11&amp;U
BILL NO. 3 - MALL REFURBISHMENT
SPECIAL CONSTRUCTION</oddHeader>
        <oddFooter>&amp;L&amp;8DMS 148704 BOQ - Nakheel Mall Al Khail&amp;C3/N/&amp;P</oddFooter>
      </headerFooter>
    </customSheetView>
    <customSheetView guid="{80D5E0F2-D974-412D-A20C-052459C7A221}" showPageBreaks="1" printArea="1" view="pageBreakPreview" topLeftCell="A160">
      <selection activeCell="G175" sqref="G175"/>
      <rowBreaks count="3" manualBreakCount="3">
        <brk id="38" max="5" man="1"/>
        <brk id="84" max="5" man="1"/>
        <brk id="128" max="5" man="1"/>
      </rowBreaks>
      <pageMargins left="0" right="0" top="0" bottom="0" header="0" footer="0"/>
      <printOptions horizontalCentered="1"/>
      <pageSetup paperSize="9" fitToHeight="0" orientation="portrait" useFirstPageNumber="1" r:id="rId4"/>
      <headerFooter>
        <oddHeader>&amp;R&amp;11&amp;U
BILL NO. 3 - MALL REFURBISHMENT
SPECIAL CONSTRUCTION</oddHeader>
        <oddFooter>&amp;L&amp;8DMS 148704 BOQ - Nakheel Mall Al Khail&amp;C3/N/&amp;P</oddFooter>
      </headerFooter>
    </customSheetView>
  </customSheetViews>
  <mergeCells count="4">
    <mergeCell ref="A1:A2"/>
    <mergeCell ref="B1:B2"/>
    <mergeCell ref="C1:C2"/>
    <mergeCell ref="D1:D2"/>
  </mergeCells>
  <printOptions horizontalCentered="1"/>
  <pageMargins left="0.6692913385826772" right="0.19685039370078741" top="0.82677165354330717" bottom="0.47244094488188981" header="0.19685039370078741" footer="0.23622047244094491"/>
  <pageSetup paperSize="9" fitToHeight="0" orientation="portrait" useFirstPageNumber="1" r:id="rId5"/>
  <headerFooter>
    <oddHeader>&amp;R&amp;11&amp;U
BILL NO. 3 - MALL REFURBISHMENT
SPECIAL CONSTRUCTION</oddHeader>
    <oddFooter>&amp;L&amp;8DMS 148704 BOQ - Nakheel Mall Al Khail&amp;C3/N/&amp;P</oddFooter>
  </headerFooter>
  <rowBreaks count="3" manualBreakCount="3">
    <brk id="38" max="5" man="1"/>
    <brk id="83" max="5" man="1"/>
    <brk id="125" max="5"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674D2-4C1C-4A6D-8EA1-7C255AC525FC}">
  <sheetPr codeName="Sheet14"/>
  <dimension ref="A1:G364"/>
  <sheetViews>
    <sheetView view="pageBreakPreview" zoomScaleNormal="100" zoomScaleSheetLayoutView="100" zoomScalePageLayoutView="70" workbookViewId="0">
      <pane ySplit="2" topLeftCell="A60" activePane="bottomLeft" state="frozen"/>
      <selection pane="bottomLeft" activeCell="C1" sqref="C1:C1048576"/>
      <selection activeCell="F34" sqref="F34"/>
    </sheetView>
  </sheetViews>
  <sheetFormatPr defaultColWidth="9.28515625" defaultRowHeight="13.9"/>
  <cols>
    <col min="1" max="1" width="5.7109375" style="85" customWidth="1"/>
    <col min="2" max="2" width="46" style="86" customWidth="1"/>
    <col min="3" max="3" width="9.7109375" style="87" customWidth="1"/>
    <col min="4" max="4" width="6.7109375" style="88" customWidth="1"/>
    <col min="5" max="5" width="12" style="162" customWidth="1"/>
    <col min="6" max="6" width="15.42578125" style="142" customWidth="1"/>
    <col min="7" max="7" width="7.140625" style="87" customWidth="1"/>
    <col min="8" max="16384" width="9.28515625" style="89"/>
  </cols>
  <sheetData>
    <row r="1" spans="1:7" s="30" customFormat="1" ht="14.45">
      <c r="A1" s="332" t="s">
        <v>2</v>
      </c>
      <c r="B1" s="332" t="s">
        <v>3</v>
      </c>
      <c r="C1" s="334" t="s">
        <v>4</v>
      </c>
      <c r="D1" s="336" t="s">
        <v>5</v>
      </c>
      <c r="E1" s="155" t="s">
        <v>6</v>
      </c>
      <c r="F1" s="135" t="s">
        <v>7</v>
      </c>
      <c r="G1" s="344" t="s">
        <v>297</v>
      </c>
    </row>
    <row r="2" spans="1:7" s="30" customFormat="1" ht="14.45">
      <c r="A2" s="333"/>
      <c r="B2" s="333"/>
      <c r="C2" s="335"/>
      <c r="D2" s="337"/>
      <c r="E2" s="156" t="s">
        <v>8</v>
      </c>
      <c r="F2" s="136" t="s">
        <v>8</v>
      </c>
      <c r="G2" s="345"/>
    </row>
    <row r="3" spans="1:7" s="30" customFormat="1" ht="14.45">
      <c r="A3" s="31"/>
      <c r="B3" s="32"/>
      <c r="C3" s="29"/>
      <c r="D3" s="33"/>
      <c r="E3" s="157"/>
      <c r="F3" s="137"/>
      <c r="G3" s="29"/>
    </row>
    <row r="4" spans="1:7" s="30" customFormat="1" ht="14.45">
      <c r="A4" s="59"/>
      <c r="B4" s="60" t="s">
        <v>1210</v>
      </c>
      <c r="C4" s="61"/>
      <c r="D4" s="62"/>
      <c r="E4" s="157"/>
      <c r="F4" s="137"/>
      <c r="G4" s="251"/>
    </row>
    <row r="5" spans="1:7" s="30" customFormat="1" ht="14.45">
      <c r="A5" s="59"/>
      <c r="B5" s="63"/>
      <c r="C5" s="61"/>
      <c r="D5" s="62"/>
      <c r="E5" s="157"/>
      <c r="F5" s="137"/>
      <c r="G5" s="251"/>
    </row>
    <row r="6" spans="1:7" s="30" customFormat="1" ht="14.45">
      <c r="A6" s="59"/>
      <c r="B6" s="64" t="s">
        <v>1211</v>
      </c>
      <c r="C6" s="61"/>
      <c r="D6" s="62"/>
      <c r="E6" s="157"/>
      <c r="F6" s="137"/>
      <c r="G6" s="251"/>
    </row>
    <row r="7" spans="1:7" s="30" customFormat="1" ht="14.45">
      <c r="A7" s="59"/>
      <c r="B7" s="65"/>
      <c r="C7" s="61"/>
      <c r="D7" s="62"/>
      <c r="E7" s="157"/>
      <c r="F7" s="137"/>
      <c r="G7" s="251"/>
    </row>
    <row r="8" spans="1:7" s="30" customFormat="1" ht="14.45">
      <c r="A8" s="66"/>
      <c r="B8" s="67" t="s">
        <v>52</v>
      </c>
      <c r="C8" s="68"/>
      <c r="D8" s="69"/>
      <c r="E8" s="157"/>
      <c r="F8" s="137"/>
      <c r="G8" s="68"/>
    </row>
    <row r="9" spans="1:7" s="30" customFormat="1" ht="14.45">
      <c r="A9" s="59"/>
      <c r="B9" s="65"/>
      <c r="C9" s="61"/>
      <c r="D9" s="62"/>
      <c r="E9" s="157"/>
      <c r="F9" s="137"/>
      <c r="G9" s="251"/>
    </row>
    <row r="10" spans="1:7" s="30" customFormat="1" ht="14.45">
      <c r="A10" s="66"/>
      <c r="B10" s="67" t="s">
        <v>1212</v>
      </c>
      <c r="C10" s="68"/>
      <c r="D10" s="69"/>
      <c r="E10" s="157"/>
      <c r="F10" s="137"/>
      <c r="G10" s="68"/>
    </row>
    <row r="11" spans="1:7" s="30" customFormat="1" ht="14.45">
      <c r="A11" s="59"/>
      <c r="B11" s="65"/>
      <c r="C11" s="61"/>
      <c r="D11" s="62"/>
      <c r="E11" s="157"/>
      <c r="F11" s="137"/>
      <c r="G11" s="251"/>
    </row>
    <row r="12" spans="1:7" s="30" customFormat="1" ht="27.6">
      <c r="A12" s="66"/>
      <c r="B12" s="67" t="s">
        <v>1213</v>
      </c>
      <c r="C12" s="68"/>
      <c r="D12" s="69"/>
      <c r="E12" s="157"/>
      <c r="F12" s="137"/>
      <c r="G12" s="68"/>
    </row>
    <row r="13" spans="1:7" s="30" customFormat="1" ht="14.45">
      <c r="A13" s="59"/>
      <c r="B13" s="65"/>
      <c r="C13" s="61"/>
      <c r="D13" s="62"/>
      <c r="E13" s="157"/>
      <c r="F13" s="137"/>
      <c r="G13" s="251"/>
    </row>
    <row r="14" spans="1:7" s="30" customFormat="1" ht="96.6">
      <c r="A14" s="66"/>
      <c r="B14" s="98" t="s">
        <v>1214</v>
      </c>
      <c r="C14" s="68"/>
      <c r="D14" s="69"/>
      <c r="E14" s="157"/>
      <c r="F14" s="137"/>
      <c r="G14" s="68"/>
    </row>
    <row r="15" spans="1:7" s="30" customFormat="1" ht="14.45">
      <c r="A15" s="59"/>
      <c r="B15" s="100"/>
      <c r="C15" s="61"/>
      <c r="D15" s="62"/>
      <c r="E15" s="157"/>
      <c r="F15" s="137"/>
      <c r="G15" s="251"/>
    </row>
    <row r="16" spans="1:7" s="30" customFormat="1" ht="27.6">
      <c r="A16" s="66" t="s">
        <v>14</v>
      </c>
      <c r="B16" s="67" t="s">
        <v>1215</v>
      </c>
      <c r="C16" s="68" t="s">
        <v>152</v>
      </c>
      <c r="D16" s="69" t="s">
        <v>63</v>
      </c>
      <c r="E16" s="157">
        <v>359543.6</v>
      </c>
      <c r="F16" s="137">
        <f>C16*E16</f>
        <v>719087.2</v>
      </c>
      <c r="G16" s="68"/>
    </row>
    <row r="17" spans="1:7" s="30" customFormat="1" ht="14.45">
      <c r="A17" s="59"/>
      <c r="B17" s="100"/>
      <c r="C17" s="61"/>
      <c r="D17" s="62"/>
      <c r="E17" s="157"/>
      <c r="F17" s="137"/>
      <c r="G17" s="251"/>
    </row>
    <row r="18" spans="1:7" s="30" customFormat="1" ht="96.6">
      <c r="A18" s="66"/>
      <c r="B18" s="98" t="s">
        <v>1216</v>
      </c>
      <c r="C18" s="68"/>
      <c r="D18" s="69"/>
      <c r="E18" s="157"/>
      <c r="F18" s="137"/>
      <c r="G18" s="68"/>
    </row>
    <row r="19" spans="1:7" s="30" customFormat="1" ht="14.45">
      <c r="A19" s="59"/>
      <c r="B19" s="100"/>
      <c r="C19" s="61"/>
      <c r="D19" s="62"/>
      <c r="E19" s="157"/>
      <c r="F19" s="137"/>
      <c r="G19" s="251"/>
    </row>
    <row r="20" spans="1:7" s="30" customFormat="1" ht="27.6">
      <c r="A20" s="66" t="s">
        <v>17</v>
      </c>
      <c r="B20" s="67" t="s">
        <v>1217</v>
      </c>
      <c r="C20" s="68" t="s">
        <v>335</v>
      </c>
      <c r="D20" s="69" t="s">
        <v>63</v>
      </c>
      <c r="E20" s="157">
        <v>481570.52</v>
      </c>
      <c r="F20" s="137">
        <f>C20*E20</f>
        <v>1444711.56</v>
      </c>
      <c r="G20" s="68"/>
    </row>
    <row r="21" spans="1:7" s="30" customFormat="1" ht="14.45">
      <c r="A21" s="59"/>
      <c r="B21" s="100"/>
      <c r="C21" s="61"/>
      <c r="D21" s="62"/>
      <c r="E21" s="157"/>
      <c r="F21" s="137"/>
      <c r="G21" s="251"/>
    </row>
    <row r="22" spans="1:7" s="30" customFormat="1" ht="27.6">
      <c r="A22" s="66" t="s">
        <v>20</v>
      </c>
      <c r="B22" s="67" t="s">
        <v>1218</v>
      </c>
      <c r="C22" s="68" t="s">
        <v>152</v>
      </c>
      <c r="D22" s="69" t="s">
        <v>63</v>
      </c>
      <c r="E22" s="157">
        <v>519703.94</v>
      </c>
      <c r="F22" s="137">
        <f>C22*E22</f>
        <v>1039407.88</v>
      </c>
      <c r="G22" s="68"/>
    </row>
    <row r="23" spans="1:7" s="30" customFormat="1" ht="14.45">
      <c r="A23" s="59"/>
      <c r="B23" s="100"/>
      <c r="C23" s="61"/>
      <c r="D23" s="62"/>
      <c r="E23" s="157"/>
      <c r="F23" s="137"/>
      <c r="G23" s="251"/>
    </row>
    <row r="24" spans="1:7" s="30" customFormat="1" ht="14.45">
      <c r="A24" s="59"/>
      <c r="B24" s="63"/>
      <c r="C24" s="61"/>
      <c r="D24" s="62"/>
      <c r="E24" s="157"/>
      <c r="F24" s="137"/>
      <c r="G24" s="251"/>
    </row>
    <row r="25" spans="1:7" s="30" customFormat="1" ht="14.45">
      <c r="A25" s="59"/>
      <c r="B25" s="63"/>
      <c r="C25" s="61"/>
      <c r="D25" s="62"/>
      <c r="E25" s="157"/>
      <c r="F25" s="137"/>
      <c r="G25" s="251"/>
    </row>
    <row r="26" spans="1:7" s="30" customFormat="1" ht="14.45">
      <c r="A26" s="59"/>
      <c r="B26" s="63"/>
      <c r="C26" s="61"/>
      <c r="D26" s="62"/>
      <c r="E26" s="157"/>
      <c r="F26" s="137"/>
      <c r="G26" s="251"/>
    </row>
    <row r="27" spans="1:7" s="30" customFormat="1" ht="14.45">
      <c r="A27" s="59"/>
      <c r="B27" s="63"/>
      <c r="C27" s="61"/>
      <c r="D27" s="62"/>
      <c r="E27" s="157"/>
      <c r="F27" s="137"/>
      <c r="G27" s="251"/>
    </row>
    <row r="28" spans="1:7" s="30" customFormat="1" ht="14.45">
      <c r="A28" s="59"/>
      <c r="B28" s="63"/>
      <c r="C28" s="61"/>
      <c r="D28" s="62"/>
      <c r="E28" s="157"/>
      <c r="F28" s="137"/>
      <c r="G28" s="251"/>
    </row>
    <row r="29" spans="1:7" s="30" customFormat="1" ht="14.45">
      <c r="A29" s="59"/>
      <c r="B29" s="63"/>
      <c r="C29" s="61"/>
      <c r="D29" s="62"/>
      <c r="E29" s="157"/>
      <c r="F29" s="137"/>
      <c r="G29" s="251"/>
    </row>
    <row r="30" spans="1:7" s="30" customFormat="1" ht="14.45">
      <c r="A30" s="59"/>
      <c r="B30" s="63"/>
      <c r="C30" s="61"/>
      <c r="D30" s="62"/>
      <c r="E30" s="157"/>
      <c r="F30" s="137"/>
      <c r="G30" s="251"/>
    </row>
    <row r="31" spans="1:7" s="30" customFormat="1" ht="14.45">
      <c r="A31" s="59"/>
      <c r="B31" s="63"/>
      <c r="C31" s="61"/>
      <c r="D31" s="62"/>
      <c r="E31" s="157"/>
      <c r="F31" s="137"/>
      <c r="G31" s="251"/>
    </row>
    <row r="32" spans="1:7" s="30" customFormat="1" ht="14.45">
      <c r="A32" s="59"/>
      <c r="B32" s="63"/>
      <c r="C32" s="61"/>
      <c r="D32" s="62"/>
      <c r="E32" s="157"/>
      <c r="F32" s="137"/>
      <c r="G32" s="251"/>
    </row>
    <row r="33" spans="1:7" s="30" customFormat="1" ht="14.45">
      <c r="A33" s="71"/>
      <c r="B33" s="72"/>
      <c r="C33" s="73"/>
      <c r="D33" s="74"/>
      <c r="E33" s="159"/>
      <c r="F33" s="138"/>
      <c r="G33" s="73"/>
    </row>
    <row r="34" spans="1:7" s="30" customFormat="1" ht="14.45">
      <c r="A34" s="75"/>
      <c r="B34" s="76"/>
      <c r="C34" s="77" t="s">
        <v>30</v>
      </c>
      <c r="D34" s="77"/>
      <c r="E34" s="160" t="s">
        <v>8</v>
      </c>
      <c r="F34" s="139">
        <f>SUM(F14:F28)</f>
        <v>3203206.6399999997</v>
      </c>
      <c r="G34" s="77"/>
    </row>
    <row r="35" spans="1:7" s="30" customFormat="1" ht="14.45">
      <c r="A35" s="75"/>
      <c r="B35" s="76"/>
      <c r="C35" s="78"/>
      <c r="D35" s="79"/>
      <c r="E35" s="161"/>
      <c r="F35" s="140"/>
      <c r="G35" s="78"/>
    </row>
    <row r="36" spans="1:7" s="30" customFormat="1" ht="14.45">
      <c r="A36" s="59"/>
      <c r="B36" s="63"/>
      <c r="C36" s="61"/>
      <c r="D36" s="62"/>
      <c r="E36" s="157"/>
      <c r="F36" s="137"/>
      <c r="G36" s="251"/>
    </row>
    <row r="37" spans="1:7" s="30" customFormat="1" ht="14.45">
      <c r="A37" s="59"/>
      <c r="B37" s="64" t="s">
        <v>1219</v>
      </c>
      <c r="C37" s="61"/>
      <c r="D37" s="62"/>
      <c r="E37" s="157"/>
      <c r="F37" s="137"/>
      <c r="G37" s="251"/>
    </row>
    <row r="38" spans="1:7" s="30" customFormat="1" ht="14.45">
      <c r="A38" s="59"/>
      <c r="B38" s="100"/>
      <c r="C38" s="61"/>
      <c r="D38" s="62"/>
      <c r="E38" s="157"/>
      <c r="F38" s="137"/>
      <c r="G38" s="251"/>
    </row>
    <row r="39" spans="1:7" s="30" customFormat="1" ht="96.6">
      <c r="A39" s="66"/>
      <c r="B39" s="98" t="s">
        <v>1220</v>
      </c>
      <c r="C39" s="68"/>
      <c r="D39" s="69"/>
      <c r="E39" s="157"/>
      <c r="F39" s="137"/>
      <c r="G39" s="68"/>
    </row>
    <row r="40" spans="1:7" s="30" customFormat="1" ht="14.45">
      <c r="A40" s="59"/>
      <c r="B40" s="100"/>
      <c r="C40" s="61"/>
      <c r="D40" s="62"/>
      <c r="E40" s="157"/>
      <c r="F40" s="137"/>
      <c r="G40" s="251"/>
    </row>
    <row r="41" spans="1:7" s="30" customFormat="1" ht="27.6">
      <c r="A41" s="66" t="s">
        <v>14</v>
      </c>
      <c r="B41" s="67" t="s">
        <v>1221</v>
      </c>
      <c r="C41" s="68" t="s">
        <v>304</v>
      </c>
      <c r="D41" s="69" t="s">
        <v>63</v>
      </c>
      <c r="E41" s="157">
        <v>326857.82</v>
      </c>
      <c r="F41" s="137">
        <f>C41*E41</f>
        <v>326857.82</v>
      </c>
      <c r="G41" s="68"/>
    </row>
    <row r="42" spans="1:7" s="30" customFormat="1" ht="14.45">
      <c r="A42" s="59"/>
      <c r="B42" s="100"/>
      <c r="C42" s="61"/>
      <c r="D42" s="62"/>
      <c r="E42" s="157"/>
      <c r="F42" s="137"/>
      <c r="G42" s="251"/>
    </row>
    <row r="43" spans="1:7" s="30" customFormat="1" ht="27.6">
      <c r="A43" s="66" t="s">
        <v>17</v>
      </c>
      <c r="B43" s="67" t="s">
        <v>1222</v>
      </c>
      <c r="C43" s="68" t="s">
        <v>304</v>
      </c>
      <c r="D43" s="69" t="s">
        <v>63</v>
      </c>
      <c r="E43" s="157">
        <v>346469.29</v>
      </c>
      <c r="F43" s="137">
        <f>C43*E43</f>
        <v>346469.29</v>
      </c>
      <c r="G43" s="68"/>
    </row>
    <row r="44" spans="1:7" s="30" customFormat="1" ht="14.45">
      <c r="A44" s="59"/>
      <c r="B44" s="100"/>
      <c r="C44" s="61"/>
      <c r="D44" s="62"/>
      <c r="E44" s="157"/>
      <c r="F44" s="137"/>
      <c r="G44" s="251"/>
    </row>
    <row r="45" spans="1:7" s="30" customFormat="1" ht="27.6">
      <c r="A45" s="66" t="s">
        <v>20</v>
      </c>
      <c r="B45" s="67" t="s">
        <v>1223</v>
      </c>
      <c r="C45" s="68" t="s">
        <v>304</v>
      </c>
      <c r="D45" s="69" t="s">
        <v>63</v>
      </c>
      <c r="E45" s="157">
        <v>326857.82</v>
      </c>
      <c r="F45" s="137">
        <f>C45*E45</f>
        <v>326857.82</v>
      </c>
      <c r="G45" s="68"/>
    </row>
    <row r="46" spans="1:7" s="30" customFormat="1" ht="14.45">
      <c r="A46" s="59"/>
      <c r="B46" s="100"/>
      <c r="C46" s="61"/>
      <c r="D46" s="62"/>
      <c r="E46" s="157"/>
      <c r="F46" s="137"/>
      <c r="G46" s="251"/>
    </row>
    <row r="47" spans="1:7" s="30" customFormat="1" ht="27.6">
      <c r="A47" s="66" t="s">
        <v>23</v>
      </c>
      <c r="B47" s="67" t="s">
        <v>1224</v>
      </c>
      <c r="C47" s="68" t="s">
        <v>304</v>
      </c>
      <c r="D47" s="69" t="s">
        <v>63</v>
      </c>
      <c r="E47" s="157">
        <v>359543.6</v>
      </c>
      <c r="F47" s="137">
        <f>C47*E47</f>
        <v>359543.6</v>
      </c>
      <c r="G47" s="68"/>
    </row>
    <row r="48" spans="1:7" s="30" customFormat="1" ht="14.45">
      <c r="A48" s="59"/>
      <c r="B48" s="100"/>
      <c r="C48" s="61"/>
      <c r="D48" s="62"/>
      <c r="E48" s="157"/>
      <c r="F48" s="137"/>
      <c r="G48" s="251"/>
    </row>
    <row r="49" spans="1:7" s="30" customFormat="1" ht="41.45">
      <c r="A49" s="66"/>
      <c r="B49" s="98" t="s">
        <v>1225</v>
      </c>
      <c r="C49" s="68"/>
      <c r="D49" s="69"/>
      <c r="E49" s="157"/>
      <c r="F49" s="137"/>
      <c r="G49" s="68"/>
    </row>
    <row r="50" spans="1:7" s="30" customFormat="1" ht="14.45">
      <c r="A50" s="59"/>
      <c r="B50" s="100"/>
      <c r="C50" s="61"/>
      <c r="D50" s="62"/>
      <c r="E50" s="157"/>
      <c r="F50" s="137"/>
      <c r="G50" s="251"/>
    </row>
    <row r="51" spans="1:7" s="30" customFormat="1" ht="14.45">
      <c r="A51" s="66" t="s">
        <v>27</v>
      </c>
      <c r="B51" s="67" t="s">
        <v>1226</v>
      </c>
      <c r="C51" s="68">
        <v>39</v>
      </c>
      <c r="D51" s="69" t="s">
        <v>16</v>
      </c>
      <c r="E51" s="157">
        <v>218.91</v>
      </c>
      <c r="F51" s="137">
        <f>C51*E51</f>
        <v>8537.49</v>
      </c>
      <c r="G51" s="243" t="s">
        <v>344</v>
      </c>
    </row>
    <row r="52" spans="1:7" s="30" customFormat="1" ht="14.45">
      <c r="A52" s="59"/>
      <c r="B52" s="100"/>
      <c r="C52" s="61"/>
      <c r="D52" s="62"/>
      <c r="E52" s="157"/>
      <c r="F52" s="137"/>
      <c r="G52" s="251"/>
    </row>
    <row r="53" spans="1:7" s="30" customFormat="1" ht="14.45">
      <c r="A53" s="66" t="s">
        <v>44</v>
      </c>
      <c r="B53" s="67" t="s">
        <v>1227</v>
      </c>
      <c r="C53" s="68">
        <v>69</v>
      </c>
      <c r="D53" s="69" t="s">
        <v>16</v>
      </c>
      <c r="E53" s="157">
        <v>3422.01</v>
      </c>
      <c r="F53" s="137">
        <f>C53*E53</f>
        <v>236118.69</v>
      </c>
      <c r="G53" s="68"/>
    </row>
    <row r="54" spans="1:7" s="30" customFormat="1" ht="14.45">
      <c r="A54" s="59"/>
      <c r="B54" s="100"/>
      <c r="C54" s="61"/>
      <c r="D54" s="62"/>
      <c r="E54" s="157"/>
      <c r="F54" s="137"/>
      <c r="G54" s="251"/>
    </row>
    <row r="55" spans="1:7" s="91" customFormat="1" ht="14.45">
      <c r="A55" s="80" t="s">
        <v>48</v>
      </c>
      <c r="B55" s="81" t="s">
        <v>1228</v>
      </c>
      <c r="C55" s="82">
        <v>46</v>
      </c>
      <c r="D55" s="83" t="s">
        <v>199</v>
      </c>
      <c r="E55" s="158">
        <v>880.91</v>
      </c>
      <c r="F55" s="137">
        <f>C55*E55</f>
        <v>40521.86</v>
      </c>
      <c r="G55" s="82"/>
    </row>
    <row r="56" spans="1:7" s="30" customFormat="1" ht="14.45">
      <c r="A56" s="59"/>
      <c r="B56" s="100"/>
      <c r="C56" s="61"/>
      <c r="D56" s="62"/>
      <c r="E56" s="157"/>
      <c r="F56" s="137"/>
      <c r="G56" s="251"/>
    </row>
    <row r="57" spans="1:7" s="30" customFormat="1" ht="14.45">
      <c r="A57" s="66" t="s">
        <v>84</v>
      </c>
      <c r="B57" s="67" t="s">
        <v>1229</v>
      </c>
      <c r="C57" s="68">
        <v>14</v>
      </c>
      <c r="D57" s="69" t="s">
        <v>16</v>
      </c>
      <c r="E57" s="157">
        <v>3422.01</v>
      </c>
      <c r="F57" s="137">
        <f>C57*E57</f>
        <v>47908.14</v>
      </c>
      <c r="G57" s="68"/>
    </row>
    <row r="58" spans="1:7" s="30" customFormat="1" ht="14.45">
      <c r="A58" s="59"/>
      <c r="B58" s="100"/>
      <c r="C58" s="61"/>
      <c r="D58" s="62"/>
      <c r="E58" s="157"/>
      <c r="F58" s="137"/>
      <c r="G58" s="251"/>
    </row>
    <row r="59" spans="1:7" s="30" customFormat="1" ht="14.45">
      <c r="A59" s="66" t="s">
        <v>86</v>
      </c>
      <c r="B59" s="67" t="s">
        <v>1230</v>
      </c>
      <c r="C59" s="68">
        <v>64</v>
      </c>
      <c r="D59" s="69" t="s">
        <v>16</v>
      </c>
      <c r="E59" s="157">
        <v>767.32</v>
      </c>
      <c r="F59" s="137">
        <f>C59*E59</f>
        <v>49108.480000000003</v>
      </c>
      <c r="G59" s="68"/>
    </row>
    <row r="60" spans="1:7" s="30" customFormat="1" ht="14.45">
      <c r="A60" s="59"/>
      <c r="B60" s="100"/>
      <c r="C60" s="61"/>
      <c r="D60" s="62"/>
      <c r="E60" s="157"/>
      <c r="F60" s="137"/>
      <c r="G60" s="251"/>
    </row>
    <row r="61" spans="1:7" s="30" customFormat="1" ht="14.45">
      <c r="A61" s="66" t="s">
        <v>90</v>
      </c>
      <c r="B61" s="67" t="s">
        <v>1231</v>
      </c>
      <c r="C61" s="68">
        <v>77</v>
      </c>
      <c r="D61" s="69" t="s">
        <v>199</v>
      </c>
      <c r="E61" s="157">
        <v>350.11</v>
      </c>
      <c r="F61" s="137">
        <f>C61*E61</f>
        <v>26958.47</v>
      </c>
      <c r="G61" s="68"/>
    </row>
    <row r="62" spans="1:7" s="30" customFormat="1" ht="14.45">
      <c r="A62" s="59"/>
      <c r="B62" s="100"/>
      <c r="C62" s="61"/>
      <c r="D62" s="62"/>
      <c r="E62" s="157"/>
      <c r="F62" s="137"/>
      <c r="G62" s="251"/>
    </row>
    <row r="63" spans="1:7" s="30" customFormat="1" ht="14.45">
      <c r="A63" s="66" t="s">
        <v>92</v>
      </c>
      <c r="B63" s="67" t="s">
        <v>1232</v>
      </c>
      <c r="C63" s="68" t="s">
        <v>308</v>
      </c>
      <c r="D63" s="69" t="s">
        <v>16</v>
      </c>
      <c r="E63" s="157">
        <v>1654.18</v>
      </c>
      <c r="F63" s="137">
        <f>C63*E63</f>
        <v>19850.16</v>
      </c>
      <c r="G63" s="68"/>
    </row>
    <row r="64" spans="1:7" s="30" customFormat="1" ht="14.45">
      <c r="A64" s="59"/>
      <c r="B64" s="100"/>
      <c r="C64" s="61"/>
      <c r="D64" s="62"/>
      <c r="E64" s="157"/>
      <c r="F64" s="137"/>
      <c r="G64" s="251"/>
    </row>
    <row r="65" spans="1:7" s="30" customFormat="1" ht="14.45">
      <c r="A65" s="66" t="s">
        <v>94</v>
      </c>
      <c r="B65" s="67" t="s">
        <v>1233</v>
      </c>
      <c r="C65" s="68">
        <v>33</v>
      </c>
      <c r="D65" s="69" t="s">
        <v>16</v>
      </c>
      <c r="E65" s="157">
        <v>94.62</v>
      </c>
      <c r="F65" s="137">
        <f>C65*E65</f>
        <v>3122.46</v>
      </c>
      <c r="G65" s="68"/>
    </row>
    <row r="66" spans="1:7" s="30" customFormat="1" ht="14.45">
      <c r="A66" s="59"/>
      <c r="B66" s="100"/>
      <c r="C66" s="61"/>
      <c r="D66" s="62"/>
      <c r="E66" s="157"/>
      <c r="F66" s="137"/>
      <c r="G66" s="251"/>
    </row>
    <row r="67" spans="1:7" s="30" customFormat="1" ht="14.45">
      <c r="A67" s="66" t="s">
        <v>140</v>
      </c>
      <c r="B67" s="67" t="s">
        <v>1234</v>
      </c>
      <c r="C67" s="68">
        <v>78</v>
      </c>
      <c r="D67" s="69" t="s">
        <v>16</v>
      </c>
      <c r="E67" s="157">
        <v>126.16</v>
      </c>
      <c r="F67" s="137">
        <f>C67*E67</f>
        <v>9840.48</v>
      </c>
      <c r="G67" s="68"/>
    </row>
    <row r="68" spans="1:7" s="30" customFormat="1" ht="14.45">
      <c r="A68" s="59"/>
      <c r="B68" s="100"/>
      <c r="C68" s="61"/>
      <c r="D68" s="62"/>
      <c r="E68" s="157"/>
      <c r="F68" s="137"/>
      <c r="G68" s="251"/>
    </row>
    <row r="69" spans="1:7" s="30" customFormat="1" ht="14.45">
      <c r="A69" s="66" t="s">
        <v>159</v>
      </c>
      <c r="B69" s="67" t="s">
        <v>1235</v>
      </c>
      <c r="C69" s="68">
        <v>57</v>
      </c>
      <c r="D69" s="69" t="s">
        <v>199</v>
      </c>
      <c r="E69" s="157">
        <v>147.19</v>
      </c>
      <c r="F69" s="137">
        <f>C69*E69</f>
        <v>8389.83</v>
      </c>
      <c r="G69" s="68"/>
    </row>
    <row r="70" spans="1:7" s="30" customFormat="1" ht="14.45">
      <c r="A70" s="71"/>
      <c r="B70" s="72"/>
      <c r="C70" s="73"/>
      <c r="D70" s="74"/>
      <c r="E70" s="159"/>
      <c r="F70" s="138"/>
      <c r="G70" s="73"/>
    </row>
    <row r="71" spans="1:7" s="30" customFormat="1" ht="14.45">
      <c r="A71" s="75"/>
      <c r="B71" s="76"/>
      <c r="C71" s="77" t="s">
        <v>30</v>
      </c>
      <c r="D71" s="77"/>
      <c r="E71" s="160" t="s">
        <v>8</v>
      </c>
      <c r="F71" s="139">
        <f>SUM(F39:F69)</f>
        <v>1810084.5899999996</v>
      </c>
      <c r="G71" s="77"/>
    </row>
    <row r="72" spans="1:7" s="30" customFormat="1" ht="14.45">
      <c r="A72" s="75"/>
      <c r="B72" s="76"/>
      <c r="C72" s="78"/>
      <c r="D72" s="79"/>
      <c r="E72" s="161"/>
      <c r="F72" s="140"/>
      <c r="G72" s="78"/>
    </row>
    <row r="73" spans="1:7" s="30" customFormat="1" ht="14.45">
      <c r="A73" s="59"/>
      <c r="B73" s="63"/>
      <c r="C73" s="61"/>
      <c r="D73" s="62"/>
      <c r="E73" s="157"/>
      <c r="F73" s="137"/>
      <c r="G73" s="251"/>
    </row>
    <row r="74" spans="1:7" s="30" customFormat="1" ht="14.45">
      <c r="A74" s="59"/>
      <c r="B74" s="64" t="s">
        <v>1219</v>
      </c>
      <c r="C74" s="61"/>
      <c r="D74" s="62"/>
      <c r="E74" s="157"/>
      <c r="F74" s="137"/>
      <c r="G74" s="251"/>
    </row>
    <row r="75" spans="1:7" s="30" customFormat="1" ht="14.45">
      <c r="A75" s="59"/>
      <c r="B75" s="100"/>
      <c r="C75" s="61"/>
      <c r="D75" s="62"/>
      <c r="E75" s="157"/>
      <c r="F75" s="137"/>
      <c r="G75" s="251"/>
    </row>
    <row r="76" spans="1:7" s="30" customFormat="1" ht="14.45">
      <c r="A76" s="66" t="s">
        <v>14</v>
      </c>
      <c r="B76" s="67" t="s">
        <v>1236</v>
      </c>
      <c r="C76" s="68">
        <v>33</v>
      </c>
      <c r="D76" s="69" t="s">
        <v>16</v>
      </c>
      <c r="E76" s="157">
        <v>15.51</v>
      </c>
      <c r="F76" s="137">
        <f>C76*E76</f>
        <v>511.83</v>
      </c>
      <c r="G76" s="68"/>
    </row>
    <row r="77" spans="1:7" s="30" customFormat="1" ht="14.45">
      <c r="A77" s="59"/>
      <c r="B77" s="100"/>
      <c r="C77" s="61"/>
      <c r="D77" s="62"/>
      <c r="E77" s="157"/>
      <c r="F77" s="137"/>
      <c r="G77" s="251"/>
    </row>
    <row r="78" spans="1:7" s="30" customFormat="1" ht="41.45">
      <c r="A78" s="66"/>
      <c r="B78" s="98" t="s">
        <v>1237</v>
      </c>
      <c r="C78" s="68"/>
      <c r="D78" s="69"/>
      <c r="E78" s="157"/>
      <c r="F78" s="137"/>
      <c r="G78" s="68"/>
    </row>
    <row r="79" spans="1:7" s="30" customFormat="1" ht="14.45">
      <c r="A79" s="59"/>
      <c r="B79" s="100"/>
      <c r="C79" s="61"/>
      <c r="D79" s="62"/>
      <c r="E79" s="157"/>
      <c r="F79" s="137"/>
      <c r="G79" s="251"/>
    </row>
    <row r="80" spans="1:7" s="30" customFormat="1" ht="14.45">
      <c r="A80" s="66" t="s">
        <v>17</v>
      </c>
      <c r="B80" s="67" t="s">
        <v>1238</v>
      </c>
      <c r="C80" s="68" t="s">
        <v>312</v>
      </c>
      <c r="D80" s="69" t="s">
        <v>16</v>
      </c>
      <c r="E80" s="157">
        <v>220.27</v>
      </c>
      <c r="F80" s="137">
        <f>C80*E80</f>
        <v>2863.51</v>
      </c>
      <c r="G80" s="243" t="s">
        <v>344</v>
      </c>
    </row>
    <row r="81" spans="1:7" s="30" customFormat="1" ht="14.45">
      <c r="A81" s="59"/>
      <c r="B81" s="100"/>
      <c r="C81" s="61"/>
      <c r="D81" s="62"/>
      <c r="E81" s="157"/>
      <c r="F81" s="137"/>
      <c r="G81" s="251"/>
    </row>
    <row r="82" spans="1:7" s="30" customFormat="1" ht="14.45">
      <c r="A82" s="66" t="s">
        <v>20</v>
      </c>
      <c r="B82" s="67" t="s">
        <v>1239</v>
      </c>
      <c r="C82" s="68" t="s">
        <v>1240</v>
      </c>
      <c r="D82" s="69" t="s">
        <v>16</v>
      </c>
      <c r="E82" s="157">
        <v>2439.4499999999998</v>
      </c>
      <c r="F82" s="137">
        <f>C82*E82</f>
        <v>78062.399999999994</v>
      </c>
      <c r="G82" s="68"/>
    </row>
    <row r="83" spans="1:7" s="30" customFormat="1" ht="14.45">
      <c r="A83" s="59"/>
      <c r="B83" s="100"/>
      <c r="C83" s="61"/>
      <c r="D83" s="62"/>
      <c r="E83" s="157"/>
      <c r="F83" s="137"/>
      <c r="G83" s="251"/>
    </row>
    <row r="84" spans="1:7" s="30" customFormat="1" ht="14.45">
      <c r="A84" s="66" t="s">
        <v>23</v>
      </c>
      <c r="B84" s="67" t="s">
        <v>1241</v>
      </c>
      <c r="C84" s="68" t="s">
        <v>1242</v>
      </c>
      <c r="D84" s="69" t="s">
        <v>16</v>
      </c>
      <c r="E84" s="157">
        <v>2303.9299999999998</v>
      </c>
      <c r="F84" s="137">
        <f>C84*E84</f>
        <v>71421.83</v>
      </c>
      <c r="G84" s="68"/>
    </row>
    <row r="85" spans="1:7" s="30" customFormat="1" ht="14.45">
      <c r="A85" s="59"/>
      <c r="B85" s="100"/>
      <c r="C85" s="61"/>
      <c r="D85" s="62"/>
      <c r="E85" s="157"/>
      <c r="F85" s="137"/>
      <c r="G85" s="251"/>
    </row>
    <row r="86" spans="1:7" s="30" customFormat="1" ht="14.45">
      <c r="A86" s="66" t="s">
        <v>27</v>
      </c>
      <c r="B86" s="67" t="s">
        <v>1243</v>
      </c>
      <c r="C86" s="68">
        <v>25</v>
      </c>
      <c r="D86" s="69" t="s">
        <v>199</v>
      </c>
      <c r="E86" s="157">
        <v>214.58</v>
      </c>
      <c r="F86" s="137">
        <f>C86*E86</f>
        <v>5364.5</v>
      </c>
      <c r="G86" s="68"/>
    </row>
    <row r="87" spans="1:7" s="30" customFormat="1" ht="14.45">
      <c r="A87" s="59"/>
      <c r="B87" s="100"/>
      <c r="C87" s="61"/>
      <c r="D87" s="62"/>
      <c r="E87" s="157"/>
      <c r="F87" s="137"/>
      <c r="G87" s="251"/>
    </row>
    <row r="88" spans="1:7" s="91" customFormat="1" ht="14.45">
      <c r="A88" s="80" t="s">
        <v>44</v>
      </c>
      <c r="B88" s="81" t="s">
        <v>1228</v>
      </c>
      <c r="C88" s="82">
        <v>17</v>
      </c>
      <c r="D88" s="83" t="s">
        <v>199</v>
      </c>
      <c r="E88" s="158">
        <v>880.91</v>
      </c>
      <c r="F88" s="137">
        <f>C88*E88</f>
        <v>14975.47</v>
      </c>
      <c r="G88" s="82"/>
    </row>
    <row r="89" spans="1:7" s="30" customFormat="1" ht="14.45">
      <c r="A89" s="59"/>
      <c r="B89" s="100"/>
      <c r="C89" s="61"/>
      <c r="D89" s="62"/>
      <c r="E89" s="157"/>
      <c r="F89" s="137"/>
      <c r="G89" s="251"/>
    </row>
    <row r="90" spans="1:7" s="30" customFormat="1" ht="14.45">
      <c r="A90" s="66" t="s">
        <v>48</v>
      </c>
      <c r="B90" s="67" t="s">
        <v>1233</v>
      </c>
      <c r="C90" s="68">
        <v>21</v>
      </c>
      <c r="D90" s="69" t="s">
        <v>16</v>
      </c>
      <c r="E90" s="157">
        <v>94.62</v>
      </c>
      <c r="F90" s="137">
        <f>C90*E90</f>
        <v>1987.02</v>
      </c>
      <c r="G90" s="68"/>
    </row>
    <row r="91" spans="1:7" s="30" customFormat="1" ht="14.45">
      <c r="A91" s="59"/>
      <c r="B91" s="100"/>
      <c r="C91" s="61"/>
      <c r="D91" s="62"/>
      <c r="E91" s="157"/>
      <c r="F91" s="137"/>
      <c r="G91" s="251"/>
    </row>
    <row r="92" spans="1:7" s="30" customFormat="1" ht="14.45">
      <c r="A92" s="66" t="s">
        <v>84</v>
      </c>
      <c r="B92" s="67" t="s">
        <v>1234</v>
      </c>
      <c r="C92" s="68">
        <v>62</v>
      </c>
      <c r="D92" s="69" t="s">
        <v>16</v>
      </c>
      <c r="E92" s="157">
        <v>126.16</v>
      </c>
      <c r="F92" s="137">
        <f>C92*E92</f>
        <v>7821.92</v>
      </c>
      <c r="G92" s="68"/>
    </row>
    <row r="93" spans="1:7" s="30" customFormat="1" ht="14.45">
      <c r="A93" s="59"/>
      <c r="B93" s="100"/>
      <c r="C93" s="61"/>
      <c r="D93" s="62"/>
      <c r="E93" s="157"/>
      <c r="F93" s="137"/>
      <c r="G93" s="251"/>
    </row>
    <row r="94" spans="1:7" s="30" customFormat="1" ht="14.45">
      <c r="A94" s="66" t="s">
        <v>86</v>
      </c>
      <c r="B94" s="67" t="s">
        <v>1244</v>
      </c>
      <c r="C94" s="68">
        <v>21</v>
      </c>
      <c r="D94" s="69" t="s">
        <v>199</v>
      </c>
      <c r="E94" s="157">
        <v>147.19</v>
      </c>
      <c r="F94" s="137">
        <f>C94*E94</f>
        <v>3090.99</v>
      </c>
      <c r="G94" s="68"/>
    </row>
    <row r="95" spans="1:7" s="30" customFormat="1" ht="14.45">
      <c r="A95" s="59"/>
      <c r="B95" s="100"/>
      <c r="C95" s="61"/>
      <c r="D95" s="62"/>
      <c r="E95" s="157"/>
      <c r="F95" s="137"/>
      <c r="G95" s="251"/>
    </row>
    <row r="96" spans="1:7" s="30" customFormat="1" ht="14.45">
      <c r="A96" s="66" t="s">
        <v>90</v>
      </c>
      <c r="B96" s="67" t="s">
        <v>1236</v>
      </c>
      <c r="C96" s="68">
        <v>29</v>
      </c>
      <c r="D96" s="69" t="s">
        <v>16</v>
      </c>
      <c r="E96" s="157">
        <v>15.51</v>
      </c>
      <c r="F96" s="137">
        <f>C96*E96</f>
        <v>449.79</v>
      </c>
      <c r="G96" s="68"/>
    </row>
    <row r="97" spans="1:7" s="30" customFormat="1" ht="14.45">
      <c r="A97" s="59"/>
      <c r="B97" s="100"/>
      <c r="C97" s="61"/>
      <c r="D97" s="62"/>
      <c r="E97" s="157"/>
      <c r="F97" s="137"/>
      <c r="G97" s="251"/>
    </row>
    <row r="98" spans="1:7" s="30" customFormat="1" ht="14.45">
      <c r="A98" s="59"/>
      <c r="B98" s="63"/>
      <c r="C98" s="61"/>
      <c r="D98" s="62"/>
      <c r="E98" s="157"/>
      <c r="F98" s="137"/>
      <c r="G98" s="251"/>
    </row>
    <row r="99" spans="1:7" s="30" customFormat="1" ht="14.45">
      <c r="A99" s="59"/>
      <c r="B99" s="63"/>
      <c r="C99" s="61"/>
      <c r="D99" s="62"/>
      <c r="E99" s="157"/>
      <c r="F99" s="137"/>
      <c r="G99" s="251"/>
    </row>
    <row r="100" spans="1:7" s="30" customFormat="1" ht="14.45">
      <c r="A100" s="59"/>
      <c r="B100" s="63"/>
      <c r="C100" s="61"/>
      <c r="D100" s="62"/>
      <c r="E100" s="157"/>
      <c r="F100" s="137"/>
      <c r="G100" s="251"/>
    </row>
    <row r="101" spans="1:7" s="30" customFormat="1" ht="14.45">
      <c r="A101" s="59"/>
      <c r="B101" s="63"/>
      <c r="C101" s="61"/>
      <c r="D101" s="62"/>
      <c r="E101" s="157"/>
      <c r="F101" s="137"/>
      <c r="G101" s="251"/>
    </row>
    <row r="102" spans="1:7" s="30" customFormat="1" ht="14.45">
      <c r="A102" s="59"/>
      <c r="B102" s="63"/>
      <c r="C102" s="61"/>
      <c r="D102" s="62"/>
      <c r="E102" s="157"/>
      <c r="F102" s="137"/>
      <c r="G102" s="251"/>
    </row>
    <row r="103" spans="1:7" s="30" customFormat="1" ht="14.45">
      <c r="A103" s="59"/>
      <c r="B103" s="63"/>
      <c r="C103" s="61"/>
      <c r="D103" s="62"/>
      <c r="E103" s="157"/>
      <c r="F103" s="137"/>
      <c r="G103" s="251"/>
    </row>
    <row r="104" spans="1:7" s="30" customFormat="1" ht="14.45">
      <c r="A104" s="59"/>
      <c r="B104" s="63"/>
      <c r="C104" s="61"/>
      <c r="D104" s="62"/>
      <c r="E104" s="157"/>
      <c r="F104" s="137"/>
      <c r="G104" s="251"/>
    </row>
    <row r="105" spans="1:7" s="30" customFormat="1" ht="14.45">
      <c r="A105" s="59"/>
      <c r="B105" s="63"/>
      <c r="C105" s="61"/>
      <c r="D105" s="62"/>
      <c r="E105" s="157"/>
      <c r="F105" s="137"/>
      <c r="G105" s="251"/>
    </row>
    <row r="106" spans="1:7" s="30" customFormat="1" ht="14.45">
      <c r="A106" s="59"/>
      <c r="B106" s="63"/>
      <c r="C106" s="61"/>
      <c r="D106" s="62"/>
      <c r="E106" s="157"/>
      <c r="F106" s="137"/>
      <c r="G106" s="251"/>
    </row>
    <row r="107" spans="1:7" s="30" customFormat="1" ht="14.45">
      <c r="A107" s="59"/>
      <c r="B107" s="63"/>
      <c r="C107" s="61"/>
      <c r="D107" s="62"/>
      <c r="E107" s="157"/>
      <c r="F107" s="137"/>
      <c r="G107" s="251"/>
    </row>
    <row r="108" spans="1:7" s="30" customFormat="1" ht="14.45">
      <c r="A108" s="59"/>
      <c r="B108" s="63"/>
      <c r="C108" s="61"/>
      <c r="D108" s="62"/>
      <c r="E108" s="157"/>
      <c r="F108" s="137"/>
      <c r="G108" s="251"/>
    </row>
    <row r="109" spans="1:7" s="30" customFormat="1" ht="14.45">
      <c r="A109" s="59"/>
      <c r="B109" s="63"/>
      <c r="C109" s="61"/>
      <c r="D109" s="62"/>
      <c r="E109" s="157"/>
      <c r="F109" s="137"/>
      <c r="G109" s="251"/>
    </row>
    <row r="110" spans="1:7" s="30" customFormat="1" ht="14.45">
      <c r="A110" s="59"/>
      <c r="B110" s="63"/>
      <c r="C110" s="61"/>
      <c r="D110" s="62"/>
      <c r="E110" s="157"/>
      <c r="F110" s="137"/>
      <c r="G110" s="251"/>
    </row>
    <row r="111" spans="1:7" s="30" customFormat="1" ht="14.45">
      <c r="A111" s="59"/>
      <c r="B111" s="63"/>
      <c r="C111" s="61"/>
      <c r="D111" s="62"/>
      <c r="E111" s="157"/>
      <c r="F111" s="137"/>
      <c r="G111" s="251"/>
    </row>
    <row r="112" spans="1:7" s="30" customFormat="1" ht="14.45">
      <c r="A112" s="59"/>
      <c r="B112" s="63"/>
      <c r="C112" s="61"/>
      <c r="D112" s="62"/>
      <c r="E112" s="157"/>
      <c r="F112" s="137"/>
      <c r="G112" s="251"/>
    </row>
    <row r="113" spans="1:7" s="30" customFormat="1" ht="14.45">
      <c r="A113" s="59"/>
      <c r="B113" s="63"/>
      <c r="C113" s="61"/>
      <c r="D113" s="62"/>
      <c r="E113" s="157"/>
      <c r="F113" s="137"/>
      <c r="G113" s="251"/>
    </row>
    <row r="114" spans="1:7" s="30" customFormat="1" ht="14.45">
      <c r="A114" s="59"/>
      <c r="B114" s="63"/>
      <c r="C114" s="61"/>
      <c r="D114" s="62"/>
      <c r="E114" s="157"/>
      <c r="F114" s="137"/>
      <c r="G114" s="251"/>
    </row>
    <row r="115" spans="1:7" s="30" customFormat="1" ht="14.45">
      <c r="A115" s="59"/>
      <c r="B115" s="63"/>
      <c r="C115" s="61"/>
      <c r="D115" s="62"/>
      <c r="E115" s="157"/>
      <c r="F115" s="137"/>
      <c r="G115" s="251"/>
    </row>
    <row r="116" spans="1:7" s="30" customFormat="1" ht="14.45">
      <c r="A116" s="71"/>
      <c r="B116" s="72"/>
      <c r="C116" s="73"/>
      <c r="D116" s="74"/>
      <c r="E116" s="159"/>
      <c r="F116" s="138"/>
      <c r="G116" s="73"/>
    </row>
    <row r="117" spans="1:7" s="30" customFormat="1" ht="14.45">
      <c r="A117" s="75"/>
      <c r="B117" s="76"/>
      <c r="C117" s="77" t="s">
        <v>30</v>
      </c>
      <c r="D117" s="77"/>
      <c r="E117" s="160" t="s">
        <v>8</v>
      </c>
      <c r="F117" s="139">
        <f>SUM(F75:F100)</f>
        <v>186549.26</v>
      </c>
      <c r="G117" s="77"/>
    </row>
    <row r="118" spans="1:7" s="30" customFormat="1" ht="14.45">
      <c r="A118" s="75"/>
      <c r="B118" s="76"/>
      <c r="C118" s="78"/>
      <c r="D118" s="79"/>
      <c r="E118" s="161"/>
      <c r="F118" s="140"/>
      <c r="G118" s="78"/>
    </row>
    <row r="119" spans="1:7" s="30" customFormat="1" ht="14.45">
      <c r="A119" s="59"/>
      <c r="B119" s="63"/>
      <c r="C119" s="61"/>
      <c r="D119" s="62"/>
      <c r="E119" s="157"/>
      <c r="F119" s="137"/>
      <c r="G119" s="251"/>
    </row>
    <row r="120" spans="1:7" s="30" customFormat="1" ht="14.45">
      <c r="A120" s="59"/>
      <c r="B120" s="64" t="s">
        <v>1245</v>
      </c>
      <c r="C120" s="61"/>
      <c r="D120" s="62"/>
      <c r="E120" s="157"/>
      <c r="F120" s="137"/>
      <c r="G120" s="251"/>
    </row>
    <row r="121" spans="1:7" s="30" customFormat="1" ht="14.45">
      <c r="A121" s="59"/>
      <c r="B121" s="100"/>
      <c r="C121" s="61"/>
      <c r="D121" s="62"/>
      <c r="E121" s="157"/>
      <c r="F121" s="137"/>
      <c r="G121" s="251"/>
    </row>
    <row r="122" spans="1:7" s="30" customFormat="1" ht="14.45">
      <c r="A122" s="66"/>
      <c r="B122" s="99" t="s">
        <v>52</v>
      </c>
      <c r="C122" s="68"/>
      <c r="D122" s="69"/>
      <c r="E122" s="157"/>
      <c r="F122" s="137"/>
      <c r="G122" s="68"/>
    </row>
    <row r="123" spans="1:7" s="30" customFormat="1" ht="14.45">
      <c r="A123" s="59"/>
      <c r="B123" s="100"/>
      <c r="C123" s="61"/>
      <c r="D123" s="62"/>
      <c r="E123" s="157"/>
      <c r="F123" s="137"/>
      <c r="G123" s="251"/>
    </row>
    <row r="124" spans="1:7" s="30" customFormat="1" ht="14.45">
      <c r="A124" s="66"/>
      <c r="B124" s="99" t="s">
        <v>1246</v>
      </c>
      <c r="C124" s="68"/>
      <c r="D124" s="69"/>
      <c r="E124" s="157"/>
      <c r="F124" s="137"/>
      <c r="G124" s="68"/>
    </row>
    <row r="125" spans="1:7" s="30" customFormat="1" ht="14.45">
      <c r="A125" s="59"/>
      <c r="B125" s="100"/>
      <c r="C125" s="61"/>
      <c r="D125" s="62"/>
      <c r="E125" s="157"/>
      <c r="F125" s="137"/>
      <c r="G125" s="251"/>
    </row>
    <row r="126" spans="1:7" s="30" customFormat="1" ht="96.6">
      <c r="A126" s="66"/>
      <c r="B126" s="98" t="s">
        <v>1247</v>
      </c>
      <c r="C126" s="68"/>
      <c r="D126" s="69"/>
      <c r="E126" s="157"/>
      <c r="F126" s="137"/>
      <c r="G126" s="68"/>
    </row>
    <row r="127" spans="1:7" s="30" customFormat="1" ht="14.45">
      <c r="A127" s="59"/>
      <c r="B127" s="100"/>
      <c r="C127" s="61"/>
      <c r="D127" s="62"/>
      <c r="E127" s="157"/>
      <c r="F127" s="137"/>
      <c r="G127" s="251"/>
    </row>
    <row r="128" spans="1:7" s="30" customFormat="1" ht="27.6">
      <c r="A128" s="66" t="s">
        <v>14</v>
      </c>
      <c r="B128" s="67" t="s">
        <v>1248</v>
      </c>
      <c r="C128" s="68" t="s">
        <v>152</v>
      </c>
      <c r="D128" s="69" t="s">
        <v>63</v>
      </c>
      <c r="E128" s="157">
        <v>405303.7</v>
      </c>
      <c r="F128" s="137">
        <f>C128*E128</f>
        <v>810607.4</v>
      </c>
      <c r="G128" s="68"/>
    </row>
    <row r="129" spans="1:7" s="30" customFormat="1" ht="14.45">
      <c r="A129" s="59"/>
      <c r="B129" s="100"/>
      <c r="C129" s="61"/>
      <c r="D129" s="62"/>
      <c r="E129" s="157"/>
      <c r="F129" s="137"/>
      <c r="G129" s="251"/>
    </row>
    <row r="130" spans="1:7" s="30" customFormat="1" ht="27.6">
      <c r="A130" s="66" t="s">
        <v>17</v>
      </c>
      <c r="B130" s="67" t="s">
        <v>1249</v>
      </c>
      <c r="C130" s="68" t="s">
        <v>152</v>
      </c>
      <c r="D130" s="69" t="s">
        <v>63</v>
      </c>
      <c r="E130" s="157">
        <v>372617.92</v>
      </c>
      <c r="F130" s="137">
        <f>C130*E130</f>
        <v>745235.84</v>
      </c>
      <c r="G130" s="68"/>
    </row>
    <row r="131" spans="1:7" s="30" customFormat="1" ht="14.45">
      <c r="A131" s="59"/>
      <c r="B131" s="100"/>
      <c r="C131" s="61"/>
      <c r="D131" s="62"/>
      <c r="E131" s="157"/>
      <c r="F131" s="137"/>
      <c r="G131" s="251"/>
    </row>
    <row r="132" spans="1:7" s="30" customFormat="1" ht="27.6">
      <c r="A132" s="66" t="s">
        <v>20</v>
      </c>
      <c r="B132" s="67" t="s">
        <v>1250</v>
      </c>
      <c r="C132" s="68" t="s">
        <v>152</v>
      </c>
      <c r="D132" s="69" t="s">
        <v>63</v>
      </c>
      <c r="E132" s="157">
        <v>405303.7</v>
      </c>
      <c r="F132" s="137">
        <f>C132*E132</f>
        <v>810607.4</v>
      </c>
      <c r="G132" s="68"/>
    </row>
    <row r="133" spans="1:7" s="30" customFormat="1" ht="14.45">
      <c r="A133" s="59"/>
      <c r="B133" s="100"/>
      <c r="C133" s="61"/>
      <c r="D133" s="62"/>
      <c r="E133" s="157"/>
      <c r="F133" s="137"/>
      <c r="G133" s="251"/>
    </row>
    <row r="134" spans="1:7" s="30" customFormat="1" ht="27.6">
      <c r="A134" s="66" t="s">
        <v>23</v>
      </c>
      <c r="B134" s="67" t="s">
        <v>1251</v>
      </c>
      <c r="C134" s="68" t="s">
        <v>152</v>
      </c>
      <c r="D134" s="69" t="s">
        <v>63</v>
      </c>
      <c r="E134" s="157">
        <v>372617.92</v>
      </c>
      <c r="F134" s="137">
        <f>C134*E134</f>
        <v>745235.84</v>
      </c>
      <c r="G134" s="68"/>
    </row>
    <row r="135" spans="1:7" s="30" customFormat="1" ht="14.45">
      <c r="A135" s="59"/>
      <c r="B135" s="100"/>
      <c r="C135" s="61"/>
      <c r="D135" s="62"/>
      <c r="E135" s="157"/>
      <c r="F135" s="137"/>
      <c r="G135" s="251"/>
    </row>
    <row r="136" spans="1:7" s="30" customFormat="1" ht="110.45">
      <c r="A136" s="66"/>
      <c r="B136" s="98" t="s">
        <v>1252</v>
      </c>
      <c r="C136" s="68"/>
      <c r="D136" s="69"/>
      <c r="E136" s="157"/>
      <c r="F136" s="137"/>
      <c r="G136" s="68"/>
    </row>
    <row r="137" spans="1:7" s="30" customFormat="1" ht="14.45">
      <c r="A137" s="59"/>
      <c r="B137" s="100"/>
      <c r="C137" s="61"/>
      <c r="D137" s="62"/>
      <c r="E137" s="157"/>
      <c r="F137" s="137"/>
      <c r="G137" s="251"/>
    </row>
    <row r="138" spans="1:7" s="30" customFormat="1" ht="27.6">
      <c r="A138" s="66" t="s">
        <v>27</v>
      </c>
      <c r="B138" s="67" t="s">
        <v>1253</v>
      </c>
      <c r="C138" s="68" t="s">
        <v>152</v>
      </c>
      <c r="D138" s="69" t="s">
        <v>63</v>
      </c>
      <c r="E138" s="157">
        <v>333394.98</v>
      </c>
      <c r="F138" s="137">
        <f>C138*E138</f>
        <v>666789.96</v>
      </c>
      <c r="G138" s="68"/>
    </row>
    <row r="139" spans="1:7" s="30" customFormat="1" ht="14.45">
      <c r="A139" s="59"/>
      <c r="B139" s="63"/>
      <c r="C139" s="61"/>
      <c r="D139" s="62"/>
      <c r="E139" s="157"/>
      <c r="F139" s="137"/>
      <c r="G139" s="251"/>
    </row>
    <row r="140" spans="1:7" s="30" customFormat="1" ht="14.45">
      <c r="A140" s="59"/>
      <c r="B140" s="63"/>
      <c r="C140" s="61"/>
      <c r="D140" s="62"/>
      <c r="E140" s="157"/>
      <c r="F140" s="137"/>
      <c r="G140" s="251"/>
    </row>
    <row r="141" spans="1:7" s="30" customFormat="1" ht="14.45">
      <c r="A141" s="59"/>
      <c r="B141" s="63"/>
      <c r="C141" s="61"/>
      <c r="D141" s="62"/>
      <c r="E141" s="157"/>
      <c r="F141" s="137"/>
      <c r="G141" s="251"/>
    </row>
    <row r="142" spans="1:7" s="30" customFormat="1" ht="14.45">
      <c r="A142" s="59"/>
      <c r="B142" s="63"/>
      <c r="C142" s="61"/>
      <c r="D142" s="62"/>
      <c r="E142" s="157"/>
      <c r="F142" s="137"/>
      <c r="G142" s="251"/>
    </row>
    <row r="143" spans="1:7" s="30" customFormat="1" ht="14.45">
      <c r="A143" s="59"/>
      <c r="B143" s="63"/>
      <c r="C143" s="61"/>
      <c r="D143" s="62"/>
      <c r="E143" s="157"/>
      <c r="F143" s="137"/>
      <c r="G143" s="251"/>
    </row>
    <row r="144" spans="1:7" s="30" customFormat="1" ht="14.45">
      <c r="A144" s="59"/>
      <c r="B144" s="63"/>
      <c r="C144" s="61"/>
      <c r="D144" s="62"/>
      <c r="E144" s="157"/>
      <c r="F144" s="137"/>
      <c r="G144" s="251"/>
    </row>
    <row r="145" spans="1:7" s="30" customFormat="1" ht="14.45">
      <c r="A145" s="59"/>
      <c r="B145" s="63"/>
      <c r="C145" s="61"/>
      <c r="D145" s="62"/>
      <c r="E145" s="157"/>
      <c r="F145" s="137"/>
      <c r="G145" s="251"/>
    </row>
    <row r="146" spans="1:7" s="30" customFormat="1" ht="14.45">
      <c r="A146" s="59"/>
      <c r="B146" s="63"/>
      <c r="C146" s="61"/>
      <c r="D146" s="62"/>
      <c r="E146" s="157"/>
      <c r="F146" s="137"/>
      <c r="G146" s="251"/>
    </row>
    <row r="147" spans="1:7" s="30" customFormat="1" ht="14.45">
      <c r="A147" s="71"/>
      <c r="B147" s="72"/>
      <c r="C147" s="73"/>
      <c r="D147" s="74"/>
      <c r="E147" s="159"/>
      <c r="F147" s="138"/>
      <c r="G147" s="73"/>
    </row>
    <row r="148" spans="1:7" s="30" customFormat="1" ht="14.45">
      <c r="A148" s="75"/>
      <c r="B148" s="76"/>
      <c r="C148" s="77" t="s">
        <v>30</v>
      </c>
      <c r="D148" s="77"/>
      <c r="E148" s="160" t="s">
        <v>8</v>
      </c>
      <c r="F148" s="139">
        <f>SUM(F126:F143)</f>
        <v>3778476.44</v>
      </c>
      <c r="G148" s="77"/>
    </row>
    <row r="149" spans="1:7" s="30" customFormat="1" ht="14.45">
      <c r="A149" s="75"/>
      <c r="B149" s="76"/>
      <c r="C149" s="78"/>
      <c r="D149" s="79"/>
      <c r="E149" s="161"/>
      <c r="F149" s="140"/>
      <c r="G149" s="78"/>
    </row>
    <row r="150" spans="1:7" s="30" customFormat="1" ht="14.45">
      <c r="A150" s="59"/>
      <c r="B150" s="63"/>
      <c r="C150" s="61"/>
      <c r="D150" s="62"/>
      <c r="E150" s="157"/>
      <c r="F150" s="137"/>
      <c r="G150" s="251"/>
    </row>
    <row r="151" spans="1:7" s="30" customFormat="1" ht="14.45">
      <c r="A151" s="59"/>
      <c r="B151" s="64" t="s">
        <v>1254</v>
      </c>
      <c r="C151" s="61"/>
      <c r="D151" s="62"/>
      <c r="E151" s="157"/>
      <c r="F151" s="137"/>
      <c r="G151" s="251"/>
    </row>
    <row r="152" spans="1:7" s="30" customFormat="1" ht="14.45">
      <c r="A152" s="59"/>
      <c r="B152" s="100"/>
      <c r="C152" s="61"/>
      <c r="D152" s="62"/>
      <c r="E152" s="157"/>
      <c r="F152" s="137"/>
      <c r="G152" s="251"/>
    </row>
    <row r="153" spans="1:7" s="30" customFormat="1" ht="14.45">
      <c r="A153" s="66"/>
      <c r="B153" s="99" t="s">
        <v>52</v>
      </c>
      <c r="C153" s="68"/>
      <c r="D153" s="69"/>
      <c r="E153" s="157"/>
      <c r="F153" s="137"/>
      <c r="G153" s="68"/>
    </row>
    <row r="154" spans="1:7" s="30" customFormat="1" ht="14.45">
      <c r="A154" s="59"/>
      <c r="B154" s="100"/>
      <c r="C154" s="61"/>
      <c r="D154" s="62"/>
      <c r="E154" s="157"/>
      <c r="F154" s="137"/>
      <c r="G154" s="251"/>
    </row>
    <row r="155" spans="1:7" s="30" customFormat="1" ht="14.45">
      <c r="A155" s="66"/>
      <c r="B155" s="99" t="s">
        <v>1255</v>
      </c>
      <c r="C155" s="68"/>
      <c r="D155" s="69"/>
      <c r="E155" s="157"/>
      <c r="F155" s="137"/>
      <c r="G155" s="68"/>
    </row>
    <row r="156" spans="1:7" s="30" customFormat="1" ht="14.45">
      <c r="A156" s="59"/>
      <c r="B156" s="100"/>
      <c r="C156" s="61"/>
      <c r="D156" s="62"/>
      <c r="E156" s="157"/>
      <c r="F156" s="137"/>
      <c r="G156" s="251"/>
    </row>
    <row r="157" spans="1:7" s="30" customFormat="1" ht="27.6">
      <c r="A157" s="66"/>
      <c r="B157" s="99" t="s">
        <v>1256</v>
      </c>
      <c r="C157" s="68"/>
      <c r="D157" s="69"/>
      <c r="E157" s="157"/>
      <c r="F157" s="137"/>
      <c r="G157" s="68"/>
    </row>
    <row r="158" spans="1:7" s="30" customFormat="1" ht="14.45">
      <c r="A158" s="59"/>
      <c r="B158" s="100"/>
      <c r="C158" s="61"/>
      <c r="D158" s="62"/>
      <c r="E158" s="157"/>
      <c r="F158" s="137"/>
      <c r="G158" s="251"/>
    </row>
    <row r="159" spans="1:7" s="30" customFormat="1" ht="82.9">
      <c r="A159" s="66"/>
      <c r="B159" s="98" t="s">
        <v>1257</v>
      </c>
      <c r="C159" s="68"/>
      <c r="D159" s="69"/>
      <c r="E159" s="157"/>
      <c r="F159" s="137"/>
      <c r="G159" s="68"/>
    </row>
    <row r="160" spans="1:7" s="30" customFormat="1" ht="14.45">
      <c r="A160" s="59"/>
      <c r="B160" s="100"/>
      <c r="C160" s="61"/>
      <c r="D160" s="62"/>
      <c r="E160" s="157"/>
      <c r="F160" s="137"/>
      <c r="G160" s="251"/>
    </row>
    <row r="161" spans="1:7" s="30" customFormat="1" ht="14.45">
      <c r="A161" s="66" t="s">
        <v>14</v>
      </c>
      <c r="B161" s="67" t="s">
        <v>1258</v>
      </c>
      <c r="C161" s="68" t="s">
        <v>312</v>
      </c>
      <c r="D161" s="69" t="s">
        <v>63</v>
      </c>
      <c r="E161" s="157">
        <v>23746.53</v>
      </c>
      <c r="F161" s="137">
        <f>C161*E161</f>
        <v>308704.89</v>
      </c>
      <c r="G161" s="68"/>
    </row>
    <row r="162" spans="1:7" s="30" customFormat="1" ht="14.45">
      <c r="A162" s="59"/>
      <c r="B162" s="63"/>
      <c r="C162" s="61"/>
      <c r="D162" s="62"/>
      <c r="E162" s="157"/>
      <c r="F162" s="137"/>
      <c r="G162" s="251"/>
    </row>
    <row r="163" spans="1:7" s="30" customFormat="1" ht="14.45">
      <c r="A163" s="59"/>
      <c r="B163" s="63"/>
      <c r="C163" s="61"/>
      <c r="D163" s="62"/>
      <c r="E163" s="157"/>
      <c r="F163" s="137"/>
      <c r="G163" s="251"/>
    </row>
    <row r="164" spans="1:7" s="30" customFormat="1" ht="14.45">
      <c r="A164" s="59"/>
      <c r="B164" s="63"/>
      <c r="C164" s="61"/>
      <c r="D164" s="62"/>
      <c r="E164" s="157"/>
      <c r="F164" s="137"/>
      <c r="G164" s="251"/>
    </row>
    <row r="165" spans="1:7" s="30" customFormat="1" ht="14.45">
      <c r="A165" s="59"/>
      <c r="B165" s="63"/>
      <c r="C165" s="61"/>
      <c r="D165" s="62"/>
      <c r="E165" s="157"/>
      <c r="F165" s="137"/>
      <c r="G165" s="251"/>
    </row>
    <row r="166" spans="1:7" s="30" customFormat="1" ht="14.45">
      <c r="A166" s="59"/>
      <c r="B166" s="63"/>
      <c r="C166" s="61"/>
      <c r="D166" s="62"/>
      <c r="E166" s="157"/>
      <c r="F166" s="137"/>
      <c r="G166" s="251"/>
    </row>
    <row r="167" spans="1:7" s="30" customFormat="1" ht="14.45">
      <c r="A167" s="59"/>
      <c r="B167" s="63"/>
      <c r="C167" s="61"/>
      <c r="D167" s="62"/>
      <c r="E167" s="157"/>
      <c r="F167" s="137"/>
      <c r="G167" s="251"/>
    </row>
    <row r="168" spans="1:7" s="30" customFormat="1" ht="14.45">
      <c r="A168" s="59"/>
      <c r="B168" s="63"/>
      <c r="C168" s="61"/>
      <c r="D168" s="62"/>
      <c r="E168" s="157"/>
      <c r="F168" s="137"/>
      <c r="G168" s="251"/>
    </row>
    <row r="169" spans="1:7" s="30" customFormat="1" ht="14.45">
      <c r="A169" s="59"/>
      <c r="B169" s="63"/>
      <c r="C169" s="61"/>
      <c r="D169" s="62"/>
      <c r="E169" s="157"/>
      <c r="F169" s="137"/>
      <c r="G169" s="251"/>
    </row>
    <row r="170" spans="1:7" s="30" customFormat="1" ht="14.45">
      <c r="A170" s="59"/>
      <c r="B170" s="63"/>
      <c r="C170" s="61"/>
      <c r="D170" s="62"/>
      <c r="E170" s="157"/>
      <c r="F170" s="137"/>
      <c r="G170" s="251"/>
    </row>
    <row r="171" spans="1:7" s="30" customFormat="1" ht="14.45">
      <c r="A171" s="59"/>
      <c r="B171" s="63"/>
      <c r="C171" s="61"/>
      <c r="D171" s="62"/>
      <c r="E171" s="157"/>
      <c r="F171" s="137"/>
      <c r="G171" s="251"/>
    </row>
    <row r="172" spans="1:7" s="30" customFormat="1" ht="14.45">
      <c r="A172" s="59"/>
      <c r="B172" s="63"/>
      <c r="C172" s="61"/>
      <c r="D172" s="62"/>
      <c r="E172" s="157"/>
      <c r="F172" s="137"/>
      <c r="G172" s="251"/>
    </row>
    <row r="173" spans="1:7" s="30" customFormat="1" ht="14.45">
      <c r="A173" s="59"/>
      <c r="B173" s="63"/>
      <c r="C173" s="61"/>
      <c r="D173" s="62"/>
      <c r="E173" s="157"/>
      <c r="F173" s="137"/>
      <c r="G173" s="251"/>
    </row>
    <row r="174" spans="1:7" s="30" customFormat="1" ht="14.45">
      <c r="A174" s="59"/>
      <c r="B174" s="63"/>
      <c r="C174" s="61"/>
      <c r="D174" s="62"/>
      <c r="E174" s="157"/>
      <c r="F174" s="137"/>
      <c r="G174" s="251"/>
    </row>
    <row r="175" spans="1:7" s="30" customFormat="1" ht="14.45">
      <c r="A175" s="59"/>
      <c r="B175" s="63"/>
      <c r="C175" s="61"/>
      <c r="D175" s="62"/>
      <c r="E175" s="157"/>
      <c r="F175" s="137"/>
      <c r="G175" s="251"/>
    </row>
    <row r="176" spans="1:7" s="30" customFormat="1" ht="14.45">
      <c r="A176" s="59"/>
      <c r="B176" s="63"/>
      <c r="C176" s="61"/>
      <c r="D176" s="62"/>
      <c r="E176" s="157"/>
      <c r="F176" s="137"/>
      <c r="G176" s="251"/>
    </row>
    <row r="177" spans="1:7" s="30" customFormat="1" ht="14.45">
      <c r="A177" s="59"/>
      <c r="B177" s="63"/>
      <c r="C177" s="61"/>
      <c r="D177" s="62"/>
      <c r="E177" s="157"/>
      <c r="F177" s="137"/>
      <c r="G177" s="251"/>
    </row>
    <row r="178" spans="1:7" s="30" customFormat="1" ht="14.45">
      <c r="A178" s="59"/>
      <c r="B178" s="63"/>
      <c r="C178" s="61"/>
      <c r="D178" s="62"/>
      <c r="E178" s="157"/>
      <c r="F178" s="137"/>
      <c r="G178" s="251"/>
    </row>
    <row r="179" spans="1:7" s="30" customFormat="1" ht="14.45">
      <c r="A179" s="59"/>
      <c r="B179" s="63"/>
      <c r="C179" s="61"/>
      <c r="D179" s="62"/>
      <c r="E179" s="157"/>
      <c r="F179" s="137"/>
      <c r="G179" s="251"/>
    </row>
    <row r="180" spans="1:7" s="30" customFormat="1" ht="14.45">
      <c r="A180" s="59"/>
      <c r="B180" s="63"/>
      <c r="C180" s="61"/>
      <c r="D180" s="62"/>
      <c r="E180" s="157"/>
      <c r="F180" s="137"/>
      <c r="G180" s="251"/>
    </row>
    <row r="181" spans="1:7" s="30" customFormat="1" ht="14.45">
      <c r="A181" s="59"/>
      <c r="B181" s="63"/>
      <c r="C181" s="61"/>
      <c r="D181" s="62"/>
      <c r="E181" s="157"/>
      <c r="F181" s="137"/>
      <c r="G181" s="251"/>
    </row>
    <row r="182" spans="1:7" s="30" customFormat="1" ht="14.45">
      <c r="A182" s="59"/>
      <c r="B182" s="63"/>
      <c r="C182" s="61"/>
      <c r="D182" s="62"/>
      <c r="E182" s="157"/>
      <c r="F182" s="137"/>
      <c r="G182" s="251"/>
    </row>
    <row r="183" spans="1:7" s="30" customFormat="1" ht="14.45">
      <c r="A183" s="59"/>
      <c r="B183" s="63"/>
      <c r="C183" s="61"/>
      <c r="D183" s="62"/>
      <c r="E183" s="157"/>
      <c r="F183" s="137"/>
      <c r="G183" s="251"/>
    </row>
    <row r="184" spans="1:7" s="30" customFormat="1" ht="14.45">
      <c r="A184" s="59"/>
      <c r="B184" s="63"/>
      <c r="C184" s="61"/>
      <c r="D184" s="62"/>
      <c r="E184" s="157"/>
      <c r="F184" s="137"/>
      <c r="G184" s="251"/>
    </row>
    <row r="185" spans="1:7" s="30" customFormat="1" ht="14.45">
      <c r="A185" s="59"/>
      <c r="B185" s="63"/>
      <c r="C185" s="61"/>
      <c r="D185" s="62"/>
      <c r="E185" s="157"/>
      <c r="F185" s="137"/>
      <c r="G185" s="251"/>
    </row>
    <row r="186" spans="1:7" s="30" customFormat="1" ht="14.45">
      <c r="A186" s="59"/>
      <c r="B186" s="63"/>
      <c r="C186" s="61"/>
      <c r="D186" s="62"/>
      <c r="E186" s="157"/>
      <c r="F186" s="137"/>
      <c r="G186" s="251"/>
    </row>
    <row r="187" spans="1:7" s="30" customFormat="1" ht="14.45">
      <c r="A187" s="59"/>
      <c r="B187" s="63"/>
      <c r="C187" s="61"/>
      <c r="D187" s="62"/>
      <c r="E187" s="157"/>
      <c r="F187" s="137"/>
      <c r="G187" s="251"/>
    </row>
    <row r="188" spans="1:7" s="30" customFormat="1" ht="14.45">
      <c r="A188" s="59"/>
      <c r="B188" s="63"/>
      <c r="C188" s="61"/>
      <c r="D188" s="62"/>
      <c r="E188" s="157"/>
      <c r="F188" s="137"/>
      <c r="G188" s="251"/>
    </row>
    <row r="189" spans="1:7" s="30" customFormat="1" ht="14.45">
      <c r="A189" s="71"/>
      <c r="B189" s="72"/>
      <c r="C189" s="73"/>
      <c r="D189" s="74"/>
      <c r="E189" s="159"/>
      <c r="F189" s="138"/>
      <c r="G189" s="73"/>
    </row>
    <row r="190" spans="1:7" s="30" customFormat="1" ht="14.45">
      <c r="A190" s="75"/>
      <c r="B190" s="76"/>
      <c r="C190" s="77" t="s">
        <v>30</v>
      </c>
      <c r="D190" s="77"/>
      <c r="E190" s="160" t="s">
        <v>8</v>
      </c>
      <c r="F190" s="139">
        <f>SUM(F156:F177)</f>
        <v>308704.89</v>
      </c>
      <c r="G190" s="77"/>
    </row>
    <row r="191" spans="1:7" s="30" customFormat="1" ht="14.45">
      <c r="A191" s="75"/>
      <c r="B191" s="76"/>
      <c r="C191" s="78"/>
      <c r="D191" s="79"/>
      <c r="E191" s="161"/>
      <c r="F191" s="140"/>
      <c r="G191" s="78"/>
    </row>
    <row r="192" spans="1:7" s="30" customFormat="1" ht="14.45">
      <c r="A192" s="59"/>
      <c r="B192" s="63"/>
      <c r="C192" s="61"/>
      <c r="D192" s="62"/>
      <c r="E192" s="157"/>
      <c r="F192" s="137"/>
      <c r="G192" s="251"/>
    </row>
    <row r="193" spans="1:7" s="30" customFormat="1" ht="14.45">
      <c r="A193" s="59"/>
      <c r="B193" s="64" t="s">
        <v>203</v>
      </c>
      <c r="C193" s="61"/>
      <c r="D193" s="62"/>
      <c r="E193" s="157"/>
      <c r="F193" s="137"/>
      <c r="G193" s="251"/>
    </row>
    <row r="194" spans="1:7" s="30" customFormat="1" ht="14.45">
      <c r="A194" s="59"/>
      <c r="B194" s="100"/>
      <c r="C194" s="61"/>
      <c r="D194" s="62"/>
      <c r="E194" s="157"/>
      <c r="F194" s="137"/>
      <c r="G194" s="251"/>
    </row>
    <row r="195" spans="1:7" s="30" customFormat="1" ht="27.6">
      <c r="A195" s="66" t="s">
        <v>14</v>
      </c>
      <c r="B195" s="67" t="s">
        <v>1259</v>
      </c>
      <c r="C195" s="68"/>
      <c r="D195" s="69" t="s">
        <v>215</v>
      </c>
      <c r="E195" s="157"/>
      <c r="F195" s="137" t="s">
        <v>69</v>
      </c>
      <c r="G195" s="68"/>
    </row>
    <row r="196" spans="1:7" s="30" customFormat="1" ht="14.45">
      <c r="A196" s="59"/>
      <c r="B196" s="100"/>
      <c r="C196" s="61"/>
      <c r="D196" s="62"/>
      <c r="E196" s="157"/>
      <c r="F196" s="137"/>
      <c r="G196" s="251"/>
    </row>
    <row r="197" spans="1:7" s="30" customFormat="1" ht="27.6">
      <c r="A197" s="66" t="s">
        <v>17</v>
      </c>
      <c r="B197" s="67" t="s">
        <v>1260</v>
      </c>
      <c r="C197" s="68"/>
      <c r="D197" s="69" t="s">
        <v>215</v>
      </c>
      <c r="E197" s="157"/>
      <c r="F197" s="137" t="s">
        <v>69</v>
      </c>
      <c r="G197" s="68"/>
    </row>
    <row r="198" spans="1:7" s="30" customFormat="1" ht="14.45">
      <c r="A198" s="59"/>
      <c r="B198" s="100"/>
      <c r="C198" s="61"/>
      <c r="D198" s="62"/>
      <c r="E198" s="157"/>
      <c r="F198" s="137"/>
      <c r="G198" s="251"/>
    </row>
    <row r="199" spans="1:7" s="30" customFormat="1" ht="41.45">
      <c r="A199" s="66" t="s">
        <v>20</v>
      </c>
      <c r="B199" s="67" t="s">
        <v>1261</v>
      </c>
      <c r="C199" s="68"/>
      <c r="D199" s="69" t="s">
        <v>215</v>
      </c>
      <c r="E199" s="157"/>
      <c r="F199" s="137" t="s">
        <v>69</v>
      </c>
      <c r="G199" s="68"/>
    </row>
    <row r="200" spans="1:7" s="30" customFormat="1" ht="14.45">
      <c r="A200" s="59"/>
      <c r="B200" s="100"/>
      <c r="C200" s="61"/>
      <c r="D200" s="62"/>
      <c r="E200" s="157"/>
      <c r="F200" s="137"/>
      <c r="G200" s="251"/>
    </row>
    <row r="201" spans="1:7" s="30" customFormat="1" ht="27.6">
      <c r="A201" s="66" t="s">
        <v>23</v>
      </c>
      <c r="B201" s="67" t="s">
        <v>1262</v>
      </c>
      <c r="C201" s="68"/>
      <c r="D201" s="69" t="s">
        <v>215</v>
      </c>
      <c r="E201" s="157"/>
      <c r="F201" s="137" t="s">
        <v>69</v>
      </c>
      <c r="G201" s="68"/>
    </row>
    <row r="202" spans="1:7" s="30" customFormat="1" ht="14.45">
      <c r="A202" s="59"/>
      <c r="B202" s="63"/>
      <c r="C202" s="61"/>
      <c r="D202" s="62"/>
      <c r="E202" s="157"/>
      <c r="F202" s="137"/>
      <c r="G202" s="251"/>
    </row>
    <row r="203" spans="1:7" s="30" customFormat="1" ht="14.45">
      <c r="A203" s="59"/>
      <c r="B203" s="63"/>
      <c r="C203" s="61"/>
      <c r="D203" s="62"/>
      <c r="E203" s="157"/>
      <c r="F203" s="137"/>
      <c r="G203" s="251"/>
    </row>
    <row r="204" spans="1:7" s="30" customFormat="1" ht="14.45">
      <c r="A204" s="59"/>
      <c r="B204" s="63"/>
      <c r="C204" s="61"/>
      <c r="D204" s="62"/>
      <c r="E204" s="157"/>
      <c r="F204" s="137"/>
      <c r="G204" s="251"/>
    </row>
    <row r="205" spans="1:7" s="30" customFormat="1" ht="14.45">
      <c r="A205" s="59"/>
      <c r="B205" s="63"/>
      <c r="C205" s="61"/>
      <c r="D205" s="62"/>
      <c r="E205" s="157"/>
      <c r="F205" s="137"/>
      <c r="G205" s="251"/>
    </row>
    <row r="206" spans="1:7" s="30" customFormat="1" ht="14.45">
      <c r="A206" s="59"/>
      <c r="B206" s="63"/>
      <c r="C206" s="61"/>
      <c r="D206" s="62"/>
      <c r="E206" s="157"/>
      <c r="F206" s="137"/>
      <c r="G206" s="251"/>
    </row>
    <row r="207" spans="1:7" s="30" customFormat="1" ht="14.45">
      <c r="A207" s="59"/>
      <c r="B207" s="63"/>
      <c r="C207" s="61"/>
      <c r="D207" s="62"/>
      <c r="E207" s="157"/>
      <c r="F207" s="137"/>
      <c r="G207" s="251"/>
    </row>
    <row r="208" spans="1:7" s="30" customFormat="1" ht="14.45">
      <c r="A208" s="59"/>
      <c r="B208" s="63"/>
      <c r="C208" s="61"/>
      <c r="D208" s="62"/>
      <c r="E208" s="157"/>
      <c r="F208" s="137"/>
      <c r="G208" s="251"/>
    </row>
    <row r="209" spans="1:7" s="30" customFormat="1" ht="14.45">
      <c r="A209" s="59"/>
      <c r="B209" s="63"/>
      <c r="C209" s="61"/>
      <c r="D209" s="62"/>
      <c r="E209" s="157"/>
      <c r="F209" s="137"/>
      <c r="G209" s="251"/>
    </row>
    <row r="210" spans="1:7" s="30" customFormat="1" ht="14.45">
      <c r="A210" s="59"/>
      <c r="B210" s="63"/>
      <c r="C210" s="61"/>
      <c r="D210" s="62"/>
      <c r="E210" s="157"/>
      <c r="F210" s="137"/>
      <c r="G210" s="251"/>
    </row>
    <row r="211" spans="1:7" s="30" customFormat="1" ht="14.45">
      <c r="A211" s="59"/>
      <c r="B211" s="63"/>
      <c r="C211" s="61"/>
      <c r="D211" s="62"/>
      <c r="E211" s="157"/>
      <c r="F211" s="137"/>
      <c r="G211" s="251"/>
    </row>
    <row r="212" spans="1:7" s="30" customFormat="1" ht="14.45">
      <c r="A212" s="59"/>
      <c r="B212" s="63"/>
      <c r="C212" s="61"/>
      <c r="D212" s="62"/>
      <c r="E212" s="157"/>
      <c r="F212" s="137"/>
      <c r="G212" s="251"/>
    </row>
    <row r="213" spans="1:7" s="30" customFormat="1" ht="14.45">
      <c r="A213" s="59"/>
      <c r="B213" s="63"/>
      <c r="C213" s="61"/>
      <c r="D213" s="62"/>
      <c r="E213" s="157"/>
      <c r="F213" s="137"/>
      <c r="G213" s="251"/>
    </row>
    <row r="214" spans="1:7" s="30" customFormat="1" ht="14.45">
      <c r="A214" s="59"/>
      <c r="B214" s="63"/>
      <c r="C214" s="61"/>
      <c r="D214" s="62"/>
      <c r="E214" s="157"/>
      <c r="F214" s="137"/>
      <c r="G214" s="251"/>
    </row>
    <row r="215" spans="1:7" s="30" customFormat="1" ht="14.45">
      <c r="A215" s="59"/>
      <c r="B215" s="63"/>
      <c r="C215" s="61"/>
      <c r="D215" s="62"/>
      <c r="E215" s="157"/>
      <c r="F215" s="137"/>
      <c r="G215" s="251"/>
    </row>
    <row r="216" spans="1:7" s="30" customFormat="1" ht="14.45">
      <c r="A216" s="59"/>
      <c r="B216" s="63"/>
      <c r="C216" s="61"/>
      <c r="D216" s="62"/>
      <c r="E216" s="157"/>
      <c r="F216" s="137"/>
      <c r="G216" s="251"/>
    </row>
    <row r="217" spans="1:7" s="30" customFormat="1" ht="14.45">
      <c r="A217" s="59"/>
      <c r="B217" s="63"/>
      <c r="C217" s="61"/>
      <c r="D217" s="62"/>
      <c r="E217" s="157"/>
      <c r="F217" s="137"/>
      <c r="G217" s="251"/>
    </row>
    <row r="218" spans="1:7" s="30" customFormat="1" ht="14.45">
      <c r="A218" s="59"/>
      <c r="B218" s="63"/>
      <c r="C218" s="61"/>
      <c r="D218" s="62"/>
      <c r="E218" s="157"/>
      <c r="F218" s="137"/>
      <c r="G218" s="251"/>
    </row>
    <row r="219" spans="1:7" s="30" customFormat="1" ht="14.45">
      <c r="A219" s="59"/>
      <c r="B219" s="63"/>
      <c r="C219" s="61"/>
      <c r="D219" s="62"/>
      <c r="E219" s="157"/>
      <c r="F219" s="137"/>
      <c r="G219" s="251"/>
    </row>
    <row r="220" spans="1:7" s="30" customFormat="1" ht="14.45">
      <c r="A220" s="59"/>
      <c r="B220" s="63"/>
      <c r="C220" s="61"/>
      <c r="D220" s="62"/>
      <c r="E220" s="157"/>
      <c r="F220" s="137"/>
      <c r="G220" s="251"/>
    </row>
    <row r="221" spans="1:7" s="30" customFormat="1" ht="14.45">
      <c r="A221" s="59"/>
      <c r="B221" s="63"/>
      <c r="C221" s="61"/>
      <c r="D221" s="62"/>
      <c r="E221" s="157"/>
      <c r="F221" s="137"/>
      <c r="G221" s="251"/>
    </row>
    <row r="222" spans="1:7" s="30" customFormat="1" ht="14.45">
      <c r="A222" s="59"/>
      <c r="B222" s="63"/>
      <c r="C222" s="61"/>
      <c r="D222" s="62"/>
      <c r="E222" s="157"/>
      <c r="F222" s="137"/>
      <c r="G222" s="251"/>
    </row>
    <row r="223" spans="1:7" s="30" customFormat="1" ht="14.45">
      <c r="A223" s="59"/>
      <c r="B223" s="63"/>
      <c r="C223" s="61"/>
      <c r="D223" s="62"/>
      <c r="E223" s="157"/>
      <c r="F223" s="137"/>
      <c r="G223" s="251"/>
    </row>
    <row r="224" spans="1:7" s="30" customFormat="1" ht="14.45">
      <c r="A224" s="59"/>
      <c r="B224" s="63"/>
      <c r="C224" s="61"/>
      <c r="D224" s="62"/>
      <c r="E224" s="157"/>
      <c r="F224" s="137"/>
      <c r="G224" s="251"/>
    </row>
    <row r="225" spans="1:7" s="30" customFormat="1" ht="14.45">
      <c r="A225" s="59"/>
      <c r="B225" s="63"/>
      <c r="C225" s="61"/>
      <c r="D225" s="62"/>
      <c r="E225" s="157"/>
      <c r="F225" s="137"/>
      <c r="G225" s="251"/>
    </row>
    <row r="226" spans="1:7" s="30" customFormat="1" ht="14.45">
      <c r="A226" s="59"/>
      <c r="B226" s="63"/>
      <c r="C226" s="61"/>
      <c r="D226" s="62"/>
      <c r="E226" s="157"/>
      <c r="F226" s="137"/>
      <c r="G226" s="251"/>
    </row>
    <row r="227" spans="1:7" s="30" customFormat="1" ht="14.45">
      <c r="A227" s="59"/>
      <c r="B227" s="63"/>
      <c r="C227" s="61"/>
      <c r="D227" s="62"/>
      <c r="E227" s="157"/>
      <c r="F227" s="137"/>
      <c r="G227" s="251"/>
    </row>
    <row r="228" spans="1:7" s="30" customFormat="1" ht="14.45">
      <c r="A228" s="59"/>
      <c r="B228" s="63"/>
      <c r="C228" s="61"/>
      <c r="D228" s="62"/>
      <c r="E228" s="157"/>
      <c r="F228" s="137"/>
      <c r="G228" s="251"/>
    </row>
    <row r="229" spans="1:7" s="30" customFormat="1" ht="14.45">
      <c r="A229" s="59"/>
      <c r="B229" s="63"/>
      <c r="C229" s="61"/>
      <c r="D229" s="62"/>
      <c r="E229" s="157"/>
      <c r="F229" s="137"/>
      <c r="G229" s="251"/>
    </row>
    <row r="230" spans="1:7" s="30" customFormat="1" ht="14.45">
      <c r="A230" s="59"/>
      <c r="B230" s="63"/>
      <c r="C230" s="61"/>
      <c r="D230" s="62"/>
      <c r="E230" s="157"/>
      <c r="F230" s="137"/>
      <c r="G230" s="251"/>
    </row>
    <row r="231" spans="1:7" s="30" customFormat="1" ht="14.45">
      <c r="A231" s="59"/>
      <c r="B231" s="63"/>
      <c r="C231" s="61"/>
      <c r="D231" s="62"/>
      <c r="E231" s="157"/>
      <c r="F231" s="137"/>
      <c r="G231" s="251"/>
    </row>
    <row r="232" spans="1:7" s="30" customFormat="1" ht="14.45">
      <c r="A232" s="71"/>
      <c r="B232" s="72"/>
      <c r="C232" s="73"/>
      <c r="D232" s="74"/>
      <c r="E232" s="159"/>
      <c r="F232" s="138"/>
      <c r="G232" s="73"/>
    </row>
    <row r="233" spans="1:7" s="30" customFormat="1" ht="14.45">
      <c r="A233" s="75"/>
      <c r="B233" s="76"/>
      <c r="C233" s="77" t="s">
        <v>30</v>
      </c>
      <c r="D233" s="77"/>
      <c r="E233" s="160" t="s">
        <v>8</v>
      </c>
      <c r="F233" s="139">
        <f>SUM(F194:F216)</f>
        <v>0</v>
      </c>
      <c r="G233" s="77"/>
    </row>
    <row r="234" spans="1:7" s="30" customFormat="1" ht="14.45">
      <c r="A234" s="75"/>
      <c r="B234" s="76"/>
      <c r="C234" s="78"/>
      <c r="D234" s="79"/>
      <c r="E234" s="161"/>
      <c r="F234" s="140"/>
      <c r="G234" s="78"/>
    </row>
    <row r="235" spans="1:7" s="30" customFormat="1" ht="14.45">
      <c r="A235" s="59"/>
      <c r="B235" s="63"/>
      <c r="C235" s="61"/>
      <c r="D235" s="62"/>
      <c r="E235" s="157"/>
      <c r="F235" s="137"/>
      <c r="G235" s="251"/>
    </row>
    <row r="236" spans="1:7" s="30" customFormat="1" ht="14.45">
      <c r="A236" s="59"/>
      <c r="B236" s="64" t="s">
        <v>1263</v>
      </c>
      <c r="C236" s="61"/>
      <c r="D236" s="62"/>
      <c r="E236" s="157"/>
      <c r="F236" s="137"/>
      <c r="G236" s="251"/>
    </row>
    <row r="237" spans="1:7" s="30" customFormat="1" ht="14.45">
      <c r="A237" s="59"/>
      <c r="B237" s="100"/>
      <c r="C237" s="61"/>
      <c r="D237" s="62"/>
      <c r="E237" s="157"/>
      <c r="F237" s="137"/>
      <c r="G237" s="251"/>
    </row>
    <row r="238" spans="1:7" s="30" customFormat="1" ht="14.45">
      <c r="A238" s="66"/>
      <c r="B238" s="98" t="s">
        <v>28</v>
      </c>
      <c r="C238" s="68"/>
      <c r="D238" s="69"/>
      <c r="E238" s="157"/>
      <c r="F238" s="137"/>
      <c r="G238" s="68"/>
    </row>
    <row r="239" spans="1:7" s="30" customFormat="1" ht="14.45">
      <c r="A239" s="59"/>
      <c r="B239" s="100"/>
      <c r="C239" s="61"/>
      <c r="D239" s="62"/>
      <c r="E239" s="157"/>
      <c r="F239" s="137"/>
      <c r="G239" s="251"/>
    </row>
    <row r="240" spans="1:7" s="30" customFormat="1" ht="41.45">
      <c r="A240" s="66" t="s">
        <v>14</v>
      </c>
      <c r="B240" s="67" t="s">
        <v>1264</v>
      </c>
      <c r="C240" s="68"/>
      <c r="D240" s="69" t="s">
        <v>2</v>
      </c>
      <c r="E240" s="157"/>
      <c r="F240" s="137" t="s">
        <v>69</v>
      </c>
      <c r="G240" s="68"/>
    </row>
    <row r="241" spans="1:7" s="30" customFormat="1" ht="14.45">
      <c r="A241" s="59"/>
      <c r="B241" s="100"/>
      <c r="C241" s="61"/>
      <c r="D241" s="62"/>
      <c r="E241" s="157"/>
      <c r="F241" s="137"/>
      <c r="G241" s="251"/>
    </row>
    <row r="242" spans="1:7" s="30" customFormat="1" ht="41.45">
      <c r="A242" s="66" t="s">
        <v>17</v>
      </c>
      <c r="B242" s="67" t="s">
        <v>1265</v>
      </c>
      <c r="C242" s="68"/>
      <c r="D242" s="69" t="s">
        <v>2</v>
      </c>
      <c r="E242" s="157"/>
      <c r="F242" s="137" t="s">
        <v>69</v>
      </c>
      <c r="G242" s="68"/>
    </row>
    <row r="243" spans="1:7" s="30" customFormat="1" ht="14.45">
      <c r="A243" s="59"/>
      <c r="B243" s="100"/>
      <c r="C243" s="61"/>
      <c r="D243" s="62"/>
      <c r="E243" s="157"/>
      <c r="F243" s="137"/>
      <c r="G243" s="251"/>
    </row>
    <row r="244" spans="1:7" s="30" customFormat="1" ht="27.6">
      <c r="A244" s="66" t="s">
        <v>20</v>
      </c>
      <c r="B244" s="67" t="s">
        <v>1266</v>
      </c>
      <c r="C244" s="68"/>
      <c r="D244" s="69" t="s">
        <v>2</v>
      </c>
      <c r="E244" s="157"/>
      <c r="F244" s="137" t="s">
        <v>69</v>
      </c>
      <c r="G244" s="68"/>
    </row>
    <row r="245" spans="1:7" s="30" customFormat="1" ht="14.45">
      <c r="A245" s="59"/>
      <c r="B245" s="100"/>
      <c r="C245" s="61"/>
      <c r="D245" s="62"/>
      <c r="E245" s="157"/>
      <c r="F245" s="137"/>
      <c r="G245" s="251"/>
    </row>
    <row r="246" spans="1:7" s="30" customFormat="1" ht="41.45">
      <c r="A246" s="66" t="s">
        <v>23</v>
      </c>
      <c r="B246" s="67" t="s">
        <v>1267</v>
      </c>
      <c r="C246" s="68"/>
      <c r="D246" s="69" t="s">
        <v>2</v>
      </c>
      <c r="E246" s="157"/>
      <c r="F246" s="137" t="s">
        <v>69</v>
      </c>
      <c r="G246" s="68"/>
    </row>
    <row r="247" spans="1:7" s="30" customFormat="1" ht="14.45">
      <c r="A247" s="59"/>
      <c r="B247" s="100"/>
      <c r="C247" s="61"/>
      <c r="D247" s="62"/>
      <c r="E247" s="157"/>
      <c r="F247" s="137"/>
      <c r="G247" s="251"/>
    </row>
    <row r="248" spans="1:7" s="30" customFormat="1" ht="14.45">
      <c r="A248" s="66"/>
      <c r="B248" s="98" t="s">
        <v>1268</v>
      </c>
      <c r="C248" s="68"/>
      <c r="D248" s="69"/>
      <c r="E248" s="157"/>
      <c r="F248" s="137"/>
      <c r="G248" s="68"/>
    </row>
    <row r="249" spans="1:7" s="30" customFormat="1" ht="14.45">
      <c r="A249" s="59"/>
      <c r="B249" s="100"/>
      <c r="C249" s="61"/>
      <c r="D249" s="62"/>
      <c r="E249" s="157"/>
      <c r="F249" s="137"/>
      <c r="G249" s="251"/>
    </row>
    <row r="250" spans="1:7" s="30" customFormat="1" ht="27.6">
      <c r="A250" s="66" t="s">
        <v>27</v>
      </c>
      <c r="B250" s="67" t="s">
        <v>1269</v>
      </c>
      <c r="C250" s="68"/>
      <c r="D250" s="69" t="s">
        <v>2</v>
      </c>
      <c r="E250" s="157"/>
      <c r="F250" s="137" t="s">
        <v>69</v>
      </c>
      <c r="G250" s="68"/>
    </row>
    <row r="251" spans="1:7" s="30" customFormat="1" ht="14.45">
      <c r="A251" s="59"/>
      <c r="B251" s="100"/>
      <c r="C251" s="61"/>
      <c r="D251" s="62"/>
      <c r="E251" s="157"/>
      <c r="F251" s="137"/>
      <c r="G251" s="251"/>
    </row>
    <row r="252" spans="1:7" s="30" customFormat="1" ht="14.45">
      <c r="A252" s="66"/>
      <c r="B252" s="98" t="s">
        <v>1270</v>
      </c>
      <c r="C252" s="68"/>
      <c r="D252" s="69"/>
      <c r="E252" s="157"/>
      <c r="F252" s="137"/>
      <c r="G252" s="68"/>
    </row>
    <row r="253" spans="1:7" s="30" customFormat="1" ht="14.45">
      <c r="A253" s="59"/>
      <c r="B253" s="100"/>
      <c r="C253" s="61"/>
      <c r="D253" s="62"/>
      <c r="E253" s="157"/>
      <c r="F253" s="137"/>
      <c r="G253" s="251"/>
    </row>
    <row r="254" spans="1:7" s="30" customFormat="1" ht="27.6">
      <c r="A254" s="66" t="s">
        <v>44</v>
      </c>
      <c r="B254" s="67" t="s">
        <v>1271</v>
      </c>
      <c r="C254" s="68"/>
      <c r="D254" s="69" t="s">
        <v>2</v>
      </c>
      <c r="E254" s="157"/>
      <c r="F254" s="137" t="s">
        <v>69</v>
      </c>
      <c r="G254" s="68"/>
    </row>
    <row r="255" spans="1:7" s="30" customFormat="1" ht="14.45">
      <c r="A255" s="59"/>
      <c r="B255" s="63"/>
      <c r="C255" s="61"/>
      <c r="D255" s="62"/>
      <c r="E255" s="157"/>
      <c r="F255" s="137"/>
      <c r="G255" s="251"/>
    </row>
    <row r="256" spans="1:7" s="30" customFormat="1" ht="14.45">
      <c r="A256" s="59"/>
      <c r="B256" s="63"/>
      <c r="C256" s="61"/>
      <c r="D256" s="62"/>
      <c r="E256" s="157"/>
      <c r="F256" s="137"/>
      <c r="G256" s="251"/>
    </row>
    <row r="257" spans="1:7" s="30" customFormat="1" ht="14.45">
      <c r="A257" s="59"/>
      <c r="B257" s="63"/>
      <c r="C257" s="61"/>
      <c r="D257" s="62"/>
      <c r="E257" s="157"/>
      <c r="F257" s="137"/>
      <c r="G257" s="251"/>
    </row>
    <row r="258" spans="1:7" s="30" customFormat="1" ht="14.45">
      <c r="A258" s="59"/>
      <c r="B258" s="63"/>
      <c r="C258" s="61"/>
      <c r="D258" s="62"/>
      <c r="E258" s="157"/>
      <c r="F258" s="137"/>
      <c r="G258" s="251"/>
    </row>
    <row r="259" spans="1:7" s="30" customFormat="1" ht="14.45">
      <c r="A259" s="59"/>
      <c r="B259" s="63"/>
      <c r="C259" s="61"/>
      <c r="D259" s="62"/>
      <c r="E259" s="157"/>
      <c r="F259" s="137"/>
      <c r="G259" s="251"/>
    </row>
    <row r="260" spans="1:7" s="30" customFormat="1" ht="14.45">
      <c r="A260" s="59"/>
      <c r="B260" s="63"/>
      <c r="C260" s="61"/>
      <c r="D260" s="62"/>
      <c r="E260" s="157"/>
      <c r="F260" s="137"/>
      <c r="G260" s="251"/>
    </row>
    <row r="261" spans="1:7" s="30" customFormat="1" ht="14.45">
      <c r="A261" s="59"/>
      <c r="B261" s="63"/>
      <c r="C261" s="61"/>
      <c r="D261" s="62"/>
      <c r="E261" s="157"/>
      <c r="F261" s="137"/>
      <c r="G261" s="251"/>
    </row>
    <row r="262" spans="1:7" s="30" customFormat="1" ht="14.45">
      <c r="A262" s="59"/>
      <c r="B262" s="63"/>
      <c r="C262" s="61"/>
      <c r="D262" s="62"/>
      <c r="E262" s="157"/>
      <c r="F262" s="137"/>
      <c r="G262" s="251"/>
    </row>
    <row r="263" spans="1:7" s="30" customFormat="1" ht="14.45">
      <c r="A263" s="59"/>
      <c r="B263" s="63"/>
      <c r="C263" s="61"/>
      <c r="D263" s="62"/>
      <c r="E263" s="157"/>
      <c r="F263" s="137"/>
      <c r="G263" s="251"/>
    </row>
    <row r="264" spans="1:7" s="30" customFormat="1" ht="14.45">
      <c r="A264" s="59"/>
      <c r="B264" s="63"/>
      <c r="C264" s="61"/>
      <c r="D264" s="62"/>
      <c r="E264" s="157"/>
      <c r="F264" s="137"/>
      <c r="G264" s="251"/>
    </row>
    <row r="265" spans="1:7" s="30" customFormat="1" ht="14.45">
      <c r="A265" s="59"/>
      <c r="B265" s="63"/>
      <c r="C265" s="61"/>
      <c r="D265" s="62"/>
      <c r="E265" s="157"/>
      <c r="F265" s="137"/>
      <c r="G265" s="251"/>
    </row>
    <row r="266" spans="1:7" s="30" customFormat="1" ht="14.45">
      <c r="A266" s="59"/>
      <c r="B266" s="63"/>
      <c r="C266" s="61"/>
      <c r="D266" s="62"/>
      <c r="E266" s="157"/>
      <c r="F266" s="137"/>
      <c r="G266" s="251"/>
    </row>
    <row r="267" spans="1:7" s="30" customFormat="1" ht="14.45">
      <c r="A267" s="59"/>
      <c r="B267" s="63"/>
      <c r="C267" s="61"/>
      <c r="D267" s="62"/>
      <c r="E267" s="157"/>
      <c r="F267" s="137"/>
      <c r="G267" s="251"/>
    </row>
    <row r="268" spans="1:7" s="30" customFormat="1" ht="14.45">
      <c r="A268" s="59"/>
      <c r="B268" s="63"/>
      <c r="C268" s="61"/>
      <c r="D268" s="62"/>
      <c r="E268" s="157"/>
      <c r="F268" s="137"/>
      <c r="G268" s="251"/>
    </row>
    <row r="269" spans="1:7" s="30" customFormat="1" ht="14.45">
      <c r="A269" s="59"/>
      <c r="B269" s="63"/>
      <c r="C269" s="61"/>
      <c r="D269" s="62"/>
      <c r="E269" s="157"/>
      <c r="F269" s="137"/>
      <c r="G269" s="251"/>
    </row>
    <row r="270" spans="1:7" s="30" customFormat="1" ht="14.45">
      <c r="A270" s="59"/>
      <c r="B270" s="63"/>
      <c r="C270" s="61"/>
      <c r="D270" s="62"/>
      <c r="E270" s="157"/>
      <c r="F270" s="137"/>
      <c r="G270" s="251"/>
    </row>
    <row r="271" spans="1:7" s="30" customFormat="1" ht="14.45">
      <c r="A271" s="71"/>
      <c r="B271" s="72"/>
      <c r="C271" s="73"/>
      <c r="D271" s="74"/>
      <c r="E271" s="159"/>
      <c r="F271" s="138"/>
      <c r="G271" s="73"/>
    </row>
    <row r="272" spans="1:7" s="30" customFormat="1" ht="14.45">
      <c r="A272" s="75"/>
      <c r="B272" s="76"/>
      <c r="C272" s="77" t="s">
        <v>30</v>
      </c>
      <c r="D272" s="77"/>
      <c r="E272" s="160" t="s">
        <v>8</v>
      </c>
      <c r="F272" s="139">
        <f>SUM(F239:F267)</f>
        <v>0</v>
      </c>
      <c r="G272" s="77"/>
    </row>
    <row r="273" spans="1:7" s="30" customFormat="1" ht="14.45">
      <c r="A273" s="75"/>
      <c r="B273" s="76"/>
      <c r="C273" s="78"/>
      <c r="D273" s="79"/>
      <c r="E273" s="161"/>
      <c r="F273" s="140"/>
      <c r="G273" s="78"/>
    </row>
    <row r="274" spans="1:7" s="30" customFormat="1" ht="14.45">
      <c r="A274" s="59"/>
      <c r="B274" s="63"/>
      <c r="C274" s="61"/>
      <c r="D274" s="62"/>
      <c r="E274" s="157"/>
      <c r="F274" s="137"/>
      <c r="G274" s="251"/>
    </row>
    <row r="275" spans="1:7" s="30" customFormat="1" ht="14.45">
      <c r="A275" s="59"/>
      <c r="B275" s="64" t="s">
        <v>105</v>
      </c>
      <c r="C275" s="61"/>
      <c r="D275" s="62"/>
      <c r="E275" s="157"/>
      <c r="F275" s="137"/>
      <c r="G275" s="251"/>
    </row>
    <row r="276" spans="1:7" s="30" customFormat="1" ht="14.45">
      <c r="A276" s="59"/>
      <c r="B276" s="100"/>
      <c r="C276" s="61"/>
      <c r="D276" s="62"/>
      <c r="E276" s="157"/>
      <c r="F276" s="137"/>
      <c r="G276" s="251"/>
    </row>
    <row r="277" spans="1:7" s="30" customFormat="1" ht="69">
      <c r="A277" s="66"/>
      <c r="B277" s="67" t="s">
        <v>1272</v>
      </c>
      <c r="C277" s="68"/>
      <c r="D277" s="69" t="s">
        <v>2</v>
      </c>
      <c r="E277" s="157"/>
      <c r="F277" s="137">
        <f>C277*E277</f>
        <v>0</v>
      </c>
      <c r="G277" s="68"/>
    </row>
    <row r="278" spans="1:7" s="30" customFormat="1" ht="14.45">
      <c r="A278" s="59"/>
      <c r="B278" s="63"/>
      <c r="C278" s="61"/>
      <c r="D278" s="62"/>
      <c r="E278" s="157"/>
      <c r="F278" s="137"/>
      <c r="G278" s="251"/>
    </row>
    <row r="279" spans="1:7" s="30" customFormat="1" ht="14.45">
      <c r="A279" s="45" t="s">
        <v>210</v>
      </c>
      <c r="B279" s="146" t="s">
        <v>213</v>
      </c>
      <c r="C279" s="46"/>
      <c r="D279" s="47"/>
      <c r="E279" s="157"/>
      <c r="F279" s="137"/>
      <c r="G279" s="148"/>
    </row>
    <row r="280" spans="1:7" s="30" customFormat="1" ht="14.45">
      <c r="A280" s="45"/>
      <c r="B280" s="146"/>
      <c r="C280" s="46"/>
      <c r="D280" s="47"/>
      <c r="E280" s="157"/>
      <c r="F280" s="137"/>
      <c r="G280" s="148"/>
    </row>
    <row r="281" spans="1:7" s="30" customFormat="1" ht="27.6">
      <c r="A281" s="290" t="s">
        <v>14</v>
      </c>
      <c r="B281" s="291" t="s">
        <v>214</v>
      </c>
      <c r="C281" s="292">
        <v>1</v>
      </c>
      <c r="D281" s="293" t="s">
        <v>215</v>
      </c>
      <c r="E281" s="283"/>
      <c r="F281" s="284">
        <f>C281*E281</f>
        <v>0</v>
      </c>
      <c r="G281" s="292"/>
    </row>
    <row r="282" spans="1:7" s="30" customFormat="1" ht="14.45">
      <c r="A282" s="45"/>
      <c r="B282" s="146"/>
      <c r="C282" s="46"/>
      <c r="D282" s="47"/>
      <c r="E282" s="157"/>
      <c r="F282" s="137"/>
      <c r="G282" s="148"/>
    </row>
    <row r="283" spans="1:7" s="30" customFormat="1" ht="14.45">
      <c r="A283" s="45"/>
      <c r="B283" s="48"/>
      <c r="C283" s="46"/>
      <c r="D283" s="47"/>
      <c r="E283" s="157"/>
      <c r="F283" s="137"/>
      <c r="G283" s="148"/>
    </row>
    <row r="284" spans="1:7" s="30" customFormat="1" ht="14.45">
      <c r="A284" s="45"/>
      <c r="B284" s="48"/>
      <c r="C284" s="46"/>
      <c r="D284" s="47"/>
      <c r="E284" s="157"/>
      <c r="F284" s="137"/>
      <c r="G284" s="148"/>
    </row>
    <row r="285" spans="1:7" s="30" customFormat="1" ht="14.45">
      <c r="A285" s="45"/>
      <c r="B285" s="48"/>
      <c r="C285" s="46"/>
      <c r="D285" s="47"/>
      <c r="E285" s="157"/>
      <c r="F285" s="137"/>
      <c r="G285" s="148"/>
    </row>
    <row r="286" spans="1:7" s="30" customFormat="1" ht="14.45">
      <c r="A286" s="45"/>
      <c r="B286" s="48"/>
      <c r="C286" s="46"/>
      <c r="D286" s="47"/>
      <c r="E286" s="157"/>
      <c r="F286" s="137"/>
      <c r="G286" s="148"/>
    </row>
    <row r="287" spans="1:7" s="30" customFormat="1" ht="14.45">
      <c r="A287" s="45"/>
      <c r="B287" s="48"/>
      <c r="C287" s="46"/>
      <c r="D287" s="47"/>
      <c r="E287" s="157"/>
      <c r="F287" s="137"/>
      <c r="G287" s="148"/>
    </row>
    <row r="288" spans="1:7" s="30" customFormat="1" ht="14.45">
      <c r="A288" s="45"/>
      <c r="B288" s="48"/>
      <c r="C288" s="46"/>
      <c r="D288" s="47"/>
      <c r="E288" s="157"/>
      <c r="F288" s="137"/>
      <c r="G288" s="148"/>
    </row>
    <row r="289" spans="1:7" s="30" customFormat="1" ht="14.45">
      <c r="A289" s="45"/>
      <c r="B289" s="48"/>
      <c r="C289" s="46"/>
      <c r="D289" s="47"/>
      <c r="E289" s="157"/>
      <c r="F289" s="137"/>
      <c r="G289" s="148"/>
    </row>
    <row r="290" spans="1:7" s="30" customFormat="1" ht="14.45">
      <c r="A290" s="45"/>
      <c r="B290" s="48"/>
      <c r="C290" s="46"/>
      <c r="D290" s="47"/>
      <c r="E290" s="157"/>
      <c r="F290" s="137"/>
      <c r="G290" s="148"/>
    </row>
    <row r="291" spans="1:7" s="30" customFormat="1" ht="14.45">
      <c r="A291" s="45"/>
      <c r="B291" s="48"/>
      <c r="C291" s="46"/>
      <c r="D291" s="47"/>
      <c r="E291" s="157"/>
      <c r="F291" s="137"/>
      <c r="G291" s="148"/>
    </row>
    <row r="292" spans="1:7" s="30" customFormat="1" ht="14.45">
      <c r="A292" s="45"/>
      <c r="B292" s="48"/>
      <c r="C292" s="46"/>
      <c r="D292" s="47"/>
      <c r="E292" s="157"/>
      <c r="F292" s="137"/>
      <c r="G292" s="148"/>
    </row>
    <row r="293" spans="1:7" s="30" customFormat="1" ht="14.45">
      <c r="A293" s="45"/>
      <c r="B293" s="48"/>
      <c r="C293" s="46"/>
      <c r="D293" s="47"/>
      <c r="E293" s="157"/>
      <c r="F293" s="137"/>
      <c r="G293" s="148"/>
    </row>
    <row r="294" spans="1:7" s="30" customFormat="1" ht="14.45">
      <c r="A294" s="45"/>
      <c r="B294" s="48"/>
      <c r="C294" s="46"/>
      <c r="D294" s="47"/>
      <c r="E294" s="157"/>
      <c r="F294" s="137"/>
      <c r="G294" s="148"/>
    </row>
    <row r="295" spans="1:7" s="30" customFormat="1" ht="14.45">
      <c r="A295" s="45"/>
      <c r="B295" s="48"/>
      <c r="C295" s="46"/>
      <c r="D295" s="47"/>
      <c r="E295" s="157"/>
      <c r="F295" s="137"/>
      <c r="G295" s="148"/>
    </row>
    <row r="296" spans="1:7" s="30" customFormat="1" ht="14.45">
      <c r="A296" s="45"/>
      <c r="B296" s="48"/>
      <c r="C296" s="46"/>
      <c r="D296" s="47"/>
      <c r="E296" s="157"/>
      <c r="F296" s="137"/>
      <c r="G296" s="148"/>
    </row>
    <row r="297" spans="1:7" s="30" customFormat="1" ht="14.45">
      <c r="A297" s="45"/>
      <c r="B297" s="48"/>
      <c r="C297" s="46"/>
      <c r="D297" s="47"/>
      <c r="E297" s="157"/>
      <c r="F297" s="137"/>
      <c r="G297" s="148"/>
    </row>
    <row r="298" spans="1:7" s="30" customFormat="1" ht="14.45">
      <c r="A298" s="45"/>
      <c r="B298" s="48"/>
      <c r="C298" s="46"/>
      <c r="D298" s="47"/>
      <c r="E298" s="157"/>
      <c r="F298" s="137"/>
      <c r="G298" s="148"/>
    </row>
    <row r="299" spans="1:7" s="30" customFormat="1" ht="14.45">
      <c r="A299" s="45"/>
      <c r="B299" s="48"/>
      <c r="C299" s="46"/>
      <c r="D299" s="47"/>
      <c r="E299" s="157"/>
      <c r="F299" s="137"/>
      <c r="G299" s="148"/>
    </row>
    <row r="300" spans="1:7" s="30" customFormat="1" ht="14.45">
      <c r="A300" s="45"/>
      <c r="B300" s="48"/>
      <c r="C300" s="46"/>
      <c r="D300" s="47"/>
      <c r="E300" s="157"/>
      <c r="F300" s="137"/>
      <c r="G300" s="148"/>
    </row>
    <row r="301" spans="1:7" s="30" customFormat="1" ht="14.45">
      <c r="A301" s="45"/>
      <c r="B301" s="48"/>
      <c r="C301" s="46"/>
      <c r="D301" s="47"/>
      <c r="E301" s="157"/>
      <c r="F301" s="137"/>
      <c r="G301" s="148"/>
    </row>
    <row r="302" spans="1:7" s="30" customFormat="1" ht="14.45">
      <c r="A302" s="45"/>
      <c r="B302" s="48"/>
      <c r="C302" s="46"/>
      <c r="D302" s="47"/>
      <c r="E302" s="157"/>
      <c r="F302" s="137"/>
      <c r="G302" s="148"/>
    </row>
    <row r="303" spans="1:7" s="30" customFormat="1" ht="14.45">
      <c r="A303" s="45"/>
      <c r="B303" s="48"/>
      <c r="C303" s="46"/>
      <c r="D303" s="47"/>
      <c r="E303" s="157"/>
      <c r="F303" s="137"/>
      <c r="G303" s="148"/>
    </row>
    <row r="304" spans="1:7" s="30" customFormat="1" ht="14.45">
      <c r="A304" s="45"/>
      <c r="B304" s="48"/>
      <c r="C304" s="46"/>
      <c r="D304" s="47"/>
      <c r="E304" s="157"/>
      <c r="F304" s="137"/>
      <c r="G304" s="148"/>
    </row>
    <row r="305" spans="1:7" s="30" customFormat="1" ht="14.45">
      <c r="A305" s="45"/>
      <c r="B305" s="48"/>
      <c r="C305" s="46"/>
      <c r="D305" s="47"/>
      <c r="E305" s="157"/>
      <c r="F305" s="137"/>
      <c r="G305" s="148"/>
    </row>
    <row r="306" spans="1:7" s="30" customFormat="1" ht="14.45">
      <c r="A306" s="45"/>
      <c r="B306" s="48"/>
      <c r="C306" s="46"/>
      <c r="D306" s="47"/>
      <c r="E306" s="157"/>
      <c r="F306" s="137"/>
      <c r="G306" s="148"/>
    </row>
    <row r="307" spans="1:7" s="30" customFormat="1" ht="14.45">
      <c r="A307" s="45"/>
      <c r="B307" s="48"/>
      <c r="C307" s="46"/>
      <c r="D307" s="47"/>
      <c r="E307" s="157"/>
      <c r="F307" s="137"/>
      <c r="G307" s="148"/>
    </row>
    <row r="308" spans="1:7" s="30" customFormat="1" ht="14.45">
      <c r="A308" s="45"/>
      <c r="B308" s="48"/>
      <c r="C308" s="46"/>
      <c r="D308" s="47"/>
      <c r="E308" s="157"/>
      <c r="F308" s="137"/>
      <c r="G308" s="148"/>
    </row>
    <row r="309" spans="1:7" s="30" customFormat="1" ht="14.45">
      <c r="A309" s="45"/>
      <c r="B309" s="48"/>
      <c r="C309" s="46"/>
      <c r="D309" s="47"/>
      <c r="E309" s="157"/>
      <c r="F309" s="137"/>
      <c r="G309" s="148"/>
    </row>
    <row r="310" spans="1:7" s="30" customFormat="1" ht="14.45">
      <c r="A310" s="45"/>
      <c r="B310" s="48"/>
      <c r="C310" s="46"/>
      <c r="D310" s="47"/>
      <c r="E310" s="157"/>
      <c r="F310" s="137"/>
      <c r="G310" s="148"/>
    </row>
    <row r="311" spans="1:7" s="30" customFormat="1" ht="14.45">
      <c r="A311" s="45"/>
      <c r="B311" s="48"/>
      <c r="C311" s="46"/>
      <c r="D311" s="47"/>
      <c r="E311" s="157"/>
      <c r="F311" s="137"/>
      <c r="G311" s="148"/>
    </row>
    <row r="312" spans="1:7" s="30" customFormat="1" ht="14.45">
      <c r="A312" s="45"/>
      <c r="B312" s="48"/>
      <c r="C312" s="46"/>
      <c r="D312" s="47"/>
      <c r="E312" s="157"/>
      <c r="F312" s="137"/>
      <c r="G312" s="148"/>
    </row>
    <row r="313" spans="1:7" s="30" customFormat="1" ht="14.45">
      <c r="A313" s="45"/>
      <c r="B313" s="48"/>
      <c r="C313" s="46"/>
      <c r="D313" s="47"/>
      <c r="E313" s="157"/>
      <c r="F313" s="137"/>
      <c r="G313" s="148"/>
    </row>
    <row r="314" spans="1:7" s="30" customFormat="1" ht="14.45">
      <c r="A314" s="71"/>
      <c r="B314" s="72"/>
      <c r="C314" s="73"/>
      <c r="D314" s="74"/>
      <c r="E314" s="159"/>
      <c r="F314" s="138"/>
      <c r="G314" s="73"/>
    </row>
    <row r="315" spans="1:7" s="30" customFormat="1" ht="14.45">
      <c r="A315" s="75"/>
      <c r="B315" s="76"/>
      <c r="C315" s="77" t="s">
        <v>30</v>
      </c>
      <c r="D315" s="77"/>
      <c r="E315" s="160" t="s">
        <v>8</v>
      </c>
      <c r="F315" s="139">
        <f>SUM(F276:F296)</f>
        <v>0</v>
      </c>
      <c r="G315" s="77"/>
    </row>
    <row r="316" spans="1:7" s="30" customFormat="1" ht="14.45">
      <c r="A316" s="75"/>
      <c r="B316" s="76"/>
      <c r="C316" s="78"/>
      <c r="D316" s="79"/>
      <c r="E316" s="161"/>
      <c r="F316" s="140"/>
      <c r="G316" s="78"/>
    </row>
    <row r="317" spans="1:7" s="30" customFormat="1" ht="14.45">
      <c r="A317" s="59"/>
      <c r="B317" s="63"/>
      <c r="C317" s="61"/>
      <c r="D317" s="62"/>
      <c r="E317" s="157"/>
      <c r="F317" s="137"/>
      <c r="G317" s="251"/>
    </row>
    <row r="318" spans="1:7" s="30" customFormat="1" ht="14.45">
      <c r="A318" s="59"/>
      <c r="B318" s="38" t="s">
        <v>109</v>
      </c>
      <c r="C318" s="61"/>
      <c r="D318" s="62"/>
      <c r="E318" s="157"/>
      <c r="F318" s="137"/>
      <c r="G318" s="251"/>
    </row>
    <row r="319" spans="1:7" s="30" customFormat="1" ht="14.45">
      <c r="A319" s="59"/>
      <c r="B319" s="32"/>
      <c r="C319" s="61"/>
      <c r="D319" s="62"/>
      <c r="E319" s="157"/>
      <c r="F319" s="137"/>
      <c r="G319" s="251"/>
    </row>
    <row r="320" spans="1:7" s="30" customFormat="1" ht="14.45">
      <c r="A320" s="59"/>
      <c r="B320" s="39" t="s">
        <v>1273</v>
      </c>
      <c r="C320" s="61"/>
      <c r="D320" s="62"/>
      <c r="E320" s="157"/>
      <c r="F320" s="137">
        <f>F34</f>
        <v>3203206.6399999997</v>
      </c>
      <c r="G320" s="251"/>
    </row>
    <row r="321" spans="1:7" s="30" customFormat="1" ht="14.45">
      <c r="A321" s="59"/>
      <c r="B321" s="32"/>
      <c r="C321" s="61"/>
      <c r="D321" s="62"/>
      <c r="E321" s="157"/>
      <c r="F321" s="137"/>
      <c r="G321" s="251"/>
    </row>
    <row r="322" spans="1:7" s="30" customFormat="1" ht="14.45">
      <c r="A322" s="59"/>
      <c r="B322" s="39" t="s">
        <v>1274</v>
      </c>
      <c r="C322" s="61"/>
      <c r="D322" s="62"/>
      <c r="E322" s="157"/>
      <c r="F322" s="137">
        <f>F71</f>
        <v>1810084.5899999996</v>
      </c>
      <c r="G322" s="251"/>
    </row>
    <row r="323" spans="1:7" s="30" customFormat="1" ht="14.45">
      <c r="A323" s="59"/>
      <c r="B323" s="32"/>
      <c r="C323" s="61"/>
      <c r="D323" s="62"/>
      <c r="E323" s="157"/>
      <c r="F323" s="137"/>
      <c r="G323" s="251"/>
    </row>
    <row r="324" spans="1:7" s="30" customFormat="1" ht="14.45">
      <c r="A324" s="59"/>
      <c r="B324" s="39" t="s">
        <v>1275</v>
      </c>
      <c r="C324" s="61"/>
      <c r="D324" s="62"/>
      <c r="E324" s="157"/>
      <c r="F324" s="137">
        <f>F117</f>
        <v>186549.26</v>
      </c>
      <c r="G324" s="251"/>
    </row>
    <row r="325" spans="1:7" s="30" customFormat="1" ht="14.45">
      <c r="A325" s="59"/>
      <c r="B325" s="32"/>
      <c r="C325" s="61"/>
      <c r="D325" s="62"/>
      <c r="E325" s="157"/>
      <c r="F325" s="137"/>
      <c r="G325" s="251"/>
    </row>
    <row r="326" spans="1:7" s="30" customFormat="1" ht="14.45">
      <c r="A326" s="59"/>
      <c r="B326" s="39" t="s">
        <v>1276</v>
      </c>
      <c r="C326" s="61"/>
      <c r="D326" s="62"/>
      <c r="E326" s="157"/>
      <c r="F326" s="137">
        <f>F148</f>
        <v>3778476.44</v>
      </c>
      <c r="G326" s="251"/>
    </row>
    <row r="327" spans="1:7" s="30" customFormat="1" ht="14.45">
      <c r="A327" s="59"/>
      <c r="B327" s="32"/>
      <c r="C327" s="61"/>
      <c r="D327" s="62"/>
      <c r="E327" s="157"/>
      <c r="F327" s="137"/>
      <c r="G327" s="251"/>
    </row>
    <row r="328" spans="1:7" s="30" customFormat="1" ht="14.45">
      <c r="A328" s="59"/>
      <c r="B328" s="39" t="s">
        <v>1277</v>
      </c>
      <c r="C328" s="61"/>
      <c r="D328" s="62"/>
      <c r="E328" s="157"/>
      <c r="F328" s="137">
        <f>F190</f>
        <v>308704.89</v>
      </c>
      <c r="G328" s="251"/>
    </row>
    <row r="329" spans="1:7" s="30" customFormat="1" ht="14.45">
      <c r="A329" s="59"/>
      <c r="B329" s="32"/>
      <c r="C329" s="61"/>
      <c r="D329" s="62"/>
      <c r="E329" s="157"/>
      <c r="F329" s="137"/>
      <c r="G329" s="251"/>
    </row>
    <row r="330" spans="1:7" s="30" customFormat="1" ht="14.45">
      <c r="A330" s="59"/>
      <c r="B330" s="39" t="s">
        <v>1278</v>
      </c>
      <c r="C330" s="61"/>
      <c r="D330" s="62"/>
      <c r="E330" s="157"/>
      <c r="F330" s="137">
        <f>F233</f>
        <v>0</v>
      </c>
      <c r="G330" s="251"/>
    </row>
    <row r="331" spans="1:7" s="30" customFormat="1" ht="14.45">
      <c r="A331" s="59"/>
      <c r="B331" s="32"/>
      <c r="C331" s="61"/>
      <c r="D331" s="62"/>
      <c r="E331" s="157"/>
      <c r="F331" s="137"/>
      <c r="G331" s="251"/>
    </row>
    <row r="332" spans="1:7" s="30" customFormat="1" ht="14.45">
      <c r="A332" s="59"/>
      <c r="B332" s="39" t="s">
        <v>1279</v>
      </c>
      <c r="C332" s="61"/>
      <c r="D332" s="62"/>
      <c r="E332" s="157"/>
      <c r="F332" s="137">
        <f>F272</f>
        <v>0</v>
      </c>
      <c r="G332" s="251"/>
    </row>
    <row r="333" spans="1:7" s="30" customFormat="1" ht="14.45">
      <c r="A333" s="59"/>
      <c r="B333" s="32"/>
      <c r="C333" s="61"/>
      <c r="D333" s="62"/>
      <c r="E333" s="157"/>
      <c r="F333" s="137"/>
      <c r="G333" s="251"/>
    </row>
    <row r="334" spans="1:7" s="30" customFormat="1" ht="14.45">
      <c r="A334" s="59"/>
      <c r="B334" s="39" t="s">
        <v>1280</v>
      </c>
      <c r="C334" s="61"/>
      <c r="D334" s="62"/>
      <c r="E334" s="157"/>
      <c r="F334" s="137">
        <f>F315</f>
        <v>0</v>
      </c>
      <c r="G334" s="251"/>
    </row>
    <row r="335" spans="1:7" s="30" customFormat="1" ht="14.45">
      <c r="A335" s="59"/>
      <c r="B335" s="63"/>
      <c r="C335" s="61"/>
      <c r="D335" s="62"/>
      <c r="E335" s="157"/>
      <c r="F335" s="137"/>
      <c r="G335" s="251"/>
    </row>
    <row r="336" spans="1:7" s="30" customFormat="1" ht="14.45">
      <c r="A336" s="59"/>
      <c r="B336" s="63"/>
      <c r="C336" s="61"/>
      <c r="D336" s="62"/>
      <c r="E336" s="157"/>
      <c r="F336" s="137"/>
      <c r="G336" s="251"/>
    </row>
    <row r="337" spans="1:7" s="30" customFormat="1" ht="14.45">
      <c r="A337" s="59"/>
      <c r="B337" s="63"/>
      <c r="C337" s="61"/>
      <c r="D337" s="62"/>
      <c r="E337" s="157"/>
      <c r="F337" s="137"/>
      <c r="G337" s="251"/>
    </row>
    <row r="338" spans="1:7" s="30" customFormat="1" ht="14.45">
      <c r="A338" s="59"/>
      <c r="B338" s="63"/>
      <c r="C338" s="61"/>
      <c r="D338" s="62"/>
      <c r="E338" s="157"/>
      <c r="F338" s="137"/>
      <c r="G338" s="251"/>
    </row>
    <row r="339" spans="1:7" s="30" customFormat="1" ht="14.45">
      <c r="A339" s="59"/>
      <c r="B339" s="63"/>
      <c r="C339" s="61"/>
      <c r="D339" s="62"/>
      <c r="E339" s="157"/>
      <c r="F339" s="137"/>
      <c r="G339" s="251"/>
    </row>
    <row r="340" spans="1:7" s="30" customFormat="1" ht="14.45">
      <c r="A340" s="59"/>
      <c r="B340" s="63"/>
      <c r="C340" s="61"/>
      <c r="D340" s="62"/>
      <c r="E340" s="157"/>
      <c r="F340" s="137"/>
      <c r="G340" s="251"/>
    </row>
    <row r="341" spans="1:7" s="30" customFormat="1" ht="14.45">
      <c r="A341" s="59"/>
      <c r="B341" s="63"/>
      <c r="C341" s="61"/>
      <c r="D341" s="62"/>
      <c r="E341" s="157"/>
      <c r="F341" s="137"/>
      <c r="G341" s="251"/>
    </row>
    <row r="342" spans="1:7" s="30" customFormat="1" ht="14.45">
      <c r="A342" s="59"/>
      <c r="B342" s="63"/>
      <c r="C342" s="61"/>
      <c r="D342" s="62"/>
      <c r="E342" s="157"/>
      <c r="F342" s="137"/>
      <c r="G342" s="251"/>
    </row>
    <row r="343" spans="1:7" s="30" customFormat="1" ht="14.45">
      <c r="A343" s="59"/>
      <c r="B343" s="63"/>
      <c r="C343" s="61"/>
      <c r="D343" s="62"/>
      <c r="E343" s="157"/>
      <c r="F343" s="137"/>
      <c r="G343" s="251"/>
    </row>
    <row r="344" spans="1:7" s="30" customFormat="1" ht="14.45">
      <c r="A344" s="59"/>
      <c r="B344" s="63"/>
      <c r="C344" s="61"/>
      <c r="D344" s="62"/>
      <c r="E344" s="157"/>
      <c r="F344" s="137"/>
      <c r="G344" s="251"/>
    </row>
    <row r="345" spans="1:7" s="30" customFormat="1" ht="14.45">
      <c r="A345" s="59"/>
      <c r="B345" s="63"/>
      <c r="C345" s="61"/>
      <c r="D345" s="62"/>
      <c r="E345" s="157"/>
      <c r="F345" s="137"/>
      <c r="G345" s="251"/>
    </row>
    <row r="346" spans="1:7" s="30" customFormat="1" ht="14.45">
      <c r="A346" s="59"/>
      <c r="B346" s="63"/>
      <c r="C346" s="61"/>
      <c r="D346" s="62"/>
      <c r="E346" s="157"/>
      <c r="F346" s="137"/>
      <c r="G346" s="251"/>
    </row>
    <row r="347" spans="1:7" s="30" customFormat="1" ht="14.45">
      <c r="A347" s="59"/>
      <c r="B347" s="63"/>
      <c r="C347" s="61"/>
      <c r="D347" s="62"/>
      <c r="E347" s="157"/>
      <c r="F347" s="137"/>
      <c r="G347" s="251"/>
    </row>
    <row r="348" spans="1:7" s="30" customFormat="1" ht="14.45">
      <c r="A348" s="59"/>
      <c r="B348" s="63"/>
      <c r="C348" s="61"/>
      <c r="D348" s="62"/>
      <c r="E348" s="157"/>
      <c r="F348" s="137"/>
      <c r="G348" s="251"/>
    </row>
    <row r="349" spans="1:7" s="30" customFormat="1" ht="14.45">
      <c r="A349" s="59"/>
      <c r="B349" s="63"/>
      <c r="C349" s="61"/>
      <c r="D349" s="62"/>
      <c r="E349" s="157"/>
      <c r="F349" s="137"/>
      <c r="G349" s="251"/>
    </row>
    <row r="350" spans="1:7" s="30" customFormat="1" ht="14.45">
      <c r="A350" s="59"/>
      <c r="B350" s="63"/>
      <c r="C350" s="61"/>
      <c r="D350" s="62"/>
      <c r="E350" s="157"/>
      <c r="F350" s="137"/>
      <c r="G350" s="251"/>
    </row>
    <row r="351" spans="1:7" s="30" customFormat="1" ht="14.45">
      <c r="A351" s="59"/>
      <c r="B351" s="63"/>
      <c r="C351" s="61"/>
      <c r="D351" s="62"/>
      <c r="E351" s="157"/>
      <c r="F351" s="137"/>
      <c r="G351" s="251"/>
    </row>
    <row r="352" spans="1:7" s="30" customFormat="1" ht="14.45">
      <c r="A352" s="59"/>
      <c r="B352" s="63"/>
      <c r="C352" s="61"/>
      <c r="D352" s="62"/>
      <c r="E352" s="157"/>
      <c r="F352" s="137"/>
      <c r="G352" s="251"/>
    </row>
    <row r="353" spans="1:7" s="30" customFormat="1" ht="14.45">
      <c r="A353" s="59"/>
      <c r="B353" s="63"/>
      <c r="C353" s="61"/>
      <c r="D353" s="62"/>
      <c r="E353" s="157"/>
      <c r="F353" s="137"/>
      <c r="G353" s="251"/>
    </row>
    <row r="354" spans="1:7" s="30" customFormat="1" ht="14.45">
      <c r="A354" s="59"/>
      <c r="B354" s="63"/>
      <c r="C354" s="61"/>
      <c r="D354" s="62"/>
      <c r="E354" s="157"/>
      <c r="F354" s="137"/>
      <c r="G354" s="251"/>
    </row>
    <row r="355" spans="1:7" s="30" customFormat="1" ht="14.45">
      <c r="A355" s="59"/>
      <c r="B355" s="63"/>
      <c r="C355" s="61"/>
      <c r="D355" s="62"/>
      <c r="E355" s="157"/>
      <c r="F355" s="137"/>
      <c r="G355" s="251"/>
    </row>
    <row r="356" spans="1:7" s="30" customFormat="1" ht="14.45">
      <c r="A356" s="59"/>
      <c r="B356" s="63"/>
      <c r="C356" s="61"/>
      <c r="D356" s="62"/>
      <c r="E356" s="157"/>
      <c r="F356" s="137"/>
      <c r="G356" s="251"/>
    </row>
    <row r="357" spans="1:7" s="30" customFormat="1" ht="14.45">
      <c r="A357" s="59"/>
      <c r="B357" s="63"/>
      <c r="C357" s="61"/>
      <c r="D357" s="62"/>
      <c r="E357" s="157"/>
      <c r="F357" s="137"/>
      <c r="G357" s="251"/>
    </row>
    <row r="358" spans="1:7" s="30" customFormat="1" ht="14.45">
      <c r="A358" s="59"/>
      <c r="B358" s="63"/>
      <c r="C358" s="61"/>
      <c r="D358" s="62"/>
      <c r="E358" s="157"/>
      <c r="F358" s="137"/>
      <c r="G358" s="251"/>
    </row>
    <row r="359" spans="1:7" s="30" customFormat="1" ht="14.45">
      <c r="A359" s="59"/>
      <c r="B359" s="63"/>
      <c r="C359" s="61"/>
      <c r="D359" s="62"/>
      <c r="E359" s="157"/>
      <c r="F359" s="137"/>
      <c r="G359" s="251"/>
    </row>
    <row r="360" spans="1:7" s="30" customFormat="1" ht="14.45">
      <c r="A360" s="59"/>
      <c r="B360" s="63"/>
      <c r="C360" s="61"/>
      <c r="D360" s="62"/>
      <c r="E360" s="157"/>
      <c r="F360" s="137"/>
      <c r="G360" s="251"/>
    </row>
    <row r="361" spans="1:7" s="30" customFormat="1" ht="14.45">
      <c r="A361" s="59"/>
      <c r="B361" s="63"/>
      <c r="C361" s="61"/>
      <c r="D361" s="62"/>
      <c r="E361" s="157"/>
      <c r="F361" s="137"/>
      <c r="G361" s="251"/>
    </row>
    <row r="362" spans="1:7" s="30" customFormat="1" ht="14.45">
      <c r="A362" s="71"/>
      <c r="B362" s="72"/>
      <c r="C362" s="73"/>
      <c r="D362" s="74"/>
      <c r="E362" s="159"/>
      <c r="F362" s="138"/>
      <c r="G362" s="73"/>
    </row>
    <row r="363" spans="1:7" s="30" customFormat="1" ht="14.45">
      <c r="A363" s="75"/>
      <c r="B363" s="76"/>
      <c r="C363" s="77" t="s">
        <v>116</v>
      </c>
      <c r="D363" s="77"/>
      <c r="E363" s="160" t="s">
        <v>8</v>
      </c>
      <c r="F363" s="139">
        <f>SUM(F319:F346)</f>
        <v>9287021.8200000003</v>
      </c>
      <c r="G363" s="77"/>
    </row>
    <row r="364" spans="1:7" s="30" customFormat="1" ht="14.45">
      <c r="A364" s="75"/>
      <c r="B364" s="76"/>
      <c r="C364" s="78"/>
      <c r="D364" s="79"/>
      <c r="E364" s="161"/>
      <c r="F364" s="140"/>
      <c r="G364" s="78"/>
    </row>
  </sheetData>
  <customSheetViews>
    <customSheetView guid="{3432A39B-C5E3-4DF0-8655-3886C046AF9C}" showPageBreaks="1" printArea="1" view="pageBreakPreview" topLeftCell="A354">
      <selection activeCell="G364" sqref="G364"/>
      <rowBreaks count="8" manualBreakCount="8">
        <brk id="35" max="5" man="1"/>
        <brk id="72" max="5" man="1"/>
        <brk id="118" max="5" man="1"/>
        <brk id="149" max="5" man="1"/>
        <brk id="191" max="5" man="1"/>
        <brk id="234" max="5" man="1"/>
        <brk id="273" max="5" man="1"/>
        <brk id="317" max="5" man="1"/>
      </rowBreaks>
      <pageMargins left="0" right="0" top="0" bottom="0" header="0" footer="0"/>
      <printOptions horizontalCentered="1"/>
      <pageSetup paperSize="9" fitToHeight="0" orientation="portrait" useFirstPageNumber="1" r:id="rId1"/>
      <headerFooter>
        <oddHeader>&amp;R&amp;11&amp;U
BILL NO. 3 - MALL REFURBISHMENT
CONVEYING SYSTEMS</oddHeader>
        <oddFooter>&amp;L&amp;8DMS 148704 BOQ - Nakheel Mall Al Khail&amp;C3/P/&amp;P</oddFooter>
      </headerFooter>
    </customSheetView>
    <customSheetView guid="{47E345F0-E696-46B9-B7A2-C22AD1CF4FAA}" showPageBreaks="1" printArea="1" view="pageBreakPreview" topLeftCell="A333">
      <selection activeCell="E14" sqref="E14"/>
      <rowBreaks count="8" manualBreakCount="8">
        <brk id="35" max="5" man="1"/>
        <brk id="72" max="5" man="1"/>
        <brk id="118" max="5" man="1"/>
        <brk id="149" max="5" man="1"/>
        <brk id="191" max="5" man="1"/>
        <brk id="234" max="5" man="1"/>
        <brk id="273" max="5" man="1"/>
        <brk id="317" max="5" man="1"/>
      </rowBreaks>
      <pageMargins left="0" right="0" top="0" bottom="0" header="0" footer="0"/>
      <printOptions horizontalCentered="1"/>
      <pageSetup paperSize="9" fitToHeight="0" orientation="portrait" useFirstPageNumber="1" r:id="rId2"/>
      <headerFooter>
        <oddHeader>&amp;R&amp;11&amp;U
BILL NO. 3 - MALL REFURBISHMENT
CONVEYING SYSTEMS</oddHeader>
        <oddFooter>&amp;L&amp;8DMS 148704 BOQ - Nakheel Mall Al Khail&amp;C3/P/&amp;P</oddFooter>
      </headerFooter>
    </customSheetView>
    <customSheetView guid="{252EBC6A-BD49-4FC3-9285-77861935BFE3}" showPageBreaks="1" printArea="1" view="pageBreakPreview" topLeftCell="A346">
      <selection activeCell="F336" sqref="F336"/>
      <rowBreaks count="8" manualBreakCount="8">
        <brk id="35" max="5" man="1"/>
        <brk id="72" max="5" man="1"/>
        <brk id="118" max="5" man="1"/>
        <brk id="149" max="5" man="1"/>
        <brk id="191" max="5" man="1"/>
        <brk id="234" max="5" man="1"/>
        <brk id="273" max="5" man="1"/>
        <brk id="317" max="5" man="1"/>
      </rowBreaks>
      <pageMargins left="0" right="0" top="0" bottom="0" header="0" footer="0"/>
      <printOptions horizontalCentered="1"/>
      <pageSetup paperSize="9" fitToHeight="0" orientation="portrait" useFirstPageNumber="1" r:id="rId3"/>
      <headerFooter>
        <oddHeader>&amp;R&amp;11&amp;U
BILL NO. 3 - MALL REFURBISHMENT
CONVEYING SYSTEMS</oddHeader>
        <oddFooter>&amp;L&amp;8DMS 148704 BOQ - Nakheel Mall Al Khail&amp;C3/P/&amp;P</oddFooter>
      </headerFooter>
    </customSheetView>
    <customSheetView guid="{80D5E0F2-D974-412D-A20C-052459C7A221}" showPageBreaks="1" printArea="1" view="pageBreakPreview" topLeftCell="A354">
      <selection activeCell="G364" sqref="G364"/>
      <rowBreaks count="8" manualBreakCount="8">
        <brk id="35" max="5" man="1"/>
        <brk id="72" max="5" man="1"/>
        <brk id="118" max="5" man="1"/>
        <brk id="149" max="5" man="1"/>
        <brk id="191" max="5" man="1"/>
        <brk id="234" max="5" man="1"/>
        <brk id="273" max="5" man="1"/>
        <brk id="317" max="5" man="1"/>
      </rowBreaks>
      <pageMargins left="0" right="0" top="0" bottom="0" header="0" footer="0"/>
      <printOptions horizontalCentered="1"/>
      <pageSetup paperSize="9" fitToHeight="0" orientation="portrait" useFirstPageNumber="1" r:id="rId4"/>
      <headerFooter>
        <oddHeader>&amp;R&amp;11&amp;U
BILL NO. 3 - MALL REFURBISHMENT
CONVEYING SYSTEMS</oddHeader>
        <oddFooter>&amp;L&amp;8DMS 148704 BOQ - Nakheel Mall Al Khail&amp;C3/P/&amp;P</oddFooter>
      </headerFooter>
    </customSheetView>
  </customSheetViews>
  <mergeCells count="5">
    <mergeCell ref="A1:A2"/>
    <mergeCell ref="B1:B2"/>
    <mergeCell ref="C1:C2"/>
    <mergeCell ref="D1:D2"/>
    <mergeCell ref="G1:G2"/>
  </mergeCells>
  <printOptions horizontalCentered="1"/>
  <pageMargins left="0.6692913385826772" right="0.19685039370078741" top="0.82677165354330717" bottom="0.47244094488188981" header="0.19685039370078741" footer="0.23622047244094491"/>
  <pageSetup paperSize="9" scale="86" fitToHeight="0" orientation="portrait" useFirstPageNumber="1" r:id="rId5"/>
  <headerFooter>
    <oddHeader>&amp;R&amp;11&amp;U
BILL NO. 3 - MALL REFURBISHMENT
CONVEYING SYSTEMS</oddHeader>
    <oddFooter>&amp;L&amp;8DMS 148704 BOQ - Nakheel Mall Al Khail&amp;C3/P/&amp;P</oddFooter>
  </headerFooter>
  <rowBreaks count="8" manualBreakCount="8">
    <brk id="35" max="6" man="1"/>
    <brk id="72" max="6" man="1"/>
    <brk id="118" max="6" man="1"/>
    <brk id="149" max="6" man="1"/>
    <brk id="191" max="6" man="1"/>
    <brk id="234" max="6" man="1"/>
    <brk id="273" max="6" man="1"/>
    <brk id="316" max="6"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C2466-A5B9-4849-863A-E5603AD18FA3}">
  <sheetPr codeName="Sheet15">
    <tabColor rgb="FFFFFF00"/>
  </sheetPr>
  <dimension ref="A1:G1877"/>
  <sheetViews>
    <sheetView view="pageBreakPreview" zoomScale="85" zoomScaleNormal="100" zoomScaleSheetLayoutView="85" zoomScalePageLayoutView="70" workbookViewId="0">
      <pane ySplit="2" topLeftCell="A15" activePane="bottomLeft" state="frozen"/>
      <selection pane="bottomLeft" sqref="A1:E1048576"/>
      <selection activeCell="F34" sqref="F34"/>
    </sheetView>
  </sheetViews>
  <sheetFormatPr defaultColWidth="9.28515625" defaultRowHeight="13.9"/>
  <cols>
    <col min="1" max="1" width="5.7109375" style="85" customWidth="1"/>
    <col min="2" max="2" width="44.28515625" style="86" customWidth="1"/>
    <col min="3" max="3" width="9.7109375" style="87" customWidth="1"/>
    <col min="4" max="4" width="6.7109375" style="88" customWidth="1"/>
    <col min="5" max="5" width="14.28515625" style="162" customWidth="1"/>
    <col min="6" max="6" width="15.7109375" style="142" customWidth="1"/>
    <col min="7" max="7" width="8.5703125" style="229" customWidth="1"/>
    <col min="8" max="16384" width="9.28515625" style="89"/>
  </cols>
  <sheetData>
    <row r="1" spans="1:7" s="30" customFormat="1" ht="14.45">
      <c r="A1" s="332" t="s">
        <v>2</v>
      </c>
      <c r="B1" s="332" t="s">
        <v>3</v>
      </c>
      <c r="C1" s="334" t="s">
        <v>4</v>
      </c>
      <c r="D1" s="336" t="s">
        <v>5</v>
      </c>
      <c r="E1" s="155" t="s">
        <v>6</v>
      </c>
      <c r="F1" s="135" t="s">
        <v>7</v>
      </c>
      <c r="G1" s="344" t="s">
        <v>297</v>
      </c>
    </row>
    <row r="2" spans="1:7" s="30" customFormat="1" ht="14.45">
      <c r="A2" s="333"/>
      <c r="B2" s="333"/>
      <c r="C2" s="335"/>
      <c r="D2" s="337"/>
      <c r="E2" s="156" t="s">
        <v>8</v>
      </c>
      <c r="F2" s="136" t="s">
        <v>8</v>
      </c>
      <c r="G2" s="345"/>
    </row>
    <row r="3" spans="1:7" s="30" customFormat="1" ht="14.45">
      <c r="A3" s="31"/>
      <c r="B3" s="32"/>
      <c r="C3" s="29"/>
      <c r="D3" s="33"/>
      <c r="E3" s="157"/>
      <c r="F3" s="137"/>
      <c r="G3" s="217"/>
    </row>
    <row r="4" spans="1:7" s="30" customFormat="1" ht="27.6">
      <c r="A4" s="59"/>
      <c r="B4" s="63" t="s">
        <v>1281</v>
      </c>
      <c r="C4" s="61"/>
      <c r="D4" s="62"/>
      <c r="E4" s="157"/>
      <c r="F4" s="137"/>
      <c r="G4" s="217"/>
    </row>
    <row r="5" spans="1:7" s="30" customFormat="1" ht="14.45">
      <c r="A5" s="59"/>
      <c r="B5" s="63"/>
      <c r="C5" s="61"/>
      <c r="D5" s="62"/>
      <c r="E5" s="157"/>
      <c r="F5" s="137"/>
      <c r="G5" s="217"/>
    </row>
    <row r="6" spans="1:7" s="30" customFormat="1" ht="14.45">
      <c r="A6" s="59"/>
      <c r="B6" s="64" t="s">
        <v>1282</v>
      </c>
      <c r="C6" s="61"/>
      <c r="D6" s="62"/>
      <c r="E6" s="157"/>
      <c r="F6" s="137"/>
      <c r="G6" s="217"/>
    </row>
    <row r="7" spans="1:7" s="30" customFormat="1" ht="14.45">
      <c r="A7" s="59"/>
      <c r="B7" s="65"/>
      <c r="C7" s="61"/>
      <c r="D7" s="62"/>
      <c r="E7" s="157"/>
      <c r="F7" s="137"/>
      <c r="G7" s="217"/>
    </row>
    <row r="8" spans="1:7" s="30" customFormat="1" ht="14.45">
      <c r="A8" s="66"/>
      <c r="B8" s="67" t="s">
        <v>979</v>
      </c>
      <c r="C8" s="68"/>
      <c r="D8" s="69"/>
      <c r="E8" s="157"/>
      <c r="F8" s="137"/>
      <c r="G8" s="217"/>
    </row>
    <row r="9" spans="1:7" s="30" customFormat="1" ht="14.45">
      <c r="A9" s="59"/>
      <c r="B9" s="65"/>
      <c r="C9" s="61"/>
      <c r="D9" s="62"/>
      <c r="E9" s="157"/>
      <c r="F9" s="137"/>
      <c r="G9" s="217"/>
    </row>
    <row r="10" spans="1:7" s="30" customFormat="1" ht="41.45">
      <c r="A10" s="66"/>
      <c r="B10" s="67" t="s">
        <v>1283</v>
      </c>
      <c r="C10" s="68"/>
      <c r="D10" s="69"/>
      <c r="E10" s="157"/>
      <c r="F10" s="137"/>
      <c r="G10" s="217"/>
    </row>
    <row r="11" spans="1:7" s="30" customFormat="1" ht="14.45">
      <c r="A11" s="59"/>
      <c r="B11" s="65"/>
      <c r="C11" s="61"/>
      <c r="D11" s="62"/>
      <c r="E11" s="157"/>
      <c r="F11" s="137"/>
      <c r="G11" s="217"/>
    </row>
    <row r="12" spans="1:7" s="30" customFormat="1" ht="41.45">
      <c r="A12" s="66"/>
      <c r="B12" s="67" t="s">
        <v>1284</v>
      </c>
      <c r="C12" s="68"/>
      <c r="D12" s="69"/>
      <c r="E12" s="157"/>
      <c r="F12" s="137"/>
      <c r="G12" s="217"/>
    </row>
    <row r="13" spans="1:7" s="30" customFormat="1" ht="14.45">
      <c r="A13" s="59"/>
      <c r="B13" s="65"/>
      <c r="C13" s="61"/>
      <c r="D13" s="62"/>
      <c r="E13" s="157"/>
      <c r="F13" s="137"/>
      <c r="G13" s="217"/>
    </row>
    <row r="14" spans="1:7" s="30" customFormat="1" ht="27.6">
      <c r="A14" s="66"/>
      <c r="B14" s="98" t="s">
        <v>1285</v>
      </c>
      <c r="C14" s="68"/>
      <c r="D14" s="69"/>
      <c r="E14" s="157"/>
      <c r="F14" s="137"/>
      <c r="G14" s="217"/>
    </row>
    <row r="15" spans="1:7" s="30" customFormat="1" ht="14.45">
      <c r="A15" s="59"/>
      <c r="B15" s="100"/>
      <c r="C15" s="61"/>
      <c r="D15" s="62"/>
      <c r="E15" s="157"/>
      <c r="F15" s="137"/>
      <c r="G15" s="217"/>
    </row>
    <row r="16" spans="1:7" s="30" customFormat="1" ht="14.45">
      <c r="A16" s="66" t="s">
        <v>14</v>
      </c>
      <c r="B16" s="67" t="s">
        <v>1286</v>
      </c>
      <c r="C16" s="68" t="s">
        <v>1287</v>
      </c>
      <c r="D16" s="69" t="s">
        <v>199</v>
      </c>
      <c r="E16" s="157">
        <v>39.520000000000003</v>
      </c>
      <c r="F16" s="137">
        <f>C16*E16</f>
        <v>35054.240000000005</v>
      </c>
      <c r="G16" s="217"/>
    </row>
    <row r="17" spans="1:7" s="30" customFormat="1" ht="14.45">
      <c r="A17" s="59"/>
      <c r="B17" s="100"/>
      <c r="C17" s="61"/>
      <c r="D17" s="62"/>
      <c r="E17" s="157"/>
      <c r="F17" s="137"/>
      <c r="G17" s="217"/>
    </row>
    <row r="18" spans="1:7" s="30" customFormat="1" ht="14.45">
      <c r="A18" s="66" t="s">
        <v>17</v>
      </c>
      <c r="B18" s="67" t="s">
        <v>1288</v>
      </c>
      <c r="C18" s="68" t="s">
        <v>524</v>
      </c>
      <c r="D18" s="69" t="s">
        <v>199</v>
      </c>
      <c r="E18" s="157">
        <v>43.36</v>
      </c>
      <c r="F18" s="137">
        <f>C18*E18</f>
        <v>2948.48</v>
      </c>
      <c r="G18" s="217"/>
    </row>
    <row r="19" spans="1:7" s="30" customFormat="1" ht="14.45">
      <c r="A19" s="59"/>
      <c r="B19" s="100"/>
      <c r="C19" s="61"/>
      <c r="D19" s="62"/>
      <c r="E19" s="157"/>
      <c r="F19" s="137"/>
      <c r="G19" s="217"/>
    </row>
    <row r="20" spans="1:7" s="30" customFormat="1" ht="14.45">
      <c r="A20" s="66" t="s">
        <v>20</v>
      </c>
      <c r="B20" s="67" t="s">
        <v>1289</v>
      </c>
      <c r="C20" s="68" t="s">
        <v>1072</v>
      </c>
      <c r="D20" s="69" t="s">
        <v>199</v>
      </c>
      <c r="E20" s="157">
        <v>49.76</v>
      </c>
      <c r="F20" s="137">
        <f>C20*E20</f>
        <v>845.92</v>
      </c>
      <c r="G20" s="217"/>
    </row>
    <row r="21" spans="1:7" s="30" customFormat="1" ht="14.45">
      <c r="A21" s="59"/>
      <c r="B21" s="100"/>
      <c r="C21" s="61"/>
      <c r="D21" s="62"/>
      <c r="E21" s="157"/>
      <c r="F21" s="137"/>
      <c r="G21" s="217"/>
    </row>
    <row r="22" spans="1:7" s="30" customFormat="1" ht="41.45">
      <c r="A22" s="66"/>
      <c r="B22" s="98" t="s">
        <v>1290</v>
      </c>
      <c r="C22" s="68"/>
      <c r="D22" s="69"/>
      <c r="E22" s="157"/>
      <c r="F22" s="137"/>
      <c r="G22" s="217"/>
    </row>
    <row r="23" spans="1:7" s="30" customFormat="1" ht="14.45">
      <c r="A23" s="59"/>
      <c r="B23" s="100"/>
      <c r="C23" s="61"/>
      <c r="D23" s="62"/>
      <c r="E23" s="157"/>
      <c r="F23" s="137"/>
      <c r="G23" s="217"/>
    </row>
    <row r="24" spans="1:7" s="30" customFormat="1" ht="14.45">
      <c r="A24" s="66" t="s">
        <v>23</v>
      </c>
      <c r="B24" s="67" t="s">
        <v>1291</v>
      </c>
      <c r="C24" s="68" t="s">
        <v>1292</v>
      </c>
      <c r="D24" s="69" t="s">
        <v>1044</v>
      </c>
      <c r="E24" s="157">
        <v>56.16</v>
      </c>
      <c r="F24" s="137">
        <f>C24*E24</f>
        <v>2920.3199999999997</v>
      </c>
      <c r="G24" s="217"/>
    </row>
    <row r="25" spans="1:7" s="30" customFormat="1" ht="14.45">
      <c r="A25" s="59"/>
      <c r="B25" s="100"/>
      <c r="C25" s="61"/>
      <c r="D25" s="62"/>
      <c r="E25" s="157"/>
      <c r="F25" s="137"/>
      <c r="G25" s="217"/>
    </row>
    <row r="26" spans="1:7" s="30" customFormat="1" ht="14.45">
      <c r="A26" s="66" t="s">
        <v>27</v>
      </c>
      <c r="B26" s="67" t="s">
        <v>1293</v>
      </c>
      <c r="C26" s="68" t="s">
        <v>1294</v>
      </c>
      <c r="D26" s="69" t="s">
        <v>1044</v>
      </c>
      <c r="E26" s="157">
        <v>56.16</v>
      </c>
      <c r="F26" s="137">
        <f>C26*E26</f>
        <v>6289.92</v>
      </c>
      <c r="G26" s="217"/>
    </row>
    <row r="27" spans="1:7" s="30" customFormat="1" ht="14.45">
      <c r="A27" s="59"/>
      <c r="B27" s="100"/>
      <c r="C27" s="61"/>
      <c r="D27" s="62"/>
      <c r="E27" s="157"/>
      <c r="F27" s="137"/>
      <c r="G27" s="217"/>
    </row>
    <row r="28" spans="1:7" s="30" customFormat="1" ht="41.45">
      <c r="A28" s="66"/>
      <c r="B28" s="98" t="s">
        <v>1295</v>
      </c>
      <c r="C28" s="68"/>
      <c r="D28" s="69"/>
      <c r="E28" s="157"/>
      <c r="F28" s="137"/>
      <c r="G28" s="217"/>
    </row>
    <row r="29" spans="1:7" s="30" customFormat="1" ht="14.45">
      <c r="A29" s="59"/>
      <c r="B29" s="100"/>
      <c r="C29" s="61"/>
      <c r="D29" s="62"/>
      <c r="E29" s="157"/>
      <c r="F29" s="137"/>
      <c r="G29" s="217"/>
    </row>
    <row r="30" spans="1:7" s="30" customFormat="1" ht="14.45">
      <c r="A30" s="66" t="s">
        <v>44</v>
      </c>
      <c r="B30" s="67" t="s">
        <v>1296</v>
      </c>
      <c r="C30" s="68" t="s">
        <v>304</v>
      </c>
      <c r="D30" s="69" t="s">
        <v>1044</v>
      </c>
      <c r="E30" s="157">
        <v>2056.0300000000002</v>
      </c>
      <c r="F30" s="137">
        <f>C30*E30</f>
        <v>2056.0300000000002</v>
      </c>
      <c r="G30" s="217"/>
    </row>
    <row r="31" spans="1:7" s="30" customFormat="1" ht="14.45">
      <c r="A31" s="59"/>
      <c r="B31" s="100"/>
      <c r="C31" s="61"/>
      <c r="D31" s="62"/>
      <c r="E31" s="157"/>
      <c r="F31" s="137"/>
      <c r="G31" s="217"/>
    </row>
    <row r="32" spans="1:7" s="91" customFormat="1" ht="14.45">
      <c r="A32" s="80" t="s">
        <v>48</v>
      </c>
      <c r="B32" s="81" t="s">
        <v>1297</v>
      </c>
      <c r="C32" s="82" t="s">
        <v>304</v>
      </c>
      <c r="D32" s="83" t="s">
        <v>1044</v>
      </c>
      <c r="E32" s="158">
        <v>2538.71</v>
      </c>
      <c r="F32" s="137">
        <f>C32*E32</f>
        <v>2538.71</v>
      </c>
      <c r="G32" s="217"/>
    </row>
    <row r="33" spans="1:7" s="30" customFormat="1" ht="14.45">
      <c r="A33" s="59"/>
      <c r="B33" s="100"/>
      <c r="C33" s="61"/>
      <c r="D33" s="62"/>
      <c r="E33" s="157"/>
      <c r="F33" s="137"/>
      <c r="G33" s="217"/>
    </row>
    <row r="34" spans="1:7" s="91" customFormat="1" ht="14.45">
      <c r="A34" s="80" t="s">
        <v>84</v>
      </c>
      <c r="B34" s="81" t="s">
        <v>1298</v>
      </c>
      <c r="C34" s="82" t="s">
        <v>304</v>
      </c>
      <c r="D34" s="83" t="s">
        <v>1044</v>
      </c>
      <c r="E34" s="158">
        <v>2538.71</v>
      </c>
      <c r="F34" s="137">
        <f>C34*E34</f>
        <v>2538.71</v>
      </c>
      <c r="G34" s="217"/>
    </row>
    <row r="35" spans="1:7" s="30" customFormat="1" ht="14.45">
      <c r="A35" s="59"/>
      <c r="B35" s="100"/>
      <c r="C35" s="61"/>
      <c r="D35" s="62"/>
      <c r="E35" s="157"/>
      <c r="F35" s="137"/>
      <c r="G35" s="217"/>
    </row>
    <row r="36" spans="1:7" s="91" customFormat="1" ht="14.45">
      <c r="A36" s="80" t="s">
        <v>86</v>
      </c>
      <c r="B36" s="81" t="s">
        <v>1299</v>
      </c>
      <c r="C36" s="82" t="s">
        <v>304</v>
      </c>
      <c r="D36" s="83" t="s">
        <v>1044</v>
      </c>
      <c r="E36" s="158">
        <v>2538.71</v>
      </c>
      <c r="F36" s="137">
        <f>C36*E36</f>
        <v>2538.71</v>
      </c>
      <c r="G36" s="217"/>
    </row>
    <row r="37" spans="1:7" s="30" customFormat="1" ht="14.45">
      <c r="A37" s="59"/>
      <c r="B37" s="100"/>
      <c r="C37" s="61"/>
      <c r="D37" s="62"/>
      <c r="E37" s="157"/>
      <c r="F37" s="137"/>
      <c r="G37" s="217"/>
    </row>
    <row r="38" spans="1:7" s="91" customFormat="1" ht="14.45">
      <c r="A38" s="80" t="s">
        <v>90</v>
      </c>
      <c r="B38" s="81" t="s">
        <v>1300</v>
      </c>
      <c r="C38" s="82" t="s">
        <v>304</v>
      </c>
      <c r="D38" s="83" t="s">
        <v>1044</v>
      </c>
      <c r="E38" s="158">
        <v>2538.71</v>
      </c>
      <c r="F38" s="137">
        <f>C38*E38</f>
        <v>2538.71</v>
      </c>
      <c r="G38" s="217"/>
    </row>
    <row r="39" spans="1:7" s="91" customFormat="1" ht="14.45">
      <c r="A39" s="80"/>
      <c r="B39" s="102"/>
      <c r="C39" s="82"/>
      <c r="D39" s="83"/>
      <c r="E39" s="158"/>
      <c r="F39" s="141"/>
      <c r="G39" s="234"/>
    </row>
    <row r="40" spans="1:7" s="30" customFormat="1" ht="14.45">
      <c r="A40" s="59"/>
      <c r="B40" s="63"/>
      <c r="C40" s="61"/>
      <c r="D40" s="62"/>
      <c r="E40" s="157"/>
      <c r="F40" s="137"/>
      <c r="G40" s="217"/>
    </row>
    <row r="41" spans="1:7" s="30" customFormat="1" ht="14.45">
      <c r="A41" s="71"/>
      <c r="B41" s="72"/>
      <c r="C41" s="73"/>
      <c r="D41" s="74"/>
      <c r="E41" s="159"/>
      <c r="F41" s="138"/>
      <c r="G41" s="226"/>
    </row>
    <row r="42" spans="1:7" s="30" customFormat="1" ht="14.45">
      <c r="A42" s="75"/>
      <c r="B42" s="76"/>
      <c r="C42" s="77" t="s">
        <v>30</v>
      </c>
      <c r="D42" s="77"/>
      <c r="E42" s="160" t="s">
        <v>8</v>
      </c>
      <c r="F42" s="139">
        <f>SUM(F12:F39)</f>
        <v>60269.75</v>
      </c>
      <c r="G42" s="227"/>
    </row>
    <row r="43" spans="1:7" s="30" customFormat="1" ht="14.45">
      <c r="A43" s="75"/>
      <c r="B43" s="76"/>
      <c r="C43" s="78"/>
      <c r="D43" s="79"/>
      <c r="E43" s="161"/>
      <c r="F43" s="140"/>
      <c r="G43" s="228"/>
    </row>
    <row r="44" spans="1:7" s="30" customFormat="1" ht="14.45">
      <c r="A44" s="59"/>
      <c r="B44" s="63"/>
      <c r="C44" s="61"/>
      <c r="D44" s="62"/>
      <c r="E44" s="157"/>
      <c r="F44" s="137"/>
      <c r="G44" s="217"/>
    </row>
    <row r="45" spans="1:7" s="30" customFormat="1" ht="14.45">
      <c r="A45" s="59"/>
      <c r="B45" s="64" t="s">
        <v>1301</v>
      </c>
      <c r="C45" s="61"/>
      <c r="D45" s="62"/>
      <c r="E45" s="157"/>
      <c r="F45" s="137"/>
      <c r="G45" s="217"/>
    </row>
    <row r="46" spans="1:7" s="30" customFormat="1" ht="14.45">
      <c r="A46" s="59"/>
      <c r="B46" s="100"/>
      <c r="C46" s="61"/>
      <c r="D46" s="62"/>
      <c r="E46" s="157"/>
      <c r="F46" s="137"/>
      <c r="G46" s="217"/>
    </row>
    <row r="47" spans="1:7" s="30" customFormat="1" ht="14.45">
      <c r="A47" s="66" t="s">
        <v>14</v>
      </c>
      <c r="B47" s="67" t="s">
        <v>1302</v>
      </c>
      <c r="C47" s="68" t="s">
        <v>304</v>
      </c>
      <c r="D47" s="69" t="s">
        <v>1044</v>
      </c>
      <c r="E47" s="157">
        <v>2056.0300000000002</v>
      </c>
      <c r="F47" s="137">
        <f>C47*E47</f>
        <v>2056.0300000000002</v>
      </c>
      <c r="G47" s="217"/>
    </row>
    <row r="48" spans="1:7" s="30" customFormat="1" ht="14.45">
      <c r="A48" s="59"/>
      <c r="B48" s="100"/>
      <c r="C48" s="61"/>
      <c r="D48" s="62"/>
      <c r="E48" s="157"/>
      <c r="F48" s="137"/>
      <c r="G48" s="217"/>
    </row>
    <row r="49" spans="1:7" s="30" customFormat="1" ht="14.45">
      <c r="A49" s="66" t="s">
        <v>17</v>
      </c>
      <c r="B49" s="67" t="s">
        <v>1303</v>
      </c>
      <c r="C49" s="68" t="s">
        <v>304</v>
      </c>
      <c r="D49" s="69" t="s">
        <v>1044</v>
      </c>
      <c r="E49" s="157">
        <v>2056.0300000000002</v>
      </c>
      <c r="F49" s="137">
        <f>C49*E49</f>
        <v>2056.0300000000002</v>
      </c>
      <c r="G49" s="217"/>
    </row>
    <row r="50" spans="1:7" s="30" customFormat="1" ht="14.45">
      <c r="A50" s="59"/>
      <c r="B50" s="100"/>
      <c r="C50" s="61"/>
      <c r="D50" s="62"/>
      <c r="E50" s="157"/>
      <c r="F50" s="137"/>
      <c r="G50" s="217"/>
    </row>
    <row r="51" spans="1:7" s="30" customFormat="1" ht="14.45">
      <c r="A51" s="66" t="s">
        <v>20</v>
      </c>
      <c r="B51" s="67" t="s">
        <v>1304</v>
      </c>
      <c r="C51" s="68" t="s">
        <v>304</v>
      </c>
      <c r="D51" s="69" t="s">
        <v>1044</v>
      </c>
      <c r="E51" s="157">
        <v>2056.0300000000002</v>
      </c>
      <c r="F51" s="137">
        <f>C51*E51</f>
        <v>2056.0300000000002</v>
      </c>
      <c r="G51" s="217"/>
    </row>
    <row r="52" spans="1:7" s="30" customFormat="1" ht="14.45">
      <c r="A52" s="59"/>
      <c r="B52" s="100"/>
      <c r="C52" s="61"/>
      <c r="D52" s="62"/>
      <c r="E52" s="157"/>
      <c r="F52" s="137"/>
      <c r="G52" s="217"/>
    </row>
    <row r="53" spans="1:7" s="30" customFormat="1" ht="55.15">
      <c r="A53" s="66" t="s">
        <v>23</v>
      </c>
      <c r="B53" s="67" t="s">
        <v>1305</v>
      </c>
      <c r="C53" s="68"/>
      <c r="D53" s="69" t="s">
        <v>2</v>
      </c>
      <c r="E53" s="157">
        <v>18134.34</v>
      </c>
      <c r="F53" s="137">
        <f>+E53</f>
        <v>18134.34</v>
      </c>
      <c r="G53" s="217"/>
    </row>
    <row r="54" spans="1:7" s="30" customFormat="1" ht="14.45">
      <c r="A54" s="59"/>
      <c r="B54" s="63"/>
      <c r="C54" s="61"/>
      <c r="D54" s="62"/>
      <c r="E54" s="157"/>
      <c r="F54" s="137"/>
      <c r="G54" s="217"/>
    </row>
    <row r="55" spans="1:7" s="30" customFormat="1" ht="14.45">
      <c r="A55" s="59"/>
      <c r="B55" s="63"/>
      <c r="C55" s="61"/>
      <c r="D55" s="62"/>
      <c r="E55" s="157"/>
      <c r="F55" s="137"/>
      <c r="G55" s="217"/>
    </row>
    <row r="56" spans="1:7" s="30" customFormat="1" ht="14.45">
      <c r="A56" s="59"/>
      <c r="B56" s="63"/>
      <c r="C56" s="61"/>
      <c r="D56" s="62"/>
      <c r="E56" s="157"/>
      <c r="F56" s="137"/>
      <c r="G56" s="217"/>
    </row>
    <row r="57" spans="1:7" s="30" customFormat="1" ht="14.45">
      <c r="A57" s="59"/>
      <c r="B57" s="63"/>
      <c r="C57" s="61"/>
      <c r="D57" s="62"/>
      <c r="E57" s="157"/>
      <c r="F57" s="137"/>
      <c r="G57" s="217"/>
    </row>
    <row r="58" spans="1:7" s="30" customFormat="1" ht="14.45">
      <c r="A58" s="59"/>
      <c r="B58" s="63"/>
      <c r="C58" s="61"/>
      <c r="D58" s="62"/>
      <c r="E58" s="157"/>
      <c r="F58" s="137"/>
      <c r="G58" s="217"/>
    </row>
    <row r="59" spans="1:7" s="30" customFormat="1" ht="14.45">
      <c r="A59" s="59"/>
      <c r="B59" s="63"/>
      <c r="C59" s="61"/>
      <c r="D59" s="62"/>
      <c r="E59" s="157"/>
      <c r="F59" s="137"/>
      <c r="G59" s="217"/>
    </row>
    <row r="60" spans="1:7" s="30" customFormat="1" ht="14.45">
      <c r="A60" s="59"/>
      <c r="B60" s="63"/>
      <c r="C60" s="61"/>
      <c r="D60" s="62"/>
      <c r="E60" s="157"/>
      <c r="F60" s="137"/>
      <c r="G60" s="217"/>
    </row>
    <row r="61" spans="1:7" s="30" customFormat="1" ht="14.45">
      <c r="A61" s="59"/>
      <c r="B61" s="63"/>
      <c r="C61" s="61"/>
      <c r="D61" s="62"/>
      <c r="E61" s="157"/>
      <c r="F61" s="137"/>
      <c r="G61" s="217"/>
    </row>
    <row r="62" spans="1:7" s="30" customFormat="1" ht="14.45">
      <c r="A62" s="59"/>
      <c r="B62" s="63"/>
      <c r="C62" s="61"/>
      <c r="D62" s="62"/>
      <c r="E62" s="157"/>
      <c r="F62" s="137"/>
      <c r="G62" s="217"/>
    </row>
    <row r="63" spans="1:7" s="30" customFormat="1" ht="14.45">
      <c r="A63" s="59"/>
      <c r="B63" s="63"/>
      <c r="C63" s="61"/>
      <c r="D63" s="62"/>
      <c r="E63" s="157"/>
      <c r="F63" s="137"/>
      <c r="G63" s="217"/>
    </row>
    <row r="64" spans="1:7" s="30" customFormat="1" ht="14.45">
      <c r="A64" s="59"/>
      <c r="B64" s="63"/>
      <c r="C64" s="61"/>
      <c r="D64" s="62"/>
      <c r="E64" s="157"/>
      <c r="F64" s="137"/>
      <c r="G64" s="217"/>
    </row>
    <row r="65" spans="1:7" s="30" customFormat="1" ht="14.45">
      <c r="A65" s="59"/>
      <c r="B65" s="63"/>
      <c r="C65" s="61"/>
      <c r="D65" s="62"/>
      <c r="E65" s="157"/>
      <c r="F65" s="137"/>
      <c r="G65" s="217"/>
    </row>
    <row r="66" spans="1:7" s="30" customFormat="1" ht="14.45">
      <c r="A66" s="59"/>
      <c r="B66" s="63"/>
      <c r="C66" s="61"/>
      <c r="D66" s="62"/>
      <c r="E66" s="157"/>
      <c r="F66" s="137"/>
      <c r="G66" s="217"/>
    </row>
    <row r="67" spans="1:7" s="30" customFormat="1" ht="14.45">
      <c r="A67" s="59"/>
      <c r="B67" s="63"/>
      <c r="C67" s="61"/>
      <c r="D67" s="62"/>
      <c r="E67" s="157"/>
      <c r="F67" s="137"/>
      <c r="G67" s="217"/>
    </row>
    <row r="68" spans="1:7" s="30" customFormat="1" ht="14.45">
      <c r="A68" s="59"/>
      <c r="B68" s="63"/>
      <c r="C68" s="61"/>
      <c r="D68" s="62"/>
      <c r="E68" s="157"/>
      <c r="F68" s="137"/>
      <c r="G68" s="217"/>
    </row>
    <row r="69" spans="1:7" s="30" customFormat="1" ht="14.45">
      <c r="A69" s="59"/>
      <c r="B69" s="63"/>
      <c r="C69" s="61"/>
      <c r="D69" s="62"/>
      <c r="E69" s="157"/>
      <c r="F69" s="137"/>
      <c r="G69" s="217"/>
    </row>
    <row r="70" spans="1:7" s="30" customFormat="1" ht="14.45">
      <c r="A70" s="59"/>
      <c r="B70" s="63"/>
      <c r="C70" s="61"/>
      <c r="D70" s="62"/>
      <c r="E70" s="157"/>
      <c r="F70" s="137"/>
      <c r="G70" s="217"/>
    </row>
    <row r="71" spans="1:7" s="30" customFormat="1" ht="14.45">
      <c r="A71" s="59"/>
      <c r="B71" s="63"/>
      <c r="C71" s="61"/>
      <c r="D71" s="62"/>
      <c r="E71" s="157"/>
      <c r="F71" s="137"/>
      <c r="G71" s="217"/>
    </row>
    <row r="72" spans="1:7" s="30" customFormat="1" ht="14.45">
      <c r="A72" s="59"/>
      <c r="B72" s="63"/>
      <c r="C72" s="61"/>
      <c r="D72" s="62"/>
      <c r="E72" s="157"/>
      <c r="F72" s="137"/>
      <c r="G72" s="217"/>
    </row>
    <row r="73" spans="1:7" s="30" customFormat="1" ht="14.45">
      <c r="A73" s="59"/>
      <c r="B73" s="63"/>
      <c r="C73" s="61"/>
      <c r="D73" s="62"/>
      <c r="E73" s="157"/>
      <c r="F73" s="137"/>
      <c r="G73" s="217"/>
    </row>
    <row r="74" spans="1:7" s="30" customFormat="1" ht="14.45">
      <c r="A74" s="59"/>
      <c r="B74" s="63"/>
      <c r="C74" s="61"/>
      <c r="D74" s="62"/>
      <c r="E74" s="157"/>
      <c r="F74" s="137"/>
      <c r="G74" s="217"/>
    </row>
    <row r="75" spans="1:7" s="30" customFormat="1" ht="14.45">
      <c r="A75" s="59"/>
      <c r="B75" s="63"/>
      <c r="C75" s="61"/>
      <c r="D75" s="62"/>
      <c r="E75" s="157"/>
      <c r="F75" s="137"/>
      <c r="G75" s="217"/>
    </row>
    <row r="76" spans="1:7" s="30" customFormat="1" ht="14.45">
      <c r="A76" s="59"/>
      <c r="B76" s="63"/>
      <c r="C76" s="61"/>
      <c r="D76" s="62"/>
      <c r="E76" s="157"/>
      <c r="F76" s="137"/>
      <c r="G76" s="217"/>
    </row>
    <row r="77" spans="1:7" s="30" customFormat="1" ht="14.45">
      <c r="A77" s="59"/>
      <c r="B77" s="63"/>
      <c r="C77" s="61"/>
      <c r="D77" s="62"/>
      <c r="E77" s="157"/>
      <c r="F77" s="137"/>
      <c r="G77" s="217"/>
    </row>
    <row r="78" spans="1:7" s="30" customFormat="1" ht="14.45">
      <c r="A78" s="59"/>
      <c r="B78" s="63"/>
      <c r="C78" s="61"/>
      <c r="D78" s="62"/>
      <c r="E78" s="157"/>
      <c r="F78" s="137"/>
      <c r="G78" s="217"/>
    </row>
    <row r="79" spans="1:7" s="30" customFormat="1" ht="14.45">
      <c r="A79" s="59"/>
      <c r="B79" s="63"/>
      <c r="C79" s="61"/>
      <c r="D79" s="62"/>
      <c r="E79" s="157"/>
      <c r="F79" s="137"/>
      <c r="G79" s="217"/>
    </row>
    <row r="80" spans="1:7" s="30" customFormat="1" ht="14.45">
      <c r="A80" s="59"/>
      <c r="B80" s="63"/>
      <c r="C80" s="61"/>
      <c r="D80" s="62"/>
      <c r="E80" s="157"/>
      <c r="F80" s="137"/>
      <c r="G80" s="217"/>
    </row>
    <row r="81" spans="1:7" s="30" customFormat="1" ht="14.45">
      <c r="A81" s="59"/>
      <c r="B81" s="63"/>
      <c r="C81" s="61"/>
      <c r="D81" s="62"/>
      <c r="E81" s="157"/>
      <c r="F81" s="137"/>
      <c r="G81" s="217"/>
    </row>
    <row r="82" spans="1:7" s="30" customFormat="1" ht="14.45">
      <c r="A82" s="59"/>
      <c r="B82" s="63"/>
      <c r="C82" s="61"/>
      <c r="D82" s="62"/>
      <c r="E82" s="157"/>
      <c r="F82" s="137"/>
      <c r="G82" s="217"/>
    </row>
    <row r="83" spans="1:7" s="30" customFormat="1" ht="14.45">
      <c r="A83" s="59"/>
      <c r="B83" s="63"/>
      <c r="C83" s="61"/>
      <c r="D83" s="62"/>
      <c r="E83" s="157"/>
      <c r="F83" s="137"/>
      <c r="G83" s="217"/>
    </row>
    <row r="84" spans="1:7" s="30" customFormat="1" ht="14.45">
      <c r="A84" s="59"/>
      <c r="B84" s="63"/>
      <c r="C84" s="61"/>
      <c r="D84" s="62"/>
      <c r="E84" s="157"/>
      <c r="F84" s="137"/>
      <c r="G84" s="217"/>
    </row>
    <row r="85" spans="1:7" s="30" customFormat="1" ht="14.45">
      <c r="A85" s="59"/>
      <c r="B85" s="63"/>
      <c r="C85" s="61"/>
      <c r="D85" s="62"/>
      <c r="E85" s="157"/>
      <c r="F85" s="137"/>
      <c r="G85" s="217"/>
    </row>
    <row r="86" spans="1:7" s="30" customFormat="1" ht="14.45">
      <c r="A86" s="71"/>
      <c r="B86" s="72"/>
      <c r="C86" s="73"/>
      <c r="D86" s="74"/>
      <c r="E86" s="159"/>
      <c r="F86" s="138"/>
      <c r="G86" s="226"/>
    </row>
    <row r="87" spans="1:7" s="30" customFormat="1" ht="14.45">
      <c r="A87" s="75"/>
      <c r="B87" s="76"/>
      <c r="C87" s="77" t="s">
        <v>30</v>
      </c>
      <c r="D87" s="77"/>
      <c r="E87" s="160" t="s">
        <v>8</v>
      </c>
      <c r="F87" s="139">
        <f>SUM(F45:F78)</f>
        <v>24302.43</v>
      </c>
      <c r="G87" s="227"/>
    </row>
    <row r="88" spans="1:7" s="30" customFormat="1" ht="14.45">
      <c r="A88" s="75"/>
      <c r="B88" s="76"/>
      <c r="C88" s="78"/>
      <c r="D88" s="79"/>
      <c r="E88" s="161"/>
      <c r="F88" s="140"/>
      <c r="G88" s="228"/>
    </row>
    <row r="89" spans="1:7" s="30" customFormat="1" ht="14.45">
      <c r="A89" s="59"/>
      <c r="B89" s="63"/>
      <c r="C89" s="61"/>
      <c r="D89" s="62"/>
      <c r="E89" s="157"/>
      <c r="F89" s="137"/>
      <c r="G89" s="217"/>
    </row>
    <row r="90" spans="1:7" s="30" customFormat="1" ht="14.45">
      <c r="A90" s="59"/>
      <c r="B90" s="64" t="s">
        <v>1306</v>
      </c>
      <c r="C90" s="61"/>
      <c r="D90" s="62"/>
      <c r="E90" s="157"/>
      <c r="F90" s="137"/>
      <c r="G90" s="217"/>
    </row>
    <row r="91" spans="1:7" s="30" customFormat="1" ht="14.45">
      <c r="A91" s="59"/>
      <c r="B91" s="100"/>
      <c r="C91" s="61"/>
      <c r="D91" s="62"/>
      <c r="E91" s="157"/>
      <c r="F91" s="137"/>
      <c r="G91" s="217"/>
    </row>
    <row r="92" spans="1:7" s="30" customFormat="1" ht="14.45">
      <c r="A92" s="66"/>
      <c r="B92" s="99" t="s">
        <v>979</v>
      </c>
      <c r="C92" s="68"/>
      <c r="D92" s="69"/>
      <c r="E92" s="157"/>
      <c r="F92" s="137"/>
      <c r="G92" s="217"/>
    </row>
    <row r="93" spans="1:7" s="30" customFormat="1" ht="14.45">
      <c r="A93" s="59"/>
      <c r="B93" s="100"/>
      <c r="C93" s="61"/>
      <c r="D93" s="62"/>
      <c r="E93" s="157"/>
      <c r="F93" s="137"/>
      <c r="G93" s="217"/>
    </row>
    <row r="94" spans="1:7" s="30" customFormat="1" ht="41.45">
      <c r="A94" s="66"/>
      <c r="B94" s="99" t="s">
        <v>1307</v>
      </c>
      <c r="C94" s="68"/>
      <c r="D94" s="69"/>
      <c r="E94" s="157"/>
      <c r="F94" s="137"/>
      <c r="G94" s="217"/>
    </row>
    <row r="95" spans="1:7" s="30" customFormat="1" ht="14.45">
      <c r="A95" s="59"/>
      <c r="B95" s="100"/>
      <c r="C95" s="61"/>
      <c r="D95" s="62"/>
      <c r="E95" s="157"/>
      <c r="F95" s="137"/>
      <c r="G95" s="217"/>
    </row>
    <row r="96" spans="1:7" s="30" customFormat="1" ht="41.45">
      <c r="A96" s="66"/>
      <c r="B96" s="99" t="s">
        <v>1308</v>
      </c>
      <c r="C96" s="68"/>
      <c r="D96" s="69"/>
      <c r="E96" s="157"/>
      <c r="F96" s="137"/>
      <c r="G96" s="217"/>
    </row>
    <row r="97" spans="1:7" s="30" customFormat="1" ht="14.45">
      <c r="A97" s="59"/>
      <c r="B97" s="100"/>
      <c r="C97" s="61"/>
      <c r="D97" s="62"/>
      <c r="E97" s="157"/>
      <c r="F97" s="137"/>
      <c r="G97" s="217"/>
    </row>
    <row r="98" spans="1:7" s="30" customFormat="1" ht="41.45">
      <c r="A98" s="66"/>
      <c r="B98" s="99" t="s">
        <v>1309</v>
      </c>
      <c r="C98" s="68"/>
      <c r="D98" s="69"/>
      <c r="E98" s="157"/>
      <c r="F98" s="137"/>
      <c r="G98" s="217"/>
    </row>
    <row r="99" spans="1:7" s="30" customFormat="1" ht="14.45">
      <c r="A99" s="59"/>
      <c r="B99" s="100"/>
      <c r="C99" s="61"/>
      <c r="D99" s="62"/>
      <c r="E99" s="157"/>
      <c r="F99" s="137"/>
      <c r="G99" s="217"/>
    </row>
    <row r="100" spans="1:7" s="30" customFormat="1" ht="27.6">
      <c r="A100" s="66"/>
      <c r="B100" s="98" t="s">
        <v>1310</v>
      </c>
      <c r="C100" s="68"/>
      <c r="D100" s="69"/>
      <c r="E100" s="157"/>
      <c r="F100" s="137"/>
      <c r="G100" s="217"/>
    </row>
    <row r="101" spans="1:7" s="30" customFormat="1" ht="14.45">
      <c r="A101" s="59"/>
      <c r="B101" s="100"/>
      <c r="C101" s="61"/>
      <c r="D101" s="62"/>
      <c r="E101" s="157"/>
      <c r="F101" s="137"/>
      <c r="G101" s="217"/>
    </row>
    <row r="102" spans="1:7" s="30" customFormat="1" ht="14.45">
      <c r="A102" s="66"/>
      <c r="B102" s="98" t="s">
        <v>1311</v>
      </c>
      <c r="C102" s="68"/>
      <c r="D102" s="69"/>
      <c r="E102" s="157"/>
      <c r="F102" s="137"/>
      <c r="G102" s="217"/>
    </row>
    <row r="103" spans="1:7" s="30" customFormat="1" ht="14.45">
      <c r="A103" s="59"/>
      <c r="B103" s="100"/>
      <c r="C103" s="61"/>
      <c r="D103" s="62"/>
      <c r="E103" s="157"/>
      <c r="F103" s="137"/>
      <c r="G103" s="217"/>
    </row>
    <row r="104" spans="1:7" s="30" customFormat="1" ht="14.45">
      <c r="A104" s="66" t="s">
        <v>14</v>
      </c>
      <c r="B104" s="67" t="s">
        <v>1312</v>
      </c>
      <c r="C104" s="68" t="s">
        <v>1155</v>
      </c>
      <c r="D104" s="69" t="s">
        <v>199</v>
      </c>
      <c r="E104" s="157">
        <v>119.7</v>
      </c>
      <c r="F104" s="137">
        <f>C104*E104</f>
        <v>2274.3000000000002</v>
      </c>
      <c r="G104" s="217"/>
    </row>
    <row r="105" spans="1:7" s="30" customFormat="1" ht="14.45">
      <c r="A105" s="59"/>
      <c r="B105" s="100"/>
      <c r="C105" s="61"/>
      <c r="D105" s="62"/>
      <c r="E105" s="157"/>
      <c r="F105" s="137"/>
      <c r="G105" s="217"/>
    </row>
    <row r="106" spans="1:7" s="30" customFormat="1" ht="14.45">
      <c r="A106" s="66" t="s">
        <v>17</v>
      </c>
      <c r="B106" s="67" t="s">
        <v>1313</v>
      </c>
      <c r="C106" s="68" t="s">
        <v>1314</v>
      </c>
      <c r="D106" s="69" t="s">
        <v>199</v>
      </c>
      <c r="E106" s="157">
        <v>130.82</v>
      </c>
      <c r="F106" s="137">
        <f>C106*E106</f>
        <v>30088.6</v>
      </c>
      <c r="G106" s="217"/>
    </row>
    <row r="107" spans="1:7" s="30" customFormat="1" ht="14.45">
      <c r="A107" s="59"/>
      <c r="B107" s="100"/>
      <c r="C107" s="61"/>
      <c r="D107" s="62"/>
      <c r="E107" s="157"/>
      <c r="F107" s="137"/>
      <c r="G107" s="217"/>
    </row>
    <row r="108" spans="1:7" s="30" customFormat="1" ht="14.45">
      <c r="A108" s="66" t="s">
        <v>20</v>
      </c>
      <c r="B108" s="67" t="s">
        <v>1315</v>
      </c>
      <c r="C108" s="68" t="s">
        <v>1316</v>
      </c>
      <c r="D108" s="69" t="s">
        <v>199</v>
      </c>
      <c r="E108" s="157">
        <v>183.55</v>
      </c>
      <c r="F108" s="137">
        <f>C108*E108</f>
        <v>6240.7000000000007</v>
      </c>
      <c r="G108" s="217"/>
    </row>
    <row r="109" spans="1:7" s="30" customFormat="1" ht="14.45">
      <c r="A109" s="59"/>
      <c r="B109" s="100"/>
      <c r="C109" s="61"/>
      <c r="D109" s="62"/>
      <c r="E109" s="157"/>
      <c r="F109" s="137"/>
      <c r="G109" s="217"/>
    </row>
    <row r="110" spans="1:7" s="30" customFormat="1" ht="41.45">
      <c r="A110" s="66"/>
      <c r="B110" s="98" t="s">
        <v>1317</v>
      </c>
      <c r="C110" s="68"/>
      <c r="D110" s="69"/>
      <c r="E110" s="157"/>
      <c r="F110" s="137"/>
      <c r="G110" s="217"/>
    </row>
    <row r="111" spans="1:7" s="30" customFormat="1" ht="14.45">
      <c r="A111" s="59"/>
      <c r="B111" s="100"/>
      <c r="C111" s="61"/>
      <c r="D111" s="62"/>
      <c r="E111" s="157"/>
      <c r="F111" s="137"/>
      <c r="G111" s="217"/>
    </row>
    <row r="112" spans="1:7" s="30" customFormat="1" ht="14.45">
      <c r="A112" s="66" t="s">
        <v>23</v>
      </c>
      <c r="B112" s="67" t="s">
        <v>1312</v>
      </c>
      <c r="C112" s="68" t="s">
        <v>1155</v>
      </c>
      <c r="D112" s="69" t="s">
        <v>199</v>
      </c>
      <c r="E112" s="157">
        <v>19.86</v>
      </c>
      <c r="F112" s="137">
        <f>C112*E112</f>
        <v>377.34</v>
      </c>
      <c r="G112" s="217"/>
    </row>
    <row r="113" spans="1:7" s="30" customFormat="1" ht="14.45">
      <c r="A113" s="59"/>
      <c r="B113" s="100"/>
      <c r="C113" s="61"/>
      <c r="D113" s="62"/>
      <c r="E113" s="157"/>
      <c r="F113" s="137"/>
      <c r="G113" s="217"/>
    </row>
    <row r="114" spans="1:7" s="30" customFormat="1" ht="14.45">
      <c r="A114" s="66" t="s">
        <v>27</v>
      </c>
      <c r="B114" s="67" t="s">
        <v>1313</v>
      </c>
      <c r="C114" s="68" t="s">
        <v>1314</v>
      </c>
      <c r="D114" s="69" t="s">
        <v>199</v>
      </c>
      <c r="E114" s="157">
        <v>36.6</v>
      </c>
      <c r="F114" s="137">
        <f>C114*E114</f>
        <v>8418</v>
      </c>
      <c r="G114" s="217"/>
    </row>
    <row r="115" spans="1:7" s="30" customFormat="1" ht="14.45">
      <c r="A115" s="59"/>
      <c r="B115" s="100"/>
      <c r="C115" s="61"/>
      <c r="D115" s="62"/>
      <c r="E115" s="157"/>
      <c r="F115" s="137"/>
      <c r="G115" s="217"/>
    </row>
    <row r="116" spans="1:7" s="30" customFormat="1" ht="14.45">
      <c r="A116" s="66" t="s">
        <v>44</v>
      </c>
      <c r="B116" s="67" t="s">
        <v>1315</v>
      </c>
      <c r="C116" s="68" t="s">
        <v>1316</v>
      </c>
      <c r="D116" s="69" t="s">
        <v>199</v>
      </c>
      <c r="E116" s="157">
        <v>43.8</v>
      </c>
      <c r="F116" s="137">
        <f>C116*E116</f>
        <v>1489.1999999999998</v>
      </c>
      <c r="G116" s="217"/>
    </row>
    <row r="117" spans="1:7" s="30" customFormat="1" ht="14.45">
      <c r="A117" s="59"/>
      <c r="B117" s="100"/>
      <c r="C117" s="61"/>
      <c r="D117" s="62"/>
      <c r="E117" s="157"/>
      <c r="F117" s="137"/>
      <c r="G117" s="217"/>
    </row>
    <row r="118" spans="1:7" s="30" customFormat="1" ht="27.6">
      <c r="A118" s="66"/>
      <c r="B118" s="98" t="s">
        <v>1310</v>
      </c>
      <c r="C118" s="68"/>
      <c r="D118" s="69"/>
      <c r="E118" s="157"/>
      <c r="F118" s="137"/>
      <c r="G118" s="217"/>
    </row>
    <row r="119" spans="1:7" s="30" customFormat="1" ht="14.45">
      <c r="A119" s="59"/>
      <c r="B119" s="100"/>
      <c r="C119" s="61"/>
      <c r="D119" s="62"/>
      <c r="E119" s="157"/>
      <c r="F119" s="137"/>
      <c r="G119" s="217"/>
    </row>
    <row r="120" spans="1:7" s="30" customFormat="1" ht="14.45">
      <c r="A120" s="66"/>
      <c r="B120" s="98" t="s">
        <v>1318</v>
      </c>
      <c r="C120" s="68"/>
      <c r="D120" s="69"/>
      <c r="E120" s="157"/>
      <c r="F120" s="137"/>
      <c r="G120" s="217"/>
    </row>
    <row r="121" spans="1:7" s="30" customFormat="1" ht="14.45">
      <c r="A121" s="59"/>
      <c r="B121" s="100"/>
      <c r="C121" s="61"/>
      <c r="D121" s="62"/>
      <c r="E121" s="157"/>
      <c r="F121" s="137"/>
      <c r="G121" s="217"/>
    </row>
    <row r="122" spans="1:7" s="30" customFormat="1" ht="14.45">
      <c r="A122" s="66" t="s">
        <v>48</v>
      </c>
      <c r="B122" s="67" t="s">
        <v>1319</v>
      </c>
      <c r="C122" s="68" t="s">
        <v>1320</v>
      </c>
      <c r="D122" s="69" t="s">
        <v>199</v>
      </c>
      <c r="E122" s="157">
        <v>57.19</v>
      </c>
      <c r="F122" s="137">
        <f>C122*E122</f>
        <v>36201.269999999997</v>
      </c>
      <c r="G122" s="217"/>
    </row>
    <row r="123" spans="1:7" s="30" customFormat="1" ht="14.45">
      <c r="A123" s="59"/>
      <c r="B123" s="100"/>
      <c r="C123" s="61"/>
      <c r="D123" s="62"/>
      <c r="E123" s="157"/>
      <c r="F123" s="137"/>
      <c r="G123" s="217"/>
    </row>
    <row r="124" spans="1:7" s="30" customFormat="1" ht="14.45">
      <c r="A124" s="66" t="s">
        <v>84</v>
      </c>
      <c r="B124" s="67" t="s">
        <v>1321</v>
      </c>
      <c r="C124" s="68" t="s">
        <v>152</v>
      </c>
      <c r="D124" s="69" t="s">
        <v>199</v>
      </c>
      <c r="E124" s="157">
        <v>66.459999999999994</v>
      </c>
      <c r="F124" s="137">
        <f>C124*E124</f>
        <v>132.91999999999999</v>
      </c>
      <c r="G124" s="217"/>
    </row>
    <row r="125" spans="1:7" s="30" customFormat="1" ht="14.45">
      <c r="A125" s="59"/>
      <c r="B125" s="63"/>
      <c r="C125" s="61"/>
      <c r="D125" s="62"/>
      <c r="E125" s="157"/>
      <c r="F125" s="137"/>
      <c r="G125" s="217"/>
    </row>
    <row r="126" spans="1:7" s="30" customFormat="1" ht="14.45">
      <c r="A126" s="71"/>
      <c r="B126" s="72"/>
      <c r="C126" s="73"/>
      <c r="D126" s="74"/>
      <c r="E126" s="159"/>
      <c r="F126" s="138"/>
      <c r="G126" s="226"/>
    </row>
    <row r="127" spans="1:7" s="30" customFormat="1" ht="14.45">
      <c r="A127" s="75"/>
      <c r="B127" s="76"/>
      <c r="C127" s="77" t="s">
        <v>30</v>
      </c>
      <c r="D127" s="77"/>
      <c r="E127" s="160" t="s">
        <v>8</v>
      </c>
      <c r="F127" s="139">
        <f>SUM(F102:F125)</f>
        <v>85222.329999999987</v>
      </c>
      <c r="G127" s="227"/>
    </row>
    <row r="128" spans="1:7" s="30" customFormat="1" ht="14.45">
      <c r="A128" s="75"/>
      <c r="B128" s="76"/>
      <c r="C128" s="78"/>
      <c r="D128" s="79"/>
      <c r="E128" s="161"/>
      <c r="F128" s="140"/>
      <c r="G128" s="228"/>
    </row>
    <row r="129" spans="1:7" s="30" customFormat="1" ht="14.45">
      <c r="A129" s="59"/>
      <c r="B129" s="63"/>
      <c r="C129" s="61"/>
      <c r="D129" s="62"/>
      <c r="E129" s="157"/>
      <c r="F129" s="137"/>
      <c r="G129" s="217"/>
    </row>
    <row r="130" spans="1:7" s="30" customFormat="1" ht="14.45">
      <c r="A130" s="59"/>
      <c r="B130" s="64" t="s">
        <v>1322</v>
      </c>
      <c r="C130" s="61"/>
      <c r="D130" s="62"/>
      <c r="E130" s="157"/>
      <c r="F130" s="137"/>
      <c r="G130" s="217"/>
    </row>
    <row r="131" spans="1:7" s="30" customFormat="1" ht="14.45">
      <c r="A131" s="59"/>
      <c r="B131" s="100"/>
      <c r="C131" s="61"/>
      <c r="D131" s="62"/>
      <c r="E131" s="157"/>
      <c r="F131" s="137"/>
      <c r="G131" s="217"/>
    </row>
    <row r="132" spans="1:7" s="30" customFormat="1" ht="14.45">
      <c r="A132" s="66" t="s">
        <v>14</v>
      </c>
      <c r="B132" s="67" t="s">
        <v>1312</v>
      </c>
      <c r="C132" s="68" t="s">
        <v>1323</v>
      </c>
      <c r="D132" s="69" t="s">
        <v>199</v>
      </c>
      <c r="E132" s="157">
        <v>119.7</v>
      </c>
      <c r="F132" s="137">
        <f>C132*E132</f>
        <v>50752.800000000003</v>
      </c>
      <c r="G132" s="217"/>
    </row>
    <row r="133" spans="1:7" s="30" customFormat="1" ht="14.45">
      <c r="A133" s="59"/>
      <c r="B133" s="100"/>
      <c r="C133" s="61"/>
      <c r="D133" s="62"/>
      <c r="E133" s="157"/>
      <c r="F133" s="137"/>
      <c r="G133" s="217"/>
    </row>
    <row r="134" spans="1:7" s="30" customFormat="1" ht="14.45">
      <c r="A134" s="66" t="s">
        <v>17</v>
      </c>
      <c r="B134" s="67" t="s">
        <v>1313</v>
      </c>
      <c r="C134" s="68" t="s">
        <v>1324</v>
      </c>
      <c r="D134" s="69" t="s">
        <v>199</v>
      </c>
      <c r="E134" s="157">
        <v>130.82</v>
      </c>
      <c r="F134" s="137">
        <f>C134*E134</f>
        <v>390890.16</v>
      </c>
      <c r="G134" s="217"/>
    </row>
    <row r="135" spans="1:7" s="30" customFormat="1" ht="14.45">
      <c r="A135" s="59"/>
      <c r="B135" s="100"/>
      <c r="C135" s="61"/>
      <c r="D135" s="62"/>
      <c r="E135" s="157"/>
      <c r="F135" s="137"/>
      <c r="G135" s="217"/>
    </row>
    <row r="136" spans="1:7" s="30" customFormat="1" ht="14.45">
      <c r="A136" s="66" t="s">
        <v>20</v>
      </c>
      <c r="B136" s="67" t="s">
        <v>1315</v>
      </c>
      <c r="C136" s="68" t="s">
        <v>936</v>
      </c>
      <c r="D136" s="69" t="s">
        <v>199</v>
      </c>
      <c r="E136" s="157">
        <v>183.55</v>
      </c>
      <c r="F136" s="137">
        <f>C136*E136</f>
        <v>16519.5</v>
      </c>
      <c r="G136" s="217"/>
    </row>
    <row r="137" spans="1:7" s="30" customFormat="1" ht="14.45">
      <c r="A137" s="59"/>
      <c r="B137" s="100"/>
      <c r="C137" s="61"/>
      <c r="D137" s="62"/>
      <c r="E137" s="157"/>
      <c r="F137" s="137"/>
      <c r="G137" s="217"/>
    </row>
    <row r="138" spans="1:7" s="30" customFormat="1" ht="14.45">
      <c r="A138" s="66"/>
      <c r="B138" s="98" t="s">
        <v>1325</v>
      </c>
      <c r="C138" s="68"/>
      <c r="D138" s="69"/>
      <c r="E138" s="157"/>
      <c r="F138" s="137"/>
      <c r="G138" s="217"/>
    </row>
    <row r="139" spans="1:7" s="30" customFormat="1" ht="14.45">
      <c r="A139" s="59"/>
      <c r="B139" s="100"/>
      <c r="C139" s="61"/>
      <c r="D139" s="62"/>
      <c r="E139" s="157"/>
      <c r="F139" s="137"/>
      <c r="G139" s="217"/>
    </row>
    <row r="140" spans="1:7" s="30" customFormat="1" ht="14.45">
      <c r="A140" s="66" t="s">
        <v>23</v>
      </c>
      <c r="B140" s="67" t="s">
        <v>1319</v>
      </c>
      <c r="C140" s="68" t="s">
        <v>1121</v>
      </c>
      <c r="D140" s="69" t="s">
        <v>199</v>
      </c>
      <c r="E140" s="157">
        <v>33.65</v>
      </c>
      <c r="F140" s="137">
        <f>C140*E140</f>
        <v>1177.75</v>
      </c>
      <c r="G140" s="217"/>
    </row>
    <row r="141" spans="1:7" s="30" customFormat="1" ht="14.45">
      <c r="A141" s="59"/>
      <c r="B141" s="100"/>
      <c r="C141" s="61"/>
      <c r="D141" s="62"/>
      <c r="E141" s="157"/>
      <c r="F141" s="137"/>
      <c r="G141" s="217"/>
    </row>
    <row r="142" spans="1:7" s="30" customFormat="1" ht="14.45">
      <c r="A142" s="66" t="s">
        <v>27</v>
      </c>
      <c r="B142" s="67" t="s">
        <v>1321</v>
      </c>
      <c r="C142" s="68" t="s">
        <v>1326</v>
      </c>
      <c r="D142" s="69" t="s">
        <v>199</v>
      </c>
      <c r="E142" s="157">
        <v>44.57</v>
      </c>
      <c r="F142" s="137">
        <f>C142*E142</f>
        <v>2807.91</v>
      </c>
      <c r="G142" s="217"/>
    </row>
    <row r="143" spans="1:7" s="30" customFormat="1" ht="14.45">
      <c r="A143" s="59"/>
      <c r="B143" s="100"/>
      <c r="C143" s="61"/>
      <c r="D143" s="62"/>
      <c r="E143" s="157"/>
      <c r="F143" s="137"/>
      <c r="G143" s="217"/>
    </row>
    <row r="144" spans="1:7" s="30" customFormat="1" ht="14.45">
      <c r="A144" s="66" t="s">
        <v>44</v>
      </c>
      <c r="B144" s="67" t="s">
        <v>1312</v>
      </c>
      <c r="C144" s="68" t="s">
        <v>1316</v>
      </c>
      <c r="D144" s="69" t="s">
        <v>199</v>
      </c>
      <c r="E144" s="157">
        <v>56.25</v>
      </c>
      <c r="F144" s="137">
        <f>C144*E144</f>
        <v>1912.5</v>
      </c>
      <c r="G144" s="217"/>
    </row>
    <row r="145" spans="1:7" s="30" customFormat="1" ht="14.45">
      <c r="A145" s="59"/>
      <c r="B145" s="100"/>
      <c r="C145" s="61"/>
      <c r="D145" s="62"/>
      <c r="E145" s="157"/>
      <c r="F145" s="137"/>
      <c r="G145" s="217"/>
    </row>
    <row r="146" spans="1:7" s="30" customFormat="1" ht="14.45">
      <c r="A146" s="66" t="s">
        <v>48</v>
      </c>
      <c r="B146" s="67" t="s">
        <v>1313</v>
      </c>
      <c r="C146" s="68" t="s">
        <v>1327</v>
      </c>
      <c r="D146" s="69" t="s">
        <v>199</v>
      </c>
      <c r="E146" s="157">
        <v>60.74</v>
      </c>
      <c r="F146" s="137">
        <f>C146*E146</f>
        <v>127675.48000000001</v>
      </c>
      <c r="G146" s="217"/>
    </row>
    <row r="147" spans="1:7" s="30" customFormat="1" ht="14.45">
      <c r="A147" s="59"/>
      <c r="B147" s="100"/>
      <c r="C147" s="61"/>
      <c r="D147" s="62"/>
      <c r="E147" s="157"/>
      <c r="F147" s="137"/>
      <c r="G147" s="217"/>
    </row>
    <row r="148" spans="1:7" s="30" customFormat="1" ht="14.45">
      <c r="A148" s="66" t="s">
        <v>84</v>
      </c>
      <c r="B148" s="67" t="s">
        <v>1315</v>
      </c>
      <c r="C148" s="68" t="s">
        <v>712</v>
      </c>
      <c r="D148" s="69" t="s">
        <v>199</v>
      </c>
      <c r="E148" s="157">
        <v>81.62</v>
      </c>
      <c r="F148" s="137">
        <f>C148*E148</f>
        <v>2530.2200000000003</v>
      </c>
      <c r="G148" s="217"/>
    </row>
    <row r="149" spans="1:7" s="30" customFormat="1" ht="14.45">
      <c r="A149" s="59"/>
      <c r="B149" s="100"/>
      <c r="C149" s="61"/>
      <c r="D149" s="62"/>
      <c r="E149" s="157"/>
      <c r="F149" s="137"/>
      <c r="G149" s="217"/>
    </row>
    <row r="150" spans="1:7" s="30" customFormat="1" ht="14.45">
      <c r="A150" s="66" t="s">
        <v>86</v>
      </c>
      <c r="B150" s="67" t="s">
        <v>1328</v>
      </c>
      <c r="C150" s="68" t="s">
        <v>524</v>
      </c>
      <c r="D150" s="69" t="s">
        <v>199</v>
      </c>
      <c r="E150" s="157">
        <v>110.97</v>
      </c>
      <c r="F150" s="137">
        <f>C150*E150</f>
        <v>7545.96</v>
      </c>
      <c r="G150" s="217"/>
    </row>
    <row r="151" spans="1:7" s="30" customFormat="1" ht="14.45">
      <c r="A151" s="59"/>
      <c r="B151" s="100"/>
      <c r="C151" s="61"/>
      <c r="D151" s="62"/>
      <c r="E151" s="157"/>
      <c r="F151" s="137"/>
      <c r="G151" s="217"/>
    </row>
    <row r="152" spans="1:7" s="30" customFormat="1" ht="14.45">
      <c r="A152" s="66"/>
      <c r="B152" s="98" t="s">
        <v>1329</v>
      </c>
      <c r="C152" s="68"/>
      <c r="D152" s="69"/>
      <c r="E152" s="157"/>
      <c r="F152" s="137"/>
      <c r="G152" s="217"/>
    </row>
    <row r="153" spans="1:7" s="30" customFormat="1" ht="14.45">
      <c r="A153" s="59"/>
      <c r="B153" s="100"/>
      <c r="C153" s="61"/>
      <c r="D153" s="62"/>
      <c r="E153" s="157"/>
      <c r="F153" s="137"/>
      <c r="G153" s="217"/>
    </row>
    <row r="154" spans="1:7" s="30" customFormat="1" ht="14.45">
      <c r="A154" s="66" t="s">
        <v>90</v>
      </c>
      <c r="B154" s="67" t="s">
        <v>1313</v>
      </c>
      <c r="C154" s="68" t="s">
        <v>1330</v>
      </c>
      <c r="D154" s="69" t="s">
        <v>199</v>
      </c>
      <c r="E154" s="157">
        <v>76.63</v>
      </c>
      <c r="F154" s="137">
        <f>C154*E154</f>
        <v>137244.32999999999</v>
      </c>
      <c r="G154" s="217"/>
    </row>
    <row r="155" spans="1:7" s="30" customFormat="1" ht="14.45">
      <c r="A155" s="59"/>
      <c r="B155" s="100"/>
      <c r="C155" s="61"/>
      <c r="D155" s="62"/>
      <c r="E155" s="157"/>
      <c r="F155" s="137"/>
      <c r="G155" s="217"/>
    </row>
    <row r="156" spans="1:7" s="30" customFormat="1" ht="14.45">
      <c r="A156" s="66" t="s">
        <v>92</v>
      </c>
      <c r="B156" s="67" t="s">
        <v>1315</v>
      </c>
      <c r="C156" s="68" t="s">
        <v>308</v>
      </c>
      <c r="D156" s="69" t="s">
        <v>199</v>
      </c>
      <c r="E156" s="157">
        <v>101.67</v>
      </c>
      <c r="F156" s="137">
        <f>C156*E156</f>
        <v>1220.04</v>
      </c>
      <c r="G156" s="217"/>
    </row>
    <row r="157" spans="1:7" s="30" customFormat="1" ht="14.45">
      <c r="A157" s="59"/>
      <c r="B157" s="100"/>
      <c r="C157" s="61"/>
      <c r="D157" s="62"/>
      <c r="E157" s="157"/>
      <c r="F157" s="137"/>
      <c r="G157" s="217"/>
    </row>
    <row r="158" spans="1:7" s="30" customFormat="1" ht="14.45">
      <c r="A158" s="66" t="s">
        <v>94</v>
      </c>
      <c r="B158" s="67" t="s">
        <v>1328</v>
      </c>
      <c r="C158" s="68" t="s">
        <v>339</v>
      </c>
      <c r="D158" s="69" t="s">
        <v>199</v>
      </c>
      <c r="E158" s="157">
        <v>329.48</v>
      </c>
      <c r="F158" s="137">
        <f>C158*E158</f>
        <v>6589.6</v>
      </c>
      <c r="G158" s="217"/>
    </row>
    <row r="159" spans="1:7" s="30" customFormat="1" ht="14.45">
      <c r="A159" s="59"/>
      <c r="B159" s="100"/>
      <c r="C159" s="61"/>
      <c r="D159" s="62"/>
      <c r="E159" s="157"/>
      <c r="F159" s="137"/>
      <c r="G159" s="217"/>
    </row>
    <row r="160" spans="1:7" s="30" customFormat="1" ht="14.45">
      <c r="A160" s="66"/>
      <c r="B160" s="98" t="s">
        <v>1331</v>
      </c>
      <c r="C160" s="68"/>
      <c r="D160" s="69"/>
      <c r="E160" s="157"/>
      <c r="F160" s="137"/>
      <c r="G160" s="217"/>
    </row>
    <row r="161" spans="1:7" s="30" customFormat="1" ht="14.45">
      <c r="A161" s="59"/>
      <c r="B161" s="100"/>
      <c r="C161" s="61"/>
      <c r="D161" s="62"/>
      <c r="E161" s="157"/>
      <c r="F161" s="137"/>
      <c r="G161" s="217"/>
    </row>
    <row r="162" spans="1:7" s="30" customFormat="1" ht="14.45">
      <c r="A162" s="66" t="s">
        <v>140</v>
      </c>
      <c r="B162" s="67" t="s">
        <v>1319</v>
      </c>
      <c r="C162" s="68" t="s">
        <v>1332</v>
      </c>
      <c r="D162" s="69" t="s">
        <v>199</v>
      </c>
      <c r="E162" s="157">
        <v>57.19</v>
      </c>
      <c r="F162" s="137">
        <f>C162*E162</f>
        <v>46609.85</v>
      </c>
      <c r="G162" s="217"/>
    </row>
    <row r="163" spans="1:7" s="30" customFormat="1" ht="14.45">
      <c r="A163" s="59"/>
      <c r="B163" s="100"/>
      <c r="C163" s="61"/>
      <c r="D163" s="62"/>
      <c r="E163" s="157"/>
      <c r="F163" s="137"/>
      <c r="G163" s="217"/>
    </row>
    <row r="164" spans="1:7" s="30" customFormat="1" ht="14.45">
      <c r="A164" s="66" t="s">
        <v>159</v>
      </c>
      <c r="B164" s="67" t="s">
        <v>1321</v>
      </c>
      <c r="C164" s="68" t="s">
        <v>1333</v>
      </c>
      <c r="D164" s="69" t="s">
        <v>199</v>
      </c>
      <c r="E164" s="157">
        <v>66.459999999999994</v>
      </c>
      <c r="F164" s="137">
        <f>C164*E164</f>
        <v>5848.48</v>
      </c>
      <c r="G164" s="217"/>
    </row>
    <row r="165" spans="1:7" s="30" customFormat="1" ht="14.45">
      <c r="A165" s="59"/>
      <c r="B165" s="100"/>
      <c r="C165" s="61"/>
      <c r="D165" s="62"/>
      <c r="E165" s="157"/>
      <c r="F165" s="137"/>
      <c r="G165" s="217"/>
    </row>
    <row r="166" spans="1:7" s="30" customFormat="1" ht="14.45">
      <c r="A166" s="66" t="s">
        <v>162</v>
      </c>
      <c r="B166" s="67" t="s">
        <v>1312</v>
      </c>
      <c r="C166" s="68" t="s">
        <v>1334</v>
      </c>
      <c r="D166" s="69" t="s">
        <v>199</v>
      </c>
      <c r="E166" s="157">
        <v>119.7</v>
      </c>
      <c r="F166" s="137">
        <f>C166*E166</f>
        <v>112398.3</v>
      </c>
      <c r="G166" s="217"/>
    </row>
    <row r="167" spans="1:7" s="30" customFormat="1" ht="14.45">
      <c r="A167" s="59"/>
      <c r="B167" s="100"/>
      <c r="C167" s="61"/>
      <c r="D167" s="62"/>
      <c r="E167" s="157"/>
      <c r="F167" s="137"/>
      <c r="G167" s="217"/>
    </row>
    <row r="168" spans="1:7" s="30" customFormat="1" ht="14.45">
      <c r="A168" s="66" t="s">
        <v>164</v>
      </c>
      <c r="B168" s="67" t="s">
        <v>1313</v>
      </c>
      <c r="C168" s="68" t="s">
        <v>1335</v>
      </c>
      <c r="D168" s="69" t="s">
        <v>199</v>
      </c>
      <c r="E168" s="157">
        <v>130.82</v>
      </c>
      <c r="F168" s="137">
        <f>C168*E168</f>
        <v>138015.1</v>
      </c>
      <c r="G168" s="217"/>
    </row>
    <row r="169" spans="1:7" s="30" customFormat="1" ht="14.45">
      <c r="A169" s="59"/>
      <c r="B169" s="100"/>
      <c r="C169" s="61"/>
      <c r="D169" s="62"/>
      <c r="E169" s="157"/>
      <c r="F169" s="137"/>
      <c r="G169" s="217"/>
    </row>
    <row r="170" spans="1:7" s="30" customFormat="1" ht="14.45">
      <c r="A170" s="66" t="s">
        <v>166</v>
      </c>
      <c r="B170" s="67" t="s">
        <v>1315</v>
      </c>
      <c r="C170" s="68" t="s">
        <v>688</v>
      </c>
      <c r="D170" s="69" t="s">
        <v>199</v>
      </c>
      <c r="E170" s="157">
        <v>183.55</v>
      </c>
      <c r="F170" s="137">
        <f>C170*E170</f>
        <v>7342</v>
      </c>
      <c r="G170" s="217"/>
    </row>
    <row r="171" spans="1:7" s="30" customFormat="1" ht="14.45">
      <c r="A171" s="66"/>
      <c r="B171" s="99"/>
      <c r="C171" s="68"/>
      <c r="D171" s="69"/>
      <c r="E171" s="157"/>
      <c r="F171" s="137"/>
      <c r="G171" s="217"/>
    </row>
    <row r="172" spans="1:7" s="30" customFormat="1" ht="14.45">
      <c r="A172" s="59"/>
      <c r="B172" s="63"/>
      <c r="C172" s="61"/>
      <c r="D172" s="62"/>
      <c r="E172" s="157"/>
      <c r="F172" s="137"/>
      <c r="G172" s="217"/>
    </row>
    <row r="173" spans="1:7" s="30" customFormat="1" ht="14.45">
      <c r="A173" s="59"/>
      <c r="B173" s="63"/>
      <c r="C173" s="61"/>
      <c r="D173" s="62"/>
      <c r="E173" s="157"/>
      <c r="F173" s="137"/>
      <c r="G173" s="217"/>
    </row>
    <row r="174" spans="1:7" s="30" customFormat="1" ht="14.45">
      <c r="A174" s="71"/>
      <c r="B174" s="72"/>
      <c r="C174" s="73"/>
      <c r="D174" s="74"/>
      <c r="E174" s="159"/>
      <c r="F174" s="138"/>
      <c r="G174" s="226"/>
    </row>
    <row r="175" spans="1:7" s="30" customFormat="1" ht="14.45">
      <c r="A175" s="75"/>
      <c r="B175" s="76"/>
      <c r="C175" s="77" t="s">
        <v>30</v>
      </c>
      <c r="D175" s="77"/>
      <c r="E175" s="160" t="s">
        <v>8</v>
      </c>
      <c r="F175" s="139">
        <f>SUM(F131:F172)</f>
        <v>1057079.98</v>
      </c>
      <c r="G175" s="227"/>
    </row>
    <row r="176" spans="1:7" s="30" customFormat="1" ht="14.45">
      <c r="A176" s="75"/>
      <c r="B176" s="76"/>
      <c r="C176" s="78"/>
      <c r="D176" s="79"/>
      <c r="E176" s="161"/>
      <c r="F176" s="140"/>
      <c r="G176" s="228"/>
    </row>
    <row r="177" spans="1:7" s="30" customFormat="1" ht="14.45">
      <c r="A177" s="59"/>
      <c r="B177" s="63"/>
      <c r="C177" s="61"/>
      <c r="D177" s="62"/>
      <c r="E177" s="157"/>
      <c r="F177" s="137"/>
      <c r="G177" s="217"/>
    </row>
    <row r="178" spans="1:7" s="30" customFormat="1" ht="14.45">
      <c r="A178" s="59"/>
      <c r="B178" s="64" t="s">
        <v>1322</v>
      </c>
      <c r="C178" s="61"/>
      <c r="D178" s="62"/>
      <c r="E178" s="157"/>
      <c r="F178" s="137"/>
      <c r="G178" s="217"/>
    </row>
    <row r="179" spans="1:7" s="30" customFormat="1" ht="14.45">
      <c r="A179" s="59"/>
      <c r="B179" s="100"/>
      <c r="C179" s="61"/>
      <c r="D179" s="62"/>
      <c r="E179" s="157"/>
      <c r="F179" s="137"/>
      <c r="G179" s="217"/>
    </row>
    <row r="180" spans="1:7" s="30" customFormat="1" ht="14.45">
      <c r="A180" s="66"/>
      <c r="B180" s="98" t="s">
        <v>1336</v>
      </c>
      <c r="C180" s="68"/>
      <c r="D180" s="69"/>
      <c r="E180" s="157"/>
      <c r="F180" s="137"/>
      <c r="G180" s="217"/>
    </row>
    <row r="181" spans="1:7" s="30" customFormat="1" ht="14.45">
      <c r="A181" s="59"/>
      <c r="B181" s="100"/>
      <c r="C181" s="61"/>
      <c r="D181" s="62"/>
      <c r="E181" s="157"/>
      <c r="F181" s="137"/>
      <c r="G181" s="217"/>
    </row>
    <row r="182" spans="1:7" s="30" customFormat="1" ht="14.45">
      <c r="A182" s="66" t="s">
        <v>14</v>
      </c>
      <c r="B182" s="67" t="s">
        <v>1319</v>
      </c>
      <c r="C182" s="68" t="s">
        <v>1028</v>
      </c>
      <c r="D182" s="69" t="s">
        <v>199</v>
      </c>
      <c r="E182" s="157">
        <v>86.52</v>
      </c>
      <c r="F182" s="137">
        <f>C182*E182</f>
        <v>36511.439999999995</v>
      </c>
      <c r="G182" s="217"/>
    </row>
    <row r="183" spans="1:7" s="30" customFormat="1" ht="14.45">
      <c r="A183" s="59"/>
      <c r="B183" s="100"/>
      <c r="C183" s="61"/>
      <c r="D183" s="62"/>
      <c r="E183" s="157"/>
      <c r="F183" s="137"/>
      <c r="G183" s="217"/>
    </row>
    <row r="184" spans="1:7" s="30" customFormat="1" ht="14.45">
      <c r="A184" s="66" t="s">
        <v>17</v>
      </c>
      <c r="B184" s="67" t="s">
        <v>1321</v>
      </c>
      <c r="C184" s="68" t="s">
        <v>1337</v>
      </c>
      <c r="D184" s="69" t="s">
        <v>199</v>
      </c>
      <c r="E184" s="157">
        <v>88.41</v>
      </c>
      <c r="F184" s="137">
        <f>C184*E184</f>
        <v>10078.74</v>
      </c>
      <c r="G184" s="217"/>
    </row>
    <row r="185" spans="1:7" s="30" customFormat="1" ht="14.45">
      <c r="A185" s="59"/>
      <c r="B185" s="100"/>
      <c r="C185" s="61"/>
      <c r="D185" s="62"/>
      <c r="E185" s="157"/>
      <c r="F185" s="137"/>
      <c r="G185" s="217"/>
    </row>
    <row r="186" spans="1:7" s="30" customFormat="1" ht="14.45">
      <c r="A186" s="66" t="s">
        <v>20</v>
      </c>
      <c r="B186" s="67" t="s">
        <v>1338</v>
      </c>
      <c r="C186" s="68" t="s">
        <v>781</v>
      </c>
      <c r="D186" s="69" t="s">
        <v>199</v>
      </c>
      <c r="E186" s="157">
        <v>96.59</v>
      </c>
      <c r="F186" s="137">
        <f>C186*E186</f>
        <v>2897.7000000000003</v>
      </c>
      <c r="G186" s="217"/>
    </row>
    <row r="187" spans="1:7" s="30" customFormat="1" ht="14.45">
      <c r="A187" s="59"/>
      <c r="B187" s="100"/>
      <c r="C187" s="61"/>
      <c r="D187" s="62"/>
      <c r="E187" s="157"/>
      <c r="F187" s="137"/>
      <c r="G187" s="217"/>
    </row>
    <row r="188" spans="1:7" s="30" customFormat="1" ht="14.45">
      <c r="A188" s="66" t="s">
        <v>23</v>
      </c>
      <c r="B188" s="67" t="s">
        <v>1312</v>
      </c>
      <c r="C188" s="68" t="s">
        <v>19</v>
      </c>
      <c r="D188" s="69" t="s">
        <v>199</v>
      </c>
      <c r="E188" s="157">
        <v>96.59</v>
      </c>
      <c r="F188" s="137">
        <f>C188*E188</f>
        <v>27914.510000000002</v>
      </c>
      <c r="G188" s="217"/>
    </row>
    <row r="189" spans="1:7" s="30" customFormat="1" ht="14.45">
      <c r="A189" s="59"/>
      <c r="B189" s="100"/>
      <c r="C189" s="61"/>
      <c r="D189" s="62"/>
      <c r="E189" s="157"/>
      <c r="F189" s="137"/>
      <c r="G189" s="217"/>
    </row>
    <row r="190" spans="1:7" s="30" customFormat="1" ht="14.45">
      <c r="A190" s="66" t="s">
        <v>27</v>
      </c>
      <c r="B190" s="67" t="s">
        <v>1313</v>
      </c>
      <c r="C190" s="68" t="s">
        <v>335</v>
      </c>
      <c r="D190" s="69" t="s">
        <v>199</v>
      </c>
      <c r="E190" s="157">
        <v>187.96</v>
      </c>
      <c r="F190" s="137">
        <f>C190*E190</f>
        <v>563.88</v>
      </c>
      <c r="G190" s="217"/>
    </row>
    <row r="191" spans="1:7" s="30" customFormat="1" ht="14.45">
      <c r="A191" s="59"/>
      <c r="B191" s="100"/>
      <c r="C191" s="61"/>
      <c r="D191" s="62"/>
      <c r="E191" s="157"/>
      <c r="F191" s="137"/>
      <c r="G191" s="217"/>
    </row>
    <row r="192" spans="1:7" s="30" customFormat="1" ht="27.6">
      <c r="A192" s="66"/>
      <c r="B192" s="98" t="s">
        <v>1339</v>
      </c>
      <c r="C192" s="68"/>
      <c r="D192" s="69"/>
      <c r="E192" s="157"/>
      <c r="F192" s="137"/>
      <c r="G192" s="217"/>
    </row>
    <row r="193" spans="1:7" s="30" customFormat="1" ht="14.45">
      <c r="A193" s="59"/>
      <c r="B193" s="100"/>
      <c r="C193" s="61"/>
      <c r="D193" s="62"/>
      <c r="E193" s="157"/>
      <c r="F193" s="137"/>
      <c r="G193" s="217"/>
    </row>
    <row r="194" spans="1:7" s="30" customFormat="1" ht="14.45">
      <c r="A194" s="66" t="s">
        <v>44</v>
      </c>
      <c r="B194" s="67" t="s">
        <v>1340</v>
      </c>
      <c r="C194" s="68" t="s">
        <v>65</v>
      </c>
      <c r="D194" s="69" t="s">
        <v>63</v>
      </c>
      <c r="E194" s="157">
        <v>978.99</v>
      </c>
      <c r="F194" s="137">
        <f>C194*E194</f>
        <v>3915.96</v>
      </c>
      <c r="G194" s="217"/>
    </row>
    <row r="195" spans="1:7" s="30" customFormat="1" ht="14.45">
      <c r="A195" s="59"/>
      <c r="B195" s="100"/>
      <c r="C195" s="61"/>
      <c r="D195" s="62"/>
      <c r="E195" s="157"/>
      <c r="F195" s="137"/>
      <c r="G195" s="217"/>
    </row>
    <row r="196" spans="1:7" s="30" customFormat="1" ht="14.45">
      <c r="A196" s="66" t="s">
        <v>48</v>
      </c>
      <c r="B196" s="67" t="s">
        <v>1341</v>
      </c>
      <c r="C196" s="68" t="s">
        <v>1342</v>
      </c>
      <c r="D196" s="69" t="s">
        <v>63</v>
      </c>
      <c r="E196" s="157">
        <v>1698.05</v>
      </c>
      <c r="F196" s="137">
        <f>C196*E196</f>
        <v>275084.09999999998</v>
      </c>
      <c r="G196" s="217"/>
    </row>
    <row r="197" spans="1:7" s="30" customFormat="1" ht="14.45">
      <c r="A197" s="59"/>
      <c r="B197" s="100"/>
      <c r="C197" s="61"/>
      <c r="D197" s="62"/>
      <c r="E197" s="157"/>
      <c r="F197" s="137"/>
      <c r="G197" s="217"/>
    </row>
    <row r="198" spans="1:7" s="30" customFormat="1" ht="14.45">
      <c r="A198" s="66" t="s">
        <v>84</v>
      </c>
      <c r="B198" s="67" t="s">
        <v>1343</v>
      </c>
      <c r="C198" s="68" t="s">
        <v>1344</v>
      </c>
      <c r="D198" s="69" t="s">
        <v>63</v>
      </c>
      <c r="E198" s="157">
        <v>1757.97</v>
      </c>
      <c r="F198" s="137">
        <f>C198*E198</f>
        <v>149427.45000000001</v>
      </c>
      <c r="G198" s="217"/>
    </row>
    <row r="199" spans="1:7" s="30" customFormat="1" ht="14.45">
      <c r="A199" s="59"/>
      <c r="B199" s="100"/>
      <c r="C199" s="61"/>
      <c r="D199" s="62"/>
      <c r="E199" s="157"/>
      <c r="F199" s="137"/>
      <c r="G199" s="217"/>
    </row>
    <row r="200" spans="1:7" s="30" customFormat="1" ht="14.45">
      <c r="A200" s="66" t="s">
        <v>86</v>
      </c>
      <c r="B200" s="67" t="s">
        <v>1345</v>
      </c>
      <c r="C200" s="68" t="s">
        <v>304</v>
      </c>
      <c r="D200" s="69" t="s">
        <v>63</v>
      </c>
      <c r="E200" s="157">
        <v>7624.23</v>
      </c>
      <c r="F200" s="137">
        <f>C200*E200</f>
        <v>7624.23</v>
      </c>
      <c r="G200" s="217"/>
    </row>
    <row r="201" spans="1:7" s="30" customFormat="1" ht="14.45">
      <c r="A201" s="59"/>
      <c r="B201" s="100"/>
      <c r="C201" s="61"/>
      <c r="D201" s="62"/>
      <c r="E201" s="157"/>
      <c r="F201" s="137"/>
      <c r="G201" s="217"/>
    </row>
    <row r="202" spans="1:7" s="30" customFormat="1" ht="14.45">
      <c r="A202" s="66" t="s">
        <v>90</v>
      </c>
      <c r="B202" s="67" t="s">
        <v>1346</v>
      </c>
      <c r="C202" s="68" t="s">
        <v>335</v>
      </c>
      <c r="D202" s="69" t="s">
        <v>63</v>
      </c>
      <c r="E202" s="157">
        <v>16061.09</v>
      </c>
      <c r="F202" s="137">
        <f>C202*E202</f>
        <v>48183.270000000004</v>
      </c>
      <c r="G202" s="217"/>
    </row>
    <row r="203" spans="1:7" s="30" customFormat="1" ht="14.45">
      <c r="A203" s="59"/>
      <c r="B203" s="100"/>
      <c r="C203" s="61"/>
      <c r="D203" s="62"/>
      <c r="E203" s="157"/>
      <c r="F203" s="137"/>
      <c r="G203" s="217"/>
    </row>
    <row r="204" spans="1:7" s="30" customFormat="1" ht="14.45">
      <c r="A204" s="66" t="s">
        <v>92</v>
      </c>
      <c r="B204" s="67" t="s">
        <v>1347</v>
      </c>
      <c r="C204" s="68" t="s">
        <v>304</v>
      </c>
      <c r="D204" s="69" t="s">
        <v>63</v>
      </c>
      <c r="E204" s="157">
        <v>82573.31</v>
      </c>
      <c r="F204" s="137">
        <f>C204*E204</f>
        <v>82573.31</v>
      </c>
      <c r="G204" s="217"/>
    </row>
    <row r="205" spans="1:7" s="30" customFormat="1" ht="14.45">
      <c r="A205" s="59"/>
      <c r="B205" s="100"/>
      <c r="C205" s="61"/>
      <c r="D205" s="62"/>
      <c r="E205" s="157"/>
      <c r="F205" s="137"/>
      <c r="G205" s="217"/>
    </row>
    <row r="206" spans="1:7" s="30" customFormat="1" ht="14.45">
      <c r="A206" s="66" t="s">
        <v>94</v>
      </c>
      <c r="B206" s="67" t="s">
        <v>1348</v>
      </c>
      <c r="C206" s="68" t="s">
        <v>152</v>
      </c>
      <c r="D206" s="69" t="s">
        <v>63</v>
      </c>
      <c r="E206" s="157">
        <v>105972.43</v>
      </c>
      <c r="F206" s="137">
        <f>C206*E206</f>
        <v>211944.86</v>
      </c>
      <c r="G206" s="217"/>
    </row>
    <row r="207" spans="1:7" s="30" customFormat="1" ht="14.45">
      <c r="A207" s="59"/>
      <c r="B207" s="100"/>
      <c r="C207" s="61"/>
      <c r="D207" s="62"/>
      <c r="E207" s="157"/>
      <c r="F207" s="137"/>
      <c r="G207" s="217"/>
    </row>
    <row r="208" spans="1:7" s="30" customFormat="1" ht="14.45">
      <c r="A208" s="66" t="s">
        <v>140</v>
      </c>
      <c r="B208" s="67" t="s">
        <v>1349</v>
      </c>
      <c r="C208" s="68" t="s">
        <v>779</v>
      </c>
      <c r="D208" s="69" t="s">
        <v>63</v>
      </c>
      <c r="E208" s="157">
        <v>457.13</v>
      </c>
      <c r="F208" s="137">
        <f>C208*E208</f>
        <v>118853.8</v>
      </c>
      <c r="G208" s="217"/>
    </row>
    <row r="209" spans="1:7" s="30" customFormat="1" ht="14.45">
      <c r="A209" s="59"/>
      <c r="B209" s="100"/>
      <c r="C209" s="61"/>
      <c r="D209" s="62"/>
      <c r="E209" s="157"/>
      <c r="F209" s="137"/>
      <c r="G209" s="217"/>
    </row>
    <row r="210" spans="1:7" s="30" customFormat="1" ht="14.45">
      <c r="A210" s="66" t="s">
        <v>159</v>
      </c>
      <c r="B210" s="67" t="s">
        <v>1350</v>
      </c>
      <c r="C210" s="68" t="s">
        <v>714</v>
      </c>
      <c r="D210" s="69" t="s">
        <v>63</v>
      </c>
      <c r="E210" s="157">
        <v>499.09</v>
      </c>
      <c r="F210" s="137">
        <f>C210*E210</f>
        <v>3992.72</v>
      </c>
      <c r="G210" s="217"/>
    </row>
    <row r="211" spans="1:7" s="30" customFormat="1" ht="14.45">
      <c r="A211" s="59"/>
      <c r="B211" s="100"/>
      <c r="C211" s="61"/>
      <c r="D211" s="62"/>
      <c r="E211" s="157"/>
      <c r="F211" s="137"/>
      <c r="G211" s="217"/>
    </row>
    <row r="212" spans="1:7" s="30" customFormat="1" ht="14.45">
      <c r="A212" s="66" t="s">
        <v>162</v>
      </c>
      <c r="B212" s="67" t="s">
        <v>1351</v>
      </c>
      <c r="C212" s="68" t="s">
        <v>1352</v>
      </c>
      <c r="D212" s="69" t="s">
        <v>63</v>
      </c>
      <c r="E212" s="157">
        <v>1301.24</v>
      </c>
      <c r="F212" s="137">
        <f>C212*E212</f>
        <v>140533.92000000001</v>
      </c>
      <c r="G212" s="217"/>
    </row>
    <row r="213" spans="1:7" s="30" customFormat="1" ht="14.45">
      <c r="A213" s="59"/>
      <c r="B213" s="100"/>
      <c r="C213" s="61"/>
      <c r="D213" s="62"/>
      <c r="E213" s="157"/>
      <c r="F213" s="137"/>
      <c r="G213" s="217"/>
    </row>
    <row r="214" spans="1:7" s="30" customFormat="1" ht="14.45">
      <c r="A214" s="66"/>
      <c r="B214" s="99" t="s">
        <v>1353</v>
      </c>
      <c r="C214" s="68" t="s">
        <v>479</v>
      </c>
      <c r="D214" s="69"/>
      <c r="E214" s="157">
        <v>73.78</v>
      </c>
      <c r="F214" s="137">
        <f>C214*E214</f>
        <v>664.02</v>
      </c>
      <c r="G214" s="217"/>
    </row>
    <row r="215" spans="1:7" s="30" customFormat="1" ht="14.45">
      <c r="A215" s="59"/>
      <c r="B215" s="100"/>
      <c r="C215" s="61"/>
      <c r="D215" s="62"/>
      <c r="E215" s="157"/>
      <c r="F215" s="137"/>
      <c r="G215" s="217"/>
    </row>
    <row r="216" spans="1:7" s="30" customFormat="1" ht="14.45">
      <c r="A216" s="66" t="s">
        <v>164</v>
      </c>
      <c r="B216" s="67" t="s">
        <v>1354</v>
      </c>
      <c r="C216" s="68" t="s">
        <v>1121</v>
      </c>
      <c r="D216" s="69" t="s">
        <v>63</v>
      </c>
      <c r="E216" s="157">
        <v>90.43</v>
      </c>
      <c r="F216" s="137">
        <f>C216*E216</f>
        <v>3165.05</v>
      </c>
      <c r="G216" s="217"/>
    </row>
    <row r="217" spans="1:7" s="30" customFormat="1" ht="14.45">
      <c r="A217" s="59"/>
      <c r="B217" s="100"/>
      <c r="C217" s="61"/>
      <c r="D217" s="62"/>
      <c r="E217" s="157"/>
      <c r="F217" s="137"/>
      <c r="G217" s="217"/>
    </row>
    <row r="218" spans="1:7" s="30" customFormat="1" ht="14.45">
      <c r="A218" s="66" t="s">
        <v>166</v>
      </c>
      <c r="B218" s="67" t="s">
        <v>1355</v>
      </c>
      <c r="C218" s="68" t="s">
        <v>1356</v>
      </c>
      <c r="D218" s="69" t="s">
        <v>63</v>
      </c>
      <c r="E218" s="157">
        <v>86.94</v>
      </c>
      <c r="F218" s="137">
        <f>C218*E218</f>
        <v>11563.02</v>
      </c>
      <c r="G218" s="217"/>
    </row>
    <row r="219" spans="1:7" s="30" customFormat="1" ht="14.45">
      <c r="A219" s="59"/>
      <c r="B219" s="100"/>
      <c r="C219" s="61"/>
      <c r="D219" s="62"/>
      <c r="E219" s="157"/>
      <c r="F219" s="137"/>
      <c r="G219" s="217"/>
    </row>
    <row r="220" spans="1:7" s="30" customFormat="1" ht="14.45">
      <c r="A220" s="66" t="s">
        <v>168</v>
      </c>
      <c r="B220" s="67" t="s">
        <v>1357</v>
      </c>
      <c r="C220" s="68" t="s">
        <v>65</v>
      </c>
      <c r="D220" s="69" t="s">
        <v>63</v>
      </c>
      <c r="E220" s="157">
        <v>194.82</v>
      </c>
      <c r="F220" s="137">
        <f>C220*E220</f>
        <v>779.28</v>
      </c>
      <c r="G220" s="217"/>
    </row>
    <row r="221" spans="1:7" s="30" customFormat="1" ht="14.45">
      <c r="A221" s="71"/>
      <c r="B221" s="72"/>
      <c r="C221" s="73"/>
      <c r="D221" s="74"/>
      <c r="E221" s="159"/>
      <c r="F221" s="138"/>
      <c r="G221" s="226"/>
    </row>
    <row r="222" spans="1:7" s="30" customFormat="1" ht="14.45">
      <c r="A222" s="75"/>
      <c r="B222" s="76"/>
      <c r="C222" s="77" t="s">
        <v>30</v>
      </c>
      <c r="D222" s="77"/>
      <c r="E222" s="160" t="s">
        <v>8</v>
      </c>
      <c r="F222" s="139">
        <f>SUM(F180:F220)</f>
        <v>1136271.26</v>
      </c>
      <c r="G222" s="227"/>
    </row>
    <row r="223" spans="1:7" s="30" customFormat="1" ht="14.45">
      <c r="A223" s="75"/>
      <c r="B223" s="76"/>
      <c r="C223" s="78"/>
      <c r="D223" s="79"/>
      <c r="E223" s="161"/>
      <c r="F223" s="140"/>
      <c r="G223" s="228"/>
    </row>
    <row r="224" spans="1:7" s="30" customFormat="1" ht="14.45">
      <c r="A224" s="59"/>
      <c r="B224" s="63"/>
      <c r="C224" s="61"/>
      <c r="D224" s="62"/>
      <c r="E224" s="157"/>
      <c r="F224" s="137"/>
      <c r="G224" s="217"/>
    </row>
    <row r="225" spans="1:7" s="30" customFormat="1" ht="14.45">
      <c r="A225" s="59"/>
      <c r="B225" s="64" t="s">
        <v>1322</v>
      </c>
      <c r="C225" s="61"/>
      <c r="D225" s="62"/>
      <c r="E225" s="157"/>
      <c r="F225" s="137"/>
      <c r="G225" s="217"/>
    </row>
    <row r="226" spans="1:7" s="30" customFormat="1" ht="14.45">
      <c r="A226" s="59"/>
      <c r="B226" s="100"/>
      <c r="C226" s="61"/>
      <c r="D226" s="62"/>
      <c r="E226" s="157"/>
      <c r="F226" s="137"/>
      <c r="G226" s="217"/>
    </row>
    <row r="227" spans="1:7" s="30" customFormat="1" ht="14.45">
      <c r="A227" s="66" t="s">
        <v>14</v>
      </c>
      <c r="B227" s="67" t="s">
        <v>1358</v>
      </c>
      <c r="C227" s="68" t="s">
        <v>304</v>
      </c>
      <c r="D227" s="69" t="s">
        <v>63</v>
      </c>
      <c r="E227" s="157">
        <v>487.18</v>
      </c>
      <c r="F227" s="137">
        <f>C227*E227</f>
        <v>487.18</v>
      </c>
      <c r="G227" s="217"/>
    </row>
    <row r="228" spans="1:7" s="30" customFormat="1" ht="14.45">
      <c r="A228" s="59"/>
      <c r="B228" s="100"/>
      <c r="C228" s="61"/>
      <c r="D228" s="62"/>
      <c r="E228" s="157"/>
      <c r="F228" s="137"/>
      <c r="G228" s="217"/>
    </row>
    <row r="229" spans="1:7" s="30" customFormat="1" ht="14.45">
      <c r="A229" s="66" t="s">
        <v>17</v>
      </c>
      <c r="B229" s="67" t="s">
        <v>1359</v>
      </c>
      <c r="C229" s="68" t="s">
        <v>961</v>
      </c>
      <c r="D229" s="69" t="s">
        <v>63</v>
      </c>
      <c r="E229" s="157">
        <v>86.94</v>
      </c>
      <c r="F229" s="137">
        <f>C229*E229</f>
        <v>3738.42</v>
      </c>
      <c r="G229" s="217"/>
    </row>
    <row r="230" spans="1:7" s="30" customFormat="1" ht="14.45">
      <c r="A230" s="59"/>
      <c r="B230" s="100"/>
      <c r="C230" s="61"/>
      <c r="D230" s="62"/>
      <c r="E230" s="157"/>
      <c r="F230" s="137"/>
      <c r="G230" s="217"/>
    </row>
    <row r="231" spans="1:7" s="30" customFormat="1" ht="27.6">
      <c r="A231" s="66"/>
      <c r="B231" s="98" t="s">
        <v>1360</v>
      </c>
      <c r="C231" s="68"/>
      <c r="D231" s="69"/>
      <c r="E231" s="157"/>
      <c r="F231" s="137"/>
      <c r="G231" s="217"/>
    </row>
    <row r="232" spans="1:7" s="30" customFormat="1" ht="14.45">
      <c r="A232" s="59"/>
      <c r="B232" s="100"/>
      <c r="C232" s="61"/>
      <c r="D232" s="62"/>
      <c r="E232" s="157"/>
      <c r="F232" s="137"/>
      <c r="G232" s="217"/>
    </row>
    <row r="233" spans="1:7" s="30" customFormat="1" ht="27.6">
      <c r="A233" s="66" t="s">
        <v>20</v>
      </c>
      <c r="B233" s="67" t="s">
        <v>1361</v>
      </c>
      <c r="C233" s="68" t="s">
        <v>304</v>
      </c>
      <c r="D233" s="69" t="s">
        <v>63</v>
      </c>
      <c r="E233" s="157">
        <v>38654.18</v>
      </c>
      <c r="F233" s="137">
        <f>C233*E233</f>
        <v>38654.18</v>
      </c>
      <c r="G233" s="217"/>
    </row>
    <row r="234" spans="1:7" s="30" customFormat="1" ht="14.45">
      <c r="A234" s="59"/>
      <c r="B234" s="100"/>
      <c r="C234" s="61"/>
      <c r="D234" s="62"/>
      <c r="E234" s="157"/>
      <c r="F234" s="137"/>
      <c r="G234" s="217"/>
    </row>
    <row r="235" spans="1:7" s="30" customFormat="1" ht="41.45">
      <c r="A235" s="66"/>
      <c r="B235" s="98" t="s">
        <v>1362</v>
      </c>
      <c r="C235" s="68"/>
      <c r="D235" s="69"/>
      <c r="E235" s="157"/>
      <c r="F235" s="137"/>
      <c r="G235" s="217"/>
    </row>
    <row r="236" spans="1:7" s="30" customFormat="1" ht="14.45">
      <c r="A236" s="59"/>
      <c r="B236" s="100"/>
      <c r="C236" s="61"/>
      <c r="D236" s="62"/>
      <c r="E236" s="157"/>
      <c r="F236" s="137"/>
      <c r="G236" s="217"/>
    </row>
    <row r="237" spans="1:7" s="30" customFormat="1" ht="55.15">
      <c r="A237" s="66"/>
      <c r="B237" s="98" t="s">
        <v>1363</v>
      </c>
      <c r="C237" s="68"/>
      <c r="D237" s="69"/>
      <c r="E237" s="157"/>
      <c r="F237" s="137"/>
      <c r="G237" s="217"/>
    </row>
    <row r="238" spans="1:7" s="30" customFormat="1" ht="14.45">
      <c r="A238" s="59"/>
      <c r="B238" s="100"/>
      <c r="C238" s="61"/>
      <c r="D238" s="62"/>
      <c r="E238" s="157"/>
      <c r="F238" s="137"/>
      <c r="G238" s="217"/>
    </row>
    <row r="239" spans="1:7" s="30" customFormat="1" ht="14.45">
      <c r="A239" s="66" t="s">
        <v>23</v>
      </c>
      <c r="B239" s="67" t="s">
        <v>1319</v>
      </c>
      <c r="C239" s="68" t="s">
        <v>1028</v>
      </c>
      <c r="D239" s="69" t="s">
        <v>199</v>
      </c>
      <c r="E239" s="157">
        <v>22.02</v>
      </c>
      <c r="F239" s="137">
        <f>C239*E239</f>
        <v>9292.44</v>
      </c>
      <c r="G239" s="217"/>
    </row>
    <row r="240" spans="1:7" s="30" customFormat="1" ht="14.45">
      <c r="A240" s="59"/>
      <c r="B240" s="100"/>
      <c r="C240" s="61"/>
      <c r="D240" s="62"/>
      <c r="E240" s="157"/>
      <c r="F240" s="137"/>
      <c r="G240" s="217"/>
    </row>
    <row r="241" spans="1:7" s="30" customFormat="1" ht="14.45">
      <c r="A241" s="66" t="s">
        <v>27</v>
      </c>
      <c r="B241" s="67" t="s">
        <v>1321</v>
      </c>
      <c r="C241" s="68" t="s">
        <v>1337</v>
      </c>
      <c r="D241" s="69" t="s">
        <v>199</v>
      </c>
      <c r="E241" s="157">
        <v>24.12</v>
      </c>
      <c r="F241" s="137">
        <f>C241*E241</f>
        <v>2749.6800000000003</v>
      </c>
      <c r="G241" s="217"/>
    </row>
    <row r="242" spans="1:7" s="30" customFormat="1" ht="14.45">
      <c r="A242" s="59"/>
      <c r="B242" s="100"/>
      <c r="C242" s="61"/>
      <c r="D242" s="62"/>
      <c r="E242" s="157"/>
      <c r="F242" s="137"/>
      <c r="G242" s="217"/>
    </row>
    <row r="243" spans="1:7" s="30" customFormat="1" ht="14.45">
      <c r="A243" s="66" t="s">
        <v>44</v>
      </c>
      <c r="B243" s="67" t="s">
        <v>1338</v>
      </c>
      <c r="C243" s="68" t="s">
        <v>781</v>
      </c>
      <c r="D243" s="69" t="s">
        <v>199</v>
      </c>
      <c r="E243" s="157">
        <v>27.24</v>
      </c>
      <c r="F243" s="137">
        <f>C243*E243</f>
        <v>817.19999999999993</v>
      </c>
      <c r="G243" s="217"/>
    </row>
    <row r="244" spans="1:7" s="30" customFormat="1" ht="14.45">
      <c r="A244" s="59"/>
      <c r="B244" s="100"/>
      <c r="C244" s="61"/>
      <c r="D244" s="62"/>
      <c r="E244" s="157"/>
      <c r="F244" s="137"/>
      <c r="G244" s="217"/>
    </row>
    <row r="245" spans="1:7" s="30" customFormat="1" ht="14.45">
      <c r="A245" s="66" t="s">
        <v>48</v>
      </c>
      <c r="B245" s="67" t="s">
        <v>1312</v>
      </c>
      <c r="C245" s="68" t="s">
        <v>19</v>
      </c>
      <c r="D245" s="69" t="s">
        <v>199</v>
      </c>
      <c r="E245" s="157">
        <v>27.24</v>
      </c>
      <c r="F245" s="137">
        <f>C245*E245</f>
        <v>7872.36</v>
      </c>
      <c r="G245" s="217"/>
    </row>
    <row r="246" spans="1:7" s="30" customFormat="1" ht="14.45">
      <c r="A246" s="59"/>
      <c r="B246" s="100"/>
      <c r="C246" s="61"/>
      <c r="D246" s="62"/>
      <c r="E246" s="157"/>
      <c r="F246" s="137"/>
      <c r="G246" s="217"/>
    </row>
    <row r="247" spans="1:7" s="30" customFormat="1" ht="14.45">
      <c r="A247" s="66" t="s">
        <v>84</v>
      </c>
      <c r="B247" s="67" t="s">
        <v>1313</v>
      </c>
      <c r="C247" s="68" t="s">
        <v>335</v>
      </c>
      <c r="D247" s="69" t="s">
        <v>199</v>
      </c>
      <c r="E247" s="157">
        <v>44.78</v>
      </c>
      <c r="F247" s="137">
        <f>C247*E247</f>
        <v>134.34</v>
      </c>
      <c r="G247" s="217"/>
    </row>
    <row r="248" spans="1:7" s="30" customFormat="1" ht="14.45">
      <c r="A248" s="59"/>
      <c r="B248" s="63"/>
      <c r="C248" s="61"/>
      <c r="D248" s="62"/>
      <c r="E248" s="157"/>
      <c r="F248" s="137"/>
      <c r="G248" s="217"/>
    </row>
    <row r="249" spans="1:7" s="30" customFormat="1" ht="14.45">
      <c r="A249" s="59"/>
      <c r="B249" s="63"/>
      <c r="C249" s="61"/>
      <c r="D249" s="62"/>
      <c r="E249" s="157"/>
      <c r="F249" s="137"/>
      <c r="G249" s="217"/>
    </row>
    <row r="250" spans="1:7" s="30" customFormat="1" ht="14.45">
      <c r="A250" s="59"/>
      <c r="B250" s="63"/>
      <c r="C250" s="61"/>
      <c r="D250" s="62"/>
      <c r="E250" s="157"/>
      <c r="F250" s="137"/>
      <c r="G250" s="217"/>
    </row>
    <row r="251" spans="1:7" s="30" customFormat="1" ht="14.45">
      <c r="A251" s="59"/>
      <c r="B251" s="63"/>
      <c r="C251" s="61"/>
      <c r="D251" s="62"/>
      <c r="E251" s="157"/>
      <c r="F251" s="137"/>
      <c r="G251" s="217"/>
    </row>
    <row r="252" spans="1:7" s="30" customFormat="1" ht="14.45">
      <c r="A252" s="59"/>
      <c r="B252" s="63"/>
      <c r="C252" s="61"/>
      <c r="D252" s="62"/>
      <c r="E252" s="157"/>
      <c r="F252" s="137"/>
      <c r="G252" s="217"/>
    </row>
    <row r="253" spans="1:7" s="30" customFormat="1" ht="14.45">
      <c r="A253" s="59"/>
      <c r="B253" s="63"/>
      <c r="C253" s="61"/>
      <c r="D253" s="62"/>
      <c r="E253" s="157"/>
      <c r="F253" s="137"/>
      <c r="G253" s="217"/>
    </row>
    <row r="254" spans="1:7" s="30" customFormat="1" ht="14.45">
      <c r="A254" s="59"/>
      <c r="B254" s="63"/>
      <c r="C254" s="61"/>
      <c r="D254" s="62"/>
      <c r="E254" s="157"/>
      <c r="F254" s="137"/>
      <c r="G254" s="217"/>
    </row>
    <row r="255" spans="1:7" s="30" customFormat="1" ht="14.45">
      <c r="A255" s="59"/>
      <c r="B255" s="63"/>
      <c r="C255" s="61"/>
      <c r="D255" s="62"/>
      <c r="E255" s="157"/>
      <c r="F255" s="137"/>
      <c r="G255" s="217"/>
    </row>
    <row r="256" spans="1:7" s="30" customFormat="1" ht="14.45">
      <c r="A256" s="59"/>
      <c r="B256" s="63"/>
      <c r="C256" s="61"/>
      <c r="D256" s="62"/>
      <c r="E256" s="157"/>
      <c r="F256" s="137"/>
      <c r="G256" s="217"/>
    </row>
    <row r="257" spans="1:7" s="30" customFormat="1" ht="14.45">
      <c r="A257" s="59"/>
      <c r="B257" s="63"/>
      <c r="C257" s="61"/>
      <c r="D257" s="62"/>
      <c r="E257" s="157"/>
      <c r="F257" s="137"/>
      <c r="G257" s="217"/>
    </row>
    <row r="258" spans="1:7" s="30" customFormat="1" ht="14.45">
      <c r="A258" s="59"/>
      <c r="B258" s="63"/>
      <c r="C258" s="61"/>
      <c r="D258" s="62"/>
      <c r="E258" s="157"/>
      <c r="F258" s="137"/>
      <c r="G258" s="217"/>
    </row>
    <row r="259" spans="1:7" s="30" customFormat="1" ht="14.45">
      <c r="A259" s="59"/>
      <c r="B259" s="63"/>
      <c r="C259" s="61"/>
      <c r="D259" s="62"/>
      <c r="E259" s="157"/>
      <c r="F259" s="137"/>
      <c r="G259" s="217"/>
    </row>
    <row r="260" spans="1:7" s="30" customFormat="1" ht="14.45">
      <c r="A260" s="59"/>
      <c r="B260" s="63"/>
      <c r="C260" s="61"/>
      <c r="D260" s="62"/>
      <c r="E260" s="157"/>
      <c r="F260" s="137"/>
      <c r="G260" s="217"/>
    </row>
    <row r="261" spans="1:7" s="30" customFormat="1" ht="14.45">
      <c r="A261" s="59"/>
      <c r="B261" s="63"/>
      <c r="C261" s="61"/>
      <c r="D261" s="62"/>
      <c r="E261" s="157"/>
      <c r="F261" s="137"/>
      <c r="G261" s="217"/>
    </row>
    <row r="262" spans="1:7" s="30" customFormat="1" ht="14.45">
      <c r="A262" s="59"/>
      <c r="B262" s="63"/>
      <c r="C262" s="61"/>
      <c r="D262" s="62"/>
      <c r="E262" s="157"/>
      <c r="F262" s="137"/>
      <c r="G262" s="217"/>
    </row>
    <row r="263" spans="1:7" s="30" customFormat="1" ht="14.45">
      <c r="A263" s="71"/>
      <c r="B263" s="72"/>
      <c r="C263" s="73"/>
      <c r="D263" s="74"/>
      <c r="E263" s="159"/>
      <c r="F263" s="138"/>
      <c r="G263" s="226"/>
    </row>
    <row r="264" spans="1:7" s="30" customFormat="1" ht="14.45">
      <c r="A264" s="75"/>
      <c r="B264" s="76"/>
      <c r="C264" s="77" t="s">
        <v>30</v>
      </c>
      <c r="D264" s="77"/>
      <c r="E264" s="160" t="s">
        <v>8</v>
      </c>
      <c r="F264" s="139">
        <f>SUM(F226:F256)</f>
        <v>63745.799999999996</v>
      </c>
      <c r="G264" s="227"/>
    </row>
    <row r="265" spans="1:7" s="30" customFormat="1" ht="14.45">
      <c r="A265" s="75"/>
      <c r="B265" s="76"/>
      <c r="C265" s="78"/>
      <c r="D265" s="79"/>
      <c r="E265" s="161"/>
      <c r="F265" s="140"/>
      <c r="G265" s="228"/>
    </row>
    <row r="266" spans="1:7" s="30" customFormat="1" ht="14.45">
      <c r="A266" s="59"/>
      <c r="B266" s="63"/>
      <c r="C266" s="61"/>
      <c r="D266" s="62"/>
      <c r="E266" s="157"/>
      <c r="F266" s="137"/>
      <c r="G266" s="217"/>
    </row>
    <row r="267" spans="1:7" s="30" customFormat="1" ht="14.45">
      <c r="A267" s="59"/>
      <c r="B267" s="64" t="s">
        <v>1364</v>
      </c>
      <c r="C267" s="61"/>
      <c r="D267" s="62"/>
      <c r="E267" s="157"/>
      <c r="F267" s="137"/>
      <c r="G267" s="217"/>
    </row>
    <row r="268" spans="1:7" s="30" customFormat="1" ht="14.45">
      <c r="A268" s="59"/>
      <c r="B268" s="100"/>
      <c r="C268" s="61"/>
      <c r="D268" s="62"/>
      <c r="E268" s="157"/>
      <c r="F268" s="137"/>
      <c r="G268" s="217"/>
    </row>
    <row r="269" spans="1:7" s="30" customFormat="1" ht="14.45">
      <c r="A269" s="66"/>
      <c r="B269" s="99" t="s">
        <v>979</v>
      </c>
      <c r="C269" s="68"/>
      <c r="D269" s="69"/>
      <c r="E269" s="157"/>
      <c r="F269" s="137"/>
      <c r="G269" s="217"/>
    </row>
    <row r="270" spans="1:7" s="30" customFormat="1" ht="14.45">
      <c r="A270" s="59"/>
      <c r="B270" s="100"/>
      <c r="C270" s="61"/>
      <c r="D270" s="62"/>
      <c r="E270" s="157"/>
      <c r="F270" s="137"/>
      <c r="G270" s="217"/>
    </row>
    <row r="271" spans="1:7" s="30" customFormat="1" ht="14.45">
      <c r="A271" s="66"/>
      <c r="B271" s="99" t="s">
        <v>1365</v>
      </c>
      <c r="C271" s="68"/>
      <c r="D271" s="69"/>
      <c r="E271" s="157"/>
      <c r="F271" s="137"/>
      <c r="G271" s="217"/>
    </row>
    <row r="272" spans="1:7" s="30" customFormat="1" ht="14.45">
      <c r="A272" s="59"/>
      <c r="B272" s="100"/>
      <c r="C272" s="61"/>
      <c r="D272" s="62"/>
      <c r="E272" s="157"/>
      <c r="F272" s="137"/>
      <c r="G272" s="217"/>
    </row>
    <row r="273" spans="1:7" s="30" customFormat="1" ht="27.6">
      <c r="A273" s="66"/>
      <c r="B273" s="99" t="s">
        <v>1366</v>
      </c>
      <c r="C273" s="68" t="s">
        <v>1367</v>
      </c>
      <c r="D273" s="69"/>
      <c r="E273" s="157"/>
      <c r="F273" s="137"/>
      <c r="G273" s="217"/>
    </row>
    <row r="274" spans="1:7" s="30" customFormat="1" ht="14.45">
      <c r="A274" s="59"/>
      <c r="B274" s="100"/>
      <c r="C274" s="61"/>
      <c r="D274" s="62"/>
      <c r="E274" s="157"/>
      <c r="F274" s="137"/>
      <c r="G274" s="217"/>
    </row>
    <row r="275" spans="1:7" s="30" customFormat="1" ht="55.15">
      <c r="A275" s="66"/>
      <c r="B275" s="98" t="s">
        <v>1368</v>
      </c>
      <c r="C275" s="68"/>
      <c r="D275" s="69"/>
      <c r="E275" s="157"/>
      <c r="F275" s="137"/>
      <c r="G275" s="217"/>
    </row>
    <row r="276" spans="1:7" s="30" customFormat="1" ht="14.45">
      <c r="A276" s="59"/>
      <c r="B276" s="100"/>
      <c r="C276" s="61"/>
      <c r="D276" s="62"/>
      <c r="E276" s="157"/>
      <c r="F276" s="137"/>
      <c r="G276" s="217"/>
    </row>
    <row r="277" spans="1:7" s="30" customFormat="1" ht="14.45">
      <c r="A277" s="66" t="s">
        <v>14</v>
      </c>
      <c r="B277" s="67" t="s">
        <v>1369</v>
      </c>
      <c r="C277" s="68"/>
      <c r="D277" s="69" t="s">
        <v>2</v>
      </c>
      <c r="E277" s="157">
        <v>158499.79</v>
      </c>
      <c r="F277" s="137">
        <f>+E277</f>
        <v>158499.79</v>
      </c>
      <c r="G277" s="217"/>
    </row>
    <row r="278" spans="1:7" s="30" customFormat="1" ht="14.45">
      <c r="A278" s="59"/>
      <c r="B278" s="100"/>
      <c r="C278" s="61"/>
      <c r="D278" s="62"/>
      <c r="E278" s="157"/>
      <c r="F278" s="137"/>
      <c r="G278" s="217"/>
    </row>
    <row r="279" spans="1:7" s="30" customFormat="1" ht="14.45">
      <c r="A279" s="66" t="s">
        <v>17</v>
      </c>
      <c r="B279" s="67" t="s">
        <v>1370</v>
      </c>
      <c r="C279" s="68" t="s">
        <v>1371</v>
      </c>
      <c r="D279" s="69" t="s">
        <v>63</v>
      </c>
      <c r="E279" s="157">
        <v>703.65</v>
      </c>
      <c r="F279" s="137">
        <f>C279*E279</f>
        <v>71068.649999999994</v>
      </c>
      <c r="G279" s="217"/>
    </row>
    <row r="280" spans="1:7" s="30" customFormat="1" ht="14.45">
      <c r="A280" s="59"/>
      <c r="B280" s="100"/>
      <c r="C280" s="61"/>
      <c r="D280" s="62"/>
      <c r="E280" s="157"/>
      <c r="F280" s="137"/>
      <c r="G280" s="217"/>
    </row>
    <row r="281" spans="1:7" s="30" customFormat="1" ht="14.45">
      <c r="A281" s="66" t="s">
        <v>20</v>
      </c>
      <c r="B281" s="67" t="s">
        <v>1372</v>
      </c>
      <c r="C281" s="68"/>
      <c r="D281" s="69" t="s">
        <v>2</v>
      </c>
      <c r="E281" s="157">
        <v>15400.79</v>
      </c>
      <c r="F281" s="137">
        <f>+E281</f>
        <v>15400.79</v>
      </c>
      <c r="G281" s="217"/>
    </row>
    <row r="282" spans="1:7" s="30" customFormat="1" ht="14.45">
      <c r="A282" s="59"/>
      <c r="B282" s="100"/>
      <c r="C282" s="61"/>
      <c r="D282" s="62"/>
      <c r="E282" s="157"/>
      <c r="F282" s="137"/>
      <c r="G282" s="217"/>
    </row>
    <row r="283" spans="1:7" s="30" customFormat="1" ht="14.45">
      <c r="A283" s="66" t="s">
        <v>23</v>
      </c>
      <c r="B283" s="67" t="s">
        <v>1373</v>
      </c>
      <c r="C283" s="68" t="s">
        <v>1374</v>
      </c>
      <c r="D283" s="69" t="s">
        <v>63</v>
      </c>
      <c r="E283" s="157">
        <v>5723.44</v>
      </c>
      <c r="F283" s="137">
        <f>C283*E283</f>
        <v>1562499.1199999999</v>
      </c>
      <c r="G283" s="217"/>
    </row>
    <row r="284" spans="1:7" s="30" customFormat="1" ht="14.45">
      <c r="A284" s="59"/>
      <c r="B284" s="100"/>
      <c r="C284" s="61"/>
      <c r="D284" s="62"/>
      <c r="E284" s="157"/>
      <c r="F284" s="137"/>
      <c r="G284" s="217"/>
    </row>
    <row r="285" spans="1:7" s="30" customFormat="1" ht="27.6">
      <c r="A285" s="66" t="s">
        <v>27</v>
      </c>
      <c r="B285" s="67" t="s">
        <v>1375</v>
      </c>
      <c r="C285" s="68"/>
      <c r="D285" s="69" t="s">
        <v>2</v>
      </c>
      <c r="E285" s="157">
        <v>9041.68</v>
      </c>
      <c r="F285" s="137">
        <f>+E285</f>
        <v>9041.68</v>
      </c>
      <c r="G285" s="217"/>
    </row>
    <row r="286" spans="1:7" s="30" customFormat="1" ht="14.45">
      <c r="A286" s="59"/>
      <c r="B286" s="100"/>
      <c r="C286" s="61"/>
      <c r="D286" s="62"/>
      <c r="E286" s="157"/>
      <c r="F286" s="137"/>
      <c r="G286" s="217"/>
    </row>
    <row r="287" spans="1:7" s="91" customFormat="1" ht="14.45">
      <c r="A287" s="80" t="s">
        <v>44</v>
      </c>
      <c r="B287" s="81" t="s">
        <v>1376</v>
      </c>
      <c r="C287" s="82" t="s">
        <v>1377</v>
      </c>
      <c r="D287" s="83" t="s">
        <v>63</v>
      </c>
      <c r="E287" s="158">
        <v>107.27</v>
      </c>
      <c r="F287" s="137">
        <f>C287*E287</f>
        <v>26495.69</v>
      </c>
      <c r="G287" s="217"/>
    </row>
    <row r="288" spans="1:7" s="30" customFormat="1" ht="14.45">
      <c r="A288" s="59"/>
      <c r="B288" s="100"/>
      <c r="C288" s="61"/>
      <c r="D288" s="62"/>
      <c r="E288" s="157"/>
      <c r="F288" s="137"/>
      <c r="G288" s="217"/>
    </row>
    <row r="289" spans="1:7" s="91" customFormat="1" ht="14.45">
      <c r="A289" s="80" t="s">
        <v>48</v>
      </c>
      <c r="B289" s="81" t="s">
        <v>1378</v>
      </c>
      <c r="C289" s="82" t="s">
        <v>39</v>
      </c>
      <c r="D289" s="83" t="s">
        <v>63</v>
      </c>
      <c r="E289" s="158">
        <v>957.44</v>
      </c>
      <c r="F289" s="137">
        <f>C289*E289</f>
        <v>5744.64</v>
      </c>
      <c r="G289" s="217"/>
    </row>
    <row r="290" spans="1:7" s="30" customFormat="1" ht="14.45">
      <c r="A290" s="59"/>
      <c r="B290" s="100"/>
      <c r="C290" s="61"/>
      <c r="D290" s="62"/>
      <c r="E290" s="157"/>
      <c r="F290" s="137"/>
      <c r="G290" s="217"/>
    </row>
    <row r="291" spans="1:7" s="91" customFormat="1" ht="14.45">
      <c r="A291" s="80" t="s">
        <v>84</v>
      </c>
      <c r="B291" s="81" t="s">
        <v>1379</v>
      </c>
      <c r="C291" s="82" t="s">
        <v>332</v>
      </c>
      <c r="D291" s="83" t="s">
        <v>63</v>
      </c>
      <c r="E291" s="158">
        <v>992.56</v>
      </c>
      <c r="F291" s="137">
        <f>C291*E291</f>
        <v>9925.5999999999985</v>
      </c>
      <c r="G291" s="217"/>
    </row>
    <row r="292" spans="1:7" s="30" customFormat="1" ht="14.45">
      <c r="A292" s="59"/>
      <c r="B292" s="100"/>
      <c r="C292" s="61"/>
      <c r="D292" s="62"/>
      <c r="E292" s="157"/>
      <c r="F292" s="137"/>
      <c r="G292" s="217"/>
    </row>
    <row r="293" spans="1:7" s="30" customFormat="1" ht="55.15">
      <c r="A293" s="66"/>
      <c r="B293" s="98" t="s">
        <v>1380</v>
      </c>
      <c r="C293" s="68"/>
      <c r="D293" s="69"/>
      <c r="E293" s="157"/>
      <c r="F293" s="137"/>
      <c r="G293" s="217"/>
    </row>
    <row r="294" spans="1:7" s="30" customFormat="1" ht="14.45">
      <c r="A294" s="59"/>
      <c r="B294" s="100"/>
      <c r="C294" s="61"/>
      <c r="D294" s="62"/>
      <c r="E294" s="157"/>
      <c r="F294" s="137"/>
      <c r="G294" s="217"/>
    </row>
    <row r="295" spans="1:7" s="30" customFormat="1" ht="14.45">
      <c r="A295" s="66" t="s">
        <v>86</v>
      </c>
      <c r="B295" s="67" t="s">
        <v>1381</v>
      </c>
      <c r="C295" s="68" t="s">
        <v>1377</v>
      </c>
      <c r="D295" s="69" t="s">
        <v>63</v>
      </c>
      <c r="E295" s="157">
        <v>1466.65</v>
      </c>
      <c r="F295" s="137">
        <f>C295*E295</f>
        <v>362262.55000000005</v>
      </c>
      <c r="G295" s="250" t="s">
        <v>1382</v>
      </c>
    </row>
    <row r="296" spans="1:7" s="30" customFormat="1" ht="14.45">
      <c r="A296" s="59"/>
      <c r="B296" s="100"/>
      <c r="C296" s="61"/>
      <c r="D296" s="62"/>
      <c r="E296" s="157"/>
      <c r="F296" s="137"/>
      <c r="G296" s="250"/>
    </row>
    <row r="297" spans="1:7" s="30" customFormat="1" ht="14.45">
      <c r="A297" s="66" t="s">
        <v>90</v>
      </c>
      <c r="B297" s="67" t="s">
        <v>1383</v>
      </c>
      <c r="C297" s="68" t="s">
        <v>716</v>
      </c>
      <c r="D297" s="69" t="s">
        <v>63</v>
      </c>
      <c r="E297" s="157">
        <v>1716.53</v>
      </c>
      <c r="F297" s="137">
        <f>C297*E297</f>
        <v>41196.720000000001</v>
      </c>
      <c r="G297" s="250" t="s">
        <v>1382</v>
      </c>
    </row>
    <row r="298" spans="1:7" s="30" customFormat="1" ht="14.45">
      <c r="A298" s="59"/>
      <c r="B298" s="100"/>
      <c r="C298" s="61"/>
      <c r="D298" s="62"/>
      <c r="E298" s="157"/>
      <c r="F298" s="137"/>
      <c r="G298" s="250"/>
    </row>
    <row r="299" spans="1:7" s="30" customFormat="1" ht="14.45">
      <c r="A299" s="66" t="s">
        <v>92</v>
      </c>
      <c r="B299" s="67" t="s">
        <v>1384</v>
      </c>
      <c r="C299" s="68" t="s">
        <v>716</v>
      </c>
      <c r="D299" s="69" t="s">
        <v>63</v>
      </c>
      <c r="E299" s="157">
        <v>2089.36</v>
      </c>
      <c r="F299" s="137">
        <f>C299*E299</f>
        <v>50144.639999999999</v>
      </c>
      <c r="G299" s="250" t="s">
        <v>1382</v>
      </c>
    </row>
    <row r="300" spans="1:7" s="30" customFormat="1" ht="14.45">
      <c r="A300" s="59"/>
      <c r="B300" s="100"/>
      <c r="C300" s="61"/>
      <c r="D300" s="62"/>
      <c r="E300" s="157"/>
      <c r="F300" s="137"/>
      <c r="G300" s="250"/>
    </row>
    <row r="301" spans="1:7" s="91" customFormat="1" ht="14.45">
      <c r="A301" s="80" t="s">
        <v>94</v>
      </c>
      <c r="B301" s="81" t="s">
        <v>1385</v>
      </c>
      <c r="C301" s="82" t="s">
        <v>1371</v>
      </c>
      <c r="D301" s="83" t="s">
        <v>63</v>
      </c>
      <c r="E301" s="158">
        <v>1092.1099999999999</v>
      </c>
      <c r="F301" s="137">
        <f>C301*E301</f>
        <v>110303.10999999999</v>
      </c>
      <c r="G301" s="250" t="s">
        <v>1382</v>
      </c>
    </row>
    <row r="302" spans="1:7" s="91" customFormat="1" ht="14.45">
      <c r="A302" s="80"/>
      <c r="B302" s="102"/>
      <c r="C302" s="82"/>
      <c r="D302" s="83"/>
      <c r="E302" s="158"/>
      <c r="F302" s="141"/>
      <c r="G302" s="234"/>
    </row>
    <row r="303" spans="1:7" s="30" customFormat="1" ht="28.9">
      <c r="A303" s="59"/>
      <c r="B303" s="230" t="s">
        <v>323</v>
      </c>
      <c r="C303" s="61"/>
      <c r="D303" s="62"/>
      <c r="E303" s="157"/>
      <c r="F303" s="137"/>
      <c r="G303" s="217"/>
    </row>
    <row r="304" spans="1:7" s="30" customFormat="1" ht="14.45">
      <c r="A304" s="71"/>
      <c r="B304" s="72"/>
      <c r="C304" s="73"/>
      <c r="D304" s="74"/>
      <c r="E304" s="159"/>
      <c r="F304" s="138"/>
      <c r="G304" s="226"/>
    </row>
    <row r="305" spans="1:7" s="30" customFormat="1" ht="14.45">
      <c r="A305" s="75"/>
      <c r="B305" s="76"/>
      <c r="C305" s="77" t="s">
        <v>30</v>
      </c>
      <c r="D305" s="77"/>
      <c r="E305" s="160" t="s">
        <v>8</v>
      </c>
      <c r="F305" s="139">
        <f>SUM(F275:F302)</f>
        <v>2422582.98</v>
      </c>
      <c r="G305" s="227"/>
    </row>
    <row r="306" spans="1:7" s="30" customFormat="1" ht="14.45">
      <c r="A306" s="75"/>
      <c r="B306" s="76"/>
      <c r="C306" s="78"/>
      <c r="D306" s="79"/>
      <c r="E306" s="161"/>
      <c r="F306" s="140"/>
      <c r="G306" s="228"/>
    </row>
    <row r="307" spans="1:7" s="30" customFormat="1" ht="14.45">
      <c r="A307" s="59"/>
      <c r="B307" s="63"/>
      <c r="C307" s="61"/>
      <c r="D307" s="62"/>
      <c r="E307" s="157"/>
      <c r="F307" s="137"/>
      <c r="G307" s="217"/>
    </row>
    <row r="308" spans="1:7" s="30" customFormat="1" ht="14.45">
      <c r="A308" s="59"/>
      <c r="B308" s="64" t="s">
        <v>1386</v>
      </c>
      <c r="C308" s="61"/>
      <c r="D308" s="62"/>
      <c r="E308" s="157"/>
      <c r="F308" s="137"/>
      <c r="G308" s="217"/>
    </row>
    <row r="309" spans="1:7" s="30" customFormat="1" ht="14.45">
      <c r="A309" s="59"/>
      <c r="B309" s="100"/>
      <c r="C309" s="61"/>
      <c r="D309" s="62"/>
      <c r="E309" s="157"/>
      <c r="F309" s="137"/>
      <c r="G309" s="217"/>
    </row>
    <row r="310" spans="1:7" s="30" customFormat="1" ht="14.45">
      <c r="A310" s="66" t="s">
        <v>14</v>
      </c>
      <c r="B310" s="67" t="s">
        <v>1387</v>
      </c>
      <c r="C310" s="68" t="s">
        <v>716</v>
      </c>
      <c r="D310" s="69" t="s">
        <v>63</v>
      </c>
      <c r="E310" s="157">
        <v>1487.48</v>
      </c>
      <c r="F310" s="137">
        <f>C310*E310</f>
        <v>35699.520000000004</v>
      </c>
      <c r="G310" s="250" t="s">
        <v>1382</v>
      </c>
    </row>
    <row r="311" spans="1:7" s="30" customFormat="1" ht="14.45">
      <c r="A311" s="59"/>
      <c r="B311" s="100"/>
      <c r="C311" s="61"/>
      <c r="D311" s="62"/>
      <c r="E311" s="157"/>
      <c r="F311" s="137"/>
      <c r="G311" s="250"/>
    </row>
    <row r="312" spans="1:7" s="30" customFormat="1" ht="14.45">
      <c r="A312" s="66" t="s">
        <v>17</v>
      </c>
      <c r="B312" s="67" t="s">
        <v>1388</v>
      </c>
      <c r="C312" s="68" t="s">
        <v>725</v>
      </c>
      <c r="D312" s="69" t="s">
        <v>63</v>
      </c>
      <c r="E312" s="157">
        <v>382.52</v>
      </c>
      <c r="F312" s="137">
        <f>C312*E312</f>
        <v>93717.4</v>
      </c>
      <c r="G312" s="250" t="s">
        <v>1382</v>
      </c>
    </row>
    <row r="313" spans="1:7" s="30" customFormat="1" ht="14.45">
      <c r="A313" s="59"/>
      <c r="B313" s="100"/>
      <c r="C313" s="61"/>
      <c r="D313" s="62"/>
      <c r="E313" s="157"/>
      <c r="F313" s="137"/>
      <c r="G313" s="250"/>
    </row>
    <row r="314" spans="1:7" s="30" customFormat="1" ht="14.45">
      <c r="A314" s="66" t="s">
        <v>20</v>
      </c>
      <c r="B314" s="67" t="s">
        <v>1389</v>
      </c>
      <c r="C314" s="68" t="s">
        <v>487</v>
      </c>
      <c r="D314" s="69" t="s">
        <v>63</v>
      </c>
      <c r="E314" s="157">
        <v>855.59</v>
      </c>
      <c r="F314" s="137">
        <f>C314*E314</f>
        <v>23956.52</v>
      </c>
      <c r="G314" s="250" t="s">
        <v>1382</v>
      </c>
    </row>
    <row r="315" spans="1:7" s="30" customFormat="1" ht="14.45">
      <c r="A315" s="59"/>
      <c r="B315" s="100"/>
      <c r="C315" s="61"/>
      <c r="D315" s="62"/>
      <c r="E315" s="157"/>
      <c r="F315" s="137"/>
      <c r="G315" s="250"/>
    </row>
    <row r="316" spans="1:7" s="30" customFormat="1" ht="14.45">
      <c r="A316" s="66" t="s">
        <v>23</v>
      </c>
      <c r="B316" s="67" t="s">
        <v>1390</v>
      </c>
      <c r="C316" s="68" t="s">
        <v>1114</v>
      </c>
      <c r="D316" s="69" t="s">
        <v>63</v>
      </c>
      <c r="E316" s="157">
        <v>1113.82</v>
      </c>
      <c r="F316" s="137">
        <f>C316*E316</f>
        <v>30073.14</v>
      </c>
      <c r="G316" s="250" t="s">
        <v>1382</v>
      </c>
    </row>
    <row r="317" spans="1:7" s="30" customFormat="1" ht="14.45">
      <c r="A317" s="59"/>
      <c r="B317" s="100"/>
      <c r="C317" s="61"/>
      <c r="D317" s="62"/>
      <c r="E317" s="157"/>
      <c r="F317" s="137"/>
      <c r="G317" s="250"/>
    </row>
    <row r="318" spans="1:7" s="30" customFormat="1" ht="14.45">
      <c r="A318" s="66" t="s">
        <v>27</v>
      </c>
      <c r="B318" s="67" t="s">
        <v>1391</v>
      </c>
      <c r="C318" s="68"/>
      <c r="D318" s="69" t="s">
        <v>2</v>
      </c>
      <c r="E318" s="157">
        <v>24922.41</v>
      </c>
      <c r="F318" s="137">
        <f>+E318</f>
        <v>24922.41</v>
      </c>
      <c r="G318" s="250" t="s">
        <v>1382</v>
      </c>
    </row>
    <row r="319" spans="1:7" s="30" customFormat="1" ht="14.45">
      <c r="A319" s="59"/>
      <c r="B319" s="100"/>
      <c r="C319" s="61"/>
      <c r="D319" s="62"/>
      <c r="E319" s="157"/>
      <c r="F319" s="137"/>
      <c r="G319" s="250"/>
    </row>
    <row r="320" spans="1:7" s="30" customFormat="1" ht="14.45">
      <c r="A320" s="66" t="s">
        <v>44</v>
      </c>
      <c r="B320" s="67" t="s">
        <v>1392</v>
      </c>
      <c r="C320" s="68" t="s">
        <v>714</v>
      </c>
      <c r="D320" s="69" t="s">
        <v>63</v>
      </c>
      <c r="E320" s="157">
        <v>809.31</v>
      </c>
      <c r="F320" s="137">
        <f>C320*E320</f>
        <v>6474.48</v>
      </c>
      <c r="G320" s="250" t="s">
        <v>1382</v>
      </c>
    </row>
    <row r="321" spans="1:7" s="30" customFormat="1" ht="14.45">
      <c r="A321" s="59"/>
      <c r="B321" s="100"/>
      <c r="C321" s="61"/>
      <c r="D321" s="62"/>
      <c r="E321" s="157"/>
      <c r="F321" s="137"/>
      <c r="G321" s="250"/>
    </row>
    <row r="322" spans="1:7" s="30" customFormat="1" ht="14.45">
      <c r="A322" s="66" t="s">
        <v>48</v>
      </c>
      <c r="B322" s="67" t="s">
        <v>1393</v>
      </c>
      <c r="C322" s="68" t="s">
        <v>152</v>
      </c>
      <c r="D322" s="69" t="s">
        <v>63</v>
      </c>
      <c r="E322" s="157">
        <v>1113.82</v>
      </c>
      <c r="F322" s="137">
        <f>C322*E322</f>
        <v>2227.64</v>
      </c>
      <c r="G322" s="250" t="s">
        <v>1382</v>
      </c>
    </row>
    <row r="323" spans="1:7" s="30" customFormat="1" ht="14.45">
      <c r="A323" s="59"/>
      <c r="B323" s="100"/>
      <c r="C323" s="61"/>
      <c r="D323" s="62"/>
      <c r="E323" s="157"/>
      <c r="F323" s="137"/>
      <c r="G323" s="250"/>
    </row>
    <row r="324" spans="1:7" s="30" customFormat="1" ht="14.45">
      <c r="A324" s="66" t="s">
        <v>84</v>
      </c>
      <c r="B324" s="67" t="s">
        <v>1394</v>
      </c>
      <c r="C324" s="68" t="s">
        <v>152</v>
      </c>
      <c r="D324" s="69" t="s">
        <v>63</v>
      </c>
      <c r="E324" s="157">
        <v>756.96</v>
      </c>
      <c r="F324" s="137">
        <f>C324*E324</f>
        <v>1513.92</v>
      </c>
      <c r="G324" s="250" t="s">
        <v>1382</v>
      </c>
    </row>
    <row r="325" spans="1:7" s="30" customFormat="1" ht="14.45">
      <c r="A325" s="59"/>
      <c r="B325" s="100"/>
      <c r="C325" s="61"/>
      <c r="D325" s="62"/>
      <c r="E325" s="157"/>
      <c r="F325" s="137"/>
      <c r="G325" s="250"/>
    </row>
    <row r="326" spans="1:7" s="30" customFormat="1" ht="14.45">
      <c r="A326" s="66" t="s">
        <v>86</v>
      </c>
      <c r="B326" s="67" t="s">
        <v>1395</v>
      </c>
      <c r="C326" s="68" t="s">
        <v>304</v>
      </c>
      <c r="D326" s="69" t="s">
        <v>63</v>
      </c>
      <c r="E326" s="157">
        <v>1763.51</v>
      </c>
      <c r="F326" s="137">
        <f>C326*E326</f>
        <v>1763.51</v>
      </c>
      <c r="G326" s="250" t="s">
        <v>1382</v>
      </c>
    </row>
    <row r="327" spans="1:7" s="30" customFormat="1" ht="14.45">
      <c r="A327" s="59"/>
      <c r="B327" s="100"/>
      <c r="C327" s="61"/>
      <c r="D327" s="62"/>
      <c r="E327" s="157"/>
      <c r="F327" s="137"/>
      <c r="G327" s="250"/>
    </row>
    <row r="328" spans="1:7" s="30" customFormat="1" ht="14.45">
      <c r="A328" s="66" t="s">
        <v>90</v>
      </c>
      <c r="B328" s="67" t="s">
        <v>1396</v>
      </c>
      <c r="C328" s="68" t="s">
        <v>714</v>
      </c>
      <c r="D328" s="69" t="s">
        <v>63</v>
      </c>
      <c r="E328" s="157">
        <v>1127.3900000000001</v>
      </c>
      <c r="F328" s="137">
        <f>C328*E328</f>
        <v>9019.1200000000008</v>
      </c>
      <c r="G328" s="250" t="s">
        <v>1382</v>
      </c>
    </row>
    <row r="329" spans="1:7" s="30" customFormat="1" ht="14.45">
      <c r="A329" s="59"/>
      <c r="B329" s="63"/>
      <c r="C329" s="61"/>
      <c r="D329" s="62"/>
      <c r="E329" s="157"/>
      <c r="F329" s="137"/>
      <c r="G329" s="217"/>
    </row>
    <row r="330" spans="1:7" s="30" customFormat="1" ht="14.45">
      <c r="A330" s="59"/>
      <c r="B330" s="63"/>
      <c r="C330" s="61"/>
      <c r="D330" s="62"/>
      <c r="E330" s="157"/>
      <c r="F330" s="137"/>
      <c r="G330" s="217"/>
    </row>
    <row r="331" spans="1:7" s="30" customFormat="1" ht="14.45">
      <c r="A331" s="59"/>
      <c r="B331" s="63"/>
      <c r="C331" s="61"/>
      <c r="D331" s="62"/>
      <c r="E331" s="157"/>
      <c r="F331" s="137"/>
      <c r="G331" s="217"/>
    </row>
    <row r="332" spans="1:7" s="30" customFormat="1" ht="14.45">
      <c r="A332" s="59"/>
      <c r="B332" s="63"/>
      <c r="C332" s="61"/>
      <c r="D332" s="62"/>
      <c r="E332" s="157"/>
      <c r="F332" s="137"/>
      <c r="G332" s="217"/>
    </row>
    <row r="333" spans="1:7" s="30" customFormat="1" ht="14.45">
      <c r="A333" s="59"/>
      <c r="B333" s="63"/>
      <c r="C333" s="61"/>
      <c r="D333" s="62"/>
      <c r="E333" s="157"/>
      <c r="F333" s="137"/>
      <c r="G333" s="217"/>
    </row>
    <row r="334" spans="1:7" s="30" customFormat="1" ht="14.45">
      <c r="A334" s="59"/>
      <c r="B334" s="63"/>
      <c r="C334" s="61"/>
      <c r="D334" s="62"/>
      <c r="E334" s="157"/>
      <c r="F334" s="137"/>
      <c r="G334" s="217"/>
    </row>
    <row r="335" spans="1:7" s="30" customFormat="1" ht="14.45">
      <c r="A335" s="59"/>
      <c r="B335" s="63"/>
      <c r="C335" s="61"/>
      <c r="D335" s="62"/>
      <c r="E335" s="157"/>
      <c r="F335" s="137"/>
      <c r="G335" s="217"/>
    </row>
    <row r="336" spans="1:7" s="30" customFormat="1" ht="14.45">
      <c r="A336" s="59"/>
      <c r="B336" s="63"/>
      <c r="C336" s="61"/>
      <c r="D336" s="62"/>
      <c r="E336" s="157"/>
      <c r="F336" s="137"/>
      <c r="G336" s="217"/>
    </row>
    <row r="337" spans="1:7" s="30" customFormat="1" ht="14.45">
      <c r="A337" s="59"/>
      <c r="B337" s="63"/>
      <c r="C337" s="61"/>
      <c r="D337" s="62"/>
      <c r="E337" s="157"/>
      <c r="F337" s="137"/>
      <c r="G337" s="217"/>
    </row>
    <row r="338" spans="1:7" s="30" customFormat="1" ht="14.45">
      <c r="A338" s="59"/>
      <c r="B338" s="63"/>
      <c r="C338" s="61"/>
      <c r="D338" s="62"/>
      <c r="E338" s="157"/>
      <c r="F338" s="137"/>
      <c r="G338" s="217"/>
    </row>
    <row r="339" spans="1:7" s="30" customFormat="1" ht="14.45">
      <c r="A339" s="59"/>
      <c r="B339" s="63"/>
      <c r="C339" s="61"/>
      <c r="D339" s="62"/>
      <c r="E339" s="157"/>
      <c r="F339" s="137"/>
      <c r="G339" s="217"/>
    </row>
    <row r="340" spans="1:7" s="30" customFormat="1" ht="14.45">
      <c r="A340" s="59"/>
      <c r="B340" s="63"/>
      <c r="C340" s="61"/>
      <c r="D340" s="62"/>
      <c r="E340" s="157"/>
      <c r="F340" s="137"/>
      <c r="G340" s="217"/>
    </row>
    <row r="341" spans="1:7" s="30" customFormat="1" ht="14.45">
      <c r="A341" s="59"/>
      <c r="B341" s="63"/>
      <c r="C341" s="61"/>
      <c r="D341" s="62"/>
      <c r="E341" s="157"/>
      <c r="F341" s="137"/>
      <c r="G341" s="217"/>
    </row>
    <row r="342" spans="1:7" s="30" customFormat="1" ht="14.45">
      <c r="A342" s="59"/>
      <c r="B342" s="63"/>
      <c r="C342" s="61"/>
      <c r="D342" s="62"/>
      <c r="E342" s="157"/>
      <c r="F342" s="137"/>
      <c r="G342" s="217"/>
    </row>
    <row r="343" spans="1:7" s="30" customFormat="1" ht="14.45">
      <c r="A343" s="59"/>
      <c r="B343" s="63"/>
      <c r="C343" s="61"/>
      <c r="D343" s="62"/>
      <c r="E343" s="157"/>
      <c r="F343" s="137"/>
      <c r="G343" s="217"/>
    </row>
    <row r="344" spans="1:7" s="30" customFormat="1" ht="14.45">
      <c r="A344" s="59"/>
      <c r="B344" s="63"/>
      <c r="C344" s="61"/>
      <c r="D344" s="62"/>
      <c r="E344" s="157"/>
      <c r="F344" s="137"/>
      <c r="G344" s="217"/>
    </row>
    <row r="345" spans="1:7" s="30" customFormat="1" ht="14.45">
      <c r="A345" s="59"/>
      <c r="B345" s="63"/>
      <c r="C345" s="61"/>
      <c r="D345" s="62"/>
      <c r="E345" s="157"/>
      <c r="F345" s="137"/>
      <c r="G345" s="217"/>
    </row>
    <row r="346" spans="1:7" s="30" customFormat="1" ht="14.45">
      <c r="A346" s="59"/>
      <c r="B346" s="63"/>
      <c r="C346" s="61"/>
      <c r="D346" s="62"/>
      <c r="E346" s="157"/>
      <c r="F346" s="137"/>
      <c r="G346" s="217"/>
    </row>
    <row r="347" spans="1:7" s="30" customFormat="1" ht="14.45">
      <c r="A347" s="59"/>
      <c r="B347" s="63"/>
      <c r="C347" s="61"/>
      <c r="D347" s="62"/>
      <c r="E347" s="157"/>
      <c r="F347" s="137"/>
      <c r="G347" s="217"/>
    </row>
    <row r="348" spans="1:7" s="30" customFormat="1" ht="14.45">
      <c r="A348" s="59"/>
      <c r="B348" s="63"/>
      <c r="C348" s="61"/>
      <c r="D348" s="62"/>
      <c r="E348" s="157"/>
      <c r="F348" s="137"/>
      <c r="G348" s="217"/>
    </row>
    <row r="349" spans="1:7" s="30" customFormat="1" ht="28.9">
      <c r="A349" s="59"/>
      <c r="B349" s="230" t="s">
        <v>323</v>
      </c>
      <c r="C349" s="61"/>
      <c r="D349" s="62"/>
      <c r="E349" s="157"/>
      <c r="F349" s="137"/>
      <c r="G349" s="217"/>
    </row>
    <row r="350" spans="1:7" s="30" customFormat="1" ht="14.45">
      <c r="A350" s="71"/>
      <c r="B350" s="72"/>
      <c r="C350" s="73"/>
      <c r="D350" s="74"/>
      <c r="E350" s="159"/>
      <c r="F350" s="138"/>
      <c r="G350" s="226"/>
    </row>
    <row r="351" spans="1:7" s="30" customFormat="1" ht="14.45">
      <c r="A351" s="75"/>
      <c r="B351" s="76"/>
      <c r="C351" s="77" t="s">
        <v>30</v>
      </c>
      <c r="D351" s="77"/>
      <c r="E351" s="160" t="s">
        <v>8</v>
      </c>
      <c r="F351" s="139">
        <f>SUM(F308:F339)</f>
        <v>229367.66000000006</v>
      </c>
      <c r="G351" s="227"/>
    </row>
    <row r="352" spans="1:7" s="30" customFormat="1" ht="14.45">
      <c r="A352" s="75"/>
      <c r="B352" s="76"/>
      <c r="C352" s="78"/>
      <c r="D352" s="79"/>
      <c r="E352" s="161"/>
      <c r="F352" s="140"/>
      <c r="G352" s="228"/>
    </row>
    <row r="353" spans="1:7" s="30" customFormat="1" ht="14.45">
      <c r="A353" s="59"/>
      <c r="B353" s="63"/>
      <c r="C353" s="61"/>
      <c r="D353" s="62"/>
      <c r="E353" s="157"/>
      <c r="F353" s="137"/>
      <c r="G353" s="217"/>
    </row>
    <row r="354" spans="1:7" s="30" customFormat="1" ht="14.45">
      <c r="A354" s="59"/>
      <c r="B354" s="64" t="s">
        <v>1397</v>
      </c>
      <c r="C354" s="61"/>
      <c r="D354" s="62"/>
      <c r="E354" s="157"/>
      <c r="F354" s="137"/>
      <c r="G354" s="217"/>
    </row>
    <row r="355" spans="1:7" s="30" customFormat="1" ht="14.45">
      <c r="A355" s="59"/>
      <c r="B355" s="100"/>
      <c r="C355" s="61"/>
      <c r="D355" s="62"/>
      <c r="E355" s="157"/>
      <c r="F355" s="137"/>
      <c r="G355" s="217"/>
    </row>
    <row r="356" spans="1:7" s="30" customFormat="1" ht="14.45">
      <c r="A356" s="66"/>
      <c r="B356" s="99" t="s">
        <v>979</v>
      </c>
      <c r="C356" s="68"/>
      <c r="D356" s="69"/>
      <c r="E356" s="157"/>
      <c r="F356" s="137"/>
      <c r="G356" s="217"/>
    </row>
    <row r="357" spans="1:7" s="30" customFormat="1" ht="14.45">
      <c r="A357" s="59"/>
      <c r="B357" s="100"/>
      <c r="C357" s="61"/>
      <c r="D357" s="62"/>
      <c r="E357" s="157"/>
      <c r="F357" s="137"/>
      <c r="G357" s="217"/>
    </row>
    <row r="358" spans="1:7" s="30" customFormat="1" ht="41.45">
      <c r="A358" s="66"/>
      <c r="B358" s="99" t="s">
        <v>1398</v>
      </c>
      <c r="C358" s="68"/>
      <c r="D358" s="69"/>
      <c r="E358" s="157"/>
      <c r="F358" s="137"/>
      <c r="G358" s="217"/>
    </row>
    <row r="359" spans="1:7" s="30" customFormat="1" ht="14.45">
      <c r="A359" s="59"/>
      <c r="B359" s="100"/>
      <c r="C359" s="61"/>
      <c r="D359" s="62"/>
      <c r="E359" s="157"/>
      <c r="F359" s="137"/>
      <c r="G359" s="217"/>
    </row>
    <row r="360" spans="1:7" s="30" customFormat="1" ht="41.45">
      <c r="A360" s="66"/>
      <c r="B360" s="99" t="s">
        <v>1399</v>
      </c>
      <c r="C360" s="68"/>
      <c r="D360" s="69"/>
      <c r="E360" s="157"/>
      <c r="F360" s="137"/>
      <c r="G360" s="217"/>
    </row>
    <row r="361" spans="1:7" s="30" customFormat="1" ht="14.45">
      <c r="A361" s="59"/>
      <c r="B361" s="100"/>
      <c r="C361" s="61"/>
      <c r="D361" s="62"/>
      <c r="E361" s="157"/>
      <c r="F361" s="137"/>
      <c r="G361" s="217"/>
    </row>
    <row r="362" spans="1:7" s="30" customFormat="1" ht="41.45">
      <c r="A362" s="66"/>
      <c r="B362" s="99" t="s">
        <v>1309</v>
      </c>
      <c r="C362" s="68"/>
      <c r="D362" s="69"/>
      <c r="E362" s="157"/>
      <c r="F362" s="137"/>
      <c r="G362" s="217"/>
    </row>
    <row r="363" spans="1:7" s="30" customFormat="1" ht="14.45">
      <c r="A363" s="59"/>
      <c r="B363" s="100"/>
      <c r="C363" s="61"/>
      <c r="D363" s="62"/>
      <c r="E363" s="157"/>
      <c r="F363" s="137"/>
      <c r="G363" s="217"/>
    </row>
    <row r="364" spans="1:7" s="30" customFormat="1" ht="41.45">
      <c r="A364" s="66"/>
      <c r="B364" s="98" t="s">
        <v>1400</v>
      </c>
      <c r="C364" s="68"/>
      <c r="D364" s="69"/>
      <c r="E364" s="157"/>
      <c r="F364" s="137"/>
      <c r="G364" s="217"/>
    </row>
    <row r="365" spans="1:7" s="30" customFormat="1" ht="14.45">
      <c r="A365" s="59"/>
      <c r="B365" s="100"/>
      <c r="C365" s="61"/>
      <c r="D365" s="62"/>
      <c r="E365" s="157"/>
      <c r="F365" s="137"/>
      <c r="G365" s="217"/>
    </row>
    <row r="366" spans="1:7" s="30" customFormat="1" ht="14.45">
      <c r="A366" s="66" t="s">
        <v>14</v>
      </c>
      <c r="B366" s="67" t="s">
        <v>1401</v>
      </c>
      <c r="C366" s="68" t="s">
        <v>1402</v>
      </c>
      <c r="D366" s="69" t="s">
        <v>199</v>
      </c>
      <c r="E366" s="157">
        <v>47</v>
      </c>
      <c r="F366" s="137">
        <f>C366*E366</f>
        <v>94846</v>
      </c>
      <c r="G366" s="250" t="s">
        <v>1403</v>
      </c>
    </row>
    <row r="367" spans="1:7" s="30" customFormat="1" ht="14.45">
      <c r="A367" s="59"/>
      <c r="B367" s="100"/>
      <c r="C367" s="61"/>
      <c r="D367" s="62"/>
      <c r="E367" s="157"/>
      <c r="F367" s="137"/>
      <c r="G367" s="250"/>
    </row>
    <row r="368" spans="1:7" s="30" customFormat="1" ht="14.45">
      <c r="A368" s="66" t="s">
        <v>17</v>
      </c>
      <c r="B368" s="67" t="s">
        <v>1404</v>
      </c>
      <c r="C368" s="68" t="s">
        <v>1405</v>
      </c>
      <c r="D368" s="69" t="s">
        <v>199</v>
      </c>
      <c r="E368" s="157">
        <v>50.45</v>
      </c>
      <c r="F368" s="137">
        <f>C368*E368</f>
        <v>54586.9</v>
      </c>
      <c r="G368" s="250" t="s">
        <v>1403</v>
      </c>
    </row>
    <row r="369" spans="1:7" s="30" customFormat="1" ht="14.45">
      <c r="A369" s="59"/>
      <c r="B369" s="100"/>
      <c r="C369" s="61"/>
      <c r="D369" s="62"/>
      <c r="E369" s="157"/>
      <c r="F369" s="137"/>
      <c r="G369" s="250"/>
    </row>
    <row r="370" spans="1:7" s="30" customFormat="1" ht="14.45">
      <c r="A370" s="66" t="s">
        <v>20</v>
      </c>
      <c r="B370" s="67" t="s">
        <v>1406</v>
      </c>
      <c r="C370" s="68" t="s">
        <v>1407</v>
      </c>
      <c r="D370" s="69" t="s">
        <v>199</v>
      </c>
      <c r="E370" s="157">
        <v>54.6</v>
      </c>
      <c r="F370" s="137">
        <f>C370*E370</f>
        <v>53453.4</v>
      </c>
      <c r="G370" s="250" t="s">
        <v>1403</v>
      </c>
    </row>
    <row r="371" spans="1:7" s="30" customFormat="1" ht="14.45">
      <c r="A371" s="59"/>
      <c r="B371" s="100"/>
      <c r="C371" s="61"/>
      <c r="D371" s="62"/>
      <c r="E371" s="157"/>
      <c r="F371" s="137"/>
      <c r="G371" s="250"/>
    </row>
    <row r="372" spans="1:7" s="30" customFormat="1" ht="14.45">
      <c r="A372" s="66" t="s">
        <v>23</v>
      </c>
      <c r="B372" s="67" t="s">
        <v>1408</v>
      </c>
      <c r="C372" s="68" t="s">
        <v>1409</v>
      </c>
      <c r="D372" s="69" t="s">
        <v>199</v>
      </c>
      <c r="E372" s="157">
        <v>71.45</v>
      </c>
      <c r="F372" s="137">
        <f>C372*E372</f>
        <v>22935.45</v>
      </c>
      <c r="G372" s="250" t="s">
        <v>1403</v>
      </c>
    </row>
    <row r="373" spans="1:7" s="30" customFormat="1" ht="14.45">
      <c r="A373" s="59"/>
      <c r="B373" s="100"/>
      <c r="C373" s="61"/>
      <c r="D373" s="62"/>
      <c r="E373" s="157"/>
      <c r="F373" s="137"/>
      <c r="G373" s="250"/>
    </row>
    <row r="374" spans="1:7" s="30" customFormat="1" ht="14.45">
      <c r="A374" s="66" t="s">
        <v>27</v>
      </c>
      <c r="B374" s="67" t="s">
        <v>1410</v>
      </c>
      <c r="C374" s="68" t="s">
        <v>1411</v>
      </c>
      <c r="D374" s="69" t="s">
        <v>199</v>
      </c>
      <c r="E374" s="157">
        <v>78.3</v>
      </c>
      <c r="F374" s="137">
        <f>C374*E374</f>
        <v>68512.5</v>
      </c>
      <c r="G374" s="250" t="s">
        <v>1403</v>
      </c>
    </row>
    <row r="375" spans="1:7" s="30" customFormat="1" ht="14.45">
      <c r="A375" s="59"/>
      <c r="B375" s="100"/>
      <c r="C375" s="61"/>
      <c r="D375" s="62"/>
      <c r="E375" s="157"/>
      <c r="F375" s="137"/>
      <c r="G375" s="250"/>
    </row>
    <row r="376" spans="1:7" s="30" customFormat="1" ht="14.45">
      <c r="A376" s="66" t="s">
        <v>44</v>
      </c>
      <c r="B376" s="67" t="s">
        <v>1319</v>
      </c>
      <c r="C376" s="68" t="s">
        <v>1412</v>
      </c>
      <c r="D376" s="69" t="s">
        <v>199</v>
      </c>
      <c r="E376" s="157">
        <v>95.01</v>
      </c>
      <c r="F376" s="137">
        <f>C376*E376</f>
        <v>94629.96</v>
      </c>
      <c r="G376" s="250" t="s">
        <v>1403</v>
      </c>
    </row>
    <row r="377" spans="1:7" s="30" customFormat="1" ht="14.45">
      <c r="A377" s="59"/>
      <c r="B377" s="100"/>
      <c r="C377" s="61"/>
      <c r="D377" s="62"/>
      <c r="E377" s="157"/>
      <c r="F377" s="137"/>
      <c r="G377" s="250"/>
    </row>
    <row r="378" spans="1:7" s="30" customFormat="1" ht="14.45">
      <c r="A378" s="66" t="s">
        <v>48</v>
      </c>
      <c r="B378" s="67" t="s">
        <v>1321</v>
      </c>
      <c r="C378" s="68" t="s">
        <v>1413</v>
      </c>
      <c r="D378" s="69" t="s">
        <v>199</v>
      </c>
      <c r="E378" s="157">
        <v>125.98</v>
      </c>
      <c r="F378" s="137">
        <f>C378*E378</f>
        <v>45226.82</v>
      </c>
      <c r="G378" s="250" t="s">
        <v>1403</v>
      </c>
    </row>
    <row r="379" spans="1:7" s="30" customFormat="1" ht="14.45">
      <c r="A379" s="59"/>
      <c r="B379" s="100"/>
      <c r="C379" s="61"/>
      <c r="D379" s="62"/>
      <c r="E379" s="157"/>
      <c r="F379" s="137"/>
      <c r="G379" s="250"/>
    </row>
    <row r="380" spans="1:7" s="30" customFormat="1" ht="14.45">
      <c r="A380" s="66" t="s">
        <v>84</v>
      </c>
      <c r="B380" s="67" t="s">
        <v>1312</v>
      </c>
      <c r="C380" s="68" t="s">
        <v>1414</v>
      </c>
      <c r="D380" s="69" t="s">
        <v>199</v>
      </c>
      <c r="E380" s="157">
        <v>137.99</v>
      </c>
      <c r="F380" s="137">
        <f>C380*E380</f>
        <v>13385.03</v>
      </c>
      <c r="G380" s="250" t="s">
        <v>1403</v>
      </c>
    </row>
    <row r="381" spans="1:7" s="30" customFormat="1" ht="14.45">
      <c r="A381" s="59"/>
      <c r="B381" s="100"/>
      <c r="C381" s="61"/>
      <c r="D381" s="62"/>
      <c r="E381" s="157"/>
      <c r="F381" s="137"/>
      <c r="G381" s="250"/>
    </row>
    <row r="382" spans="1:7" s="30" customFormat="1" ht="14.45">
      <c r="A382" s="66" t="s">
        <v>86</v>
      </c>
      <c r="B382" s="67" t="s">
        <v>1415</v>
      </c>
      <c r="C382" s="68" t="s">
        <v>335</v>
      </c>
      <c r="D382" s="69" t="s">
        <v>199</v>
      </c>
      <c r="E382" s="157">
        <v>216.48</v>
      </c>
      <c r="F382" s="137">
        <f>C382*E382</f>
        <v>649.43999999999994</v>
      </c>
      <c r="G382" s="250" t="s">
        <v>1403</v>
      </c>
    </row>
    <row r="383" spans="1:7" s="30" customFormat="1" ht="14.45">
      <c r="A383" s="59"/>
      <c r="B383" s="100"/>
      <c r="C383" s="61"/>
      <c r="D383" s="62"/>
      <c r="E383" s="157"/>
      <c r="F383" s="137"/>
      <c r="G383" s="250"/>
    </row>
    <row r="384" spans="1:7" s="30" customFormat="1" ht="14.45">
      <c r="A384" s="66" t="s">
        <v>90</v>
      </c>
      <c r="B384" s="67" t="s">
        <v>1313</v>
      </c>
      <c r="C384" s="68" t="s">
        <v>1416</v>
      </c>
      <c r="D384" s="69" t="s">
        <v>199</v>
      </c>
      <c r="E384" s="157">
        <v>216.48</v>
      </c>
      <c r="F384" s="137">
        <f>C384*E384</f>
        <v>15803.039999999999</v>
      </c>
      <c r="G384" s="250" t="s">
        <v>1403</v>
      </c>
    </row>
    <row r="385" spans="1:7" s="30" customFormat="1" ht="14.45">
      <c r="A385" s="59"/>
      <c r="B385" s="63"/>
      <c r="C385" s="61"/>
      <c r="D385" s="62"/>
      <c r="E385" s="157"/>
      <c r="F385" s="137"/>
      <c r="G385" s="217"/>
    </row>
    <row r="386" spans="1:7" s="30" customFormat="1" ht="14.45">
      <c r="A386" s="59"/>
      <c r="B386" s="63"/>
      <c r="C386" s="61"/>
      <c r="D386" s="62"/>
      <c r="E386" s="157"/>
      <c r="F386" s="137"/>
      <c r="G386" s="217"/>
    </row>
    <row r="387" spans="1:7" s="30" customFormat="1" ht="14.45">
      <c r="A387" s="59"/>
      <c r="B387" s="63"/>
      <c r="C387" s="61"/>
      <c r="D387" s="62"/>
      <c r="E387" s="157"/>
      <c r="F387" s="137"/>
      <c r="G387" s="217"/>
    </row>
    <row r="388" spans="1:7" s="30" customFormat="1" ht="14.45">
      <c r="A388" s="59"/>
      <c r="B388" s="63"/>
      <c r="C388" s="61"/>
      <c r="D388" s="62"/>
      <c r="E388" s="157"/>
      <c r="F388" s="137"/>
      <c r="G388" s="217"/>
    </row>
    <row r="389" spans="1:7" s="30" customFormat="1" ht="14.45">
      <c r="A389" s="59"/>
      <c r="B389" s="63"/>
      <c r="C389" s="61"/>
      <c r="D389" s="62"/>
      <c r="E389" s="157"/>
      <c r="F389" s="137"/>
      <c r="G389" s="217"/>
    </row>
    <row r="390" spans="1:7" s="30" customFormat="1" ht="28.9">
      <c r="A390" s="59"/>
      <c r="B390" s="230" t="s">
        <v>323</v>
      </c>
      <c r="C390" s="61"/>
      <c r="D390" s="62"/>
      <c r="E390" s="157"/>
      <c r="F390" s="137"/>
      <c r="G390" s="217"/>
    </row>
    <row r="391" spans="1:7" s="30" customFormat="1" ht="14.45">
      <c r="A391" s="71"/>
      <c r="B391" s="72"/>
      <c r="C391" s="73"/>
      <c r="D391" s="74"/>
      <c r="E391" s="159"/>
      <c r="F391" s="138"/>
      <c r="G391" s="226"/>
    </row>
    <row r="392" spans="1:7" s="30" customFormat="1" ht="14.45">
      <c r="A392" s="75"/>
      <c r="B392" s="76"/>
      <c r="C392" s="77" t="s">
        <v>30</v>
      </c>
      <c r="D392" s="77"/>
      <c r="E392" s="160" t="s">
        <v>8</v>
      </c>
      <c r="F392" s="139">
        <f>SUM(F364:F387)</f>
        <v>464028.54000000004</v>
      </c>
      <c r="G392" s="227"/>
    </row>
    <row r="393" spans="1:7" s="30" customFormat="1" ht="14.45">
      <c r="A393" s="75"/>
      <c r="B393" s="76"/>
      <c r="C393" s="78"/>
      <c r="D393" s="79"/>
      <c r="E393" s="161"/>
      <c r="F393" s="140"/>
      <c r="G393" s="228"/>
    </row>
    <row r="394" spans="1:7" s="30" customFormat="1" ht="14.45">
      <c r="A394" s="59"/>
      <c r="B394" s="63"/>
      <c r="C394" s="61"/>
      <c r="D394" s="62"/>
      <c r="E394" s="157"/>
      <c r="F394" s="137"/>
      <c r="G394" s="217"/>
    </row>
    <row r="395" spans="1:7" s="30" customFormat="1" ht="14.45">
      <c r="A395" s="59"/>
      <c r="B395" s="64" t="s">
        <v>1417</v>
      </c>
      <c r="C395" s="61"/>
      <c r="D395" s="62"/>
      <c r="E395" s="157"/>
      <c r="F395" s="137"/>
      <c r="G395" s="217"/>
    </row>
    <row r="396" spans="1:7" s="30" customFormat="1" ht="14.45">
      <c r="A396" s="59"/>
      <c r="B396" s="103"/>
      <c r="C396" s="61"/>
      <c r="D396" s="62"/>
      <c r="E396" s="157"/>
      <c r="F396" s="137"/>
      <c r="G396" s="217"/>
    </row>
    <row r="397" spans="1:7" s="30" customFormat="1" ht="41.45">
      <c r="A397" s="66"/>
      <c r="B397" s="98" t="s">
        <v>1418</v>
      </c>
      <c r="C397" s="68"/>
      <c r="D397" s="69"/>
      <c r="E397" s="157"/>
      <c r="F397" s="137"/>
      <c r="G397" s="217"/>
    </row>
    <row r="398" spans="1:7" s="30" customFormat="1" ht="14.45">
      <c r="A398" s="59"/>
      <c r="B398" s="100"/>
      <c r="C398" s="61"/>
      <c r="D398" s="62"/>
      <c r="E398" s="157"/>
      <c r="F398" s="137"/>
      <c r="G398" s="217"/>
    </row>
    <row r="399" spans="1:7" s="30" customFormat="1" ht="14.45">
      <c r="A399" s="66" t="s">
        <v>14</v>
      </c>
      <c r="B399" s="67" t="s">
        <v>1401</v>
      </c>
      <c r="C399" s="68" t="s">
        <v>25</v>
      </c>
      <c r="D399" s="69" t="s">
        <v>199</v>
      </c>
      <c r="E399" s="157">
        <v>48.13</v>
      </c>
      <c r="F399" s="137">
        <f>C399*E399</f>
        <v>6256.9000000000005</v>
      </c>
      <c r="G399" s="217"/>
    </row>
    <row r="400" spans="1:7" s="30" customFormat="1" ht="14.45">
      <c r="A400" s="59"/>
      <c r="B400" s="100"/>
      <c r="C400" s="61"/>
      <c r="D400" s="62"/>
      <c r="E400" s="157"/>
      <c r="F400" s="137"/>
      <c r="G400" s="217"/>
    </row>
    <row r="401" spans="1:7" s="30" customFormat="1" ht="14.45">
      <c r="A401" s="66" t="s">
        <v>17</v>
      </c>
      <c r="B401" s="67" t="s">
        <v>1404</v>
      </c>
      <c r="C401" s="68" t="s">
        <v>1419</v>
      </c>
      <c r="D401" s="69" t="s">
        <v>199</v>
      </c>
      <c r="E401" s="157">
        <v>54.55</v>
      </c>
      <c r="F401" s="137">
        <f>C401*E401</f>
        <v>981.9</v>
      </c>
      <c r="G401" s="217"/>
    </row>
    <row r="402" spans="1:7" s="30" customFormat="1" ht="14.45">
      <c r="A402" s="59"/>
      <c r="B402" s="100"/>
      <c r="C402" s="61"/>
      <c r="D402" s="62"/>
      <c r="E402" s="157"/>
      <c r="F402" s="137"/>
      <c r="G402" s="217"/>
    </row>
    <row r="403" spans="1:7" s="30" customFormat="1" ht="14.45">
      <c r="A403" s="66" t="s">
        <v>20</v>
      </c>
      <c r="B403" s="67" t="s">
        <v>1406</v>
      </c>
      <c r="C403" s="68" t="s">
        <v>304</v>
      </c>
      <c r="D403" s="69" t="s">
        <v>199</v>
      </c>
      <c r="E403" s="157">
        <v>58.8</v>
      </c>
      <c r="F403" s="137">
        <f>C403*E403</f>
        <v>58.8</v>
      </c>
      <c r="G403" s="217"/>
    </row>
    <row r="404" spans="1:7" s="30" customFormat="1" ht="14.45">
      <c r="A404" s="59"/>
      <c r="B404" s="100"/>
      <c r="C404" s="61"/>
      <c r="D404" s="62"/>
      <c r="E404" s="157"/>
      <c r="F404" s="137"/>
      <c r="G404" s="217"/>
    </row>
    <row r="405" spans="1:7" s="30" customFormat="1" ht="14.45">
      <c r="A405" s="66" t="s">
        <v>23</v>
      </c>
      <c r="B405" s="67" t="s">
        <v>1408</v>
      </c>
      <c r="C405" s="68" t="s">
        <v>304</v>
      </c>
      <c r="D405" s="69" t="s">
        <v>199</v>
      </c>
      <c r="E405" s="157">
        <v>99.13</v>
      </c>
      <c r="F405" s="137">
        <f>C405*E405</f>
        <v>99.13</v>
      </c>
      <c r="G405" s="217"/>
    </row>
    <row r="406" spans="1:7" s="30" customFormat="1" ht="14.45">
      <c r="A406" s="59"/>
      <c r="B406" s="100"/>
      <c r="C406" s="61"/>
      <c r="D406" s="62"/>
      <c r="E406" s="157"/>
      <c r="F406" s="137"/>
      <c r="G406" s="217"/>
    </row>
    <row r="407" spans="1:7" s="30" customFormat="1" ht="14.45">
      <c r="A407" s="66" t="s">
        <v>27</v>
      </c>
      <c r="B407" s="67" t="s">
        <v>1319</v>
      </c>
      <c r="C407" s="68" t="s">
        <v>304</v>
      </c>
      <c r="D407" s="69" t="s">
        <v>199</v>
      </c>
      <c r="E407" s="157">
        <v>111.31</v>
      </c>
      <c r="F407" s="137">
        <f>C407*E407</f>
        <v>111.31</v>
      </c>
      <c r="G407" s="217"/>
    </row>
    <row r="408" spans="1:7" s="30" customFormat="1" ht="14.45">
      <c r="A408" s="59"/>
      <c r="B408" s="100"/>
      <c r="C408" s="61"/>
      <c r="D408" s="62"/>
      <c r="E408" s="157"/>
      <c r="F408" s="137"/>
      <c r="G408" s="217"/>
    </row>
    <row r="409" spans="1:7" s="30" customFormat="1" ht="27.6">
      <c r="A409" s="66"/>
      <c r="B409" s="98" t="s">
        <v>1420</v>
      </c>
      <c r="C409" s="68"/>
      <c r="D409" s="69"/>
      <c r="E409" s="157"/>
      <c r="F409" s="137"/>
      <c r="G409" s="217"/>
    </row>
    <row r="410" spans="1:7" s="30" customFormat="1" ht="14.45">
      <c r="A410" s="59"/>
      <c r="B410" s="100"/>
      <c r="C410" s="61"/>
      <c r="D410" s="62"/>
      <c r="E410" s="157"/>
      <c r="F410" s="137"/>
      <c r="G410" s="217"/>
    </row>
    <row r="411" spans="1:7" s="30" customFormat="1" ht="14.45">
      <c r="A411" s="66" t="s">
        <v>44</v>
      </c>
      <c r="B411" s="67" t="s">
        <v>1421</v>
      </c>
      <c r="C411" s="68" t="s">
        <v>65</v>
      </c>
      <c r="D411" s="69" t="s">
        <v>63</v>
      </c>
      <c r="E411" s="157">
        <v>188.06</v>
      </c>
      <c r="F411" s="137">
        <f>C411*E411</f>
        <v>752.24</v>
      </c>
      <c r="G411" s="217"/>
    </row>
    <row r="412" spans="1:7" s="30" customFormat="1" ht="14.45">
      <c r="A412" s="59"/>
      <c r="B412" s="100"/>
      <c r="C412" s="61"/>
      <c r="D412" s="62"/>
      <c r="E412" s="157"/>
      <c r="F412" s="137"/>
      <c r="G412" s="217"/>
    </row>
    <row r="413" spans="1:7" s="30" customFormat="1" ht="14.45">
      <c r="A413" s="66" t="s">
        <v>48</v>
      </c>
      <c r="B413" s="67" t="s">
        <v>1422</v>
      </c>
      <c r="C413" s="68" t="s">
        <v>39</v>
      </c>
      <c r="D413" s="69" t="s">
        <v>63</v>
      </c>
      <c r="E413" s="157">
        <v>284.60000000000002</v>
      </c>
      <c r="F413" s="137">
        <f>C413*E413</f>
        <v>1707.6000000000001</v>
      </c>
      <c r="G413" s="217"/>
    </row>
    <row r="414" spans="1:7" s="30" customFormat="1" ht="14.45">
      <c r="A414" s="59"/>
      <c r="B414" s="100"/>
      <c r="C414" s="61"/>
      <c r="D414" s="62"/>
      <c r="E414" s="157"/>
      <c r="F414" s="137"/>
      <c r="G414" s="217"/>
    </row>
    <row r="415" spans="1:7" s="30" customFormat="1" ht="14.45">
      <c r="A415" s="66" t="s">
        <v>84</v>
      </c>
      <c r="B415" s="67" t="s">
        <v>1423</v>
      </c>
      <c r="C415" s="68" t="s">
        <v>781</v>
      </c>
      <c r="D415" s="69" t="s">
        <v>63</v>
      </c>
      <c r="E415" s="157">
        <v>328.78</v>
      </c>
      <c r="F415" s="137">
        <f>C415*E415</f>
        <v>9863.4</v>
      </c>
      <c r="G415" s="217"/>
    </row>
    <row r="416" spans="1:7" s="30" customFormat="1" ht="14.45">
      <c r="A416" s="59"/>
      <c r="B416" s="100"/>
      <c r="C416" s="61"/>
      <c r="D416" s="62"/>
      <c r="E416" s="157"/>
      <c r="F416" s="137"/>
      <c r="G416" s="217"/>
    </row>
    <row r="417" spans="1:7" s="30" customFormat="1" ht="14.45">
      <c r="A417" s="66" t="s">
        <v>86</v>
      </c>
      <c r="B417" s="67" t="s">
        <v>1424</v>
      </c>
      <c r="C417" s="68" t="s">
        <v>1425</v>
      </c>
      <c r="D417" s="69" t="s">
        <v>63</v>
      </c>
      <c r="E417" s="157">
        <v>504.71</v>
      </c>
      <c r="F417" s="137">
        <f>C417*E417</f>
        <v>25235.5</v>
      </c>
      <c r="G417" s="217"/>
    </row>
    <row r="418" spans="1:7" s="30" customFormat="1" ht="14.45">
      <c r="A418" s="59"/>
      <c r="B418" s="100"/>
      <c r="C418" s="61"/>
      <c r="D418" s="62"/>
      <c r="E418" s="157"/>
      <c r="F418" s="137"/>
      <c r="G418" s="217"/>
    </row>
    <row r="419" spans="1:7" s="30" customFormat="1" ht="14.45">
      <c r="A419" s="66" t="s">
        <v>90</v>
      </c>
      <c r="B419" s="67" t="s">
        <v>1426</v>
      </c>
      <c r="C419" s="68" t="s">
        <v>1425</v>
      </c>
      <c r="D419" s="69" t="s">
        <v>63</v>
      </c>
      <c r="E419" s="157">
        <v>911.16</v>
      </c>
      <c r="F419" s="137">
        <f>C419*E419</f>
        <v>45558</v>
      </c>
      <c r="G419" s="217"/>
    </row>
    <row r="420" spans="1:7" s="30" customFormat="1" ht="14.45">
      <c r="A420" s="59"/>
      <c r="B420" s="100"/>
      <c r="C420" s="61"/>
      <c r="D420" s="62"/>
      <c r="E420" s="157"/>
      <c r="F420" s="137"/>
      <c r="G420" s="217"/>
    </row>
    <row r="421" spans="1:7" s="30" customFormat="1" ht="14.45">
      <c r="A421" s="66" t="s">
        <v>92</v>
      </c>
      <c r="B421" s="67" t="s">
        <v>1427</v>
      </c>
      <c r="C421" s="68" t="s">
        <v>714</v>
      </c>
      <c r="D421" s="69" t="s">
        <v>63</v>
      </c>
      <c r="E421" s="157">
        <v>1212.44</v>
      </c>
      <c r="F421" s="137">
        <f>C421*E421</f>
        <v>9699.52</v>
      </c>
      <c r="G421" s="217"/>
    </row>
    <row r="422" spans="1:7" s="30" customFormat="1" ht="14.45">
      <c r="A422" s="59"/>
      <c r="B422" s="100"/>
      <c r="C422" s="61"/>
      <c r="D422" s="62"/>
      <c r="E422" s="157"/>
      <c r="F422" s="137"/>
      <c r="G422" s="217"/>
    </row>
    <row r="423" spans="1:7" s="30" customFormat="1" ht="14.45">
      <c r="A423" s="66" t="s">
        <v>94</v>
      </c>
      <c r="B423" s="67" t="s">
        <v>1428</v>
      </c>
      <c r="C423" s="68" t="s">
        <v>325</v>
      </c>
      <c r="D423" s="69" t="s">
        <v>63</v>
      </c>
      <c r="E423" s="157">
        <v>273.48</v>
      </c>
      <c r="F423" s="137">
        <f>C423*E423</f>
        <v>1914.3600000000001</v>
      </c>
      <c r="G423" s="217"/>
    </row>
    <row r="424" spans="1:7" s="30" customFormat="1" ht="14.45">
      <c r="A424" s="59"/>
      <c r="B424" s="100"/>
      <c r="C424" s="61"/>
      <c r="D424" s="62"/>
      <c r="E424" s="157"/>
      <c r="F424" s="137"/>
      <c r="G424" s="217"/>
    </row>
    <row r="425" spans="1:7" s="30" customFormat="1" ht="14.45">
      <c r="A425" s="66" t="s">
        <v>140</v>
      </c>
      <c r="B425" s="67" t="s">
        <v>1429</v>
      </c>
      <c r="C425" s="68" t="s">
        <v>39</v>
      </c>
      <c r="D425" s="69" t="s">
        <v>63</v>
      </c>
      <c r="E425" s="157">
        <v>301.58999999999997</v>
      </c>
      <c r="F425" s="137">
        <f>C425*E425</f>
        <v>1809.54</v>
      </c>
      <c r="G425" s="217"/>
    </row>
    <row r="426" spans="1:7" s="30" customFormat="1" ht="14.45">
      <c r="A426" s="59"/>
      <c r="B426" s="100"/>
      <c r="C426" s="61"/>
      <c r="D426" s="62"/>
      <c r="E426" s="157"/>
      <c r="F426" s="137"/>
      <c r="G426" s="217"/>
    </row>
    <row r="427" spans="1:7" s="30" customFormat="1" ht="14.45">
      <c r="A427" s="66" t="s">
        <v>159</v>
      </c>
      <c r="B427" s="67" t="s">
        <v>1430</v>
      </c>
      <c r="C427" s="68" t="s">
        <v>39</v>
      </c>
      <c r="D427" s="69" t="s">
        <v>63</v>
      </c>
      <c r="E427" s="157">
        <v>480.2</v>
      </c>
      <c r="F427" s="137">
        <f>C427*E427</f>
        <v>2881.2</v>
      </c>
      <c r="G427" s="217"/>
    </row>
    <row r="428" spans="1:7" s="30" customFormat="1" ht="14.45">
      <c r="A428" s="59"/>
      <c r="B428" s="100"/>
      <c r="C428" s="61"/>
      <c r="D428" s="62"/>
      <c r="E428" s="157"/>
      <c r="F428" s="137"/>
      <c r="G428" s="217"/>
    </row>
    <row r="429" spans="1:7" s="30" customFormat="1" ht="14.45">
      <c r="A429" s="66" t="s">
        <v>162</v>
      </c>
      <c r="B429" s="67" t="s">
        <v>1431</v>
      </c>
      <c r="C429" s="68" t="s">
        <v>152</v>
      </c>
      <c r="D429" s="69" t="s">
        <v>63</v>
      </c>
      <c r="E429" s="157">
        <v>724.09</v>
      </c>
      <c r="F429" s="137">
        <f>C429*E429</f>
        <v>1448.18</v>
      </c>
      <c r="G429" s="217"/>
    </row>
    <row r="430" spans="1:7" s="30" customFormat="1" ht="14.45">
      <c r="A430" s="59"/>
      <c r="B430" s="100"/>
      <c r="C430" s="61"/>
      <c r="D430" s="62"/>
      <c r="E430" s="157"/>
      <c r="F430" s="137"/>
      <c r="G430" s="217"/>
    </row>
    <row r="431" spans="1:7" s="30" customFormat="1" ht="14.45">
      <c r="A431" s="66" t="s">
        <v>164</v>
      </c>
      <c r="B431" s="67" t="s">
        <v>1432</v>
      </c>
      <c r="C431" s="68" t="s">
        <v>39</v>
      </c>
      <c r="D431" s="69" t="s">
        <v>63</v>
      </c>
      <c r="E431" s="157">
        <v>357.75</v>
      </c>
      <c r="F431" s="137">
        <f>C431*E431</f>
        <v>2146.5</v>
      </c>
      <c r="G431" s="217"/>
    </row>
    <row r="432" spans="1:7" s="30" customFormat="1" ht="14.45">
      <c r="A432" s="59"/>
      <c r="B432" s="100"/>
      <c r="C432" s="61"/>
      <c r="D432" s="62"/>
      <c r="E432" s="157"/>
      <c r="F432" s="137"/>
      <c r="G432" s="217"/>
    </row>
    <row r="433" spans="1:7" s="30" customFormat="1" ht="14.45">
      <c r="A433" s="66" t="s">
        <v>166</v>
      </c>
      <c r="B433" s="67" t="s">
        <v>1433</v>
      </c>
      <c r="C433" s="68" t="s">
        <v>451</v>
      </c>
      <c r="D433" s="69" t="s">
        <v>63</v>
      </c>
      <c r="E433" s="157">
        <v>455.21</v>
      </c>
      <c r="F433" s="137">
        <f>C433*E433</f>
        <v>7283.36</v>
      </c>
      <c r="G433" s="217"/>
    </row>
    <row r="434" spans="1:7" s="30" customFormat="1" ht="14.45">
      <c r="A434" s="59"/>
      <c r="B434" s="100"/>
      <c r="C434" s="61"/>
      <c r="D434" s="62"/>
      <c r="E434" s="157"/>
      <c r="F434" s="137"/>
      <c r="G434" s="217"/>
    </row>
    <row r="435" spans="1:7" s="30" customFormat="1" ht="14.45">
      <c r="A435" s="66" t="s">
        <v>168</v>
      </c>
      <c r="B435" s="67" t="s">
        <v>1434</v>
      </c>
      <c r="C435" s="68" t="s">
        <v>152</v>
      </c>
      <c r="D435" s="69" t="s">
        <v>63</v>
      </c>
      <c r="E435" s="157">
        <v>370.43</v>
      </c>
      <c r="F435" s="137">
        <f>C435*E435</f>
        <v>740.86</v>
      </c>
      <c r="G435" s="217"/>
    </row>
    <row r="436" spans="1:7" s="30" customFormat="1" ht="14.45">
      <c r="A436" s="71"/>
      <c r="B436" s="72"/>
      <c r="C436" s="73"/>
      <c r="D436" s="74"/>
      <c r="E436" s="159"/>
      <c r="F436" s="138"/>
      <c r="G436" s="226"/>
    </row>
    <row r="437" spans="1:7" s="30" customFormat="1" ht="14.45">
      <c r="A437" s="75"/>
      <c r="B437" s="76"/>
      <c r="C437" s="77" t="s">
        <v>30</v>
      </c>
      <c r="D437" s="77"/>
      <c r="E437" s="160" t="s">
        <v>8</v>
      </c>
      <c r="F437" s="139">
        <f>SUM(F397:F435)</f>
        <v>118548.29999999999</v>
      </c>
      <c r="G437" s="227"/>
    </row>
    <row r="438" spans="1:7" s="30" customFormat="1" ht="14.45">
      <c r="A438" s="75"/>
      <c r="B438" s="76"/>
      <c r="C438" s="78"/>
      <c r="D438" s="79"/>
      <c r="E438" s="161"/>
      <c r="F438" s="140"/>
      <c r="G438" s="228"/>
    </row>
    <row r="439" spans="1:7" s="30" customFormat="1" ht="14.45">
      <c r="A439" s="59"/>
      <c r="B439" s="63"/>
      <c r="C439" s="61"/>
      <c r="D439" s="62"/>
      <c r="E439" s="157"/>
      <c r="F439" s="137"/>
      <c r="G439" s="217"/>
    </row>
    <row r="440" spans="1:7" s="30" customFormat="1" ht="14.45">
      <c r="A440" s="59"/>
      <c r="B440" s="64" t="s">
        <v>1417</v>
      </c>
      <c r="C440" s="61"/>
      <c r="D440" s="62"/>
      <c r="E440" s="157"/>
      <c r="F440" s="137"/>
      <c r="G440" s="217"/>
    </row>
    <row r="441" spans="1:7" s="30" customFormat="1" ht="14.45">
      <c r="A441" s="59"/>
      <c r="B441" s="100"/>
      <c r="C441" s="61"/>
      <c r="D441" s="62"/>
      <c r="E441" s="157"/>
      <c r="F441" s="137"/>
      <c r="G441" s="217"/>
    </row>
    <row r="442" spans="1:7" s="30" customFormat="1" ht="41.45">
      <c r="A442" s="66" t="s">
        <v>14</v>
      </c>
      <c r="B442" s="67" t="s">
        <v>1435</v>
      </c>
      <c r="C442" s="68" t="s">
        <v>304</v>
      </c>
      <c r="D442" s="69" t="s">
        <v>63</v>
      </c>
      <c r="E442" s="157"/>
      <c r="F442" s="217" t="s">
        <v>1436</v>
      </c>
      <c r="G442" s="217"/>
    </row>
    <row r="443" spans="1:7" s="30" customFormat="1" ht="14.45">
      <c r="A443" s="59"/>
      <c r="B443" s="100"/>
      <c r="C443" s="61"/>
      <c r="D443" s="62"/>
      <c r="E443" s="157"/>
      <c r="F443" s="137"/>
      <c r="G443" s="217"/>
    </row>
    <row r="444" spans="1:7" s="30" customFormat="1" ht="41.45">
      <c r="A444" s="66"/>
      <c r="B444" s="98" t="s">
        <v>1437</v>
      </c>
      <c r="C444" s="68"/>
      <c r="D444" s="69"/>
      <c r="E444" s="157"/>
      <c r="F444" s="137"/>
      <c r="G444" s="217"/>
    </row>
    <row r="445" spans="1:7" s="30" customFormat="1" ht="14.45">
      <c r="A445" s="59"/>
      <c r="B445" s="100"/>
      <c r="C445" s="61"/>
      <c r="D445" s="62"/>
      <c r="E445" s="157"/>
      <c r="F445" s="137"/>
      <c r="G445" s="217"/>
    </row>
    <row r="446" spans="1:7" s="30" customFormat="1" ht="14.45">
      <c r="A446" s="66" t="s">
        <v>17</v>
      </c>
      <c r="B446" s="67" t="s">
        <v>1438</v>
      </c>
      <c r="C446" s="68" t="s">
        <v>152</v>
      </c>
      <c r="D446" s="69" t="s">
        <v>63</v>
      </c>
      <c r="E446" s="157">
        <v>1587.73</v>
      </c>
      <c r="F446" s="137">
        <f>C446*E446</f>
        <v>3175.46</v>
      </c>
      <c r="G446" s="217"/>
    </row>
    <row r="447" spans="1:7" s="30" customFormat="1" ht="14.45">
      <c r="A447" s="59"/>
      <c r="B447" s="100"/>
      <c r="C447" s="61"/>
      <c r="D447" s="62"/>
      <c r="E447" s="157"/>
      <c r="F447" s="137"/>
      <c r="G447" s="217"/>
    </row>
    <row r="448" spans="1:7" s="30" customFormat="1" ht="14.45">
      <c r="A448" s="66" t="s">
        <v>20</v>
      </c>
      <c r="B448" s="67" t="s">
        <v>1439</v>
      </c>
      <c r="C448" s="68" t="s">
        <v>152</v>
      </c>
      <c r="D448" s="69" t="s">
        <v>63</v>
      </c>
      <c r="E448" s="157">
        <v>1676.69</v>
      </c>
      <c r="F448" s="137">
        <f>C448*E448</f>
        <v>3353.38</v>
      </c>
      <c r="G448" s="217"/>
    </row>
    <row r="449" spans="1:7" s="30" customFormat="1" ht="14.45">
      <c r="A449" s="59"/>
      <c r="B449" s="100"/>
      <c r="C449" s="61"/>
      <c r="D449" s="62"/>
      <c r="E449" s="157"/>
      <c r="F449" s="137"/>
      <c r="G449" s="217"/>
    </row>
    <row r="450" spans="1:7" s="30" customFormat="1" ht="14.45">
      <c r="A450" s="66" t="s">
        <v>23</v>
      </c>
      <c r="B450" s="67" t="s">
        <v>1440</v>
      </c>
      <c r="C450" s="68" t="s">
        <v>304</v>
      </c>
      <c r="D450" s="69" t="s">
        <v>63</v>
      </c>
      <c r="E450" s="157">
        <v>1847.09</v>
      </c>
      <c r="F450" s="137">
        <f>C450*E450</f>
        <v>1847.09</v>
      </c>
      <c r="G450" s="217"/>
    </row>
    <row r="451" spans="1:7" s="30" customFormat="1" ht="14.45">
      <c r="A451" s="59"/>
      <c r="B451" s="100"/>
      <c r="C451" s="61"/>
      <c r="D451" s="62"/>
      <c r="E451" s="157"/>
      <c r="F451" s="137"/>
      <c r="G451" s="217"/>
    </row>
    <row r="452" spans="1:7" s="30" customFormat="1" ht="14.45">
      <c r="A452" s="66" t="s">
        <v>27</v>
      </c>
      <c r="B452" s="67" t="s">
        <v>1441</v>
      </c>
      <c r="C452" s="68" t="s">
        <v>152</v>
      </c>
      <c r="D452" s="69" t="s">
        <v>63</v>
      </c>
      <c r="E452" s="157">
        <v>2155.33</v>
      </c>
      <c r="F452" s="137">
        <f>C452*E452</f>
        <v>4310.66</v>
      </c>
      <c r="G452" s="217"/>
    </row>
    <row r="453" spans="1:7" s="30" customFormat="1" ht="14.45">
      <c r="A453" s="59"/>
      <c r="B453" s="100"/>
      <c r="C453" s="61"/>
      <c r="D453" s="62"/>
      <c r="E453" s="157"/>
      <c r="F453" s="137"/>
      <c r="G453" s="217"/>
    </row>
    <row r="454" spans="1:7" s="30" customFormat="1" ht="55.15">
      <c r="A454" s="66"/>
      <c r="B454" s="98" t="s">
        <v>1442</v>
      </c>
      <c r="C454" s="68"/>
      <c r="D454" s="69"/>
      <c r="E454" s="157"/>
      <c r="F454" s="137"/>
      <c r="G454" s="217"/>
    </row>
    <row r="455" spans="1:7" s="30" customFormat="1" ht="14.45">
      <c r="A455" s="59"/>
      <c r="B455" s="100"/>
      <c r="C455" s="61"/>
      <c r="D455" s="62"/>
      <c r="E455" s="157"/>
      <c r="F455" s="137"/>
      <c r="G455" s="217"/>
    </row>
    <row r="456" spans="1:7" s="30" customFormat="1" ht="27.6">
      <c r="A456" s="66"/>
      <c r="B456" s="98" t="s">
        <v>1443</v>
      </c>
      <c r="C456" s="68"/>
      <c r="D456" s="69"/>
      <c r="E456" s="157"/>
      <c r="F456" s="137"/>
      <c r="G456" s="217"/>
    </row>
    <row r="457" spans="1:7" s="30" customFormat="1" ht="14.45">
      <c r="A457" s="59"/>
      <c r="B457" s="100"/>
      <c r="C457" s="61"/>
      <c r="D457" s="62"/>
      <c r="E457" s="157"/>
      <c r="F457" s="137"/>
      <c r="G457" s="217"/>
    </row>
    <row r="458" spans="1:7" s="30" customFormat="1" ht="14.45">
      <c r="A458" s="66" t="s">
        <v>44</v>
      </c>
      <c r="B458" s="67" t="s">
        <v>1401</v>
      </c>
      <c r="C458" s="68" t="s">
        <v>25</v>
      </c>
      <c r="D458" s="69" t="s">
        <v>199</v>
      </c>
      <c r="E458" s="157">
        <v>11.94</v>
      </c>
      <c r="F458" s="137">
        <f>C458*E458</f>
        <v>1552.2</v>
      </c>
      <c r="G458" s="217"/>
    </row>
    <row r="459" spans="1:7" s="30" customFormat="1" ht="14.45">
      <c r="A459" s="59"/>
      <c r="B459" s="100"/>
      <c r="C459" s="61"/>
      <c r="D459" s="62"/>
      <c r="E459" s="157"/>
      <c r="F459" s="137"/>
      <c r="G459" s="217"/>
    </row>
    <row r="460" spans="1:7" s="30" customFormat="1" ht="14.45">
      <c r="A460" s="66" t="s">
        <v>48</v>
      </c>
      <c r="B460" s="67" t="s">
        <v>1404</v>
      </c>
      <c r="C460" s="68" t="s">
        <v>1419</v>
      </c>
      <c r="D460" s="69" t="s">
        <v>199</v>
      </c>
      <c r="E460" s="157">
        <v>11.98</v>
      </c>
      <c r="F460" s="137">
        <f>C460*E460</f>
        <v>215.64000000000001</v>
      </c>
      <c r="G460" s="217"/>
    </row>
    <row r="461" spans="1:7" s="30" customFormat="1" ht="14.45">
      <c r="A461" s="59"/>
      <c r="B461" s="100"/>
      <c r="C461" s="61"/>
      <c r="D461" s="62"/>
      <c r="E461" s="157"/>
      <c r="F461" s="137"/>
      <c r="G461" s="217"/>
    </row>
    <row r="462" spans="1:7" s="30" customFormat="1" ht="14.45">
      <c r="A462" s="66" t="s">
        <v>84</v>
      </c>
      <c r="B462" s="67" t="s">
        <v>1406</v>
      </c>
      <c r="C462" s="68" t="s">
        <v>304</v>
      </c>
      <c r="D462" s="69" t="s">
        <v>199</v>
      </c>
      <c r="E462" s="157">
        <v>12.9</v>
      </c>
      <c r="F462" s="137">
        <f>C462*E462</f>
        <v>12.9</v>
      </c>
      <c r="G462" s="217"/>
    </row>
    <row r="463" spans="1:7" s="30" customFormat="1" ht="14.45">
      <c r="A463" s="59"/>
      <c r="B463" s="100"/>
      <c r="C463" s="61"/>
      <c r="D463" s="62"/>
      <c r="E463" s="157"/>
      <c r="F463" s="137"/>
      <c r="G463" s="217"/>
    </row>
    <row r="464" spans="1:7" s="30" customFormat="1" ht="14.45">
      <c r="A464" s="66" t="s">
        <v>86</v>
      </c>
      <c r="B464" s="67" t="s">
        <v>1408</v>
      </c>
      <c r="C464" s="68" t="s">
        <v>304</v>
      </c>
      <c r="D464" s="69" t="s">
        <v>199</v>
      </c>
      <c r="E464" s="157">
        <v>12.9</v>
      </c>
      <c r="F464" s="137">
        <f>C464*E464</f>
        <v>12.9</v>
      </c>
      <c r="G464" s="217"/>
    </row>
    <row r="465" spans="1:7" s="30" customFormat="1" ht="14.45">
      <c r="A465" s="59"/>
      <c r="B465" s="100"/>
      <c r="C465" s="61"/>
      <c r="D465" s="62"/>
      <c r="E465" s="157"/>
      <c r="F465" s="137"/>
      <c r="G465" s="217"/>
    </row>
    <row r="466" spans="1:7" s="30" customFormat="1" ht="14.45">
      <c r="A466" s="66" t="s">
        <v>90</v>
      </c>
      <c r="B466" s="67" t="s">
        <v>1319</v>
      </c>
      <c r="C466" s="68" t="s">
        <v>304</v>
      </c>
      <c r="D466" s="69" t="s">
        <v>199</v>
      </c>
      <c r="E466" s="157">
        <v>17.78</v>
      </c>
      <c r="F466" s="137">
        <f>C466*E466</f>
        <v>17.78</v>
      </c>
      <c r="G466" s="217"/>
    </row>
    <row r="467" spans="1:7" s="30" customFormat="1" ht="14.45">
      <c r="A467" s="59"/>
      <c r="B467" s="63"/>
      <c r="C467" s="61"/>
      <c r="D467" s="62"/>
      <c r="E467" s="157"/>
      <c r="F467" s="137"/>
      <c r="G467" s="217"/>
    </row>
    <row r="468" spans="1:7" s="30" customFormat="1" ht="14.45">
      <c r="A468" s="59"/>
      <c r="B468" s="63"/>
      <c r="C468" s="61"/>
      <c r="D468" s="62"/>
      <c r="E468" s="157"/>
      <c r="F468" s="137"/>
      <c r="G468" s="217"/>
    </row>
    <row r="469" spans="1:7" s="30" customFormat="1" ht="14.45">
      <c r="A469" s="59"/>
      <c r="B469" s="63"/>
      <c r="C469" s="61"/>
      <c r="D469" s="62"/>
      <c r="E469" s="157"/>
      <c r="F469" s="137"/>
      <c r="G469" s="217"/>
    </row>
    <row r="470" spans="1:7" s="30" customFormat="1" ht="14.45">
      <c r="A470" s="59"/>
      <c r="B470" s="63"/>
      <c r="C470" s="61"/>
      <c r="D470" s="62"/>
      <c r="E470" s="157"/>
      <c r="F470" s="137"/>
      <c r="G470" s="217"/>
    </row>
    <row r="471" spans="1:7" s="30" customFormat="1" ht="14.45">
      <c r="A471" s="59"/>
      <c r="B471" s="63"/>
      <c r="C471" s="61"/>
      <c r="D471" s="62"/>
      <c r="E471" s="157"/>
      <c r="F471" s="137"/>
      <c r="G471" s="217"/>
    </row>
    <row r="472" spans="1:7" s="30" customFormat="1" ht="14.45">
      <c r="A472" s="59"/>
      <c r="B472" s="63"/>
      <c r="C472" s="61"/>
      <c r="D472" s="62"/>
      <c r="E472" s="157"/>
      <c r="F472" s="137"/>
      <c r="G472" s="217"/>
    </row>
    <row r="473" spans="1:7" s="30" customFormat="1" ht="14.45">
      <c r="A473" s="59"/>
      <c r="B473" s="63"/>
      <c r="C473" s="61"/>
      <c r="D473" s="62"/>
      <c r="E473" s="157"/>
      <c r="F473" s="137"/>
      <c r="G473" s="217"/>
    </row>
    <row r="474" spans="1:7" s="30" customFormat="1" ht="14.45">
      <c r="A474" s="59"/>
      <c r="B474" s="63"/>
      <c r="C474" s="61"/>
      <c r="D474" s="62"/>
      <c r="E474" s="157"/>
      <c r="F474" s="137"/>
      <c r="G474" s="217"/>
    </row>
    <row r="475" spans="1:7" s="30" customFormat="1" ht="14.45">
      <c r="A475" s="59"/>
      <c r="B475" s="63"/>
      <c r="C475" s="61"/>
      <c r="D475" s="62"/>
      <c r="E475" s="157"/>
      <c r="F475" s="137"/>
      <c r="G475" s="217"/>
    </row>
    <row r="476" spans="1:7" s="30" customFormat="1" ht="14.45">
      <c r="A476" s="59"/>
      <c r="B476" s="63"/>
      <c r="C476" s="61"/>
      <c r="D476" s="62"/>
      <c r="E476" s="157"/>
      <c r="F476" s="137"/>
      <c r="G476" s="217"/>
    </row>
    <row r="477" spans="1:7" s="30" customFormat="1" ht="14.45">
      <c r="A477" s="59"/>
      <c r="B477" s="63"/>
      <c r="C477" s="61"/>
      <c r="D477" s="62"/>
      <c r="E477" s="157"/>
      <c r="F477" s="137"/>
      <c r="G477" s="217"/>
    </row>
    <row r="478" spans="1:7" s="30" customFormat="1" ht="14.45">
      <c r="A478" s="71"/>
      <c r="B478" s="72"/>
      <c r="C478" s="73"/>
      <c r="D478" s="74"/>
      <c r="E478" s="159"/>
      <c r="F478" s="138"/>
      <c r="G478" s="226"/>
    </row>
    <row r="479" spans="1:7" s="30" customFormat="1" ht="14.45">
      <c r="A479" s="75"/>
      <c r="B479" s="76"/>
      <c r="C479" s="77" t="s">
        <v>30</v>
      </c>
      <c r="D479" s="77"/>
      <c r="E479" s="160" t="s">
        <v>8</v>
      </c>
      <c r="F479" s="139">
        <f>SUM(F441:F468)</f>
        <v>14498.01</v>
      </c>
      <c r="G479" s="227"/>
    </row>
    <row r="480" spans="1:7" s="30" customFormat="1" ht="14.45">
      <c r="A480" s="75"/>
      <c r="B480" s="76"/>
      <c r="C480" s="78"/>
      <c r="D480" s="79"/>
      <c r="E480" s="161"/>
      <c r="F480" s="140"/>
      <c r="G480" s="228"/>
    </row>
    <row r="481" spans="1:7" s="30" customFormat="1" ht="14.45">
      <c r="A481" s="59"/>
      <c r="B481" s="63"/>
      <c r="C481" s="61"/>
      <c r="D481" s="62"/>
      <c r="E481" s="157"/>
      <c r="F481" s="137"/>
      <c r="G481" s="217"/>
    </row>
    <row r="482" spans="1:7" s="30" customFormat="1" ht="14.45">
      <c r="A482" s="59"/>
      <c r="B482" s="64" t="s">
        <v>1444</v>
      </c>
      <c r="C482" s="61"/>
      <c r="D482" s="62"/>
      <c r="E482" s="157"/>
      <c r="F482" s="137"/>
      <c r="G482" s="217"/>
    </row>
    <row r="483" spans="1:7" s="30" customFormat="1" ht="14.45">
      <c r="A483" s="59"/>
      <c r="B483" s="100"/>
      <c r="C483" s="61"/>
      <c r="D483" s="62"/>
      <c r="E483" s="157"/>
      <c r="F483" s="137"/>
      <c r="G483" s="217"/>
    </row>
    <row r="484" spans="1:7" s="30" customFormat="1" ht="14.45">
      <c r="A484" s="66"/>
      <c r="B484" s="99" t="s">
        <v>52</v>
      </c>
      <c r="C484" s="68"/>
      <c r="D484" s="69"/>
      <c r="E484" s="157"/>
      <c r="F484" s="137"/>
      <c r="G484" s="217"/>
    </row>
    <row r="485" spans="1:7" s="30" customFormat="1" ht="14.45">
      <c r="A485" s="59"/>
      <c r="B485" s="100"/>
      <c r="C485" s="61"/>
      <c r="D485" s="62"/>
      <c r="E485" s="157"/>
      <c r="F485" s="137"/>
      <c r="G485" s="217"/>
    </row>
    <row r="486" spans="1:7" s="30" customFormat="1" ht="110.45">
      <c r="A486" s="66"/>
      <c r="B486" s="99" t="s">
        <v>1445</v>
      </c>
      <c r="C486" s="68"/>
      <c r="D486" s="69"/>
      <c r="E486" s="157"/>
      <c r="F486" s="137"/>
      <c r="G486" s="217"/>
    </row>
    <row r="487" spans="1:7" s="30" customFormat="1" ht="14.45">
      <c r="A487" s="59"/>
      <c r="B487" s="100"/>
      <c r="C487" s="61"/>
      <c r="D487" s="62"/>
      <c r="E487" s="157"/>
      <c r="F487" s="137"/>
      <c r="G487" s="217"/>
    </row>
    <row r="488" spans="1:7" s="30" customFormat="1" ht="27.6">
      <c r="A488" s="66"/>
      <c r="B488" s="99" t="s">
        <v>1446</v>
      </c>
      <c r="C488" s="68"/>
      <c r="D488" s="69"/>
      <c r="E488" s="157"/>
      <c r="F488" s="137"/>
      <c r="G488" s="217"/>
    </row>
    <row r="489" spans="1:7" s="30" customFormat="1" ht="14.45">
      <c r="A489" s="59"/>
      <c r="B489" s="100"/>
      <c r="C489" s="61"/>
      <c r="D489" s="62"/>
      <c r="E489" s="157"/>
      <c r="F489" s="137"/>
      <c r="G489" s="217"/>
    </row>
    <row r="490" spans="1:7" s="30" customFormat="1" ht="41.45">
      <c r="A490" s="66"/>
      <c r="B490" s="99" t="s">
        <v>1447</v>
      </c>
      <c r="C490" s="68"/>
      <c r="D490" s="69"/>
      <c r="E490" s="157"/>
      <c r="F490" s="137"/>
      <c r="G490" s="217"/>
    </row>
    <row r="491" spans="1:7" s="30" customFormat="1" ht="14.45">
      <c r="A491" s="59"/>
      <c r="B491" s="100"/>
      <c r="C491" s="61"/>
      <c r="D491" s="62"/>
      <c r="E491" s="157"/>
      <c r="F491" s="137"/>
      <c r="G491" s="217"/>
    </row>
    <row r="492" spans="1:7" s="30" customFormat="1" ht="41.45">
      <c r="A492" s="66"/>
      <c r="B492" s="99" t="s">
        <v>1448</v>
      </c>
      <c r="C492" s="68"/>
      <c r="D492" s="69"/>
      <c r="E492" s="157"/>
      <c r="F492" s="137"/>
      <c r="G492" s="217"/>
    </row>
    <row r="493" spans="1:7" s="30" customFormat="1" ht="14.45">
      <c r="A493" s="59"/>
      <c r="B493" s="100"/>
      <c r="C493" s="61"/>
      <c r="D493" s="62"/>
      <c r="E493" s="157"/>
      <c r="F493" s="137"/>
      <c r="G493" s="217"/>
    </row>
    <row r="494" spans="1:7" s="30" customFormat="1" ht="41.45">
      <c r="A494" s="66"/>
      <c r="B494" s="98" t="s">
        <v>1449</v>
      </c>
      <c r="C494" s="68"/>
      <c r="D494" s="69"/>
      <c r="E494" s="157"/>
      <c r="F494" s="137"/>
      <c r="G494" s="217"/>
    </row>
    <row r="495" spans="1:7" s="30" customFormat="1" ht="14.45">
      <c r="A495" s="59"/>
      <c r="B495" s="100"/>
      <c r="C495" s="61"/>
      <c r="D495" s="62"/>
      <c r="E495" s="157"/>
      <c r="F495" s="137"/>
      <c r="G495" s="217"/>
    </row>
    <row r="496" spans="1:7" s="30" customFormat="1" ht="14.45">
      <c r="A496" s="66"/>
      <c r="B496" s="98" t="s">
        <v>1450</v>
      </c>
      <c r="C496" s="68"/>
      <c r="D496" s="69"/>
      <c r="E496" s="157"/>
      <c r="F496" s="137"/>
      <c r="G496" s="217"/>
    </row>
    <row r="497" spans="1:7" s="30" customFormat="1" ht="14.45">
      <c r="A497" s="59"/>
      <c r="B497" s="100"/>
      <c r="C497" s="61"/>
      <c r="D497" s="62"/>
      <c r="E497" s="157"/>
      <c r="F497" s="137"/>
      <c r="G497" s="217"/>
    </row>
    <row r="498" spans="1:7" s="30" customFormat="1" ht="14.45">
      <c r="A498" s="66" t="s">
        <v>14</v>
      </c>
      <c r="B498" s="67" t="s">
        <v>1321</v>
      </c>
      <c r="C498" s="68" t="s">
        <v>1451</v>
      </c>
      <c r="D498" s="69" t="s">
        <v>199</v>
      </c>
      <c r="E498" s="157">
        <v>154.06341256366701</v>
      </c>
      <c r="F498" s="137">
        <f>C498*E498</f>
        <v>544460.09999999928</v>
      </c>
      <c r="G498" s="250" t="s">
        <v>1452</v>
      </c>
    </row>
    <row r="499" spans="1:7" s="30" customFormat="1" ht="14.45">
      <c r="A499" s="59"/>
      <c r="B499" s="100"/>
      <c r="C499" s="61"/>
      <c r="D499" s="62"/>
      <c r="E499" s="157"/>
      <c r="F499" s="137"/>
      <c r="G499" s="250"/>
    </row>
    <row r="500" spans="1:7" s="30" customFormat="1" ht="14.45">
      <c r="A500" s="66" t="s">
        <v>17</v>
      </c>
      <c r="B500" s="67" t="s">
        <v>1453</v>
      </c>
      <c r="C500" s="68" t="s">
        <v>1454</v>
      </c>
      <c r="D500" s="69" t="s">
        <v>199</v>
      </c>
      <c r="E500" s="157">
        <v>214.74829959514202</v>
      </c>
      <c r="F500" s="137">
        <f>C500*E500</f>
        <v>106085.66000000015</v>
      </c>
      <c r="G500" s="250" t="s">
        <v>1452</v>
      </c>
    </row>
    <row r="501" spans="1:7" s="30" customFormat="1" ht="14.45">
      <c r="A501" s="59"/>
      <c r="B501" s="100"/>
      <c r="C501" s="61"/>
      <c r="D501" s="62"/>
      <c r="E501" s="157"/>
      <c r="F501" s="137"/>
      <c r="G501" s="250"/>
    </row>
    <row r="502" spans="1:7" s="30" customFormat="1" ht="14.45">
      <c r="A502" s="66" t="s">
        <v>20</v>
      </c>
      <c r="B502" s="67" t="s">
        <v>1315</v>
      </c>
      <c r="C502" s="68" t="s">
        <v>1455</v>
      </c>
      <c r="D502" s="69" t="s">
        <v>199</v>
      </c>
      <c r="E502" s="157">
        <v>308.19687315634201</v>
      </c>
      <c r="F502" s="137">
        <f>C502*E502</f>
        <v>104478.73999999995</v>
      </c>
      <c r="G502" s="250" t="s">
        <v>1452</v>
      </c>
    </row>
    <row r="503" spans="1:7" s="30" customFormat="1" ht="14.45">
      <c r="A503" s="59"/>
      <c r="B503" s="100"/>
      <c r="C503" s="61"/>
      <c r="D503" s="62"/>
      <c r="E503" s="157"/>
      <c r="F503" s="137"/>
      <c r="G503" s="250"/>
    </row>
    <row r="504" spans="1:7" s="30" customFormat="1" ht="14.45">
      <c r="A504" s="66"/>
      <c r="B504" s="98" t="s">
        <v>1456</v>
      </c>
      <c r="C504" s="68"/>
      <c r="D504" s="69"/>
      <c r="E504" s="157"/>
      <c r="F504" s="137"/>
      <c r="G504" s="250"/>
    </row>
    <row r="505" spans="1:7" s="30" customFormat="1" ht="14.45">
      <c r="A505" s="59"/>
      <c r="B505" s="100"/>
      <c r="C505" s="61"/>
      <c r="D505" s="62"/>
      <c r="E505" s="157"/>
      <c r="F505" s="137"/>
      <c r="G505" s="250"/>
    </row>
    <row r="506" spans="1:7" s="30" customFormat="1" ht="14.45">
      <c r="A506" s="66" t="s">
        <v>23</v>
      </c>
      <c r="B506" s="67" t="s">
        <v>1401</v>
      </c>
      <c r="C506" s="68" t="s">
        <v>1457</v>
      </c>
      <c r="D506" s="69" t="s">
        <v>199</v>
      </c>
      <c r="E506" s="157">
        <v>56.678805970149305</v>
      </c>
      <c r="F506" s="137">
        <f>C506*E506</f>
        <v>3797.4800000000037</v>
      </c>
      <c r="G506" s="250" t="s">
        <v>1452</v>
      </c>
    </row>
    <row r="507" spans="1:7" s="30" customFormat="1" ht="14.45">
      <c r="A507" s="59"/>
      <c r="B507" s="100"/>
      <c r="C507" s="61"/>
      <c r="D507" s="62"/>
      <c r="E507" s="157"/>
      <c r="F507" s="137"/>
      <c r="G507" s="250"/>
    </row>
    <row r="508" spans="1:7" s="30" customFormat="1" ht="14.45">
      <c r="A508" s="66" t="s">
        <v>27</v>
      </c>
      <c r="B508" s="67" t="s">
        <v>1404</v>
      </c>
      <c r="C508" s="68" t="s">
        <v>62</v>
      </c>
      <c r="D508" s="69" t="s">
        <v>199</v>
      </c>
      <c r="E508" s="157">
        <v>57.71</v>
      </c>
      <c r="F508" s="137">
        <f>C508*E508</f>
        <v>288.55</v>
      </c>
      <c r="G508" s="250" t="s">
        <v>1452</v>
      </c>
    </row>
    <row r="509" spans="1:7" s="30" customFormat="1" ht="14.45">
      <c r="A509" s="59"/>
      <c r="B509" s="100"/>
      <c r="C509" s="61"/>
      <c r="D509" s="62"/>
      <c r="E509" s="157"/>
      <c r="F509" s="137"/>
      <c r="G509" s="250"/>
    </row>
    <row r="510" spans="1:7" s="30" customFormat="1" ht="14.45">
      <c r="A510" s="66" t="s">
        <v>44</v>
      </c>
      <c r="B510" s="67" t="s">
        <v>1406</v>
      </c>
      <c r="C510" s="68" t="s">
        <v>1458</v>
      </c>
      <c r="D510" s="69" t="s">
        <v>199</v>
      </c>
      <c r="E510" s="157">
        <v>56.558988752122204</v>
      </c>
      <c r="F510" s="137">
        <f>C510*E510</f>
        <v>533011.90999999968</v>
      </c>
      <c r="G510" s="250" t="s">
        <v>1452</v>
      </c>
    </row>
    <row r="511" spans="1:7" s="30" customFormat="1" ht="14.45">
      <c r="A511" s="59"/>
      <c r="B511" s="100"/>
      <c r="C511" s="61"/>
      <c r="D511" s="62"/>
      <c r="E511" s="157"/>
      <c r="F511" s="137"/>
      <c r="G511" s="250"/>
    </row>
    <row r="512" spans="1:7" s="30" customFormat="1" ht="14.45">
      <c r="A512" s="66" t="s">
        <v>48</v>
      </c>
      <c r="B512" s="67" t="s">
        <v>1408</v>
      </c>
      <c r="C512" s="68" t="s">
        <v>1459</v>
      </c>
      <c r="D512" s="69" t="s">
        <v>199</v>
      </c>
      <c r="E512" s="157">
        <v>69.766008254716994</v>
      </c>
      <c r="F512" s="137">
        <f>C512*E512</f>
        <v>118323.15000000002</v>
      </c>
      <c r="G512" s="250" t="s">
        <v>1452</v>
      </c>
    </row>
    <row r="513" spans="1:7" s="30" customFormat="1" ht="14.45">
      <c r="A513" s="59"/>
      <c r="B513" s="63"/>
      <c r="C513" s="61"/>
      <c r="D513" s="62"/>
      <c r="E513" s="157"/>
      <c r="F513" s="137"/>
      <c r="G513" s="217"/>
    </row>
    <row r="514" spans="1:7" s="30" customFormat="1" ht="14.45">
      <c r="A514" s="71"/>
      <c r="B514" s="72"/>
      <c r="C514" s="73"/>
      <c r="D514" s="74"/>
      <c r="E514" s="159"/>
      <c r="F514" s="138"/>
      <c r="G514" s="226"/>
    </row>
    <row r="515" spans="1:7" s="30" customFormat="1" ht="14.45">
      <c r="A515" s="75"/>
      <c r="B515" s="76"/>
      <c r="C515" s="77" t="s">
        <v>30</v>
      </c>
      <c r="D515" s="77"/>
      <c r="E515" s="160" t="s">
        <v>8</v>
      </c>
      <c r="F515" s="139">
        <f>SUM(F496:F512)</f>
        <v>1410445.5899999989</v>
      </c>
      <c r="G515" s="227"/>
    </row>
    <row r="516" spans="1:7" s="30" customFormat="1" ht="14.45">
      <c r="A516" s="75"/>
      <c r="B516" s="76"/>
      <c r="C516" s="78"/>
      <c r="D516" s="79"/>
      <c r="E516" s="161"/>
      <c r="F516" s="140"/>
      <c r="G516" s="228"/>
    </row>
    <row r="517" spans="1:7" s="30" customFormat="1" ht="14.45">
      <c r="A517" s="59"/>
      <c r="B517" s="63"/>
      <c r="C517" s="61"/>
      <c r="D517" s="62"/>
      <c r="E517" s="157"/>
      <c r="F517" s="137"/>
      <c r="G517" s="217"/>
    </row>
    <row r="518" spans="1:7" s="30" customFormat="1" ht="14.45">
      <c r="A518" s="59"/>
      <c r="B518" s="64" t="s">
        <v>1460</v>
      </c>
      <c r="C518" s="61"/>
      <c r="D518" s="62"/>
      <c r="E518" s="157"/>
      <c r="F518" s="137"/>
      <c r="G518" s="217"/>
    </row>
    <row r="519" spans="1:7" s="30" customFormat="1" ht="14.45">
      <c r="A519" s="59"/>
      <c r="B519" s="100"/>
      <c r="C519" s="61"/>
      <c r="D519" s="62"/>
      <c r="E519" s="157"/>
      <c r="F519" s="137"/>
      <c r="G519" s="217"/>
    </row>
    <row r="520" spans="1:7" s="30" customFormat="1" ht="14.45">
      <c r="A520" s="66" t="s">
        <v>14</v>
      </c>
      <c r="B520" s="67" t="s">
        <v>1410</v>
      </c>
      <c r="C520" s="68" t="s">
        <v>1461</v>
      </c>
      <c r="D520" s="69" t="s">
        <v>199</v>
      </c>
      <c r="E520" s="157">
        <v>102.89547778453999</v>
      </c>
      <c r="F520" s="137">
        <f>C520*E520</f>
        <v>169057.2699999992</v>
      </c>
      <c r="G520" s="250" t="s">
        <v>1452</v>
      </c>
    </row>
    <row r="521" spans="1:7" s="30" customFormat="1" ht="14.45">
      <c r="A521" s="59"/>
      <c r="B521" s="100"/>
      <c r="C521" s="61"/>
      <c r="D521" s="62"/>
      <c r="E521" s="157"/>
      <c r="F521" s="137"/>
      <c r="G521" s="250"/>
    </row>
    <row r="522" spans="1:7" s="30" customFormat="1" ht="14.45">
      <c r="A522" s="66" t="s">
        <v>17</v>
      </c>
      <c r="B522" s="67" t="s">
        <v>1319</v>
      </c>
      <c r="C522" s="68" t="s">
        <v>1462</v>
      </c>
      <c r="D522" s="69" t="s">
        <v>199</v>
      </c>
      <c r="E522" s="157">
        <v>115.493074407195</v>
      </c>
      <c r="F522" s="137">
        <f>C522*E522</f>
        <v>282496.05999999895</v>
      </c>
      <c r="G522" s="250" t="s">
        <v>1452</v>
      </c>
    </row>
    <row r="523" spans="1:7" s="30" customFormat="1" ht="14.45">
      <c r="A523" s="59"/>
      <c r="B523" s="100"/>
      <c r="C523" s="61"/>
      <c r="D523" s="62"/>
      <c r="E523" s="157"/>
      <c r="F523" s="137"/>
      <c r="G523" s="250"/>
    </row>
    <row r="524" spans="1:7" s="30" customFormat="1" ht="14.45">
      <c r="A524" s="66" t="s">
        <v>20</v>
      </c>
      <c r="B524" s="67" t="s">
        <v>1321</v>
      </c>
      <c r="C524" s="68" t="s">
        <v>1463</v>
      </c>
      <c r="D524" s="69" t="s">
        <v>199</v>
      </c>
      <c r="E524" s="157">
        <v>154.074973544974</v>
      </c>
      <c r="F524" s="137">
        <f>C524*E524</f>
        <v>262081.53000000078</v>
      </c>
      <c r="G524" s="250" t="s">
        <v>1452</v>
      </c>
    </row>
    <row r="525" spans="1:7" s="30" customFormat="1" ht="14.45">
      <c r="A525" s="59"/>
      <c r="B525" s="100"/>
      <c r="C525" s="61"/>
      <c r="D525" s="62"/>
      <c r="E525" s="157"/>
      <c r="F525" s="137"/>
      <c r="G525" s="250"/>
    </row>
    <row r="526" spans="1:7" s="30" customFormat="1" ht="14.45">
      <c r="A526" s="66" t="s">
        <v>23</v>
      </c>
      <c r="B526" s="67" t="s">
        <v>1312</v>
      </c>
      <c r="C526" s="68" t="s">
        <v>1464</v>
      </c>
      <c r="D526" s="69" t="s">
        <v>199</v>
      </c>
      <c r="E526" s="157">
        <v>186.47746753246798</v>
      </c>
      <c r="F526" s="137">
        <f>C526*E526</f>
        <v>258457.77000000063</v>
      </c>
      <c r="G526" s="250" t="s">
        <v>1452</v>
      </c>
    </row>
    <row r="527" spans="1:7" s="30" customFormat="1" ht="14.45">
      <c r="A527" s="59"/>
      <c r="B527" s="100"/>
      <c r="C527" s="61"/>
      <c r="D527" s="62"/>
      <c r="E527" s="157"/>
      <c r="F527" s="137"/>
      <c r="G527" s="250"/>
    </row>
    <row r="528" spans="1:7" s="30" customFormat="1" ht="14.45">
      <c r="A528" s="66" t="s">
        <v>27</v>
      </c>
      <c r="B528" s="67" t="s">
        <v>1453</v>
      </c>
      <c r="C528" s="68" t="s">
        <v>1465</v>
      </c>
      <c r="D528" s="69" t="s">
        <v>199</v>
      </c>
      <c r="E528" s="157">
        <v>214.775630252101</v>
      </c>
      <c r="F528" s="137">
        <f>C528*E528</f>
        <v>178908.10000000012</v>
      </c>
      <c r="G528" s="250" t="s">
        <v>1452</v>
      </c>
    </row>
    <row r="529" spans="1:7" s="30" customFormat="1" ht="14.45">
      <c r="A529" s="59"/>
      <c r="B529" s="100"/>
      <c r="C529" s="61"/>
      <c r="D529" s="62"/>
      <c r="E529" s="157"/>
      <c r="F529" s="137"/>
      <c r="G529" s="250"/>
    </row>
    <row r="530" spans="1:7" s="30" customFormat="1" ht="14.45">
      <c r="A530" s="66" t="s">
        <v>44</v>
      </c>
      <c r="B530" s="67" t="s">
        <v>1315</v>
      </c>
      <c r="C530" s="68" t="s">
        <v>1466</v>
      </c>
      <c r="D530" s="69" t="s">
        <v>199</v>
      </c>
      <c r="E530" s="157">
        <v>308.14920863309402</v>
      </c>
      <c r="F530" s="137">
        <f>C530*E530</f>
        <v>299829.18000000046</v>
      </c>
      <c r="G530" s="250" t="s">
        <v>1452</v>
      </c>
    </row>
    <row r="531" spans="1:7" s="30" customFormat="1" ht="14.45">
      <c r="A531" s="59"/>
      <c r="B531" s="100"/>
      <c r="C531" s="61"/>
      <c r="D531" s="62"/>
      <c r="E531" s="157"/>
      <c r="F531" s="137"/>
      <c r="G531" s="250"/>
    </row>
    <row r="532" spans="1:7" s="30" customFormat="1" ht="14.45">
      <c r="A532" s="66" t="s">
        <v>48</v>
      </c>
      <c r="B532" s="67" t="s">
        <v>1328</v>
      </c>
      <c r="C532" s="68" t="s">
        <v>1467</v>
      </c>
      <c r="D532" s="69" t="s">
        <v>199</v>
      </c>
      <c r="E532" s="157">
        <v>523.16095238095204</v>
      </c>
      <c r="F532" s="137">
        <f>C532*E532</f>
        <v>98877.41999999994</v>
      </c>
      <c r="G532" s="250" t="s">
        <v>1452</v>
      </c>
    </row>
    <row r="533" spans="1:7" s="30" customFormat="1" ht="14.45">
      <c r="A533" s="59"/>
      <c r="B533" s="100"/>
      <c r="C533" s="61"/>
      <c r="D533" s="62"/>
      <c r="E533" s="157"/>
      <c r="F533" s="137"/>
      <c r="G533" s="250"/>
    </row>
    <row r="534" spans="1:7" s="30" customFormat="1" ht="27.6">
      <c r="A534" s="66"/>
      <c r="B534" s="98" t="s">
        <v>1468</v>
      </c>
      <c r="C534" s="68"/>
      <c r="D534" s="69"/>
      <c r="E534" s="157"/>
      <c r="F534" s="137"/>
      <c r="G534" s="250"/>
    </row>
    <row r="535" spans="1:7" s="30" customFormat="1" ht="14.45">
      <c r="A535" s="59"/>
      <c r="B535" s="100"/>
      <c r="C535" s="61"/>
      <c r="D535" s="62"/>
      <c r="E535" s="157"/>
      <c r="F535" s="137"/>
      <c r="G535" s="250"/>
    </row>
    <row r="536" spans="1:7" s="30" customFormat="1" ht="14.45">
      <c r="A536" s="66" t="s">
        <v>84</v>
      </c>
      <c r="B536" s="67" t="s">
        <v>1424</v>
      </c>
      <c r="C536" s="68" t="s">
        <v>88</v>
      </c>
      <c r="D536" s="69" t="s">
        <v>63</v>
      </c>
      <c r="E536" s="157">
        <v>283.849285714286</v>
      </c>
      <c r="F536" s="137">
        <f>C536*E536</f>
        <v>3973.890000000004</v>
      </c>
      <c r="G536" s="250" t="s">
        <v>1452</v>
      </c>
    </row>
    <row r="537" spans="1:7" s="30" customFormat="1" ht="14.45">
      <c r="A537" s="59"/>
      <c r="B537" s="100"/>
      <c r="C537" s="61"/>
      <c r="D537" s="62"/>
      <c r="E537" s="157"/>
      <c r="F537" s="137"/>
      <c r="G537" s="250"/>
    </row>
    <row r="538" spans="1:7" s="30" customFormat="1" ht="14.45">
      <c r="A538" s="66" t="s">
        <v>86</v>
      </c>
      <c r="B538" s="67" t="s">
        <v>1426</v>
      </c>
      <c r="C538" s="68" t="s">
        <v>1128</v>
      </c>
      <c r="D538" s="69" t="s">
        <v>63</v>
      </c>
      <c r="E538" s="157">
        <v>922.81954545454505</v>
      </c>
      <c r="F538" s="137">
        <f>C538*E538</f>
        <v>20302.029999999992</v>
      </c>
      <c r="G538" s="250" t="s">
        <v>1452</v>
      </c>
    </row>
    <row r="539" spans="1:7" s="30" customFormat="1" ht="14.45">
      <c r="A539" s="59"/>
      <c r="B539" s="100"/>
      <c r="C539" s="61"/>
      <c r="D539" s="62"/>
      <c r="E539" s="157"/>
      <c r="F539" s="137"/>
      <c r="G539" s="217"/>
    </row>
    <row r="540" spans="1:7" s="30" customFormat="1" ht="14.45">
      <c r="A540" s="66" t="s">
        <v>90</v>
      </c>
      <c r="B540" s="67" t="s">
        <v>1427</v>
      </c>
      <c r="C540" s="68" t="s">
        <v>62</v>
      </c>
      <c r="D540" s="69" t="s">
        <v>63</v>
      </c>
      <c r="E540" s="157">
        <v>1090.51</v>
      </c>
      <c r="F540" s="137">
        <f>C540*E540</f>
        <v>5452.55</v>
      </c>
      <c r="G540" s="250" t="s">
        <v>1452</v>
      </c>
    </row>
    <row r="541" spans="1:7" s="30" customFormat="1" ht="14.45">
      <c r="A541" s="59"/>
      <c r="B541" s="100"/>
      <c r="C541" s="61"/>
      <c r="D541" s="62"/>
      <c r="E541" s="157"/>
      <c r="F541" s="137"/>
      <c r="G541" s="217"/>
    </row>
    <row r="542" spans="1:7" s="30" customFormat="1" ht="14.45">
      <c r="A542" s="66" t="s">
        <v>92</v>
      </c>
      <c r="B542" s="67" t="s">
        <v>1469</v>
      </c>
      <c r="C542" s="68" t="s">
        <v>152</v>
      </c>
      <c r="D542" s="69" t="s">
        <v>63</v>
      </c>
      <c r="E542" s="157">
        <v>1514.79</v>
      </c>
      <c r="F542" s="137">
        <f>C542*E542</f>
        <v>3029.58</v>
      </c>
      <c r="G542" s="250" t="s">
        <v>1452</v>
      </c>
    </row>
    <row r="543" spans="1:7" s="30" customFormat="1" ht="14.45">
      <c r="A543" s="59"/>
      <c r="B543" s="100"/>
      <c r="C543" s="61"/>
      <c r="D543" s="62"/>
      <c r="E543" s="157"/>
      <c r="F543" s="137"/>
      <c r="G543" s="217"/>
    </row>
    <row r="544" spans="1:7" s="30" customFormat="1" ht="14.45">
      <c r="A544" s="66" t="s">
        <v>94</v>
      </c>
      <c r="B544" s="67" t="s">
        <v>1470</v>
      </c>
      <c r="C544" s="68" t="s">
        <v>62</v>
      </c>
      <c r="D544" s="69" t="s">
        <v>63</v>
      </c>
      <c r="E544" s="157">
        <v>2277.61</v>
      </c>
      <c r="F544" s="137">
        <f>C544*E544</f>
        <v>11388.050000000001</v>
      </c>
      <c r="G544" s="250" t="s">
        <v>1452</v>
      </c>
    </row>
    <row r="545" spans="1:7" s="30" customFormat="1" ht="14.45">
      <c r="A545" s="59"/>
      <c r="B545" s="100"/>
      <c r="C545" s="61"/>
      <c r="D545" s="62"/>
      <c r="E545" s="157"/>
      <c r="F545" s="137"/>
      <c r="G545" s="217"/>
    </row>
    <row r="546" spans="1:7" s="30" customFormat="1" ht="14.45">
      <c r="A546" s="66" t="s">
        <v>140</v>
      </c>
      <c r="B546" s="67" t="s">
        <v>1471</v>
      </c>
      <c r="C546" s="68" t="s">
        <v>152</v>
      </c>
      <c r="D546" s="69" t="s">
        <v>63</v>
      </c>
      <c r="E546" s="157">
        <v>3394.59</v>
      </c>
      <c r="F546" s="137">
        <f>C546*E546</f>
        <v>6789.18</v>
      </c>
      <c r="G546" s="250" t="s">
        <v>1452</v>
      </c>
    </row>
    <row r="547" spans="1:7" s="30" customFormat="1" ht="14.45">
      <c r="A547" s="59"/>
      <c r="B547" s="100"/>
      <c r="C547" s="61"/>
      <c r="D547" s="62"/>
      <c r="E547" s="157"/>
      <c r="F547" s="137"/>
      <c r="G547" s="217"/>
    </row>
    <row r="548" spans="1:7" s="30" customFormat="1" ht="14.45">
      <c r="A548" s="66" t="s">
        <v>159</v>
      </c>
      <c r="B548" s="67" t="s">
        <v>1472</v>
      </c>
      <c r="C548" s="68" t="s">
        <v>304</v>
      </c>
      <c r="D548" s="69" t="s">
        <v>63</v>
      </c>
      <c r="E548" s="157">
        <v>773.69</v>
      </c>
      <c r="F548" s="137">
        <f>C548*E548</f>
        <v>773.69</v>
      </c>
      <c r="G548" s="250" t="s">
        <v>1452</v>
      </c>
    </row>
    <row r="549" spans="1:7" s="30" customFormat="1" ht="14.45">
      <c r="A549" s="59"/>
      <c r="B549" s="100"/>
      <c r="C549" s="61"/>
      <c r="D549" s="62"/>
      <c r="E549" s="157"/>
      <c r="F549" s="137"/>
      <c r="G549" s="217"/>
    </row>
    <row r="550" spans="1:7" s="30" customFormat="1" ht="14.45">
      <c r="A550" s="66" t="s">
        <v>162</v>
      </c>
      <c r="B550" s="67" t="s">
        <v>1473</v>
      </c>
      <c r="C550" s="68" t="s">
        <v>39</v>
      </c>
      <c r="D550" s="69" t="s">
        <v>63</v>
      </c>
      <c r="E550" s="157">
        <v>809.93999999999994</v>
      </c>
      <c r="F550" s="137">
        <f>C550*E550</f>
        <v>4859.6399999999994</v>
      </c>
      <c r="G550" s="250" t="s">
        <v>1452</v>
      </c>
    </row>
    <row r="551" spans="1:7" s="30" customFormat="1" ht="14.45">
      <c r="A551" s="59"/>
      <c r="B551" s="100"/>
      <c r="C551" s="61"/>
      <c r="D551" s="62"/>
      <c r="E551" s="157"/>
      <c r="F551" s="137"/>
      <c r="G551" s="217"/>
    </row>
    <row r="552" spans="1:7" s="30" customFormat="1" ht="14.45">
      <c r="A552" s="66" t="s">
        <v>164</v>
      </c>
      <c r="B552" s="67" t="s">
        <v>1474</v>
      </c>
      <c r="C552" s="68" t="s">
        <v>1475</v>
      </c>
      <c r="D552" s="69" t="s">
        <v>63</v>
      </c>
      <c r="E552" s="157">
        <v>2620.5028571428597</v>
      </c>
      <c r="F552" s="137">
        <f>C552*E552</f>
        <v>110061.12000000011</v>
      </c>
      <c r="G552" s="250" t="s">
        <v>1452</v>
      </c>
    </row>
    <row r="553" spans="1:7" s="30" customFormat="1" ht="14.45">
      <c r="A553" s="59"/>
      <c r="B553" s="100"/>
      <c r="C553" s="61"/>
      <c r="D553" s="62"/>
      <c r="E553" s="157"/>
      <c r="F553" s="137"/>
      <c r="G553" s="217"/>
    </row>
    <row r="554" spans="1:7" s="30" customFormat="1" ht="14.45">
      <c r="A554" s="66" t="s">
        <v>166</v>
      </c>
      <c r="B554" s="67" t="s">
        <v>1476</v>
      </c>
      <c r="C554" s="68" t="s">
        <v>1477</v>
      </c>
      <c r="D554" s="69" t="s">
        <v>63</v>
      </c>
      <c r="E554" s="157">
        <v>1009.29884615385</v>
      </c>
      <c r="F554" s="137">
        <f>C554*E554</f>
        <v>26241.770000000102</v>
      </c>
      <c r="G554" s="250" t="s">
        <v>1452</v>
      </c>
    </row>
    <row r="555" spans="1:7" s="30" customFormat="1" ht="14.45">
      <c r="A555" s="59"/>
      <c r="B555" s="100"/>
      <c r="C555" s="61"/>
      <c r="D555" s="62"/>
      <c r="E555" s="157"/>
      <c r="F555" s="137"/>
      <c r="G555" s="217"/>
    </row>
    <row r="556" spans="1:7" s="91" customFormat="1" ht="14.45">
      <c r="A556" s="80" t="s">
        <v>168</v>
      </c>
      <c r="B556" s="81" t="s">
        <v>1478</v>
      </c>
      <c r="C556" s="82" t="s">
        <v>335</v>
      </c>
      <c r="D556" s="83" t="s">
        <v>63</v>
      </c>
      <c r="E556" s="158">
        <v>3789.13</v>
      </c>
      <c r="F556" s="137">
        <f>C556*E556</f>
        <v>11367.39</v>
      </c>
      <c r="G556" s="250" t="s">
        <v>1452</v>
      </c>
    </row>
    <row r="557" spans="1:7" s="30" customFormat="1" ht="14.45">
      <c r="A557" s="59"/>
      <c r="B557" s="100"/>
      <c r="C557" s="61"/>
      <c r="D557" s="62"/>
      <c r="E557" s="157"/>
      <c r="F557" s="137"/>
      <c r="G557" s="217"/>
    </row>
    <row r="558" spans="1:7" s="91" customFormat="1" ht="14.45">
      <c r="A558" s="80" t="s">
        <v>170</v>
      </c>
      <c r="B558" s="81" t="s">
        <v>1479</v>
      </c>
      <c r="C558" s="82" t="s">
        <v>335</v>
      </c>
      <c r="D558" s="83" t="s">
        <v>63</v>
      </c>
      <c r="E558" s="158">
        <v>4614.59</v>
      </c>
      <c r="F558" s="137">
        <f>C558*E558</f>
        <v>13843.77</v>
      </c>
      <c r="G558" s="250" t="s">
        <v>1452</v>
      </c>
    </row>
    <row r="559" spans="1:7" s="30" customFormat="1" ht="14.45">
      <c r="A559" s="59"/>
      <c r="B559" s="100"/>
      <c r="C559" s="61"/>
      <c r="D559" s="62"/>
      <c r="E559" s="157"/>
      <c r="F559" s="137"/>
      <c r="G559" s="217"/>
    </row>
    <row r="560" spans="1:7" s="30" customFormat="1" ht="14.45">
      <c r="A560" s="66" t="s">
        <v>172</v>
      </c>
      <c r="B560" s="67" t="s">
        <v>1480</v>
      </c>
      <c r="C560" s="68" t="s">
        <v>1481</v>
      </c>
      <c r="D560" s="69" t="s">
        <v>63</v>
      </c>
      <c r="E560" s="157">
        <v>53.328721804511297</v>
      </c>
      <c r="F560" s="137">
        <f>C560*E560</f>
        <v>14185.440000000004</v>
      </c>
      <c r="G560" s="250" t="s">
        <v>1452</v>
      </c>
    </row>
    <row r="561" spans="1:7" s="30" customFormat="1" ht="14.45">
      <c r="A561" s="71"/>
      <c r="B561" s="72"/>
      <c r="C561" s="73"/>
      <c r="D561" s="74"/>
      <c r="E561" s="159"/>
      <c r="F561" s="138"/>
      <c r="G561" s="226"/>
    </row>
    <row r="562" spans="1:7" s="30" customFormat="1" ht="14.45">
      <c r="A562" s="75"/>
      <c r="B562" s="76"/>
      <c r="C562" s="77" t="s">
        <v>30</v>
      </c>
      <c r="D562" s="77"/>
      <c r="E562" s="160" t="s">
        <v>8</v>
      </c>
      <c r="F562" s="139">
        <f>SUM(F518:F560)</f>
        <v>1781975.43</v>
      </c>
      <c r="G562" s="227"/>
    </row>
    <row r="563" spans="1:7" s="30" customFormat="1" ht="14.45">
      <c r="A563" s="75"/>
      <c r="B563" s="76"/>
      <c r="C563" s="78"/>
      <c r="D563" s="79"/>
      <c r="E563" s="161"/>
      <c r="F563" s="140"/>
      <c r="G563" s="228"/>
    </row>
    <row r="564" spans="1:7" s="30" customFormat="1" ht="14.45">
      <c r="A564" s="59"/>
      <c r="B564" s="63"/>
      <c r="C564" s="61"/>
      <c r="D564" s="62"/>
      <c r="E564" s="157"/>
      <c r="F564" s="137"/>
      <c r="G564" s="217"/>
    </row>
    <row r="565" spans="1:7" s="30" customFormat="1" ht="14.45">
      <c r="A565" s="59"/>
      <c r="B565" s="64" t="s">
        <v>1460</v>
      </c>
      <c r="C565" s="61"/>
      <c r="D565" s="62"/>
      <c r="E565" s="157"/>
      <c r="F565" s="137"/>
      <c r="G565" s="217"/>
    </row>
    <row r="566" spans="1:7" s="30" customFormat="1" ht="14.45">
      <c r="A566" s="59"/>
      <c r="B566" s="100"/>
      <c r="C566" s="61"/>
      <c r="D566" s="62"/>
      <c r="E566" s="157"/>
      <c r="F566" s="137"/>
      <c r="G566" s="217"/>
    </row>
    <row r="567" spans="1:7" s="30" customFormat="1" ht="14.45">
      <c r="A567" s="66" t="s">
        <v>14</v>
      </c>
      <c r="B567" s="67" t="s">
        <v>1482</v>
      </c>
      <c r="C567" s="68" t="s">
        <v>1483</v>
      </c>
      <c r="D567" s="69" t="s">
        <v>63</v>
      </c>
      <c r="E567" s="157">
        <v>48.402857142857094</v>
      </c>
      <c r="F567" s="137">
        <f>C567*E567</f>
        <v>3388.1999999999966</v>
      </c>
      <c r="G567" s="250" t="s">
        <v>1452</v>
      </c>
    </row>
    <row r="568" spans="1:7" s="30" customFormat="1" ht="14.45">
      <c r="A568" s="59"/>
      <c r="B568" s="100"/>
      <c r="C568" s="61"/>
      <c r="D568" s="62"/>
      <c r="E568" s="157"/>
      <c r="F568" s="137"/>
      <c r="G568" s="217"/>
    </row>
    <row r="569" spans="1:7" s="30" customFormat="1" ht="14.45">
      <c r="A569" s="66" t="s">
        <v>17</v>
      </c>
      <c r="B569" s="67" t="s">
        <v>1484</v>
      </c>
      <c r="C569" s="68" t="s">
        <v>1485</v>
      </c>
      <c r="D569" s="69" t="s">
        <v>63</v>
      </c>
      <c r="E569" s="157">
        <v>34.301675834250105</v>
      </c>
      <c r="F569" s="137">
        <f>C569*E569</f>
        <v>93540.670000000042</v>
      </c>
      <c r="G569" s="250" t="s">
        <v>1452</v>
      </c>
    </row>
    <row r="570" spans="1:7" s="30" customFormat="1" ht="14.45">
      <c r="A570" s="59"/>
      <c r="B570" s="100"/>
      <c r="C570" s="61"/>
      <c r="D570" s="62"/>
      <c r="E570" s="157"/>
      <c r="F570" s="137"/>
      <c r="G570" s="217"/>
    </row>
    <row r="571" spans="1:7" s="30" customFormat="1" ht="14.45">
      <c r="A571" s="66" t="s">
        <v>20</v>
      </c>
      <c r="B571" s="67" t="s">
        <v>1486</v>
      </c>
      <c r="C571" s="68" t="s">
        <v>1487</v>
      </c>
      <c r="D571" s="69" t="s">
        <v>63</v>
      </c>
      <c r="E571" s="157">
        <v>53.266528816541999</v>
      </c>
      <c r="F571" s="137">
        <f>C571*E571</f>
        <v>121074.81999999996</v>
      </c>
      <c r="G571" s="250" t="s">
        <v>1452</v>
      </c>
    </row>
    <row r="572" spans="1:7" s="30" customFormat="1" ht="14.45">
      <c r="A572" s="59"/>
      <c r="B572" s="100"/>
      <c r="C572" s="61"/>
      <c r="D572" s="62"/>
      <c r="E572" s="157"/>
      <c r="F572" s="137"/>
      <c r="G572" s="217"/>
    </row>
    <row r="573" spans="1:7" s="30" customFormat="1" ht="55.15">
      <c r="A573" s="66"/>
      <c r="B573" s="98" t="s">
        <v>1488</v>
      </c>
      <c r="C573" s="68"/>
      <c r="D573" s="69"/>
      <c r="E573" s="157"/>
      <c r="F573" s="137"/>
      <c r="G573" s="217"/>
    </row>
    <row r="574" spans="1:7" s="30" customFormat="1" ht="14.45">
      <c r="A574" s="59"/>
      <c r="B574" s="100"/>
      <c r="C574" s="61"/>
      <c r="D574" s="62"/>
      <c r="E574" s="157"/>
      <c r="F574" s="137"/>
      <c r="G574" s="217"/>
    </row>
    <row r="575" spans="1:7" s="30" customFormat="1" ht="41.45">
      <c r="A575" s="66" t="s">
        <v>23</v>
      </c>
      <c r="B575" s="67" t="s">
        <v>1489</v>
      </c>
      <c r="C575" s="249" t="s">
        <v>1490</v>
      </c>
      <c r="D575" s="169" t="s">
        <v>63</v>
      </c>
      <c r="E575" s="175">
        <v>5304.6045833333292</v>
      </c>
      <c r="F575" s="176">
        <f>C575*E575</f>
        <v>1145794.5899999992</v>
      </c>
      <c r="G575" s="250" t="s">
        <v>1491</v>
      </c>
    </row>
    <row r="576" spans="1:7" s="30" customFormat="1" ht="14.45">
      <c r="A576" s="59"/>
      <c r="B576" s="100"/>
      <c r="C576" s="61"/>
      <c r="D576" s="62"/>
      <c r="E576" s="157"/>
      <c r="F576" s="137"/>
      <c r="G576" s="217"/>
    </row>
    <row r="577" spans="1:7" s="30" customFormat="1" ht="14.45">
      <c r="A577" s="66"/>
      <c r="B577" s="98" t="s">
        <v>1492</v>
      </c>
      <c r="C577" s="68"/>
      <c r="D577" s="69"/>
      <c r="E577" s="157"/>
      <c r="F577" s="137"/>
      <c r="G577" s="217"/>
    </row>
    <row r="578" spans="1:7" s="30" customFormat="1" ht="14.45">
      <c r="A578" s="59"/>
      <c r="B578" s="100"/>
      <c r="C578" s="61"/>
      <c r="D578" s="62"/>
      <c r="E578" s="157"/>
      <c r="F578" s="137"/>
      <c r="G578" s="217"/>
    </row>
    <row r="579" spans="1:7" s="30" customFormat="1" ht="14.45">
      <c r="A579" s="66" t="s">
        <v>27</v>
      </c>
      <c r="B579" s="67" t="s">
        <v>1493</v>
      </c>
      <c r="C579" s="68" t="s">
        <v>479</v>
      </c>
      <c r="D579" s="69" t="s">
        <v>63</v>
      </c>
      <c r="E579" s="157">
        <v>291.19</v>
      </c>
      <c r="F579" s="137">
        <f>C579*E579</f>
        <v>2620.71</v>
      </c>
      <c r="G579" s="217"/>
    </row>
    <row r="580" spans="1:7" s="30" customFormat="1" ht="14.45">
      <c r="A580" s="59"/>
      <c r="B580" s="100"/>
      <c r="C580" s="61"/>
      <c r="D580" s="62"/>
      <c r="E580" s="157"/>
      <c r="F580" s="137"/>
      <c r="G580" s="217"/>
    </row>
    <row r="581" spans="1:7" s="30" customFormat="1" ht="14.45">
      <c r="A581" s="66" t="s">
        <v>44</v>
      </c>
      <c r="B581" s="67" t="s">
        <v>1494</v>
      </c>
      <c r="C581" s="68" t="s">
        <v>65</v>
      </c>
      <c r="D581" s="69" t="s">
        <v>63</v>
      </c>
      <c r="E581" s="157">
        <v>190.93</v>
      </c>
      <c r="F581" s="137">
        <f>C581*E581</f>
        <v>763.72</v>
      </c>
      <c r="G581" s="217"/>
    </row>
    <row r="582" spans="1:7" s="30" customFormat="1" ht="14.45">
      <c r="A582" s="59"/>
      <c r="B582" s="100"/>
      <c r="C582" s="61"/>
      <c r="D582" s="62"/>
      <c r="E582" s="157"/>
      <c r="F582" s="137"/>
      <c r="G582" s="217"/>
    </row>
    <row r="583" spans="1:7" s="30" customFormat="1" ht="14.45">
      <c r="A583" s="66" t="s">
        <v>48</v>
      </c>
      <c r="B583" s="67" t="s">
        <v>1495</v>
      </c>
      <c r="C583" s="68" t="s">
        <v>65</v>
      </c>
      <c r="D583" s="69" t="s">
        <v>63</v>
      </c>
      <c r="E583" s="157">
        <v>2751.92</v>
      </c>
      <c r="F583" s="137">
        <f>C583*E583</f>
        <v>11007.68</v>
      </c>
      <c r="G583" s="217"/>
    </row>
    <row r="584" spans="1:7" s="30" customFormat="1" ht="14.45">
      <c r="A584" s="59"/>
      <c r="B584" s="100"/>
      <c r="C584" s="61"/>
      <c r="D584" s="62"/>
      <c r="E584" s="157"/>
      <c r="F584" s="137"/>
      <c r="G584" s="217"/>
    </row>
    <row r="585" spans="1:7" s="30" customFormat="1" ht="45" customHeight="1">
      <c r="A585" s="66"/>
      <c r="B585" s="98" t="s">
        <v>1496</v>
      </c>
      <c r="C585" s="68"/>
      <c r="D585" s="69"/>
      <c r="E585" s="157"/>
      <c r="F585" s="137"/>
      <c r="G585" s="217"/>
    </row>
    <row r="586" spans="1:7" s="30" customFormat="1" ht="14.45">
      <c r="A586" s="59"/>
      <c r="B586" s="100"/>
      <c r="C586" s="61"/>
      <c r="D586" s="62"/>
      <c r="E586" s="157"/>
      <c r="F586" s="137"/>
      <c r="G586" s="217"/>
    </row>
    <row r="587" spans="1:7" s="30" customFormat="1" ht="14.45">
      <c r="A587" s="66" t="s">
        <v>84</v>
      </c>
      <c r="B587" s="67" t="s">
        <v>1497</v>
      </c>
      <c r="C587" s="68" t="s">
        <v>712</v>
      </c>
      <c r="D587" s="69" t="s">
        <v>1498</v>
      </c>
      <c r="E587" s="157">
        <v>1791.81</v>
      </c>
      <c r="F587" s="137">
        <f>C587*E587</f>
        <v>55546.11</v>
      </c>
      <c r="G587" s="217"/>
    </row>
    <row r="588" spans="1:7" s="30" customFormat="1" ht="14.45">
      <c r="A588" s="59"/>
      <c r="B588" s="100"/>
      <c r="C588" s="61"/>
      <c r="D588" s="62"/>
      <c r="E588" s="157"/>
      <c r="F588" s="137"/>
      <c r="G588" s="217"/>
    </row>
    <row r="589" spans="1:7" s="30" customFormat="1" ht="14.45">
      <c r="A589" s="66" t="s">
        <v>86</v>
      </c>
      <c r="B589" s="67" t="s">
        <v>1499</v>
      </c>
      <c r="C589" s="68" t="s">
        <v>716</v>
      </c>
      <c r="D589" s="69" t="s">
        <v>1498</v>
      </c>
      <c r="E589" s="157"/>
      <c r="F589" s="137" t="s">
        <v>1500</v>
      </c>
      <c r="G589" s="250" t="s">
        <v>1452</v>
      </c>
    </row>
    <row r="590" spans="1:7" s="30" customFormat="1" ht="14.45">
      <c r="A590" s="59"/>
      <c r="B590" s="100"/>
      <c r="C590" s="61"/>
      <c r="D590" s="62"/>
      <c r="E590" s="157"/>
      <c r="F590" s="137"/>
      <c r="G590" s="217"/>
    </row>
    <row r="591" spans="1:7" s="30" customFormat="1" ht="14.45">
      <c r="A591" s="66" t="s">
        <v>90</v>
      </c>
      <c r="B591" s="67" t="s">
        <v>1501</v>
      </c>
      <c r="C591" s="68" t="s">
        <v>1502</v>
      </c>
      <c r="D591" s="69" t="s">
        <v>1498</v>
      </c>
      <c r="E591" s="157"/>
      <c r="F591" s="137" t="s">
        <v>1500</v>
      </c>
      <c r="G591" s="250" t="s">
        <v>1452</v>
      </c>
    </row>
    <row r="592" spans="1:7" s="30" customFormat="1" ht="14.45">
      <c r="A592" s="59"/>
      <c r="B592" s="100"/>
      <c r="C592" s="61"/>
      <c r="D592" s="62"/>
      <c r="E592" s="157"/>
      <c r="F592" s="137"/>
      <c r="G592" s="217"/>
    </row>
    <row r="593" spans="1:7" s="30" customFormat="1" ht="14.45">
      <c r="A593" s="66" t="s">
        <v>92</v>
      </c>
      <c r="B593" s="67" t="s">
        <v>1501</v>
      </c>
      <c r="C593" s="68" t="s">
        <v>1503</v>
      </c>
      <c r="D593" s="69" t="s">
        <v>1498</v>
      </c>
      <c r="E593" s="157"/>
      <c r="F593" s="137" t="s">
        <v>1500</v>
      </c>
      <c r="G593" s="250" t="s">
        <v>1452</v>
      </c>
    </row>
    <row r="594" spans="1:7" s="30" customFormat="1" ht="14.45">
      <c r="A594" s="59"/>
      <c r="B594" s="100"/>
      <c r="C594" s="61"/>
      <c r="D594" s="62"/>
      <c r="E594" s="157"/>
      <c r="F594" s="137"/>
      <c r="G594" s="217"/>
    </row>
    <row r="595" spans="1:7" s="30" customFormat="1" ht="14.45">
      <c r="A595" s="66" t="s">
        <v>94</v>
      </c>
      <c r="B595" s="67" t="s">
        <v>1504</v>
      </c>
      <c r="C595" s="68" t="s">
        <v>501</v>
      </c>
      <c r="D595" s="69" t="s">
        <v>1498</v>
      </c>
      <c r="E595" s="157"/>
      <c r="F595" s="137" t="s">
        <v>1500</v>
      </c>
      <c r="G595" s="250" t="s">
        <v>1452</v>
      </c>
    </row>
    <row r="596" spans="1:7" s="30" customFormat="1" ht="14.45">
      <c r="A596" s="59"/>
      <c r="B596" s="100"/>
      <c r="C596" s="61"/>
      <c r="D596" s="62"/>
      <c r="E596" s="157"/>
      <c r="F596" s="137"/>
      <c r="G596" s="217"/>
    </row>
    <row r="597" spans="1:7" s="30" customFormat="1" ht="14.45">
      <c r="A597" s="66" t="s">
        <v>140</v>
      </c>
      <c r="B597" s="67" t="s">
        <v>1505</v>
      </c>
      <c r="C597" s="68" t="s">
        <v>37</v>
      </c>
      <c r="D597" s="69" t="s">
        <v>1498</v>
      </c>
      <c r="E597" s="157">
        <v>1789.29</v>
      </c>
      <c r="F597" s="137">
        <f>C597*E597</f>
        <v>66203.73</v>
      </c>
      <c r="G597" s="217"/>
    </row>
    <row r="598" spans="1:7" s="30" customFormat="1" ht="14.45">
      <c r="A598" s="59"/>
      <c r="B598" s="100"/>
      <c r="C598" s="61"/>
      <c r="D598" s="62"/>
      <c r="E598" s="157"/>
      <c r="F598" s="137"/>
      <c r="G598" s="217"/>
    </row>
    <row r="599" spans="1:7" s="30" customFormat="1" ht="14.45">
      <c r="A599" s="66" t="s">
        <v>159</v>
      </c>
      <c r="B599" s="67" t="s">
        <v>1506</v>
      </c>
      <c r="C599" s="68" t="s">
        <v>339</v>
      </c>
      <c r="D599" s="69" t="s">
        <v>1498</v>
      </c>
      <c r="E599" s="157"/>
      <c r="F599" s="137" t="s">
        <v>1500</v>
      </c>
      <c r="G599" s="250" t="s">
        <v>1452</v>
      </c>
    </row>
    <row r="600" spans="1:7" s="30" customFormat="1" ht="14.45">
      <c r="A600" s="59"/>
      <c r="B600" s="100"/>
      <c r="C600" s="61"/>
      <c r="D600" s="62"/>
      <c r="E600" s="157"/>
      <c r="F600" s="137"/>
      <c r="G600" s="217"/>
    </row>
    <row r="601" spans="1:7" s="30" customFormat="1" ht="14.45">
      <c r="A601" s="66" t="s">
        <v>162</v>
      </c>
      <c r="B601" s="67" t="s">
        <v>1507</v>
      </c>
      <c r="C601" s="68" t="s">
        <v>1316</v>
      </c>
      <c r="D601" s="69" t="s">
        <v>1498</v>
      </c>
      <c r="E601" s="157"/>
      <c r="F601" s="137" t="s">
        <v>1500</v>
      </c>
      <c r="G601" s="250" t="s">
        <v>1452</v>
      </c>
    </row>
    <row r="602" spans="1:7" s="30" customFormat="1" ht="14.45">
      <c r="A602" s="59"/>
      <c r="B602" s="100"/>
      <c r="C602" s="61"/>
      <c r="D602" s="62"/>
      <c r="E602" s="157"/>
      <c r="F602" s="137"/>
      <c r="G602" s="217"/>
    </row>
    <row r="603" spans="1:7" s="30" customFormat="1" ht="14.45">
      <c r="A603" s="66" t="s">
        <v>164</v>
      </c>
      <c r="B603" s="67" t="s">
        <v>1508</v>
      </c>
      <c r="C603" s="68" t="s">
        <v>481</v>
      </c>
      <c r="D603" s="69" t="s">
        <v>1498</v>
      </c>
      <c r="E603" s="157">
        <v>1789.65</v>
      </c>
      <c r="F603" s="137">
        <f>C603*E603</f>
        <v>64427.4</v>
      </c>
      <c r="G603" s="217"/>
    </row>
    <row r="604" spans="1:7" s="30" customFormat="1" ht="14.45">
      <c r="A604" s="66"/>
      <c r="B604" s="67"/>
      <c r="C604" s="68"/>
      <c r="D604" s="69"/>
      <c r="E604" s="157"/>
      <c r="F604" s="137"/>
      <c r="G604" s="217"/>
    </row>
    <row r="605" spans="1:7" s="30" customFormat="1" ht="28.9">
      <c r="A605" s="66"/>
      <c r="B605" s="225" t="s">
        <v>323</v>
      </c>
      <c r="C605" s="68"/>
      <c r="D605" s="69"/>
      <c r="E605" s="157"/>
      <c r="F605" s="137"/>
      <c r="G605" s="217"/>
    </row>
    <row r="606" spans="1:7" s="30" customFormat="1" ht="14.45">
      <c r="A606" s="71"/>
      <c r="B606" s="72"/>
      <c r="C606" s="73"/>
      <c r="D606" s="74"/>
      <c r="E606" s="159"/>
      <c r="F606" s="138"/>
      <c r="G606" s="226"/>
    </row>
    <row r="607" spans="1:7" s="30" customFormat="1" ht="14.45">
      <c r="A607" s="75"/>
      <c r="B607" s="76"/>
      <c r="C607" s="77" t="s">
        <v>30</v>
      </c>
      <c r="D607" s="77"/>
      <c r="E607" s="160"/>
      <c r="F607" s="139">
        <f>SUM(F566:F603)</f>
        <v>1564367.629999999</v>
      </c>
      <c r="G607" s="227"/>
    </row>
    <row r="608" spans="1:7" s="30" customFormat="1" ht="14.45">
      <c r="A608" s="75"/>
      <c r="B608" s="76"/>
      <c r="C608" s="78"/>
      <c r="D608" s="79"/>
      <c r="E608" s="161"/>
      <c r="F608" s="140"/>
      <c r="G608" s="228"/>
    </row>
    <row r="609" spans="1:7" s="30" customFormat="1" ht="14.45">
      <c r="A609" s="59"/>
      <c r="B609" s="63"/>
      <c r="C609" s="61"/>
      <c r="D609" s="62"/>
      <c r="E609" s="157"/>
      <c r="F609" s="137"/>
      <c r="G609" s="217"/>
    </row>
    <row r="610" spans="1:7" s="30" customFormat="1" ht="14.45">
      <c r="A610" s="59"/>
      <c r="B610" s="64" t="s">
        <v>1460</v>
      </c>
      <c r="C610" s="61"/>
      <c r="D610" s="62"/>
      <c r="E610" s="157"/>
      <c r="F610" s="137"/>
      <c r="G610" s="217"/>
    </row>
    <row r="611" spans="1:7" s="30" customFormat="1" ht="14.45">
      <c r="A611" s="59"/>
      <c r="B611" s="100"/>
      <c r="C611" s="61"/>
      <c r="D611" s="62"/>
      <c r="E611" s="157"/>
      <c r="F611" s="137"/>
      <c r="G611" s="217"/>
    </row>
    <row r="612" spans="1:7" s="30" customFormat="1" ht="14.45">
      <c r="A612" s="66" t="s">
        <v>14</v>
      </c>
      <c r="B612" s="67" t="s">
        <v>1509</v>
      </c>
      <c r="C612" s="68" t="s">
        <v>781</v>
      </c>
      <c r="D612" s="69" t="s">
        <v>1498</v>
      </c>
      <c r="E612" s="157"/>
      <c r="F612" s="137" t="s">
        <v>1500</v>
      </c>
      <c r="G612" s="250" t="s">
        <v>1452</v>
      </c>
    </row>
    <row r="613" spans="1:7" s="30" customFormat="1" ht="14.45">
      <c r="A613" s="59"/>
      <c r="B613" s="100"/>
      <c r="C613" s="61"/>
      <c r="D613" s="62"/>
      <c r="E613" s="157"/>
      <c r="F613" s="137"/>
      <c r="G613" s="217"/>
    </row>
    <row r="614" spans="1:7" s="30" customFormat="1" ht="14.45">
      <c r="A614" s="66" t="s">
        <v>17</v>
      </c>
      <c r="B614" s="67" t="s">
        <v>1509</v>
      </c>
      <c r="C614" s="68" t="s">
        <v>1510</v>
      </c>
      <c r="D614" s="69" t="s">
        <v>1498</v>
      </c>
      <c r="E614" s="157"/>
      <c r="F614" s="137" t="s">
        <v>1500</v>
      </c>
      <c r="G614" s="250" t="s">
        <v>1452</v>
      </c>
    </row>
    <row r="615" spans="1:7" s="30" customFormat="1" ht="14.45">
      <c r="A615" s="59"/>
      <c r="B615" s="100"/>
      <c r="C615" s="61"/>
      <c r="D615" s="62"/>
      <c r="E615" s="157"/>
      <c r="F615" s="137"/>
      <c r="G615" s="217"/>
    </row>
    <row r="616" spans="1:7" s="30" customFormat="1" ht="14.45">
      <c r="A616" s="66" t="s">
        <v>20</v>
      </c>
      <c r="B616" s="67" t="s">
        <v>1511</v>
      </c>
      <c r="C616" s="68" t="s">
        <v>1125</v>
      </c>
      <c r="D616" s="69" t="s">
        <v>1498</v>
      </c>
      <c r="E616" s="157">
        <v>1786.09</v>
      </c>
      <c r="F616" s="137">
        <f>C616*E616</f>
        <v>87518.409999999989</v>
      </c>
      <c r="G616" s="217"/>
    </row>
    <row r="617" spans="1:7" s="30" customFormat="1" ht="14.45">
      <c r="A617" s="59"/>
      <c r="B617" s="100"/>
      <c r="C617" s="61"/>
      <c r="D617" s="62"/>
      <c r="E617" s="157"/>
      <c r="F617" s="137"/>
      <c r="G617" s="217"/>
    </row>
    <row r="618" spans="1:7" s="30" customFormat="1" ht="27.6">
      <c r="A618" s="66" t="s">
        <v>23</v>
      </c>
      <c r="B618" s="67" t="s">
        <v>1512</v>
      </c>
      <c r="C618" s="68" t="s">
        <v>1316</v>
      </c>
      <c r="D618" s="69" t="s">
        <v>1498</v>
      </c>
      <c r="E618" s="157">
        <v>1790.43</v>
      </c>
      <c r="F618" s="137">
        <f>C618*E618</f>
        <v>60874.62</v>
      </c>
      <c r="G618" s="217"/>
    </row>
    <row r="619" spans="1:7" s="30" customFormat="1" ht="14.45">
      <c r="A619" s="59"/>
      <c r="B619" s="100"/>
      <c r="C619" s="61"/>
      <c r="D619" s="62"/>
      <c r="E619" s="157"/>
      <c r="F619" s="137"/>
      <c r="G619" s="217"/>
    </row>
    <row r="620" spans="1:7" s="30" customFormat="1" ht="14.45">
      <c r="A620" s="66" t="s">
        <v>27</v>
      </c>
      <c r="B620" s="67" t="s">
        <v>1513</v>
      </c>
      <c r="C620" s="68" t="s">
        <v>481</v>
      </c>
      <c r="D620" s="69" t="s">
        <v>1498</v>
      </c>
      <c r="E620" s="157">
        <v>1789.65</v>
      </c>
      <c r="F620" s="137">
        <f>C620*E620</f>
        <v>64427.4</v>
      </c>
      <c r="G620" s="217"/>
    </row>
    <row r="621" spans="1:7" s="30" customFormat="1" ht="14.45">
      <c r="A621" s="59"/>
      <c r="B621" s="100"/>
      <c r="C621" s="61"/>
      <c r="D621" s="62"/>
      <c r="E621" s="157"/>
      <c r="F621" s="137"/>
      <c r="G621" s="217"/>
    </row>
    <row r="622" spans="1:7" s="30" customFormat="1" ht="14.45">
      <c r="A622" s="66" t="s">
        <v>44</v>
      </c>
      <c r="B622" s="67" t="s">
        <v>1514</v>
      </c>
      <c r="C622" s="68" t="s">
        <v>501</v>
      </c>
      <c r="D622" s="69" t="s">
        <v>1498</v>
      </c>
      <c r="E622" s="157">
        <v>1786.51</v>
      </c>
      <c r="F622" s="137">
        <f>C622*E622</f>
        <v>83965.97</v>
      </c>
      <c r="G622" s="217"/>
    </row>
    <row r="623" spans="1:7" s="30" customFormat="1" ht="14.45">
      <c r="A623" s="59"/>
      <c r="B623" s="100"/>
      <c r="C623" s="61"/>
      <c r="D623" s="62"/>
      <c r="E623" s="157"/>
      <c r="F623" s="137"/>
      <c r="G623" s="217"/>
    </row>
    <row r="624" spans="1:7" s="30" customFormat="1" ht="41.45">
      <c r="A624" s="66"/>
      <c r="B624" s="98" t="s">
        <v>1515</v>
      </c>
      <c r="C624" s="68"/>
      <c r="D624" s="69"/>
      <c r="E624" s="157"/>
      <c r="F624" s="137"/>
      <c r="G624" s="217"/>
    </row>
    <row r="625" spans="1:7" s="30" customFormat="1" ht="14.45">
      <c r="A625" s="59"/>
      <c r="B625" s="100"/>
      <c r="C625" s="61"/>
      <c r="D625" s="62"/>
      <c r="E625" s="157"/>
      <c r="F625" s="137"/>
      <c r="G625" s="217"/>
    </row>
    <row r="626" spans="1:7" s="91" customFormat="1" ht="14.45">
      <c r="A626" s="80" t="s">
        <v>48</v>
      </c>
      <c r="B626" s="81" t="s">
        <v>1516</v>
      </c>
      <c r="C626" s="82" t="s">
        <v>975</v>
      </c>
      <c r="D626" s="83" t="s">
        <v>1498</v>
      </c>
      <c r="E626" s="158">
        <v>1792.88</v>
      </c>
      <c r="F626" s="137">
        <f>C626*E626</f>
        <v>51993.520000000004</v>
      </c>
      <c r="G626" s="217"/>
    </row>
    <row r="627" spans="1:7" s="30" customFormat="1" ht="14.45">
      <c r="A627" s="59"/>
      <c r="B627" s="100"/>
      <c r="C627" s="61"/>
      <c r="D627" s="62"/>
      <c r="E627" s="157"/>
      <c r="F627" s="137"/>
      <c r="G627" s="217"/>
    </row>
    <row r="628" spans="1:7" s="30" customFormat="1" ht="27.6">
      <c r="A628" s="66" t="s">
        <v>84</v>
      </c>
      <c r="B628" s="67" t="s">
        <v>1517</v>
      </c>
      <c r="C628" s="68" t="s">
        <v>961</v>
      </c>
      <c r="D628" s="69" t="s">
        <v>1498</v>
      </c>
      <c r="E628" s="157"/>
      <c r="F628" s="137" t="s">
        <v>1500</v>
      </c>
      <c r="G628" s="250" t="s">
        <v>1452</v>
      </c>
    </row>
    <row r="629" spans="1:7" s="30" customFormat="1" ht="14.45">
      <c r="A629" s="59"/>
      <c r="B629" s="100"/>
      <c r="C629" s="61"/>
      <c r="D629" s="62"/>
      <c r="E629" s="157"/>
      <c r="F629" s="137"/>
      <c r="G629" s="217"/>
    </row>
    <row r="630" spans="1:7" s="30" customFormat="1" ht="14.45">
      <c r="A630" s="66" t="s">
        <v>86</v>
      </c>
      <c r="B630" s="67" t="s">
        <v>1518</v>
      </c>
      <c r="C630" s="68" t="s">
        <v>815</v>
      </c>
      <c r="D630" s="69" t="s">
        <v>1498</v>
      </c>
      <c r="E630" s="157"/>
      <c r="F630" s="137" t="s">
        <v>1500</v>
      </c>
      <c r="G630" s="250" t="s">
        <v>1452</v>
      </c>
    </row>
    <row r="631" spans="1:7" s="30" customFormat="1" ht="14.45">
      <c r="A631" s="59"/>
      <c r="B631" s="100"/>
      <c r="C631" s="61"/>
      <c r="D631" s="62"/>
      <c r="E631" s="157"/>
      <c r="F631" s="137"/>
      <c r="G631" s="217"/>
    </row>
    <row r="632" spans="1:7" s="30" customFormat="1" ht="14.45">
      <c r="A632" s="66" t="s">
        <v>90</v>
      </c>
      <c r="B632" s="67" t="s">
        <v>1519</v>
      </c>
      <c r="C632" s="68" t="s">
        <v>716</v>
      </c>
      <c r="D632" s="69" t="s">
        <v>1498</v>
      </c>
      <c r="E632" s="157">
        <v>1796.34</v>
      </c>
      <c r="F632" s="137">
        <f>C632*E632</f>
        <v>43112.159999999996</v>
      </c>
      <c r="G632" s="217"/>
    </row>
    <row r="633" spans="1:7" s="30" customFormat="1" ht="14.45">
      <c r="A633" s="59"/>
      <c r="B633" s="100"/>
      <c r="C633" s="61"/>
      <c r="D633" s="62"/>
      <c r="E633" s="157"/>
      <c r="F633" s="137"/>
      <c r="G633" s="217"/>
    </row>
    <row r="634" spans="1:7" s="30" customFormat="1" ht="14.45">
      <c r="A634" s="66" t="s">
        <v>92</v>
      </c>
      <c r="B634" s="67" t="s">
        <v>1520</v>
      </c>
      <c r="C634" s="68" t="s">
        <v>716</v>
      </c>
      <c r="D634" s="69" t="s">
        <v>1498</v>
      </c>
      <c r="E634" s="157">
        <v>1796.34</v>
      </c>
      <c r="F634" s="137">
        <f>C634*E634</f>
        <v>43112.159999999996</v>
      </c>
      <c r="G634" s="217"/>
    </row>
    <row r="635" spans="1:7" s="30" customFormat="1" ht="14.45">
      <c r="A635" s="59"/>
      <c r="B635" s="63"/>
      <c r="C635" s="61"/>
      <c r="D635" s="62"/>
      <c r="E635" s="157"/>
      <c r="F635" s="137"/>
      <c r="G635" s="217"/>
    </row>
    <row r="636" spans="1:7" s="30" customFormat="1" ht="14.45">
      <c r="A636" s="59"/>
      <c r="B636" s="63"/>
      <c r="C636" s="61"/>
      <c r="D636" s="62"/>
      <c r="E636" s="157"/>
      <c r="F636" s="137"/>
      <c r="G636" s="217"/>
    </row>
    <row r="637" spans="1:7" s="30" customFormat="1" ht="14.45">
      <c r="A637" s="59"/>
      <c r="B637" s="63"/>
      <c r="C637" s="61"/>
      <c r="D637" s="62"/>
      <c r="E637" s="157"/>
      <c r="F637" s="137"/>
      <c r="G637" s="217"/>
    </row>
    <row r="638" spans="1:7" s="30" customFormat="1" ht="14.45">
      <c r="A638" s="59"/>
      <c r="B638" s="63"/>
      <c r="C638" s="61"/>
      <c r="D638" s="62"/>
      <c r="E638" s="157"/>
      <c r="F638" s="137"/>
      <c r="G638" s="217"/>
    </row>
    <row r="639" spans="1:7" s="30" customFormat="1" ht="14.45">
      <c r="A639" s="59"/>
      <c r="B639" s="63"/>
      <c r="C639" s="61"/>
      <c r="D639" s="62"/>
      <c r="E639" s="157"/>
      <c r="F639" s="137"/>
      <c r="G639" s="217"/>
    </row>
    <row r="640" spans="1:7" s="30" customFormat="1" ht="14.45">
      <c r="A640" s="59"/>
      <c r="B640" s="63"/>
      <c r="C640" s="61"/>
      <c r="D640" s="62"/>
      <c r="E640" s="157"/>
      <c r="F640" s="137"/>
      <c r="G640" s="217"/>
    </row>
    <row r="641" spans="1:7" s="30" customFormat="1" ht="14.45">
      <c r="A641" s="59"/>
      <c r="B641" s="63"/>
      <c r="C641" s="61"/>
      <c r="D641" s="62"/>
      <c r="E641" s="157"/>
      <c r="F641" s="137"/>
      <c r="G641" s="217"/>
    </row>
    <row r="642" spans="1:7" s="30" customFormat="1" ht="14.45">
      <c r="A642" s="59"/>
      <c r="B642" s="63"/>
      <c r="C642" s="61"/>
      <c r="D642" s="62"/>
      <c r="E642" s="157"/>
      <c r="F642" s="137"/>
      <c r="G642" s="217"/>
    </row>
    <row r="643" spans="1:7" s="30" customFormat="1" ht="14.45">
      <c r="A643" s="59"/>
      <c r="B643" s="63"/>
      <c r="C643" s="61"/>
      <c r="D643" s="62"/>
      <c r="E643" s="157"/>
      <c r="F643" s="137"/>
      <c r="G643" s="217"/>
    </row>
    <row r="644" spans="1:7" s="30" customFormat="1" ht="14.45">
      <c r="A644" s="59"/>
      <c r="B644" s="63"/>
      <c r="C644" s="61"/>
      <c r="D644" s="62"/>
      <c r="E644" s="157"/>
      <c r="F644" s="137"/>
      <c r="G644" s="217"/>
    </row>
    <row r="645" spans="1:7" s="30" customFormat="1" ht="14.45">
      <c r="A645" s="59"/>
      <c r="B645" s="63"/>
      <c r="C645" s="61"/>
      <c r="D645" s="62"/>
      <c r="E645" s="157"/>
      <c r="F645" s="137"/>
      <c r="G645" s="217"/>
    </row>
    <row r="646" spans="1:7" s="30" customFormat="1" ht="14.45">
      <c r="A646" s="59"/>
      <c r="B646" s="63"/>
      <c r="C646" s="61"/>
      <c r="D646" s="62"/>
      <c r="E646" s="157"/>
      <c r="F646" s="137"/>
      <c r="G646" s="217"/>
    </row>
    <row r="647" spans="1:7" s="30" customFormat="1" ht="14.45">
      <c r="A647" s="59"/>
      <c r="B647" s="63"/>
      <c r="C647" s="61"/>
      <c r="D647" s="62"/>
      <c r="E647" s="157"/>
      <c r="F647" s="137"/>
      <c r="G647" s="217"/>
    </row>
    <row r="648" spans="1:7" s="30" customFormat="1" ht="14.45">
      <c r="A648" s="59"/>
      <c r="B648" s="63"/>
      <c r="C648" s="61"/>
      <c r="D648" s="62"/>
      <c r="E648" s="157"/>
      <c r="F648" s="137"/>
      <c r="G648" s="217"/>
    </row>
    <row r="649" spans="1:7" s="30" customFormat="1" ht="14.45">
      <c r="A649" s="59"/>
      <c r="B649" s="63"/>
      <c r="C649" s="61"/>
      <c r="D649" s="62"/>
      <c r="E649" s="157"/>
      <c r="F649" s="137"/>
      <c r="G649" s="217"/>
    </row>
    <row r="650" spans="1:7" s="30" customFormat="1" ht="14.45">
      <c r="A650" s="71"/>
      <c r="B650" s="72"/>
      <c r="C650" s="73"/>
      <c r="D650" s="74"/>
      <c r="E650" s="159"/>
      <c r="F650" s="138"/>
      <c r="G650" s="226"/>
    </row>
    <row r="651" spans="1:7" s="30" customFormat="1" ht="14.45">
      <c r="A651" s="75"/>
      <c r="B651" s="76"/>
      <c r="C651" s="77" t="s">
        <v>30</v>
      </c>
      <c r="D651" s="77"/>
      <c r="E651" s="160" t="s">
        <v>8</v>
      </c>
      <c r="F651" s="139">
        <f>SUM(F611:F638)</f>
        <v>435004.24</v>
      </c>
      <c r="G651" s="227"/>
    </row>
    <row r="652" spans="1:7" s="30" customFormat="1" ht="14.45">
      <c r="A652" s="75"/>
      <c r="B652" s="76"/>
      <c r="C652" s="78"/>
      <c r="D652" s="79"/>
      <c r="E652" s="161"/>
      <c r="F652" s="140"/>
      <c r="G652" s="228"/>
    </row>
    <row r="653" spans="1:7" s="30" customFormat="1" ht="14.45">
      <c r="A653" s="59"/>
      <c r="B653" s="63"/>
      <c r="C653" s="61"/>
      <c r="D653" s="62"/>
      <c r="E653" s="157"/>
      <c r="F653" s="137"/>
      <c r="G653" s="217"/>
    </row>
    <row r="654" spans="1:7" s="30" customFormat="1" ht="14.45">
      <c r="A654" s="59"/>
      <c r="B654" s="64" t="s">
        <v>1521</v>
      </c>
      <c r="C654" s="61"/>
      <c r="D654" s="62"/>
      <c r="E654" s="157"/>
      <c r="F654" s="137"/>
      <c r="G654" s="217"/>
    </row>
    <row r="655" spans="1:7" s="30" customFormat="1" ht="14.45">
      <c r="A655" s="59"/>
      <c r="B655" s="100"/>
      <c r="C655" s="61"/>
      <c r="D655" s="62"/>
      <c r="E655" s="157"/>
      <c r="F655" s="137"/>
      <c r="G655" s="217"/>
    </row>
    <row r="656" spans="1:7" s="30" customFormat="1" ht="14.45">
      <c r="A656" s="66"/>
      <c r="B656" s="99" t="s">
        <v>979</v>
      </c>
      <c r="C656" s="68"/>
      <c r="D656" s="69"/>
      <c r="E656" s="157"/>
      <c r="F656" s="137"/>
      <c r="G656" s="217"/>
    </row>
    <row r="657" spans="1:7" s="30" customFormat="1" ht="14.45">
      <c r="A657" s="59"/>
      <c r="B657" s="100"/>
      <c r="C657" s="61"/>
      <c r="D657" s="62"/>
      <c r="E657" s="157"/>
      <c r="F657" s="137"/>
      <c r="G657" s="217"/>
    </row>
    <row r="658" spans="1:7" s="30" customFormat="1" ht="27.6">
      <c r="A658" s="66"/>
      <c r="B658" s="99" t="s">
        <v>1522</v>
      </c>
      <c r="C658" s="68"/>
      <c r="D658" s="69"/>
      <c r="E658" s="157"/>
      <c r="F658" s="137"/>
      <c r="G658" s="217"/>
    </row>
    <row r="659" spans="1:7" s="30" customFormat="1" ht="14.45">
      <c r="A659" s="59"/>
      <c r="B659" s="100"/>
      <c r="C659" s="61"/>
      <c r="D659" s="62"/>
      <c r="E659" s="157"/>
      <c r="F659" s="137"/>
      <c r="G659" s="217"/>
    </row>
    <row r="660" spans="1:7" s="30" customFormat="1" ht="27.6">
      <c r="A660" s="66"/>
      <c r="B660" s="99" t="s">
        <v>1523</v>
      </c>
      <c r="C660" s="68"/>
      <c r="D660" s="69"/>
      <c r="E660" s="157"/>
      <c r="F660" s="137"/>
      <c r="G660" s="217"/>
    </row>
    <row r="661" spans="1:7" s="30" customFormat="1" ht="14.45">
      <c r="A661" s="59"/>
      <c r="B661" s="100"/>
      <c r="C661" s="61"/>
      <c r="D661" s="62"/>
      <c r="E661" s="157"/>
      <c r="F661" s="137"/>
      <c r="G661" s="217"/>
    </row>
    <row r="662" spans="1:7" s="30" customFormat="1" ht="41.45">
      <c r="A662" s="66"/>
      <c r="B662" s="99" t="s">
        <v>1309</v>
      </c>
      <c r="C662" s="68"/>
      <c r="D662" s="69"/>
      <c r="E662" s="157"/>
      <c r="F662" s="137"/>
      <c r="G662" s="217"/>
    </row>
    <row r="663" spans="1:7" s="30" customFormat="1" ht="14.45">
      <c r="A663" s="59"/>
      <c r="B663" s="100"/>
      <c r="C663" s="61"/>
      <c r="D663" s="62"/>
      <c r="E663" s="157"/>
      <c r="F663" s="137"/>
      <c r="G663" s="217"/>
    </row>
    <row r="664" spans="1:7" s="30" customFormat="1" ht="27.6">
      <c r="A664" s="66"/>
      <c r="B664" s="98" t="s">
        <v>1524</v>
      </c>
      <c r="C664" s="68"/>
      <c r="D664" s="69"/>
      <c r="E664" s="157"/>
      <c r="F664" s="137"/>
      <c r="G664" s="217"/>
    </row>
    <row r="665" spans="1:7" s="30" customFormat="1" ht="14.45">
      <c r="A665" s="59"/>
      <c r="B665" s="100"/>
      <c r="C665" s="61"/>
      <c r="D665" s="62"/>
      <c r="E665" s="157"/>
      <c r="F665" s="137"/>
      <c r="G665" s="217"/>
    </row>
    <row r="666" spans="1:7" s="30" customFormat="1" ht="14.45">
      <c r="A666" s="66" t="s">
        <v>14</v>
      </c>
      <c r="B666" s="67" t="s">
        <v>1408</v>
      </c>
      <c r="C666" s="68" t="s">
        <v>1525</v>
      </c>
      <c r="D666" s="69" t="s">
        <v>199</v>
      </c>
      <c r="E666" s="157">
        <v>158.65</v>
      </c>
      <c r="F666" s="137">
        <f>C666*E666</f>
        <v>65839.75</v>
      </c>
      <c r="G666" s="217"/>
    </row>
    <row r="667" spans="1:7" s="30" customFormat="1" ht="14.45">
      <c r="A667" s="59"/>
      <c r="B667" s="100"/>
      <c r="C667" s="61"/>
      <c r="D667" s="62"/>
      <c r="E667" s="157"/>
      <c r="F667" s="137"/>
      <c r="G667" s="217"/>
    </row>
    <row r="668" spans="1:7" s="30" customFormat="1" ht="14.45">
      <c r="A668" s="66" t="s">
        <v>17</v>
      </c>
      <c r="B668" s="67" t="s">
        <v>1410</v>
      </c>
      <c r="C668" s="68" t="s">
        <v>595</v>
      </c>
      <c r="D668" s="69" t="s">
        <v>199</v>
      </c>
      <c r="E668" s="157">
        <v>252.38</v>
      </c>
      <c r="F668" s="137">
        <f>C668*E668</f>
        <v>9842.82</v>
      </c>
      <c r="G668" s="217"/>
    </row>
    <row r="669" spans="1:7" s="30" customFormat="1" ht="14.45">
      <c r="A669" s="59"/>
      <c r="B669" s="100"/>
      <c r="C669" s="61"/>
      <c r="D669" s="62"/>
      <c r="E669" s="157"/>
      <c r="F669" s="137"/>
      <c r="G669" s="217"/>
    </row>
    <row r="670" spans="1:7" s="30" customFormat="1" ht="14.45">
      <c r="A670" s="66" t="s">
        <v>20</v>
      </c>
      <c r="B670" s="67" t="s">
        <v>1319</v>
      </c>
      <c r="C670" s="68" t="s">
        <v>1526</v>
      </c>
      <c r="D670" s="69" t="s">
        <v>199</v>
      </c>
      <c r="E670" s="157">
        <v>260.41000000000003</v>
      </c>
      <c r="F670" s="137">
        <f>C670*E670</f>
        <v>8593.5300000000007</v>
      </c>
      <c r="G670" s="217"/>
    </row>
    <row r="671" spans="1:7" s="30" customFormat="1" ht="14.45">
      <c r="A671" s="59"/>
      <c r="B671" s="100"/>
      <c r="C671" s="61"/>
      <c r="D671" s="62"/>
      <c r="E671" s="157"/>
      <c r="F671" s="137"/>
      <c r="G671" s="217"/>
    </row>
    <row r="672" spans="1:7" s="30" customFormat="1" ht="14.45">
      <c r="A672" s="66" t="s">
        <v>23</v>
      </c>
      <c r="B672" s="67" t="s">
        <v>1321</v>
      </c>
      <c r="C672" s="68" t="s">
        <v>1072</v>
      </c>
      <c r="D672" s="69" t="s">
        <v>199</v>
      </c>
      <c r="E672" s="157">
        <v>359.6</v>
      </c>
      <c r="F672" s="137">
        <f>C672*E672</f>
        <v>6113.2000000000007</v>
      </c>
      <c r="G672" s="217"/>
    </row>
    <row r="673" spans="1:7" s="30" customFormat="1" ht="14.45">
      <c r="A673" s="59"/>
      <c r="B673" s="100"/>
      <c r="C673" s="61"/>
      <c r="D673" s="62"/>
      <c r="E673" s="157"/>
      <c r="F673" s="137"/>
      <c r="G673" s="217"/>
    </row>
    <row r="674" spans="1:7" s="30" customFormat="1" ht="14.45">
      <c r="A674" s="66" t="s">
        <v>27</v>
      </c>
      <c r="B674" s="67" t="s">
        <v>1453</v>
      </c>
      <c r="C674" s="68" t="s">
        <v>62</v>
      </c>
      <c r="D674" s="69" t="s">
        <v>199</v>
      </c>
      <c r="E674" s="157">
        <v>497.04</v>
      </c>
      <c r="F674" s="137">
        <f>C674*E674</f>
        <v>2485.2000000000003</v>
      </c>
      <c r="G674" s="217"/>
    </row>
    <row r="675" spans="1:7" s="30" customFormat="1" ht="14.45">
      <c r="A675" s="59"/>
      <c r="B675" s="100"/>
      <c r="C675" s="61"/>
      <c r="D675" s="62"/>
      <c r="E675" s="157"/>
      <c r="F675" s="137"/>
      <c r="G675" s="217"/>
    </row>
    <row r="676" spans="1:7" s="30" customFormat="1" ht="14.45">
      <c r="A676" s="66" t="s">
        <v>44</v>
      </c>
      <c r="B676" s="67" t="s">
        <v>1527</v>
      </c>
      <c r="C676" s="68" t="s">
        <v>1072</v>
      </c>
      <c r="D676" s="69" t="s">
        <v>199</v>
      </c>
      <c r="E676" s="157">
        <v>1099.5899999999999</v>
      </c>
      <c r="F676" s="137">
        <f>C676*E676</f>
        <v>18693.03</v>
      </c>
      <c r="G676" s="217"/>
    </row>
    <row r="677" spans="1:7" s="30" customFormat="1" ht="14.45">
      <c r="A677" s="59"/>
      <c r="B677" s="100"/>
      <c r="C677" s="61"/>
      <c r="D677" s="62"/>
      <c r="E677" s="157"/>
      <c r="F677" s="137"/>
      <c r="G677" s="217"/>
    </row>
    <row r="678" spans="1:7" s="30" customFormat="1" ht="27.6">
      <c r="A678" s="66"/>
      <c r="B678" s="98" t="s">
        <v>1420</v>
      </c>
      <c r="C678" s="68"/>
      <c r="D678" s="69"/>
      <c r="E678" s="157"/>
      <c r="F678" s="137"/>
      <c r="G678" s="217"/>
    </row>
    <row r="679" spans="1:7" s="30" customFormat="1" ht="14.45">
      <c r="A679" s="59"/>
      <c r="B679" s="100"/>
      <c r="C679" s="61"/>
      <c r="D679" s="62"/>
      <c r="E679" s="157"/>
      <c r="F679" s="137"/>
      <c r="G679" s="217"/>
    </row>
    <row r="680" spans="1:7" s="30" customFormat="1" ht="14.45">
      <c r="A680" s="66" t="s">
        <v>48</v>
      </c>
      <c r="B680" s="67" t="s">
        <v>1528</v>
      </c>
      <c r="C680" s="68" t="s">
        <v>152</v>
      </c>
      <c r="D680" s="69" t="s">
        <v>63</v>
      </c>
      <c r="E680" s="157">
        <v>284.60000000000002</v>
      </c>
      <c r="F680" s="137">
        <f>C680*E680</f>
        <v>569.20000000000005</v>
      </c>
      <c r="G680" s="217"/>
    </row>
    <row r="681" spans="1:7" s="30" customFormat="1" ht="14.45">
      <c r="A681" s="59"/>
      <c r="B681" s="100"/>
      <c r="C681" s="61"/>
      <c r="D681" s="62"/>
      <c r="E681" s="157"/>
      <c r="F681" s="137"/>
      <c r="G681" s="217"/>
    </row>
    <row r="682" spans="1:7" s="30" customFormat="1" ht="14.45">
      <c r="A682" s="66" t="s">
        <v>84</v>
      </c>
      <c r="B682" s="67" t="s">
        <v>1422</v>
      </c>
      <c r="C682" s="68" t="s">
        <v>487</v>
      </c>
      <c r="D682" s="69" t="s">
        <v>63</v>
      </c>
      <c r="E682" s="157">
        <v>284.60000000000002</v>
      </c>
      <c r="F682" s="137">
        <f>C682*E682</f>
        <v>7968.8000000000011</v>
      </c>
      <c r="G682" s="217"/>
    </row>
    <row r="683" spans="1:7" s="30" customFormat="1" ht="14.45">
      <c r="A683" s="59"/>
      <c r="B683" s="100"/>
      <c r="C683" s="61"/>
      <c r="D683" s="62"/>
      <c r="E683" s="157"/>
      <c r="F683" s="137"/>
      <c r="G683" s="217"/>
    </row>
    <row r="684" spans="1:7" s="30" customFormat="1" ht="14.45">
      <c r="A684" s="66" t="s">
        <v>86</v>
      </c>
      <c r="B684" s="67" t="s">
        <v>1423</v>
      </c>
      <c r="C684" s="68" t="s">
        <v>479</v>
      </c>
      <c r="D684" s="69" t="s">
        <v>63</v>
      </c>
      <c r="E684" s="157">
        <v>328.79</v>
      </c>
      <c r="F684" s="137">
        <f>C684*E684</f>
        <v>2959.11</v>
      </c>
      <c r="G684" s="217"/>
    </row>
    <row r="685" spans="1:7" s="30" customFormat="1" ht="14.45">
      <c r="A685" s="59"/>
      <c r="B685" s="100"/>
      <c r="C685" s="61"/>
      <c r="D685" s="62"/>
      <c r="E685" s="157"/>
      <c r="F685" s="137"/>
      <c r="G685" s="217"/>
    </row>
    <row r="686" spans="1:7" s="30" customFormat="1" ht="14.45">
      <c r="A686" s="66" t="s">
        <v>90</v>
      </c>
      <c r="B686" s="67" t="s">
        <v>1424</v>
      </c>
      <c r="C686" s="68" t="s">
        <v>152</v>
      </c>
      <c r="D686" s="69" t="s">
        <v>63</v>
      </c>
      <c r="E686" s="157">
        <v>616.46</v>
      </c>
      <c r="F686" s="137">
        <f>C686*E686</f>
        <v>1232.92</v>
      </c>
      <c r="G686" s="217"/>
    </row>
    <row r="687" spans="1:7" s="30" customFormat="1" ht="14.45">
      <c r="A687" s="59"/>
      <c r="B687" s="63"/>
      <c r="C687" s="61"/>
      <c r="D687" s="62"/>
      <c r="E687" s="157"/>
      <c r="F687" s="137"/>
      <c r="G687" s="217"/>
    </row>
    <row r="688" spans="1:7" s="30" customFormat="1" ht="14.45">
      <c r="A688" s="59"/>
      <c r="B688" s="63"/>
      <c r="C688" s="61"/>
      <c r="D688" s="62"/>
      <c r="E688" s="157"/>
      <c r="F688" s="137"/>
      <c r="G688" s="217"/>
    </row>
    <row r="689" spans="1:7" s="30" customFormat="1" ht="14.45">
      <c r="A689" s="59"/>
      <c r="B689" s="63"/>
      <c r="C689" s="61"/>
      <c r="D689" s="62"/>
      <c r="E689" s="157"/>
      <c r="F689" s="137"/>
      <c r="G689" s="217"/>
    </row>
    <row r="690" spans="1:7" s="30" customFormat="1" ht="14.45">
      <c r="A690" s="59"/>
      <c r="B690" s="63"/>
      <c r="C690" s="61"/>
      <c r="D690" s="62"/>
      <c r="E690" s="157"/>
      <c r="F690" s="137"/>
      <c r="G690" s="217"/>
    </row>
    <row r="691" spans="1:7" s="30" customFormat="1" ht="14.45">
      <c r="A691" s="59"/>
      <c r="B691" s="63"/>
      <c r="C691" s="61"/>
      <c r="D691" s="62"/>
      <c r="E691" s="157"/>
      <c r="F691" s="137"/>
      <c r="G691" s="217"/>
    </row>
    <row r="692" spans="1:7" s="30" customFormat="1" ht="14.45">
      <c r="A692" s="59"/>
      <c r="B692" s="63"/>
      <c r="C692" s="61"/>
      <c r="D692" s="62"/>
      <c r="E692" s="157"/>
      <c r="F692" s="137"/>
      <c r="G692" s="217"/>
    </row>
    <row r="693" spans="1:7" s="30" customFormat="1" ht="14.45">
      <c r="A693" s="71"/>
      <c r="B693" s="72"/>
      <c r="C693" s="73"/>
      <c r="D693" s="74"/>
      <c r="E693" s="159"/>
      <c r="F693" s="138"/>
      <c r="G693" s="226"/>
    </row>
    <row r="694" spans="1:7" s="30" customFormat="1" ht="14.45">
      <c r="A694" s="75"/>
      <c r="B694" s="76"/>
      <c r="C694" s="77" t="s">
        <v>30</v>
      </c>
      <c r="D694" s="77"/>
      <c r="E694" s="160" t="s">
        <v>8</v>
      </c>
      <c r="F694" s="139">
        <f>SUM(F664:F689)</f>
        <v>124297.56</v>
      </c>
      <c r="G694" s="227"/>
    </row>
    <row r="695" spans="1:7" s="30" customFormat="1" ht="14.45">
      <c r="A695" s="75"/>
      <c r="B695" s="76"/>
      <c r="C695" s="78"/>
      <c r="D695" s="79"/>
      <c r="E695" s="161"/>
      <c r="F695" s="140"/>
      <c r="G695" s="228"/>
    </row>
    <row r="696" spans="1:7" s="30" customFormat="1" ht="14.45">
      <c r="A696" s="59"/>
      <c r="B696" s="63"/>
      <c r="C696" s="61"/>
      <c r="D696" s="62"/>
      <c r="E696" s="157"/>
      <c r="F696" s="137"/>
      <c r="G696" s="217"/>
    </row>
    <row r="697" spans="1:7" s="30" customFormat="1" ht="14.45">
      <c r="A697" s="59"/>
      <c r="B697" s="64" t="s">
        <v>1529</v>
      </c>
      <c r="C697" s="61"/>
      <c r="D697" s="62"/>
      <c r="E697" s="157"/>
      <c r="F697" s="137"/>
      <c r="G697" s="217"/>
    </row>
    <row r="698" spans="1:7" s="30" customFormat="1" ht="14.45">
      <c r="A698" s="59"/>
      <c r="B698" s="103"/>
      <c r="C698" s="61"/>
      <c r="D698" s="62"/>
      <c r="E698" s="157"/>
      <c r="F698" s="137"/>
      <c r="G698" s="217"/>
    </row>
    <row r="699" spans="1:7" s="30" customFormat="1" ht="14.45">
      <c r="A699" s="66"/>
      <c r="B699" s="99" t="s">
        <v>979</v>
      </c>
      <c r="C699" s="68"/>
      <c r="D699" s="69"/>
      <c r="E699" s="157"/>
      <c r="F699" s="137"/>
      <c r="G699" s="217"/>
    </row>
    <row r="700" spans="1:7" s="30" customFormat="1" ht="14.45">
      <c r="A700" s="59"/>
      <c r="B700" s="100"/>
      <c r="C700" s="61"/>
      <c r="D700" s="62"/>
      <c r="E700" s="157"/>
      <c r="F700" s="137"/>
      <c r="G700" s="217"/>
    </row>
    <row r="701" spans="1:7" s="30" customFormat="1" ht="55.15">
      <c r="A701" s="66"/>
      <c r="B701" s="99" t="s">
        <v>1530</v>
      </c>
      <c r="C701" s="68"/>
      <c r="D701" s="69"/>
      <c r="E701" s="157"/>
      <c r="F701" s="137"/>
      <c r="G701" s="217"/>
    </row>
    <row r="702" spans="1:7" s="30" customFormat="1" ht="14.45">
      <c r="A702" s="59"/>
      <c r="B702" s="100"/>
      <c r="C702" s="61"/>
      <c r="D702" s="62"/>
      <c r="E702" s="157"/>
      <c r="F702" s="137"/>
      <c r="G702" s="217"/>
    </row>
    <row r="703" spans="1:7" s="30" customFormat="1" ht="55.15">
      <c r="A703" s="66"/>
      <c r="B703" s="99" t="s">
        <v>1531</v>
      </c>
      <c r="C703" s="68"/>
      <c r="D703" s="69"/>
      <c r="E703" s="157"/>
      <c r="F703" s="137"/>
      <c r="G703" s="217"/>
    </row>
    <row r="704" spans="1:7" s="30" customFormat="1" ht="14.45">
      <c r="A704" s="59"/>
      <c r="B704" s="100"/>
      <c r="C704" s="61"/>
      <c r="D704" s="62"/>
      <c r="E704" s="157"/>
      <c r="F704" s="137"/>
      <c r="G704" s="217"/>
    </row>
    <row r="705" spans="1:7" s="30" customFormat="1" ht="41.45">
      <c r="A705" s="66"/>
      <c r="B705" s="99" t="s">
        <v>1309</v>
      </c>
      <c r="C705" s="68"/>
      <c r="D705" s="69"/>
      <c r="E705" s="157"/>
      <c r="F705" s="137"/>
      <c r="G705" s="217"/>
    </row>
    <row r="706" spans="1:7" s="30" customFormat="1" ht="14.45">
      <c r="A706" s="59"/>
      <c r="B706" s="100"/>
      <c r="C706" s="61"/>
      <c r="D706" s="62"/>
      <c r="E706" s="157"/>
      <c r="F706" s="137"/>
      <c r="G706" s="217"/>
    </row>
    <row r="707" spans="1:7" s="30" customFormat="1" ht="41.45">
      <c r="A707" s="66"/>
      <c r="B707" s="98" t="s">
        <v>1532</v>
      </c>
      <c r="C707" s="68"/>
      <c r="D707" s="69"/>
      <c r="E707" s="157"/>
      <c r="F707" s="137"/>
      <c r="G707" s="217"/>
    </row>
    <row r="708" spans="1:7" s="30" customFormat="1" ht="14.45">
      <c r="A708" s="59"/>
      <c r="B708" s="100"/>
      <c r="C708" s="61"/>
      <c r="D708" s="62"/>
      <c r="E708" s="157"/>
      <c r="F708" s="137"/>
      <c r="G708" s="217"/>
    </row>
    <row r="709" spans="1:7" s="30" customFormat="1" ht="14.45">
      <c r="A709" s="66" t="s">
        <v>14</v>
      </c>
      <c r="B709" s="67" t="s">
        <v>1533</v>
      </c>
      <c r="C709" s="68" t="s">
        <v>1534</v>
      </c>
      <c r="D709" s="69" t="s">
        <v>199</v>
      </c>
      <c r="E709" s="157">
        <v>51.29</v>
      </c>
      <c r="F709" s="137">
        <f>C709*E709</f>
        <v>61342.84</v>
      </c>
      <c r="G709" s="250" t="s">
        <v>1535</v>
      </c>
    </row>
    <row r="710" spans="1:7" s="30" customFormat="1" ht="14.45">
      <c r="A710" s="59"/>
      <c r="B710" s="100"/>
      <c r="C710" s="61"/>
      <c r="D710" s="62"/>
      <c r="E710" s="157"/>
      <c r="F710" s="137"/>
      <c r="G710" s="217"/>
    </row>
    <row r="711" spans="1:7" s="30" customFormat="1" ht="14.45">
      <c r="A711" s="66" t="s">
        <v>17</v>
      </c>
      <c r="B711" s="67" t="s">
        <v>1536</v>
      </c>
      <c r="C711" s="68" t="s">
        <v>1537</v>
      </c>
      <c r="D711" s="69" t="s">
        <v>199</v>
      </c>
      <c r="E711" s="157">
        <v>64.11</v>
      </c>
      <c r="F711" s="137">
        <f>C711*E711</f>
        <v>54365.279999999999</v>
      </c>
      <c r="G711" s="250" t="s">
        <v>1535</v>
      </c>
    </row>
    <row r="712" spans="1:7" s="30" customFormat="1" ht="14.45">
      <c r="A712" s="59"/>
      <c r="B712" s="100"/>
      <c r="C712" s="61"/>
      <c r="D712" s="62"/>
      <c r="E712" s="157"/>
      <c r="F712" s="137"/>
      <c r="G712" s="217"/>
    </row>
    <row r="713" spans="1:7" s="30" customFormat="1" ht="14.45">
      <c r="A713" s="66" t="s">
        <v>20</v>
      </c>
      <c r="B713" s="67" t="s">
        <v>1538</v>
      </c>
      <c r="C713" s="68" t="s">
        <v>1539</v>
      </c>
      <c r="D713" s="69" t="s">
        <v>199</v>
      </c>
      <c r="E713" s="157">
        <v>64.11</v>
      </c>
      <c r="F713" s="137">
        <f>C713*E713</f>
        <v>78983.520000000004</v>
      </c>
      <c r="G713" s="250" t="s">
        <v>1535</v>
      </c>
    </row>
    <row r="714" spans="1:7" s="30" customFormat="1" ht="14.45">
      <c r="A714" s="59"/>
      <c r="B714" s="100"/>
      <c r="C714" s="61"/>
      <c r="D714" s="62"/>
      <c r="E714" s="157"/>
      <c r="F714" s="137"/>
      <c r="G714" s="217"/>
    </row>
    <row r="715" spans="1:7" s="30" customFormat="1" ht="14.45">
      <c r="A715" s="66" t="s">
        <v>23</v>
      </c>
      <c r="B715" s="67" t="s">
        <v>1540</v>
      </c>
      <c r="C715" s="68" t="s">
        <v>1541</v>
      </c>
      <c r="D715" s="69" t="s">
        <v>199</v>
      </c>
      <c r="E715" s="157">
        <v>99.45</v>
      </c>
      <c r="F715" s="137">
        <f>C715*E715</f>
        <v>73990.8</v>
      </c>
      <c r="G715" s="250" t="s">
        <v>1535</v>
      </c>
    </row>
    <row r="716" spans="1:7" s="30" customFormat="1" ht="14.45">
      <c r="A716" s="59"/>
      <c r="B716" s="100"/>
      <c r="C716" s="61"/>
      <c r="D716" s="62"/>
      <c r="E716" s="157"/>
      <c r="F716" s="137"/>
      <c r="G716" s="217"/>
    </row>
    <row r="717" spans="1:7" s="30" customFormat="1" ht="14.45">
      <c r="A717" s="66" t="s">
        <v>27</v>
      </c>
      <c r="B717" s="67" t="s">
        <v>1542</v>
      </c>
      <c r="C717" s="68" t="s">
        <v>1543</v>
      </c>
      <c r="D717" s="69" t="s">
        <v>199</v>
      </c>
      <c r="E717" s="157">
        <v>120.68</v>
      </c>
      <c r="F717" s="137">
        <f>C717*E717</f>
        <v>128765.56000000001</v>
      </c>
      <c r="G717" s="250" t="s">
        <v>1535</v>
      </c>
    </row>
    <row r="718" spans="1:7" s="30" customFormat="1" ht="14.45">
      <c r="A718" s="59"/>
      <c r="B718" s="100"/>
      <c r="C718" s="61"/>
      <c r="D718" s="62"/>
      <c r="E718" s="157"/>
      <c r="F718" s="137"/>
      <c r="G718" s="217"/>
    </row>
    <row r="719" spans="1:7" s="30" customFormat="1" ht="14.45">
      <c r="A719" s="66" t="s">
        <v>44</v>
      </c>
      <c r="B719" s="67" t="s">
        <v>1544</v>
      </c>
      <c r="C719" s="68" t="s">
        <v>1545</v>
      </c>
      <c r="D719" s="69" t="s">
        <v>199</v>
      </c>
      <c r="E719" s="157">
        <v>226.57</v>
      </c>
      <c r="F719" s="137">
        <f>C719*E719</f>
        <v>319916.83999999997</v>
      </c>
      <c r="G719" s="250" t="s">
        <v>1535</v>
      </c>
    </row>
    <row r="720" spans="1:7" s="30" customFormat="1" ht="14.45">
      <c r="A720" s="59"/>
      <c r="B720" s="100"/>
      <c r="C720" s="61"/>
      <c r="D720" s="62"/>
      <c r="E720" s="157"/>
      <c r="F720" s="137"/>
      <c r="G720" s="217"/>
    </row>
    <row r="721" spans="1:7" s="30" customFormat="1" ht="14.45">
      <c r="A721" s="66" t="s">
        <v>48</v>
      </c>
      <c r="B721" s="67" t="s">
        <v>1546</v>
      </c>
      <c r="C721" s="68" t="s">
        <v>1547</v>
      </c>
      <c r="D721" s="69" t="s">
        <v>199</v>
      </c>
      <c r="E721" s="157">
        <v>316.23</v>
      </c>
      <c r="F721" s="137">
        <f>C721*E721</f>
        <v>174558.96000000002</v>
      </c>
      <c r="G721" s="250" t="s">
        <v>1535</v>
      </c>
    </row>
    <row r="722" spans="1:7" s="30" customFormat="1" ht="14.45">
      <c r="A722" s="59"/>
      <c r="B722" s="100"/>
      <c r="C722" s="61"/>
      <c r="D722" s="62"/>
      <c r="E722" s="157"/>
      <c r="F722" s="137"/>
      <c r="G722" s="217"/>
    </row>
    <row r="723" spans="1:7" s="30" customFormat="1" ht="14.45">
      <c r="A723" s="66" t="s">
        <v>84</v>
      </c>
      <c r="B723" s="67" t="s">
        <v>1548</v>
      </c>
      <c r="C723" s="68" t="s">
        <v>1549</v>
      </c>
      <c r="D723" s="69" t="s">
        <v>199</v>
      </c>
      <c r="E723" s="157">
        <v>409.17</v>
      </c>
      <c r="F723" s="137">
        <f>C723*E723</f>
        <v>289692.36</v>
      </c>
      <c r="G723" s="250" t="s">
        <v>1535</v>
      </c>
    </row>
    <row r="724" spans="1:7" s="30" customFormat="1" ht="14.45">
      <c r="A724" s="59"/>
      <c r="B724" s="100"/>
      <c r="C724" s="61"/>
      <c r="D724" s="62"/>
      <c r="E724" s="157"/>
      <c r="F724" s="137"/>
      <c r="G724" s="217"/>
    </row>
    <row r="725" spans="1:7" s="30" customFormat="1" ht="14.45">
      <c r="A725" s="66" t="s">
        <v>86</v>
      </c>
      <c r="B725" s="67" t="s">
        <v>1550</v>
      </c>
      <c r="C725" s="68" t="s">
        <v>501</v>
      </c>
      <c r="D725" s="69" t="s">
        <v>199</v>
      </c>
      <c r="E725" s="157">
        <v>573.66</v>
      </c>
      <c r="F725" s="137">
        <f>C725*E725</f>
        <v>26962.019999999997</v>
      </c>
      <c r="G725" s="250" t="s">
        <v>1535</v>
      </c>
    </row>
    <row r="726" spans="1:7" s="30" customFormat="1" ht="14.45">
      <c r="A726" s="59"/>
      <c r="B726" s="100"/>
      <c r="C726" s="61"/>
      <c r="D726" s="62"/>
      <c r="E726" s="157"/>
      <c r="F726" s="137"/>
      <c r="G726" s="217"/>
    </row>
    <row r="727" spans="1:7" s="30" customFormat="1" ht="14.45">
      <c r="A727" s="66" t="s">
        <v>90</v>
      </c>
      <c r="B727" s="67" t="s">
        <v>1551</v>
      </c>
      <c r="C727" s="68" t="s">
        <v>1552</v>
      </c>
      <c r="D727" s="69" t="s">
        <v>199</v>
      </c>
      <c r="E727" s="157">
        <v>573.66</v>
      </c>
      <c r="F727" s="137">
        <f>C727*E727</f>
        <v>226595.69999999998</v>
      </c>
      <c r="G727" s="250" t="s">
        <v>1535</v>
      </c>
    </row>
    <row r="728" spans="1:7" s="30" customFormat="1" ht="14.45">
      <c r="A728" s="59"/>
      <c r="B728" s="100"/>
      <c r="C728" s="61"/>
      <c r="D728" s="62"/>
      <c r="E728" s="157"/>
      <c r="F728" s="137"/>
      <c r="G728" s="217"/>
    </row>
    <row r="729" spans="1:7" s="30" customFormat="1" ht="14.45">
      <c r="A729" s="66" t="s">
        <v>92</v>
      </c>
      <c r="B729" s="67" t="s">
        <v>1553</v>
      </c>
      <c r="C729" s="68" t="s">
        <v>1554</v>
      </c>
      <c r="D729" s="69" t="s">
        <v>199</v>
      </c>
      <c r="E729" s="157">
        <v>587.87</v>
      </c>
      <c r="F729" s="137">
        <f>C729*E729</f>
        <v>143440.28</v>
      </c>
      <c r="G729" s="250" t="s">
        <v>1535</v>
      </c>
    </row>
    <row r="730" spans="1:7" s="30" customFormat="1" ht="14.45">
      <c r="A730" s="59"/>
      <c r="B730" s="100"/>
      <c r="C730" s="61"/>
      <c r="D730" s="62"/>
      <c r="E730" s="157"/>
      <c r="F730" s="137"/>
      <c r="G730" s="217"/>
    </row>
    <row r="731" spans="1:7" s="30" customFormat="1" ht="14.45">
      <c r="A731" s="66" t="s">
        <v>94</v>
      </c>
      <c r="B731" s="67" t="s">
        <v>1555</v>
      </c>
      <c r="C731" s="68" t="s">
        <v>1556</v>
      </c>
      <c r="D731" s="69" t="s">
        <v>199</v>
      </c>
      <c r="E731" s="157">
        <v>719.85</v>
      </c>
      <c r="F731" s="137">
        <f>C731*E731</f>
        <v>336889.8</v>
      </c>
      <c r="G731" s="250" t="s">
        <v>1535</v>
      </c>
    </row>
    <row r="732" spans="1:7" s="30" customFormat="1" ht="14.45">
      <c r="A732" s="59"/>
      <c r="B732" s="63"/>
      <c r="C732" s="61"/>
      <c r="D732" s="62"/>
      <c r="E732" s="157"/>
      <c r="F732" s="137"/>
      <c r="G732" s="217"/>
    </row>
    <row r="733" spans="1:7" s="30" customFormat="1" ht="14.45">
      <c r="A733" s="71"/>
      <c r="B733" s="72"/>
      <c r="C733" s="73"/>
      <c r="D733" s="74"/>
      <c r="E733" s="159"/>
      <c r="F733" s="138"/>
      <c r="G733" s="226"/>
    </row>
    <row r="734" spans="1:7" s="30" customFormat="1" ht="14.45">
      <c r="A734" s="75"/>
      <c r="B734" s="76"/>
      <c r="C734" s="77" t="s">
        <v>30</v>
      </c>
      <c r="D734" s="77"/>
      <c r="E734" s="160" t="s">
        <v>8</v>
      </c>
      <c r="F734" s="139">
        <f>SUM(F707:F732)</f>
        <v>1915503.9600000002</v>
      </c>
      <c r="G734" s="227"/>
    </row>
    <row r="735" spans="1:7" s="30" customFormat="1" ht="14.45">
      <c r="A735" s="75"/>
      <c r="B735" s="76"/>
      <c r="C735" s="78"/>
      <c r="D735" s="79"/>
      <c r="E735" s="161"/>
      <c r="F735" s="140"/>
      <c r="G735" s="228"/>
    </row>
    <row r="736" spans="1:7" s="30" customFormat="1" ht="14.45">
      <c r="A736" s="59"/>
      <c r="B736" s="63"/>
      <c r="C736" s="61"/>
      <c r="D736" s="62"/>
      <c r="E736" s="157"/>
      <c r="F736" s="137"/>
      <c r="G736" s="217"/>
    </row>
    <row r="737" spans="1:7" s="30" customFormat="1" ht="14.45">
      <c r="A737" s="59"/>
      <c r="B737" s="64" t="s">
        <v>1557</v>
      </c>
      <c r="C737" s="61"/>
      <c r="D737" s="62"/>
      <c r="E737" s="157"/>
      <c r="F737" s="137"/>
      <c r="G737" s="217"/>
    </row>
    <row r="738" spans="1:7" s="30" customFormat="1" ht="14.45">
      <c r="A738" s="59"/>
      <c r="B738" s="100"/>
      <c r="C738" s="61"/>
      <c r="D738" s="62"/>
      <c r="E738" s="157"/>
      <c r="F738" s="137"/>
      <c r="G738" s="217"/>
    </row>
    <row r="739" spans="1:7" s="30" customFormat="1" ht="14.45">
      <c r="A739" s="66" t="s">
        <v>14</v>
      </c>
      <c r="B739" s="67" t="s">
        <v>1558</v>
      </c>
      <c r="C739" s="68" t="s">
        <v>1559</v>
      </c>
      <c r="D739" s="69" t="s">
        <v>199</v>
      </c>
      <c r="E739" s="157">
        <v>1075.17</v>
      </c>
      <c r="F739" s="137">
        <f>C739*E739</f>
        <v>97840.47</v>
      </c>
      <c r="G739" s="250" t="s">
        <v>1535</v>
      </c>
    </row>
    <row r="740" spans="1:7" s="30" customFormat="1" ht="14.45">
      <c r="A740" s="59"/>
      <c r="B740" s="100"/>
      <c r="C740" s="61"/>
      <c r="D740" s="62"/>
      <c r="E740" s="157"/>
      <c r="F740" s="137"/>
      <c r="G740" s="217"/>
    </row>
    <row r="741" spans="1:7" s="30" customFormat="1" ht="14.45">
      <c r="A741" s="66" t="s">
        <v>17</v>
      </c>
      <c r="B741" s="67" t="s">
        <v>1560</v>
      </c>
      <c r="C741" s="68" t="s">
        <v>1561</v>
      </c>
      <c r="D741" s="69" t="s">
        <v>199</v>
      </c>
      <c r="E741" s="157">
        <v>1349.31</v>
      </c>
      <c r="F741" s="137">
        <f>C741*E741</f>
        <v>219937.53</v>
      </c>
      <c r="G741" s="250" t="s">
        <v>1535</v>
      </c>
    </row>
    <row r="742" spans="1:7" s="30" customFormat="1" ht="14.45">
      <c r="A742" s="59"/>
      <c r="B742" s="100"/>
      <c r="C742" s="61"/>
      <c r="D742" s="62"/>
      <c r="E742" s="157"/>
      <c r="F742" s="137"/>
      <c r="G742" s="217"/>
    </row>
    <row r="743" spans="1:7" s="30" customFormat="1" ht="14.45">
      <c r="A743" s="66" t="s">
        <v>20</v>
      </c>
      <c r="B743" s="67" t="s">
        <v>1562</v>
      </c>
      <c r="C743" s="68" t="s">
        <v>1563</v>
      </c>
      <c r="D743" s="69" t="s">
        <v>199</v>
      </c>
      <c r="E743" s="157">
        <v>1680.67</v>
      </c>
      <c r="F743" s="137">
        <f>C743*E743</f>
        <v>228571.12</v>
      </c>
      <c r="G743" s="250" t="s">
        <v>1535</v>
      </c>
    </row>
    <row r="744" spans="1:7" s="30" customFormat="1" ht="14.45">
      <c r="A744" s="59"/>
      <c r="B744" s="100"/>
      <c r="C744" s="61"/>
      <c r="D744" s="62"/>
      <c r="E744" s="157"/>
      <c r="F744" s="137"/>
      <c r="G744" s="217"/>
    </row>
    <row r="745" spans="1:7" s="30" customFormat="1" ht="14.45">
      <c r="A745" s="66" t="s">
        <v>23</v>
      </c>
      <c r="B745" s="67" t="s">
        <v>1564</v>
      </c>
      <c r="C745" s="68" t="s">
        <v>1565</v>
      </c>
      <c r="D745" s="69" t="s">
        <v>199</v>
      </c>
      <c r="E745" s="157">
        <v>2006.83</v>
      </c>
      <c r="F745" s="137">
        <f>C745*E745</f>
        <v>333133.77999999997</v>
      </c>
      <c r="G745" s="250" t="s">
        <v>1535</v>
      </c>
    </row>
    <row r="746" spans="1:7" s="30" customFormat="1" ht="14.45">
      <c r="A746" s="59"/>
      <c r="B746" s="100"/>
      <c r="C746" s="61"/>
      <c r="D746" s="62"/>
      <c r="E746" s="157"/>
      <c r="F746" s="137"/>
      <c r="G746" s="217"/>
    </row>
    <row r="747" spans="1:7" s="30" customFormat="1" ht="55.15">
      <c r="A747" s="66"/>
      <c r="B747" s="98" t="s">
        <v>1566</v>
      </c>
      <c r="C747" s="68"/>
      <c r="D747" s="69"/>
      <c r="E747" s="157"/>
      <c r="F747" s="137"/>
      <c r="G747" s="217"/>
    </row>
    <row r="748" spans="1:7" s="30" customFormat="1" ht="14.45">
      <c r="A748" s="59"/>
      <c r="B748" s="100"/>
      <c r="C748" s="61"/>
      <c r="D748" s="62"/>
      <c r="E748" s="157"/>
      <c r="F748" s="137"/>
      <c r="G748" s="217"/>
    </row>
    <row r="749" spans="1:7" s="30" customFormat="1" ht="14.45">
      <c r="A749" s="66" t="s">
        <v>27</v>
      </c>
      <c r="B749" s="67" t="s">
        <v>1533</v>
      </c>
      <c r="C749" s="68" t="s">
        <v>1534</v>
      </c>
      <c r="D749" s="69" t="s">
        <v>199</v>
      </c>
      <c r="E749" s="157">
        <v>37.58</v>
      </c>
      <c r="F749" s="137">
        <f>C749*E749</f>
        <v>44945.68</v>
      </c>
      <c r="G749" s="217"/>
    </row>
    <row r="750" spans="1:7" s="30" customFormat="1" ht="14.45">
      <c r="A750" s="59"/>
      <c r="B750" s="100"/>
      <c r="C750" s="61"/>
      <c r="D750" s="62"/>
      <c r="E750" s="157"/>
      <c r="F750" s="137"/>
      <c r="G750" s="217"/>
    </row>
    <row r="751" spans="1:7" s="30" customFormat="1" ht="14.45">
      <c r="A751" s="66" t="s">
        <v>44</v>
      </c>
      <c r="B751" s="67" t="s">
        <v>1536</v>
      </c>
      <c r="C751" s="68" t="s">
        <v>1537</v>
      </c>
      <c r="D751" s="69" t="s">
        <v>199</v>
      </c>
      <c r="E751" s="157">
        <v>40.43</v>
      </c>
      <c r="F751" s="137">
        <f>C751*E751</f>
        <v>34284.639999999999</v>
      </c>
      <c r="G751" s="217"/>
    </row>
    <row r="752" spans="1:7" s="30" customFormat="1" ht="14.45">
      <c r="A752" s="59"/>
      <c r="B752" s="100"/>
      <c r="C752" s="61"/>
      <c r="D752" s="62"/>
      <c r="E752" s="157"/>
      <c r="F752" s="137"/>
      <c r="G752" s="217"/>
    </row>
    <row r="753" spans="1:7" s="30" customFormat="1" ht="14.45">
      <c r="A753" s="66" t="s">
        <v>48</v>
      </c>
      <c r="B753" s="67" t="s">
        <v>1538</v>
      </c>
      <c r="C753" s="68" t="s">
        <v>1539</v>
      </c>
      <c r="D753" s="69" t="s">
        <v>199</v>
      </c>
      <c r="E753" s="157">
        <v>44.85</v>
      </c>
      <c r="F753" s="137">
        <f>C753*E753</f>
        <v>55255.200000000004</v>
      </c>
      <c r="G753" s="217"/>
    </row>
    <row r="754" spans="1:7" s="30" customFormat="1" ht="14.45">
      <c r="A754" s="59"/>
      <c r="B754" s="100"/>
      <c r="C754" s="61"/>
      <c r="D754" s="62"/>
      <c r="E754" s="157"/>
      <c r="F754" s="137"/>
      <c r="G754" s="217"/>
    </row>
    <row r="755" spans="1:7" s="30" customFormat="1" ht="14.45">
      <c r="A755" s="66" t="s">
        <v>84</v>
      </c>
      <c r="B755" s="67" t="s">
        <v>1540</v>
      </c>
      <c r="C755" s="68" t="s">
        <v>1541</v>
      </c>
      <c r="D755" s="69" t="s">
        <v>199</v>
      </c>
      <c r="E755" s="157">
        <v>47.79</v>
      </c>
      <c r="F755" s="137">
        <f>C755*E755</f>
        <v>35555.760000000002</v>
      </c>
      <c r="G755" s="217"/>
    </row>
    <row r="756" spans="1:7" s="30" customFormat="1" ht="14.45">
      <c r="A756" s="59"/>
      <c r="B756" s="100"/>
      <c r="C756" s="61"/>
      <c r="D756" s="62"/>
      <c r="E756" s="157"/>
      <c r="F756" s="137"/>
      <c r="G756" s="217"/>
    </row>
    <row r="757" spans="1:7" s="30" customFormat="1" ht="14.45">
      <c r="A757" s="66" t="s">
        <v>86</v>
      </c>
      <c r="B757" s="67" t="s">
        <v>1542</v>
      </c>
      <c r="C757" s="68" t="s">
        <v>1543</v>
      </c>
      <c r="D757" s="69" t="s">
        <v>199</v>
      </c>
      <c r="E757" s="157">
        <v>52.01</v>
      </c>
      <c r="F757" s="137">
        <f>C757*E757</f>
        <v>55494.67</v>
      </c>
      <c r="G757" s="217"/>
    </row>
    <row r="758" spans="1:7" s="30" customFormat="1" ht="14.45">
      <c r="A758" s="59"/>
      <c r="B758" s="100"/>
      <c r="C758" s="61"/>
      <c r="D758" s="62"/>
      <c r="E758" s="157"/>
      <c r="F758" s="137"/>
      <c r="G758" s="217"/>
    </row>
    <row r="759" spans="1:7" s="30" customFormat="1" ht="14.45">
      <c r="A759" s="66" t="s">
        <v>90</v>
      </c>
      <c r="B759" s="67" t="s">
        <v>1544</v>
      </c>
      <c r="C759" s="68" t="s">
        <v>1545</v>
      </c>
      <c r="D759" s="69" t="s">
        <v>199</v>
      </c>
      <c r="E759" s="157">
        <v>57.91</v>
      </c>
      <c r="F759" s="137">
        <f>C759*E759</f>
        <v>81768.92</v>
      </c>
      <c r="G759" s="217"/>
    </row>
    <row r="760" spans="1:7" s="30" customFormat="1" ht="14.45">
      <c r="A760" s="59"/>
      <c r="B760" s="100"/>
      <c r="C760" s="61"/>
      <c r="D760" s="62"/>
      <c r="E760" s="157"/>
      <c r="F760" s="137"/>
      <c r="G760" s="217"/>
    </row>
    <row r="761" spans="1:7" s="30" customFormat="1" ht="14.45">
      <c r="A761" s="66" t="s">
        <v>92</v>
      </c>
      <c r="B761" s="67" t="s">
        <v>1546</v>
      </c>
      <c r="C761" s="68" t="s">
        <v>1547</v>
      </c>
      <c r="D761" s="69" t="s">
        <v>199</v>
      </c>
      <c r="E761" s="157">
        <v>63.58</v>
      </c>
      <c r="F761" s="137">
        <f>C761*E761</f>
        <v>35096.159999999996</v>
      </c>
      <c r="G761" s="217"/>
    </row>
    <row r="762" spans="1:7" s="30" customFormat="1" ht="14.45">
      <c r="A762" s="59"/>
      <c r="B762" s="100"/>
      <c r="C762" s="61"/>
      <c r="D762" s="62"/>
      <c r="E762" s="157"/>
      <c r="F762" s="137"/>
      <c r="G762" s="217"/>
    </row>
    <row r="763" spans="1:7" s="30" customFormat="1" ht="14.45">
      <c r="A763" s="66" t="s">
        <v>94</v>
      </c>
      <c r="B763" s="67" t="s">
        <v>1548</v>
      </c>
      <c r="C763" s="68" t="s">
        <v>1549</v>
      </c>
      <c r="D763" s="69" t="s">
        <v>199</v>
      </c>
      <c r="E763" s="157">
        <v>74.790000000000006</v>
      </c>
      <c r="F763" s="137">
        <f>C763*E763</f>
        <v>52951.320000000007</v>
      </c>
      <c r="G763" s="217"/>
    </row>
    <row r="764" spans="1:7" s="30" customFormat="1" ht="14.45">
      <c r="A764" s="59"/>
      <c r="B764" s="100"/>
      <c r="C764" s="61"/>
      <c r="D764" s="62"/>
      <c r="E764" s="157"/>
      <c r="F764" s="137"/>
      <c r="G764" s="217"/>
    </row>
    <row r="765" spans="1:7" s="30" customFormat="1" ht="14.45">
      <c r="A765" s="66" t="s">
        <v>140</v>
      </c>
      <c r="B765" s="67" t="s">
        <v>1550</v>
      </c>
      <c r="C765" s="68" t="s">
        <v>501</v>
      </c>
      <c r="D765" s="69" t="s">
        <v>199</v>
      </c>
      <c r="E765" s="157">
        <v>83.5</v>
      </c>
      <c r="F765" s="137">
        <f>C765*E765</f>
        <v>3924.5</v>
      </c>
      <c r="G765" s="217"/>
    </row>
    <row r="766" spans="1:7" s="30" customFormat="1" ht="14.45">
      <c r="A766" s="59"/>
      <c r="B766" s="100"/>
      <c r="C766" s="61"/>
      <c r="D766" s="62"/>
      <c r="E766" s="157"/>
      <c r="F766" s="137"/>
      <c r="G766" s="217"/>
    </row>
    <row r="767" spans="1:7" s="30" customFormat="1" ht="14.45">
      <c r="A767" s="66" t="s">
        <v>159</v>
      </c>
      <c r="B767" s="67" t="s">
        <v>1551</v>
      </c>
      <c r="C767" s="68" t="s">
        <v>1552</v>
      </c>
      <c r="D767" s="69" t="s">
        <v>199</v>
      </c>
      <c r="E767" s="157">
        <v>83.5</v>
      </c>
      <c r="F767" s="137">
        <f>C767*E767</f>
        <v>32982.5</v>
      </c>
      <c r="G767" s="217"/>
    </row>
    <row r="768" spans="1:7" s="30" customFormat="1" ht="14.45">
      <c r="A768" s="59"/>
      <c r="B768" s="100"/>
      <c r="C768" s="61"/>
      <c r="D768" s="62"/>
      <c r="E768" s="157"/>
      <c r="F768" s="137"/>
      <c r="G768" s="217"/>
    </row>
    <row r="769" spans="1:7" s="30" customFormat="1" ht="14.45">
      <c r="A769" s="66" t="s">
        <v>162</v>
      </c>
      <c r="B769" s="67" t="s">
        <v>1553</v>
      </c>
      <c r="C769" s="68" t="s">
        <v>1554</v>
      </c>
      <c r="D769" s="69" t="s">
        <v>199</v>
      </c>
      <c r="E769" s="157">
        <v>92.1</v>
      </c>
      <c r="F769" s="137">
        <f>C769*E769</f>
        <v>22472.399999999998</v>
      </c>
      <c r="G769" s="217"/>
    </row>
    <row r="770" spans="1:7" s="30" customFormat="1" ht="14.45">
      <c r="A770" s="59"/>
      <c r="B770" s="100"/>
      <c r="C770" s="61"/>
      <c r="D770" s="62"/>
      <c r="E770" s="157"/>
      <c r="F770" s="137"/>
      <c r="G770" s="217"/>
    </row>
    <row r="771" spans="1:7" s="30" customFormat="1" ht="14.45">
      <c r="A771" s="66" t="s">
        <v>164</v>
      </c>
      <c r="B771" s="67" t="s">
        <v>1555</v>
      </c>
      <c r="C771" s="68" t="s">
        <v>1556</v>
      </c>
      <c r="D771" s="69" t="s">
        <v>199</v>
      </c>
      <c r="E771" s="157">
        <v>211.55</v>
      </c>
      <c r="F771" s="137">
        <f>C771*E771</f>
        <v>99005.400000000009</v>
      </c>
      <c r="G771" s="217"/>
    </row>
    <row r="772" spans="1:7" s="30" customFormat="1" ht="14.45">
      <c r="A772" s="59"/>
      <c r="B772" s="100"/>
      <c r="C772" s="61"/>
      <c r="D772" s="62"/>
      <c r="E772" s="157"/>
      <c r="F772" s="137"/>
      <c r="G772" s="217"/>
    </row>
    <row r="773" spans="1:7" s="30" customFormat="1" ht="14.45">
      <c r="A773" s="66" t="s">
        <v>166</v>
      </c>
      <c r="B773" s="67" t="s">
        <v>1558</v>
      </c>
      <c r="C773" s="68" t="s">
        <v>1559</v>
      </c>
      <c r="D773" s="69" t="s">
        <v>199</v>
      </c>
      <c r="E773" s="157">
        <v>138.54</v>
      </c>
      <c r="F773" s="137">
        <f>C773*E773</f>
        <v>12607.14</v>
      </c>
      <c r="G773" s="217"/>
    </row>
    <row r="774" spans="1:7" s="30" customFormat="1" ht="14.45">
      <c r="A774" s="59"/>
      <c r="B774" s="100"/>
      <c r="C774" s="61"/>
      <c r="D774" s="62"/>
      <c r="E774" s="157"/>
      <c r="F774" s="137"/>
      <c r="G774" s="217"/>
    </row>
    <row r="775" spans="1:7" s="30" customFormat="1" ht="14.45">
      <c r="A775" s="66" t="s">
        <v>168</v>
      </c>
      <c r="B775" s="67" t="s">
        <v>1560</v>
      </c>
      <c r="C775" s="68" t="s">
        <v>1561</v>
      </c>
      <c r="D775" s="69" t="s">
        <v>199</v>
      </c>
      <c r="E775" s="157">
        <v>158.22</v>
      </c>
      <c r="F775" s="137">
        <f>C775*E775</f>
        <v>25789.86</v>
      </c>
      <c r="G775" s="217"/>
    </row>
    <row r="776" spans="1:7" s="30" customFormat="1" ht="14.45">
      <c r="A776" s="59"/>
      <c r="B776" s="100"/>
      <c r="C776" s="61"/>
      <c r="D776" s="62"/>
      <c r="E776" s="157"/>
      <c r="F776" s="137"/>
      <c r="G776" s="217"/>
    </row>
    <row r="777" spans="1:7" s="30" customFormat="1" ht="14.45">
      <c r="A777" s="66" t="s">
        <v>170</v>
      </c>
      <c r="B777" s="67" t="s">
        <v>1562</v>
      </c>
      <c r="C777" s="68" t="s">
        <v>1563</v>
      </c>
      <c r="D777" s="69" t="s">
        <v>199</v>
      </c>
      <c r="E777" s="157">
        <v>201.6</v>
      </c>
      <c r="F777" s="137">
        <f>C777*E777</f>
        <v>27417.599999999999</v>
      </c>
      <c r="G777" s="217"/>
    </row>
    <row r="778" spans="1:7" s="30" customFormat="1" ht="14.45">
      <c r="A778" s="71"/>
      <c r="B778" s="72"/>
      <c r="C778" s="73"/>
      <c r="D778" s="74"/>
      <c r="E778" s="159"/>
      <c r="F778" s="138"/>
      <c r="G778" s="226"/>
    </row>
    <row r="779" spans="1:7" s="30" customFormat="1" ht="14.45">
      <c r="A779" s="75"/>
      <c r="B779" s="76"/>
      <c r="C779" s="77" t="s">
        <v>30</v>
      </c>
      <c r="D779" s="77"/>
      <c r="E779" s="160" t="s">
        <v>8</v>
      </c>
      <c r="F779" s="139">
        <f>SUM(F737:F777)</f>
        <v>1499034.6499999997</v>
      </c>
      <c r="G779" s="227"/>
    </row>
    <row r="780" spans="1:7" s="30" customFormat="1" ht="14.45">
      <c r="A780" s="75"/>
      <c r="B780" s="76"/>
      <c r="C780" s="78"/>
      <c r="D780" s="79"/>
      <c r="E780" s="161"/>
      <c r="F780" s="140"/>
      <c r="G780" s="228"/>
    </row>
    <row r="781" spans="1:7" s="30" customFormat="1" ht="14.45">
      <c r="A781" s="59"/>
      <c r="B781" s="63"/>
      <c r="C781" s="61"/>
      <c r="D781" s="62"/>
      <c r="E781" s="157"/>
      <c r="F781" s="137"/>
      <c r="G781" s="217"/>
    </row>
    <row r="782" spans="1:7" s="30" customFormat="1" ht="14.45">
      <c r="A782" s="59"/>
      <c r="B782" s="64" t="s">
        <v>1557</v>
      </c>
      <c r="C782" s="61"/>
      <c r="D782" s="62"/>
      <c r="E782" s="157"/>
      <c r="F782" s="137"/>
      <c r="G782" s="217"/>
    </row>
    <row r="783" spans="1:7" s="30" customFormat="1" ht="14.45">
      <c r="A783" s="59"/>
      <c r="B783" s="100"/>
      <c r="C783" s="61"/>
      <c r="D783" s="62"/>
      <c r="E783" s="157"/>
      <c r="F783" s="137"/>
      <c r="G783" s="217"/>
    </row>
    <row r="784" spans="1:7" s="30" customFormat="1" ht="14.45">
      <c r="A784" s="66" t="s">
        <v>14</v>
      </c>
      <c r="B784" s="67" t="s">
        <v>1564</v>
      </c>
      <c r="C784" s="68" t="s">
        <v>1565</v>
      </c>
      <c r="D784" s="69" t="s">
        <v>199</v>
      </c>
      <c r="E784" s="157">
        <v>212.72</v>
      </c>
      <c r="F784" s="137">
        <f>C784*E784</f>
        <v>35311.519999999997</v>
      </c>
      <c r="G784" s="217"/>
    </row>
    <row r="785" spans="1:7" s="30" customFormat="1" ht="14.45">
      <c r="A785" s="59"/>
      <c r="B785" s="100"/>
      <c r="C785" s="61"/>
      <c r="D785" s="62"/>
      <c r="E785" s="157"/>
      <c r="F785" s="137"/>
      <c r="G785" s="217"/>
    </row>
    <row r="786" spans="1:7" s="30" customFormat="1" ht="41.45">
      <c r="A786" s="66"/>
      <c r="B786" s="98" t="s">
        <v>1567</v>
      </c>
      <c r="C786" s="68"/>
      <c r="D786" s="69"/>
      <c r="E786" s="157"/>
      <c r="F786" s="137"/>
      <c r="G786" s="217"/>
    </row>
    <row r="787" spans="1:7" s="30" customFormat="1" ht="14.45">
      <c r="A787" s="59"/>
      <c r="B787" s="100"/>
      <c r="C787" s="61"/>
      <c r="D787" s="62"/>
      <c r="E787" s="157"/>
      <c r="F787" s="137"/>
      <c r="G787" s="217"/>
    </row>
    <row r="788" spans="1:7" s="30" customFormat="1" ht="14.45">
      <c r="A788" s="66" t="s">
        <v>17</v>
      </c>
      <c r="B788" s="67" t="s">
        <v>1568</v>
      </c>
      <c r="C788" s="68" t="s">
        <v>1569</v>
      </c>
      <c r="D788" s="69" t="s">
        <v>16</v>
      </c>
      <c r="E788" s="157">
        <v>128.94999999999999</v>
      </c>
      <c r="F788" s="137">
        <f>C788*E788</f>
        <v>368023.3</v>
      </c>
      <c r="G788" s="217"/>
    </row>
    <row r="789" spans="1:7" s="30" customFormat="1" ht="14.45">
      <c r="A789" s="59"/>
      <c r="B789" s="100"/>
      <c r="C789" s="61"/>
      <c r="D789" s="62"/>
      <c r="E789" s="157"/>
      <c r="F789" s="137"/>
      <c r="G789" s="217"/>
    </row>
    <row r="790" spans="1:7" s="30" customFormat="1" ht="14.45">
      <c r="A790" s="66" t="s">
        <v>20</v>
      </c>
      <c r="B790" s="67" t="s">
        <v>1570</v>
      </c>
      <c r="C790" s="68" t="s">
        <v>1571</v>
      </c>
      <c r="D790" s="69" t="s">
        <v>16</v>
      </c>
      <c r="E790" s="157">
        <v>128.94999999999999</v>
      </c>
      <c r="F790" s="137">
        <f>C790*E790</f>
        <v>849393.64999999991</v>
      </c>
      <c r="G790" s="217"/>
    </row>
    <row r="791" spans="1:7" s="30" customFormat="1" ht="14.45">
      <c r="A791" s="59"/>
      <c r="B791" s="100"/>
      <c r="C791" s="61"/>
      <c r="D791" s="62"/>
      <c r="E791" s="157"/>
      <c r="F791" s="137"/>
      <c r="G791" s="217"/>
    </row>
    <row r="792" spans="1:7" s="30" customFormat="1" ht="14.45">
      <c r="A792" s="66" t="s">
        <v>23</v>
      </c>
      <c r="B792" s="67" t="s">
        <v>1572</v>
      </c>
      <c r="C792" s="68" t="s">
        <v>1573</v>
      </c>
      <c r="D792" s="69" t="s">
        <v>16</v>
      </c>
      <c r="E792" s="157">
        <v>128.94999999999999</v>
      </c>
      <c r="F792" s="137">
        <f>C792*E792</f>
        <v>46164.1</v>
      </c>
      <c r="G792" s="217"/>
    </row>
    <row r="793" spans="1:7" s="30" customFormat="1" ht="14.45">
      <c r="A793" s="59"/>
      <c r="B793" s="100"/>
      <c r="C793" s="61"/>
      <c r="D793" s="62"/>
      <c r="E793" s="157"/>
      <c r="F793" s="137"/>
      <c r="G793" s="217"/>
    </row>
    <row r="794" spans="1:7" s="30" customFormat="1" ht="14.45">
      <c r="A794" s="66" t="s">
        <v>27</v>
      </c>
      <c r="B794" s="67" t="s">
        <v>1574</v>
      </c>
      <c r="C794" s="68" t="s">
        <v>1575</v>
      </c>
      <c r="D794" s="69" t="s">
        <v>16</v>
      </c>
      <c r="E794" s="157">
        <v>128.94999999999999</v>
      </c>
      <c r="F794" s="137">
        <f>C794*E794</f>
        <v>38685</v>
      </c>
      <c r="G794" s="217"/>
    </row>
    <row r="795" spans="1:7" s="30" customFormat="1" ht="14.45">
      <c r="A795" s="59"/>
      <c r="B795" s="100"/>
      <c r="C795" s="61"/>
      <c r="D795" s="62"/>
      <c r="E795" s="157"/>
      <c r="F795" s="137"/>
      <c r="G795" s="217"/>
    </row>
    <row r="796" spans="1:7" s="30" customFormat="1" ht="14.45">
      <c r="A796" s="66" t="s">
        <v>44</v>
      </c>
      <c r="B796" s="67" t="s">
        <v>1576</v>
      </c>
      <c r="C796" s="68" t="s">
        <v>1577</v>
      </c>
      <c r="D796" s="69" t="s">
        <v>16</v>
      </c>
      <c r="E796" s="157">
        <v>128.94999999999999</v>
      </c>
      <c r="F796" s="137">
        <f>C796*E796</f>
        <v>874023.1</v>
      </c>
      <c r="G796" s="217"/>
    </row>
    <row r="797" spans="1:7" s="30" customFormat="1" ht="14.45">
      <c r="A797" s="59"/>
      <c r="B797" s="100"/>
      <c r="C797" s="61"/>
      <c r="D797" s="62"/>
      <c r="E797" s="157"/>
      <c r="F797" s="137"/>
      <c r="G797" s="217"/>
    </row>
    <row r="798" spans="1:7" s="30" customFormat="1" ht="14.45">
      <c r="A798" s="66" t="s">
        <v>48</v>
      </c>
      <c r="B798" s="67" t="s">
        <v>1578</v>
      </c>
      <c r="C798" s="68" t="s">
        <v>1579</v>
      </c>
      <c r="D798" s="69" t="s">
        <v>16</v>
      </c>
      <c r="E798" s="157">
        <v>423.63</v>
      </c>
      <c r="F798" s="137">
        <f>C798*E798</f>
        <v>174111.93</v>
      </c>
      <c r="G798" s="217"/>
    </row>
    <row r="799" spans="1:7" s="30" customFormat="1" ht="14.45">
      <c r="A799" s="59"/>
      <c r="B799" s="100"/>
      <c r="C799" s="61"/>
      <c r="D799" s="62"/>
      <c r="E799" s="157"/>
      <c r="F799" s="137"/>
      <c r="G799" s="217"/>
    </row>
    <row r="800" spans="1:7" s="30" customFormat="1" ht="14.45">
      <c r="A800" s="66" t="s">
        <v>84</v>
      </c>
      <c r="B800" s="67" t="s">
        <v>1580</v>
      </c>
      <c r="C800" s="68" t="s">
        <v>1581</v>
      </c>
      <c r="D800" s="69" t="s">
        <v>16</v>
      </c>
      <c r="E800" s="157">
        <v>423.63</v>
      </c>
      <c r="F800" s="137">
        <f>C800*E800</f>
        <v>984516.12</v>
      </c>
      <c r="G800" s="217"/>
    </row>
    <row r="801" spans="1:7" s="30" customFormat="1" ht="14.45">
      <c r="A801" s="59"/>
      <c r="B801" s="100"/>
      <c r="C801" s="61"/>
      <c r="D801" s="62"/>
      <c r="E801" s="157"/>
      <c r="F801" s="137"/>
      <c r="G801" s="217"/>
    </row>
    <row r="802" spans="1:7" s="30" customFormat="1" ht="27.6">
      <c r="A802" s="66"/>
      <c r="B802" s="98" t="s">
        <v>1582</v>
      </c>
      <c r="C802" s="68"/>
      <c r="D802" s="69"/>
      <c r="E802" s="157"/>
      <c r="F802" s="137"/>
      <c r="G802" s="217"/>
    </row>
    <row r="803" spans="1:7" s="30" customFormat="1" ht="14.45">
      <c r="A803" s="59"/>
      <c r="B803" s="100"/>
      <c r="C803" s="61"/>
      <c r="D803" s="62"/>
      <c r="E803" s="157"/>
      <c r="F803" s="137"/>
      <c r="G803" s="217"/>
    </row>
    <row r="804" spans="1:7" s="30" customFormat="1" ht="14.45">
      <c r="A804" s="66"/>
      <c r="B804" s="98" t="s">
        <v>1583</v>
      </c>
      <c r="C804" s="68"/>
      <c r="D804" s="69"/>
      <c r="E804" s="157"/>
      <c r="F804" s="137"/>
      <c r="G804" s="217"/>
    </row>
    <row r="805" spans="1:7" s="30" customFormat="1" ht="14.45">
      <c r="A805" s="59"/>
      <c r="B805" s="100"/>
      <c r="C805" s="61"/>
      <c r="D805" s="62"/>
      <c r="E805" s="157"/>
      <c r="F805" s="137"/>
      <c r="G805" s="217"/>
    </row>
    <row r="806" spans="1:7" s="30" customFormat="1" ht="14.45">
      <c r="A806" s="66" t="s">
        <v>86</v>
      </c>
      <c r="B806" s="67" t="s">
        <v>1315</v>
      </c>
      <c r="C806" s="68" t="s">
        <v>592</v>
      </c>
      <c r="D806" s="69" t="s">
        <v>63</v>
      </c>
      <c r="E806" s="157">
        <v>103.59</v>
      </c>
      <c r="F806" s="137">
        <f>C806*E806</f>
        <v>1553.8500000000001</v>
      </c>
      <c r="G806" s="217"/>
    </row>
    <row r="807" spans="1:7" s="30" customFormat="1" ht="14.45">
      <c r="A807" s="59"/>
      <c r="B807" s="100"/>
      <c r="C807" s="61"/>
      <c r="D807" s="62"/>
      <c r="E807" s="157"/>
      <c r="F807" s="137"/>
      <c r="G807" s="217"/>
    </row>
    <row r="808" spans="1:7" s="30" customFormat="1" ht="14.45">
      <c r="A808" s="66" t="s">
        <v>90</v>
      </c>
      <c r="B808" s="67" t="s">
        <v>1328</v>
      </c>
      <c r="C808" s="68" t="s">
        <v>335</v>
      </c>
      <c r="D808" s="69" t="s">
        <v>63</v>
      </c>
      <c r="E808" s="157">
        <v>129.30000000000001</v>
      </c>
      <c r="F808" s="137">
        <f>C808*E808</f>
        <v>387.90000000000003</v>
      </c>
      <c r="G808" s="217"/>
    </row>
    <row r="809" spans="1:7" s="30" customFormat="1" ht="14.45">
      <c r="A809" s="59"/>
      <c r="B809" s="100"/>
      <c r="C809" s="61"/>
      <c r="D809" s="62"/>
      <c r="E809" s="157"/>
      <c r="F809" s="137"/>
      <c r="G809" s="217"/>
    </row>
    <row r="810" spans="1:7" s="30" customFormat="1" ht="14.45">
      <c r="A810" s="66" t="s">
        <v>92</v>
      </c>
      <c r="B810" s="67" t="s">
        <v>1527</v>
      </c>
      <c r="C810" s="68" t="s">
        <v>88</v>
      </c>
      <c r="D810" s="69" t="s">
        <v>63</v>
      </c>
      <c r="E810" s="157">
        <v>155.16999999999999</v>
      </c>
      <c r="F810" s="137">
        <f>C810*E810</f>
        <v>2172.3799999999997</v>
      </c>
      <c r="G810" s="217"/>
    </row>
    <row r="811" spans="1:7" s="30" customFormat="1" ht="14.45">
      <c r="A811" s="59"/>
      <c r="B811" s="100"/>
      <c r="C811" s="61"/>
      <c r="D811" s="62"/>
      <c r="E811" s="157"/>
      <c r="F811" s="137"/>
      <c r="G811" s="217"/>
    </row>
    <row r="812" spans="1:7" s="30" customFormat="1" ht="14.45">
      <c r="A812" s="66" t="s">
        <v>94</v>
      </c>
      <c r="B812" s="67" t="s">
        <v>1584</v>
      </c>
      <c r="C812" s="68" t="s">
        <v>1585</v>
      </c>
      <c r="D812" s="69" t="s">
        <v>63</v>
      </c>
      <c r="E812" s="157">
        <v>74.02</v>
      </c>
      <c r="F812" s="137">
        <f>C812*E812</f>
        <v>11547.119999999999</v>
      </c>
      <c r="G812" s="217"/>
    </row>
    <row r="813" spans="1:7" s="30" customFormat="1" ht="14.45">
      <c r="A813" s="59"/>
      <c r="B813" s="100"/>
      <c r="C813" s="61"/>
      <c r="D813" s="62"/>
      <c r="E813" s="157"/>
      <c r="F813" s="137"/>
      <c r="G813" s="217"/>
    </row>
    <row r="814" spans="1:7" s="30" customFormat="1" ht="14.45">
      <c r="A814" s="66" t="s">
        <v>140</v>
      </c>
      <c r="B814" s="67" t="s">
        <v>1586</v>
      </c>
      <c r="C814" s="68" t="s">
        <v>1587</v>
      </c>
      <c r="D814" s="69" t="s">
        <v>63</v>
      </c>
      <c r="E814" s="157">
        <v>86.66</v>
      </c>
      <c r="F814" s="137">
        <f>C814*E814</f>
        <v>31284.26</v>
      </c>
      <c r="G814" s="217"/>
    </row>
    <row r="815" spans="1:7" s="30" customFormat="1" ht="14.45">
      <c r="A815" s="59"/>
      <c r="B815" s="100"/>
      <c r="C815" s="61"/>
      <c r="D815" s="62"/>
      <c r="E815" s="157"/>
      <c r="F815" s="137"/>
      <c r="G815" s="217"/>
    </row>
    <row r="816" spans="1:7" s="30" customFormat="1" ht="14.45">
      <c r="A816" s="66" t="s">
        <v>159</v>
      </c>
      <c r="B816" s="67" t="s">
        <v>1588</v>
      </c>
      <c r="C816" s="68" t="s">
        <v>1589</v>
      </c>
      <c r="D816" s="69" t="s">
        <v>63</v>
      </c>
      <c r="E816" s="157">
        <v>97.86</v>
      </c>
      <c r="F816" s="137">
        <f>C816*E816</f>
        <v>29064.42</v>
      </c>
      <c r="G816" s="217"/>
    </row>
    <row r="817" spans="1:7" s="30" customFormat="1" ht="14.45">
      <c r="A817" s="59"/>
      <c r="B817" s="100"/>
      <c r="C817" s="61"/>
      <c r="D817" s="62"/>
      <c r="E817" s="157"/>
      <c r="F817" s="137"/>
      <c r="G817" s="217"/>
    </row>
    <row r="818" spans="1:7" s="30" customFormat="1" ht="14.45">
      <c r="A818" s="66" t="s">
        <v>162</v>
      </c>
      <c r="B818" s="67" t="s">
        <v>1590</v>
      </c>
      <c r="C818" s="68" t="s">
        <v>312</v>
      </c>
      <c r="D818" s="69" t="s">
        <v>63</v>
      </c>
      <c r="E818" s="157">
        <v>105.87</v>
      </c>
      <c r="F818" s="137">
        <f>C818*E818</f>
        <v>1376.31</v>
      </c>
      <c r="G818" s="217"/>
    </row>
    <row r="819" spans="1:7" s="30" customFormat="1" ht="14.45">
      <c r="A819" s="59"/>
      <c r="B819" s="100"/>
      <c r="C819" s="61"/>
      <c r="D819" s="62"/>
      <c r="E819" s="157"/>
      <c r="F819" s="137"/>
      <c r="G819" s="217"/>
    </row>
    <row r="820" spans="1:7" s="30" customFormat="1" ht="14.45">
      <c r="A820" s="66" t="s">
        <v>164</v>
      </c>
      <c r="B820" s="67" t="s">
        <v>1591</v>
      </c>
      <c r="C820" s="68" t="s">
        <v>1155</v>
      </c>
      <c r="D820" s="69" t="s">
        <v>63</v>
      </c>
      <c r="E820" s="157">
        <v>94.67</v>
      </c>
      <c r="F820" s="137">
        <f>C820*E820</f>
        <v>1798.73</v>
      </c>
      <c r="G820" s="217"/>
    </row>
    <row r="821" spans="1:7" s="30" customFormat="1" ht="14.45">
      <c r="A821" s="59"/>
      <c r="B821" s="100"/>
      <c r="C821" s="61"/>
      <c r="D821" s="62"/>
      <c r="E821" s="157"/>
      <c r="F821" s="137"/>
      <c r="G821" s="217"/>
    </row>
    <row r="822" spans="1:7" s="30" customFormat="1" ht="14.45">
      <c r="A822" s="66" t="s">
        <v>166</v>
      </c>
      <c r="B822" s="67" t="s">
        <v>1592</v>
      </c>
      <c r="C822" s="68" t="s">
        <v>1593</v>
      </c>
      <c r="D822" s="69" t="s">
        <v>63</v>
      </c>
      <c r="E822" s="157">
        <v>105.87</v>
      </c>
      <c r="F822" s="137">
        <f>C822*E822</f>
        <v>24561.84</v>
      </c>
      <c r="G822" s="217"/>
    </row>
    <row r="823" spans="1:7" s="30" customFormat="1" ht="14.45">
      <c r="A823" s="71"/>
      <c r="B823" s="72"/>
      <c r="C823" s="73"/>
      <c r="D823" s="74"/>
      <c r="E823" s="159"/>
      <c r="F823" s="138"/>
      <c r="G823" s="226"/>
    </row>
    <row r="824" spans="1:7" s="30" customFormat="1" ht="14.45">
      <c r="A824" s="75"/>
      <c r="B824" s="76"/>
      <c r="C824" s="77" t="s">
        <v>30</v>
      </c>
      <c r="D824" s="77"/>
      <c r="E824" s="160" t="s">
        <v>8</v>
      </c>
      <c r="F824" s="139">
        <f>SUM(F782:F822)</f>
        <v>3473975.53</v>
      </c>
      <c r="G824" s="227"/>
    </row>
    <row r="825" spans="1:7" s="30" customFormat="1" ht="14.45">
      <c r="A825" s="75"/>
      <c r="B825" s="76"/>
      <c r="C825" s="78"/>
      <c r="D825" s="79"/>
      <c r="E825" s="161"/>
      <c r="F825" s="140"/>
      <c r="G825" s="228"/>
    </row>
    <row r="826" spans="1:7" s="30" customFormat="1" ht="14.45">
      <c r="A826" s="59"/>
      <c r="B826" s="63"/>
      <c r="C826" s="61"/>
      <c r="D826" s="62"/>
      <c r="E826" s="157"/>
      <c r="F826" s="137"/>
      <c r="G826" s="217"/>
    </row>
    <row r="827" spans="1:7" s="30" customFormat="1" ht="14.45">
      <c r="A827" s="59"/>
      <c r="B827" s="64" t="s">
        <v>1557</v>
      </c>
      <c r="C827" s="61"/>
      <c r="D827" s="62"/>
      <c r="E827" s="157"/>
      <c r="F827" s="137"/>
      <c r="G827" s="217"/>
    </row>
    <row r="828" spans="1:7" s="30" customFormat="1" ht="14.45">
      <c r="A828" s="59"/>
      <c r="B828" s="100"/>
      <c r="C828" s="61"/>
      <c r="D828" s="62"/>
      <c r="E828" s="157"/>
      <c r="F828" s="137"/>
      <c r="G828" s="217"/>
    </row>
    <row r="829" spans="1:7" s="30" customFormat="1" ht="14.45">
      <c r="A829" s="66" t="s">
        <v>14</v>
      </c>
      <c r="B829" s="67" t="s">
        <v>1594</v>
      </c>
      <c r="C829" s="68" t="s">
        <v>1595</v>
      </c>
      <c r="D829" s="69" t="s">
        <v>63</v>
      </c>
      <c r="E829" s="157">
        <v>118.69</v>
      </c>
      <c r="F829" s="137">
        <f>C829*E829</f>
        <v>64804.74</v>
      </c>
      <c r="G829" s="217"/>
    </row>
    <row r="830" spans="1:7" s="30" customFormat="1" ht="13.15" customHeight="1">
      <c r="A830" s="59"/>
      <c r="B830" s="100"/>
      <c r="C830" s="61"/>
      <c r="D830" s="62"/>
      <c r="E830" s="157"/>
      <c r="F830" s="137"/>
      <c r="G830" s="217"/>
    </row>
    <row r="831" spans="1:7" s="30" customFormat="1" ht="14.45">
      <c r="A831" s="66" t="s">
        <v>17</v>
      </c>
      <c r="B831" s="67" t="s">
        <v>1596</v>
      </c>
      <c r="C831" s="68" t="s">
        <v>304</v>
      </c>
      <c r="D831" s="69" t="s">
        <v>63</v>
      </c>
      <c r="E831" s="157">
        <v>127.49</v>
      </c>
      <c r="F831" s="137">
        <f>C831*E831</f>
        <v>127.49</v>
      </c>
      <c r="G831" s="217"/>
    </row>
    <row r="832" spans="1:7" s="30" customFormat="1" ht="13.15" customHeight="1">
      <c r="A832" s="59"/>
      <c r="B832" s="100"/>
      <c r="C832" s="61"/>
      <c r="D832" s="62"/>
      <c r="E832" s="157"/>
      <c r="F832" s="137"/>
      <c r="G832" s="217"/>
    </row>
    <row r="833" spans="1:7" s="30" customFormat="1" ht="14.45">
      <c r="A833" s="66" t="s">
        <v>20</v>
      </c>
      <c r="B833" s="67" t="s">
        <v>1597</v>
      </c>
      <c r="C833" s="68" t="s">
        <v>39</v>
      </c>
      <c r="D833" s="69" t="s">
        <v>63</v>
      </c>
      <c r="E833" s="157">
        <v>102.68</v>
      </c>
      <c r="F833" s="137">
        <f>C833*E833</f>
        <v>616.08000000000004</v>
      </c>
      <c r="G833" s="217"/>
    </row>
    <row r="834" spans="1:7" s="30" customFormat="1" ht="13.15" customHeight="1">
      <c r="A834" s="59"/>
      <c r="B834" s="100"/>
      <c r="C834" s="61"/>
      <c r="D834" s="62"/>
      <c r="E834" s="157"/>
      <c r="F834" s="137"/>
      <c r="G834" s="217"/>
    </row>
    <row r="835" spans="1:7" s="30" customFormat="1" ht="14.45">
      <c r="A835" s="66" t="s">
        <v>23</v>
      </c>
      <c r="B835" s="67" t="s">
        <v>1598</v>
      </c>
      <c r="C835" s="68" t="s">
        <v>88</v>
      </c>
      <c r="D835" s="69" t="s">
        <v>63</v>
      </c>
      <c r="E835" s="157">
        <v>114.68</v>
      </c>
      <c r="F835" s="137">
        <f>C835*E835</f>
        <v>1605.52</v>
      </c>
      <c r="G835" s="217"/>
    </row>
    <row r="836" spans="1:7" s="30" customFormat="1" ht="13.15" customHeight="1">
      <c r="A836" s="59"/>
      <c r="B836" s="100"/>
      <c r="C836" s="61"/>
      <c r="D836" s="62"/>
      <c r="E836" s="157"/>
      <c r="F836" s="137"/>
      <c r="G836" s="217"/>
    </row>
    <row r="837" spans="1:7" s="30" customFormat="1" ht="14.45">
      <c r="A837" s="66" t="s">
        <v>27</v>
      </c>
      <c r="B837" s="67" t="s">
        <v>1599</v>
      </c>
      <c r="C837" s="68" t="s">
        <v>501</v>
      </c>
      <c r="D837" s="69" t="s">
        <v>63</v>
      </c>
      <c r="E837" s="157">
        <v>127.49</v>
      </c>
      <c r="F837" s="137">
        <f>C837*E837</f>
        <v>5992.03</v>
      </c>
      <c r="G837" s="217"/>
    </row>
    <row r="838" spans="1:7" s="30" customFormat="1" ht="13.15" customHeight="1">
      <c r="A838" s="59"/>
      <c r="B838" s="100"/>
      <c r="C838" s="61"/>
      <c r="D838" s="62"/>
      <c r="E838" s="157"/>
      <c r="F838" s="137"/>
      <c r="G838" s="217"/>
    </row>
    <row r="839" spans="1:7" s="30" customFormat="1" ht="14.45">
      <c r="A839" s="66" t="s">
        <v>44</v>
      </c>
      <c r="B839" s="67" t="s">
        <v>1600</v>
      </c>
      <c r="C839" s="68" t="s">
        <v>1078</v>
      </c>
      <c r="D839" s="69" t="s">
        <v>63</v>
      </c>
      <c r="E839" s="157">
        <v>139.51</v>
      </c>
      <c r="F839" s="137">
        <f>C839*E839</f>
        <v>2929.71</v>
      </c>
      <c r="G839" s="217"/>
    </row>
    <row r="840" spans="1:7" s="30" customFormat="1" ht="13.15" customHeight="1">
      <c r="A840" s="59"/>
      <c r="B840" s="100"/>
      <c r="C840" s="61"/>
      <c r="D840" s="62"/>
      <c r="E840" s="157"/>
      <c r="F840" s="137"/>
      <c r="G840" s="217"/>
    </row>
    <row r="841" spans="1:7" s="30" customFormat="1" ht="14.45">
      <c r="A841" s="66" t="s">
        <v>48</v>
      </c>
      <c r="B841" s="67" t="s">
        <v>1601</v>
      </c>
      <c r="C841" s="68" t="s">
        <v>152</v>
      </c>
      <c r="D841" s="69" t="s">
        <v>63</v>
      </c>
      <c r="E841" s="157">
        <v>136.30000000000001</v>
      </c>
      <c r="F841" s="137">
        <f>C841*E841</f>
        <v>272.60000000000002</v>
      </c>
      <c r="G841" s="217"/>
    </row>
    <row r="842" spans="1:7" s="30" customFormat="1" ht="13.15" customHeight="1">
      <c r="A842" s="59"/>
      <c r="B842" s="100"/>
      <c r="C842" s="61"/>
      <c r="D842" s="62"/>
      <c r="E842" s="157"/>
      <c r="F842" s="137"/>
      <c r="G842" s="217"/>
    </row>
    <row r="843" spans="1:7" s="30" customFormat="1" ht="14.45">
      <c r="A843" s="66" t="s">
        <v>84</v>
      </c>
      <c r="B843" s="67" t="s">
        <v>1602</v>
      </c>
      <c r="C843" s="68" t="s">
        <v>62</v>
      </c>
      <c r="D843" s="69" t="s">
        <v>63</v>
      </c>
      <c r="E843" s="157">
        <v>109.88</v>
      </c>
      <c r="F843" s="137">
        <f>C843*E843</f>
        <v>549.4</v>
      </c>
      <c r="G843" s="217"/>
    </row>
    <row r="844" spans="1:7" s="30" customFormat="1" ht="13.15" customHeight="1">
      <c r="A844" s="59"/>
      <c r="B844" s="100"/>
      <c r="C844" s="61"/>
      <c r="D844" s="62"/>
      <c r="E844" s="157"/>
      <c r="F844" s="137"/>
      <c r="G844" s="217"/>
    </row>
    <row r="845" spans="1:7" s="30" customFormat="1" ht="14.45">
      <c r="A845" s="66" t="s">
        <v>86</v>
      </c>
      <c r="B845" s="67" t="s">
        <v>1603</v>
      </c>
      <c r="C845" s="68" t="s">
        <v>479</v>
      </c>
      <c r="D845" s="69" t="s">
        <v>63</v>
      </c>
      <c r="E845" s="157">
        <v>122.69</v>
      </c>
      <c r="F845" s="137">
        <f>C845*E845</f>
        <v>1104.21</v>
      </c>
      <c r="G845" s="217"/>
    </row>
    <row r="846" spans="1:7" s="30" customFormat="1" ht="13.15" customHeight="1">
      <c r="A846" s="59"/>
      <c r="B846" s="100"/>
      <c r="C846" s="61"/>
      <c r="D846" s="62"/>
      <c r="E846" s="157"/>
      <c r="F846" s="137"/>
      <c r="G846" s="217"/>
    </row>
    <row r="847" spans="1:7" s="30" customFormat="1" ht="14.45">
      <c r="A847" s="66" t="s">
        <v>90</v>
      </c>
      <c r="B847" s="67" t="s">
        <v>1604</v>
      </c>
      <c r="C847" s="68" t="s">
        <v>1425</v>
      </c>
      <c r="D847" s="69" t="s">
        <v>63</v>
      </c>
      <c r="E847" s="157">
        <v>136.30000000000001</v>
      </c>
      <c r="F847" s="137">
        <f>C847*E847</f>
        <v>6815.0000000000009</v>
      </c>
      <c r="G847" s="217"/>
    </row>
    <row r="848" spans="1:7" s="30" customFormat="1" ht="13.15" customHeight="1">
      <c r="A848" s="59"/>
      <c r="B848" s="100"/>
      <c r="C848" s="61"/>
      <c r="D848" s="62"/>
      <c r="E848" s="157"/>
      <c r="F848" s="137"/>
      <c r="G848" s="217"/>
    </row>
    <row r="849" spans="1:7" s="30" customFormat="1" ht="14.45">
      <c r="A849" s="66" t="s">
        <v>92</v>
      </c>
      <c r="B849" s="67" t="s">
        <v>1605</v>
      </c>
      <c r="C849" s="68" t="s">
        <v>335</v>
      </c>
      <c r="D849" s="69" t="s">
        <v>63</v>
      </c>
      <c r="E849" s="157">
        <v>154.52000000000001</v>
      </c>
      <c r="F849" s="137">
        <f>C849*E849</f>
        <v>463.56000000000006</v>
      </c>
      <c r="G849" s="217"/>
    </row>
    <row r="850" spans="1:7" s="30" customFormat="1" ht="13.15" customHeight="1">
      <c r="A850" s="59"/>
      <c r="B850" s="100"/>
      <c r="C850" s="61"/>
      <c r="D850" s="62"/>
      <c r="E850" s="157"/>
      <c r="F850" s="137"/>
      <c r="G850" s="217"/>
    </row>
    <row r="851" spans="1:7" s="30" customFormat="1" ht="14.45">
      <c r="A851" s="66" t="s">
        <v>94</v>
      </c>
      <c r="B851" s="67" t="s">
        <v>1606</v>
      </c>
      <c r="C851" s="68" t="s">
        <v>714</v>
      </c>
      <c r="D851" s="69" t="s">
        <v>63</v>
      </c>
      <c r="E851" s="157">
        <v>137.69999999999999</v>
      </c>
      <c r="F851" s="137">
        <f>C851*E851</f>
        <v>1101.5999999999999</v>
      </c>
      <c r="G851" s="217"/>
    </row>
    <row r="852" spans="1:7" s="30" customFormat="1" ht="13.15" customHeight="1">
      <c r="A852" s="59"/>
      <c r="B852" s="100"/>
      <c r="C852" s="61"/>
      <c r="D852" s="62"/>
      <c r="E852" s="157"/>
      <c r="F852" s="137"/>
      <c r="G852" s="217"/>
    </row>
    <row r="853" spans="1:7" s="30" customFormat="1" ht="14.45">
      <c r="A853" s="66" t="s">
        <v>140</v>
      </c>
      <c r="B853" s="67" t="s">
        <v>1607</v>
      </c>
      <c r="C853" s="68" t="s">
        <v>39</v>
      </c>
      <c r="D853" s="69" t="s">
        <v>63</v>
      </c>
      <c r="E853" s="157">
        <v>137.69999999999999</v>
      </c>
      <c r="F853" s="137">
        <f>C853*E853</f>
        <v>826.19999999999993</v>
      </c>
      <c r="G853" s="217"/>
    </row>
    <row r="854" spans="1:7" s="30" customFormat="1" ht="13.15" customHeight="1">
      <c r="A854" s="59"/>
      <c r="B854" s="100"/>
      <c r="C854" s="61"/>
      <c r="D854" s="62"/>
      <c r="E854" s="157"/>
      <c r="F854" s="137"/>
      <c r="G854" s="217"/>
    </row>
    <row r="855" spans="1:7" s="30" customFormat="1" ht="14.45">
      <c r="A855" s="66" t="s">
        <v>159</v>
      </c>
      <c r="B855" s="67" t="s">
        <v>1608</v>
      </c>
      <c r="C855" s="68" t="s">
        <v>312</v>
      </c>
      <c r="D855" s="69" t="s">
        <v>63</v>
      </c>
      <c r="E855" s="157">
        <v>150.51</v>
      </c>
      <c r="F855" s="137">
        <f>C855*E855</f>
        <v>1956.6299999999999</v>
      </c>
      <c r="G855" s="217"/>
    </row>
    <row r="856" spans="1:7" s="30" customFormat="1" ht="13.15" customHeight="1">
      <c r="A856" s="59"/>
      <c r="B856" s="100"/>
      <c r="C856" s="61"/>
      <c r="D856" s="62"/>
      <c r="E856" s="157"/>
      <c r="F856" s="137"/>
      <c r="G856" s="217"/>
    </row>
    <row r="857" spans="1:7" s="30" customFormat="1" ht="14.45">
      <c r="A857" s="66" t="s">
        <v>162</v>
      </c>
      <c r="B857" s="67" t="s">
        <v>1609</v>
      </c>
      <c r="C857" s="68" t="s">
        <v>308</v>
      </c>
      <c r="D857" s="69" t="s">
        <v>63</v>
      </c>
      <c r="E857" s="157">
        <v>164.12</v>
      </c>
      <c r="F857" s="137">
        <f>C857*E857</f>
        <v>1969.44</v>
      </c>
      <c r="G857" s="217"/>
    </row>
    <row r="858" spans="1:7" s="30" customFormat="1" ht="13.15" customHeight="1">
      <c r="A858" s="59"/>
      <c r="B858" s="100"/>
      <c r="C858" s="61"/>
      <c r="D858" s="62"/>
      <c r="E858" s="157"/>
      <c r="F858" s="137"/>
      <c r="G858" s="217"/>
    </row>
    <row r="859" spans="1:7" s="30" customFormat="1" ht="14.45">
      <c r="A859" s="66" t="s">
        <v>164</v>
      </c>
      <c r="B859" s="67" t="s">
        <v>1610</v>
      </c>
      <c r="C859" s="68" t="s">
        <v>304</v>
      </c>
      <c r="D859" s="69" t="s">
        <v>63</v>
      </c>
      <c r="E859" s="157">
        <v>177.73</v>
      </c>
      <c r="F859" s="137">
        <f>C859*E859</f>
        <v>177.73</v>
      </c>
      <c r="G859" s="217"/>
    </row>
    <row r="860" spans="1:7" s="30" customFormat="1" ht="13.15" customHeight="1">
      <c r="A860" s="59"/>
      <c r="B860" s="100"/>
      <c r="C860" s="61"/>
      <c r="D860" s="62"/>
      <c r="E860" s="157"/>
      <c r="F860" s="137"/>
      <c r="G860" s="217"/>
    </row>
    <row r="861" spans="1:7" s="30" customFormat="1" ht="14.45">
      <c r="A861" s="66" t="s">
        <v>166</v>
      </c>
      <c r="B861" s="67" t="s">
        <v>1611</v>
      </c>
      <c r="C861" s="68" t="s">
        <v>65</v>
      </c>
      <c r="D861" s="69" t="s">
        <v>63</v>
      </c>
      <c r="E861" s="157">
        <v>137.69999999999999</v>
      </c>
      <c r="F861" s="137">
        <f>C861*E861</f>
        <v>550.79999999999995</v>
      </c>
      <c r="G861" s="217"/>
    </row>
    <row r="862" spans="1:7" s="30" customFormat="1" ht="13.15" customHeight="1">
      <c r="A862" s="59"/>
      <c r="B862" s="100"/>
      <c r="C862" s="61"/>
      <c r="D862" s="62"/>
      <c r="E862" s="157"/>
      <c r="F862" s="137"/>
      <c r="G862" s="217"/>
    </row>
    <row r="863" spans="1:7" s="30" customFormat="1" ht="14.45">
      <c r="A863" s="66" t="s">
        <v>168</v>
      </c>
      <c r="B863" s="67" t="s">
        <v>1612</v>
      </c>
      <c r="C863" s="68" t="s">
        <v>714</v>
      </c>
      <c r="D863" s="69" t="s">
        <v>63</v>
      </c>
      <c r="E863" s="157">
        <v>145.71</v>
      </c>
      <c r="F863" s="137">
        <f>C863*E863</f>
        <v>1165.68</v>
      </c>
      <c r="G863" s="217"/>
    </row>
    <row r="864" spans="1:7" s="30" customFormat="1" ht="14.45">
      <c r="A864" s="59"/>
      <c r="B864" s="100"/>
      <c r="C864" s="61"/>
      <c r="D864" s="62"/>
      <c r="E864" s="157"/>
      <c r="F864" s="137"/>
      <c r="G864" s="217"/>
    </row>
    <row r="865" spans="1:7" s="30" customFormat="1" ht="14.45">
      <c r="A865" s="66" t="s">
        <v>170</v>
      </c>
      <c r="B865" s="67" t="s">
        <v>1613</v>
      </c>
      <c r="C865" s="68" t="s">
        <v>152</v>
      </c>
      <c r="D865" s="69" t="s">
        <v>63</v>
      </c>
      <c r="E865" s="157">
        <v>160.12</v>
      </c>
      <c r="F865" s="137">
        <f>C865*E865</f>
        <v>320.24</v>
      </c>
      <c r="G865" s="217"/>
    </row>
    <row r="866" spans="1:7" s="30" customFormat="1" ht="14.45">
      <c r="A866" s="59"/>
      <c r="B866" s="100"/>
      <c r="C866" s="61"/>
      <c r="D866" s="62"/>
      <c r="E866" s="157"/>
      <c r="F866" s="137"/>
      <c r="G866" s="217"/>
    </row>
    <row r="867" spans="1:7" s="30" customFormat="1" ht="14.45">
      <c r="A867" s="66" t="s">
        <v>172</v>
      </c>
      <c r="B867" s="67" t="s">
        <v>1614</v>
      </c>
      <c r="C867" s="68" t="s">
        <v>592</v>
      </c>
      <c r="D867" s="69" t="s">
        <v>63</v>
      </c>
      <c r="E867" s="157">
        <v>173.73</v>
      </c>
      <c r="F867" s="137">
        <f>C867*E867</f>
        <v>2605.9499999999998</v>
      </c>
      <c r="G867" s="217"/>
    </row>
    <row r="868" spans="1:7" s="30" customFormat="1" ht="14.45">
      <c r="A868" s="59"/>
      <c r="B868" s="100"/>
      <c r="C868" s="61"/>
      <c r="D868" s="62"/>
      <c r="E868" s="157"/>
      <c r="F868" s="137"/>
      <c r="G868" s="217"/>
    </row>
    <row r="869" spans="1:7" s="30" customFormat="1" ht="14.45">
      <c r="A869" s="66" t="s">
        <v>1615</v>
      </c>
      <c r="B869" s="67" t="s">
        <v>1616</v>
      </c>
      <c r="C869" s="68" t="s">
        <v>304</v>
      </c>
      <c r="D869" s="69" t="s">
        <v>63</v>
      </c>
      <c r="E869" s="157">
        <v>187.34</v>
      </c>
      <c r="F869" s="137">
        <f>C869*E869</f>
        <v>187.34</v>
      </c>
      <c r="G869" s="217"/>
    </row>
    <row r="870" spans="1:7" s="30" customFormat="1" ht="14.45">
      <c r="A870" s="59"/>
      <c r="B870" s="100"/>
      <c r="C870" s="61"/>
      <c r="D870" s="62"/>
      <c r="E870" s="157"/>
      <c r="F870" s="137"/>
      <c r="G870" s="217"/>
    </row>
    <row r="871" spans="1:7" s="30" customFormat="1" ht="14.45">
      <c r="A871" s="66" t="s">
        <v>1617</v>
      </c>
      <c r="B871" s="67" t="s">
        <v>1618</v>
      </c>
      <c r="C871" s="68" t="s">
        <v>332</v>
      </c>
      <c r="D871" s="69" t="s">
        <v>63</v>
      </c>
      <c r="E871" s="157">
        <v>155.11000000000001</v>
      </c>
      <c r="F871" s="137">
        <f>C871*E871</f>
        <v>1551.1000000000001</v>
      </c>
      <c r="G871" s="217"/>
    </row>
    <row r="872" spans="1:7" s="30" customFormat="1" ht="14.45">
      <c r="A872" s="59"/>
      <c r="B872" s="63"/>
      <c r="C872" s="61"/>
      <c r="D872" s="62"/>
      <c r="E872" s="157"/>
      <c r="F872" s="137"/>
      <c r="G872" s="217"/>
    </row>
    <row r="873" spans="1:7" s="30" customFormat="1" ht="14.45">
      <c r="A873" s="71"/>
      <c r="B873" s="72"/>
      <c r="C873" s="73"/>
      <c r="D873" s="74"/>
      <c r="E873" s="159"/>
      <c r="F873" s="138"/>
      <c r="G873" s="226"/>
    </row>
    <row r="874" spans="1:7" s="30" customFormat="1" ht="14.45">
      <c r="A874" s="75"/>
      <c r="B874" s="76"/>
      <c r="C874" s="77" t="s">
        <v>30</v>
      </c>
      <c r="D874" s="77"/>
      <c r="E874" s="160" t="s">
        <v>8</v>
      </c>
      <c r="F874" s="139">
        <f>SUM(F827:F872)</f>
        <v>97693.050000000017</v>
      </c>
      <c r="G874" s="227"/>
    </row>
    <row r="875" spans="1:7" s="30" customFormat="1" ht="14.45">
      <c r="A875" s="75"/>
      <c r="B875" s="76"/>
      <c r="C875" s="78"/>
      <c r="D875" s="79"/>
      <c r="E875" s="161"/>
      <c r="F875" s="140"/>
      <c r="G875" s="228"/>
    </row>
    <row r="876" spans="1:7" s="30" customFormat="1" ht="14.45">
      <c r="A876" s="59"/>
      <c r="B876" s="63"/>
      <c r="C876" s="61"/>
      <c r="D876" s="62"/>
      <c r="E876" s="157"/>
      <c r="F876" s="137"/>
      <c r="G876" s="217"/>
    </row>
    <row r="877" spans="1:7" s="30" customFormat="1" ht="14.45">
      <c r="A877" s="59"/>
      <c r="B877" s="64" t="s">
        <v>1557</v>
      </c>
      <c r="C877" s="61"/>
      <c r="D877" s="62"/>
      <c r="E877" s="157"/>
      <c r="F877" s="137"/>
      <c r="G877" s="217"/>
    </row>
    <row r="878" spans="1:7" s="30" customFormat="1" ht="14.45">
      <c r="A878" s="59"/>
      <c r="B878" s="100"/>
      <c r="C878" s="61"/>
      <c r="D878" s="62"/>
      <c r="E878" s="157"/>
      <c r="F878" s="137"/>
      <c r="G878" s="217"/>
    </row>
    <row r="879" spans="1:7" s="30" customFormat="1" ht="14.45">
      <c r="A879" s="66" t="s">
        <v>14</v>
      </c>
      <c r="B879" s="67" t="s">
        <v>1619</v>
      </c>
      <c r="C879" s="68" t="s">
        <v>325</v>
      </c>
      <c r="D879" s="69" t="s">
        <v>63</v>
      </c>
      <c r="E879" s="157">
        <v>159.11000000000001</v>
      </c>
      <c r="F879" s="137">
        <f>C879*E879</f>
        <v>1113.77</v>
      </c>
      <c r="G879" s="217"/>
    </row>
    <row r="880" spans="1:7" s="30" customFormat="1" ht="14.45">
      <c r="A880" s="59"/>
      <c r="B880" s="100"/>
      <c r="C880" s="61"/>
      <c r="D880" s="62"/>
      <c r="E880" s="157"/>
      <c r="F880" s="137"/>
      <c r="G880" s="217"/>
    </row>
    <row r="881" spans="1:7" s="30" customFormat="1" ht="14.45">
      <c r="A881" s="66" t="s">
        <v>17</v>
      </c>
      <c r="B881" s="67" t="s">
        <v>1620</v>
      </c>
      <c r="C881" s="68" t="s">
        <v>304</v>
      </c>
      <c r="D881" s="69" t="s">
        <v>63</v>
      </c>
      <c r="E881" s="157">
        <v>188.74</v>
      </c>
      <c r="F881" s="137">
        <f>C881*E881</f>
        <v>188.74</v>
      </c>
      <c r="G881" s="217"/>
    </row>
    <row r="882" spans="1:7" s="30" customFormat="1" ht="14.45">
      <c r="A882" s="59"/>
      <c r="B882" s="100"/>
      <c r="C882" s="61"/>
      <c r="D882" s="62"/>
      <c r="E882" s="157"/>
      <c r="F882" s="137"/>
      <c r="G882" s="217"/>
    </row>
    <row r="883" spans="1:7" s="30" customFormat="1" ht="14.45">
      <c r="A883" s="66" t="s">
        <v>20</v>
      </c>
      <c r="B883" s="67" t="s">
        <v>1621</v>
      </c>
      <c r="C883" s="68" t="s">
        <v>62</v>
      </c>
      <c r="D883" s="69" t="s">
        <v>63</v>
      </c>
      <c r="E883" s="157">
        <v>174.33</v>
      </c>
      <c r="F883" s="137">
        <f>C883*E883</f>
        <v>871.65000000000009</v>
      </c>
      <c r="G883" s="217"/>
    </row>
    <row r="884" spans="1:7" s="30" customFormat="1" ht="14.45">
      <c r="A884" s="59"/>
      <c r="B884" s="100"/>
      <c r="C884" s="61"/>
      <c r="D884" s="62"/>
      <c r="E884" s="157"/>
      <c r="F884" s="137"/>
      <c r="G884" s="217"/>
    </row>
    <row r="885" spans="1:7" s="30" customFormat="1" ht="14.45">
      <c r="A885" s="66" t="s">
        <v>23</v>
      </c>
      <c r="B885" s="67" t="s">
        <v>1622</v>
      </c>
      <c r="C885" s="68" t="s">
        <v>335</v>
      </c>
      <c r="D885" s="69" t="s">
        <v>63</v>
      </c>
      <c r="E885" s="157">
        <v>175.12</v>
      </c>
      <c r="F885" s="137">
        <f>C885*E885</f>
        <v>525.36</v>
      </c>
      <c r="G885" s="217"/>
    </row>
    <row r="886" spans="1:7" s="30" customFormat="1" ht="14.45">
      <c r="A886" s="59"/>
      <c r="B886" s="100"/>
      <c r="C886" s="61"/>
      <c r="D886" s="62"/>
      <c r="E886" s="157"/>
      <c r="F886" s="137"/>
      <c r="G886" s="217"/>
    </row>
    <row r="887" spans="1:7" s="30" customFormat="1" ht="14.45">
      <c r="A887" s="66" t="s">
        <v>27</v>
      </c>
      <c r="B887" s="67" t="s">
        <v>1623</v>
      </c>
      <c r="C887" s="68" t="s">
        <v>62</v>
      </c>
      <c r="D887" s="69" t="s">
        <v>63</v>
      </c>
      <c r="E887" s="157">
        <v>183.13</v>
      </c>
      <c r="F887" s="137">
        <f>C887*E887</f>
        <v>915.65</v>
      </c>
      <c r="G887" s="217"/>
    </row>
    <row r="888" spans="1:7" s="30" customFormat="1" ht="14.45">
      <c r="A888" s="59"/>
      <c r="B888" s="100"/>
      <c r="C888" s="61"/>
      <c r="D888" s="62"/>
      <c r="E888" s="157"/>
      <c r="F888" s="137"/>
      <c r="G888" s="217"/>
    </row>
    <row r="889" spans="1:7" s="30" customFormat="1" ht="14.45">
      <c r="A889" s="66" t="s">
        <v>44</v>
      </c>
      <c r="B889" s="67" t="s">
        <v>1624</v>
      </c>
      <c r="C889" s="68" t="s">
        <v>152</v>
      </c>
      <c r="D889" s="69" t="s">
        <v>63</v>
      </c>
      <c r="E889" s="157">
        <v>198.35</v>
      </c>
      <c r="F889" s="137">
        <f>C889*E889</f>
        <v>396.7</v>
      </c>
      <c r="G889" s="217"/>
    </row>
    <row r="890" spans="1:7" s="30" customFormat="1" ht="14.45">
      <c r="A890" s="59"/>
      <c r="B890" s="100"/>
      <c r="C890" s="61"/>
      <c r="D890" s="62"/>
      <c r="E890" s="157"/>
      <c r="F890" s="137"/>
      <c r="G890" s="217"/>
    </row>
    <row r="891" spans="1:7" s="30" customFormat="1" ht="14.45">
      <c r="A891" s="66" t="s">
        <v>48</v>
      </c>
      <c r="B891" s="67" t="s">
        <v>1625</v>
      </c>
      <c r="C891" s="68" t="s">
        <v>335</v>
      </c>
      <c r="D891" s="69" t="s">
        <v>63</v>
      </c>
      <c r="E891" s="157">
        <v>203.15</v>
      </c>
      <c r="F891" s="137">
        <f>C891*E891</f>
        <v>609.45000000000005</v>
      </c>
      <c r="G891" s="217"/>
    </row>
    <row r="892" spans="1:7" s="30" customFormat="1" ht="14.45">
      <c r="A892" s="59"/>
      <c r="B892" s="100"/>
      <c r="C892" s="61"/>
      <c r="D892" s="62"/>
      <c r="E892" s="157"/>
      <c r="F892" s="137"/>
      <c r="G892" s="217"/>
    </row>
    <row r="893" spans="1:7" s="30" customFormat="1" ht="14.45">
      <c r="A893" s="66" t="s">
        <v>84</v>
      </c>
      <c r="B893" s="67" t="s">
        <v>1626</v>
      </c>
      <c r="C893" s="68" t="s">
        <v>304</v>
      </c>
      <c r="D893" s="69" t="s">
        <v>63</v>
      </c>
      <c r="E893" s="157">
        <v>279.23</v>
      </c>
      <c r="F893" s="137">
        <f>C893*E893</f>
        <v>279.23</v>
      </c>
      <c r="G893" s="217"/>
    </row>
    <row r="894" spans="1:7" s="30" customFormat="1" ht="14.45">
      <c r="A894" s="59"/>
      <c r="B894" s="100"/>
      <c r="C894" s="61"/>
      <c r="D894" s="62"/>
      <c r="E894" s="157"/>
      <c r="F894" s="137"/>
      <c r="G894" s="217"/>
    </row>
    <row r="895" spans="1:7" s="30" customFormat="1" ht="14.45">
      <c r="A895" s="66" t="s">
        <v>86</v>
      </c>
      <c r="B895" s="67" t="s">
        <v>1627</v>
      </c>
      <c r="C895" s="68" t="s">
        <v>65</v>
      </c>
      <c r="D895" s="69" t="s">
        <v>63</v>
      </c>
      <c r="E895" s="157">
        <v>171.12</v>
      </c>
      <c r="F895" s="137">
        <f>C895*E895</f>
        <v>684.48</v>
      </c>
      <c r="G895" s="217"/>
    </row>
    <row r="896" spans="1:7" s="30" customFormat="1" ht="14.45">
      <c r="A896" s="59"/>
      <c r="B896" s="100"/>
      <c r="C896" s="61"/>
      <c r="D896" s="62"/>
      <c r="E896" s="157"/>
      <c r="F896" s="137"/>
      <c r="G896" s="217"/>
    </row>
    <row r="897" spans="1:7" s="30" customFormat="1" ht="14.45">
      <c r="A897" s="66" t="s">
        <v>90</v>
      </c>
      <c r="B897" s="67" t="s">
        <v>1628</v>
      </c>
      <c r="C897" s="68" t="s">
        <v>335</v>
      </c>
      <c r="D897" s="69" t="s">
        <v>63</v>
      </c>
      <c r="E897" s="157">
        <v>175.93</v>
      </c>
      <c r="F897" s="137">
        <f>C897*E897</f>
        <v>527.79</v>
      </c>
      <c r="G897" s="217"/>
    </row>
    <row r="898" spans="1:7" s="30" customFormat="1" ht="14.45">
      <c r="A898" s="59"/>
      <c r="B898" s="100"/>
      <c r="C898" s="61"/>
      <c r="D898" s="62"/>
      <c r="E898" s="157"/>
      <c r="F898" s="137"/>
      <c r="G898" s="217"/>
    </row>
    <row r="899" spans="1:7" s="30" customFormat="1" ht="14.45">
      <c r="A899" s="66" t="s">
        <v>92</v>
      </c>
      <c r="B899" s="67" t="s">
        <v>1629</v>
      </c>
      <c r="C899" s="68" t="s">
        <v>335</v>
      </c>
      <c r="D899" s="69" t="s">
        <v>63</v>
      </c>
      <c r="E899" s="157">
        <v>192.74</v>
      </c>
      <c r="F899" s="137">
        <f>C899*E899</f>
        <v>578.22</v>
      </c>
      <c r="G899" s="217"/>
    </row>
    <row r="900" spans="1:7" s="30" customFormat="1" ht="13.15" customHeight="1">
      <c r="A900" s="59"/>
      <c r="B900" s="100"/>
      <c r="C900" s="61"/>
      <c r="D900" s="62"/>
      <c r="E900" s="157"/>
      <c r="F900" s="137"/>
      <c r="G900" s="217"/>
    </row>
    <row r="901" spans="1:7" s="30" customFormat="1" ht="14.45">
      <c r="A901" s="66" t="s">
        <v>94</v>
      </c>
      <c r="B901" s="67" t="s">
        <v>1630</v>
      </c>
      <c r="C901" s="68" t="s">
        <v>304</v>
      </c>
      <c r="D901" s="69" t="s">
        <v>63</v>
      </c>
      <c r="E901" s="157">
        <v>207.96</v>
      </c>
      <c r="F901" s="137">
        <f>C901*E901</f>
        <v>207.96</v>
      </c>
      <c r="G901" s="217"/>
    </row>
    <row r="902" spans="1:7" s="30" customFormat="1" ht="13.15" customHeight="1">
      <c r="A902" s="59"/>
      <c r="B902" s="100"/>
      <c r="C902" s="61"/>
      <c r="D902" s="62"/>
      <c r="E902" s="157"/>
      <c r="F902" s="137"/>
      <c r="G902" s="217"/>
    </row>
    <row r="903" spans="1:7" s="30" customFormat="1" ht="14.45">
      <c r="A903" s="66" t="s">
        <v>140</v>
      </c>
      <c r="B903" s="67" t="s">
        <v>1631</v>
      </c>
      <c r="C903" s="68" t="s">
        <v>304</v>
      </c>
      <c r="D903" s="69" t="s">
        <v>63</v>
      </c>
      <c r="E903" s="157">
        <v>223.97</v>
      </c>
      <c r="F903" s="137">
        <f>C903*E903</f>
        <v>223.97</v>
      </c>
      <c r="G903" s="217"/>
    </row>
    <row r="904" spans="1:7" s="30" customFormat="1" ht="13.15" customHeight="1">
      <c r="A904" s="59"/>
      <c r="B904" s="100"/>
      <c r="C904" s="61"/>
      <c r="D904" s="62"/>
      <c r="E904" s="157"/>
      <c r="F904" s="137"/>
      <c r="G904" s="217"/>
    </row>
    <row r="905" spans="1:7" s="30" customFormat="1" ht="14.45">
      <c r="A905" s="66" t="s">
        <v>159</v>
      </c>
      <c r="B905" s="67" t="s">
        <v>1632</v>
      </c>
      <c r="C905" s="68" t="s">
        <v>152</v>
      </c>
      <c r="D905" s="69" t="s">
        <v>63</v>
      </c>
      <c r="E905" s="157">
        <v>239.98</v>
      </c>
      <c r="F905" s="137">
        <f>C905*E905</f>
        <v>479.96</v>
      </c>
      <c r="G905" s="217"/>
    </row>
    <row r="906" spans="1:7" s="30" customFormat="1" ht="13.15" customHeight="1">
      <c r="A906" s="59"/>
      <c r="B906" s="100"/>
      <c r="C906" s="61"/>
      <c r="D906" s="62"/>
      <c r="E906" s="157"/>
      <c r="F906" s="137"/>
      <c r="G906" s="217"/>
    </row>
    <row r="907" spans="1:7" s="30" customFormat="1" ht="14.45">
      <c r="A907" s="66" t="s">
        <v>162</v>
      </c>
      <c r="B907" s="67" t="s">
        <v>1633</v>
      </c>
      <c r="C907" s="68" t="s">
        <v>65</v>
      </c>
      <c r="D907" s="69" t="s">
        <v>63</v>
      </c>
      <c r="E907" s="157">
        <v>215.16</v>
      </c>
      <c r="F907" s="137">
        <f>C907*E907</f>
        <v>860.64</v>
      </c>
      <c r="G907" s="217"/>
    </row>
    <row r="908" spans="1:7" s="30" customFormat="1" ht="13.15" customHeight="1">
      <c r="A908" s="59"/>
      <c r="B908" s="100"/>
      <c r="C908" s="61"/>
      <c r="D908" s="62"/>
      <c r="E908" s="157"/>
      <c r="F908" s="137"/>
      <c r="G908" s="217"/>
    </row>
    <row r="909" spans="1:7" s="30" customFormat="1" ht="14.45">
      <c r="A909" s="66" t="s">
        <v>164</v>
      </c>
      <c r="B909" s="67" t="s">
        <v>1634</v>
      </c>
      <c r="C909" s="68" t="s">
        <v>325</v>
      </c>
      <c r="D909" s="69" t="s">
        <v>63</v>
      </c>
      <c r="E909" s="157">
        <v>217.56</v>
      </c>
      <c r="F909" s="137">
        <f>C909*E909</f>
        <v>1522.92</v>
      </c>
      <c r="G909" s="217"/>
    </row>
    <row r="910" spans="1:7" s="30" customFormat="1" ht="13.15" customHeight="1">
      <c r="A910" s="59"/>
      <c r="B910" s="100"/>
      <c r="C910" s="61"/>
      <c r="D910" s="62"/>
      <c r="E910" s="157"/>
      <c r="F910" s="137"/>
      <c r="G910" s="217"/>
    </row>
    <row r="911" spans="1:7" s="30" customFormat="1" ht="14.45">
      <c r="A911" s="66" t="s">
        <v>166</v>
      </c>
      <c r="B911" s="67" t="s">
        <v>1635</v>
      </c>
      <c r="C911" s="68" t="s">
        <v>152</v>
      </c>
      <c r="D911" s="69" t="s">
        <v>63</v>
      </c>
      <c r="E911" s="157">
        <v>233.58</v>
      </c>
      <c r="F911" s="137">
        <f>C911*E911</f>
        <v>467.16</v>
      </c>
      <c r="G911" s="217"/>
    </row>
    <row r="912" spans="1:7" s="30" customFormat="1" ht="13.15" customHeight="1">
      <c r="A912" s="59"/>
      <c r="B912" s="100"/>
      <c r="C912" s="61"/>
      <c r="D912" s="62"/>
      <c r="E912" s="157"/>
      <c r="F912" s="137"/>
      <c r="G912" s="217"/>
    </row>
    <row r="913" spans="1:7" s="30" customFormat="1" ht="14.45">
      <c r="A913" s="66" t="s">
        <v>168</v>
      </c>
      <c r="B913" s="67" t="s">
        <v>1636</v>
      </c>
      <c r="C913" s="68" t="s">
        <v>332</v>
      </c>
      <c r="D913" s="69" t="s">
        <v>63</v>
      </c>
      <c r="E913" s="157">
        <v>223.17</v>
      </c>
      <c r="F913" s="137">
        <f>C913*E913</f>
        <v>2231.6999999999998</v>
      </c>
      <c r="G913" s="217"/>
    </row>
    <row r="914" spans="1:7" s="30" customFormat="1" ht="13.15" customHeight="1">
      <c r="A914" s="59"/>
      <c r="B914" s="100"/>
      <c r="C914" s="61"/>
      <c r="D914" s="62"/>
      <c r="E914" s="157"/>
      <c r="F914" s="137"/>
      <c r="G914" s="217"/>
    </row>
    <row r="915" spans="1:7" s="30" customFormat="1" ht="14.45">
      <c r="A915" s="66" t="s">
        <v>170</v>
      </c>
      <c r="B915" s="67" t="s">
        <v>1637</v>
      </c>
      <c r="C915" s="68" t="s">
        <v>65</v>
      </c>
      <c r="D915" s="69" t="s">
        <v>63</v>
      </c>
      <c r="E915" s="157">
        <v>227.17</v>
      </c>
      <c r="F915" s="137">
        <f>C915*E915</f>
        <v>908.68</v>
      </c>
      <c r="G915" s="217"/>
    </row>
    <row r="916" spans="1:7" s="30" customFormat="1" ht="13.15" customHeight="1">
      <c r="A916" s="59"/>
      <c r="B916" s="100"/>
      <c r="C916" s="61"/>
      <c r="D916" s="62"/>
      <c r="E916" s="157"/>
      <c r="F916" s="137"/>
      <c r="G916" s="217"/>
    </row>
    <row r="917" spans="1:7" s="30" customFormat="1" ht="14.45">
      <c r="A917" s="66" t="s">
        <v>172</v>
      </c>
      <c r="B917" s="67" t="s">
        <v>1638</v>
      </c>
      <c r="C917" s="68" t="s">
        <v>304</v>
      </c>
      <c r="D917" s="69" t="s">
        <v>63</v>
      </c>
      <c r="E917" s="157">
        <v>249.39</v>
      </c>
      <c r="F917" s="137">
        <f>C917*E917</f>
        <v>249.39</v>
      </c>
      <c r="G917" s="217"/>
    </row>
    <row r="918" spans="1:7" s="30" customFormat="1" ht="13.15" customHeight="1">
      <c r="A918" s="59"/>
      <c r="B918" s="100"/>
      <c r="C918" s="61"/>
      <c r="D918" s="62"/>
      <c r="E918" s="157"/>
      <c r="F918" s="137"/>
      <c r="G918" s="217"/>
    </row>
    <row r="919" spans="1:7" s="30" customFormat="1" ht="14.45">
      <c r="A919" s="66" t="s">
        <v>1615</v>
      </c>
      <c r="B919" s="67" t="s">
        <v>1639</v>
      </c>
      <c r="C919" s="68" t="s">
        <v>332</v>
      </c>
      <c r="D919" s="69" t="s">
        <v>63</v>
      </c>
      <c r="E919" s="157">
        <v>235.18</v>
      </c>
      <c r="F919" s="137">
        <f>C919*E919</f>
        <v>2351.8000000000002</v>
      </c>
      <c r="G919" s="217"/>
    </row>
    <row r="920" spans="1:7" s="30" customFormat="1" ht="13.15" customHeight="1">
      <c r="A920" s="59"/>
      <c r="B920" s="100"/>
      <c r="C920" s="61"/>
      <c r="D920" s="62"/>
      <c r="E920" s="157"/>
      <c r="F920" s="137"/>
      <c r="G920" s="217"/>
    </row>
    <row r="921" spans="1:7" s="30" customFormat="1" ht="14.45">
      <c r="A921" s="66" t="s">
        <v>1617</v>
      </c>
      <c r="B921" s="67" t="s">
        <v>1640</v>
      </c>
      <c r="C921" s="68" t="s">
        <v>335</v>
      </c>
      <c r="D921" s="69" t="s">
        <v>63</v>
      </c>
      <c r="E921" s="157">
        <v>236.78</v>
      </c>
      <c r="F921" s="137">
        <f t="shared" ref="F921" si="0">C921*E921</f>
        <v>710.34</v>
      </c>
      <c r="G921" s="217"/>
    </row>
    <row r="922" spans="1:7" s="30" customFormat="1" ht="14.45">
      <c r="A922" s="71"/>
      <c r="B922" s="72"/>
      <c r="C922" s="73"/>
      <c r="D922" s="74"/>
      <c r="E922" s="159"/>
      <c r="F922" s="138"/>
      <c r="G922" s="226"/>
    </row>
    <row r="923" spans="1:7" s="30" customFormat="1" ht="14.45">
      <c r="A923" s="75"/>
      <c r="B923" s="76"/>
      <c r="C923" s="77" t="s">
        <v>30</v>
      </c>
      <c r="D923" s="77"/>
      <c r="E923" s="160" t="s">
        <v>8</v>
      </c>
      <c r="F923" s="139">
        <f>SUM(F878:F921)</f>
        <v>16905.559999999998</v>
      </c>
      <c r="G923" s="227"/>
    </row>
    <row r="924" spans="1:7" s="30" customFormat="1" ht="14.45">
      <c r="A924" s="75"/>
      <c r="B924" s="76"/>
      <c r="C924" s="78"/>
      <c r="D924" s="79"/>
      <c r="E924" s="161"/>
      <c r="F924" s="140"/>
      <c r="G924" s="228"/>
    </row>
    <row r="925" spans="1:7" s="30" customFormat="1" ht="14.45">
      <c r="A925" s="59"/>
      <c r="B925" s="63"/>
      <c r="C925" s="61"/>
      <c r="D925" s="62"/>
      <c r="E925" s="157"/>
      <c r="F925" s="137"/>
      <c r="G925" s="217"/>
    </row>
    <row r="926" spans="1:7" s="30" customFormat="1" ht="14.45">
      <c r="A926" s="59"/>
      <c r="B926" s="64" t="s">
        <v>1557</v>
      </c>
      <c r="C926" s="61"/>
      <c r="D926" s="62"/>
      <c r="E926" s="157"/>
      <c r="F926" s="137"/>
      <c r="G926" s="217"/>
    </row>
    <row r="927" spans="1:7" s="30" customFormat="1" ht="14.45">
      <c r="A927" s="59"/>
      <c r="B927" s="100"/>
      <c r="C927" s="61"/>
      <c r="D927" s="62"/>
      <c r="E927" s="157"/>
      <c r="F927" s="137"/>
      <c r="G927" s="217"/>
    </row>
    <row r="928" spans="1:7" s="30" customFormat="1" ht="14.45">
      <c r="A928" s="66" t="s">
        <v>14</v>
      </c>
      <c r="B928" s="67" t="s">
        <v>1641</v>
      </c>
      <c r="C928" s="68" t="s">
        <v>335</v>
      </c>
      <c r="D928" s="69" t="s">
        <v>63</v>
      </c>
      <c r="E928" s="157">
        <v>259.8</v>
      </c>
      <c r="F928" s="137">
        <f t="shared" ref="F928" si="1">C928*E928</f>
        <v>779.40000000000009</v>
      </c>
      <c r="G928" s="217"/>
    </row>
    <row r="929" spans="1:7" s="30" customFormat="1" ht="14.45">
      <c r="A929" s="59"/>
      <c r="B929" s="100"/>
      <c r="C929" s="61"/>
      <c r="D929" s="62"/>
      <c r="E929" s="157"/>
      <c r="F929" s="137"/>
      <c r="G929" s="217"/>
    </row>
    <row r="930" spans="1:7" s="30" customFormat="1" ht="14.45">
      <c r="A930" s="66" t="s">
        <v>17</v>
      </c>
      <c r="B930" s="67" t="s">
        <v>1642</v>
      </c>
      <c r="C930" s="68" t="s">
        <v>304</v>
      </c>
      <c r="D930" s="69" t="s">
        <v>63</v>
      </c>
      <c r="E930" s="157">
        <v>277.42</v>
      </c>
      <c r="F930" s="137">
        <f t="shared" ref="F930" si="2">C930*E930</f>
        <v>277.42</v>
      </c>
      <c r="G930" s="217"/>
    </row>
    <row r="931" spans="1:7" s="30" customFormat="1" ht="14.45">
      <c r="A931" s="59"/>
      <c r="B931" s="100"/>
      <c r="C931" s="61"/>
      <c r="D931" s="62"/>
      <c r="E931" s="157"/>
      <c r="F931" s="137"/>
      <c r="G931" s="217"/>
    </row>
    <row r="932" spans="1:7" s="30" customFormat="1" ht="14.45">
      <c r="A932" s="66" t="s">
        <v>20</v>
      </c>
      <c r="B932" s="67" t="s">
        <v>1643</v>
      </c>
      <c r="C932" s="68" t="s">
        <v>65</v>
      </c>
      <c r="D932" s="69" t="s">
        <v>63</v>
      </c>
      <c r="E932" s="157">
        <v>243.19</v>
      </c>
      <c r="F932" s="137">
        <f t="shared" ref="F932" si="3">C932*E932</f>
        <v>972.76</v>
      </c>
      <c r="G932" s="217"/>
    </row>
    <row r="933" spans="1:7" s="30" customFormat="1" ht="14.45">
      <c r="A933" s="59"/>
      <c r="B933" s="100"/>
      <c r="C933" s="61"/>
      <c r="D933" s="62"/>
      <c r="E933" s="157"/>
      <c r="F933" s="137"/>
      <c r="G933" s="217"/>
    </row>
    <row r="934" spans="1:7" s="30" customFormat="1" ht="14.45">
      <c r="A934" s="66" t="s">
        <v>23</v>
      </c>
      <c r="B934" s="67" t="s">
        <v>1644</v>
      </c>
      <c r="C934" s="68" t="s">
        <v>714</v>
      </c>
      <c r="D934" s="69" t="s">
        <v>63</v>
      </c>
      <c r="E934" s="157">
        <v>247.19</v>
      </c>
      <c r="F934" s="137">
        <f t="shared" ref="F934" si="4">C934*E934</f>
        <v>1977.52</v>
      </c>
      <c r="G934" s="217"/>
    </row>
    <row r="935" spans="1:7" s="30" customFormat="1" ht="14.45">
      <c r="A935" s="59"/>
      <c r="B935" s="100"/>
      <c r="C935" s="61"/>
      <c r="D935" s="62"/>
      <c r="E935" s="157"/>
      <c r="F935" s="137"/>
      <c r="G935" s="217"/>
    </row>
    <row r="936" spans="1:7" s="30" customFormat="1" ht="14.45">
      <c r="A936" s="66" t="s">
        <v>27</v>
      </c>
      <c r="B936" s="67" t="s">
        <v>1645</v>
      </c>
      <c r="C936" s="68" t="s">
        <v>152</v>
      </c>
      <c r="D936" s="69" t="s">
        <v>63</v>
      </c>
      <c r="E936" s="157">
        <v>299.42</v>
      </c>
      <c r="F936" s="137">
        <f t="shared" ref="F936" si="5">C936*E936</f>
        <v>598.84</v>
      </c>
      <c r="G936" s="217"/>
    </row>
    <row r="937" spans="1:7" s="30" customFormat="1" ht="14.45">
      <c r="A937" s="59"/>
      <c r="B937" s="100"/>
      <c r="C937" s="61"/>
      <c r="D937" s="62"/>
      <c r="E937" s="157"/>
      <c r="F937" s="137"/>
      <c r="G937" s="217"/>
    </row>
    <row r="938" spans="1:7" s="30" customFormat="1" ht="14.45">
      <c r="A938" s="66" t="s">
        <v>44</v>
      </c>
      <c r="B938" s="67" t="s">
        <v>1646</v>
      </c>
      <c r="C938" s="68" t="s">
        <v>304</v>
      </c>
      <c r="D938" s="69" t="s">
        <v>63</v>
      </c>
      <c r="E938" s="157">
        <v>353.87</v>
      </c>
      <c r="F938" s="137">
        <f t="shared" ref="F938" si="6">C938*E938</f>
        <v>353.87</v>
      </c>
      <c r="G938" s="217"/>
    </row>
    <row r="939" spans="1:7" s="30" customFormat="1" ht="14.45">
      <c r="A939" s="59"/>
      <c r="B939" s="100"/>
      <c r="C939" s="61"/>
      <c r="D939" s="62"/>
      <c r="E939" s="157"/>
      <c r="F939" s="137"/>
      <c r="G939" s="217"/>
    </row>
    <row r="940" spans="1:7" s="30" customFormat="1" ht="14.45">
      <c r="A940" s="66" t="s">
        <v>48</v>
      </c>
      <c r="B940" s="67" t="s">
        <v>1647</v>
      </c>
      <c r="C940" s="68" t="s">
        <v>152</v>
      </c>
      <c r="D940" s="69" t="s">
        <v>63</v>
      </c>
      <c r="E940" s="157">
        <v>263.20999999999998</v>
      </c>
      <c r="F940" s="137">
        <f t="shared" ref="F940" si="7">C940*E940</f>
        <v>526.41999999999996</v>
      </c>
      <c r="G940" s="217"/>
    </row>
    <row r="941" spans="1:7" s="30" customFormat="1" ht="14.45">
      <c r="A941" s="59"/>
      <c r="B941" s="100"/>
      <c r="C941" s="61"/>
      <c r="D941" s="62"/>
      <c r="E941" s="157"/>
      <c r="F941" s="137"/>
      <c r="G941" s="217"/>
    </row>
    <row r="942" spans="1:7" s="30" customFormat="1" ht="14.45">
      <c r="A942" s="66" t="s">
        <v>84</v>
      </c>
      <c r="B942" s="67" t="s">
        <v>1648</v>
      </c>
      <c r="C942" s="68" t="s">
        <v>304</v>
      </c>
      <c r="D942" s="69" t="s">
        <v>63</v>
      </c>
      <c r="E942" s="157">
        <v>244.03</v>
      </c>
      <c r="F942" s="137">
        <f t="shared" ref="F942" si="8">C942*E942</f>
        <v>244.03</v>
      </c>
      <c r="G942" s="217"/>
    </row>
    <row r="943" spans="1:7" s="30" customFormat="1" ht="14.45">
      <c r="A943" s="59"/>
      <c r="B943" s="100"/>
      <c r="C943" s="61"/>
      <c r="D943" s="62"/>
      <c r="E943" s="157"/>
      <c r="F943" s="137"/>
      <c r="G943" s="217"/>
    </row>
    <row r="944" spans="1:7" s="30" customFormat="1" ht="14.45">
      <c r="A944" s="66" t="s">
        <v>86</v>
      </c>
      <c r="B944" s="67" t="s">
        <v>1649</v>
      </c>
      <c r="C944" s="68" t="s">
        <v>152</v>
      </c>
      <c r="D944" s="69" t="s">
        <v>63</v>
      </c>
      <c r="E944" s="157">
        <v>247.81</v>
      </c>
      <c r="F944" s="137">
        <f t="shared" ref="F944" si="9">C944*E944</f>
        <v>495.62</v>
      </c>
      <c r="G944" s="217"/>
    </row>
    <row r="945" spans="1:7" s="30" customFormat="1" ht="14.45">
      <c r="A945" s="59"/>
      <c r="B945" s="100"/>
      <c r="C945" s="61"/>
      <c r="D945" s="62"/>
      <c r="E945" s="157"/>
      <c r="F945" s="137"/>
      <c r="G945" s="217"/>
    </row>
    <row r="946" spans="1:7" s="30" customFormat="1" ht="14.45">
      <c r="A946" s="66" t="s">
        <v>90</v>
      </c>
      <c r="B946" s="67" t="s">
        <v>1650</v>
      </c>
      <c r="C946" s="68" t="s">
        <v>335</v>
      </c>
      <c r="D946" s="69" t="s">
        <v>63</v>
      </c>
      <c r="E946" s="157">
        <v>252.35</v>
      </c>
      <c r="F946" s="137">
        <f t="shared" ref="F946:F970" si="10">C946*E946</f>
        <v>757.05</v>
      </c>
      <c r="G946" s="217"/>
    </row>
    <row r="947" spans="1:7" s="30" customFormat="1" ht="13.15" customHeight="1">
      <c r="A947" s="59"/>
      <c r="B947" s="100"/>
      <c r="C947" s="61"/>
      <c r="D947" s="62"/>
      <c r="E947" s="157"/>
      <c r="F947" s="137"/>
      <c r="G947" s="217"/>
    </row>
    <row r="948" spans="1:7" s="30" customFormat="1" ht="14.45">
      <c r="A948" s="66" t="s">
        <v>92</v>
      </c>
      <c r="B948" s="67" t="s">
        <v>1651</v>
      </c>
      <c r="C948" s="68" t="s">
        <v>335</v>
      </c>
      <c r="D948" s="69" t="s">
        <v>63</v>
      </c>
      <c r="E948" s="157">
        <v>270.51</v>
      </c>
      <c r="F948" s="137">
        <f t="shared" si="10"/>
        <v>811.53</v>
      </c>
      <c r="G948" s="217"/>
    </row>
    <row r="949" spans="1:7" s="30" customFormat="1" ht="13.15" customHeight="1">
      <c r="A949" s="59"/>
      <c r="B949" s="100"/>
      <c r="C949" s="61"/>
      <c r="D949" s="62"/>
      <c r="E949" s="157"/>
      <c r="F949" s="137"/>
      <c r="G949" s="217"/>
    </row>
    <row r="950" spans="1:7" s="30" customFormat="1" ht="14.45">
      <c r="A950" s="66" t="s">
        <v>94</v>
      </c>
      <c r="B950" s="67" t="s">
        <v>1652</v>
      </c>
      <c r="C950" s="68" t="s">
        <v>304</v>
      </c>
      <c r="D950" s="69" t="s">
        <v>63</v>
      </c>
      <c r="E950" s="157">
        <v>276.55</v>
      </c>
      <c r="F950" s="137">
        <f t="shared" si="10"/>
        <v>276.55</v>
      </c>
      <c r="G950" s="217"/>
    </row>
    <row r="951" spans="1:7" s="30" customFormat="1" ht="13.15" customHeight="1">
      <c r="A951" s="59"/>
      <c r="B951" s="100"/>
      <c r="C951" s="61"/>
      <c r="D951" s="62"/>
      <c r="E951" s="157"/>
      <c r="F951" s="137"/>
      <c r="G951" s="217"/>
    </row>
    <row r="952" spans="1:7" s="30" customFormat="1" ht="14.45">
      <c r="A952" s="66" t="s">
        <v>140</v>
      </c>
      <c r="B952" s="67" t="s">
        <v>1653</v>
      </c>
      <c r="C952" s="68" t="s">
        <v>152</v>
      </c>
      <c r="D952" s="69" t="s">
        <v>63</v>
      </c>
      <c r="E952" s="157">
        <v>209.38</v>
      </c>
      <c r="F952" s="137">
        <f t="shared" si="10"/>
        <v>418.76</v>
      </c>
      <c r="G952" s="217"/>
    </row>
    <row r="953" spans="1:7" s="30" customFormat="1" ht="13.15" customHeight="1">
      <c r="A953" s="59"/>
      <c r="B953" s="100"/>
      <c r="C953" s="61"/>
      <c r="D953" s="62"/>
      <c r="E953" s="157"/>
      <c r="F953" s="137"/>
      <c r="G953" s="217"/>
    </row>
    <row r="954" spans="1:7" s="30" customFormat="1" ht="14.45">
      <c r="A954" s="66" t="s">
        <v>159</v>
      </c>
      <c r="B954" s="67" t="s">
        <v>1654</v>
      </c>
      <c r="C954" s="68" t="s">
        <v>152</v>
      </c>
      <c r="D954" s="69" t="s">
        <v>63</v>
      </c>
      <c r="E954" s="157">
        <v>233.4</v>
      </c>
      <c r="F954" s="137">
        <f t="shared" si="10"/>
        <v>466.8</v>
      </c>
      <c r="G954" s="217"/>
    </row>
    <row r="955" spans="1:7" s="30" customFormat="1" ht="13.15" customHeight="1">
      <c r="A955" s="59"/>
      <c r="B955" s="100"/>
      <c r="C955" s="61"/>
      <c r="D955" s="62"/>
      <c r="E955" s="157"/>
      <c r="F955" s="137"/>
      <c r="G955" s="217"/>
    </row>
    <row r="956" spans="1:7" s="30" customFormat="1" ht="14.45">
      <c r="A956" s="66" t="s">
        <v>162</v>
      </c>
      <c r="B956" s="67" t="s">
        <v>1655</v>
      </c>
      <c r="C956" s="68" t="s">
        <v>304</v>
      </c>
      <c r="D956" s="69" t="s">
        <v>63</v>
      </c>
      <c r="E956" s="157">
        <v>292.42</v>
      </c>
      <c r="F956" s="137">
        <f t="shared" si="10"/>
        <v>292.42</v>
      </c>
      <c r="G956" s="217"/>
    </row>
    <row r="957" spans="1:7" s="30" customFormat="1" ht="13.15" customHeight="1">
      <c r="A957" s="59"/>
      <c r="B957" s="100"/>
      <c r="C957" s="61"/>
      <c r="D957" s="62"/>
      <c r="E957" s="157"/>
      <c r="F957" s="137"/>
      <c r="G957" s="217"/>
    </row>
    <row r="958" spans="1:7" s="30" customFormat="1" ht="14.45">
      <c r="A958" s="66" t="s">
        <v>164</v>
      </c>
      <c r="B958" s="67" t="s">
        <v>1656</v>
      </c>
      <c r="C958" s="68" t="s">
        <v>304</v>
      </c>
      <c r="D958" s="69" t="s">
        <v>63</v>
      </c>
      <c r="E958" s="157">
        <v>444.85</v>
      </c>
      <c r="F958" s="137">
        <f t="shared" si="10"/>
        <v>444.85</v>
      </c>
      <c r="G958" s="217"/>
    </row>
    <row r="959" spans="1:7" s="30" customFormat="1" ht="13.15" customHeight="1">
      <c r="A959" s="59"/>
      <c r="B959" s="100"/>
      <c r="C959" s="61"/>
      <c r="D959" s="62"/>
      <c r="E959" s="157"/>
      <c r="F959" s="137"/>
      <c r="G959" s="217"/>
    </row>
    <row r="960" spans="1:7" s="30" customFormat="1" ht="14.45">
      <c r="A960" s="66" t="s">
        <v>166</v>
      </c>
      <c r="B960" s="67" t="s">
        <v>1657</v>
      </c>
      <c r="C960" s="68" t="s">
        <v>304</v>
      </c>
      <c r="D960" s="69" t="s">
        <v>63</v>
      </c>
      <c r="E960" s="157">
        <v>188.92</v>
      </c>
      <c r="F960" s="137">
        <f t="shared" si="10"/>
        <v>188.92</v>
      </c>
      <c r="G960" s="217"/>
    </row>
    <row r="961" spans="1:7" s="30" customFormat="1" ht="13.15" customHeight="1">
      <c r="A961" s="59"/>
      <c r="B961" s="100"/>
      <c r="C961" s="61"/>
      <c r="D961" s="62"/>
      <c r="E961" s="157"/>
      <c r="F961" s="137"/>
      <c r="G961" s="217"/>
    </row>
    <row r="962" spans="1:7" s="30" customFormat="1" ht="14.45">
      <c r="A962" s="66" t="s">
        <v>168</v>
      </c>
      <c r="B962" s="67" t="s">
        <v>1658</v>
      </c>
      <c r="C962" s="68" t="s">
        <v>304</v>
      </c>
      <c r="D962" s="69" t="s">
        <v>63</v>
      </c>
      <c r="E962" s="157">
        <v>218.27</v>
      </c>
      <c r="F962" s="137">
        <f t="shared" si="10"/>
        <v>218.27</v>
      </c>
      <c r="G962" s="217"/>
    </row>
    <row r="963" spans="1:7" s="30" customFormat="1" ht="13.15" customHeight="1">
      <c r="A963" s="59"/>
      <c r="B963" s="100"/>
      <c r="C963" s="61"/>
      <c r="D963" s="62"/>
      <c r="E963" s="157"/>
      <c r="F963" s="137"/>
      <c r="G963" s="217"/>
    </row>
    <row r="964" spans="1:7" s="30" customFormat="1" ht="14.45">
      <c r="A964" s="66" t="s">
        <v>170</v>
      </c>
      <c r="B964" s="67" t="s">
        <v>1659</v>
      </c>
      <c r="C964" s="68" t="s">
        <v>304</v>
      </c>
      <c r="D964" s="69" t="s">
        <v>63</v>
      </c>
      <c r="E964" s="157">
        <v>298.64999999999998</v>
      </c>
      <c r="F964" s="137">
        <f t="shared" si="10"/>
        <v>298.64999999999998</v>
      </c>
      <c r="G964" s="217"/>
    </row>
    <row r="965" spans="1:7" s="30" customFormat="1" ht="13.15" customHeight="1">
      <c r="A965" s="59"/>
      <c r="B965" s="100"/>
      <c r="C965" s="61"/>
      <c r="D965" s="62"/>
      <c r="E965" s="157"/>
      <c r="F965" s="137"/>
      <c r="G965" s="217"/>
    </row>
    <row r="966" spans="1:7" s="30" customFormat="1" ht="14.45">
      <c r="A966" s="66" t="s">
        <v>172</v>
      </c>
      <c r="B966" s="67" t="s">
        <v>1660</v>
      </c>
      <c r="C966" s="68" t="s">
        <v>152</v>
      </c>
      <c r="D966" s="69" t="s">
        <v>63</v>
      </c>
      <c r="E966" s="157">
        <v>222.72</v>
      </c>
      <c r="F966" s="137">
        <f t="shared" si="10"/>
        <v>445.44</v>
      </c>
      <c r="G966" s="217"/>
    </row>
    <row r="967" spans="1:7" s="30" customFormat="1" ht="13.15" customHeight="1">
      <c r="A967" s="59"/>
      <c r="B967" s="100"/>
      <c r="C967" s="61"/>
      <c r="D967" s="62"/>
      <c r="E967" s="157"/>
      <c r="F967" s="137"/>
      <c r="G967" s="217"/>
    </row>
    <row r="968" spans="1:7" s="30" customFormat="1" ht="14.45">
      <c r="A968" s="66" t="s">
        <v>1615</v>
      </c>
      <c r="B968" s="67" t="s">
        <v>1661</v>
      </c>
      <c r="C968" s="68" t="s">
        <v>304</v>
      </c>
      <c r="D968" s="69" t="s">
        <v>63</v>
      </c>
      <c r="E968" s="157">
        <v>262.76</v>
      </c>
      <c r="F968" s="137">
        <f t="shared" si="10"/>
        <v>262.76</v>
      </c>
      <c r="G968" s="217"/>
    </row>
    <row r="969" spans="1:7" s="30" customFormat="1" ht="13.15" customHeight="1">
      <c r="A969" s="59"/>
      <c r="B969" s="100"/>
      <c r="C969" s="61"/>
      <c r="D969" s="62"/>
      <c r="E969" s="157"/>
      <c r="F969" s="137"/>
      <c r="G969" s="217"/>
    </row>
    <row r="970" spans="1:7" s="30" customFormat="1" ht="14.45">
      <c r="A970" s="66" t="s">
        <v>1617</v>
      </c>
      <c r="B970" s="67" t="s">
        <v>1662</v>
      </c>
      <c r="C970" s="68" t="s">
        <v>304</v>
      </c>
      <c r="D970" s="69" t="s">
        <v>63</v>
      </c>
      <c r="E970" s="157">
        <v>392.21</v>
      </c>
      <c r="F970" s="137">
        <f t="shared" si="10"/>
        <v>392.21</v>
      </c>
      <c r="G970" s="217"/>
    </row>
    <row r="971" spans="1:7" s="30" customFormat="1" ht="13.15" customHeight="1">
      <c r="A971" s="59"/>
      <c r="B971" s="63"/>
      <c r="C971" s="61"/>
      <c r="D971" s="62"/>
      <c r="E971" s="157"/>
      <c r="F971" s="137"/>
      <c r="G971" s="217"/>
    </row>
    <row r="972" spans="1:7" s="30" customFormat="1" ht="14.45">
      <c r="A972" s="71"/>
      <c r="B972" s="72"/>
      <c r="C972" s="73"/>
      <c r="D972" s="74"/>
      <c r="E972" s="159"/>
      <c r="F972" s="138"/>
      <c r="G972" s="226"/>
    </row>
    <row r="973" spans="1:7" s="30" customFormat="1" ht="14.45">
      <c r="A973" s="75"/>
      <c r="B973" s="76"/>
      <c r="C973" s="77" t="s">
        <v>30</v>
      </c>
      <c r="D973" s="77"/>
      <c r="E973" s="160" t="s">
        <v>8</v>
      </c>
      <c r="F973" s="139">
        <f>SUM(F927:F971)</f>
        <v>11500.09</v>
      </c>
      <c r="G973" s="227"/>
    </row>
    <row r="974" spans="1:7" s="30" customFormat="1" ht="14.45">
      <c r="A974" s="75"/>
      <c r="B974" s="76"/>
      <c r="C974" s="78"/>
      <c r="D974" s="79"/>
      <c r="E974" s="161"/>
      <c r="F974" s="140"/>
      <c r="G974" s="228"/>
    </row>
    <row r="975" spans="1:7" s="30" customFormat="1" ht="14.45">
      <c r="A975" s="59"/>
      <c r="B975" s="63"/>
      <c r="C975" s="61"/>
      <c r="D975" s="62"/>
      <c r="E975" s="157"/>
      <c r="F975" s="137"/>
      <c r="G975" s="217"/>
    </row>
    <row r="976" spans="1:7" s="30" customFormat="1" ht="14.45">
      <c r="A976" s="59"/>
      <c r="B976" s="64" t="s">
        <v>1557</v>
      </c>
      <c r="C976" s="61"/>
      <c r="D976" s="62"/>
      <c r="E976" s="157"/>
      <c r="F976" s="137"/>
      <c r="G976" s="217"/>
    </row>
    <row r="977" spans="1:7" s="30" customFormat="1" ht="14.45">
      <c r="A977" s="59"/>
      <c r="B977" s="100"/>
      <c r="C977" s="61"/>
      <c r="D977" s="62"/>
      <c r="E977" s="157"/>
      <c r="F977" s="137"/>
      <c r="G977" s="217"/>
    </row>
    <row r="978" spans="1:7" s="30" customFormat="1" ht="14.45">
      <c r="A978" s="66" t="s">
        <v>14</v>
      </c>
      <c r="B978" s="67" t="s">
        <v>1663</v>
      </c>
      <c r="C978" s="68" t="s">
        <v>152</v>
      </c>
      <c r="D978" s="69" t="s">
        <v>63</v>
      </c>
      <c r="E978" s="157">
        <v>410.01</v>
      </c>
      <c r="F978" s="137">
        <f t="shared" ref="F978" si="11">C978*E978</f>
        <v>820.02</v>
      </c>
      <c r="G978" s="217"/>
    </row>
    <row r="979" spans="1:7" s="30" customFormat="1" ht="14.45">
      <c r="A979" s="59"/>
      <c r="B979" s="100"/>
      <c r="C979" s="61"/>
      <c r="D979" s="62"/>
      <c r="E979" s="157"/>
      <c r="F979" s="137"/>
      <c r="G979" s="217"/>
    </row>
    <row r="980" spans="1:7" s="30" customFormat="1" ht="14.45">
      <c r="A980" s="66" t="s">
        <v>17</v>
      </c>
      <c r="B980" s="67" t="s">
        <v>1664</v>
      </c>
      <c r="C980" s="68" t="s">
        <v>152</v>
      </c>
      <c r="D980" s="69" t="s">
        <v>63</v>
      </c>
      <c r="E980" s="157">
        <v>274.33</v>
      </c>
      <c r="F980" s="137">
        <f t="shared" ref="F980" si="12">C980*E980</f>
        <v>548.66</v>
      </c>
      <c r="G980" s="217"/>
    </row>
    <row r="981" spans="1:7" s="30" customFormat="1" ht="14.45">
      <c r="A981" s="59"/>
      <c r="B981" s="100"/>
      <c r="C981" s="61"/>
      <c r="D981" s="62"/>
      <c r="E981" s="157"/>
      <c r="F981" s="137"/>
      <c r="G981" s="217"/>
    </row>
    <row r="982" spans="1:7" s="30" customFormat="1" ht="14.45">
      <c r="A982" s="66" t="s">
        <v>20</v>
      </c>
      <c r="B982" s="67" t="s">
        <v>1665</v>
      </c>
      <c r="C982" s="68" t="s">
        <v>152</v>
      </c>
      <c r="D982" s="69" t="s">
        <v>63</v>
      </c>
      <c r="E982" s="157">
        <v>328.9</v>
      </c>
      <c r="F982" s="137">
        <f t="shared" ref="F982" si="13">C982*E982</f>
        <v>657.8</v>
      </c>
      <c r="G982" s="217"/>
    </row>
    <row r="983" spans="1:7" s="30" customFormat="1" ht="14.45">
      <c r="A983" s="59"/>
      <c r="B983" s="100"/>
      <c r="C983" s="61"/>
      <c r="D983" s="62"/>
      <c r="E983" s="157"/>
      <c r="F983" s="137"/>
      <c r="G983" s="217"/>
    </row>
    <row r="984" spans="1:7" s="30" customFormat="1" ht="14.45">
      <c r="A984" s="66" t="s">
        <v>23</v>
      </c>
      <c r="B984" s="67" t="s">
        <v>1666</v>
      </c>
      <c r="C984" s="68" t="s">
        <v>304</v>
      </c>
      <c r="D984" s="69" t="s">
        <v>63</v>
      </c>
      <c r="E984" s="157">
        <v>408.23</v>
      </c>
      <c r="F984" s="137">
        <f t="shared" ref="F984:F1000" si="14">C984*E984</f>
        <v>408.23</v>
      </c>
      <c r="G984" s="217"/>
    </row>
    <row r="985" spans="1:7" s="30" customFormat="1" ht="14.45">
      <c r="A985" s="59"/>
      <c r="B985" s="100"/>
      <c r="C985" s="61"/>
      <c r="D985" s="62"/>
      <c r="E985" s="157"/>
      <c r="F985" s="137"/>
      <c r="G985" s="217"/>
    </row>
    <row r="986" spans="1:7" s="30" customFormat="1" ht="14.45">
      <c r="A986" s="66" t="s">
        <v>27</v>
      </c>
      <c r="B986" s="67" t="s">
        <v>1667</v>
      </c>
      <c r="C986" s="68" t="s">
        <v>304</v>
      </c>
      <c r="D986" s="69" t="s">
        <v>63</v>
      </c>
      <c r="E986" s="157">
        <v>555.17999999999995</v>
      </c>
      <c r="F986" s="137">
        <f t="shared" si="14"/>
        <v>555.17999999999995</v>
      </c>
      <c r="G986" s="217"/>
    </row>
    <row r="987" spans="1:7" s="30" customFormat="1" ht="14.45">
      <c r="A987" s="59"/>
      <c r="B987" s="100"/>
      <c r="C987" s="61"/>
      <c r="D987" s="62"/>
      <c r="E987" s="157"/>
      <c r="F987" s="137"/>
      <c r="G987" s="217"/>
    </row>
    <row r="988" spans="1:7" s="30" customFormat="1" ht="14.45">
      <c r="A988" s="66" t="s">
        <v>44</v>
      </c>
      <c r="B988" s="67" t="s">
        <v>1668</v>
      </c>
      <c r="C988" s="68" t="s">
        <v>304</v>
      </c>
      <c r="D988" s="69" t="s">
        <v>63</v>
      </c>
      <c r="E988" s="157">
        <v>236.96</v>
      </c>
      <c r="F988" s="137">
        <f t="shared" si="14"/>
        <v>236.96</v>
      </c>
      <c r="G988" s="217"/>
    </row>
    <row r="989" spans="1:7" s="30" customFormat="1" ht="14.45">
      <c r="A989" s="59"/>
      <c r="B989" s="100"/>
      <c r="C989" s="61"/>
      <c r="D989" s="62"/>
      <c r="E989" s="157"/>
      <c r="F989" s="137"/>
      <c r="G989" s="217"/>
    </row>
    <row r="990" spans="1:7" s="30" customFormat="1" ht="14.45">
      <c r="A990" s="66" t="s">
        <v>48</v>
      </c>
      <c r="B990" s="67" t="s">
        <v>1669</v>
      </c>
      <c r="C990" s="68" t="s">
        <v>304</v>
      </c>
      <c r="D990" s="69" t="s">
        <v>63</v>
      </c>
      <c r="E990" s="157">
        <v>280.55</v>
      </c>
      <c r="F990" s="137">
        <f t="shared" si="14"/>
        <v>280.55</v>
      </c>
      <c r="G990" s="217"/>
    </row>
    <row r="991" spans="1:7" s="30" customFormat="1" ht="14.45">
      <c r="A991" s="59"/>
      <c r="B991" s="100"/>
      <c r="C991" s="61"/>
      <c r="D991" s="62"/>
      <c r="E991" s="157"/>
      <c r="F991" s="137"/>
      <c r="G991" s="217"/>
    </row>
    <row r="992" spans="1:7" s="30" customFormat="1" ht="14.45">
      <c r="A992" s="66" t="s">
        <v>84</v>
      </c>
      <c r="B992" s="67" t="s">
        <v>1670</v>
      </c>
      <c r="C992" s="68" t="s">
        <v>304</v>
      </c>
      <c r="D992" s="69" t="s">
        <v>63</v>
      </c>
      <c r="E992" s="157">
        <v>371.6</v>
      </c>
      <c r="F992" s="137">
        <f t="shared" si="14"/>
        <v>371.6</v>
      </c>
      <c r="G992" s="217"/>
    </row>
    <row r="993" spans="1:7" s="30" customFormat="1" ht="13.15" customHeight="1">
      <c r="A993" s="59"/>
      <c r="B993" s="100"/>
      <c r="C993" s="61"/>
      <c r="D993" s="62"/>
      <c r="E993" s="157"/>
      <c r="F993" s="137"/>
      <c r="G993" s="217"/>
    </row>
    <row r="994" spans="1:7" s="30" customFormat="1" ht="14.45">
      <c r="A994" s="66" t="s">
        <v>86</v>
      </c>
      <c r="B994" s="67" t="s">
        <v>1671</v>
      </c>
      <c r="C994" s="68" t="s">
        <v>304</v>
      </c>
      <c r="D994" s="69" t="s">
        <v>63</v>
      </c>
      <c r="E994" s="157">
        <v>505.36</v>
      </c>
      <c r="F994" s="137">
        <f t="shared" si="14"/>
        <v>505.36</v>
      </c>
      <c r="G994" s="217"/>
    </row>
    <row r="995" spans="1:7" s="30" customFormat="1" ht="13.15" customHeight="1">
      <c r="A995" s="59"/>
      <c r="B995" s="100"/>
      <c r="C995" s="61"/>
      <c r="D995" s="62"/>
      <c r="E995" s="157"/>
      <c r="F995" s="137"/>
      <c r="G995" s="217"/>
    </row>
    <row r="996" spans="1:7" s="30" customFormat="1" ht="14.45">
      <c r="A996" s="66" t="s">
        <v>90</v>
      </c>
      <c r="B996" s="67" t="s">
        <v>1672</v>
      </c>
      <c r="C996" s="68" t="s">
        <v>304</v>
      </c>
      <c r="D996" s="69" t="s">
        <v>63</v>
      </c>
      <c r="E996" s="157">
        <v>426.47</v>
      </c>
      <c r="F996" s="137">
        <f t="shared" si="14"/>
        <v>426.47</v>
      </c>
      <c r="G996" s="217"/>
    </row>
    <row r="997" spans="1:7" s="30" customFormat="1" ht="13.15" customHeight="1">
      <c r="A997" s="59"/>
      <c r="B997" s="100"/>
      <c r="C997" s="61"/>
      <c r="D997" s="62"/>
      <c r="E997" s="157"/>
      <c r="F997" s="137"/>
      <c r="G997" s="217"/>
    </row>
    <row r="998" spans="1:7" s="30" customFormat="1" ht="14.45">
      <c r="A998" s="66" t="s">
        <v>92</v>
      </c>
      <c r="B998" s="67" t="s">
        <v>1673</v>
      </c>
      <c r="C998" s="68" t="s">
        <v>304</v>
      </c>
      <c r="D998" s="69" t="s">
        <v>63</v>
      </c>
      <c r="E998" s="157">
        <v>466.51</v>
      </c>
      <c r="F998" s="137">
        <f t="shared" si="14"/>
        <v>466.51</v>
      </c>
      <c r="G998" s="217"/>
    </row>
    <row r="999" spans="1:7" s="30" customFormat="1" ht="13.15" customHeight="1">
      <c r="A999" s="59"/>
      <c r="B999" s="100"/>
      <c r="C999" s="61"/>
      <c r="D999" s="62"/>
      <c r="E999" s="157"/>
      <c r="F999" s="137"/>
      <c r="G999" s="217"/>
    </row>
    <row r="1000" spans="1:7" s="30" customFormat="1" ht="14.45">
      <c r="A1000" s="66" t="s">
        <v>94</v>
      </c>
      <c r="B1000" s="67" t="s">
        <v>1674</v>
      </c>
      <c r="C1000" s="68" t="s">
        <v>152</v>
      </c>
      <c r="D1000" s="69" t="s">
        <v>63</v>
      </c>
      <c r="E1000" s="157">
        <v>576.83000000000004</v>
      </c>
      <c r="F1000" s="137">
        <f t="shared" si="14"/>
        <v>1153.6600000000001</v>
      </c>
      <c r="G1000" s="217"/>
    </row>
    <row r="1001" spans="1:7" s="30" customFormat="1" ht="13.15" customHeight="1">
      <c r="A1001" s="59"/>
      <c r="B1001" s="100"/>
      <c r="C1001" s="61"/>
      <c r="D1001" s="62"/>
      <c r="E1001" s="157"/>
      <c r="F1001" s="137"/>
      <c r="G1001" s="217"/>
    </row>
    <row r="1002" spans="1:7" s="30" customFormat="1" ht="14.45">
      <c r="A1002" s="66"/>
      <c r="B1002" s="98" t="s">
        <v>1675</v>
      </c>
      <c r="C1002" s="68"/>
      <c r="D1002" s="69"/>
      <c r="E1002" s="157"/>
      <c r="F1002" s="137"/>
      <c r="G1002" s="217"/>
    </row>
    <row r="1003" spans="1:7" s="30" customFormat="1" ht="13.15" customHeight="1">
      <c r="A1003" s="59"/>
      <c r="B1003" s="100"/>
      <c r="C1003" s="61"/>
      <c r="D1003" s="62"/>
      <c r="E1003" s="157"/>
      <c r="F1003" s="137"/>
      <c r="G1003" s="217"/>
    </row>
    <row r="1004" spans="1:7" s="30" customFormat="1" ht="14.45">
      <c r="A1004" s="66" t="s">
        <v>140</v>
      </c>
      <c r="B1004" s="67" t="s">
        <v>1599</v>
      </c>
      <c r="C1004" s="68" t="s">
        <v>152</v>
      </c>
      <c r="D1004" s="69" t="s">
        <v>63</v>
      </c>
      <c r="E1004" s="157">
        <v>283.64</v>
      </c>
      <c r="F1004" s="137">
        <f t="shared" ref="F1004" si="15">C1004*E1004</f>
        <v>567.28</v>
      </c>
      <c r="G1004" s="217"/>
    </row>
    <row r="1005" spans="1:7" s="30" customFormat="1" ht="13.15" customHeight="1">
      <c r="A1005" s="59"/>
      <c r="B1005" s="100"/>
      <c r="C1005" s="61"/>
      <c r="D1005" s="62"/>
      <c r="E1005" s="157"/>
      <c r="F1005" s="137"/>
      <c r="G1005" s="217"/>
    </row>
    <row r="1006" spans="1:7" s="30" customFormat="1" ht="14.45">
      <c r="A1006" s="66" t="s">
        <v>159</v>
      </c>
      <c r="B1006" s="67" t="s">
        <v>1604</v>
      </c>
      <c r="C1006" s="68" t="s">
        <v>65</v>
      </c>
      <c r="D1006" s="69" t="s">
        <v>63</v>
      </c>
      <c r="E1006" s="157">
        <v>285.41000000000003</v>
      </c>
      <c r="F1006" s="137">
        <f t="shared" ref="F1006" si="16">C1006*E1006</f>
        <v>1141.6400000000001</v>
      </c>
      <c r="G1006" s="217"/>
    </row>
    <row r="1007" spans="1:7" s="30" customFormat="1" ht="13.15" customHeight="1">
      <c r="A1007" s="59"/>
      <c r="B1007" s="100"/>
      <c r="C1007" s="61"/>
      <c r="D1007" s="62"/>
      <c r="E1007" s="157"/>
      <c r="F1007" s="137"/>
      <c r="G1007" s="217"/>
    </row>
    <row r="1008" spans="1:7" s="30" customFormat="1" ht="14.45">
      <c r="A1008" s="66" t="s">
        <v>162</v>
      </c>
      <c r="B1008" s="67" t="s">
        <v>1676</v>
      </c>
      <c r="C1008" s="68" t="s">
        <v>304</v>
      </c>
      <c r="D1008" s="69" t="s">
        <v>63</v>
      </c>
      <c r="E1008" s="157">
        <v>336.25</v>
      </c>
      <c r="F1008" s="137">
        <f t="shared" ref="F1008" si="17">C1008*E1008</f>
        <v>336.25</v>
      </c>
      <c r="G1008" s="217"/>
    </row>
    <row r="1009" spans="1:7" s="30" customFormat="1" ht="13.15" customHeight="1">
      <c r="A1009" s="59"/>
      <c r="B1009" s="100"/>
      <c r="C1009" s="61"/>
      <c r="D1009" s="62"/>
      <c r="E1009" s="157"/>
      <c r="F1009" s="137"/>
      <c r="G1009" s="217"/>
    </row>
    <row r="1010" spans="1:7" s="30" customFormat="1" ht="14.45">
      <c r="A1010" s="66" t="s">
        <v>164</v>
      </c>
      <c r="B1010" s="67" t="s">
        <v>1608</v>
      </c>
      <c r="C1010" s="68" t="s">
        <v>152</v>
      </c>
      <c r="D1010" s="69" t="s">
        <v>63</v>
      </c>
      <c r="E1010" s="157">
        <v>287.2</v>
      </c>
      <c r="F1010" s="137">
        <f t="shared" ref="F1010" si="18">C1010*E1010</f>
        <v>574.4</v>
      </c>
      <c r="G1010" s="217"/>
    </row>
    <row r="1011" spans="1:7" s="30" customFormat="1" ht="13.15" customHeight="1">
      <c r="A1011" s="59"/>
      <c r="B1011" s="100"/>
      <c r="C1011" s="61"/>
      <c r="D1011" s="62"/>
      <c r="E1011" s="157"/>
      <c r="F1011" s="137"/>
      <c r="G1011" s="217"/>
    </row>
    <row r="1012" spans="1:7" s="30" customFormat="1" ht="14.45">
      <c r="A1012" s="66" t="s">
        <v>166</v>
      </c>
      <c r="B1012" s="67" t="s">
        <v>1614</v>
      </c>
      <c r="C1012" s="68" t="s">
        <v>152</v>
      </c>
      <c r="D1012" s="69" t="s">
        <v>63</v>
      </c>
      <c r="E1012" s="157">
        <v>311.27999999999997</v>
      </c>
      <c r="F1012" s="137">
        <f t="shared" ref="F1012" si="19">C1012*E1012</f>
        <v>622.55999999999995</v>
      </c>
      <c r="G1012" s="217"/>
    </row>
    <row r="1013" spans="1:7" s="30" customFormat="1" ht="13.15" customHeight="1">
      <c r="A1013" s="59"/>
      <c r="B1013" s="100"/>
      <c r="C1013" s="61"/>
      <c r="D1013" s="62"/>
      <c r="E1013" s="157"/>
      <c r="F1013" s="137"/>
      <c r="G1013" s="217"/>
    </row>
    <row r="1014" spans="1:7" s="30" customFormat="1" ht="14.45">
      <c r="A1014" s="66" t="s">
        <v>168</v>
      </c>
      <c r="B1014" s="67" t="s">
        <v>1620</v>
      </c>
      <c r="C1014" s="68" t="s">
        <v>152</v>
      </c>
      <c r="D1014" s="69" t="s">
        <v>63</v>
      </c>
      <c r="E1014" s="157">
        <v>321.13</v>
      </c>
      <c r="F1014" s="137">
        <f t="shared" ref="F1014" si="20">C1014*E1014</f>
        <v>642.26</v>
      </c>
      <c r="G1014" s="217"/>
    </row>
    <row r="1015" spans="1:7" s="30" customFormat="1" ht="13.15" customHeight="1">
      <c r="A1015" s="59"/>
      <c r="B1015" s="100"/>
      <c r="C1015" s="61"/>
      <c r="D1015" s="62"/>
      <c r="E1015" s="157"/>
      <c r="F1015" s="137"/>
      <c r="G1015" s="217"/>
    </row>
    <row r="1016" spans="1:7" s="30" customFormat="1" ht="14.45">
      <c r="A1016" s="66" t="s">
        <v>170</v>
      </c>
      <c r="B1016" s="67" t="s">
        <v>1677</v>
      </c>
      <c r="C1016" s="68" t="s">
        <v>62</v>
      </c>
      <c r="D1016" s="69" t="s">
        <v>63</v>
      </c>
      <c r="E1016" s="157">
        <v>336.25</v>
      </c>
      <c r="F1016" s="137">
        <f t="shared" ref="F1016" si="21">C1016*E1016</f>
        <v>1681.25</v>
      </c>
      <c r="G1016" s="217"/>
    </row>
    <row r="1017" spans="1:7" s="30" customFormat="1" ht="13.15" customHeight="1">
      <c r="A1017" s="59"/>
      <c r="B1017" s="100"/>
      <c r="C1017" s="61"/>
      <c r="D1017" s="62"/>
      <c r="E1017" s="157"/>
      <c r="F1017" s="137"/>
      <c r="G1017" s="217"/>
    </row>
    <row r="1018" spans="1:7" s="30" customFormat="1" ht="14.45">
      <c r="A1018" s="66" t="s">
        <v>172</v>
      </c>
      <c r="B1018" s="67" t="s">
        <v>1630</v>
      </c>
      <c r="C1018" s="68" t="s">
        <v>304</v>
      </c>
      <c r="D1018" s="69" t="s">
        <v>63</v>
      </c>
      <c r="E1018" s="157">
        <v>333.58</v>
      </c>
      <c r="F1018" s="137">
        <f t="shared" ref="F1018" si="22">C1018*E1018</f>
        <v>333.58</v>
      </c>
      <c r="G1018" s="217"/>
    </row>
    <row r="1019" spans="1:7" s="30" customFormat="1" ht="13.15" customHeight="1">
      <c r="A1019" s="59"/>
      <c r="B1019" s="100"/>
      <c r="C1019" s="61"/>
      <c r="D1019" s="62"/>
      <c r="E1019" s="157"/>
      <c r="F1019" s="137"/>
      <c r="G1019" s="217"/>
    </row>
    <row r="1020" spans="1:7" s="30" customFormat="1" ht="14.45">
      <c r="A1020" s="66" t="s">
        <v>1615</v>
      </c>
      <c r="B1020" s="67" t="s">
        <v>1631</v>
      </c>
      <c r="C1020" s="68" t="s">
        <v>304</v>
      </c>
      <c r="D1020" s="69" t="s">
        <v>63</v>
      </c>
      <c r="E1020" s="157">
        <v>343.4</v>
      </c>
      <c r="F1020" s="137">
        <f t="shared" ref="F1020" si="23">C1020*E1020</f>
        <v>343.4</v>
      </c>
      <c r="G1020" s="217"/>
    </row>
    <row r="1021" spans="1:7" s="30" customFormat="1" ht="14.45">
      <c r="A1021" s="59"/>
      <c r="B1021" s="63"/>
      <c r="C1021" s="61"/>
      <c r="D1021" s="62"/>
      <c r="E1021" s="157"/>
      <c r="F1021" s="137"/>
      <c r="G1021" s="217"/>
    </row>
    <row r="1022" spans="1:7" s="30" customFormat="1" ht="14.45">
      <c r="A1022" s="71"/>
      <c r="B1022" s="72"/>
      <c r="C1022" s="73"/>
      <c r="D1022" s="74"/>
      <c r="E1022" s="159"/>
      <c r="F1022" s="138"/>
      <c r="G1022" s="226"/>
    </row>
    <row r="1023" spans="1:7" s="30" customFormat="1" ht="14.45">
      <c r="A1023" s="75"/>
      <c r="B1023" s="76"/>
      <c r="C1023" s="77" t="s">
        <v>30</v>
      </c>
      <c r="D1023" s="77"/>
      <c r="E1023" s="160" t="s">
        <v>8</v>
      </c>
      <c r="F1023" s="139">
        <f>SUM(F976:F1021)</f>
        <v>12673.619999999999</v>
      </c>
      <c r="G1023" s="227"/>
    </row>
    <row r="1024" spans="1:7" s="30" customFormat="1" ht="14.45">
      <c r="A1024" s="75"/>
      <c r="B1024" s="76"/>
      <c r="C1024" s="78"/>
      <c r="D1024" s="79"/>
      <c r="E1024" s="161"/>
      <c r="F1024" s="140"/>
      <c r="G1024" s="228"/>
    </row>
    <row r="1025" spans="1:7" s="30" customFormat="1" ht="14.45">
      <c r="A1025" s="59"/>
      <c r="B1025" s="63"/>
      <c r="C1025" s="61"/>
      <c r="D1025" s="62"/>
      <c r="E1025" s="157"/>
      <c r="F1025" s="137"/>
      <c r="G1025" s="217"/>
    </row>
    <row r="1026" spans="1:7" s="30" customFormat="1" ht="14.45">
      <c r="A1026" s="59"/>
      <c r="B1026" s="64" t="s">
        <v>1557</v>
      </c>
      <c r="C1026" s="61"/>
      <c r="D1026" s="62"/>
      <c r="E1026" s="157"/>
      <c r="F1026" s="137"/>
      <c r="G1026" s="217"/>
    </row>
    <row r="1027" spans="1:7" s="30" customFormat="1" ht="14.45">
      <c r="A1027" s="59"/>
      <c r="B1027" s="100"/>
      <c r="C1027" s="61"/>
      <c r="D1027" s="62"/>
      <c r="E1027" s="157"/>
      <c r="F1027" s="137"/>
      <c r="G1027" s="217"/>
    </row>
    <row r="1028" spans="1:7" s="30" customFormat="1" ht="14.45">
      <c r="A1028" s="66" t="s">
        <v>14</v>
      </c>
      <c r="B1028" s="67" t="s">
        <v>1633</v>
      </c>
      <c r="C1028" s="68" t="s">
        <v>304</v>
      </c>
      <c r="D1028" s="69" t="s">
        <v>63</v>
      </c>
      <c r="E1028" s="157">
        <v>327.38</v>
      </c>
      <c r="F1028" s="137">
        <f t="shared" ref="F1028" si="24">C1028*E1028</f>
        <v>327.38</v>
      </c>
      <c r="G1028" s="217"/>
    </row>
    <row r="1029" spans="1:7" s="30" customFormat="1" ht="14.45">
      <c r="A1029" s="59"/>
      <c r="B1029" s="100"/>
      <c r="C1029" s="61"/>
      <c r="D1029" s="62"/>
      <c r="E1029" s="157"/>
      <c r="F1029" s="137"/>
      <c r="G1029" s="217"/>
    </row>
    <row r="1030" spans="1:7" s="30" customFormat="1" ht="14.45">
      <c r="A1030" s="66" t="s">
        <v>17</v>
      </c>
      <c r="B1030" s="67" t="s">
        <v>1635</v>
      </c>
      <c r="C1030" s="68" t="s">
        <v>152</v>
      </c>
      <c r="D1030" s="69" t="s">
        <v>63</v>
      </c>
      <c r="E1030" s="157">
        <v>346.96</v>
      </c>
      <c r="F1030" s="137">
        <f t="shared" ref="F1030" si="25">C1030*E1030</f>
        <v>693.92</v>
      </c>
      <c r="G1030" s="217"/>
    </row>
    <row r="1031" spans="1:7" s="30" customFormat="1" ht="14.45">
      <c r="A1031" s="59"/>
      <c r="B1031" s="100"/>
      <c r="C1031" s="61"/>
      <c r="D1031" s="62"/>
      <c r="E1031" s="157"/>
      <c r="F1031" s="137"/>
      <c r="G1031" s="217"/>
    </row>
    <row r="1032" spans="1:7" s="30" customFormat="1" ht="14.45">
      <c r="A1032" s="66" t="s">
        <v>20</v>
      </c>
      <c r="B1032" s="67" t="s">
        <v>1678</v>
      </c>
      <c r="C1032" s="68" t="s">
        <v>304</v>
      </c>
      <c r="D1032" s="69" t="s">
        <v>63</v>
      </c>
      <c r="E1032" s="157">
        <v>396.78</v>
      </c>
      <c r="F1032" s="137">
        <f t="shared" ref="F1032" si="26">C1032*E1032</f>
        <v>396.78</v>
      </c>
      <c r="G1032" s="217"/>
    </row>
    <row r="1033" spans="1:7" s="30" customFormat="1" ht="14.45">
      <c r="A1033" s="59"/>
      <c r="B1033" s="100"/>
      <c r="C1033" s="61"/>
      <c r="D1033" s="62"/>
      <c r="E1033" s="157"/>
      <c r="F1033" s="137"/>
      <c r="G1033" s="217"/>
    </row>
    <row r="1034" spans="1:7" s="30" customFormat="1" ht="14.45">
      <c r="A1034" s="66" t="s">
        <v>23</v>
      </c>
      <c r="B1034" s="67" t="s">
        <v>1642</v>
      </c>
      <c r="C1034" s="68" t="s">
        <v>304</v>
      </c>
      <c r="D1034" s="69" t="s">
        <v>63</v>
      </c>
      <c r="E1034" s="157">
        <v>383.58</v>
      </c>
      <c r="F1034" s="137">
        <f t="shared" ref="F1034" si="27">C1034*E1034</f>
        <v>383.58</v>
      </c>
      <c r="G1034" s="217"/>
    </row>
    <row r="1035" spans="1:7" s="30" customFormat="1" ht="13.15" customHeight="1">
      <c r="A1035" s="59"/>
      <c r="B1035" s="100"/>
      <c r="C1035" s="61"/>
      <c r="D1035" s="62"/>
      <c r="E1035" s="157"/>
      <c r="F1035" s="137"/>
      <c r="G1035" s="217"/>
    </row>
    <row r="1036" spans="1:7" s="30" customFormat="1" ht="14.45">
      <c r="A1036" s="66" t="s">
        <v>27</v>
      </c>
      <c r="B1036" s="67" t="s">
        <v>1679</v>
      </c>
      <c r="C1036" s="68" t="s">
        <v>304</v>
      </c>
      <c r="D1036" s="69" t="s">
        <v>63</v>
      </c>
      <c r="E1036" s="157">
        <v>415.62</v>
      </c>
      <c r="F1036" s="137">
        <f t="shared" ref="F1036" si="28">C1036*E1036</f>
        <v>415.62</v>
      </c>
      <c r="G1036" s="217"/>
    </row>
    <row r="1037" spans="1:7" s="30" customFormat="1" ht="13.15" customHeight="1">
      <c r="A1037" s="59"/>
      <c r="B1037" s="100"/>
      <c r="C1037" s="61"/>
      <c r="D1037" s="62"/>
      <c r="E1037" s="157"/>
      <c r="F1037" s="137"/>
      <c r="G1037" s="217"/>
    </row>
    <row r="1038" spans="1:7" s="30" customFormat="1" ht="14.45">
      <c r="A1038" s="66" t="s">
        <v>44</v>
      </c>
      <c r="B1038" s="67" t="s">
        <v>1680</v>
      </c>
      <c r="C1038" s="68" t="s">
        <v>304</v>
      </c>
      <c r="D1038" s="69" t="s">
        <v>63</v>
      </c>
      <c r="E1038" s="157">
        <v>413.83</v>
      </c>
      <c r="F1038" s="137">
        <f t="shared" ref="F1038" si="29">C1038*E1038</f>
        <v>413.83</v>
      </c>
      <c r="G1038" s="217"/>
    </row>
    <row r="1039" spans="1:7" s="30" customFormat="1" ht="13.15" customHeight="1">
      <c r="A1039" s="59"/>
      <c r="B1039" s="100"/>
      <c r="C1039" s="61"/>
      <c r="D1039" s="62"/>
      <c r="E1039" s="157"/>
      <c r="F1039" s="137"/>
      <c r="G1039" s="217"/>
    </row>
    <row r="1040" spans="1:7" s="30" customFormat="1" ht="14.45">
      <c r="A1040" s="66" t="s">
        <v>48</v>
      </c>
      <c r="B1040" s="67" t="s">
        <v>1655</v>
      </c>
      <c r="C1040" s="68" t="s">
        <v>304</v>
      </c>
      <c r="D1040" s="69" t="s">
        <v>63</v>
      </c>
      <c r="E1040" s="157">
        <v>458.44</v>
      </c>
      <c r="F1040" s="137">
        <f t="shared" ref="F1040" si="30">C1040*E1040</f>
        <v>458.44</v>
      </c>
      <c r="G1040" s="217"/>
    </row>
    <row r="1041" spans="1:7" s="30" customFormat="1" ht="13.15" customHeight="1">
      <c r="A1041" s="59"/>
      <c r="B1041" s="100"/>
      <c r="C1041" s="61"/>
      <c r="D1041" s="62"/>
      <c r="E1041" s="157"/>
      <c r="F1041" s="137"/>
      <c r="G1041" s="217"/>
    </row>
    <row r="1042" spans="1:7" s="30" customFormat="1" ht="14.45">
      <c r="A1042" s="66" t="s">
        <v>84</v>
      </c>
      <c r="B1042" s="67" t="s">
        <v>1681</v>
      </c>
      <c r="C1042" s="68" t="s">
        <v>152</v>
      </c>
      <c r="D1042" s="69" t="s">
        <v>63</v>
      </c>
      <c r="E1042" s="157">
        <v>590.41</v>
      </c>
      <c r="F1042" s="137">
        <f t="shared" ref="F1042" si="31">C1042*E1042</f>
        <v>1180.82</v>
      </c>
      <c r="G1042" s="217"/>
    </row>
    <row r="1043" spans="1:7" s="30" customFormat="1" ht="13.15" customHeight="1">
      <c r="A1043" s="59"/>
      <c r="B1043" s="100"/>
      <c r="C1043" s="61"/>
      <c r="D1043" s="62"/>
      <c r="E1043" s="157"/>
      <c r="F1043" s="137"/>
      <c r="G1043" s="217"/>
    </row>
    <row r="1044" spans="1:7" s="30" customFormat="1" ht="14.45">
      <c r="A1044" s="66" t="s">
        <v>86</v>
      </c>
      <c r="B1044" s="67" t="s">
        <v>1666</v>
      </c>
      <c r="C1044" s="68" t="s">
        <v>304</v>
      </c>
      <c r="D1044" s="69" t="s">
        <v>63</v>
      </c>
      <c r="E1044" s="157">
        <v>540.74</v>
      </c>
      <c r="F1044" s="137">
        <f t="shared" ref="F1044" si="32">C1044*E1044</f>
        <v>540.74</v>
      </c>
      <c r="G1044" s="217"/>
    </row>
    <row r="1045" spans="1:7" s="30" customFormat="1" ht="13.15" customHeight="1">
      <c r="A1045" s="59"/>
      <c r="B1045" s="100"/>
      <c r="C1045" s="61"/>
      <c r="D1045" s="62"/>
      <c r="E1045" s="157"/>
      <c r="F1045" s="137"/>
      <c r="G1045" s="217"/>
    </row>
    <row r="1046" spans="1:7" s="30" customFormat="1" ht="14.45">
      <c r="A1046" s="66"/>
      <c r="B1046" s="98" t="s">
        <v>1682</v>
      </c>
      <c r="C1046" s="68"/>
      <c r="D1046" s="69"/>
      <c r="E1046" s="157"/>
      <c r="F1046" s="137"/>
      <c r="G1046" s="217"/>
    </row>
    <row r="1047" spans="1:7" s="30" customFormat="1" ht="13.15" customHeight="1">
      <c r="A1047" s="59"/>
      <c r="B1047" s="100"/>
      <c r="C1047" s="61"/>
      <c r="D1047" s="62"/>
      <c r="E1047" s="157"/>
      <c r="F1047" s="137"/>
      <c r="G1047" s="217"/>
    </row>
    <row r="1048" spans="1:7" s="30" customFormat="1" ht="14.45">
      <c r="A1048" s="66"/>
      <c r="B1048" s="99" t="s">
        <v>1683</v>
      </c>
      <c r="C1048" s="68"/>
      <c r="D1048" s="69"/>
      <c r="E1048" s="157"/>
      <c r="F1048" s="137"/>
      <c r="G1048" s="217"/>
    </row>
    <row r="1049" spans="1:7" s="30" customFormat="1" ht="13.15" customHeight="1">
      <c r="A1049" s="59"/>
      <c r="B1049" s="100"/>
      <c r="C1049" s="61"/>
      <c r="D1049" s="62"/>
      <c r="E1049" s="157"/>
      <c r="F1049" s="137"/>
      <c r="G1049" s="217"/>
    </row>
    <row r="1050" spans="1:7" s="30" customFormat="1" ht="14.45">
      <c r="A1050" s="66" t="s">
        <v>90</v>
      </c>
      <c r="B1050" s="67" t="s">
        <v>1584</v>
      </c>
      <c r="C1050" s="68" t="s">
        <v>332</v>
      </c>
      <c r="D1050" s="69" t="s">
        <v>63</v>
      </c>
      <c r="E1050" s="157">
        <v>1421.95</v>
      </c>
      <c r="F1050" s="137">
        <f t="shared" ref="F1050" si="33">C1050*E1050</f>
        <v>14219.5</v>
      </c>
      <c r="G1050" s="217"/>
    </row>
    <row r="1051" spans="1:7" s="30" customFormat="1" ht="13.15" customHeight="1">
      <c r="A1051" s="59"/>
      <c r="B1051" s="100"/>
      <c r="C1051" s="61"/>
      <c r="D1051" s="62"/>
      <c r="E1051" s="157"/>
      <c r="F1051" s="137"/>
      <c r="G1051" s="217"/>
    </row>
    <row r="1052" spans="1:7" s="30" customFormat="1" ht="14.45">
      <c r="A1052" s="66" t="s">
        <v>92</v>
      </c>
      <c r="B1052" s="67" t="s">
        <v>1684</v>
      </c>
      <c r="C1052" s="68" t="s">
        <v>304</v>
      </c>
      <c r="D1052" s="69" t="s">
        <v>63</v>
      </c>
      <c r="E1052" s="157">
        <v>5482.89</v>
      </c>
      <c r="F1052" s="137">
        <f t="shared" ref="F1052" si="34">C1052*E1052</f>
        <v>5482.89</v>
      </c>
      <c r="G1052" s="217"/>
    </row>
    <row r="1053" spans="1:7" s="30" customFormat="1" ht="13.15" customHeight="1">
      <c r="A1053" s="59"/>
      <c r="B1053" s="100"/>
      <c r="C1053" s="61"/>
      <c r="D1053" s="62"/>
      <c r="E1053" s="157"/>
      <c r="F1053" s="137"/>
      <c r="G1053" s="217"/>
    </row>
    <row r="1054" spans="1:7" s="30" customFormat="1" ht="14.45">
      <c r="A1054" s="66" t="s">
        <v>94</v>
      </c>
      <c r="B1054" s="67" t="s">
        <v>1658</v>
      </c>
      <c r="C1054" s="68" t="s">
        <v>152</v>
      </c>
      <c r="D1054" s="69" t="s">
        <v>63</v>
      </c>
      <c r="E1054" s="157">
        <v>1943.76</v>
      </c>
      <c r="F1054" s="137">
        <f t="shared" ref="F1054" si="35">C1054*E1054</f>
        <v>3887.52</v>
      </c>
      <c r="G1054" s="217"/>
    </row>
    <row r="1055" spans="1:7" s="30" customFormat="1" ht="13.15" customHeight="1">
      <c r="A1055" s="59"/>
      <c r="B1055" s="100"/>
      <c r="C1055" s="61"/>
      <c r="D1055" s="62"/>
      <c r="E1055" s="157"/>
      <c r="F1055" s="137"/>
      <c r="G1055" s="217"/>
    </row>
    <row r="1056" spans="1:7" s="30" customFormat="1" ht="14.45">
      <c r="A1056" s="66" t="s">
        <v>140</v>
      </c>
      <c r="B1056" s="67" t="s">
        <v>1685</v>
      </c>
      <c r="C1056" s="68" t="s">
        <v>304</v>
      </c>
      <c r="D1056" s="69" t="s">
        <v>63</v>
      </c>
      <c r="E1056" s="157">
        <v>2373.6799999999998</v>
      </c>
      <c r="F1056" s="137">
        <f t="shared" ref="F1056" si="36">C1056*E1056</f>
        <v>2373.6799999999998</v>
      </c>
      <c r="G1056" s="217"/>
    </row>
    <row r="1057" spans="1:7" s="30" customFormat="1" ht="13.15" customHeight="1">
      <c r="A1057" s="59"/>
      <c r="B1057" s="100"/>
      <c r="C1057" s="61"/>
      <c r="D1057" s="62"/>
      <c r="E1057" s="157"/>
      <c r="F1057" s="137"/>
      <c r="G1057" s="217"/>
    </row>
    <row r="1058" spans="1:7" s="30" customFormat="1" ht="14.45">
      <c r="A1058" s="66" t="s">
        <v>159</v>
      </c>
      <c r="B1058" s="67" t="s">
        <v>1686</v>
      </c>
      <c r="C1058" s="68" t="s">
        <v>304</v>
      </c>
      <c r="D1058" s="69" t="s">
        <v>63</v>
      </c>
      <c r="E1058" s="157">
        <v>4720.7299999999996</v>
      </c>
      <c r="F1058" s="137">
        <f t="shared" ref="F1058" si="37">C1058*E1058</f>
        <v>4720.7299999999996</v>
      </c>
      <c r="G1058" s="217"/>
    </row>
    <row r="1059" spans="1:7" s="30" customFormat="1" ht="13.15" customHeight="1">
      <c r="A1059" s="59"/>
      <c r="B1059" s="100"/>
      <c r="C1059" s="61"/>
      <c r="D1059" s="62"/>
      <c r="E1059" s="157"/>
      <c r="F1059" s="137"/>
      <c r="G1059" s="217"/>
    </row>
    <row r="1060" spans="1:7" s="30" customFormat="1" ht="14.45">
      <c r="A1060" s="66" t="s">
        <v>162</v>
      </c>
      <c r="B1060" s="67" t="s">
        <v>1687</v>
      </c>
      <c r="C1060" s="68" t="s">
        <v>304</v>
      </c>
      <c r="D1060" s="69" t="s">
        <v>63</v>
      </c>
      <c r="E1060" s="157">
        <v>6550.19</v>
      </c>
      <c r="F1060" s="137">
        <f t="shared" ref="F1060" si="38">C1060*E1060</f>
        <v>6550.19</v>
      </c>
      <c r="G1060" s="217"/>
    </row>
    <row r="1061" spans="1:7" s="30" customFormat="1" ht="13.15" customHeight="1">
      <c r="A1061" s="59"/>
      <c r="B1061" s="100"/>
      <c r="C1061" s="61"/>
      <c r="D1061" s="62"/>
      <c r="E1061" s="157"/>
      <c r="F1061" s="137"/>
      <c r="G1061" s="217"/>
    </row>
    <row r="1062" spans="1:7" s="30" customFormat="1" ht="14.45">
      <c r="A1062" s="66" t="s">
        <v>164</v>
      </c>
      <c r="B1062" s="67" t="s">
        <v>1688</v>
      </c>
      <c r="C1062" s="68" t="s">
        <v>304</v>
      </c>
      <c r="D1062" s="69" t="s">
        <v>63</v>
      </c>
      <c r="E1062" s="157">
        <v>3520.76</v>
      </c>
      <c r="F1062" s="137">
        <f t="shared" ref="F1062" si="39">C1062*E1062</f>
        <v>3520.76</v>
      </c>
      <c r="G1062" s="217"/>
    </row>
    <row r="1063" spans="1:7" s="30" customFormat="1" ht="13.15" customHeight="1">
      <c r="A1063" s="59"/>
      <c r="B1063" s="100"/>
      <c r="C1063" s="61"/>
      <c r="D1063" s="62"/>
      <c r="E1063" s="157"/>
      <c r="F1063" s="137"/>
      <c r="G1063" s="217"/>
    </row>
    <row r="1064" spans="1:7" s="30" customFormat="1" ht="14.45">
      <c r="A1064" s="66" t="s">
        <v>166</v>
      </c>
      <c r="B1064" s="67" t="s">
        <v>1689</v>
      </c>
      <c r="C1064" s="68" t="s">
        <v>304</v>
      </c>
      <c r="D1064" s="69" t="s">
        <v>63</v>
      </c>
      <c r="E1064" s="157">
        <v>4664.99</v>
      </c>
      <c r="F1064" s="137">
        <f t="shared" ref="F1064" si="40">C1064*E1064</f>
        <v>4664.99</v>
      </c>
      <c r="G1064" s="217"/>
    </row>
    <row r="1065" spans="1:7" s="30" customFormat="1" ht="13.15" customHeight="1">
      <c r="A1065" s="59"/>
      <c r="B1065" s="100"/>
      <c r="C1065" s="61"/>
      <c r="D1065" s="62"/>
      <c r="E1065" s="157"/>
      <c r="F1065" s="137"/>
      <c r="G1065" s="217"/>
    </row>
    <row r="1066" spans="1:7" s="30" customFormat="1" ht="14.45">
      <c r="A1066" s="66" t="s">
        <v>168</v>
      </c>
      <c r="B1066" s="67" t="s">
        <v>1690</v>
      </c>
      <c r="C1066" s="68" t="s">
        <v>304</v>
      </c>
      <c r="D1066" s="69" t="s">
        <v>63</v>
      </c>
      <c r="E1066" s="157">
        <v>4580.3100000000004</v>
      </c>
      <c r="F1066" s="137">
        <f t="shared" ref="F1066" si="41">C1066*E1066</f>
        <v>4580.3100000000004</v>
      </c>
      <c r="G1066" s="217"/>
    </row>
    <row r="1067" spans="1:7" s="30" customFormat="1" ht="14.45">
      <c r="A1067" s="59"/>
      <c r="B1067" s="100"/>
      <c r="C1067" s="61"/>
      <c r="D1067" s="62"/>
      <c r="E1067" s="157"/>
      <c r="F1067" s="137"/>
      <c r="G1067" s="217"/>
    </row>
    <row r="1068" spans="1:7" s="30" customFormat="1" ht="14.45">
      <c r="A1068" s="66" t="s">
        <v>170</v>
      </c>
      <c r="B1068" s="67" t="s">
        <v>1691</v>
      </c>
      <c r="C1068" s="68" t="s">
        <v>304</v>
      </c>
      <c r="D1068" s="69" t="s">
        <v>63</v>
      </c>
      <c r="E1068" s="157">
        <v>3540.43</v>
      </c>
      <c r="F1068" s="137">
        <f t="shared" ref="F1068" si="42">C1068*E1068</f>
        <v>3540.43</v>
      </c>
      <c r="G1068" s="217"/>
    </row>
    <row r="1069" spans="1:7" s="30" customFormat="1" ht="14.45">
      <c r="A1069" s="59"/>
      <c r="B1069" s="100"/>
      <c r="C1069" s="61"/>
      <c r="D1069" s="62"/>
      <c r="E1069" s="157"/>
      <c r="F1069" s="137"/>
      <c r="G1069" s="217"/>
    </row>
    <row r="1070" spans="1:7" s="30" customFormat="1" ht="14.45">
      <c r="A1070" s="66" t="s">
        <v>172</v>
      </c>
      <c r="B1070" s="67" t="s">
        <v>1692</v>
      </c>
      <c r="C1070" s="68" t="s">
        <v>39</v>
      </c>
      <c r="D1070" s="69" t="s">
        <v>63</v>
      </c>
      <c r="E1070" s="157">
        <v>4664.99</v>
      </c>
      <c r="F1070" s="137">
        <f t="shared" ref="F1070" si="43">C1070*E1070</f>
        <v>27989.94</v>
      </c>
      <c r="G1070" s="217"/>
    </row>
    <row r="1071" spans="1:7" s="30" customFormat="1" ht="13.15" customHeight="1">
      <c r="A1071" s="59"/>
      <c r="B1071" s="63"/>
      <c r="C1071" s="61"/>
      <c r="D1071" s="62"/>
      <c r="E1071" s="157"/>
      <c r="F1071" s="137"/>
      <c r="G1071" s="217"/>
    </row>
    <row r="1072" spans="1:7" s="30" customFormat="1" ht="14.45">
      <c r="A1072" s="71"/>
      <c r="B1072" s="72"/>
      <c r="C1072" s="73"/>
      <c r="D1072" s="74"/>
      <c r="E1072" s="159"/>
      <c r="F1072" s="138"/>
      <c r="G1072" s="226"/>
    </row>
    <row r="1073" spans="1:7" s="30" customFormat="1" ht="14.45">
      <c r="A1073" s="75"/>
      <c r="B1073" s="76"/>
      <c r="C1073" s="77" t="s">
        <v>30</v>
      </c>
      <c r="D1073" s="77"/>
      <c r="E1073" s="160" t="s">
        <v>8</v>
      </c>
      <c r="F1073" s="139">
        <f>SUM(F1026:F1070)</f>
        <v>86342.05</v>
      </c>
      <c r="G1073" s="227"/>
    </row>
    <row r="1074" spans="1:7" s="30" customFormat="1" ht="14.45">
      <c r="A1074" s="75"/>
      <c r="B1074" s="76"/>
      <c r="C1074" s="78"/>
      <c r="D1074" s="79"/>
      <c r="E1074" s="161"/>
      <c r="F1074" s="140"/>
      <c r="G1074" s="228"/>
    </row>
    <row r="1075" spans="1:7" s="30" customFormat="1" ht="14.45">
      <c r="A1075" s="59"/>
      <c r="B1075" s="63"/>
      <c r="C1075" s="61"/>
      <c r="D1075" s="62"/>
      <c r="E1075" s="157"/>
      <c r="F1075" s="137"/>
      <c r="G1075" s="217"/>
    </row>
    <row r="1076" spans="1:7" s="30" customFormat="1" ht="14.45">
      <c r="A1076" s="59"/>
      <c r="B1076" s="64" t="s">
        <v>1557</v>
      </c>
      <c r="C1076" s="61"/>
      <c r="D1076" s="62"/>
      <c r="E1076" s="157"/>
      <c r="F1076" s="137"/>
      <c r="G1076" s="217"/>
    </row>
    <row r="1077" spans="1:7" s="30" customFormat="1" ht="14.45">
      <c r="A1077" s="59"/>
      <c r="B1077" s="100"/>
      <c r="C1077" s="61"/>
      <c r="D1077" s="62"/>
      <c r="E1077" s="157"/>
      <c r="F1077" s="137"/>
      <c r="G1077" s="217"/>
    </row>
    <row r="1078" spans="1:7" s="30" customFormat="1" ht="14.45">
      <c r="A1078" s="66" t="s">
        <v>14</v>
      </c>
      <c r="B1078" s="67" t="s">
        <v>1693</v>
      </c>
      <c r="C1078" s="68" t="s">
        <v>304</v>
      </c>
      <c r="D1078" s="69" t="s">
        <v>63</v>
      </c>
      <c r="E1078" s="157">
        <v>4580.3100000000004</v>
      </c>
      <c r="F1078" s="137">
        <f t="shared" ref="F1078" si="44">C1078*E1078</f>
        <v>4580.3100000000004</v>
      </c>
      <c r="G1078" s="217"/>
    </row>
    <row r="1079" spans="1:7" s="30" customFormat="1" ht="14.45">
      <c r="A1079" s="59"/>
      <c r="B1079" s="100"/>
      <c r="C1079" s="61"/>
      <c r="D1079" s="62"/>
      <c r="E1079" s="157"/>
      <c r="F1079" s="137"/>
      <c r="G1079" s="217"/>
    </row>
    <row r="1080" spans="1:7" s="30" customFormat="1" ht="14.45">
      <c r="A1080" s="66" t="s">
        <v>17</v>
      </c>
      <c r="B1080" s="67" t="s">
        <v>1694</v>
      </c>
      <c r="C1080" s="68" t="s">
        <v>304</v>
      </c>
      <c r="D1080" s="69" t="s">
        <v>63</v>
      </c>
      <c r="E1080" s="157">
        <v>4922.25</v>
      </c>
      <c r="F1080" s="137">
        <f t="shared" ref="F1080" si="45">C1080*E1080</f>
        <v>4922.25</v>
      </c>
      <c r="G1080" s="217"/>
    </row>
    <row r="1081" spans="1:7" s="30" customFormat="1" ht="14.45">
      <c r="A1081" s="59"/>
      <c r="B1081" s="100"/>
      <c r="C1081" s="61"/>
      <c r="D1081" s="62"/>
      <c r="E1081" s="157"/>
      <c r="F1081" s="137"/>
      <c r="G1081" s="217"/>
    </row>
    <row r="1082" spans="1:7" s="30" customFormat="1" ht="14.45">
      <c r="A1082" s="66" t="s">
        <v>20</v>
      </c>
      <c r="B1082" s="67" t="s">
        <v>1695</v>
      </c>
      <c r="C1082" s="68" t="s">
        <v>304</v>
      </c>
      <c r="D1082" s="69" t="s">
        <v>63</v>
      </c>
      <c r="E1082" s="157">
        <v>6127.88</v>
      </c>
      <c r="F1082" s="137">
        <f t="shared" ref="F1082" si="46">C1082*E1082</f>
        <v>6127.88</v>
      </c>
      <c r="G1082" s="217"/>
    </row>
    <row r="1083" spans="1:7" s="30" customFormat="1" ht="14.45">
      <c r="A1083" s="59"/>
      <c r="B1083" s="100"/>
      <c r="C1083" s="61"/>
      <c r="D1083" s="62"/>
      <c r="E1083" s="157"/>
      <c r="F1083" s="137"/>
      <c r="G1083" s="217"/>
    </row>
    <row r="1084" spans="1:7" s="30" customFormat="1" ht="14.45">
      <c r="A1084" s="66" t="s">
        <v>23</v>
      </c>
      <c r="B1084" s="67" t="s">
        <v>1696</v>
      </c>
      <c r="C1084" s="68" t="s">
        <v>335</v>
      </c>
      <c r="D1084" s="69" t="s">
        <v>63</v>
      </c>
      <c r="E1084" s="157">
        <v>6127.88</v>
      </c>
      <c r="F1084" s="137">
        <f t="shared" ref="F1084" si="47">C1084*E1084</f>
        <v>18383.64</v>
      </c>
      <c r="G1084" s="217"/>
    </row>
    <row r="1085" spans="1:7" s="30" customFormat="1" ht="14.45">
      <c r="A1085" s="59"/>
      <c r="B1085" s="100"/>
      <c r="C1085" s="61"/>
      <c r="D1085" s="62"/>
      <c r="E1085" s="157"/>
      <c r="F1085" s="137"/>
      <c r="G1085" s="217"/>
    </row>
    <row r="1086" spans="1:7" s="30" customFormat="1" ht="14.45">
      <c r="A1086" s="66" t="s">
        <v>27</v>
      </c>
      <c r="B1086" s="67" t="s">
        <v>1697</v>
      </c>
      <c r="C1086" s="68" t="s">
        <v>304</v>
      </c>
      <c r="D1086" s="69" t="s">
        <v>63</v>
      </c>
      <c r="E1086" s="157">
        <v>5512.4</v>
      </c>
      <c r="F1086" s="137">
        <f t="shared" ref="F1086" si="48">C1086*E1086</f>
        <v>5512.4</v>
      </c>
      <c r="G1086" s="217"/>
    </row>
    <row r="1087" spans="1:7" s="30" customFormat="1" ht="14.45">
      <c r="A1087" s="59"/>
      <c r="B1087" s="100"/>
      <c r="C1087" s="61"/>
      <c r="D1087" s="62"/>
      <c r="E1087" s="157"/>
      <c r="F1087" s="137"/>
      <c r="G1087" s="217"/>
    </row>
    <row r="1088" spans="1:7" s="30" customFormat="1" ht="14.45">
      <c r="A1088" s="66" t="s">
        <v>44</v>
      </c>
      <c r="B1088" s="67" t="s">
        <v>1698</v>
      </c>
      <c r="C1088" s="68" t="s">
        <v>304</v>
      </c>
      <c r="D1088" s="69" t="s">
        <v>63</v>
      </c>
      <c r="E1088" s="157">
        <v>5364.86</v>
      </c>
      <c r="F1088" s="137">
        <f t="shared" ref="F1088" si="49">C1088*E1088</f>
        <v>5364.86</v>
      </c>
      <c r="G1088" s="217"/>
    </row>
    <row r="1089" spans="1:7" s="30" customFormat="1" ht="14.45">
      <c r="A1089" s="59"/>
      <c r="B1089" s="100"/>
      <c r="C1089" s="61"/>
      <c r="D1089" s="62"/>
      <c r="E1089" s="157"/>
      <c r="F1089" s="137"/>
      <c r="G1089" s="217"/>
    </row>
    <row r="1090" spans="1:7" s="30" customFormat="1" ht="14.45">
      <c r="A1090" s="66"/>
      <c r="B1090" s="98" t="s">
        <v>1699</v>
      </c>
      <c r="C1090" s="68"/>
      <c r="D1090" s="69"/>
      <c r="E1090" s="157"/>
      <c r="F1090" s="137"/>
      <c r="G1090" s="217"/>
    </row>
    <row r="1091" spans="1:7" s="30" customFormat="1" ht="14.45">
      <c r="A1091" s="59"/>
      <c r="B1091" s="100"/>
      <c r="C1091" s="61"/>
      <c r="D1091" s="62"/>
      <c r="E1091" s="157"/>
      <c r="F1091" s="137"/>
      <c r="G1091" s="217"/>
    </row>
    <row r="1092" spans="1:7" s="30" customFormat="1" ht="14.45">
      <c r="A1092" s="66" t="s">
        <v>48</v>
      </c>
      <c r="B1092" s="67" t="s">
        <v>1598</v>
      </c>
      <c r="C1092" s="68" t="s">
        <v>304</v>
      </c>
      <c r="D1092" s="69" t="s">
        <v>63</v>
      </c>
      <c r="E1092" s="157">
        <v>1793.99</v>
      </c>
      <c r="F1092" s="137">
        <f t="shared" ref="F1092" si="50">C1092*E1092</f>
        <v>1793.99</v>
      </c>
      <c r="G1092" s="217"/>
    </row>
    <row r="1093" spans="1:7" s="30" customFormat="1" ht="14.45">
      <c r="A1093" s="59"/>
      <c r="B1093" s="100"/>
      <c r="C1093" s="61"/>
      <c r="D1093" s="62"/>
      <c r="E1093" s="157"/>
      <c r="F1093" s="137"/>
      <c r="G1093" s="217"/>
    </row>
    <row r="1094" spans="1:7" s="30" customFormat="1" ht="14.45">
      <c r="A1094" s="66" t="s">
        <v>84</v>
      </c>
      <c r="B1094" s="67" t="s">
        <v>1608</v>
      </c>
      <c r="C1094" s="68" t="s">
        <v>304</v>
      </c>
      <c r="D1094" s="69" t="s">
        <v>63</v>
      </c>
      <c r="E1094" s="157">
        <v>2014.18</v>
      </c>
      <c r="F1094" s="137">
        <f t="shared" ref="F1094" si="51">C1094*E1094</f>
        <v>2014.18</v>
      </c>
      <c r="G1094" s="217"/>
    </row>
    <row r="1095" spans="1:7" s="30" customFormat="1" ht="14.45">
      <c r="A1095" s="59"/>
      <c r="B1095" s="100"/>
      <c r="C1095" s="61"/>
      <c r="D1095" s="62"/>
      <c r="E1095" s="157"/>
      <c r="F1095" s="137"/>
      <c r="G1095" s="217"/>
    </row>
    <row r="1096" spans="1:7" s="30" customFormat="1" ht="41.45">
      <c r="A1096" s="66"/>
      <c r="B1096" s="98" t="s">
        <v>1700</v>
      </c>
      <c r="C1096" s="68"/>
      <c r="D1096" s="69"/>
      <c r="E1096" s="157"/>
      <c r="F1096" s="137"/>
      <c r="G1096" s="217"/>
    </row>
    <row r="1097" spans="1:7" s="30" customFormat="1" ht="14.45">
      <c r="A1097" s="59"/>
      <c r="B1097" s="100"/>
      <c r="C1097" s="61"/>
      <c r="D1097" s="62"/>
      <c r="E1097" s="157"/>
      <c r="F1097" s="137"/>
      <c r="G1097" s="217"/>
    </row>
    <row r="1098" spans="1:7" s="30" customFormat="1" ht="14.45">
      <c r="A1098" s="66"/>
      <c r="B1098" s="98" t="s">
        <v>1701</v>
      </c>
      <c r="C1098" s="68"/>
      <c r="D1098" s="69"/>
      <c r="E1098" s="157"/>
      <c r="F1098" s="137"/>
      <c r="G1098" s="217"/>
    </row>
    <row r="1099" spans="1:7" s="30" customFormat="1" ht="14.45">
      <c r="A1099" s="59"/>
      <c r="B1099" s="100"/>
      <c r="C1099" s="61"/>
      <c r="D1099" s="62"/>
      <c r="E1099" s="157"/>
      <c r="F1099" s="137"/>
      <c r="G1099" s="217"/>
    </row>
    <row r="1100" spans="1:7" s="30" customFormat="1" ht="14.45">
      <c r="A1100" s="66" t="s">
        <v>86</v>
      </c>
      <c r="B1100" s="67" t="s">
        <v>1702</v>
      </c>
      <c r="C1100" s="68" t="s">
        <v>39</v>
      </c>
      <c r="D1100" s="69" t="s">
        <v>63</v>
      </c>
      <c r="E1100" s="157">
        <v>160.81</v>
      </c>
      <c r="F1100" s="137">
        <f t="shared" ref="F1100" si="52">C1100*E1100</f>
        <v>964.86</v>
      </c>
      <c r="G1100" s="217"/>
    </row>
    <row r="1101" spans="1:7" s="30" customFormat="1" ht="14.45">
      <c r="A1101" s="59"/>
      <c r="B1101" s="100"/>
      <c r="C1101" s="61"/>
      <c r="D1101" s="62"/>
      <c r="E1101" s="157"/>
      <c r="F1101" s="137"/>
      <c r="G1101" s="217"/>
    </row>
    <row r="1102" spans="1:7" s="30" customFormat="1" ht="14.45">
      <c r="A1102" s="66" t="s">
        <v>90</v>
      </c>
      <c r="B1102" s="67" t="s">
        <v>1703</v>
      </c>
      <c r="C1102" s="68" t="s">
        <v>501</v>
      </c>
      <c r="D1102" s="69" t="s">
        <v>63</v>
      </c>
      <c r="E1102" s="157">
        <v>179.48</v>
      </c>
      <c r="F1102" s="137">
        <f t="shared" ref="F1102" si="53">C1102*E1102</f>
        <v>8435.56</v>
      </c>
      <c r="G1102" s="217"/>
    </row>
    <row r="1103" spans="1:7" s="30" customFormat="1" ht="14.45">
      <c r="A1103" s="59"/>
      <c r="B1103" s="100"/>
      <c r="C1103" s="61"/>
      <c r="D1103" s="62"/>
      <c r="E1103" s="157"/>
      <c r="F1103" s="137"/>
      <c r="G1103" s="217"/>
    </row>
    <row r="1104" spans="1:7" s="30" customFormat="1" ht="14.45">
      <c r="A1104" s="66" t="s">
        <v>92</v>
      </c>
      <c r="B1104" s="67" t="s">
        <v>1704</v>
      </c>
      <c r="C1104" s="68" t="s">
        <v>304</v>
      </c>
      <c r="D1104" s="69" t="s">
        <v>63</v>
      </c>
      <c r="E1104" s="157">
        <v>379.24</v>
      </c>
      <c r="F1104" s="137">
        <f t="shared" ref="F1104" si="54">C1104*E1104</f>
        <v>379.24</v>
      </c>
      <c r="G1104" s="217"/>
    </row>
    <row r="1105" spans="1:7" s="30" customFormat="1" ht="14.45">
      <c r="A1105" s="59"/>
      <c r="B1105" s="100"/>
      <c r="C1105" s="61"/>
      <c r="D1105" s="62"/>
      <c r="E1105" s="157"/>
      <c r="F1105" s="137"/>
      <c r="G1105" s="217"/>
    </row>
    <row r="1106" spans="1:7" s="30" customFormat="1" ht="14.45">
      <c r="A1106" s="66"/>
      <c r="B1106" s="98" t="s">
        <v>1705</v>
      </c>
      <c r="C1106" s="68"/>
      <c r="D1106" s="69"/>
      <c r="E1106" s="157"/>
      <c r="F1106" s="137"/>
      <c r="G1106" s="217"/>
    </row>
    <row r="1107" spans="1:7" s="30" customFormat="1" ht="14.45">
      <c r="A1107" s="59"/>
      <c r="B1107" s="100"/>
      <c r="C1107" s="61"/>
      <c r="D1107" s="62"/>
      <c r="E1107" s="157"/>
      <c r="F1107" s="137"/>
      <c r="G1107" s="217"/>
    </row>
    <row r="1108" spans="1:7" s="30" customFormat="1" ht="14.45">
      <c r="A1108" s="66" t="s">
        <v>94</v>
      </c>
      <c r="B1108" s="67" t="s">
        <v>1706</v>
      </c>
      <c r="C1108" s="68" t="s">
        <v>1707</v>
      </c>
      <c r="D1108" s="69" t="s">
        <v>63</v>
      </c>
      <c r="E1108" s="157">
        <v>156.94999999999999</v>
      </c>
      <c r="F1108" s="137">
        <f t="shared" ref="F1108" si="55">C1108*E1108</f>
        <v>10358.699999999999</v>
      </c>
      <c r="G1108" s="217"/>
    </row>
    <row r="1109" spans="1:7" s="30" customFormat="1" ht="14.45">
      <c r="A1109" s="59"/>
      <c r="B1109" s="100"/>
      <c r="C1109" s="61"/>
      <c r="D1109" s="62"/>
      <c r="E1109" s="157"/>
      <c r="F1109" s="137"/>
      <c r="G1109" s="217"/>
    </row>
    <row r="1110" spans="1:7" s="30" customFormat="1" ht="14.45">
      <c r="A1110" s="66" t="s">
        <v>140</v>
      </c>
      <c r="B1110" s="67" t="s">
        <v>1708</v>
      </c>
      <c r="C1110" s="68" t="s">
        <v>304</v>
      </c>
      <c r="D1110" s="69" t="s">
        <v>63</v>
      </c>
      <c r="E1110" s="157">
        <v>281.51</v>
      </c>
      <c r="F1110" s="137">
        <f t="shared" ref="F1110" si="56">C1110*E1110</f>
        <v>281.51</v>
      </c>
      <c r="G1110" s="217"/>
    </row>
    <row r="1111" spans="1:7" s="30" customFormat="1" ht="14.45">
      <c r="A1111" s="59"/>
      <c r="B1111" s="100"/>
      <c r="C1111" s="61"/>
      <c r="D1111" s="62"/>
      <c r="E1111" s="157"/>
      <c r="F1111" s="137"/>
      <c r="G1111" s="217"/>
    </row>
    <row r="1112" spans="1:7" s="30" customFormat="1" ht="14.45">
      <c r="A1112" s="66" t="s">
        <v>159</v>
      </c>
      <c r="B1112" s="67" t="s">
        <v>1709</v>
      </c>
      <c r="C1112" s="68" t="s">
        <v>304</v>
      </c>
      <c r="D1112" s="69" t="s">
        <v>63</v>
      </c>
      <c r="E1112" s="157">
        <v>851.37</v>
      </c>
      <c r="F1112" s="137">
        <f t="shared" ref="F1112" si="57">C1112*E1112</f>
        <v>851.37</v>
      </c>
      <c r="G1112" s="217"/>
    </row>
    <row r="1113" spans="1:7" s="30" customFormat="1" ht="14.45">
      <c r="A1113" s="59"/>
      <c r="B1113" s="100"/>
      <c r="C1113" s="61"/>
      <c r="D1113" s="62"/>
      <c r="E1113" s="157"/>
      <c r="F1113" s="137"/>
      <c r="G1113" s="217"/>
    </row>
    <row r="1114" spans="1:7" s="30" customFormat="1" ht="14.45">
      <c r="A1114" s="59"/>
      <c r="B1114" s="63"/>
      <c r="C1114" s="61"/>
      <c r="D1114" s="62"/>
      <c r="E1114" s="157"/>
      <c r="F1114" s="137"/>
      <c r="G1114" s="217"/>
    </row>
    <row r="1115" spans="1:7" s="30" customFormat="1" ht="14.45">
      <c r="A1115" s="59"/>
      <c r="B1115" s="63"/>
      <c r="C1115" s="61"/>
      <c r="D1115" s="62"/>
      <c r="E1115" s="157"/>
      <c r="F1115" s="137"/>
      <c r="G1115" s="217"/>
    </row>
    <row r="1116" spans="1:7" s="30" customFormat="1" ht="14.45">
      <c r="A1116" s="59"/>
      <c r="B1116" s="63"/>
      <c r="C1116" s="61"/>
      <c r="D1116" s="62"/>
      <c r="E1116" s="157"/>
      <c r="F1116" s="137"/>
      <c r="G1116" s="217"/>
    </row>
    <row r="1117" spans="1:7" s="30" customFormat="1" ht="14.45">
      <c r="A1117" s="59"/>
      <c r="B1117" s="63"/>
      <c r="C1117" s="61"/>
      <c r="D1117" s="62"/>
      <c r="E1117" s="157"/>
      <c r="F1117" s="137"/>
      <c r="G1117" s="217"/>
    </row>
    <row r="1118" spans="1:7" s="30" customFormat="1" ht="14.45">
      <c r="A1118" s="71"/>
      <c r="B1118" s="72"/>
      <c r="C1118" s="73"/>
      <c r="D1118" s="74"/>
      <c r="E1118" s="159"/>
      <c r="F1118" s="138"/>
      <c r="G1118" s="226"/>
    </row>
    <row r="1119" spans="1:7" s="30" customFormat="1" ht="14.45">
      <c r="A1119" s="75"/>
      <c r="B1119" s="76"/>
      <c r="C1119" s="77" t="s">
        <v>30</v>
      </c>
      <c r="D1119" s="77"/>
      <c r="E1119" s="160" t="s">
        <v>8</v>
      </c>
      <c r="F1119" s="139">
        <f>SUM(F1076:F1115)</f>
        <v>69970.749999999985</v>
      </c>
      <c r="G1119" s="227"/>
    </row>
    <row r="1120" spans="1:7" s="30" customFormat="1" ht="14.45">
      <c r="A1120" s="75"/>
      <c r="B1120" s="76"/>
      <c r="C1120" s="78"/>
      <c r="D1120" s="79"/>
      <c r="E1120" s="161"/>
      <c r="F1120" s="140"/>
      <c r="G1120" s="228"/>
    </row>
    <row r="1121" spans="1:7" s="30" customFormat="1" ht="14.45">
      <c r="A1121" s="59"/>
      <c r="B1121" s="63"/>
      <c r="C1121" s="61"/>
      <c r="D1121" s="62"/>
      <c r="E1121" s="157"/>
      <c r="F1121" s="137"/>
      <c r="G1121" s="217"/>
    </row>
    <row r="1122" spans="1:7" s="30" customFormat="1" ht="14.45">
      <c r="A1122" s="59"/>
      <c r="B1122" s="64" t="s">
        <v>1557</v>
      </c>
      <c r="C1122" s="61"/>
      <c r="D1122" s="62"/>
      <c r="E1122" s="157"/>
      <c r="F1122" s="137"/>
      <c r="G1122" s="217"/>
    </row>
    <row r="1123" spans="1:7" s="30" customFormat="1" ht="14.45">
      <c r="A1123" s="59"/>
      <c r="B1123" s="100"/>
      <c r="C1123" s="61"/>
      <c r="D1123" s="62"/>
      <c r="E1123" s="157"/>
      <c r="F1123" s="137"/>
      <c r="G1123" s="217"/>
    </row>
    <row r="1124" spans="1:7" s="30" customFormat="1" ht="14.45">
      <c r="A1124" s="66"/>
      <c r="B1124" s="98" t="s">
        <v>1710</v>
      </c>
      <c r="C1124" s="68"/>
      <c r="D1124" s="69"/>
      <c r="E1124" s="157"/>
      <c r="F1124" s="137"/>
      <c r="G1124" s="217"/>
    </row>
    <row r="1125" spans="1:7" s="30" customFormat="1" ht="13.5" customHeight="1">
      <c r="A1125" s="59"/>
      <c r="B1125" s="100"/>
      <c r="C1125" s="61"/>
      <c r="D1125" s="62"/>
      <c r="E1125" s="157"/>
      <c r="F1125" s="137"/>
      <c r="G1125" s="217"/>
    </row>
    <row r="1126" spans="1:7" s="30" customFormat="1" ht="14.45">
      <c r="A1126" s="66" t="s">
        <v>14</v>
      </c>
      <c r="B1126" s="67" t="s">
        <v>1711</v>
      </c>
      <c r="C1126" s="68" t="s">
        <v>1712</v>
      </c>
      <c r="D1126" s="69" t="s">
        <v>63</v>
      </c>
      <c r="E1126" s="157">
        <v>489.3</v>
      </c>
      <c r="F1126" s="137">
        <f t="shared" ref="F1126" si="58">C1126*E1126</f>
        <v>246607.2</v>
      </c>
      <c r="G1126" s="217"/>
    </row>
    <row r="1127" spans="1:7" s="30" customFormat="1" ht="13.5" customHeight="1">
      <c r="A1127" s="59"/>
      <c r="B1127" s="100"/>
      <c r="C1127" s="61"/>
      <c r="D1127" s="62"/>
      <c r="E1127" s="157"/>
      <c r="F1127" s="137"/>
      <c r="G1127" s="217"/>
    </row>
    <row r="1128" spans="1:7" s="30" customFormat="1" ht="14.45">
      <c r="A1128" s="66" t="s">
        <v>17</v>
      </c>
      <c r="B1128" s="67" t="s">
        <v>1713</v>
      </c>
      <c r="C1128" s="68" t="s">
        <v>1123</v>
      </c>
      <c r="D1128" s="69" t="s">
        <v>63</v>
      </c>
      <c r="E1128" s="157">
        <v>978.6</v>
      </c>
      <c r="F1128" s="137">
        <f t="shared" ref="F1128" si="59">C1128*E1128</f>
        <v>43058.400000000001</v>
      </c>
      <c r="G1128" s="217"/>
    </row>
    <row r="1129" spans="1:7" s="30" customFormat="1" ht="13.5" customHeight="1">
      <c r="A1129" s="59"/>
      <c r="B1129" s="100"/>
      <c r="C1129" s="61"/>
      <c r="D1129" s="62"/>
      <c r="E1129" s="157"/>
      <c r="F1129" s="137"/>
      <c r="G1129" s="217"/>
    </row>
    <row r="1130" spans="1:7" s="30" customFormat="1" ht="14.45">
      <c r="A1130" s="66" t="s">
        <v>20</v>
      </c>
      <c r="B1130" s="67" t="s">
        <v>1714</v>
      </c>
      <c r="C1130" s="68" t="s">
        <v>1715</v>
      </c>
      <c r="D1130" s="69" t="s">
        <v>63</v>
      </c>
      <c r="E1130" s="157">
        <v>736.21</v>
      </c>
      <c r="F1130" s="137">
        <f t="shared" ref="F1130" si="60">C1130*E1130</f>
        <v>461603.67000000004</v>
      </c>
      <c r="G1130" s="217"/>
    </row>
    <row r="1131" spans="1:7" s="30" customFormat="1" ht="13.5" customHeight="1">
      <c r="A1131" s="59"/>
      <c r="B1131" s="100"/>
      <c r="C1131" s="61"/>
      <c r="D1131" s="62"/>
      <c r="E1131" s="157"/>
      <c r="F1131" s="137"/>
      <c r="G1131" s="217"/>
    </row>
    <row r="1132" spans="1:7" s="30" customFormat="1" ht="14.45">
      <c r="A1132" s="66" t="s">
        <v>23</v>
      </c>
      <c r="B1132" s="67" t="s">
        <v>1716</v>
      </c>
      <c r="C1132" s="68" t="s">
        <v>332</v>
      </c>
      <c r="D1132" s="69" t="s">
        <v>63</v>
      </c>
      <c r="E1132" s="157">
        <v>1472.4</v>
      </c>
      <c r="F1132" s="137">
        <f t="shared" ref="F1132" si="61">C1132*E1132</f>
        <v>14724</v>
      </c>
      <c r="G1132" s="217"/>
    </row>
    <row r="1133" spans="1:7" s="30" customFormat="1" ht="13.5" customHeight="1">
      <c r="A1133" s="59"/>
      <c r="B1133" s="100"/>
      <c r="C1133" s="61"/>
      <c r="D1133" s="62"/>
      <c r="E1133" s="157"/>
      <c r="F1133" s="137"/>
      <c r="G1133" s="217"/>
    </row>
    <row r="1134" spans="1:7" s="30" customFormat="1" ht="14.45">
      <c r="A1134" s="66"/>
      <c r="B1134" s="98" t="s">
        <v>1717</v>
      </c>
      <c r="C1134" s="68"/>
      <c r="D1134" s="69"/>
      <c r="E1134" s="157"/>
      <c r="F1134" s="137"/>
      <c r="G1134" s="217"/>
    </row>
    <row r="1135" spans="1:7" s="30" customFormat="1" ht="13.5" customHeight="1">
      <c r="A1135" s="59"/>
      <c r="B1135" s="100"/>
      <c r="C1135" s="61"/>
      <c r="D1135" s="62"/>
      <c r="E1135" s="157"/>
      <c r="F1135" s="137"/>
      <c r="G1135" s="217"/>
    </row>
    <row r="1136" spans="1:7" s="30" customFormat="1" ht="14.45">
      <c r="A1136" s="66" t="s">
        <v>27</v>
      </c>
      <c r="B1136" s="67" t="s">
        <v>1718</v>
      </c>
      <c r="C1136" s="68" t="s">
        <v>779</v>
      </c>
      <c r="D1136" s="69" t="s">
        <v>63</v>
      </c>
      <c r="E1136" s="157">
        <v>116.26</v>
      </c>
      <c r="F1136" s="137">
        <f t="shared" ref="F1136" si="62">C1136*E1136</f>
        <v>30227.600000000002</v>
      </c>
      <c r="G1136" s="217"/>
    </row>
    <row r="1137" spans="1:7" s="30" customFormat="1" ht="13.5" customHeight="1">
      <c r="A1137" s="59"/>
      <c r="B1137" s="100"/>
      <c r="C1137" s="61"/>
      <c r="D1137" s="62"/>
      <c r="E1137" s="157"/>
      <c r="F1137" s="137"/>
      <c r="G1137" s="217"/>
    </row>
    <row r="1138" spans="1:7" s="30" customFormat="1" ht="14.45">
      <c r="A1138" s="66" t="s">
        <v>44</v>
      </c>
      <c r="B1138" s="67" t="s">
        <v>1719</v>
      </c>
      <c r="C1138" s="68" t="s">
        <v>335</v>
      </c>
      <c r="D1138" s="69" t="s">
        <v>63</v>
      </c>
      <c r="E1138" s="157">
        <v>174.38</v>
      </c>
      <c r="F1138" s="137">
        <f t="shared" ref="F1138" si="63">C1138*E1138</f>
        <v>523.14</v>
      </c>
      <c r="G1138" s="217"/>
    </row>
    <row r="1139" spans="1:7" s="30" customFormat="1" ht="13.5" customHeight="1">
      <c r="A1139" s="59"/>
      <c r="B1139" s="100"/>
      <c r="C1139" s="61"/>
      <c r="D1139" s="62"/>
      <c r="E1139" s="157"/>
      <c r="F1139" s="137"/>
      <c r="G1139" s="217"/>
    </row>
    <row r="1140" spans="1:7" s="30" customFormat="1" ht="14.45">
      <c r="A1140" s="66" t="s">
        <v>48</v>
      </c>
      <c r="B1140" s="67" t="s">
        <v>1720</v>
      </c>
      <c r="C1140" s="68" t="s">
        <v>1721</v>
      </c>
      <c r="D1140" s="69" t="s">
        <v>63</v>
      </c>
      <c r="E1140" s="157">
        <v>232.51</v>
      </c>
      <c r="F1140" s="137">
        <f t="shared" ref="F1140" si="64">C1140*E1140</f>
        <v>46269.49</v>
      </c>
      <c r="G1140" s="217"/>
    </row>
    <row r="1141" spans="1:7" s="30" customFormat="1" ht="13.5" customHeight="1">
      <c r="A1141" s="59"/>
      <c r="B1141" s="100"/>
      <c r="C1141" s="61"/>
      <c r="D1141" s="62"/>
      <c r="E1141" s="157"/>
      <c r="F1141" s="137"/>
      <c r="G1141" s="217"/>
    </row>
    <row r="1142" spans="1:7" s="30" customFormat="1" ht="14.45">
      <c r="A1142" s="66" t="s">
        <v>84</v>
      </c>
      <c r="B1142" s="67" t="s">
        <v>1722</v>
      </c>
      <c r="C1142" s="68" t="s">
        <v>152</v>
      </c>
      <c r="D1142" s="69" t="s">
        <v>63</v>
      </c>
      <c r="E1142" s="157">
        <v>290.64</v>
      </c>
      <c r="F1142" s="137">
        <f t="shared" ref="F1142" si="65">C1142*E1142</f>
        <v>581.28</v>
      </c>
      <c r="G1142" s="217"/>
    </row>
    <row r="1143" spans="1:7" s="30" customFormat="1" ht="13.5" customHeight="1">
      <c r="A1143" s="59"/>
      <c r="B1143" s="100"/>
      <c r="C1143" s="61"/>
      <c r="D1143" s="62"/>
      <c r="E1143" s="157"/>
      <c r="F1143" s="137"/>
      <c r="G1143" s="217"/>
    </row>
    <row r="1144" spans="1:7" s="30" customFormat="1" ht="14.45">
      <c r="A1144" s="66" t="s">
        <v>86</v>
      </c>
      <c r="B1144" s="67" t="s">
        <v>1723</v>
      </c>
      <c r="C1144" s="68" t="s">
        <v>304</v>
      </c>
      <c r="D1144" s="69" t="s">
        <v>63</v>
      </c>
      <c r="E1144" s="157">
        <v>348.77</v>
      </c>
      <c r="F1144" s="137">
        <f t="shared" ref="F1144:F1166" si="66">C1144*E1144</f>
        <v>348.77</v>
      </c>
      <c r="G1144" s="217"/>
    </row>
    <row r="1145" spans="1:7" s="30" customFormat="1" ht="13.5" customHeight="1">
      <c r="A1145" s="59"/>
      <c r="B1145" s="100"/>
      <c r="C1145" s="61"/>
      <c r="D1145" s="62"/>
      <c r="E1145" s="157"/>
      <c r="F1145" s="137"/>
      <c r="G1145" s="217"/>
    </row>
    <row r="1146" spans="1:7" s="30" customFormat="1" ht="14.45">
      <c r="A1146" s="66" t="s">
        <v>90</v>
      </c>
      <c r="B1146" s="67" t="s">
        <v>1724</v>
      </c>
      <c r="C1146" s="68" t="s">
        <v>335</v>
      </c>
      <c r="D1146" s="69" t="s">
        <v>63</v>
      </c>
      <c r="E1146" s="157">
        <v>465.02</v>
      </c>
      <c r="F1146" s="137">
        <f t="shared" si="66"/>
        <v>1395.06</v>
      </c>
      <c r="G1146" s="217"/>
    </row>
    <row r="1147" spans="1:7" s="30" customFormat="1" ht="13.5" customHeight="1">
      <c r="A1147" s="59"/>
      <c r="B1147" s="100"/>
      <c r="C1147" s="61"/>
      <c r="D1147" s="62"/>
      <c r="E1147" s="157"/>
      <c r="F1147" s="137"/>
      <c r="G1147" s="217"/>
    </row>
    <row r="1148" spans="1:7" s="30" customFormat="1" ht="14.45">
      <c r="A1148" s="66" t="s">
        <v>92</v>
      </c>
      <c r="B1148" s="67" t="s">
        <v>1725</v>
      </c>
      <c r="C1148" s="68" t="s">
        <v>304</v>
      </c>
      <c r="D1148" s="69" t="s">
        <v>63</v>
      </c>
      <c r="E1148" s="157">
        <v>581.28</v>
      </c>
      <c r="F1148" s="137">
        <f t="shared" si="66"/>
        <v>581.28</v>
      </c>
      <c r="G1148" s="217"/>
    </row>
    <row r="1149" spans="1:7" s="30" customFormat="1" ht="13.5" customHeight="1">
      <c r="A1149" s="59"/>
      <c r="B1149" s="100"/>
      <c r="C1149" s="61"/>
      <c r="D1149" s="62"/>
      <c r="E1149" s="157"/>
      <c r="F1149" s="137"/>
      <c r="G1149" s="217"/>
    </row>
    <row r="1150" spans="1:7" s="30" customFormat="1" ht="14.45">
      <c r="A1150" s="66" t="s">
        <v>94</v>
      </c>
      <c r="B1150" s="67" t="s">
        <v>1726</v>
      </c>
      <c r="C1150" s="68" t="s">
        <v>304</v>
      </c>
      <c r="D1150" s="69" t="s">
        <v>63</v>
      </c>
      <c r="E1150" s="157">
        <v>813.79</v>
      </c>
      <c r="F1150" s="137">
        <f t="shared" si="66"/>
        <v>813.79</v>
      </c>
      <c r="G1150" s="217"/>
    </row>
    <row r="1151" spans="1:7" s="30" customFormat="1" ht="13.5" customHeight="1">
      <c r="A1151" s="59"/>
      <c r="B1151" s="100"/>
      <c r="C1151" s="61"/>
      <c r="D1151" s="62"/>
      <c r="E1151" s="157"/>
      <c r="F1151" s="137"/>
      <c r="G1151" s="217"/>
    </row>
    <row r="1152" spans="1:7" s="30" customFormat="1" ht="14.45">
      <c r="A1152" s="66" t="s">
        <v>140</v>
      </c>
      <c r="B1152" s="67" t="s">
        <v>1727</v>
      </c>
      <c r="C1152" s="68" t="s">
        <v>304</v>
      </c>
      <c r="D1152" s="69" t="s">
        <v>63</v>
      </c>
      <c r="E1152" s="157">
        <v>871.92</v>
      </c>
      <c r="F1152" s="137">
        <f t="shared" si="66"/>
        <v>871.92</v>
      </c>
      <c r="G1152" s="217"/>
    </row>
    <row r="1153" spans="1:7" s="30" customFormat="1" ht="13.5" customHeight="1">
      <c r="A1153" s="59"/>
      <c r="B1153" s="100"/>
      <c r="C1153" s="61"/>
      <c r="D1153" s="62"/>
      <c r="E1153" s="157"/>
      <c r="F1153" s="137"/>
      <c r="G1153" s="217"/>
    </row>
    <row r="1154" spans="1:7" s="30" customFormat="1" ht="14.45">
      <c r="A1154" s="66" t="s">
        <v>159</v>
      </c>
      <c r="B1154" s="67" t="s">
        <v>1728</v>
      </c>
      <c r="C1154" s="68" t="s">
        <v>304</v>
      </c>
      <c r="D1154" s="69" t="s">
        <v>63</v>
      </c>
      <c r="E1154" s="157">
        <v>1162.56</v>
      </c>
      <c r="F1154" s="137">
        <f t="shared" si="66"/>
        <v>1162.56</v>
      </c>
      <c r="G1154" s="217"/>
    </row>
    <row r="1155" spans="1:7" s="30" customFormat="1" ht="13.5" customHeight="1">
      <c r="A1155" s="59"/>
      <c r="B1155" s="100"/>
      <c r="C1155" s="61"/>
      <c r="D1155" s="62"/>
      <c r="E1155" s="157"/>
      <c r="F1155" s="137"/>
      <c r="G1155" s="217"/>
    </row>
    <row r="1156" spans="1:7" s="30" customFormat="1" ht="14.45">
      <c r="A1156" s="66" t="s">
        <v>162</v>
      </c>
      <c r="B1156" s="67" t="s">
        <v>1729</v>
      </c>
      <c r="C1156" s="68" t="s">
        <v>304</v>
      </c>
      <c r="D1156" s="69" t="s">
        <v>63</v>
      </c>
      <c r="E1156" s="157">
        <v>1278.81</v>
      </c>
      <c r="F1156" s="137">
        <f t="shared" si="66"/>
        <v>1278.81</v>
      </c>
      <c r="G1156" s="217"/>
    </row>
    <row r="1157" spans="1:7" s="30" customFormat="1" ht="13.5" customHeight="1">
      <c r="A1157" s="59"/>
      <c r="B1157" s="100"/>
      <c r="C1157" s="61"/>
      <c r="D1157" s="62"/>
      <c r="E1157" s="157"/>
      <c r="F1157" s="137"/>
      <c r="G1157" s="217"/>
    </row>
    <row r="1158" spans="1:7" s="30" customFormat="1" ht="14.45">
      <c r="A1158" s="66" t="s">
        <v>164</v>
      </c>
      <c r="B1158" s="67" t="s">
        <v>1730</v>
      </c>
      <c r="C1158" s="68" t="s">
        <v>304</v>
      </c>
      <c r="D1158" s="69" t="s">
        <v>63</v>
      </c>
      <c r="E1158" s="157">
        <v>1743.83</v>
      </c>
      <c r="F1158" s="137">
        <f t="shared" si="66"/>
        <v>1743.83</v>
      </c>
      <c r="G1158" s="217"/>
    </row>
    <row r="1159" spans="1:7" s="30" customFormat="1" ht="13.5" customHeight="1">
      <c r="A1159" s="59"/>
      <c r="B1159" s="100"/>
      <c r="C1159" s="61"/>
      <c r="D1159" s="62"/>
      <c r="E1159" s="157"/>
      <c r="F1159" s="137"/>
      <c r="G1159" s="217"/>
    </row>
    <row r="1160" spans="1:7" s="30" customFormat="1" ht="14.45">
      <c r="A1160" s="66" t="s">
        <v>166</v>
      </c>
      <c r="B1160" s="67" t="s">
        <v>1731</v>
      </c>
      <c r="C1160" s="68" t="s">
        <v>304</v>
      </c>
      <c r="D1160" s="69" t="s">
        <v>63</v>
      </c>
      <c r="E1160" s="157">
        <v>1860.08</v>
      </c>
      <c r="F1160" s="137">
        <f t="shared" si="66"/>
        <v>1860.08</v>
      </c>
      <c r="G1160" s="217"/>
    </row>
    <row r="1161" spans="1:7" s="30" customFormat="1" ht="13.5" customHeight="1">
      <c r="A1161" s="59"/>
      <c r="B1161" s="100"/>
      <c r="C1161" s="61"/>
      <c r="D1161" s="62"/>
      <c r="E1161" s="157"/>
      <c r="F1161" s="137"/>
      <c r="G1161" s="217"/>
    </row>
    <row r="1162" spans="1:7" s="30" customFormat="1" ht="14.45">
      <c r="A1162" s="66" t="s">
        <v>168</v>
      </c>
      <c r="B1162" s="67" t="s">
        <v>1732</v>
      </c>
      <c r="C1162" s="68" t="s">
        <v>592</v>
      </c>
      <c r="D1162" s="69" t="s">
        <v>63</v>
      </c>
      <c r="E1162" s="157">
        <v>2092.59</v>
      </c>
      <c r="F1162" s="137">
        <f t="shared" si="66"/>
        <v>31388.850000000002</v>
      </c>
      <c r="G1162" s="217"/>
    </row>
    <row r="1163" spans="1:7" s="30" customFormat="1" ht="13.5" customHeight="1">
      <c r="A1163" s="59"/>
      <c r="B1163" s="100"/>
      <c r="C1163" s="61"/>
      <c r="D1163" s="62"/>
      <c r="E1163" s="157"/>
      <c r="F1163" s="137"/>
      <c r="G1163" s="217"/>
    </row>
    <row r="1164" spans="1:7" s="30" customFormat="1" ht="14.45">
      <c r="A1164" s="66" t="s">
        <v>170</v>
      </c>
      <c r="B1164" s="67" t="s">
        <v>1733</v>
      </c>
      <c r="C1164" s="68" t="s">
        <v>304</v>
      </c>
      <c r="D1164" s="69" t="s">
        <v>63</v>
      </c>
      <c r="E1164" s="157">
        <v>2325.11</v>
      </c>
      <c r="F1164" s="137">
        <f t="shared" si="66"/>
        <v>2325.11</v>
      </c>
      <c r="G1164" s="217"/>
    </row>
    <row r="1165" spans="1:7" s="30" customFormat="1" ht="13.5" customHeight="1">
      <c r="A1165" s="59"/>
      <c r="B1165" s="100"/>
      <c r="C1165" s="61"/>
      <c r="D1165" s="62"/>
      <c r="E1165" s="157"/>
      <c r="F1165" s="137"/>
      <c r="G1165" s="217"/>
    </row>
    <row r="1166" spans="1:7" s="30" customFormat="1" ht="14.45">
      <c r="A1166" s="66" t="s">
        <v>172</v>
      </c>
      <c r="B1166" s="67" t="s">
        <v>1734</v>
      </c>
      <c r="C1166" s="68" t="s">
        <v>152</v>
      </c>
      <c r="D1166" s="69" t="s">
        <v>63</v>
      </c>
      <c r="E1166" s="157">
        <v>3138.9</v>
      </c>
      <c r="F1166" s="137">
        <f t="shared" si="66"/>
        <v>6277.8</v>
      </c>
      <c r="G1166" s="217"/>
    </row>
    <row r="1167" spans="1:7" s="30" customFormat="1" ht="13.5" customHeight="1">
      <c r="A1167" s="59"/>
      <c r="B1167" s="63"/>
      <c r="C1167" s="61"/>
      <c r="D1167" s="62"/>
      <c r="E1167" s="157"/>
      <c r="F1167" s="137"/>
      <c r="G1167" s="217"/>
    </row>
    <row r="1168" spans="1:7" s="30" customFormat="1" ht="14.45">
      <c r="A1168" s="71"/>
      <c r="B1168" s="72"/>
      <c r="C1168" s="73"/>
      <c r="D1168" s="74"/>
      <c r="E1168" s="159"/>
      <c r="F1168" s="138"/>
      <c r="G1168" s="226"/>
    </row>
    <row r="1169" spans="1:7" s="30" customFormat="1" ht="14.45">
      <c r="A1169" s="75"/>
      <c r="B1169" s="76"/>
      <c r="C1169" s="77" t="s">
        <v>30</v>
      </c>
      <c r="D1169" s="77"/>
      <c r="E1169" s="160" t="s">
        <v>8</v>
      </c>
      <c r="F1169" s="139">
        <f>SUM(F1123:F1167)</f>
        <v>893642.64000000025</v>
      </c>
      <c r="G1169" s="227"/>
    </row>
    <row r="1170" spans="1:7" s="30" customFormat="1" ht="14.45">
      <c r="A1170" s="75"/>
      <c r="B1170" s="76"/>
      <c r="C1170" s="78"/>
      <c r="D1170" s="79"/>
      <c r="E1170" s="161"/>
      <c r="F1170" s="140"/>
      <c r="G1170" s="228"/>
    </row>
    <row r="1171" spans="1:7" s="30" customFormat="1" ht="14.45">
      <c r="A1171" s="59"/>
      <c r="B1171" s="63"/>
      <c r="C1171" s="61"/>
      <c r="D1171" s="62"/>
      <c r="E1171" s="157"/>
      <c r="F1171" s="137"/>
      <c r="G1171" s="217"/>
    </row>
    <row r="1172" spans="1:7" s="30" customFormat="1" ht="14.45">
      <c r="A1172" s="59"/>
      <c r="B1172" s="64" t="s">
        <v>1557</v>
      </c>
      <c r="C1172" s="61"/>
      <c r="D1172" s="62"/>
      <c r="E1172" s="157"/>
      <c r="F1172" s="137"/>
      <c r="G1172" s="217"/>
    </row>
    <row r="1173" spans="1:7" s="30" customFormat="1" ht="14.45">
      <c r="A1173" s="59"/>
      <c r="B1173" s="100"/>
      <c r="C1173" s="61"/>
      <c r="D1173" s="62"/>
      <c r="E1173" s="157"/>
      <c r="F1173" s="137"/>
      <c r="G1173" s="217"/>
    </row>
    <row r="1174" spans="1:7" s="30" customFormat="1" ht="14.45">
      <c r="A1174" s="66" t="s">
        <v>14</v>
      </c>
      <c r="B1174" s="67" t="s">
        <v>1735</v>
      </c>
      <c r="C1174" s="68" t="s">
        <v>1352</v>
      </c>
      <c r="D1174" s="69" t="s">
        <v>63</v>
      </c>
      <c r="E1174" s="157">
        <v>285.77</v>
      </c>
      <c r="F1174" s="137">
        <f t="shared" ref="F1174" si="67">C1174*E1174</f>
        <v>30863.159999999996</v>
      </c>
      <c r="G1174" s="217"/>
    </row>
    <row r="1175" spans="1:7" s="30" customFormat="1" ht="14.45">
      <c r="A1175" s="59"/>
      <c r="B1175" s="100"/>
      <c r="C1175" s="61"/>
      <c r="D1175" s="62"/>
      <c r="E1175" s="157"/>
      <c r="F1175" s="137"/>
      <c r="G1175" s="217"/>
    </row>
    <row r="1176" spans="1:7" s="30" customFormat="1" ht="14.45">
      <c r="A1176" s="66" t="s">
        <v>17</v>
      </c>
      <c r="B1176" s="67" t="s">
        <v>1736</v>
      </c>
      <c r="C1176" s="68" t="s">
        <v>304</v>
      </c>
      <c r="D1176" s="69" t="s">
        <v>63</v>
      </c>
      <c r="E1176" s="157">
        <v>5143.8500000000004</v>
      </c>
      <c r="F1176" s="137">
        <f t="shared" ref="F1176" si="68">C1176*E1176</f>
        <v>5143.8500000000004</v>
      </c>
      <c r="G1176" s="217"/>
    </row>
    <row r="1177" spans="1:7" s="30" customFormat="1" ht="14.45">
      <c r="A1177" s="59"/>
      <c r="B1177" s="100"/>
      <c r="C1177" s="61"/>
      <c r="D1177" s="62"/>
      <c r="E1177" s="157"/>
      <c r="F1177" s="137"/>
      <c r="G1177" s="217"/>
    </row>
    <row r="1178" spans="1:7" s="30" customFormat="1" ht="14.45">
      <c r="A1178" s="66" t="s">
        <v>20</v>
      </c>
      <c r="B1178" s="67" t="s">
        <v>1737</v>
      </c>
      <c r="C1178" s="68" t="s">
        <v>1738</v>
      </c>
      <c r="D1178" s="69" t="s">
        <v>63</v>
      </c>
      <c r="E1178" s="157">
        <v>158.82</v>
      </c>
      <c r="F1178" s="137">
        <f t="shared" ref="F1178" si="69">C1178*E1178</f>
        <v>9052.74</v>
      </c>
      <c r="G1178" s="217"/>
    </row>
    <row r="1179" spans="1:7" s="30" customFormat="1" ht="14.45">
      <c r="A1179" s="59"/>
      <c r="B1179" s="100"/>
      <c r="C1179" s="61"/>
      <c r="D1179" s="62"/>
      <c r="E1179" s="157"/>
      <c r="F1179" s="137"/>
      <c r="G1179" s="217"/>
    </row>
    <row r="1180" spans="1:7" s="30" customFormat="1" ht="14.45">
      <c r="A1180" s="66" t="s">
        <v>23</v>
      </c>
      <c r="B1180" s="67" t="s">
        <v>1739</v>
      </c>
      <c r="C1180" s="68" t="s">
        <v>39</v>
      </c>
      <c r="D1180" s="69" t="s">
        <v>63</v>
      </c>
      <c r="E1180" s="157">
        <v>285.87</v>
      </c>
      <c r="F1180" s="137">
        <f t="shared" ref="F1180" si="70">C1180*E1180</f>
        <v>1715.22</v>
      </c>
      <c r="G1180" s="217"/>
    </row>
    <row r="1181" spans="1:7" s="30" customFormat="1" ht="14.45">
      <c r="A1181" s="59"/>
      <c r="B1181" s="100"/>
      <c r="C1181" s="61"/>
      <c r="D1181" s="62"/>
      <c r="E1181" s="157"/>
      <c r="F1181" s="137"/>
      <c r="G1181" s="217"/>
    </row>
    <row r="1182" spans="1:7" s="30" customFormat="1" ht="14.45">
      <c r="A1182" s="66" t="s">
        <v>27</v>
      </c>
      <c r="B1182" s="67" t="s">
        <v>1740</v>
      </c>
      <c r="C1182" s="68" t="s">
        <v>1425</v>
      </c>
      <c r="D1182" s="69" t="s">
        <v>63</v>
      </c>
      <c r="E1182" s="157">
        <v>317.62</v>
      </c>
      <c r="F1182" s="137">
        <f t="shared" ref="F1182" si="71">C1182*E1182</f>
        <v>15881</v>
      </c>
      <c r="G1182" s="217"/>
    </row>
    <row r="1183" spans="1:7" s="30" customFormat="1" ht="14.45">
      <c r="A1183" s="59"/>
      <c r="B1183" s="100"/>
      <c r="C1183" s="61"/>
      <c r="D1183" s="62"/>
      <c r="E1183" s="157"/>
      <c r="F1183" s="137"/>
      <c r="G1183" s="217"/>
    </row>
    <row r="1184" spans="1:7" s="30" customFormat="1" ht="14.45">
      <c r="A1184" s="66"/>
      <c r="B1184" s="98" t="s">
        <v>1741</v>
      </c>
      <c r="C1184" s="68"/>
      <c r="D1184" s="69"/>
      <c r="E1184" s="157"/>
      <c r="F1184" s="137"/>
      <c r="G1184" s="217"/>
    </row>
    <row r="1185" spans="1:7" s="30" customFormat="1" ht="14.45">
      <c r="A1185" s="59"/>
      <c r="B1185" s="100"/>
      <c r="C1185" s="61"/>
      <c r="D1185" s="62"/>
      <c r="E1185" s="157"/>
      <c r="F1185" s="137"/>
      <c r="G1185" s="217"/>
    </row>
    <row r="1186" spans="1:7" s="30" customFormat="1" ht="14.45">
      <c r="A1186" s="66" t="s">
        <v>44</v>
      </c>
      <c r="B1186" s="67" t="s">
        <v>1527</v>
      </c>
      <c r="C1186" s="68" t="s">
        <v>808</v>
      </c>
      <c r="D1186" s="69" t="s">
        <v>63</v>
      </c>
      <c r="E1186" s="157">
        <v>1413.21</v>
      </c>
      <c r="F1186" s="137">
        <f t="shared" ref="F1186" si="72">C1186*E1186</f>
        <v>221873.97</v>
      </c>
      <c r="G1186" s="217"/>
    </row>
    <row r="1187" spans="1:7" s="30" customFormat="1" ht="14.45">
      <c r="A1187" s="59"/>
      <c r="B1187" s="100"/>
      <c r="C1187" s="61"/>
      <c r="D1187" s="62"/>
      <c r="E1187" s="157"/>
      <c r="F1187" s="137"/>
      <c r="G1187" s="217"/>
    </row>
    <row r="1188" spans="1:7" s="30" customFormat="1" ht="14.45">
      <c r="A1188" s="66"/>
      <c r="B1188" s="98" t="s">
        <v>1742</v>
      </c>
      <c r="C1188" s="68"/>
      <c r="D1188" s="69"/>
      <c r="E1188" s="157"/>
      <c r="F1188" s="137"/>
      <c r="G1188" s="217"/>
    </row>
    <row r="1189" spans="1:7" s="30" customFormat="1" ht="14.45">
      <c r="A1189" s="59"/>
      <c r="B1189" s="100"/>
      <c r="C1189" s="61"/>
      <c r="D1189" s="62"/>
      <c r="E1189" s="157"/>
      <c r="F1189" s="137"/>
      <c r="G1189" s="217"/>
    </row>
    <row r="1190" spans="1:7" s="30" customFormat="1" ht="14.45">
      <c r="A1190" s="66" t="s">
        <v>48</v>
      </c>
      <c r="B1190" s="67" t="s">
        <v>1527</v>
      </c>
      <c r="C1190" s="68" t="s">
        <v>1743</v>
      </c>
      <c r="D1190" s="69" t="s">
        <v>63</v>
      </c>
      <c r="E1190" s="157">
        <v>1413.21</v>
      </c>
      <c r="F1190" s="137">
        <f t="shared" ref="F1190" si="73">C1190*E1190</f>
        <v>63594.450000000004</v>
      </c>
      <c r="G1190" s="217"/>
    </row>
    <row r="1191" spans="1:7" s="30" customFormat="1" ht="14.45">
      <c r="A1191" s="59"/>
      <c r="B1191" s="100"/>
      <c r="C1191" s="61"/>
      <c r="D1191" s="62"/>
      <c r="E1191" s="157"/>
      <c r="F1191" s="137"/>
      <c r="G1191" s="217"/>
    </row>
    <row r="1192" spans="1:7" s="30" customFormat="1" ht="14.45">
      <c r="A1192" s="66"/>
      <c r="B1192" s="98" t="s">
        <v>1744</v>
      </c>
      <c r="C1192" s="68"/>
      <c r="D1192" s="69"/>
      <c r="E1192" s="157"/>
      <c r="F1192" s="137"/>
      <c r="G1192" s="217"/>
    </row>
    <row r="1193" spans="1:7" s="30" customFormat="1" ht="14.45">
      <c r="A1193" s="59"/>
      <c r="B1193" s="100"/>
      <c r="C1193" s="61"/>
      <c r="D1193" s="62"/>
      <c r="E1193" s="157"/>
      <c r="F1193" s="137"/>
      <c r="G1193" s="217"/>
    </row>
    <row r="1194" spans="1:7" s="30" customFormat="1" ht="14.45">
      <c r="A1194" s="66" t="s">
        <v>84</v>
      </c>
      <c r="B1194" s="67" t="s">
        <v>1584</v>
      </c>
      <c r="C1194" s="68" t="s">
        <v>152</v>
      </c>
      <c r="D1194" s="69" t="s">
        <v>63</v>
      </c>
      <c r="E1194" s="157">
        <v>66.400000000000006</v>
      </c>
      <c r="F1194" s="137">
        <f t="shared" ref="F1194" si="74">C1194*E1194</f>
        <v>132.80000000000001</v>
      </c>
      <c r="G1194" s="217"/>
    </row>
    <row r="1195" spans="1:7" s="30" customFormat="1" ht="14.45">
      <c r="A1195" s="59"/>
      <c r="B1195" s="100"/>
      <c r="C1195" s="61"/>
      <c r="D1195" s="62"/>
      <c r="E1195" s="157"/>
      <c r="F1195" s="137"/>
      <c r="G1195" s="217"/>
    </row>
    <row r="1196" spans="1:7" s="30" customFormat="1" ht="14.45">
      <c r="A1196" s="66"/>
      <c r="B1196" s="98" t="s">
        <v>1745</v>
      </c>
      <c r="C1196" s="68"/>
      <c r="D1196" s="69"/>
      <c r="E1196" s="157"/>
      <c r="F1196" s="137"/>
      <c r="G1196" s="217"/>
    </row>
    <row r="1197" spans="1:7" s="30" customFormat="1" ht="14.45">
      <c r="A1197" s="59"/>
      <c r="B1197" s="100"/>
      <c r="C1197" s="61"/>
      <c r="D1197" s="62"/>
      <c r="E1197" s="157"/>
      <c r="F1197" s="137"/>
      <c r="G1197" s="217"/>
    </row>
    <row r="1198" spans="1:7" s="30" customFormat="1" ht="14.45">
      <c r="A1198" s="66" t="s">
        <v>86</v>
      </c>
      <c r="B1198" s="67" t="s">
        <v>1584</v>
      </c>
      <c r="C1198" s="68" t="s">
        <v>152</v>
      </c>
      <c r="D1198" s="69" t="s">
        <v>63</v>
      </c>
      <c r="E1198" s="157">
        <v>41.19</v>
      </c>
      <c r="F1198" s="137">
        <f t="shared" ref="F1198" si="75">C1198*E1198</f>
        <v>82.38</v>
      </c>
      <c r="G1198" s="217"/>
    </row>
    <row r="1199" spans="1:7" s="30" customFormat="1" ht="14.45">
      <c r="A1199" s="59"/>
      <c r="B1199" s="100"/>
      <c r="C1199" s="61"/>
      <c r="D1199" s="62"/>
      <c r="E1199" s="157"/>
      <c r="F1199" s="137"/>
      <c r="G1199" s="217"/>
    </row>
    <row r="1200" spans="1:7" s="30" customFormat="1" ht="14.45">
      <c r="A1200" s="66" t="s">
        <v>90</v>
      </c>
      <c r="B1200" s="67" t="s">
        <v>1605</v>
      </c>
      <c r="C1200" s="68" t="s">
        <v>304</v>
      </c>
      <c r="D1200" s="69" t="s">
        <v>63</v>
      </c>
      <c r="E1200" s="157">
        <v>98.85</v>
      </c>
      <c r="F1200" s="137">
        <f t="shared" ref="F1200" si="76">C1200*E1200</f>
        <v>98.85</v>
      </c>
      <c r="G1200" s="217"/>
    </row>
    <row r="1201" spans="1:7" s="30" customFormat="1" ht="14.45">
      <c r="A1201" s="59"/>
      <c r="B1201" s="100"/>
      <c r="C1201" s="61"/>
      <c r="D1201" s="62"/>
      <c r="E1201" s="157"/>
      <c r="F1201" s="137"/>
      <c r="G1201" s="217"/>
    </row>
    <row r="1202" spans="1:7" s="30" customFormat="1" ht="14.45">
      <c r="A1202" s="66" t="s">
        <v>92</v>
      </c>
      <c r="B1202" s="67" t="s">
        <v>1746</v>
      </c>
      <c r="C1202" s="68" t="s">
        <v>304</v>
      </c>
      <c r="D1202" s="69" t="s">
        <v>63</v>
      </c>
      <c r="E1202" s="157">
        <v>164.74</v>
      </c>
      <c r="F1202" s="137">
        <f t="shared" ref="F1202" si="77">C1202*E1202</f>
        <v>164.74</v>
      </c>
      <c r="G1202" s="217"/>
    </row>
    <row r="1203" spans="1:7" s="30" customFormat="1" ht="14.45">
      <c r="A1203" s="59"/>
      <c r="B1203" s="100"/>
      <c r="C1203" s="61"/>
      <c r="D1203" s="62"/>
      <c r="E1203" s="157"/>
      <c r="F1203" s="137"/>
      <c r="G1203" s="217"/>
    </row>
    <row r="1204" spans="1:7" s="30" customFormat="1" ht="14.45">
      <c r="A1204" s="66" t="s">
        <v>94</v>
      </c>
      <c r="B1204" s="67" t="s">
        <v>1747</v>
      </c>
      <c r="C1204" s="68" t="s">
        <v>335</v>
      </c>
      <c r="D1204" s="69" t="s">
        <v>63</v>
      </c>
      <c r="E1204" s="157">
        <v>2965.41</v>
      </c>
      <c r="F1204" s="137">
        <f t="shared" ref="F1204" si="78">C1204*E1204</f>
        <v>8896.23</v>
      </c>
      <c r="G1204" s="217"/>
    </row>
    <row r="1205" spans="1:7" s="30" customFormat="1" ht="14.45">
      <c r="A1205" s="59"/>
      <c r="B1205" s="63"/>
      <c r="C1205" s="61"/>
      <c r="D1205" s="62"/>
      <c r="E1205" s="157"/>
      <c r="F1205" s="137"/>
      <c r="G1205" s="217"/>
    </row>
    <row r="1206" spans="1:7" s="30" customFormat="1" ht="14.45">
      <c r="A1206" s="59"/>
      <c r="B1206" s="63"/>
      <c r="C1206" s="61"/>
      <c r="D1206" s="62"/>
      <c r="E1206" s="157"/>
      <c r="F1206" s="137"/>
      <c r="G1206" s="217"/>
    </row>
    <row r="1207" spans="1:7" s="30" customFormat="1" ht="14.45">
      <c r="A1207" s="59"/>
      <c r="B1207" s="63"/>
      <c r="C1207" s="61"/>
      <c r="D1207" s="62"/>
      <c r="E1207" s="157"/>
      <c r="F1207" s="137"/>
      <c r="G1207" s="217"/>
    </row>
    <row r="1208" spans="1:7" s="30" customFormat="1" ht="14.45">
      <c r="A1208" s="59"/>
      <c r="B1208" s="63"/>
      <c r="C1208" s="61"/>
      <c r="D1208" s="62"/>
      <c r="E1208" s="157"/>
      <c r="F1208" s="137"/>
      <c r="G1208" s="217"/>
    </row>
    <row r="1209" spans="1:7" s="30" customFormat="1" ht="14.45">
      <c r="A1209" s="59"/>
      <c r="B1209" s="63"/>
      <c r="C1209" s="61"/>
      <c r="D1209" s="62"/>
      <c r="E1209" s="157"/>
      <c r="F1209" s="137"/>
      <c r="G1209" s="217"/>
    </row>
    <row r="1210" spans="1:7" s="30" customFormat="1" ht="14.45">
      <c r="A1210" s="59"/>
      <c r="B1210" s="63"/>
      <c r="C1210" s="61"/>
      <c r="D1210" s="62"/>
      <c r="E1210" s="157"/>
      <c r="F1210" s="137"/>
      <c r="G1210" s="217"/>
    </row>
    <row r="1211" spans="1:7" s="30" customFormat="1" ht="14.45">
      <c r="A1211" s="59"/>
      <c r="B1211" s="63"/>
      <c r="C1211" s="61"/>
      <c r="D1211" s="62"/>
      <c r="E1211" s="157"/>
      <c r="F1211" s="137"/>
      <c r="G1211" s="217"/>
    </row>
    <row r="1212" spans="1:7" s="30" customFormat="1" ht="14.45">
      <c r="A1212" s="59"/>
      <c r="B1212" s="63"/>
      <c r="C1212" s="61"/>
      <c r="D1212" s="62"/>
      <c r="E1212" s="157"/>
      <c r="F1212" s="137"/>
      <c r="G1212" s="217"/>
    </row>
    <row r="1213" spans="1:7" s="30" customFormat="1" ht="14.45">
      <c r="A1213" s="59"/>
      <c r="B1213" s="63"/>
      <c r="C1213" s="61"/>
      <c r="D1213" s="62"/>
      <c r="E1213" s="157"/>
      <c r="F1213" s="137"/>
      <c r="G1213" s="217"/>
    </row>
    <row r="1214" spans="1:7" s="30" customFormat="1" ht="14.45">
      <c r="A1214" s="59"/>
      <c r="B1214" s="63"/>
      <c r="C1214" s="61"/>
      <c r="D1214" s="62"/>
      <c r="E1214" s="157"/>
      <c r="F1214" s="137"/>
      <c r="G1214" s="217"/>
    </row>
    <row r="1215" spans="1:7" s="30" customFormat="1" ht="14.45">
      <c r="A1215" s="59"/>
      <c r="B1215" s="63"/>
      <c r="C1215" s="61"/>
      <c r="D1215" s="62"/>
      <c r="E1215" s="157"/>
      <c r="F1215" s="137"/>
      <c r="G1215" s="217"/>
    </row>
    <row r="1216" spans="1:7" s="30" customFormat="1" ht="14.45">
      <c r="A1216" s="71"/>
      <c r="B1216" s="72"/>
      <c r="C1216" s="73"/>
      <c r="D1216" s="74"/>
      <c r="E1216" s="159"/>
      <c r="F1216" s="138"/>
      <c r="G1216" s="226"/>
    </row>
    <row r="1217" spans="1:7" s="30" customFormat="1" ht="14.45">
      <c r="A1217" s="75"/>
      <c r="B1217" s="76"/>
      <c r="C1217" s="77" t="s">
        <v>30</v>
      </c>
      <c r="D1217" s="77"/>
      <c r="E1217" s="160" t="s">
        <v>8</v>
      </c>
      <c r="F1217" s="139">
        <f>SUM(F1172:F1210)</f>
        <v>357499.38999999996</v>
      </c>
      <c r="G1217" s="227"/>
    </row>
    <row r="1218" spans="1:7" s="30" customFormat="1" ht="14.45">
      <c r="A1218" s="75"/>
      <c r="B1218" s="76"/>
      <c r="C1218" s="78"/>
      <c r="D1218" s="79"/>
      <c r="E1218" s="161"/>
      <c r="F1218" s="140"/>
      <c r="G1218" s="228"/>
    </row>
    <row r="1219" spans="1:7" s="30" customFormat="1" ht="14.45">
      <c r="A1219" s="59"/>
      <c r="B1219" s="63"/>
      <c r="C1219" s="61"/>
      <c r="D1219" s="62"/>
      <c r="E1219" s="157"/>
      <c r="F1219" s="137"/>
      <c r="G1219" s="217"/>
    </row>
    <row r="1220" spans="1:7" s="30" customFormat="1" ht="14.45">
      <c r="A1220" s="59"/>
      <c r="B1220" s="64" t="s">
        <v>1557</v>
      </c>
      <c r="C1220" s="61"/>
      <c r="D1220" s="62"/>
      <c r="E1220" s="157"/>
      <c r="F1220" s="137"/>
      <c r="G1220" s="217"/>
    </row>
    <row r="1221" spans="1:7" s="30" customFormat="1" ht="14.45">
      <c r="A1221" s="59"/>
      <c r="B1221" s="100"/>
      <c r="C1221" s="61"/>
      <c r="D1221" s="62"/>
      <c r="E1221" s="157"/>
      <c r="F1221" s="137"/>
      <c r="G1221" s="217"/>
    </row>
    <row r="1222" spans="1:7" s="30" customFormat="1" ht="55.15">
      <c r="A1222" s="66"/>
      <c r="B1222" s="98" t="s">
        <v>1748</v>
      </c>
      <c r="C1222" s="68"/>
      <c r="D1222" s="69"/>
      <c r="E1222" s="157"/>
      <c r="F1222" s="137"/>
      <c r="G1222" s="217"/>
    </row>
    <row r="1223" spans="1:7" s="30" customFormat="1" ht="14.45">
      <c r="A1223" s="59"/>
      <c r="B1223" s="100"/>
      <c r="C1223" s="61"/>
      <c r="D1223" s="62"/>
      <c r="E1223" s="157"/>
      <c r="F1223" s="137"/>
      <c r="G1223" s="217"/>
    </row>
    <row r="1224" spans="1:7" s="30" customFormat="1" ht="14.45">
      <c r="A1224" s="66"/>
      <c r="B1224" s="98" t="s">
        <v>1749</v>
      </c>
      <c r="C1224" s="68"/>
      <c r="D1224" s="69"/>
      <c r="E1224" s="157"/>
      <c r="F1224" s="137"/>
      <c r="G1224" s="217"/>
    </row>
    <row r="1225" spans="1:7" s="30" customFormat="1" ht="14.45">
      <c r="A1225" s="59"/>
      <c r="B1225" s="100"/>
      <c r="C1225" s="61"/>
      <c r="D1225" s="62"/>
      <c r="E1225" s="157"/>
      <c r="F1225" s="137"/>
      <c r="G1225" s="217"/>
    </row>
    <row r="1226" spans="1:7" s="30" customFormat="1" ht="27.6">
      <c r="A1226" s="66" t="s">
        <v>14</v>
      </c>
      <c r="B1226" s="67" t="s">
        <v>1750</v>
      </c>
      <c r="C1226" s="68" t="s">
        <v>304</v>
      </c>
      <c r="D1226" s="69" t="s">
        <v>63</v>
      </c>
      <c r="E1226" s="157">
        <v>4193.03</v>
      </c>
      <c r="F1226" s="137">
        <f t="shared" ref="F1226" si="79">C1226*E1226</f>
        <v>4193.03</v>
      </c>
      <c r="G1226" s="217"/>
    </row>
    <row r="1227" spans="1:7" s="30" customFormat="1" ht="14.45">
      <c r="A1227" s="59"/>
      <c r="B1227" s="100"/>
      <c r="C1227" s="61"/>
      <c r="D1227" s="62"/>
      <c r="E1227" s="157"/>
      <c r="F1227" s="137"/>
      <c r="G1227" s="217"/>
    </row>
    <row r="1228" spans="1:7" s="30" customFormat="1" ht="27.6">
      <c r="A1228" s="66" t="s">
        <v>17</v>
      </c>
      <c r="B1228" s="67" t="s">
        <v>1751</v>
      </c>
      <c r="C1228" s="68" t="s">
        <v>304</v>
      </c>
      <c r="D1228" s="69" t="s">
        <v>63</v>
      </c>
      <c r="E1228" s="157">
        <v>3372.03</v>
      </c>
      <c r="F1228" s="137">
        <f t="shared" ref="F1228" si="80">C1228*E1228</f>
        <v>3372.03</v>
      </c>
      <c r="G1228" s="217"/>
    </row>
    <row r="1229" spans="1:7" s="30" customFormat="1" ht="14.45">
      <c r="A1229" s="59"/>
      <c r="B1229" s="100"/>
      <c r="C1229" s="61"/>
      <c r="D1229" s="62"/>
      <c r="E1229" s="157"/>
      <c r="F1229" s="137"/>
      <c r="G1229" s="217"/>
    </row>
    <row r="1230" spans="1:7" s="30" customFormat="1" ht="27.6">
      <c r="A1230" s="66" t="s">
        <v>20</v>
      </c>
      <c r="B1230" s="67" t="s">
        <v>1752</v>
      </c>
      <c r="C1230" s="68" t="s">
        <v>304</v>
      </c>
      <c r="D1230" s="69" t="s">
        <v>63</v>
      </c>
      <c r="E1230" s="157">
        <v>3307.92</v>
      </c>
      <c r="F1230" s="137">
        <f t="shared" ref="F1230" si="81">C1230*E1230</f>
        <v>3307.92</v>
      </c>
      <c r="G1230" s="217"/>
    </row>
    <row r="1231" spans="1:7" s="30" customFormat="1" ht="14.45">
      <c r="A1231" s="59"/>
      <c r="B1231" s="100"/>
      <c r="C1231" s="61"/>
      <c r="D1231" s="62"/>
      <c r="E1231" s="157"/>
      <c r="F1231" s="137"/>
      <c r="G1231" s="217"/>
    </row>
    <row r="1232" spans="1:7" s="30" customFormat="1" ht="27.6">
      <c r="A1232" s="66" t="s">
        <v>23</v>
      </c>
      <c r="B1232" s="67" t="s">
        <v>1753</v>
      </c>
      <c r="C1232" s="68" t="s">
        <v>304</v>
      </c>
      <c r="D1232" s="69" t="s">
        <v>63</v>
      </c>
      <c r="E1232" s="157">
        <v>3372.03</v>
      </c>
      <c r="F1232" s="137">
        <f t="shared" ref="F1232" si="82">C1232*E1232</f>
        <v>3372.03</v>
      </c>
      <c r="G1232" s="217"/>
    </row>
    <row r="1233" spans="1:7" s="30" customFormat="1" ht="14.45">
      <c r="A1233" s="59"/>
      <c r="B1233" s="100"/>
      <c r="C1233" s="61"/>
      <c r="D1233" s="62"/>
      <c r="E1233" s="157"/>
      <c r="F1233" s="137"/>
      <c r="G1233" s="217"/>
    </row>
    <row r="1234" spans="1:7" s="30" customFormat="1" ht="27.6">
      <c r="A1234" s="66" t="s">
        <v>27</v>
      </c>
      <c r="B1234" s="67" t="s">
        <v>1754</v>
      </c>
      <c r="C1234" s="68" t="s">
        <v>304</v>
      </c>
      <c r="D1234" s="69" t="s">
        <v>63</v>
      </c>
      <c r="E1234" s="157">
        <v>3372.03</v>
      </c>
      <c r="F1234" s="137">
        <f t="shared" ref="F1234" si="83">C1234*E1234</f>
        <v>3372.03</v>
      </c>
      <c r="G1234" s="217"/>
    </row>
    <row r="1235" spans="1:7" s="30" customFormat="1" ht="14.45">
      <c r="A1235" s="59"/>
      <c r="B1235" s="100"/>
      <c r="C1235" s="61"/>
      <c r="D1235" s="62"/>
      <c r="E1235" s="157"/>
      <c r="F1235" s="137"/>
      <c r="G1235" s="217"/>
    </row>
    <row r="1236" spans="1:7" s="30" customFormat="1" ht="27.6">
      <c r="A1236" s="66" t="s">
        <v>44</v>
      </c>
      <c r="B1236" s="67" t="s">
        <v>1755</v>
      </c>
      <c r="C1236" s="68" t="s">
        <v>304</v>
      </c>
      <c r="D1236" s="69" t="s">
        <v>63</v>
      </c>
      <c r="E1236" s="157">
        <v>3372.03</v>
      </c>
      <c r="F1236" s="137">
        <f t="shared" ref="F1236" si="84">C1236*E1236</f>
        <v>3372.03</v>
      </c>
      <c r="G1236" s="217"/>
    </row>
    <row r="1237" spans="1:7" s="30" customFormat="1" ht="14.45">
      <c r="A1237" s="59"/>
      <c r="B1237" s="100"/>
      <c r="C1237" s="61"/>
      <c r="D1237" s="62"/>
      <c r="E1237" s="157"/>
      <c r="F1237" s="137"/>
      <c r="G1237" s="217"/>
    </row>
    <row r="1238" spans="1:7" s="30" customFormat="1" ht="14.45">
      <c r="A1238" s="66" t="s">
        <v>48</v>
      </c>
      <c r="B1238" s="67" t="s">
        <v>1756</v>
      </c>
      <c r="C1238" s="68" t="s">
        <v>304</v>
      </c>
      <c r="D1238" s="69" t="s">
        <v>63</v>
      </c>
      <c r="E1238" s="157">
        <v>3784.15</v>
      </c>
      <c r="F1238" s="137">
        <f t="shared" ref="F1238" si="85">C1238*E1238</f>
        <v>3784.15</v>
      </c>
      <c r="G1238" s="217"/>
    </row>
    <row r="1239" spans="1:7" s="30" customFormat="1" ht="14.45">
      <c r="A1239" s="59"/>
      <c r="B1239" s="100"/>
      <c r="C1239" s="61"/>
      <c r="D1239" s="62"/>
      <c r="E1239" s="157"/>
      <c r="F1239" s="137"/>
      <c r="G1239" s="217"/>
    </row>
    <row r="1240" spans="1:7" s="30" customFormat="1" ht="27.6">
      <c r="A1240" s="66" t="s">
        <v>84</v>
      </c>
      <c r="B1240" s="67" t="s">
        <v>1757</v>
      </c>
      <c r="C1240" s="68" t="s">
        <v>304</v>
      </c>
      <c r="D1240" s="69" t="s">
        <v>63</v>
      </c>
      <c r="E1240" s="157">
        <v>5218.76</v>
      </c>
      <c r="F1240" s="137">
        <f t="shared" ref="F1240" si="86">C1240*E1240</f>
        <v>5218.76</v>
      </c>
      <c r="G1240" s="217"/>
    </row>
    <row r="1241" spans="1:7" s="30" customFormat="1" ht="14.45">
      <c r="A1241" s="59"/>
      <c r="B1241" s="100"/>
      <c r="C1241" s="61"/>
      <c r="D1241" s="62"/>
      <c r="E1241" s="157"/>
      <c r="F1241" s="137"/>
      <c r="G1241" s="217"/>
    </row>
    <row r="1242" spans="1:7" s="30" customFormat="1" ht="27.6">
      <c r="A1242" s="66" t="s">
        <v>86</v>
      </c>
      <c r="B1242" s="67" t="s">
        <v>1758</v>
      </c>
      <c r="C1242" s="68" t="s">
        <v>304</v>
      </c>
      <c r="D1242" s="69" t="s">
        <v>63</v>
      </c>
      <c r="E1242" s="157">
        <v>3372.03</v>
      </c>
      <c r="F1242" s="137">
        <f t="shared" ref="F1242" si="87">C1242*E1242</f>
        <v>3372.03</v>
      </c>
      <c r="G1242" s="217"/>
    </row>
    <row r="1243" spans="1:7" s="30" customFormat="1" ht="14.45">
      <c r="A1243" s="59"/>
      <c r="B1243" s="100"/>
      <c r="C1243" s="61"/>
      <c r="D1243" s="62"/>
      <c r="E1243" s="157"/>
      <c r="F1243" s="137"/>
      <c r="G1243" s="217"/>
    </row>
    <row r="1244" spans="1:7" s="30" customFormat="1" ht="27.6">
      <c r="A1244" s="66" t="s">
        <v>90</v>
      </c>
      <c r="B1244" s="67" t="s">
        <v>1759</v>
      </c>
      <c r="C1244" s="68" t="s">
        <v>152</v>
      </c>
      <c r="D1244" s="69" t="s">
        <v>63</v>
      </c>
      <c r="E1244" s="157">
        <v>5749.94</v>
      </c>
      <c r="F1244" s="137">
        <f t="shared" ref="F1244" si="88">C1244*E1244</f>
        <v>11499.88</v>
      </c>
      <c r="G1244" s="217"/>
    </row>
    <row r="1245" spans="1:7" s="30" customFormat="1" ht="14.45">
      <c r="A1245" s="59"/>
      <c r="B1245" s="100"/>
      <c r="C1245" s="61"/>
      <c r="D1245" s="62"/>
      <c r="E1245" s="157"/>
      <c r="F1245" s="137"/>
      <c r="G1245" s="217"/>
    </row>
    <row r="1246" spans="1:7" s="30" customFormat="1" ht="27.6">
      <c r="A1246" s="66" t="s">
        <v>92</v>
      </c>
      <c r="B1246" s="67" t="s">
        <v>1760</v>
      </c>
      <c r="C1246" s="68" t="s">
        <v>152</v>
      </c>
      <c r="D1246" s="69" t="s">
        <v>63</v>
      </c>
      <c r="E1246" s="157">
        <v>5530.15</v>
      </c>
      <c r="F1246" s="137">
        <f t="shared" ref="F1246" si="89">C1246*E1246</f>
        <v>11060.3</v>
      </c>
      <c r="G1246" s="217"/>
    </row>
    <row r="1247" spans="1:7" s="30" customFormat="1" ht="14.45">
      <c r="A1247" s="59"/>
      <c r="B1247" s="100"/>
      <c r="C1247" s="61"/>
      <c r="D1247" s="62"/>
      <c r="E1247" s="157"/>
      <c r="F1247" s="137"/>
      <c r="G1247" s="217"/>
    </row>
    <row r="1248" spans="1:7" s="30" customFormat="1" ht="27.6">
      <c r="A1248" s="66" t="s">
        <v>94</v>
      </c>
      <c r="B1248" s="67" t="s">
        <v>1761</v>
      </c>
      <c r="C1248" s="68" t="s">
        <v>304</v>
      </c>
      <c r="D1248" s="69" t="s">
        <v>63</v>
      </c>
      <c r="E1248" s="157">
        <v>3307.92</v>
      </c>
      <c r="F1248" s="137">
        <f t="shared" ref="F1248" si="90">C1248*E1248</f>
        <v>3307.92</v>
      </c>
      <c r="G1248" s="217"/>
    </row>
    <row r="1249" spans="1:7" s="30" customFormat="1" ht="14.45">
      <c r="A1249" s="66"/>
      <c r="B1249" s="99"/>
      <c r="C1249" s="68"/>
      <c r="D1249" s="69"/>
      <c r="E1249" s="157"/>
      <c r="F1249" s="137"/>
      <c r="G1249" s="217"/>
    </row>
    <row r="1250" spans="1:7" s="30" customFormat="1" ht="14.45">
      <c r="A1250" s="59"/>
      <c r="B1250" s="63"/>
      <c r="C1250" s="61"/>
      <c r="D1250" s="62"/>
      <c r="E1250" s="157"/>
      <c r="F1250" s="137"/>
      <c r="G1250" s="217"/>
    </row>
    <row r="1251" spans="1:7" s="30" customFormat="1" ht="14.45">
      <c r="A1251" s="71"/>
      <c r="B1251" s="72"/>
      <c r="C1251" s="73"/>
      <c r="D1251" s="74"/>
      <c r="E1251" s="159"/>
      <c r="F1251" s="138"/>
      <c r="G1251" s="226"/>
    </row>
    <row r="1252" spans="1:7" s="30" customFormat="1" ht="14.45">
      <c r="A1252" s="75"/>
      <c r="B1252" s="76"/>
      <c r="C1252" s="77" t="s">
        <v>30</v>
      </c>
      <c r="D1252" s="77"/>
      <c r="E1252" s="160" t="s">
        <v>8</v>
      </c>
      <c r="F1252" s="139">
        <f>SUM(F1225:F1250)</f>
        <v>59232.11</v>
      </c>
      <c r="G1252" s="227"/>
    </row>
    <row r="1253" spans="1:7" s="30" customFormat="1" ht="14.45">
      <c r="A1253" s="75"/>
      <c r="B1253" s="76"/>
      <c r="C1253" s="78"/>
      <c r="D1253" s="79"/>
      <c r="E1253" s="161"/>
      <c r="F1253" s="140"/>
      <c r="G1253" s="228"/>
    </row>
    <row r="1254" spans="1:7" s="30" customFormat="1" ht="14.45">
      <c r="A1254" s="59"/>
      <c r="B1254" s="63"/>
      <c r="C1254" s="61"/>
      <c r="D1254" s="62"/>
      <c r="E1254" s="157"/>
      <c r="F1254" s="137"/>
      <c r="G1254" s="217"/>
    </row>
    <row r="1255" spans="1:7" s="30" customFormat="1" ht="14.45">
      <c r="A1255" s="59"/>
      <c r="B1255" s="64" t="s">
        <v>1557</v>
      </c>
      <c r="C1255" s="61"/>
      <c r="D1255" s="62"/>
      <c r="E1255" s="157"/>
      <c r="F1255" s="137"/>
      <c r="G1255" s="217"/>
    </row>
    <row r="1256" spans="1:7" s="30" customFormat="1" ht="14.45">
      <c r="A1256" s="59"/>
      <c r="B1256" s="100"/>
      <c r="C1256" s="61"/>
      <c r="D1256" s="62"/>
      <c r="E1256" s="157"/>
      <c r="F1256" s="137"/>
      <c r="G1256" s="217"/>
    </row>
    <row r="1257" spans="1:7" s="30" customFormat="1" ht="27.6">
      <c r="A1257" s="66" t="s">
        <v>14</v>
      </c>
      <c r="B1257" s="67" t="s">
        <v>1762</v>
      </c>
      <c r="C1257" s="68" t="s">
        <v>152</v>
      </c>
      <c r="D1257" s="69" t="s">
        <v>63</v>
      </c>
      <c r="E1257" s="157">
        <v>3454.45</v>
      </c>
      <c r="F1257" s="137">
        <f t="shared" ref="F1257" si="91">C1257*E1257</f>
        <v>6908.9</v>
      </c>
      <c r="G1257" s="217"/>
    </row>
    <row r="1258" spans="1:7" s="30" customFormat="1" ht="14.45">
      <c r="A1258" s="59"/>
      <c r="B1258" s="100"/>
      <c r="C1258" s="61"/>
      <c r="D1258" s="62"/>
      <c r="E1258" s="157"/>
      <c r="F1258" s="137"/>
      <c r="G1258" s="217"/>
    </row>
    <row r="1259" spans="1:7" s="30" customFormat="1" ht="27.6">
      <c r="A1259" s="66" t="s">
        <v>17</v>
      </c>
      <c r="B1259" s="67" t="s">
        <v>1763</v>
      </c>
      <c r="C1259" s="68" t="s">
        <v>304</v>
      </c>
      <c r="D1259" s="69" t="s">
        <v>63</v>
      </c>
      <c r="E1259" s="157">
        <v>3372.03</v>
      </c>
      <c r="F1259" s="137">
        <f t="shared" ref="F1259" si="92">C1259*E1259</f>
        <v>3372.03</v>
      </c>
      <c r="G1259" s="217"/>
    </row>
    <row r="1260" spans="1:7" s="30" customFormat="1" ht="14.45">
      <c r="A1260" s="59"/>
      <c r="B1260" s="100"/>
      <c r="C1260" s="61"/>
      <c r="D1260" s="62"/>
      <c r="E1260" s="157"/>
      <c r="F1260" s="137"/>
      <c r="G1260" s="217"/>
    </row>
    <row r="1261" spans="1:7" s="30" customFormat="1" ht="27.6">
      <c r="A1261" s="66" t="s">
        <v>20</v>
      </c>
      <c r="B1261" s="67" t="s">
        <v>1764</v>
      </c>
      <c r="C1261" s="68" t="s">
        <v>304</v>
      </c>
      <c r="D1261" s="69" t="s">
        <v>63</v>
      </c>
      <c r="E1261" s="157">
        <v>3234.65</v>
      </c>
      <c r="F1261" s="137">
        <f t="shared" ref="F1261" si="93">C1261*E1261</f>
        <v>3234.65</v>
      </c>
      <c r="G1261" s="217"/>
    </row>
    <row r="1262" spans="1:7" s="30" customFormat="1" ht="14.45">
      <c r="A1262" s="59"/>
      <c r="B1262" s="100"/>
      <c r="C1262" s="61"/>
      <c r="D1262" s="62"/>
      <c r="E1262" s="157"/>
      <c r="F1262" s="137"/>
      <c r="G1262" s="217"/>
    </row>
    <row r="1263" spans="1:7" s="30" customFormat="1" ht="27.6">
      <c r="A1263" s="66" t="s">
        <v>23</v>
      </c>
      <c r="B1263" s="67" t="s">
        <v>1765</v>
      </c>
      <c r="C1263" s="68" t="s">
        <v>304</v>
      </c>
      <c r="D1263" s="69" t="s">
        <v>63</v>
      </c>
      <c r="E1263" s="157">
        <v>3372.03</v>
      </c>
      <c r="F1263" s="137">
        <f t="shared" ref="F1263" si="94">C1263*E1263</f>
        <v>3372.03</v>
      </c>
      <c r="G1263" s="217"/>
    </row>
    <row r="1264" spans="1:7" s="30" customFormat="1" ht="14.45">
      <c r="A1264" s="59"/>
      <c r="B1264" s="100"/>
      <c r="C1264" s="61"/>
      <c r="D1264" s="62"/>
      <c r="E1264" s="157"/>
      <c r="F1264" s="137"/>
      <c r="G1264" s="217"/>
    </row>
    <row r="1265" spans="1:7" s="30" customFormat="1" ht="27.6">
      <c r="A1265" s="66" t="s">
        <v>27</v>
      </c>
      <c r="B1265" s="67" t="s">
        <v>1766</v>
      </c>
      <c r="C1265" s="68" t="s">
        <v>152</v>
      </c>
      <c r="D1265" s="69" t="s">
        <v>63</v>
      </c>
      <c r="E1265" s="157">
        <v>4083.13</v>
      </c>
      <c r="F1265" s="137">
        <f t="shared" ref="F1265" si="95">C1265*E1265</f>
        <v>8166.26</v>
      </c>
      <c r="G1265" s="217"/>
    </row>
    <row r="1266" spans="1:7" s="30" customFormat="1" ht="14.45">
      <c r="A1266" s="59"/>
      <c r="B1266" s="100"/>
      <c r="C1266" s="61"/>
      <c r="D1266" s="62"/>
      <c r="E1266" s="157"/>
      <c r="F1266" s="137"/>
      <c r="G1266" s="217"/>
    </row>
    <row r="1267" spans="1:7" s="30" customFormat="1" ht="27.6">
      <c r="A1267" s="66" t="s">
        <v>44</v>
      </c>
      <c r="B1267" s="67" t="s">
        <v>1767</v>
      </c>
      <c r="C1267" s="68" t="s">
        <v>304</v>
      </c>
      <c r="D1267" s="69" t="s">
        <v>63</v>
      </c>
      <c r="E1267" s="157">
        <v>3307.92</v>
      </c>
      <c r="F1267" s="137">
        <f t="shared" ref="F1267" si="96">C1267*E1267</f>
        <v>3307.92</v>
      </c>
      <c r="G1267" s="217"/>
    </row>
    <row r="1268" spans="1:7" s="30" customFormat="1" ht="14.45">
      <c r="A1268" s="59"/>
      <c r="B1268" s="100"/>
      <c r="C1268" s="61"/>
      <c r="D1268" s="62"/>
      <c r="E1268" s="157"/>
      <c r="F1268" s="137"/>
      <c r="G1268" s="217"/>
    </row>
    <row r="1269" spans="1:7" s="30" customFormat="1" ht="27.6">
      <c r="A1269" s="66" t="s">
        <v>48</v>
      </c>
      <c r="B1269" s="67" t="s">
        <v>1768</v>
      </c>
      <c r="C1269" s="68" t="s">
        <v>65</v>
      </c>
      <c r="D1269" s="69" t="s">
        <v>63</v>
      </c>
      <c r="E1269" s="157">
        <v>3300.59</v>
      </c>
      <c r="F1269" s="137">
        <f t="shared" ref="F1269" si="97">C1269*E1269</f>
        <v>13202.36</v>
      </c>
      <c r="G1269" s="217"/>
    </row>
    <row r="1270" spans="1:7" s="30" customFormat="1" ht="14.45">
      <c r="A1270" s="59"/>
      <c r="B1270" s="100"/>
      <c r="C1270" s="61"/>
      <c r="D1270" s="62"/>
      <c r="E1270" s="157"/>
      <c r="F1270" s="137"/>
      <c r="G1270" s="217"/>
    </row>
    <row r="1271" spans="1:7" s="30" customFormat="1" ht="27.6">
      <c r="A1271" s="66" t="s">
        <v>84</v>
      </c>
      <c r="B1271" s="67" t="s">
        <v>1769</v>
      </c>
      <c r="C1271" s="68" t="s">
        <v>304</v>
      </c>
      <c r="D1271" s="69" t="s">
        <v>63</v>
      </c>
      <c r="E1271" s="157">
        <v>3124.75</v>
      </c>
      <c r="F1271" s="137">
        <f t="shared" ref="F1271" si="98">C1271*E1271</f>
        <v>3124.75</v>
      </c>
      <c r="G1271" s="217"/>
    </row>
    <row r="1272" spans="1:7" s="30" customFormat="1" ht="14.45">
      <c r="A1272" s="59"/>
      <c r="B1272" s="100"/>
      <c r="C1272" s="61"/>
      <c r="D1272" s="62"/>
      <c r="E1272" s="157"/>
      <c r="F1272" s="137"/>
      <c r="G1272" s="217"/>
    </row>
    <row r="1273" spans="1:7" s="30" customFormat="1" ht="27.6">
      <c r="A1273" s="66" t="s">
        <v>86</v>
      </c>
      <c r="B1273" s="67" t="s">
        <v>1770</v>
      </c>
      <c r="C1273" s="68" t="s">
        <v>304</v>
      </c>
      <c r="D1273" s="69" t="s">
        <v>63</v>
      </c>
      <c r="E1273" s="157">
        <v>3372.03</v>
      </c>
      <c r="F1273" s="137">
        <f t="shared" ref="F1273" si="99">C1273*E1273</f>
        <v>3372.03</v>
      </c>
      <c r="G1273" s="217"/>
    </row>
    <row r="1274" spans="1:7" s="30" customFormat="1" ht="14.45">
      <c r="A1274" s="59"/>
      <c r="B1274" s="100"/>
      <c r="C1274" s="61"/>
      <c r="D1274" s="62"/>
      <c r="E1274" s="157"/>
      <c r="F1274" s="137"/>
      <c r="G1274" s="217"/>
    </row>
    <row r="1275" spans="1:7" s="30" customFormat="1" ht="27.6">
      <c r="A1275" s="66" t="s">
        <v>90</v>
      </c>
      <c r="B1275" s="67" t="s">
        <v>1771</v>
      </c>
      <c r="C1275" s="68" t="s">
        <v>304</v>
      </c>
      <c r="D1275" s="69" t="s">
        <v>63</v>
      </c>
      <c r="E1275" s="157">
        <v>3372.03</v>
      </c>
      <c r="F1275" s="137">
        <f t="shared" ref="F1275" si="100">C1275*E1275</f>
        <v>3372.03</v>
      </c>
      <c r="G1275" s="217"/>
    </row>
    <row r="1276" spans="1:7" s="30" customFormat="1" ht="14.45">
      <c r="A1276" s="59"/>
      <c r="B1276" s="100"/>
      <c r="C1276" s="61"/>
      <c r="D1276" s="62"/>
      <c r="E1276" s="157"/>
      <c r="F1276" s="137"/>
      <c r="G1276" s="217"/>
    </row>
    <row r="1277" spans="1:7" s="30" customFormat="1" ht="27.6">
      <c r="A1277" s="66" t="s">
        <v>92</v>
      </c>
      <c r="B1277" s="67" t="s">
        <v>1772</v>
      </c>
      <c r="C1277" s="68" t="s">
        <v>304</v>
      </c>
      <c r="D1277" s="69" t="s">
        <v>63</v>
      </c>
      <c r="E1277" s="157">
        <v>3417.82</v>
      </c>
      <c r="F1277" s="137">
        <f t="shared" ref="F1277" si="101">C1277*E1277</f>
        <v>3417.82</v>
      </c>
      <c r="G1277" s="217"/>
    </row>
    <row r="1278" spans="1:7" s="30" customFormat="1" ht="14.45">
      <c r="A1278" s="59"/>
      <c r="B1278" s="100"/>
      <c r="C1278" s="61"/>
      <c r="D1278" s="62"/>
      <c r="E1278" s="157"/>
      <c r="F1278" s="137"/>
      <c r="G1278" s="217"/>
    </row>
    <row r="1279" spans="1:7" s="30" customFormat="1" ht="27.6">
      <c r="A1279" s="66" t="s">
        <v>94</v>
      </c>
      <c r="B1279" s="67" t="s">
        <v>1773</v>
      </c>
      <c r="C1279" s="68" t="s">
        <v>304</v>
      </c>
      <c r="D1279" s="69" t="s">
        <v>63</v>
      </c>
      <c r="E1279" s="157">
        <v>3372.03</v>
      </c>
      <c r="F1279" s="137">
        <f t="shared" ref="F1279" si="102">C1279*E1279</f>
        <v>3372.03</v>
      </c>
      <c r="G1279" s="217"/>
    </row>
    <row r="1280" spans="1:7" s="30" customFormat="1" ht="14.45">
      <c r="A1280" s="59"/>
      <c r="B1280" s="100"/>
      <c r="C1280" s="61"/>
      <c r="D1280" s="62"/>
      <c r="E1280" s="157"/>
      <c r="F1280" s="137"/>
      <c r="G1280" s="217"/>
    </row>
    <row r="1281" spans="1:7" s="30" customFormat="1" ht="27.6">
      <c r="A1281" s="66" t="s">
        <v>140</v>
      </c>
      <c r="B1281" s="67" t="s">
        <v>1774</v>
      </c>
      <c r="C1281" s="68" t="s">
        <v>304</v>
      </c>
      <c r="D1281" s="69" t="s">
        <v>63</v>
      </c>
      <c r="E1281" s="157">
        <v>3372.03</v>
      </c>
      <c r="F1281" s="137">
        <f t="shared" ref="F1281" si="103">C1281*E1281</f>
        <v>3372.03</v>
      </c>
      <c r="G1281" s="217"/>
    </row>
    <row r="1282" spans="1:7" s="30" customFormat="1" ht="14.45">
      <c r="A1282" s="59"/>
      <c r="B1282" s="100"/>
      <c r="C1282" s="61"/>
      <c r="D1282" s="62"/>
      <c r="E1282" s="157"/>
      <c r="F1282" s="137"/>
      <c r="G1282" s="217"/>
    </row>
    <row r="1283" spans="1:7" s="30" customFormat="1" ht="27.6">
      <c r="A1283" s="66" t="s">
        <v>159</v>
      </c>
      <c r="B1283" s="67" t="s">
        <v>1775</v>
      </c>
      <c r="C1283" s="68" t="s">
        <v>304</v>
      </c>
      <c r="D1283" s="69" t="s">
        <v>63</v>
      </c>
      <c r="E1283" s="157">
        <v>3161.38</v>
      </c>
      <c r="F1283" s="137">
        <f t="shared" ref="F1283" si="104">C1283*E1283</f>
        <v>3161.38</v>
      </c>
      <c r="G1283" s="217"/>
    </row>
    <row r="1284" spans="1:7" s="30" customFormat="1" ht="14.45">
      <c r="A1284" s="59"/>
      <c r="B1284" s="63"/>
      <c r="C1284" s="61"/>
      <c r="D1284" s="62"/>
      <c r="E1284" s="157"/>
      <c r="F1284" s="137"/>
      <c r="G1284" s="217"/>
    </row>
    <row r="1285" spans="1:7" s="30" customFormat="1" ht="14.45">
      <c r="A1285" s="59"/>
      <c r="B1285" s="63"/>
      <c r="C1285" s="61"/>
      <c r="D1285" s="62"/>
      <c r="E1285" s="157"/>
      <c r="F1285" s="137"/>
      <c r="G1285" s="217"/>
    </row>
    <row r="1286" spans="1:7" s="30" customFormat="1" ht="14.45">
      <c r="A1286" s="71"/>
      <c r="B1286" s="72"/>
      <c r="C1286" s="73"/>
      <c r="D1286" s="74"/>
      <c r="E1286" s="159"/>
      <c r="F1286" s="138"/>
      <c r="G1286" s="226"/>
    </row>
    <row r="1287" spans="1:7" s="30" customFormat="1" ht="14.45">
      <c r="A1287" s="75"/>
      <c r="B1287" s="76"/>
      <c r="C1287" s="77" t="s">
        <v>30</v>
      </c>
      <c r="D1287" s="77"/>
      <c r="E1287" s="160" t="s">
        <v>8</v>
      </c>
      <c r="F1287" s="139">
        <f>SUM(F1256:F1284)</f>
        <v>64756.219999999994</v>
      </c>
      <c r="G1287" s="227"/>
    </row>
    <row r="1288" spans="1:7" s="30" customFormat="1" ht="14.45">
      <c r="A1288" s="75"/>
      <c r="B1288" s="76"/>
      <c r="C1288" s="78"/>
      <c r="D1288" s="79"/>
      <c r="E1288" s="161"/>
      <c r="F1288" s="140"/>
      <c r="G1288" s="228"/>
    </row>
    <row r="1289" spans="1:7" s="30" customFormat="1" ht="14.45">
      <c r="A1289" s="59"/>
      <c r="B1289" s="63"/>
      <c r="C1289" s="61"/>
      <c r="D1289" s="62"/>
      <c r="E1289" s="157"/>
      <c r="F1289" s="137"/>
      <c r="G1289" s="217"/>
    </row>
    <row r="1290" spans="1:7" s="30" customFormat="1" ht="14.45">
      <c r="A1290" s="59"/>
      <c r="B1290" s="64" t="s">
        <v>1557</v>
      </c>
      <c r="C1290" s="61"/>
      <c r="D1290" s="62"/>
      <c r="E1290" s="157"/>
      <c r="F1290" s="137"/>
      <c r="G1290" s="217"/>
    </row>
    <row r="1291" spans="1:7" s="30" customFormat="1" ht="14.45">
      <c r="A1291" s="59"/>
      <c r="B1291" s="103"/>
      <c r="C1291" s="61"/>
      <c r="D1291" s="62"/>
      <c r="E1291" s="157"/>
      <c r="F1291" s="137"/>
      <c r="G1291" s="217"/>
    </row>
    <row r="1292" spans="1:7" s="30" customFormat="1" ht="27.6">
      <c r="A1292" s="66" t="s">
        <v>14</v>
      </c>
      <c r="B1292" s="67" t="s">
        <v>1776</v>
      </c>
      <c r="C1292" s="68" t="s">
        <v>304</v>
      </c>
      <c r="D1292" s="69" t="s">
        <v>63</v>
      </c>
      <c r="E1292" s="157">
        <v>3372.03</v>
      </c>
      <c r="F1292" s="137">
        <f t="shared" ref="F1292" si="105">C1292*E1292</f>
        <v>3372.03</v>
      </c>
      <c r="G1292" s="217"/>
    </row>
    <row r="1293" spans="1:7" s="30" customFormat="1" ht="14.45">
      <c r="A1293" s="59"/>
      <c r="B1293" s="100"/>
      <c r="C1293" s="61"/>
      <c r="D1293" s="62"/>
      <c r="E1293" s="157"/>
      <c r="F1293" s="137"/>
      <c r="G1293" s="217"/>
    </row>
    <row r="1294" spans="1:7" s="30" customFormat="1" ht="27.6">
      <c r="A1294" s="66" t="s">
        <v>17</v>
      </c>
      <c r="B1294" s="67" t="s">
        <v>1777</v>
      </c>
      <c r="C1294" s="68" t="s">
        <v>304</v>
      </c>
      <c r="D1294" s="69" t="s">
        <v>63</v>
      </c>
      <c r="E1294" s="157">
        <v>3637.61</v>
      </c>
      <c r="F1294" s="137">
        <f t="shared" ref="F1294" si="106">C1294*E1294</f>
        <v>3637.61</v>
      </c>
      <c r="G1294" s="217"/>
    </row>
    <row r="1295" spans="1:7" s="30" customFormat="1" ht="14.45">
      <c r="A1295" s="59"/>
      <c r="B1295" s="100"/>
      <c r="C1295" s="61"/>
      <c r="D1295" s="62"/>
      <c r="E1295" s="157"/>
      <c r="F1295" s="137"/>
      <c r="G1295" s="217"/>
    </row>
    <row r="1296" spans="1:7" s="30" customFormat="1" ht="27.6">
      <c r="A1296" s="66" t="s">
        <v>20</v>
      </c>
      <c r="B1296" s="67" t="s">
        <v>1778</v>
      </c>
      <c r="C1296" s="68" t="s">
        <v>65</v>
      </c>
      <c r="D1296" s="69" t="s">
        <v>63</v>
      </c>
      <c r="E1296" s="157">
        <v>7912.51</v>
      </c>
      <c r="F1296" s="137">
        <f t="shared" ref="F1296" si="107">C1296*E1296</f>
        <v>31650.04</v>
      </c>
      <c r="G1296" s="217"/>
    </row>
    <row r="1297" spans="1:7" s="30" customFormat="1" ht="14.45">
      <c r="A1297" s="59"/>
      <c r="B1297" s="100"/>
      <c r="C1297" s="61"/>
      <c r="D1297" s="62"/>
      <c r="E1297" s="157"/>
      <c r="F1297" s="137"/>
      <c r="G1297" s="217"/>
    </row>
    <row r="1298" spans="1:7" s="30" customFormat="1" ht="27.6">
      <c r="A1298" s="66" t="s">
        <v>23</v>
      </c>
      <c r="B1298" s="67" t="s">
        <v>1779</v>
      </c>
      <c r="C1298" s="68" t="s">
        <v>304</v>
      </c>
      <c r="D1298" s="69" t="s">
        <v>63</v>
      </c>
      <c r="E1298" s="157">
        <v>3161.38</v>
      </c>
      <c r="F1298" s="137">
        <f t="shared" ref="F1298" si="108">C1298*E1298</f>
        <v>3161.38</v>
      </c>
      <c r="G1298" s="217"/>
    </row>
    <row r="1299" spans="1:7" s="30" customFormat="1" ht="14.45">
      <c r="A1299" s="59"/>
      <c r="B1299" s="100"/>
      <c r="C1299" s="61"/>
      <c r="D1299" s="62"/>
      <c r="E1299" s="157"/>
      <c r="F1299" s="137"/>
      <c r="G1299" s="217"/>
    </row>
    <row r="1300" spans="1:7" s="30" customFormat="1" ht="27.6">
      <c r="A1300" s="66" t="s">
        <v>27</v>
      </c>
      <c r="B1300" s="67" t="s">
        <v>1780</v>
      </c>
      <c r="C1300" s="68" t="s">
        <v>304</v>
      </c>
      <c r="D1300" s="69" t="s">
        <v>63</v>
      </c>
      <c r="E1300" s="157">
        <v>4339.5600000000004</v>
      </c>
      <c r="F1300" s="137">
        <f t="shared" ref="F1300" si="109">C1300*E1300</f>
        <v>4339.5600000000004</v>
      </c>
      <c r="G1300" s="217"/>
    </row>
    <row r="1301" spans="1:7" s="30" customFormat="1" ht="14.45">
      <c r="A1301" s="59"/>
      <c r="B1301" s="100"/>
      <c r="C1301" s="61"/>
      <c r="D1301" s="62"/>
      <c r="E1301" s="157"/>
      <c r="F1301" s="137"/>
      <c r="G1301" s="217"/>
    </row>
    <row r="1302" spans="1:7" s="30" customFormat="1" ht="27.6">
      <c r="A1302" s="66" t="s">
        <v>44</v>
      </c>
      <c r="B1302" s="67" t="s">
        <v>1781</v>
      </c>
      <c r="C1302" s="68" t="s">
        <v>304</v>
      </c>
      <c r="D1302" s="69" t="s">
        <v>63</v>
      </c>
      <c r="E1302" s="157">
        <v>4266.3</v>
      </c>
      <c r="F1302" s="137">
        <f t="shared" ref="F1302" si="110">C1302*E1302</f>
        <v>4266.3</v>
      </c>
      <c r="G1302" s="217"/>
    </row>
    <row r="1303" spans="1:7" s="30" customFormat="1" ht="14.45">
      <c r="A1303" s="59"/>
      <c r="B1303" s="100"/>
      <c r="C1303" s="61"/>
      <c r="D1303" s="62"/>
      <c r="E1303" s="157"/>
      <c r="F1303" s="137"/>
      <c r="G1303" s="217"/>
    </row>
    <row r="1304" spans="1:7" s="30" customFormat="1" ht="27.6">
      <c r="A1304" s="66" t="s">
        <v>48</v>
      </c>
      <c r="B1304" s="67" t="s">
        <v>1782</v>
      </c>
      <c r="C1304" s="68" t="s">
        <v>304</v>
      </c>
      <c r="D1304" s="69" t="s">
        <v>63</v>
      </c>
      <c r="E1304" s="157">
        <v>3372.03</v>
      </c>
      <c r="F1304" s="137">
        <f t="shared" ref="F1304" si="111">C1304*E1304</f>
        <v>3372.03</v>
      </c>
      <c r="G1304" s="217"/>
    </row>
    <row r="1305" spans="1:7" s="30" customFormat="1" ht="14.45">
      <c r="A1305" s="59"/>
      <c r="B1305" s="100"/>
      <c r="C1305" s="61"/>
      <c r="D1305" s="62"/>
      <c r="E1305" s="157"/>
      <c r="F1305" s="137"/>
      <c r="G1305" s="217"/>
    </row>
    <row r="1306" spans="1:7" s="30" customFormat="1" ht="27.6">
      <c r="A1306" s="66" t="s">
        <v>84</v>
      </c>
      <c r="B1306" s="67" t="s">
        <v>1783</v>
      </c>
      <c r="C1306" s="68" t="s">
        <v>152</v>
      </c>
      <c r="D1306" s="69" t="s">
        <v>63</v>
      </c>
      <c r="E1306" s="157">
        <v>3372.03</v>
      </c>
      <c r="F1306" s="137">
        <f t="shared" ref="F1306" si="112">C1306*E1306</f>
        <v>6744.06</v>
      </c>
      <c r="G1306" s="217"/>
    </row>
    <row r="1307" spans="1:7" s="30" customFormat="1" ht="14.45">
      <c r="A1307" s="59"/>
      <c r="B1307" s="100"/>
      <c r="C1307" s="61"/>
      <c r="D1307" s="62"/>
      <c r="E1307" s="157"/>
      <c r="F1307" s="137"/>
      <c r="G1307" s="217"/>
    </row>
    <row r="1308" spans="1:7" s="30" customFormat="1" ht="27.6">
      <c r="A1308" s="66" t="s">
        <v>86</v>
      </c>
      <c r="B1308" s="67" t="s">
        <v>1784</v>
      </c>
      <c r="C1308" s="68" t="s">
        <v>152</v>
      </c>
      <c r="D1308" s="69" t="s">
        <v>63</v>
      </c>
      <c r="E1308" s="157">
        <v>3399.5</v>
      </c>
      <c r="F1308" s="137">
        <f t="shared" ref="F1308" si="113">C1308*E1308</f>
        <v>6799</v>
      </c>
      <c r="G1308" s="217"/>
    </row>
    <row r="1309" spans="1:7" s="30" customFormat="1" ht="14.45">
      <c r="A1309" s="59"/>
      <c r="B1309" s="100"/>
      <c r="C1309" s="61"/>
      <c r="D1309" s="62"/>
      <c r="E1309" s="157"/>
      <c r="F1309" s="137"/>
      <c r="G1309" s="217"/>
    </row>
    <row r="1310" spans="1:7" s="30" customFormat="1" ht="27.6">
      <c r="A1310" s="66" t="s">
        <v>90</v>
      </c>
      <c r="B1310" s="67" t="s">
        <v>1785</v>
      </c>
      <c r="C1310" s="68" t="s">
        <v>304</v>
      </c>
      <c r="D1310" s="69" t="s">
        <v>63</v>
      </c>
      <c r="E1310" s="157">
        <v>2787.73</v>
      </c>
      <c r="F1310" s="137">
        <f t="shared" ref="F1310" si="114">C1310*E1310</f>
        <v>2787.73</v>
      </c>
      <c r="G1310" s="217"/>
    </row>
    <row r="1311" spans="1:7" s="30" customFormat="1" ht="14.45">
      <c r="A1311" s="59"/>
      <c r="B1311" s="100"/>
      <c r="C1311" s="61"/>
      <c r="D1311" s="62"/>
      <c r="E1311" s="157"/>
      <c r="F1311" s="137"/>
      <c r="G1311" s="217"/>
    </row>
    <row r="1312" spans="1:7" s="30" customFormat="1" ht="27.6">
      <c r="A1312" s="66" t="s">
        <v>92</v>
      </c>
      <c r="B1312" s="67" t="s">
        <v>1786</v>
      </c>
      <c r="C1312" s="68" t="s">
        <v>304</v>
      </c>
      <c r="D1312" s="69" t="s">
        <v>63</v>
      </c>
      <c r="E1312" s="157">
        <v>4193.03</v>
      </c>
      <c r="F1312" s="137">
        <f t="shared" ref="F1312" si="115">C1312*E1312</f>
        <v>4193.03</v>
      </c>
      <c r="G1312" s="217"/>
    </row>
    <row r="1313" spans="1:7" s="30" customFormat="1" ht="14.45">
      <c r="A1313" s="59"/>
      <c r="B1313" s="100"/>
      <c r="C1313" s="61"/>
      <c r="D1313" s="62"/>
      <c r="E1313" s="157"/>
      <c r="F1313" s="137"/>
      <c r="G1313" s="217"/>
    </row>
    <row r="1314" spans="1:7" s="30" customFormat="1" ht="27.6">
      <c r="A1314" s="66" t="s">
        <v>94</v>
      </c>
      <c r="B1314" s="67" t="s">
        <v>1787</v>
      </c>
      <c r="C1314" s="68" t="s">
        <v>304</v>
      </c>
      <c r="D1314" s="69" t="s">
        <v>63</v>
      </c>
      <c r="E1314" s="157">
        <v>3307.92</v>
      </c>
      <c r="F1314" s="137">
        <f t="shared" ref="F1314" si="116">C1314*E1314</f>
        <v>3307.92</v>
      </c>
      <c r="G1314" s="217"/>
    </row>
    <row r="1315" spans="1:7" s="30" customFormat="1" ht="14.45">
      <c r="A1315" s="59"/>
      <c r="B1315" s="100"/>
      <c r="C1315" s="61"/>
      <c r="D1315" s="62"/>
      <c r="E1315" s="157"/>
      <c r="F1315" s="137"/>
      <c r="G1315" s="217"/>
    </row>
    <row r="1316" spans="1:7" s="30" customFormat="1" ht="27.6">
      <c r="A1316" s="66" t="s">
        <v>140</v>
      </c>
      <c r="B1316" s="67" t="s">
        <v>1788</v>
      </c>
      <c r="C1316" s="68" t="s">
        <v>304</v>
      </c>
      <c r="D1316" s="69" t="s">
        <v>63</v>
      </c>
      <c r="E1316" s="157">
        <v>3372.03</v>
      </c>
      <c r="F1316" s="137">
        <f t="shared" ref="F1316" si="117">C1316*E1316</f>
        <v>3372.03</v>
      </c>
      <c r="G1316" s="217"/>
    </row>
    <row r="1317" spans="1:7" s="30" customFormat="1" ht="14.45">
      <c r="A1317" s="59"/>
      <c r="B1317" s="100"/>
      <c r="C1317" s="61"/>
      <c r="D1317" s="62"/>
      <c r="E1317" s="157"/>
      <c r="F1317" s="137"/>
      <c r="G1317" s="217"/>
    </row>
    <row r="1318" spans="1:7" s="30" customFormat="1" ht="27.6">
      <c r="A1318" s="66" t="s">
        <v>159</v>
      </c>
      <c r="B1318" s="67" t="s">
        <v>1789</v>
      </c>
      <c r="C1318" s="68" t="s">
        <v>152</v>
      </c>
      <c r="D1318" s="69" t="s">
        <v>63</v>
      </c>
      <c r="E1318" s="157">
        <v>5896.48</v>
      </c>
      <c r="F1318" s="137">
        <f t="shared" ref="F1318" si="118">C1318*E1318</f>
        <v>11792.96</v>
      </c>
      <c r="G1318" s="217"/>
    </row>
    <row r="1319" spans="1:7" s="30" customFormat="1" ht="14.45">
      <c r="A1319" s="59"/>
      <c r="B1319" s="63"/>
      <c r="C1319" s="61"/>
      <c r="D1319" s="62"/>
      <c r="E1319" s="157"/>
      <c r="F1319" s="137"/>
      <c r="G1319" s="217"/>
    </row>
    <row r="1320" spans="1:7" s="30" customFormat="1" ht="14.45">
      <c r="A1320" s="59"/>
      <c r="B1320" s="63"/>
      <c r="C1320" s="61"/>
      <c r="D1320" s="62"/>
      <c r="E1320" s="157"/>
      <c r="F1320" s="137"/>
      <c r="G1320" s="217"/>
    </row>
    <row r="1321" spans="1:7" s="30" customFormat="1" ht="14.45">
      <c r="A1321" s="71"/>
      <c r="B1321" s="72"/>
      <c r="C1321" s="73"/>
      <c r="D1321" s="74"/>
      <c r="E1321" s="159"/>
      <c r="F1321" s="138"/>
      <c r="G1321" s="226"/>
    </row>
    <row r="1322" spans="1:7" s="30" customFormat="1" ht="14.45">
      <c r="A1322" s="75"/>
      <c r="B1322" s="76"/>
      <c r="C1322" s="77" t="s">
        <v>30</v>
      </c>
      <c r="D1322" s="77"/>
      <c r="E1322" s="160" t="s">
        <v>8</v>
      </c>
      <c r="F1322" s="139">
        <f>SUM(F1291:F1320)</f>
        <v>92795.68</v>
      </c>
      <c r="G1322" s="227"/>
    </row>
    <row r="1323" spans="1:7" s="30" customFormat="1" ht="14.45">
      <c r="A1323" s="75"/>
      <c r="B1323" s="76"/>
      <c r="C1323" s="78"/>
      <c r="D1323" s="79"/>
      <c r="E1323" s="161"/>
      <c r="F1323" s="140"/>
      <c r="G1323" s="228"/>
    </row>
    <row r="1324" spans="1:7" s="30" customFormat="1" ht="14.45">
      <c r="A1324" s="59"/>
      <c r="B1324" s="63"/>
      <c r="C1324" s="61"/>
      <c r="D1324" s="62"/>
      <c r="E1324" s="157"/>
      <c r="F1324" s="137"/>
      <c r="G1324" s="217"/>
    </row>
    <row r="1325" spans="1:7" s="30" customFormat="1" ht="14.45">
      <c r="A1325" s="59"/>
      <c r="B1325" s="64" t="s">
        <v>1557</v>
      </c>
      <c r="C1325" s="61"/>
      <c r="D1325" s="62"/>
      <c r="E1325" s="157"/>
      <c r="F1325" s="137"/>
      <c r="G1325" s="217"/>
    </row>
    <row r="1326" spans="1:7" s="30" customFormat="1" ht="14.45">
      <c r="A1326" s="59"/>
      <c r="B1326" s="100"/>
      <c r="C1326" s="61"/>
      <c r="D1326" s="62"/>
      <c r="E1326" s="157"/>
      <c r="F1326" s="137"/>
      <c r="G1326" s="217"/>
    </row>
    <row r="1327" spans="1:7" s="30" customFormat="1" ht="27.6">
      <c r="A1327" s="66" t="s">
        <v>14</v>
      </c>
      <c r="B1327" s="67" t="s">
        <v>1790</v>
      </c>
      <c r="C1327" s="68" t="s">
        <v>152</v>
      </c>
      <c r="D1327" s="69" t="s">
        <v>63</v>
      </c>
      <c r="E1327" s="157">
        <v>5401.92</v>
      </c>
      <c r="F1327" s="137">
        <f t="shared" ref="F1327" si="119">C1327*E1327</f>
        <v>10803.84</v>
      </c>
      <c r="G1327" s="217"/>
    </row>
    <row r="1328" spans="1:7" s="30" customFormat="1" ht="14.45">
      <c r="A1328" s="59"/>
      <c r="B1328" s="100"/>
      <c r="C1328" s="61"/>
      <c r="D1328" s="62"/>
      <c r="E1328" s="157"/>
      <c r="F1328" s="137"/>
      <c r="G1328" s="217"/>
    </row>
    <row r="1329" spans="1:7" s="30" customFormat="1" ht="27.6">
      <c r="A1329" s="66" t="s">
        <v>17</v>
      </c>
      <c r="B1329" s="67" t="s">
        <v>1791</v>
      </c>
      <c r="C1329" s="68" t="s">
        <v>304</v>
      </c>
      <c r="D1329" s="69" t="s">
        <v>63</v>
      </c>
      <c r="E1329" s="157">
        <v>3372.03</v>
      </c>
      <c r="F1329" s="137">
        <f t="shared" ref="F1329" si="120">C1329*E1329</f>
        <v>3372.03</v>
      </c>
      <c r="G1329" s="217"/>
    </row>
    <row r="1330" spans="1:7" s="30" customFormat="1" ht="14.45">
      <c r="A1330" s="59"/>
      <c r="B1330" s="100"/>
      <c r="C1330" s="61"/>
      <c r="D1330" s="62"/>
      <c r="E1330" s="157"/>
      <c r="F1330" s="137"/>
      <c r="G1330" s="217"/>
    </row>
    <row r="1331" spans="1:7" s="30" customFormat="1" ht="14.45">
      <c r="A1331" s="66"/>
      <c r="B1331" s="98" t="s">
        <v>1792</v>
      </c>
      <c r="C1331" s="68"/>
      <c r="D1331" s="69"/>
      <c r="E1331" s="157"/>
      <c r="F1331" s="137"/>
      <c r="G1331" s="217"/>
    </row>
    <row r="1332" spans="1:7" s="30" customFormat="1" ht="14.45">
      <c r="A1332" s="59"/>
      <c r="B1332" s="100"/>
      <c r="C1332" s="61"/>
      <c r="D1332" s="62"/>
      <c r="E1332" s="157"/>
      <c r="F1332" s="137"/>
      <c r="G1332" s="217"/>
    </row>
    <row r="1333" spans="1:7" s="30" customFormat="1" ht="27.6">
      <c r="A1333" s="66" t="s">
        <v>20</v>
      </c>
      <c r="B1333" s="67" t="s">
        <v>1793</v>
      </c>
      <c r="C1333" s="68" t="s">
        <v>304</v>
      </c>
      <c r="D1333" s="69" t="s">
        <v>63</v>
      </c>
      <c r="E1333" s="157">
        <v>5409.04</v>
      </c>
      <c r="F1333" s="137">
        <f t="shared" ref="F1333" si="121">C1333*E1333</f>
        <v>5409.04</v>
      </c>
      <c r="G1333" s="217"/>
    </row>
    <row r="1334" spans="1:7" s="30" customFormat="1" ht="14.45">
      <c r="A1334" s="59"/>
      <c r="B1334" s="100"/>
      <c r="C1334" s="61"/>
      <c r="D1334" s="62"/>
      <c r="E1334" s="157"/>
      <c r="F1334" s="137"/>
      <c r="G1334" s="217"/>
    </row>
    <row r="1335" spans="1:7" s="30" customFormat="1" ht="27.6">
      <c r="A1335" s="66" t="s">
        <v>23</v>
      </c>
      <c r="B1335" s="67" t="s">
        <v>1794</v>
      </c>
      <c r="C1335" s="68" t="s">
        <v>304</v>
      </c>
      <c r="D1335" s="69" t="s">
        <v>63</v>
      </c>
      <c r="E1335" s="157">
        <v>5409.04</v>
      </c>
      <c r="F1335" s="137">
        <f t="shared" ref="F1335" si="122">C1335*E1335</f>
        <v>5409.04</v>
      </c>
      <c r="G1335" s="217"/>
    </row>
    <row r="1336" spans="1:7" s="30" customFormat="1" ht="14.45">
      <c r="A1336" s="59"/>
      <c r="B1336" s="63"/>
      <c r="C1336" s="61"/>
      <c r="D1336" s="62"/>
      <c r="E1336" s="157"/>
      <c r="F1336" s="137"/>
      <c r="G1336" s="217"/>
    </row>
    <row r="1337" spans="1:7" s="30" customFormat="1" ht="14.45">
      <c r="A1337" s="59"/>
      <c r="B1337" s="63"/>
      <c r="C1337" s="61"/>
      <c r="D1337" s="62"/>
      <c r="E1337" s="157"/>
      <c r="F1337" s="137"/>
      <c r="G1337" s="217"/>
    </row>
    <row r="1338" spans="1:7" s="30" customFormat="1" ht="14.45">
      <c r="A1338" s="59"/>
      <c r="B1338" s="63"/>
      <c r="C1338" s="61"/>
      <c r="D1338" s="62"/>
      <c r="E1338" s="157"/>
      <c r="F1338" s="137"/>
      <c r="G1338" s="217"/>
    </row>
    <row r="1339" spans="1:7" s="30" customFormat="1" ht="14.45">
      <c r="A1339" s="59"/>
      <c r="B1339" s="63"/>
      <c r="C1339" s="61"/>
      <c r="D1339" s="62"/>
      <c r="E1339" s="157"/>
      <c r="F1339" s="137"/>
      <c r="G1339" s="217"/>
    </row>
    <row r="1340" spans="1:7" s="30" customFormat="1" ht="14.45">
      <c r="A1340" s="59"/>
      <c r="B1340" s="63"/>
      <c r="C1340" s="61"/>
      <c r="D1340" s="62"/>
      <c r="E1340" s="157"/>
      <c r="F1340" s="137"/>
      <c r="G1340" s="217"/>
    </row>
    <row r="1341" spans="1:7" s="30" customFormat="1" ht="14.45">
      <c r="A1341" s="59"/>
      <c r="B1341" s="63"/>
      <c r="C1341" s="61"/>
      <c r="D1341" s="62"/>
      <c r="E1341" s="157"/>
      <c r="F1341" s="137"/>
      <c r="G1341" s="217"/>
    </row>
    <row r="1342" spans="1:7" s="30" customFormat="1" ht="14.45">
      <c r="A1342" s="59"/>
      <c r="B1342" s="63"/>
      <c r="C1342" s="61"/>
      <c r="D1342" s="62"/>
      <c r="E1342" s="157"/>
      <c r="F1342" s="137"/>
      <c r="G1342" s="217"/>
    </row>
    <row r="1343" spans="1:7" s="30" customFormat="1" ht="14.45">
      <c r="A1343" s="59"/>
      <c r="B1343" s="63"/>
      <c r="C1343" s="61"/>
      <c r="D1343" s="62"/>
      <c r="E1343" s="157"/>
      <c r="F1343" s="137"/>
      <c r="G1343" s="217"/>
    </row>
    <row r="1344" spans="1:7" s="30" customFormat="1" ht="14.45">
      <c r="A1344" s="59"/>
      <c r="B1344" s="63"/>
      <c r="C1344" s="61"/>
      <c r="D1344" s="62"/>
      <c r="E1344" s="157"/>
      <c r="F1344" s="137"/>
      <c r="G1344" s="217"/>
    </row>
    <row r="1345" spans="1:7" s="30" customFormat="1" ht="14.45">
      <c r="A1345" s="59"/>
      <c r="B1345" s="63"/>
      <c r="C1345" s="61"/>
      <c r="D1345" s="62"/>
      <c r="E1345" s="157"/>
      <c r="F1345" s="137"/>
      <c r="G1345" s="217"/>
    </row>
    <row r="1346" spans="1:7" s="30" customFormat="1" ht="14.45">
      <c r="A1346" s="59"/>
      <c r="B1346" s="63"/>
      <c r="C1346" s="61"/>
      <c r="D1346" s="62"/>
      <c r="E1346" s="157"/>
      <c r="F1346" s="137"/>
      <c r="G1346" s="217"/>
    </row>
    <row r="1347" spans="1:7" s="30" customFormat="1" ht="14.45">
      <c r="A1347" s="59"/>
      <c r="B1347" s="63"/>
      <c r="C1347" s="61"/>
      <c r="D1347" s="62"/>
      <c r="E1347" s="157"/>
      <c r="F1347" s="137"/>
      <c r="G1347" s="217"/>
    </row>
    <row r="1348" spans="1:7" s="30" customFormat="1" ht="14.45">
      <c r="A1348" s="59"/>
      <c r="B1348" s="63"/>
      <c r="C1348" s="61"/>
      <c r="D1348" s="62"/>
      <c r="E1348" s="157"/>
      <c r="F1348" s="137"/>
      <c r="G1348" s="217"/>
    </row>
    <row r="1349" spans="1:7" s="30" customFormat="1" ht="14.45">
      <c r="A1349" s="59"/>
      <c r="B1349" s="63"/>
      <c r="C1349" s="61"/>
      <c r="D1349" s="62"/>
      <c r="E1349" s="157"/>
      <c r="F1349" s="137"/>
      <c r="G1349" s="217"/>
    </row>
    <row r="1350" spans="1:7" s="30" customFormat="1" ht="14.45">
      <c r="A1350" s="59"/>
      <c r="B1350" s="63"/>
      <c r="C1350" s="61"/>
      <c r="D1350" s="62"/>
      <c r="E1350" s="157"/>
      <c r="F1350" s="137"/>
      <c r="G1350" s="217"/>
    </row>
    <row r="1351" spans="1:7" s="30" customFormat="1" ht="14.45">
      <c r="A1351" s="59"/>
      <c r="B1351" s="63"/>
      <c r="C1351" s="61"/>
      <c r="D1351" s="62"/>
      <c r="E1351" s="157"/>
      <c r="F1351" s="137"/>
      <c r="G1351" s="217"/>
    </row>
    <row r="1352" spans="1:7" s="30" customFormat="1" ht="14.45">
      <c r="A1352" s="59"/>
      <c r="B1352" s="63"/>
      <c r="C1352" s="61"/>
      <c r="D1352" s="62"/>
      <c r="E1352" s="157"/>
      <c r="F1352" s="137"/>
      <c r="G1352" s="217"/>
    </row>
    <row r="1353" spans="1:7" s="30" customFormat="1" ht="14.45">
      <c r="A1353" s="59"/>
      <c r="B1353" s="63"/>
      <c r="C1353" s="61"/>
      <c r="D1353" s="62"/>
      <c r="E1353" s="157"/>
      <c r="F1353" s="137"/>
      <c r="G1353" s="217"/>
    </row>
    <row r="1354" spans="1:7" s="30" customFormat="1" ht="14.45">
      <c r="A1354" s="59"/>
      <c r="B1354" s="63"/>
      <c r="C1354" s="61"/>
      <c r="D1354" s="62"/>
      <c r="E1354" s="157"/>
      <c r="F1354" s="137"/>
      <c r="G1354" s="217"/>
    </row>
    <row r="1355" spans="1:7" s="30" customFormat="1" ht="14.45">
      <c r="A1355" s="59"/>
      <c r="B1355" s="63"/>
      <c r="C1355" s="61"/>
      <c r="D1355" s="62"/>
      <c r="E1355" s="157"/>
      <c r="F1355" s="137"/>
      <c r="G1355" s="217"/>
    </row>
    <row r="1356" spans="1:7" s="30" customFormat="1" ht="14.45">
      <c r="A1356" s="59"/>
      <c r="B1356" s="63"/>
      <c r="C1356" s="61"/>
      <c r="D1356" s="62"/>
      <c r="E1356" s="157"/>
      <c r="F1356" s="137"/>
      <c r="G1356" s="217"/>
    </row>
    <row r="1357" spans="1:7" s="30" customFormat="1" ht="14.45">
      <c r="A1357" s="59"/>
      <c r="B1357" s="63"/>
      <c r="C1357" s="61"/>
      <c r="D1357" s="62"/>
      <c r="E1357" s="157"/>
      <c r="F1357" s="137"/>
      <c r="G1357" s="217"/>
    </row>
    <row r="1358" spans="1:7" s="30" customFormat="1" ht="14.45">
      <c r="A1358" s="59"/>
      <c r="B1358" s="63"/>
      <c r="C1358" s="61"/>
      <c r="D1358" s="62"/>
      <c r="E1358" s="157"/>
      <c r="F1358" s="137"/>
      <c r="G1358" s="217"/>
    </row>
    <row r="1359" spans="1:7" s="30" customFormat="1" ht="14.45">
      <c r="A1359" s="59"/>
      <c r="B1359" s="63"/>
      <c r="C1359" s="61"/>
      <c r="D1359" s="62"/>
      <c r="E1359" s="157"/>
      <c r="F1359" s="137"/>
      <c r="G1359" s="217"/>
    </row>
    <row r="1360" spans="1:7" s="30" customFormat="1" ht="14.45">
      <c r="A1360" s="59"/>
      <c r="B1360" s="63"/>
      <c r="C1360" s="61"/>
      <c r="D1360" s="62"/>
      <c r="E1360" s="157"/>
      <c r="F1360" s="137"/>
      <c r="G1360" s="217"/>
    </row>
    <row r="1361" spans="1:7" s="30" customFormat="1" ht="14.45">
      <c r="A1361" s="59"/>
      <c r="B1361" s="63"/>
      <c r="C1361" s="61"/>
      <c r="D1361" s="62"/>
      <c r="E1361" s="157"/>
      <c r="F1361" s="137"/>
      <c r="G1361" s="217"/>
    </row>
    <row r="1362" spans="1:7" s="30" customFormat="1" ht="14.45">
      <c r="A1362" s="59"/>
      <c r="B1362" s="63"/>
      <c r="C1362" s="61"/>
      <c r="D1362" s="62"/>
      <c r="E1362" s="157"/>
      <c r="F1362" s="137"/>
      <c r="G1362" s="217"/>
    </row>
    <row r="1363" spans="1:7" s="30" customFormat="1" ht="14.45">
      <c r="A1363" s="59"/>
      <c r="B1363" s="63"/>
      <c r="C1363" s="61"/>
      <c r="D1363" s="62"/>
      <c r="E1363" s="157"/>
      <c r="F1363" s="137"/>
      <c r="G1363" s="217"/>
    </row>
    <row r="1364" spans="1:7" s="30" customFormat="1" ht="14.45">
      <c r="A1364" s="59"/>
      <c r="B1364" s="63"/>
      <c r="C1364" s="61"/>
      <c r="D1364" s="62"/>
      <c r="E1364" s="157"/>
      <c r="F1364" s="137"/>
      <c r="G1364" s="217"/>
    </row>
    <row r="1365" spans="1:7" s="30" customFormat="1" ht="14.45">
      <c r="A1365" s="71"/>
      <c r="B1365" s="72"/>
      <c r="C1365" s="73"/>
      <c r="D1365" s="74"/>
      <c r="E1365" s="159"/>
      <c r="F1365" s="138"/>
      <c r="G1365" s="226"/>
    </row>
    <row r="1366" spans="1:7" s="30" customFormat="1" ht="14.45">
      <c r="A1366" s="75"/>
      <c r="B1366" s="76"/>
      <c r="C1366" s="77" t="s">
        <v>30</v>
      </c>
      <c r="D1366" s="77"/>
      <c r="E1366" s="160" t="s">
        <v>8</v>
      </c>
      <c r="F1366" s="139">
        <f>SUM(F1326:F1341)</f>
        <v>24993.95</v>
      </c>
      <c r="G1366" s="227"/>
    </row>
    <row r="1367" spans="1:7" s="30" customFormat="1" ht="14.45">
      <c r="A1367" s="75"/>
      <c r="B1367" s="76"/>
      <c r="C1367" s="78"/>
      <c r="D1367" s="79"/>
      <c r="E1367" s="161"/>
      <c r="F1367" s="140"/>
      <c r="G1367" s="228"/>
    </row>
    <row r="1368" spans="1:7" s="30" customFormat="1" ht="14.45">
      <c r="A1368" s="59"/>
      <c r="B1368" s="63"/>
      <c r="C1368" s="61"/>
      <c r="D1368" s="62"/>
      <c r="E1368" s="157"/>
      <c r="F1368" s="137"/>
      <c r="G1368" s="217"/>
    </row>
    <row r="1369" spans="1:7" s="30" customFormat="1" ht="14.45">
      <c r="A1369" s="59"/>
      <c r="B1369" s="64" t="s">
        <v>1557</v>
      </c>
      <c r="C1369" s="61"/>
      <c r="D1369" s="62"/>
      <c r="E1369" s="157"/>
      <c r="F1369" s="137"/>
      <c r="G1369" s="217"/>
    </row>
    <row r="1370" spans="1:7" s="30" customFormat="1" ht="14.45">
      <c r="A1370" s="59"/>
      <c r="B1370" s="100"/>
      <c r="C1370" s="61"/>
      <c r="D1370" s="62"/>
      <c r="E1370" s="157"/>
      <c r="F1370" s="137"/>
      <c r="G1370" s="217"/>
    </row>
    <row r="1371" spans="1:7" s="30" customFormat="1" ht="14.45">
      <c r="A1371" s="66"/>
      <c r="B1371" s="98" t="s">
        <v>1795</v>
      </c>
      <c r="C1371" s="68"/>
      <c r="D1371" s="69"/>
      <c r="E1371" s="157"/>
      <c r="F1371" s="137"/>
      <c r="G1371" s="217"/>
    </row>
    <row r="1372" spans="1:7" s="30" customFormat="1" ht="14.45">
      <c r="A1372" s="59"/>
      <c r="B1372" s="100"/>
      <c r="C1372" s="61"/>
      <c r="D1372" s="62"/>
      <c r="E1372" s="157"/>
      <c r="F1372" s="137"/>
      <c r="G1372" s="217"/>
    </row>
    <row r="1373" spans="1:7" s="30" customFormat="1" ht="14.45">
      <c r="A1373" s="66" t="s">
        <v>14</v>
      </c>
      <c r="B1373" s="67" t="s">
        <v>1796</v>
      </c>
      <c r="C1373" s="68" t="s">
        <v>304</v>
      </c>
      <c r="D1373" s="69" t="s">
        <v>63</v>
      </c>
      <c r="E1373" s="157"/>
      <c r="F1373" s="137" t="s">
        <v>681</v>
      </c>
      <c r="G1373" s="217"/>
    </row>
    <row r="1374" spans="1:7" s="30" customFormat="1" ht="13.5" customHeight="1">
      <c r="A1374" s="59"/>
      <c r="B1374" s="100"/>
      <c r="C1374" s="61"/>
      <c r="D1374" s="62"/>
      <c r="E1374" s="157"/>
      <c r="F1374" s="137"/>
      <c r="G1374" s="217"/>
    </row>
    <row r="1375" spans="1:7" s="30" customFormat="1" ht="14.45">
      <c r="A1375" s="66" t="s">
        <v>17</v>
      </c>
      <c r="B1375" s="67" t="s">
        <v>1797</v>
      </c>
      <c r="C1375" s="68" t="s">
        <v>304</v>
      </c>
      <c r="D1375" s="69" t="s">
        <v>63</v>
      </c>
      <c r="E1375" s="157"/>
      <c r="F1375" s="137" t="s">
        <v>681</v>
      </c>
      <c r="G1375" s="217"/>
    </row>
    <row r="1376" spans="1:7" s="30" customFormat="1" ht="13.5" customHeight="1">
      <c r="A1376" s="59"/>
      <c r="B1376" s="100"/>
      <c r="C1376" s="61"/>
      <c r="D1376" s="62"/>
      <c r="E1376" s="157"/>
      <c r="F1376" s="137"/>
      <c r="G1376" s="217"/>
    </row>
    <row r="1377" spans="1:7" s="30" customFormat="1" ht="14.45">
      <c r="A1377" s="66" t="s">
        <v>20</v>
      </c>
      <c r="B1377" s="67" t="s">
        <v>1798</v>
      </c>
      <c r="C1377" s="68" t="s">
        <v>304</v>
      </c>
      <c r="D1377" s="69" t="s">
        <v>63</v>
      </c>
      <c r="E1377" s="157"/>
      <c r="F1377" s="137" t="s">
        <v>681</v>
      </c>
      <c r="G1377" s="217"/>
    </row>
    <row r="1378" spans="1:7" s="30" customFormat="1" ht="13.5" customHeight="1">
      <c r="A1378" s="59"/>
      <c r="B1378" s="100"/>
      <c r="C1378" s="61"/>
      <c r="D1378" s="62"/>
      <c r="E1378" s="157"/>
      <c r="F1378" s="137"/>
      <c r="G1378" s="217"/>
    </row>
    <row r="1379" spans="1:7" s="30" customFormat="1" ht="14.45">
      <c r="A1379" s="66" t="s">
        <v>23</v>
      </c>
      <c r="B1379" s="67" t="s">
        <v>1799</v>
      </c>
      <c r="C1379" s="68" t="s">
        <v>304</v>
      </c>
      <c r="D1379" s="69" t="s">
        <v>63</v>
      </c>
      <c r="E1379" s="157"/>
      <c r="F1379" s="137" t="s">
        <v>681</v>
      </c>
      <c r="G1379" s="217"/>
    </row>
    <row r="1380" spans="1:7" s="30" customFormat="1" ht="13.5" customHeight="1">
      <c r="A1380" s="59"/>
      <c r="B1380" s="100"/>
      <c r="C1380" s="61"/>
      <c r="D1380" s="62"/>
      <c r="E1380" s="157"/>
      <c r="F1380" s="137"/>
      <c r="G1380" s="217"/>
    </row>
    <row r="1381" spans="1:7" s="30" customFormat="1" ht="14.45">
      <c r="A1381" s="66" t="s">
        <v>27</v>
      </c>
      <c r="B1381" s="67" t="s">
        <v>1800</v>
      </c>
      <c r="C1381" s="68" t="s">
        <v>304</v>
      </c>
      <c r="D1381" s="69" t="s">
        <v>63</v>
      </c>
      <c r="E1381" s="157"/>
      <c r="F1381" s="137" t="s">
        <v>681</v>
      </c>
      <c r="G1381" s="217"/>
    </row>
    <row r="1382" spans="1:7" s="30" customFormat="1" ht="13.5" customHeight="1">
      <c r="A1382" s="59"/>
      <c r="B1382" s="100"/>
      <c r="C1382" s="61"/>
      <c r="D1382" s="62"/>
      <c r="E1382" s="157"/>
      <c r="F1382" s="137"/>
      <c r="G1382" s="217"/>
    </row>
    <row r="1383" spans="1:7" s="30" customFormat="1" ht="14.45">
      <c r="A1383" s="66" t="s">
        <v>44</v>
      </c>
      <c r="B1383" s="67" t="s">
        <v>1801</v>
      </c>
      <c r="C1383" s="68" t="s">
        <v>304</v>
      </c>
      <c r="D1383" s="69" t="s">
        <v>63</v>
      </c>
      <c r="E1383" s="157"/>
      <c r="F1383" s="137" t="s">
        <v>681</v>
      </c>
      <c r="G1383" s="217"/>
    </row>
    <row r="1384" spans="1:7" s="30" customFormat="1" ht="13.5" customHeight="1">
      <c r="A1384" s="59"/>
      <c r="B1384" s="100"/>
      <c r="C1384" s="61"/>
      <c r="D1384" s="62"/>
      <c r="E1384" s="157"/>
      <c r="F1384" s="137"/>
      <c r="G1384" s="217"/>
    </row>
    <row r="1385" spans="1:7" s="30" customFormat="1" ht="14.45">
      <c r="A1385" s="66" t="s">
        <v>48</v>
      </c>
      <c r="B1385" s="67" t="s">
        <v>1802</v>
      </c>
      <c r="C1385" s="68" t="s">
        <v>304</v>
      </c>
      <c r="D1385" s="69" t="s">
        <v>63</v>
      </c>
      <c r="E1385" s="157"/>
      <c r="F1385" s="137" t="s">
        <v>681</v>
      </c>
      <c r="G1385" s="217"/>
    </row>
    <row r="1386" spans="1:7" s="30" customFormat="1" ht="13.5" customHeight="1">
      <c r="A1386" s="59"/>
      <c r="B1386" s="100"/>
      <c r="C1386" s="61"/>
      <c r="D1386" s="62"/>
      <c r="E1386" s="157"/>
      <c r="F1386" s="137"/>
      <c r="G1386" s="217"/>
    </row>
    <row r="1387" spans="1:7" s="30" customFormat="1" ht="14.45">
      <c r="A1387" s="66" t="s">
        <v>84</v>
      </c>
      <c r="B1387" s="67" t="s">
        <v>1803</v>
      </c>
      <c r="C1387" s="68" t="s">
        <v>304</v>
      </c>
      <c r="D1387" s="69" t="s">
        <v>63</v>
      </c>
      <c r="E1387" s="157"/>
      <c r="F1387" s="137" t="s">
        <v>681</v>
      </c>
      <c r="G1387" s="217"/>
    </row>
    <row r="1388" spans="1:7" s="30" customFormat="1" ht="13.5" customHeight="1">
      <c r="A1388" s="59"/>
      <c r="B1388" s="100"/>
      <c r="C1388" s="61"/>
      <c r="D1388" s="62"/>
      <c r="E1388" s="157"/>
      <c r="F1388" s="137"/>
      <c r="G1388" s="217"/>
    </row>
    <row r="1389" spans="1:7" s="30" customFormat="1" ht="14.45">
      <c r="A1389" s="66" t="s">
        <v>86</v>
      </c>
      <c r="B1389" s="67" t="s">
        <v>1804</v>
      </c>
      <c r="C1389" s="68" t="s">
        <v>304</v>
      </c>
      <c r="D1389" s="69" t="s">
        <v>63</v>
      </c>
      <c r="E1389" s="157"/>
      <c r="F1389" s="137" t="s">
        <v>681</v>
      </c>
      <c r="G1389" s="217"/>
    </row>
    <row r="1390" spans="1:7" s="30" customFormat="1" ht="13.5" customHeight="1">
      <c r="A1390" s="59"/>
      <c r="B1390" s="100"/>
      <c r="C1390" s="61"/>
      <c r="D1390" s="62"/>
      <c r="E1390" s="157"/>
      <c r="F1390" s="137"/>
      <c r="G1390" s="217"/>
    </row>
    <row r="1391" spans="1:7" s="30" customFormat="1" ht="14.45">
      <c r="A1391" s="66" t="s">
        <v>90</v>
      </c>
      <c r="B1391" s="67" t="s">
        <v>1805</v>
      </c>
      <c r="C1391" s="68" t="s">
        <v>304</v>
      </c>
      <c r="D1391" s="69" t="s">
        <v>63</v>
      </c>
      <c r="E1391" s="157"/>
      <c r="F1391" s="137" t="s">
        <v>681</v>
      </c>
      <c r="G1391" s="217"/>
    </row>
    <row r="1392" spans="1:7" s="30" customFormat="1" ht="13.5" customHeight="1">
      <c r="A1392" s="59"/>
      <c r="B1392" s="100"/>
      <c r="C1392" s="61"/>
      <c r="D1392" s="62"/>
      <c r="E1392" s="157"/>
      <c r="F1392" s="137"/>
      <c r="G1392" s="217"/>
    </row>
    <row r="1393" spans="1:7" s="30" customFormat="1" ht="14.45">
      <c r="A1393" s="66" t="s">
        <v>92</v>
      </c>
      <c r="B1393" s="67" t="s">
        <v>1806</v>
      </c>
      <c r="C1393" s="68" t="s">
        <v>304</v>
      </c>
      <c r="D1393" s="69" t="s">
        <v>63</v>
      </c>
      <c r="E1393" s="157"/>
      <c r="F1393" s="137" t="s">
        <v>681</v>
      </c>
      <c r="G1393" s="217"/>
    </row>
    <row r="1394" spans="1:7" s="30" customFormat="1" ht="13.5" customHeight="1">
      <c r="A1394" s="59"/>
      <c r="B1394" s="100"/>
      <c r="C1394" s="61"/>
      <c r="D1394" s="62"/>
      <c r="E1394" s="157"/>
      <c r="F1394" s="137"/>
      <c r="G1394" s="217"/>
    </row>
    <row r="1395" spans="1:7" s="30" customFormat="1" ht="14.45">
      <c r="A1395" s="66" t="s">
        <v>94</v>
      </c>
      <c r="B1395" s="67" t="s">
        <v>1807</v>
      </c>
      <c r="C1395" s="68" t="s">
        <v>304</v>
      </c>
      <c r="D1395" s="69" t="s">
        <v>63</v>
      </c>
      <c r="E1395" s="157"/>
      <c r="F1395" s="137" t="s">
        <v>681</v>
      </c>
      <c r="G1395" s="217"/>
    </row>
    <row r="1396" spans="1:7" s="30" customFormat="1" ht="13.5" customHeight="1">
      <c r="A1396" s="59"/>
      <c r="B1396" s="100"/>
      <c r="C1396" s="61"/>
      <c r="D1396" s="62"/>
      <c r="E1396" s="157"/>
      <c r="F1396" s="137"/>
      <c r="G1396" s="217"/>
    </row>
    <row r="1397" spans="1:7" s="30" customFormat="1" ht="18" customHeight="1">
      <c r="A1397" s="66" t="s">
        <v>140</v>
      </c>
      <c r="B1397" s="67" t="s">
        <v>1808</v>
      </c>
      <c r="C1397" s="68" t="s">
        <v>304</v>
      </c>
      <c r="D1397" s="69" t="s">
        <v>63</v>
      </c>
      <c r="E1397" s="157"/>
      <c r="F1397" s="137" t="s">
        <v>681</v>
      </c>
      <c r="G1397" s="217"/>
    </row>
    <row r="1398" spans="1:7" s="30" customFormat="1" ht="13.5" customHeight="1">
      <c r="A1398" s="59"/>
      <c r="B1398" s="100"/>
      <c r="C1398" s="61"/>
      <c r="D1398" s="62"/>
      <c r="E1398" s="157"/>
      <c r="F1398" s="137"/>
      <c r="G1398" s="217"/>
    </row>
    <row r="1399" spans="1:7" s="30" customFormat="1" ht="14.45">
      <c r="A1399" s="66" t="s">
        <v>159</v>
      </c>
      <c r="B1399" s="67" t="s">
        <v>1809</v>
      </c>
      <c r="C1399" s="68" t="s">
        <v>304</v>
      </c>
      <c r="D1399" s="69" t="s">
        <v>63</v>
      </c>
      <c r="E1399" s="157"/>
      <c r="F1399" s="137" t="s">
        <v>681</v>
      </c>
      <c r="G1399" s="217"/>
    </row>
    <row r="1400" spans="1:7" s="30" customFormat="1" ht="13.5" customHeight="1">
      <c r="A1400" s="59"/>
      <c r="B1400" s="100"/>
      <c r="C1400" s="61"/>
      <c r="D1400" s="62"/>
      <c r="E1400" s="157"/>
      <c r="F1400" s="137"/>
      <c r="G1400" s="217"/>
    </row>
    <row r="1401" spans="1:7" s="30" customFormat="1" ht="14.45">
      <c r="A1401" s="66" t="s">
        <v>162</v>
      </c>
      <c r="B1401" s="67" t="s">
        <v>1810</v>
      </c>
      <c r="C1401" s="68" t="s">
        <v>304</v>
      </c>
      <c r="D1401" s="69" t="s">
        <v>63</v>
      </c>
      <c r="E1401" s="157"/>
      <c r="F1401" s="137" t="s">
        <v>681</v>
      </c>
      <c r="G1401" s="217"/>
    </row>
    <row r="1402" spans="1:7" s="30" customFormat="1" ht="13.5" customHeight="1">
      <c r="A1402" s="59"/>
      <c r="B1402" s="100"/>
      <c r="C1402" s="61"/>
      <c r="D1402" s="62"/>
      <c r="E1402" s="157"/>
      <c r="F1402" s="137"/>
      <c r="G1402" s="217"/>
    </row>
    <row r="1403" spans="1:7" s="30" customFormat="1" ht="14.45">
      <c r="A1403" s="66" t="s">
        <v>164</v>
      </c>
      <c r="B1403" s="67" t="s">
        <v>1811</v>
      </c>
      <c r="C1403" s="68" t="s">
        <v>304</v>
      </c>
      <c r="D1403" s="69" t="s">
        <v>63</v>
      </c>
      <c r="E1403" s="157"/>
      <c r="F1403" s="137" t="s">
        <v>681</v>
      </c>
      <c r="G1403" s="217"/>
    </row>
    <row r="1404" spans="1:7" s="30" customFormat="1" ht="13.5" customHeight="1">
      <c r="A1404" s="59"/>
      <c r="B1404" s="100"/>
      <c r="C1404" s="61"/>
      <c r="D1404" s="62"/>
      <c r="E1404" s="157"/>
      <c r="F1404" s="137"/>
      <c r="G1404" s="217"/>
    </row>
    <row r="1405" spans="1:7" s="30" customFormat="1" ht="14.45">
      <c r="A1405" s="66" t="s">
        <v>166</v>
      </c>
      <c r="B1405" s="67" t="s">
        <v>1812</v>
      </c>
      <c r="C1405" s="68" t="s">
        <v>304</v>
      </c>
      <c r="D1405" s="69" t="s">
        <v>63</v>
      </c>
      <c r="E1405" s="157"/>
      <c r="F1405" s="137" t="s">
        <v>681</v>
      </c>
      <c r="G1405" s="217"/>
    </row>
    <row r="1406" spans="1:7" s="30" customFormat="1" ht="13.5" customHeight="1">
      <c r="A1406" s="59"/>
      <c r="B1406" s="100"/>
      <c r="C1406" s="61"/>
      <c r="D1406" s="62"/>
      <c r="E1406" s="157"/>
      <c r="F1406" s="137"/>
      <c r="G1406" s="217"/>
    </row>
    <row r="1407" spans="1:7" s="30" customFormat="1" ht="14.45">
      <c r="A1407" s="66" t="s">
        <v>168</v>
      </c>
      <c r="B1407" s="67" t="s">
        <v>1813</v>
      </c>
      <c r="C1407" s="68" t="s">
        <v>304</v>
      </c>
      <c r="D1407" s="69" t="s">
        <v>63</v>
      </c>
      <c r="E1407" s="157"/>
      <c r="F1407" s="137" t="s">
        <v>681</v>
      </c>
      <c r="G1407" s="217"/>
    </row>
    <row r="1408" spans="1:7" s="30" customFormat="1" ht="13.5" customHeight="1">
      <c r="A1408" s="59"/>
      <c r="B1408" s="100"/>
      <c r="C1408" s="61"/>
      <c r="D1408" s="62"/>
      <c r="E1408" s="157"/>
      <c r="F1408" s="137"/>
      <c r="G1408" s="217"/>
    </row>
    <row r="1409" spans="1:7" s="30" customFormat="1" ht="14.45">
      <c r="A1409" s="66" t="s">
        <v>170</v>
      </c>
      <c r="B1409" s="67" t="s">
        <v>1814</v>
      </c>
      <c r="C1409" s="68" t="s">
        <v>304</v>
      </c>
      <c r="D1409" s="69" t="s">
        <v>63</v>
      </c>
      <c r="E1409" s="157"/>
      <c r="F1409" s="137" t="s">
        <v>681</v>
      </c>
      <c r="G1409" s="217"/>
    </row>
    <row r="1410" spans="1:7" s="30" customFormat="1" ht="13.5" customHeight="1">
      <c r="A1410" s="59"/>
      <c r="B1410" s="100"/>
      <c r="C1410" s="61"/>
      <c r="D1410" s="62"/>
      <c r="E1410" s="157"/>
      <c r="F1410" s="137"/>
      <c r="G1410" s="217"/>
    </row>
    <row r="1411" spans="1:7" s="30" customFormat="1" ht="14.45">
      <c r="A1411" s="66" t="s">
        <v>172</v>
      </c>
      <c r="B1411" s="67" t="s">
        <v>1815</v>
      </c>
      <c r="C1411" s="68" t="s">
        <v>304</v>
      </c>
      <c r="D1411" s="69" t="s">
        <v>63</v>
      </c>
      <c r="E1411" s="157"/>
      <c r="F1411" s="137" t="s">
        <v>681</v>
      </c>
      <c r="G1411" s="217"/>
    </row>
    <row r="1412" spans="1:7" s="30" customFormat="1" ht="13.5" customHeight="1">
      <c r="A1412" s="59"/>
      <c r="B1412" s="100"/>
      <c r="C1412" s="61"/>
      <c r="D1412" s="62"/>
      <c r="E1412" s="157"/>
      <c r="F1412" s="137"/>
      <c r="G1412" s="217"/>
    </row>
    <row r="1413" spans="1:7" s="30" customFormat="1" ht="14.45">
      <c r="A1413" s="66" t="s">
        <v>1615</v>
      </c>
      <c r="B1413" s="67" t="s">
        <v>1816</v>
      </c>
      <c r="C1413" s="68" t="s">
        <v>304</v>
      </c>
      <c r="D1413" s="69" t="s">
        <v>63</v>
      </c>
      <c r="E1413" s="157"/>
      <c r="F1413" s="137" t="s">
        <v>681</v>
      </c>
      <c r="G1413" s="217"/>
    </row>
    <row r="1414" spans="1:7" s="30" customFormat="1" ht="14.45">
      <c r="A1414" s="59"/>
      <c r="B1414" s="63"/>
      <c r="C1414" s="61"/>
      <c r="D1414" s="62"/>
      <c r="E1414" s="157"/>
      <c r="F1414" s="137"/>
      <c r="G1414" s="217"/>
    </row>
    <row r="1415" spans="1:7" s="30" customFormat="1" ht="14.45">
      <c r="A1415" s="71"/>
      <c r="B1415" s="72"/>
      <c r="C1415" s="73"/>
      <c r="D1415" s="74"/>
      <c r="E1415" s="159"/>
      <c r="F1415" s="138"/>
      <c r="G1415" s="226"/>
    </row>
    <row r="1416" spans="1:7" s="30" customFormat="1" ht="14.45">
      <c r="A1416" s="75"/>
      <c r="B1416" s="76"/>
      <c r="C1416" s="77" t="s">
        <v>30</v>
      </c>
      <c r="D1416" s="77"/>
      <c r="E1416" s="160" t="s">
        <v>8</v>
      </c>
      <c r="F1416" s="139">
        <f>SUM(F1372:F1414)</f>
        <v>0</v>
      </c>
      <c r="G1416" s="227"/>
    </row>
    <row r="1417" spans="1:7" s="30" customFormat="1" ht="14.45">
      <c r="A1417" s="75"/>
      <c r="B1417" s="76"/>
      <c r="C1417" s="78"/>
      <c r="D1417" s="79"/>
      <c r="E1417" s="161"/>
      <c r="F1417" s="140"/>
      <c r="G1417" s="228"/>
    </row>
    <row r="1418" spans="1:7" s="30" customFormat="1" ht="14.45">
      <c r="A1418" s="59"/>
      <c r="B1418" s="63"/>
      <c r="C1418" s="61"/>
      <c r="D1418" s="62"/>
      <c r="E1418" s="157"/>
      <c r="F1418" s="137"/>
      <c r="G1418" s="217"/>
    </row>
    <row r="1419" spans="1:7" s="30" customFormat="1" ht="14.45">
      <c r="A1419" s="59"/>
      <c r="B1419" s="64" t="s">
        <v>1557</v>
      </c>
      <c r="C1419" s="61"/>
      <c r="D1419" s="62"/>
      <c r="E1419" s="157"/>
      <c r="F1419" s="137"/>
      <c r="G1419" s="217"/>
    </row>
    <row r="1420" spans="1:7" s="30" customFormat="1" ht="14.45">
      <c r="A1420" s="59"/>
      <c r="B1420" s="100"/>
      <c r="C1420" s="61"/>
      <c r="D1420" s="62"/>
      <c r="E1420" s="157"/>
      <c r="F1420" s="137"/>
      <c r="G1420" s="217"/>
    </row>
    <row r="1421" spans="1:7" s="30" customFormat="1" ht="82.9">
      <c r="A1421" s="66"/>
      <c r="B1421" s="98" t="s">
        <v>1817</v>
      </c>
      <c r="C1421" s="68"/>
      <c r="D1421" s="69"/>
      <c r="E1421" s="157"/>
      <c r="F1421" s="137"/>
      <c r="G1421" s="217"/>
    </row>
    <row r="1422" spans="1:7" s="30" customFormat="1" ht="14.45">
      <c r="A1422" s="59"/>
      <c r="B1422" s="100"/>
      <c r="C1422" s="61"/>
      <c r="D1422" s="62"/>
      <c r="E1422" s="157"/>
      <c r="F1422" s="137"/>
      <c r="G1422" s="217"/>
    </row>
    <row r="1423" spans="1:7" s="30" customFormat="1" ht="14.45">
      <c r="A1423" s="66" t="s">
        <v>14</v>
      </c>
      <c r="B1423" s="67" t="s">
        <v>1568</v>
      </c>
      <c r="C1423" s="68" t="s">
        <v>1569</v>
      </c>
      <c r="D1423" s="69" t="s">
        <v>16</v>
      </c>
      <c r="E1423" s="157">
        <v>109.05</v>
      </c>
      <c r="F1423" s="137">
        <f t="shared" ref="F1423" si="123">C1423*E1423</f>
        <v>311228.7</v>
      </c>
      <c r="G1423" s="217"/>
    </row>
    <row r="1424" spans="1:7" s="30" customFormat="1" ht="14.45">
      <c r="A1424" s="59"/>
      <c r="B1424" s="100"/>
      <c r="C1424" s="61"/>
      <c r="D1424" s="62"/>
      <c r="E1424" s="157"/>
      <c r="F1424" s="137"/>
      <c r="G1424" s="217"/>
    </row>
    <row r="1425" spans="1:7" s="30" customFormat="1" ht="14.45">
      <c r="A1425" s="66" t="s">
        <v>17</v>
      </c>
      <c r="B1425" s="67" t="s">
        <v>1570</v>
      </c>
      <c r="C1425" s="68" t="s">
        <v>1571</v>
      </c>
      <c r="D1425" s="69" t="s">
        <v>16</v>
      </c>
      <c r="E1425" s="157">
        <v>109.05</v>
      </c>
      <c r="F1425" s="137">
        <f t="shared" ref="F1425" si="124">C1425*E1425</f>
        <v>718312.35</v>
      </c>
      <c r="G1425" s="217"/>
    </row>
    <row r="1426" spans="1:7" s="30" customFormat="1" ht="14.45">
      <c r="A1426" s="59"/>
      <c r="B1426" s="100"/>
      <c r="C1426" s="61"/>
      <c r="D1426" s="62"/>
      <c r="E1426" s="157"/>
      <c r="F1426" s="137"/>
      <c r="G1426" s="217"/>
    </row>
    <row r="1427" spans="1:7" s="30" customFormat="1" ht="14.45">
      <c r="A1427" s="66" t="s">
        <v>20</v>
      </c>
      <c r="B1427" s="67" t="s">
        <v>1572</v>
      </c>
      <c r="C1427" s="68" t="s">
        <v>1573</v>
      </c>
      <c r="D1427" s="69" t="s">
        <v>16</v>
      </c>
      <c r="E1427" s="157">
        <v>118.42</v>
      </c>
      <c r="F1427" s="137">
        <f t="shared" ref="F1427" si="125">C1427*E1427</f>
        <v>42394.36</v>
      </c>
      <c r="G1427" s="217"/>
    </row>
    <row r="1428" spans="1:7" s="30" customFormat="1" ht="14.45">
      <c r="A1428" s="59"/>
      <c r="B1428" s="100"/>
      <c r="C1428" s="61"/>
      <c r="D1428" s="62"/>
      <c r="E1428" s="157"/>
      <c r="F1428" s="137"/>
      <c r="G1428" s="217"/>
    </row>
    <row r="1429" spans="1:7" s="30" customFormat="1" ht="14.45">
      <c r="A1429" s="66" t="s">
        <v>23</v>
      </c>
      <c r="B1429" s="67" t="s">
        <v>1574</v>
      </c>
      <c r="C1429" s="68" t="s">
        <v>1575</v>
      </c>
      <c r="D1429" s="69" t="s">
        <v>16</v>
      </c>
      <c r="E1429" s="157">
        <v>97.59</v>
      </c>
      <c r="F1429" s="137">
        <f t="shared" ref="F1429" si="126">C1429*E1429</f>
        <v>29277</v>
      </c>
      <c r="G1429" s="217"/>
    </row>
    <row r="1430" spans="1:7" s="30" customFormat="1" ht="14.45">
      <c r="A1430" s="59"/>
      <c r="B1430" s="100"/>
      <c r="C1430" s="61"/>
      <c r="D1430" s="62"/>
      <c r="E1430" s="157"/>
      <c r="F1430" s="137"/>
      <c r="G1430" s="217"/>
    </row>
    <row r="1431" spans="1:7" s="30" customFormat="1" ht="14.45">
      <c r="A1431" s="66" t="s">
        <v>27</v>
      </c>
      <c r="B1431" s="67" t="s">
        <v>1576</v>
      </c>
      <c r="C1431" s="68" t="s">
        <v>1577</v>
      </c>
      <c r="D1431" s="69" t="s">
        <v>16</v>
      </c>
      <c r="E1431" s="157">
        <v>97.59</v>
      </c>
      <c r="F1431" s="137">
        <f t="shared" ref="F1431" si="127">C1431*E1431</f>
        <v>661465.02</v>
      </c>
      <c r="G1431" s="217"/>
    </row>
    <row r="1432" spans="1:7" s="30" customFormat="1" ht="14.45">
      <c r="A1432" s="59"/>
      <c r="B1432" s="100"/>
      <c r="C1432" s="61"/>
      <c r="D1432" s="62"/>
      <c r="E1432" s="157"/>
      <c r="F1432" s="137"/>
      <c r="G1432" s="217"/>
    </row>
    <row r="1433" spans="1:7" s="30" customFormat="1" ht="14.45">
      <c r="A1433" s="66" t="s">
        <v>44</v>
      </c>
      <c r="B1433" s="67" t="s">
        <v>1578</v>
      </c>
      <c r="C1433" s="68" t="s">
        <v>1579</v>
      </c>
      <c r="D1433" s="69" t="s">
        <v>16</v>
      </c>
      <c r="E1433" s="157">
        <v>118.42</v>
      </c>
      <c r="F1433" s="137">
        <f t="shared" ref="F1433" si="128">C1433*E1433</f>
        <v>48670.62</v>
      </c>
      <c r="G1433" s="217"/>
    </row>
    <row r="1434" spans="1:7" s="30" customFormat="1" ht="14.45">
      <c r="A1434" s="59"/>
      <c r="B1434" s="100"/>
      <c r="C1434" s="61"/>
      <c r="D1434" s="62"/>
      <c r="E1434" s="157"/>
      <c r="F1434" s="137"/>
      <c r="G1434" s="217"/>
    </row>
    <row r="1435" spans="1:7" s="30" customFormat="1" ht="14.45">
      <c r="A1435" s="66" t="s">
        <v>48</v>
      </c>
      <c r="B1435" s="67" t="s">
        <v>1580</v>
      </c>
      <c r="C1435" s="68" t="s">
        <v>1581</v>
      </c>
      <c r="D1435" s="69" t="s">
        <v>16</v>
      </c>
      <c r="E1435" s="157">
        <v>118.42</v>
      </c>
      <c r="F1435" s="137">
        <f t="shared" ref="F1435" si="129">C1435*E1435</f>
        <v>275208.08</v>
      </c>
      <c r="G1435" s="217"/>
    </row>
    <row r="1436" spans="1:7" s="30" customFormat="1" ht="14.45">
      <c r="A1436" s="59"/>
      <c r="B1436" s="63"/>
      <c r="C1436" s="61"/>
      <c r="D1436" s="62"/>
      <c r="E1436" s="157"/>
      <c r="F1436" s="137"/>
      <c r="G1436" s="217"/>
    </row>
    <row r="1437" spans="1:7" s="30" customFormat="1" ht="14.45">
      <c r="A1437" s="59"/>
      <c r="B1437" s="63"/>
      <c r="C1437" s="61"/>
      <c r="D1437" s="62"/>
      <c r="E1437" s="157"/>
      <c r="F1437" s="137"/>
      <c r="G1437" s="217"/>
    </row>
    <row r="1438" spans="1:7" s="30" customFormat="1" ht="14.45">
      <c r="A1438" s="59"/>
      <c r="B1438" s="63"/>
      <c r="C1438" s="61"/>
      <c r="D1438" s="62"/>
      <c r="E1438" s="157"/>
      <c r="F1438" s="137"/>
      <c r="G1438" s="217"/>
    </row>
    <row r="1439" spans="1:7" s="30" customFormat="1" ht="14.45">
      <c r="A1439" s="59"/>
      <c r="B1439" s="63"/>
      <c r="C1439" s="61"/>
      <c r="D1439" s="62"/>
      <c r="E1439" s="157"/>
      <c r="F1439" s="137"/>
      <c r="G1439" s="217"/>
    </row>
    <row r="1440" spans="1:7" s="30" customFormat="1" ht="14.45">
      <c r="A1440" s="59"/>
      <c r="B1440" s="63"/>
      <c r="C1440" s="61"/>
      <c r="D1440" s="62"/>
      <c r="E1440" s="157"/>
      <c r="F1440" s="137"/>
      <c r="G1440" s="217"/>
    </row>
    <row r="1441" spans="1:7" s="30" customFormat="1" ht="14.45">
      <c r="A1441" s="59"/>
      <c r="B1441" s="63"/>
      <c r="C1441" s="61"/>
      <c r="D1441" s="62"/>
      <c r="E1441" s="157"/>
      <c r="F1441" s="137"/>
      <c r="G1441" s="217"/>
    </row>
    <row r="1442" spans="1:7" s="30" customFormat="1" ht="14.45">
      <c r="A1442" s="59"/>
      <c r="B1442" s="63"/>
      <c r="C1442" s="61"/>
      <c r="D1442" s="62"/>
      <c r="E1442" s="157"/>
      <c r="F1442" s="137"/>
      <c r="G1442" s="217"/>
    </row>
    <row r="1443" spans="1:7" s="30" customFormat="1" ht="14.45">
      <c r="A1443" s="59"/>
      <c r="B1443" s="63"/>
      <c r="C1443" s="61"/>
      <c r="D1443" s="62"/>
      <c r="E1443" s="157"/>
      <c r="F1443" s="137"/>
      <c r="G1443" s="217"/>
    </row>
    <row r="1444" spans="1:7" s="30" customFormat="1" ht="14.45">
      <c r="A1444" s="59"/>
      <c r="B1444" s="63"/>
      <c r="C1444" s="61"/>
      <c r="D1444" s="62"/>
      <c r="E1444" s="157"/>
      <c r="F1444" s="137"/>
      <c r="G1444" s="217"/>
    </row>
    <row r="1445" spans="1:7" s="30" customFormat="1" ht="14.45">
      <c r="A1445" s="59"/>
      <c r="B1445" s="63"/>
      <c r="C1445" s="61"/>
      <c r="D1445" s="62"/>
      <c r="E1445" s="157"/>
      <c r="F1445" s="137"/>
      <c r="G1445" s="217"/>
    </row>
    <row r="1446" spans="1:7" s="30" customFormat="1" ht="14.45">
      <c r="A1446" s="59"/>
      <c r="B1446" s="63"/>
      <c r="C1446" s="61"/>
      <c r="D1446" s="62"/>
      <c r="E1446" s="157"/>
      <c r="F1446" s="137"/>
      <c r="G1446" s="217"/>
    </row>
    <row r="1447" spans="1:7" s="30" customFormat="1" ht="14.45">
      <c r="A1447" s="59"/>
      <c r="B1447" s="63"/>
      <c r="C1447" s="61"/>
      <c r="D1447" s="62"/>
      <c r="E1447" s="157"/>
      <c r="F1447" s="137"/>
      <c r="G1447" s="217"/>
    </row>
    <row r="1448" spans="1:7" s="30" customFormat="1" ht="14.45">
      <c r="A1448" s="59"/>
      <c r="B1448" s="63"/>
      <c r="C1448" s="61"/>
      <c r="D1448" s="62"/>
      <c r="E1448" s="157"/>
      <c r="F1448" s="137"/>
      <c r="G1448" s="217"/>
    </row>
    <row r="1449" spans="1:7" s="30" customFormat="1" ht="14.45">
      <c r="A1449" s="59"/>
      <c r="B1449" s="63"/>
      <c r="C1449" s="61"/>
      <c r="D1449" s="62"/>
      <c r="E1449" s="157"/>
      <c r="F1449" s="137"/>
      <c r="G1449" s="217"/>
    </row>
    <row r="1450" spans="1:7" s="30" customFormat="1" ht="14.45">
      <c r="A1450" s="59"/>
      <c r="B1450" s="63"/>
      <c r="C1450" s="61"/>
      <c r="D1450" s="62"/>
      <c r="E1450" s="157"/>
      <c r="F1450" s="137"/>
      <c r="G1450" s="217"/>
    </row>
    <row r="1451" spans="1:7" s="30" customFormat="1" ht="14.45">
      <c r="A1451" s="59"/>
      <c r="B1451" s="63"/>
      <c r="C1451" s="61"/>
      <c r="D1451" s="62"/>
      <c r="E1451" s="157"/>
      <c r="F1451" s="137"/>
      <c r="G1451" s="217"/>
    </row>
    <row r="1452" spans="1:7" s="30" customFormat="1" ht="14.45">
      <c r="A1452" s="59"/>
      <c r="B1452" s="63"/>
      <c r="C1452" s="61"/>
      <c r="D1452" s="62"/>
      <c r="E1452" s="157"/>
      <c r="F1452" s="137"/>
      <c r="G1452" s="217"/>
    </row>
    <row r="1453" spans="1:7" s="30" customFormat="1" ht="14.45">
      <c r="A1453" s="59"/>
      <c r="B1453" s="63"/>
      <c r="C1453" s="61"/>
      <c r="D1453" s="62"/>
      <c r="E1453" s="157"/>
      <c r="F1453" s="137"/>
      <c r="G1453" s="217"/>
    </row>
    <row r="1454" spans="1:7" s="30" customFormat="1" ht="14.45">
      <c r="A1454" s="59"/>
      <c r="B1454" s="63"/>
      <c r="C1454" s="61"/>
      <c r="D1454" s="62"/>
      <c r="E1454" s="157"/>
      <c r="F1454" s="137"/>
      <c r="G1454" s="217"/>
    </row>
    <row r="1455" spans="1:7" s="30" customFormat="1" ht="28.9">
      <c r="A1455" s="59"/>
      <c r="B1455" s="230" t="s">
        <v>323</v>
      </c>
      <c r="C1455" s="61"/>
      <c r="D1455" s="62"/>
      <c r="E1455" s="157"/>
      <c r="F1455" s="137"/>
      <c r="G1455" s="217"/>
    </row>
    <row r="1456" spans="1:7" s="30" customFormat="1" ht="14.45">
      <c r="A1456" s="71"/>
      <c r="B1456" s="72"/>
      <c r="C1456" s="73"/>
      <c r="D1456" s="74"/>
      <c r="E1456" s="159"/>
      <c r="F1456" s="138"/>
      <c r="G1456" s="226"/>
    </row>
    <row r="1457" spans="1:7" s="30" customFormat="1" ht="14.45">
      <c r="A1457" s="75"/>
      <c r="B1457" s="76"/>
      <c r="C1457" s="77" t="s">
        <v>30</v>
      </c>
      <c r="D1457" s="77"/>
      <c r="E1457" s="160" t="s">
        <v>8</v>
      </c>
      <c r="F1457" s="139">
        <f>SUM(F1421:F1441)</f>
        <v>2086556.1300000004</v>
      </c>
      <c r="G1457" s="227"/>
    </row>
    <row r="1458" spans="1:7" s="30" customFormat="1" ht="14.45">
      <c r="A1458" s="75"/>
      <c r="B1458" s="76"/>
      <c r="C1458" s="78"/>
      <c r="D1458" s="79"/>
      <c r="E1458" s="161"/>
      <c r="F1458" s="140"/>
      <c r="G1458" s="228"/>
    </row>
    <row r="1459" spans="1:7" s="30" customFormat="1" ht="14.45">
      <c r="A1459" s="59"/>
      <c r="B1459" s="63"/>
      <c r="C1459" s="61"/>
      <c r="D1459" s="62"/>
      <c r="E1459" s="157"/>
      <c r="F1459" s="137"/>
      <c r="G1459" s="217"/>
    </row>
    <row r="1460" spans="1:7" s="30" customFormat="1" ht="14.45">
      <c r="A1460" s="59"/>
      <c r="B1460" s="64" t="s">
        <v>203</v>
      </c>
      <c r="C1460" s="61"/>
      <c r="D1460" s="62"/>
      <c r="E1460" s="157"/>
      <c r="F1460" s="137"/>
      <c r="G1460" s="217"/>
    </row>
    <row r="1461" spans="1:7" s="30" customFormat="1" ht="14.45">
      <c r="A1461" s="59"/>
      <c r="B1461" s="100"/>
      <c r="C1461" s="61"/>
      <c r="D1461" s="62"/>
      <c r="E1461" s="157"/>
      <c r="F1461" s="137"/>
      <c r="G1461" s="217"/>
    </row>
    <row r="1462" spans="1:7" s="30" customFormat="1" ht="55.15">
      <c r="A1462" s="66" t="s">
        <v>14</v>
      </c>
      <c r="B1462" s="67" t="s">
        <v>1818</v>
      </c>
      <c r="C1462" s="68"/>
      <c r="D1462" s="69" t="s">
        <v>2</v>
      </c>
      <c r="E1462" s="157"/>
      <c r="F1462" s="137" t="s">
        <v>69</v>
      </c>
      <c r="G1462" s="217"/>
    </row>
    <row r="1463" spans="1:7" s="30" customFormat="1" ht="14.45">
      <c r="A1463" s="59"/>
      <c r="B1463" s="100"/>
      <c r="C1463" s="61"/>
      <c r="D1463" s="62"/>
      <c r="E1463" s="157"/>
      <c r="F1463" s="137"/>
      <c r="G1463" s="217"/>
    </row>
    <row r="1464" spans="1:7" s="30" customFormat="1" ht="41.45">
      <c r="A1464" s="66" t="s">
        <v>17</v>
      </c>
      <c r="B1464" s="67" t="s">
        <v>1819</v>
      </c>
      <c r="C1464" s="68"/>
      <c r="D1464" s="69" t="s">
        <v>2</v>
      </c>
      <c r="E1464" s="157"/>
      <c r="F1464" s="137" t="s">
        <v>69</v>
      </c>
      <c r="G1464" s="217"/>
    </row>
    <row r="1465" spans="1:7" s="30" customFormat="1" ht="14.45">
      <c r="A1465" s="59"/>
      <c r="B1465" s="100"/>
      <c r="C1465" s="61"/>
      <c r="D1465" s="62"/>
      <c r="E1465" s="157"/>
      <c r="F1465" s="137"/>
      <c r="G1465" s="217"/>
    </row>
    <row r="1466" spans="1:7" s="30" customFormat="1" ht="41.45">
      <c r="A1466" s="66" t="s">
        <v>20</v>
      </c>
      <c r="B1466" s="67" t="s">
        <v>1820</v>
      </c>
      <c r="C1466" s="68"/>
      <c r="D1466" s="69" t="s">
        <v>2</v>
      </c>
      <c r="E1466" s="157">
        <v>17838.73</v>
      </c>
      <c r="F1466" s="137">
        <f>+E1466</f>
        <v>17838.73</v>
      </c>
      <c r="G1466" s="217"/>
    </row>
    <row r="1467" spans="1:7" s="30" customFormat="1" ht="14.45">
      <c r="A1467" s="59"/>
      <c r="B1467" s="100"/>
      <c r="C1467" s="61"/>
      <c r="D1467" s="62"/>
      <c r="E1467" s="157"/>
      <c r="F1467" s="137"/>
      <c r="G1467" s="217"/>
    </row>
    <row r="1468" spans="1:7" s="30" customFormat="1" ht="41.45">
      <c r="A1468" s="66" t="s">
        <v>23</v>
      </c>
      <c r="B1468" s="67" t="s">
        <v>1821</v>
      </c>
      <c r="C1468" s="68"/>
      <c r="D1468" s="69" t="s">
        <v>2</v>
      </c>
      <c r="E1468" s="157">
        <v>109805.2</v>
      </c>
      <c r="F1468" s="137">
        <f>+E1468</f>
        <v>109805.2</v>
      </c>
      <c r="G1468" s="217"/>
    </row>
    <row r="1469" spans="1:7" s="30" customFormat="1" ht="14.45">
      <c r="A1469" s="59"/>
      <c r="B1469" s="100"/>
      <c r="C1469" s="61"/>
      <c r="D1469" s="62"/>
      <c r="E1469" s="157"/>
      <c r="F1469" s="137"/>
      <c r="G1469" s="217"/>
    </row>
    <row r="1470" spans="1:7" s="30" customFormat="1" ht="96.6">
      <c r="A1470" s="66" t="s">
        <v>27</v>
      </c>
      <c r="B1470" s="67" t="s">
        <v>1822</v>
      </c>
      <c r="C1470" s="68"/>
      <c r="D1470" s="69" t="s">
        <v>2</v>
      </c>
      <c r="E1470" s="157">
        <v>912034.43</v>
      </c>
      <c r="F1470" s="137">
        <f>+E1470</f>
        <v>912034.43</v>
      </c>
      <c r="G1470" s="217"/>
    </row>
    <row r="1471" spans="1:7" s="30" customFormat="1" ht="14.45">
      <c r="A1471" s="59"/>
      <c r="B1471" s="100"/>
      <c r="C1471" s="61"/>
      <c r="D1471" s="62"/>
      <c r="E1471" s="157"/>
      <c r="F1471" s="137"/>
      <c r="G1471" s="217"/>
    </row>
    <row r="1472" spans="1:7" s="30" customFormat="1" ht="69">
      <c r="A1472" s="66" t="s">
        <v>44</v>
      </c>
      <c r="B1472" s="67" t="s">
        <v>1823</v>
      </c>
      <c r="C1472" s="68"/>
      <c r="D1472" s="69" t="s">
        <v>2</v>
      </c>
      <c r="E1472" s="157">
        <v>16459.73</v>
      </c>
      <c r="F1472" s="137">
        <f>+E1472</f>
        <v>16459.73</v>
      </c>
      <c r="G1472" s="217"/>
    </row>
    <row r="1473" spans="1:7" s="30" customFormat="1" ht="14.45">
      <c r="A1473" s="59"/>
      <c r="B1473" s="100"/>
      <c r="C1473" s="61"/>
      <c r="D1473" s="62"/>
      <c r="E1473" s="157"/>
      <c r="F1473" s="137"/>
      <c r="G1473" s="217"/>
    </row>
    <row r="1474" spans="1:7" s="30" customFormat="1" ht="27.6">
      <c r="A1474" s="66" t="s">
        <v>48</v>
      </c>
      <c r="B1474" s="67" t="s">
        <v>1824</v>
      </c>
      <c r="C1474" s="68"/>
      <c r="D1474" s="69" t="s">
        <v>2</v>
      </c>
      <c r="E1474" s="157">
        <v>11459.53</v>
      </c>
      <c r="F1474" s="137">
        <f>+E1474</f>
        <v>11459.53</v>
      </c>
      <c r="G1474" s="217"/>
    </row>
    <row r="1475" spans="1:7" s="30" customFormat="1" ht="14.45">
      <c r="A1475" s="59"/>
      <c r="B1475" s="100"/>
      <c r="C1475" s="61"/>
      <c r="D1475" s="62"/>
      <c r="E1475" s="157"/>
      <c r="F1475" s="137"/>
      <c r="G1475" s="217"/>
    </row>
    <row r="1476" spans="1:7" s="30" customFormat="1" ht="55.15">
      <c r="A1476" s="66" t="s">
        <v>84</v>
      </c>
      <c r="B1476" s="67" t="s">
        <v>1825</v>
      </c>
      <c r="C1476" s="68"/>
      <c r="D1476" s="69" t="s">
        <v>2</v>
      </c>
      <c r="E1476" s="157"/>
      <c r="F1476" s="137" t="s">
        <v>69</v>
      </c>
      <c r="G1476" s="217"/>
    </row>
    <row r="1477" spans="1:7" s="30" customFormat="1" ht="14.45">
      <c r="A1477" s="59"/>
      <c r="B1477" s="100"/>
      <c r="C1477" s="61"/>
      <c r="D1477" s="62"/>
      <c r="E1477" s="157"/>
      <c r="F1477" s="137"/>
      <c r="G1477" s="217"/>
    </row>
    <row r="1478" spans="1:7" s="30" customFormat="1" ht="41.45">
      <c r="A1478" s="66" t="s">
        <v>86</v>
      </c>
      <c r="B1478" s="67" t="s">
        <v>1826</v>
      </c>
      <c r="C1478" s="68"/>
      <c r="D1478" s="69" t="s">
        <v>2</v>
      </c>
      <c r="E1478" s="157"/>
      <c r="F1478" s="137" t="s">
        <v>69</v>
      </c>
      <c r="G1478" s="217"/>
    </row>
    <row r="1479" spans="1:7" s="30" customFormat="1" ht="14.45">
      <c r="A1479" s="66"/>
      <c r="B1479" s="99"/>
      <c r="C1479" s="68"/>
      <c r="D1479" s="69"/>
      <c r="E1479" s="157"/>
      <c r="F1479" s="137"/>
      <c r="G1479" s="217"/>
    </row>
    <row r="1480" spans="1:7" s="30" customFormat="1" ht="14.45">
      <c r="A1480" s="59"/>
      <c r="B1480" s="63"/>
      <c r="C1480" s="61"/>
      <c r="D1480" s="62"/>
      <c r="E1480" s="157"/>
      <c r="F1480" s="137"/>
      <c r="G1480" s="217"/>
    </row>
    <row r="1481" spans="1:7" s="30" customFormat="1" ht="14.45">
      <c r="A1481" s="71"/>
      <c r="B1481" s="72"/>
      <c r="C1481" s="73"/>
      <c r="D1481" s="74"/>
      <c r="E1481" s="159"/>
      <c r="F1481" s="138"/>
      <c r="G1481" s="226"/>
    </row>
    <row r="1482" spans="1:7" s="30" customFormat="1" ht="14.45">
      <c r="A1482" s="75"/>
      <c r="B1482" s="76"/>
      <c r="C1482" s="77" t="s">
        <v>30</v>
      </c>
      <c r="D1482" s="77"/>
      <c r="E1482" s="160" t="s">
        <v>8</v>
      </c>
      <c r="F1482" s="139">
        <f>SUM(F1461:F1479)</f>
        <v>1067597.6200000001</v>
      </c>
      <c r="G1482" s="227"/>
    </row>
    <row r="1483" spans="1:7" s="30" customFormat="1" ht="14.45">
      <c r="A1483" s="75"/>
      <c r="B1483" s="76"/>
      <c r="C1483" s="78"/>
      <c r="D1483" s="79"/>
      <c r="E1483" s="161"/>
      <c r="F1483" s="140"/>
      <c r="G1483" s="228"/>
    </row>
    <row r="1484" spans="1:7" s="30" customFormat="1" ht="14.45">
      <c r="A1484" s="59"/>
      <c r="B1484" s="63"/>
      <c r="C1484" s="61"/>
      <c r="D1484" s="62"/>
      <c r="E1484" s="157"/>
      <c r="F1484" s="137"/>
      <c r="G1484" s="217"/>
    </row>
    <row r="1485" spans="1:7" s="30" customFormat="1" ht="14.45">
      <c r="A1485" s="59"/>
      <c r="B1485" s="64" t="s">
        <v>1827</v>
      </c>
      <c r="C1485" s="61"/>
      <c r="D1485" s="62"/>
      <c r="E1485" s="157"/>
      <c r="F1485" s="137"/>
      <c r="G1485" s="217"/>
    </row>
    <row r="1486" spans="1:7" s="30" customFormat="1" ht="14.45">
      <c r="A1486" s="59"/>
      <c r="B1486" s="100"/>
      <c r="C1486" s="61"/>
      <c r="D1486" s="62"/>
      <c r="E1486" s="157"/>
      <c r="F1486" s="137"/>
      <c r="G1486" s="217"/>
    </row>
    <row r="1487" spans="1:7" s="30" customFormat="1" ht="27.6">
      <c r="A1487" s="66" t="s">
        <v>14</v>
      </c>
      <c r="B1487" s="67" t="s">
        <v>1828</v>
      </c>
      <c r="C1487" s="68"/>
      <c r="D1487" s="69" t="s">
        <v>2</v>
      </c>
      <c r="E1487" s="157"/>
      <c r="F1487" s="137" t="s">
        <v>69</v>
      </c>
      <c r="G1487" s="217"/>
    </row>
    <row r="1488" spans="1:7" s="30" customFormat="1" ht="14.45">
      <c r="A1488" s="59"/>
      <c r="B1488" s="100"/>
      <c r="C1488" s="61"/>
      <c r="D1488" s="62"/>
      <c r="E1488" s="157"/>
      <c r="F1488" s="137"/>
      <c r="G1488" s="217"/>
    </row>
    <row r="1489" spans="1:7" s="30" customFormat="1" ht="55.15">
      <c r="A1489" s="66" t="s">
        <v>17</v>
      </c>
      <c r="B1489" s="67" t="s">
        <v>1829</v>
      </c>
      <c r="C1489" s="68"/>
      <c r="D1489" s="69" t="s">
        <v>2</v>
      </c>
      <c r="E1489" s="157">
        <v>545764.61</v>
      </c>
      <c r="F1489" s="137">
        <f>+E1489</f>
        <v>545764.61</v>
      </c>
      <c r="G1489" s="217"/>
    </row>
    <row r="1490" spans="1:7" s="30" customFormat="1" ht="14.45">
      <c r="A1490" s="59"/>
      <c r="B1490" s="63"/>
      <c r="C1490" s="61"/>
      <c r="D1490" s="62"/>
      <c r="E1490" s="157"/>
      <c r="F1490" s="137"/>
      <c r="G1490" s="217"/>
    </row>
    <row r="1491" spans="1:7" s="30" customFormat="1" ht="14.45">
      <c r="A1491" s="59"/>
      <c r="B1491" s="63"/>
      <c r="C1491" s="61"/>
      <c r="D1491" s="62"/>
      <c r="E1491" s="157"/>
      <c r="F1491" s="137"/>
      <c r="G1491" s="217"/>
    </row>
    <row r="1492" spans="1:7" s="30" customFormat="1" ht="14.45">
      <c r="A1492" s="59"/>
      <c r="B1492" s="63"/>
      <c r="C1492" s="61"/>
      <c r="D1492" s="62"/>
      <c r="E1492" s="157"/>
      <c r="F1492" s="137"/>
      <c r="G1492" s="217"/>
    </row>
    <row r="1493" spans="1:7" s="30" customFormat="1" ht="14.45">
      <c r="A1493" s="59"/>
      <c r="B1493" s="63"/>
      <c r="C1493" s="61"/>
      <c r="D1493" s="62"/>
      <c r="E1493" s="157"/>
      <c r="F1493" s="137"/>
      <c r="G1493" s="217"/>
    </row>
    <row r="1494" spans="1:7" s="30" customFormat="1" ht="14.45">
      <c r="A1494" s="59"/>
      <c r="B1494" s="63"/>
      <c r="C1494" s="61"/>
      <c r="D1494" s="62"/>
      <c r="E1494" s="157"/>
      <c r="F1494" s="137"/>
      <c r="G1494" s="217"/>
    </row>
    <row r="1495" spans="1:7" s="30" customFormat="1" ht="14.45">
      <c r="A1495" s="59"/>
      <c r="B1495" s="63"/>
      <c r="C1495" s="61"/>
      <c r="D1495" s="62"/>
      <c r="E1495" s="157"/>
      <c r="F1495" s="137"/>
      <c r="G1495" s="217"/>
    </row>
    <row r="1496" spans="1:7" s="30" customFormat="1" ht="14.45">
      <c r="A1496" s="59"/>
      <c r="B1496" s="63"/>
      <c r="C1496" s="61"/>
      <c r="D1496" s="62"/>
      <c r="E1496" s="157"/>
      <c r="F1496" s="137"/>
      <c r="G1496" s="217"/>
    </row>
    <row r="1497" spans="1:7" s="30" customFormat="1" ht="14.45">
      <c r="A1497" s="59"/>
      <c r="B1497" s="63"/>
      <c r="C1497" s="61"/>
      <c r="D1497" s="62"/>
      <c r="E1497" s="157"/>
      <c r="F1497" s="137"/>
      <c r="G1497" s="217"/>
    </row>
    <row r="1498" spans="1:7" s="30" customFormat="1" ht="14.45">
      <c r="A1498" s="59"/>
      <c r="B1498" s="63"/>
      <c r="C1498" s="61"/>
      <c r="D1498" s="62"/>
      <c r="E1498" s="157"/>
      <c r="F1498" s="137"/>
      <c r="G1498" s="217"/>
    </row>
    <row r="1499" spans="1:7" s="30" customFormat="1" ht="14.45">
      <c r="A1499" s="59"/>
      <c r="B1499" s="63"/>
      <c r="C1499" s="61"/>
      <c r="D1499" s="62"/>
      <c r="E1499" s="157"/>
      <c r="F1499" s="137"/>
      <c r="G1499" s="217"/>
    </row>
    <row r="1500" spans="1:7" s="30" customFormat="1" ht="14.45">
      <c r="A1500" s="59"/>
      <c r="B1500" s="63"/>
      <c r="C1500" s="61"/>
      <c r="D1500" s="62"/>
      <c r="E1500" s="157"/>
      <c r="F1500" s="137"/>
      <c r="G1500" s="217"/>
    </row>
    <row r="1501" spans="1:7" s="30" customFormat="1" ht="14.45">
      <c r="A1501" s="59"/>
      <c r="B1501" s="63"/>
      <c r="C1501" s="61"/>
      <c r="D1501" s="62"/>
      <c r="E1501" s="157"/>
      <c r="F1501" s="137"/>
      <c r="G1501" s="217"/>
    </row>
    <row r="1502" spans="1:7" s="30" customFormat="1" ht="14.45">
      <c r="A1502" s="59"/>
      <c r="B1502" s="63"/>
      <c r="C1502" s="61"/>
      <c r="D1502" s="62"/>
      <c r="E1502" s="157"/>
      <c r="F1502" s="137"/>
      <c r="G1502" s="217"/>
    </row>
    <row r="1503" spans="1:7" s="30" customFormat="1" ht="14.45">
      <c r="A1503" s="59"/>
      <c r="B1503" s="63"/>
      <c r="C1503" s="61"/>
      <c r="D1503" s="62"/>
      <c r="E1503" s="157"/>
      <c r="F1503" s="137"/>
      <c r="G1503" s="217"/>
    </row>
    <row r="1504" spans="1:7" s="30" customFormat="1" ht="14.45">
      <c r="A1504" s="59"/>
      <c r="B1504" s="63"/>
      <c r="C1504" s="61"/>
      <c r="D1504" s="62"/>
      <c r="E1504" s="157"/>
      <c r="F1504" s="137"/>
      <c r="G1504" s="217"/>
    </row>
    <row r="1505" spans="1:7" s="30" customFormat="1" ht="14.45">
      <c r="A1505" s="59"/>
      <c r="B1505" s="63"/>
      <c r="C1505" s="61"/>
      <c r="D1505" s="62"/>
      <c r="E1505" s="157"/>
      <c r="F1505" s="137"/>
      <c r="G1505" s="217"/>
    </row>
    <row r="1506" spans="1:7" s="30" customFormat="1" ht="14.45">
      <c r="A1506" s="59"/>
      <c r="B1506" s="63"/>
      <c r="C1506" s="61"/>
      <c r="D1506" s="62"/>
      <c r="E1506" s="157"/>
      <c r="F1506" s="137"/>
      <c r="G1506" s="217"/>
    </row>
    <row r="1507" spans="1:7" s="30" customFormat="1" ht="14.45">
      <c r="A1507" s="59"/>
      <c r="B1507" s="63"/>
      <c r="C1507" s="61"/>
      <c r="D1507" s="62"/>
      <c r="E1507" s="157"/>
      <c r="F1507" s="137"/>
      <c r="G1507" s="217"/>
    </row>
    <row r="1508" spans="1:7" s="30" customFormat="1" ht="14.45">
      <c r="A1508" s="59"/>
      <c r="B1508" s="63"/>
      <c r="C1508" s="61"/>
      <c r="D1508" s="62"/>
      <c r="E1508" s="157"/>
      <c r="F1508" s="137"/>
      <c r="G1508" s="217"/>
    </row>
    <row r="1509" spans="1:7" s="30" customFormat="1" ht="14.45">
      <c r="A1509" s="59"/>
      <c r="B1509" s="63"/>
      <c r="C1509" s="61"/>
      <c r="D1509" s="62"/>
      <c r="E1509" s="157"/>
      <c r="F1509" s="137"/>
      <c r="G1509" s="217"/>
    </row>
    <row r="1510" spans="1:7" s="30" customFormat="1" ht="14.45">
      <c r="A1510" s="59"/>
      <c r="B1510" s="63"/>
      <c r="C1510" s="61"/>
      <c r="D1510" s="62"/>
      <c r="E1510" s="157"/>
      <c r="F1510" s="137"/>
      <c r="G1510" s="217"/>
    </row>
    <row r="1511" spans="1:7" s="30" customFormat="1" ht="14.45">
      <c r="A1511" s="59"/>
      <c r="B1511" s="63"/>
      <c r="C1511" s="61"/>
      <c r="D1511" s="62"/>
      <c r="E1511" s="157"/>
      <c r="F1511" s="137"/>
      <c r="G1511" s="217"/>
    </row>
    <row r="1512" spans="1:7" s="30" customFormat="1" ht="14.45">
      <c r="A1512" s="59"/>
      <c r="B1512" s="63"/>
      <c r="C1512" s="61"/>
      <c r="D1512" s="62"/>
      <c r="E1512" s="157"/>
      <c r="F1512" s="137"/>
      <c r="G1512" s="217"/>
    </row>
    <row r="1513" spans="1:7" s="30" customFormat="1" ht="14.45">
      <c r="A1513" s="59"/>
      <c r="B1513" s="63"/>
      <c r="C1513" s="61"/>
      <c r="D1513" s="62"/>
      <c r="E1513" s="157"/>
      <c r="F1513" s="137"/>
      <c r="G1513" s="217"/>
    </row>
    <row r="1514" spans="1:7" s="30" customFormat="1" ht="14.45">
      <c r="A1514" s="59"/>
      <c r="B1514" s="63"/>
      <c r="C1514" s="61"/>
      <c r="D1514" s="62"/>
      <c r="E1514" s="157"/>
      <c r="F1514" s="137"/>
      <c r="G1514" s="217"/>
    </row>
    <row r="1515" spans="1:7" s="30" customFormat="1" ht="14.45">
      <c r="A1515" s="59"/>
      <c r="B1515" s="63"/>
      <c r="C1515" s="61"/>
      <c r="D1515" s="62"/>
      <c r="E1515" s="157"/>
      <c r="F1515" s="137"/>
      <c r="G1515" s="217"/>
    </row>
    <row r="1516" spans="1:7" s="30" customFormat="1" ht="14.45">
      <c r="A1516" s="59"/>
      <c r="B1516" s="63"/>
      <c r="C1516" s="61"/>
      <c r="D1516" s="62"/>
      <c r="E1516" s="157"/>
      <c r="F1516" s="137"/>
      <c r="G1516" s="217"/>
    </row>
    <row r="1517" spans="1:7" s="30" customFormat="1" ht="14.45">
      <c r="A1517" s="59"/>
      <c r="B1517" s="63"/>
      <c r="C1517" s="61"/>
      <c r="D1517" s="62"/>
      <c r="E1517" s="157"/>
      <c r="F1517" s="137"/>
      <c r="G1517" s="217"/>
    </row>
    <row r="1518" spans="1:7" s="30" customFormat="1" ht="14.45">
      <c r="A1518" s="59"/>
      <c r="B1518" s="63"/>
      <c r="C1518" s="61"/>
      <c r="D1518" s="62"/>
      <c r="E1518" s="157"/>
      <c r="F1518" s="137"/>
      <c r="G1518" s="217"/>
    </row>
    <row r="1519" spans="1:7" s="30" customFormat="1" ht="14.45">
      <c r="A1519" s="59"/>
      <c r="B1519" s="63"/>
      <c r="C1519" s="61"/>
      <c r="D1519" s="62"/>
      <c r="E1519" s="157"/>
      <c r="F1519" s="137"/>
      <c r="G1519" s="217"/>
    </row>
    <row r="1520" spans="1:7" s="30" customFormat="1" ht="14.45">
      <c r="A1520" s="59"/>
      <c r="B1520" s="63"/>
      <c r="C1520" s="61"/>
      <c r="D1520" s="62"/>
      <c r="E1520" s="157"/>
      <c r="F1520" s="137"/>
      <c r="G1520" s="217"/>
    </row>
    <row r="1521" spans="1:7" s="30" customFormat="1" ht="14.45">
      <c r="A1521" s="59"/>
      <c r="B1521" s="63"/>
      <c r="C1521" s="61"/>
      <c r="D1521" s="62"/>
      <c r="E1521" s="157"/>
      <c r="F1521" s="137"/>
      <c r="G1521" s="217"/>
    </row>
    <row r="1522" spans="1:7" s="30" customFormat="1" ht="14.45">
      <c r="A1522" s="59"/>
      <c r="B1522" s="63"/>
      <c r="C1522" s="61"/>
      <c r="D1522" s="62"/>
      <c r="E1522" s="157"/>
      <c r="F1522" s="137"/>
      <c r="G1522" s="217"/>
    </row>
    <row r="1523" spans="1:7" s="30" customFormat="1" ht="14.45">
      <c r="A1523" s="59"/>
      <c r="B1523" s="63"/>
      <c r="C1523" s="61"/>
      <c r="D1523" s="62"/>
      <c r="E1523" s="157"/>
      <c r="F1523" s="137"/>
      <c r="G1523" s="217"/>
    </row>
    <row r="1524" spans="1:7" s="30" customFormat="1" ht="14.45">
      <c r="A1524" s="59"/>
      <c r="B1524" s="63"/>
      <c r="C1524" s="61"/>
      <c r="D1524" s="62"/>
      <c r="E1524" s="157"/>
      <c r="F1524" s="137"/>
      <c r="G1524" s="217"/>
    </row>
    <row r="1525" spans="1:7" s="30" customFormat="1" ht="14.45">
      <c r="A1525" s="71"/>
      <c r="B1525" s="72"/>
      <c r="C1525" s="73"/>
      <c r="D1525" s="74"/>
      <c r="E1525" s="159"/>
      <c r="F1525" s="138"/>
      <c r="G1525" s="226"/>
    </row>
    <row r="1526" spans="1:7" s="30" customFormat="1" ht="14.45">
      <c r="A1526" s="75"/>
      <c r="B1526" s="76"/>
      <c r="C1526" s="77" t="s">
        <v>30</v>
      </c>
      <c r="D1526" s="77"/>
      <c r="E1526" s="160" t="s">
        <v>8</v>
      </c>
      <c r="F1526" s="139">
        <f>SUM(F1485:F1509)</f>
        <v>545764.61</v>
      </c>
      <c r="G1526" s="227"/>
    </row>
    <row r="1527" spans="1:7" s="30" customFormat="1" ht="14.45">
      <c r="A1527" s="75"/>
      <c r="B1527" s="76"/>
      <c r="C1527" s="78"/>
      <c r="D1527" s="79"/>
      <c r="E1527" s="161"/>
      <c r="F1527" s="140"/>
      <c r="G1527" s="228"/>
    </row>
    <row r="1528" spans="1:7" s="30" customFormat="1" ht="14.45">
      <c r="A1528" s="59"/>
      <c r="B1528" s="63"/>
      <c r="C1528" s="61"/>
      <c r="D1528" s="62"/>
      <c r="E1528" s="157"/>
      <c r="F1528" s="137"/>
      <c r="G1528" s="217"/>
    </row>
    <row r="1529" spans="1:7" s="30" customFormat="1" ht="27.6">
      <c r="A1529" s="59"/>
      <c r="B1529" s="64" t="s">
        <v>1830</v>
      </c>
      <c r="C1529" s="61"/>
      <c r="D1529" s="62"/>
      <c r="E1529" s="157"/>
      <c r="F1529" s="137"/>
      <c r="G1529" s="217"/>
    </row>
    <row r="1530" spans="1:7" s="30" customFormat="1" ht="14.45">
      <c r="A1530" s="59"/>
      <c r="B1530" s="100"/>
      <c r="C1530" s="61"/>
      <c r="D1530" s="62"/>
      <c r="E1530" s="157"/>
      <c r="F1530" s="137"/>
      <c r="G1530" s="217"/>
    </row>
    <row r="1531" spans="1:7" s="30" customFormat="1" ht="14.45">
      <c r="A1531" s="66"/>
      <c r="B1531" s="98" t="s">
        <v>1831</v>
      </c>
      <c r="C1531" s="68"/>
      <c r="D1531" s="69"/>
      <c r="E1531" s="157"/>
      <c r="F1531" s="137"/>
      <c r="G1531" s="217"/>
    </row>
    <row r="1532" spans="1:7" s="30" customFormat="1" ht="14.45">
      <c r="A1532" s="59"/>
      <c r="B1532" s="100"/>
      <c r="C1532" s="61"/>
      <c r="D1532" s="62"/>
      <c r="E1532" s="157"/>
      <c r="F1532" s="137"/>
      <c r="G1532" s="217"/>
    </row>
    <row r="1533" spans="1:7" s="30" customFormat="1" ht="41.45">
      <c r="A1533" s="66" t="s">
        <v>14</v>
      </c>
      <c r="B1533" s="67" t="s">
        <v>1832</v>
      </c>
      <c r="C1533" s="68"/>
      <c r="D1533" s="69" t="s">
        <v>2</v>
      </c>
      <c r="E1533" s="157"/>
      <c r="F1533" s="137" t="s">
        <v>69</v>
      </c>
      <c r="G1533" s="217"/>
    </row>
    <row r="1534" spans="1:7" s="30" customFormat="1" ht="14.45">
      <c r="A1534" s="59"/>
      <c r="B1534" s="100"/>
      <c r="C1534" s="61"/>
      <c r="D1534" s="62"/>
      <c r="E1534" s="157"/>
      <c r="F1534" s="137"/>
      <c r="G1534" s="217"/>
    </row>
    <row r="1535" spans="1:7" s="30" customFormat="1" ht="27.6">
      <c r="A1535" s="66" t="s">
        <v>17</v>
      </c>
      <c r="B1535" s="67" t="s">
        <v>1833</v>
      </c>
      <c r="C1535" s="68"/>
      <c r="D1535" s="69" t="s">
        <v>2</v>
      </c>
      <c r="E1535" s="157"/>
      <c r="F1535" s="137" t="s">
        <v>69</v>
      </c>
      <c r="G1535" s="217"/>
    </row>
    <row r="1536" spans="1:7" s="30" customFormat="1" ht="14.45">
      <c r="A1536" s="59"/>
      <c r="B1536" s="100"/>
      <c r="C1536" s="61"/>
      <c r="D1536" s="62"/>
      <c r="E1536" s="157"/>
      <c r="F1536" s="137"/>
      <c r="G1536" s="217"/>
    </row>
    <row r="1537" spans="1:7" s="30" customFormat="1" ht="41.45">
      <c r="A1537" s="66" t="s">
        <v>20</v>
      </c>
      <c r="B1537" s="67" t="s">
        <v>1834</v>
      </c>
      <c r="C1537" s="68"/>
      <c r="D1537" s="69" t="s">
        <v>2</v>
      </c>
      <c r="E1537" s="157"/>
      <c r="F1537" s="137" t="s">
        <v>69</v>
      </c>
      <c r="G1537" s="217"/>
    </row>
    <row r="1538" spans="1:7" s="30" customFormat="1" ht="14.45">
      <c r="A1538" s="59"/>
      <c r="B1538" s="100"/>
      <c r="C1538" s="61"/>
      <c r="D1538" s="62"/>
      <c r="E1538" s="157"/>
      <c r="F1538" s="137"/>
      <c r="G1538" s="217"/>
    </row>
    <row r="1539" spans="1:7" s="30" customFormat="1" ht="27.6">
      <c r="A1539" s="66" t="s">
        <v>23</v>
      </c>
      <c r="B1539" s="67" t="s">
        <v>1835</v>
      </c>
      <c r="C1539" s="68"/>
      <c r="D1539" s="69" t="s">
        <v>2</v>
      </c>
      <c r="E1539" s="157"/>
      <c r="F1539" s="137" t="s">
        <v>69</v>
      </c>
      <c r="G1539" s="217"/>
    </row>
    <row r="1540" spans="1:7" s="30" customFormat="1" ht="14.45">
      <c r="A1540" s="59"/>
      <c r="B1540" s="100"/>
      <c r="C1540" s="61"/>
      <c r="D1540" s="62"/>
      <c r="E1540" s="157"/>
      <c r="F1540" s="137"/>
      <c r="G1540" s="217"/>
    </row>
    <row r="1541" spans="1:7" s="30" customFormat="1" ht="41.45">
      <c r="A1541" s="66" t="s">
        <v>27</v>
      </c>
      <c r="B1541" s="67" t="s">
        <v>1836</v>
      </c>
      <c r="C1541" s="68"/>
      <c r="D1541" s="69" t="s">
        <v>2</v>
      </c>
      <c r="E1541" s="157">
        <v>75065.14</v>
      </c>
      <c r="F1541" s="137">
        <f>+E1541</f>
        <v>75065.14</v>
      </c>
      <c r="G1541" s="217"/>
    </row>
    <row r="1542" spans="1:7" s="30" customFormat="1" ht="14.45">
      <c r="A1542" s="59"/>
      <c r="B1542" s="100"/>
      <c r="C1542" s="61"/>
      <c r="D1542" s="62"/>
      <c r="E1542" s="157"/>
      <c r="F1542" s="137"/>
      <c r="G1542" s="217"/>
    </row>
    <row r="1543" spans="1:7" s="30" customFormat="1" ht="69">
      <c r="A1543" s="66" t="s">
        <v>44</v>
      </c>
      <c r="B1543" s="67" t="s">
        <v>1837</v>
      </c>
      <c r="C1543" s="68"/>
      <c r="D1543" s="69" t="s">
        <v>2</v>
      </c>
      <c r="E1543" s="157"/>
      <c r="F1543" s="137" t="s">
        <v>69</v>
      </c>
      <c r="G1543" s="217"/>
    </row>
    <row r="1544" spans="1:7" s="30" customFormat="1" ht="14.45">
      <c r="A1544" s="59"/>
      <c r="B1544" s="100"/>
      <c r="C1544" s="61"/>
      <c r="D1544" s="62"/>
      <c r="E1544" s="157"/>
      <c r="F1544" s="137"/>
      <c r="G1544" s="217"/>
    </row>
    <row r="1545" spans="1:7" s="30" customFormat="1" ht="41.45">
      <c r="A1545" s="66" t="s">
        <v>48</v>
      </c>
      <c r="B1545" s="67" t="s">
        <v>1826</v>
      </c>
      <c r="C1545" s="68"/>
      <c r="D1545" s="69" t="s">
        <v>2</v>
      </c>
      <c r="E1545" s="157"/>
      <c r="F1545" s="137" t="s">
        <v>69</v>
      </c>
      <c r="G1545" s="217"/>
    </row>
    <row r="1546" spans="1:7" s="30" customFormat="1" ht="14.45">
      <c r="A1546" s="59"/>
      <c r="B1546" s="63"/>
      <c r="C1546" s="61"/>
      <c r="D1546" s="62"/>
      <c r="E1546" s="157"/>
      <c r="F1546" s="137"/>
      <c r="G1546" s="217"/>
    </row>
    <row r="1547" spans="1:7" s="30" customFormat="1" ht="14.45">
      <c r="A1547" s="59"/>
      <c r="B1547" s="63"/>
      <c r="C1547" s="61"/>
      <c r="D1547" s="62"/>
      <c r="E1547" s="157"/>
      <c r="F1547" s="137"/>
      <c r="G1547" s="217"/>
    </row>
    <row r="1548" spans="1:7" s="30" customFormat="1" ht="14.45">
      <c r="A1548" s="59"/>
      <c r="B1548" s="63"/>
      <c r="C1548" s="61"/>
      <c r="D1548" s="62"/>
      <c r="E1548" s="157"/>
      <c r="F1548" s="137"/>
      <c r="G1548" s="217"/>
    </row>
    <row r="1549" spans="1:7" s="30" customFormat="1" ht="14.45">
      <c r="A1549" s="59"/>
      <c r="B1549" s="63"/>
      <c r="C1549" s="61"/>
      <c r="D1549" s="62"/>
      <c r="E1549" s="157"/>
      <c r="F1549" s="137"/>
      <c r="G1549" s="217"/>
    </row>
    <row r="1550" spans="1:7" s="30" customFormat="1" ht="14.45">
      <c r="A1550" s="59"/>
      <c r="B1550" s="63"/>
      <c r="C1550" s="61"/>
      <c r="D1550" s="62"/>
      <c r="E1550" s="157"/>
      <c r="F1550" s="137"/>
      <c r="G1550" s="217"/>
    </row>
    <row r="1551" spans="1:7" s="30" customFormat="1" ht="14.45">
      <c r="A1551" s="59"/>
      <c r="B1551" s="63"/>
      <c r="C1551" s="61"/>
      <c r="D1551" s="62"/>
      <c r="E1551" s="157"/>
      <c r="F1551" s="137"/>
      <c r="G1551" s="217"/>
    </row>
    <row r="1552" spans="1:7" s="30" customFormat="1" ht="14.45">
      <c r="A1552" s="59"/>
      <c r="B1552" s="63"/>
      <c r="C1552" s="61"/>
      <c r="D1552" s="62"/>
      <c r="E1552" s="157"/>
      <c r="F1552" s="137"/>
      <c r="G1552" s="217"/>
    </row>
    <row r="1553" spans="1:7" s="30" customFormat="1" ht="14.45">
      <c r="A1553" s="59"/>
      <c r="B1553" s="63"/>
      <c r="C1553" s="61"/>
      <c r="D1553" s="62"/>
      <c r="E1553" s="157"/>
      <c r="F1553" s="137"/>
      <c r="G1553" s="217"/>
    </row>
    <row r="1554" spans="1:7" s="30" customFormat="1" ht="14.45">
      <c r="A1554" s="59"/>
      <c r="B1554" s="63"/>
      <c r="C1554" s="61"/>
      <c r="D1554" s="62"/>
      <c r="E1554" s="157"/>
      <c r="F1554" s="137"/>
      <c r="G1554" s="217"/>
    </row>
    <row r="1555" spans="1:7" s="30" customFormat="1" ht="14.45">
      <c r="A1555" s="59"/>
      <c r="B1555" s="63"/>
      <c r="C1555" s="61"/>
      <c r="D1555" s="62"/>
      <c r="E1555" s="157"/>
      <c r="F1555" s="137"/>
      <c r="G1555" s="217"/>
    </row>
    <row r="1556" spans="1:7" s="30" customFormat="1" ht="14.45">
      <c r="A1556" s="59"/>
      <c r="B1556" s="63"/>
      <c r="C1556" s="61"/>
      <c r="D1556" s="62"/>
      <c r="E1556" s="157"/>
      <c r="F1556" s="137"/>
      <c r="G1556" s="217"/>
    </row>
    <row r="1557" spans="1:7" s="30" customFormat="1" ht="14.45">
      <c r="A1557" s="59"/>
      <c r="B1557" s="63"/>
      <c r="C1557" s="61"/>
      <c r="D1557" s="62"/>
      <c r="E1557" s="157"/>
      <c r="F1557" s="137"/>
      <c r="G1557" s="217"/>
    </row>
    <row r="1558" spans="1:7" s="30" customFormat="1" ht="14.45">
      <c r="A1558" s="59"/>
      <c r="B1558" s="63"/>
      <c r="C1558" s="61"/>
      <c r="D1558" s="62"/>
      <c r="E1558" s="157"/>
      <c r="F1558" s="137"/>
      <c r="G1558" s="217"/>
    </row>
    <row r="1559" spans="1:7" s="30" customFormat="1" ht="14.45">
      <c r="A1559" s="71"/>
      <c r="B1559" s="72"/>
      <c r="C1559" s="73"/>
      <c r="D1559" s="74"/>
      <c r="E1559" s="159"/>
      <c r="F1559" s="138"/>
      <c r="G1559" s="226"/>
    </row>
    <row r="1560" spans="1:7" s="30" customFormat="1" ht="14.45">
      <c r="A1560" s="75"/>
      <c r="B1560" s="76"/>
      <c r="C1560" s="77" t="s">
        <v>30</v>
      </c>
      <c r="D1560" s="77"/>
      <c r="E1560" s="160" t="s">
        <v>8</v>
      </c>
      <c r="F1560" s="139">
        <f>SUM(F1533:F1550)</f>
        <v>75065.14</v>
      </c>
      <c r="G1560" s="227"/>
    </row>
    <row r="1561" spans="1:7" s="30" customFormat="1" ht="14.45">
      <c r="A1561" s="75"/>
      <c r="B1561" s="76"/>
      <c r="C1561" s="78"/>
      <c r="D1561" s="79"/>
      <c r="E1561" s="161"/>
      <c r="F1561" s="140"/>
      <c r="G1561" s="228"/>
    </row>
    <row r="1562" spans="1:7" s="30" customFormat="1" ht="14.45">
      <c r="A1562" s="59"/>
      <c r="B1562" s="63"/>
      <c r="C1562" s="61"/>
      <c r="D1562" s="62"/>
      <c r="E1562" s="157"/>
      <c r="F1562" s="137"/>
      <c r="G1562" s="217"/>
    </row>
    <row r="1563" spans="1:7" s="30" customFormat="1" ht="27.6">
      <c r="A1563" s="59"/>
      <c r="B1563" s="64" t="s">
        <v>1838</v>
      </c>
      <c r="C1563" s="61"/>
      <c r="D1563" s="62"/>
      <c r="E1563" s="157"/>
      <c r="F1563" s="137"/>
      <c r="G1563" s="217"/>
    </row>
    <row r="1564" spans="1:7" s="30" customFormat="1" ht="14.45">
      <c r="A1564" s="59"/>
      <c r="B1564" s="100"/>
      <c r="C1564" s="61"/>
      <c r="D1564" s="62"/>
      <c r="E1564" s="157"/>
      <c r="F1564" s="137"/>
      <c r="G1564" s="217"/>
    </row>
    <row r="1565" spans="1:7" s="30" customFormat="1" ht="14.45">
      <c r="A1565" s="66"/>
      <c r="B1565" s="98" t="s">
        <v>1839</v>
      </c>
      <c r="C1565" s="68"/>
      <c r="D1565" s="69"/>
      <c r="E1565" s="157"/>
      <c r="F1565" s="137"/>
      <c r="G1565" s="217"/>
    </row>
    <row r="1566" spans="1:7" s="30" customFormat="1" ht="14.45">
      <c r="A1566" s="59"/>
      <c r="B1566" s="100"/>
      <c r="C1566" s="61"/>
      <c r="D1566" s="62"/>
      <c r="E1566" s="157"/>
      <c r="F1566" s="137"/>
      <c r="G1566" s="217"/>
    </row>
    <row r="1567" spans="1:7" s="30" customFormat="1" ht="27.6">
      <c r="A1567" s="66"/>
      <c r="B1567" s="98" t="s">
        <v>1840</v>
      </c>
      <c r="C1567" s="68"/>
      <c r="D1567" s="69"/>
      <c r="E1567" s="157"/>
      <c r="F1567" s="137"/>
      <c r="G1567" s="217"/>
    </row>
    <row r="1568" spans="1:7" s="30" customFormat="1" ht="14.45">
      <c r="A1568" s="59"/>
      <c r="B1568" s="100"/>
      <c r="C1568" s="61"/>
      <c r="D1568" s="62"/>
      <c r="E1568" s="157"/>
      <c r="F1568" s="137"/>
      <c r="G1568" s="217"/>
    </row>
    <row r="1569" spans="1:7" s="30" customFormat="1" ht="14.45">
      <c r="A1569" s="66" t="s">
        <v>14</v>
      </c>
      <c r="B1569" s="67" t="s">
        <v>1841</v>
      </c>
      <c r="C1569" s="68"/>
      <c r="D1569" s="69" t="s">
        <v>2</v>
      </c>
      <c r="E1569" s="157"/>
      <c r="F1569" s="137" t="s">
        <v>69</v>
      </c>
      <c r="G1569" s="217"/>
    </row>
    <row r="1570" spans="1:7" s="30" customFormat="1" ht="14.45">
      <c r="A1570" s="59"/>
      <c r="B1570" s="100"/>
      <c r="C1570" s="61"/>
      <c r="D1570" s="62"/>
      <c r="E1570" s="157"/>
      <c r="F1570" s="137"/>
      <c r="G1570" s="217"/>
    </row>
    <row r="1571" spans="1:7" s="30" customFormat="1" ht="14.45">
      <c r="A1571" s="66" t="s">
        <v>17</v>
      </c>
      <c r="B1571" s="67" t="s">
        <v>1842</v>
      </c>
      <c r="C1571" s="68"/>
      <c r="D1571" s="69" t="s">
        <v>2</v>
      </c>
      <c r="E1571" s="157"/>
      <c r="F1571" s="137" t="s">
        <v>69</v>
      </c>
      <c r="G1571" s="217"/>
    </row>
    <row r="1572" spans="1:7" s="30" customFormat="1" ht="14.45">
      <c r="A1572" s="59"/>
      <c r="B1572" s="100"/>
      <c r="C1572" s="61"/>
      <c r="D1572" s="62"/>
      <c r="E1572" s="157"/>
      <c r="F1572" s="137"/>
      <c r="G1572" s="217"/>
    </row>
    <row r="1573" spans="1:7" s="30" customFormat="1" ht="14.45">
      <c r="A1573" s="66" t="s">
        <v>20</v>
      </c>
      <c r="B1573" s="67" t="s">
        <v>1843</v>
      </c>
      <c r="C1573" s="68"/>
      <c r="D1573" s="69" t="s">
        <v>2</v>
      </c>
      <c r="E1573" s="157"/>
      <c r="F1573" s="137" t="s">
        <v>69</v>
      </c>
      <c r="G1573" s="217"/>
    </row>
    <row r="1574" spans="1:7" s="30" customFormat="1" ht="14.45">
      <c r="A1574" s="59"/>
      <c r="B1574" s="100"/>
      <c r="C1574" s="61"/>
      <c r="D1574" s="62"/>
      <c r="E1574" s="157"/>
      <c r="F1574" s="137"/>
      <c r="G1574" s="217"/>
    </row>
    <row r="1575" spans="1:7" s="30" customFormat="1" ht="14.45">
      <c r="A1575" s="66" t="s">
        <v>23</v>
      </c>
      <c r="B1575" s="67" t="s">
        <v>1844</v>
      </c>
      <c r="C1575" s="68"/>
      <c r="D1575" s="69" t="s">
        <v>2</v>
      </c>
      <c r="E1575" s="157"/>
      <c r="F1575" s="137" t="s">
        <v>69</v>
      </c>
      <c r="G1575" s="217"/>
    </row>
    <row r="1576" spans="1:7" s="30" customFormat="1" ht="14.45">
      <c r="A1576" s="59"/>
      <c r="B1576" s="100"/>
      <c r="C1576" s="61"/>
      <c r="D1576" s="62"/>
      <c r="E1576" s="157"/>
      <c r="F1576" s="137"/>
      <c r="G1576" s="217"/>
    </row>
    <row r="1577" spans="1:7" s="30" customFormat="1" ht="14.45">
      <c r="A1577" s="66" t="s">
        <v>27</v>
      </c>
      <c r="B1577" s="67" t="s">
        <v>1845</v>
      </c>
      <c r="C1577" s="68"/>
      <c r="D1577" s="69" t="s">
        <v>2</v>
      </c>
      <c r="E1577" s="157"/>
      <c r="F1577" s="137" t="s">
        <v>69</v>
      </c>
      <c r="G1577" s="217"/>
    </row>
    <row r="1578" spans="1:7" s="30" customFormat="1" ht="14.45">
      <c r="A1578" s="59"/>
      <c r="B1578" s="100"/>
      <c r="C1578" s="61"/>
      <c r="D1578" s="62"/>
      <c r="E1578" s="157"/>
      <c r="F1578" s="137"/>
      <c r="G1578" s="217"/>
    </row>
    <row r="1579" spans="1:7" s="30" customFormat="1" ht="14.45">
      <c r="A1579" s="66" t="s">
        <v>44</v>
      </c>
      <c r="B1579" s="67" t="s">
        <v>1846</v>
      </c>
      <c r="C1579" s="68"/>
      <c r="D1579" s="69" t="s">
        <v>2</v>
      </c>
      <c r="E1579" s="157">
        <v>8674.7199999999993</v>
      </c>
      <c r="F1579" s="137">
        <f>+E1579</f>
        <v>8674.7199999999993</v>
      </c>
      <c r="G1579" s="217"/>
    </row>
    <row r="1580" spans="1:7" s="30" customFormat="1" ht="14.45">
      <c r="A1580" s="59"/>
      <c r="B1580" s="100"/>
      <c r="C1580" s="61"/>
      <c r="D1580" s="62"/>
      <c r="E1580" s="157"/>
      <c r="F1580" s="137"/>
      <c r="G1580" s="217"/>
    </row>
    <row r="1581" spans="1:7" s="30" customFormat="1" ht="14.45">
      <c r="A1581" s="66" t="s">
        <v>48</v>
      </c>
      <c r="B1581" s="67" t="s">
        <v>1847</v>
      </c>
      <c r="C1581" s="68"/>
      <c r="D1581" s="69" t="s">
        <v>2</v>
      </c>
      <c r="E1581" s="157">
        <v>4848.95</v>
      </c>
      <c r="F1581" s="137">
        <f>+E1581</f>
        <v>4848.95</v>
      </c>
      <c r="G1581" s="217"/>
    </row>
    <row r="1582" spans="1:7" s="30" customFormat="1" ht="14.45">
      <c r="A1582" s="59"/>
      <c r="B1582" s="100"/>
      <c r="C1582" s="61"/>
      <c r="D1582" s="62"/>
      <c r="E1582" s="157"/>
      <c r="F1582" s="137"/>
      <c r="G1582" s="217"/>
    </row>
    <row r="1583" spans="1:7" s="30" customFormat="1" ht="14.45">
      <c r="A1583" s="66" t="s">
        <v>84</v>
      </c>
      <c r="B1583" s="67" t="s">
        <v>1848</v>
      </c>
      <c r="C1583" s="68"/>
      <c r="D1583" s="69" t="s">
        <v>2</v>
      </c>
      <c r="E1583" s="157"/>
      <c r="F1583" s="137" t="s">
        <v>69</v>
      </c>
      <c r="G1583" s="217"/>
    </row>
    <row r="1584" spans="1:7" s="30" customFormat="1" ht="14.45">
      <c r="A1584" s="59"/>
      <c r="B1584" s="100"/>
      <c r="C1584" s="61"/>
      <c r="D1584" s="62"/>
      <c r="E1584" s="157"/>
      <c r="F1584" s="137"/>
      <c r="G1584" s="217"/>
    </row>
    <row r="1585" spans="1:7" s="30" customFormat="1" ht="14.45">
      <c r="A1585" s="66" t="s">
        <v>86</v>
      </c>
      <c r="B1585" s="67" t="s">
        <v>1849</v>
      </c>
      <c r="C1585" s="68"/>
      <c r="D1585" s="69" t="s">
        <v>2</v>
      </c>
      <c r="E1585" s="157">
        <v>13123.29</v>
      </c>
      <c r="F1585" s="137">
        <f>+E1585</f>
        <v>13123.29</v>
      </c>
      <c r="G1585" s="217"/>
    </row>
    <row r="1586" spans="1:7" s="30" customFormat="1" ht="14.45">
      <c r="A1586" s="59"/>
      <c r="B1586" s="100"/>
      <c r="C1586" s="61"/>
      <c r="D1586" s="62"/>
      <c r="E1586" s="157"/>
      <c r="F1586" s="137"/>
      <c r="G1586" s="217"/>
    </row>
    <row r="1587" spans="1:7" s="30" customFormat="1" ht="14.45">
      <c r="A1587" s="66" t="s">
        <v>90</v>
      </c>
      <c r="B1587" s="67" t="s">
        <v>1850</v>
      </c>
      <c r="C1587" s="68"/>
      <c r="D1587" s="69" t="s">
        <v>2</v>
      </c>
      <c r="E1587" s="157">
        <v>6806.32</v>
      </c>
      <c r="F1587" s="137">
        <f>+E1587</f>
        <v>6806.32</v>
      </c>
      <c r="G1587" s="217"/>
    </row>
    <row r="1588" spans="1:7" s="30" customFormat="1" ht="14.45">
      <c r="A1588" s="59"/>
      <c r="B1588" s="100"/>
      <c r="C1588" s="61"/>
      <c r="D1588" s="62"/>
      <c r="E1588" s="157"/>
      <c r="F1588" s="137"/>
      <c r="G1588" s="217"/>
    </row>
    <row r="1589" spans="1:7" s="30" customFormat="1" ht="14.45">
      <c r="A1589" s="66"/>
      <c r="B1589" s="98" t="s">
        <v>1851</v>
      </c>
      <c r="C1589" s="68"/>
      <c r="D1589" s="69"/>
      <c r="E1589" s="157"/>
      <c r="F1589" s="137"/>
      <c r="G1589" s="217"/>
    </row>
    <row r="1590" spans="1:7" s="30" customFormat="1" ht="14.45">
      <c r="A1590" s="59"/>
      <c r="B1590" s="100"/>
      <c r="C1590" s="61"/>
      <c r="D1590" s="62"/>
      <c r="E1590" s="157"/>
      <c r="F1590" s="137"/>
      <c r="G1590" s="217"/>
    </row>
    <row r="1591" spans="1:7" s="30" customFormat="1" ht="41.45">
      <c r="A1591" s="66" t="s">
        <v>92</v>
      </c>
      <c r="B1591" s="67" t="s">
        <v>1852</v>
      </c>
      <c r="C1591" s="68"/>
      <c r="D1591" s="69" t="s">
        <v>2</v>
      </c>
      <c r="E1591" s="157"/>
      <c r="F1591" s="137" t="s">
        <v>266</v>
      </c>
      <c r="G1591" s="217"/>
    </row>
    <row r="1592" spans="1:7" s="30" customFormat="1" ht="14.45">
      <c r="A1592" s="59"/>
      <c r="B1592" s="63"/>
      <c r="C1592" s="61"/>
      <c r="D1592" s="62"/>
      <c r="E1592" s="157"/>
      <c r="F1592" s="137"/>
      <c r="G1592" s="217"/>
    </row>
    <row r="1593" spans="1:7" s="30" customFormat="1" ht="14.45">
      <c r="A1593" s="59"/>
      <c r="B1593" s="63"/>
      <c r="C1593" s="61"/>
      <c r="D1593" s="62"/>
      <c r="E1593" s="157"/>
      <c r="F1593" s="137"/>
      <c r="G1593" s="217"/>
    </row>
    <row r="1594" spans="1:7" s="30" customFormat="1" ht="14.45">
      <c r="A1594" s="59"/>
      <c r="B1594" s="63"/>
      <c r="C1594" s="61"/>
      <c r="D1594" s="62"/>
      <c r="E1594" s="157"/>
      <c r="F1594" s="137"/>
      <c r="G1594" s="217"/>
    </row>
    <row r="1595" spans="1:7" s="30" customFormat="1" ht="14.45">
      <c r="A1595" s="59"/>
      <c r="B1595" s="63"/>
      <c r="C1595" s="61"/>
      <c r="D1595" s="62"/>
      <c r="E1595" s="157"/>
      <c r="F1595" s="137"/>
      <c r="G1595" s="217"/>
    </row>
    <row r="1596" spans="1:7" s="30" customFormat="1" ht="14.45">
      <c r="A1596" s="59"/>
      <c r="B1596" s="63"/>
      <c r="C1596" s="61"/>
      <c r="D1596" s="62"/>
      <c r="E1596" s="157"/>
      <c r="F1596" s="137"/>
      <c r="G1596" s="217"/>
    </row>
    <row r="1597" spans="1:7" s="30" customFormat="1" ht="14.45">
      <c r="A1597" s="59"/>
      <c r="B1597" s="63"/>
      <c r="C1597" s="61"/>
      <c r="D1597" s="62"/>
      <c r="E1597" s="157"/>
      <c r="F1597" s="137"/>
      <c r="G1597" s="217"/>
    </row>
    <row r="1598" spans="1:7" s="30" customFormat="1" ht="14.45">
      <c r="A1598" s="59"/>
      <c r="B1598" s="63"/>
      <c r="C1598" s="61"/>
      <c r="D1598" s="62"/>
      <c r="E1598" s="157"/>
      <c r="F1598" s="137"/>
      <c r="G1598" s="217"/>
    </row>
    <row r="1599" spans="1:7" s="30" customFormat="1" ht="14.45">
      <c r="A1599" s="59"/>
      <c r="B1599" s="63"/>
      <c r="C1599" s="61"/>
      <c r="D1599" s="62"/>
      <c r="E1599" s="157"/>
      <c r="F1599" s="137"/>
      <c r="G1599" s="217"/>
    </row>
    <row r="1600" spans="1:7" s="30" customFormat="1" ht="14.45">
      <c r="A1600" s="59"/>
      <c r="B1600" s="63"/>
      <c r="C1600" s="61"/>
      <c r="D1600" s="62"/>
      <c r="E1600" s="157"/>
      <c r="F1600" s="137"/>
      <c r="G1600" s="217"/>
    </row>
    <row r="1601" spans="1:7" s="30" customFormat="1" ht="14.45">
      <c r="A1601" s="59"/>
      <c r="B1601" s="63"/>
      <c r="C1601" s="61"/>
      <c r="D1601" s="62"/>
      <c r="E1601" s="157"/>
      <c r="F1601" s="137"/>
      <c r="G1601" s="217"/>
    </row>
    <row r="1602" spans="1:7" s="30" customFormat="1" ht="14.45">
      <c r="A1602" s="59"/>
      <c r="B1602" s="63"/>
      <c r="C1602" s="61"/>
      <c r="D1602" s="62"/>
      <c r="E1602" s="157"/>
      <c r="F1602" s="137"/>
      <c r="G1602" s="217"/>
    </row>
    <row r="1603" spans="1:7" s="30" customFormat="1" ht="14.45">
      <c r="A1603" s="71"/>
      <c r="B1603" s="72"/>
      <c r="C1603" s="73"/>
      <c r="D1603" s="74"/>
      <c r="E1603" s="159"/>
      <c r="F1603" s="138"/>
      <c r="G1603" s="226"/>
    </row>
    <row r="1604" spans="1:7" s="30" customFormat="1" ht="14.45">
      <c r="A1604" s="75"/>
      <c r="B1604" s="76"/>
      <c r="C1604" s="77" t="s">
        <v>30</v>
      </c>
      <c r="D1604" s="77"/>
      <c r="E1604" s="160" t="s">
        <v>8</v>
      </c>
      <c r="F1604" s="139">
        <f>SUM(F1568:F1595)</f>
        <v>33453.279999999999</v>
      </c>
      <c r="G1604" s="227"/>
    </row>
    <row r="1605" spans="1:7" s="30" customFormat="1" ht="14.45">
      <c r="A1605" s="75"/>
      <c r="B1605" s="76"/>
      <c r="C1605" s="78"/>
      <c r="D1605" s="79"/>
      <c r="E1605" s="161"/>
      <c r="F1605" s="140"/>
      <c r="G1605" s="228"/>
    </row>
    <row r="1606" spans="1:7" s="30" customFormat="1" ht="14.45">
      <c r="A1606" s="59"/>
      <c r="B1606" s="63"/>
      <c r="C1606" s="61"/>
      <c r="D1606" s="62"/>
      <c r="E1606" s="157"/>
      <c r="F1606" s="137"/>
      <c r="G1606" s="217"/>
    </row>
    <row r="1607" spans="1:7" s="30" customFormat="1" ht="27.6">
      <c r="A1607" s="59"/>
      <c r="B1607" s="64" t="s">
        <v>1838</v>
      </c>
      <c r="C1607" s="61"/>
      <c r="D1607" s="62"/>
      <c r="E1607" s="157"/>
      <c r="F1607" s="137"/>
      <c r="G1607" s="217"/>
    </row>
    <row r="1608" spans="1:7" s="30" customFormat="1" ht="14.45">
      <c r="A1608" s="59"/>
      <c r="B1608" s="100"/>
      <c r="C1608" s="61"/>
      <c r="D1608" s="62"/>
      <c r="E1608" s="157"/>
      <c r="F1608" s="137"/>
      <c r="G1608" s="217"/>
    </row>
    <row r="1609" spans="1:7" s="30" customFormat="1" ht="55.15">
      <c r="A1609" s="66"/>
      <c r="B1609" s="98" t="s">
        <v>1853</v>
      </c>
      <c r="C1609" s="68"/>
      <c r="D1609" s="69"/>
      <c r="E1609" s="157"/>
      <c r="F1609" s="137"/>
      <c r="G1609" s="217"/>
    </row>
    <row r="1610" spans="1:7" s="30" customFormat="1" ht="14.45">
      <c r="A1610" s="59"/>
      <c r="B1610" s="100"/>
      <c r="C1610" s="61"/>
      <c r="D1610" s="62"/>
      <c r="E1610" s="157"/>
      <c r="F1610" s="137"/>
      <c r="G1610" s="217"/>
    </row>
    <row r="1611" spans="1:7" s="30" customFormat="1" ht="14.45">
      <c r="A1611" s="66" t="s">
        <v>14</v>
      </c>
      <c r="B1611" s="67" t="s">
        <v>1841</v>
      </c>
      <c r="C1611" s="68"/>
      <c r="D1611" s="69" t="s">
        <v>2</v>
      </c>
      <c r="E1611" s="157"/>
      <c r="F1611" s="137" t="s">
        <v>69</v>
      </c>
      <c r="G1611" s="217"/>
    </row>
    <row r="1612" spans="1:7" s="30" customFormat="1" ht="14.45">
      <c r="A1612" s="59"/>
      <c r="B1612" s="100"/>
      <c r="C1612" s="61"/>
      <c r="D1612" s="62"/>
      <c r="E1612" s="157"/>
      <c r="F1612" s="137"/>
      <c r="G1612" s="217"/>
    </row>
    <row r="1613" spans="1:7" s="30" customFormat="1" ht="14.45">
      <c r="A1613" s="66" t="s">
        <v>17</v>
      </c>
      <c r="B1613" s="67" t="s">
        <v>1842</v>
      </c>
      <c r="C1613" s="68"/>
      <c r="D1613" s="69" t="s">
        <v>2</v>
      </c>
      <c r="E1613" s="157"/>
      <c r="F1613" s="137" t="s">
        <v>69</v>
      </c>
      <c r="G1613" s="217"/>
    </row>
    <row r="1614" spans="1:7" s="30" customFormat="1" ht="14.45">
      <c r="A1614" s="59"/>
      <c r="B1614" s="100"/>
      <c r="C1614" s="61"/>
      <c r="D1614" s="62"/>
      <c r="E1614" s="157"/>
      <c r="F1614" s="137"/>
      <c r="G1614" s="217"/>
    </row>
    <row r="1615" spans="1:7" s="30" customFormat="1" ht="14.45">
      <c r="A1615" s="66" t="s">
        <v>20</v>
      </c>
      <c r="B1615" s="67" t="s">
        <v>1843</v>
      </c>
      <c r="C1615" s="68"/>
      <c r="D1615" s="69" t="s">
        <v>2</v>
      </c>
      <c r="E1615" s="157"/>
      <c r="F1615" s="137" t="s">
        <v>69</v>
      </c>
      <c r="G1615" s="217"/>
    </row>
    <row r="1616" spans="1:7" s="30" customFormat="1" ht="14.45">
      <c r="A1616" s="59"/>
      <c r="B1616" s="100"/>
      <c r="C1616" s="61"/>
      <c r="D1616" s="62"/>
      <c r="E1616" s="157"/>
      <c r="F1616" s="137"/>
      <c r="G1616" s="217"/>
    </row>
    <row r="1617" spans="1:7" s="30" customFormat="1" ht="14.45">
      <c r="A1617" s="66" t="s">
        <v>23</v>
      </c>
      <c r="B1617" s="67" t="s">
        <v>1844</v>
      </c>
      <c r="C1617" s="68"/>
      <c r="D1617" s="69" t="s">
        <v>2</v>
      </c>
      <c r="E1617" s="157"/>
      <c r="F1617" s="137" t="s">
        <v>69</v>
      </c>
      <c r="G1617" s="217"/>
    </row>
    <row r="1618" spans="1:7" s="30" customFormat="1" ht="14.45">
      <c r="A1618" s="59"/>
      <c r="B1618" s="100"/>
      <c r="C1618" s="61"/>
      <c r="D1618" s="62"/>
      <c r="E1618" s="157"/>
      <c r="F1618" s="137"/>
      <c r="G1618" s="217"/>
    </row>
    <row r="1619" spans="1:7" s="30" customFormat="1" ht="14.45">
      <c r="A1619" s="66" t="s">
        <v>27</v>
      </c>
      <c r="B1619" s="67" t="s">
        <v>1845</v>
      </c>
      <c r="C1619" s="68"/>
      <c r="D1619" s="69" t="s">
        <v>2</v>
      </c>
      <c r="E1619" s="157"/>
      <c r="F1619" s="137" t="s">
        <v>69</v>
      </c>
      <c r="G1619" s="217"/>
    </row>
    <row r="1620" spans="1:7" s="30" customFormat="1" ht="14.45">
      <c r="A1620" s="59"/>
      <c r="B1620" s="100"/>
      <c r="C1620" s="61"/>
      <c r="D1620" s="62"/>
      <c r="E1620" s="157"/>
      <c r="F1620" s="137"/>
      <c r="G1620" s="217"/>
    </row>
    <row r="1621" spans="1:7" s="30" customFormat="1" ht="14.45">
      <c r="A1621" s="66" t="s">
        <v>44</v>
      </c>
      <c r="B1621" s="67" t="s">
        <v>1846</v>
      </c>
      <c r="C1621" s="68"/>
      <c r="D1621" s="69" t="s">
        <v>2</v>
      </c>
      <c r="E1621" s="157"/>
      <c r="F1621" s="137" t="s">
        <v>69</v>
      </c>
      <c r="G1621" s="217"/>
    </row>
    <row r="1622" spans="1:7" s="30" customFormat="1" ht="14.45">
      <c r="A1622" s="59"/>
      <c r="B1622" s="100"/>
      <c r="C1622" s="61"/>
      <c r="D1622" s="62"/>
      <c r="E1622" s="157"/>
      <c r="F1622" s="137"/>
      <c r="G1622" s="217"/>
    </row>
    <row r="1623" spans="1:7" s="30" customFormat="1" ht="14.45">
      <c r="A1623" s="66" t="s">
        <v>48</v>
      </c>
      <c r="B1623" s="67" t="s">
        <v>1847</v>
      </c>
      <c r="C1623" s="68"/>
      <c r="D1623" s="69" t="s">
        <v>2</v>
      </c>
      <c r="E1623" s="157"/>
      <c r="F1623" s="137" t="s">
        <v>69</v>
      </c>
      <c r="G1623" s="217"/>
    </row>
    <row r="1624" spans="1:7" s="30" customFormat="1" ht="14.45">
      <c r="A1624" s="59"/>
      <c r="B1624" s="100"/>
      <c r="C1624" s="61"/>
      <c r="D1624" s="62"/>
      <c r="E1624" s="157"/>
      <c r="F1624" s="137"/>
      <c r="G1624" s="217"/>
    </row>
    <row r="1625" spans="1:7" s="30" customFormat="1" ht="14.45">
      <c r="A1625" s="66" t="s">
        <v>84</v>
      </c>
      <c r="B1625" s="67" t="s">
        <v>1848</v>
      </c>
      <c r="C1625" s="68"/>
      <c r="D1625" s="69" t="s">
        <v>2</v>
      </c>
      <c r="E1625" s="157">
        <v>247953.87</v>
      </c>
      <c r="F1625" s="137">
        <f>+E1625</f>
        <v>247953.87</v>
      </c>
      <c r="G1625" s="217"/>
    </row>
    <row r="1626" spans="1:7" s="30" customFormat="1" ht="14.45">
      <c r="A1626" s="59"/>
      <c r="B1626" s="100"/>
      <c r="C1626" s="61"/>
      <c r="D1626" s="62"/>
      <c r="E1626" s="157"/>
      <c r="F1626" s="137"/>
      <c r="G1626" s="217"/>
    </row>
    <row r="1627" spans="1:7" s="30" customFormat="1" ht="14.45">
      <c r="A1627" s="66" t="s">
        <v>86</v>
      </c>
      <c r="B1627" s="67" t="s">
        <v>1849</v>
      </c>
      <c r="C1627" s="68"/>
      <c r="D1627" s="69" t="s">
        <v>2</v>
      </c>
      <c r="E1627" s="157"/>
      <c r="F1627" s="137" t="s">
        <v>69</v>
      </c>
      <c r="G1627" s="217"/>
    </row>
    <row r="1628" spans="1:7" s="30" customFormat="1" ht="14.45">
      <c r="A1628" s="59"/>
      <c r="B1628" s="100"/>
      <c r="C1628" s="61"/>
      <c r="D1628" s="62"/>
      <c r="E1628" s="157"/>
      <c r="F1628" s="137"/>
      <c r="G1628" s="217"/>
    </row>
    <row r="1629" spans="1:7" s="30" customFormat="1" ht="14.45">
      <c r="A1629" s="66" t="s">
        <v>90</v>
      </c>
      <c r="B1629" s="67" t="s">
        <v>1854</v>
      </c>
      <c r="C1629" s="68"/>
      <c r="D1629" s="69" t="s">
        <v>2</v>
      </c>
      <c r="E1629" s="157"/>
      <c r="F1629" s="137" t="s">
        <v>69</v>
      </c>
      <c r="G1629" s="217"/>
    </row>
    <row r="1630" spans="1:7" s="30" customFormat="1" ht="14.45">
      <c r="A1630" s="59"/>
      <c r="B1630" s="100"/>
      <c r="C1630" s="61"/>
      <c r="D1630" s="62"/>
      <c r="E1630" s="157"/>
      <c r="F1630" s="137"/>
      <c r="G1630" s="217"/>
    </row>
    <row r="1631" spans="1:7" s="30" customFormat="1" ht="41.45">
      <c r="A1631" s="66" t="s">
        <v>92</v>
      </c>
      <c r="B1631" s="67" t="s">
        <v>1852</v>
      </c>
      <c r="C1631" s="68"/>
      <c r="D1631" s="69" t="s">
        <v>2</v>
      </c>
      <c r="E1631" s="157"/>
      <c r="F1631" s="137" t="s">
        <v>69</v>
      </c>
      <c r="G1631" s="217"/>
    </row>
    <row r="1632" spans="1:7" s="30" customFormat="1" ht="14.45">
      <c r="A1632" s="59"/>
      <c r="B1632" s="63"/>
      <c r="C1632" s="61"/>
      <c r="D1632" s="62"/>
      <c r="E1632" s="157"/>
      <c r="F1632" s="137"/>
      <c r="G1632" s="217"/>
    </row>
    <row r="1633" spans="1:7" s="30" customFormat="1" ht="14.45">
      <c r="A1633" s="59"/>
      <c r="B1633" s="63"/>
      <c r="C1633" s="61"/>
      <c r="D1633" s="62"/>
      <c r="E1633" s="157"/>
      <c r="F1633" s="137"/>
      <c r="G1633" s="217"/>
    </row>
    <row r="1634" spans="1:7" s="30" customFormat="1" ht="14.45">
      <c r="A1634" s="59"/>
      <c r="B1634" s="63"/>
      <c r="C1634" s="61"/>
      <c r="D1634" s="62"/>
      <c r="E1634" s="157"/>
      <c r="F1634" s="137"/>
      <c r="G1634" s="217"/>
    </row>
    <row r="1635" spans="1:7" s="30" customFormat="1" ht="14.45">
      <c r="A1635" s="59"/>
      <c r="B1635" s="63"/>
      <c r="C1635" s="61"/>
      <c r="D1635" s="62"/>
      <c r="E1635" s="157"/>
      <c r="F1635" s="137"/>
      <c r="G1635" s="217"/>
    </row>
    <row r="1636" spans="1:7" s="30" customFormat="1" ht="14.45">
      <c r="A1636" s="59"/>
      <c r="B1636" s="63"/>
      <c r="C1636" s="61"/>
      <c r="D1636" s="62"/>
      <c r="E1636" s="157"/>
      <c r="F1636" s="137"/>
      <c r="G1636" s="217"/>
    </row>
    <row r="1637" spans="1:7" s="30" customFormat="1" ht="14.45">
      <c r="A1637" s="59"/>
      <c r="B1637" s="63"/>
      <c r="C1637" s="61"/>
      <c r="D1637" s="62"/>
      <c r="E1637" s="157"/>
      <c r="F1637" s="137"/>
      <c r="G1637" s="217"/>
    </row>
    <row r="1638" spans="1:7" s="30" customFormat="1" ht="14.45">
      <c r="A1638" s="59"/>
      <c r="B1638" s="63"/>
      <c r="C1638" s="61"/>
      <c r="D1638" s="62"/>
      <c r="E1638" s="157"/>
      <c r="F1638" s="137"/>
      <c r="G1638" s="217"/>
    </row>
    <row r="1639" spans="1:7" s="30" customFormat="1" ht="14.45">
      <c r="A1639" s="59"/>
      <c r="B1639" s="63"/>
      <c r="C1639" s="61"/>
      <c r="D1639" s="62"/>
      <c r="E1639" s="157"/>
      <c r="F1639" s="137"/>
      <c r="G1639" s="217"/>
    </row>
    <row r="1640" spans="1:7" s="30" customFormat="1" ht="14.45">
      <c r="A1640" s="59"/>
      <c r="B1640" s="63"/>
      <c r="C1640" s="61"/>
      <c r="D1640" s="62"/>
      <c r="E1640" s="157"/>
      <c r="F1640" s="137"/>
      <c r="G1640" s="217"/>
    </row>
    <row r="1641" spans="1:7" s="30" customFormat="1" ht="14.45">
      <c r="A1641" s="59"/>
      <c r="B1641" s="63"/>
      <c r="C1641" s="61"/>
      <c r="D1641" s="62"/>
      <c r="E1641" s="157"/>
      <c r="F1641" s="137"/>
      <c r="G1641" s="217"/>
    </row>
    <row r="1642" spans="1:7" s="30" customFormat="1" ht="14.45">
      <c r="A1642" s="59"/>
      <c r="B1642" s="63"/>
      <c r="C1642" s="61"/>
      <c r="D1642" s="62"/>
      <c r="E1642" s="157"/>
      <c r="F1642" s="137"/>
      <c r="G1642" s="217"/>
    </row>
    <row r="1643" spans="1:7" s="30" customFormat="1" ht="14.45">
      <c r="A1643" s="59"/>
      <c r="B1643" s="63"/>
      <c r="C1643" s="61"/>
      <c r="D1643" s="62"/>
      <c r="E1643" s="157"/>
      <c r="F1643" s="137"/>
      <c r="G1643" s="217"/>
    </row>
    <row r="1644" spans="1:7" s="30" customFormat="1" ht="14.45">
      <c r="A1644" s="59"/>
      <c r="B1644" s="63"/>
      <c r="C1644" s="61"/>
      <c r="D1644" s="62"/>
      <c r="E1644" s="157"/>
      <c r="F1644" s="137"/>
      <c r="G1644" s="217"/>
    </row>
    <row r="1645" spans="1:7" s="30" customFormat="1" ht="14.45">
      <c r="A1645" s="71"/>
      <c r="B1645" s="72"/>
      <c r="C1645" s="73"/>
      <c r="D1645" s="74"/>
      <c r="E1645" s="159"/>
      <c r="F1645" s="138"/>
      <c r="G1645" s="226"/>
    </row>
    <row r="1646" spans="1:7" s="30" customFormat="1" ht="14.45">
      <c r="A1646" s="75"/>
      <c r="B1646" s="76"/>
      <c r="C1646" s="77" t="s">
        <v>30</v>
      </c>
      <c r="D1646" s="77"/>
      <c r="E1646" s="160" t="s">
        <v>8</v>
      </c>
      <c r="F1646" s="139">
        <f>SUM(F1610:F1637)</f>
        <v>247953.87</v>
      </c>
      <c r="G1646" s="227"/>
    </row>
    <row r="1647" spans="1:7" s="30" customFormat="1" ht="14.45">
      <c r="A1647" s="75"/>
      <c r="B1647" s="76"/>
      <c r="C1647" s="78"/>
      <c r="D1647" s="79"/>
      <c r="E1647" s="161"/>
      <c r="F1647" s="140"/>
      <c r="G1647" s="228"/>
    </row>
    <row r="1648" spans="1:7" s="30" customFormat="1" ht="14.45">
      <c r="A1648" s="59"/>
      <c r="B1648" s="63"/>
      <c r="C1648" s="61"/>
      <c r="D1648" s="62"/>
      <c r="E1648" s="157"/>
      <c r="F1648" s="137"/>
      <c r="G1648" s="217"/>
    </row>
    <row r="1649" spans="1:7" s="30" customFormat="1" ht="14.45">
      <c r="A1649" s="59"/>
      <c r="B1649" s="64" t="s">
        <v>1270</v>
      </c>
      <c r="C1649" s="61"/>
      <c r="D1649" s="62"/>
      <c r="E1649" s="157"/>
      <c r="F1649" s="137"/>
      <c r="G1649" s="217"/>
    </row>
    <row r="1650" spans="1:7" s="30" customFormat="1" ht="14.45">
      <c r="A1650" s="59"/>
      <c r="B1650" s="100"/>
      <c r="C1650" s="61"/>
      <c r="D1650" s="62"/>
      <c r="E1650" s="157"/>
      <c r="F1650" s="137"/>
      <c r="G1650" s="217"/>
    </row>
    <row r="1651" spans="1:7" s="30" customFormat="1" ht="27.6">
      <c r="A1651" s="66" t="s">
        <v>14</v>
      </c>
      <c r="B1651" s="67" t="s">
        <v>1855</v>
      </c>
      <c r="C1651" s="68"/>
      <c r="D1651" s="69" t="s">
        <v>2</v>
      </c>
      <c r="E1651" s="157">
        <v>641966.99</v>
      </c>
      <c r="F1651" s="137">
        <f>+E1651</f>
        <v>641966.99</v>
      </c>
      <c r="G1651" s="217"/>
    </row>
    <row r="1652" spans="1:7" s="30" customFormat="1" ht="14.45">
      <c r="A1652" s="59"/>
      <c r="B1652" s="63"/>
      <c r="C1652" s="61"/>
      <c r="D1652" s="62"/>
      <c r="E1652" s="157"/>
      <c r="F1652" s="137"/>
      <c r="G1652" s="217"/>
    </row>
    <row r="1653" spans="1:7" s="30" customFormat="1" ht="14.45">
      <c r="A1653" s="59"/>
      <c r="B1653" s="63"/>
      <c r="C1653" s="61"/>
      <c r="D1653" s="62"/>
      <c r="E1653" s="157"/>
      <c r="F1653" s="137"/>
      <c r="G1653" s="217"/>
    </row>
    <row r="1654" spans="1:7" s="30" customFormat="1" ht="14.45">
      <c r="A1654" s="59"/>
      <c r="B1654" s="63"/>
      <c r="C1654" s="61"/>
      <c r="D1654" s="62"/>
      <c r="E1654" s="157"/>
      <c r="F1654" s="137"/>
      <c r="G1654" s="217"/>
    </row>
    <row r="1655" spans="1:7" s="30" customFormat="1" ht="14.45">
      <c r="A1655" s="59"/>
      <c r="B1655" s="63"/>
      <c r="C1655" s="61"/>
      <c r="D1655" s="62"/>
      <c r="E1655" s="157"/>
      <c r="F1655" s="137"/>
      <c r="G1655" s="217"/>
    </row>
    <row r="1656" spans="1:7" s="30" customFormat="1" ht="14.45">
      <c r="A1656" s="59"/>
      <c r="B1656" s="63"/>
      <c r="C1656" s="61"/>
      <c r="D1656" s="62"/>
      <c r="E1656" s="157"/>
      <c r="F1656" s="137"/>
      <c r="G1656" s="217"/>
    </row>
    <row r="1657" spans="1:7" s="30" customFormat="1" ht="14.45">
      <c r="A1657" s="59"/>
      <c r="B1657" s="63"/>
      <c r="C1657" s="61"/>
      <c r="D1657" s="62"/>
      <c r="E1657" s="157"/>
      <c r="F1657" s="137"/>
      <c r="G1657" s="217"/>
    </row>
    <row r="1658" spans="1:7" s="30" customFormat="1" ht="14.45">
      <c r="A1658" s="59"/>
      <c r="B1658" s="63"/>
      <c r="C1658" s="61"/>
      <c r="D1658" s="62"/>
      <c r="E1658" s="157"/>
      <c r="F1658" s="137"/>
      <c r="G1658" s="217"/>
    </row>
    <row r="1659" spans="1:7" s="30" customFormat="1" ht="14.45">
      <c r="A1659" s="59"/>
      <c r="B1659" s="63"/>
      <c r="C1659" s="61"/>
      <c r="D1659" s="62"/>
      <c r="E1659" s="157"/>
      <c r="F1659" s="137"/>
      <c r="G1659" s="217"/>
    </row>
    <row r="1660" spans="1:7" s="30" customFormat="1" ht="14.45">
      <c r="A1660" s="59"/>
      <c r="B1660" s="63"/>
      <c r="C1660" s="61"/>
      <c r="D1660" s="62"/>
      <c r="E1660" s="157"/>
      <c r="F1660" s="137"/>
      <c r="G1660" s="217"/>
    </row>
    <row r="1661" spans="1:7" s="30" customFormat="1" ht="14.45">
      <c r="A1661" s="59"/>
      <c r="B1661" s="63"/>
      <c r="C1661" s="61"/>
      <c r="D1661" s="62"/>
      <c r="E1661" s="157"/>
      <c r="F1661" s="137"/>
      <c r="G1661" s="217"/>
    </row>
    <row r="1662" spans="1:7" s="30" customFormat="1" ht="14.45">
      <c r="A1662" s="59"/>
      <c r="B1662" s="63"/>
      <c r="C1662" s="61"/>
      <c r="D1662" s="62"/>
      <c r="E1662" s="157"/>
      <c r="F1662" s="137"/>
      <c r="G1662" s="217"/>
    </row>
    <row r="1663" spans="1:7" s="30" customFormat="1" ht="14.45">
      <c r="A1663" s="59"/>
      <c r="B1663" s="63"/>
      <c r="C1663" s="61"/>
      <c r="D1663" s="62"/>
      <c r="E1663" s="157"/>
      <c r="F1663" s="137"/>
      <c r="G1663" s="217"/>
    </row>
    <row r="1664" spans="1:7" s="30" customFormat="1" ht="14.45">
      <c r="A1664" s="59"/>
      <c r="B1664" s="63"/>
      <c r="C1664" s="61"/>
      <c r="D1664" s="62"/>
      <c r="E1664" s="157"/>
      <c r="F1664" s="137"/>
      <c r="G1664" s="217"/>
    </row>
    <row r="1665" spans="1:7" s="30" customFormat="1" ht="14.45">
      <c r="A1665" s="59"/>
      <c r="B1665" s="63"/>
      <c r="C1665" s="61"/>
      <c r="D1665" s="62"/>
      <c r="E1665" s="157"/>
      <c r="F1665" s="137"/>
      <c r="G1665" s="217"/>
    </row>
    <row r="1666" spans="1:7" s="30" customFormat="1" ht="14.45">
      <c r="A1666" s="59"/>
      <c r="B1666" s="63"/>
      <c r="C1666" s="61"/>
      <c r="D1666" s="62"/>
      <c r="E1666" s="157"/>
      <c r="F1666" s="137"/>
      <c r="G1666" s="217"/>
    </row>
    <row r="1667" spans="1:7" s="30" customFormat="1" ht="14.45">
      <c r="A1667" s="59"/>
      <c r="B1667" s="63"/>
      <c r="C1667" s="61"/>
      <c r="D1667" s="62"/>
      <c r="E1667" s="157"/>
      <c r="F1667" s="137"/>
      <c r="G1667" s="217"/>
    </row>
    <row r="1668" spans="1:7" s="30" customFormat="1" ht="14.45">
      <c r="A1668" s="59"/>
      <c r="B1668" s="63"/>
      <c r="C1668" s="61"/>
      <c r="D1668" s="62"/>
      <c r="E1668" s="157"/>
      <c r="F1668" s="137"/>
      <c r="G1668" s="217"/>
    </row>
    <row r="1669" spans="1:7" s="30" customFormat="1" ht="14.45">
      <c r="A1669" s="59"/>
      <c r="B1669" s="63"/>
      <c r="C1669" s="61"/>
      <c r="D1669" s="62"/>
      <c r="E1669" s="157"/>
      <c r="F1669" s="137"/>
      <c r="G1669" s="217"/>
    </row>
    <row r="1670" spans="1:7" s="30" customFormat="1" ht="14.45">
      <c r="A1670" s="59"/>
      <c r="B1670" s="63"/>
      <c r="C1670" s="61"/>
      <c r="D1670" s="62"/>
      <c r="E1670" s="157"/>
      <c r="F1670" s="137"/>
      <c r="G1670" s="217"/>
    </row>
    <row r="1671" spans="1:7" s="30" customFormat="1" ht="14.45">
      <c r="A1671" s="59"/>
      <c r="B1671" s="63"/>
      <c r="C1671" s="61"/>
      <c r="D1671" s="62"/>
      <c r="E1671" s="157"/>
      <c r="F1671" s="137"/>
      <c r="G1671" s="217"/>
    </row>
    <row r="1672" spans="1:7" s="30" customFormat="1" ht="14.45">
      <c r="A1672" s="59"/>
      <c r="B1672" s="63"/>
      <c r="C1672" s="61"/>
      <c r="D1672" s="62"/>
      <c r="E1672" s="157"/>
      <c r="F1672" s="137"/>
      <c r="G1672" s="217"/>
    </row>
    <row r="1673" spans="1:7" s="30" customFormat="1" ht="14.45">
      <c r="A1673" s="59"/>
      <c r="B1673" s="63"/>
      <c r="C1673" s="61"/>
      <c r="D1673" s="62"/>
      <c r="E1673" s="157"/>
      <c r="F1673" s="137"/>
      <c r="G1673" s="217"/>
    </row>
    <row r="1674" spans="1:7" s="30" customFormat="1" ht="14.45">
      <c r="A1674" s="59"/>
      <c r="B1674" s="63"/>
      <c r="C1674" s="61"/>
      <c r="D1674" s="62"/>
      <c r="E1674" s="157"/>
      <c r="F1674" s="137"/>
      <c r="G1674" s="217"/>
    </row>
    <row r="1675" spans="1:7" s="30" customFormat="1" ht="14.45">
      <c r="A1675" s="59"/>
      <c r="B1675" s="63"/>
      <c r="C1675" s="61"/>
      <c r="D1675" s="62"/>
      <c r="E1675" s="157"/>
      <c r="F1675" s="137"/>
      <c r="G1675" s="217"/>
    </row>
    <row r="1676" spans="1:7" s="30" customFormat="1" ht="14.45">
      <c r="A1676" s="59"/>
      <c r="B1676" s="63"/>
      <c r="C1676" s="61"/>
      <c r="D1676" s="62"/>
      <c r="E1676" s="157"/>
      <c r="F1676" s="137"/>
      <c r="G1676" s="217"/>
    </row>
    <row r="1677" spans="1:7" s="30" customFormat="1" ht="14.45">
      <c r="A1677" s="59"/>
      <c r="B1677" s="63"/>
      <c r="C1677" s="61"/>
      <c r="D1677" s="62"/>
      <c r="E1677" s="157"/>
      <c r="F1677" s="137"/>
      <c r="G1677" s="217"/>
    </row>
    <row r="1678" spans="1:7" s="30" customFormat="1" ht="14.45">
      <c r="A1678" s="59"/>
      <c r="B1678" s="63"/>
      <c r="C1678" s="61"/>
      <c r="D1678" s="62"/>
      <c r="E1678" s="157"/>
      <c r="F1678" s="137"/>
      <c r="G1678" s="217"/>
    </row>
    <row r="1679" spans="1:7" s="30" customFormat="1" ht="14.45">
      <c r="A1679" s="59"/>
      <c r="B1679" s="63"/>
      <c r="C1679" s="61"/>
      <c r="D1679" s="62"/>
      <c r="E1679" s="157"/>
      <c r="F1679" s="137"/>
      <c r="G1679" s="217"/>
    </row>
    <row r="1680" spans="1:7" s="30" customFormat="1" ht="14.45">
      <c r="A1680" s="59"/>
      <c r="B1680" s="63"/>
      <c r="C1680" s="61"/>
      <c r="D1680" s="62"/>
      <c r="E1680" s="157"/>
      <c r="F1680" s="137"/>
      <c r="G1680" s="217"/>
    </row>
    <row r="1681" spans="1:7" s="30" customFormat="1" ht="14.45">
      <c r="A1681" s="59"/>
      <c r="B1681" s="63"/>
      <c r="C1681" s="61"/>
      <c r="D1681" s="62"/>
      <c r="E1681" s="157"/>
      <c r="F1681" s="137"/>
      <c r="G1681" s="217"/>
    </row>
    <row r="1682" spans="1:7" s="30" customFormat="1" ht="14.45">
      <c r="A1682" s="59"/>
      <c r="B1682" s="63"/>
      <c r="C1682" s="61"/>
      <c r="D1682" s="62"/>
      <c r="E1682" s="157"/>
      <c r="F1682" s="137"/>
      <c r="G1682" s="217"/>
    </row>
    <row r="1683" spans="1:7" s="30" customFormat="1" ht="14.45">
      <c r="A1683" s="59"/>
      <c r="B1683" s="63"/>
      <c r="C1683" s="61"/>
      <c r="D1683" s="62"/>
      <c r="E1683" s="157"/>
      <c r="F1683" s="137"/>
      <c r="G1683" s="217"/>
    </row>
    <row r="1684" spans="1:7" s="30" customFormat="1" ht="14.45">
      <c r="A1684" s="59"/>
      <c r="B1684" s="63"/>
      <c r="C1684" s="61"/>
      <c r="D1684" s="62"/>
      <c r="E1684" s="157"/>
      <c r="F1684" s="137"/>
      <c r="G1684" s="217"/>
    </row>
    <row r="1685" spans="1:7" s="30" customFormat="1" ht="14.45">
      <c r="A1685" s="59"/>
      <c r="B1685" s="63"/>
      <c r="C1685" s="61"/>
      <c r="D1685" s="62"/>
      <c r="E1685" s="157"/>
      <c r="F1685" s="137"/>
      <c r="G1685" s="217"/>
    </row>
    <row r="1686" spans="1:7" s="30" customFormat="1" ht="14.45">
      <c r="A1686" s="59"/>
      <c r="B1686" s="63"/>
      <c r="C1686" s="61"/>
      <c r="D1686" s="62"/>
      <c r="E1686" s="157"/>
      <c r="F1686" s="137"/>
      <c r="G1686" s="217"/>
    </row>
    <row r="1687" spans="1:7" s="30" customFormat="1" ht="14.45">
      <c r="A1687" s="59"/>
      <c r="B1687" s="63"/>
      <c r="C1687" s="61"/>
      <c r="D1687" s="62"/>
      <c r="E1687" s="157"/>
      <c r="F1687" s="137"/>
      <c r="G1687" s="217"/>
    </row>
    <row r="1688" spans="1:7" s="30" customFormat="1" ht="14.45">
      <c r="A1688" s="59"/>
      <c r="B1688" s="63"/>
      <c r="C1688" s="61"/>
      <c r="D1688" s="62"/>
      <c r="E1688" s="157"/>
      <c r="F1688" s="137"/>
      <c r="G1688" s="217"/>
    </row>
    <row r="1689" spans="1:7" s="30" customFormat="1" ht="14.45">
      <c r="A1689" s="59"/>
      <c r="B1689" s="63"/>
      <c r="C1689" s="61"/>
      <c r="D1689" s="62"/>
      <c r="E1689" s="157"/>
      <c r="F1689" s="137"/>
      <c r="G1689" s="217"/>
    </row>
    <row r="1690" spans="1:7" s="30" customFormat="1" ht="14.45">
      <c r="A1690" s="59"/>
      <c r="B1690" s="63"/>
      <c r="C1690" s="61"/>
      <c r="D1690" s="62"/>
      <c r="E1690" s="157"/>
      <c r="F1690" s="137"/>
      <c r="G1690" s="217"/>
    </row>
    <row r="1691" spans="1:7" s="30" customFormat="1" ht="14.45">
      <c r="A1691" s="59"/>
      <c r="B1691" s="63"/>
      <c r="C1691" s="61"/>
      <c r="D1691" s="62"/>
      <c r="E1691" s="157"/>
      <c r="F1691" s="137"/>
      <c r="G1691" s="217"/>
    </row>
    <row r="1692" spans="1:7" s="30" customFormat="1" ht="14.45">
      <c r="A1692" s="71"/>
      <c r="B1692" s="72"/>
      <c r="C1692" s="73"/>
      <c r="D1692" s="74"/>
      <c r="E1692" s="159"/>
      <c r="F1692" s="138"/>
      <c r="G1692" s="226"/>
    </row>
    <row r="1693" spans="1:7" s="30" customFormat="1" ht="14.45">
      <c r="A1693" s="75"/>
      <c r="B1693" s="76"/>
      <c r="C1693" s="77" t="s">
        <v>30</v>
      </c>
      <c r="D1693" s="77"/>
      <c r="E1693" s="160" t="s">
        <v>8</v>
      </c>
      <c r="F1693" s="139">
        <f>SUM(F1650:F1664)</f>
        <v>641966.99</v>
      </c>
      <c r="G1693" s="227"/>
    </row>
    <row r="1694" spans="1:7" s="30" customFormat="1" ht="14.45">
      <c r="A1694" s="75"/>
      <c r="B1694" s="76"/>
      <c r="C1694" s="78"/>
      <c r="D1694" s="79"/>
      <c r="E1694" s="161"/>
      <c r="F1694" s="140"/>
      <c r="G1694" s="228"/>
    </row>
    <row r="1695" spans="1:7" s="30" customFormat="1" ht="14.45">
      <c r="A1695" s="59"/>
      <c r="B1695" s="63"/>
      <c r="C1695" s="61"/>
      <c r="D1695" s="62"/>
      <c r="E1695" s="157"/>
      <c r="F1695" s="137"/>
      <c r="G1695" s="217"/>
    </row>
    <row r="1696" spans="1:7" s="30" customFormat="1" ht="14.45">
      <c r="A1696" s="59"/>
      <c r="B1696" s="64" t="s">
        <v>105</v>
      </c>
      <c r="C1696" s="61"/>
      <c r="D1696" s="62"/>
      <c r="E1696" s="157"/>
      <c r="F1696" s="137"/>
      <c r="G1696" s="217"/>
    </row>
    <row r="1697" spans="1:7" s="30" customFormat="1" ht="14.45">
      <c r="A1697" s="59"/>
      <c r="B1697" s="103"/>
      <c r="C1697" s="61"/>
      <c r="D1697" s="62"/>
      <c r="E1697" s="157"/>
      <c r="F1697" s="137"/>
      <c r="G1697" s="217"/>
    </row>
    <row r="1698" spans="1:7" s="30" customFormat="1" ht="82.9">
      <c r="A1698" s="66"/>
      <c r="B1698" s="67" t="s">
        <v>1856</v>
      </c>
      <c r="C1698" s="68"/>
      <c r="D1698" s="69" t="s">
        <v>2</v>
      </c>
      <c r="E1698" s="157"/>
      <c r="F1698" s="137">
        <f t="shared" ref="F1698" si="130">C1698*E1698</f>
        <v>0</v>
      </c>
      <c r="G1698" s="217"/>
    </row>
    <row r="1699" spans="1:7" s="30" customFormat="1" ht="14.45">
      <c r="A1699" s="45"/>
      <c r="B1699" s="48"/>
      <c r="C1699" s="46"/>
      <c r="D1699" s="47"/>
      <c r="E1699" s="157"/>
      <c r="F1699" s="137"/>
      <c r="G1699" s="217"/>
    </row>
    <row r="1700" spans="1:7" s="30" customFormat="1" ht="14.45">
      <c r="A1700" s="45"/>
      <c r="B1700" s="48" t="s">
        <v>1857</v>
      </c>
      <c r="C1700" s="46"/>
      <c r="D1700" s="47"/>
      <c r="E1700" s="157"/>
      <c r="F1700" s="137"/>
      <c r="G1700" s="217"/>
    </row>
    <row r="1701" spans="1:7" s="30" customFormat="1" ht="14.45">
      <c r="A1701" s="45"/>
      <c r="B1701" s="48"/>
      <c r="C1701" s="46"/>
      <c r="D1701" s="47"/>
      <c r="E1701" s="157"/>
      <c r="F1701" s="137"/>
      <c r="G1701" s="217"/>
    </row>
    <row r="1702" spans="1:7" s="30" customFormat="1" ht="14.45">
      <c r="A1702" s="45" t="s">
        <v>14</v>
      </c>
      <c r="B1702" s="146" t="s">
        <v>1858</v>
      </c>
      <c r="C1702" s="46">
        <v>6</v>
      </c>
      <c r="D1702" s="47" t="s">
        <v>63</v>
      </c>
      <c r="E1702" s="157">
        <v>31814.71</v>
      </c>
      <c r="F1702" s="137">
        <f>+C1702*E1702</f>
        <v>190888.26</v>
      </c>
      <c r="G1702" s="217"/>
    </row>
    <row r="1703" spans="1:7" s="30" customFormat="1" ht="14.45">
      <c r="A1703" s="45"/>
      <c r="B1703" s="146"/>
      <c r="C1703" s="46"/>
      <c r="D1703" s="47"/>
      <c r="E1703" s="157"/>
      <c r="F1703" s="137"/>
      <c r="G1703" s="217"/>
    </row>
    <row r="1704" spans="1:7" s="30" customFormat="1" ht="14.45">
      <c r="A1704" s="45" t="s">
        <v>17</v>
      </c>
      <c r="B1704" s="146" t="s">
        <v>1859</v>
      </c>
      <c r="C1704" s="46">
        <v>3</v>
      </c>
      <c r="D1704" s="47" t="s">
        <v>63</v>
      </c>
      <c r="E1704" s="157">
        <v>79682.69</v>
      </c>
      <c r="F1704" s="137">
        <f>+C1704*E1704</f>
        <v>239048.07</v>
      </c>
      <c r="G1704" s="217"/>
    </row>
    <row r="1705" spans="1:7" s="30" customFormat="1" ht="14.45">
      <c r="A1705" s="45"/>
      <c r="B1705" s="146"/>
      <c r="C1705" s="46"/>
      <c r="D1705" s="47"/>
      <c r="E1705" s="157"/>
      <c r="F1705" s="137"/>
      <c r="G1705" s="217"/>
    </row>
    <row r="1706" spans="1:7" s="30" customFormat="1" ht="14.45">
      <c r="A1706" s="45" t="s">
        <v>20</v>
      </c>
      <c r="B1706" s="146" t="s">
        <v>1860</v>
      </c>
      <c r="C1706" s="46">
        <v>3</v>
      </c>
      <c r="D1706" s="47" t="s">
        <v>63</v>
      </c>
      <c r="E1706" s="157">
        <v>32949.07</v>
      </c>
      <c r="F1706" s="137">
        <f>+C1706*E1706</f>
        <v>98847.209999999992</v>
      </c>
      <c r="G1706" s="217"/>
    </row>
    <row r="1707" spans="1:7" s="30" customFormat="1" ht="14.45">
      <c r="A1707" s="45"/>
      <c r="B1707" s="48"/>
      <c r="C1707" s="46"/>
      <c r="D1707" s="47"/>
      <c r="E1707" s="157"/>
      <c r="F1707" s="137"/>
      <c r="G1707" s="217"/>
    </row>
    <row r="1708" spans="1:7" s="30" customFormat="1" ht="14.45">
      <c r="A1708" s="45"/>
      <c r="B1708" s="48" t="s">
        <v>1861</v>
      </c>
      <c r="C1708" s="46"/>
      <c r="D1708" s="47"/>
      <c r="E1708" s="157"/>
      <c r="F1708" s="137"/>
      <c r="G1708" s="217"/>
    </row>
    <row r="1709" spans="1:7" s="30" customFormat="1" ht="14.45">
      <c r="A1709" s="45"/>
      <c r="B1709" s="48"/>
      <c r="C1709" s="46"/>
      <c r="D1709" s="47"/>
      <c r="E1709" s="157"/>
      <c r="F1709" s="137"/>
      <c r="G1709" s="217"/>
    </row>
    <row r="1710" spans="1:7" s="30" customFormat="1" ht="27.6">
      <c r="A1710" s="147" t="s">
        <v>23</v>
      </c>
      <c r="B1710" s="146" t="s">
        <v>1862</v>
      </c>
      <c r="C1710" s="148">
        <v>1</v>
      </c>
      <c r="D1710" s="149" t="s">
        <v>2</v>
      </c>
      <c r="E1710" s="157">
        <v>5098218.09</v>
      </c>
      <c r="F1710" s="137">
        <f>+C1710*E1710</f>
        <v>5098218.09</v>
      </c>
      <c r="G1710" s="217"/>
    </row>
    <row r="1711" spans="1:7" s="30" customFormat="1" ht="14.45">
      <c r="A1711" s="45"/>
      <c r="B1711" s="48"/>
      <c r="C1711" s="46"/>
      <c r="D1711" s="47"/>
      <c r="E1711" s="157"/>
      <c r="F1711" s="137"/>
      <c r="G1711" s="217"/>
    </row>
    <row r="1712" spans="1:7" s="30" customFormat="1" ht="14.45">
      <c r="A1712" s="45"/>
      <c r="B1712" s="48" t="s">
        <v>1521</v>
      </c>
      <c r="C1712" s="46"/>
      <c r="D1712" s="47"/>
      <c r="E1712" s="157"/>
      <c r="F1712" s="137"/>
      <c r="G1712" s="217"/>
    </row>
    <row r="1713" spans="1:7" s="30" customFormat="1" ht="14.45">
      <c r="A1713" s="45"/>
      <c r="B1713" s="146"/>
      <c r="C1713" s="46"/>
      <c r="D1713" s="47"/>
      <c r="E1713" s="157"/>
      <c r="F1713" s="137"/>
      <c r="G1713" s="217"/>
    </row>
    <row r="1714" spans="1:7" s="30" customFormat="1" ht="14.45">
      <c r="A1714" s="147" t="s">
        <v>27</v>
      </c>
      <c r="B1714" s="146" t="s">
        <v>1863</v>
      </c>
      <c r="C1714" s="46">
        <v>1</v>
      </c>
      <c r="D1714" s="47" t="s">
        <v>2</v>
      </c>
      <c r="E1714" s="157">
        <v>245514.43</v>
      </c>
      <c r="F1714" s="137">
        <f>+C1714*E1714</f>
        <v>245514.43</v>
      </c>
      <c r="G1714" s="217"/>
    </row>
    <row r="1715" spans="1:7" s="30" customFormat="1" ht="14.45">
      <c r="A1715" s="45"/>
      <c r="B1715" s="146"/>
      <c r="C1715" s="46"/>
      <c r="D1715" s="47"/>
      <c r="E1715" s="157"/>
      <c r="F1715" s="137"/>
      <c r="G1715" s="217"/>
    </row>
    <row r="1716" spans="1:7" s="30" customFormat="1" ht="14.45">
      <c r="A1716" s="45"/>
      <c r="B1716" s="48" t="s">
        <v>1864</v>
      </c>
      <c r="C1716" s="46"/>
      <c r="D1716" s="47"/>
      <c r="E1716" s="157"/>
      <c r="F1716" s="137"/>
      <c r="G1716" s="217"/>
    </row>
    <row r="1717" spans="1:7" s="30" customFormat="1" ht="14.45">
      <c r="A1717" s="45"/>
      <c r="B1717" s="146"/>
      <c r="C1717" s="46"/>
      <c r="D1717" s="47"/>
      <c r="E1717" s="157"/>
      <c r="F1717" s="137"/>
      <c r="G1717" s="217"/>
    </row>
    <row r="1718" spans="1:7" s="30" customFormat="1" ht="41.45">
      <c r="A1718" s="147" t="s">
        <v>44</v>
      </c>
      <c r="B1718" s="146" t="s">
        <v>1865</v>
      </c>
      <c r="C1718" s="46">
        <v>1</v>
      </c>
      <c r="D1718" s="47" t="s">
        <v>2</v>
      </c>
      <c r="E1718" s="157">
        <v>-420288.88</v>
      </c>
      <c r="F1718" s="137">
        <f>+C1718*E1718</f>
        <v>-420288.88</v>
      </c>
      <c r="G1718" s="250" t="s">
        <v>1866</v>
      </c>
    </row>
    <row r="1719" spans="1:7" s="30" customFormat="1" ht="14.45">
      <c r="A1719" s="45"/>
      <c r="B1719" s="146"/>
      <c r="C1719" s="46"/>
      <c r="D1719" s="47"/>
      <c r="E1719" s="157"/>
      <c r="F1719" s="137"/>
      <c r="G1719" s="217"/>
    </row>
    <row r="1720" spans="1:7" s="30" customFormat="1" ht="41.45">
      <c r="A1720" s="147" t="s">
        <v>48</v>
      </c>
      <c r="B1720" s="146" t="s">
        <v>1867</v>
      </c>
      <c r="C1720" s="46">
        <v>1</v>
      </c>
      <c r="D1720" s="47" t="s">
        <v>2</v>
      </c>
      <c r="E1720" s="157">
        <v>-470816.32</v>
      </c>
      <c r="F1720" s="137">
        <f>+C1720*E1720</f>
        <v>-470816.32</v>
      </c>
      <c r="G1720" s="250" t="s">
        <v>1868</v>
      </c>
    </row>
    <row r="1721" spans="1:7" s="30" customFormat="1" ht="14.45">
      <c r="A1721" s="45"/>
      <c r="B1721" s="146"/>
      <c r="C1721" s="46"/>
      <c r="D1721" s="47"/>
      <c r="E1721" s="157"/>
      <c r="F1721" s="137"/>
      <c r="G1721" s="217"/>
    </row>
    <row r="1722" spans="1:7" s="30" customFormat="1" ht="27.6">
      <c r="A1722" s="147" t="s">
        <v>84</v>
      </c>
      <c r="B1722" s="146" t="s">
        <v>1869</v>
      </c>
      <c r="C1722" s="46">
        <v>1</v>
      </c>
      <c r="D1722" s="47" t="s">
        <v>2</v>
      </c>
      <c r="E1722" s="157">
        <v>-387488.55</v>
      </c>
      <c r="F1722" s="137">
        <f>+C1722*E1722</f>
        <v>-387488.55</v>
      </c>
      <c r="G1722" s="250" t="s">
        <v>1870</v>
      </c>
    </row>
    <row r="1723" spans="1:7" s="30" customFormat="1" ht="14.45">
      <c r="A1723" s="45"/>
      <c r="B1723" s="146"/>
      <c r="C1723" s="46"/>
      <c r="D1723" s="47"/>
      <c r="E1723" s="157"/>
      <c r="F1723" s="137"/>
      <c r="G1723" s="217"/>
    </row>
    <row r="1724" spans="1:7" s="30" customFormat="1" ht="14.45">
      <c r="A1724" s="45"/>
      <c r="B1724" s="48" t="s">
        <v>1871</v>
      </c>
      <c r="C1724" s="46"/>
      <c r="D1724" s="47"/>
      <c r="E1724" s="157"/>
      <c r="F1724" s="137"/>
      <c r="G1724" s="217"/>
    </row>
    <row r="1725" spans="1:7" s="30" customFormat="1" ht="14.45">
      <c r="A1725" s="45"/>
      <c r="B1725" s="48"/>
      <c r="C1725" s="46"/>
      <c r="D1725" s="47"/>
      <c r="E1725" s="157"/>
      <c r="F1725" s="137"/>
      <c r="G1725" s="217"/>
    </row>
    <row r="1726" spans="1:7" s="30" customFormat="1" ht="14.45">
      <c r="A1726" s="45"/>
      <c r="B1726" s="48"/>
      <c r="C1726" s="46"/>
      <c r="D1726" s="47"/>
      <c r="E1726" s="157"/>
      <c r="F1726" s="137"/>
      <c r="G1726" s="217"/>
    </row>
    <row r="1727" spans="1:7" s="30" customFormat="1" ht="14.45">
      <c r="A1727" s="45"/>
      <c r="B1727" s="48"/>
      <c r="C1727" s="46"/>
      <c r="D1727" s="47"/>
      <c r="E1727" s="157"/>
      <c r="F1727" s="137"/>
      <c r="G1727" s="217"/>
    </row>
    <row r="1728" spans="1:7" s="30" customFormat="1" ht="28.9">
      <c r="A1728" s="45"/>
      <c r="B1728" s="238" t="s">
        <v>323</v>
      </c>
      <c r="C1728" s="46"/>
      <c r="D1728" s="47"/>
      <c r="E1728" s="157"/>
      <c r="F1728" s="137"/>
      <c r="G1728" s="217"/>
    </row>
    <row r="1729" spans="1:7" s="30" customFormat="1" ht="14.45">
      <c r="A1729" s="71"/>
      <c r="B1729" s="72"/>
      <c r="C1729" s="73"/>
      <c r="D1729" s="74"/>
      <c r="E1729" s="159"/>
      <c r="F1729" s="138"/>
      <c r="G1729" s="226"/>
    </row>
    <row r="1730" spans="1:7" s="30" customFormat="1" ht="14.45">
      <c r="A1730" s="75"/>
      <c r="B1730" s="76"/>
      <c r="C1730" s="77" t="s">
        <v>30</v>
      </c>
      <c r="D1730" s="77"/>
      <c r="E1730" s="160" t="s">
        <v>8</v>
      </c>
      <c r="F1730" s="139">
        <f>SUM(F1698:F1725)</f>
        <v>4593922.3099999996</v>
      </c>
      <c r="G1730" s="227"/>
    </row>
    <row r="1731" spans="1:7" s="30" customFormat="1" ht="14.45">
      <c r="A1731" s="75"/>
      <c r="B1731" s="76"/>
      <c r="C1731" s="78"/>
      <c r="D1731" s="79"/>
      <c r="E1731" s="161"/>
      <c r="F1731" s="140"/>
      <c r="G1731" s="228"/>
    </row>
    <row r="1732" spans="1:7" s="30" customFormat="1" ht="14.45">
      <c r="A1732" s="59"/>
      <c r="B1732" s="63"/>
      <c r="C1732" s="61"/>
      <c r="D1732" s="62"/>
      <c r="E1732" s="157"/>
      <c r="F1732" s="137"/>
      <c r="G1732" s="217"/>
    </row>
    <row r="1733" spans="1:7" s="30" customFormat="1" ht="14.45">
      <c r="A1733" s="59"/>
      <c r="B1733" s="64" t="s">
        <v>1872</v>
      </c>
      <c r="C1733" s="61"/>
      <c r="D1733" s="62"/>
      <c r="E1733" s="157"/>
      <c r="F1733" s="137"/>
      <c r="G1733" s="217"/>
    </row>
    <row r="1734" spans="1:7" s="30" customFormat="1" ht="14.45">
      <c r="A1734" s="59"/>
      <c r="B1734" s="103"/>
      <c r="C1734" s="61"/>
      <c r="D1734" s="62"/>
      <c r="E1734" s="157"/>
      <c r="F1734" s="137"/>
      <c r="G1734" s="217"/>
    </row>
    <row r="1735" spans="1:7" s="30" customFormat="1" ht="82.9">
      <c r="A1735" s="66"/>
      <c r="B1735" s="67" t="s">
        <v>1856</v>
      </c>
      <c r="C1735" s="68"/>
      <c r="D1735" s="69" t="s">
        <v>2</v>
      </c>
      <c r="E1735" s="157"/>
      <c r="F1735" s="137">
        <f t="shared" ref="F1735" si="131">C1735*E1735</f>
        <v>0</v>
      </c>
      <c r="G1735" s="217"/>
    </row>
    <row r="1736" spans="1:7" s="30" customFormat="1" ht="14.45">
      <c r="A1736" s="45"/>
      <c r="B1736" s="48"/>
      <c r="C1736" s="46"/>
      <c r="D1736" s="47"/>
      <c r="E1736" s="157"/>
      <c r="F1736" s="137"/>
      <c r="G1736" s="217"/>
    </row>
    <row r="1737" spans="1:7" s="30" customFormat="1" ht="14.45">
      <c r="A1737" s="45"/>
      <c r="B1737" s="48" t="s">
        <v>1871</v>
      </c>
      <c r="C1737" s="46"/>
      <c r="D1737" s="47"/>
      <c r="E1737" s="157"/>
      <c r="F1737" s="137"/>
      <c r="G1737" s="217"/>
    </row>
    <row r="1738" spans="1:7" s="30" customFormat="1" ht="14.45">
      <c r="A1738" s="45"/>
      <c r="B1738" s="48"/>
      <c r="C1738" s="46"/>
      <c r="D1738" s="47"/>
      <c r="E1738" s="157"/>
      <c r="F1738" s="137"/>
      <c r="G1738" s="217"/>
    </row>
    <row r="1739" spans="1:7" s="30" customFormat="1" ht="14.45">
      <c r="A1739" s="45" t="s">
        <v>210</v>
      </c>
      <c r="B1739" s="146" t="s">
        <v>1873</v>
      </c>
      <c r="C1739" s="46" t="s">
        <v>210</v>
      </c>
      <c r="D1739" s="47"/>
      <c r="E1739" s="157"/>
      <c r="F1739" s="137"/>
      <c r="G1739" s="217"/>
    </row>
    <row r="1740" spans="1:7" s="30" customFormat="1" ht="14.45">
      <c r="A1740" s="45"/>
      <c r="B1740" s="146"/>
      <c r="C1740" s="46"/>
      <c r="D1740" s="47"/>
      <c r="E1740" s="157"/>
      <c r="F1740" s="137"/>
      <c r="G1740" s="217"/>
    </row>
    <row r="1741" spans="1:7" s="30" customFormat="1" ht="14.45">
      <c r="A1741" s="45" t="s">
        <v>210</v>
      </c>
      <c r="B1741" s="146" t="s">
        <v>1874</v>
      </c>
      <c r="C1741" s="46" t="s">
        <v>210</v>
      </c>
      <c r="D1741" s="47"/>
      <c r="E1741" s="157"/>
      <c r="F1741" s="137"/>
      <c r="G1741" s="217"/>
    </row>
    <row r="1742" spans="1:7" s="30" customFormat="1" ht="14.45">
      <c r="A1742" s="45"/>
      <c r="B1742" s="146"/>
      <c r="C1742" s="46"/>
      <c r="D1742" s="47"/>
      <c r="E1742" s="157"/>
      <c r="F1742" s="137"/>
      <c r="G1742" s="217"/>
    </row>
    <row r="1743" spans="1:7" s="30" customFormat="1" ht="14.45">
      <c r="A1743" s="45" t="s">
        <v>210</v>
      </c>
      <c r="B1743" s="146" t="s">
        <v>1875</v>
      </c>
      <c r="C1743" s="46" t="s">
        <v>210</v>
      </c>
      <c r="D1743" s="47"/>
      <c r="E1743" s="157"/>
      <c r="F1743" s="137"/>
      <c r="G1743" s="217"/>
    </row>
    <row r="1744" spans="1:7" s="30" customFormat="1" ht="14.45">
      <c r="A1744" s="45"/>
      <c r="B1744" s="48"/>
      <c r="C1744" s="46"/>
      <c r="D1744" s="47"/>
      <c r="E1744" s="157"/>
      <c r="F1744" s="137"/>
      <c r="G1744" s="217"/>
    </row>
    <row r="1745" spans="1:7" s="30" customFormat="1" ht="14.45">
      <c r="A1745" s="45" t="s">
        <v>14</v>
      </c>
      <c r="B1745" s="48" t="s">
        <v>1876</v>
      </c>
      <c r="C1745" s="46">
        <v>46</v>
      </c>
      <c r="D1745" s="47" t="s">
        <v>199</v>
      </c>
      <c r="E1745" s="157">
        <v>192.54</v>
      </c>
      <c r="F1745" s="137">
        <f t="shared" ref="F1745:F1773" si="132">+C1745*E1745</f>
        <v>8856.84</v>
      </c>
      <c r="G1745" s="217"/>
    </row>
    <row r="1746" spans="1:7" s="30" customFormat="1" ht="14.45">
      <c r="A1746" s="45"/>
      <c r="B1746" s="48"/>
      <c r="C1746" s="46"/>
      <c r="D1746" s="47"/>
      <c r="E1746" s="157"/>
      <c r="F1746" s="137"/>
      <c r="G1746" s="217"/>
    </row>
    <row r="1747" spans="1:7" s="30" customFormat="1" ht="14.45">
      <c r="A1747" s="147" t="s">
        <v>17</v>
      </c>
      <c r="B1747" s="146" t="s">
        <v>1877</v>
      </c>
      <c r="C1747" s="148">
        <v>47</v>
      </c>
      <c r="D1747" s="149" t="s">
        <v>199</v>
      </c>
      <c r="E1747" s="157">
        <v>224.32</v>
      </c>
      <c r="F1747" s="137">
        <f t="shared" si="132"/>
        <v>10543.039999999999</v>
      </c>
      <c r="G1747" s="217"/>
    </row>
    <row r="1748" spans="1:7" s="30" customFormat="1" ht="14.45">
      <c r="A1748" s="45"/>
      <c r="B1748" s="48"/>
      <c r="C1748" s="46"/>
      <c r="D1748" s="47"/>
      <c r="E1748" s="157"/>
      <c r="F1748" s="137"/>
      <c r="G1748" s="217"/>
    </row>
    <row r="1749" spans="1:7" s="30" customFormat="1" ht="14.45">
      <c r="A1749" s="45" t="s">
        <v>20</v>
      </c>
      <c r="B1749" s="48" t="s">
        <v>1878</v>
      </c>
      <c r="C1749" s="46">
        <v>90</v>
      </c>
      <c r="D1749" s="47" t="s">
        <v>199</v>
      </c>
      <c r="E1749" s="157">
        <v>313.33</v>
      </c>
      <c r="F1749" s="137">
        <f t="shared" si="132"/>
        <v>28199.699999999997</v>
      </c>
      <c r="G1749" s="217"/>
    </row>
    <row r="1750" spans="1:7" s="30" customFormat="1" ht="14.45">
      <c r="A1750" s="45"/>
      <c r="B1750" s="146"/>
      <c r="C1750" s="46"/>
      <c r="D1750" s="47"/>
      <c r="E1750" s="157"/>
      <c r="F1750" s="137"/>
      <c r="G1750" s="217"/>
    </row>
    <row r="1751" spans="1:7" s="30" customFormat="1" ht="14.45">
      <c r="A1751" s="147" t="s">
        <v>210</v>
      </c>
      <c r="B1751" s="146" t="s">
        <v>1879</v>
      </c>
      <c r="C1751" s="46"/>
      <c r="D1751" s="47" t="s">
        <v>210</v>
      </c>
      <c r="E1751" s="157"/>
      <c r="F1751" s="137"/>
      <c r="G1751" s="217"/>
    </row>
    <row r="1752" spans="1:7" s="30" customFormat="1" ht="14.45">
      <c r="A1752" s="45"/>
      <c r="B1752" s="146"/>
      <c r="C1752" s="46"/>
      <c r="D1752" s="47"/>
      <c r="E1752" s="157"/>
      <c r="F1752" s="137"/>
      <c r="G1752" s="217"/>
    </row>
    <row r="1753" spans="1:7" s="30" customFormat="1" ht="14.45">
      <c r="A1753" s="45" t="s">
        <v>23</v>
      </c>
      <c r="B1753" s="146" t="s">
        <v>1880</v>
      </c>
      <c r="C1753" s="46">
        <v>4</v>
      </c>
      <c r="D1753" s="47" t="s">
        <v>1881</v>
      </c>
      <c r="E1753" s="157">
        <v>2622.42</v>
      </c>
      <c r="F1753" s="137">
        <f t="shared" si="132"/>
        <v>10489.68</v>
      </c>
      <c r="G1753" s="217"/>
    </row>
    <row r="1754" spans="1:7" s="30" customFormat="1" ht="14.45">
      <c r="A1754" s="45"/>
      <c r="B1754" s="146"/>
      <c r="C1754" s="46"/>
      <c r="D1754" s="47"/>
      <c r="E1754" s="157"/>
      <c r="F1754" s="137"/>
      <c r="G1754" s="217"/>
    </row>
    <row r="1755" spans="1:7" s="30" customFormat="1" ht="14.45">
      <c r="A1755" s="45" t="s">
        <v>27</v>
      </c>
      <c r="B1755" s="146" t="s">
        <v>1882</v>
      </c>
      <c r="C1755" s="46">
        <v>1</v>
      </c>
      <c r="D1755" s="47" t="s">
        <v>1881</v>
      </c>
      <c r="E1755" s="157">
        <v>2400.59</v>
      </c>
      <c r="F1755" s="137">
        <f t="shared" si="132"/>
        <v>2400.59</v>
      </c>
      <c r="G1755" s="217"/>
    </row>
    <row r="1756" spans="1:7" s="30" customFormat="1" ht="14.45">
      <c r="A1756" s="45"/>
      <c r="B1756" s="146"/>
      <c r="C1756" s="46"/>
      <c r="D1756" s="47"/>
      <c r="E1756" s="157"/>
      <c r="F1756" s="137"/>
      <c r="G1756" s="217"/>
    </row>
    <row r="1757" spans="1:7" s="30" customFormat="1" ht="14.45">
      <c r="A1757" s="45" t="s">
        <v>44</v>
      </c>
      <c r="B1757" s="146" t="s">
        <v>1883</v>
      </c>
      <c r="C1757" s="46">
        <v>2</v>
      </c>
      <c r="D1757" s="47" t="s">
        <v>1881</v>
      </c>
      <c r="E1757" s="157">
        <v>3665.15</v>
      </c>
      <c r="F1757" s="137">
        <f t="shared" si="132"/>
        <v>7330.3</v>
      </c>
      <c r="G1757" s="217"/>
    </row>
    <row r="1758" spans="1:7" s="30" customFormat="1" ht="14.45">
      <c r="A1758" s="45"/>
      <c r="B1758" s="146"/>
      <c r="C1758" s="46"/>
      <c r="D1758" s="47"/>
      <c r="E1758" s="157"/>
      <c r="F1758" s="137"/>
      <c r="G1758" s="217"/>
    </row>
    <row r="1759" spans="1:7" s="30" customFormat="1" ht="14.45">
      <c r="A1759" s="45" t="s">
        <v>48</v>
      </c>
      <c r="B1759" s="146" t="s">
        <v>1884</v>
      </c>
      <c r="C1759" s="46">
        <v>2</v>
      </c>
      <c r="D1759" s="47" t="s">
        <v>1881</v>
      </c>
      <c r="E1759" s="157">
        <v>2282.62</v>
      </c>
      <c r="F1759" s="137">
        <f t="shared" si="132"/>
        <v>4565.24</v>
      </c>
      <c r="G1759" s="217"/>
    </row>
    <row r="1760" spans="1:7" s="30" customFormat="1" ht="14.45">
      <c r="A1760" s="45"/>
      <c r="B1760" s="146"/>
      <c r="C1760" s="46"/>
      <c r="D1760" s="47"/>
      <c r="E1760" s="157"/>
      <c r="F1760" s="137"/>
      <c r="G1760" s="217"/>
    </row>
    <row r="1761" spans="1:7" s="30" customFormat="1" ht="14.45">
      <c r="A1761" s="45" t="s">
        <v>84</v>
      </c>
      <c r="B1761" s="146" t="s">
        <v>1885</v>
      </c>
      <c r="C1761" s="46">
        <v>2</v>
      </c>
      <c r="D1761" s="47" t="s">
        <v>1881</v>
      </c>
      <c r="E1761" s="157">
        <v>2617.4</v>
      </c>
      <c r="F1761" s="137">
        <f t="shared" si="132"/>
        <v>5234.8</v>
      </c>
      <c r="G1761" s="217"/>
    </row>
    <row r="1762" spans="1:7" s="30" customFormat="1" ht="14.45">
      <c r="A1762" s="45"/>
      <c r="B1762" s="146"/>
      <c r="C1762" s="46"/>
      <c r="D1762" s="47"/>
      <c r="E1762" s="157"/>
      <c r="F1762" s="137"/>
      <c r="G1762" s="217"/>
    </row>
    <row r="1763" spans="1:7" s="30" customFormat="1" ht="14.45">
      <c r="A1763" s="45" t="s">
        <v>86</v>
      </c>
      <c r="B1763" s="146" t="s">
        <v>1886</v>
      </c>
      <c r="C1763" s="46">
        <v>2</v>
      </c>
      <c r="D1763" s="47" t="s">
        <v>1881</v>
      </c>
      <c r="E1763" s="157">
        <v>2386.3000000000002</v>
      </c>
      <c r="F1763" s="137">
        <f t="shared" si="132"/>
        <v>4772.6000000000004</v>
      </c>
      <c r="G1763" s="217"/>
    </row>
    <row r="1764" spans="1:7" s="30" customFormat="1" ht="14.45">
      <c r="A1764" s="45"/>
      <c r="B1764" s="146"/>
      <c r="C1764" s="46"/>
      <c r="D1764" s="47"/>
      <c r="E1764" s="157"/>
      <c r="F1764" s="137"/>
      <c r="G1764" s="217"/>
    </row>
    <row r="1765" spans="1:7" s="30" customFormat="1" ht="14.45">
      <c r="A1765" s="45" t="s">
        <v>90</v>
      </c>
      <c r="B1765" s="48" t="s">
        <v>1887</v>
      </c>
      <c r="C1765" s="46">
        <v>2</v>
      </c>
      <c r="D1765" s="47" t="s">
        <v>1881</v>
      </c>
      <c r="E1765" s="157">
        <v>3010.07</v>
      </c>
      <c r="F1765" s="137">
        <f t="shared" si="132"/>
        <v>6020.14</v>
      </c>
      <c r="G1765" s="217"/>
    </row>
    <row r="1766" spans="1:7" s="30" customFormat="1" ht="14.45">
      <c r="A1766" s="45"/>
      <c r="B1766" s="146"/>
      <c r="C1766" s="46"/>
      <c r="D1766" s="47"/>
      <c r="E1766" s="157"/>
      <c r="F1766" s="137"/>
      <c r="G1766" s="217"/>
    </row>
    <row r="1767" spans="1:7" s="30" customFormat="1" ht="14.45">
      <c r="A1767" s="147" t="s">
        <v>92</v>
      </c>
      <c r="B1767" s="146" t="s">
        <v>1888</v>
      </c>
      <c r="C1767" s="46">
        <v>1</v>
      </c>
      <c r="D1767" s="47" t="s">
        <v>1881</v>
      </c>
      <c r="E1767" s="157">
        <v>10212.33</v>
      </c>
      <c r="F1767" s="137">
        <f t="shared" si="132"/>
        <v>10212.33</v>
      </c>
      <c r="G1767" s="217"/>
    </row>
    <row r="1768" spans="1:7" s="30" customFormat="1" ht="14.45">
      <c r="A1768" s="45"/>
      <c r="B1768" s="146"/>
      <c r="C1768" s="46"/>
      <c r="D1768" s="47"/>
      <c r="E1768" s="157"/>
      <c r="F1768" s="137"/>
      <c r="G1768" s="217"/>
    </row>
    <row r="1769" spans="1:7" s="30" customFormat="1" ht="14.45">
      <c r="A1769" s="147" t="s">
        <v>94</v>
      </c>
      <c r="B1769" s="146" t="s">
        <v>1889</v>
      </c>
      <c r="C1769" s="46">
        <v>1</v>
      </c>
      <c r="D1769" s="47" t="s">
        <v>1881</v>
      </c>
      <c r="E1769" s="157">
        <v>2579.3000000000002</v>
      </c>
      <c r="F1769" s="137">
        <f t="shared" si="132"/>
        <v>2579.3000000000002</v>
      </c>
      <c r="G1769" s="217"/>
    </row>
    <row r="1770" spans="1:7" s="30" customFormat="1" ht="14.45">
      <c r="A1770" s="45"/>
      <c r="B1770" s="146"/>
      <c r="C1770" s="46"/>
      <c r="D1770" s="47"/>
      <c r="E1770" s="157"/>
      <c r="F1770" s="137"/>
      <c r="G1770" s="217"/>
    </row>
    <row r="1771" spans="1:7" s="30" customFormat="1" ht="14.45">
      <c r="A1771" s="147" t="s">
        <v>140</v>
      </c>
      <c r="B1771" s="146" t="s">
        <v>1890</v>
      </c>
      <c r="C1771" s="46">
        <v>2</v>
      </c>
      <c r="D1771" s="47" t="s">
        <v>1881</v>
      </c>
      <c r="E1771" s="157">
        <v>2927.87</v>
      </c>
      <c r="F1771" s="137">
        <f t="shared" si="132"/>
        <v>5855.74</v>
      </c>
      <c r="G1771" s="217"/>
    </row>
    <row r="1772" spans="1:7" s="30" customFormat="1" ht="14.45">
      <c r="A1772" s="45"/>
      <c r="B1772" s="146"/>
      <c r="C1772" s="46"/>
      <c r="D1772" s="47"/>
      <c r="E1772" s="157"/>
      <c r="F1772" s="137"/>
      <c r="G1772" s="217"/>
    </row>
    <row r="1773" spans="1:7" s="30" customFormat="1" ht="14.45">
      <c r="A1773" s="45" t="s">
        <v>159</v>
      </c>
      <c r="B1773" s="48" t="s">
        <v>1891</v>
      </c>
      <c r="C1773" s="46">
        <v>1</v>
      </c>
      <c r="D1773" s="47" t="s">
        <v>2</v>
      </c>
      <c r="E1773" s="157">
        <v>5162.59</v>
      </c>
      <c r="F1773" s="137">
        <f t="shared" si="132"/>
        <v>5162.59</v>
      </c>
      <c r="G1773" s="217"/>
    </row>
    <row r="1774" spans="1:7" s="30" customFormat="1" ht="14.45">
      <c r="A1774" s="45"/>
      <c r="B1774" s="48"/>
      <c r="C1774" s="46"/>
      <c r="D1774" s="47"/>
      <c r="E1774" s="157"/>
      <c r="F1774" s="137"/>
      <c r="G1774" s="217"/>
    </row>
    <row r="1775" spans="1:7" s="30" customFormat="1" ht="14.45">
      <c r="A1775" s="45"/>
      <c r="B1775" s="48"/>
      <c r="C1775" s="46"/>
      <c r="D1775" s="47"/>
      <c r="E1775" s="157"/>
      <c r="F1775" s="137"/>
      <c r="G1775" s="217"/>
    </row>
    <row r="1776" spans="1:7" s="30" customFormat="1" ht="14.45">
      <c r="A1776" s="45"/>
      <c r="B1776" s="48"/>
      <c r="C1776" s="46"/>
      <c r="D1776" s="47"/>
      <c r="E1776" s="157"/>
      <c r="F1776" s="137"/>
      <c r="G1776" s="217"/>
    </row>
    <row r="1777" spans="1:7" s="30" customFormat="1" ht="28.9">
      <c r="A1777" s="45"/>
      <c r="B1777" s="238" t="s">
        <v>323</v>
      </c>
      <c r="C1777" s="46"/>
      <c r="D1777" s="47"/>
      <c r="E1777" s="157"/>
      <c r="F1777" s="137"/>
      <c r="G1777" s="217"/>
    </row>
    <row r="1778" spans="1:7" s="30" customFormat="1" ht="14.45">
      <c r="A1778" s="71"/>
      <c r="B1778" s="72"/>
      <c r="C1778" s="73"/>
      <c r="D1778" s="74"/>
      <c r="E1778" s="159"/>
      <c r="F1778" s="138"/>
      <c r="G1778" s="226"/>
    </row>
    <row r="1779" spans="1:7" s="30" customFormat="1" ht="14.45">
      <c r="A1779" s="75"/>
      <c r="B1779" s="76"/>
      <c r="C1779" s="77" t="s">
        <v>30</v>
      </c>
      <c r="D1779" s="77"/>
      <c r="E1779" s="160" t="s">
        <v>8</v>
      </c>
      <c r="F1779" s="139">
        <f>SUM(F1735:F1774)</f>
        <v>112222.89000000001</v>
      </c>
      <c r="G1779" s="227"/>
    </row>
    <row r="1780" spans="1:7" s="30" customFormat="1" ht="14.45">
      <c r="A1780" s="75"/>
      <c r="B1780" s="76"/>
      <c r="C1780" s="78"/>
      <c r="D1780" s="79"/>
      <c r="E1780" s="161"/>
      <c r="F1780" s="140"/>
      <c r="G1780" s="228"/>
    </row>
    <row r="1781" spans="1:7" s="30" customFormat="1" ht="14.45">
      <c r="A1781" s="59"/>
      <c r="B1781" s="63"/>
      <c r="C1781" s="61"/>
      <c r="D1781" s="62"/>
      <c r="E1781" s="157"/>
      <c r="F1781" s="137"/>
      <c r="G1781" s="217"/>
    </row>
    <row r="1782" spans="1:7" s="30" customFormat="1" ht="14.45">
      <c r="A1782" s="59"/>
      <c r="B1782" s="38" t="s">
        <v>109</v>
      </c>
      <c r="C1782" s="61"/>
      <c r="D1782" s="62"/>
      <c r="E1782" s="157"/>
      <c r="F1782" s="137"/>
      <c r="G1782" s="217"/>
    </row>
    <row r="1783" spans="1:7" s="30" customFormat="1" ht="14.45">
      <c r="A1783" s="59"/>
      <c r="B1783" s="32"/>
      <c r="C1783" s="61"/>
      <c r="D1783" s="62"/>
      <c r="E1783" s="157"/>
      <c r="F1783" s="137"/>
      <c r="G1783" s="217"/>
    </row>
    <row r="1784" spans="1:7" s="30" customFormat="1" ht="14.45">
      <c r="A1784" s="59"/>
      <c r="B1784" s="39" t="s">
        <v>1892</v>
      </c>
      <c r="C1784" s="61"/>
      <c r="D1784" s="62"/>
      <c r="E1784" s="157"/>
      <c r="F1784" s="137">
        <f>F42</f>
        <v>60269.75</v>
      </c>
      <c r="G1784" s="217"/>
    </row>
    <row r="1785" spans="1:7" s="30" customFormat="1" ht="14.45">
      <c r="A1785" s="59"/>
      <c r="B1785" s="32"/>
      <c r="C1785" s="61"/>
      <c r="D1785" s="62"/>
      <c r="E1785" s="157"/>
      <c r="F1785" s="137"/>
      <c r="G1785" s="217"/>
    </row>
    <row r="1786" spans="1:7" s="30" customFormat="1" ht="14.45">
      <c r="A1786" s="59"/>
      <c r="B1786" s="39" t="s">
        <v>1893</v>
      </c>
      <c r="C1786" s="61"/>
      <c r="D1786" s="62"/>
      <c r="E1786" s="157"/>
      <c r="F1786" s="137">
        <f>F87</f>
        <v>24302.43</v>
      </c>
      <c r="G1786" s="217"/>
    </row>
    <row r="1787" spans="1:7" s="30" customFormat="1" ht="14.45">
      <c r="A1787" s="59"/>
      <c r="B1787" s="32"/>
      <c r="C1787" s="61"/>
      <c r="D1787" s="62"/>
      <c r="E1787" s="157"/>
      <c r="F1787" s="137"/>
      <c r="G1787" s="217"/>
    </row>
    <row r="1788" spans="1:7" s="30" customFormat="1" ht="14.45">
      <c r="A1788" s="59"/>
      <c r="B1788" s="39" t="s">
        <v>1894</v>
      </c>
      <c r="C1788" s="61"/>
      <c r="D1788" s="62"/>
      <c r="E1788" s="157"/>
      <c r="F1788" s="137">
        <f>F127</f>
        <v>85222.329999999987</v>
      </c>
      <c r="G1788" s="217"/>
    </row>
    <row r="1789" spans="1:7" s="30" customFormat="1" ht="14.45">
      <c r="A1789" s="59"/>
      <c r="B1789" s="32"/>
      <c r="C1789" s="61"/>
      <c r="D1789" s="62"/>
      <c r="E1789" s="157"/>
      <c r="F1789" s="137"/>
      <c r="G1789" s="217"/>
    </row>
    <row r="1790" spans="1:7" s="30" customFormat="1" ht="14.45">
      <c r="A1790" s="59"/>
      <c r="B1790" s="39" t="s">
        <v>1895</v>
      </c>
      <c r="C1790" s="61"/>
      <c r="D1790" s="62"/>
      <c r="E1790" s="157"/>
      <c r="F1790" s="137">
        <f>F175</f>
        <v>1057079.98</v>
      </c>
      <c r="G1790" s="217"/>
    </row>
    <row r="1791" spans="1:7" s="30" customFormat="1" ht="14.45">
      <c r="A1791" s="59"/>
      <c r="B1791" s="32"/>
      <c r="C1791" s="61"/>
      <c r="D1791" s="62"/>
      <c r="E1791" s="157"/>
      <c r="F1791" s="137"/>
      <c r="G1791" s="217"/>
    </row>
    <row r="1792" spans="1:7" s="30" customFormat="1" ht="14.45">
      <c r="A1792" s="59"/>
      <c r="B1792" s="39" t="s">
        <v>1896</v>
      </c>
      <c r="C1792" s="61"/>
      <c r="D1792" s="62"/>
      <c r="E1792" s="157"/>
      <c r="F1792" s="137">
        <f>F222</f>
        <v>1136271.26</v>
      </c>
      <c r="G1792" s="217"/>
    </row>
    <row r="1793" spans="1:7" s="30" customFormat="1" ht="14.45">
      <c r="A1793" s="59"/>
      <c r="B1793" s="32"/>
      <c r="C1793" s="61"/>
      <c r="D1793" s="62"/>
      <c r="E1793" s="157"/>
      <c r="F1793" s="137"/>
      <c r="G1793" s="217"/>
    </row>
    <row r="1794" spans="1:7" s="30" customFormat="1" ht="14.45">
      <c r="A1794" s="59"/>
      <c r="B1794" s="39" t="s">
        <v>1897</v>
      </c>
      <c r="C1794" s="61"/>
      <c r="D1794" s="62"/>
      <c r="E1794" s="157"/>
      <c r="F1794" s="137">
        <f>F264</f>
        <v>63745.799999999996</v>
      </c>
      <c r="G1794" s="217"/>
    </row>
    <row r="1795" spans="1:7" s="30" customFormat="1" ht="14.45">
      <c r="A1795" s="59"/>
      <c r="B1795" s="32"/>
      <c r="C1795" s="61"/>
      <c r="D1795" s="62"/>
      <c r="E1795" s="157"/>
      <c r="F1795" s="137"/>
      <c r="G1795" s="217"/>
    </row>
    <row r="1796" spans="1:7" s="30" customFormat="1" ht="14.45">
      <c r="A1796" s="59"/>
      <c r="B1796" s="39" t="s">
        <v>1898</v>
      </c>
      <c r="C1796" s="61"/>
      <c r="D1796" s="62"/>
      <c r="E1796" s="157"/>
      <c r="F1796" s="137">
        <f>F305</f>
        <v>2422582.98</v>
      </c>
      <c r="G1796" s="217"/>
    </row>
    <row r="1797" spans="1:7" s="30" customFormat="1" ht="14.45">
      <c r="A1797" s="59"/>
      <c r="B1797" s="32"/>
      <c r="C1797" s="61"/>
      <c r="D1797" s="62"/>
      <c r="E1797" s="157"/>
      <c r="F1797" s="137"/>
      <c r="G1797" s="217"/>
    </row>
    <row r="1798" spans="1:7" s="30" customFormat="1" ht="14.45">
      <c r="A1798" s="59"/>
      <c r="B1798" s="39" t="s">
        <v>1899</v>
      </c>
      <c r="C1798" s="61"/>
      <c r="D1798" s="62"/>
      <c r="E1798" s="157"/>
      <c r="F1798" s="137">
        <f>F351</f>
        <v>229367.66000000006</v>
      </c>
      <c r="G1798" s="217"/>
    </row>
    <row r="1799" spans="1:7" s="30" customFormat="1" ht="14.45">
      <c r="A1799" s="59"/>
      <c r="B1799" s="63"/>
      <c r="C1799" s="61"/>
      <c r="D1799" s="62"/>
      <c r="E1799" s="157"/>
      <c r="F1799" s="137"/>
      <c r="G1799" s="217"/>
    </row>
    <row r="1800" spans="1:7" s="30" customFormat="1" ht="14.45">
      <c r="A1800" s="59"/>
      <c r="B1800" s="39" t="s">
        <v>1900</v>
      </c>
      <c r="C1800" s="61"/>
      <c r="D1800" s="62"/>
      <c r="E1800" s="157"/>
      <c r="F1800" s="137">
        <f>F392</f>
        <v>464028.54000000004</v>
      </c>
      <c r="G1800" s="217"/>
    </row>
    <row r="1801" spans="1:7" s="30" customFormat="1" ht="14.45">
      <c r="A1801" s="59"/>
      <c r="B1801" s="32"/>
      <c r="C1801" s="61"/>
      <c r="D1801" s="62"/>
      <c r="E1801" s="157"/>
      <c r="F1801" s="137"/>
      <c r="G1801" s="217"/>
    </row>
    <row r="1802" spans="1:7" s="30" customFormat="1" ht="14.45">
      <c r="A1802" s="59"/>
      <c r="B1802" s="39" t="s">
        <v>1901</v>
      </c>
      <c r="C1802" s="61"/>
      <c r="D1802" s="62"/>
      <c r="E1802" s="157"/>
      <c r="F1802" s="137">
        <f>F437</f>
        <v>118548.29999999999</v>
      </c>
      <c r="G1802" s="217"/>
    </row>
    <row r="1803" spans="1:7" s="30" customFormat="1" ht="14.45">
      <c r="A1803" s="59"/>
      <c r="B1803" s="32"/>
      <c r="C1803" s="61"/>
      <c r="D1803" s="62"/>
      <c r="E1803" s="157"/>
      <c r="F1803" s="137"/>
      <c r="G1803" s="217"/>
    </row>
    <row r="1804" spans="1:7" s="30" customFormat="1" ht="14.45">
      <c r="A1804" s="59"/>
      <c r="B1804" s="39" t="s">
        <v>1902</v>
      </c>
      <c r="C1804" s="61"/>
      <c r="D1804" s="62"/>
      <c r="E1804" s="157"/>
      <c r="F1804" s="137">
        <f>F479</f>
        <v>14498.01</v>
      </c>
      <c r="G1804" s="217"/>
    </row>
    <row r="1805" spans="1:7" s="30" customFormat="1" ht="14.45">
      <c r="A1805" s="59"/>
      <c r="B1805" s="32"/>
      <c r="C1805" s="61"/>
      <c r="D1805" s="62"/>
      <c r="E1805" s="157"/>
      <c r="F1805" s="137"/>
      <c r="G1805" s="217"/>
    </row>
    <row r="1806" spans="1:7" s="30" customFormat="1" ht="14.45">
      <c r="A1806" s="59"/>
      <c r="B1806" s="39" t="s">
        <v>1903</v>
      </c>
      <c r="C1806" s="61"/>
      <c r="D1806" s="62"/>
      <c r="E1806" s="157"/>
      <c r="F1806" s="137">
        <f>F515</f>
        <v>1410445.5899999989</v>
      </c>
      <c r="G1806" s="217"/>
    </row>
    <row r="1807" spans="1:7" s="30" customFormat="1" ht="13.15" customHeight="1">
      <c r="A1807" s="59"/>
      <c r="B1807" s="32"/>
      <c r="C1807" s="61"/>
      <c r="D1807" s="62"/>
      <c r="E1807" s="157"/>
      <c r="F1807" s="137"/>
      <c r="G1807" s="217"/>
    </row>
    <row r="1808" spans="1:7" s="30" customFormat="1" ht="14.45">
      <c r="A1808" s="59"/>
      <c r="B1808" s="39" t="s">
        <v>1904</v>
      </c>
      <c r="C1808" s="61"/>
      <c r="D1808" s="62"/>
      <c r="E1808" s="157"/>
      <c r="F1808" s="137">
        <f>F562</f>
        <v>1781975.43</v>
      </c>
      <c r="G1808" s="217"/>
    </row>
    <row r="1809" spans="1:7" s="30" customFormat="1" ht="13.15" customHeight="1">
      <c r="A1809" s="59"/>
      <c r="B1809" s="32"/>
      <c r="C1809" s="61"/>
      <c r="D1809" s="62"/>
      <c r="E1809" s="157"/>
      <c r="F1809" s="137"/>
      <c r="G1809" s="217"/>
    </row>
    <row r="1810" spans="1:7" s="30" customFormat="1" ht="14.45">
      <c r="A1810" s="59"/>
      <c r="B1810" s="39" t="s">
        <v>1905</v>
      </c>
      <c r="C1810" s="61"/>
      <c r="D1810" s="62"/>
      <c r="E1810" s="157"/>
      <c r="F1810" s="137">
        <f>F607</f>
        <v>1564367.629999999</v>
      </c>
      <c r="G1810" s="217"/>
    </row>
    <row r="1811" spans="1:7" s="30" customFormat="1" ht="13.15" customHeight="1">
      <c r="A1811" s="59"/>
      <c r="B1811" s="32"/>
      <c r="C1811" s="61"/>
      <c r="D1811" s="62"/>
      <c r="E1811" s="157"/>
      <c r="F1811" s="137"/>
      <c r="G1811" s="217"/>
    </row>
    <row r="1812" spans="1:7" s="30" customFormat="1" ht="14.45">
      <c r="A1812" s="59"/>
      <c r="B1812" s="39" t="s">
        <v>1906</v>
      </c>
      <c r="C1812" s="61"/>
      <c r="D1812" s="62"/>
      <c r="E1812" s="157"/>
      <c r="F1812" s="137">
        <f>F651</f>
        <v>435004.24</v>
      </c>
      <c r="G1812" s="217"/>
    </row>
    <row r="1813" spans="1:7" s="30" customFormat="1" ht="13.15" customHeight="1">
      <c r="A1813" s="59"/>
      <c r="B1813" s="32"/>
      <c r="C1813" s="61"/>
      <c r="D1813" s="62"/>
      <c r="E1813" s="157"/>
      <c r="F1813" s="137"/>
      <c r="G1813" s="217"/>
    </row>
    <row r="1814" spans="1:7" s="30" customFormat="1" ht="14.45">
      <c r="A1814" s="59"/>
      <c r="B1814" s="39" t="s">
        <v>1907</v>
      </c>
      <c r="C1814" s="61"/>
      <c r="D1814" s="62"/>
      <c r="E1814" s="157"/>
      <c r="F1814" s="137">
        <f>F694</f>
        <v>124297.56</v>
      </c>
      <c r="G1814" s="217"/>
    </row>
    <row r="1815" spans="1:7" s="30" customFormat="1" ht="13.15" customHeight="1">
      <c r="A1815" s="59"/>
      <c r="B1815" s="63"/>
      <c r="C1815" s="61"/>
      <c r="D1815" s="62"/>
      <c r="E1815" s="157"/>
      <c r="F1815" s="137"/>
      <c r="G1815" s="217"/>
    </row>
    <row r="1816" spans="1:7" s="30" customFormat="1" ht="14.45">
      <c r="A1816" s="59"/>
      <c r="B1816" s="39" t="s">
        <v>1908</v>
      </c>
      <c r="C1816" s="61"/>
      <c r="D1816" s="62"/>
      <c r="E1816" s="157"/>
      <c r="F1816" s="137">
        <f>F734</f>
        <v>1915503.9600000002</v>
      </c>
      <c r="G1816" s="217"/>
    </row>
    <row r="1817" spans="1:7" s="30" customFormat="1" ht="13.15" customHeight="1">
      <c r="A1817" s="59"/>
      <c r="B1817" s="32"/>
      <c r="C1817" s="61"/>
      <c r="D1817" s="62"/>
      <c r="E1817" s="157"/>
      <c r="F1817" s="137"/>
      <c r="G1817" s="217"/>
    </row>
    <row r="1818" spans="1:7" s="30" customFormat="1" ht="14.45">
      <c r="A1818" s="59"/>
      <c r="B1818" s="39" t="s">
        <v>1909</v>
      </c>
      <c r="C1818" s="61"/>
      <c r="D1818" s="62"/>
      <c r="E1818" s="157"/>
      <c r="F1818" s="137">
        <f>F779</f>
        <v>1499034.6499999997</v>
      </c>
      <c r="G1818" s="217"/>
    </row>
    <row r="1819" spans="1:7" s="30" customFormat="1" ht="13.15" customHeight="1">
      <c r="A1819" s="59"/>
      <c r="B1819" s="32"/>
      <c r="C1819" s="61"/>
      <c r="D1819" s="62"/>
      <c r="E1819" s="157"/>
      <c r="F1819" s="137"/>
      <c r="G1819" s="217"/>
    </row>
    <row r="1820" spans="1:7" s="30" customFormat="1" ht="14.45">
      <c r="A1820" s="59"/>
      <c r="B1820" s="39" t="s">
        <v>1910</v>
      </c>
      <c r="C1820" s="61"/>
      <c r="D1820" s="62"/>
      <c r="E1820" s="157"/>
      <c r="F1820" s="137">
        <f>F824</f>
        <v>3473975.53</v>
      </c>
      <c r="G1820" s="217"/>
    </row>
    <row r="1821" spans="1:7" s="30" customFormat="1" ht="13.15" customHeight="1">
      <c r="A1821" s="59"/>
      <c r="B1821" s="32"/>
      <c r="C1821" s="61"/>
      <c r="D1821" s="62"/>
      <c r="E1821" s="157"/>
      <c r="F1821" s="137"/>
      <c r="G1821" s="217"/>
    </row>
    <row r="1822" spans="1:7" s="30" customFormat="1" ht="14.45">
      <c r="A1822" s="59"/>
      <c r="B1822" s="39" t="s">
        <v>1911</v>
      </c>
      <c r="C1822" s="61"/>
      <c r="D1822" s="62"/>
      <c r="E1822" s="157"/>
      <c r="F1822" s="137">
        <f>F874</f>
        <v>97693.050000000017</v>
      </c>
      <c r="G1822" s="217"/>
    </row>
    <row r="1823" spans="1:7" s="30" customFormat="1" ht="13.15" customHeight="1">
      <c r="A1823" s="59"/>
      <c r="B1823" s="32"/>
      <c r="C1823" s="61"/>
      <c r="D1823" s="62"/>
      <c r="E1823" s="157"/>
      <c r="F1823" s="137"/>
      <c r="G1823" s="217"/>
    </row>
    <row r="1824" spans="1:7" s="30" customFormat="1" ht="14.45">
      <c r="A1824" s="59"/>
      <c r="B1824" s="39" t="s">
        <v>1912</v>
      </c>
      <c r="C1824" s="61"/>
      <c r="D1824" s="62"/>
      <c r="E1824" s="157"/>
      <c r="F1824" s="137">
        <f>F923</f>
        <v>16905.559999999998</v>
      </c>
      <c r="G1824" s="217"/>
    </row>
    <row r="1825" spans="1:7" s="30" customFormat="1" ht="13.15" customHeight="1">
      <c r="A1825" s="59"/>
      <c r="B1825" s="32"/>
      <c r="C1825" s="61"/>
      <c r="D1825" s="62"/>
      <c r="E1825" s="157"/>
      <c r="F1825" s="137"/>
      <c r="G1825" s="217"/>
    </row>
    <row r="1826" spans="1:7" s="30" customFormat="1" ht="14.45">
      <c r="A1826" s="59"/>
      <c r="B1826" s="39" t="s">
        <v>1913</v>
      </c>
      <c r="C1826" s="61"/>
      <c r="D1826" s="62"/>
      <c r="E1826" s="157"/>
      <c r="F1826" s="137">
        <f>F973</f>
        <v>11500.09</v>
      </c>
      <c r="G1826" s="217"/>
    </row>
    <row r="1827" spans="1:7" s="30" customFormat="1" ht="14.45">
      <c r="A1827" s="71"/>
      <c r="B1827" s="72"/>
      <c r="C1827" s="73"/>
      <c r="D1827" s="74"/>
      <c r="E1827" s="159"/>
      <c r="F1827" s="138"/>
      <c r="G1827" s="226"/>
    </row>
    <row r="1828" spans="1:7" s="30" customFormat="1" ht="14.45">
      <c r="A1828" s="75"/>
      <c r="B1828" s="76"/>
      <c r="C1828" s="77" t="s">
        <v>30</v>
      </c>
      <c r="D1828" s="77"/>
      <c r="E1828" s="160" t="s">
        <v>8</v>
      </c>
      <c r="F1828" s="139">
        <f>SUM(F1783:F1826)</f>
        <v>18006620.329999998</v>
      </c>
      <c r="G1828" s="227"/>
    </row>
    <row r="1829" spans="1:7" s="30" customFormat="1" ht="14.45">
      <c r="A1829" s="75"/>
      <c r="B1829" s="76"/>
      <c r="C1829" s="78"/>
      <c r="D1829" s="79"/>
      <c r="E1829" s="161"/>
      <c r="F1829" s="140"/>
      <c r="G1829" s="228"/>
    </row>
    <row r="1830" spans="1:7" s="30" customFormat="1" ht="14.45">
      <c r="A1830" s="59"/>
      <c r="B1830" s="63"/>
      <c r="C1830" s="61"/>
      <c r="D1830" s="62"/>
      <c r="E1830" s="157"/>
      <c r="F1830" s="137"/>
      <c r="G1830" s="217"/>
    </row>
    <row r="1831" spans="1:7" s="30" customFormat="1" ht="14.45">
      <c r="A1831" s="59"/>
      <c r="B1831" s="38" t="s">
        <v>109</v>
      </c>
      <c r="C1831" s="61"/>
      <c r="D1831" s="62"/>
      <c r="E1831" s="157"/>
      <c r="F1831" s="137"/>
      <c r="G1831" s="217"/>
    </row>
    <row r="1832" spans="1:7" s="30" customFormat="1" ht="14.45">
      <c r="A1832" s="59"/>
      <c r="B1832" s="63"/>
      <c r="C1832" s="61"/>
      <c r="D1832" s="62"/>
      <c r="E1832" s="157"/>
      <c r="F1832" s="137"/>
      <c r="G1832" s="217"/>
    </row>
    <row r="1833" spans="1:7" s="30" customFormat="1" ht="14.45">
      <c r="A1833" s="59"/>
      <c r="B1833" s="63" t="s">
        <v>1914</v>
      </c>
      <c r="C1833" s="61"/>
      <c r="D1833" s="62"/>
      <c r="E1833" s="157"/>
      <c r="F1833" s="137">
        <f>+F1828</f>
        <v>18006620.329999998</v>
      </c>
      <c r="G1833" s="217"/>
    </row>
    <row r="1834" spans="1:7" s="30" customFormat="1" ht="14.45">
      <c r="A1834" s="59"/>
      <c r="B1834" s="63"/>
      <c r="C1834" s="61"/>
      <c r="D1834" s="62"/>
      <c r="E1834" s="157"/>
      <c r="F1834" s="137"/>
      <c r="G1834" s="217"/>
    </row>
    <row r="1835" spans="1:7" s="30" customFormat="1" ht="14.45">
      <c r="A1835" s="59"/>
      <c r="B1835" s="39" t="s">
        <v>1915</v>
      </c>
      <c r="C1835" s="61"/>
      <c r="D1835" s="62"/>
      <c r="E1835" s="157"/>
      <c r="F1835" s="137">
        <f>F1023</f>
        <v>12673.619999999999</v>
      </c>
      <c r="G1835" s="217"/>
    </row>
    <row r="1836" spans="1:7" s="30" customFormat="1" ht="14.45">
      <c r="A1836" s="59"/>
      <c r="B1836" s="63"/>
      <c r="C1836" s="61"/>
      <c r="D1836" s="62"/>
      <c r="E1836" s="157"/>
      <c r="F1836" s="137"/>
      <c r="G1836" s="217"/>
    </row>
    <row r="1837" spans="1:7" s="30" customFormat="1" ht="14.45">
      <c r="A1837" s="59"/>
      <c r="B1837" s="39" t="s">
        <v>1916</v>
      </c>
      <c r="C1837" s="61"/>
      <c r="D1837" s="62"/>
      <c r="E1837" s="157"/>
      <c r="F1837" s="137">
        <f>F1073</f>
        <v>86342.05</v>
      </c>
      <c r="G1837" s="217"/>
    </row>
    <row r="1838" spans="1:7" s="30" customFormat="1" ht="14.45">
      <c r="A1838" s="59"/>
      <c r="B1838" s="63"/>
      <c r="C1838" s="61"/>
      <c r="D1838" s="62"/>
      <c r="E1838" s="157"/>
      <c r="F1838" s="137"/>
      <c r="G1838" s="217"/>
    </row>
    <row r="1839" spans="1:7" s="30" customFormat="1" ht="14.45">
      <c r="A1839" s="59"/>
      <c r="B1839" s="39" t="s">
        <v>1917</v>
      </c>
      <c r="C1839" s="61"/>
      <c r="D1839" s="62"/>
      <c r="E1839" s="157"/>
      <c r="F1839" s="137">
        <f>F1119</f>
        <v>69970.749999999985</v>
      </c>
      <c r="G1839" s="217"/>
    </row>
    <row r="1840" spans="1:7" s="30" customFormat="1" ht="14.45">
      <c r="A1840" s="59"/>
      <c r="B1840" s="63"/>
      <c r="C1840" s="61"/>
      <c r="D1840" s="62"/>
      <c r="E1840" s="157"/>
      <c r="F1840" s="137"/>
      <c r="G1840" s="217"/>
    </row>
    <row r="1841" spans="1:7" s="30" customFormat="1" ht="14.45">
      <c r="A1841" s="59"/>
      <c r="B1841" s="39" t="s">
        <v>1918</v>
      </c>
      <c r="C1841" s="61"/>
      <c r="D1841" s="62"/>
      <c r="E1841" s="157"/>
      <c r="F1841" s="137">
        <f>F1169</f>
        <v>893642.64000000025</v>
      </c>
      <c r="G1841" s="217"/>
    </row>
    <row r="1842" spans="1:7" s="30" customFormat="1" ht="14.45">
      <c r="A1842" s="59"/>
      <c r="B1842" s="63"/>
      <c r="C1842" s="61"/>
      <c r="D1842" s="62"/>
      <c r="E1842" s="157"/>
      <c r="F1842" s="137"/>
      <c r="G1842" s="217"/>
    </row>
    <row r="1843" spans="1:7" s="30" customFormat="1" ht="14.45">
      <c r="A1843" s="59"/>
      <c r="B1843" s="39" t="s">
        <v>1919</v>
      </c>
      <c r="C1843" s="61"/>
      <c r="D1843" s="62"/>
      <c r="E1843" s="157"/>
      <c r="F1843" s="137">
        <f>F1217</f>
        <v>357499.38999999996</v>
      </c>
      <c r="G1843" s="217"/>
    </row>
    <row r="1844" spans="1:7" s="30" customFormat="1" ht="14.45">
      <c r="A1844" s="59"/>
      <c r="B1844" s="63"/>
      <c r="C1844" s="61"/>
      <c r="D1844" s="62"/>
      <c r="E1844" s="157"/>
      <c r="F1844" s="137"/>
      <c r="G1844" s="217"/>
    </row>
    <row r="1845" spans="1:7" s="30" customFormat="1" ht="14.45">
      <c r="A1845" s="59"/>
      <c r="B1845" s="39" t="s">
        <v>1920</v>
      </c>
      <c r="C1845" s="61"/>
      <c r="D1845" s="62"/>
      <c r="E1845" s="157"/>
      <c r="F1845" s="137">
        <f>F1252</f>
        <v>59232.11</v>
      </c>
      <c r="G1845" s="217"/>
    </row>
    <row r="1846" spans="1:7" s="30" customFormat="1" ht="14.45">
      <c r="A1846" s="59"/>
      <c r="B1846" s="63"/>
      <c r="C1846" s="61"/>
      <c r="D1846" s="62"/>
      <c r="E1846" s="157"/>
      <c r="F1846" s="137"/>
      <c r="G1846" s="217"/>
    </row>
    <row r="1847" spans="1:7" s="30" customFormat="1" ht="14.45">
      <c r="A1847" s="59"/>
      <c r="B1847" s="39" t="s">
        <v>1921</v>
      </c>
      <c r="C1847" s="61"/>
      <c r="D1847" s="62"/>
      <c r="E1847" s="157"/>
      <c r="F1847" s="137">
        <f>F1287</f>
        <v>64756.219999999994</v>
      </c>
      <c r="G1847" s="217"/>
    </row>
    <row r="1848" spans="1:7" s="30" customFormat="1" ht="14.45">
      <c r="A1848" s="59"/>
      <c r="B1848" s="63"/>
      <c r="C1848" s="61"/>
      <c r="D1848" s="62"/>
      <c r="E1848" s="157"/>
      <c r="F1848" s="137"/>
      <c r="G1848" s="217"/>
    </row>
    <row r="1849" spans="1:7" s="30" customFormat="1" ht="14.45">
      <c r="A1849" s="59"/>
      <c r="B1849" s="39" t="s">
        <v>1922</v>
      </c>
      <c r="C1849" s="61"/>
      <c r="D1849" s="62"/>
      <c r="E1849" s="157"/>
      <c r="F1849" s="137">
        <f>F1322</f>
        <v>92795.68</v>
      </c>
      <c r="G1849" s="217"/>
    </row>
    <row r="1850" spans="1:7" s="30" customFormat="1" ht="14.45">
      <c r="A1850" s="59"/>
      <c r="B1850" s="63"/>
      <c r="C1850" s="61"/>
      <c r="D1850" s="62"/>
      <c r="E1850" s="157"/>
      <c r="F1850" s="137"/>
      <c r="G1850" s="217"/>
    </row>
    <row r="1851" spans="1:7" s="30" customFormat="1" ht="14.45">
      <c r="A1851" s="59"/>
      <c r="B1851" s="39" t="s">
        <v>1923</v>
      </c>
      <c r="C1851" s="61"/>
      <c r="D1851" s="62"/>
      <c r="E1851" s="157"/>
      <c r="F1851" s="137">
        <f>F1366</f>
        <v>24993.95</v>
      </c>
      <c r="G1851" s="217"/>
    </row>
    <row r="1852" spans="1:7" s="30" customFormat="1" ht="14.45">
      <c r="A1852" s="59"/>
      <c r="B1852" s="63"/>
      <c r="C1852" s="61"/>
      <c r="D1852" s="62"/>
      <c r="E1852" s="157"/>
      <c r="F1852" s="137"/>
      <c r="G1852" s="217"/>
    </row>
    <row r="1853" spans="1:7" s="30" customFormat="1" ht="14.45">
      <c r="A1853" s="59"/>
      <c r="B1853" s="39" t="s">
        <v>1924</v>
      </c>
      <c r="C1853" s="61"/>
      <c r="D1853" s="62"/>
      <c r="E1853" s="157"/>
      <c r="F1853" s="137">
        <f>F1416</f>
        <v>0</v>
      </c>
      <c r="G1853" s="217"/>
    </row>
    <row r="1854" spans="1:7" s="30" customFormat="1" ht="14.45">
      <c r="A1854" s="59"/>
      <c r="B1854" s="63"/>
      <c r="C1854" s="61"/>
      <c r="D1854" s="62"/>
      <c r="E1854" s="157"/>
      <c r="G1854" s="235"/>
    </row>
    <row r="1855" spans="1:7" s="30" customFormat="1" ht="14.45">
      <c r="A1855" s="59"/>
      <c r="B1855" s="39" t="s">
        <v>1925</v>
      </c>
      <c r="C1855" s="61"/>
      <c r="D1855" s="62"/>
      <c r="E1855" s="157"/>
      <c r="F1855" s="137">
        <f>F1457</f>
        <v>2086556.1300000004</v>
      </c>
      <c r="G1855" s="217"/>
    </row>
    <row r="1856" spans="1:7" s="30" customFormat="1" ht="14.45">
      <c r="A1856" s="59"/>
      <c r="B1856" s="63"/>
      <c r="C1856" s="61"/>
      <c r="D1856" s="62"/>
      <c r="E1856" s="157"/>
      <c r="F1856" s="137"/>
      <c r="G1856" s="217"/>
    </row>
    <row r="1857" spans="1:7" s="30" customFormat="1" ht="14.45">
      <c r="A1857" s="59"/>
      <c r="B1857" s="39" t="s">
        <v>1926</v>
      </c>
      <c r="C1857" s="61"/>
      <c r="D1857" s="62"/>
      <c r="E1857" s="157"/>
      <c r="F1857" s="137">
        <f>F1482</f>
        <v>1067597.6200000001</v>
      </c>
      <c r="G1857" s="217"/>
    </row>
    <row r="1858" spans="1:7" s="30" customFormat="1" ht="14.45">
      <c r="A1858" s="59"/>
      <c r="B1858" s="63"/>
      <c r="C1858" s="61"/>
      <c r="D1858" s="62"/>
      <c r="E1858" s="157"/>
      <c r="F1858" s="137"/>
      <c r="G1858" s="217"/>
    </row>
    <row r="1859" spans="1:7" s="30" customFormat="1" ht="14.45">
      <c r="A1859" s="59"/>
      <c r="B1859" s="39" t="s">
        <v>1927</v>
      </c>
      <c r="C1859" s="61"/>
      <c r="D1859" s="62"/>
      <c r="E1859" s="157"/>
      <c r="F1859" s="137">
        <f>F1526</f>
        <v>545764.61</v>
      </c>
      <c r="G1859" s="217"/>
    </row>
    <row r="1860" spans="1:7" s="30" customFormat="1" ht="14.45">
      <c r="A1860" s="59"/>
      <c r="B1860" s="63"/>
      <c r="C1860" s="61"/>
      <c r="D1860" s="62"/>
      <c r="E1860" s="157"/>
      <c r="F1860" s="137"/>
      <c r="G1860" s="217"/>
    </row>
    <row r="1861" spans="1:7" s="30" customFormat="1" ht="14.45">
      <c r="A1861" s="59"/>
      <c r="B1861" s="39" t="s">
        <v>1928</v>
      </c>
      <c r="C1861" s="61"/>
      <c r="D1861" s="62"/>
      <c r="E1861" s="157"/>
      <c r="F1861" s="137">
        <f>F1560</f>
        <v>75065.14</v>
      </c>
      <c r="G1861" s="217"/>
    </row>
    <row r="1862" spans="1:7" s="30" customFormat="1" ht="14.45">
      <c r="A1862" s="59"/>
      <c r="B1862" s="63"/>
      <c r="C1862" s="61"/>
      <c r="D1862" s="62"/>
      <c r="E1862" s="157"/>
      <c r="F1862" s="137"/>
      <c r="G1862" s="217"/>
    </row>
    <row r="1863" spans="1:7" s="30" customFormat="1" ht="14.45">
      <c r="A1863" s="59"/>
      <c r="B1863" s="39" t="s">
        <v>1929</v>
      </c>
      <c r="C1863" s="61"/>
      <c r="D1863" s="62"/>
      <c r="E1863" s="157"/>
      <c r="F1863" s="137">
        <f>F1604</f>
        <v>33453.279999999999</v>
      </c>
      <c r="G1863" s="217"/>
    </row>
    <row r="1864" spans="1:7" s="30" customFormat="1" ht="14.45">
      <c r="A1864" s="59"/>
      <c r="B1864" s="63"/>
      <c r="C1864" s="61"/>
      <c r="D1864" s="62"/>
      <c r="E1864" s="157"/>
      <c r="F1864" s="137"/>
      <c r="G1864" s="217"/>
    </row>
    <row r="1865" spans="1:7" s="30" customFormat="1" ht="14.45">
      <c r="A1865" s="59"/>
      <c r="B1865" s="39" t="s">
        <v>1930</v>
      </c>
      <c r="C1865" s="61"/>
      <c r="D1865" s="62"/>
      <c r="E1865" s="157"/>
      <c r="F1865" s="137">
        <f>F1646</f>
        <v>247953.87</v>
      </c>
      <c r="G1865" s="217"/>
    </row>
    <row r="1866" spans="1:7" s="30" customFormat="1" ht="14.45">
      <c r="A1866" s="59"/>
      <c r="B1866" s="63"/>
      <c r="C1866" s="61"/>
      <c r="D1866" s="62"/>
      <c r="E1866" s="157"/>
      <c r="F1866" s="137"/>
      <c r="G1866" s="217"/>
    </row>
    <row r="1867" spans="1:7" s="30" customFormat="1" ht="14.45">
      <c r="A1867" s="59"/>
      <c r="B1867" s="39" t="s">
        <v>1931</v>
      </c>
      <c r="C1867" s="61"/>
      <c r="D1867" s="62"/>
      <c r="E1867" s="157"/>
      <c r="F1867" s="137">
        <f>F1693</f>
        <v>641966.99</v>
      </c>
      <c r="G1867" s="217"/>
    </row>
    <row r="1868" spans="1:7" s="30" customFormat="1" ht="14.45">
      <c r="A1868" s="59"/>
      <c r="B1868" s="63"/>
      <c r="C1868" s="61"/>
      <c r="D1868" s="62"/>
      <c r="E1868" s="157"/>
      <c r="F1868" s="137"/>
      <c r="G1868" s="217"/>
    </row>
    <row r="1869" spans="1:7" s="30" customFormat="1" ht="14.45">
      <c r="A1869" s="59"/>
      <c r="B1869" s="39" t="s">
        <v>1932</v>
      </c>
      <c r="C1869" s="61"/>
      <c r="D1869" s="62"/>
      <c r="E1869" s="157"/>
      <c r="F1869" s="137">
        <f>F1730</f>
        <v>4593922.3099999996</v>
      </c>
      <c r="G1869" s="217"/>
    </row>
    <row r="1870" spans="1:7" s="30" customFormat="1" ht="14.45">
      <c r="A1870" s="59"/>
      <c r="B1870" s="39"/>
      <c r="C1870" s="61"/>
      <c r="D1870" s="62"/>
      <c r="E1870" s="157"/>
      <c r="F1870" s="137"/>
      <c r="G1870" s="217"/>
    </row>
    <row r="1871" spans="1:7" s="30" customFormat="1" ht="14.45">
      <c r="A1871" s="59"/>
      <c r="B1871" s="39" t="s">
        <v>1933</v>
      </c>
      <c r="C1871" s="61"/>
      <c r="D1871" s="62"/>
      <c r="E1871" s="157"/>
      <c r="F1871" s="137">
        <f>+F1779</f>
        <v>112222.89000000001</v>
      </c>
      <c r="G1871" s="217"/>
    </row>
    <row r="1872" spans="1:7" s="30" customFormat="1" ht="14.45">
      <c r="A1872" s="59"/>
      <c r="B1872" s="63"/>
      <c r="C1872" s="61"/>
      <c r="D1872" s="62"/>
      <c r="E1872" s="157"/>
      <c r="F1872" s="137"/>
      <c r="G1872" s="217"/>
    </row>
    <row r="1873" spans="1:7" s="30" customFormat="1" ht="14.45">
      <c r="A1873" s="59"/>
      <c r="B1873" s="63"/>
      <c r="C1873" s="61"/>
      <c r="D1873" s="62"/>
      <c r="E1873" s="157"/>
      <c r="F1873" s="137"/>
      <c r="G1873" s="217"/>
    </row>
    <row r="1874" spans="1:7" s="30" customFormat="1" ht="14.45">
      <c r="A1874" s="59"/>
      <c r="B1874" s="63"/>
      <c r="C1874" s="61"/>
      <c r="D1874" s="62"/>
      <c r="E1874" s="157"/>
      <c r="F1874" s="137"/>
      <c r="G1874" s="217"/>
    </row>
    <row r="1875" spans="1:7" s="30" customFormat="1" ht="14.45">
      <c r="A1875" s="71"/>
      <c r="B1875" s="72"/>
      <c r="C1875" s="73"/>
      <c r="D1875" s="74"/>
      <c r="E1875" s="159"/>
      <c r="F1875" s="138"/>
      <c r="G1875" s="226"/>
    </row>
    <row r="1876" spans="1:7" s="30" customFormat="1" ht="14.45">
      <c r="A1876" s="75"/>
      <c r="B1876" s="76"/>
      <c r="C1876" s="77" t="s">
        <v>116</v>
      </c>
      <c r="D1876" s="77"/>
      <c r="E1876" s="160" t="s">
        <v>8</v>
      </c>
      <c r="F1876" s="139">
        <f>SUM(F1833:F1872)</f>
        <v>29073029.579999998</v>
      </c>
      <c r="G1876" s="227"/>
    </row>
    <row r="1877" spans="1:7" s="30" customFormat="1" ht="14.45">
      <c r="A1877" s="75"/>
      <c r="B1877" s="76"/>
      <c r="C1877" s="78"/>
      <c r="D1877" s="79"/>
      <c r="E1877" s="161"/>
      <c r="F1877" s="140"/>
      <c r="G1877" s="228"/>
    </row>
  </sheetData>
  <customSheetViews>
    <customSheetView guid="{3432A39B-C5E3-4DF0-8655-3886C046AF9C}" scale="115" showPageBreaks="1" printArea="1" view="pageBreakPreview" topLeftCell="A1808">
      <selection activeCell="G1836" sqref="G1836"/>
      <rowBreaks count="41" manualBreakCount="41">
        <brk id="43" max="5" man="1"/>
        <brk id="88" max="5" man="1"/>
        <brk id="128" max="5" man="1"/>
        <brk id="176" max="5" man="1"/>
        <brk id="223" max="5" man="1"/>
        <brk id="265" max="5" man="1"/>
        <brk id="306" max="5" man="1"/>
        <brk id="354" max="5" man="1"/>
        <brk id="396" max="5" man="1"/>
        <brk id="441" max="5" man="1"/>
        <brk id="483" max="5" man="1"/>
        <brk id="519" max="5" man="1"/>
        <brk id="566" max="5" man="1"/>
        <brk id="609" max="5" man="1"/>
        <brk id="653" max="5" man="1"/>
        <brk id="696" max="5" man="1"/>
        <brk id="736" max="5" man="1"/>
        <brk id="781" max="5" man="1"/>
        <brk id="826" max="5" man="1"/>
        <brk id="876" max="5" man="1"/>
        <brk id="925" max="5" man="1"/>
        <brk id="975" max="5" man="1"/>
        <brk id="1025" max="5" man="1"/>
        <brk id="1075" max="5" man="1"/>
        <brk id="1121" max="5" man="1"/>
        <brk id="1171" max="5" man="1"/>
        <brk id="1219" max="5" man="1"/>
        <brk id="1254" max="5" man="1"/>
        <brk id="1289" max="5" man="1"/>
        <brk id="1324" max="5" man="1"/>
        <brk id="1368" max="5" man="1"/>
        <brk id="1418" max="5" man="1"/>
        <brk id="1461" max="5" man="1"/>
        <brk id="1486" max="5" man="1"/>
        <brk id="1530" max="5" man="1"/>
        <brk id="1564" max="5" man="1"/>
        <brk id="1608" max="5" man="1"/>
        <brk id="1650" max="5" man="1"/>
        <brk id="1697" max="5" man="1"/>
        <brk id="1740" max="5" man="1"/>
        <brk id="1789" max="5" man="1"/>
      </rowBreaks>
      <pageMargins left="0" right="0" top="0" bottom="0" header="0" footer="0"/>
      <printOptions horizontalCentered="1"/>
      <pageSetup paperSize="9" fitToHeight="0" orientation="portrait" useFirstPageNumber="1" r:id="rId1"/>
      <headerFooter>
        <oddHeader>&amp;R&amp;11&amp;U
BILL NO. 3 - MALL REFURBISHMENT
MECHANICAL ENGINEERING INSTALLATIONS</oddHeader>
        <oddFooter>&amp;L&amp;8DMS 148704 BOQ - Nakheel Mall Al Khail&amp;C3/Q/&amp;P</oddFooter>
      </headerFooter>
    </customSheetView>
    <customSheetView guid="{47E345F0-E696-46B9-B7A2-C22AD1CF4FAA}" scale="115" showPageBreaks="1" printArea="1" view="pageBreakPreview" topLeftCell="A1815">
      <selection activeCell="F1828" sqref="F1828"/>
      <rowBreaks count="41" manualBreakCount="41">
        <brk id="43" max="5" man="1"/>
        <brk id="88" max="5" man="1"/>
        <brk id="128" max="5" man="1"/>
        <brk id="176" max="5" man="1"/>
        <brk id="223" max="5" man="1"/>
        <brk id="265" max="5" man="1"/>
        <brk id="306" max="5" man="1"/>
        <brk id="354" max="5" man="1"/>
        <brk id="396" max="5" man="1"/>
        <brk id="441" max="5" man="1"/>
        <brk id="483" max="5" man="1"/>
        <brk id="519" max="5" man="1"/>
        <brk id="566" max="5" man="1"/>
        <brk id="609" max="5" man="1"/>
        <brk id="653" max="5" man="1"/>
        <brk id="696" max="5" man="1"/>
        <brk id="736" max="5" man="1"/>
        <brk id="781" max="5" man="1"/>
        <brk id="826" max="5" man="1"/>
        <brk id="876" max="5" man="1"/>
        <brk id="925" max="5" man="1"/>
        <brk id="975" max="5" man="1"/>
        <brk id="1025" max="5" man="1"/>
        <brk id="1075" max="5" man="1"/>
        <brk id="1121" max="5" man="1"/>
        <brk id="1171" max="5" man="1"/>
        <brk id="1219" max="5" man="1"/>
        <brk id="1254" max="5" man="1"/>
        <brk id="1289" max="5" man="1"/>
        <brk id="1324" max="5" man="1"/>
        <brk id="1368" max="5" man="1"/>
        <brk id="1418" max="5" man="1"/>
        <brk id="1461" max="5" man="1"/>
        <brk id="1486" max="5" man="1"/>
        <brk id="1530" max="5" man="1"/>
        <brk id="1564" max="5" man="1"/>
        <brk id="1608" max="5" man="1"/>
        <brk id="1650" max="5" man="1"/>
        <brk id="1697" max="5" man="1"/>
        <brk id="1740" max="5" man="1"/>
        <brk id="1789" max="5" man="1"/>
      </rowBreaks>
      <pageMargins left="0" right="0" top="0" bottom="0" header="0" footer="0"/>
      <printOptions horizontalCentered="1"/>
      <pageSetup paperSize="9" fitToHeight="0" orientation="portrait" useFirstPageNumber="1" r:id="rId2"/>
      <headerFooter>
        <oddHeader>&amp;R&amp;11&amp;U
BILL NO. 3 - MALL REFURBISHMENT
MECHANICAL ENGINEERING INSTALLATIONS</oddHeader>
        <oddFooter>&amp;L&amp;8DMS 148704 BOQ - Nakheel Mall Al Khail&amp;C3/Q/&amp;P</oddFooter>
      </headerFooter>
    </customSheetView>
    <customSheetView guid="{252EBC6A-BD49-4FC3-9285-77861935BFE3}" scale="115" showPageBreaks="1" printArea="1" view="pageBreakPreview" topLeftCell="A1815">
      <selection activeCell="F1828" sqref="F1828"/>
      <rowBreaks count="41" manualBreakCount="41">
        <brk id="43" max="5" man="1"/>
        <brk id="88" max="5" man="1"/>
        <brk id="128" max="5" man="1"/>
        <brk id="176" max="5" man="1"/>
        <brk id="223" max="5" man="1"/>
        <brk id="265" max="5" man="1"/>
        <brk id="306" max="5" man="1"/>
        <brk id="354" max="5" man="1"/>
        <brk id="396" max="5" man="1"/>
        <brk id="441" max="5" man="1"/>
        <brk id="483" max="5" man="1"/>
        <brk id="519" max="5" man="1"/>
        <brk id="566" max="5" man="1"/>
        <brk id="609" max="5" man="1"/>
        <brk id="653" max="5" man="1"/>
        <brk id="696" max="5" man="1"/>
        <brk id="736" max="5" man="1"/>
        <brk id="781" max="5" man="1"/>
        <brk id="826" max="5" man="1"/>
        <brk id="876" max="5" man="1"/>
        <brk id="925" max="5" man="1"/>
        <brk id="975" max="5" man="1"/>
        <brk id="1025" max="5" man="1"/>
        <brk id="1075" max="5" man="1"/>
        <brk id="1121" max="5" man="1"/>
        <brk id="1171" max="5" man="1"/>
        <brk id="1219" max="5" man="1"/>
        <brk id="1254" max="5" man="1"/>
        <brk id="1289" max="5" man="1"/>
        <brk id="1324" max="5" man="1"/>
        <brk id="1368" max="5" man="1"/>
        <brk id="1418" max="5" man="1"/>
        <brk id="1461" max="5" man="1"/>
        <brk id="1486" max="5" man="1"/>
        <brk id="1530" max="5" man="1"/>
        <brk id="1564" max="5" man="1"/>
        <brk id="1608" max="5" man="1"/>
        <brk id="1650" max="5" man="1"/>
        <brk id="1697" max="5" man="1"/>
        <brk id="1740" max="5" man="1"/>
        <brk id="1789" max="5" man="1"/>
      </rowBreaks>
      <pageMargins left="0" right="0" top="0" bottom="0" header="0" footer="0"/>
      <printOptions horizontalCentered="1"/>
      <pageSetup paperSize="9" fitToHeight="0" orientation="portrait" useFirstPageNumber="1" r:id="rId3"/>
      <headerFooter>
        <oddHeader>&amp;R&amp;11&amp;U
BILL NO. 3 - MALL REFURBISHMENT
MECHANICAL ENGINEERING INSTALLATIONS</oddHeader>
        <oddFooter>&amp;L&amp;8DMS 148704 BOQ - Nakheel Mall Al Khail&amp;C3/Q/&amp;P</oddFooter>
      </headerFooter>
    </customSheetView>
    <customSheetView guid="{80D5E0F2-D974-412D-A20C-052459C7A221}" scale="115" showPageBreaks="1" printArea="1" view="pageBreakPreview" topLeftCell="A1808">
      <selection activeCell="G1836" sqref="G1836"/>
      <rowBreaks count="41" manualBreakCount="41">
        <brk id="43" max="5" man="1"/>
        <brk id="88" max="5" man="1"/>
        <brk id="128" max="5" man="1"/>
        <brk id="176" max="5" man="1"/>
        <brk id="223" max="5" man="1"/>
        <brk id="265" max="5" man="1"/>
        <brk id="306" max="5" man="1"/>
        <brk id="354" max="5" man="1"/>
        <brk id="396" max="5" man="1"/>
        <brk id="441" max="5" man="1"/>
        <brk id="483" max="5" man="1"/>
        <brk id="519" max="5" man="1"/>
        <brk id="566" max="5" man="1"/>
        <brk id="609" max="5" man="1"/>
        <brk id="653" max="5" man="1"/>
        <brk id="696" max="5" man="1"/>
        <brk id="736" max="5" man="1"/>
        <brk id="781" max="5" man="1"/>
        <brk id="826" max="5" man="1"/>
        <brk id="876" max="5" man="1"/>
        <brk id="925" max="5" man="1"/>
        <brk id="975" max="5" man="1"/>
        <brk id="1025" max="5" man="1"/>
        <brk id="1075" max="5" man="1"/>
        <brk id="1121" max="5" man="1"/>
        <brk id="1171" max="5" man="1"/>
        <brk id="1219" max="5" man="1"/>
        <brk id="1254" max="5" man="1"/>
        <brk id="1289" max="5" man="1"/>
        <brk id="1324" max="5" man="1"/>
        <brk id="1368" max="5" man="1"/>
        <brk id="1418" max="5" man="1"/>
        <brk id="1461" max="5" man="1"/>
        <brk id="1486" max="5" man="1"/>
        <brk id="1530" max="5" man="1"/>
        <brk id="1564" max="5" man="1"/>
        <brk id="1608" max="5" man="1"/>
        <brk id="1650" max="5" man="1"/>
        <brk id="1697" max="5" man="1"/>
        <brk id="1740" max="5" man="1"/>
        <brk id="1789" max="5" man="1"/>
      </rowBreaks>
      <pageMargins left="0" right="0" top="0" bottom="0" header="0" footer="0"/>
      <printOptions horizontalCentered="1"/>
      <pageSetup paperSize="9" fitToHeight="0" orientation="portrait" useFirstPageNumber="1" r:id="rId4"/>
      <headerFooter>
        <oddHeader>&amp;R&amp;11&amp;U
BILL NO. 3 - MALL REFURBISHMENT
MECHANICAL ENGINEERING INSTALLATIONS</oddHeader>
        <oddFooter>&amp;L&amp;8DMS 148704 BOQ - Nakheel Mall Al Khail&amp;C3/Q/&amp;P</oddFooter>
      </headerFooter>
    </customSheetView>
  </customSheetViews>
  <mergeCells count="5">
    <mergeCell ref="A1:A2"/>
    <mergeCell ref="B1:B2"/>
    <mergeCell ref="C1:C2"/>
    <mergeCell ref="D1:D2"/>
    <mergeCell ref="G1:G2"/>
  </mergeCells>
  <phoneticPr fontId="18" type="noConversion"/>
  <printOptions horizontalCentered="1"/>
  <pageMargins left="0.6692913385826772" right="0.19685039370078741" top="0.82677165354330717" bottom="0.47244094488188981" header="0.19685039370078741" footer="0.23622047244094491"/>
  <pageSetup paperSize="9" scale="89" fitToHeight="0" orientation="portrait" useFirstPageNumber="1" r:id="rId5"/>
  <headerFooter>
    <oddHeader>&amp;R&amp;11&amp;U
BILL NO. 3 - MALL REFURBISHMENT
MECHANICAL ENGINEERING INSTALLATIONS</oddHeader>
    <oddFooter>&amp;L&amp;8DMS 148704 BOQ - Nakheel Mall Al Khail&amp;C3/Q/&amp;P</oddFooter>
  </headerFooter>
  <rowBreaks count="42" manualBreakCount="42">
    <brk id="43" max="6" man="1"/>
    <brk id="88" max="6" man="1"/>
    <brk id="128" max="6" man="1"/>
    <brk id="176" max="6" man="1"/>
    <brk id="223" max="6" man="1"/>
    <brk id="265" max="6" man="1"/>
    <brk id="306" max="6" man="1"/>
    <brk id="352" max="6" man="1"/>
    <brk id="393" max="6" man="1"/>
    <brk id="438" max="6" man="1"/>
    <brk id="480" max="6" man="1"/>
    <brk id="516" max="6" man="1"/>
    <brk id="563" max="6" man="1"/>
    <brk id="608" max="6" man="1"/>
    <brk id="652" max="6" man="1"/>
    <brk id="695" max="6" man="1"/>
    <brk id="735" max="6" man="1"/>
    <brk id="780" max="6" man="1"/>
    <brk id="825" max="6" man="1"/>
    <brk id="875" max="6" man="1"/>
    <brk id="924" max="6" man="1"/>
    <brk id="974" max="6" man="1"/>
    <brk id="1024" max="6" man="1"/>
    <brk id="1074" max="6" man="1"/>
    <brk id="1120" max="6" man="1"/>
    <brk id="1170" max="6" man="1"/>
    <brk id="1218" max="6" man="1"/>
    <brk id="1253" max="6" man="1"/>
    <brk id="1288" max="6" man="1"/>
    <brk id="1323" max="6" man="1"/>
    <brk id="1367" max="6" man="1"/>
    <brk id="1417" max="6" man="1"/>
    <brk id="1458" max="6" man="1"/>
    <brk id="1483" max="6" man="1"/>
    <brk id="1527" max="6" man="1"/>
    <brk id="1561" max="6" man="1"/>
    <brk id="1605" max="6" man="1"/>
    <brk id="1647" max="6" man="1"/>
    <brk id="1694" max="6" man="1"/>
    <brk id="1731" max="6" man="1"/>
    <brk id="1780" max="6" man="1"/>
    <brk id="1829" max="6"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18C83C-50A5-4441-B417-D74E9EA416CD}">
  <sheetPr codeName="Sheet16"/>
  <dimension ref="A1:G3091"/>
  <sheetViews>
    <sheetView view="pageBreakPreview" zoomScaleNormal="100" zoomScaleSheetLayoutView="100" zoomScalePageLayoutView="70" workbookViewId="0">
      <pane ySplit="2" topLeftCell="A3" activePane="bottomLeft" state="frozen"/>
      <selection pane="bottomLeft" sqref="A1:E1048576"/>
      <selection activeCell="F34" sqref="F34"/>
    </sheetView>
  </sheetViews>
  <sheetFormatPr defaultColWidth="9.28515625" defaultRowHeight="13.9"/>
  <cols>
    <col min="1" max="1" width="5.7109375" style="85" customWidth="1"/>
    <col min="2" max="2" width="46" style="86" customWidth="1"/>
    <col min="3" max="3" width="10.7109375" style="87" customWidth="1"/>
    <col min="4" max="4" width="6.7109375" style="88" customWidth="1"/>
    <col min="5" max="5" width="15.42578125" style="162" customWidth="1"/>
    <col min="6" max="6" width="17.7109375" style="142" customWidth="1"/>
    <col min="7" max="7" width="8.5703125" style="229" customWidth="1"/>
    <col min="8" max="16384" width="9.28515625" style="89"/>
  </cols>
  <sheetData>
    <row r="1" spans="1:7" s="30" customFormat="1" ht="14.45">
      <c r="A1" s="332" t="s">
        <v>2</v>
      </c>
      <c r="B1" s="332" t="s">
        <v>3</v>
      </c>
      <c r="C1" s="334" t="s">
        <v>4</v>
      </c>
      <c r="D1" s="336" t="s">
        <v>5</v>
      </c>
      <c r="E1" s="155" t="s">
        <v>6</v>
      </c>
      <c r="F1" s="135" t="s">
        <v>7</v>
      </c>
      <c r="G1" s="344" t="s">
        <v>297</v>
      </c>
    </row>
    <row r="2" spans="1:7" s="30" customFormat="1" ht="14.45">
      <c r="A2" s="333"/>
      <c r="B2" s="333"/>
      <c r="C2" s="335"/>
      <c r="D2" s="337"/>
      <c r="E2" s="156" t="s">
        <v>8</v>
      </c>
      <c r="F2" s="136" t="s">
        <v>8</v>
      </c>
      <c r="G2" s="345"/>
    </row>
    <row r="3" spans="1:7" s="30" customFormat="1" ht="14.45">
      <c r="A3" s="31"/>
      <c r="B3" s="32"/>
      <c r="C3" s="29"/>
      <c r="D3" s="33"/>
      <c r="E3" s="157"/>
      <c r="F3" s="137"/>
      <c r="G3" s="217"/>
    </row>
    <row r="4" spans="1:7" s="91" customFormat="1" ht="14.45">
      <c r="A4" s="321"/>
      <c r="B4" s="90" t="s">
        <v>1934</v>
      </c>
      <c r="C4" s="322"/>
      <c r="D4" s="323"/>
      <c r="E4" s="158"/>
      <c r="F4" s="141"/>
      <c r="G4" s="234"/>
    </row>
    <row r="5" spans="1:7" s="30" customFormat="1" ht="14.45">
      <c r="A5" s="59"/>
      <c r="B5" s="63"/>
      <c r="C5" s="61"/>
      <c r="D5" s="62"/>
      <c r="E5" s="157"/>
      <c r="F5" s="137"/>
      <c r="G5" s="217"/>
    </row>
    <row r="6" spans="1:7" s="30" customFormat="1" ht="14.45">
      <c r="A6" s="59"/>
      <c r="B6" s="64" t="s">
        <v>1935</v>
      </c>
      <c r="C6" s="61"/>
      <c r="D6" s="62"/>
      <c r="E6" s="157"/>
      <c r="F6" s="137"/>
      <c r="G6" s="217"/>
    </row>
    <row r="7" spans="1:7" s="30" customFormat="1" ht="14.45">
      <c r="A7" s="59"/>
      <c r="B7" s="65"/>
      <c r="C7" s="61"/>
      <c r="D7" s="62"/>
      <c r="E7" s="157"/>
      <c r="F7" s="137"/>
      <c r="G7" s="217"/>
    </row>
    <row r="8" spans="1:7" s="30" customFormat="1" ht="14.45">
      <c r="A8" s="66"/>
      <c r="B8" s="67" t="s">
        <v>979</v>
      </c>
      <c r="C8" s="68"/>
      <c r="D8" s="69"/>
      <c r="E8" s="157"/>
      <c r="F8" s="137"/>
      <c r="G8" s="217"/>
    </row>
    <row r="9" spans="1:7" s="30" customFormat="1" ht="14.45">
      <c r="A9" s="59"/>
      <c r="B9" s="65"/>
      <c r="C9" s="61"/>
      <c r="D9" s="62"/>
      <c r="E9" s="157"/>
      <c r="F9" s="137"/>
      <c r="G9" s="217"/>
    </row>
    <row r="10" spans="1:7" s="30" customFormat="1" ht="55.15">
      <c r="A10" s="66"/>
      <c r="B10" s="67" t="s">
        <v>1936</v>
      </c>
      <c r="C10" s="68"/>
      <c r="D10" s="69"/>
      <c r="E10" s="157"/>
      <c r="F10" s="137"/>
      <c r="G10" s="217"/>
    </row>
    <row r="11" spans="1:7" s="30" customFormat="1" ht="14.45">
      <c r="A11" s="59"/>
      <c r="B11" s="65"/>
      <c r="C11" s="61"/>
      <c r="D11" s="62"/>
      <c r="E11" s="157"/>
      <c r="F11" s="137"/>
      <c r="G11" s="217"/>
    </row>
    <row r="12" spans="1:7" s="30" customFormat="1" ht="27.6">
      <c r="A12" s="66"/>
      <c r="B12" s="67" t="s">
        <v>1937</v>
      </c>
      <c r="C12" s="68"/>
      <c r="D12" s="69"/>
      <c r="E12" s="157"/>
      <c r="F12" s="137"/>
      <c r="G12" s="217"/>
    </row>
    <row r="13" spans="1:7" s="30" customFormat="1" ht="14.45">
      <c r="A13" s="59"/>
      <c r="B13" s="65"/>
      <c r="C13" s="61"/>
      <c r="D13" s="62"/>
      <c r="E13" s="157"/>
      <c r="F13" s="137"/>
      <c r="G13" s="217"/>
    </row>
    <row r="14" spans="1:7" s="30" customFormat="1" ht="41.45">
      <c r="A14" s="66"/>
      <c r="B14" s="98" t="s">
        <v>1938</v>
      </c>
      <c r="C14" s="68"/>
      <c r="D14" s="69"/>
      <c r="E14" s="157"/>
      <c r="F14" s="137"/>
      <c r="G14" s="217"/>
    </row>
    <row r="15" spans="1:7" s="30" customFormat="1" ht="14.45">
      <c r="A15" s="59"/>
      <c r="B15" s="100"/>
      <c r="C15" s="61"/>
      <c r="D15" s="62"/>
      <c r="E15" s="157"/>
      <c r="F15" s="137"/>
      <c r="G15" s="217"/>
    </row>
    <row r="16" spans="1:7" s="30" customFormat="1" ht="27.6">
      <c r="A16" s="66"/>
      <c r="B16" s="98" t="s">
        <v>1939</v>
      </c>
      <c r="C16" s="68"/>
      <c r="D16" s="69"/>
      <c r="E16" s="157"/>
      <c r="F16" s="137"/>
      <c r="G16" s="217"/>
    </row>
    <row r="17" spans="1:7" s="30" customFormat="1" ht="14.45">
      <c r="A17" s="59"/>
      <c r="B17" s="100"/>
      <c r="C17" s="61"/>
      <c r="D17" s="62"/>
      <c r="E17" s="157"/>
      <c r="F17" s="137"/>
      <c r="G17" s="217"/>
    </row>
    <row r="18" spans="1:7" s="30" customFormat="1" ht="14.45">
      <c r="A18" s="66" t="s">
        <v>14</v>
      </c>
      <c r="B18" s="67" t="s">
        <v>1940</v>
      </c>
      <c r="C18" s="68"/>
      <c r="D18" s="69" t="s">
        <v>2</v>
      </c>
      <c r="E18" s="157">
        <v>28134.38</v>
      </c>
      <c r="F18" s="137">
        <f>+E18</f>
        <v>28134.38</v>
      </c>
      <c r="G18" s="217"/>
    </row>
    <row r="19" spans="1:7" s="30" customFormat="1" ht="14.45">
      <c r="A19" s="59"/>
      <c r="B19" s="100"/>
      <c r="C19" s="61"/>
      <c r="D19" s="62"/>
      <c r="E19" s="157"/>
      <c r="F19" s="137"/>
      <c r="G19" s="217"/>
    </row>
    <row r="20" spans="1:7" s="30" customFormat="1" ht="14.45">
      <c r="A20" s="66" t="s">
        <v>17</v>
      </c>
      <c r="B20" s="67" t="s">
        <v>1941</v>
      </c>
      <c r="C20" s="68"/>
      <c r="D20" s="69" t="s">
        <v>2</v>
      </c>
      <c r="E20" s="157">
        <v>37582.480000000003</v>
      </c>
      <c r="F20" s="137">
        <f>+E20</f>
        <v>37582.480000000003</v>
      </c>
      <c r="G20" s="217"/>
    </row>
    <row r="21" spans="1:7" s="30" customFormat="1" ht="14.45">
      <c r="A21" s="59"/>
      <c r="B21" s="100"/>
      <c r="C21" s="61"/>
      <c r="D21" s="62"/>
      <c r="E21" s="157"/>
      <c r="F21" s="137"/>
      <c r="G21" s="217"/>
    </row>
    <row r="22" spans="1:7" s="30" customFormat="1" ht="27.6">
      <c r="A22" s="66"/>
      <c r="B22" s="98" t="s">
        <v>1942</v>
      </c>
      <c r="C22" s="68"/>
      <c r="D22" s="69"/>
      <c r="E22" s="157"/>
      <c r="F22" s="137"/>
      <c r="G22" s="217"/>
    </row>
    <row r="23" spans="1:7" s="30" customFormat="1" ht="14.45">
      <c r="A23" s="59"/>
      <c r="B23" s="100"/>
      <c r="C23" s="61"/>
      <c r="D23" s="62"/>
      <c r="E23" s="157"/>
      <c r="F23" s="137"/>
      <c r="G23" s="217"/>
    </row>
    <row r="24" spans="1:7" s="30" customFormat="1" ht="14.45">
      <c r="A24" s="66" t="s">
        <v>20</v>
      </c>
      <c r="B24" s="67" t="s">
        <v>1943</v>
      </c>
      <c r="C24" s="68"/>
      <c r="D24" s="69" t="s">
        <v>2</v>
      </c>
      <c r="E24" s="157">
        <v>93666.26</v>
      </c>
      <c r="F24" s="137">
        <f>+E24</f>
        <v>93666.26</v>
      </c>
      <c r="G24" s="217"/>
    </row>
    <row r="25" spans="1:7" s="30" customFormat="1" ht="14.45">
      <c r="A25" s="59"/>
      <c r="B25" s="100"/>
      <c r="C25" s="61"/>
      <c r="D25" s="62"/>
      <c r="E25" s="157"/>
      <c r="F25" s="137"/>
      <c r="G25" s="217"/>
    </row>
    <row r="26" spans="1:7" s="30" customFormat="1" ht="14.45">
      <c r="A26" s="66" t="s">
        <v>23</v>
      </c>
      <c r="B26" s="67" t="s">
        <v>1944</v>
      </c>
      <c r="C26" s="68"/>
      <c r="D26" s="69" t="s">
        <v>2</v>
      </c>
      <c r="E26" s="157">
        <v>83303.179999999993</v>
      </c>
      <c r="F26" s="137">
        <f>+E26</f>
        <v>83303.179999999993</v>
      </c>
      <c r="G26" s="217"/>
    </row>
    <row r="27" spans="1:7" s="30" customFormat="1" ht="14.45">
      <c r="A27" s="59"/>
      <c r="B27" s="100"/>
      <c r="C27" s="61"/>
      <c r="D27" s="62"/>
      <c r="E27" s="157"/>
      <c r="F27" s="137"/>
      <c r="G27" s="217"/>
    </row>
    <row r="28" spans="1:7" s="30" customFormat="1" ht="14.45">
      <c r="A28" s="66" t="s">
        <v>27</v>
      </c>
      <c r="B28" s="67" t="s">
        <v>1945</v>
      </c>
      <c r="C28" s="68"/>
      <c r="D28" s="69" t="s">
        <v>2</v>
      </c>
      <c r="E28" s="157">
        <v>150264.57999999999</v>
      </c>
      <c r="F28" s="137">
        <f>+E28</f>
        <v>150264.57999999999</v>
      </c>
      <c r="G28" s="217"/>
    </row>
    <row r="29" spans="1:7" s="30" customFormat="1" ht="14.45">
      <c r="A29" s="59"/>
      <c r="B29" s="100"/>
      <c r="C29" s="61"/>
      <c r="D29" s="62"/>
      <c r="E29" s="157"/>
      <c r="F29" s="137"/>
      <c r="G29" s="217"/>
    </row>
    <row r="30" spans="1:7" s="30" customFormat="1" ht="27.6">
      <c r="A30" s="66"/>
      <c r="B30" s="98" t="s">
        <v>1946</v>
      </c>
      <c r="C30" s="68"/>
      <c r="D30" s="69"/>
      <c r="E30" s="157"/>
      <c r="F30" s="137"/>
      <c r="G30" s="217"/>
    </row>
    <row r="31" spans="1:7" s="30" customFormat="1" ht="14.45">
      <c r="A31" s="59"/>
      <c r="B31" s="100"/>
      <c r="C31" s="61"/>
      <c r="D31" s="62"/>
      <c r="E31" s="157"/>
      <c r="F31" s="137"/>
      <c r="G31" s="217"/>
    </row>
    <row r="32" spans="1:7" s="30" customFormat="1" ht="14.45">
      <c r="A32" s="66" t="s">
        <v>44</v>
      </c>
      <c r="B32" s="67" t="s">
        <v>1947</v>
      </c>
      <c r="C32" s="68"/>
      <c r="D32" s="69" t="s">
        <v>2</v>
      </c>
      <c r="E32" s="157">
        <v>98750.52</v>
      </c>
      <c r="F32" s="137">
        <f>+E32</f>
        <v>98750.52</v>
      </c>
      <c r="G32" s="217"/>
    </row>
    <row r="33" spans="1:7" s="30" customFormat="1" ht="14.45">
      <c r="A33" s="59"/>
      <c r="B33" s="100"/>
      <c r="C33" s="61"/>
      <c r="D33" s="62"/>
      <c r="E33" s="157"/>
      <c r="F33" s="137"/>
      <c r="G33" s="217"/>
    </row>
    <row r="34" spans="1:7" s="30" customFormat="1" ht="27.6">
      <c r="A34" s="66"/>
      <c r="B34" s="98" t="s">
        <v>1948</v>
      </c>
      <c r="C34" s="68"/>
      <c r="D34" s="69"/>
      <c r="E34" s="157"/>
      <c r="F34" s="137"/>
      <c r="G34" s="217"/>
    </row>
    <row r="35" spans="1:7" s="30" customFormat="1" ht="14.45">
      <c r="A35" s="59"/>
      <c r="B35" s="100"/>
      <c r="C35" s="61"/>
      <c r="D35" s="62"/>
      <c r="E35" s="157"/>
      <c r="F35" s="137"/>
      <c r="G35" s="217"/>
    </row>
    <row r="36" spans="1:7" s="30" customFormat="1" ht="27.6">
      <c r="A36" s="66" t="s">
        <v>48</v>
      </c>
      <c r="B36" s="67" t="s">
        <v>1949</v>
      </c>
      <c r="C36" s="68"/>
      <c r="D36" s="69" t="s">
        <v>2</v>
      </c>
      <c r="E36" s="157">
        <v>1520.78</v>
      </c>
      <c r="F36" s="137">
        <f>+E36</f>
        <v>1520.78</v>
      </c>
      <c r="G36" s="217"/>
    </row>
    <row r="37" spans="1:7" s="30" customFormat="1" ht="14.45">
      <c r="A37" s="59"/>
      <c r="B37" s="63"/>
      <c r="C37" s="61"/>
      <c r="D37" s="62"/>
      <c r="E37" s="157"/>
      <c r="F37" s="137"/>
      <c r="G37" s="217"/>
    </row>
    <row r="38" spans="1:7" s="30" customFormat="1" ht="14.45">
      <c r="A38" s="59"/>
      <c r="B38" s="63"/>
      <c r="C38" s="61"/>
      <c r="D38" s="62"/>
      <c r="E38" s="157"/>
      <c r="F38" s="137"/>
      <c r="G38" s="217"/>
    </row>
    <row r="39" spans="1:7" s="30" customFormat="1" ht="14.45">
      <c r="A39" s="71"/>
      <c r="B39" s="72"/>
      <c r="C39" s="73"/>
      <c r="D39" s="74"/>
      <c r="E39" s="159"/>
      <c r="F39" s="138"/>
      <c r="G39" s="226"/>
    </row>
    <row r="40" spans="1:7" s="30" customFormat="1" ht="14.45">
      <c r="A40" s="75"/>
      <c r="B40" s="76"/>
      <c r="C40" s="77" t="s">
        <v>30</v>
      </c>
      <c r="D40" s="77"/>
      <c r="E40" s="160" t="s">
        <v>8</v>
      </c>
      <c r="F40" s="139">
        <f>SUM(F14:F38)</f>
        <v>493222.18000000005</v>
      </c>
      <c r="G40" s="227"/>
    </row>
    <row r="41" spans="1:7" s="30" customFormat="1" ht="14.45">
      <c r="A41" s="75"/>
      <c r="B41" s="76"/>
      <c r="C41" s="78"/>
      <c r="D41" s="79"/>
      <c r="E41" s="161"/>
      <c r="F41" s="140"/>
      <c r="G41" s="228"/>
    </row>
    <row r="42" spans="1:7" s="30" customFormat="1" ht="14.45">
      <c r="A42" s="59"/>
      <c r="B42" s="63"/>
      <c r="C42" s="61"/>
      <c r="D42" s="62"/>
      <c r="E42" s="157"/>
      <c r="F42" s="137"/>
      <c r="G42" s="217"/>
    </row>
    <row r="43" spans="1:7" s="30" customFormat="1" ht="14.45">
      <c r="A43" s="59"/>
      <c r="B43" s="64" t="s">
        <v>1950</v>
      </c>
      <c r="C43" s="61"/>
      <c r="D43" s="62"/>
      <c r="E43" s="157"/>
      <c r="F43" s="137"/>
      <c r="G43" s="217"/>
    </row>
    <row r="44" spans="1:7" s="30" customFormat="1" ht="14.45">
      <c r="A44" s="59"/>
      <c r="B44" s="100"/>
      <c r="C44" s="61"/>
      <c r="D44" s="62"/>
      <c r="E44" s="157"/>
      <c r="F44" s="137"/>
      <c r="G44" s="217"/>
    </row>
    <row r="45" spans="1:7" s="30" customFormat="1" ht="27.6">
      <c r="A45" s="66"/>
      <c r="B45" s="98" t="s">
        <v>1951</v>
      </c>
      <c r="C45" s="68"/>
      <c r="D45" s="69"/>
      <c r="E45" s="157"/>
      <c r="F45" s="137"/>
      <c r="G45" s="217"/>
    </row>
    <row r="46" spans="1:7" s="30" customFormat="1" ht="14.45">
      <c r="A46" s="59"/>
      <c r="B46" s="100"/>
      <c r="C46" s="61"/>
      <c r="D46" s="62"/>
      <c r="E46" s="157"/>
      <c r="F46" s="137"/>
      <c r="G46" s="217"/>
    </row>
    <row r="47" spans="1:7" s="91" customFormat="1" ht="14.45">
      <c r="A47" s="80" t="s">
        <v>14</v>
      </c>
      <c r="B47" s="81" t="s">
        <v>1952</v>
      </c>
      <c r="C47" s="82"/>
      <c r="D47" s="83" t="s">
        <v>2</v>
      </c>
      <c r="E47" s="158">
        <v>1162.23</v>
      </c>
      <c r="F47" s="137">
        <f>+E47</f>
        <v>1162.23</v>
      </c>
      <c r="G47" s="217"/>
    </row>
    <row r="48" spans="1:7" s="30" customFormat="1" ht="13.5" customHeight="1">
      <c r="A48" s="59"/>
      <c r="B48" s="100"/>
      <c r="C48" s="61"/>
      <c r="D48" s="62"/>
      <c r="E48" s="157"/>
      <c r="F48" s="137"/>
      <c r="G48" s="217"/>
    </row>
    <row r="49" spans="1:7" s="30" customFormat="1" ht="27.6">
      <c r="A49" s="66"/>
      <c r="B49" s="98" t="s">
        <v>1953</v>
      </c>
      <c r="C49" s="68"/>
      <c r="D49" s="69"/>
      <c r="E49" s="157"/>
      <c r="F49" s="137"/>
      <c r="G49" s="217"/>
    </row>
    <row r="50" spans="1:7" s="30" customFormat="1" ht="13.5" customHeight="1">
      <c r="A50" s="59"/>
      <c r="B50" s="100"/>
      <c r="C50" s="61"/>
      <c r="D50" s="62"/>
      <c r="E50" s="157"/>
      <c r="F50" s="137"/>
      <c r="G50" s="217"/>
    </row>
    <row r="51" spans="1:7" s="30" customFormat="1" ht="14.45">
      <c r="A51" s="66" t="s">
        <v>17</v>
      </c>
      <c r="B51" s="67" t="s">
        <v>1954</v>
      </c>
      <c r="C51" s="68"/>
      <c r="D51" s="69" t="s">
        <v>2</v>
      </c>
      <c r="E51" s="157">
        <v>5914.85</v>
      </c>
      <c r="F51" s="137">
        <f>+E51</f>
        <v>5914.85</v>
      </c>
      <c r="G51" s="217"/>
    </row>
    <row r="52" spans="1:7" s="30" customFormat="1" ht="13.5" customHeight="1">
      <c r="A52" s="59"/>
      <c r="B52" s="100"/>
      <c r="C52" s="61"/>
      <c r="D52" s="62"/>
      <c r="E52" s="157"/>
      <c r="F52" s="137"/>
      <c r="G52" s="217"/>
    </row>
    <row r="53" spans="1:7" s="30" customFormat="1" ht="14.45">
      <c r="A53" s="66" t="s">
        <v>20</v>
      </c>
      <c r="B53" s="67" t="s">
        <v>1955</v>
      </c>
      <c r="C53" s="68"/>
      <c r="D53" s="69" t="s">
        <v>2</v>
      </c>
      <c r="E53" s="157">
        <v>4768.5600000000004</v>
      </c>
      <c r="F53" s="137">
        <f>+E53</f>
        <v>4768.5600000000004</v>
      </c>
      <c r="G53" s="217"/>
    </row>
    <row r="54" spans="1:7" s="30" customFormat="1" ht="13.5" customHeight="1">
      <c r="A54" s="59"/>
      <c r="B54" s="100"/>
      <c r="C54" s="61"/>
      <c r="D54" s="62"/>
      <c r="E54" s="157"/>
      <c r="F54" s="137"/>
      <c r="G54" s="217"/>
    </row>
    <row r="55" spans="1:7" s="30" customFormat="1" ht="14.45">
      <c r="A55" s="66" t="s">
        <v>23</v>
      </c>
      <c r="B55" s="67" t="s">
        <v>1956</v>
      </c>
      <c r="C55" s="68"/>
      <c r="D55" s="69" t="s">
        <v>2</v>
      </c>
      <c r="E55" s="157">
        <v>7519.66</v>
      </c>
      <c r="F55" s="137">
        <f>+E55</f>
        <v>7519.66</v>
      </c>
      <c r="G55" s="217"/>
    </row>
    <row r="56" spans="1:7" s="30" customFormat="1" ht="13.5" customHeight="1">
      <c r="A56" s="59"/>
      <c r="B56" s="100"/>
      <c r="C56" s="61"/>
      <c r="D56" s="62"/>
      <c r="E56" s="157"/>
      <c r="F56" s="137"/>
      <c r="G56" s="217"/>
    </row>
    <row r="57" spans="1:7" s="30" customFormat="1" ht="14.45">
      <c r="A57" s="66" t="s">
        <v>27</v>
      </c>
      <c r="B57" s="67" t="s">
        <v>1957</v>
      </c>
      <c r="C57" s="68"/>
      <c r="D57" s="69" t="s">
        <v>2</v>
      </c>
      <c r="E57" s="157">
        <v>8665.9500000000007</v>
      </c>
      <c r="F57" s="137">
        <f>+E57</f>
        <v>8665.9500000000007</v>
      </c>
      <c r="G57" s="217"/>
    </row>
    <row r="58" spans="1:7" s="30" customFormat="1" ht="13.5" customHeight="1">
      <c r="A58" s="59"/>
      <c r="B58" s="100"/>
      <c r="C58" s="61"/>
      <c r="D58" s="62"/>
      <c r="E58" s="157"/>
      <c r="F58" s="137"/>
      <c r="G58" s="217"/>
    </row>
    <row r="59" spans="1:7" s="30" customFormat="1" ht="14.45">
      <c r="A59" s="66" t="s">
        <v>44</v>
      </c>
      <c r="B59" s="67" t="s">
        <v>1958</v>
      </c>
      <c r="C59" s="68"/>
      <c r="D59" s="69" t="s">
        <v>2</v>
      </c>
      <c r="E59" s="157">
        <v>6189.96</v>
      </c>
      <c r="F59" s="137">
        <f>+E59</f>
        <v>6189.96</v>
      </c>
      <c r="G59" s="217"/>
    </row>
    <row r="60" spans="1:7" s="30" customFormat="1" ht="13.5" customHeight="1">
      <c r="A60" s="59"/>
      <c r="B60" s="100"/>
      <c r="C60" s="61"/>
      <c r="D60" s="62"/>
      <c r="E60" s="157"/>
      <c r="F60" s="137"/>
      <c r="G60" s="217"/>
    </row>
    <row r="61" spans="1:7" s="30" customFormat="1" ht="14.45">
      <c r="A61" s="66" t="s">
        <v>48</v>
      </c>
      <c r="B61" s="67" t="s">
        <v>1959</v>
      </c>
      <c r="C61" s="68"/>
      <c r="D61" s="69" t="s">
        <v>2</v>
      </c>
      <c r="E61" s="157">
        <v>5823.15</v>
      </c>
      <c r="F61" s="137">
        <f>+E61</f>
        <v>5823.15</v>
      </c>
      <c r="G61" s="217"/>
    </row>
    <row r="62" spans="1:7" s="30" customFormat="1" ht="13.5" customHeight="1">
      <c r="A62" s="59"/>
      <c r="B62" s="100"/>
      <c r="C62" s="61"/>
      <c r="D62" s="62"/>
      <c r="E62" s="157"/>
      <c r="F62" s="137"/>
      <c r="G62" s="217"/>
    </row>
    <row r="63" spans="1:7" s="30" customFormat="1" ht="14.45">
      <c r="A63" s="66" t="s">
        <v>84</v>
      </c>
      <c r="B63" s="67" t="s">
        <v>1960</v>
      </c>
      <c r="C63" s="68"/>
      <c r="D63" s="69" t="s">
        <v>2</v>
      </c>
      <c r="E63" s="157">
        <v>5639.75</v>
      </c>
      <c r="F63" s="137">
        <f>+E63</f>
        <v>5639.75</v>
      </c>
      <c r="G63" s="217"/>
    </row>
    <row r="64" spans="1:7" s="30" customFormat="1" ht="13.5" customHeight="1">
      <c r="A64" s="59"/>
      <c r="B64" s="100"/>
      <c r="C64" s="61"/>
      <c r="D64" s="62"/>
      <c r="E64" s="157"/>
      <c r="F64" s="137"/>
      <c r="G64" s="217"/>
    </row>
    <row r="65" spans="1:7" s="30" customFormat="1" ht="14.45">
      <c r="A65" s="66" t="s">
        <v>86</v>
      </c>
      <c r="B65" s="67" t="s">
        <v>1961</v>
      </c>
      <c r="C65" s="68"/>
      <c r="D65" s="69" t="s">
        <v>2</v>
      </c>
      <c r="E65" s="157">
        <v>12517.48</v>
      </c>
      <c r="F65" s="137">
        <f>+E65</f>
        <v>12517.48</v>
      </c>
      <c r="G65" s="217"/>
    </row>
    <row r="66" spans="1:7" s="30" customFormat="1" ht="13.5" customHeight="1">
      <c r="A66" s="59"/>
      <c r="B66" s="100"/>
      <c r="C66" s="61"/>
      <c r="D66" s="62"/>
      <c r="E66" s="157"/>
      <c r="F66" s="137"/>
      <c r="G66" s="217"/>
    </row>
    <row r="67" spans="1:7" s="30" customFormat="1" ht="14.45">
      <c r="A67" s="66" t="s">
        <v>90</v>
      </c>
      <c r="B67" s="67" t="s">
        <v>1962</v>
      </c>
      <c r="C67" s="68"/>
      <c r="D67" s="69" t="s">
        <v>2</v>
      </c>
      <c r="E67" s="157">
        <v>13984.73</v>
      </c>
      <c r="F67" s="137">
        <f>+E67</f>
        <v>13984.73</v>
      </c>
      <c r="G67" s="217"/>
    </row>
    <row r="68" spans="1:7" s="30" customFormat="1" ht="13.5" customHeight="1">
      <c r="A68" s="59"/>
      <c r="B68" s="100"/>
      <c r="C68" s="61"/>
      <c r="D68" s="62"/>
      <c r="E68" s="157"/>
      <c r="F68" s="137"/>
      <c r="G68" s="217"/>
    </row>
    <row r="69" spans="1:7" s="30" customFormat="1" ht="14.45">
      <c r="A69" s="66" t="s">
        <v>92</v>
      </c>
      <c r="B69" s="67" t="s">
        <v>1963</v>
      </c>
      <c r="C69" s="68"/>
      <c r="D69" s="69" t="s">
        <v>2</v>
      </c>
      <c r="E69" s="157">
        <v>11829.71</v>
      </c>
      <c r="F69" s="137">
        <f>+E69</f>
        <v>11829.71</v>
      </c>
      <c r="G69" s="217"/>
    </row>
    <row r="70" spans="1:7" s="30" customFormat="1" ht="13.5" customHeight="1">
      <c r="A70" s="59"/>
      <c r="B70" s="100"/>
      <c r="C70" s="61"/>
      <c r="D70" s="62"/>
      <c r="E70" s="157"/>
      <c r="F70" s="137"/>
      <c r="G70" s="217"/>
    </row>
    <row r="71" spans="1:7" s="30" customFormat="1" ht="14.45">
      <c r="A71" s="66" t="s">
        <v>94</v>
      </c>
      <c r="B71" s="67" t="s">
        <v>1964</v>
      </c>
      <c r="C71" s="68"/>
      <c r="D71" s="69" t="s">
        <v>2</v>
      </c>
      <c r="E71" s="157">
        <v>10087.35</v>
      </c>
      <c r="F71" s="137">
        <f>+E71</f>
        <v>10087.35</v>
      </c>
      <c r="G71" s="217"/>
    </row>
    <row r="72" spans="1:7" s="30" customFormat="1" ht="13.5" customHeight="1">
      <c r="A72" s="59"/>
      <c r="B72" s="100"/>
      <c r="C72" s="61"/>
      <c r="D72" s="62"/>
      <c r="E72" s="157"/>
      <c r="F72" s="137"/>
      <c r="G72" s="217"/>
    </row>
    <row r="73" spans="1:7" s="30" customFormat="1" ht="14.45">
      <c r="A73" s="66" t="s">
        <v>140</v>
      </c>
      <c r="B73" s="67" t="s">
        <v>1965</v>
      </c>
      <c r="C73" s="68"/>
      <c r="D73" s="69" t="s">
        <v>2</v>
      </c>
      <c r="E73" s="157">
        <v>12334.08</v>
      </c>
      <c r="F73" s="137">
        <f>+E73</f>
        <v>12334.08</v>
      </c>
      <c r="G73" s="217"/>
    </row>
    <row r="74" spans="1:7" s="30" customFormat="1" ht="13.5" customHeight="1">
      <c r="A74" s="59"/>
      <c r="B74" s="100"/>
      <c r="C74" s="61"/>
      <c r="D74" s="62"/>
      <c r="E74" s="157"/>
      <c r="F74" s="137"/>
      <c r="G74" s="217"/>
    </row>
    <row r="75" spans="1:7" s="30" customFormat="1" ht="14.45">
      <c r="A75" s="66" t="s">
        <v>159</v>
      </c>
      <c r="B75" s="67" t="s">
        <v>1966</v>
      </c>
      <c r="C75" s="68"/>
      <c r="D75" s="69" t="s">
        <v>2</v>
      </c>
      <c r="E75" s="157">
        <v>3484.72</v>
      </c>
      <c r="F75" s="137">
        <f>+E75</f>
        <v>3484.72</v>
      </c>
      <c r="G75" s="217"/>
    </row>
    <row r="76" spans="1:7" s="30" customFormat="1" ht="13.5" customHeight="1">
      <c r="A76" s="59"/>
      <c r="B76" s="100"/>
      <c r="C76" s="61"/>
      <c r="D76" s="62"/>
      <c r="E76" s="157"/>
      <c r="F76" s="137"/>
      <c r="G76" s="217"/>
    </row>
    <row r="77" spans="1:7" s="30" customFormat="1" ht="14.45">
      <c r="A77" s="66" t="s">
        <v>162</v>
      </c>
      <c r="B77" s="67" t="s">
        <v>1967</v>
      </c>
      <c r="C77" s="68"/>
      <c r="D77" s="69" t="s">
        <v>2</v>
      </c>
      <c r="E77" s="157">
        <v>3897.38</v>
      </c>
      <c r="F77" s="137">
        <f>+E77</f>
        <v>3897.38</v>
      </c>
      <c r="G77" s="217"/>
    </row>
    <row r="78" spans="1:7" s="30" customFormat="1" ht="13.5" customHeight="1">
      <c r="A78" s="59"/>
      <c r="B78" s="100"/>
      <c r="C78" s="61"/>
      <c r="D78" s="62"/>
      <c r="E78" s="157"/>
      <c r="F78" s="137"/>
      <c r="G78" s="217"/>
    </row>
    <row r="79" spans="1:7" s="30" customFormat="1" ht="14.45">
      <c r="A79" s="66" t="s">
        <v>164</v>
      </c>
      <c r="B79" s="67" t="s">
        <v>1968</v>
      </c>
      <c r="C79" s="68"/>
      <c r="D79" s="69" t="s">
        <v>2</v>
      </c>
      <c r="E79" s="157">
        <v>4310.05</v>
      </c>
      <c r="F79" s="137">
        <f>+E79</f>
        <v>4310.05</v>
      </c>
      <c r="G79" s="217"/>
    </row>
    <row r="80" spans="1:7" s="30" customFormat="1" ht="13.5" customHeight="1">
      <c r="A80" s="59"/>
      <c r="B80" s="100"/>
      <c r="C80" s="61"/>
      <c r="D80" s="62"/>
      <c r="E80" s="157"/>
      <c r="F80" s="137"/>
      <c r="G80" s="217"/>
    </row>
    <row r="81" spans="1:7" s="30" customFormat="1" ht="14.45">
      <c r="A81" s="66" t="s">
        <v>166</v>
      </c>
      <c r="B81" s="67" t="s">
        <v>1969</v>
      </c>
      <c r="C81" s="68"/>
      <c r="D81" s="69" t="s">
        <v>2</v>
      </c>
      <c r="E81" s="157">
        <v>5227.08</v>
      </c>
      <c r="F81" s="137">
        <f>+E81</f>
        <v>5227.08</v>
      </c>
      <c r="G81" s="217"/>
    </row>
    <row r="82" spans="1:7" s="30" customFormat="1" ht="13.5" customHeight="1">
      <c r="A82" s="59"/>
      <c r="B82" s="100"/>
      <c r="C82" s="61"/>
      <c r="D82" s="62"/>
      <c r="E82" s="157"/>
      <c r="F82" s="137"/>
      <c r="G82" s="217"/>
    </row>
    <row r="83" spans="1:7" s="30" customFormat="1" ht="14.45">
      <c r="A83" s="66" t="s">
        <v>168</v>
      </c>
      <c r="B83" s="67" t="s">
        <v>1970</v>
      </c>
      <c r="C83" s="68"/>
      <c r="D83" s="69" t="s">
        <v>2</v>
      </c>
      <c r="E83" s="157">
        <v>5777.3</v>
      </c>
      <c r="F83" s="137">
        <f>+E83</f>
        <v>5777.3</v>
      </c>
      <c r="G83" s="217"/>
    </row>
    <row r="84" spans="1:7" s="30" customFormat="1" ht="13.5" customHeight="1">
      <c r="A84" s="59"/>
      <c r="B84" s="100"/>
      <c r="C84" s="61"/>
      <c r="D84" s="62"/>
      <c r="E84" s="157"/>
      <c r="F84" s="137"/>
      <c r="G84" s="217"/>
    </row>
    <row r="85" spans="1:7" s="30" customFormat="1" ht="14.45">
      <c r="A85" s="66" t="s">
        <v>170</v>
      </c>
      <c r="B85" s="67" t="s">
        <v>1971</v>
      </c>
      <c r="C85" s="68"/>
      <c r="D85" s="69" t="s">
        <v>2</v>
      </c>
      <c r="E85" s="157">
        <v>5364.63</v>
      </c>
      <c r="F85" s="137">
        <f>+E85</f>
        <v>5364.63</v>
      </c>
      <c r="G85" s="217"/>
    </row>
    <row r="86" spans="1:7" s="30" customFormat="1" ht="14.45">
      <c r="A86" s="59"/>
      <c r="B86" s="63"/>
      <c r="C86" s="61"/>
      <c r="D86" s="62"/>
      <c r="E86" s="157"/>
      <c r="F86" s="137"/>
      <c r="G86" s="217"/>
    </row>
    <row r="87" spans="1:7" s="30" customFormat="1" ht="14.45">
      <c r="A87" s="71"/>
      <c r="B87" s="72"/>
      <c r="C87" s="73"/>
      <c r="D87" s="74"/>
      <c r="E87" s="159"/>
      <c r="F87" s="138"/>
      <c r="G87" s="226"/>
    </row>
    <row r="88" spans="1:7" s="30" customFormat="1" ht="14.45">
      <c r="A88" s="75"/>
      <c r="B88" s="76"/>
      <c r="C88" s="77" t="s">
        <v>30</v>
      </c>
      <c r="D88" s="77"/>
      <c r="E88" s="160" t="s">
        <v>8</v>
      </c>
      <c r="F88" s="139">
        <f>SUM(F45:F86)</f>
        <v>134498.62000000002</v>
      </c>
      <c r="G88" s="227"/>
    </row>
    <row r="89" spans="1:7" s="30" customFormat="1" ht="14.45">
      <c r="A89" s="75"/>
      <c r="B89" s="76"/>
      <c r="C89" s="78"/>
      <c r="D89" s="79"/>
      <c r="E89" s="161"/>
      <c r="F89" s="140"/>
      <c r="G89" s="228"/>
    </row>
    <row r="90" spans="1:7" s="30" customFormat="1" ht="14.45">
      <c r="A90" s="59"/>
      <c r="B90" s="63"/>
      <c r="C90" s="61"/>
      <c r="D90" s="62"/>
      <c r="E90" s="157"/>
      <c r="F90" s="137"/>
      <c r="G90" s="217"/>
    </row>
    <row r="91" spans="1:7" s="30" customFormat="1" ht="14.45">
      <c r="A91" s="59"/>
      <c r="B91" s="64" t="s">
        <v>1950</v>
      </c>
      <c r="C91" s="61"/>
      <c r="D91" s="62"/>
      <c r="E91" s="157"/>
      <c r="F91" s="137"/>
      <c r="G91" s="217"/>
    </row>
    <row r="92" spans="1:7" s="30" customFormat="1" ht="14.45">
      <c r="A92" s="59"/>
      <c r="B92" s="100"/>
      <c r="C92" s="61"/>
      <c r="D92" s="62"/>
      <c r="E92" s="157"/>
      <c r="F92" s="137"/>
      <c r="G92" s="217"/>
    </row>
    <row r="93" spans="1:7" s="30" customFormat="1" ht="14.45">
      <c r="A93" s="66" t="s">
        <v>14</v>
      </c>
      <c r="B93" s="67" t="s">
        <v>1972</v>
      </c>
      <c r="C93" s="68"/>
      <c r="D93" s="69" t="s">
        <v>2</v>
      </c>
      <c r="E93" s="157">
        <v>5960.71</v>
      </c>
      <c r="F93" s="137">
        <f t="shared" ref="F93:F115" si="0">+E93</f>
        <v>5960.71</v>
      </c>
      <c r="G93" s="217"/>
    </row>
    <row r="94" spans="1:7" s="30" customFormat="1" ht="14.45">
      <c r="A94" s="59"/>
      <c r="B94" s="100"/>
      <c r="C94" s="61"/>
      <c r="D94" s="62"/>
      <c r="E94" s="157"/>
      <c r="F94" s="137">
        <f t="shared" si="0"/>
        <v>0</v>
      </c>
      <c r="G94" s="217"/>
    </row>
    <row r="95" spans="1:7" s="30" customFormat="1" ht="14.45">
      <c r="A95" s="66" t="s">
        <v>17</v>
      </c>
      <c r="B95" s="67" t="s">
        <v>1973</v>
      </c>
      <c r="C95" s="68"/>
      <c r="D95" s="69" t="s">
        <v>2</v>
      </c>
      <c r="E95" s="157">
        <v>5364.63</v>
      </c>
      <c r="F95" s="137">
        <f t="shared" si="0"/>
        <v>5364.63</v>
      </c>
      <c r="G95" s="217"/>
    </row>
    <row r="96" spans="1:7" s="30" customFormat="1" ht="14.45">
      <c r="A96" s="59"/>
      <c r="B96" s="100"/>
      <c r="C96" s="61"/>
      <c r="D96" s="62"/>
      <c r="E96" s="157"/>
      <c r="F96" s="137">
        <f t="shared" si="0"/>
        <v>0</v>
      </c>
      <c r="G96" s="217"/>
    </row>
    <row r="97" spans="1:7" s="30" customFormat="1" ht="14.45">
      <c r="A97" s="66" t="s">
        <v>20</v>
      </c>
      <c r="B97" s="67" t="s">
        <v>1974</v>
      </c>
      <c r="C97" s="68"/>
      <c r="D97" s="69" t="s">
        <v>2</v>
      </c>
      <c r="E97" s="157">
        <v>6877.73</v>
      </c>
      <c r="F97" s="137">
        <f t="shared" si="0"/>
        <v>6877.73</v>
      </c>
      <c r="G97" s="217"/>
    </row>
    <row r="98" spans="1:7" s="30" customFormat="1" ht="14.45">
      <c r="A98" s="59"/>
      <c r="B98" s="100"/>
      <c r="C98" s="61"/>
      <c r="D98" s="62"/>
      <c r="E98" s="157"/>
      <c r="F98" s="137">
        <f t="shared" si="0"/>
        <v>0</v>
      </c>
      <c r="G98" s="217"/>
    </row>
    <row r="99" spans="1:7" s="30" customFormat="1" ht="14.45">
      <c r="A99" s="66" t="s">
        <v>23</v>
      </c>
      <c r="B99" s="67" t="s">
        <v>1975</v>
      </c>
      <c r="C99" s="68"/>
      <c r="D99" s="69" t="s">
        <v>2</v>
      </c>
      <c r="E99" s="157">
        <v>3713.98</v>
      </c>
      <c r="F99" s="137">
        <f t="shared" si="0"/>
        <v>3713.98</v>
      </c>
      <c r="G99" s="217"/>
    </row>
    <row r="100" spans="1:7" s="30" customFormat="1" ht="14.45">
      <c r="A100" s="59"/>
      <c r="B100" s="100"/>
      <c r="C100" s="61"/>
      <c r="D100" s="62"/>
      <c r="E100" s="157"/>
      <c r="F100" s="137">
        <f t="shared" si="0"/>
        <v>0</v>
      </c>
      <c r="G100" s="217"/>
    </row>
    <row r="101" spans="1:7" s="30" customFormat="1" ht="14.45">
      <c r="A101" s="66" t="s">
        <v>27</v>
      </c>
      <c r="B101" s="67" t="s">
        <v>1976</v>
      </c>
      <c r="C101" s="68"/>
      <c r="D101" s="69" t="s">
        <v>2</v>
      </c>
      <c r="E101" s="157">
        <v>4172.5</v>
      </c>
      <c r="F101" s="137">
        <f t="shared" si="0"/>
        <v>4172.5</v>
      </c>
      <c r="G101" s="217"/>
    </row>
    <row r="102" spans="1:7" s="30" customFormat="1" ht="14.45">
      <c r="A102" s="59"/>
      <c r="B102" s="100"/>
      <c r="C102" s="61"/>
      <c r="D102" s="62"/>
      <c r="E102" s="157"/>
      <c r="F102" s="137">
        <f t="shared" si="0"/>
        <v>0</v>
      </c>
      <c r="G102" s="217"/>
    </row>
    <row r="103" spans="1:7" s="30" customFormat="1" ht="14.45">
      <c r="A103" s="66" t="s">
        <v>44</v>
      </c>
      <c r="B103" s="67" t="s">
        <v>1977</v>
      </c>
      <c r="C103" s="68"/>
      <c r="D103" s="69" t="s">
        <v>2</v>
      </c>
      <c r="E103" s="157">
        <v>8757.65</v>
      </c>
      <c r="F103" s="137">
        <f t="shared" si="0"/>
        <v>8757.65</v>
      </c>
      <c r="G103" s="217"/>
    </row>
    <row r="104" spans="1:7" s="30" customFormat="1" ht="14.45">
      <c r="A104" s="59"/>
      <c r="B104" s="100"/>
      <c r="C104" s="61"/>
      <c r="D104" s="62"/>
      <c r="E104" s="157"/>
      <c r="F104" s="137">
        <f t="shared" si="0"/>
        <v>0</v>
      </c>
      <c r="G104" s="217"/>
    </row>
    <row r="105" spans="1:7" s="30" customFormat="1" ht="14.45">
      <c r="A105" s="66" t="s">
        <v>48</v>
      </c>
      <c r="B105" s="67" t="s">
        <v>1978</v>
      </c>
      <c r="C105" s="68"/>
      <c r="D105" s="69" t="s">
        <v>2</v>
      </c>
      <c r="E105" s="157">
        <v>4676.8599999999997</v>
      </c>
      <c r="F105" s="137">
        <f t="shared" si="0"/>
        <v>4676.8599999999997</v>
      </c>
      <c r="G105" s="217"/>
    </row>
    <row r="106" spans="1:7" s="30" customFormat="1" ht="14.45">
      <c r="A106" s="59"/>
      <c r="B106" s="100"/>
      <c r="C106" s="61"/>
      <c r="D106" s="62"/>
      <c r="E106" s="157"/>
      <c r="F106" s="137">
        <f t="shared" si="0"/>
        <v>0</v>
      </c>
      <c r="G106" s="217"/>
    </row>
    <row r="107" spans="1:7" s="30" customFormat="1" ht="14.45">
      <c r="A107" s="66" t="s">
        <v>84</v>
      </c>
      <c r="B107" s="67" t="s">
        <v>1979</v>
      </c>
      <c r="C107" s="68"/>
      <c r="D107" s="69" t="s">
        <v>2</v>
      </c>
      <c r="E107" s="157">
        <v>3301.31</v>
      </c>
      <c r="F107" s="137">
        <f t="shared" si="0"/>
        <v>3301.31</v>
      </c>
      <c r="G107" s="217"/>
    </row>
    <row r="108" spans="1:7" s="30" customFormat="1" ht="14.45">
      <c r="A108" s="59"/>
      <c r="B108" s="100"/>
      <c r="C108" s="61"/>
      <c r="D108" s="62"/>
      <c r="E108" s="157"/>
      <c r="F108" s="137">
        <f t="shared" si="0"/>
        <v>0</v>
      </c>
      <c r="G108" s="217"/>
    </row>
    <row r="109" spans="1:7" s="30" customFormat="1" ht="14.45">
      <c r="A109" s="66" t="s">
        <v>86</v>
      </c>
      <c r="B109" s="67" t="s">
        <v>1980</v>
      </c>
      <c r="C109" s="68"/>
      <c r="D109" s="69" t="s">
        <v>2</v>
      </c>
      <c r="E109" s="157">
        <v>4126.6400000000003</v>
      </c>
      <c r="F109" s="137">
        <f t="shared" si="0"/>
        <v>4126.6400000000003</v>
      </c>
      <c r="G109" s="217"/>
    </row>
    <row r="110" spans="1:7" s="30" customFormat="1" ht="14.45">
      <c r="A110" s="59"/>
      <c r="B110" s="100"/>
      <c r="C110" s="61"/>
      <c r="D110" s="62"/>
      <c r="E110" s="157"/>
      <c r="F110" s="137">
        <f t="shared" si="0"/>
        <v>0</v>
      </c>
      <c r="G110" s="217"/>
    </row>
    <row r="111" spans="1:7" s="30" customFormat="1" ht="14.45">
      <c r="A111" s="66" t="s">
        <v>90</v>
      </c>
      <c r="B111" s="67" t="s">
        <v>1981</v>
      </c>
      <c r="C111" s="68"/>
      <c r="D111" s="69" t="s">
        <v>2</v>
      </c>
      <c r="E111" s="157">
        <v>3989.09</v>
      </c>
      <c r="F111" s="137">
        <f t="shared" si="0"/>
        <v>3989.09</v>
      </c>
      <c r="G111" s="217"/>
    </row>
    <row r="112" spans="1:7" s="30" customFormat="1" ht="14.45">
      <c r="A112" s="59"/>
      <c r="B112" s="100"/>
      <c r="C112" s="61"/>
      <c r="D112" s="62"/>
      <c r="E112" s="157"/>
      <c r="F112" s="137">
        <f t="shared" si="0"/>
        <v>0</v>
      </c>
      <c r="G112" s="217"/>
    </row>
    <row r="113" spans="1:7" s="30" customFormat="1" ht="14.45">
      <c r="A113" s="66" t="s">
        <v>92</v>
      </c>
      <c r="B113" s="67" t="s">
        <v>1982</v>
      </c>
      <c r="C113" s="68"/>
      <c r="D113" s="69" t="s">
        <v>2</v>
      </c>
      <c r="E113" s="157">
        <v>2613.54</v>
      </c>
      <c r="F113" s="137">
        <f t="shared" si="0"/>
        <v>2613.54</v>
      </c>
      <c r="G113" s="217"/>
    </row>
    <row r="114" spans="1:7" s="30" customFormat="1" ht="14.45">
      <c r="A114" s="59"/>
      <c r="B114" s="100"/>
      <c r="C114" s="61"/>
      <c r="D114" s="62"/>
      <c r="E114" s="157"/>
      <c r="F114" s="137">
        <f t="shared" si="0"/>
        <v>0</v>
      </c>
      <c r="G114" s="217"/>
    </row>
    <row r="115" spans="1:7" s="30" customFormat="1" ht="14.45">
      <c r="A115" s="66" t="s">
        <v>94</v>
      </c>
      <c r="B115" s="67" t="s">
        <v>1983</v>
      </c>
      <c r="C115" s="68"/>
      <c r="D115" s="69" t="s">
        <v>2</v>
      </c>
      <c r="E115" s="157">
        <v>3209.61</v>
      </c>
      <c r="F115" s="137">
        <f t="shared" si="0"/>
        <v>3209.61</v>
      </c>
      <c r="G115" s="217"/>
    </row>
    <row r="116" spans="1:7" s="30" customFormat="1" ht="14.45">
      <c r="A116" s="59"/>
      <c r="B116" s="100"/>
      <c r="C116" s="61"/>
      <c r="D116" s="62"/>
      <c r="E116" s="157"/>
      <c r="F116" s="137"/>
      <c r="G116" s="217"/>
    </row>
    <row r="117" spans="1:7" s="30" customFormat="1" ht="27.6">
      <c r="A117" s="66"/>
      <c r="B117" s="98" t="s">
        <v>1984</v>
      </c>
      <c r="C117" s="68"/>
      <c r="D117" s="69"/>
      <c r="E117" s="157"/>
      <c r="F117" s="137"/>
      <c r="G117" s="217"/>
    </row>
    <row r="118" spans="1:7" s="30" customFormat="1" ht="14.45">
      <c r="A118" s="59"/>
      <c r="B118" s="100"/>
      <c r="C118" s="61"/>
      <c r="D118" s="62"/>
      <c r="E118" s="157"/>
      <c r="F118" s="137"/>
      <c r="G118" s="217"/>
    </row>
    <row r="119" spans="1:7" s="30" customFormat="1" ht="14.45">
      <c r="A119" s="66" t="s">
        <v>140</v>
      </c>
      <c r="B119" s="67" t="s">
        <v>1985</v>
      </c>
      <c r="C119" s="68"/>
      <c r="D119" s="69" t="s">
        <v>2</v>
      </c>
      <c r="E119" s="157">
        <v>8436.94</v>
      </c>
      <c r="F119" s="137">
        <f t="shared" ref="F119:F133" si="1">+E119</f>
        <v>8436.94</v>
      </c>
      <c r="G119" s="217"/>
    </row>
    <row r="120" spans="1:7" s="30" customFormat="1" ht="14.45">
      <c r="A120" s="59"/>
      <c r="B120" s="100"/>
      <c r="C120" s="61"/>
      <c r="D120" s="62"/>
      <c r="E120" s="157"/>
      <c r="F120" s="137">
        <f t="shared" si="1"/>
        <v>0</v>
      </c>
      <c r="G120" s="217"/>
    </row>
    <row r="121" spans="1:7" s="30" customFormat="1" ht="14.45">
      <c r="A121" s="66" t="s">
        <v>159</v>
      </c>
      <c r="B121" s="67" t="s">
        <v>1986</v>
      </c>
      <c r="C121" s="68"/>
      <c r="D121" s="69" t="s">
        <v>2</v>
      </c>
      <c r="E121" s="157">
        <v>473.5</v>
      </c>
      <c r="F121" s="137">
        <f t="shared" si="1"/>
        <v>473.5</v>
      </c>
      <c r="G121" s="217"/>
    </row>
    <row r="122" spans="1:7" s="30" customFormat="1" ht="14.45">
      <c r="A122" s="59"/>
      <c r="B122" s="100"/>
      <c r="C122" s="61"/>
      <c r="D122" s="62"/>
      <c r="E122" s="157"/>
      <c r="F122" s="137">
        <f t="shared" si="1"/>
        <v>0</v>
      </c>
      <c r="G122" s="217"/>
    </row>
    <row r="123" spans="1:7" s="30" customFormat="1" ht="14.45">
      <c r="A123" s="66" t="s">
        <v>162</v>
      </c>
      <c r="B123" s="67" t="s">
        <v>1987</v>
      </c>
      <c r="C123" s="68"/>
      <c r="D123" s="69" t="s">
        <v>2</v>
      </c>
      <c r="E123" s="157">
        <v>516.54999999999995</v>
      </c>
      <c r="F123" s="137">
        <f t="shared" si="1"/>
        <v>516.54999999999995</v>
      </c>
      <c r="G123" s="217"/>
    </row>
    <row r="124" spans="1:7" s="30" customFormat="1" ht="14.45">
      <c r="A124" s="59"/>
      <c r="B124" s="100"/>
      <c r="C124" s="61"/>
      <c r="D124" s="62"/>
      <c r="E124" s="157"/>
      <c r="F124" s="137">
        <f t="shared" si="1"/>
        <v>0</v>
      </c>
      <c r="G124" s="217"/>
    </row>
    <row r="125" spans="1:7" s="30" customFormat="1" ht="14.45">
      <c r="A125" s="66" t="s">
        <v>164</v>
      </c>
      <c r="B125" s="67" t="s">
        <v>1988</v>
      </c>
      <c r="C125" s="68" t="s">
        <v>688</v>
      </c>
      <c r="D125" s="69" t="s">
        <v>199</v>
      </c>
      <c r="E125" s="157">
        <v>43.05</v>
      </c>
      <c r="F125" s="137">
        <f>+C125*E125</f>
        <v>1722</v>
      </c>
      <c r="G125" s="217"/>
    </row>
    <row r="126" spans="1:7" s="30" customFormat="1" ht="14.45">
      <c r="A126" s="59"/>
      <c r="B126" s="100"/>
      <c r="C126" s="61"/>
      <c r="D126" s="62"/>
      <c r="E126" s="157"/>
      <c r="F126" s="137">
        <f t="shared" si="1"/>
        <v>0</v>
      </c>
      <c r="G126" s="217"/>
    </row>
    <row r="127" spans="1:7" s="30" customFormat="1" ht="14.45">
      <c r="A127" s="66" t="s">
        <v>166</v>
      </c>
      <c r="B127" s="67" t="s">
        <v>1989</v>
      </c>
      <c r="C127" s="68"/>
      <c r="D127" s="69" t="s">
        <v>2</v>
      </c>
      <c r="E127" s="157">
        <v>602.64</v>
      </c>
      <c r="F127" s="137">
        <f t="shared" si="1"/>
        <v>602.64</v>
      </c>
      <c r="G127" s="217"/>
    </row>
    <row r="128" spans="1:7" s="30" customFormat="1" ht="14.45">
      <c r="A128" s="59"/>
      <c r="B128" s="100"/>
      <c r="C128" s="61"/>
      <c r="D128" s="62"/>
      <c r="E128" s="157"/>
      <c r="F128" s="137">
        <f t="shared" si="1"/>
        <v>0</v>
      </c>
      <c r="G128" s="217"/>
    </row>
    <row r="129" spans="1:7" s="30" customFormat="1" ht="14.45">
      <c r="A129" s="66" t="s">
        <v>168</v>
      </c>
      <c r="B129" s="67" t="s">
        <v>1990</v>
      </c>
      <c r="C129" s="68" t="s">
        <v>325</v>
      </c>
      <c r="D129" s="69" t="s">
        <v>199</v>
      </c>
      <c r="E129" s="157">
        <v>43.05</v>
      </c>
      <c r="F129" s="137">
        <f>+C129*E129</f>
        <v>301.34999999999997</v>
      </c>
      <c r="G129" s="217"/>
    </row>
    <row r="130" spans="1:7" s="30" customFormat="1" ht="14.45">
      <c r="A130" s="59"/>
      <c r="B130" s="100"/>
      <c r="C130" s="61"/>
      <c r="D130" s="62"/>
      <c r="E130" s="157"/>
      <c r="F130" s="137">
        <f t="shared" si="1"/>
        <v>0</v>
      </c>
      <c r="G130" s="217"/>
    </row>
    <row r="131" spans="1:7" s="30" customFormat="1" ht="14.45">
      <c r="A131" s="66" t="s">
        <v>170</v>
      </c>
      <c r="B131" s="67" t="s">
        <v>1991</v>
      </c>
      <c r="C131" s="68"/>
      <c r="D131" s="69" t="s">
        <v>2</v>
      </c>
      <c r="E131" s="157">
        <v>602.64</v>
      </c>
      <c r="F131" s="137">
        <f t="shared" si="1"/>
        <v>602.64</v>
      </c>
      <c r="G131" s="217"/>
    </row>
    <row r="132" spans="1:7" s="30" customFormat="1" ht="14.45">
      <c r="A132" s="59"/>
      <c r="B132" s="100"/>
      <c r="C132" s="61"/>
      <c r="D132" s="62"/>
      <c r="E132" s="157"/>
      <c r="F132" s="137">
        <f t="shared" si="1"/>
        <v>0</v>
      </c>
      <c r="G132" s="217"/>
    </row>
    <row r="133" spans="1:7" s="91" customFormat="1" ht="14.45">
      <c r="A133" s="80" t="s">
        <v>172</v>
      </c>
      <c r="B133" s="81" t="s">
        <v>1992</v>
      </c>
      <c r="C133" s="82"/>
      <c r="D133" s="83" t="s">
        <v>2</v>
      </c>
      <c r="E133" s="158">
        <v>602.64</v>
      </c>
      <c r="F133" s="137">
        <f t="shared" si="1"/>
        <v>602.64</v>
      </c>
      <c r="G133" s="217"/>
    </row>
    <row r="134" spans="1:7" s="30" customFormat="1" ht="14.45">
      <c r="A134" s="71"/>
      <c r="B134" s="72"/>
      <c r="C134" s="73"/>
      <c r="D134" s="74"/>
      <c r="E134" s="159"/>
      <c r="F134" s="138"/>
      <c r="G134" s="226"/>
    </row>
    <row r="135" spans="1:7" s="30" customFormat="1" ht="14.45">
      <c r="A135" s="75"/>
      <c r="B135" s="76"/>
      <c r="C135" s="77" t="s">
        <v>30</v>
      </c>
      <c r="D135" s="77"/>
      <c r="E135" s="160" t="s">
        <v>8</v>
      </c>
      <c r="F135" s="139">
        <f>SUM(F92:F133)</f>
        <v>70022.510000000009</v>
      </c>
      <c r="G135" s="227"/>
    </row>
    <row r="136" spans="1:7" s="30" customFormat="1" ht="14.45">
      <c r="A136" s="75"/>
      <c r="B136" s="76"/>
      <c r="C136" s="78"/>
      <c r="D136" s="79"/>
      <c r="E136" s="161"/>
      <c r="F136" s="140"/>
      <c r="G136" s="228"/>
    </row>
    <row r="137" spans="1:7" s="30" customFormat="1" ht="14.45">
      <c r="A137" s="59"/>
      <c r="B137" s="63"/>
      <c r="C137" s="61"/>
      <c r="D137" s="62"/>
      <c r="E137" s="157"/>
      <c r="F137" s="137"/>
      <c r="G137" s="217"/>
    </row>
    <row r="138" spans="1:7" s="30" customFormat="1" ht="14.45">
      <c r="A138" s="59"/>
      <c r="B138" s="64" t="s">
        <v>1950</v>
      </c>
      <c r="C138" s="61"/>
      <c r="D138" s="62"/>
      <c r="E138" s="157"/>
      <c r="F138" s="137"/>
      <c r="G138" s="217"/>
    </row>
    <row r="139" spans="1:7" s="30" customFormat="1" ht="14.45">
      <c r="A139" s="59"/>
      <c r="B139" s="100"/>
      <c r="C139" s="61"/>
      <c r="D139" s="62"/>
      <c r="E139" s="157"/>
      <c r="F139" s="137"/>
      <c r="G139" s="217"/>
    </row>
    <row r="140" spans="1:7" s="30" customFormat="1" ht="14.45">
      <c r="A140" s="66" t="s">
        <v>14</v>
      </c>
      <c r="B140" s="67" t="s">
        <v>1993</v>
      </c>
      <c r="C140" s="68"/>
      <c r="D140" s="69" t="s">
        <v>2</v>
      </c>
      <c r="E140" s="157">
        <v>6241.62</v>
      </c>
      <c r="F140" s="137">
        <f>+E140</f>
        <v>6241.62</v>
      </c>
      <c r="G140" s="217"/>
    </row>
    <row r="141" spans="1:7" s="30" customFormat="1" ht="14.45">
      <c r="A141" s="59"/>
      <c r="B141" s="100"/>
      <c r="C141" s="61"/>
      <c r="D141" s="62"/>
      <c r="E141" s="157"/>
      <c r="F141" s="137">
        <f t="shared" ref="F141:F158" si="2">+E141</f>
        <v>0</v>
      </c>
      <c r="G141" s="217"/>
    </row>
    <row r="142" spans="1:7" s="30" customFormat="1" ht="14.45">
      <c r="A142" s="66" t="s">
        <v>17</v>
      </c>
      <c r="B142" s="67" t="s">
        <v>1994</v>
      </c>
      <c r="C142" s="68"/>
      <c r="D142" s="69" t="s">
        <v>2</v>
      </c>
      <c r="E142" s="157">
        <v>5595.93</v>
      </c>
      <c r="F142" s="137">
        <f t="shared" si="2"/>
        <v>5595.93</v>
      </c>
      <c r="G142" s="217"/>
    </row>
    <row r="143" spans="1:7" s="30" customFormat="1" ht="14.45">
      <c r="A143" s="59"/>
      <c r="B143" s="100"/>
      <c r="C143" s="61"/>
      <c r="D143" s="62"/>
      <c r="E143" s="157"/>
      <c r="F143" s="137">
        <f t="shared" si="2"/>
        <v>0</v>
      </c>
      <c r="G143" s="217"/>
    </row>
    <row r="144" spans="1:7" s="30" customFormat="1" ht="14.45">
      <c r="A144" s="66" t="s">
        <v>20</v>
      </c>
      <c r="B144" s="67" t="s">
        <v>1995</v>
      </c>
      <c r="C144" s="68"/>
      <c r="D144" s="69" t="s">
        <v>2</v>
      </c>
      <c r="E144" s="157">
        <v>7748.21</v>
      </c>
      <c r="F144" s="137">
        <f t="shared" si="2"/>
        <v>7748.21</v>
      </c>
      <c r="G144" s="217"/>
    </row>
    <row r="145" spans="1:7" s="30" customFormat="1" ht="14.45">
      <c r="A145" s="59"/>
      <c r="B145" s="100"/>
      <c r="C145" s="61"/>
      <c r="D145" s="62"/>
      <c r="E145" s="157"/>
      <c r="F145" s="137">
        <f t="shared" si="2"/>
        <v>0</v>
      </c>
      <c r="G145" s="217"/>
    </row>
    <row r="146" spans="1:7" s="30" customFormat="1" ht="14.45">
      <c r="A146" s="66" t="s">
        <v>23</v>
      </c>
      <c r="B146" s="67" t="s">
        <v>1996</v>
      </c>
      <c r="C146" s="68"/>
      <c r="D146" s="69" t="s">
        <v>2</v>
      </c>
      <c r="E146" s="157">
        <v>8695.2199999999993</v>
      </c>
      <c r="F146" s="137">
        <f t="shared" si="2"/>
        <v>8695.2199999999993</v>
      </c>
      <c r="G146" s="217"/>
    </row>
    <row r="147" spans="1:7" s="30" customFormat="1" ht="14.45">
      <c r="A147" s="59"/>
      <c r="B147" s="100"/>
      <c r="C147" s="61"/>
      <c r="D147" s="62"/>
      <c r="E147" s="157"/>
      <c r="F147" s="137">
        <f t="shared" si="2"/>
        <v>0</v>
      </c>
      <c r="G147" s="217"/>
    </row>
    <row r="148" spans="1:7" s="30" customFormat="1" ht="14.45">
      <c r="A148" s="66" t="s">
        <v>27</v>
      </c>
      <c r="B148" s="67" t="s">
        <v>1997</v>
      </c>
      <c r="C148" s="68"/>
      <c r="D148" s="69" t="s">
        <v>2</v>
      </c>
      <c r="E148" s="157">
        <v>5509.84</v>
      </c>
      <c r="F148" s="137">
        <f t="shared" si="2"/>
        <v>5509.84</v>
      </c>
      <c r="G148" s="217"/>
    </row>
    <row r="149" spans="1:7" s="30" customFormat="1" ht="14.45">
      <c r="A149" s="59"/>
      <c r="B149" s="100"/>
      <c r="C149" s="61"/>
      <c r="D149" s="62"/>
      <c r="E149" s="157"/>
      <c r="F149" s="137">
        <f t="shared" si="2"/>
        <v>0</v>
      </c>
      <c r="G149" s="217"/>
    </row>
    <row r="150" spans="1:7" s="30" customFormat="1" ht="14.45">
      <c r="A150" s="66" t="s">
        <v>44</v>
      </c>
      <c r="B150" s="67" t="s">
        <v>1998</v>
      </c>
      <c r="C150" s="68"/>
      <c r="D150" s="69" t="s">
        <v>2</v>
      </c>
      <c r="E150" s="157">
        <v>6026.39</v>
      </c>
      <c r="F150" s="137">
        <f t="shared" si="2"/>
        <v>6026.39</v>
      </c>
      <c r="G150" s="217"/>
    </row>
    <row r="151" spans="1:7" s="30" customFormat="1" ht="14.45">
      <c r="A151" s="59"/>
      <c r="B151" s="100"/>
      <c r="C151" s="61"/>
      <c r="D151" s="62"/>
      <c r="E151" s="157"/>
      <c r="F151" s="137">
        <f t="shared" si="2"/>
        <v>0</v>
      </c>
      <c r="G151" s="217"/>
    </row>
    <row r="152" spans="1:7" s="30" customFormat="1" ht="14.45">
      <c r="A152" s="66" t="s">
        <v>48</v>
      </c>
      <c r="B152" s="67" t="s">
        <v>1999</v>
      </c>
      <c r="C152" s="68"/>
      <c r="D152" s="69" t="s">
        <v>2</v>
      </c>
      <c r="E152" s="157">
        <v>6284.66</v>
      </c>
      <c r="F152" s="137">
        <f t="shared" si="2"/>
        <v>6284.66</v>
      </c>
      <c r="G152" s="217"/>
    </row>
    <row r="153" spans="1:7" s="30" customFormat="1" ht="14.45">
      <c r="A153" s="59"/>
      <c r="B153" s="100"/>
      <c r="C153" s="61"/>
      <c r="D153" s="62"/>
      <c r="E153" s="157"/>
      <c r="F153" s="137">
        <f t="shared" si="2"/>
        <v>0</v>
      </c>
      <c r="G153" s="217"/>
    </row>
    <row r="154" spans="1:7" s="30" customFormat="1" ht="14.45">
      <c r="A154" s="66" t="s">
        <v>84</v>
      </c>
      <c r="B154" s="67" t="s">
        <v>2000</v>
      </c>
      <c r="C154" s="68"/>
      <c r="D154" s="69" t="s">
        <v>2</v>
      </c>
      <c r="E154" s="157">
        <v>5854.2</v>
      </c>
      <c r="F154" s="137">
        <f t="shared" si="2"/>
        <v>5854.2</v>
      </c>
      <c r="G154" s="217"/>
    </row>
    <row r="155" spans="1:7" s="30" customFormat="1" ht="14.45">
      <c r="A155" s="59"/>
      <c r="B155" s="100"/>
      <c r="C155" s="61"/>
      <c r="D155" s="62"/>
      <c r="E155" s="157"/>
      <c r="F155" s="137">
        <f t="shared" si="2"/>
        <v>0</v>
      </c>
      <c r="G155" s="217"/>
    </row>
    <row r="156" spans="1:7" s="30" customFormat="1" ht="14.45">
      <c r="A156" s="66" t="s">
        <v>86</v>
      </c>
      <c r="B156" s="67" t="s">
        <v>2001</v>
      </c>
      <c r="C156" s="68"/>
      <c r="D156" s="69" t="s">
        <v>2</v>
      </c>
      <c r="E156" s="157">
        <v>3874.1</v>
      </c>
      <c r="F156" s="137">
        <f t="shared" si="2"/>
        <v>3874.1</v>
      </c>
      <c r="G156" s="217"/>
    </row>
    <row r="157" spans="1:7" s="30" customFormat="1" ht="14.45">
      <c r="A157" s="59"/>
      <c r="B157" s="100"/>
      <c r="C157" s="61"/>
      <c r="D157" s="62"/>
      <c r="E157" s="157"/>
      <c r="F157" s="137">
        <f t="shared" si="2"/>
        <v>0</v>
      </c>
      <c r="G157" s="217"/>
    </row>
    <row r="158" spans="1:7" s="30" customFormat="1" ht="14.45">
      <c r="A158" s="66" t="s">
        <v>90</v>
      </c>
      <c r="B158" s="67" t="s">
        <v>2002</v>
      </c>
      <c r="C158" s="68"/>
      <c r="D158" s="69" t="s">
        <v>2</v>
      </c>
      <c r="E158" s="157">
        <v>6542.94</v>
      </c>
      <c r="F158" s="137">
        <f t="shared" si="2"/>
        <v>6542.94</v>
      </c>
      <c r="G158" s="217"/>
    </row>
    <row r="159" spans="1:7" s="30" customFormat="1" ht="14.45">
      <c r="A159" s="59"/>
      <c r="B159" s="100"/>
      <c r="C159" s="61"/>
      <c r="D159" s="62"/>
      <c r="E159" s="157"/>
      <c r="F159" s="137"/>
      <c r="G159" s="217"/>
    </row>
    <row r="160" spans="1:7" s="30" customFormat="1" ht="14.45">
      <c r="A160" s="66" t="s">
        <v>92</v>
      </c>
      <c r="B160" s="67" t="s">
        <v>2003</v>
      </c>
      <c r="C160" s="68" t="s">
        <v>2004</v>
      </c>
      <c r="D160" s="69" t="s">
        <v>199</v>
      </c>
      <c r="E160" s="157">
        <v>43.05</v>
      </c>
      <c r="F160" s="137">
        <f>+C160*E160</f>
        <v>3444</v>
      </c>
      <c r="G160" s="217"/>
    </row>
    <row r="161" spans="1:7" s="30" customFormat="1" ht="14.45">
      <c r="A161" s="59"/>
      <c r="B161" s="100"/>
      <c r="C161" s="61"/>
      <c r="D161" s="62"/>
      <c r="E161" s="157"/>
      <c r="F161" s="137"/>
      <c r="G161" s="217"/>
    </row>
    <row r="162" spans="1:7" s="30" customFormat="1" ht="14.45">
      <c r="A162" s="66" t="s">
        <v>94</v>
      </c>
      <c r="B162" s="67" t="s">
        <v>2005</v>
      </c>
      <c r="C162" s="68" t="s">
        <v>737</v>
      </c>
      <c r="D162" s="69" t="s">
        <v>199</v>
      </c>
      <c r="E162" s="157">
        <v>43.05</v>
      </c>
      <c r="F162" s="137">
        <f>+C162*E162</f>
        <v>2583</v>
      </c>
      <c r="G162" s="217"/>
    </row>
    <row r="163" spans="1:7" s="30" customFormat="1" ht="14.45">
      <c r="A163" s="59"/>
      <c r="B163" s="100"/>
      <c r="C163" s="61"/>
      <c r="D163" s="62"/>
      <c r="E163" s="157"/>
      <c r="F163" s="137"/>
      <c r="G163" s="217"/>
    </row>
    <row r="164" spans="1:7" s="30" customFormat="1" ht="14.45">
      <c r="A164" s="66" t="s">
        <v>140</v>
      </c>
      <c r="B164" s="67" t="s">
        <v>2006</v>
      </c>
      <c r="C164" s="68"/>
      <c r="D164" s="69" t="s">
        <v>2</v>
      </c>
      <c r="E164" s="157">
        <v>4089.33</v>
      </c>
      <c r="F164" s="137">
        <f t="shared" ref="F164:F172" si="3">+E164</f>
        <v>4089.33</v>
      </c>
      <c r="G164" s="217"/>
    </row>
    <row r="165" spans="1:7" s="30" customFormat="1" ht="14.45">
      <c r="A165" s="59"/>
      <c r="B165" s="100"/>
      <c r="C165" s="61"/>
      <c r="D165" s="62"/>
      <c r="E165" s="157"/>
      <c r="F165" s="137">
        <f t="shared" si="3"/>
        <v>0</v>
      </c>
      <c r="G165" s="217"/>
    </row>
    <row r="166" spans="1:7" s="30" customFormat="1" ht="14.45">
      <c r="A166" s="66" t="s">
        <v>159</v>
      </c>
      <c r="B166" s="67" t="s">
        <v>2007</v>
      </c>
      <c r="C166" s="68"/>
      <c r="D166" s="69" t="s">
        <v>2</v>
      </c>
      <c r="E166" s="157">
        <v>3658.88</v>
      </c>
      <c r="F166" s="137">
        <f t="shared" si="3"/>
        <v>3658.88</v>
      </c>
      <c r="G166" s="217"/>
    </row>
    <row r="167" spans="1:7" s="30" customFormat="1" ht="14.45">
      <c r="A167" s="59"/>
      <c r="B167" s="100"/>
      <c r="C167" s="61"/>
      <c r="D167" s="62"/>
      <c r="E167" s="157"/>
      <c r="F167" s="137">
        <f t="shared" si="3"/>
        <v>0</v>
      </c>
      <c r="G167" s="217"/>
    </row>
    <row r="168" spans="1:7" s="30" customFormat="1" ht="14.45">
      <c r="A168" s="66" t="s">
        <v>162</v>
      </c>
      <c r="B168" s="67" t="s">
        <v>2008</v>
      </c>
      <c r="C168" s="68"/>
      <c r="D168" s="69" t="s">
        <v>2</v>
      </c>
      <c r="E168" s="157">
        <v>4089.33</v>
      </c>
      <c r="F168" s="137">
        <f t="shared" si="3"/>
        <v>4089.33</v>
      </c>
      <c r="G168" s="217"/>
    </row>
    <row r="169" spans="1:7" s="30" customFormat="1" ht="14.45">
      <c r="A169" s="59"/>
      <c r="B169" s="100"/>
      <c r="C169" s="61"/>
      <c r="D169" s="62"/>
      <c r="E169" s="157"/>
      <c r="F169" s="137">
        <f t="shared" si="3"/>
        <v>0</v>
      </c>
      <c r="G169" s="217"/>
    </row>
    <row r="170" spans="1:7" s="30" customFormat="1" ht="14.45">
      <c r="A170" s="66" t="s">
        <v>164</v>
      </c>
      <c r="B170" s="67" t="s">
        <v>2009</v>
      </c>
      <c r="C170" s="68"/>
      <c r="D170" s="69" t="s">
        <v>2</v>
      </c>
      <c r="E170" s="157">
        <v>4648.93</v>
      </c>
      <c r="F170" s="137">
        <f t="shared" si="3"/>
        <v>4648.93</v>
      </c>
      <c r="G170" s="217"/>
    </row>
    <row r="171" spans="1:7" s="30" customFormat="1" ht="14.45">
      <c r="A171" s="59"/>
      <c r="B171" s="100"/>
      <c r="C171" s="61"/>
      <c r="D171" s="62"/>
      <c r="E171" s="157"/>
      <c r="F171" s="137">
        <f t="shared" si="3"/>
        <v>0</v>
      </c>
      <c r="G171" s="217"/>
    </row>
    <row r="172" spans="1:7" s="30" customFormat="1" ht="14.45">
      <c r="A172" s="66" t="s">
        <v>166</v>
      </c>
      <c r="B172" s="67" t="s">
        <v>2010</v>
      </c>
      <c r="C172" s="68"/>
      <c r="D172" s="69" t="s">
        <v>2</v>
      </c>
      <c r="E172" s="157">
        <v>2797.97</v>
      </c>
      <c r="F172" s="137">
        <f t="shared" si="3"/>
        <v>2797.97</v>
      </c>
      <c r="G172" s="217"/>
    </row>
    <row r="173" spans="1:7" s="30" customFormat="1" ht="14.45">
      <c r="A173" s="59"/>
      <c r="B173" s="100"/>
      <c r="C173" s="61"/>
      <c r="D173" s="62"/>
      <c r="E173" s="157"/>
      <c r="F173" s="137"/>
      <c r="G173" s="217"/>
    </row>
    <row r="174" spans="1:7" s="30" customFormat="1" ht="27.6">
      <c r="A174" s="66"/>
      <c r="B174" s="98" t="s">
        <v>2011</v>
      </c>
      <c r="C174" s="68"/>
      <c r="D174" s="69"/>
      <c r="E174" s="157"/>
      <c r="F174" s="137"/>
      <c r="G174" s="217"/>
    </row>
    <row r="175" spans="1:7" s="30" customFormat="1" ht="14.45">
      <c r="A175" s="59"/>
      <c r="B175" s="100"/>
      <c r="C175" s="61"/>
      <c r="D175" s="62"/>
      <c r="E175" s="157"/>
      <c r="F175" s="137"/>
      <c r="G175" s="217"/>
    </row>
    <row r="176" spans="1:7" s="91" customFormat="1" ht="14.45">
      <c r="A176" s="80" t="s">
        <v>168</v>
      </c>
      <c r="B176" s="81" t="s">
        <v>2012</v>
      </c>
      <c r="C176" s="82"/>
      <c r="D176" s="83" t="s">
        <v>2</v>
      </c>
      <c r="E176" s="158">
        <v>1594.31</v>
      </c>
      <c r="F176" s="137">
        <f t="shared" ref="F176:F180" si="4">+E176</f>
        <v>1594.31</v>
      </c>
      <c r="G176" s="217"/>
    </row>
    <row r="177" spans="1:7" s="30" customFormat="1" ht="14.45">
      <c r="A177" s="59"/>
      <c r="B177" s="100"/>
      <c r="C177" s="61"/>
      <c r="D177" s="62"/>
      <c r="E177" s="157"/>
      <c r="F177" s="137">
        <f t="shared" si="4"/>
        <v>0</v>
      </c>
      <c r="G177" s="217"/>
    </row>
    <row r="178" spans="1:7" s="91" customFormat="1" ht="14.45">
      <c r="A178" s="80" t="s">
        <v>170</v>
      </c>
      <c r="B178" s="81" t="s">
        <v>2013</v>
      </c>
      <c r="C178" s="82"/>
      <c r="D178" s="83" t="s">
        <v>2</v>
      </c>
      <c r="E178" s="158">
        <v>1381.73</v>
      </c>
      <c r="F178" s="137">
        <f t="shared" si="4"/>
        <v>1381.73</v>
      </c>
      <c r="G178" s="217"/>
    </row>
    <row r="179" spans="1:7" s="30" customFormat="1" ht="14.45">
      <c r="A179" s="59"/>
      <c r="B179" s="100"/>
      <c r="C179" s="61"/>
      <c r="D179" s="62"/>
      <c r="E179" s="157"/>
      <c r="F179" s="137">
        <f t="shared" si="4"/>
        <v>0</v>
      </c>
      <c r="G179" s="217"/>
    </row>
    <row r="180" spans="1:7" s="91" customFormat="1" ht="14.45">
      <c r="A180" s="80" t="s">
        <v>172</v>
      </c>
      <c r="B180" s="81" t="s">
        <v>2014</v>
      </c>
      <c r="C180" s="82"/>
      <c r="D180" s="83" t="s">
        <v>2</v>
      </c>
      <c r="E180" s="158">
        <v>1381.73</v>
      </c>
      <c r="F180" s="137">
        <f t="shared" si="4"/>
        <v>1381.73</v>
      </c>
      <c r="G180" s="217"/>
    </row>
    <row r="181" spans="1:7" s="30" customFormat="1" ht="14.45">
      <c r="A181" s="71"/>
      <c r="B181" s="72"/>
      <c r="C181" s="73"/>
      <c r="D181" s="74"/>
      <c r="E181" s="159"/>
      <c r="F181" s="138"/>
      <c r="G181" s="226"/>
    </row>
    <row r="182" spans="1:7" s="30" customFormat="1" ht="14.45">
      <c r="A182" s="75"/>
      <c r="B182" s="76"/>
      <c r="C182" s="77" t="s">
        <v>30</v>
      </c>
      <c r="D182" s="77"/>
      <c r="E182" s="160" t="s">
        <v>8</v>
      </c>
      <c r="F182" s="139">
        <f>SUM(F139:F180)</f>
        <v>92042.319999999978</v>
      </c>
      <c r="G182" s="227"/>
    </row>
    <row r="183" spans="1:7" s="30" customFormat="1" ht="14.45">
      <c r="A183" s="75"/>
      <c r="B183" s="76"/>
      <c r="C183" s="78"/>
      <c r="D183" s="79"/>
      <c r="E183" s="161"/>
      <c r="F183" s="140"/>
      <c r="G183" s="228"/>
    </row>
    <row r="184" spans="1:7" s="30" customFormat="1" ht="14.45">
      <c r="A184" s="59"/>
      <c r="B184" s="63"/>
      <c r="C184" s="61"/>
      <c r="D184" s="62"/>
      <c r="E184" s="157"/>
      <c r="F184" s="137"/>
      <c r="G184" s="217"/>
    </row>
    <row r="185" spans="1:7" s="30" customFormat="1" ht="14.45">
      <c r="A185" s="59"/>
      <c r="B185" s="64" t="s">
        <v>1950</v>
      </c>
      <c r="C185" s="61"/>
      <c r="D185" s="62"/>
      <c r="E185" s="157"/>
      <c r="F185" s="137"/>
      <c r="G185" s="217"/>
    </row>
    <row r="186" spans="1:7" s="30" customFormat="1" ht="14.45">
      <c r="A186" s="59"/>
      <c r="B186" s="100"/>
      <c r="C186" s="61"/>
      <c r="D186" s="62"/>
      <c r="E186" s="157"/>
      <c r="F186" s="137"/>
      <c r="G186" s="217"/>
    </row>
    <row r="187" spans="1:7" s="30" customFormat="1" ht="27.6">
      <c r="A187" s="66"/>
      <c r="B187" s="98" t="s">
        <v>2015</v>
      </c>
      <c r="C187" s="68"/>
      <c r="D187" s="69"/>
      <c r="E187" s="157"/>
      <c r="F187" s="137"/>
      <c r="G187" s="217"/>
    </row>
    <row r="188" spans="1:7" s="30" customFormat="1" ht="14.45">
      <c r="A188" s="59"/>
      <c r="B188" s="100"/>
      <c r="C188" s="61"/>
      <c r="D188" s="62"/>
      <c r="E188" s="157"/>
      <c r="F188" s="137"/>
      <c r="G188" s="217"/>
    </row>
    <row r="189" spans="1:7" s="30" customFormat="1" ht="14.45">
      <c r="A189" s="66" t="s">
        <v>14</v>
      </c>
      <c r="B189" s="67" t="s">
        <v>2016</v>
      </c>
      <c r="C189" s="68"/>
      <c r="D189" s="69" t="s">
        <v>2</v>
      </c>
      <c r="E189" s="157">
        <v>5577.46</v>
      </c>
      <c r="F189" s="137">
        <f t="shared" ref="F189:F227" si="5">+E189</f>
        <v>5577.46</v>
      </c>
      <c r="G189" s="217"/>
    </row>
    <row r="190" spans="1:7" s="30" customFormat="1" ht="14.45">
      <c r="A190" s="59"/>
      <c r="B190" s="100"/>
      <c r="C190" s="61"/>
      <c r="D190" s="62"/>
      <c r="E190" s="157"/>
      <c r="F190" s="137">
        <f t="shared" si="5"/>
        <v>0</v>
      </c>
      <c r="G190" s="217"/>
    </row>
    <row r="191" spans="1:7" s="30" customFormat="1" ht="14.45">
      <c r="A191" s="66" t="s">
        <v>17</v>
      </c>
      <c r="B191" s="67" t="s">
        <v>2017</v>
      </c>
      <c r="C191" s="68"/>
      <c r="D191" s="69" t="s">
        <v>2</v>
      </c>
      <c r="E191" s="157">
        <v>6902.8</v>
      </c>
      <c r="F191" s="137">
        <f t="shared" si="5"/>
        <v>6902.8</v>
      </c>
      <c r="G191" s="217"/>
    </row>
    <row r="192" spans="1:7" s="30" customFormat="1" ht="14.45">
      <c r="A192" s="59"/>
      <c r="B192" s="100"/>
      <c r="C192" s="61"/>
      <c r="D192" s="62"/>
      <c r="E192" s="157"/>
      <c r="F192" s="137">
        <f t="shared" si="5"/>
        <v>0</v>
      </c>
      <c r="G192" s="217"/>
    </row>
    <row r="193" spans="1:7" s="30" customFormat="1" ht="14.45">
      <c r="A193" s="66" t="s">
        <v>20</v>
      </c>
      <c r="B193" s="67" t="s">
        <v>2018</v>
      </c>
      <c r="C193" s="68"/>
      <c r="D193" s="69" t="s">
        <v>2</v>
      </c>
      <c r="E193" s="157">
        <v>8007.25</v>
      </c>
      <c r="F193" s="137">
        <f t="shared" si="5"/>
        <v>8007.25</v>
      </c>
      <c r="G193" s="217"/>
    </row>
    <row r="194" spans="1:7" s="30" customFormat="1" ht="14.45">
      <c r="A194" s="59"/>
      <c r="B194" s="100"/>
      <c r="C194" s="61"/>
      <c r="D194" s="62"/>
      <c r="E194" s="157"/>
      <c r="F194" s="137">
        <f t="shared" si="5"/>
        <v>0</v>
      </c>
      <c r="G194" s="217"/>
    </row>
    <row r="195" spans="1:7" s="30" customFormat="1" ht="14.45">
      <c r="A195" s="66" t="s">
        <v>23</v>
      </c>
      <c r="B195" s="67" t="s">
        <v>2019</v>
      </c>
      <c r="C195" s="68"/>
      <c r="D195" s="69" t="s">
        <v>2</v>
      </c>
      <c r="E195" s="157">
        <v>7675.91</v>
      </c>
      <c r="F195" s="137">
        <f t="shared" si="5"/>
        <v>7675.91</v>
      </c>
      <c r="G195" s="217"/>
    </row>
    <row r="196" spans="1:7" s="30" customFormat="1" ht="14.45">
      <c r="A196" s="59"/>
      <c r="B196" s="100"/>
      <c r="C196" s="61"/>
      <c r="D196" s="62"/>
      <c r="E196" s="157"/>
      <c r="F196" s="137">
        <f t="shared" si="5"/>
        <v>0</v>
      </c>
      <c r="G196" s="217"/>
    </row>
    <row r="197" spans="1:7" s="30" customFormat="1" ht="14.45">
      <c r="A197" s="66" t="s">
        <v>27</v>
      </c>
      <c r="B197" s="67" t="s">
        <v>2020</v>
      </c>
      <c r="C197" s="68"/>
      <c r="D197" s="69" t="s">
        <v>2</v>
      </c>
      <c r="E197" s="157">
        <v>7952.02</v>
      </c>
      <c r="F197" s="137">
        <f t="shared" si="5"/>
        <v>7952.02</v>
      </c>
      <c r="G197" s="217"/>
    </row>
    <row r="198" spans="1:7" s="30" customFormat="1" ht="14.45">
      <c r="A198" s="59"/>
      <c r="B198" s="100"/>
      <c r="C198" s="61"/>
      <c r="D198" s="62"/>
      <c r="E198" s="157"/>
      <c r="F198" s="137">
        <f t="shared" si="5"/>
        <v>0</v>
      </c>
      <c r="G198" s="217"/>
    </row>
    <row r="199" spans="1:7" s="30" customFormat="1" ht="14.45">
      <c r="A199" s="66" t="s">
        <v>44</v>
      </c>
      <c r="B199" s="67" t="s">
        <v>2021</v>
      </c>
      <c r="C199" s="68"/>
      <c r="D199" s="69" t="s">
        <v>2</v>
      </c>
      <c r="E199" s="157">
        <v>8117.69</v>
      </c>
      <c r="F199" s="137">
        <f t="shared" si="5"/>
        <v>8117.69</v>
      </c>
      <c r="G199" s="217"/>
    </row>
    <row r="200" spans="1:7" s="30" customFormat="1" ht="14.45">
      <c r="A200" s="59"/>
      <c r="B200" s="100"/>
      <c r="C200" s="61"/>
      <c r="D200" s="62"/>
      <c r="E200" s="157"/>
      <c r="F200" s="137">
        <f t="shared" si="5"/>
        <v>0</v>
      </c>
      <c r="G200" s="217"/>
    </row>
    <row r="201" spans="1:7" s="30" customFormat="1" ht="14.45">
      <c r="A201" s="66" t="s">
        <v>48</v>
      </c>
      <c r="B201" s="67" t="s">
        <v>2022</v>
      </c>
      <c r="C201" s="68"/>
      <c r="D201" s="69" t="s">
        <v>2</v>
      </c>
      <c r="E201" s="157">
        <v>7675.91</v>
      </c>
      <c r="F201" s="137">
        <f t="shared" si="5"/>
        <v>7675.91</v>
      </c>
      <c r="G201" s="217"/>
    </row>
    <row r="202" spans="1:7" s="30" customFormat="1" ht="14.45">
      <c r="A202" s="59"/>
      <c r="B202" s="100"/>
      <c r="C202" s="61"/>
      <c r="D202" s="62"/>
      <c r="E202" s="157"/>
      <c r="F202" s="137">
        <f t="shared" si="5"/>
        <v>0</v>
      </c>
      <c r="G202" s="217"/>
    </row>
    <row r="203" spans="1:7" s="30" customFormat="1" ht="14.45">
      <c r="A203" s="66" t="s">
        <v>84</v>
      </c>
      <c r="B203" s="67" t="s">
        <v>2023</v>
      </c>
      <c r="C203" s="68"/>
      <c r="D203" s="69" t="s">
        <v>2</v>
      </c>
      <c r="E203" s="157">
        <v>7068.47</v>
      </c>
      <c r="F203" s="137">
        <f t="shared" si="5"/>
        <v>7068.47</v>
      </c>
      <c r="G203" s="217"/>
    </row>
    <row r="204" spans="1:7" s="30" customFormat="1" ht="14.45">
      <c r="A204" s="59"/>
      <c r="B204" s="100"/>
      <c r="C204" s="61"/>
      <c r="D204" s="62"/>
      <c r="E204" s="157"/>
      <c r="F204" s="137">
        <f t="shared" si="5"/>
        <v>0</v>
      </c>
      <c r="G204" s="217"/>
    </row>
    <row r="205" spans="1:7" s="30" customFormat="1" ht="14.45">
      <c r="A205" s="66" t="s">
        <v>86</v>
      </c>
      <c r="B205" s="67" t="s">
        <v>2024</v>
      </c>
      <c r="C205" s="68"/>
      <c r="D205" s="69" t="s">
        <v>2</v>
      </c>
      <c r="E205" s="157">
        <v>10934.03</v>
      </c>
      <c r="F205" s="137">
        <f t="shared" si="5"/>
        <v>10934.03</v>
      </c>
      <c r="G205" s="217"/>
    </row>
    <row r="206" spans="1:7" s="30" customFormat="1" ht="14.45">
      <c r="A206" s="59"/>
      <c r="B206" s="100"/>
      <c r="C206" s="61"/>
      <c r="D206" s="62"/>
      <c r="E206" s="157"/>
      <c r="F206" s="137">
        <f t="shared" si="5"/>
        <v>0</v>
      </c>
      <c r="G206" s="217"/>
    </row>
    <row r="207" spans="1:7" s="30" customFormat="1" ht="14.45">
      <c r="A207" s="66" t="s">
        <v>90</v>
      </c>
      <c r="B207" s="67" t="s">
        <v>2025</v>
      </c>
      <c r="C207" s="68"/>
      <c r="D207" s="69" t="s">
        <v>2</v>
      </c>
      <c r="E207" s="157">
        <v>6847.57</v>
      </c>
      <c r="F207" s="137">
        <f t="shared" si="5"/>
        <v>6847.57</v>
      </c>
      <c r="G207" s="217"/>
    </row>
    <row r="208" spans="1:7" s="30" customFormat="1" ht="14.45">
      <c r="A208" s="59"/>
      <c r="B208" s="100"/>
      <c r="C208" s="61"/>
      <c r="D208" s="62"/>
      <c r="E208" s="157"/>
      <c r="F208" s="137">
        <f t="shared" si="5"/>
        <v>0</v>
      </c>
      <c r="G208" s="217"/>
    </row>
    <row r="209" spans="1:7" s="30" customFormat="1" ht="14.45">
      <c r="A209" s="66" t="s">
        <v>92</v>
      </c>
      <c r="B209" s="67" t="s">
        <v>2026</v>
      </c>
      <c r="C209" s="68"/>
      <c r="D209" s="69" t="s">
        <v>2</v>
      </c>
      <c r="E209" s="157">
        <v>6184.91</v>
      </c>
      <c r="F209" s="137">
        <f t="shared" si="5"/>
        <v>6184.91</v>
      </c>
      <c r="G209" s="217"/>
    </row>
    <row r="210" spans="1:7" s="30" customFormat="1" ht="14.45">
      <c r="A210" s="59"/>
      <c r="B210" s="100"/>
      <c r="C210" s="61"/>
      <c r="D210" s="62"/>
      <c r="E210" s="157"/>
      <c r="F210" s="137">
        <f t="shared" si="5"/>
        <v>0</v>
      </c>
      <c r="G210" s="217"/>
    </row>
    <row r="211" spans="1:7" s="30" customFormat="1" ht="14.45">
      <c r="A211" s="66" t="s">
        <v>94</v>
      </c>
      <c r="B211" s="67" t="s">
        <v>2027</v>
      </c>
      <c r="C211" s="68"/>
      <c r="D211" s="69" t="s">
        <v>2</v>
      </c>
      <c r="E211" s="157">
        <v>15517.49</v>
      </c>
      <c r="F211" s="137">
        <f t="shared" si="5"/>
        <v>15517.49</v>
      </c>
      <c r="G211" s="217"/>
    </row>
    <row r="212" spans="1:7" s="30" customFormat="1" ht="14.45">
      <c r="A212" s="59"/>
      <c r="B212" s="100"/>
      <c r="C212" s="61"/>
      <c r="D212" s="62"/>
      <c r="E212" s="157"/>
      <c r="F212" s="137">
        <f t="shared" si="5"/>
        <v>0</v>
      </c>
      <c r="G212" s="217"/>
    </row>
    <row r="213" spans="1:7" s="30" customFormat="1" ht="14.45">
      <c r="A213" s="66" t="s">
        <v>140</v>
      </c>
      <c r="B213" s="67" t="s">
        <v>2028</v>
      </c>
      <c r="C213" s="68"/>
      <c r="D213" s="69" t="s">
        <v>2</v>
      </c>
      <c r="E213" s="157">
        <v>11707.14</v>
      </c>
      <c r="F213" s="137">
        <f t="shared" si="5"/>
        <v>11707.14</v>
      </c>
      <c r="G213" s="217"/>
    </row>
    <row r="214" spans="1:7" s="30" customFormat="1" ht="14.45">
      <c r="A214" s="59"/>
      <c r="B214" s="100"/>
      <c r="C214" s="61"/>
      <c r="D214" s="62"/>
      <c r="E214" s="157"/>
      <c r="F214" s="137">
        <f t="shared" si="5"/>
        <v>0</v>
      </c>
      <c r="G214" s="217"/>
    </row>
    <row r="215" spans="1:7" s="30" customFormat="1" ht="14.45">
      <c r="A215" s="66" t="s">
        <v>159</v>
      </c>
      <c r="B215" s="67" t="s">
        <v>2029</v>
      </c>
      <c r="C215" s="68"/>
      <c r="D215" s="69" t="s">
        <v>2</v>
      </c>
      <c r="E215" s="157">
        <v>5687.9</v>
      </c>
      <c r="F215" s="137">
        <f t="shared" si="5"/>
        <v>5687.9</v>
      </c>
      <c r="G215" s="217"/>
    </row>
    <row r="216" spans="1:7" s="30" customFormat="1" ht="14.45">
      <c r="A216" s="59"/>
      <c r="B216" s="100"/>
      <c r="C216" s="61"/>
      <c r="D216" s="62"/>
      <c r="E216" s="157"/>
      <c r="F216" s="137">
        <f t="shared" si="5"/>
        <v>0</v>
      </c>
      <c r="G216" s="217"/>
    </row>
    <row r="217" spans="1:7" s="30" customFormat="1" ht="14.45">
      <c r="A217" s="66" t="s">
        <v>162</v>
      </c>
      <c r="B217" s="67" t="s">
        <v>2030</v>
      </c>
      <c r="C217" s="68"/>
      <c r="D217" s="69" t="s">
        <v>2</v>
      </c>
      <c r="E217" s="157">
        <v>10878.8</v>
      </c>
      <c r="F217" s="137">
        <f t="shared" si="5"/>
        <v>10878.8</v>
      </c>
      <c r="G217" s="217"/>
    </row>
    <row r="218" spans="1:7" s="30" customFormat="1" ht="14.45">
      <c r="A218" s="59"/>
      <c r="B218" s="100"/>
      <c r="C218" s="61"/>
      <c r="D218" s="62"/>
      <c r="E218" s="157"/>
      <c r="F218" s="137">
        <f t="shared" si="5"/>
        <v>0</v>
      </c>
      <c r="G218" s="217"/>
    </row>
    <row r="219" spans="1:7" s="30" customFormat="1" ht="14.45">
      <c r="A219" s="66" t="s">
        <v>164</v>
      </c>
      <c r="B219" s="67" t="s">
        <v>2031</v>
      </c>
      <c r="C219" s="68"/>
      <c r="D219" s="69" t="s">
        <v>2</v>
      </c>
      <c r="E219" s="157">
        <v>11099.7</v>
      </c>
      <c r="F219" s="137">
        <f t="shared" si="5"/>
        <v>11099.7</v>
      </c>
      <c r="G219" s="217"/>
    </row>
    <row r="220" spans="1:7" s="30" customFormat="1" ht="14.45">
      <c r="A220" s="59"/>
      <c r="B220" s="100"/>
      <c r="C220" s="61"/>
      <c r="D220" s="62"/>
      <c r="E220" s="157"/>
      <c r="F220" s="137">
        <f t="shared" si="5"/>
        <v>0</v>
      </c>
      <c r="G220" s="217"/>
    </row>
    <row r="221" spans="1:7" s="30" customFormat="1" ht="14.45">
      <c r="A221" s="66" t="s">
        <v>166</v>
      </c>
      <c r="B221" s="67" t="s">
        <v>2032</v>
      </c>
      <c r="C221" s="68"/>
      <c r="D221" s="69" t="s">
        <v>2</v>
      </c>
      <c r="E221" s="157">
        <v>11320.59</v>
      </c>
      <c r="F221" s="137">
        <f t="shared" si="5"/>
        <v>11320.59</v>
      </c>
      <c r="G221" s="217"/>
    </row>
    <row r="222" spans="1:7" s="30" customFormat="1" ht="14.45">
      <c r="A222" s="59"/>
      <c r="B222" s="100"/>
      <c r="C222" s="61"/>
      <c r="D222" s="62"/>
      <c r="E222" s="157"/>
      <c r="F222" s="137">
        <f t="shared" si="5"/>
        <v>0</v>
      </c>
      <c r="G222" s="217"/>
    </row>
    <row r="223" spans="1:7" s="30" customFormat="1" ht="14.45">
      <c r="A223" s="66" t="s">
        <v>168</v>
      </c>
      <c r="B223" s="67" t="s">
        <v>2033</v>
      </c>
      <c r="C223" s="68"/>
      <c r="D223" s="69" t="s">
        <v>2</v>
      </c>
      <c r="E223" s="157">
        <v>10823.59</v>
      </c>
      <c r="F223" s="137">
        <f t="shared" si="5"/>
        <v>10823.59</v>
      </c>
      <c r="G223" s="217"/>
    </row>
    <row r="224" spans="1:7" s="30" customFormat="1" ht="14.45">
      <c r="A224" s="59"/>
      <c r="B224" s="100"/>
      <c r="C224" s="61"/>
      <c r="D224" s="62"/>
      <c r="E224" s="157"/>
      <c r="F224" s="137">
        <f t="shared" si="5"/>
        <v>0</v>
      </c>
      <c r="G224" s="217"/>
    </row>
    <row r="225" spans="1:7" s="30" customFormat="1" ht="14.45">
      <c r="A225" s="66" t="s">
        <v>170</v>
      </c>
      <c r="B225" s="67" t="s">
        <v>2034</v>
      </c>
      <c r="C225" s="68"/>
      <c r="D225" s="69" t="s">
        <v>2</v>
      </c>
      <c r="E225" s="157">
        <v>7510.24</v>
      </c>
      <c r="F225" s="137">
        <f t="shared" si="5"/>
        <v>7510.24</v>
      </c>
      <c r="G225" s="217"/>
    </row>
    <row r="226" spans="1:7" s="30" customFormat="1" ht="14.45">
      <c r="A226" s="59"/>
      <c r="B226" s="100"/>
      <c r="C226" s="61"/>
      <c r="D226" s="62"/>
      <c r="E226" s="157"/>
      <c r="F226" s="137">
        <f t="shared" si="5"/>
        <v>0</v>
      </c>
      <c r="G226" s="217"/>
    </row>
    <row r="227" spans="1:7" s="30" customFormat="1" ht="14.45">
      <c r="A227" s="66" t="s">
        <v>172</v>
      </c>
      <c r="B227" s="67" t="s">
        <v>2035</v>
      </c>
      <c r="C227" s="68"/>
      <c r="D227" s="69" t="s">
        <v>2</v>
      </c>
      <c r="E227" s="157">
        <v>7510.24</v>
      </c>
      <c r="F227" s="137">
        <f t="shared" si="5"/>
        <v>7510.24</v>
      </c>
      <c r="G227" s="217"/>
    </row>
    <row r="228" spans="1:7" s="30" customFormat="1" ht="14.45">
      <c r="A228" s="71"/>
      <c r="B228" s="72"/>
      <c r="C228" s="73"/>
      <c r="D228" s="74"/>
      <c r="E228" s="159"/>
      <c r="F228" s="138"/>
      <c r="G228" s="226"/>
    </row>
    <row r="229" spans="1:7" s="30" customFormat="1" ht="14.45">
      <c r="A229" s="75"/>
      <c r="B229" s="76"/>
      <c r="C229" s="77" t="s">
        <v>30</v>
      </c>
      <c r="D229" s="77"/>
      <c r="E229" s="160" t="s">
        <v>8</v>
      </c>
      <c r="F229" s="137">
        <f>SUM(F188:F227)</f>
        <v>174999.71</v>
      </c>
      <c r="G229" s="217"/>
    </row>
    <row r="230" spans="1:7" s="30" customFormat="1" ht="14.45">
      <c r="A230" s="75"/>
      <c r="B230" s="76"/>
      <c r="C230" s="78"/>
      <c r="D230" s="79"/>
      <c r="E230" s="161"/>
      <c r="F230" s="140"/>
      <c r="G230" s="228"/>
    </row>
    <row r="231" spans="1:7" s="30" customFormat="1" ht="14.45">
      <c r="A231" s="59"/>
      <c r="B231" s="63"/>
      <c r="C231" s="61"/>
      <c r="D231" s="62"/>
      <c r="E231" s="157"/>
      <c r="F231" s="137"/>
      <c r="G231" s="217"/>
    </row>
    <row r="232" spans="1:7" s="30" customFormat="1" ht="14.45">
      <c r="A232" s="59"/>
      <c r="B232" s="64" t="s">
        <v>1950</v>
      </c>
      <c r="C232" s="61"/>
      <c r="D232" s="62"/>
      <c r="E232" s="157"/>
      <c r="F232" s="137"/>
      <c r="G232" s="217"/>
    </row>
    <row r="233" spans="1:7" s="30" customFormat="1" ht="14.45">
      <c r="A233" s="59"/>
      <c r="B233" s="100"/>
      <c r="C233" s="61"/>
      <c r="D233" s="62"/>
      <c r="E233" s="157"/>
      <c r="F233" s="137"/>
      <c r="G233" s="217"/>
    </row>
    <row r="234" spans="1:7" s="30" customFormat="1" ht="14.45">
      <c r="A234" s="66" t="s">
        <v>14</v>
      </c>
      <c r="B234" s="67" t="s">
        <v>2036</v>
      </c>
      <c r="C234" s="68"/>
      <c r="D234" s="69" t="s">
        <v>2</v>
      </c>
      <c r="E234" s="157">
        <v>6405.79</v>
      </c>
      <c r="F234" s="137">
        <f t="shared" ref="F234:F276" si="6">+E234</f>
        <v>6405.79</v>
      </c>
      <c r="G234" s="217"/>
    </row>
    <row r="235" spans="1:7" s="30" customFormat="1" ht="14.45">
      <c r="A235" s="59"/>
      <c r="B235" s="100"/>
      <c r="C235" s="61"/>
      <c r="D235" s="62"/>
      <c r="E235" s="157"/>
      <c r="F235" s="137">
        <f t="shared" si="6"/>
        <v>0</v>
      </c>
      <c r="G235" s="217"/>
    </row>
    <row r="236" spans="1:7" s="30" customFormat="1" ht="14.45">
      <c r="A236" s="66" t="s">
        <v>17</v>
      </c>
      <c r="B236" s="67" t="s">
        <v>2037</v>
      </c>
      <c r="C236" s="68"/>
      <c r="D236" s="69" t="s">
        <v>2</v>
      </c>
      <c r="E236" s="157">
        <v>6129.68</v>
      </c>
      <c r="F236" s="137">
        <f t="shared" si="6"/>
        <v>6129.68</v>
      </c>
      <c r="G236" s="217"/>
    </row>
    <row r="237" spans="1:7" s="30" customFormat="1" ht="14.45">
      <c r="A237" s="59"/>
      <c r="B237" s="100"/>
      <c r="C237" s="61"/>
      <c r="D237" s="62"/>
      <c r="E237" s="157"/>
      <c r="F237" s="137">
        <f t="shared" si="6"/>
        <v>0</v>
      </c>
      <c r="G237" s="217"/>
    </row>
    <row r="238" spans="1:7" s="30" customFormat="1" ht="14.45">
      <c r="A238" s="66" t="s">
        <v>20</v>
      </c>
      <c r="B238" s="67" t="s">
        <v>2038</v>
      </c>
      <c r="C238" s="68"/>
      <c r="D238" s="69" t="s">
        <v>2</v>
      </c>
      <c r="E238" s="157">
        <v>5853.57</v>
      </c>
      <c r="F238" s="137">
        <f t="shared" si="6"/>
        <v>5853.57</v>
      </c>
      <c r="G238" s="217"/>
    </row>
    <row r="239" spans="1:7" s="30" customFormat="1" ht="14.45">
      <c r="A239" s="59"/>
      <c r="B239" s="100"/>
      <c r="C239" s="61"/>
      <c r="D239" s="62"/>
      <c r="E239" s="157"/>
      <c r="F239" s="137">
        <f t="shared" si="6"/>
        <v>0</v>
      </c>
      <c r="G239" s="217"/>
    </row>
    <row r="240" spans="1:7" s="30" customFormat="1" ht="14.45">
      <c r="A240" s="66" t="s">
        <v>23</v>
      </c>
      <c r="B240" s="67" t="s">
        <v>2039</v>
      </c>
      <c r="C240" s="68"/>
      <c r="D240" s="69" t="s">
        <v>2</v>
      </c>
      <c r="E240" s="157">
        <v>5577.46</v>
      </c>
      <c r="F240" s="137">
        <f t="shared" si="6"/>
        <v>5577.46</v>
      </c>
      <c r="G240" s="217"/>
    </row>
    <row r="241" spans="1:7" s="30" customFormat="1" ht="14.45">
      <c r="A241" s="59"/>
      <c r="B241" s="100"/>
      <c r="C241" s="61"/>
      <c r="D241" s="62"/>
      <c r="E241" s="157"/>
      <c r="F241" s="137">
        <f t="shared" si="6"/>
        <v>0</v>
      </c>
      <c r="G241" s="217"/>
    </row>
    <row r="242" spans="1:7" s="30" customFormat="1" ht="14.45">
      <c r="A242" s="66" t="s">
        <v>27</v>
      </c>
      <c r="B242" s="67" t="s">
        <v>2040</v>
      </c>
      <c r="C242" s="68"/>
      <c r="D242" s="69" t="s">
        <v>2</v>
      </c>
      <c r="E242" s="157">
        <v>4252.13</v>
      </c>
      <c r="F242" s="137">
        <f t="shared" si="6"/>
        <v>4252.13</v>
      </c>
      <c r="G242" s="217"/>
    </row>
    <row r="243" spans="1:7" s="30" customFormat="1" ht="14.45">
      <c r="A243" s="59"/>
      <c r="B243" s="100"/>
      <c r="C243" s="61"/>
      <c r="D243" s="62"/>
      <c r="E243" s="157"/>
      <c r="F243" s="137">
        <f t="shared" si="6"/>
        <v>0</v>
      </c>
      <c r="G243" s="217"/>
    </row>
    <row r="244" spans="1:7" s="30" customFormat="1" ht="14.45">
      <c r="A244" s="66" t="s">
        <v>44</v>
      </c>
      <c r="B244" s="67" t="s">
        <v>2041</v>
      </c>
      <c r="C244" s="68"/>
      <c r="D244" s="69" t="s">
        <v>2</v>
      </c>
      <c r="E244" s="157">
        <v>6681.9</v>
      </c>
      <c r="F244" s="137">
        <f t="shared" si="6"/>
        <v>6681.9</v>
      </c>
      <c r="G244" s="217"/>
    </row>
    <row r="245" spans="1:7" s="30" customFormat="1" ht="14.45">
      <c r="A245" s="59"/>
      <c r="B245" s="100"/>
      <c r="C245" s="61"/>
      <c r="D245" s="62"/>
      <c r="E245" s="157"/>
      <c r="F245" s="137">
        <f t="shared" si="6"/>
        <v>0</v>
      </c>
      <c r="G245" s="217"/>
    </row>
    <row r="246" spans="1:7" s="30" customFormat="1" ht="14.45">
      <c r="A246" s="66" t="s">
        <v>48</v>
      </c>
      <c r="B246" s="67" t="s">
        <v>2042</v>
      </c>
      <c r="C246" s="68"/>
      <c r="D246" s="69" t="s">
        <v>2</v>
      </c>
      <c r="E246" s="157">
        <v>6184.91</v>
      </c>
      <c r="F246" s="137">
        <f t="shared" si="6"/>
        <v>6184.91</v>
      </c>
      <c r="G246" s="217"/>
    </row>
    <row r="247" spans="1:7" s="30" customFormat="1" ht="14.45">
      <c r="A247" s="59"/>
      <c r="B247" s="100"/>
      <c r="C247" s="61"/>
      <c r="D247" s="62"/>
      <c r="E247" s="157"/>
      <c r="F247" s="137">
        <f t="shared" si="6"/>
        <v>0</v>
      </c>
      <c r="G247" s="217"/>
    </row>
    <row r="248" spans="1:7" s="30" customFormat="1" ht="14.45">
      <c r="A248" s="66" t="s">
        <v>84</v>
      </c>
      <c r="B248" s="67" t="s">
        <v>2043</v>
      </c>
      <c r="C248" s="68"/>
      <c r="D248" s="69" t="s">
        <v>2</v>
      </c>
      <c r="E248" s="157">
        <v>4638.68</v>
      </c>
      <c r="F248" s="137">
        <f t="shared" si="6"/>
        <v>4638.68</v>
      </c>
      <c r="G248" s="217"/>
    </row>
    <row r="249" spans="1:7" s="30" customFormat="1" ht="14.45">
      <c r="A249" s="59"/>
      <c r="B249" s="100"/>
      <c r="C249" s="61"/>
      <c r="D249" s="62"/>
      <c r="E249" s="157"/>
      <c r="F249" s="137">
        <f t="shared" si="6"/>
        <v>0</v>
      </c>
      <c r="G249" s="217"/>
    </row>
    <row r="250" spans="1:7" s="30" customFormat="1" ht="14.45">
      <c r="A250" s="66" t="s">
        <v>86</v>
      </c>
      <c r="B250" s="67" t="s">
        <v>2044</v>
      </c>
      <c r="C250" s="68"/>
      <c r="D250" s="69" t="s">
        <v>2</v>
      </c>
      <c r="E250" s="157">
        <v>4804.3500000000004</v>
      </c>
      <c r="F250" s="137">
        <f t="shared" si="6"/>
        <v>4804.3500000000004</v>
      </c>
      <c r="G250" s="217"/>
    </row>
    <row r="251" spans="1:7" s="30" customFormat="1" ht="14.45">
      <c r="A251" s="59"/>
      <c r="B251" s="100"/>
      <c r="C251" s="61"/>
      <c r="D251" s="62"/>
      <c r="E251" s="157"/>
      <c r="F251" s="137">
        <f t="shared" si="6"/>
        <v>0</v>
      </c>
      <c r="G251" s="217"/>
    </row>
    <row r="252" spans="1:7" s="30" customFormat="1" ht="14.45">
      <c r="A252" s="66" t="s">
        <v>90</v>
      </c>
      <c r="B252" s="67" t="s">
        <v>2045</v>
      </c>
      <c r="C252" s="68"/>
      <c r="D252" s="69" t="s">
        <v>2</v>
      </c>
      <c r="E252" s="157">
        <v>5246.13</v>
      </c>
      <c r="F252" s="137">
        <f t="shared" si="6"/>
        <v>5246.13</v>
      </c>
      <c r="G252" s="217"/>
    </row>
    <row r="253" spans="1:7" s="30" customFormat="1" ht="14.45">
      <c r="A253" s="59"/>
      <c r="B253" s="100"/>
      <c r="C253" s="61"/>
      <c r="D253" s="62"/>
      <c r="E253" s="157"/>
      <c r="F253" s="137">
        <f t="shared" si="6"/>
        <v>0</v>
      </c>
      <c r="G253" s="217"/>
    </row>
    <row r="254" spans="1:7" s="30" customFormat="1" ht="14.45">
      <c r="A254" s="66" t="s">
        <v>92</v>
      </c>
      <c r="B254" s="67" t="s">
        <v>2046</v>
      </c>
      <c r="C254" s="68"/>
      <c r="D254" s="69" t="s">
        <v>2</v>
      </c>
      <c r="E254" s="157">
        <v>5798.35</v>
      </c>
      <c r="F254" s="137">
        <f t="shared" si="6"/>
        <v>5798.35</v>
      </c>
      <c r="G254" s="217"/>
    </row>
    <row r="255" spans="1:7" s="30" customFormat="1" ht="14.45">
      <c r="A255" s="59"/>
      <c r="B255" s="100"/>
      <c r="C255" s="61"/>
      <c r="D255" s="62"/>
      <c r="E255" s="157"/>
      <c r="F255" s="137">
        <f t="shared" si="6"/>
        <v>0</v>
      </c>
      <c r="G255" s="217"/>
    </row>
    <row r="256" spans="1:7" s="30" customFormat="1" ht="14.45">
      <c r="A256" s="66" t="s">
        <v>94</v>
      </c>
      <c r="B256" s="67" t="s">
        <v>2047</v>
      </c>
      <c r="C256" s="68"/>
      <c r="D256" s="69" t="s">
        <v>2</v>
      </c>
      <c r="E256" s="157">
        <v>3589.45</v>
      </c>
      <c r="F256" s="137">
        <f t="shared" si="6"/>
        <v>3589.45</v>
      </c>
      <c r="G256" s="217"/>
    </row>
    <row r="257" spans="1:7" s="30" customFormat="1" ht="14.45">
      <c r="A257" s="59"/>
      <c r="B257" s="100"/>
      <c r="C257" s="61"/>
      <c r="D257" s="62"/>
      <c r="E257" s="157"/>
      <c r="F257" s="137">
        <f t="shared" si="6"/>
        <v>0</v>
      </c>
      <c r="G257" s="217"/>
    </row>
    <row r="258" spans="1:7" s="30" customFormat="1" ht="14.45">
      <c r="A258" s="66" t="s">
        <v>140</v>
      </c>
      <c r="B258" s="67" t="s">
        <v>2048</v>
      </c>
      <c r="C258" s="68"/>
      <c r="D258" s="69" t="s">
        <v>2</v>
      </c>
      <c r="E258" s="157">
        <v>5356.57</v>
      </c>
      <c r="F258" s="137">
        <f t="shared" si="6"/>
        <v>5356.57</v>
      </c>
      <c r="G258" s="217"/>
    </row>
    <row r="259" spans="1:7" s="30" customFormat="1" ht="8.25" customHeight="1">
      <c r="A259" s="59"/>
      <c r="B259" s="100"/>
      <c r="C259" s="61"/>
      <c r="D259" s="62"/>
      <c r="E259" s="157"/>
      <c r="F259" s="137">
        <f t="shared" si="6"/>
        <v>0</v>
      </c>
      <c r="G259" s="217"/>
    </row>
    <row r="260" spans="1:7" s="30" customFormat="1" ht="14.45">
      <c r="A260" s="66" t="s">
        <v>159</v>
      </c>
      <c r="B260" s="67" t="s">
        <v>2049</v>
      </c>
      <c r="C260" s="68"/>
      <c r="D260" s="69" t="s">
        <v>2</v>
      </c>
      <c r="E260" s="157">
        <v>5632.68</v>
      </c>
      <c r="F260" s="137">
        <f t="shared" si="6"/>
        <v>5632.68</v>
      </c>
      <c r="G260" s="217"/>
    </row>
    <row r="261" spans="1:7" s="30" customFormat="1" ht="9" customHeight="1">
      <c r="A261" s="59"/>
      <c r="B261" s="100"/>
      <c r="C261" s="61"/>
      <c r="D261" s="62"/>
      <c r="E261" s="157"/>
      <c r="F261" s="137">
        <f t="shared" si="6"/>
        <v>0</v>
      </c>
      <c r="G261" s="217"/>
    </row>
    <row r="262" spans="1:7" s="30" customFormat="1" ht="14.45">
      <c r="A262" s="66" t="s">
        <v>162</v>
      </c>
      <c r="B262" s="67" t="s">
        <v>2050</v>
      </c>
      <c r="C262" s="68"/>
      <c r="D262" s="69" t="s">
        <v>2</v>
      </c>
      <c r="E262" s="157">
        <v>4914.79</v>
      </c>
      <c r="F262" s="137">
        <f t="shared" si="6"/>
        <v>4914.79</v>
      </c>
      <c r="G262" s="217"/>
    </row>
    <row r="263" spans="1:7" s="30" customFormat="1" ht="14.45">
      <c r="A263" s="59"/>
      <c r="B263" s="100"/>
      <c r="C263" s="61"/>
      <c r="D263" s="62"/>
      <c r="E263" s="157"/>
      <c r="F263" s="137">
        <f t="shared" si="6"/>
        <v>0</v>
      </c>
      <c r="G263" s="217"/>
    </row>
    <row r="264" spans="1:7" s="30" customFormat="1" ht="14.45">
      <c r="A264" s="66" t="s">
        <v>164</v>
      </c>
      <c r="B264" s="67" t="s">
        <v>2051</v>
      </c>
      <c r="C264" s="68"/>
      <c r="D264" s="69" t="s">
        <v>2</v>
      </c>
      <c r="E264" s="157">
        <v>5467.02</v>
      </c>
      <c r="F264" s="137">
        <f t="shared" si="6"/>
        <v>5467.02</v>
      </c>
      <c r="G264" s="217"/>
    </row>
    <row r="265" spans="1:7" s="30" customFormat="1" ht="14.45">
      <c r="A265" s="59"/>
      <c r="B265" s="100"/>
      <c r="C265" s="61"/>
      <c r="D265" s="62"/>
      <c r="E265" s="157"/>
      <c r="F265" s="137">
        <f t="shared" si="6"/>
        <v>0</v>
      </c>
      <c r="G265" s="217"/>
    </row>
    <row r="266" spans="1:7" s="30" customFormat="1" ht="14.45">
      <c r="A266" s="66" t="s">
        <v>166</v>
      </c>
      <c r="B266" s="67" t="s">
        <v>2052</v>
      </c>
      <c r="C266" s="68"/>
      <c r="D266" s="69" t="s">
        <v>2</v>
      </c>
      <c r="E266" s="157">
        <v>7399.8</v>
      </c>
      <c r="F266" s="137">
        <f t="shared" si="6"/>
        <v>7399.8</v>
      </c>
      <c r="G266" s="217"/>
    </row>
    <row r="267" spans="1:7" s="30" customFormat="1" ht="14.45">
      <c r="A267" s="59"/>
      <c r="B267" s="100"/>
      <c r="C267" s="61"/>
      <c r="D267" s="62"/>
      <c r="E267" s="157"/>
      <c r="F267" s="137">
        <f t="shared" si="6"/>
        <v>0</v>
      </c>
      <c r="G267" s="217"/>
    </row>
    <row r="268" spans="1:7" s="30" customFormat="1" ht="14.45">
      <c r="A268" s="66" t="s">
        <v>168</v>
      </c>
      <c r="B268" s="67" t="s">
        <v>2053</v>
      </c>
      <c r="C268" s="68"/>
      <c r="D268" s="69" t="s">
        <v>2</v>
      </c>
      <c r="E268" s="157">
        <v>8283.36</v>
      </c>
      <c r="F268" s="137">
        <f t="shared" si="6"/>
        <v>8283.36</v>
      </c>
      <c r="G268" s="217"/>
    </row>
    <row r="269" spans="1:7" s="30" customFormat="1" ht="14.45">
      <c r="A269" s="59"/>
      <c r="B269" s="100"/>
      <c r="C269" s="61"/>
      <c r="D269" s="62"/>
      <c r="E269" s="157"/>
      <c r="F269" s="137">
        <f t="shared" si="6"/>
        <v>0</v>
      </c>
      <c r="G269" s="217"/>
    </row>
    <row r="270" spans="1:7" s="30" customFormat="1" ht="14.45">
      <c r="A270" s="66" t="s">
        <v>170</v>
      </c>
      <c r="B270" s="67" t="s">
        <v>2054</v>
      </c>
      <c r="C270" s="68"/>
      <c r="D270" s="69" t="s">
        <v>2</v>
      </c>
      <c r="E270" s="157">
        <v>7841.58</v>
      </c>
      <c r="F270" s="137">
        <f t="shared" si="6"/>
        <v>7841.58</v>
      </c>
      <c r="G270" s="217"/>
    </row>
    <row r="271" spans="1:7" s="30" customFormat="1" ht="14.45">
      <c r="A271" s="59"/>
      <c r="B271" s="100"/>
      <c r="C271" s="61"/>
      <c r="D271" s="62"/>
      <c r="E271" s="157"/>
      <c r="F271" s="137">
        <f t="shared" si="6"/>
        <v>0</v>
      </c>
      <c r="G271" s="217"/>
    </row>
    <row r="272" spans="1:7" s="30" customFormat="1" ht="14.45">
      <c r="A272" s="66" t="s">
        <v>172</v>
      </c>
      <c r="B272" s="67" t="s">
        <v>2055</v>
      </c>
      <c r="C272" s="68"/>
      <c r="D272" s="69" t="s">
        <v>2</v>
      </c>
      <c r="E272" s="157">
        <v>9553.4699999999993</v>
      </c>
      <c r="F272" s="137">
        <f t="shared" si="6"/>
        <v>9553.4699999999993</v>
      </c>
      <c r="G272" s="217"/>
    </row>
    <row r="273" spans="1:7" s="30" customFormat="1" ht="14.45">
      <c r="A273" s="59"/>
      <c r="B273" s="100"/>
      <c r="C273" s="61"/>
      <c r="D273" s="62"/>
      <c r="E273" s="157"/>
      <c r="F273" s="137">
        <f t="shared" si="6"/>
        <v>0</v>
      </c>
      <c r="G273" s="217"/>
    </row>
    <row r="274" spans="1:7" s="30" customFormat="1" ht="14.45">
      <c r="A274" s="66" t="s">
        <v>1615</v>
      </c>
      <c r="B274" s="67" t="s">
        <v>2056</v>
      </c>
      <c r="C274" s="68"/>
      <c r="D274" s="69" t="s">
        <v>2</v>
      </c>
      <c r="E274" s="157">
        <v>9056.4699999999993</v>
      </c>
      <c r="F274" s="137">
        <f t="shared" si="6"/>
        <v>9056.4699999999993</v>
      </c>
      <c r="G274" s="217"/>
    </row>
    <row r="275" spans="1:7" s="30" customFormat="1" ht="14.45">
      <c r="A275" s="59"/>
      <c r="B275" s="100"/>
      <c r="C275" s="61"/>
      <c r="D275" s="62"/>
      <c r="E275" s="157"/>
      <c r="F275" s="137">
        <f t="shared" si="6"/>
        <v>0</v>
      </c>
      <c r="G275" s="217"/>
    </row>
    <row r="276" spans="1:7" s="30" customFormat="1" ht="14.45">
      <c r="A276" s="66" t="s">
        <v>1617</v>
      </c>
      <c r="B276" s="67" t="s">
        <v>2057</v>
      </c>
      <c r="C276" s="68"/>
      <c r="D276" s="69" t="s">
        <v>2</v>
      </c>
      <c r="E276" s="157">
        <v>8559.4699999999993</v>
      </c>
      <c r="F276" s="137">
        <f t="shared" si="6"/>
        <v>8559.4699999999993</v>
      </c>
      <c r="G276" s="217"/>
    </row>
    <row r="277" spans="1:7" s="30" customFormat="1" ht="14.45">
      <c r="A277" s="71"/>
      <c r="B277" s="72"/>
      <c r="C277" s="73"/>
      <c r="D277" s="74"/>
      <c r="E277" s="159"/>
      <c r="F277" s="138"/>
      <c r="G277" s="226"/>
    </row>
    <row r="278" spans="1:7" s="30" customFormat="1" ht="14.45">
      <c r="A278" s="75"/>
      <c r="B278" s="76"/>
      <c r="C278" s="77" t="s">
        <v>30</v>
      </c>
      <c r="D278" s="77"/>
      <c r="E278" s="160" t="s">
        <v>8</v>
      </c>
      <c r="F278" s="139">
        <f>SUM(F233:F276)</f>
        <v>137227.60999999999</v>
      </c>
      <c r="G278" s="227"/>
    </row>
    <row r="279" spans="1:7" s="30" customFormat="1" ht="14.45">
      <c r="A279" s="75"/>
      <c r="B279" s="76"/>
      <c r="C279" s="78"/>
      <c r="D279" s="79"/>
      <c r="E279" s="161"/>
      <c r="F279" s="140"/>
      <c r="G279" s="228"/>
    </row>
    <row r="280" spans="1:7" s="30" customFormat="1" ht="14.45">
      <c r="A280" s="59"/>
      <c r="B280" s="63"/>
      <c r="C280" s="61"/>
      <c r="D280" s="62"/>
      <c r="E280" s="157"/>
      <c r="F280" s="137"/>
      <c r="G280" s="217"/>
    </row>
    <row r="281" spans="1:7" s="30" customFormat="1" ht="14.45">
      <c r="A281" s="59"/>
      <c r="B281" s="64" t="s">
        <v>1950</v>
      </c>
      <c r="C281" s="61"/>
      <c r="D281" s="62"/>
      <c r="E281" s="157"/>
      <c r="F281" s="137"/>
      <c r="G281" s="217"/>
    </row>
    <row r="282" spans="1:7" s="30" customFormat="1" ht="14.45">
      <c r="A282" s="59"/>
      <c r="B282" s="100"/>
      <c r="C282" s="61"/>
      <c r="D282" s="62"/>
      <c r="E282" s="157"/>
      <c r="F282" s="137"/>
      <c r="G282" s="217"/>
    </row>
    <row r="283" spans="1:7" s="30" customFormat="1" ht="14.45">
      <c r="A283" s="66" t="s">
        <v>14</v>
      </c>
      <c r="B283" s="67" t="s">
        <v>2058</v>
      </c>
      <c r="C283" s="68"/>
      <c r="D283" s="69" t="s">
        <v>2</v>
      </c>
      <c r="E283" s="157">
        <v>8172.91</v>
      </c>
      <c r="F283" s="137">
        <f t="shared" ref="F283:F297" si="7">+E283</f>
        <v>8172.91</v>
      </c>
      <c r="G283" s="217"/>
    </row>
    <row r="284" spans="1:7" s="30" customFormat="1" ht="14.45">
      <c r="A284" s="59"/>
      <c r="B284" s="100"/>
      <c r="C284" s="61"/>
      <c r="D284" s="62"/>
      <c r="E284" s="157"/>
      <c r="F284" s="137">
        <f t="shared" si="7"/>
        <v>0</v>
      </c>
      <c r="G284" s="217"/>
    </row>
    <row r="285" spans="1:7" s="30" customFormat="1" ht="14.45">
      <c r="A285" s="66" t="s">
        <v>17</v>
      </c>
      <c r="B285" s="67" t="s">
        <v>2059</v>
      </c>
      <c r="C285" s="68"/>
      <c r="D285" s="69" t="s">
        <v>2</v>
      </c>
      <c r="E285" s="157">
        <v>7344.58</v>
      </c>
      <c r="F285" s="137">
        <f t="shared" si="7"/>
        <v>7344.58</v>
      </c>
      <c r="G285" s="217"/>
    </row>
    <row r="286" spans="1:7" s="30" customFormat="1" ht="14.45">
      <c r="A286" s="59"/>
      <c r="B286" s="100"/>
      <c r="C286" s="61"/>
      <c r="D286" s="62"/>
      <c r="E286" s="157"/>
      <c r="F286" s="137">
        <f t="shared" si="7"/>
        <v>0</v>
      </c>
      <c r="G286" s="217"/>
    </row>
    <row r="287" spans="1:7" s="30" customFormat="1" ht="14.45">
      <c r="A287" s="66" t="s">
        <v>20</v>
      </c>
      <c r="B287" s="67" t="s">
        <v>2060</v>
      </c>
      <c r="C287" s="68"/>
      <c r="D287" s="69" t="s">
        <v>2</v>
      </c>
      <c r="E287" s="157">
        <v>7952.02</v>
      </c>
      <c r="F287" s="137">
        <f t="shared" si="7"/>
        <v>7952.02</v>
      </c>
      <c r="G287" s="217"/>
    </row>
    <row r="288" spans="1:7" s="30" customFormat="1" ht="14.45">
      <c r="A288" s="59"/>
      <c r="B288" s="100"/>
      <c r="C288" s="61"/>
      <c r="D288" s="62"/>
      <c r="E288" s="157"/>
      <c r="F288" s="137">
        <f t="shared" si="7"/>
        <v>0</v>
      </c>
      <c r="G288" s="217"/>
    </row>
    <row r="289" spans="1:7" s="30" customFormat="1" ht="14.45">
      <c r="A289" s="66" t="s">
        <v>23</v>
      </c>
      <c r="B289" s="67" t="s">
        <v>2061</v>
      </c>
      <c r="C289" s="68"/>
      <c r="D289" s="69" t="s">
        <v>2</v>
      </c>
      <c r="E289" s="157">
        <v>6902.8</v>
      </c>
      <c r="F289" s="137">
        <f t="shared" si="7"/>
        <v>6902.8</v>
      </c>
      <c r="G289" s="217"/>
    </row>
    <row r="290" spans="1:7" s="30" customFormat="1" ht="14.45">
      <c r="A290" s="59"/>
      <c r="B290" s="100"/>
      <c r="C290" s="61"/>
      <c r="D290" s="62"/>
      <c r="E290" s="157"/>
      <c r="F290" s="137">
        <f t="shared" si="7"/>
        <v>0</v>
      </c>
      <c r="G290" s="217"/>
    </row>
    <row r="291" spans="1:7" s="30" customFormat="1" ht="14.45">
      <c r="A291" s="66" t="s">
        <v>27</v>
      </c>
      <c r="B291" s="67" t="s">
        <v>2062</v>
      </c>
      <c r="C291" s="68"/>
      <c r="D291" s="69" t="s">
        <v>2</v>
      </c>
      <c r="E291" s="157">
        <v>11320.59</v>
      </c>
      <c r="F291" s="137">
        <f t="shared" si="7"/>
        <v>11320.59</v>
      </c>
      <c r="G291" s="217"/>
    </row>
    <row r="292" spans="1:7" s="30" customFormat="1" ht="14.45">
      <c r="A292" s="59"/>
      <c r="B292" s="100"/>
      <c r="C292" s="61"/>
      <c r="D292" s="62"/>
      <c r="E292" s="157"/>
      <c r="F292" s="137">
        <f t="shared" si="7"/>
        <v>0</v>
      </c>
      <c r="G292" s="217"/>
    </row>
    <row r="293" spans="1:7" s="30" customFormat="1" ht="14.45">
      <c r="A293" s="66" t="s">
        <v>44</v>
      </c>
      <c r="B293" s="67" t="s">
        <v>2063</v>
      </c>
      <c r="C293" s="68"/>
      <c r="D293" s="69" t="s">
        <v>2</v>
      </c>
      <c r="E293" s="157">
        <v>8835.58</v>
      </c>
      <c r="F293" s="137">
        <f t="shared" si="7"/>
        <v>8835.58</v>
      </c>
      <c r="G293" s="217"/>
    </row>
    <row r="294" spans="1:7" s="30" customFormat="1" ht="14.1" customHeight="1">
      <c r="A294" s="59"/>
      <c r="B294" s="100"/>
      <c r="C294" s="61"/>
      <c r="D294" s="62"/>
      <c r="E294" s="157"/>
      <c r="F294" s="137">
        <f t="shared" si="7"/>
        <v>0</v>
      </c>
      <c r="G294" s="217"/>
    </row>
    <row r="295" spans="1:7" s="30" customFormat="1" ht="14.45">
      <c r="A295" s="66" t="s">
        <v>48</v>
      </c>
      <c r="B295" s="67" t="s">
        <v>2064</v>
      </c>
      <c r="C295" s="68"/>
      <c r="D295" s="69" t="s">
        <v>2</v>
      </c>
      <c r="E295" s="157">
        <v>7731.13</v>
      </c>
      <c r="F295" s="137">
        <f t="shared" si="7"/>
        <v>7731.13</v>
      </c>
      <c r="G295" s="217"/>
    </row>
    <row r="296" spans="1:7" s="30" customFormat="1" ht="14.1" customHeight="1">
      <c r="A296" s="59"/>
      <c r="B296" s="100"/>
      <c r="C296" s="61"/>
      <c r="D296" s="62"/>
      <c r="E296" s="157"/>
      <c r="F296" s="137">
        <f t="shared" si="7"/>
        <v>0</v>
      </c>
      <c r="G296" s="217"/>
    </row>
    <row r="297" spans="1:7" s="30" customFormat="1" ht="14.45">
      <c r="A297" s="66" t="s">
        <v>84</v>
      </c>
      <c r="B297" s="67" t="s">
        <v>2065</v>
      </c>
      <c r="C297" s="68"/>
      <c r="D297" s="69" t="s">
        <v>2</v>
      </c>
      <c r="E297" s="157">
        <v>7731.13</v>
      </c>
      <c r="F297" s="137">
        <f t="shared" si="7"/>
        <v>7731.13</v>
      </c>
      <c r="G297" s="217"/>
    </row>
    <row r="298" spans="1:7" s="30" customFormat="1" ht="14.1" customHeight="1">
      <c r="A298" s="59"/>
      <c r="B298" s="100"/>
      <c r="C298" s="61"/>
      <c r="D298" s="62"/>
      <c r="E298" s="157"/>
      <c r="F298" s="137"/>
      <c r="G298" s="217"/>
    </row>
    <row r="299" spans="1:7" s="30" customFormat="1" ht="27.6">
      <c r="A299" s="66"/>
      <c r="B299" s="98" t="s">
        <v>2066</v>
      </c>
      <c r="C299" s="68"/>
      <c r="D299" s="69"/>
      <c r="E299" s="157"/>
      <c r="F299" s="137"/>
      <c r="G299" s="217"/>
    </row>
    <row r="300" spans="1:7" s="30" customFormat="1" ht="14.1" customHeight="1">
      <c r="A300" s="59"/>
      <c r="B300" s="100"/>
      <c r="C300" s="61"/>
      <c r="D300" s="62"/>
      <c r="E300" s="157"/>
      <c r="F300" s="137"/>
      <c r="G300" s="217"/>
    </row>
    <row r="301" spans="1:7" s="30" customFormat="1" ht="27.6">
      <c r="A301" s="66" t="s">
        <v>86</v>
      </c>
      <c r="B301" s="67" t="s">
        <v>2067</v>
      </c>
      <c r="C301" s="68"/>
      <c r="D301" s="69" t="s">
        <v>2</v>
      </c>
      <c r="E301" s="157">
        <v>13285.91</v>
      </c>
      <c r="F301" s="137">
        <f t="shared" ref="F301:F305" si="8">+E301</f>
        <v>13285.91</v>
      </c>
      <c r="G301" s="217"/>
    </row>
    <row r="302" spans="1:7" s="30" customFormat="1" ht="14.1" customHeight="1">
      <c r="A302" s="59"/>
      <c r="B302" s="100"/>
      <c r="C302" s="61"/>
      <c r="D302" s="62"/>
      <c r="E302" s="157"/>
      <c r="F302" s="137">
        <f t="shared" si="8"/>
        <v>0</v>
      </c>
      <c r="G302" s="217"/>
    </row>
    <row r="303" spans="1:7" s="30" customFormat="1" ht="27.6">
      <c r="A303" s="66" t="s">
        <v>90</v>
      </c>
      <c r="B303" s="67" t="s">
        <v>2068</v>
      </c>
      <c r="C303" s="68"/>
      <c r="D303" s="69" t="s">
        <v>2</v>
      </c>
      <c r="E303" s="157">
        <v>14614.5</v>
      </c>
      <c r="F303" s="137">
        <f t="shared" si="8"/>
        <v>14614.5</v>
      </c>
      <c r="G303" s="217"/>
    </row>
    <row r="304" spans="1:7" s="30" customFormat="1" ht="14.1" customHeight="1">
      <c r="A304" s="59"/>
      <c r="B304" s="100"/>
      <c r="C304" s="61"/>
      <c r="D304" s="62"/>
      <c r="E304" s="157"/>
      <c r="F304" s="137">
        <f t="shared" si="8"/>
        <v>0</v>
      </c>
      <c r="G304" s="217"/>
    </row>
    <row r="305" spans="1:7" s="30" customFormat="1" ht="27.6">
      <c r="A305" s="66" t="s">
        <v>92</v>
      </c>
      <c r="B305" s="67" t="s">
        <v>2069</v>
      </c>
      <c r="C305" s="68"/>
      <c r="D305" s="69" t="s">
        <v>2</v>
      </c>
      <c r="E305" s="157">
        <v>15943.09</v>
      </c>
      <c r="F305" s="137">
        <f t="shared" si="8"/>
        <v>15943.09</v>
      </c>
      <c r="G305" s="217"/>
    </row>
    <row r="306" spans="1:7" s="30" customFormat="1" ht="14.1" customHeight="1">
      <c r="A306" s="59"/>
      <c r="B306" s="100"/>
      <c r="C306" s="61"/>
      <c r="D306" s="62"/>
      <c r="E306" s="157"/>
      <c r="F306" s="137"/>
      <c r="G306" s="217"/>
    </row>
    <row r="307" spans="1:7" s="30" customFormat="1" ht="27.6">
      <c r="A307" s="66" t="s">
        <v>94</v>
      </c>
      <c r="B307" s="67" t="s">
        <v>2070</v>
      </c>
      <c r="C307" s="68" t="s">
        <v>2071</v>
      </c>
      <c r="D307" s="69" t="s">
        <v>199</v>
      </c>
      <c r="E307" s="157">
        <v>53.15</v>
      </c>
      <c r="F307" s="137">
        <f>C307*E307</f>
        <v>14882</v>
      </c>
      <c r="G307" s="217"/>
    </row>
    <row r="308" spans="1:7" s="30" customFormat="1" ht="14.1" customHeight="1">
      <c r="A308" s="59"/>
      <c r="B308" s="100"/>
      <c r="C308" s="61"/>
      <c r="D308" s="62"/>
      <c r="E308" s="157"/>
      <c r="F308" s="137"/>
      <c r="G308" s="217"/>
    </row>
    <row r="309" spans="1:7" s="30" customFormat="1" ht="27.6">
      <c r="A309" s="66" t="s">
        <v>140</v>
      </c>
      <c r="B309" s="67" t="s">
        <v>2072</v>
      </c>
      <c r="C309" s="68" t="s">
        <v>2073</v>
      </c>
      <c r="D309" s="69" t="s">
        <v>199</v>
      </c>
      <c r="E309" s="157">
        <v>53.15</v>
      </c>
      <c r="F309" s="137">
        <f>C309*E309</f>
        <v>8504</v>
      </c>
      <c r="G309" s="217"/>
    </row>
    <row r="310" spans="1:7" s="30" customFormat="1" ht="14.1" customHeight="1">
      <c r="A310" s="59"/>
      <c r="B310" s="100"/>
      <c r="C310" s="61"/>
      <c r="D310" s="62"/>
      <c r="E310" s="157"/>
      <c r="F310" s="137"/>
      <c r="G310" s="217"/>
    </row>
    <row r="311" spans="1:7" s="30" customFormat="1" ht="14.45">
      <c r="A311" s="66" t="s">
        <v>159</v>
      </c>
      <c r="B311" s="67" t="s">
        <v>2074</v>
      </c>
      <c r="C311" s="68" t="s">
        <v>592</v>
      </c>
      <c r="D311" s="69" t="s">
        <v>199</v>
      </c>
      <c r="E311" s="157">
        <v>53.15</v>
      </c>
      <c r="F311" s="137">
        <f>C311*E311</f>
        <v>797.25</v>
      </c>
      <c r="G311" s="217"/>
    </row>
    <row r="312" spans="1:7" s="30" customFormat="1" ht="14.1" customHeight="1">
      <c r="A312" s="59"/>
      <c r="B312" s="100"/>
      <c r="C312" s="61"/>
      <c r="D312" s="62"/>
      <c r="E312" s="157"/>
      <c r="F312" s="137"/>
      <c r="G312" s="217"/>
    </row>
    <row r="313" spans="1:7" s="91" customFormat="1" ht="14.45">
      <c r="A313" s="80" t="s">
        <v>162</v>
      </c>
      <c r="B313" s="81" t="s">
        <v>2075</v>
      </c>
      <c r="C313" s="82"/>
      <c r="D313" s="83" t="s">
        <v>2</v>
      </c>
      <c r="E313" s="158">
        <v>1700.59</v>
      </c>
      <c r="F313" s="137">
        <f t="shared" ref="F313" si="9">+E313</f>
        <v>1700.59</v>
      </c>
      <c r="G313" s="217"/>
    </row>
    <row r="314" spans="1:7" s="30" customFormat="1" ht="14.1" customHeight="1">
      <c r="A314" s="59"/>
      <c r="B314" s="100"/>
      <c r="C314" s="61"/>
      <c r="D314" s="62"/>
      <c r="E314" s="157"/>
      <c r="F314" s="137"/>
      <c r="G314" s="217"/>
    </row>
    <row r="315" spans="1:7" s="30" customFormat="1" ht="14.45">
      <c r="A315" s="66" t="s">
        <v>164</v>
      </c>
      <c r="B315" s="67" t="s">
        <v>2076</v>
      </c>
      <c r="C315" s="68"/>
      <c r="D315" s="69" t="s">
        <v>2</v>
      </c>
      <c r="E315" s="157">
        <v>3241.76</v>
      </c>
      <c r="F315" s="137">
        <f t="shared" ref="F315" si="10">+E315</f>
        <v>3241.76</v>
      </c>
      <c r="G315" s="217"/>
    </row>
    <row r="316" spans="1:7" s="30" customFormat="1" ht="14.1" customHeight="1">
      <c r="A316" s="59"/>
      <c r="B316" s="100"/>
      <c r="C316" s="61"/>
      <c r="D316" s="62"/>
      <c r="E316" s="157"/>
      <c r="F316" s="137"/>
      <c r="G316" s="217"/>
    </row>
    <row r="317" spans="1:7" s="30" customFormat="1" ht="14.45">
      <c r="A317" s="66" t="s">
        <v>166</v>
      </c>
      <c r="B317" s="67" t="s">
        <v>2077</v>
      </c>
      <c r="C317" s="68" t="s">
        <v>332</v>
      </c>
      <c r="D317" s="69" t="s">
        <v>199</v>
      </c>
      <c r="E317" s="157">
        <v>53.15</v>
      </c>
      <c r="F317" s="137">
        <f>C317*E317</f>
        <v>531.5</v>
      </c>
      <c r="G317" s="217"/>
    </row>
    <row r="318" spans="1:7" s="30" customFormat="1" ht="14.1" customHeight="1">
      <c r="A318" s="59"/>
      <c r="B318" s="100"/>
      <c r="C318" s="61"/>
      <c r="D318" s="62"/>
      <c r="E318" s="157"/>
      <c r="F318" s="137"/>
      <c r="G318" s="217"/>
    </row>
    <row r="319" spans="1:7" s="30" customFormat="1" ht="14.45">
      <c r="A319" s="66" t="s">
        <v>168</v>
      </c>
      <c r="B319" s="67" t="s">
        <v>2078</v>
      </c>
      <c r="C319" s="68"/>
      <c r="D319" s="69" t="s">
        <v>2</v>
      </c>
      <c r="E319" s="157">
        <v>7705.83</v>
      </c>
      <c r="F319" s="137">
        <f t="shared" ref="F319" si="11">+E319</f>
        <v>7705.83</v>
      </c>
      <c r="G319" s="217"/>
    </row>
    <row r="320" spans="1:7" s="30" customFormat="1" ht="14.45">
      <c r="A320" s="71"/>
      <c r="B320" s="72"/>
      <c r="C320" s="73"/>
      <c r="D320" s="74"/>
      <c r="E320" s="159"/>
      <c r="F320" s="138"/>
      <c r="G320" s="226"/>
    </row>
    <row r="321" spans="1:7" s="30" customFormat="1" ht="14.45">
      <c r="A321" s="75"/>
      <c r="B321" s="76"/>
      <c r="C321" s="77" t="s">
        <v>30</v>
      </c>
      <c r="D321" s="77"/>
      <c r="E321" s="160" t="s">
        <v>8</v>
      </c>
      <c r="F321" s="139">
        <f>SUM(F281:F319)</f>
        <v>147197.16999999998</v>
      </c>
      <c r="G321" s="227"/>
    </row>
    <row r="322" spans="1:7" s="30" customFormat="1" ht="14.45">
      <c r="A322" s="75"/>
      <c r="B322" s="76"/>
      <c r="C322" s="78"/>
      <c r="D322" s="79"/>
      <c r="E322" s="161"/>
      <c r="F322" s="140"/>
      <c r="G322" s="228"/>
    </row>
    <row r="323" spans="1:7" s="30" customFormat="1" ht="14.45">
      <c r="A323" s="59"/>
      <c r="B323" s="63"/>
      <c r="C323" s="61"/>
      <c r="D323" s="62"/>
      <c r="E323" s="157"/>
      <c r="F323" s="137"/>
      <c r="G323" s="217"/>
    </row>
    <row r="324" spans="1:7" s="30" customFormat="1" ht="14.45">
      <c r="A324" s="59"/>
      <c r="B324" s="64" t="s">
        <v>1950</v>
      </c>
      <c r="C324" s="61"/>
      <c r="D324" s="62"/>
      <c r="E324" s="157"/>
      <c r="F324" s="137"/>
      <c r="G324" s="217"/>
    </row>
    <row r="325" spans="1:7" s="30" customFormat="1" ht="14.45">
      <c r="A325" s="59"/>
      <c r="B325" s="100"/>
      <c r="C325" s="61"/>
      <c r="D325" s="62"/>
      <c r="E325" s="157"/>
      <c r="F325" s="137"/>
      <c r="G325" s="217"/>
    </row>
    <row r="326" spans="1:7" s="30" customFormat="1" ht="14.45">
      <c r="A326" s="66" t="s">
        <v>14</v>
      </c>
      <c r="B326" s="67" t="s">
        <v>2079</v>
      </c>
      <c r="C326" s="68"/>
      <c r="D326" s="69" t="s">
        <v>2</v>
      </c>
      <c r="E326" s="157">
        <v>9831.57</v>
      </c>
      <c r="F326" s="137">
        <f t="shared" ref="F326:F368" si="12">+E326</f>
        <v>9831.57</v>
      </c>
      <c r="G326" s="217"/>
    </row>
    <row r="327" spans="1:7" s="30" customFormat="1" ht="13.9" customHeight="1">
      <c r="A327" s="59"/>
      <c r="B327" s="100"/>
      <c r="C327" s="61"/>
      <c r="D327" s="62"/>
      <c r="E327" s="157"/>
      <c r="F327" s="137">
        <f t="shared" si="12"/>
        <v>0</v>
      </c>
      <c r="G327" s="217"/>
    </row>
    <row r="328" spans="1:7" s="30" customFormat="1" ht="14.45">
      <c r="A328" s="66" t="s">
        <v>17</v>
      </c>
      <c r="B328" s="67" t="s">
        <v>2080</v>
      </c>
      <c r="C328" s="68"/>
      <c r="D328" s="69" t="s">
        <v>2</v>
      </c>
      <c r="E328" s="157">
        <v>7440.11</v>
      </c>
      <c r="F328" s="137">
        <f t="shared" si="12"/>
        <v>7440.11</v>
      </c>
      <c r="G328" s="217"/>
    </row>
    <row r="329" spans="1:7" s="30" customFormat="1" ht="13.9" customHeight="1">
      <c r="A329" s="59"/>
      <c r="B329" s="100"/>
      <c r="C329" s="61"/>
      <c r="D329" s="62"/>
      <c r="E329" s="157"/>
      <c r="F329" s="137">
        <f t="shared" si="12"/>
        <v>0</v>
      </c>
      <c r="G329" s="217"/>
    </row>
    <row r="330" spans="1:7" s="30" customFormat="1" ht="14.45">
      <c r="A330" s="66" t="s">
        <v>20</v>
      </c>
      <c r="B330" s="67" t="s">
        <v>2081</v>
      </c>
      <c r="C330" s="68"/>
      <c r="D330" s="69" t="s">
        <v>2</v>
      </c>
      <c r="E330" s="157">
        <v>7546.4</v>
      </c>
      <c r="F330" s="137">
        <f t="shared" si="12"/>
        <v>7546.4</v>
      </c>
      <c r="G330" s="217"/>
    </row>
    <row r="331" spans="1:7" s="30" customFormat="1" ht="13.9" customHeight="1">
      <c r="A331" s="59"/>
      <c r="B331" s="100"/>
      <c r="C331" s="61"/>
      <c r="D331" s="62"/>
      <c r="E331" s="157"/>
      <c r="F331" s="137">
        <f t="shared" si="12"/>
        <v>0</v>
      </c>
      <c r="G331" s="217"/>
    </row>
    <row r="332" spans="1:7" s="30" customFormat="1" ht="14.45">
      <c r="A332" s="66" t="s">
        <v>23</v>
      </c>
      <c r="B332" s="67" t="s">
        <v>2082</v>
      </c>
      <c r="C332" s="68"/>
      <c r="D332" s="69" t="s">
        <v>2</v>
      </c>
      <c r="E332" s="157">
        <v>7758.97</v>
      </c>
      <c r="F332" s="137">
        <f t="shared" si="12"/>
        <v>7758.97</v>
      </c>
      <c r="G332" s="217"/>
    </row>
    <row r="333" spans="1:7" s="30" customFormat="1" ht="13.9" customHeight="1">
      <c r="A333" s="59"/>
      <c r="B333" s="100"/>
      <c r="C333" s="61"/>
      <c r="D333" s="62"/>
      <c r="E333" s="157"/>
      <c r="F333" s="137">
        <f t="shared" si="12"/>
        <v>0</v>
      </c>
      <c r="G333" s="217"/>
    </row>
    <row r="334" spans="1:7" s="30" customFormat="1" ht="14.45">
      <c r="A334" s="66" t="s">
        <v>27</v>
      </c>
      <c r="B334" s="67" t="s">
        <v>2083</v>
      </c>
      <c r="C334" s="68"/>
      <c r="D334" s="69" t="s">
        <v>2</v>
      </c>
      <c r="E334" s="157">
        <v>7758.97</v>
      </c>
      <c r="F334" s="137">
        <f t="shared" si="12"/>
        <v>7758.97</v>
      </c>
      <c r="G334" s="217"/>
    </row>
    <row r="335" spans="1:7" s="30" customFormat="1" ht="13.9" customHeight="1">
      <c r="A335" s="59"/>
      <c r="B335" s="100"/>
      <c r="C335" s="61"/>
      <c r="D335" s="62"/>
      <c r="E335" s="157"/>
      <c r="F335" s="137">
        <f t="shared" si="12"/>
        <v>0</v>
      </c>
      <c r="G335" s="217"/>
    </row>
    <row r="336" spans="1:7" s="30" customFormat="1" ht="14.45">
      <c r="A336" s="66" t="s">
        <v>44</v>
      </c>
      <c r="B336" s="67" t="s">
        <v>2084</v>
      </c>
      <c r="C336" s="68"/>
      <c r="D336" s="69" t="s">
        <v>2</v>
      </c>
      <c r="E336" s="157">
        <v>9353.2800000000007</v>
      </c>
      <c r="F336" s="137">
        <f t="shared" si="12"/>
        <v>9353.2800000000007</v>
      </c>
      <c r="G336" s="217"/>
    </row>
    <row r="337" spans="1:7" s="30" customFormat="1" ht="13.9" customHeight="1">
      <c r="A337" s="59"/>
      <c r="B337" s="100"/>
      <c r="C337" s="61"/>
      <c r="D337" s="62"/>
      <c r="E337" s="157"/>
      <c r="F337" s="137">
        <f t="shared" si="12"/>
        <v>0</v>
      </c>
      <c r="G337" s="217"/>
    </row>
    <row r="338" spans="1:7" s="30" customFormat="1" ht="14.45">
      <c r="A338" s="66" t="s">
        <v>48</v>
      </c>
      <c r="B338" s="67" t="s">
        <v>2085</v>
      </c>
      <c r="C338" s="68"/>
      <c r="D338" s="69" t="s">
        <v>2</v>
      </c>
      <c r="E338" s="157">
        <v>9672.14</v>
      </c>
      <c r="F338" s="137">
        <f t="shared" si="12"/>
        <v>9672.14</v>
      </c>
      <c r="G338" s="217"/>
    </row>
    <row r="339" spans="1:7" s="30" customFormat="1" ht="13.9" customHeight="1">
      <c r="A339" s="59"/>
      <c r="B339" s="100"/>
      <c r="C339" s="61"/>
      <c r="D339" s="62"/>
      <c r="E339" s="157"/>
      <c r="F339" s="137">
        <f t="shared" si="12"/>
        <v>0</v>
      </c>
      <c r="G339" s="217"/>
    </row>
    <row r="340" spans="1:7" s="30" customFormat="1" ht="14.45">
      <c r="A340" s="66" t="s">
        <v>84</v>
      </c>
      <c r="B340" s="67" t="s">
        <v>2086</v>
      </c>
      <c r="C340" s="68"/>
      <c r="D340" s="69" t="s">
        <v>2</v>
      </c>
      <c r="E340" s="157">
        <v>10097.290000000001</v>
      </c>
      <c r="F340" s="137">
        <f t="shared" si="12"/>
        <v>10097.290000000001</v>
      </c>
      <c r="G340" s="217"/>
    </row>
    <row r="341" spans="1:7" s="30" customFormat="1" ht="13.9" customHeight="1">
      <c r="A341" s="59"/>
      <c r="B341" s="100"/>
      <c r="C341" s="61"/>
      <c r="D341" s="62"/>
      <c r="E341" s="157"/>
      <c r="F341" s="137">
        <f t="shared" si="12"/>
        <v>0</v>
      </c>
      <c r="G341" s="217"/>
    </row>
    <row r="342" spans="1:7" s="30" customFormat="1" ht="14.45">
      <c r="A342" s="66" t="s">
        <v>86</v>
      </c>
      <c r="B342" s="67" t="s">
        <v>2087</v>
      </c>
      <c r="C342" s="68"/>
      <c r="D342" s="69" t="s">
        <v>2</v>
      </c>
      <c r="E342" s="157">
        <v>10628.72</v>
      </c>
      <c r="F342" s="137">
        <f t="shared" si="12"/>
        <v>10628.72</v>
      </c>
      <c r="G342" s="217"/>
    </row>
    <row r="343" spans="1:7" s="30" customFormat="1" ht="13.9" customHeight="1">
      <c r="A343" s="59"/>
      <c r="B343" s="100"/>
      <c r="C343" s="61"/>
      <c r="D343" s="62"/>
      <c r="E343" s="157"/>
      <c r="F343" s="137">
        <f t="shared" si="12"/>
        <v>0</v>
      </c>
      <c r="G343" s="217"/>
    </row>
    <row r="344" spans="1:7" s="30" customFormat="1" ht="14.45">
      <c r="A344" s="66" t="s">
        <v>90</v>
      </c>
      <c r="B344" s="67" t="s">
        <v>2088</v>
      </c>
      <c r="C344" s="68"/>
      <c r="D344" s="69" t="s">
        <v>2</v>
      </c>
      <c r="E344" s="157">
        <v>7705.83</v>
      </c>
      <c r="F344" s="137">
        <f t="shared" si="12"/>
        <v>7705.83</v>
      </c>
      <c r="G344" s="217"/>
    </row>
    <row r="345" spans="1:7" s="30" customFormat="1" ht="13.9" customHeight="1">
      <c r="A345" s="59"/>
      <c r="B345" s="100"/>
      <c r="C345" s="61"/>
      <c r="D345" s="62"/>
      <c r="E345" s="157"/>
      <c r="F345" s="137">
        <f t="shared" si="12"/>
        <v>0</v>
      </c>
      <c r="G345" s="217"/>
    </row>
    <row r="346" spans="1:7" s="30" customFormat="1" ht="14.45">
      <c r="A346" s="66" t="s">
        <v>92</v>
      </c>
      <c r="B346" s="67" t="s">
        <v>2089</v>
      </c>
      <c r="C346" s="68"/>
      <c r="D346" s="69" t="s">
        <v>2</v>
      </c>
      <c r="E346" s="157">
        <v>8237.26</v>
      </c>
      <c r="F346" s="137">
        <f t="shared" si="12"/>
        <v>8237.26</v>
      </c>
      <c r="G346" s="217"/>
    </row>
    <row r="347" spans="1:7" s="30" customFormat="1" ht="13.9" customHeight="1">
      <c r="A347" s="59"/>
      <c r="B347" s="100"/>
      <c r="C347" s="61"/>
      <c r="D347" s="62"/>
      <c r="E347" s="157"/>
      <c r="F347" s="137">
        <f t="shared" si="12"/>
        <v>0</v>
      </c>
      <c r="G347" s="217"/>
    </row>
    <row r="348" spans="1:7" s="30" customFormat="1" ht="14.45">
      <c r="A348" s="66" t="s">
        <v>94</v>
      </c>
      <c r="B348" s="67" t="s">
        <v>2090</v>
      </c>
      <c r="C348" s="68"/>
      <c r="D348" s="69" t="s">
        <v>2</v>
      </c>
      <c r="E348" s="157">
        <v>7227.54</v>
      </c>
      <c r="F348" s="137">
        <f t="shared" si="12"/>
        <v>7227.54</v>
      </c>
      <c r="G348" s="217"/>
    </row>
    <row r="349" spans="1:7" s="30" customFormat="1" ht="13.9" customHeight="1">
      <c r="A349" s="59"/>
      <c r="B349" s="100"/>
      <c r="C349" s="61"/>
      <c r="D349" s="62"/>
      <c r="E349" s="157"/>
      <c r="F349" s="137">
        <f t="shared" si="12"/>
        <v>0</v>
      </c>
      <c r="G349" s="217"/>
    </row>
    <row r="350" spans="1:7" s="30" customFormat="1" ht="14.45">
      <c r="A350" s="66" t="s">
        <v>140</v>
      </c>
      <c r="B350" s="67" t="s">
        <v>2091</v>
      </c>
      <c r="C350" s="68"/>
      <c r="D350" s="69" t="s">
        <v>2</v>
      </c>
      <c r="E350" s="157">
        <v>6642.95</v>
      </c>
      <c r="F350" s="137">
        <f t="shared" si="12"/>
        <v>6642.95</v>
      </c>
      <c r="G350" s="217"/>
    </row>
    <row r="351" spans="1:7" s="30" customFormat="1" ht="13.9" customHeight="1">
      <c r="A351" s="59"/>
      <c r="B351" s="100"/>
      <c r="C351" s="61"/>
      <c r="D351" s="62"/>
      <c r="E351" s="157"/>
      <c r="F351" s="137">
        <f t="shared" si="12"/>
        <v>0</v>
      </c>
      <c r="G351" s="217"/>
    </row>
    <row r="352" spans="1:7" s="30" customFormat="1" ht="14.45">
      <c r="A352" s="66" t="s">
        <v>159</v>
      </c>
      <c r="B352" s="67" t="s">
        <v>2092</v>
      </c>
      <c r="C352" s="68"/>
      <c r="D352" s="69" t="s">
        <v>2</v>
      </c>
      <c r="E352" s="157">
        <v>2285.1799999999998</v>
      </c>
      <c r="F352" s="137">
        <f t="shared" si="12"/>
        <v>2285.1799999999998</v>
      </c>
      <c r="G352" s="217"/>
    </row>
    <row r="353" spans="1:7" s="30" customFormat="1" ht="13.9" customHeight="1">
      <c r="A353" s="59"/>
      <c r="B353" s="100"/>
      <c r="C353" s="61"/>
      <c r="D353" s="62"/>
      <c r="E353" s="157"/>
      <c r="F353" s="137">
        <f t="shared" si="12"/>
        <v>0</v>
      </c>
      <c r="G353" s="217"/>
    </row>
    <row r="354" spans="1:7" s="30" customFormat="1" ht="14.45">
      <c r="A354" s="66" t="s">
        <v>162</v>
      </c>
      <c r="B354" s="67" t="s">
        <v>2093</v>
      </c>
      <c r="C354" s="68"/>
      <c r="D354" s="69" t="s">
        <v>2</v>
      </c>
      <c r="E354" s="157">
        <v>5367.5</v>
      </c>
      <c r="F354" s="137">
        <f t="shared" si="12"/>
        <v>5367.5</v>
      </c>
      <c r="G354" s="217"/>
    </row>
    <row r="355" spans="1:7" s="30" customFormat="1" ht="13.9" customHeight="1">
      <c r="A355" s="59"/>
      <c r="B355" s="100"/>
      <c r="C355" s="61"/>
      <c r="D355" s="62"/>
      <c r="E355" s="157"/>
      <c r="F355" s="137">
        <f t="shared" si="12"/>
        <v>0</v>
      </c>
      <c r="G355" s="217"/>
    </row>
    <row r="356" spans="1:7" s="30" customFormat="1" ht="14.45">
      <c r="A356" s="66" t="s">
        <v>164</v>
      </c>
      <c r="B356" s="67" t="s">
        <v>2094</v>
      </c>
      <c r="C356" s="68"/>
      <c r="D356" s="69" t="s">
        <v>2</v>
      </c>
      <c r="E356" s="157">
        <v>3826.34</v>
      </c>
      <c r="F356" s="137">
        <f t="shared" si="12"/>
        <v>3826.34</v>
      </c>
      <c r="G356" s="217"/>
    </row>
    <row r="357" spans="1:7" s="30" customFormat="1" ht="13.9" customHeight="1">
      <c r="A357" s="59"/>
      <c r="B357" s="100"/>
      <c r="C357" s="61"/>
      <c r="D357" s="62"/>
      <c r="E357" s="157"/>
      <c r="F357" s="137">
        <f t="shared" si="12"/>
        <v>0</v>
      </c>
      <c r="G357" s="217"/>
    </row>
    <row r="358" spans="1:7" s="30" customFormat="1" ht="14.45">
      <c r="A358" s="66" t="s">
        <v>166</v>
      </c>
      <c r="B358" s="67" t="s">
        <v>2095</v>
      </c>
      <c r="C358" s="68"/>
      <c r="D358" s="69" t="s">
        <v>2</v>
      </c>
      <c r="E358" s="157">
        <v>5048.6400000000003</v>
      </c>
      <c r="F358" s="137">
        <f t="shared" si="12"/>
        <v>5048.6400000000003</v>
      </c>
      <c r="G358" s="217"/>
    </row>
    <row r="359" spans="1:7" s="30" customFormat="1" ht="13.9" customHeight="1">
      <c r="A359" s="59"/>
      <c r="B359" s="100"/>
      <c r="C359" s="61"/>
      <c r="D359" s="62"/>
      <c r="E359" s="157"/>
      <c r="F359" s="137">
        <f t="shared" si="12"/>
        <v>0</v>
      </c>
      <c r="G359" s="217"/>
    </row>
    <row r="360" spans="1:7" s="30" customFormat="1" ht="14.45">
      <c r="A360" s="66" t="s">
        <v>168</v>
      </c>
      <c r="B360" s="67" t="s">
        <v>2096</v>
      </c>
      <c r="C360" s="68"/>
      <c r="D360" s="69" t="s">
        <v>2</v>
      </c>
      <c r="E360" s="157">
        <v>4410.92</v>
      </c>
      <c r="F360" s="137">
        <f t="shared" si="12"/>
        <v>4410.92</v>
      </c>
      <c r="G360" s="217"/>
    </row>
    <row r="361" spans="1:7" s="30" customFormat="1" ht="13.9" customHeight="1">
      <c r="A361" s="59"/>
      <c r="B361" s="100"/>
      <c r="C361" s="61"/>
      <c r="D361" s="62"/>
      <c r="E361" s="157"/>
      <c r="F361" s="137">
        <f t="shared" si="12"/>
        <v>0</v>
      </c>
      <c r="G361" s="217"/>
    </row>
    <row r="362" spans="1:7" s="30" customFormat="1" ht="14.45">
      <c r="A362" s="66" t="s">
        <v>170</v>
      </c>
      <c r="B362" s="67" t="s">
        <v>2097</v>
      </c>
      <c r="C362" s="68"/>
      <c r="D362" s="69" t="s">
        <v>2</v>
      </c>
      <c r="E362" s="157">
        <v>3613.76</v>
      </c>
      <c r="F362" s="137">
        <f t="shared" si="12"/>
        <v>3613.76</v>
      </c>
      <c r="G362" s="217"/>
    </row>
    <row r="363" spans="1:7" s="30" customFormat="1" ht="13.9" customHeight="1">
      <c r="A363" s="59"/>
      <c r="B363" s="100"/>
      <c r="C363" s="61"/>
      <c r="D363" s="62"/>
      <c r="E363" s="157"/>
      <c r="F363" s="137">
        <f t="shared" si="12"/>
        <v>0</v>
      </c>
      <c r="G363" s="217"/>
    </row>
    <row r="364" spans="1:7" s="30" customFormat="1" ht="14.45">
      <c r="A364" s="66" t="s">
        <v>172</v>
      </c>
      <c r="B364" s="67" t="s">
        <v>2098</v>
      </c>
      <c r="C364" s="68"/>
      <c r="D364" s="69" t="s">
        <v>2</v>
      </c>
      <c r="E364" s="157">
        <v>4251.49</v>
      </c>
      <c r="F364" s="137">
        <f t="shared" si="12"/>
        <v>4251.49</v>
      </c>
      <c r="G364" s="217"/>
    </row>
    <row r="365" spans="1:7" s="30" customFormat="1" ht="13.9" customHeight="1">
      <c r="A365" s="59"/>
      <c r="B365" s="100"/>
      <c r="C365" s="61"/>
      <c r="D365" s="62"/>
      <c r="E365" s="157"/>
      <c r="F365" s="137">
        <f t="shared" si="12"/>
        <v>0</v>
      </c>
      <c r="G365" s="217"/>
    </row>
    <row r="366" spans="1:7" s="30" customFormat="1" ht="14.45">
      <c r="A366" s="66" t="s">
        <v>1615</v>
      </c>
      <c r="B366" s="67" t="s">
        <v>2099</v>
      </c>
      <c r="C366" s="68"/>
      <c r="D366" s="69" t="s">
        <v>2</v>
      </c>
      <c r="E366" s="157">
        <v>4782.93</v>
      </c>
      <c r="F366" s="137">
        <f t="shared" si="12"/>
        <v>4782.93</v>
      </c>
      <c r="G366" s="217"/>
    </row>
    <row r="367" spans="1:7" s="30" customFormat="1" ht="13.9" customHeight="1">
      <c r="A367" s="59"/>
      <c r="B367" s="100"/>
      <c r="C367" s="61"/>
      <c r="D367" s="62"/>
      <c r="E367" s="157"/>
      <c r="F367" s="137">
        <f t="shared" si="12"/>
        <v>0</v>
      </c>
      <c r="G367" s="217"/>
    </row>
    <row r="368" spans="1:7" s="30" customFormat="1" ht="14.45">
      <c r="A368" s="66" t="s">
        <v>1617</v>
      </c>
      <c r="B368" s="67" t="s">
        <v>2100</v>
      </c>
      <c r="C368" s="68"/>
      <c r="D368" s="69" t="s">
        <v>2</v>
      </c>
      <c r="E368" s="157">
        <v>7174.39</v>
      </c>
      <c r="F368" s="137">
        <f t="shared" si="12"/>
        <v>7174.39</v>
      </c>
      <c r="G368" s="217"/>
    </row>
    <row r="369" spans="1:7" s="30" customFormat="1" ht="13.9" customHeight="1">
      <c r="A369" s="59"/>
      <c r="B369" s="63"/>
      <c r="C369" s="61"/>
      <c r="D369" s="62"/>
      <c r="E369" s="157"/>
      <c r="F369" s="137"/>
      <c r="G369" s="217"/>
    </row>
    <row r="370" spans="1:7" s="30" customFormat="1" ht="14.45">
      <c r="A370" s="71"/>
      <c r="B370" s="72"/>
      <c r="C370" s="73"/>
      <c r="D370" s="74"/>
      <c r="E370" s="159"/>
      <c r="F370" s="138"/>
      <c r="G370" s="226"/>
    </row>
    <row r="371" spans="1:7" s="30" customFormat="1" ht="14.45">
      <c r="A371" s="75"/>
      <c r="B371" s="76"/>
      <c r="C371" s="77" t="s">
        <v>30</v>
      </c>
      <c r="D371" s="77"/>
      <c r="E371" s="160" t="s">
        <v>8</v>
      </c>
      <c r="F371" s="139">
        <f>SUM(F324:F369)</f>
        <v>150662.18</v>
      </c>
      <c r="G371" s="227"/>
    </row>
    <row r="372" spans="1:7" s="30" customFormat="1" ht="14.45">
      <c r="A372" s="75"/>
      <c r="B372" s="76"/>
      <c r="C372" s="78"/>
      <c r="D372" s="79"/>
      <c r="E372" s="161"/>
      <c r="F372" s="140"/>
      <c r="G372" s="228"/>
    </row>
    <row r="373" spans="1:7" s="30" customFormat="1" ht="14.45">
      <c r="A373" s="59"/>
      <c r="B373" s="63"/>
      <c r="C373" s="61"/>
      <c r="D373" s="62"/>
      <c r="E373" s="157"/>
      <c r="F373" s="137"/>
      <c r="G373" s="217"/>
    </row>
    <row r="374" spans="1:7" s="30" customFormat="1" ht="14.45">
      <c r="A374" s="59"/>
      <c r="B374" s="64" t="s">
        <v>1950</v>
      </c>
      <c r="C374" s="61"/>
      <c r="D374" s="62"/>
      <c r="E374" s="157"/>
      <c r="F374" s="137"/>
      <c r="G374" s="217"/>
    </row>
    <row r="375" spans="1:7" s="30" customFormat="1" ht="14.45">
      <c r="A375" s="59"/>
      <c r="B375" s="100"/>
      <c r="C375" s="61"/>
      <c r="D375" s="62"/>
      <c r="E375" s="157"/>
      <c r="F375" s="137"/>
      <c r="G375" s="217"/>
    </row>
    <row r="376" spans="1:7" s="30" customFormat="1" ht="14.45">
      <c r="A376" s="66" t="s">
        <v>14</v>
      </c>
      <c r="B376" s="67" t="s">
        <v>2101</v>
      </c>
      <c r="C376" s="68"/>
      <c r="D376" s="69" t="s">
        <v>2</v>
      </c>
      <c r="E376" s="157">
        <v>7705.83</v>
      </c>
      <c r="F376" s="137">
        <f t="shared" ref="F376" si="13">+E376</f>
        <v>7705.83</v>
      </c>
      <c r="G376" s="217"/>
    </row>
    <row r="377" spans="1:7" s="30" customFormat="1" ht="14.45">
      <c r="A377" s="59"/>
      <c r="B377" s="100"/>
      <c r="C377" s="61"/>
      <c r="D377" s="62"/>
      <c r="E377" s="157"/>
      <c r="F377" s="137"/>
      <c r="G377" s="217"/>
    </row>
    <row r="378" spans="1:7" s="30" customFormat="1" ht="14.45">
      <c r="A378" s="66" t="s">
        <v>17</v>
      </c>
      <c r="B378" s="67" t="s">
        <v>2102</v>
      </c>
      <c r="C378" s="68" t="s">
        <v>2103</v>
      </c>
      <c r="D378" s="69" t="s">
        <v>199</v>
      </c>
      <c r="E378" s="157">
        <v>53.15</v>
      </c>
      <c r="F378" s="137">
        <f>C378*E378</f>
        <v>5315</v>
      </c>
      <c r="G378" s="217"/>
    </row>
    <row r="379" spans="1:7" s="30" customFormat="1" ht="14.45">
      <c r="A379" s="59"/>
      <c r="B379" s="100"/>
      <c r="C379" s="61"/>
      <c r="D379" s="62"/>
      <c r="E379" s="157"/>
      <c r="F379" s="137"/>
      <c r="G379" s="217"/>
    </row>
    <row r="380" spans="1:7" s="30" customFormat="1" ht="14.45">
      <c r="A380" s="66" t="s">
        <v>20</v>
      </c>
      <c r="B380" s="67" t="s">
        <v>2104</v>
      </c>
      <c r="C380" s="68" t="s">
        <v>936</v>
      </c>
      <c r="D380" s="69" t="s">
        <v>199</v>
      </c>
      <c r="E380" s="157">
        <v>53.15</v>
      </c>
      <c r="F380" s="137">
        <f>C380*E380</f>
        <v>4783.5</v>
      </c>
      <c r="G380" s="217"/>
    </row>
    <row r="381" spans="1:7" s="30" customFormat="1" ht="14.45">
      <c r="A381" s="59"/>
      <c r="B381" s="100"/>
      <c r="C381" s="61"/>
      <c r="D381" s="62"/>
      <c r="E381" s="157"/>
      <c r="F381" s="137"/>
      <c r="G381" s="217"/>
    </row>
    <row r="382" spans="1:7" s="30" customFormat="1" ht="14.45">
      <c r="A382" s="66" t="s">
        <v>23</v>
      </c>
      <c r="B382" s="67" t="s">
        <v>2105</v>
      </c>
      <c r="C382" s="68" t="s">
        <v>2103</v>
      </c>
      <c r="D382" s="69" t="s">
        <v>199</v>
      </c>
      <c r="E382" s="157">
        <v>53.15</v>
      </c>
      <c r="F382" s="137">
        <f>C382*E382</f>
        <v>5315</v>
      </c>
      <c r="G382" s="217"/>
    </row>
    <row r="383" spans="1:7" s="30" customFormat="1" ht="14.45">
      <c r="A383" s="59"/>
      <c r="B383" s="100"/>
      <c r="C383" s="61"/>
      <c r="D383" s="62"/>
      <c r="E383" s="157"/>
      <c r="F383" s="137"/>
      <c r="G383" s="217"/>
    </row>
    <row r="384" spans="1:7" s="30" customFormat="1" ht="14.45">
      <c r="A384" s="66" t="s">
        <v>27</v>
      </c>
      <c r="B384" s="67" t="s">
        <v>2106</v>
      </c>
      <c r="C384" s="68"/>
      <c r="D384" s="69" t="s">
        <v>2</v>
      </c>
      <c r="E384" s="157">
        <v>5580.08</v>
      </c>
      <c r="F384" s="137">
        <f t="shared" ref="F384:F414" si="14">+E384</f>
        <v>5580.08</v>
      </c>
      <c r="G384" s="217"/>
    </row>
    <row r="385" spans="1:7" s="30" customFormat="1" ht="14.45">
      <c r="A385" s="59"/>
      <c r="B385" s="100"/>
      <c r="C385" s="61"/>
      <c r="D385" s="62"/>
      <c r="E385" s="157"/>
      <c r="F385" s="137">
        <f t="shared" si="14"/>
        <v>0</v>
      </c>
      <c r="G385" s="217"/>
    </row>
    <row r="386" spans="1:7" s="30" customFormat="1" ht="14.45">
      <c r="A386" s="66" t="s">
        <v>44</v>
      </c>
      <c r="B386" s="67" t="s">
        <v>2107</v>
      </c>
      <c r="C386" s="68"/>
      <c r="D386" s="69" t="s">
        <v>2</v>
      </c>
      <c r="E386" s="157">
        <v>4304.63</v>
      </c>
      <c r="F386" s="137">
        <f t="shared" si="14"/>
        <v>4304.63</v>
      </c>
      <c r="G386" s="217"/>
    </row>
    <row r="387" spans="1:7" s="30" customFormat="1" ht="14.45">
      <c r="A387" s="59"/>
      <c r="B387" s="100"/>
      <c r="C387" s="61"/>
      <c r="D387" s="62"/>
      <c r="E387" s="157"/>
      <c r="F387" s="137">
        <f t="shared" si="14"/>
        <v>0</v>
      </c>
      <c r="G387" s="217"/>
    </row>
    <row r="388" spans="1:7" s="30" customFormat="1" ht="14.45">
      <c r="A388" s="66" t="s">
        <v>48</v>
      </c>
      <c r="B388" s="67" t="s">
        <v>2108</v>
      </c>
      <c r="C388" s="68"/>
      <c r="D388" s="69" t="s">
        <v>2</v>
      </c>
      <c r="E388" s="157">
        <v>6589.81</v>
      </c>
      <c r="F388" s="137">
        <f t="shared" si="14"/>
        <v>6589.81</v>
      </c>
      <c r="G388" s="217"/>
    </row>
    <row r="389" spans="1:7" s="30" customFormat="1" ht="14.45">
      <c r="A389" s="59"/>
      <c r="B389" s="100"/>
      <c r="C389" s="61"/>
      <c r="D389" s="62"/>
      <c r="E389" s="157"/>
      <c r="F389" s="137">
        <f t="shared" si="14"/>
        <v>0</v>
      </c>
      <c r="G389" s="217"/>
    </row>
    <row r="390" spans="1:7" s="30" customFormat="1" ht="14.45">
      <c r="A390" s="66" t="s">
        <v>84</v>
      </c>
      <c r="B390" s="67" t="s">
        <v>2109</v>
      </c>
      <c r="C390" s="68"/>
      <c r="D390" s="69" t="s">
        <v>2</v>
      </c>
      <c r="E390" s="157">
        <v>7121.24</v>
      </c>
      <c r="F390" s="137">
        <f t="shared" si="14"/>
        <v>7121.24</v>
      </c>
      <c r="G390" s="217"/>
    </row>
    <row r="391" spans="1:7" s="30" customFormat="1" ht="14.45">
      <c r="A391" s="59"/>
      <c r="B391" s="100"/>
      <c r="C391" s="61"/>
      <c r="D391" s="62"/>
      <c r="E391" s="157"/>
      <c r="F391" s="137">
        <f t="shared" si="14"/>
        <v>0</v>
      </c>
      <c r="G391" s="217"/>
    </row>
    <row r="392" spans="1:7" s="30" customFormat="1" ht="14.45">
      <c r="A392" s="66" t="s">
        <v>86</v>
      </c>
      <c r="B392" s="67" t="s">
        <v>2110</v>
      </c>
      <c r="C392" s="68"/>
      <c r="D392" s="69" t="s">
        <v>2</v>
      </c>
      <c r="E392" s="157">
        <v>4092.06</v>
      </c>
      <c r="F392" s="137">
        <f t="shared" si="14"/>
        <v>4092.06</v>
      </c>
      <c r="G392" s="217"/>
    </row>
    <row r="393" spans="1:7" s="30" customFormat="1" ht="14.45">
      <c r="A393" s="59"/>
      <c r="B393" s="100"/>
      <c r="C393" s="61"/>
      <c r="D393" s="62"/>
      <c r="E393" s="157"/>
      <c r="F393" s="137">
        <f t="shared" si="14"/>
        <v>0</v>
      </c>
      <c r="G393" s="217"/>
    </row>
    <row r="394" spans="1:7" s="30" customFormat="1" ht="14.45">
      <c r="A394" s="66" t="s">
        <v>90</v>
      </c>
      <c r="B394" s="67" t="s">
        <v>2111</v>
      </c>
      <c r="C394" s="68"/>
      <c r="D394" s="69" t="s">
        <v>2</v>
      </c>
      <c r="E394" s="157">
        <v>5101.79</v>
      </c>
      <c r="F394" s="137">
        <f t="shared" si="14"/>
        <v>5101.79</v>
      </c>
      <c r="G394" s="217"/>
    </row>
    <row r="395" spans="1:7" s="30" customFormat="1" ht="14.45">
      <c r="A395" s="59"/>
      <c r="B395" s="100"/>
      <c r="C395" s="61"/>
      <c r="D395" s="62"/>
      <c r="E395" s="157"/>
      <c r="F395" s="137">
        <f t="shared" si="14"/>
        <v>0</v>
      </c>
      <c r="G395" s="217"/>
    </row>
    <row r="396" spans="1:7" s="30" customFormat="1" ht="27.6">
      <c r="A396" s="66" t="s">
        <v>92</v>
      </c>
      <c r="B396" s="67" t="s">
        <v>2112</v>
      </c>
      <c r="C396" s="68"/>
      <c r="D396" s="69" t="s">
        <v>2</v>
      </c>
      <c r="E396" s="157">
        <v>7440.11</v>
      </c>
      <c r="F396" s="137">
        <f t="shared" si="14"/>
        <v>7440.11</v>
      </c>
      <c r="G396" s="217"/>
    </row>
    <row r="397" spans="1:7" s="30" customFormat="1" ht="14.45">
      <c r="A397" s="59"/>
      <c r="B397" s="100"/>
      <c r="C397" s="61"/>
      <c r="D397" s="62"/>
      <c r="E397" s="157"/>
      <c r="F397" s="137">
        <f t="shared" si="14"/>
        <v>0</v>
      </c>
      <c r="G397" s="217"/>
    </row>
    <row r="398" spans="1:7" s="30" customFormat="1" ht="27.6">
      <c r="A398" s="66"/>
      <c r="B398" s="98" t="s">
        <v>2113</v>
      </c>
      <c r="C398" s="68"/>
      <c r="D398" s="69"/>
      <c r="E398" s="157"/>
      <c r="F398" s="137">
        <f t="shared" si="14"/>
        <v>0</v>
      </c>
      <c r="G398" s="217"/>
    </row>
    <row r="399" spans="1:7" s="30" customFormat="1" ht="10.5" customHeight="1">
      <c r="A399" s="59"/>
      <c r="B399" s="100"/>
      <c r="C399" s="61"/>
      <c r="D399" s="62"/>
      <c r="E399" s="157"/>
      <c r="F399" s="137">
        <f t="shared" si="14"/>
        <v>0</v>
      </c>
      <c r="G399" s="217"/>
    </row>
    <row r="400" spans="1:7" s="30" customFormat="1" ht="27.6">
      <c r="A400" s="66" t="s">
        <v>94</v>
      </c>
      <c r="B400" s="67" t="s">
        <v>2114</v>
      </c>
      <c r="C400" s="68"/>
      <c r="D400" s="69" t="s">
        <v>2</v>
      </c>
      <c r="E400" s="157">
        <v>18636.87</v>
      </c>
      <c r="F400" s="137">
        <f t="shared" si="14"/>
        <v>18636.87</v>
      </c>
      <c r="G400" s="217"/>
    </row>
    <row r="401" spans="1:7" s="30" customFormat="1" ht="10.5" customHeight="1">
      <c r="A401" s="59"/>
      <c r="B401" s="100"/>
      <c r="C401" s="61"/>
      <c r="D401" s="62"/>
      <c r="E401" s="157"/>
      <c r="F401" s="137">
        <f t="shared" si="14"/>
        <v>0</v>
      </c>
      <c r="G401" s="217"/>
    </row>
    <row r="402" spans="1:7" s="30" customFormat="1" ht="27.6">
      <c r="A402" s="66" t="s">
        <v>140</v>
      </c>
      <c r="B402" s="67" t="s">
        <v>2115</v>
      </c>
      <c r="C402" s="68"/>
      <c r="D402" s="69" t="s">
        <v>2</v>
      </c>
      <c r="E402" s="157">
        <v>18636.87</v>
      </c>
      <c r="F402" s="137">
        <f t="shared" si="14"/>
        <v>18636.87</v>
      </c>
      <c r="G402" s="217"/>
    </row>
    <row r="403" spans="1:7" s="30" customFormat="1" ht="9.75" customHeight="1">
      <c r="A403" s="59"/>
      <c r="B403" s="100"/>
      <c r="C403" s="61"/>
      <c r="D403" s="62"/>
      <c r="E403" s="157"/>
      <c r="F403" s="137">
        <f t="shared" si="14"/>
        <v>0</v>
      </c>
      <c r="G403" s="217"/>
    </row>
    <row r="404" spans="1:7" s="30" customFormat="1" ht="14.45">
      <c r="A404" s="66" t="s">
        <v>159</v>
      </c>
      <c r="B404" s="67" t="s">
        <v>2116</v>
      </c>
      <c r="C404" s="68"/>
      <c r="D404" s="69" t="s">
        <v>2</v>
      </c>
      <c r="E404" s="157">
        <v>12896.72</v>
      </c>
      <c r="F404" s="137">
        <f t="shared" si="14"/>
        <v>12896.72</v>
      </c>
      <c r="G404" s="217"/>
    </row>
    <row r="405" spans="1:7" s="30" customFormat="1" ht="6.75" customHeight="1">
      <c r="A405" s="59"/>
      <c r="B405" s="100"/>
      <c r="C405" s="61"/>
      <c r="D405" s="62"/>
      <c r="E405" s="157"/>
      <c r="F405" s="137">
        <f t="shared" si="14"/>
        <v>0</v>
      </c>
      <c r="G405" s="217"/>
    </row>
    <row r="406" spans="1:7" s="30" customFormat="1" ht="14.45">
      <c r="A406" s="66" t="s">
        <v>162</v>
      </c>
      <c r="B406" s="67" t="s">
        <v>2117</v>
      </c>
      <c r="C406" s="68"/>
      <c r="D406" s="69" t="s">
        <v>2</v>
      </c>
      <c r="E406" s="157">
        <v>18040.5</v>
      </c>
      <c r="F406" s="137">
        <f t="shared" si="14"/>
        <v>18040.5</v>
      </c>
      <c r="G406" s="217"/>
    </row>
    <row r="407" spans="1:7" s="30" customFormat="1" ht="14.45">
      <c r="A407" s="59"/>
      <c r="B407" s="100"/>
      <c r="C407" s="61"/>
      <c r="D407" s="62"/>
      <c r="E407" s="157"/>
      <c r="F407" s="137">
        <f t="shared" si="14"/>
        <v>0</v>
      </c>
      <c r="G407" s="217"/>
    </row>
    <row r="408" spans="1:7" s="30" customFormat="1" ht="14.45">
      <c r="A408" s="66" t="s">
        <v>164</v>
      </c>
      <c r="B408" s="67" t="s">
        <v>2118</v>
      </c>
      <c r="C408" s="68"/>
      <c r="D408" s="69" t="s">
        <v>2</v>
      </c>
      <c r="E408" s="157">
        <v>20127.82</v>
      </c>
      <c r="F408" s="137">
        <f t="shared" si="14"/>
        <v>20127.82</v>
      </c>
      <c r="G408" s="217"/>
    </row>
    <row r="409" spans="1:7" s="30" customFormat="1" ht="14.45">
      <c r="A409" s="59"/>
      <c r="B409" s="100"/>
      <c r="C409" s="61"/>
      <c r="D409" s="62"/>
      <c r="E409" s="157"/>
      <c r="F409" s="137">
        <f t="shared" si="14"/>
        <v>0</v>
      </c>
      <c r="G409" s="217"/>
    </row>
    <row r="410" spans="1:7" s="30" customFormat="1" ht="14.45">
      <c r="A410" s="66" t="s">
        <v>166</v>
      </c>
      <c r="B410" s="67" t="s">
        <v>2119</v>
      </c>
      <c r="C410" s="68"/>
      <c r="D410" s="69" t="s">
        <v>2</v>
      </c>
      <c r="E410" s="157">
        <v>4398.3</v>
      </c>
      <c r="F410" s="137">
        <f t="shared" si="14"/>
        <v>4398.3</v>
      </c>
      <c r="G410" s="217"/>
    </row>
    <row r="411" spans="1:7" s="30" customFormat="1" ht="14.45">
      <c r="A411" s="59"/>
      <c r="B411" s="100"/>
      <c r="C411" s="61"/>
      <c r="D411" s="62"/>
      <c r="E411" s="157"/>
      <c r="F411" s="137">
        <f t="shared" si="14"/>
        <v>0</v>
      </c>
      <c r="G411" s="217"/>
    </row>
    <row r="412" spans="1:7" s="30" customFormat="1" ht="14.45">
      <c r="A412" s="66" t="s">
        <v>168</v>
      </c>
      <c r="B412" s="67" t="s">
        <v>2120</v>
      </c>
      <c r="C412" s="68"/>
      <c r="D412" s="69" t="s">
        <v>2</v>
      </c>
      <c r="E412" s="157">
        <v>8051.13</v>
      </c>
      <c r="F412" s="137">
        <f t="shared" si="14"/>
        <v>8051.13</v>
      </c>
      <c r="G412" s="217"/>
    </row>
    <row r="413" spans="1:7" s="30" customFormat="1" ht="14.45">
      <c r="A413" s="59"/>
      <c r="B413" s="100"/>
      <c r="C413" s="61"/>
      <c r="D413" s="62"/>
      <c r="E413" s="157"/>
      <c r="F413" s="137">
        <f t="shared" si="14"/>
        <v>0</v>
      </c>
      <c r="G413" s="217"/>
    </row>
    <row r="414" spans="1:7" s="30" customFormat="1" ht="14.45">
      <c r="A414" s="66" t="s">
        <v>170</v>
      </c>
      <c r="B414" s="67" t="s">
        <v>2121</v>
      </c>
      <c r="C414" s="68"/>
      <c r="D414" s="69" t="s">
        <v>2</v>
      </c>
      <c r="E414" s="157">
        <v>14089.48</v>
      </c>
      <c r="F414" s="137">
        <f t="shared" si="14"/>
        <v>14089.48</v>
      </c>
      <c r="G414" s="217"/>
    </row>
    <row r="415" spans="1:7" s="30" customFormat="1" ht="14.45">
      <c r="A415" s="59"/>
      <c r="B415" s="63"/>
      <c r="C415" s="61"/>
      <c r="D415" s="62"/>
      <c r="E415" s="157"/>
      <c r="F415" s="137"/>
      <c r="G415" s="217"/>
    </row>
    <row r="416" spans="1:7" s="30" customFormat="1" ht="14.45">
      <c r="A416" s="71"/>
      <c r="B416" s="72"/>
      <c r="C416" s="73"/>
      <c r="D416" s="74"/>
      <c r="E416" s="159"/>
      <c r="F416" s="138"/>
      <c r="G416" s="226"/>
    </row>
    <row r="417" spans="1:7" s="30" customFormat="1" ht="14.45">
      <c r="A417" s="75"/>
      <c r="B417" s="76"/>
      <c r="C417" s="77" t="s">
        <v>30</v>
      </c>
      <c r="D417" s="77"/>
      <c r="E417" s="160" t="s">
        <v>8</v>
      </c>
      <c r="F417" s="139">
        <f>SUM(F374:F414)</f>
        <v>178226.74000000002</v>
      </c>
      <c r="G417" s="227"/>
    </row>
    <row r="418" spans="1:7" s="30" customFormat="1" ht="14.45">
      <c r="A418" s="75"/>
      <c r="B418" s="76"/>
      <c r="C418" s="78"/>
      <c r="D418" s="79"/>
      <c r="E418" s="161"/>
      <c r="F418" s="140"/>
      <c r="G418" s="228"/>
    </row>
    <row r="419" spans="1:7" s="30" customFormat="1" ht="14.45">
      <c r="A419" s="59"/>
      <c r="B419" s="63"/>
      <c r="C419" s="61"/>
      <c r="D419" s="62"/>
      <c r="E419" s="157"/>
      <c r="F419" s="137"/>
      <c r="G419" s="217"/>
    </row>
    <row r="420" spans="1:7" s="30" customFormat="1" ht="14.45">
      <c r="A420" s="59"/>
      <c r="B420" s="64" t="s">
        <v>1950</v>
      </c>
      <c r="C420" s="61"/>
      <c r="D420" s="62"/>
      <c r="E420" s="157"/>
      <c r="F420" s="137"/>
      <c r="G420" s="217"/>
    </row>
    <row r="421" spans="1:7" s="30" customFormat="1" ht="14.45">
      <c r="A421" s="59"/>
      <c r="B421" s="100"/>
      <c r="C421" s="61"/>
      <c r="D421" s="62"/>
      <c r="E421" s="157"/>
      <c r="F421" s="137"/>
      <c r="G421" s="217"/>
    </row>
    <row r="422" spans="1:7" s="30" customFormat="1" ht="14.45">
      <c r="A422" s="66" t="s">
        <v>14</v>
      </c>
      <c r="B422" s="67" t="s">
        <v>2122</v>
      </c>
      <c r="C422" s="68"/>
      <c r="D422" s="69" t="s">
        <v>2</v>
      </c>
      <c r="E422" s="157">
        <v>7678.39</v>
      </c>
      <c r="F422" s="137">
        <f t="shared" ref="F422:F462" si="15">+E422</f>
        <v>7678.39</v>
      </c>
      <c r="G422" s="217"/>
    </row>
    <row r="423" spans="1:7" s="30" customFormat="1" ht="14.45">
      <c r="A423" s="59"/>
      <c r="B423" s="100"/>
      <c r="C423" s="61"/>
      <c r="D423" s="62"/>
      <c r="E423" s="157"/>
      <c r="F423" s="137">
        <f t="shared" si="15"/>
        <v>0</v>
      </c>
      <c r="G423" s="217"/>
    </row>
    <row r="424" spans="1:7" s="30" customFormat="1" ht="14.45">
      <c r="A424" s="66" t="s">
        <v>17</v>
      </c>
      <c r="B424" s="67" t="s">
        <v>2123</v>
      </c>
      <c r="C424" s="68"/>
      <c r="D424" s="69" t="s">
        <v>2</v>
      </c>
      <c r="E424" s="157">
        <v>14536.76</v>
      </c>
      <c r="F424" s="137">
        <f t="shared" si="15"/>
        <v>14536.76</v>
      </c>
      <c r="G424" s="217"/>
    </row>
    <row r="425" spans="1:7" s="30" customFormat="1" ht="14.45">
      <c r="A425" s="59"/>
      <c r="B425" s="100"/>
      <c r="C425" s="61"/>
      <c r="D425" s="62"/>
      <c r="E425" s="157"/>
      <c r="F425" s="137">
        <f t="shared" si="15"/>
        <v>0</v>
      </c>
      <c r="G425" s="217"/>
    </row>
    <row r="426" spans="1:7" s="30" customFormat="1" ht="14.45">
      <c r="A426" s="66" t="s">
        <v>20</v>
      </c>
      <c r="B426" s="67" t="s">
        <v>2124</v>
      </c>
      <c r="C426" s="68"/>
      <c r="D426" s="69" t="s">
        <v>2</v>
      </c>
      <c r="E426" s="157">
        <v>10585.74</v>
      </c>
      <c r="F426" s="137">
        <f t="shared" si="15"/>
        <v>10585.74</v>
      </c>
      <c r="G426" s="217"/>
    </row>
    <row r="427" spans="1:7" s="30" customFormat="1" ht="14.45">
      <c r="A427" s="59"/>
      <c r="B427" s="100"/>
      <c r="C427" s="61"/>
      <c r="D427" s="62"/>
      <c r="E427" s="157"/>
      <c r="F427" s="137">
        <f t="shared" si="15"/>
        <v>0</v>
      </c>
      <c r="G427" s="217"/>
    </row>
    <row r="428" spans="1:7" s="30" customFormat="1" ht="14.45">
      <c r="A428" s="66" t="s">
        <v>23</v>
      </c>
      <c r="B428" s="67" t="s">
        <v>2125</v>
      </c>
      <c r="C428" s="68"/>
      <c r="D428" s="69" t="s">
        <v>2</v>
      </c>
      <c r="E428" s="157">
        <v>5740.15</v>
      </c>
      <c r="F428" s="137">
        <f t="shared" si="15"/>
        <v>5740.15</v>
      </c>
      <c r="G428" s="217"/>
    </row>
    <row r="429" spans="1:7" s="30" customFormat="1" ht="14.45">
      <c r="A429" s="59"/>
      <c r="B429" s="100"/>
      <c r="C429" s="61"/>
      <c r="D429" s="62"/>
      <c r="E429" s="157"/>
      <c r="F429" s="137">
        <f t="shared" si="15"/>
        <v>0</v>
      </c>
      <c r="G429" s="217"/>
    </row>
    <row r="430" spans="1:7" s="30" customFormat="1" ht="14.45">
      <c r="A430" s="66" t="s">
        <v>27</v>
      </c>
      <c r="B430" s="67" t="s">
        <v>2126</v>
      </c>
      <c r="C430" s="68"/>
      <c r="D430" s="69" t="s">
        <v>2</v>
      </c>
      <c r="E430" s="157">
        <v>10958.48</v>
      </c>
      <c r="F430" s="137">
        <f t="shared" si="15"/>
        <v>10958.48</v>
      </c>
      <c r="G430" s="217"/>
    </row>
    <row r="431" spans="1:7" s="30" customFormat="1" ht="14.45">
      <c r="A431" s="59"/>
      <c r="B431" s="100"/>
      <c r="C431" s="61"/>
      <c r="D431" s="62"/>
      <c r="E431" s="157"/>
      <c r="F431" s="137">
        <f t="shared" si="15"/>
        <v>0</v>
      </c>
      <c r="G431" s="217"/>
    </row>
    <row r="432" spans="1:7" s="30" customFormat="1" ht="14.45">
      <c r="A432" s="66" t="s">
        <v>44</v>
      </c>
      <c r="B432" s="67" t="s">
        <v>2127</v>
      </c>
      <c r="C432" s="68"/>
      <c r="D432" s="69" t="s">
        <v>2</v>
      </c>
      <c r="E432" s="157">
        <v>6634.73</v>
      </c>
      <c r="F432" s="137">
        <f t="shared" si="15"/>
        <v>6634.73</v>
      </c>
      <c r="G432" s="217"/>
    </row>
    <row r="433" spans="1:7" s="30" customFormat="1" ht="14.45">
      <c r="A433" s="59"/>
      <c r="B433" s="100"/>
      <c r="C433" s="61"/>
      <c r="D433" s="62"/>
      <c r="E433" s="157"/>
      <c r="F433" s="137">
        <f t="shared" si="15"/>
        <v>0</v>
      </c>
      <c r="G433" s="217"/>
    </row>
    <row r="434" spans="1:7" s="30" customFormat="1" ht="14.45">
      <c r="A434" s="66" t="s">
        <v>48</v>
      </c>
      <c r="B434" s="67" t="s">
        <v>2128</v>
      </c>
      <c r="C434" s="68"/>
      <c r="D434" s="69" t="s">
        <v>2</v>
      </c>
      <c r="E434" s="157">
        <v>7454.75</v>
      </c>
      <c r="F434" s="137">
        <f t="shared" si="15"/>
        <v>7454.75</v>
      </c>
      <c r="G434" s="217"/>
    </row>
    <row r="435" spans="1:7" s="30" customFormat="1" ht="14.45">
      <c r="A435" s="59"/>
      <c r="B435" s="100"/>
      <c r="C435" s="61"/>
      <c r="D435" s="62"/>
      <c r="E435" s="157"/>
      <c r="F435" s="137">
        <f t="shared" si="15"/>
        <v>0</v>
      </c>
      <c r="G435" s="217"/>
    </row>
    <row r="436" spans="1:7" s="30" customFormat="1" ht="27.6">
      <c r="A436" s="66"/>
      <c r="B436" s="98" t="s">
        <v>2129</v>
      </c>
      <c r="C436" s="68"/>
      <c r="D436" s="69"/>
      <c r="E436" s="157"/>
      <c r="F436" s="137">
        <f t="shared" si="15"/>
        <v>0</v>
      </c>
      <c r="G436" s="217"/>
    </row>
    <row r="437" spans="1:7" s="30" customFormat="1" ht="14.45">
      <c r="A437" s="59"/>
      <c r="B437" s="100"/>
      <c r="C437" s="61"/>
      <c r="D437" s="62"/>
      <c r="E437" s="157"/>
      <c r="F437" s="137">
        <f t="shared" si="15"/>
        <v>0</v>
      </c>
      <c r="G437" s="217"/>
    </row>
    <row r="438" spans="1:7" s="30" customFormat="1" ht="14.45">
      <c r="A438" s="66" t="s">
        <v>84</v>
      </c>
      <c r="B438" s="67" t="s">
        <v>2130</v>
      </c>
      <c r="C438" s="68"/>
      <c r="D438" s="69" t="s">
        <v>2</v>
      </c>
      <c r="E438" s="157">
        <v>1001.79</v>
      </c>
      <c r="F438" s="137">
        <f t="shared" si="15"/>
        <v>1001.79</v>
      </c>
      <c r="G438" s="217"/>
    </row>
    <row r="439" spans="1:7" s="30" customFormat="1" ht="14.45">
      <c r="A439" s="59"/>
      <c r="B439" s="100"/>
      <c r="C439" s="61"/>
      <c r="D439" s="62"/>
      <c r="E439" s="157"/>
      <c r="F439" s="137">
        <f t="shared" si="15"/>
        <v>0</v>
      </c>
      <c r="G439" s="217"/>
    </row>
    <row r="440" spans="1:7" s="91" customFormat="1" ht="14.45">
      <c r="A440" s="80" t="s">
        <v>86</v>
      </c>
      <c r="B440" s="81" t="s">
        <v>2131</v>
      </c>
      <c r="C440" s="82"/>
      <c r="D440" s="83" t="s">
        <v>2</v>
      </c>
      <c r="E440" s="158">
        <v>572.46</v>
      </c>
      <c r="F440" s="137">
        <f t="shared" si="15"/>
        <v>572.46</v>
      </c>
      <c r="G440" s="217"/>
    </row>
    <row r="441" spans="1:7" s="30" customFormat="1" ht="14.45">
      <c r="A441" s="59"/>
      <c r="B441" s="100"/>
      <c r="C441" s="61"/>
      <c r="D441" s="62"/>
      <c r="E441" s="157"/>
      <c r="F441" s="137">
        <f t="shared" si="15"/>
        <v>0</v>
      </c>
      <c r="G441" s="217"/>
    </row>
    <row r="442" spans="1:7" s="30" customFormat="1" ht="14.45">
      <c r="A442" s="66" t="s">
        <v>90</v>
      </c>
      <c r="B442" s="67" t="s">
        <v>2132</v>
      </c>
      <c r="C442" s="68"/>
      <c r="D442" s="69" t="s">
        <v>2</v>
      </c>
      <c r="E442" s="157">
        <v>11806.83</v>
      </c>
      <c r="F442" s="137">
        <f t="shared" si="15"/>
        <v>11806.83</v>
      </c>
      <c r="G442" s="217"/>
    </row>
    <row r="443" spans="1:7" s="30" customFormat="1" ht="9.75" customHeight="1">
      <c r="A443" s="59"/>
      <c r="B443" s="100"/>
      <c r="C443" s="61"/>
      <c r="D443" s="62"/>
      <c r="E443" s="157"/>
      <c r="F443" s="137">
        <f t="shared" si="15"/>
        <v>0</v>
      </c>
      <c r="G443" s="217"/>
    </row>
    <row r="444" spans="1:7" s="30" customFormat="1" ht="14.45">
      <c r="A444" s="66" t="s">
        <v>92</v>
      </c>
      <c r="B444" s="67" t="s">
        <v>2133</v>
      </c>
      <c r="C444" s="68"/>
      <c r="D444" s="69" t="s">
        <v>2</v>
      </c>
      <c r="E444" s="157">
        <v>9016.1299999999992</v>
      </c>
      <c r="F444" s="137">
        <f t="shared" si="15"/>
        <v>9016.1299999999992</v>
      </c>
      <c r="G444" s="217"/>
    </row>
    <row r="445" spans="1:7" s="30" customFormat="1" ht="9.75" customHeight="1">
      <c r="A445" s="59"/>
      <c r="B445" s="100"/>
      <c r="C445" s="61"/>
      <c r="D445" s="62"/>
      <c r="E445" s="157"/>
      <c r="F445" s="137">
        <f t="shared" si="15"/>
        <v>0</v>
      </c>
      <c r="G445" s="217"/>
    </row>
    <row r="446" spans="1:7" s="30" customFormat="1" ht="14.45">
      <c r="A446" s="66" t="s">
        <v>94</v>
      </c>
      <c r="B446" s="67" t="s">
        <v>2134</v>
      </c>
      <c r="C446" s="68"/>
      <c r="D446" s="69" t="s">
        <v>2</v>
      </c>
      <c r="E446" s="157">
        <v>5008.96</v>
      </c>
      <c r="F446" s="137">
        <f t="shared" si="15"/>
        <v>5008.96</v>
      </c>
      <c r="G446" s="217"/>
    </row>
    <row r="447" spans="1:7" s="30" customFormat="1" ht="11.25" customHeight="1">
      <c r="A447" s="59"/>
      <c r="B447" s="100"/>
      <c r="C447" s="61"/>
      <c r="D447" s="62"/>
      <c r="E447" s="157"/>
      <c r="F447" s="137">
        <f t="shared" si="15"/>
        <v>0</v>
      </c>
      <c r="G447" s="217"/>
    </row>
    <row r="448" spans="1:7" s="30" customFormat="1" ht="14.45">
      <c r="A448" s="66" t="s">
        <v>140</v>
      </c>
      <c r="B448" s="67" t="s">
        <v>2135</v>
      </c>
      <c r="C448" s="68"/>
      <c r="D448" s="69" t="s">
        <v>2</v>
      </c>
      <c r="E448" s="157">
        <v>6153.86</v>
      </c>
      <c r="F448" s="137">
        <f t="shared" si="15"/>
        <v>6153.86</v>
      </c>
      <c r="G448" s="217"/>
    </row>
    <row r="449" spans="1:7" s="30" customFormat="1" ht="14.45">
      <c r="A449" s="59"/>
      <c r="B449" s="100"/>
      <c r="C449" s="61"/>
      <c r="D449" s="62"/>
      <c r="E449" s="157"/>
      <c r="F449" s="137">
        <f t="shared" si="15"/>
        <v>0</v>
      </c>
      <c r="G449" s="217"/>
    </row>
    <row r="450" spans="1:7" s="30" customFormat="1" ht="14.45">
      <c r="A450" s="66" t="s">
        <v>159</v>
      </c>
      <c r="B450" s="67" t="s">
        <v>2136</v>
      </c>
      <c r="C450" s="68"/>
      <c r="D450" s="69" t="s">
        <v>2</v>
      </c>
      <c r="E450" s="157">
        <v>6583.21</v>
      </c>
      <c r="F450" s="137">
        <f t="shared" si="15"/>
        <v>6583.21</v>
      </c>
      <c r="G450" s="217"/>
    </row>
    <row r="451" spans="1:7" s="30" customFormat="1" ht="14.45">
      <c r="A451" s="59"/>
      <c r="B451" s="100"/>
      <c r="C451" s="61"/>
      <c r="D451" s="62"/>
      <c r="E451" s="157"/>
      <c r="F451" s="137">
        <f t="shared" si="15"/>
        <v>0</v>
      </c>
      <c r="G451" s="217"/>
    </row>
    <row r="452" spans="1:7" s="30" customFormat="1" ht="14.45">
      <c r="A452" s="66" t="s">
        <v>162</v>
      </c>
      <c r="B452" s="67" t="s">
        <v>2137</v>
      </c>
      <c r="C452" s="68"/>
      <c r="D452" s="69" t="s">
        <v>2</v>
      </c>
      <c r="E452" s="157">
        <v>7513.44</v>
      </c>
      <c r="F452" s="137">
        <f t="shared" si="15"/>
        <v>7513.44</v>
      </c>
      <c r="G452" s="217"/>
    </row>
    <row r="453" spans="1:7" s="30" customFormat="1" ht="14.45">
      <c r="A453" s="59"/>
      <c r="B453" s="100"/>
      <c r="C453" s="61"/>
      <c r="D453" s="62"/>
      <c r="E453" s="157"/>
      <c r="F453" s="137">
        <f t="shared" si="15"/>
        <v>0</v>
      </c>
      <c r="G453" s="217"/>
    </row>
    <row r="454" spans="1:7" s="30" customFormat="1" ht="14.45">
      <c r="A454" s="66" t="s">
        <v>164</v>
      </c>
      <c r="B454" s="67" t="s">
        <v>2138</v>
      </c>
      <c r="C454" s="68"/>
      <c r="D454" s="69" t="s">
        <v>2</v>
      </c>
      <c r="E454" s="157">
        <v>9159.24</v>
      </c>
      <c r="F454" s="137">
        <f t="shared" si="15"/>
        <v>9159.24</v>
      </c>
      <c r="G454" s="217"/>
    </row>
    <row r="455" spans="1:7" s="30" customFormat="1" ht="14.45">
      <c r="A455" s="59"/>
      <c r="B455" s="100"/>
      <c r="C455" s="61"/>
      <c r="D455" s="62"/>
      <c r="E455" s="157"/>
      <c r="F455" s="137">
        <f t="shared" si="15"/>
        <v>0</v>
      </c>
      <c r="G455" s="217"/>
    </row>
    <row r="456" spans="1:7" s="30" customFormat="1" ht="14.45">
      <c r="A456" s="66" t="s">
        <v>166</v>
      </c>
      <c r="B456" s="67" t="s">
        <v>2139</v>
      </c>
      <c r="C456" s="68"/>
      <c r="D456" s="69" t="s">
        <v>2</v>
      </c>
      <c r="E456" s="157">
        <v>9016.1299999999992</v>
      </c>
      <c r="F456" s="137">
        <f t="shared" si="15"/>
        <v>9016.1299999999992</v>
      </c>
      <c r="G456" s="217"/>
    </row>
    <row r="457" spans="1:7" s="30" customFormat="1" ht="14.45">
      <c r="A457" s="59"/>
      <c r="B457" s="100"/>
      <c r="C457" s="61"/>
      <c r="D457" s="62"/>
      <c r="E457" s="157"/>
      <c r="F457" s="137">
        <f t="shared" si="15"/>
        <v>0</v>
      </c>
      <c r="G457" s="217"/>
    </row>
    <row r="458" spans="1:7" s="30" customFormat="1" ht="14.45">
      <c r="A458" s="66" t="s">
        <v>168</v>
      </c>
      <c r="B458" s="67" t="s">
        <v>2140</v>
      </c>
      <c r="C458" s="68"/>
      <c r="D458" s="69" t="s">
        <v>2</v>
      </c>
      <c r="E458" s="157">
        <v>8229.01</v>
      </c>
      <c r="F458" s="137">
        <f t="shared" si="15"/>
        <v>8229.01</v>
      </c>
      <c r="G458" s="217"/>
    </row>
    <row r="459" spans="1:7" s="30" customFormat="1" ht="14.45">
      <c r="A459" s="59"/>
      <c r="B459" s="100"/>
      <c r="C459" s="61"/>
      <c r="D459" s="62"/>
      <c r="E459" s="157"/>
      <c r="F459" s="137">
        <f t="shared" si="15"/>
        <v>0</v>
      </c>
      <c r="G459" s="217"/>
    </row>
    <row r="460" spans="1:7" s="30" customFormat="1" ht="14.45">
      <c r="A460" s="66" t="s">
        <v>170</v>
      </c>
      <c r="B460" s="67" t="s">
        <v>2141</v>
      </c>
      <c r="C460" s="68"/>
      <c r="D460" s="69" t="s">
        <v>2</v>
      </c>
      <c r="E460" s="157">
        <v>7513.44</v>
      </c>
      <c r="F460" s="137">
        <f t="shared" si="15"/>
        <v>7513.44</v>
      </c>
      <c r="G460" s="217"/>
    </row>
    <row r="461" spans="1:7" s="30" customFormat="1" ht="14.45">
      <c r="A461" s="59"/>
      <c r="B461" s="100"/>
      <c r="C461" s="61"/>
      <c r="D461" s="62"/>
      <c r="E461" s="157"/>
      <c r="F461" s="137">
        <f t="shared" si="15"/>
        <v>0</v>
      </c>
      <c r="G461" s="217"/>
    </row>
    <row r="462" spans="1:7" s="30" customFormat="1" ht="14.45">
      <c r="A462" s="66" t="s">
        <v>172</v>
      </c>
      <c r="B462" s="67" t="s">
        <v>2142</v>
      </c>
      <c r="C462" s="68"/>
      <c r="D462" s="69" t="s">
        <v>2</v>
      </c>
      <c r="E462" s="157">
        <v>4007.17</v>
      </c>
      <c r="F462" s="137">
        <f t="shared" si="15"/>
        <v>4007.17</v>
      </c>
      <c r="G462" s="217"/>
    </row>
    <row r="463" spans="1:7" s="30" customFormat="1" ht="14.45">
      <c r="A463" s="59"/>
      <c r="B463" s="63"/>
      <c r="C463" s="61"/>
      <c r="D463" s="62"/>
      <c r="E463" s="157"/>
      <c r="F463" s="137"/>
      <c r="G463" s="217"/>
    </row>
    <row r="464" spans="1:7" s="30" customFormat="1" ht="14.45">
      <c r="A464" s="71"/>
      <c r="B464" s="72"/>
      <c r="C464" s="73"/>
      <c r="D464" s="74"/>
      <c r="E464" s="159"/>
      <c r="F464" s="138"/>
      <c r="G464" s="226"/>
    </row>
    <row r="465" spans="1:7" s="30" customFormat="1" ht="14.45">
      <c r="A465" s="75"/>
      <c r="B465" s="76"/>
      <c r="C465" s="77" t="s">
        <v>30</v>
      </c>
      <c r="D465" s="77"/>
      <c r="E465" s="160" t="s">
        <v>8</v>
      </c>
      <c r="F465" s="139">
        <f>SUM(F420:F462)</f>
        <v>149170.67000000004</v>
      </c>
      <c r="G465" s="227"/>
    </row>
    <row r="466" spans="1:7" s="30" customFormat="1" ht="14.45">
      <c r="A466" s="75"/>
      <c r="B466" s="76"/>
      <c r="C466" s="78"/>
      <c r="D466" s="79"/>
      <c r="E466" s="161"/>
      <c r="F466" s="140"/>
      <c r="G466" s="228"/>
    </row>
    <row r="467" spans="1:7" s="30" customFormat="1" ht="14.45">
      <c r="A467" s="59"/>
      <c r="B467" s="63"/>
      <c r="C467" s="61"/>
      <c r="D467" s="62"/>
      <c r="E467" s="157"/>
      <c r="F467" s="137"/>
      <c r="G467" s="217"/>
    </row>
    <row r="468" spans="1:7" s="30" customFormat="1" ht="14.45">
      <c r="A468" s="59"/>
      <c r="B468" s="64" t="s">
        <v>1950</v>
      </c>
      <c r="C468" s="61"/>
      <c r="D468" s="62"/>
      <c r="E468" s="157"/>
      <c r="F468" s="137"/>
      <c r="G468" s="217"/>
    </row>
    <row r="469" spans="1:7" s="30" customFormat="1" ht="14.45">
      <c r="A469" s="59"/>
      <c r="B469" s="103"/>
      <c r="C469" s="61"/>
      <c r="D469" s="62"/>
      <c r="E469" s="157"/>
      <c r="F469" s="137"/>
      <c r="G469" s="217"/>
    </row>
    <row r="470" spans="1:7" s="30" customFormat="1" ht="14.45">
      <c r="A470" s="66" t="s">
        <v>14</v>
      </c>
      <c r="B470" s="67" t="s">
        <v>2143</v>
      </c>
      <c r="C470" s="68"/>
      <c r="D470" s="69" t="s">
        <v>2</v>
      </c>
      <c r="E470" s="157">
        <v>3935.61</v>
      </c>
      <c r="F470" s="137">
        <f>+E470</f>
        <v>3935.61</v>
      </c>
      <c r="G470" s="217"/>
    </row>
    <row r="471" spans="1:7" s="30" customFormat="1" ht="14.45">
      <c r="A471" s="59"/>
      <c r="B471" s="100"/>
      <c r="C471" s="61"/>
      <c r="D471" s="62"/>
      <c r="E471" s="157"/>
      <c r="F471" s="137"/>
      <c r="G471" s="217"/>
    </row>
    <row r="472" spans="1:7" s="30" customFormat="1" ht="14.45">
      <c r="A472" s="66" t="s">
        <v>17</v>
      </c>
      <c r="B472" s="67" t="s">
        <v>2144</v>
      </c>
      <c r="C472" s="68"/>
      <c r="D472" s="69" t="s">
        <v>2</v>
      </c>
      <c r="E472" s="157">
        <v>6797.87</v>
      </c>
      <c r="F472" s="137">
        <f>+E472</f>
        <v>6797.87</v>
      </c>
      <c r="G472" s="217"/>
    </row>
    <row r="473" spans="1:7" s="30" customFormat="1" ht="14.45">
      <c r="A473" s="59"/>
      <c r="B473" s="100"/>
      <c r="C473" s="61"/>
      <c r="D473" s="62"/>
      <c r="E473" s="157"/>
      <c r="F473" s="137"/>
      <c r="G473" s="217"/>
    </row>
    <row r="474" spans="1:7" s="30" customFormat="1" ht="27.6">
      <c r="A474" s="66"/>
      <c r="B474" s="98" t="s">
        <v>2145</v>
      </c>
      <c r="C474" s="68"/>
      <c r="D474" s="69"/>
      <c r="E474" s="157"/>
      <c r="F474" s="137"/>
      <c r="G474" s="217"/>
    </row>
    <row r="475" spans="1:7" s="30" customFormat="1" ht="14.45">
      <c r="A475" s="59"/>
      <c r="B475" s="100"/>
      <c r="C475" s="61"/>
      <c r="D475" s="62"/>
      <c r="E475" s="157"/>
      <c r="F475" s="137"/>
      <c r="G475" s="217"/>
    </row>
    <row r="476" spans="1:7" s="30" customFormat="1" ht="14.45">
      <c r="A476" s="66" t="s">
        <v>20</v>
      </c>
      <c r="B476" s="67" t="s">
        <v>2146</v>
      </c>
      <c r="C476" s="68"/>
      <c r="D476" s="69" t="s">
        <v>2</v>
      </c>
      <c r="E476" s="157">
        <v>11449.05</v>
      </c>
      <c r="F476" s="137">
        <f>+E476</f>
        <v>11449.05</v>
      </c>
      <c r="G476" s="217"/>
    </row>
    <row r="477" spans="1:7" s="30" customFormat="1" ht="14.45">
      <c r="A477" s="59"/>
      <c r="B477" s="100"/>
      <c r="C477" s="61"/>
      <c r="D477" s="62"/>
      <c r="E477" s="157"/>
      <c r="F477" s="137"/>
      <c r="G477" s="217"/>
    </row>
    <row r="478" spans="1:7" s="30" customFormat="1" ht="27.6">
      <c r="A478" s="66"/>
      <c r="B478" s="98" t="s">
        <v>2147</v>
      </c>
      <c r="C478" s="68"/>
      <c r="D478" s="69"/>
      <c r="E478" s="157"/>
      <c r="F478" s="137"/>
      <c r="G478" s="217"/>
    </row>
    <row r="479" spans="1:7" s="30" customFormat="1" ht="14.45">
      <c r="A479" s="59"/>
      <c r="B479" s="100"/>
      <c r="C479" s="61"/>
      <c r="D479" s="62"/>
      <c r="E479" s="157"/>
      <c r="F479" s="137"/>
      <c r="G479" s="217"/>
    </row>
    <row r="480" spans="1:7" s="30" customFormat="1" ht="14.45">
      <c r="A480" s="66" t="s">
        <v>23</v>
      </c>
      <c r="B480" s="67" t="s">
        <v>2148</v>
      </c>
      <c r="C480" s="68"/>
      <c r="D480" s="69" t="s">
        <v>2</v>
      </c>
      <c r="E480" s="157">
        <v>24761.48</v>
      </c>
      <c r="F480" s="137">
        <f t="shared" ref="F480:F496" si="16">+E480</f>
        <v>24761.48</v>
      </c>
      <c r="G480" s="217"/>
    </row>
    <row r="481" spans="1:7" s="30" customFormat="1" ht="14.45">
      <c r="A481" s="59"/>
      <c r="B481" s="100"/>
      <c r="C481" s="61"/>
      <c r="D481" s="62"/>
      <c r="E481" s="157"/>
      <c r="F481" s="137">
        <f t="shared" si="16"/>
        <v>0</v>
      </c>
      <c r="G481" s="217"/>
    </row>
    <row r="482" spans="1:7" s="30" customFormat="1" ht="14.45">
      <c r="A482" s="66" t="s">
        <v>27</v>
      </c>
      <c r="B482" s="67" t="s">
        <v>2149</v>
      </c>
      <c r="C482" s="68"/>
      <c r="D482" s="69" t="s">
        <v>2</v>
      </c>
      <c r="E482" s="157">
        <v>24761.48</v>
      </c>
      <c r="F482" s="137">
        <f t="shared" si="16"/>
        <v>24761.48</v>
      </c>
      <c r="G482" s="217"/>
    </row>
    <row r="483" spans="1:7" s="30" customFormat="1" ht="14.45">
      <c r="A483" s="59"/>
      <c r="B483" s="100"/>
      <c r="C483" s="61"/>
      <c r="D483" s="62"/>
      <c r="E483" s="157"/>
      <c r="F483" s="137">
        <f t="shared" si="16"/>
        <v>0</v>
      </c>
      <c r="G483" s="217"/>
    </row>
    <row r="484" spans="1:7" s="30" customFormat="1" ht="14.45">
      <c r="A484" s="66" t="s">
        <v>44</v>
      </c>
      <c r="B484" s="67" t="s">
        <v>2150</v>
      </c>
      <c r="C484" s="68"/>
      <c r="D484" s="69" t="s">
        <v>2</v>
      </c>
      <c r="E484" s="157">
        <v>8418.91</v>
      </c>
      <c r="F484" s="137">
        <f t="shared" si="16"/>
        <v>8418.91</v>
      </c>
      <c r="G484" s="217"/>
    </row>
    <row r="485" spans="1:7" s="30" customFormat="1" ht="14.45">
      <c r="A485" s="59"/>
      <c r="B485" s="100"/>
      <c r="C485" s="61"/>
      <c r="D485" s="62"/>
      <c r="E485" s="157"/>
      <c r="F485" s="137">
        <f t="shared" si="16"/>
        <v>0</v>
      </c>
      <c r="G485" s="217"/>
    </row>
    <row r="486" spans="1:7" s="30" customFormat="1" ht="14.45">
      <c r="A486" s="66" t="s">
        <v>48</v>
      </c>
      <c r="B486" s="67" t="s">
        <v>2151</v>
      </c>
      <c r="C486" s="68"/>
      <c r="D486" s="69" t="s">
        <v>2</v>
      </c>
      <c r="E486" s="157">
        <v>18719.68</v>
      </c>
      <c r="F486" s="137">
        <f t="shared" si="16"/>
        <v>18719.68</v>
      </c>
      <c r="G486" s="217"/>
    </row>
    <row r="487" spans="1:7" s="30" customFormat="1" ht="14.45">
      <c r="A487" s="59"/>
      <c r="B487" s="100"/>
      <c r="C487" s="61"/>
      <c r="D487" s="62"/>
      <c r="E487" s="157"/>
      <c r="F487" s="137">
        <f t="shared" si="16"/>
        <v>0</v>
      </c>
      <c r="G487" s="217"/>
    </row>
    <row r="488" spans="1:7" s="30" customFormat="1" ht="14.45">
      <c r="A488" s="66" t="s">
        <v>84</v>
      </c>
      <c r="B488" s="67" t="s">
        <v>2152</v>
      </c>
      <c r="C488" s="68"/>
      <c r="D488" s="69" t="s">
        <v>2</v>
      </c>
      <c r="E488" s="157">
        <v>11390.28</v>
      </c>
      <c r="F488" s="137">
        <f t="shared" si="16"/>
        <v>11390.28</v>
      </c>
      <c r="G488" s="217"/>
    </row>
    <row r="489" spans="1:7" s="30" customFormat="1" ht="14.45">
      <c r="A489" s="59"/>
      <c r="B489" s="100"/>
      <c r="C489" s="61"/>
      <c r="D489" s="62"/>
      <c r="E489" s="157"/>
      <c r="F489" s="137">
        <f t="shared" si="16"/>
        <v>0</v>
      </c>
      <c r="G489" s="217"/>
    </row>
    <row r="490" spans="1:7" s="30" customFormat="1" ht="14.45">
      <c r="A490" s="66" t="s">
        <v>86</v>
      </c>
      <c r="B490" s="67" t="s">
        <v>2153</v>
      </c>
      <c r="C490" s="68"/>
      <c r="D490" s="69" t="s">
        <v>2</v>
      </c>
      <c r="E490" s="157">
        <v>8418.91</v>
      </c>
      <c r="F490" s="137">
        <f t="shared" si="16"/>
        <v>8418.91</v>
      </c>
      <c r="G490" s="217"/>
    </row>
    <row r="491" spans="1:7" s="30" customFormat="1" ht="14.45">
      <c r="A491" s="59"/>
      <c r="B491" s="100"/>
      <c r="C491" s="61"/>
      <c r="D491" s="62"/>
      <c r="E491" s="157"/>
      <c r="F491" s="137">
        <f t="shared" si="16"/>
        <v>0</v>
      </c>
      <c r="G491" s="217"/>
    </row>
    <row r="492" spans="1:7" s="30" customFormat="1" ht="14.45">
      <c r="A492" s="66" t="s">
        <v>90</v>
      </c>
      <c r="B492" s="67" t="s">
        <v>2154</v>
      </c>
      <c r="C492" s="68"/>
      <c r="D492" s="69" t="s">
        <v>2</v>
      </c>
      <c r="E492" s="157">
        <v>18125.400000000001</v>
      </c>
      <c r="F492" s="137">
        <f t="shared" si="16"/>
        <v>18125.400000000001</v>
      </c>
      <c r="G492" s="217"/>
    </row>
    <row r="493" spans="1:7" s="30" customFormat="1" ht="14.45">
      <c r="A493" s="59"/>
      <c r="B493" s="100"/>
      <c r="C493" s="61"/>
      <c r="D493" s="62"/>
      <c r="E493" s="157"/>
      <c r="F493" s="137">
        <f t="shared" si="16"/>
        <v>0</v>
      </c>
      <c r="G493" s="217"/>
    </row>
    <row r="494" spans="1:7" s="30" customFormat="1" ht="14.45">
      <c r="A494" s="66" t="s">
        <v>92</v>
      </c>
      <c r="B494" s="67" t="s">
        <v>2155</v>
      </c>
      <c r="C494" s="68"/>
      <c r="D494" s="69" t="s">
        <v>2</v>
      </c>
      <c r="E494" s="157">
        <v>13173.1</v>
      </c>
      <c r="F494" s="137">
        <f t="shared" si="16"/>
        <v>13173.1</v>
      </c>
      <c r="G494" s="217"/>
    </row>
    <row r="495" spans="1:7" s="30" customFormat="1" ht="14.45">
      <c r="A495" s="59"/>
      <c r="B495" s="100"/>
      <c r="C495" s="61"/>
      <c r="D495" s="62"/>
      <c r="E495" s="157"/>
      <c r="F495" s="137">
        <f t="shared" si="16"/>
        <v>0</v>
      </c>
      <c r="G495" s="217"/>
    </row>
    <row r="496" spans="1:7" s="30" customFormat="1" ht="14.45">
      <c r="A496" s="66" t="s">
        <v>94</v>
      </c>
      <c r="B496" s="67" t="s">
        <v>2156</v>
      </c>
      <c r="C496" s="68"/>
      <c r="D496" s="69" t="s">
        <v>2</v>
      </c>
      <c r="E496" s="157">
        <v>10895.05</v>
      </c>
      <c r="F496" s="137">
        <f t="shared" si="16"/>
        <v>10895.05</v>
      </c>
      <c r="G496" s="217"/>
    </row>
    <row r="497" spans="1:7" s="30" customFormat="1" ht="11.25" customHeight="1">
      <c r="A497" s="59"/>
      <c r="B497" s="100"/>
      <c r="C497" s="61"/>
      <c r="D497" s="62"/>
      <c r="E497" s="157"/>
      <c r="F497" s="137"/>
      <c r="G497" s="217"/>
    </row>
    <row r="498" spans="1:7" s="30" customFormat="1" ht="27.6">
      <c r="A498" s="66"/>
      <c r="B498" s="98" t="s">
        <v>2157</v>
      </c>
      <c r="C498" s="68"/>
      <c r="D498" s="69"/>
      <c r="E498" s="157"/>
      <c r="F498" s="137"/>
      <c r="G498" s="217"/>
    </row>
    <row r="499" spans="1:7" s="30" customFormat="1" ht="9.75" customHeight="1">
      <c r="A499" s="59"/>
      <c r="B499" s="100"/>
      <c r="C499" s="61"/>
      <c r="D499" s="62"/>
      <c r="E499" s="157"/>
      <c r="F499" s="137"/>
      <c r="G499" s="217"/>
    </row>
    <row r="500" spans="1:7" s="30" customFormat="1" ht="27.6">
      <c r="A500" s="66" t="s">
        <v>140</v>
      </c>
      <c r="B500" s="67" t="s">
        <v>2158</v>
      </c>
      <c r="C500" s="68" t="s">
        <v>1575</v>
      </c>
      <c r="D500" s="69" t="s">
        <v>199</v>
      </c>
      <c r="E500" s="157">
        <v>99.05</v>
      </c>
      <c r="F500" s="137">
        <f>C500*E500</f>
        <v>29715</v>
      </c>
      <c r="G500" s="217"/>
    </row>
    <row r="501" spans="1:7" s="30" customFormat="1" ht="10.5" customHeight="1">
      <c r="A501" s="59"/>
      <c r="B501" s="100"/>
      <c r="C501" s="61"/>
      <c r="D501" s="62"/>
      <c r="E501" s="157"/>
      <c r="F501" s="137"/>
      <c r="G501" s="217"/>
    </row>
    <row r="502" spans="1:7" s="30" customFormat="1" ht="27.6">
      <c r="A502" s="66"/>
      <c r="B502" s="98" t="s">
        <v>2159</v>
      </c>
      <c r="C502" s="68"/>
      <c r="D502" s="69"/>
      <c r="E502" s="157"/>
      <c r="F502" s="137"/>
      <c r="G502" s="217"/>
    </row>
    <row r="503" spans="1:7" s="30" customFormat="1" ht="14.45">
      <c r="A503" s="59"/>
      <c r="B503" s="100"/>
      <c r="C503" s="61"/>
      <c r="D503" s="62"/>
      <c r="E503" s="157"/>
      <c r="F503" s="137"/>
      <c r="G503" s="217"/>
    </row>
    <row r="504" spans="1:7" s="30" customFormat="1" ht="14.45">
      <c r="A504" s="66" t="s">
        <v>159</v>
      </c>
      <c r="B504" s="67" t="s">
        <v>2160</v>
      </c>
      <c r="C504" s="68"/>
      <c r="D504" s="69" t="s">
        <v>2</v>
      </c>
      <c r="E504" s="157">
        <v>18004.419999999998</v>
      </c>
      <c r="F504" s="137">
        <f>+E504</f>
        <v>18004.419999999998</v>
      </c>
      <c r="G504" s="217"/>
    </row>
    <row r="505" spans="1:7" s="30" customFormat="1" ht="14.45">
      <c r="A505" s="59"/>
      <c r="B505" s="100"/>
      <c r="C505" s="61"/>
      <c r="D505" s="62"/>
      <c r="E505" s="157"/>
      <c r="F505" s="137"/>
      <c r="G505" s="217"/>
    </row>
    <row r="506" spans="1:7" s="91" customFormat="1" ht="14.45">
      <c r="A506" s="80" t="s">
        <v>162</v>
      </c>
      <c r="B506" s="81" t="s">
        <v>2161</v>
      </c>
      <c r="C506" s="82"/>
      <c r="D506" s="83" t="s">
        <v>2</v>
      </c>
      <c r="E506" s="158">
        <v>861.91</v>
      </c>
      <c r="F506" s="137">
        <f>+E506</f>
        <v>861.91</v>
      </c>
      <c r="G506" s="217"/>
    </row>
    <row r="507" spans="1:7" s="30" customFormat="1" ht="14.45">
      <c r="A507" s="59"/>
      <c r="B507" s="63"/>
      <c r="C507" s="61"/>
      <c r="D507" s="62"/>
      <c r="E507" s="157"/>
      <c r="F507" s="137"/>
      <c r="G507" s="217"/>
    </row>
    <row r="508" spans="1:7" s="30" customFormat="1" ht="14.45">
      <c r="A508" s="71"/>
      <c r="B508" s="72"/>
      <c r="C508" s="73"/>
      <c r="D508" s="74"/>
      <c r="E508" s="159"/>
      <c r="F508" s="138"/>
      <c r="G508" s="226"/>
    </row>
    <row r="509" spans="1:7" s="30" customFormat="1" ht="14.45">
      <c r="A509" s="75"/>
      <c r="B509" s="76"/>
      <c r="C509" s="77" t="s">
        <v>30</v>
      </c>
      <c r="D509" s="77"/>
      <c r="E509" s="160" t="s">
        <v>8</v>
      </c>
      <c r="F509" s="139">
        <f>SUM(F468:F507)</f>
        <v>209428.15</v>
      </c>
      <c r="G509" s="227"/>
    </row>
    <row r="510" spans="1:7" s="30" customFormat="1" ht="14.45">
      <c r="A510" s="75"/>
      <c r="B510" s="76"/>
      <c r="C510" s="78"/>
      <c r="D510" s="79"/>
      <c r="E510" s="161"/>
      <c r="F510" s="140"/>
      <c r="G510" s="228"/>
    </row>
    <row r="511" spans="1:7" s="30" customFormat="1" ht="14.45">
      <c r="A511" s="59"/>
      <c r="B511" s="63"/>
      <c r="C511" s="61"/>
      <c r="D511" s="62"/>
      <c r="E511" s="157"/>
      <c r="F511" s="137"/>
      <c r="G511" s="217"/>
    </row>
    <row r="512" spans="1:7" s="30" customFormat="1" ht="14.45">
      <c r="A512" s="59"/>
      <c r="B512" s="64" t="s">
        <v>1950</v>
      </c>
      <c r="C512" s="61"/>
      <c r="D512" s="62"/>
      <c r="E512" s="157"/>
      <c r="F512" s="137"/>
      <c r="G512" s="217"/>
    </row>
    <row r="513" spans="1:7" s="30" customFormat="1" ht="14.45">
      <c r="A513" s="59"/>
      <c r="B513" s="100"/>
      <c r="C513" s="61"/>
      <c r="D513" s="62"/>
      <c r="E513" s="157"/>
      <c r="F513" s="137"/>
      <c r="G513" s="217"/>
    </row>
    <row r="514" spans="1:7" s="30" customFormat="1" ht="14.45">
      <c r="A514" s="66" t="s">
        <v>14</v>
      </c>
      <c r="B514" s="67" t="s">
        <v>2162</v>
      </c>
      <c r="C514" s="68"/>
      <c r="D514" s="69" t="s">
        <v>2</v>
      </c>
      <c r="E514" s="157">
        <v>10917.57</v>
      </c>
      <c r="F514" s="137">
        <f>+E514</f>
        <v>10917.57</v>
      </c>
      <c r="G514" s="217"/>
    </row>
    <row r="515" spans="1:7" s="30" customFormat="1" ht="14.45">
      <c r="A515" s="59"/>
      <c r="B515" s="100"/>
      <c r="C515" s="61"/>
      <c r="D515" s="62"/>
      <c r="E515" s="157"/>
      <c r="F515" s="137">
        <f t="shared" ref="F515:F526" si="17">+E515</f>
        <v>0</v>
      </c>
      <c r="G515" s="217"/>
    </row>
    <row r="516" spans="1:7" s="30" customFormat="1" ht="14.45">
      <c r="A516" s="66" t="s">
        <v>17</v>
      </c>
      <c r="B516" s="67" t="s">
        <v>2163</v>
      </c>
      <c r="C516" s="68"/>
      <c r="D516" s="69" t="s">
        <v>2</v>
      </c>
      <c r="E516" s="157">
        <v>10726.04</v>
      </c>
      <c r="F516" s="137">
        <f t="shared" si="17"/>
        <v>10726.04</v>
      </c>
      <c r="G516" s="217"/>
    </row>
    <row r="517" spans="1:7" s="30" customFormat="1" ht="14.45">
      <c r="A517" s="59"/>
      <c r="B517" s="100"/>
      <c r="C517" s="61"/>
      <c r="D517" s="62"/>
      <c r="E517" s="157"/>
      <c r="F517" s="137">
        <f t="shared" si="17"/>
        <v>0</v>
      </c>
      <c r="G517" s="217"/>
    </row>
    <row r="518" spans="1:7" s="30" customFormat="1" ht="14.45">
      <c r="A518" s="66" t="s">
        <v>20</v>
      </c>
      <c r="B518" s="67" t="s">
        <v>2164</v>
      </c>
      <c r="C518" s="68"/>
      <c r="D518" s="69" t="s">
        <v>2</v>
      </c>
      <c r="E518" s="157">
        <v>7086.84</v>
      </c>
      <c r="F518" s="137">
        <f t="shared" si="17"/>
        <v>7086.84</v>
      </c>
      <c r="G518" s="217"/>
    </row>
    <row r="519" spans="1:7" s="30" customFormat="1" ht="14.45">
      <c r="A519" s="59"/>
      <c r="B519" s="100"/>
      <c r="C519" s="61"/>
      <c r="D519" s="62"/>
      <c r="E519" s="157"/>
      <c r="F519" s="137">
        <f t="shared" si="17"/>
        <v>0</v>
      </c>
      <c r="G519" s="217"/>
    </row>
    <row r="520" spans="1:7" s="30" customFormat="1" ht="14.45">
      <c r="A520" s="66" t="s">
        <v>23</v>
      </c>
      <c r="B520" s="67" t="s">
        <v>2165</v>
      </c>
      <c r="C520" s="68"/>
      <c r="D520" s="69" t="s">
        <v>2</v>
      </c>
      <c r="E520" s="157">
        <v>5171.4799999999996</v>
      </c>
      <c r="F520" s="137">
        <f t="shared" si="17"/>
        <v>5171.4799999999996</v>
      </c>
      <c r="G520" s="217"/>
    </row>
    <row r="521" spans="1:7" s="30" customFormat="1" ht="14.45">
      <c r="A521" s="59"/>
      <c r="B521" s="100"/>
      <c r="C521" s="61"/>
      <c r="D521" s="62"/>
      <c r="E521" s="157"/>
      <c r="F521" s="137">
        <f t="shared" si="17"/>
        <v>0</v>
      </c>
      <c r="G521" s="217"/>
    </row>
    <row r="522" spans="1:7" s="30" customFormat="1" ht="14.45">
      <c r="A522" s="66" t="s">
        <v>27</v>
      </c>
      <c r="B522" s="67" t="s">
        <v>2166</v>
      </c>
      <c r="C522" s="68"/>
      <c r="D522" s="69" t="s">
        <v>2</v>
      </c>
      <c r="E522" s="157">
        <v>13982.15</v>
      </c>
      <c r="F522" s="137">
        <f t="shared" si="17"/>
        <v>13982.15</v>
      </c>
      <c r="G522" s="217"/>
    </row>
    <row r="523" spans="1:7" s="30" customFormat="1" ht="14.45">
      <c r="A523" s="59"/>
      <c r="B523" s="100"/>
      <c r="C523" s="61"/>
      <c r="D523" s="62"/>
      <c r="E523" s="157"/>
      <c r="F523" s="137">
        <f t="shared" si="17"/>
        <v>0</v>
      </c>
      <c r="G523" s="217"/>
    </row>
    <row r="524" spans="1:7" s="30" customFormat="1" ht="14.45">
      <c r="A524" s="66" t="s">
        <v>44</v>
      </c>
      <c r="B524" s="67" t="s">
        <v>2167</v>
      </c>
      <c r="C524" s="68"/>
      <c r="D524" s="69" t="s">
        <v>2</v>
      </c>
      <c r="E524" s="157">
        <v>7182.61</v>
      </c>
      <c r="F524" s="137">
        <f t="shared" si="17"/>
        <v>7182.61</v>
      </c>
      <c r="G524" s="217"/>
    </row>
    <row r="525" spans="1:7" s="30" customFormat="1" ht="14.45">
      <c r="A525" s="59"/>
      <c r="B525" s="100"/>
      <c r="C525" s="61"/>
      <c r="D525" s="62"/>
      <c r="E525" s="157"/>
      <c r="F525" s="137">
        <f t="shared" si="17"/>
        <v>0</v>
      </c>
      <c r="G525" s="217"/>
    </row>
    <row r="526" spans="1:7" s="30" customFormat="1" ht="14.45">
      <c r="A526" s="66" t="s">
        <v>48</v>
      </c>
      <c r="B526" s="67" t="s">
        <v>2168</v>
      </c>
      <c r="C526" s="68"/>
      <c r="D526" s="69" t="s">
        <v>2</v>
      </c>
      <c r="E526" s="157">
        <v>6608</v>
      </c>
      <c r="F526" s="137">
        <f t="shared" si="17"/>
        <v>6608</v>
      </c>
      <c r="G526" s="217"/>
    </row>
    <row r="527" spans="1:7" s="30" customFormat="1" ht="14.45">
      <c r="A527" s="59"/>
      <c r="B527" s="100"/>
      <c r="C527" s="61"/>
      <c r="D527" s="62"/>
      <c r="E527" s="157"/>
      <c r="F527" s="137"/>
      <c r="G527" s="217"/>
    </row>
    <row r="528" spans="1:7" s="30" customFormat="1" ht="27.6">
      <c r="A528" s="66"/>
      <c r="B528" s="98" t="s">
        <v>2169</v>
      </c>
      <c r="C528" s="68"/>
      <c r="D528" s="69"/>
      <c r="E528" s="157"/>
      <c r="F528" s="137"/>
      <c r="G528" s="217"/>
    </row>
    <row r="529" spans="1:7" s="30" customFormat="1" ht="14.45">
      <c r="A529" s="59"/>
      <c r="B529" s="100"/>
      <c r="C529" s="61"/>
      <c r="D529" s="62"/>
      <c r="E529" s="157"/>
      <c r="F529" s="137"/>
      <c r="G529" s="217"/>
    </row>
    <row r="530" spans="1:7" s="30" customFormat="1" ht="14.45">
      <c r="A530" s="66" t="s">
        <v>84</v>
      </c>
      <c r="B530" s="67" t="s">
        <v>2170</v>
      </c>
      <c r="C530" s="68"/>
      <c r="D530" s="69" t="s">
        <v>2</v>
      </c>
      <c r="E530" s="157">
        <v>16280.59</v>
      </c>
      <c r="F530" s="137">
        <f>+E530</f>
        <v>16280.59</v>
      </c>
      <c r="G530" s="217"/>
    </row>
    <row r="531" spans="1:7" s="30" customFormat="1" ht="14.45">
      <c r="A531" s="59"/>
      <c r="B531" s="100"/>
      <c r="C531" s="61"/>
      <c r="D531" s="62"/>
      <c r="E531" s="157"/>
      <c r="F531" s="137"/>
      <c r="G531" s="217"/>
    </row>
    <row r="532" spans="1:7" s="30" customFormat="1" ht="14.45">
      <c r="A532" s="66" t="s">
        <v>86</v>
      </c>
      <c r="B532" s="67" t="s">
        <v>2171</v>
      </c>
      <c r="C532" s="68"/>
      <c r="D532" s="69" t="s">
        <v>2</v>
      </c>
      <c r="E532" s="157">
        <v>14365.23</v>
      </c>
      <c r="F532" s="137">
        <f>+E532</f>
        <v>14365.23</v>
      </c>
      <c r="G532" s="217"/>
    </row>
    <row r="533" spans="1:7" s="30" customFormat="1" ht="14.45">
      <c r="A533" s="59"/>
      <c r="B533" s="100"/>
      <c r="C533" s="61"/>
      <c r="D533" s="62"/>
      <c r="E533" s="157"/>
      <c r="F533" s="137"/>
      <c r="G533" s="217"/>
    </row>
    <row r="534" spans="1:7" s="30" customFormat="1" ht="27.6">
      <c r="A534" s="66"/>
      <c r="B534" s="98" t="s">
        <v>2172</v>
      </c>
      <c r="C534" s="68"/>
      <c r="D534" s="69"/>
      <c r="E534" s="157"/>
      <c r="F534" s="137"/>
      <c r="G534" s="217"/>
    </row>
    <row r="535" spans="1:7" s="30" customFormat="1" ht="14.45">
      <c r="A535" s="59"/>
      <c r="B535" s="100"/>
      <c r="C535" s="61"/>
      <c r="D535" s="62"/>
      <c r="E535" s="157"/>
      <c r="F535" s="137"/>
      <c r="G535" s="217"/>
    </row>
    <row r="536" spans="1:7" s="30" customFormat="1" ht="14.45">
      <c r="A536" s="66" t="s">
        <v>90</v>
      </c>
      <c r="B536" s="67" t="s">
        <v>2173</v>
      </c>
      <c r="C536" s="68"/>
      <c r="D536" s="69" t="s">
        <v>2</v>
      </c>
      <c r="E536" s="157">
        <v>21784.87</v>
      </c>
      <c r="F536" s="137">
        <f>+E536</f>
        <v>21784.87</v>
      </c>
      <c r="G536" s="217"/>
    </row>
    <row r="537" spans="1:7" s="30" customFormat="1" ht="14.45">
      <c r="A537" s="59"/>
      <c r="B537" s="100"/>
      <c r="C537" s="61"/>
      <c r="D537" s="62"/>
      <c r="E537" s="157"/>
      <c r="F537" s="137"/>
      <c r="G537" s="217"/>
    </row>
    <row r="538" spans="1:7" s="30" customFormat="1" ht="14.45">
      <c r="A538" s="66" t="s">
        <v>92</v>
      </c>
      <c r="B538" s="67" t="s">
        <v>2174</v>
      </c>
      <c r="C538" s="68"/>
      <c r="D538" s="69" t="s">
        <v>2</v>
      </c>
      <c r="E538" s="157">
        <v>23852.05</v>
      </c>
      <c r="F538" s="137">
        <f>+E538</f>
        <v>23852.05</v>
      </c>
      <c r="G538" s="217"/>
    </row>
    <row r="539" spans="1:7" s="30" customFormat="1" ht="14.45">
      <c r="A539" s="59"/>
      <c r="B539" s="100"/>
      <c r="C539" s="61"/>
      <c r="D539" s="62"/>
      <c r="E539" s="157"/>
      <c r="F539" s="137"/>
      <c r="G539" s="217"/>
    </row>
    <row r="540" spans="1:7" s="30" customFormat="1" ht="14.45">
      <c r="A540" s="66" t="s">
        <v>94</v>
      </c>
      <c r="B540" s="67" t="s">
        <v>2175</v>
      </c>
      <c r="C540" s="68"/>
      <c r="D540" s="69" t="s">
        <v>2</v>
      </c>
      <c r="E540" s="157">
        <v>23852.05</v>
      </c>
      <c r="F540" s="137">
        <f>+E540</f>
        <v>23852.05</v>
      </c>
      <c r="G540" s="217"/>
    </row>
    <row r="541" spans="1:7" s="30" customFormat="1" ht="14.45">
      <c r="A541" s="59"/>
      <c r="B541" s="100"/>
      <c r="C541" s="61"/>
      <c r="D541" s="62"/>
      <c r="E541" s="157"/>
      <c r="F541" s="137"/>
      <c r="G541" s="217"/>
    </row>
    <row r="542" spans="1:7" s="30" customFormat="1" ht="14.45">
      <c r="A542" s="66" t="s">
        <v>140</v>
      </c>
      <c r="B542" s="67" t="s">
        <v>2176</v>
      </c>
      <c r="C542" s="68"/>
      <c r="D542" s="69" t="s">
        <v>2</v>
      </c>
      <c r="E542" s="157">
        <v>29099.5</v>
      </c>
      <c r="F542" s="137">
        <f>+E542</f>
        <v>29099.5</v>
      </c>
      <c r="G542" s="217"/>
    </row>
    <row r="543" spans="1:7" s="30" customFormat="1" ht="14.45">
      <c r="A543" s="59"/>
      <c r="B543" s="100"/>
      <c r="C543" s="61"/>
      <c r="D543" s="62"/>
      <c r="E543" s="157"/>
      <c r="F543" s="137"/>
      <c r="G543" s="217"/>
    </row>
    <row r="544" spans="1:7" s="30" customFormat="1" ht="27.6">
      <c r="A544" s="66"/>
      <c r="B544" s="98" t="s">
        <v>2177</v>
      </c>
      <c r="C544" s="68"/>
      <c r="D544" s="69"/>
      <c r="E544" s="157"/>
      <c r="F544" s="137"/>
      <c r="G544" s="217"/>
    </row>
    <row r="545" spans="1:7" s="30" customFormat="1" ht="14.45">
      <c r="A545" s="59"/>
      <c r="B545" s="100"/>
      <c r="C545" s="61"/>
      <c r="D545" s="62"/>
      <c r="E545" s="157"/>
      <c r="F545" s="137"/>
      <c r="G545" s="217"/>
    </row>
    <row r="546" spans="1:7" s="30" customFormat="1" ht="27.6">
      <c r="A546" s="66" t="s">
        <v>159</v>
      </c>
      <c r="B546" s="67" t="s">
        <v>2178</v>
      </c>
      <c r="C546" s="68"/>
      <c r="D546" s="69" t="s">
        <v>2</v>
      </c>
      <c r="E546" s="157">
        <v>28884.06</v>
      </c>
      <c r="F546" s="137">
        <f>+E546</f>
        <v>28884.06</v>
      </c>
      <c r="G546" s="217"/>
    </row>
    <row r="547" spans="1:7" s="30" customFormat="1" ht="14.45">
      <c r="A547" s="59"/>
      <c r="B547" s="63"/>
      <c r="C547" s="61"/>
      <c r="D547" s="62"/>
      <c r="E547" s="157"/>
      <c r="F547" s="137"/>
      <c r="G547" s="217"/>
    </row>
    <row r="548" spans="1:7" s="30" customFormat="1" ht="14.45">
      <c r="A548" s="59"/>
      <c r="B548" s="63"/>
      <c r="C548" s="61"/>
      <c r="D548" s="62"/>
      <c r="E548" s="157"/>
      <c r="F548" s="137"/>
      <c r="G548" s="217"/>
    </row>
    <row r="549" spans="1:7" s="30" customFormat="1" ht="14.45">
      <c r="A549" s="59"/>
      <c r="B549" s="63"/>
      <c r="C549" s="61"/>
      <c r="D549" s="62"/>
      <c r="E549" s="157"/>
      <c r="F549" s="137"/>
      <c r="G549" s="217"/>
    </row>
    <row r="550" spans="1:7" s="30" customFormat="1" ht="14.45">
      <c r="A550" s="59"/>
      <c r="B550" s="63"/>
      <c r="C550" s="61"/>
      <c r="D550" s="62"/>
      <c r="E550" s="157"/>
      <c r="F550" s="137"/>
      <c r="G550" s="217"/>
    </row>
    <row r="551" spans="1:7" s="30" customFormat="1" ht="14.45">
      <c r="A551" s="59"/>
      <c r="B551" s="63"/>
      <c r="C551" s="61"/>
      <c r="D551" s="62"/>
      <c r="E551" s="157"/>
      <c r="F551" s="137"/>
      <c r="G551" s="217"/>
    </row>
    <row r="552" spans="1:7" s="30" customFormat="1" ht="14.45">
      <c r="A552" s="71"/>
      <c r="B552" s="72"/>
      <c r="C552" s="73"/>
      <c r="D552" s="74"/>
      <c r="E552" s="159"/>
      <c r="F552" s="138"/>
      <c r="G552" s="226"/>
    </row>
    <row r="553" spans="1:7" s="30" customFormat="1" ht="14.45">
      <c r="A553" s="75"/>
      <c r="B553" s="76"/>
      <c r="C553" s="77" t="s">
        <v>30</v>
      </c>
      <c r="D553" s="77"/>
      <c r="E553" s="160" t="s">
        <v>8</v>
      </c>
      <c r="F553" s="139">
        <f>SUM(F512:F550)</f>
        <v>219793.03999999998</v>
      </c>
      <c r="G553" s="227"/>
    </row>
    <row r="554" spans="1:7" s="30" customFormat="1" ht="14.45">
      <c r="A554" s="75"/>
      <c r="B554" s="76"/>
      <c r="C554" s="78"/>
      <c r="D554" s="79"/>
      <c r="E554" s="161"/>
      <c r="F554" s="140"/>
      <c r="G554" s="228"/>
    </row>
    <row r="555" spans="1:7" s="30" customFormat="1" ht="14.45">
      <c r="A555" s="59"/>
      <c r="B555" s="63"/>
      <c r="C555" s="61"/>
      <c r="D555" s="62"/>
      <c r="E555" s="157"/>
      <c r="F555" s="137"/>
      <c r="G555" s="217"/>
    </row>
    <row r="556" spans="1:7" s="30" customFormat="1" ht="14.45">
      <c r="A556" s="59"/>
      <c r="B556" s="64" t="s">
        <v>1950</v>
      </c>
      <c r="C556" s="61"/>
      <c r="D556" s="62"/>
      <c r="E556" s="157"/>
      <c r="F556" s="137"/>
      <c r="G556" s="217"/>
    </row>
    <row r="557" spans="1:7" s="30" customFormat="1" ht="14.45">
      <c r="A557" s="59"/>
      <c r="B557" s="103"/>
      <c r="C557" s="61"/>
      <c r="D557" s="62"/>
      <c r="E557" s="157"/>
      <c r="F557" s="137"/>
      <c r="G557" s="217"/>
    </row>
    <row r="558" spans="1:7" s="30" customFormat="1" ht="27.6">
      <c r="A558" s="66"/>
      <c r="B558" s="98" t="s">
        <v>2179</v>
      </c>
      <c r="C558" s="68"/>
      <c r="D558" s="69"/>
      <c r="E558" s="157"/>
      <c r="F558" s="137"/>
      <c r="G558" s="217"/>
    </row>
    <row r="559" spans="1:7" s="30" customFormat="1" ht="14.45">
      <c r="A559" s="59"/>
      <c r="B559" s="100"/>
      <c r="C559" s="61"/>
      <c r="D559" s="62"/>
      <c r="E559" s="157"/>
      <c r="F559" s="137"/>
      <c r="G559" s="217"/>
    </row>
    <row r="560" spans="1:7" s="30" customFormat="1" ht="14.45">
      <c r="A560" s="66" t="s">
        <v>14</v>
      </c>
      <c r="B560" s="67" t="s">
        <v>2180</v>
      </c>
      <c r="C560" s="68"/>
      <c r="D560" s="69" t="s">
        <v>2</v>
      </c>
      <c r="E560" s="157">
        <v>11180.93</v>
      </c>
      <c r="F560" s="137">
        <f t="shared" ref="F560:F566" si="18">+E560</f>
        <v>11180.93</v>
      </c>
      <c r="G560" s="217"/>
    </row>
    <row r="561" spans="1:7" s="30" customFormat="1" ht="14.45">
      <c r="A561" s="59"/>
      <c r="B561" s="100"/>
      <c r="C561" s="61"/>
      <c r="D561" s="62"/>
      <c r="E561" s="157"/>
      <c r="F561" s="137">
        <f t="shared" si="18"/>
        <v>0</v>
      </c>
      <c r="G561" s="217"/>
    </row>
    <row r="562" spans="1:7" s="30" customFormat="1" ht="14.45">
      <c r="A562" s="66" t="s">
        <v>17</v>
      </c>
      <c r="B562" s="67" t="s">
        <v>2181</v>
      </c>
      <c r="C562" s="68"/>
      <c r="D562" s="69" t="s">
        <v>2</v>
      </c>
      <c r="E562" s="157">
        <v>16616.09</v>
      </c>
      <c r="F562" s="137">
        <f t="shared" si="18"/>
        <v>16616.09</v>
      </c>
      <c r="G562" s="217"/>
    </row>
    <row r="563" spans="1:7" s="30" customFormat="1" ht="14.45">
      <c r="A563" s="59"/>
      <c r="B563" s="100"/>
      <c r="C563" s="61"/>
      <c r="D563" s="62"/>
      <c r="E563" s="157"/>
      <c r="F563" s="137">
        <f t="shared" si="18"/>
        <v>0</v>
      </c>
      <c r="G563" s="217"/>
    </row>
    <row r="564" spans="1:7" s="30" customFormat="1" ht="14.45">
      <c r="A564" s="66" t="s">
        <v>20</v>
      </c>
      <c r="B564" s="67" t="s">
        <v>2182</v>
      </c>
      <c r="C564" s="68"/>
      <c r="D564" s="69" t="s">
        <v>2</v>
      </c>
      <c r="E564" s="157">
        <v>43015.5</v>
      </c>
      <c r="F564" s="137">
        <f t="shared" si="18"/>
        <v>43015.5</v>
      </c>
      <c r="G564" s="217"/>
    </row>
    <row r="565" spans="1:7" s="30" customFormat="1" ht="14.45">
      <c r="A565" s="59"/>
      <c r="B565" s="100"/>
      <c r="C565" s="61"/>
      <c r="D565" s="62"/>
      <c r="E565" s="157"/>
      <c r="F565" s="137">
        <f t="shared" si="18"/>
        <v>0</v>
      </c>
      <c r="G565" s="217"/>
    </row>
    <row r="566" spans="1:7" s="30" customFormat="1" ht="14.45">
      <c r="A566" s="66" t="s">
        <v>23</v>
      </c>
      <c r="B566" s="67" t="s">
        <v>2183</v>
      </c>
      <c r="C566" s="68"/>
      <c r="D566" s="69" t="s">
        <v>2</v>
      </c>
      <c r="E566" s="157">
        <v>44568.41</v>
      </c>
      <c r="F566" s="137">
        <f t="shared" si="18"/>
        <v>44568.41</v>
      </c>
      <c r="G566" s="217"/>
    </row>
    <row r="567" spans="1:7" s="30" customFormat="1" ht="14.45">
      <c r="A567" s="59"/>
      <c r="B567" s="100"/>
      <c r="C567" s="61"/>
      <c r="D567" s="62"/>
      <c r="E567" s="157"/>
      <c r="F567" s="137"/>
      <c r="G567" s="217"/>
    </row>
    <row r="568" spans="1:7" s="30" customFormat="1" ht="27.6">
      <c r="A568" s="66"/>
      <c r="B568" s="98" t="s">
        <v>1939</v>
      </c>
      <c r="C568" s="68"/>
      <c r="D568" s="69"/>
      <c r="E568" s="157"/>
      <c r="F568" s="137"/>
      <c r="G568" s="217"/>
    </row>
    <row r="569" spans="1:7" s="30" customFormat="1" ht="14.45">
      <c r="A569" s="59"/>
      <c r="B569" s="100"/>
      <c r="C569" s="61"/>
      <c r="D569" s="62"/>
      <c r="E569" s="157"/>
      <c r="F569" s="137"/>
      <c r="G569" s="217"/>
    </row>
    <row r="570" spans="1:7" s="30" customFormat="1" ht="14.45">
      <c r="A570" s="66" t="s">
        <v>27</v>
      </c>
      <c r="B570" s="67" t="s">
        <v>2184</v>
      </c>
      <c r="C570" s="68"/>
      <c r="D570" s="69" t="s">
        <v>2</v>
      </c>
      <c r="E570" s="157">
        <v>79154.17</v>
      </c>
      <c r="F570" s="137">
        <f t="shared" ref="F570:F578" si="19">+E570</f>
        <v>79154.17</v>
      </c>
      <c r="G570" s="217"/>
    </row>
    <row r="571" spans="1:7" s="30" customFormat="1" ht="14.45">
      <c r="A571" s="59"/>
      <c r="B571" s="100"/>
      <c r="C571" s="61"/>
      <c r="D571" s="62"/>
      <c r="E571" s="157"/>
      <c r="F571" s="137">
        <f t="shared" si="19"/>
        <v>0</v>
      </c>
      <c r="G571" s="217"/>
    </row>
    <row r="572" spans="1:7" s="30" customFormat="1" ht="14.45">
      <c r="A572" s="66" t="s">
        <v>44</v>
      </c>
      <c r="B572" s="67" t="s">
        <v>2185</v>
      </c>
      <c r="C572" s="68"/>
      <c r="D572" s="69" t="s">
        <v>2</v>
      </c>
      <c r="E572" s="157">
        <v>83143.360000000001</v>
      </c>
      <c r="F572" s="137">
        <f t="shared" si="19"/>
        <v>83143.360000000001</v>
      </c>
      <c r="G572" s="217"/>
    </row>
    <row r="573" spans="1:7" s="30" customFormat="1" ht="14.45">
      <c r="A573" s="59"/>
      <c r="B573" s="100"/>
      <c r="C573" s="61"/>
      <c r="D573" s="62"/>
      <c r="E573" s="157"/>
      <c r="F573" s="137">
        <f t="shared" si="19"/>
        <v>0</v>
      </c>
      <c r="G573" s="217"/>
    </row>
    <row r="574" spans="1:7" s="30" customFormat="1" ht="14.45">
      <c r="A574" s="66" t="s">
        <v>48</v>
      </c>
      <c r="B574" s="67" t="s">
        <v>2186</v>
      </c>
      <c r="C574" s="68"/>
      <c r="D574" s="69" t="s">
        <v>2</v>
      </c>
      <c r="E574" s="157">
        <v>76634.67</v>
      </c>
      <c r="F574" s="137">
        <f t="shared" si="19"/>
        <v>76634.67</v>
      </c>
      <c r="G574" s="217"/>
    </row>
    <row r="575" spans="1:7" s="30" customFormat="1" ht="14.45">
      <c r="A575" s="59"/>
      <c r="B575" s="100"/>
      <c r="C575" s="61"/>
      <c r="D575" s="62"/>
      <c r="E575" s="157"/>
      <c r="F575" s="137">
        <f t="shared" si="19"/>
        <v>0</v>
      </c>
      <c r="G575" s="217"/>
    </row>
    <row r="576" spans="1:7" s="30" customFormat="1" ht="14.45">
      <c r="A576" s="66" t="s">
        <v>84</v>
      </c>
      <c r="B576" s="67" t="s">
        <v>2187</v>
      </c>
      <c r="C576" s="68"/>
      <c r="D576" s="69" t="s">
        <v>2</v>
      </c>
      <c r="E576" s="157">
        <v>19316.14</v>
      </c>
      <c r="F576" s="137">
        <f t="shared" si="19"/>
        <v>19316.14</v>
      </c>
      <c r="G576" s="217"/>
    </row>
    <row r="577" spans="1:7" s="30" customFormat="1" ht="14.45">
      <c r="A577" s="59"/>
      <c r="B577" s="100"/>
      <c r="C577" s="61"/>
      <c r="D577" s="62"/>
      <c r="E577" s="157"/>
      <c r="F577" s="137">
        <f t="shared" si="19"/>
        <v>0</v>
      </c>
      <c r="G577" s="217"/>
    </row>
    <row r="578" spans="1:7" s="30" customFormat="1" ht="14.45">
      <c r="A578" s="66" t="s">
        <v>86</v>
      </c>
      <c r="B578" s="67" t="s">
        <v>2188</v>
      </c>
      <c r="C578" s="68"/>
      <c r="D578" s="69" t="s">
        <v>2</v>
      </c>
      <c r="E578" s="157">
        <v>27084.58</v>
      </c>
      <c r="F578" s="137">
        <f t="shared" si="19"/>
        <v>27084.58</v>
      </c>
      <c r="G578" s="217"/>
    </row>
    <row r="579" spans="1:7" s="30" customFormat="1" ht="14.45">
      <c r="A579" s="59"/>
      <c r="B579" s="100"/>
      <c r="C579" s="61"/>
      <c r="D579" s="62"/>
      <c r="E579" s="157"/>
      <c r="F579" s="137"/>
      <c r="G579" s="217"/>
    </row>
    <row r="580" spans="1:7" s="30" customFormat="1" ht="27.6">
      <c r="A580" s="66"/>
      <c r="B580" s="98" t="s">
        <v>2189</v>
      </c>
      <c r="C580" s="68"/>
      <c r="D580" s="69"/>
      <c r="E580" s="157"/>
      <c r="F580" s="137"/>
      <c r="G580" s="217"/>
    </row>
    <row r="581" spans="1:7" s="30" customFormat="1" ht="14.45">
      <c r="A581" s="59"/>
      <c r="B581" s="100"/>
      <c r="C581" s="61"/>
      <c r="D581" s="62"/>
      <c r="E581" s="157"/>
      <c r="F581" s="137"/>
      <c r="G581" s="217"/>
    </row>
    <row r="582" spans="1:7" s="30" customFormat="1" ht="14.45">
      <c r="A582" s="66" t="s">
        <v>90</v>
      </c>
      <c r="B582" s="67" t="s">
        <v>2190</v>
      </c>
      <c r="C582" s="68"/>
      <c r="D582" s="69" t="s">
        <v>2</v>
      </c>
      <c r="E582" s="157">
        <v>33558.6</v>
      </c>
      <c r="F582" s="137">
        <f t="shared" ref="F582:F592" si="20">+E582</f>
        <v>33558.6</v>
      </c>
      <c r="G582" s="217"/>
    </row>
    <row r="583" spans="1:7" s="30" customFormat="1" ht="14.45">
      <c r="A583" s="59"/>
      <c r="B583" s="100"/>
      <c r="C583" s="61"/>
      <c r="D583" s="62"/>
      <c r="E583" s="157"/>
      <c r="F583" s="137">
        <f t="shared" si="20"/>
        <v>0</v>
      </c>
      <c r="G583" s="217"/>
    </row>
    <row r="584" spans="1:7" s="30" customFormat="1" ht="14.45">
      <c r="A584" s="66" t="s">
        <v>92</v>
      </c>
      <c r="B584" s="67" t="s">
        <v>2191</v>
      </c>
      <c r="C584" s="68"/>
      <c r="D584" s="69" t="s">
        <v>2</v>
      </c>
      <c r="E584" s="157">
        <v>51863.3</v>
      </c>
      <c r="F584" s="137">
        <f t="shared" si="20"/>
        <v>51863.3</v>
      </c>
      <c r="G584" s="217"/>
    </row>
    <row r="585" spans="1:7" s="30" customFormat="1" ht="14.45">
      <c r="A585" s="59"/>
      <c r="B585" s="100"/>
      <c r="C585" s="61"/>
      <c r="D585" s="62"/>
      <c r="E585" s="157"/>
      <c r="F585" s="137">
        <f t="shared" si="20"/>
        <v>0</v>
      </c>
      <c r="G585" s="217"/>
    </row>
    <row r="586" spans="1:7" s="30" customFormat="1" ht="14.45">
      <c r="A586" s="66" t="s">
        <v>94</v>
      </c>
      <c r="B586" s="67" t="s">
        <v>2192</v>
      </c>
      <c r="C586" s="68"/>
      <c r="D586" s="69" t="s">
        <v>2</v>
      </c>
      <c r="E586" s="157">
        <v>52066.68</v>
      </c>
      <c r="F586" s="137">
        <f t="shared" si="20"/>
        <v>52066.68</v>
      </c>
      <c r="G586" s="217"/>
    </row>
    <row r="587" spans="1:7" s="30" customFormat="1" ht="14.45">
      <c r="A587" s="59"/>
      <c r="B587" s="100"/>
      <c r="C587" s="61"/>
      <c r="D587" s="62"/>
      <c r="E587" s="157"/>
      <c r="F587" s="137">
        <f t="shared" si="20"/>
        <v>0</v>
      </c>
      <c r="G587" s="217"/>
    </row>
    <row r="588" spans="1:7" s="30" customFormat="1" ht="14.45">
      <c r="A588" s="66" t="s">
        <v>140</v>
      </c>
      <c r="B588" s="67" t="s">
        <v>2193</v>
      </c>
      <c r="C588" s="68"/>
      <c r="D588" s="69" t="s">
        <v>2</v>
      </c>
      <c r="E588" s="157">
        <v>47998.97</v>
      </c>
      <c r="F588" s="137">
        <f t="shared" si="20"/>
        <v>47998.97</v>
      </c>
      <c r="G588" s="217"/>
    </row>
    <row r="589" spans="1:7" s="30" customFormat="1" ht="14.45">
      <c r="A589" s="59"/>
      <c r="B589" s="100"/>
      <c r="C589" s="61"/>
      <c r="D589" s="62"/>
      <c r="E589" s="157"/>
      <c r="F589" s="137">
        <f t="shared" si="20"/>
        <v>0</v>
      </c>
      <c r="G589" s="217"/>
    </row>
    <row r="590" spans="1:7" s="30" customFormat="1" ht="14.45">
      <c r="A590" s="66" t="s">
        <v>159</v>
      </c>
      <c r="B590" s="67" t="s">
        <v>2194</v>
      </c>
      <c r="C590" s="68"/>
      <c r="D590" s="69" t="s">
        <v>2</v>
      </c>
      <c r="E590" s="157">
        <v>51659.91</v>
      </c>
      <c r="F590" s="137">
        <f t="shared" si="20"/>
        <v>51659.91</v>
      </c>
      <c r="G590" s="217"/>
    </row>
    <row r="591" spans="1:7" s="30" customFormat="1" ht="14.45">
      <c r="A591" s="59"/>
      <c r="B591" s="100"/>
      <c r="C591" s="61"/>
      <c r="D591" s="62"/>
      <c r="E591" s="157"/>
      <c r="F591" s="137">
        <f t="shared" si="20"/>
        <v>0</v>
      </c>
      <c r="G591" s="217"/>
    </row>
    <row r="592" spans="1:7" s="30" customFormat="1" ht="14.45">
      <c r="A592" s="66" t="s">
        <v>162</v>
      </c>
      <c r="B592" s="67" t="s">
        <v>2195</v>
      </c>
      <c r="C592" s="68"/>
      <c r="D592" s="69" t="s">
        <v>2</v>
      </c>
      <c r="E592" s="157">
        <v>48609.13</v>
      </c>
      <c r="F592" s="137">
        <f t="shared" si="20"/>
        <v>48609.13</v>
      </c>
      <c r="G592" s="217"/>
    </row>
    <row r="593" spans="1:7" s="30" customFormat="1" ht="14.45">
      <c r="A593" s="59"/>
      <c r="B593" s="100"/>
      <c r="C593" s="61"/>
      <c r="D593" s="62"/>
      <c r="E593" s="157"/>
      <c r="F593" s="137"/>
      <c r="G593" s="217"/>
    </row>
    <row r="594" spans="1:7" s="30" customFormat="1" ht="14.45">
      <c r="A594" s="66" t="s">
        <v>164</v>
      </c>
      <c r="B594" s="67" t="s">
        <v>2196</v>
      </c>
      <c r="C594" s="68" t="s">
        <v>1425</v>
      </c>
      <c r="D594" s="69" t="s">
        <v>199</v>
      </c>
      <c r="E594" s="157">
        <v>203.38</v>
      </c>
      <c r="F594" s="137">
        <f>C594*E594</f>
        <v>10169</v>
      </c>
      <c r="G594" s="217"/>
    </row>
    <row r="595" spans="1:7" s="30" customFormat="1" ht="14.45">
      <c r="A595" s="59"/>
      <c r="B595" s="100"/>
      <c r="C595" s="61"/>
      <c r="D595" s="62"/>
      <c r="E595" s="157"/>
      <c r="F595" s="137"/>
      <c r="G595" s="217"/>
    </row>
    <row r="596" spans="1:7" s="30" customFormat="1" ht="14.45">
      <c r="A596" s="66" t="s">
        <v>166</v>
      </c>
      <c r="B596" s="67" t="s">
        <v>2197</v>
      </c>
      <c r="C596" s="68"/>
      <c r="D596" s="69" t="s">
        <v>2</v>
      </c>
      <c r="E596" s="157">
        <v>27457.040000000001</v>
      </c>
      <c r="F596" s="137">
        <f>+E596</f>
        <v>27457.040000000001</v>
      </c>
      <c r="G596" s="217"/>
    </row>
    <row r="597" spans="1:7" s="30" customFormat="1" ht="14.45">
      <c r="A597" s="71"/>
      <c r="B597" s="72"/>
      <c r="C597" s="73"/>
      <c r="D597" s="74"/>
      <c r="E597" s="159"/>
      <c r="F597" s="138"/>
      <c r="G597" s="226"/>
    </row>
    <row r="598" spans="1:7" s="30" customFormat="1" ht="14.45">
      <c r="A598" s="75"/>
      <c r="B598" s="76"/>
      <c r="C598" s="77" t="s">
        <v>30</v>
      </c>
      <c r="D598" s="77"/>
      <c r="E598" s="160" t="s">
        <v>8</v>
      </c>
      <c r="F598" s="139">
        <f>SUM(F557:F596)</f>
        <v>724096.4800000001</v>
      </c>
      <c r="G598" s="227"/>
    </row>
    <row r="599" spans="1:7" s="30" customFormat="1" ht="14.45">
      <c r="A599" s="75"/>
      <c r="B599" s="76"/>
      <c r="C599" s="78"/>
      <c r="D599" s="79"/>
      <c r="E599" s="161"/>
      <c r="F599" s="140"/>
      <c r="G599" s="228"/>
    </row>
    <row r="600" spans="1:7" s="30" customFormat="1" ht="14.45">
      <c r="A600" s="59"/>
      <c r="B600" s="63"/>
      <c r="C600" s="61"/>
      <c r="D600" s="62"/>
      <c r="E600" s="157"/>
      <c r="F600" s="137"/>
      <c r="G600" s="217"/>
    </row>
    <row r="601" spans="1:7" s="30" customFormat="1" ht="14.45">
      <c r="A601" s="59"/>
      <c r="B601" s="64" t="s">
        <v>1950</v>
      </c>
      <c r="C601" s="61"/>
      <c r="D601" s="62"/>
      <c r="E601" s="157"/>
      <c r="F601" s="137"/>
      <c r="G601" s="217"/>
    </row>
    <row r="602" spans="1:7" s="30" customFormat="1" ht="14.45">
      <c r="A602" s="59"/>
      <c r="B602" s="100"/>
      <c r="C602" s="61"/>
      <c r="D602" s="62"/>
      <c r="E602" s="157"/>
      <c r="F602" s="137"/>
      <c r="G602" s="217"/>
    </row>
    <row r="603" spans="1:7" s="30" customFormat="1" ht="14.45">
      <c r="A603" s="66" t="s">
        <v>14</v>
      </c>
      <c r="B603" s="67" t="s">
        <v>2198</v>
      </c>
      <c r="C603" s="68"/>
      <c r="D603" s="69" t="s">
        <v>2</v>
      </c>
      <c r="E603" s="157">
        <v>29694.28</v>
      </c>
      <c r="F603" s="137">
        <f t="shared" ref="F603:F607" si="21">+E603</f>
        <v>29694.28</v>
      </c>
      <c r="G603" s="217"/>
    </row>
    <row r="604" spans="1:7" s="30" customFormat="1" ht="14.45">
      <c r="A604" s="59"/>
      <c r="B604" s="100"/>
      <c r="C604" s="61"/>
      <c r="D604" s="62"/>
      <c r="E604" s="157"/>
      <c r="F604" s="137">
        <f t="shared" si="21"/>
        <v>0</v>
      </c>
      <c r="G604" s="217"/>
    </row>
    <row r="605" spans="1:7" s="30" customFormat="1" ht="14.45">
      <c r="A605" s="66" t="s">
        <v>17</v>
      </c>
      <c r="B605" s="67" t="s">
        <v>2199</v>
      </c>
      <c r="C605" s="68"/>
      <c r="D605" s="69" t="s">
        <v>2</v>
      </c>
      <c r="E605" s="157">
        <v>32541.67</v>
      </c>
      <c r="F605" s="137">
        <f t="shared" si="21"/>
        <v>32541.67</v>
      </c>
      <c r="G605" s="217"/>
    </row>
    <row r="606" spans="1:7" s="30" customFormat="1" ht="14.45">
      <c r="A606" s="59"/>
      <c r="B606" s="100"/>
      <c r="C606" s="61"/>
      <c r="D606" s="62"/>
      <c r="E606" s="157"/>
      <c r="F606" s="137">
        <f t="shared" si="21"/>
        <v>0</v>
      </c>
      <c r="G606" s="217"/>
    </row>
    <row r="607" spans="1:7" s="30" customFormat="1" ht="14.45">
      <c r="A607" s="66" t="s">
        <v>20</v>
      </c>
      <c r="B607" s="67" t="s">
        <v>2200</v>
      </c>
      <c r="C607" s="68"/>
      <c r="D607" s="69" t="s">
        <v>2</v>
      </c>
      <c r="E607" s="157">
        <v>36609.379999999997</v>
      </c>
      <c r="F607" s="137">
        <f t="shared" si="21"/>
        <v>36609.379999999997</v>
      </c>
      <c r="G607" s="217"/>
    </row>
    <row r="608" spans="1:7" s="30" customFormat="1" ht="14.45">
      <c r="A608" s="59"/>
      <c r="B608" s="100"/>
      <c r="C608" s="61"/>
      <c r="D608" s="62"/>
      <c r="E608" s="157"/>
      <c r="F608" s="137"/>
      <c r="G608" s="217"/>
    </row>
    <row r="609" spans="1:7" s="30" customFormat="1" ht="14.45">
      <c r="A609" s="66" t="s">
        <v>23</v>
      </c>
      <c r="B609" s="67" t="s">
        <v>2201</v>
      </c>
      <c r="C609" s="68" t="s">
        <v>1425</v>
      </c>
      <c r="D609" s="69" t="s">
        <v>199</v>
      </c>
      <c r="E609" s="157">
        <v>203.38</v>
      </c>
      <c r="F609" s="137">
        <f>C609*E609</f>
        <v>10169</v>
      </c>
      <c r="G609" s="217"/>
    </row>
    <row r="610" spans="1:7" s="30" customFormat="1" ht="14.45">
      <c r="A610" s="59"/>
      <c r="B610" s="100"/>
      <c r="C610" s="61"/>
      <c r="D610" s="62"/>
      <c r="E610" s="157"/>
      <c r="F610" s="137"/>
      <c r="G610" s="217"/>
    </row>
    <row r="611" spans="1:7" s="30" customFormat="1" ht="14.45">
      <c r="A611" s="66" t="s">
        <v>27</v>
      </c>
      <c r="B611" s="67" t="s">
        <v>2202</v>
      </c>
      <c r="C611" s="68"/>
      <c r="D611" s="69" t="s">
        <v>2</v>
      </c>
      <c r="E611" s="157">
        <v>15660.68</v>
      </c>
      <c r="F611" s="137">
        <f t="shared" ref="F611:F621" si="22">+E611</f>
        <v>15660.68</v>
      </c>
      <c r="G611" s="217"/>
    </row>
    <row r="612" spans="1:7" s="30" customFormat="1" ht="14.45">
      <c r="A612" s="59"/>
      <c r="B612" s="100"/>
      <c r="C612" s="61"/>
      <c r="D612" s="62"/>
      <c r="E612" s="157"/>
      <c r="F612" s="137">
        <f t="shared" si="22"/>
        <v>0</v>
      </c>
      <c r="G612" s="217"/>
    </row>
    <row r="613" spans="1:7" s="30" customFormat="1" ht="14.45">
      <c r="A613" s="66" t="s">
        <v>44</v>
      </c>
      <c r="B613" s="67" t="s">
        <v>2203</v>
      </c>
      <c r="C613" s="68"/>
      <c r="D613" s="69" t="s">
        <v>2</v>
      </c>
      <c r="E613" s="157">
        <v>28473.96</v>
      </c>
      <c r="F613" s="137">
        <f t="shared" si="22"/>
        <v>28473.96</v>
      </c>
      <c r="G613" s="217"/>
    </row>
    <row r="614" spans="1:7" s="30" customFormat="1" ht="14.45">
      <c r="A614" s="59"/>
      <c r="B614" s="100"/>
      <c r="C614" s="61"/>
      <c r="D614" s="62"/>
      <c r="E614" s="157"/>
      <c r="F614" s="137">
        <f t="shared" si="22"/>
        <v>0</v>
      </c>
      <c r="G614" s="217"/>
    </row>
    <row r="615" spans="1:7" s="30" customFormat="1" ht="14.45">
      <c r="A615" s="66" t="s">
        <v>48</v>
      </c>
      <c r="B615" s="67" t="s">
        <v>2204</v>
      </c>
      <c r="C615" s="68"/>
      <c r="D615" s="69" t="s">
        <v>2</v>
      </c>
      <c r="E615" s="157">
        <v>27863.81</v>
      </c>
      <c r="F615" s="137">
        <f t="shared" si="22"/>
        <v>27863.81</v>
      </c>
      <c r="G615" s="217"/>
    </row>
    <row r="616" spans="1:7" s="30" customFormat="1" ht="14.45">
      <c r="A616" s="59"/>
      <c r="B616" s="100"/>
      <c r="C616" s="61"/>
      <c r="D616" s="62"/>
      <c r="E616" s="157"/>
      <c r="F616" s="137">
        <f t="shared" si="22"/>
        <v>0</v>
      </c>
      <c r="G616" s="217"/>
    </row>
    <row r="617" spans="1:7" s="30" customFormat="1" ht="14.45">
      <c r="A617" s="66" t="s">
        <v>84</v>
      </c>
      <c r="B617" s="67" t="s">
        <v>2205</v>
      </c>
      <c r="C617" s="68"/>
      <c r="D617" s="69" t="s">
        <v>2</v>
      </c>
      <c r="E617" s="157">
        <v>27253.65</v>
      </c>
      <c r="F617" s="137">
        <f t="shared" si="22"/>
        <v>27253.65</v>
      </c>
      <c r="G617" s="217"/>
    </row>
    <row r="618" spans="1:7" s="30" customFormat="1" ht="14.45">
      <c r="A618" s="59"/>
      <c r="B618" s="100"/>
      <c r="C618" s="61"/>
      <c r="D618" s="62"/>
      <c r="E618" s="157"/>
      <c r="F618" s="137">
        <f t="shared" si="22"/>
        <v>0</v>
      </c>
      <c r="G618" s="217"/>
    </row>
    <row r="619" spans="1:7" s="30" customFormat="1" ht="14.45">
      <c r="A619" s="66" t="s">
        <v>86</v>
      </c>
      <c r="B619" s="67" t="s">
        <v>2206</v>
      </c>
      <c r="C619" s="68"/>
      <c r="D619" s="69" t="s">
        <v>2</v>
      </c>
      <c r="E619" s="157">
        <v>22575.79</v>
      </c>
      <c r="F619" s="137">
        <f t="shared" si="22"/>
        <v>22575.79</v>
      </c>
      <c r="G619" s="217"/>
    </row>
    <row r="620" spans="1:7" s="30" customFormat="1" ht="14.45">
      <c r="A620" s="59"/>
      <c r="B620" s="100"/>
      <c r="C620" s="61"/>
      <c r="D620" s="62"/>
      <c r="E620" s="157"/>
      <c r="F620" s="137">
        <f t="shared" si="22"/>
        <v>0</v>
      </c>
      <c r="G620" s="217"/>
    </row>
    <row r="621" spans="1:7" s="30" customFormat="1" ht="14.45">
      <c r="A621" s="66" t="s">
        <v>90</v>
      </c>
      <c r="B621" s="67" t="s">
        <v>2207</v>
      </c>
      <c r="C621" s="68"/>
      <c r="D621" s="69" t="s">
        <v>2</v>
      </c>
      <c r="E621" s="157">
        <v>4677.8599999999997</v>
      </c>
      <c r="F621" s="137">
        <f t="shared" si="22"/>
        <v>4677.8599999999997</v>
      </c>
      <c r="G621" s="217"/>
    </row>
    <row r="622" spans="1:7" s="30" customFormat="1" ht="14.45">
      <c r="A622" s="59"/>
      <c r="B622" s="100"/>
      <c r="C622" s="61"/>
      <c r="D622" s="62"/>
      <c r="E622" s="157"/>
      <c r="F622" s="137"/>
      <c r="G622" s="217"/>
    </row>
    <row r="623" spans="1:7" s="30" customFormat="1" ht="27.6">
      <c r="A623" s="66"/>
      <c r="B623" s="98" t="s">
        <v>2208</v>
      </c>
      <c r="C623" s="68"/>
      <c r="D623" s="69"/>
      <c r="E623" s="157"/>
      <c r="F623" s="137"/>
      <c r="G623" s="217"/>
    </row>
    <row r="624" spans="1:7" s="30" customFormat="1" ht="14.45">
      <c r="A624" s="59"/>
      <c r="B624" s="100"/>
      <c r="C624" s="61"/>
      <c r="D624" s="62"/>
      <c r="E624" s="157"/>
      <c r="F624" s="137"/>
      <c r="G624" s="217"/>
    </row>
    <row r="625" spans="1:7" s="30" customFormat="1" ht="14.45">
      <c r="A625" s="66" t="s">
        <v>92</v>
      </c>
      <c r="B625" s="67" t="s">
        <v>2209</v>
      </c>
      <c r="C625" s="68"/>
      <c r="D625" s="69" t="s">
        <v>2</v>
      </c>
      <c r="E625" s="157">
        <v>91006.11</v>
      </c>
      <c r="F625" s="137">
        <f t="shared" ref="F625" si="23">+E625</f>
        <v>91006.11</v>
      </c>
      <c r="G625" s="217"/>
    </row>
    <row r="626" spans="1:7" s="30" customFormat="1" ht="14.45">
      <c r="A626" s="59"/>
      <c r="B626" s="100"/>
      <c r="C626" s="61"/>
      <c r="D626" s="62"/>
      <c r="E626" s="157"/>
      <c r="F626" s="137"/>
      <c r="G626" s="217"/>
    </row>
    <row r="627" spans="1:7" s="30" customFormat="1" ht="27.6">
      <c r="A627" s="66"/>
      <c r="B627" s="98" t="s">
        <v>2210</v>
      </c>
      <c r="C627" s="68"/>
      <c r="D627" s="69"/>
      <c r="E627" s="157"/>
      <c r="F627" s="137"/>
      <c r="G627" s="217"/>
    </row>
    <row r="628" spans="1:7" s="30" customFormat="1" ht="14.45">
      <c r="A628" s="59"/>
      <c r="B628" s="100"/>
      <c r="C628" s="61"/>
      <c r="D628" s="62"/>
      <c r="E628" s="157"/>
      <c r="F628" s="137"/>
      <c r="G628" s="217"/>
    </row>
    <row r="629" spans="1:7" s="30" customFormat="1" ht="14.45">
      <c r="A629" s="66" t="s">
        <v>94</v>
      </c>
      <c r="B629" s="67" t="s">
        <v>2211</v>
      </c>
      <c r="C629" s="68"/>
      <c r="D629" s="69" t="s">
        <v>2</v>
      </c>
      <c r="E629" s="157">
        <v>36669.339999999997</v>
      </c>
      <c r="F629" s="137">
        <f t="shared" ref="F629" si="24">+E629</f>
        <v>36669.339999999997</v>
      </c>
      <c r="G629" s="217"/>
    </row>
    <row r="630" spans="1:7" s="30" customFormat="1" ht="14.45">
      <c r="A630" s="59"/>
      <c r="B630" s="100"/>
      <c r="C630" s="61"/>
      <c r="D630" s="62"/>
      <c r="E630" s="157"/>
      <c r="F630" s="137"/>
      <c r="G630" s="217"/>
    </row>
    <row r="631" spans="1:7" s="30" customFormat="1" ht="27.6">
      <c r="A631" s="66"/>
      <c r="B631" s="98" t="s">
        <v>2212</v>
      </c>
      <c r="C631" s="68"/>
      <c r="D631" s="69"/>
      <c r="E631" s="157"/>
      <c r="F631" s="137"/>
      <c r="G631" s="217"/>
    </row>
    <row r="632" spans="1:7" s="30" customFormat="1" ht="14.45">
      <c r="A632" s="59"/>
      <c r="B632" s="100"/>
      <c r="C632" s="61"/>
      <c r="D632" s="62"/>
      <c r="E632" s="157"/>
      <c r="F632" s="137"/>
      <c r="G632" s="217"/>
    </row>
    <row r="633" spans="1:7" s="30" customFormat="1" ht="14.45">
      <c r="A633" s="66" t="s">
        <v>140</v>
      </c>
      <c r="B633" s="67" t="s">
        <v>2213</v>
      </c>
      <c r="C633" s="68"/>
      <c r="D633" s="69" t="s">
        <v>2</v>
      </c>
      <c r="E633" s="157">
        <v>59368.79</v>
      </c>
      <c r="F633" s="137">
        <f t="shared" ref="F633" si="25">+E633</f>
        <v>59368.79</v>
      </c>
      <c r="G633" s="217"/>
    </row>
    <row r="634" spans="1:7" s="30" customFormat="1" ht="14.45">
      <c r="A634" s="59"/>
      <c r="B634" s="100"/>
      <c r="C634" s="61"/>
      <c r="D634" s="62"/>
      <c r="E634" s="157"/>
      <c r="F634" s="137"/>
      <c r="G634" s="217"/>
    </row>
    <row r="635" spans="1:7" s="30" customFormat="1" ht="27.6">
      <c r="A635" s="66"/>
      <c r="B635" s="98" t="s">
        <v>2214</v>
      </c>
      <c r="C635" s="68"/>
      <c r="D635" s="69"/>
      <c r="E635" s="157"/>
      <c r="F635" s="137"/>
      <c r="G635" s="217"/>
    </row>
    <row r="636" spans="1:7" s="30" customFormat="1" ht="14.45">
      <c r="A636" s="59"/>
      <c r="B636" s="100"/>
      <c r="C636" s="61"/>
      <c r="D636" s="62"/>
      <c r="E636" s="157"/>
      <c r="F636" s="137"/>
      <c r="G636" s="217"/>
    </row>
    <row r="637" spans="1:7" s="30" customFormat="1" ht="14.45">
      <c r="A637" s="66" t="s">
        <v>159</v>
      </c>
      <c r="B637" s="67" t="s">
        <v>2215</v>
      </c>
      <c r="C637" s="68"/>
      <c r="D637" s="69" t="s">
        <v>2</v>
      </c>
      <c r="E637" s="157">
        <v>46088.92</v>
      </c>
      <c r="F637" s="137">
        <f t="shared" ref="F637" si="26">+E637</f>
        <v>46088.92</v>
      </c>
      <c r="G637" s="217"/>
    </row>
    <row r="638" spans="1:7" s="30" customFormat="1" ht="14.45">
      <c r="A638" s="59"/>
      <c r="B638" s="100"/>
      <c r="C638" s="61"/>
      <c r="D638" s="62"/>
      <c r="E638" s="157"/>
      <c r="F638" s="137"/>
      <c r="G638" s="217"/>
    </row>
    <row r="639" spans="1:7" s="30" customFormat="1" ht="27.6">
      <c r="A639" s="66"/>
      <c r="B639" s="98" t="s">
        <v>1946</v>
      </c>
      <c r="C639" s="68"/>
      <c r="D639" s="69"/>
      <c r="E639" s="157"/>
      <c r="F639" s="137"/>
      <c r="G639" s="217"/>
    </row>
    <row r="640" spans="1:7" s="30" customFormat="1" ht="14.45">
      <c r="A640" s="71"/>
      <c r="B640" s="72"/>
      <c r="C640" s="73"/>
      <c r="D640" s="74"/>
      <c r="E640" s="159"/>
      <c r="F640" s="138"/>
      <c r="G640" s="226"/>
    </row>
    <row r="641" spans="1:7" s="30" customFormat="1" ht="14.45">
      <c r="A641" s="75"/>
      <c r="B641" s="76"/>
      <c r="C641" s="77" t="s">
        <v>30</v>
      </c>
      <c r="D641" s="77"/>
      <c r="E641" s="160" t="s">
        <v>8</v>
      </c>
      <c r="F641" s="139">
        <f>SUM(F600:F639)</f>
        <v>468653.23999999987</v>
      </c>
      <c r="G641" s="227"/>
    </row>
    <row r="642" spans="1:7" s="30" customFormat="1" ht="14.45">
      <c r="A642" s="75"/>
      <c r="B642" s="76"/>
      <c r="C642" s="78"/>
      <c r="D642" s="79"/>
      <c r="E642" s="161"/>
      <c r="F642" s="140"/>
      <c r="G642" s="228"/>
    </row>
    <row r="643" spans="1:7" s="30" customFormat="1" ht="14.45">
      <c r="A643" s="59"/>
      <c r="B643" s="63"/>
      <c r="C643" s="61"/>
      <c r="D643" s="62"/>
      <c r="E643" s="157"/>
      <c r="F643" s="137"/>
      <c r="G643" s="217"/>
    </row>
    <row r="644" spans="1:7" s="30" customFormat="1" ht="14.45">
      <c r="A644" s="59"/>
      <c r="B644" s="64" t="s">
        <v>1950</v>
      </c>
      <c r="C644" s="61"/>
      <c r="D644" s="62"/>
      <c r="E644" s="157"/>
      <c r="F644" s="137"/>
      <c r="G644" s="217"/>
    </row>
    <row r="645" spans="1:7" s="30" customFormat="1" ht="14.45">
      <c r="A645" s="59"/>
      <c r="B645" s="100"/>
      <c r="C645" s="61"/>
      <c r="D645" s="62"/>
      <c r="E645" s="157"/>
      <c r="F645" s="137"/>
      <c r="G645" s="217"/>
    </row>
    <row r="646" spans="1:7" s="30" customFormat="1" ht="14.45">
      <c r="A646" s="66" t="s">
        <v>14</v>
      </c>
      <c r="B646" s="67" t="s">
        <v>2216</v>
      </c>
      <c r="C646" s="68"/>
      <c r="D646" s="69" t="s">
        <v>2</v>
      </c>
      <c r="E646" s="152">
        <v>49064.72</v>
      </c>
      <c r="F646" s="137">
        <f t="shared" ref="F646" si="27">+E646</f>
        <v>49064.72</v>
      </c>
      <c r="G646" s="217"/>
    </row>
    <row r="647" spans="1:7" s="30" customFormat="1" ht="14.45">
      <c r="A647" s="59"/>
      <c r="B647" s="100"/>
      <c r="C647" s="61"/>
      <c r="D647" s="62"/>
      <c r="E647" s="157"/>
      <c r="F647" s="137"/>
      <c r="G647" s="217"/>
    </row>
    <row r="648" spans="1:7" s="30" customFormat="1" ht="27.6">
      <c r="A648" s="66"/>
      <c r="B648" s="98" t="s">
        <v>2217</v>
      </c>
      <c r="C648" s="68"/>
      <c r="D648" s="69"/>
      <c r="E648" s="157"/>
      <c r="F648" s="137"/>
      <c r="G648" s="217"/>
    </row>
    <row r="649" spans="1:7" s="30" customFormat="1" ht="14.45">
      <c r="A649" s="59"/>
      <c r="B649" s="100"/>
      <c r="C649" s="61"/>
      <c r="D649" s="62"/>
      <c r="E649" s="157"/>
      <c r="F649" s="137"/>
      <c r="G649" s="217"/>
    </row>
    <row r="650" spans="1:7" s="30" customFormat="1" ht="14.45">
      <c r="A650" s="66" t="s">
        <v>17</v>
      </c>
      <c r="B650" s="67" t="s">
        <v>2218</v>
      </c>
      <c r="C650" s="68"/>
      <c r="D650" s="69" t="s">
        <v>2</v>
      </c>
      <c r="E650" s="157">
        <v>94381.55</v>
      </c>
      <c r="F650" s="137">
        <f t="shared" ref="F650" si="28">+E650</f>
        <v>94381.55</v>
      </c>
      <c r="G650" s="217"/>
    </row>
    <row r="651" spans="1:7" s="30" customFormat="1" ht="14.45">
      <c r="A651" s="59"/>
      <c r="B651" s="100"/>
      <c r="C651" s="61"/>
      <c r="D651" s="62"/>
      <c r="E651" s="157"/>
      <c r="F651" s="137"/>
      <c r="G651" s="217"/>
    </row>
    <row r="652" spans="1:7" s="30" customFormat="1" ht="14.45">
      <c r="A652" s="66" t="s">
        <v>20</v>
      </c>
      <c r="B652" s="67" t="s">
        <v>2219</v>
      </c>
      <c r="C652" s="68"/>
      <c r="D652" s="69" t="s">
        <v>2</v>
      </c>
      <c r="E652" s="157">
        <v>123838.21</v>
      </c>
      <c r="F652" s="137">
        <f t="shared" ref="F652" si="29">+E652</f>
        <v>123838.21</v>
      </c>
      <c r="G652" s="217"/>
    </row>
    <row r="653" spans="1:7" s="30" customFormat="1" ht="14.45">
      <c r="A653" s="59"/>
      <c r="B653" s="100"/>
      <c r="C653" s="61"/>
      <c r="D653" s="62"/>
      <c r="E653" s="157"/>
      <c r="F653" s="137"/>
      <c r="G653" s="217"/>
    </row>
    <row r="654" spans="1:7" s="30" customFormat="1" ht="27.6">
      <c r="A654" s="66"/>
      <c r="B654" s="98" t="s">
        <v>2220</v>
      </c>
      <c r="C654" s="68"/>
      <c r="D654" s="69"/>
      <c r="E654" s="157"/>
      <c r="F654" s="137"/>
      <c r="G654" s="217"/>
    </row>
    <row r="655" spans="1:7" s="30" customFormat="1" ht="14.45">
      <c r="A655" s="59"/>
      <c r="B655" s="100"/>
      <c r="C655" s="61"/>
      <c r="D655" s="62"/>
      <c r="E655" s="157"/>
      <c r="F655" s="137"/>
      <c r="G655" s="217"/>
    </row>
    <row r="656" spans="1:7" s="30" customFormat="1" ht="14.45">
      <c r="A656" s="66" t="s">
        <v>23</v>
      </c>
      <c r="B656" s="67" t="s">
        <v>2221</v>
      </c>
      <c r="C656" s="68"/>
      <c r="D656" s="69" t="s">
        <v>2</v>
      </c>
      <c r="E656" s="157">
        <v>57025.29</v>
      </c>
      <c r="F656" s="137">
        <f t="shared" ref="F656" si="30">+E656</f>
        <v>57025.29</v>
      </c>
      <c r="G656" s="217"/>
    </row>
    <row r="657" spans="1:7" s="30" customFormat="1" ht="14.45">
      <c r="A657" s="59"/>
      <c r="B657" s="100"/>
      <c r="C657" s="61"/>
      <c r="D657" s="62"/>
      <c r="E657" s="157"/>
      <c r="F657" s="137"/>
      <c r="G657" s="217"/>
    </row>
    <row r="658" spans="1:7" s="30" customFormat="1" ht="27.6">
      <c r="A658" s="66"/>
      <c r="B658" s="98" t="s">
        <v>2222</v>
      </c>
      <c r="C658" s="68"/>
      <c r="D658" s="69"/>
      <c r="E658" s="157"/>
      <c r="F658" s="137"/>
      <c r="G658" s="217"/>
    </row>
    <row r="659" spans="1:7" s="30" customFormat="1" ht="14.45">
      <c r="A659" s="59"/>
      <c r="B659" s="100"/>
      <c r="C659" s="61"/>
      <c r="D659" s="62"/>
      <c r="E659" s="157"/>
      <c r="F659" s="137"/>
      <c r="G659" s="217"/>
    </row>
    <row r="660" spans="1:7" s="30" customFormat="1" ht="14.45">
      <c r="A660" s="66" t="s">
        <v>27</v>
      </c>
      <c r="B660" s="67" t="s">
        <v>2223</v>
      </c>
      <c r="C660" s="68"/>
      <c r="D660" s="69" t="s">
        <v>2</v>
      </c>
      <c r="E660" s="157">
        <v>311986.71000000002</v>
      </c>
      <c r="F660" s="137">
        <f t="shared" ref="F660" si="31">+E660</f>
        <v>311986.71000000002</v>
      </c>
      <c r="G660" s="217"/>
    </row>
    <row r="661" spans="1:7" s="30" customFormat="1" ht="14.45">
      <c r="A661" s="59"/>
      <c r="B661" s="100"/>
      <c r="C661" s="61"/>
      <c r="D661" s="62"/>
      <c r="E661" s="157"/>
      <c r="F661" s="137"/>
      <c r="G661" s="217"/>
    </row>
    <row r="662" spans="1:7" s="30" customFormat="1" ht="27.6">
      <c r="A662" s="66"/>
      <c r="B662" s="98" t="s">
        <v>2224</v>
      </c>
      <c r="C662" s="68"/>
      <c r="D662" s="69"/>
      <c r="E662" s="157"/>
      <c r="F662" s="137"/>
      <c r="G662" s="217"/>
    </row>
    <row r="663" spans="1:7" s="30" customFormat="1" ht="14.45">
      <c r="A663" s="59"/>
      <c r="B663" s="100"/>
      <c r="C663" s="61"/>
      <c r="D663" s="62"/>
      <c r="E663" s="157"/>
      <c r="F663" s="137"/>
      <c r="G663" s="217"/>
    </row>
    <row r="664" spans="1:7" s="30" customFormat="1" ht="14.45">
      <c r="A664" s="66" t="s">
        <v>44</v>
      </c>
      <c r="B664" s="67" t="s">
        <v>2225</v>
      </c>
      <c r="C664" s="68" t="s">
        <v>2226</v>
      </c>
      <c r="D664" s="69" t="s">
        <v>199</v>
      </c>
      <c r="E664" s="157">
        <v>652.97</v>
      </c>
      <c r="F664" s="137">
        <f t="shared" ref="F664" si="32">C664*E664</f>
        <v>154100.92000000001</v>
      </c>
      <c r="G664" s="217"/>
    </row>
    <row r="665" spans="1:7" s="30" customFormat="1" ht="14.45">
      <c r="A665" s="59"/>
      <c r="B665" s="100"/>
      <c r="C665" s="61"/>
      <c r="D665" s="62"/>
      <c r="E665" s="157"/>
      <c r="F665" s="137"/>
      <c r="G665" s="217"/>
    </row>
    <row r="666" spans="1:7" s="30" customFormat="1" ht="27.6">
      <c r="A666" s="66"/>
      <c r="B666" s="98" t="s">
        <v>2227</v>
      </c>
      <c r="C666" s="68"/>
      <c r="D666" s="69"/>
      <c r="E666" s="157"/>
      <c r="F666" s="137"/>
      <c r="G666" s="217"/>
    </row>
    <row r="667" spans="1:7" s="30" customFormat="1" ht="14.45">
      <c r="A667" s="59"/>
      <c r="B667" s="100"/>
      <c r="C667" s="61"/>
      <c r="D667" s="62"/>
      <c r="E667" s="157"/>
      <c r="F667" s="137"/>
      <c r="G667" s="217"/>
    </row>
    <row r="668" spans="1:7" s="30" customFormat="1" ht="14.45">
      <c r="A668" s="66" t="s">
        <v>48</v>
      </c>
      <c r="B668" s="67" t="s">
        <v>2228</v>
      </c>
      <c r="C668" s="68"/>
      <c r="D668" s="69" t="s">
        <v>2</v>
      </c>
      <c r="E668" s="157">
        <v>70457.97</v>
      </c>
      <c r="F668" s="137">
        <f t="shared" ref="F668" si="33">+E668</f>
        <v>70457.97</v>
      </c>
      <c r="G668" s="217"/>
    </row>
    <row r="669" spans="1:7" s="30" customFormat="1" ht="14.45">
      <c r="A669" s="59"/>
      <c r="B669" s="100"/>
      <c r="C669" s="61"/>
      <c r="D669" s="62"/>
      <c r="E669" s="157"/>
      <c r="F669" s="137"/>
      <c r="G669" s="217"/>
    </row>
    <row r="670" spans="1:7" s="30" customFormat="1" ht="27.6">
      <c r="A670" s="66"/>
      <c r="B670" s="98" t="s">
        <v>2229</v>
      </c>
      <c r="C670" s="68"/>
      <c r="D670" s="69"/>
      <c r="E670" s="157"/>
      <c r="F670" s="137"/>
      <c r="G670" s="217"/>
    </row>
    <row r="671" spans="1:7" s="30" customFormat="1" ht="14.45">
      <c r="A671" s="59"/>
      <c r="B671" s="100"/>
      <c r="C671" s="61"/>
      <c r="D671" s="62"/>
      <c r="E671" s="157"/>
      <c r="F671" s="137"/>
      <c r="G671" s="217"/>
    </row>
    <row r="672" spans="1:7" s="30" customFormat="1" ht="14.45">
      <c r="A672" s="66" t="s">
        <v>84</v>
      </c>
      <c r="B672" s="67" t="s">
        <v>2230</v>
      </c>
      <c r="C672" s="68"/>
      <c r="D672" s="69" t="s">
        <v>2</v>
      </c>
      <c r="E672" s="157">
        <v>132798.60999999999</v>
      </c>
      <c r="F672" s="137">
        <f t="shared" ref="F672:F678" si="34">+E672</f>
        <v>132798.60999999999</v>
      </c>
      <c r="G672" s="217"/>
    </row>
    <row r="673" spans="1:7" s="30" customFormat="1" ht="14.45">
      <c r="A673" s="59"/>
      <c r="B673" s="100"/>
      <c r="C673" s="61"/>
      <c r="D673" s="62"/>
      <c r="E673" s="157"/>
      <c r="F673" s="137">
        <f t="shared" si="34"/>
        <v>0</v>
      </c>
      <c r="G673" s="217"/>
    </row>
    <row r="674" spans="1:7" s="30" customFormat="1" ht="14.45">
      <c r="A674" s="66" t="s">
        <v>86</v>
      </c>
      <c r="B674" s="67" t="s">
        <v>2231</v>
      </c>
      <c r="C674" s="68"/>
      <c r="D674" s="69" t="s">
        <v>2</v>
      </c>
      <c r="E674" s="157">
        <v>16404.53</v>
      </c>
      <c r="F674" s="137">
        <f t="shared" si="34"/>
        <v>16404.53</v>
      </c>
      <c r="G674" s="217"/>
    </row>
    <row r="675" spans="1:7" s="30" customFormat="1" ht="14.45">
      <c r="A675" s="59"/>
      <c r="B675" s="100"/>
      <c r="C675" s="61"/>
      <c r="D675" s="62"/>
      <c r="E675" s="157"/>
      <c r="F675" s="137">
        <f t="shared" si="34"/>
        <v>0</v>
      </c>
      <c r="G675" s="217"/>
    </row>
    <row r="676" spans="1:7" s="30" customFormat="1" ht="14.45">
      <c r="A676" s="66" t="s">
        <v>90</v>
      </c>
      <c r="B676" s="67" t="s">
        <v>2232</v>
      </c>
      <c r="C676" s="68"/>
      <c r="D676" s="69" t="s">
        <v>2</v>
      </c>
      <c r="E676" s="157">
        <v>16404.53</v>
      </c>
      <c r="F676" s="137">
        <f t="shared" si="34"/>
        <v>16404.53</v>
      </c>
      <c r="G676" s="217"/>
    </row>
    <row r="677" spans="1:7" s="30" customFormat="1" ht="14.45">
      <c r="A677" s="59"/>
      <c r="B677" s="100"/>
      <c r="C677" s="61"/>
      <c r="D677" s="62"/>
      <c r="E677" s="157"/>
      <c r="F677" s="137">
        <f t="shared" si="34"/>
        <v>0</v>
      </c>
      <c r="G677" s="217"/>
    </row>
    <row r="678" spans="1:7" s="30" customFormat="1" ht="14.45">
      <c r="A678" s="66" t="s">
        <v>92</v>
      </c>
      <c r="B678" s="67" t="s">
        <v>2233</v>
      </c>
      <c r="C678" s="68"/>
      <c r="D678" s="69" t="s">
        <v>2</v>
      </c>
      <c r="E678" s="157">
        <v>104676.55</v>
      </c>
      <c r="F678" s="137">
        <f t="shared" si="34"/>
        <v>104676.55</v>
      </c>
      <c r="G678" s="217"/>
    </row>
    <row r="679" spans="1:7" s="30" customFormat="1" ht="14.45">
      <c r="A679" s="59"/>
      <c r="B679" s="100"/>
      <c r="C679" s="61"/>
      <c r="D679" s="62"/>
      <c r="E679" s="157"/>
      <c r="F679" s="137"/>
      <c r="G679" s="217"/>
    </row>
    <row r="680" spans="1:7" s="30" customFormat="1" ht="27.6">
      <c r="A680" s="66"/>
      <c r="B680" s="98" t="s">
        <v>2234</v>
      </c>
      <c r="C680" s="68"/>
      <c r="D680" s="69"/>
      <c r="E680" s="157"/>
      <c r="F680" s="137"/>
      <c r="G680" s="217"/>
    </row>
    <row r="681" spans="1:7" s="30" customFormat="1" ht="14.45">
      <c r="A681" s="59"/>
      <c r="B681" s="63"/>
      <c r="C681" s="61"/>
      <c r="D681" s="62"/>
      <c r="E681" s="157"/>
      <c r="F681" s="137"/>
      <c r="G681" s="217"/>
    </row>
    <row r="682" spans="1:7" s="30" customFormat="1" ht="14.45">
      <c r="A682" s="71"/>
      <c r="B682" s="72"/>
      <c r="C682" s="73"/>
      <c r="D682" s="74"/>
      <c r="E682" s="159"/>
      <c r="F682" s="138"/>
      <c r="G682" s="226"/>
    </row>
    <row r="683" spans="1:7" s="30" customFormat="1" ht="14.45">
      <c r="A683" s="75"/>
      <c r="B683" s="76"/>
      <c r="C683" s="77" t="s">
        <v>30</v>
      </c>
      <c r="D683" s="77"/>
      <c r="E683" s="160" t="s">
        <v>8</v>
      </c>
      <c r="F683" s="139">
        <f>SUM(F644:F680)</f>
        <v>1131139.5900000001</v>
      </c>
      <c r="G683" s="227"/>
    </row>
    <row r="684" spans="1:7" s="30" customFormat="1" ht="14.45">
      <c r="A684" s="75"/>
      <c r="B684" s="76"/>
      <c r="C684" s="78"/>
      <c r="D684" s="79"/>
      <c r="E684" s="161"/>
      <c r="F684" s="140"/>
      <c r="G684" s="228"/>
    </row>
    <row r="685" spans="1:7" s="30" customFormat="1" ht="14.45">
      <c r="A685" s="59"/>
      <c r="B685" s="63"/>
      <c r="C685" s="61"/>
      <c r="D685" s="62"/>
      <c r="E685" s="157"/>
      <c r="F685" s="137"/>
      <c r="G685" s="217"/>
    </row>
    <row r="686" spans="1:7" s="30" customFormat="1" ht="14.45">
      <c r="A686" s="59"/>
      <c r="B686" s="64" t="s">
        <v>1950</v>
      </c>
      <c r="C686" s="61"/>
      <c r="D686" s="62"/>
      <c r="E686" s="157"/>
      <c r="F686" s="137"/>
      <c r="G686" s="217"/>
    </row>
    <row r="687" spans="1:7" s="30" customFormat="1" ht="14.45">
      <c r="A687" s="59"/>
      <c r="B687" s="100"/>
      <c r="C687" s="61"/>
      <c r="D687" s="62"/>
      <c r="E687" s="157"/>
      <c r="F687" s="137"/>
      <c r="G687" s="217"/>
    </row>
    <row r="688" spans="1:7" s="30" customFormat="1" ht="14.45">
      <c r="A688" s="66" t="s">
        <v>14</v>
      </c>
      <c r="B688" s="67" t="s">
        <v>2235</v>
      </c>
      <c r="C688" s="68"/>
      <c r="D688" s="69" t="s">
        <v>2</v>
      </c>
      <c r="E688" s="157">
        <v>119631.41</v>
      </c>
      <c r="F688" s="137">
        <f>+E688</f>
        <v>119631.41</v>
      </c>
      <c r="G688" s="217"/>
    </row>
    <row r="689" spans="1:7" s="30" customFormat="1" ht="14.45">
      <c r="A689" s="59"/>
      <c r="B689" s="100"/>
      <c r="C689" s="61"/>
      <c r="D689" s="62"/>
      <c r="E689" s="157"/>
      <c r="F689" s="137"/>
      <c r="G689" s="217"/>
    </row>
    <row r="690" spans="1:7" s="30" customFormat="1" ht="27.6">
      <c r="A690" s="66"/>
      <c r="B690" s="98" t="s">
        <v>2236</v>
      </c>
      <c r="C690" s="68"/>
      <c r="D690" s="69"/>
      <c r="E690" s="157"/>
      <c r="F690" s="137"/>
      <c r="G690" s="217"/>
    </row>
    <row r="691" spans="1:7" s="30" customFormat="1" ht="14.45">
      <c r="A691" s="59"/>
      <c r="B691" s="100"/>
      <c r="C691" s="61"/>
      <c r="D691" s="62"/>
      <c r="E691" s="157"/>
      <c r="F691" s="137"/>
      <c r="G691" s="217"/>
    </row>
    <row r="692" spans="1:7" s="30" customFormat="1" ht="27.6">
      <c r="A692" s="66" t="s">
        <v>17</v>
      </c>
      <c r="B692" s="67" t="s">
        <v>2237</v>
      </c>
      <c r="C692" s="68" t="s">
        <v>62</v>
      </c>
      <c r="D692" s="69" t="s">
        <v>199</v>
      </c>
      <c r="E692" s="157">
        <v>1236.68</v>
      </c>
      <c r="F692" s="137">
        <f t="shared" ref="F692" si="35">C692*E692</f>
        <v>6183.4000000000005</v>
      </c>
      <c r="G692" s="217"/>
    </row>
    <row r="693" spans="1:7" s="30" customFormat="1" ht="14.45">
      <c r="A693" s="59"/>
      <c r="B693" s="100"/>
      <c r="C693" s="61"/>
      <c r="D693" s="62"/>
      <c r="E693" s="157"/>
      <c r="F693" s="137"/>
      <c r="G693" s="217"/>
    </row>
    <row r="694" spans="1:7" s="30" customFormat="1" ht="27.6">
      <c r="A694" s="66"/>
      <c r="B694" s="98" t="s">
        <v>2238</v>
      </c>
      <c r="C694" s="68"/>
      <c r="D694" s="69"/>
      <c r="E694" s="157"/>
      <c r="F694" s="137"/>
      <c r="G694" s="217"/>
    </row>
    <row r="695" spans="1:7" s="30" customFormat="1" ht="14.45">
      <c r="A695" s="59"/>
      <c r="B695" s="100"/>
      <c r="C695" s="61"/>
      <c r="D695" s="62"/>
      <c r="E695" s="157"/>
      <c r="F695" s="137"/>
      <c r="G695" s="217"/>
    </row>
    <row r="696" spans="1:7" s="30" customFormat="1" ht="14.45">
      <c r="A696" s="66" t="s">
        <v>20</v>
      </c>
      <c r="B696" s="67" t="s">
        <v>2239</v>
      </c>
      <c r="C696" s="68"/>
      <c r="D696" s="69" t="s">
        <v>2</v>
      </c>
      <c r="E696" s="157">
        <v>309354.40000000002</v>
      </c>
      <c r="F696" s="137">
        <f>+E696</f>
        <v>309354.40000000002</v>
      </c>
      <c r="G696" s="217"/>
    </row>
    <row r="697" spans="1:7" s="30" customFormat="1" ht="14.45">
      <c r="A697" s="59"/>
      <c r="B697" s="100"/>
      <c r="C697" s="61"/>
      <c r="D697" s="62"/>
      <c r="E697" s="157"/>
      <c r="F697" s="137"/>
      <c r="G697" s="217"/>
    </row>
    <row r="698" spans="1:7" s="30" customFormat="1" ht="27.6">
      <c r="A698" s="66"/>
      <c r="B698" s="98" t="s">
        <v>2240</v>
      </c>
      <c r="C698" s="68"/>
      <c r="D698" s="69"/>
      <c r="E698" s="157"/>
      <c r="F698" s="137"/>
      <c r="G698" s="217"/>
    </row>
    <row r="699" spans="1:7" s="30" customFormat="1" ht="14.45">
      <c r="A699" s="59"/>
      <c r="B699" s="100"/>
      <c r="C699" s="61"/>
      <c r="D699" s="62"/>
      <c r="E699" s="157"/>
      <c r="F699" s="137"/>
      <c r="G699" s="217"/>
    </row>
    <row r="700" spans="1:7" s="30" customFormat="1" ht="14.45">
      <c r="A700" s="66" t="s">
        <v>23</v>
      </c>
      <c r="B700" s="67" t="s">
        <v>2241</v>
      </c>
      <c r="C700" s="68"/>
      <c r="D700" s="69" t="s">
        <v>2</v>
      </c>
      <c r="E700" s="157">
        <v>533826.84</v>
      </c>
      <c r="F700" s="137">
        <f t="shared" ref="F700:F704" si="36">+E700</f>
        <v>533826.84</v>
      </c>
      <c r="G700" s="217"/>
    </row>
    <row r="701" spans="1:7" s="30" customFormat="1" ht="14.45">
      <c r="A701" s="59"/>
      <c r="B701" s="100"/>
      <c r="C701" s="61"/>
      <c r="D701" s="62"/>
      <c r="E701" s="157"/>
      <c r="F701" s="137">
        <f t="shared" si="36"/>
        <v>0</v>
      </c>
      <c r="G701" s="217"/>
    </row>
    <row r="702" spans="1:7" s="30" customFormat="1" ht="14.45">
      <c r="A702" s="66" t="s">
        <v>27</v>
      </c>
      <c r="B702" s="67" t="s">
        <v>2242</v>
      </c>
      <c r="C702" s="68"/>
      <c r="D702" s="69" t="s">
        <v>2</v>
      </c>
      <c r="E702" s="157">
        <v>230844.04</v>
      </c>
      <c r="F702" s="137">
        <f t="shared" si="36"/>
        <v>230844.04</v>
      </c>
      <c r="G702" s="217"/>
    </row>
    <row r="703" spans="1:7" s="30" customFormat="1" ht="14.45">
      <c r="A703" s="59"/>
      <c r="B703" s="100"/>
      <c r="C703" s="61"/>
      <c r="D703" s="62"/>
      <c r="E703" s="157"/>
      <c r="F703" s="137">
        <f t="shared" si="36"/>
        <v>0</v>
      </c>
      <c r="G703" s="217"/>
    </row>
    <row r="704" spans="1:7" s="30" customFormat="1" ht="14.45">
      <c r="A704" s="66" t="s">
        <v>44</v>
      </c>
      <c r="B704" s="67" t="s">
        <v>2243</v>
      </c>
      <c r="C704" s="68"/>
      <c r="D704" s="69" t="s">
        <v>2</v>
      </c>
      <c r="E704" s="157">
        <v>235653.3</v>
      </c>
      <c r="F704" s="137">
        <f t="shared" si="36"/>
        <v>235653.3</v>
      </c>
      <c r="G704" s="217"/>
    </row>
    <row r="705" spans="1:7" s="30" customFormat="1" ht="14.45">
      <c r="A705" s="59"/>
      <c r="B705" s="100"/>
      <c r="C705" s="61"/>
      <c r="D705" s="62"/>
      <c r="E705" s="157"/>
      <c r="F705" s="137"/>
      <c r="G705" s="217"/>
    </row>
    <row r="706" spans="1:7" s="30" customFormat="1" ht="27.6">
      <c r="A706" s="66"/>
      <c r="B706" s="98" t="s">
        <v>2244</v>
      </c>
      <c r="C706" s="68"/>
      <c r="D706" s="69"/>
      <c r="E706" s="157"/>
      <c r="F706" s="137"/>
      <c r="G706" s="217"/>
    </row>
    <row r="707" spans="1:7" s="30" customFormat="1" ht="14.45">
      <c r="A707" s="59"/>
      <c r="B707" s="100"/>
      <c r="C707" s="61"/>
      <c r="D707" s="62"/>
      <c r="E707" s="157"/>
      <c r="F707" s="137"/>
      <c r="G707" s="217"/>
    </row>
    <row r="708" spans="1:7" s="30" customFormat="1" ht="14.45">
      <c r="A708" s="66" t="s">
        <v>48</v>
      </c>
      <c r="B708" s="67" t="s">
        <v>2245</v>
      </c>
      <c r="C708" s="68"/>
      <c r="D708" s="69" t="s">
        <v>2</v>
      </c>
      <c r="E708" s="157">
        <v>531422.22</v>
      </c>
      <c r="F708" s="137">
        <f>+E708</f>
        <v>531422.22</v>
      </c>
      <c r="G708" s="217"/>
    </row>
    <row r="709" spans="1:7" s="30" customFormat="1" ht="14.45">
      <c r="A709" s="59"/>
      <c r="B709" s="100"/>
      <c r="C709" s="61"/>
      <c r="D709" s="62"/>
      <c r="E709" s="157"/>
      <c r="F709" s="137"/>
      <c r="G709" s="217"/>
    </row>
    <row r="710" spans="1:7" s="30" customFormat="1" ht="27.6">
      <c r="A710" s="66"/>
      <c r="B710" s="98" t="s">
        <v>2246</v>
      </c>
      <c r="C710" s="68"/>
      <c r="D710" s="69"/>
      <c r="E710" s="157"/>
      <c r="F710" s="137"/>
      <c r="G710" s="217"/>
    </row>
    <row r="711" spans="1:7" s="30" customFormat="1" ht="14.45">
      <c r="A711" s="59"/>
      <c r="B711" s="100"/>
      <c r="C711" s="61"/>
      <c r="D711" s="62"/>
      <c r="E711" s="157"/>
      <c r="F711" s="137"/>
      <c r="G711" s="217"/>
    </row>
    <row r="712" spans="1:7" s="30" customFormat="1" ht="14.45">
      <c r="A712" s="66" t="s">
        <v>84</v>
      </c>
      <c r="B712" s="67" t="s">
        <v>2247</v>
      </c>
      <c r="C712" s="68"/>
      <c r="D712" s="69" t="s">
        <v>2</v>
      </c>
      <c r="E712" s="157">
        <v>31007.66</v>
      </c>
      <c r="F712" s="137">
        <f>+E712</f>
        <v>31007.66</v>
      </c>
      <c r="G712" s="217"/>
    </row>
    <row r="713" spans="1:7" s="30" customFormat="1" ht="11.25" customHeight="1">
      <c r="A713" s="59"/>
      <c r="B713" s="100"/>
      <c r="C713" s="61"/>
      <c r="D713" s="62"/>
      <c r="E713" s="157"/>
      <c r="F713" s="137"/>
      <c r="G713" s="217"/>
    </row>
    <row r="714" spans="1:7" s="30" customFormat="1" ht="27.6">
      <c r="A714" s="66"/>
      <c r="B714" s="98" t="s">
        <v>2248</v>
      </c>
      <c r="C714" s="68"/>
      <c r="D714" s="69"/>
      <c r="E714" s="157"/>
      <c r="F714" s="137"/>
      <c r="G714" s="217"/>
    </row>
    <row r="715" spans="1:7" s="30" customFormat="1" ht="7.5" customHeight="1">
      <c r="A715" s="59"/>
      <c r="B715" s="100"/>
      <c r="C715" s="61"/>
      <c r="D715" s="62"/>
      <c r="E715" s="157"/>
      <c r="F715" s="137"/>
      <c r="G715" s="217"/>
    </row>
    <row r="716" spans="1:7" s="30" customFormat="1" ht="14.45">
      <c r="A716" s="66" t="s">
        <v>86</v>
      </c>
      <c r="B716" s="67" t="s">
        <v>2249</v>
      </c>
      <c r="C716" s="68"/>
      <c r="D716" s="69" t="s">
        <v>2</v>
      </c>
      <c r="E716" s="157">
        <v>26078.23</v>
      </c>
      <c r="F716" s="137">
        <f>+E716</f>
        <v>26078.23</v>
      </c>
      <c r="G716" s="217"/>
    </row>
    <row r="717" spans="1:7" s="30" customFormat="1" ht="14.45">
      <c r="A717" s="59"/>
      <c r="B717" s="100"/>
      <c r="C717" s="61"/>
      <c r="D717" s="62"/>
      <c r="E717" s="157"/>
      <c r="F717" s="137"/>
      <c r="G717" s="217"/>
    </row>
    <row r="718" spans="1:7" s="30" customFormat="1" ht="27.6">
      <c r="A718" s="66"/>
      <c r="B718" s="98" t="s">
        <v>2250</v>
      </c>
      <c r="C718" s="68"/>
      <c r="D718" s="69"/>
      <c r="E718" s="157"/>
      <c r="F718" s="137"/>
      <c r="G718" s="217"/>
    </row>
    <row r="719" spans="1:7" s="30" customFormat="1" ht="14.45">
      <c r="A719" s="59"/>
      <c r="B719" s="100"/>
      <c r="C719" s="61"/>
      <c r="D719" s="62"/>
      <c r="E719" s="157"/>
      <c r="F719" s="137"/>
      <c r="G719" s="217"/>
    </row>
    <row r="720" spans="1:7" s="30" customFormat="1" ht="14.45">
      <c r="A720" s="66" t="s">
        <v>90</v>
      </c>
      <c r="B720" s="67" t="s">
        <v>2251</v>
      </c>
      <c r="C720" s="68"/>
      <c r="D720" s="69" t="s">
        <v>2</v>
      </c>
      <c r="E720" s="157">
        <v>137257.01</v>
      </c>
      <c r="F720" s="137">
        <f>+E720</f>
        <v>137257.01</v>
      </c>
      <c r="G720" s="217"/>
    </row>
    <row r="721" spans="1:7" s="30" customFormat="1" ht="14.45">
      <c r="A721" s="59"/>
      <c r="B721" s="100"/>
      <c r="C721" s="61"/>
      <c r="D721" s="62"/>
      <c r="E721" s="157"/>
      <c r="F721" s="137"/>
      <c r="G721" s="217"/>
    </row>
    <row r="722" spans="1:7" s="30" customFormat="1" ht="14.45">
      <c r="A722" s="66" t="s">
        <v>92</v>
      </c>
      <c r="B722" s="67" t="s">
        <v>2252</v>
      </c>
      <c r="C722" s="68"/>
      <c r="D722" s="69" t="s">
        <v>2</v>
      </c>
      <c r="E722" s="157">
        <v>37885.42</v>
      </c>
      <c r="F722" s="137">
        <f>+E722</f>
        <v>37885.42</v>
      </c>
      <c r="G722" s="217"/>
    </row>
    <row r="723" spans="1:7" s="30" customFormat="1" ht="14.45">
      <c r="A723" s="59"/>
      <c r="B723" s="63"/>
      <c r="C723" s="61"/>
      <c r="D723" s="62"/>
      <c r="E723" s="157"/>
      <c r="F723" s="137"/>
      <c r="G723" s="217"/>
    </row>
    <row r="724" spans="1:7" s="30" customFormat="1" ht="14.45">
      <c r="A724" s="71"/>
      <c r="B724" s="72"/>
      <c r="C724" s="73"/>
      <c r="D724" s="74"/>
      <c r="E724" s="159"/>
      <c r="F724" s="138"/>
      <c r="G724" s="226"/>
    </row>
    <row r="725" spans="1:7" s="30" customFormat="1" ht="14.45">
      <c r="A725" s="75"/>
      <c r="B725" s="76"/>
      <c r="C725" s="77" t="s">
        <v>30</v>
      </c>
      <c r="D725" s="77"/>
      <c r="E725" s="160" t="s">
        <v>8</v>
      </c>
      <c r="F725" s="139">
        <f>SUM(F686:F723)</f>
        <v>2199143.9299999997</v>
      </c>
      <c r="G725" s="227"/>
    </row>
    <row r="726" spans="1:7" s="30" customFormat="1" ht="14.45">
      <c r="A726" s="75"/>
      <c r="B726" s="76"/>
      <c r="C726" s="78"/>
      <c r="D726" s="79"/>
      <c r="E726" s="161"/>
      <c r="F726" s="140"/>
      <c r="G726" s="228"/>
    </row>
    <row r="727" spans="1:7" s="30" customFormat="1" ht="14.45">
      <c r="A727" s="59"/>
      <c r="B727" s="63"/>
      <c r="C727" s="61"/>
      <c r="D727" s="62"/>
      <c r="E727" s="157"/>
      <c r="F727" s="137"/>
      <c r="G727" s="217"/>
    </row>
    <row r="728" spans="1:7" s="30" customFormat="1" ht="14.45">
      <c r="A728" s="59"/>
      <c r="B728" s="64" t="s">
        <v>1950</v>
      </c>
      <c r="C728" s="61"/>
      <c r="D728" s="62"/>
      <c r="E728" s="157"/>
      <c r="F728" s="137"/>
      <c r="G728" s="217"/>
    </row>
    <row r="729" spans="1:7" s="30" customFormat="1" ht="14.45">
      <c r="A729" s="59"/>
      <c r="B729" s="100"/>
      <c r="C729" s="61"/>
      <c r="D729" s="62"/>
      <c r="E729" s="157"/>
      <c r="F729" s="137"/>
      <c r="G729" s="217"/>
    </row>
    <row r="730" spans="1:7" s="30" customFormat="1" ht="27.6">
      <c r="A730" s="66"/>
      <c r="B730" s="98" t="s">
        <v>2253</v>
      </c>
      <c r="C730" s="68"/>
      <c r="D730" s="69"/>
      <c r="E730" s="157"/>
      <c r="F730" s="137"/>
      <c r="G730" s="217"/>
    </row>
    <row r="731" spans="1:7" s="30" customFormat="1" ht="14.45">
      <c r="A731" s="59"/>
      <c r="B731" s="100"/>
      <c r="C731" s="61"/>
      <c r="D731" s="62"/>
      <c r="E731" s="157"/>
      <c r="F731" s="137"/>
      <c r="G731" s="217"/>
    </row>
    <row r="732" spans="1:7" s="30" customFormat="1" ht="14.45">
      <c r="A732" s="66" t="s">
        <v>14</v>
      </c>
      <c r="B732" s="67" t="s">
        <v>2254</v>
      </c>
      <c r="C732" s="68"/>
      <c r="D732" s="69" t="s">
        <v>2</v>
      </c>
      <c r="E732" s="157">
        <v>19838.16</v>
      </c>
      <c r="F732" s="137">
        <f>+E732</f>
        <v>19838.16</v>
      </c>
      <c r="G732" s="217"/>
    </row>
    <row r="733" spans="1:7" s="30" customFormat="1" ht="14.45">
      <c r="A733" s="59"/>
      <c r="B733" s="100"/>
      <c r="C733" s="61"/>
      <c r="D733" s="62"/>
      <c r="E733" s="157"/>
      <c r="F733" s="137"/>
      <c r="G733" s="217"/>
    </row>
    <row r="734" spans="1:7" s="30" customFormat="1" ht="27.6">
      <c r="A734" s="66"/>
      <c r="B734" s="98" t="s">
        <v>2255</v>
      </c>
      <c r="C734" s="68"/>
      <c r="D734" s="69"/>
      <c r="E734" s="157"/>
      <c r="F734" s="137"/>
      <c r="G734" s="217"/>
    </row>
    <row r="735" spans="1:7" s="30" customFormat="1" ht="14.45">
      <c r="A735" s="59"/>
      <c r="B735" s="100"/>
      <c r="C735" s="61"/>
      <c r="D735" s="62"/>
      <c r="E735" s="157"/>
      <c r="F735" s="137"/>
      <c r="G735" s="217"/>
    </row>
    <row r="736" spans="1:7" s="30" customFormat="1" ht="14.45">
      <c r="A736" s="66" t="s">
        <v>17</v>
      </c>
      <c r="B736" s="67" t="s">
        <v>2256</v>
      </c>
      <c r="C736" s="68"/>
      <c r="D736" s="69" t="s">
        <v>2</v>
      </c>
      <c r="E736" s="157">
        <v>12479.79</v>
      </c>
      <c r="F736" s="137">
        <f>+E736</f>
        <v>12479.79</v>
      </c>
      <c r="G736" s="217"/>
    </row>
    <row r="737" spans="1:7" s="30" customFormat="1" ht="14.45">
      <c r="A737" s="59"/>
      <c r="B737" s="100"/>
      <c r="C737" s="61"/>
      <c r="D737" s="62"/>
      <c r="E737" s="157"/>
      <c r="F737" s="137"/>
      <c r="G737" s="217"/>
    </row>
    <row r="738" spans="1:7" s="30" customFormat="1" ht="27.6">
      <c r="A738" s="66"/>
      <c r="B738" s="98" t="s">
        <v>2246</v>
      </c>
      <c r="C738" s="68"/>
      <c r="D738" s="69"/>
      <c r="E738" s="157"/>
      <c r="F738" s="137"/>
      <c r="G738" s="217"/>
    </row>
    <row r="739" spans="1:7" s="30" customFormat="1" ht="14.45">
      <c r="A739" s="59"/>
      <c r="B739" s="100"/>
      <c r="C739" s="61"/>
      <c r="D739" s="62"/>
      <c r="E739" s="157"/>
      <c r="F739" s="137"/>
      <c r="G739" s="217"/>
    </row>
    <row r="740" spans="1:7" s="30" customFormat="1" ht="14.45">
      <c r="A740" s="66" t="s">
        <v>20</v>
      </c>
      <c r="B740" s="67" t="s">
        <v>2257</v>
      </c>
      <c r="C740" s="68"/>
      <c r="D740" s="69" t="s">
        <v>2</v>
      </c>
      <c r="E740" s="157">
        <v>38163.279999999999</v>
      </c>
      <c r="F740" s="137">
        <f>+E740</f>
        <v>38163.279999999999</v>
      </c>
      <c r="G740" s="217"/>
    </row>
    <row r="741" spans="1:7" s="30" customFormat="1" ht="14.45">
      <c r="A741" s="59"/>
      <c r="B741" s="100"/>
      <c r="C741" s="61"/>
      <c r="D741" s="62"/>
      <c r="E741" s="157"/>
      <c r="F741" s="137"/>
      <c r="G741" s="217"/>
    </row>
    <row r="742" spans="1:7" s="30" customFormat="1" ht="27.6">
      <c r="A742" s="66"/>
      <c r="B742" s="98" t="s">
        <v>2258</v>
      </c>
      <c r="C742" s="68"/>
      <c r="D742" s="69"/>
      <c r="E742" s="157"/>
      <c r="F742" s="137"/>
      <c r="G742" s="217"/>
    </row>
    <row r="743" spans="1:7" s="30" customFormat="1" ht="14.45">
      <c r="A743" s="59"/>
      <c r="B743" s="100"/>
      <c r="C743" s="61"/>
      <c r="D743" s="62"/>
      <c r="E743" s="157"/>
      <c r="F743" s="137"/>
      <c r="G743" s="217"/>
    </row>
    <row r="744" spans="1:7" s="30" customFormat="1" ht="14.45">
      <c r="A744" s="66" t="s">
        <v>23</v>
      </c>
      <c r="B744" s="67" t="s">
        <v>2259</v>
      </c>
      <c r="C744" s="68"/>
      <c r="D744" s="69" t="s">
        <v>2</v>
      </c>
      <c r="E744" s="157">
        <v>32145.15</v>
      </c>
      <c r="F744" s="137">
        <f>+E744</f>
        <v>32145.15</v>
      </c>
      <c r="G744" s="217"/>
    </row>
    <row r="745" spans="1:7" s="30" customFormat="1" ht="14.45">
      <c r="A745" s="59"/>
      <c r="B745" s="100"/>
      <c r="C745" s="61"/>
      <c r="D745" s="62"/>
      <c r="E745" s="157"/>
      <c r="F745" s="137"/>
      <c r="G745" s="217"/>
    </row>
    <row r="746" spans="1:7" s="30" customFormat="1" ht="27.6">
      <c r="A746" s="66"/>
      <c r="B746" s="98" t="s">
        <v>2248</v>
      </c>
      <c r="C746" s="68"/>
      <c r="D746" s="69"/>
      <c r="E746" s="157"/>
      <c r="F746" s="137"/>
      <c r="G746" s="217"/>
    </row>
    <row r="747" spans="1:7" s="30" customFormat="1" ht="14.45">
      <c r="A747" s="59"/>
      <c r="B747" s="100"/>
      <c r="C747" s="61"/>
      <c r="D747" s="62"/>
      <c r="E747" s="157"/>
      <c r="F747" s="137"/>
      <c r="G747" s="217"/>
    </row>
    <row r="748" spans="1:7" s="30" customFormat="1" ht="14.45">
      <c r="A748" s="66" t="s">
        <v>27</v>
      </c>
      <c r="B748" s="67" t="s">
        <v>2260</v>
      </c>
      <c r="C748" s="68" t="s">
        <v>2261</v>
      </c>
      <c r="D748" s="69" t="s">
        <v>199</v>
      </c>
      <c r="E748" s="157">
        <v>209.95</v>
      </c>
      <c r="F748" s="137">
        <f t="shared" ref="F748" si="37">C748*E748</f>
        <v>52487.5</v>
      </c>
      <c r="G748" s="217"/>
    </row>
    <row r="749" spans="1:7" s="30" customFormat="1" ht="14.45">
      <c r="A749" s="59"/>
      <c r="B749" s="100"/>
      <c r="C749" s="61"/>
      <c r="D749" s="62"/>
      <c r="E749" s="157"/>
      <c r="F749" s="137"/>
      <c r="G749" s="217"/>
    </row>
    <row r="750" spans="1:7" s="30" customFormat="1" ht="14.45">
      <c r="A750" s="66" t="s">
        <v>44</v>
      </c>
      <c r="B750" s="67" t="s">
        <v>2262</v>
      </c>
      <c r="C750" s="68" t="s">
        <v>2263</v>
      </c>
      <c r="D750" s="69" t="s">
        <v>199</v>
      </c>
      <c r="E750" s="157">
        <v>209.95</v>
      </c>
      <c r="F750" s="137">
        <f t="shared" ref="F750" si="38">C750*E750</f>
        <v>52697.45</v>
      </c>
      <c r="G750" s="217"/>
    </row>
    <row r="751" spans="1:7" s="30" customFormat="1" ht="14.45">
      <c r="A751" s="59"/>
      <c r="B751" s="100"/>
      <c r="C751" s="61"/>
      <c r="D751" s="62"/>
      <c r="E751" s="157"/>
      <c r="F751" s="137"/>
      <c r="G751" s="217"/>
    </row>
    <row r="752" spans="1:7" s="30" customFormat="1" ht="14.45">
      <c r="A752" s="66" t="s">
        <v>48</v>
      </c>
      <c r="B752" s="67" t="s">
        <v>2264</v>
      </c>
      <c r="C752" s="68" t="s">
        <v>2265</v>
      </c>
      <c r="D752" s="69" t="s">
        <v>199</v>
      </c>
      <c r="E752" s="157">
        <v>209.95</v>
      </c>
      <c r="F752" s="137">
        <f t="shared" ref="F752" si="39">C752*E752</f>
        <v>61305.399999999994</v>
      </c>
      <c r="G752" s="217"/>
    </row>
    <row r="753" spans="1:7" s="30" customFormat="1" ht="9" customHeight="1">
      <c r="A753" s="59"/>
      <c r="B753" s="100"/>
      <c r="C753" s="61"/>
      <c r="D753" s="62"/>
      <c r="E753" s="157"/>
      <c r="F753" s="137"/>
      <c r="G753" s="217"/>
    </row>
    <row r="754" spans="1:7" s="30" customFormat="1" ht="14.45">
      <c r="A754" s="66" t="s">
        <v>84</v>
      </c>
      <c r="B754" s="67" t="s">
        <v>2266</v>
      </c>
      <c r="C754" s="68"/>
      <c r="D754" s="69" t="s">
        <v>2</v>
      </c>
      <c r="E754" s="157">
        <v>53539.3</v>
      </c>
      <c r="F754" s="137">
        <f t="shared" ref="F754:F764" si="40">+E754</f>
        <v>53539.3</v>
      </c>
      <c r="G754" s="217"/>
    </row>
    <row r="755" spans="1:7" s="30" customFormat="1" ht="12" customHeight="1">
      <c r="A755" s="59"/>
      <c r="B755" s="100"/>
      <c r="C755" s="61"/>
      <c r="D755" s="62"/>
      <c r="E755" s="157"/>
      <c r="F755" s="137">
        <f t="shared" si="40"/>
        <v>0</v>
      </c>
      <c r="G755" s="217"/>
    </row>
    <row r="756" spans="1:7" s="30" customFormat="1" ht="14.45">
      <c r="A756" s="66" t="s">
        <v>86</v>
      </c>
      <c r="B756" s="67" t="s">
        <v>2267</v>
      </c>
      <c r="C756" s="68"/>
      <c r="D756" s="69" t="s">
        <v>2</v>
      </c>
      <c r="E756" s="157">
        <v>90701.86</v>
      </c>
      <c r="F756" s="137">
        <f t="shared" si="40"/>
        <v>90701.86</v>
      </c>
      <c r="G756" s="217"/>
    </row>
    <row r="757" spans="1:7" s="30" customFormat="1" ht="14.45">
      <c r="A757" s="59"/>
      <c r="B757" s="100"/>
      <c r="C757" s="61"/>
      <c r="D757" s="62"/>
      <c r="E757" s="157"/>
      <c r="F757" s="137">
        <f t="shared" si="40"/>
        <v>0</v>
      </c>
      <c r="G757" s="217"/>
    </row>
    <row r="758" spans="1:7" s="30" customFormat="1" ht="14.45">
      <c r="A758" s="66" t="s">
        <v>90</v>
      </c>
      <c r="B758" s="67" t="s">
        <v>2268</v>
      </c>
      <c r="C758" s="68"/>
      <c r="D758" s="69" t="s">
        <v>2</v>
      </c>
      <c r="E758" s="157">
        <v>58368.33</v>
      </c>
      <c r="F758" s="137">
        <f t="shared" si="40"/>
        <v>58368.33</v>
      </c>
      <c r="G758" s="217"/>
    </row>
    <row r="759" spans="1:7" s="30" customFormat="1" ht="9" customHeight="1">
      <c r="A759" s="59"/>
      <c r="B759" s="100"/>
      <c r="C759" s="61"/>
      <c r="D759" s="62"/>
      <c r="E759" s="157"/>
      <c r="F759" s="137">
        <f t="shared" si="40"/>
        <v>0</v>
      </c>
      <c r="G759" s="217"/>
    </row>
    <row r="760" spans="1:7" s="30" customFormat="1" ht="14.45">
      <c r="A760" s="66" t="s">
        <v>92</v>
      </c>
      <c r="B760" s="67" t="s">
        <v>2269</v>
      </c>
      <c r="C760" s="68"/>
      <c r="D760" s="69" t="s">
        <v>2</v>
      </c>
      <c r="E760" s="157">
        <v>52279.54</v>
      </c>
      <c r="F760" s="137">
        <f t="shared" si="40"/>
        <v>52279.54</v>
      </c>
      <c r="G760" s="217"/>
    </row>
    <row r="761" spans="1:7" s="30" customFormat="1" ht="14.45">
      <c r="A761" s="59"/>
      <c r="B761" s="100"/>
      <c r="C761" s="61"/>
      <c r="D761" s="62"/>
      <c r="E761" s="157"/>
      <c r="F761" s="137">
        <f t="shared" si="40"/>
        <v>0</v>
      </c>
      <c r="G761" s="217"/>
    </row>
    <row r="762" spans="1:7" s="30" customFormat="1" ht="14.45">
      <c r="A762" s="66" t="s">
        <v>94</v>
      </c>
      <c r="B762" s="67" t="s">
        <v>2270</v>
      </c>
      <c r="C762" s="68"/>
      <c r="D762" s="69" t="s">
        <v>2</v>
      </c>
      <c r="E762" s="157">
        <v>45770.85</v>
      </c>
      <c r="F762" s="137">
        <f t="shared" si="40"/>
        <v>45770.85</v>
      </c>
      <c r="G762" s="217"/>
    </row>
    <row r="763" spans="1:7" s="30" customFormat="1" ht="14.45">
      <c r="A763" s="59"/>
      <c r="B763" s="100"/>
      <c r="C763" s="61"/>
      <c r="D763" s="62"/>
      <c r="E763" s="157"/>
      <c r="F763" s="137">
        <f t="shared" si="40"/>
        <v>0</v>
      </c>
      <c r="G763" s="217"/>
    </row>
    <row r="764" spans="1:7" s="30" customFormat="1" ht="14.45">
      <c r="A764" s="66" t="s">
        <v>140</v>
      </c>
      <c r="B764" s="67" t="s">
        <v>2271</v>
      </c>
      <c r="C764" s="68"/>
      <c r="D764" s="69" t="s">
        <v>2</v>
      </c>
      <c r="E764" s="157">
        <v>38422.32</v>
      </c>
      <c r="F764" s="137">
        <f t="shared" si="40"/>
        <v>38422.32</v>
      </c>
      <c r="G764" s="217"/>
    </row>
    <row r="765" spans="1:7" s="30" customFormat="1" ht="14.45">
      <c r="A765" s="59"/>
      <c r="B765" s="100"/>
      <c r="C765" s="61"/>
      <c r="D765" s="62"/>
      <c r="E765" s="157"/>
      <c r="F765" s="137"/>
      <c r="G765" s="217"/>
    </row>
    <row r="766" spans="1:7" s="30" customFormat="1" ht="27.6">
      <c r="A766" s="66"/>
      <c r="B766" s="98" t="s">
        <v>2272</v>
      </c>
      <c r="C766" s="68"/>
      <c r="D766" s="69"/>
      <c r="E766" s="157"/>
      <c r="F766" s="137"/>
      <c r="G766" s="217"/>
    </row>
    <row r="767" spans="1:7" s="30" customFormat="1" ht="14.45">
      <c r="A767" s="59"/>
      <c r="B767" s="63"/>
      <c r="C767" s="61"/>
      <c r="D767" s="62"/>
      <c r="E767" s="157"/>
      <c r="F767" s="137"/>
      <c r="G767" s="217"/>
    </row>
    <row r="768" spans="1:7" s="30" customFormat="1" ht="14.45">
      <c r="A768" s="71"/>
      <c r="B768" s="72"/>
      <c r="C768" s="73"/>
      <c r="D768" s="74"/>
      <c r="E768" s="159"/>
      <c r="F768" s="138"/>
      <c r="G768" s="226"/>
    </row>
    <row r="769" spans="1:7" s="30" customFormat="1" ht="14.45">
      <c r="A769" s="75"/>
      <c r="B769" s="76"/>
      <c r="C769" s="77" t="s">
        <v>30</v>
      </c>
      <c r="D769" s="77"/>
      <c r="E769" s="160" t="s">
        <v>8</v>
      </c>
      <c r="F769" s="139">
        <f>SUM(F730:F767)</f>
        <v>608198.92999999993</v>
      </c>
      <c r="G769" s="227"/>
    </row>
    <row r="770" spans="1:7" s="30" customFormat="1" ht="14.45">
      <c r="A770" s="75"/>
      <c r="B770" s="76"/>
      <c r="C770" s="78"/>
      <c r="D770" s="79"/>
      <c r="E770" s="161"/>
      <c r="F770" s="140"/>
      <c r="G770" s="228"/>
    </row>
    <row r="771" spans="1:7" s="30" customFormat="1" ht="14.45">
      <c r="A771" s="59"/>
      <c r="B771" s="63"/>
      <c r="C771" s="61"/>
      <c r="D771" s="62"/>
      <c r="E771" s="157"/>
      <c r="F771" s="137"/>
      <c r="G771" s="217"/>
    </row>
    <row r="772" spans="1:7" s="30" customFormat="1" ht="14.45">
      <c r="A772" s="59"/>
      <c r="B772" s="64" t="s">
        <v>1950</v>
      </c>
      <c r="C772" s="61"/>
      <c r="D772" s="62"/>
      <c r="E772" s="157"/>
      <c r="F772" s="137"/>
      <c r="G772" s="217"/>
    </row>
    <row r="773" spans="1:7" s="30" customFormat="1" ht="14.45">
      <c r="A773" s="59"/>
      <c r="B773" s="100"/>
      <c r="C773" s="61"/>
      <c r="D773" s="62"/>
      <c r="E773" s="157"/>
      <c r="F773" s="137"/>
      <c r="G773" s="217"/>
    </row>
    <row r="774" spans="1:7" s="30" customFormat="1" ht="14.45">
      <c r="A774" s="66" t="s">
        <v>14</v>
      </c>
      <c r="B774" s="67" t="s">
        <v>2273</v>
      </c>
      <c r="C774" s="68"/>
      <c r="D774" s="69" t="s">
        <v>2</v>
      </c>
      <c r="E774" s="157">
        <v>50439.6</v>
      </c>
      <c r="F774" s="137">
        <f t="shared" ref="F774" si="41">+E774</f>
        <v>50439.6</v>
      </c>
      <c r="G774" s="217"/>
    </row>
    <row r="775" spans="1:7" s="30" customFormat="1" ht="14.45">
      <c r="A775" s="59"/>
      <c r="B775" s="100"/>
      <c r="C775" s="61"/>
      <c r="D775" s="62"/>
      <c r="E775" s="157"/>
      <c r="F775" s="137"/>
      <c r="G775" s="217"/>
    </row>
    <row r="776" spans="1:7" s="30" customFormat="1" ht="27.6">
      <c r="A776" s="66"/>
      <c r="B776" s="98" t="s">
        <v>2274</v>
      </c>
      <c r="C776" s="68"/>
      <c r="D776" s="69"/>
      <c r="E776" s="157"/>
      <c r="F776" s="137"/>
      <c r="G776" s="217"/>
    </row>
    <row r="777" spans="1:7" s="30" customFormat="1" ht="14.45">
      <c r="A777" s="59"/>
      <c r="B777" s="100"/>
      <c r="C777" s="61"/>
      <c r="D777" s="62"/>
      <c r="E777" s="157"/>
      <c r="F777" s="137"/>
      <c r="G777" s="217"/>
    </row>
    <row r="778" spans="1:7" s="30" customFormat="1" ht="14.45">
      <c r="A778" s="66" t="s">
        <v>17</v>
      </c>
      <c r="B778" s="67" t="s">
        <v>2275</v>
      </c>
      <c r="C778" s="68"/>
      <c r="D778" s="69" t="s">
        <v>2</v>
      </c>
      <c r="E778" s="157">
        <v>81708.86</v>
      </c>
      <c r="F778" s="137">
        <f t="shared" ref="F778" si="42">+E778</f>
        <v>81708.86</v>
      </c>
      <c r="G778" s="217"/>
    </row>
    <row r="779" spans="1:7" s="30" customFormat="1" ht="14.45">
      <c r="A779" s="59"/>
      <c r="B779" s="100"/>
      <c r="C779" s="61"/>
      <c r="D779" s="62"/>
      <c r="E779" s="157"/>
      <c r="F779" s="137"/>
      <c r="G779" s="217"/>
    </row>
    <row r="780" spans="1:7" s="30" customFormat="1" ht="14.45">
      <c r="A780" s="66" t="s">
        <v>20</v>
      </c>
      <c r="B780" s="67" t="s">
        <v>2276</v>
      </c>
      <c r="C780" s="68"/>
      <c r="D780" s="69" t="s">
        <v>2</v>
      </c>
      <c r="E780" s="157">
        <v>47032.41</v>
      </c>
      <c r="F780" s="137">
        <f t="shared" ref="F780" si="43">+E780</f>
        <v>47032.41</v>
      </c>
      <c r="G780" s="217"/>
    </row>
    <row r="781" spans="1:7" s="30" customFormat="1" ht="14.45">
      <c r="A781" s="59"/>
      <c r="B781" s="100"/>
      <c r="C781" s="61"/>
      <c r="D781" s="62"/>
      <c r="E781" s="157"/>
      <c r="F781" s="137"/>
      <c r="G781" s="217"/>
    </row>
    <row r="782" spans="1:7" s="30" customFormat="1" ht="27.6">
      <c r="A782" s="66"/>
      <c r="B782" s="98" t="s">
        <v>2277</v>
      </c>
      <c r="C782" s="68"/>
      <c r="D782" s="69"/>
      <c r="E782" s="157"/>
      <c r="F782" s="137"/>
      <c r="G782" s="217"/>
    </row>
    <row r="783" spans="1:7" s="30" customFormat="1" ht="14.45">
      <c r="A783" s="59"/>
      <c r="B783" s="100"/>
      <c r="C783" s="61"/>
      <c r="D783" s="62"/>
      <c r="E783" s="157"/>
      <c r="F783" s="137"/>
      <c r="G783" s="217"/>
    </row>
    <row r="784" spans="1:7" s="30" customFormat="1" ht="14.45">
      <c r="A784" s="66" t="s">
        <v>23</v>
      </c>
      <c r="B784" s="67" t="s">
        <v>2278</v>
      </c>
      <c r="C784" s="68"/>
      <c r="D784" s="69" t="s">
        <v>2</v>
      </c>
      <c r="E784" s="157">
        <v>49213.599999999999</v>
      </c>
      <c r="F784" s="137">
        <f t="shared" ref="F784" si="44">+E784</f>
        <v>49213.599999999999</v>
      </c>
      <c r="G784" s="217"/>
    </row>
    <row r="785" spans="1:7" s="30" customFormat="1" ht="14.45">
      <c r="A785" s="59"/>
      <c r="B785" s="100"/>
      <c r="C785" s="61"/>
      <c r="D785" s="62"/>
      <c r="E785" s="157"/>
      <c r="F785" s="137"/>
      <c r="G785" s="217"/>
    </row>
    <row r="786" spans="1:7" s="30" customFormat="1" ht="27.6">
      <c r="A786" s="66"/>
      <c r="B786" s="98" t="s">
        <v>2250</v>
      </c>
      <c r="C786" s="68"/>
      <c r="D786" s="69"/>
      <c r="E786" s="157"/>
      <c r="F786" s="137"/>
      <c r="G786" s="217"/>
    </row>
    <row r="787" spans="1:7" s="30" customFormat="1" ht="14.45">
      <c r="A787" s="59"/>
      <c r="B787" s="100"/>
      <c r="C787" s="61"/>
      <c r="D787" s="62"/>
      <c r="E787" s="157"/>
      <c r="F787" s="137"/>
      <c r="G787" s="217"/>
    </row>
    <row r="788" spans="1:7" s="30" customFormat="1" ht="14.45">
      <c r="A788" s="66" t="s">
        <v>27</v>
      </c>
      <c r="B788" s="67" t="s">
        <v>2279</v>
      </c>
      <c r="C788" s="68" t="s">
        <v>332</v>
      </c>
      <c r="D788" s="69" t="s">
        <v>199</v>
      </c>
      <c r="E788" s="157">
        <v>618.5</v>
      </c>
      <c r="F788" s="137">
        <f t="shared" ref="F788" si="45">C788*E788</f>
        <v>6185</v>
      </c>
      <c r="G788" s="217"/>
    </row>
    <row r="789" spans="1:7" s="30" customFormat="1" ht="14.45">
      <c r="A789" s="59"/>
      <c r="B789" s="100"/>
      <c r="C789" s="61"/>
      <c r="D789" s="62"/>
      <c r="E789" s="157"/>
      <c r="F789" s="137"/>
      <c r="G789" s="217"/>
    </row>
    <row r="790" spans="1:7" s="30" customFormat="1" ht="27.6">
      <c r="A790" s="66"/>
      <c r="B790" s="98" t="s">
        <v>2253</v>
      </c>
      <c r="C790" s="68"/>
      <c r="D790" s="69"/>
      <c r="E790" s="157"/>
      <c r="F790" s="137"/>
      <c r="G790" s="217"/>
    </row>
    <row r="791" spans="1:7" s="30" customFormat="1" ht="14.45">
      <c r="A791" s="59"/>
      <c r="B791" s="100"/>
      <c r="C791" s="61"/>
      <c r="D791" s="62"/>
      <c r="E791" s="157"/>
      <c r="F791" s="137"/>
      <c r="G791" s="217"/>
    </row>
    <row r="792" spans="1:7" s="30" customFormat="1" ht="14.45">
      <c r="A792" s="66" t="s">
        <v>44</v>
      </c>
      <c r="B792" s="67" t="s">
        <v>2280</v>
      </c>
      <c r="C792" s="68" t="s">
        <v>1425</v>
      </c>
      <c r="D792" s="69" t="s">
        <v>199</v>
      </c>
      <c r="E792" s="157">
        <v>601.16</v>
      </c>
      <c r="F792" s="137">
        <f t="shared" ref="F792" si="46">C792*E792</f>
        <v>30058</v>
      </c>
      <c r="G792" s="217"/>
    </row>
    <row r="793" spans="1:7" s="30" customFormat="1" ht="14.45">
      <c r="A793" s="59"/>
      <c r="B793" s="100"/>
      <c r="C793" s="61"/>
      <c r="D793" s="62"/>
      <c r="E793" s="157"/>
      <c r="F793" s="137"/>
      <c r="G793" s="217"/>
    </row>
    <row r="794" spans="1:7" s="30" customFormat="1" ht="14.45">
      <c r="A794" s="66" t="s">
        <v>48</v>
      </c>
      <c r="B794" s="67" t="s">
        <v>2281</v>
      </c>
      <c r="C794" s="68" t="s">
        <v>737</v>
      </c>
      <c r="D794" s="69" t="s">
        <v>199</v>
      </c>
      <c r="E794" s="157">
        <v>601.16</v>
      </c>
      <c r="F794" s="137">
        <f t="shared" ref="F794" si="47">C794*E794</f>
        <v>36069.599999999999</v>
      </c>
      <c r="G794" s="217"/>
    </row>
    <row r="795" spans="1:7" s="30" customFormat="1" ht="14.45">
      <c r="A795" s="59"/>
      <c r="B795" s="100"/>
      <c r="C795" s="61"/>
      <c r="D795" s="62"/>
      <c r="E795" s="157"/>
      <c r="F795" s="137"/>
      <c r="G795" s="217"/>
    </row>
    <row r="796" spans="1:7" s="30" customFormat="1" ht="27.6">
      <c r="A796" s="66"/>
      <c r="B796" s="98" t="s">
        <v>2282</v>
      </c>
      <c r="C796" s="68"/>
      <c r="D796" s="69"/>
      <c r="E796" s="157"/>
      <c r="F796" s="137"/>
      <c r="G796" s="217"/>
    </row>
    <row r="797" spans="1:7" s="30" customFormat="1" ht="14.45">
      <c r="A797" s="59"/>
      <c r="B797" s="100"/>
      <c r="C797" s="61"/>
      <c r="D797" s="62"/>
      <c r="E797" s="157"/>
      <c r="F797" s="137"/>
      <c r="G797" s="217"/>
    </row>
    <row r="798" spans="1:7" s="30" customFormat="1" ht="14.45">
      <c r="A798" s="66" t="s">
        <v>84</v>
      </c>
      <c r="B798" s="67" t="s">
        <v>2283</v>
      </c>
      <c r="C798" s="68"/>
      <c r="D798" s="69" t="s">
        <v>2</v>
      </c>
      <c r="E798" s="157">
        <v>710521.57</v>
      </c>
      <c r="F798" s="137">
        <f t="shared" ref="F798" si="48">+E798</f>
        <v>710521.57</v>
      </c>
      <c r="G798" s="217"/>
    </row>
    <row r="799" spans="1:7" s="30" customFormat="1" ht="14.45">
      <c r="A799" s="59"/>
      <c r="B799" s="100"/>
      <c r="C799" s="61"/>
      <c r="D799" s="62"/>
      <c r="E799" s="157"/>
      <c r="F799" s="137"/>
      <c r="G799" s="217"/>
    </row>
    <row r="800" spans="1:7" s="91" customFormat="1" ht="14.45">
      <c r="A800" s="80" t="s">
        <v>86</v>
      </c>
      <c r="B800" s="81" t="s">
        <v>2284</v>
      </c>
      <c r="C800" s="82"/>
      <c r="D800" s="83" t="s">
        <v>2</v>
      </c>
      <c r="E800" s="158">
        <v>1042338.76</v>
      </c>
      <c r="F800" s="137">
        <f t="shared" ref="F800" si="49">+E800</f>
        <v>1042338.76</v>
      </c>
      <c r="G800" s="217"/>
    </row>
    <row r="801" spans="1:7" s="30" customFormat="1" ht="14.45">
      <c r="A801" s="59"/>
      <c r="B801" s="100"/>
      <c r="C801" s="61"/>
      <c r="D801" s="62"/>
      <c r="E801" s="157"/>
      <c r="F801" s="137"/>
      <c r="G801" s="217"/>
    </row>
    <row r="802" spans="1:7" s="30" customFormat="1" ht="41.45">
      <c r="A802" s="66"/>
      <c r="B802" s="98" t="s">
        <v>2285</v>
      </c>
      <c r="C802" s="68"/>
      <c r="D802" s="69"/>
      <c r="E802" s="157"/>
      <c r="F802" s="137"/>
      <c r="G802" s="217"/>
    </row>
    <row r="803" spans="1:7" s="30" customFormat="1" ht="14.45">
      <c r="A803" s="59"/>
      <c r="B803" s="100"/>
      <c r="C803" s="61"/>
      <c r="D803" s="62"/>
      <c r="E803" s="157"/>
      <c r="F803" s="137"/>
      <c r="G803" s="217"/>
    </row>
    <row r="804" spans="1:7" s="30" customFormat="1" ht="14.45">
      <c r="A804" s="66"/>
      <c r="B804" s="98" t="s">
        <v>2286</v>
      </c>
      <c r="C804" s="68"/>
      <c r="D804" s="69"/>
      <c r="E804" s="157"/>
      <c r="F804" s="137"/>
      <c r="G804" s="217"/>
    </row>
    <row r="805" spans="1:7" s="30" customFormat="1" ht="14.45">
      <c r="A805" s="59"/>
      <c r="B805" s="100"/>
      <c r="C805" s="61"/>
      <c r="D805" s="62"/>
      <c r="E805" s="157"/>
      <c r="F805" s="137"/>
      <c r="G805" s="217"/>
    </row>
    <row r="806" spans="1:7" s="30" customFormat="1" ht="27.6">
      <c r="A806" s="66" t="s">
        <v>90</v>
      </c>
      <c r="B806" s="67" t="s">
        <v>2287</v>
      </c>
      <c r="C806" s="68"/>
      <c r="D806" s="69" t="s">
        <v>2</v>
      </c>
      <c r="E806" s="157">
        <v>25988.83</v>
      </c>
      <c r="F806" s="137">
        <f t="shared" ref="F806" si="50">+E806</f>
        <v>25988.83</v>
      </c>
      <c r="G806" s="217"/>
    </row>
    <row r="807" spans="1:7" s="30" customFormat="1" ht="14.45">
      <c r="A807" s="59"/>
      <c r="B807" s="63"/>
      <c r="C807" s="61"/>
      <c r="D807" s="62"/>
      <c r="E807" s="157"/>
      <c r="F807" s="137"/>
      <c r="G807" s="217"/>
    </row>
    <row r="808" spans="1:7" s="30" customFormat="1" ht="14.45">
      <c r="A808" s="71"/>
      <c r="B808" s="72"/>
      <c r="C808" s="73"/>
      <c r="D808" s="74"/>
      <c r="E808" s="159"/>
      <c r="F808" s="138"/>
      <c r="G808" s="226"/>
    </row>
    <row r="809" spans="1:7" s="30" customFormat="1" ht="14.45">
      <c r="A809" s="75"/>
      <c r="B809" s="76"/>
      <c r="C809" s="77" t="s">
        <v>30</v>
      </c>
      <c r="D809" s="77"/>
      <c r="E809" s="160" t="s">
        <v>8</v>
      </c>
      <c r="F809" s="139">
        <f>SUM(F773:F807)</f>
        <v>2079556.23</v>
      </c>
      <c r="G809" s="227"/>
    </row>
    <row r="810" spans="1:7" s="30" customFormat="1" ht="14.45">
      <c r="A810" s="75"/>
      <c r="B810" s="76"/>
      <c r="C810" s="78"/>
      <c r="D810" s="79"/>
      <c r="E810" s="161"/>
      <c r="F810" s="140"/>
      <c r="G810" s="228"/>
    </row>
    <row r="811" spans="1:7" s="30" customFormat="1" ht="14.45">
      <c r="A811" s="59"/>
      <c r="B811" s="63"/>
      <c r="C811" s="61"/>
      <c r="D811" s="62"/>
      <c r="E811" s="157"/>
      <c r="F811" s="137"/>
      <c r="G811" s="217"/>
    </row>
    <row r="812" spans="1:7" s="30" customFormat="1" ht="14.45">
      <c r="A812" s="59"/>
      <c r="B812" s="64" t="s">
        <v>1950</v>
      </c>
      <c r="C812" s="61"/>
      <c r="D812" s="62"/>
      <c r="E812" s="157"/>
      <c r="F812" s="137"/>
      <c r="G812" s="217"/>
    </row>
    <row r="813" spans="1:7" s="30" customFormat="1" ht="14.45">
      <c r="A813" s="59"/>
      <c r="B813" s="100"/>
      <c r="C813" s="61"/>
      <c r="D813" s="62"/>
      <c r="E813" s="157"/>
      <c r="F813" s="137"/>
      <c r="G813" s="217"/>
    </row>
    <row r="814" spans="1:7" s="30" customFormat="1" ht="27.6">
      <c r="A814" s="66" t="s">
        <v>14</v>
      </c>
      <c r="B814" s="67" t="s">
        <v>2288</v>
      </c>
      <c r="C814" s="68"/>
      <c r="D814" s="69" t="s">
        <v>2</v>
      </c>
      <c r="E814" s="157">
        <v>11036.36</v>
      </c>
      <c r="F814" s="137">
        <f t="shared" ref="F814:F840" si="51">+E814</f>
        <v>11036.36</v>
      </c>
      <c r="G814" s="217"/>
    </row>
    <row r="815" spans="1:7" s="30" customFormat="1" ht="14.45">
      <c r="A815" s="59"/>
      <c r="B815" s="100"/>
      <c r="C815" s="61"/>
      <c r="D815" s="62"/>
      <c r="E815" s="157"/>
      <c r="F815" s="137">
        <f t="shared" si="51"/>
        <v>0</v>
      </c>
      <c r="G815" s="217"/>
    </row>
    <row r="816" spans="1:7" s="30" customFormat="1" ht="27.6">
      <c r="A816" s="66" t="s">
        <v>17</v>
      </c>
      <c r="B816" s="67" t="s">
        <v>2289</v>
      </c>
      <c r="C816" s="68"/>
      <c r="D816" s="69" t="s">
        <v>2</v>
      </c>
      <c r="E816" s="157">
        <v>28362.23</v>
      </c>
      <c r="F816" s="137">
        <f t="shared" si="51"/>
        <v>28362.23</v>
      </c>
      <c r="G816" s="217"/>
    </row>
    <row r="817" spans="1:7" s="30" customFormat="1" ht="14.45">
      <c r="A817" s="59"/>
      <c r="B817" s="100"/>
      <c r="C817" s="61"/>
      <c r="D817" s="62"/>
      <c r="E817" s="157"/>
      <c r="F817" s="137">
        <f t="shared" si="51"/>
        <v>0</v>
      </c>
      <c r="G817" s="217"/>
    </row>
    <row r="818" spans="1:7" s="30" customFormat="1" ht="27.6">
      <c r="A818" s="66" t="s">
        <v>20</v>
      </c>
      <c r="B818" s="67" t="s">
        <v>2290</v>
      </c>
      <c r="C818" s="68"/>
      <c r="D818" s="69" t="s">
        <v>2</v>
      </c>
      <c r="E818" s="157">
        <v>24090.1</v>
      </c>
      <c r="F818" s="137">
        <f t="shared" si="51"/>
        <v>24090.1</v>
      </c>
      <c r="G818" s="217"/>
    </row>
    <row r="819" spans="1:7" s="30" customFormat="1" ht="14.45">
      <c r="A819" s="59"/>
      <c r="B819" s="100"/>
      <c r="C819" s="61"/>
      <c r="D819" s="62"/>
      <c r="E819" s="157"/>
      <c r="F819" s="137">
        <f t="shared" si="51"/>
        <v>0</v>
      </c>
      <c r="G819" s="217"/>
    </row>
    <row r="820" spans="1:7" s="91" customFormat="1" ht="14.45">
      <c r="A820" s="80"/>
      <c r="B820" s="93" t="s">
        <v>2291</v>
      </c>
      <c r="C820" s="82"/>
      <c r="D820" s="83"/>
      <c r="E820" s="158"/>
      <c r="F820" s="137">
        <f t="shared" si="51"/>
        <v>0</v>
      </c>
      <c r="G820" s="217"/>
    </row>
    <row r="821" spans="1:7" s="30" customFormat="1" ht="14.45">
      <c r="A821" s="59"/>
      <c r="B821" s="100"/>
      <c r="C821" s="61"/>
      <c r="D821" s="62"/>
      <c r="E821" s="157"/>
      <c r="F821" s="137">
        <f t="shared" si="51"/>
        <v>0</v>
      </c>
      <c r="G821" s="217"/>
    </row>
    <row r="822" spans="1:7" s="30" customFormat="1" ht="27.6">
      <c r="A822" s="66" t="s">
        <v>23</v>
      </c>
      <c r="B822" s="67" t="s">
        <v>2292</v>
      </c>
      <c r="C822" s="68"/>
      <c r="D822" s="69" t="s">
        <v>2</v>
      </c>
      <c r="E822" s="157">
        <v>22972.57</v>
      </c>
      <c r="F822" s="137">
        <f t="shared" si="51"/>
        <v>22972.57</v>
      </c>
      <c r="G822" s="217"/>
    </row>
    <row r="823" spans="1:7" s="30" customFormat="1" ht="14.45">
      <c r="A823" s="59"/>
      <c r="B823" s="100"/>
      <c r="C823" s="61"/>
      <c r="D823" s="62"/>
      <c r="E823" s="157"/>
      <c r="F823" s="137">
        <f t="shared" si="51"/>
        <v>0</v>
      </c>
      <c r="G823" s="217"/>
    </row>
    <row r="824" spans="1:7" s="30" customFormat="1" ht="27.6">
      <c r="A824" s="66" t="s">
        <v>27</v>
      </c>
      <c r="B824" s="67" t="s">
        <v>2293</v>
      </c>
      <c r="C824" s="68"/>
      <c r="D824" s="69" t="s">
        <v>2</v>
      </c>
      <c r="E824" s="157">
        <v>36325.370000000003</v>
      </c>
      <c r="F824" s="137">
        <f t="shared" si="51"/>
        <v>36325.370000000003</v>
      </c>
      <c r="G824" s="217"/>
    </row>
    <row r="825" spans="1:7" s="30" customFormat="1" ht="14.45">
      <c r="A825" s="59"/>
      <c r="B825" s="100"/>
      <c r="C825" s="61"/>
      <c r="D825" s="62"/>
      <c r="E825" s="157"/>
      <c r="F825" s="137">
        <f t="shared" si="51"/>
        <v>0</v>
      </c>
      <c r="G825" s="217"/>
    </row>
    <row r="826" spans="1:7" s="30" customFormat="1" ht="27.6">
      <c r="A826" s="66" t="s">
        <v>44</v>
      </c>
      <c r="B826" s="67" t="s">
        <v>2294</v>
      </c>
      <c r="C826" s="68"/>
      <c r="D826" s="69" t="s">
        <v>2</v>
      </c>
      <c r="E826" s="157">
        <v>40919.879999999997</v>
      </c>
      <c r="F826" s="137">
        <f t="shared" si="51"/>
        <v>40919.879999999997</v>
      </c>
      <c r="G826" s="217"/>
    </row>
    <row r="827" spans="1:7" s="30" customFormat="1" ht="14.45">
      <c r="A827" s="59"/>
      <c r="B827" s="100"/>
      <c r="C827" s="61"/>
      <c r="D827" s="62"/>
      <c r="E827" s="157"/>
      <c r="F827" s="137">
        <f t="shared" si="51"/>
        <v>0</v>
      </c>
      <c r="G827" s="217"/>
    </row>
    <row r="828" spans="1:7" s="30" customFormat="1" ht="27.6">
      <c r="A828" s="66" t="s">
        <v>48</v>
      </c>
      <c r="B828" s="67" t="s">
        <v>2295</v>
      </c>
      <c r="C828" s="68"/>
      <c r="D828" s="69" t="s">
        <v>2</v>
      </c>
      <c r="E828" s="157">
        <v>30295.07</v>
      </c>
      <c r="F828" s="137">
        <f t="shared" si="51"/>
        <v>30295.07</v>
      </c>
      <c r="G828" s="217"/>
    </row>
    <row r="829" spans="1:7" s="30" customFormat="1" ht="14.45">
      <c r="A829" s="59"/>
      <c r="B829" s="100"/>
      <c r="C829" s="61"/>
      <c r="D829" s="62"/>
      <c r="E829" s="157"/>
      <c r="F829" s="137">
        <f t="shared" si="51"/>
        <v>0</v>
      </c>
      <c r="G829" s="217"/>
    </row>
    <row r="830" spans="1:7" s="96" customFormat="1" ht="14.45">
      <c r="A830" s="92"/>
      <c r="B830" s="93" t="s">
        <v>2296</v>
      </c>
      <c r="C830" s="94"/>
      <c r="D830" s="95"/>
      <c r="E830" s="324"/>
      <c r="F830" s="137">
        <f t="shared" si="51"/>
        <v>0</v>
      </c>
      <c r="G830" s="217"/>
    </row>
    <row r="831" spans="1:7" s="30" customFormat="1" ht="14.45">
      <c r="A831" s="59"/>
      <c r="B831" s="100"/>
      <c r="C831" s="61"/>
      <c r="D831" s="62"/>
      <c r="E831" s="157"/>
      <c r="F831" s="137">
        <f t="shared" si="51"/>
        <v>0</v>
      </c>
      <c r="G831" s="217"/>
    </row>
    <row r="832" spans="1:7" s="30" customFormat="1" ht="27.6">
      <c r="A832" s="66" t="s">
        <v>84</v>
      </c>
      <c r="B832" s="67" t="s">
        <v>2297</v>
      </c>
      <c r="C832" s="68"/>
      <c r="D832" s="69" t="s">
        <v>2</v>
      </c>
      <c r="E832" s="157">
        <v>26765.919999999998</v>
      </c>
      <c r="F832" s="137">
        <f t="shared" si="51"/>
        <v>26765.919999999998</v>
      </c>
      <c r="G832" s="217"/>
    </row>
    <row r="833" spans="1:7" s="30" customFormat="1" ht="14.45">
      <c r="A833" s="59"/>
      <c r="B833" s="100"/>
      <c r="C833" s="61"/>
      <c r="D833" s="62"/>
      <c r="E833" s="157"/>
      <c r="F833" s="137">
        <f t="shared" si="51"/>
        <v>0</v>
      </c>
      <c r="G833" s="217"/>
    </row>
    <row r="834" spans="1:7" s="30" customFormat="1" ht="27.6">
      <c r="A834" s="66" t="s">
        <v>86</v>
      </c>
      <c r="B834" s="67" t="s">
        <v>2298</v>
      </c>
      <c r="C834" s="68"/>
      <c r="D834" s="69" t="s">
        <v>2</v>
      </c>
      <c r="E834" s="157">
        <v>25050.15</v>
      </c>
      <c r="F834" s="137">
        <f t="shared" si="51"/>
        <v>25050.15</v>
      </c>
      <c r="G834" s="217"/>
    </row>
    <row r="835" spans="1:7" s="30" customFormat="1" ht="14.45">
      <c r="A835" s="59"/>
      <c r="B835" s="100"/>
      <c r="C835" s="61"/>
      <c r="D835" s="62"/>
      <c r="E835" s="157"/>
      <c r="F835" s="137">
        <f t="shared" si="51"/>
        <v>0</v>
      </c>
      <c r="G835" s="217"/>
    </row>
    <row r="836" spans="1:7" s="30" customFormat="1" ht="27.6">
      <c r="A836" s="66" t="s">
        <v>90</v>
      </c>
      <c r="B836" s="67" t="s">
        <v>2299</v>
      </c>
      <c r="C836" s="68"/>
      <c r="D836" s="69" t="s">
        <v>2</v>
      </c>
      <c r="E836" s="157">
        <v>32771.089999999997</v>
      </c>
      <c r="F836" s="137">
        <f t="shared" si="51"/>
        <v>32771.089999999997</v>
      </c>
      <c r="G836" s="217"/>
    </row>
    <row r="837" spans="1:7" s="30" customFormat="1" ht="14.45">
      <c r="A837" s="59"/>
      <c r="B837" s="100"/>
      <c r="C837" s="61"/>
      <c r="D837" s="62"/>
      <c r="E837" s="157"/>
      <c r="F837" s="137">
        <f t="shared" si="51"/>
        <v>0</v>
      </c>
      <c r="G837" s="217"/>
    </row>
    <row r="838" spans="1:7" s="30" customFormat="1" ht="14.45">
      <c r="A838" s="66"/>
      <c r="B838" s="98" t="s">
        <v>2300</v>
      </c>
      <c r="C838" s="68"/>
      <c r="D838" s="69"/>
      <c r="E838" s="157"/>
      <c r="F838" s="137">
        <f t="shared" si="51"/>
        <v>0</v>
      </c>
      <c r="G838" s="217"/>
    </row>
    <row r="839" spans="1:7" s="30" customFormat="1" ht="14.45">
      <c r="A839" s="59"/>
      <c r="B839" s="100"/>
      <c r="C839" s="61"/>
      <c r="D839" s="62"/>
      <c r="E839" s="157"/>
      <c r="F839" s="137">
        <f t="shared" si="51"/>
        <v>0</v>
      </c>
      <c r="G839" s="217"/>
    </row>
    <row r="840" spans="1:7" s="30" customFormat="1" ht="27.6">
      <c r="A840" s="66" t="s">
        <v>92</v>
      </c>
      <c r="B840" s="67" t="s">
        <v>2301</v>
      </c>
      <c r="C840" s="68"/>
      <c r="D840" s="69" t="s">
        <v>2</v>
      </c>
      <c r="E840" s="157">
        <v>18530.25</v>
      </c>
      <c r="F840" s="137">
        <f t="shared" si="51"/>
        <v>18530.25</v>
      </c>
      <c r="G840" s="217"/>
    </row>
    <row r="841" spans="1:7" s="30" customFormat="1" ht="14.45">
      <c r="A841" s="59"/>
      <c r="B841" s="100"/>
      <c r="C841" s="61"/>
      <c r="D841" s="62"/>
      <c r="E841" s="157"/>
      <c r="F841" s="137"/>
      <c r="G841" s="217"/>
    </row>
    <row r="842" spans="1:7" s="30" customFormat="1" ht="14.45">
      <c r="A842" s="59"/>
      <c r="B842" s="63"/>
      <c r="C842" s="61"/>
      <c r="D842" s="62"/>
      <c r="E842" s="157"/>
      <c r="F842" s="137"/>
      <c r="G842" s="217"/>
    </row>
    <row r="843" spans="1:7" s="30" customFormat="1" ht="14.45">
      <c r="A843" s="59"/>
      <c r="B843" s="63"/>
      <c r="C843" s="61"/>
      <c r="D843" s="62"/>
      <c r="E843" s="157"/>
      <c r="F843" s="137"/>
      <c r="G843" s="217"/>
    </row>
    <row r="844" spans="1:7" s="30" customFormat="1" ht="14.45">
      <c r="A844" s="59"/>
      <c r="B844" s="63"/>
      <c r="C844" s="61"/>
      <c r="D844" s="62"/>
      <c r="E844" s="157"/>
      <c r="F844" s="137"/>
      <c r="G844" s="217"/>
    </row>
    <row r="845" spans="1:7" s="30" customFormat="1" ht="14.45">
      <c r="A845" s="71"/>
      <c r="B845" s="72"/>
      <c r="C845" s="73"/>
      <c r="D845" s="74"/>
      <c r="E845" s="159"/>
      <c r="F845" s="138"/>
      <c r="G845" s="226"/>
    </row>
    <row r="846" spans="1:7" s="30" customFormat="1" ht="14.45">
      <c r="A846" s="75"/>
      <c r="B846" s="76"/>
      <c r="C846" s="77" t="s">
        <v>30</v>
      </c>
      <c r="D846" s="77"/>
      <c r="E846" s="160" t="s">
        <v>8</v>
      </c>
      <c r="F846" s="139">
        <f>SUM(F813:F843)</f>
        <v>297118.99</v>
      </c>
      <c r="G846" s="227"/>
    </row>
    <row r="847" spans="1:7" s="30" customFormat="1" ht="14.45">
      <c r="A847" s="75"/>
      <c r="B847" s="76"/>
      <c r="C847" s="78"/>
      <c r="D847" s="79"/>
      <c r="E847" s="161"/>
      <c r="F847" s="140"/>
      <c r="G847" s="228"/>
    </row>
    <row r="848" spans="1:7" s="30" customFormat="1" ht="14.45">
      <c r="A848" s="59"/>
      <c r="B848" s="63"/>
      <c r="C848" s="61"/>
      <c r="D848" s="62"/>
      <c r="E848" s="157"/>
      <c r="F848" s="137"/>
      <c r="G848" s="217"/>
    </row>
    <row r="849" spans="1:7" s="30" customFormat="1" ht="14.45">
      <c r="A849" s="59"/>
      <c r="B849" s="64" t="s">
        <v>1950</v>
      </c>
      <c r="C849" s="61"/>
      <c r="D849" s="62"/>
      <c r="E849" s="157"/>
      <c r="F849" s="137"/>
      <c r="G849" s="217"/>
    </row>
    <row r="850" spans="1:7" s="30" customFormat="1" ht="14.45">
      <c r="A850" s="59"/>
      <c r="B850" s="100"/>
      <c r="C850" s="61"/>
      <c r="D850" s="62"/>
      <c r="E850" s="157"/>
      <c r="F850" s="137"/>
      <c r="G850" s="217"/>
    </row>
    <row r="851" spans="1:7" s="30" customFormat="1" ht="27.6">
      <c r="A851" s="66" t="s">
        <v>14</v>
      </c>
      <c r="B851" s="67" t="s">
        <v>2302</v>
      </c>
      <c r="C851" s="68"/>
      <c r="D851" s="69" t="s">
        <v>2</v>
      </c>
      <c r="E851" s="157">
        <v>9436.7000000000007</v>
      </c>
      <c r="F851" s="137">
        <f t="shared" ref="F851:F861" si="52">+E851</f>
        <v>9436.7000000000007</v>
      </c>
      <c r="G851" s="217"/>
    </row>
    <row r="852" spans="1:7" s="30" customFormat="1" ht="14.45">
      <c r="A852" s="59"/>
      <c r="B852" s="100"/>
      <c r="C852" s="61"/>
      <c r="D852" s="62"/>
      <c r="E852" s="157"/>
      <c r="F852" s="137">
        <f t="shared" si="52"/>
        <v>0</v>
      </c>
      <c r="G852" s="217"/>
    </row>
    <row r="853" spans="1:7" s="30" customFormat="1" ht="27.6">
      <c r="A853" s="66" t="s">
        <v>17</v>
      </c>
      <c r="B853" s="67" t="s">
        <v>2303</v>
      </c>
      <c r="C853" s="68"/>
      <c r="D853" s="69" t="s">
        <v>2</v>
      </c>
      <c r="E853" s="157">
        <v>26937.49</v>
      </c>
      <c r="F853" s="137">
        <f t="shared" si="52"/>
        <v>26937.49</v>
      </c>
      <c r="G853" s="217"/>
    </row>
    <row r="854" spans="1:7" s="30" customFormat="1" ht="14.45">
      <c r="A854" s="59"/>
      <c r="B854" s="100"/>
      <c r="C854" s="61"/>
      <c r="D854" s="62"/>
      <c r="E854" s="157"/>
      <c r="F854" s="137">
        <f t="shared" si="52"/>
        <v>0</v>
      </c>
      <c r="G854" s="217"/>
    </row>
    <row r="855" spans="1:7" s="30" customFormat="1" ht="27.6">
      <c r="A855" s="66" t="s">
        <v>20</v>
      </c>
      <c r="B855" s="67" t="s">
        <v>2304</v>
      </c>
      <c r="C855" s="68"/>
      <c r="D855" s="69" t="s">
        <v>2</v>
      </c>
      <c r="E855" s="157">
        <v>34486.85</v>
      </c>
      <c r="F855" s="137">
        <f t="shared" si="52"/>
        <v>34486.85</v>
      </c>
      <c r="G855" s="217"/>
    </row>
    <row r="856" spans="1:7" s="30" customFormat="1" ht="14.45">
      <c r="A856" s="59"/>
      <c r="B856" s="100"/>
      <c r="C856" s="61"/>
      <c r="D856" s="62"/>
      <c r="E856" s="157"/>
      <c r="F856" s="137">
        <f t="shared" si="52"/>
        <v>0</v>
      </c>
      <c r="G856" s="217"/>
    </row>
    <row r="857" spans="1:7" s="30" customFormat="1" ht="27.6">
      <c r="A857" s="66" t="s">
        <v>23</v>
      </c>
      <c r="B857" s="67" t="s">
        <v>2305</v>
      </c>
      <c r="C857" s="68"/>
      <c r="D857" s="69" t="s">
        <v>2</v>
      </c>
      <c r="E857" s="157">
        <v>26765.919999999998</v>
      </c>
      <c r="F857" s="137">
        <f t="shared" si="52"/>
        <v>26765.919999999998</v>
      </c>
      <c r="G857" s="217"/>
    </row>
    <row r="858" spans="1:7" s="30" customFormat="1" ht="14.45">
      <c r="A858" s="59"/>
      <c r="B858" s="100"/>
      <c r="C858" s="61"/>
      <c r="D858" s="62"/>
      <c r="E858" s="157"/>
      <c r="F858" s="137">
        <f t="shared" si="52"/>
        <v>0</v>
      </c>
      <c r="G858" s="217"/>
    </row>
    <row r="859" spans="1:7" s="30" customFormat="1" ht="27.6">
      <c r="A859" s="66" t="s">
        <v>27</v>
      </c>
      <c r="B859" s="67" t="s">
        <v>2306</v>
      </c>
      <c r="C859" s="68"/>
      <c r="D859" s="69" t="s">
        <v>2</v>
      </c>
      <c r="E859" s="157">
        <v>39977.300000000003</v>
      </c>
      <c r="F859" s="137">
        <f t="shared" si="52"/>
        <v>39977.300000000003</v>
      </c>
      <c r="G859" s="217"/>
    </row>
    <row r="860" spans="1:7" s="30" customFormat="1" ht="14.45">
      <c r="A860" s="59"/>
      <c r="B860" s="100"/>
      <c r="C860" s="61"/>
      <c r="D860" s="62"/>
      <c r="E860" s="157"/>
      <c r="F860" s="137">
        <f t="shared" si="52"/>
        <v>0</v>
      </c>
      <c r="G860" s="217"/>
    </row>
    <row r="861" spans="1:7" s="30" customFormat="1" ht="27.6">
      <c r="A861" s="66" t="s">
        <v>44</v>
      </c>
      <c r="B861" s="67" t="s">
        <v>2307</v>
      </c>
      <c r="C861" s="68"/>
      <c r="D861" s="69" t="s">
        <v>2</v>
      </c>
      <c r="E861" s="157">
        <v>24192.27</v>
      </c>
      <c r="F861" s="137">
        <f t="shared" si="52"/>
        <v>24192.27</v>
      </c>
      <c r="G861" s="217"/>
    </row>
    <row r="862" spans="1:7" s="30" customFormat="1" ht="14.45">
      <c r="A862" s="59"/>
      <c r="B862" s="100"/>
      <c r="C862" s="61"/>
      <c r="D862" s="62"/>
      <c r="E862" s="157"/>
      <c r="F862" s="137"/>
      <c r="G862" s="217"/>
    </row>
    <row r="863" spans="1:7" s="30" customFormat="1" ht="27.6">
      <c r="A863" s="66"/>
      <c r="B863" s="98" t="s">
        <v>2308</v>
      </c>
      <c r="C863" s="68"/>
      <c r="D863" s="69"/>
      <c r="E863" s="157"/>
      <c r="F863" s="137"/>
      <c r="G863" s="217"/>
    </row>
    <row r="864" spans="1:7" s="30" customFormat="1" ht="14.45">
      <c r="A864" s="59"/>
      <c r="B864" s="100"/>
      <c r="C864" s="61"/>
      <c r="D864" s="62"/>
      <c r="E864" s="157"/>
      <c r="F864" s="137"/>
      <c r="G864" s="217"/>
    </row>
    <row r="865" spans="1:7" s="30" customFormat="1" ht="27.6">
      <c r="A865" s="66" t="s">
        <v>48</v>
      </c>
      <c r="B865" s="67" t="s">
        <v>2309</v>
      </c>
      <c r="C865" s="68"/>
      <c r="D865" s="69" t="s">
        <v>2</v>
      </c>
      <c r="E865" s="157">
        <v>35894.639999999999</v>
      </c>
      <c r="F865" s="137">
        <f t="shared" ref="F865" si="53">+E865</f>
        <v>35894.639999999999</v>
      </c>
      <c r="G865" s="217"/>
    </row>
    <row r="866" spans="1:7" s="30" customFormat="1" ht="14.45">
      <c r="A866" s="59"/>
      <c r="B866" s="100"/>
      <c r="C866" s="61"/>
      <c r="D866" s="62"/>
      <c r="E866" s="157"/>
      <c r="F866" s="137"/>
      <c r="G866" s="217"/>
    </row>
    <row r="867" spans="1:7" s="30" customFormat="1" ht="14.45">
      <c r="A867" s="66"/>
      <c r="B867" s="98" t="s">
        <v>2310</v>
      </c>
      <c r="C867" s="68"/>
      <c r="D867" s="69"/>
      <c r="E867" s="157"/>
      <c r="F867" s="137"/>
      <c r="G867" s="217"/>
    </row>
    <row r="868" spans="1:7" s="30" customFormat="1" ht="14.45">
      <c r="A868" s="59"/>
      <c r="B868" s="100"/>
      <c r="C868" s="61"/>
      <c r="D868" s="62"/>
      <c r="E868" s="157"/>
      <c r="F868" s="137"/>
      <c r="G868" s="217"/>
    </row>
    <row r="869" spans="1:7" s="30" customFormat="1" ht="27.6">
      <c r="A869" s="66" t="s">
        <v>84</v>
      </c>
      <c r="B869" s="67" t="s">
        <v>2311</v>
      </c>
      <c r="C869" s="68"/>
      <c r="D869" s="69" t="s">
        <v>2</v>
      </c>
      <c r="E869" s="157">
        <v>5662.02</v>
      </c>
      <c r="F869" s="137">
        <f t="shared" ref="F869" si="54">+E869</f>
        <v>5662.02</v>
      </c>
      <c r="G869" s="217"/>
    </row>
    <row r="870" spans="1:7" s="30" customFormat="1" ht="14.45">
      <c r="A870" s="59"/>
      <c r="B870" s="100"/>
      <c r="C870" s="61"/>
      <c r="D870" s="62"/>
      <c r="E870" s="157"/>
      <c r="F870" s="137"/>
      <c r="G870" s="217"/>
    </row>
    <row r="871" spans="1:7" s="30" customFormat="1" ht="27.6">
      <c r="A871" s="66" t="s">
        <v>86</v>
      </c>
      <c r="B871" s="67" t="s">
        <v>2312</v>
      </c>
      <c r="C871" s="68"/>
      <c r="D871" s="69" t="s">
        <v>2</v>
      </c>
      <c r="E871" s="157">
        <v>2916.8</v>
      </c>
      <c r="F871" s="137">
        <f t="shared" ref="F871" si="55">+E871</f>
        <v>2916.8</v>
      </c>
      <c r="G871" s="217"/>
    </row>
    <row r="872" spans="1:7" s="30" customFormat="1" ht="14.45">
      <c r="A872" s="59"/>
      <c r="B872" s="100"/>
      <c r="C872" s="61"/>
      <c r="D872" s="62"/>
      <c r="E872" s="157"/>
      <c r="F872" s="137"/>
      <c r="G872" s="217"/>
    </row>
    <row r="873" spans="1:7" s="30" customFormat="1" ht="27.6">
      <c r="A873" s="66" t="s">
        <v>90</v>
      </c>
      <c r="B873" s="67" t="s">
        <v>2313</v>
      </c>
      <c r="C873" s="68"/>
      <c r="D873" s="69" t="s">
        <v>2</v>
      </c>
      <c r="E873" s="157">
        <v>6863.06</v>
      </c>
      <c r="F873" s="137">
        <f t="shared" ref="F873" si="56">+E873</f>
        <v>6863.06</v>
      </c>
      <c r="G873" s="217"/>
    </row>
    <row r="874" spans="1:7" s="30" customFormat="1" ht="14.45">
      <c r="A874" s="59"/>
      <c r="B874" s="100"/>
      <c r="C874" s="61"/>
      <c r="D874" s="62"/>
      <c r="E874" s="157"/>
      <c r="F874" s="137"/>
      <c r="G874" s="217"/>
    </row>
    <row r="875" spans="1:7" s="30" customFormat="1" ht="27.6">
      <c r="A875" s="66"/>
      <c r="B875" s="98" t="s">
        <v>2314</v>
      </c>
      <c r="C875" s="68"/>
      <c r="D875" s="69"/>
      <c r="E875" s="157"/>
      <c r="F875" s="137"/>
      <c r="G875" s="217"/>
    </row>
    <row r="876" spans="1:7" s="30" customFormat="1" ht="14.45">
      <c r="A876" s="59"/>
      <c r="B876" s="100"/>
      <c r="C876" s="61"/>
      <c r="D876" s="62"/>
      <c r="E876" s="157"/>
      <c r="F876" s="137"/>
      <c r="G876" s="217"/>
    </row>
    <row r="877" spans="1:7" s="30" customFormat="1" ht="14.45">
      <c r="A877" s="66" t="s">
        <v>92</v>
      </c>
      <c r="B877" s="67" t="s">
        <v>2315</v>
      </c>
      <c r="C877" s="68"/>
      <c r="D877" s="69" t="s">
        <v>2</v>
      </c>
      <c r="E877" s="157">
        <v>4908.91</v>
      </c>
      <c r="F877" s="137">
        <f t="shared" ref="F877" si="57">+E877</f>
        <v>4908.91</v>
      </c>
      <c r="G877" s="217"/>
    </row>
    <row r="878" spans="1:7" s="30" customFormat="1" ht="14.45">
      <c r="A878" s="59"/>
      <c r="B878" s="100"/>
      <c r="C878" s="61"/>
      <c r="D878" s="62"/>
      <c r="E878" s="157"/>
      <c r="F878" s="137"/>
      <c r="G878" s="217"/>
    </row>
    <row r="879" spans="1:7" s="30" customFormat="1" ht="14.45">
      <c r="A879" s="66" t="s">
        <v>94</v>
      </c>
      <c r="B879" s="67" t="s">
        <v>2316</v>
      </c>
      <c r="C879" s="68"/>
      <c r="D879" s="69" t="s">
        <v>2</v>
      </c>
      <c r="E879" s="157">
        <v>15544.89</v>
      </c>
      <c r="F879" s="137">
        <f t="shared" ref="F879" si="58">+E879</f>
        <v>15544.89</v>
      </c>
      <c r="G879" s="217"/>
    </row>
    <row r="880" spans="1:7" s="30" customFormat="1" ht="14.45">
      <c r="A880" s="59"/>
      <c r="B880" s="63"/>
      <c r="C880" s="61"/>
      <c r="D880" s="62"/>
      <c r="E880" s="157"/>
      <c r="F880" s="137"/>
      <c r="G880" s="217"/>
    </row>
    <row r="881" spans="1:7" s="30" customFormat="1" ht="14.45">
      <c r="A881" s="71"/>
      <c r="B881" s="72"/>
      <c r="C881" s="73"/>
      <c r="D881" s="74"/>
      <c r="E881" s="159"/>
      <c r="F881" s="138"/>
      <c r="G881" s="226"/>
    </row>
    <row r="882" spans="1:7" s="30" customFormat="1" ht="14.45">
      <c r="A882" s="75"/>
      <c r="B882" s="76"/>
      <c r="C882" s="77" t="s">
        <v>30</v>
      </c>
      <c r="D882" s="77"/>
      <c r="E882" s="160" t="s">
        <v>8</v>
      </c>
      <c r="F882" s="139">
        <f>SUM(F850:F880)</f>
        <v>233586.84999999998</v>
      </c>
      <c r="G882" s="227"/>
    </row>
    <row r="883" spans="1:7" s="30" customFormat="1" ht="14.45">
      <c r="A883" s="75"/>
      <c r="B883" s="76"/>
      <c r="C883" s="78"/>
      <c r="D883" s="79"/>
      <c r="E883" s="161"/>
      <c r="F883" s="140"/>
      <c r="G883" s="228"/>
    </row>
    <row r="884" spans="1:7" s="30" customFormat="1" ht="14.45">
      <c r="A884" s="59"/>
      <c r="B884" s="63"/>
      <c r="C884" s="61"/>
      <c r="D884" s="62"/>
      <c r="E884" s="157"/>
      <c r="F884" s="137"/>
      <c r="G884" s="217"/>
    </row>
    <row r="885" spans="1:7" s="30" customFormat="1" ht="14.45">
      <c r="A885" s="59"/>
      <c r="B885" s="64" t="s">
        <v>1950</v>
      </c>
      <c r="C885" s="61"/>
      <c r="D885" s="62"/>
      <c r="E885" s="157"/>
      <c r="F885" s="137"/>
      <c r="G885" s="217"/>
    </row>
    <row r="886" spans="1:7" s="30" customFormat="1" ht="14.45">
      <c r="A886" s="59"/>
      <c r="B886" s="100"/>
      <c r="C886" s="61"/>
      <c r="D886" s="62"/>
      <c r="E886" s="157"/>
      <c r="F886" s="137"/>
      <c r="G886" s="217"/>
    </row>
    <row r="887" spans="1:7" s="30" customFormat="1" ht="14.45">
      <c r="A887" s="66" t="s">
        <v>14</v>
      </c>
      <c r="B887" s="67" t="s">
        <v>2317</v>
      </c>
      <c r="C887" s="68"/>
      <c r="D887" s="69" t="s">
        <v>2</v>
      </c>
      <c r="E887" s="157">
        <v>77724.44</v>
      </c>
      <c r="F887" s="137">
        <f t="shared" ref="F887" si="59">+E887</f>
        <v>77724.44</v>
      </c>
      <c r="G887" s="217"/>
    </row>
    <row r="888" spans="1:7" s="30" customFormat="1" ht="14.45">
      <c r="A888" s="59"/>
      <c r="B888" s="100"/>
      <c r="C888" s="61"/>
      <c r="D888" s="62"/>
      <c r="E888" s="157"/>
      <c r="F888" s="137"/>
      <c r="G888" s="217"/>
    </row>
    <row r="889" spans="1:7" s="30" customFormat="1" ht="27.6">
      <c r="A889" s="66"/>
      <c r="B889" s="98" t="s">
        <v>2318</v>
      </c>
      <c r="C889" s="68"/>
      <c r="D889" s="69"/>
      <c r="E889" s="157"/>
      <c r="F889" s="137"/>
      <c r="G889" s="217"/>
    </row>
    <row r="890" spans="1:7" s="30" customFormat="1" ht="14.45">
      <c r="A890" s="59"/>
      <c r="B890" s="100"/>
      <c r="C890" s="61"/>
      <c r="D890" s="62"/>
      <c r="E890" s="157"/>
      <c r="F890" s="137"/>
      <c r="G890" s="217"/>
    </row>
    <row r="891" spans="1:7" s="30" customFormat="1" ht="14.45">
      <c r="A891" s="66" t="s">
        <v>17</v>
      </c>
      <c r="B891" s="67" t="s">
        <v>2319</v>
      </c>
      <c r="C891" s="68"/>
      <c r="D891" s="69" t="s">
        <v>2</v>
      </c>
      <c r="E891" s="157">
        <v>83451.5</v>
      </c>
      <c r="F891" s="137">
        <f t="shared" ref="F891" si="60">+E891</f>
        <v>83451.5</v>
      </c>
      <c r="G891" s="217"/>
    </row>
    <row r="892" spans="1:7" s="30" customFormat="1" ht="14.45">
      <c r="A892" s="59"/>
      <c r="B892" s="100"/>
      <c r="C892" s="61"/>
      <c r="D892" s="62"/>
      <c r="E892" s="157"/>
      <c r="F892" s="137"/>
      <c r="G892" s="217"/>
    </row>
    <row r="893" spans="1:7" s="30" customFormat="1" ht="27.6">
      <c r="A893" s="66" t="s">
        <v>20</v>
      </c>
      <c r="B893" s="67" t="s">
        <v>2320</v>
      </c>
      <c r="C893" s="68"/>
      <c r="D893" s="69" t="s">
        <v>2</v>
      </c>
      <c r="E893" s="157">
        <v>5727.06</v>
      </c>
      <c r="F893" s="137">
        <f t="shared" ref="F893" si="61">+E893</f>
        <v>5727.06</v>
      </c>
      <c r="G893" s="217"/>
    </row>
    <row r="894" spans="1:7" s="30" customFormat="1" ht="14.45">
      <c r="A894" s="59"/>
      <c r="B894" s="100"/>
      <c r="C894" s="61"/>
      <c r="D894" s="62"/>
      <c r="E894" s="157"/>
      <c r="F894" s="137"/>
      <c r="G894" s="217"/>
    </row>
    <row r="895" spans="1:7" s="91" customFormat="1" ht="14.45">
      <c r="A895" s="80" t="s">
        <v>23</v>
      </c>
      <c r="B895" s="81" t="s">
        <v>2321</v>
      </c>
      <c r="C895" s="82"/>
      <c r="D895" s="83" t="s">
        <v>2</v>
      </c>
      <c r="E895" s="158">
        <v>123540.95</v>
      </c>
      <c r="F895" s="137">
        <f t="shared" ref="F895" si="62">+E895</f>
        <v>123540.95</v>
      </c>
      <c r="G895" s="217"/>
    </row>
    <row r="896" spans="1:7" s="30" customFormat="1" ht="14.45">
      <c r="A896" s="59"/>
      <c r="B896" s="100"/>
      <c r="C896" s="61"/>
      <c r="D896" s="62"/>
      <c r="E896" s="157"/>
      <c r="F896" s="137"/>
      <c r="G896" s="217"/>
    </row>
    <row r="897" spans="1:7" s="30" customFormat="1" ht="27.6">
      <c r="A897" s="66"/>
      <c r="B897" s="98" t="s">
        <v>2322</v>
      </c>
      <c r="C897" s="68"/>
      <c r="D897" s="69"/>
      <c r="E897" s="157"/>
      <c r="F897" s="137"/>
      <c r="G897" s="217"/>
    </row>
    <row r="898" spans="1:7" s="30" customFormat="1" ht="14.45">
      <c r="A898" s="59"/>
      <c r="B898" s="100"/>
      <c r="C898" s="61"/>
      <c r="D898" s="62"/>
      <c r="E898" s="157"/>
      <c r="F898" s="137"/>
      <c r="G898" s="217"/>
    </row>
    <row r="899" spans="1:7" s="30" customFormat="1" ht="27.6">
      <c r="A899" s="66" t="s">
        <v>27</v>
      </c>
      <c r="B899" s="67" t="s">
        <v>2323</v>
      </c>
      <c r="C899" s="68"/>
      <c r="D899" s="69" t="s">
        <v>2</v>
      </c>
      <c r="E899" s="157">
        <v>6269.41</v>
      </c>
      <c r="F899" s="137">
        <f t="shared" ref="F899:F903" si="63">+E899</f>
        <v>6269.41</v>
      </c>
      <c r="G899" s="217"/>
    </row>
    <row r="900" spans="1:7" s="30" customFormat="1" ht="14.45">
      <c r="A900" s="59"/>
      <c r="B900" s="100"/>
      <c r="C900" s="61"/>
      <c r="D900" s="62"/>
      <c r="E900" s="157"/>
      <c r="F900" s="137">
        <f t="shared" si="63"/>
        <v>0</v>
      </c>
      <c r="G900" s="217"/>
    </row>
    <row r="901" spans="1:7" s="30" customFormat="1" ht="14.45">
      <c r="A901" s="66" t="s">
        <v>44</v>
      </c>
      <c r="B901" s="67" t="s">
        <v>2324</v>
      </c>
      <c r="C901" s="68"/>
      <c r="D901" s="69" t="s">
        <v>2</v>
      </c>
      <c r="E901" s="157">
        <v>16718.419999999998</v>
      </c>
      <c r="F901" s="137">
        <f t="shared" si="63"/>
        <v>16718.419999999998</v>
      </c>
      <c r="G901" s="217"/>
    </row>
    <row r="902" spans="1:7" s="30" customFormat="1" ht="14.45">
      <c r="A902" s="59"/>
      <c r="B902" s="100"/>
      <c r="C902" s="61"/>
      <c r="D902" s="62"/>
      <c r="E902" s="157"/>
      <c r="F902" s="137">
        <f t="shared" si="63"/>
        <v>0</v>
      </c>
      <c r="G902" s="217"/>
    </row>
    <row r="903" spans="1:7" s="91" customFormat="1" ht="14.45">
      <c r="A903" s="80" t="s">
        <v>48</v>
      </c>
      <c r="B903" s="81" t="s">
        <v>2325</v>
      </c>
      <c r="C903" s="82"/>
      <c r="D903" s="83" t="s">
        <v>2</v>
      </c>
      <c r="E903" s="158">
        <v>127477.95</v>
      </c>
      <c r="F903" s="137">
        <f t="shared" si="63"/>
        <v>127477.95</v>
      </c>
      <c r="G903" s="217"/>
    </row>
    <row r="904" spans="1:7" s="30" customFormat="1" ht="14.45">
      <c r="A904" s="59"/>
      <c r="B904" s="100"/>
      <c r="C904" s="61"/>
      <c r="D904" s="62"/>
      <c r="E904" s="157"/>
      <c r="F904" s="137"/>
      <c r="G904" s="217"/>
    </row>
    <row r="905" spans="1:7" s="30" customFormat="1" ht="27.6">
      <c r="A905" s="66"/>
      <c r="B905" s="98" t="s">
        <v>2326</v>
      </c>
      <c r="C905" s="68"/>
      <c r="D905" s="69"/>
      <c r="E905" s="157"/>
      <c r="F905" s="137"/>
      <c r="G905" s="217"/>
    </row>
    <row r="906" spans="1:7" s="30" customFormat="1" ht="14.45">
      <c r="A906" s="59"/>
      <c r="B906" s="100"/>
      <c r="C906" s="61"/>
      <c r="D906" s="62"/>
      <c r="E906" s="157"/>
      <c r="F906" s="137"/>
      <c r="G906" s="217"/>
    </row>
    <row r="907" spans="1:7" s="30" customFormat="1" ht="14.45">
      <c r="A907" s="66" t="s">
        <v>84</v>
      </c>
      <c r="B907" s="67" t="s">
        <v>2327</v>
      </c>
      <c r="C907" s="68"/>
      <c r="D907" s="69" t="s">
        <v>2</v>
      </c>
      <c r="E907" s="157">
        <v>6998.45</v>
      </c>
      <c r="F907" s="137">
        <f t="shared" ref="F907" si="64">+E907</f>
        <v>6998.45</v>
      </c>
      <c r="G907" s="217"/>
    </row>
    <row r="908" spans="1:7" s="30" customFormat="1" ht="14.45">
      <c r="A908" s="59"/>
      <c r="B908" s="100"/>
      <c r="C908" s="61"/>
      <c r="D908" s="62"/>
      <c r="E908" s="157"/>
      <c r="F908" s="137"/>
      <c r="G908" s="217"/>
    </row>
    <row r="909" spans="1:7" s="30" customFormat="1" ht="14.45">
      <c r="A909" s="66"/>
      <c r="B909" s="98" t="s">
        <v>2328</v>
      </c>
      <c r="C909" s="68"/>
      <c r="D909" s="69"/>
      <c r="E909" s="157"/>
      <c r="F909" s="137"/>
      <c r="G909" s="217"/>
    </row>
    <row r="910" spans="1:7" s="30" customFormat="1" ht="14.45">
      <c r="A910" s="59"/>
      <c r="B910" s="100"/>
      <c r="C910" s="61"/>
      <c r="D910" s="62"/>
      <c r="E910" s="157"/>
      <c r="F910" s="137"/>
      <c r="G910" s="217"/>
    </row>
    <row r="911" spans="1:7" s="30" customFormat="1" ht="14.45">
      <c r="A911" s="66" t="s">
        <v>86</v>
      </c>
      <c r="B911" s="67" t="s">
        <v>2329</v>
      </c>
      <c r="C911" s="68"/>
      <c r="D911" s="69" t="s">
        <v>2</v>
      </c>
      <c r="E911" s="157">
        <v>122467.83</v>
      </c>
      <c r="F911" s="137">
        <f t="shared" ref="F911" si="65">+E911</f>
        <v>122467.83</v>
      </c>
      <c r="G911" s="217"/>
    </row>
    <row r="912" spans="1:7" s="30" customFormat="1" ht="14.45">
      <c r="A912" s="59"/>
      <c r="B912" s="100"/>
      <c r="C912" s="61"/>
      <c r="D912" s="62"/>
      <c r="E912" s="157"/>
      <c r="F912" s="137"/>
      <c r="G912" s="217"/>
    </row>
    <row r="913" spans="1:7" s="30" customFormat="1" ht="27.6">
      <c r="A913" s="66"/>
      <c r="B913" s="98" t="s">
        <v>2330</v>
      </c>
      <c r="C913" s="68"/>
      <c r="D913" s="69"/>
      <c r="E913" s="157"/>
      <c r="F913" s="137"/>
      <c r="G913" s="217"/>
    </row>
    <row r="914" spans="1:7" s="30" customFormat="1" ht="14.45">
      <c r="A914" s="59"/>
      <c r="B914" s="100"/>
      <c r="C914" s="61"/>
      <c r="D914" s="62"/>
      <c r="E914" s="157"/>
      <c r="F914" s="137"/>
      <c r="G914" s="217"/>
    </row>
    <row r="915" spans="1:7" s="30" customFormat="1" ht="14.45">
      <c r="A915" s="66" t="s">
        <v>90</v>
      </c>
      <c r="B915" s="67" t="s">
        <v>2331</v>
      </c>
      <c r="C915" s="68"/>
      <c r="D915" s="69" t="s">
        <v>2</v>
      </c>
      <c r="E915" s="157">
        <v>24473.35</v>
      </c>
      <c r="F915" s="137">
        <f t="shared" ref="F915" si="66">+E915</f>
        <v>24473.35</v>
      </c>
      <c r="G915" s="217"/>
    </row>
    <row r="916" spans="1:7" s="30" customFormat="1" ht="14.45">
      <c r="A916" s="59"/>
      <c r="B916" s="100"/>
      <c r="C916" s="61"/>
      <c r="D916" s="62"/>
      <c r="E916" s="157"/>
      <c r="F916" s="137"/>
      <c r="G916" s="217"/>
    </row>
    <row r="917" spans="1:7" s="30" customFormat="1" ht="14.45">
      <c r="A917" s="66"/>
      <c r="B917" s="98" t="s">
        <v>2332</v>
      </c>
      <c r="C917" s="68"/>
      <c r="D917" s="69"/>
      <c r="E917" s="157"/>
      <c r="F917" s="137"/>
      <c r="G917" s="217"/>
    </row>
    <row r="918" spans="1:7" s="30" customFormat="1" ht="14.45">
      <c r="A918" s="59"/>
      <c r="B918" s="100"/>
      <c r="C918" s="61"/>
      <c r="D918" s="62"/>
      <c r="E918" s="157"/>
      <c r="F918" s="137"/>
      <c r="G918" s="217"/>
    </row>
    <row r="919" spans="1:7" s="30" customFormat="1" ht="27.6">
      <c r="A919" s="66" t="s">
        <v>92</v>
      </c>
      <c r="B919" s="67" t="s">
        <v>2333</v>
      </c>
      <c r="C919" s="68"/>
      <c r="D919" s="69" t="s">
        <v>2</v>
      </c>
      <c r="E919" s="157">
        <v>3673.77</v>
      </c>
      <c r="F919" s="137">
        <f t="shared" ref="F919" si="67">+E919</f>
        <v>3673.77</v>
      </c>
      <c r="G919" s="217"/>
    </row>
    <row r="920" spans="1:7" s="30" customFormat="1" ht="14.45">
      <c r="A920" s="59"/>
      <c r="B920" s="63"/>
      <c r="C920" s="61"/>
      <c r="D920" s="62"/>
      <c r="E920" s="157"/>
      <c r="F920" s="137"/>
      <c r="G920" s="217"/>
    </row>
    <row r="921" spans="1:7" s="30" customFormat="1" ht="14.45">
      <c r="A921" s="59"/>
      <c r="B921" s="63"/>
      <c r="C921" s="61"/>
      <c r="D921" s="62"/>
      <c r="E921" s="157"/>
      <c r="F921" s="137"/>
      <c r="G921" s="217"/>
    </row>
    <row r="922" spans="1:7" s="30" customFormat="1" ht="14.45">
      <c r="A922" s="71"/>
      <c r="B922" s="72"/>
      <c r="C922" s="73"/>
      <c r="D922" s="74"/>
      <c r="E922" s="159"/>
      <c r="F922" s="138"/>
      <c r="G922" s="226"/>
    </row>
    <row r="923" spans="1:7" s="30" customFormat="1" ht="14.45">
      <c r="A923" s="75"/>
      <c r="B923" s="76"/>
      <c r="C923" s="77" t="s">
        <v>30</v>
      </c>
      <c r="D923" s="77"/>
      <c r="E923" s="160" t="s">
        <v>8</v>
      </c>
      <c r="F923" s="139">
        <f>SUM(F885:F921)</f>
        <v>598523.13</v>
      </c>
      <c r="G923" s="227"/>
    </row>
    <row r="924" spans="1:7" s="30" customFormat="1" ht="14.45">
      <c r="A924" s="75"/>
      <c r="B924" s="76"/>
      <c r="C924" s="78"/>
      <c r="D924" s="79"/>
      <c r="E924" s="161"/>
      <c r="F924" s="140"/>
      <c r="G924" s="228"/>
    </row>
    <row r="925" spans="1:7" s="30" customFormat="1" ht="14.45">
      <c r="A925" s="59"/>
      <c r="B925" s="63"/>
      <c r="C925" s="61"/>
      <c r="D925" s="62"/>
      <c r="E925" s="157"/>
      <c r="F925" s="137"/>
      <c r="G925" s="217"/>
    </row>
    <row r="926" spans="1:7" s="30" customFormat="1" ht="14.45">
      <c r="A926" s="59"/>
      <c r="B926" s="64" t="s">
        <v>1950</v>
      </c>
      <c r="C926" s="61"/>
      <c r="D926" s="62"/>
      <c r="E926" s="157"/>
      <c r="F926" s="137"/>
      <c r="G926" s="217"/>
    </row>
    <row r="927" spans="1:7" s="30" customFormat="1" ht="14.45">
      <c r="A927" s="59"/>
      <c r="B927" s="103"/>
      <c r="C927" s="61"/>
      <c r="D927" s="62"/>
      <c r="E927" s="157"/>
      <c r="F927" s="137"/>
      <c r="G927" s="217"/>
    </row>
    <row r="928" spans="1:7" s="30" customFormat="1" ht="27.6">
      <c r="A928" s="66" t="s">
        <v>14</v>
      </c>
      <c r="B928" s="67" t="s">
        <v>2334</v>
      </c>
      <c r="C928" s="68"/>
      <c r="D928" s="69" t="s">
        <v>2</v>
      </c>
      <c r="E928" s="157">
        <v>3673.77</v>
      </c>
      <c r="F928" s="137">
        <f>+E928</f>
        <v>3673.77</v>
      </c>
      <c r="G928" s="217"/>
    </row>
    <row r="929" spans="1:7" s="30" customFormat="1" ht="14.45">
      <c r="A929" s="59"/>
      <c r="B929" s="100"/>
      <c r="C929" s="61"/>
      <c r="D929" s="62"/>
      <c r="E929" s="157"/>
      <c r="F929" s="137"/>
      <c r="G929" s="217"/>
    </row>
    <row r="930" spans="1:7" s="30" customFormat="1" ht="27.6">
      <c r="A930" s="66" t="s">
        <v>17</v>
      </c>
      <c r="B930" s="67" t="s">
        <v>2335</v>
      </c>
      <c r="C930" s="68"/>
      <c r="D930" s="69" t="s">
        <v>2</v>
      </c>
      <c r="E930" s="157">
        <v>3673.77</v>
      </c>
      <c r="F930" s="137">
        <f>+E930</f>
        <v>3673.77</v>
      </c>
      <c r="G930" s="217"/>
    </row>
    <row r="931" spans="1:7" s="30" customFormat="1" ht="14.45">
      <c r="A931" s="59"/>
      <c r="B931" s="100"/>
      <c r="C931" s="61"/>
      <c r="D931" s="62"/>
      <c r="E931" s="157"/>
      <c r="F931" s="137"/>
      <c r="G931" s="217"/>
    </row>
    <row r="932" spans="1:7" s="30" customFormat="1" ht="27.6">
      <c r="A932" s="66" t="s">
        <v>20</v>
      </c>
      <c r="B932" s="67" t="s">
        <v>2336</v>
      </c>
      <c r="C932" s="68"/>
      <c r="D932" s="69" t="s">
        <v>2</v>
      </c>
      <c r="E932" s="157">
        <v>13805.59</v>
      </c>
      <c r="F932" s="137">
        <f>+E932</f>
        <v>13805.59</v>
      </c>
      <c r="G932" s="217"/>
    </row>
    <row r="933" spans="1:7" s="30" customFormat="1" ht="14.45">
      <c r="A933" s="59"/>
      <c r="B933" s="100"/>
      <c r="C933" s="61"/>
      <c r="D933" s="62"/>
      <c r="E933" s="157"/>
      <c r="F933" s="137"/>
      <c r="G933" s="217"/>
    </row>
    <row r="934" spans="1:7" s="30" customFormat="1" ht="41.45">
      <c r="A934" s="66"/>
      <c r="B934" s="98" t="s">
        <v>2337</v>
      </c>
      <c r="C934" s="68"/>
      <c r="D934" s="69"/>
      <c r="E934" s="157"/>
      <c r="F934" s="137"/>
      <c r="G934" s="217"/>
    </row>
    <row r="935" spans="1:7" s="30" customFormat="1" ht="14.45">
      <c r="A935" s="59"/>
      <c r="B935" s="100"/>
      <c r="C935" s="61"/>
      <c r="D935" s="62"/>
      <c r="E935" s="157"/>
      <c r="F935" s="137"/>
      <c r="G935" s="217"/>
    </row>
    <row r="936" spans="1:7" s="30" customFormat="1" ht="14.45">
      <c r="A936" s="66" t="s">
        <v>23</v>
      </c>
      <c r="B936" s="67" t="s">
        <v>2338</v>
      </c>
      <c r="C936" s="68" t="s">
        <v>674</v>
      </c>
      <c r="D936" s="69" t="s">
        <v>199</v>
      </c>
      <c r="E936" s="157">
        <v>3099.44</v>
      </c>
      <c r="F936" s="137">
        <f t="shared" ref="F936" si="68">C936*E936</f>
        <v>260352.96</v>
      </c>
      <c r="G936" s="217"/>
    </row>
    <row r="937" spans="1:7" s="30" customFormat="1" ht="14.45">
      <c r="A937" s="59"/>
      <c r="B937" s="100"/>
      <c r="C937" s="61"/>
      <c r="D937" s="62"/>
      <c r="E937" s="157"/>
      <c r="F937" s="137"/>
      <c r="G937" s="217"/>
    </row>
    <row r="938" spans="1:7" s="30" customFormat="1" ht="27.6">
      <c r="A938" s="66"/>
      <c r="B938" s="98" t="s">
        <v>2339</v>
      </c>
      <c r="C938" s="68"/>
      <c r="D938" s="69"/>
      <c r="E938" s="157"/>
      <c r="F938" s="137"/>
      <c r="G938" s="217"/>
    </row>
    <row r="939" spans="1:7" s="30" customFormat="1" ht="14.45">
      <c r="A939" s="59"/>
      <c r="B939" s="100"/>
      <c r="C939" s="61"/>
      <c r="D939" s="62"/>
      <c r="E939" s="157"/>
      <c r="F939" s="137"/>
      <c r="G939" s="217"/>
    </row>
    <row r="940" spans="1:7" s="30" customFormat="1" ht="14.45">
      <c r="A940" s="66"/>
      <c r="B940" s="98" t="s">
        <v>2340</v>
      </c>
      <c r="C940" s="68"/>
      <c r="D940" s="69"/>
      <c r="E940" s="157"/>
      <c r="F940" s="137"/>
      <c r="G940" s="217"/>
    </row>
    <row r="941" spans="1:7" s="30" customFormat="1" ht="14.45">
      <c r="A941" s="59"/>
      <c r="B941" s="100"/>
      <c r="C941" s="61"/>
      <c r="D941" s="62"/>
      <c r="E941" s="157"/>
      <c r="F941" s="137"/>
      <c r="G941" s="217"/>
    </row>
    <row r="942" spans="1:7" s="30" customFormat="1" ht="27.6">
      <c r="A942" s="66" t="s">
        <v>27</v>
      </c>
      <c r="B942" s="67" t="s">
        <v>2341</v>
      </c>
      <c r="C942" s="68" t="s">
        <v>2342</v>
      </c>
      <c r="D942" s="69" t="s">
        <v>199</v>
      </c>
      <c r="E942" s="157">
        <v>117.05</v>
      </c>
      <c r="F942" s="137">
        <f t="shared" ref="F942" si="69">C942*E942</f>
        <v>41201.599999999999</v>
      </c>
      <c r="G942" s="217"/>
    </row>
    <row r="943" spans="1:7" s="30" customFormat="1" ht="14.45">
      <c r="A943" s="59"/>
      <c r="B943" s="100"/>
      <c r="C943" s="61"/>
      <c r="D943" s="62"/>
      <c r="E943" s="157"/>
      <c r="F943" s="137"/>
      <c r="G943" s="217"/>
    </row>
    <row r="944" spans="1:7" s="30" customFormat="1" ht="14.45">
      <c r="A944" s="66" t="s">
        <v>44</v>
      </c>
      <c r="B944" s="67" t="s">
        <v>2343</v>
      </c>
      <c r="C944" s="68" t="s">
        <v>2344</v>
      </c>
      <c r="D944" s="69" t="s">
        <v>199</v>
      </c>
      <c r="E944" s="157">
        <v>107.45</v>
      </c>
      <c r="F944" s="137">
        <f t="shared" ref="F944" si="70">C944*E944</f>
        <v>10315.200000000001</v>
      </c>
      <c r="G944" s="217"/>
    </row>
    <row r="945" spans="1:7" s="30" customFormat="1" ht="14.45">
      <c r="A945" s="59"/>
      <c r="B945" s="100"/>
      <c r="C945" s="61"/>
      <c r="D945" s="62"/>
      <c r="E945" s="157"/>
      <c r="F945" s="137"/>
      <c r="G945" s="217"/>
    </row>
    <row r="946" spans="1:7" s="30" customFormat="1" ht="14.45">
      <c r="A946" s="66"/>
      <c r="B946" s="98" t="s">
        <v>2345</v>
      </c>
      <c r="C946" s="68"/>
      <c r="D946" s="69"/>
      <c r="E946" s="157"/>
      <c r="F946" s="137"/>
      <c r="G946" s="217"/>
    </row>
    <row r="947" spans="1:7" s="30" customFormat="1" ht="14.45">
      <c r="A947" s="59"/>
      <c r="B947" s="100"/>
      <c r="C947" s="61"/>
      <c r="D947" s="62"/>
      <c r="E947" s="157"/>
      <c r="F947" s="137"/>
      <c r="G947" s="217"/>
    </row>
    <row r="948" spans="1:7" s="30" customFormat="1" ht="14.45">
      <c r="A948" s="66" t="s">
        <v>48</v>
      </c>
      <c r="B948" s="67" t="s">
        <v>2346</v>
      </c>
      <c r="C948" s="68" t="s">
        <v>2347</v>
      </c>
      <c r="D948" s="69" t="s">
        <v>199</v>
      </c>
      <c r="E948" s="157">
        <v>87.9</v>
      </c>
      <c r="F948" s="137">
        <f t="shared" ref="F948" si="71">C948*E948</f>
        <v>77352</v>
      </c>
      <c r="G948" s="217" t="s">
        <v>2348</v>
      </c>
    </row>
    <row r="949" spans="1:7" s="30" customFormat="1" ht="14.45">
      <c r="A949" s="59"/>
      <c r="B949" s="100"/>
      <c r="C949" s="61"/>
      <c r="D949" s="62"/>
      <c r="E949" s="157"/>
      <c r="F949" s="137"/>
      <c r="G949" s="217"/>
    </row>
    <row r="950" spans="1:7" s="30" customFormat="1" ht="14.45">
      <c r="A950" s="66" t="s">
        <v>84</v>
      </c>
      <c r="B950" s="67" t="s">
        <v>2349</v>
      </c>
      <c r="C950" s="68" t="s">
        <v>2350</v>
      </c>
      <c r="D950" s="69" t="s">
        <v>199</v>
      </c>
      <c r="E950" s="157">
        <v>98.74</v>
      </c>
      <c r="F950" s="137">
        <f t="shared" ref="F950" si="72">C950*E950</f>
        <v>47197.72</v>
      </c>
      <c r="G950" s="217" t="s">
        <v>2348</v>
      </c>
    </row>
    <row r="951" spans="1:7" s="30" customFormat="1" ht="14.45">
      <c r="A951" s="59"/>
      <c r="B951" s="100"/>
      <c r="C951" s="61"/>
      <c r="D951" s="62"/>
      <c r="E951" s="157"/>
      <c r="F951" s="137"/>
      <c r="G951" s="217"/>
    </row>
    <row r="952" spans="1:7" s="30" customFormat="1" ht="14.45">
      <c r="A952" s="66" t="s">
        <v>86</v>
      </c>
      <c r="B952" s="67" t="s">
        <v>2351</v>
      </c>
      <c r="C952" s="68" t="s">
        <v>2352</v>
      </c>
      <c r="D952" s="69" t="s">
        <v>199</v>
      </c>
      <c r="E952" s="157">
        <v>124.98</v>
      </c>
      <c r="F952" s="137">
        <f t="shared" ref="F952" si="73">C952*E952</f>
        <v>329947.2</v>
      </c>
      <c r="G952" s="217" t="s">
        <v>2348</v>
      </c>
    </row>
    <row r="953" spans="1:7" s="30" customFormat="1" ht="14.45">
      <c r="A953" s="59"/>
      <c r="B953" s="100"/>
      <c r="C953" s="61"/>
      <c r="D953" s="62"/>
      <c r="E953" s="157"/>
      <c r="F953" s="137"/>
      <c r="G953" s="217"/>
    </row>
    <row r="954" spans="1:7" s="30" customFormat="1" ht="14.45">
      <c r="A954" s="66" t="s">
        <v>90</v>
      </c>
      <c r="B954" s="67" t="s">
        <v>2353</v>
      </c>
      <c r="C954" s="68" t="s">
        <v>815</v>
      </c>
      <c r="D954" s="69" t="s">
        <v>199</v>
      </c>
      <c r="E954" s="157">
        <v>139.05000000000001</v>
      </c>
      <c r="F954" s="137">
        <f t="shared" ref="F954" si="74">C954*E954</f>
        <v>7091.55</v>
      </c>
      <c r="G954" s="217"/>
    </row>
    <row r="955" spans="1:7" s="30" customFormat="1" ht="14.45">
      <c r="A955" s="59"/>
      <c r="B955" s="100"/>
      <c r="C955" s="61"/>
      <c r="D955" s="62"/>
      <c r="E955" s="157"/>
      <c r="F955" s="137"/>
      <c r="G955" s="217"/>
    </row>
    <row r="956" spans="1:7" s="30" customFormat="1" ht="14.45">
      <c r="A956" s="66" t="s">
        <v>92</v>
      </c>
      <c r="B956" s="67" t="s">
        <v>2354</v>
      </c>
      <c r="C956" s="68" t="s">
        <v>2355</v>
      </c>
      <c r="D956" s="69" t="s">
        <v>199</v>
      </c>
      <c r="E956" s="157">
        <v>140.24</v>
      </c>
      <c r="F956" s="137">
        <f t="shared" ref="F956:F962" si="75">C956*E956</f>
        <v>68296.88</v>
      </c>
      <c r="G956" s="217"/>
    </row>
    <row r="957" spans="1:7" s="30" customFormat="1" ht="14.45">
      <c r="A957" s="59"/>
      <c r="B957" s="100"/>
      <c r="C957" s="61"/>
      <c r="D957" s="62"/>
      <c r="E957" s="157"/>
      <c r="F957" s="137"/>
      <c r="G957" s="217"/>
    </row>
    <row r="958" spans="1:7" s="30" customFormat="1" ht="14.45">
      <c r="A958" s="66" t="s">
        <v>94</v>
      </c>
      <c r="B958" s="67" t="s">
        <v>2356</v>
      </c>
      <c r="C958" s="68" t="s">
        <v>2357</v>
      </c>
      <c r="D958" s="69" t="s">
        <v>199</v>
      </c>
      <c r="E958" s="157">
        <v>187.97</v>
      </c>
      <c r="F958" s="137">
        <f t="shared" si="75"/>
        <v>96616.58</v>
      </c>
      <c r="G958" s="217"/>
    </row>
    <row r="959" spans="1:7" s="30" customFormat="1" ht="14.45">
      <c r="A959" s="59"/>
      <c r="B959" s="100"/>
      <c r="C959" s="61"/>
      <c r="D959" s="62"/>
      <c r="E959" s="157"/>
      <c r="F959" s="137"/>
      <c r="G959" s="217"/>
    </row>
    <row r="960" spans="1:7" s="30" customFormat="1" ht="14.45">
      <c r="A960" s="66" t="s">
        <v>140</v>
      </c>
      <c r="B960" s="67" t="s">
        <v>2358</v>
      </c>
      <c r="C960" s="68" t="s">
        <v>2359</v>
      </c>
      <c r="D960" s="69" t="s">
        <v>199</v>
      </c>
      <c r="E960" s="157">
        <v>189.45</v>
      </c>
      <c r="F960" s="137">
        <f t="shared" si="75"/>
        <v>126363.15</v>
      </c>
      <c r="G960" s="217"/>
    </row>
    <row r="961" spans="1:7" s="30" customFormat="1" ht="14.45">
      <c r="A961" s="59"/>
      <c r="B961" s="100"/>
      <c r="C961" s="61"/>
      <c r="D961" s="62"/>
      <c r="E961" s="157"/>
      <c r="F961" s="137"/>
      <c r="G961" s="217"/>
    </row>
    <row r="962" spans="1:7" s="30" customFormat="1" ht="14.45">
      <c r="A962" s="66" t="s">
        <v>159</v>
      </c>
      <c r="B962" s="67" t="s">
        <v>2360</v>
      </c>
      <c r="C962" s="68" t="s">
        <v>1371</v>
      </c>
      <c r="D962" s="69" t="s">
        <v>199</v>
      </c>
      <c r="E962" s="157">
        <v>261.52999999999997</v>
      </c>
      <c r="F962" s="137">
        <f t="shared" si="75"/>
        <v>26414.53</v>
      </c>
      <c r="G962" s="217"/>
    </row>
    <row r="963" spans="1:7" s="30" customFormat="1" ht="14.45">
      <c r="A963" s="66"/>
      <c r="B963" s="67"/>
      <c r="C963" s="68"/>
      <c r="D963" s="69"/>
      <c r="E963" s="157"/>
      <c r="F963" s="137"/>
      <c r="G963" s="217"/>
    </row>
    <row r="964" spans="1:7" s="30" customFormat="1" ht="28.9">
      <c r="A964" s="59"/>
      <c r="B964" s="230" t="s">
        <v>323</v>
      </c>
      <c r="C964" s="61"/>
      <c r="D964" s="62"/>
      <c r="E964" s="157"/>
      <c r="F964" s="137"/>
      <c r="G964" s="217"/>
    </row>
    <row r="965" spans="1:7" s="30" customFormat="1" ht="14.45">
      <c r="A965" s="71"/>
      <c r="B965" s="72"/>
      <c r="C965" s="73"/>
      <c r="D965" s="74"/>
      <c r="E965" s="159"/>
      <c r="F965" s="138"/>
      <c r="G965" s="226"/>
    </row>
    <row r="966" spans="1:7" s="30" customFormat="1" ht="14.45">
      <c r="A966" s="75"/>
      <c r="B966" s="76"/>
      <c r="C966" s="77" t="s">
        <v>30</v>
      </c>
      <c r="D966" s="77"/>
      <c r="E966" s="160" t="s">
        <v>8</v>
      </c>
      <c r="F966" s="139">
        <f>SUM(F927:F964)</f>
        <v>1112302.5</v>
      </c>
      <c r="G966" s="227"/>
    </row>
    <row r="967" spans="1:7" s="30" customFormat="1" ht="14.45">
      <c r="A967" s="75"/>
      <c r="B967" s="76"/>
      <c r="C967" s="78"/>
      <c r="D967" s="79"/>
      <c r="E967" s="161"/>
      <c r="F967" s="140"/>
      <c r="G967" s="228"/>
    </row>
    <row r="968" spans="1:7" s="30" customFormat="1" ht="14.45">
      <c r="A968" s="59"/>
      <c r="B968" s="63"/>
      <c r="C968" s="61"/>
      <c r="D968" s="62"/>
      <c r="E968" s="157"/>
      <c r="F968" s="137"/>
      <c r="G968" s="217"/>
    </row>
    <row r="969" spans="1:7" s="30" customFormat="1" ht="14.45">
      <c r="A969" s="59"/>
      <c r="B969" s="64" t="s">
        <v>1950</v>
      </c>
      <c r="C969" s="61"/>
      <c r="D969" s="62"/>
      <c r="E969" s="157"/>
      <c r="F969" s="137"/>
      <c r="G969" s="217"/>
    </row>
    <row r="970" spans="1:7" s="30" customFormat="1" ht="14.45">
      <c r="A970" s="59"/>
      <c r="B970" s="100"/>
      <c r="C970" s="61"/>
      <c r="D970" s="62"/>
      <c r="E970" s="157"/>
      <c r="F970" s="137"/>
      <c r="G970" s="217"/>
    </row>
    <row r="971" spans="1:7" s="30" customFormat="1" ht="14.45">
      <c r="A971" s="66" t="s">
        <v>14</v>
      </c>
      <c r="B971" s="67" t="s">
        <v>2361</v>
      </c>
      <c r="C971" s="68" t="s">
        <v>2362</v>
      </c>
      <c r="D971" s="69" t="s">
        <v>199</v>
      </c>
      <c r="E971" s="157">
        <v>391.77</v>
      </c>
      <c r="F971" s="137">
        <f t="shared" ref="F971" si="76">C971*E971</f>
        <v>168461.1</v>
      </c>
      <c r="G971" s="217"/>
    </row>
    <row r="972" spans="1:7" s="30" customFormat="1" ht="14.45">
      <c r="A972" s="59"/>
      <c r="B972" s="100"/>
      <c r="C972" s="61"/>
      <c r="D972" s="62"/>
      <c r="E972" s="157"/>
      <c r="F972" s="137"/>
      <c r="G972" s="217"/>
    </row>
    <row r="973" spans="1:7" s="30" customFormat="1" ht="14.45">
      <c r="A973" s="66" t="s">
        <v>17</v>
      </c>
      <c r="B973" s="67" t="s">
        <v>2363</v>
      </c>
      <c r="C973" s="68" t="s">
        <v>789</v>
      </c>
      <c r="D973" s="69" t="s">
        <v>199</v>
      </c>
      <c r="E973" s="157">
        <v>140.72</v>
      </c>
      <c r="F973" s="137">
        <f t="shared" ref="F973" si="77">C973*E973</f>
        <v>8302.48</v>
      </c>
      <c r="G973" s="217"/>
    </row>
    <row r="974" spans="1:7" s="30" customFormat="1" ht="14.45">
      <c r="A974" s="59"/>
      <c r="B974" s="100"/>
      <c r="C974" s="61"/>
      <c r="D974" s="62"/>
      <c r="E974" s="157"/>
      <c r="F974" s="137"/>
      <c r="G974" s="217"/>
    </row>
    <row r="975" spans="1:7" s="30" customFormat="1" ht="14.45">
      <c r="A975" s="66" t="s">
        <v>20</v>
      </c>
      <c r="B975" s="67" t="s">
        <v>2364</v>
      </c>
      <c r="C975" s="68" t="s">
        <v>281</v>
      </c>
      <c r="D975" s="69" t="s">
        <v>199</v>
      </c>
      <c r="E975" s="157">
        <v>264.88</v>
      </c>
      <c r="F975" s="137">
        <f t="shared" ref="F975" si="78">C975*E975</f>
        <v>14833.279999999999</v>
      </c>
      <c r="G975" s="217"/>
    </row>
    <row r="976" spans="1:7" s="30" customFormat="1" ht="14.45">
      <c r="A976" s="59"/>
      <c r="B976" s="100"/>
      <c r="C976" s="61"/>
      <c r="D976" s="62"/>
      <c r="E976" s="157"/>
      <c r="F976" s="137"/>
      <c r="G976" s="217"/>
    </row>
    <row r="977" spans="1:7" s="30" customFormat="1" ht="14.45">
      <c r="A977" s="66" t="s">
        <v>23</v>
      </c>
      <c r="B977" s="67" t="s">
        <v>2365</v>
      </c>
      <c r="C977" s="68" t="s">
        <v>1425</v>
      </c>
      <c r="D977" s="69" t="s">
        <v>199</v>
      </c>
      <c r="E977" s="157">
        <v>310.01</v>
      </c>
      <c r="F977" s="137">
        <f t="shared" ref="F977" si="79">C977*E977</f>
        <v>15500.5</v>
      </c>
      <c r="G977" s="217"/>
    </row>
    <row r="978" spans="1:7" s="30" customFormat="1" ht="14.45">
      <c r="A978" s="59"/>
      <c r="B978" s="100"/>
      <c r="C978" s="61"/>
      <c r="D978" s="62"/>
      <c r="E978" s="157"/>
      <c r="F978" s="137"/>
      <c r="G978" s="217"/>
    </row>
    <row r="979" spans="1:7" s="30" customFormat="1" ht="14.45">
      <c r="A979" s="66"/>
      <c r="B979" s="98" t="s">
        <v>2366</v>
      </c>
      <c r="C979" s="68"/>
      <c r="D979" s="69"/>
      <c r="E979" s="157"/>
      <c r="F979" s="137"/>
      <c r="G979" s="217"/>
    </row>
    <row r="980" spans="1:7" s="30" customFormat="1" ht="14.45">
      <c r="A980" s="59"/>
      <c r="B980" s="100"/>
      <c r="C980" s="61"/>
      <c r="D980" s="62"/>
      <c r="E980" s="157"/>
      <c r="F980" s="137"/>
      <c r="G980" s="217"/>
    </row>
    <row r="981" spans="1:7" s="30" customFormat="1" ht="14.45">
      <c r="A981" s="66" t="s">
        <v>27</v>
      </c>
      <c r="B981" s="67" t="s">
        <v>2367</v>
      </c>
      <c r="C981" s="68" t="s">
        <v>1072</v>
      </c>
      <c r="D981" s="69" t="s">
        <v>199</v>
      </c>
      <c r="E981" s="157">
        <v>281.39</v>
      </c>
      <c r="F981" s="137">
        <f t="shared" ref="F981" si="80">C981*E981</f>
        <v>4783.63</v>
      </c>
      <c r="G981" s="217"/>
    </row>
    <row r="982" spans="1:7" s="30" customFormat="1" ht="14.45">
      <c r="A982" s="59"/>
      <c r="B982" s="100"/>
      <c r="C982" s="61"/>
      <c r="D982" s="62"/>
      <c r="E982" s="157"/>
      <c r="F982" s="137"/>
      <c r="G982" s="217"/>
    </row>
    <row r="983" spans="1:7" s="30" customFormat="1" ht="14.45">
      <c r="A983" s="66"/>
      <c r="B983" s="98" t="s">
        <v>2368</v>
      </c>
      <c r="C983" s="68"/>
      <c r="D983" s="69"/>
      <c r="E983" s="157"/>
      <c r="F983" s="137"/>
      <c r="G983" s="217"/>
    </row>
    <row r="984" spans="1:7" s="30" customFormat="1" ht="14.45">
      <c r="A984" s="59"/>
      <c r="B984" s="100"/>
      <c r="C984" s="61"/>
      <c r="D984" s="62"/>
      <c r="E984" s="157"/>
      <c r="F984" s="137"/>
      <c r="G984" s="217"/>
    </row>
    <row r="985" spans="1:7" s="30" customFormat="1" ht="14.45">
      <c r="A985" s="66" t="s">
        <v>44</v>
      </c>
      <c r="B985" s="67" t="s">
        <v>2369</v>
      </c>
      <c r="C985" s="68" t="s">
        <v>2370</v>
      </c>
      <c r="D985" s="69" t="s">
        <v>199</v>
      </c>
      <c r="E985" s="157">
        <v>20.46</v>
      </c>
      <c r="F985" s="137">
        <f t="shared" ref="F985" si="81">C985*E985</f>
        <v>9186.5400000000009</v>
      </c>
      <c r="G985" s="217"/>
    </row>
    <row r="986" spans="1:7" s="30" customFormat="1" ht="14.45">
      <c r="A986" s="59"/>
      <c r="B986" s="100"/>
      <c r="C986" s="61"/>
      <c r="D986" s="62"/>
      <c r="E986" s="157"/>
      <c r="F986" s="137"/>
      <c r="G986" s="217"/>
    </row>
    <row r="987" spans="1:7" s="30" customFormat="1" ht="14.45">
      <c r="A987" s="66"/>
      <c r="B987" s="98" t="s">
        <v>2371</v>
      </c>
      <c r="C987" s="68"/>
      <c r="D987" s="69"/>
      <c r="E987" s="157"/>
      <c r="F987" s="137"/>
      <c r="G987" s="217"/>
    </row>
    <row r="988" spans="1:7" s="30" customFormat="1" ht="14.45">
      <c r="A988" s="59"/>
      <c r="B988" s="100"/>
      <c r="C988" s="61"/>
      <c r="D988" s="62"/>
      <c r="E988" s="157"/>
      <c r="F988" s="137"/>
      <c r="G988" s="217"/>
    </row>
    <row r="989" spans="1:7" s="30" customFormat="1" ht="14.45">
      <c r="A989" s="66" t="s">
        <v>48</v>
      </c>
      <c r="B989" s="67" t="s">
        <v>2351</v>
      </c>
      <c r="C989" s="68" t="s">
        <v>2372</v>
      </c>
      <c r="D989" s="69" t="s">
        <v>199</v>
      </c>
      <c r="E989" s="157">
        <v>99.78</v>
      </c>
      <c r="F989" s="137">
        <f t="shared" ref="F989:F991" si="82">C989*E989</f>
        <v>16663.259999999998</v>
      </c>
      <c r="G989" s="217" t="s">
        <v>2348</v>
      </c>
    </row>
    <row r="990" spans="1:7" s="30" customFormat="1" ht="14.45">
      <c r="A990" s="59"/>
      <c r="B990" s="100"/>
      <c r="C990" s="61"/>
      <c r="D990" s="62"/>
      <c r="E990" s="157"/>
      <c r="F990" s="137"/>
      <c r="G990" s="217"/>
    </row>
    <row r="991" spans="1:7" s="30" customFormat="1" ht="14.45">
      <c r="A991" s="66" t="s">
        <v>84</v>
      </c>
      <c r="B991" s="67" t="s">
        <v>2354</v>
      </c>
      <c r="C991" s="68" t="s">
        <v>2373</v>
      </c>
      <c r="D991" s="69" t="s">
        <v>199</v>
      </c>
      <c r="E991" s="157">
        <v>129.34</v>
      </c>
      <c r="F991" s="137">
        <f t="shared" si="82"/>
        <v>84071</v>
      </c>
      <c r="G991" s="217"/>
    </row>
    <row r="992" spans="1:7" s="30" customFormat="1" ht="14.45">
      <c r="A992" s="59"/>
      <c r="B992" s="100"/>
      <c r="C992" s="61"/>
      <c r="D992" s="62"/>
      <c r="E992" s="157"/>
      <c r="F992" s="137"/>
      <c r="G992" s="217"/>
    </row>
    <row r="993" spans="1:7" s="30" customFormat="1" ht="27.6">
      <c r="A993" s="66"/>
      <c r="B993" s="98" t="s">
        <v>2374</v>
      </c>
      <c r="C993" s="68"/>
      <c r="D993" s="69"/>
      <c r="E993" s="157"/>
      <c r="F993" s="137"/>
      <c r="G993" s="217"/>
    </row>
    <row r="994" spans="1:7" s="30" customFormat="1" ht="14.45">
      <c r="A994" s="59"/>
      <c r="B994" s="100"/>
      <c r="C994" s="61"/>
      <c r="D994" s="62"/>
      <c r="E994" s="157"/>
      <c r="F994" s="137"/>
      <c r="G994" s="217"/>
    </row>
    <row r="995" spans="1:7" s="30" customFormat="1" ht="14.45">
      <c r="A995" s="66"/>
      <c r="B995" s="98" t="s">
        <v>2375</v>
      </c>
      <c r="C995" s="68"/>
      <c r="D995" s="69"/>
      <c r="E995" s="157"/>
      <c r="F995" s="137"/>
      <c r="G995" s="217"/>
    </row>
    <row r="996" spans="1:7" s="30" customFormat="1" ht="14.45">
      <c r="A996" s="59"/>
      <c r="B996" s="100"/>
      <c r="C996" s="61"/>
      <c r="D996" s="62"/>
      <c r="E996" s="157"/>
      <c r="F996" s="137"/>
      <c r="G996" s="217"/>
    </row>
    <row r="997" spans="1:7" s="30" customFormat="1" ht="14.45">
      <c r="A997" s="66" t="s">
        <v>86</v>
      </c>
      <c r="B997" s="67" t="s">
        <v>2376</v>
      </c>
      <c r="C997" s="68" t="s">
        <v>304</v>
      </c>
      <c r="D997" s="69" t="s">
        <v>63</v>
      </c>
      <c r="E997" s="157">
        <v>260705.9</v>
      </c>
      <c r="F997" s="137">
        <f>C997*E997</f>
        <v>260705.9</v>
      </c>
      <c r="G997" s="217" t="s">
        <v>2377</v>
      </c>
    </row>
    <row r="998" spans="1:7" s="30" customFormat="1" ht="14.45">
      <c r="A998" s="59"/>
      <c r="B998" s="100"/>
      <c r="C998" s="61"/>
      <c r="D998" s="62"/>
      <c r="E998" s="157"/>
      <c r="F998" s="137"/>
      <c r="G998" s="217"/>
    </row>
    <row r="999" spans="1:7" s="30" customFormat="1" ht="14.45">
      <c r="A999" s="66" t="s">
        <v>90</v>
      </c>
      <c r="B999" s="67" t="s">
        <v>2378</v>
      </c>
      <c r="C999" s="68" t="s">
        <v>304</v>
      </c>
      <c r="D999" s="69" t="s">
        <v>63</v>
      </c>
      <c r="E999" s="157">
        <v>135092.21</v>
      </c>
      <c r="F999" s="137">
        <f>C999*E999</f>
        <v>135092.21</v>
      </c>
      <c r="G999" s="217" t="s">
        <v>2377</v>
      </c>
    </row>
    <row r="1000" spans="1:7" s="30" customFormat="1" ht="14.45">
      <c r="A1000" s="59"/>
      <c r="B1000" s="100"/>
      <c r="C1000" s="61"/>
      <c r="D1000" s="62"/>
      <c r="E1000" s="157"/>
      <c r="F1000" s="137"/>
      <c r="G1000" s="217"/>
    </row>
    <row r="1001" spans="1:7" s="30" customFormat="1" ht="14.45">
      <c r="A1001" s="66" t="s">
        <v>92</v>
      </c>
      <c r="B1001" s="67" t="s">
        <v>2379</v>
      </c>
      <c r="C1001" s="68" t="s">
        <v>304</v>
      </c>
      <c r="D1001" s="69" t="s">
        <v>63</v>
      </c>
      <c r="E1001" s="157">
        <v>277178.02</v>
      </c>
      <c r="F1001" s="137">
        <f>C1001*E1001</f>
        <v>277178.02</v>
      </c>
      <c r="G1001" s="217" t="s">
        <v>2377</v>
      </c>
    </row>
    <row r="1002" spans="1:7" s="30" customFormat="1" ht="14.45">
      <c r="A1002" s="59"/>
      <c r="B1002" s="100"/>
      <c r="C1002" s="61"/>
      <c r="D1002" s="62"/>
      <c r="E1002" s="157"/>
      <c r="F1002" s="137"/>
      <c r="G1002" s="217"/>
    </row>
    <row r="1003" spans="1:7" s="30" customFormat="1" ht="14.45">
      <c r="A1003" s="66" t="s">
        <v>94</v>
      </c>
      <c r="B1003" s="67" t="s">
        <v>2380</v>
      </c>
      <c r="C1003" s="68" t="s">
        <v>304</v>
      </c>
      <c r="D1003" s="69" t="s">
        <v>63</v>
      </c>
      <c r="E1003" s="157">
        <v>347395.91</v>
      </c>
      <c r="F1003" s="137">
        <f>C1003*E1003</f>
        <v>347395.91</v>
      </c>
      <c r="G1003" s="217" t="s">
        <v>2377</v>
      </c>
    </row>
    <row r="1004" spans="1:7" s="30" customFormat="1" ht="14.45">
      <c r="A1004" s="59"/>
      <c r="B1004" s="100"/>
      <c r="C1004" s="61"/>
      <c r="D1004" s="62"/>
      <c r="E1004" s="157"/>
      <c r="F1004" s="137"/>
      <c r="G1004" s="217"/>
    </row>
    <row r="1005" spans="1:7" s="30" customFormat="1" ht="14.45">
      <c r="A1005" s="66" t="s">
        <v>140</v>
      </c>
      <c r="B1005" s="67" t="s">
        <v>2381</v>
      </c>
      <c r="C1005" s="68" t="s">
        <v>304</v>
      </c>
      <c r="D1005" s="69" t="s">
        <v>63</v>
      </c>
      <c r="E1005" s="157">
        <v>347395.91</v>
      </c>
      <c r="F1005" s="137">
        <f>C1005*E1005</f>
        <v>347395.91</v>
      </c>
      <c r="G1005" s="217" t="s">
        <v>2377</v>
      </c>
    </row>
    <row r="1006" spans="1:7" s="30" customFormat="1" ht="14.45">
      <c r="A1006" s="59"/>
      <c r="B1006" s="100"/>
      <c r="C1006" s="61"/>
      <c r="D1006" s="62"/>
      <c r="E1006" s="157"/>
      <c r="F1006" s="137"/>
      <c r="G1006" s="217"/>
    </row>
    <row r="1007" spans="1:7" s="30" customFormat="1" ht="14.45">
      <c r="A1007" s="66"/>
      <c r="B1007" s="98" t="s">
        <v>2382</v>
      </c>
      <c r="C1007" s="68"/>
      <c r="D1007" s="69"/>
      <c r="E1007" s="157"/>
      <c r="F1007" s="137"/>
      <c r="G1007" s="217"/>
    </row>
    <row r="1008" spans="1:7" s="30" customFormat="1" ht="14.45">
      <c r="A1008" s="59"/>
      <c r="B1008" s="100"/>
      <c r="C1008" s="61"/>
      <c r="D1008" s="62"/>
      <c r="E1008" s="157"/>
      <c r="F1008" s="137"/>
      <c r="G1008" s="217"/>
    </row>
    <row r="1009" spans="1:7" s="30" customFormat="1" ht="14.45">
      <c r="A1009" s="66" t="s">
        <v>159</v>
      </c>
      <c r="B1009" s="67" t="s">
        <v>2383</v>
      </c>
      <c r="C1009" s="68" t="s">
        <v>304</v>
      </c>
      <c r="D1009" s="69" t="s">
        <v>63</v>
      </c>
      <c r="E1009" s="157">
        <v>56930.32</v>
      </c>
      <c r="F1009" s="137">
        <f>C1009*E1009</f>
        <v>56930.32</v>
      </c>
      <c r="G1009" s="217"/>
    </row>
    <row r="1010" spans="1:7" s="30" customFormat="1" ht="14.45">
      <c r="A1010" s="59"/>
      <c r="B1010" s="63"/>
      <c r="C1010" s="61"/>
      <c r="D1010" s="62"/>
      <c r="E1010" s="157"/>
      <c r="F1010" s="137"/>
      <c r="G1010" s="217"/>
    </row>
    <row r="1011" spans="1:7" s="30" customFormat="1" ht="28.9">
      <c r="A1011" s="59"/>
      <c r="B1011" s="230" t="s">
        <v>323</v>
      </c>
      <c r="C1011" s="61"/>
      <c r="D1011" s="62"/>
      <c r="E1011" s="157"/>
      <c r="F1011" s="137"/>
      <c r="G1011" s="217"/>
    </row>
    <row r="1012" spans="1:7" s="30" customFormat="1" ht="14.45">
      <c r="A1012" s="71"/>
      <c r="B1012" s="72"/>
      <c r="C1012" s="73"/>
      <c r="D1012" s="74"/>
      <c r="E1012" s="159"/>
      <c r="F1012" s="138"/>
      <c r="G1012" s="226"/>
    </row>
    <row r="1013" spans="1:7" s="30" customFormat="1" ht="14.45">
      <c r="A1013" s="75"/>
      <c r="B1013" s="76"/>
      <c r="C1013" s="77" t="s">
        <v>30</v>
      </c>
      <c r="D1013" s="77"/>
      <c r="E1013" s="160" t="s">
        <v>8</v>
      </c>
      <c r="F1013" s="139">
        <f>SUM(F969:F1010)</f>
        <v>1746500.06</v>
      </c>
      <c r="G1013" s="227"/>
    </row>
    <row r="1014" spans="1:7" s="30" customFormat="1" ht="14.45">
      <c r="A1014" s="75"/>
      <c r="B1014" s="76"/>
      <c r="C1014" s="78"/>
      <c r="D1014" s="79"/>
      <c r="E1014" s="161"/>
      <c r="F1014" s="140"/>
      <c r="G1014" s="228"/>
    </row>
    <row r="1015" spans="1:7" s="30" customFormat="1" ht="14.45">
      <c r="A1015" s="59"/>
      <c r="B1015" s="63"/>
      <c r="C1015" s="61"/>
      <c r="D1015" s="62"/>
      <c r="E1015" s="157"/>
      <c r="F1015" s="137"/>
      <c r="G1015" s="217"/>
    </row>
    <row r="1016" spans="1:7" s="30" customFormat="1" ht="14.45">
      <c r="A1016" s="59"/>
      <c r="B1016" s="64" t="s">
        <v>1950</v>
      </c>
      <c r="C1016" s="61"/>
      <c r="D1016" s="62"/>
      <c r="E1016" s="157"/>
      <c r="F1016" s="137"/>
      <c r="G1016" s="217"/>
    </row>
    <row r="1017" spans="1:7" s="30" customFormat="1" ht="14.45">
      <c r="A1017" s="59"/>
      <c r="B1017" s="100"/>
      <c r="C1017" s="61"/>
      <c r="D1017" s="62"/>
      <c r="E1017" s="157"/>
      <c r="F1017" s="137"/>
      <c r="G1017" s="217"/>
    </row>
    <row r="1018" spans="1:7" s="30" customFormat="1" ht="14.45">
      <c r="A1018" s="66" t="s">
        <v>14</v>
      </c>
      <c r="B1018" s="67" t="s">
        <v>2384</v>
      </c>
      <c r="C1018" s="68" t="s">
        <v>304</v>
      </c>
      <c r="D1018" s="69" t="s">
        <v>63</v>
      </c>
      <c r="E1018" s="157">
        <v>44701.42</v>
      </c>
      <c r="F1018" s="137">
        <f t="shared" ref="F1018" si="83">C1018*E1018</f>
        <v>44701.42</v>
      </c>
      <c r="G1018" s="217"/>
    </row>
    <row r="1019" spans="1:7" s="30" customFormat="1" ht="14.45">
      <c r="A1019" s="59"/>
      <c r="B1019" s="100"/>
      <c r="C1019" s="61"/>
      <c r="D1019" s="62"/>
      <c r="E1019" s="157"/>
      <c r="F1019" s="137"/>
      <c r="G1019" s="217"/>
    </row>
    <row r="1020" spans="1:7" s="30" customFormat="1" ht="14.45">
      <c r="A1020" s="66" t="s">
        <v>17</v>
      </c>
      <c r="B1020" s="67" t="s">
        <v>2385</v>
      </c>
      <c r="C1020" s="68" t="s">
        <v>304</v>
      </c>
      <c r="D1020" s="69" t="s">
        <v>63</v>
      </c>
      <c r="E1020" s="157">
        <v>5003.6099999999997</v>
      </c>
      <c r="F1020" s="137">
        <f t="shared" ref="F1020" si="84">C1020*E1020</f>
        <v>5003.6099999999997</v>
      </c>
      <c r="G1020" s="217"/>
    </row>
    <row r="1021" spans="1:7" s="30" customFormat="1" ht="14.45">
      <c r="A1021" s="59"/>
      <c r="B1021" s="100"/>
      <c r="C1021" s="61"/>
      <c r="D1021" s="62"/>
      <c r="E1021" s="157"/>
      <c r="F1021" s="137"/>
      <c r="G1021" s="217"/>
    </row>
    <row r="1022" spans="1:7" s="30" customFormat="1" ht="14.45">
      <c r="A1022" s="66" t="s">
        <v>20</v>
      </c>
      <c r="B1022" s="67" t="s">
        <v>2386</v>
      </c>
      <c r="C1022" s="68" t="s">
        <v>304</v>
      </c>
      <c r="D1022" s="69" t="s">
        <v>63</v>
      </c>
      <c r="E1022" s="157">
        <v>18543.689999999999</v>
      </c>
      <c r="F1022" s="137">
        <f t="shared" ref="F1022" si="85">C1022*E1022</f>
        <v>18543.689999999999</v>
      </c>
      <c r="G1022" s="217"/>
    </row>
    <row r="1023" spans="1:7" s="30" customFormat="1" ht="14.45">
      <c r="A1023" s="59"/>
      <c r="B1023" s="100"/>
      <c r="C1023" s="61"/>
      <c r="D1023" s="62"/>
      <c r="E1023" s="157"/>
      <c r="F1023" s="137"/>
      <c r="G1023" s="217"/>
    </row>
    <row r="1024" spans="1:7" s="30" customFormat="1" ht="14.45">
      <c r="A1024" s="66" t="s">
        <v>23</v>
      </c>
      <c r="B1024" s="67" t="s">
        <v>2387</v>
      </c>
      <c r="C1024" s="68" t="s">
        <v>304</v>
      </c>
      <c r="D1024" s="69" t="s">
        <v>63</v>
      </c>
      <c r="E1024" s="157">
        <v>18543.689999999999</v>
      </c>
      <c r="F1024" s="137">
        <f t="shared" ref="F1024" si="86">C1024*E1024</f>
        <v>18543.689999999999</v>
      </c>
      <c r="G1024" s="217"/>
    </row>
    <row r="1025" spans="1:7" s="30" customFormat="1" ht="14.45">
      <c r="A1025" s="59"/>
      <c r="B1025" s="100"/>
      <c r="C1025" s="61"/>
      <c r="D1025" s="62"/>
      <c r="E1025" s="157"/>
      <c r="F1025" s="137"/>
      <c r="G1025" s="217"/>
    </row>
    <row r="1026" spans="1:7" s="30" customFormat="1" ht="14.45">
      <c r="A1026" s="66" t="s">
        <v>27</v>
      </c>
      <c r="B1026" s="67" t="s">
        <v>2388</v>
      </c>
      <c r="C1026" s="68" t="s">
        <v>304</v>
      </c>
      <c r="D1026" s="69" t="s">
        <v>63</v>
      </c>
      <c r="E1026" s="157">
        <v>40545.379999999997</v>
      </c>
      <c r="F1026" s="137">
        <f t="shared" ref="F1026" si="87">C1026*E1026</f>
        <v>40545.379999999997</v>
      </c>
      <c r="G1026" s="217"/>
    </row>
    <row r="1027" spans="1:7" s="30" customFormat="1" ht="14.45">
      <c r="A1027" s="59"/>
      <c r="B1027" s="100"/>
      <c r="C1027" s="61"/>
      <c r="D1027" s="62"/>
      <c r="E1027" s="157"/>
      <c r="F1027" s="137"/>
      <c r="G1027" s="217"/>
    </row>
    <row r="1028" spans="1:7" s="30" customFormat="1" ht="14.45">
      <c r="A1028" s="66" t="s">
        <v>44</v>
      </c>
      <c r="B1028" s="67" t="s">
        <v>2389</v>
      </c>
      <c r="C1028" s="68" t="s">
        <v>304</v>
      </c>
      <c r="D1028" s="69" t="s">
        <v>63</v>
      </c>
      <c r="E1028" s="157">
        <v>24934.880000000001</v>
      </c>
      <c r="F1028" s="137">
        <f t="shared" ref="F1028" si="88">C1028*E1028</f>
        <v>24934.880000000001</v>
      </c>
      <c r="G1028" s="217"/>
    </row>
    <row r="1029" spans="1:7" s="30" customFormat="1" ht="14.45">
      <c r="A1029" s="59"/>
      <c r="B1029" s="100"/>
      <c r="C1029" s="61"/>
      <c r="D1029" s="62"/>
      <c r="E1029" s="157"/>
      <c r="F1029" s="137"/>
      <c r="G1029" s="217"/>
    </row>
    <row r="1030" spans="1:7" s="30" customFormat="1" ht="14.45">
      <c r="A1030" s="66" t="s">
        <v>48</v>
      </c>
      <c r="B1030" s="67" t="s">
        <v>2390</v>
      </c>
      <c r="C1030" s="68" t="s">
        <v>304</v>
      </c>
      <c r="D1030" s="69" t="s">
        <v>63</v>
      </c>
      <c r="E1030" s="157">
        <v>18510.75</v>
      </c>
      <c r="F1030" s="137">
        <f t="shared" ref="F1030" si="89">C1030*E1030</f>
        <v>18510.75</v>
      </c>
      <c r="G1030" s="217"/>
    </row>
    <row r="1031" spans="1:7" s="30" customFormat="1" ht="14.45">
      <c r="A1031" s="59"/>
      <c r="B1031" s="100"/>
      <c r="C1031" s="61"/>
      <c r="D1031" s="62"/>
      <c r="E1031" s="157"/>
      <c r="F1031" s="137"/>
      <c r="G1031" s="217"/>
    </row>
    <row r="1032" spans="1:7" s="30" customFormat="1" ht="14.45">
      <c r="A1032" s="66" t="s">
        <v>84</v>
      </c>
      <c r="B1032" s="67" t="s">
        <v>2391</v>
      </c>
      <c r="C1032" s="68" t="s">
        <v>304</v>
      </c>
      <c r="D1032" s="69" t="s">
        <v>63</v>
      </c>
      <c r="E1032" s="157">
        <v>38112.57</v>
      </c>
      <c r="F1032" s="137">
        <f t="shared" ref="F1032" si="90">C1032*E1032</f>
        <v>38112.57</v>
      </c>
      <c r="G1032" s="217"/>
    </row>
    <row r="1033" spans="1:7" s="30" customFormat="1" ht="14.45">
      <c r="A1033" s="59"/>
      <c r="B1033" s="100"/>
      <c r="C1033" s="61"/>
      <c r="D1033" s="62"/>
      <c r="E1033" s="157"/>
      <c r="F1033" s="137"/>
      <c r="G1033" s="217"/>
    </row>
    <row r="1034" spans="1:7" s="30" customFormat="1" ht="14.45">
      <c r="A1034" s="66" t="s">
        <v>86</v>
      </c>
      <c r="B1034" s="67" t="s">
        <v>2392</v>
      </c>
      <c r="C1034" s="68" t="s">
        <v>304</v>
      </c>
      <c r="D1034" s="69" t="s">
        <v>63</v>
      </c>
      <c r="E1034" s="157">
        <v>71056.81</v>
      </c>
      <c r="F1034" s="137">
        <f t="shared" ref="F1034" si="91">C1034*E1034</f>
        <v>71056.81</v>
      </c>
      <c r="G1034" s="217"/>
    </row>
    <row r="1035" spans="1:7" s="30" customFormat="1" ht="14.45">
      <c r="A1035" s="59"/>
      <c r="B1035" s="100"/>
      <c r="C1035" s="61"/>
      <c r="D1035" s="62"/>
      <c r="E1035" s="157"/>
      <c r="F1035" s="137"/>
      <c r="G1035" s="217"/>
    </row>
    <row r="1036" spans="1:7" s="30" customFormat="1" ht="14.45">
      <c r="A1036" s="66" t="s">
        <v>90</v>
      </c>
      <c r="B1036" s="67" t="s">
        <v>2393</v>
      </c>
      <c r="C1036" s="68" t="s">
        <v>304</v>
      </c>
      <c r="D1036" s="69" t="s">
        <v>63</v>
      </c>
      <c r="E1036" s="157">
        <v>143020.23000000001</v>
      </c>
      <c r="F1036" s="137">
        <f t="shared" ref="F1036" si="92">C1036*E1036</f>
        <v>143020.23000000001</v>
      </c>
      <c r="G1036" s="217"/>
    </row>
    <row r="1037" spans="1:7" s="30" customFormat="1" ht="14.45">
      <c r="A1037" s="59"/>
      <c r="B1037" s="100"/>
      <c r="C1037" s="61"/>
      <c r="D1037" s="62"/>
      <c r="E1037" s="157"/>
      <c r="F1037" s="137"/>
      <c r="G1037" s="217"/>
    </row>
    <row r="1038" spans="1:7" s="30" customFormat="1" ht="14.45">
      <c r="A1038" s="66" t="s">
        <v>92</v>
      </c>
      <c r="B1038" s="67" t="s">
        <v>2394</v>
      </c>
      <c r="C1038" s="68" t="s">
        <v>304</v>
      </c>
      <c r="D1038" s="69" t="s">
        <v>63</v>
      </c>
      <c r="E1038" s="157">
        <v>60985.77</v>
      </c>
      <c r="F1038" s="137">
        <f t="shared" ref="F1038" si="93">C1038*E1038</f>
        <v>60985.77</v>
      </c>
      <c r="G1038" s="217"/>
    </row>
    <row r="1039" spans="1:7" s="30" customFormat="1" ht="11.25" customHeight="1">
      <c r="A1039" s="59"/>
      <c r="B1039" s="100"/>
      <c r="C1039" s="61"/>
      <c r="D1039" s="62"/>
      <c r="E1039" s="157"/>
      <c r="F1039" s="137"/>
      <c r="G1039" s="217"/>
    </row>
    <row r="1040" spans="1:7" s="30" customFormat="1" ht="14.45">
      <c r="A1040" s="66" t="s">
        <v>94</v>
      </c>
      <c r="B1040" s="67" t="s">
        <v>2395</v>
      </c>
      <c r="C1040" s="68" t="s">
        <v>304</v>
      </c>
      <c r="D1040" s="69" t="s">
        <v>63</v>
      </c>
      <c r="E1040" s="157">
        <v>84972.46</v>
      </c>
      <c r="F1040" s="137">
        <f t="shared" ref="F1040" si="94">C1040*E1040</f>
        <v>84972.46</v>
      </c>
      <c r="G1040" s="217"/>
    </row>
    <row r="1041" spans="1:7" s="30" customFormat="1" ht="11.25" customHeight="1">
      <c r="A1041" s="59"/>
      <c r="B1041" s="100"/>
      <c r="C1041" s="61"/>
      <c r="D1041" s="62"/>
      <c r="E1041" s="157"/>
      <c r="F1041" s="137"/>
      <c r="G1041" s="217"/>
    </row>
    <row r="1042" spans="1:7" s="30" customFormat="1" ht="14.45">
      <c r="A1042" s="66" t="s">
        <v>140</v>
      </c>
      <c r="B1042" s="67" t="s">
        <v>2396</v>
      </c>
      <c r="C1042" s="68" t="s">
        <v>304</v>
      </c>
      <c r="D1042" s="69" t="s">
        <v>63</v>
      </c>
      <c r="E1042" s="157">
        <v>109601.58</v>
      </c>
      <c r="F1042" s="137">
        <f t="shared" ref="F1042" si="95">C1042*E1042</f>
        <v>109601.58</v>
      </c>
      <c r="G1042" s="217"/>
    </row>
    <row r="1043" spans="1:7" s="30" customFormat="1" ht="7.5" customHeight="1">
      <c r="A1043" s="59"/>
      <c r="B1043" s="100"/>
      <c r="C1043" s="61"/>
      <c r="D1043" s="62"/>
      <c r="E1043" s="157"/>
      <c r="F1043" s="137"/>
      <c r="G1043" s="217"/>
    </row>
    <row r="1044" spans="1:7" s="30" customFormat="1" ht="14.45">
      <c r="A1044" s="66" t="s">
        <v>159</v>
      </c>
      <c r="B1044" s="67" t="s">
        <v>2397</v>
      </c>
      <c r="C1044" s="68" t="s">
        <v>304</v>
      </c>
      <c r="D1044" s="69" t="s">
        <v>63</v>
      </c>
      <c r="E1044" s="157">
        <v>109601.58</v>
      </c>
      <c r="F1044" s="137">
        <f t="shared" ref="F1044" si="96">C1044*E1044</f>
        <v>109601.58</v>
      </c>
      <c r="G1044" s="217"/>
    </row>
    <row r="1045" spans="1:7" s="30" customFormat="1" ht="5.25" customHeight="1">
      <c r="A1045" s="59"/>
      <c r="B1045" s="100"/>
      <c r="C1045" s="61"/>
      <c r="D1045" s="62"/>
      <c r="E1045" s="157"/>
      <c r="F1045" s="137"/>
      <c r="G1045" s="217"/>
    </row>
    <row r="1046" spans="1:7" s="30" customFormat="1" ht="14.45">
      <c r="A1046" s="66" t="s">
        <v>162</v>
      </c>
      <c r="B1046" s="67" t="s">
        <v>2398</v>
      </c>
      <c r="C1046" s="68" t="s">
        <v>304</v>
      </c>
      <c r="D1046" s="69" t="s">
        <v>63</v>
      </c>
      <c r="E1046" s="157">
        <v>34159.269999999997</v>
      </c>
      <c r="F1046" s="137">
        <f t="shared" ref="F1046" si="97">C1046*E1046</f>
        <v>34159.269999999997</v>
      </c>
      <c r="G1046" s="217"/>
    </row>
    <row r="1047" spans="1:7" s="30" customFormat="1" ht="14.45">
      <c r="A1047" s="59"/>
      <c r="B1047" s="100"/>
      <c r="C1047" s="61"/>
      <c r="D1047" s="62"/>
      <c r="E1047" s="157"/>
      <c r="F1047" s="137"/>
      <c r="G1047" s="217"/>
    </row>
    <row r="1048" spans="1:7" s="30" customFormat="1" ht="14.45">
      <c r="A1048" s="66" t="s">
        <v>164</v>
      </c>
      <c r="B1048" s="67" t="s">
        <v>2399</v>
      </c>
      <c r="C1048" s="68" t="s">
        <v>304</v>
      </c>
      <c r="D1048" s="69" t="s">
        <v>63</v>
      </c>
      <c r="E1048" s="157">
        <v>12547.84</v>
      </c>
      <c r="F1048" s="137">
        <f t="shared" ref="F1048" si="98">C1048*E1048</f>
        <v>12547.84</v>
      </c>
      <c r="G1048" s="217"/>
    </row>
    <row r="1049" spans="1:7" s="30" customFormat="1" ht="14.45">
      <c r="A1049" s="59"/>
      <c r="B1049" s="100"/>
      <c r="C1049" s="61"/>
      <c r="D1049" s="62"/>
      <c r="E1049" s="157"/>
      <c r="F1049" s="137"/>
      <c r="G1049" s="217"/>
    </row>
    <row r="1050" spans="1:7" s="30" customFormat="1" ht="14.45">
      <c r="A1050" s="66" t="s">
        <v>166</v>
      </c>
      <c r="B1050" s="67" t="s">
        <v>2400</v>
      </c>
      <c r="C1050" s="68" t="s">
        <v>304</v>
      </c>
      <c r="D1050" s="69" t="s">
        <v>63</v>
      </c>
      <c r="E1050" s="157">
        <v>127720.91</v>
      </c>
      <c r="F1050" s="137">
        <f t="shared" ref="F1050" si="99">C1050*E1050</f>
        <v>127720.91</v>
      </c>
      <c r="G1050" s="217"/>
    </row>
    <row r="1051" spans="1:7" s="30" customFormat="1" ht="14.45">
      <c r="A1051" s="59"/>
      <c r="B1051" s="100"/>
      <c r="C1051" s="61"/>
      <c r="D1051" s="62"/>
      <c r="E1051" s="157"/>
      <c r="F1051" s="137"/>
      <c r="G1051" s="217"/>
    </row>
    <row r="1052" spans="1:7" s="30" customFormat="1" ht="14.45">
      <c r="A1052" s="66" t="s">
        <v>168</v>
      </c>
      <c r="B1052" s="67" t="s">
        <v>2401</v>
      </c>
      <c r="C1052" s="68" t="s">
        <v>304</v>
      </c>
      <c r="D1052" s="69" t="s">
        <v>63</v>
      </c>
      <c r="E1052" s="157">
        <v>68421.279999999999</v>
      </c>
      <c r="F1052" s="137">
        <f t="shared" ref="F1052" si="100">C1052*E1052</f>
        <v>68421.279999999999</v>
      </c>
      <c r="G1052" s="217"/>
    </row>
    <row r="1053" spans="1:7" s="30" customFormat="1" ht="14.45">
      <c r="A1053" s="59"/>
      <c r="B1053" s="100"/>
      <c r="C1053" s="61"/>
      <c r="D1053" s="62"/>
      <c r="E1053" s="157"/>
      <c r="F1053" s="137"/>
      <c r="G1053" s="217"/>
    </row>
    <row r="1054" spans="1:7" s="30" customFormat="1" ht="14.45">
      <c r="A1054" s="66" t="s">
        <v>170</v>
      </c>
      <c r="B1054" s="67" t="s">
        <v>2402</v>
      </c>
      <c r="C1054" s="68" t="s">
        <v>304</v>
      </c>
      <c r="D1054" s="69" t="s">
        <v>63</v>
      </c>
      <c r="E1054" s="157">
        <v>27652.78</v>
      </c>
      <c r="F1054" s="137">
        <f t="shared" ref="F1054" si="101">C1054*E1054</f>
        <v>27652.78</v>
      </c>
      <c r="G1054" s="217"/>
    </row>
    <row r="1055" spans="1:7" s="30" customFormat="1" ht="14.45">
      <c r="A1055" s="59"/>
      <c r="B1055" s="100"/>
      <c r="C1055" s="61"/>
      <c r="D1055" s="62"/>
      <c r="E1055" s="157"/>
      <c r="F1055" s="137"/>
      <c r="G1055" s="217"/>
    </row>
    <row r="1056" spans="1:7" s="30" customFormat="1" ht="14.45">
      <c r="A1056" s="66" t="s">
        <v>172</v>
      </c>
      <c r="B1056" s="67" t="s">
        <v>2403</v>
      </c>
      <c r="C1056" s="68" t="s">
        <v>304</v>
      </c>
      <c r="D1056" s="69" t="s">
        <v>63</v>
      </c>
      <c r="E1056" s="157">
        <v>33829.82</v>
      </c>
      <c r="F1056" s="137">
        <f t="shared" ref="F1056" si="102">C1056*E1056</f>
        <v>33829.82</v>
      </c>
      <c r="G1056" s="217"/>
    </row>
    <row r="1057" spans="1:7" s="30" customFormat="1" ht="14.45">
      <c r="A1057" s="59"/>
      <c r="B1057" s="100"/>
      <c r="C1057" s="61"/>
      <c r="D1057" s="62"/>
      <c r="E1057" s="157"/>
      <c r="F1057" s="137"/>
      <c r="G1057" s="217"/>
    </row>
    <row r="1058" spans="1:7" s="30" customFormat="1" ht="14.45">
      <c r="A1058" s="66" t="s">
        <v>1615</v>
      </c>
      <c r="B1058" s="67" t="s">
        <v>2404</v>
      </c>
      <c r="C1058" s="68" t="s">
        <v>304</v>
      </c>
      <c r="D1058" s="69" t="s">
        <v>63</v>
      </c>
      <c r="E1058" s="157">
        <v>12547.84</v>
      </c>
      <c r="F1058" s="137">
        <f t="shared" ref="F1058" si="103">C1058*E1058</f>
        <v>12547.84</v>
      </c>
      <c r="G1058" s="217"/>
    </row>
    <row r="1059" spans="1:7" s="30" customFormat="1" ht="14.45">
      <c r="A1059" s="59"/>
      <c r="B1059" s="100"/>
      <c r="C1059" s="61"/>
      <c r="D1059" s="62"/>
      <c r="E1059" s="157"/>
      <c r="F1059" s="137"/>
      <c r="G1059" s="217"/>
    </row>
    <row r="1060" spans="1:7" s="30" customFormat="1" ht="14.45">
      <c r="A1060" s="66" t="s">
        <v>1617</v>
      </c>
      <c r="B1060" s="67" t="s">
        <v>2405</v>
      </c>
      <c r="C1060" s="68" t="s">
        <v>304</v>
      </c>
      <c r="D1060" s="69" t="s">
        <v>63</v>
      </c>
      <c r="E1060" s="157">
        <v>60514.66</v>
      </c>
      <c r="F1060" s="137">
        <f t="shared" ref="F1060" si="104">C1060*E1060</f>
        <v>60514.66</v>
      </c>
      <c r="G1060" s="217"/>
    </row>
    <row r="1061" spans="1:7" s="30" customFormat="1" ht="14.45">
      <c r="A1061" s="59"/>
      <c r="B1061" s="63"/>
      <c r="C1061" s="61"/>
      <c r="D1061" s="62"/>
      <c r="E1061" s="157"/>
      <c r="F1061" s="137"/>
      <c r="G1061" s="217"/>
    </row>
    <row r="1062" spans="1:7" s="30" customFormat="1" ht="14.45">
      <c r="A1062" s="71"/>
      <c r="B1062" s="72"/>
      <c r="C1062" s="73"/>
      <c r="D1062" s="74"/>
      <c r="E1062" s="159"/>
      <c r="F1062" s="138"/>
      <c r="G1062" s="226"/>
    </row>
    <row r="1063" spans="1:7" s="30" customFormat="1" ht="14.45">
      <c r="A1063" s="75"/>
      <c r="B1063" s="76"/>
      <c r="C1063" s="77" t="s">
        <v>30</v>
      </c>
      <c r="D1063" s="77"/>
      <c r="E1063" s="160" t="s">
        <v>8</v>
      </c>
      <c r="F1063" s="139">
        <f>SUM(F1017:F1061)</f>
        <v>1165528.82</v>
      </c>
      <c r="G1063" s="227"/>
    </row>
    <row r="1064" spans="1:7" s="30" customFormat="1" ht="14.45">
      <c r="A1064" s="75"/>
      <c r="B1064" s="76"/>
      <c r="C1064" s="78"/>
      <c r="D1064" s="79"/>
      <c r="E1064" s="161"/>
      <c r="F1064" s="140"/>
      <c r="G1064" s="228"/>
    </row>
    <row r="1065" spans="1:7" s="30" customFormat="1" ht="14.45">
      <c r="A1065" s="59"/>
      <c r="B1065" s="63"/>
      <c r="C1065" s="61"/>
      <c r="D1065" s="62"/>
      <c r="E1065" s="157"/>
      <c r="F1065" s="137"/>
      <c r="G1065" s="217"/>
    </row>
    <row r="1066" spans="1:7" s="30" customFormat="1" ht="14.45">
      <c r="A1066" s="59"/>
      <c r="B1066" s="64" t="s">
        <v>1950</v>
      </c>
      <c r="C1066" s="61"/>
      <c r="D1066" s="62"/>
      <c r="E1066" s="157"/>
      <c r="F1066" s="137"/>
      <c r="G1066" s="217"/>
    </row>
    <row r="1067" spans="1:7" s="30" customFormat="1" ht="14.45">
      <c r="A1067" s="59"/>
      <c r="B1067" s="100"/>
      <c r="C1067" s="61"/>
      <c r="D1067" s="62"/>
      <c r="E1067" s="157"/>
      <c r="F1067" s="137"/>
      <c r="G1067" s="217"/>
    </row>
    <row r="1068" spans="1:7" s="30" customFormat="1" ht="14.45">
      <c r="A1068" s="66" t="s">
        <v>14</v>
      </c>
      <c r="B1068" s="67" t="s">
        <v>2406</v>
      </c>
      <c r="C1068" s="68" t="s">
        <v>304</v>
      </c>
      <c r="D1068" s="69" t="s">
        <v>63</v>
      </c>
      <c r="E1068" s="157">
        <v>65785.740000000005</v>
      </c>
      <c r="F1068" s="137">
        <f t="shared" ref="F1068" si="105">C1068*E1068</f>
        <v>65785.740000000005</v>
      </c>
      <c r="G1068" s="217"/>
    </row>
    <row r="1069" spans="1:7" s="30" customFormat="1" ht="14.45">
      <c r="A1069" s="59"/>
      <c r="B1069" s="100"/>
      <c r="C1069" s="61"/>
      <c r="D1069" s="62"/>
      <c r="E1069" s="157"/>
      <c r="F1069" s="137"/>
      <c r="G1069" s="217"/>
    </row>
    <row r="1070" spans="1:7" s="30" customFormat="1" ht="14.45">
      <c r="A1070" s="66" t="s">
        <v>17</v>
      </c>
      <c r="B1070" s="67" t="s">
        <v>2407</v>
      </c>
      <c r="C1070" s="68" t="s">
        <v>304</v>
      </c>
      <c r="D1070" s="69" t="s">
        <v>63</v>
      </c>
      <c r="E1070" s="157">
        <v>18543.689999999999</v>
      </c>
      <c r="F1070" s="137">
        <f t="shared" ref="F1070" si="106">C1070*E1070</f>
        <v>18543.689999999999</v>
      </c>
      <c r="G1070" s="217"/>
    </row>
    <row r="1071" spans="1:7" s="30" customFormat="1" ht="14.45">
      <c r="A1071" s="59"/>
      <c r="B1071" s="100"/>
      <c r="C1071" s="61"/>
      <c r="D1071" s="62"/>
      <c r="E1071" s="157"/>
      <c r="F1071" s="137"/>
      <c r="G1071" s="217"/>
    </row>
    <row r="1072" spans="1:7" s="30" customFormat="1" ht="14.45">
      <c r="A1072" s="66" t="s">
        <v>20</v>
      </c>
      <c r="B1072" s="67" t="s">
        <v>2408</v>
      </c>
      <c r="C1072" s="68" t="s">
        <v>304</v>
      </c>
      <c r="D1072" s="69" t="s">
        <v>63</v>
      </c>
      <c r="E1072" s="157">
        <v>4180</v>
      </c>
      <c r="F1072" s="137">
        <f t="shared" ref="F1072" si="107">C1072*E1072</f>
        <v>4180</v>
      </c>
      <c r="G1072" s="217"/>
    </row>
    <row r="1073" spans="1:7" s="30" customFormat="1" ht="14.45">
      <c r="A1073" s="59"/>
      <c r="B1073" s="100"/>
      <c r="C1073" s="61"/>
      <c r="D1073" s="62"/>
      <c r="E1073" s="157"/>
      <c r="F1073" s="137"/>
      <c r="G1073" s="217"/>
    </row>
    <row r="1074" spans="1:7" s="30" customFormat="1" ht="14.45">
      <c r="A1074" s="66" t="s">
        <v>23</v>
      </c>
      <c r="B1074" s="67" t="s">
        <v>2409</v>
      </c>
      <c r="C1074" s="68" t="s">
        <v>304</v>
      </c>
      <c r="D1074" s="69" t="s">
        <v>63</v>
      </c>
      <c r="E1074" s="157">
        <v>68421.279999999999</v>
      </c>
      <c r="F1074" s="137">
        <f t="shared" ref="F1074" si="108">C1074*E1074</f>
        <v>68421.279999999999</v>
      </c>
      <c r="G1074" s="217"/>
    </row>
    <row r="1075" spans="1:7" s="30" customFormat="1" ht="14.45">
      <c r="A1075" s="59"/>
      <c r="B1075" s="100"/>
      <c r="C1075" s="61"/>
      <c r="D1075" s="62"/>
      <c r="E1075" s="157"/>
      <c r="F1075" s="137"/>
      <c r="G1075" s="217"/>
    </row>
    <row r="1076" spans="1:7" s="30" customFormat="1" ht="14.45">
      <c r="A1076" s="66" t="s">
        <v>27</v>
      </c>
      <c r="B1076" s="67" t="s">
        <v>2410</v>
      </c>
      <c r="C1076" s="68" t="s">
        <v>304</v>
      </c>
      <c r="D1076" s="69" t="s">
        <v>63</v>
      </c>
      <c r="E1076" s="157">
        <v>68421.279999999999</v>
      </c>
      <c r="F1076" s="137">
        <f t="shared" ref="F1076" si="109">C1076*E1076</f>
        <v>68421.279999999999</v>
      </c>
      <c r="G1076" s="217"/>
    </row>
    <row r="1077" spans="1:7" s="30" customFormat="1" ht="14.45">
      <c r="A1077" s="59"/>
      <c r="B1077" s="100"/>
      <c r="C1077" s="61"/>
      <c r="D1077" s="62"/>
      <c r="E1077" s="157"/>
      <c r="F1077" s="137"/>
      <c r="G1077" s="217"/>
    </row>
    <row r="1078" spans="1:7" s="30" customFormat="1" ht="27.6">
      <c r="A1078" s="66"/>
      <c r="B1078" s="98" t="s">
        <v>2411</v>
      </c>
      <c r="C1078" s="68"/>
      <c r="D1078" s="69"/>
      <c r="E1078" s="157"/>
      <c r="F1078" s="137"/>
      <c r="G1078" s="217"/>
    </row>
    <row r="1079" spans="1:7" s="30" customFormat="1" ht="14.45">
      <c r="A1079" s="59"/>
      <c r="B1079" s="100"/>
      <c r="C1079" s="61"/>
      <c r="D1079" s="62"/>
      <c r="E1079" s="157"/>
      <c r="F1079" s="137"/>
      <c r="G1079" s="217"/>
    </row>
    <row r="1080" spans="1:7" s="30" customFormat="1" ht="14.45">
      <c r="A1080" s="66" t="s">
        <v>44</v>
      </c>
      <c r="B1080" s="67" t="s">
        <v>2412</v>
      </c>
      <c r="C1080" s="68" t="s">
        <v>304</v>
      </c>
      <c r="D1080" s="69" t="s">
        <v>63</v>
      </c>
      <c r="E1080" s="157">
        <v>12416.07</v>
      </c>
      <c r="F1080" s="137">
        <f t="shared" ref="F1080" si="110">C1080*E1080</f>
        <v>12416.07</v>
      </c>
      <c r="G1080" s="217"/>
    </row>
    <row r="1081" spans="1:7" s="30" customFormat="1" ht="14.45">
      <c r="A1081" s="59"/>
      <c r="B1081" s="100"/>
      <c r="C1081" s="61"/>
      <c r="D1081" s="62"/>
      <c r="E1081" s="157"/>
      <c r="F1081" s="137"/>
      <c r="G1081" s="217"/>
    </row>
    <row r="1082" spans="1:7" s="30" customFormat="1" ht="14.45">
      <c r="A1082" s="66"/>
      <c r="B1082" s="98" t="s">
        <v>2413</v>
      </c>
      <c r="C1082" s="68"/>
      <c r="D1082" s="69"/>
      <c r="E1082" s="157"/>
      <c r="F1082" s="137"/>
      <c r="G1082" s="217"/>
    </row>
    <row r="1083" spans="1:7" s="30" customFormat="1" ht="14.45">
      <c r="A1083" s="59"/>
      <c r="B1083" s="100"/>
      <c r="C1083" s="61"/>
      <c r="D1083" s="62"/>
      <c r="E1083" s="157"/>
      <c r="F1083" s="137"/>
      <c r="G1083" s="217"/>
    </row>
    <row r="1084" spans="1:7" s="30" customFormat="1" ht="14.45">
      <c r="A1084" s="66" t="s">
        <v>48</v>
      </c>
      <c r="B1084" s="67" t="s">
        <v>2414</v>
      </c>
      <c r="C1084" s="68" t="s">
        <v>304</v>
      </c>
      <c r="D1084" s="69" t="s">
        <v>63</v>
      </c>
      <c r="E1084" s="157">
        <v>15452.31</v>
      </c>
      <c r="F1084" s="137">
        <f t="shared" ref="F1084" si="111">C1084*E1084</f>
        <v>15452.31</v>
      </c>
      <c r="G1084" s="217" t="s">
        <v>2377</v>
      </c>
    </row>
    <row r="1085" spans="1:7" s="30" customFormat="1" ht="14.45">
      <c r="A1085" s="59"/>
      <c r="B1085" s="100"/>
      <c r="C1085" s="61"/>
      <c r="D1085" s="62"/>
      <c r="E1085" s="157"/>
      <c r="F1085" s="137"/>
      <c r="G1085" s="217"/>
    </row>
    <row r="1086" spans="1:7" s="30" customFormat="1" ht="14.45">
      <c r="A1086" s="66" t="s">
        <v>84</v>
      </c>
      <c r="B1086" s="67" t="s">
        <v>2415</v>
      </c>
      <c r="C1086" s="68" t="s">
        <v>304</v>
      </c>
      <c r="D1086" s="69" t="s">
        <v>63</v>
      </c>
      <c r="E1086" s="157">
        <v>15452.31</v>
      </c>
      <c r="F1086" s="137">
        <f t="shared" ref="F1086" si="112">C1086*E1086</f>
        <v>15452.31</v>
      </c>
      <c r="G1086" s="217" t="s">
        <v>2377</v>
      </c>
    </row>
    <row r="1087" spans="1:7" s="30" customFormat="1" ht="14.45">
      <c r="A1087" s="59"/>
      <c r="B1087" s="100"/>
      <c r="C1087" s="61"/>
      <c r="D1087" s="62"/>
      <c r="E1087" s="157"/>
      <c r="F1087" s="137"/>
      <c r="G1087" s="217"/>
    </row>
    <row r="1088" spans="1:7" s="30" customFormat="1" ht="14.45">
      <c r="A1088" s="66" t="s">
        <v>86</v>
      </c>
      <c r="B1088" s="67" t="s">
        <v>2416</v>
      </c>
      <c r="C1088" s="68" t="s">
        <v>304</v>
      </c>
      <c r="D1088" s="69" t="s">
        <v>63</v>
      </c>
      <c r="E1088" s="157">
        <v>15452.31</v>
      </c>
      <c r="F1088" s="137">
        <f t="shared" ref="F1088" si="113">C1088*E1088</f>
        <v>15452.31</v>
      </c>
      <c r="G1088" s="217" t="s">
        <v>2377</v>
      </c>
    </row>
    <row r="1089" spans="1:7" s="30" customFormat="1" ht="14.45">
      <c r="A1089" s="59"/>
      <c r="B1089" s="100"/>
      <c r="C1089" s="61"/>
      <c r="D1089" s="62"/>
      <c r="E1089" s="157"/>
      <c r="F1089" s="137"/>
      <c r="G1089" s="217"/>
    </row>
    <row r="1090" spans="1:7" s="30" customFormat="1" ht="14.45">
      <c r="A1090" s="66" t="s">
        <v>90</v>
      </c>
      <c r="B1090" s="67" t="s">
        <v>2417</v>
      </c>
      <c r="C1090" s="68" t="s">
        <v>304</v>
      </c>
      <c r="D1090" s="69" t="s">
        <v>63</v>
      </c>
      <c r="E1090" s="157">
        <v>15452.31</v>
      </c>
      <c r="F1090" s="137">
        <f t="shared" ref="F1090" si="114">C1090*E1090</f>
        <v>15452.31</v>
      </c>
      <c r="G1090" s="217" t="s">
        <v>2377</v>
      </c>
    </row>
    <row r="1091" spans="1:7" s="30" customFormat="1" ht="14.45">
      <c r="A1091" s="59"/>
      <c r="B1091" s="100"/>
      <c r="C1091" s="61"/>
      <c r="D1091" s="62"/>
      <c r="E1091" s="157"/>
      <c r="F1091" s="137"/>
      <c r="G1091" s="217"/>
    </row>
    <row r="1092" spans="1:7" s="30" customFormat="1" ht="14.45">
      <c r="A1092" s="66" t="s">
        <v>92</v>
      </c>
      <c r="B1092" s="67" t="s">
        <v>2418</v>
      </c>
      <c r="C1092" s="68" t="s">
        <v>304</v>
      </c>
      <c r="D1092" s="69" t="s">
        <v>63</v>
      </c>
      <c r="E1092" s="157">
        <v>15452.31</v>
      </c>
      <c r="F1092" s="137">
        <f t="shared" ref="F1092" si="115">C1092*E1092</f>
        <v>15452.31</v>
      </c>
      <c r="G1092" s="217" t="s">
        <v>2377</v>
      </c>
    </row>
    <row r="1093" spans="1:7" s="30" customFormat="1" ht="14.45">
      <c r="A1093" s="59"/>
      <c r="B1093" s="100"/>
      <c r="C1093" s="61"/>
      <c r="D1093" s="62"/>
      <c r="E1093" s="157"/>
      <c r="F1093" s="137"/>
      <c r="G1093" s="217"/>
    </row>
    <row r="1094" spans="1:7" s="30" customFormat="1" ht="14.45">
      <c r="A1094" s="66" t="s">
        <v>94</v>
      </c>
      <c r="B1094" s="67" t="s">
        <v>2419</v>
      </c>
      <c r="C1094" s="68" t="s">
        <v>304</v>
      </c>
      <c r="D1094" s="69" t="s">
        <v>63</v>
      </c>
      <c r="E1094" s="157">
        <v>15452.31</v>
      </c>
      <c r="F1094" s="137">
        <f t="shared" ref="F1094" si="116">C1094*E1094</f>
        <v>15452.31</v>
      </c>
      <c r="G1094" s="217" t="s">
        <v>2377</v>
      </c>
    </row>
    <row r="1095" spans="1:7" s="30" customFormat="1" ht="14.45">
      <c r="A1095" s="59"/>
      <c r="B1095" s="100"/>
      <c r="C1095" s="61"/>
      <c r="D1095" s="62"/>
      <c r="E1095" s="157"/>
      <c r="F1095" s="137"/>
      <c r="G1095" s="217"/>
    </row>
    <row r="1096" spans="1:7" s="30" customFormat="1" ht="14.45">
      <c r="A1096" s="66" t="s">
        <v>140</v>
      </c>
      <c r="B1096" s="67" t="s">
        <v>2420</v>
      </c>
      <c r="C1096" s="68" t="s">
        <v>304</v>
      </c>
      <c r="D1096" s="69" t="s">
        <v>63</v>
      </c>
      <c r="E1096" s="157">
        <v>15452.31</v>
      </c>
      <c r="F1096" s="137">
        <f t="shared" ref="F1096" si="117">C1096*E1096</f>
        <v>15452.31</v>
      </c>
      <c r="G1096" s="217" t="s">
        <v>2377</v>
      </c>
    </row>
    <row r="1097" spans="1:7" s="30" customFormat="1" ht="14.45">
      <c r="A1097" s="59"/>
      <c r="B1097" s="100"/>
      <c r="C1097" s="61"/>
      <c r="D1097" s="62"/>
      <c r="E1097" s="157"/>
      <c r="F1097" s="137"/>
      <c r="G1097" s="217"/>
    </row>
    <row r="1098" spans="1:7" s="30" customFormat="1" ht="14.45">
      <c r="A1098" s="66" t="s">
        <v>159</v>
      </c>
      <c r="B1098" s="67" t="s">
        <v>2421</v>
      </c>
      <c r="C1098" s="68" t="s">
        <v>304</v>
      </c>
      <c r="D1098" s="69" t="s">
        <v>63</v>
      </c>
      <c r="E1098" s="157">
        <v>15452.31</v>
      </c>
      <c r="F1098" s="137">
        <f t="shared" ref="F1098" si="118">C1098*E1098</f>
        <v>15452.31</v>
      </c>
      <c r="G1098" s="217" t="s">
        <v>2377</v>
      </c>
    </row>
    <row r="1099" spans="1:7" s="30" customFormat="1" ht="14.45">
      <c r="A1099" s="59"/>
      <c r="B1099" s="100"/>
      <c r="C1099" s="61"/>
      <c r="D1099" s="62"/>
      <c r="E1099" s="157"/>
      <c r="F1099" s="137"/>
      <c r="G1099" s="217"/>
    </row>
    <row r="1100" spans="1:7" s="30" customFormat="1" ht="14.45">
      <c r="A1100" s="66" t="s">
        <v>162</v>
      </c>
      <c r="B1100" s="67" t="s">
        <v>2422</v>
      </c>
      <c r="C1100" s="68" t="s">
        <v>304</v>
      </c>
      <c r="D1100" s="69" t="s">
        <v>63</v>
      </c>
      <c r="E1100" s="157">
        <v>15452.31</v>
      </c>
      <c r="F1100" s="137">
        <f t="shared" ref="F1100" si="119">C1100*E1100</f>
        <v>15452.31</v>
      </c>
      <c r="G1100" s="217" t="s">
        <v>2377</v>
      </c>
    </row>
    <row r="1101" spans="1:7" s="30" customFormat="1" ht="14.45">
      <c r="A1101" s="59"/>
      <c r="B1101" s="100"/>
      <c r="C1101" s="61"/>
      <c r="D1101" s="62"/>
      <c r="E1101" s="157"/>
      <c r="F1101" s="137"/>
      <c r="G1101" s="217"/>
    </row>
    <row r="1102" spans="1:7" s="30" customFormat="1" ht="14.45">
      <c r="A1102" s="66" t="s">
        <v>164</v>
      </c>
      <c r="B1102" s="67" t="s">
        <v>2423</v>
      </c>
      <c r="C1102" s="68" t="s">
        <v>304</v>
      </c>
      <c r="D1102" s="69" t="s">
        <v>63</v>
      </c>
      <c r="E1102" s="157">
        <v>15452.31</v>
      </c>
      <c r="F1102" s="137">
        <f t="shared" ref="F1102" si="120">C1102*E1102</f>
        <v>15452.31</v>
      </c>
      <c r="G1102" s="217" t="s">
        <v>2377</v>
      </c>
    </row>
    <row r="1103" spans="1:7" s="30" customFormat="1" ht="14.45">
      <c r="A1103" s="59"/>
      <c r="B1103" s="100"/>
      <c r="C1103" s="61"/>
      <c r="D1103" s="62"/>
      <c r="E1103" s="157"/>
      <c r="F1103" s="137"/>
      <c r="G1103" s="217"/>
    </row>
    <row r="1104" spans="1:7" s="30" customFormat="1" ht="14.45">
      <c r="A1104" s="66" t="s">
        <v>166</v>
      </c>
      <c r="B1104" s="67" t="s">
        <v>2424</v>
      </c>
      <c r="C1104" s="68" t="s">
        <v>304</v>
      </c>
      <c r="D1104" s="69" t="s">
        <v>63</v>
      </c>
      <c r="E1104" s="157">
        <v>15452.31</v>
      </c>
      <c r="F1104" s="137">
        <f t="shared" ref="F1104" si="121">C1104*E1104</f>
        <v>15452.31</v>
      </c>
      <c r="G1104" s="217" t="s">
        <v>2377</v>
      </c>
    </row>
    <row r="1105" spans="1:7" s="30" customFormat="1" ht="14.45">
      <c r="A1105" s="59"/>
      <c r="B1105" s="100"/>
      <c r="C1105" s="61"/>
      <c r="D1105" s="62"/>
      <c r="E1105" s="157"/>
      <c r="F1105" s="137"/>
      <c r="G1105" s="217"/>
    </row>
    <row r="1106" spans="1:7" s="30" customFormat="1" ht="14.45">
      <c r="A1106" s="66" t="s">
        <v>168</v>
      </c>
      <c r="B1106" s="67" t="s">
        <v>2425</v>
      </c>
      <c r="C1106" s="68" t="s">
        <v>304</v>
      </c>
      <c r="D1106" s="69" t="s">
        <v>63</v>
      </c>
      <c r="E1106" s="157">
        <v>15452.31</v>
      </c>
      <c r="F1106" s="137">
        <f t="shared" ref="F1106" si="122">C1106*E1106</f>
        <v>15452.31</v>
      </c>
      <c r="G1106" s="217" t="s">
        <v>2377</v>
      </c>
    </row>
    <row r="1107" spans="1:7" s="30" customFormat="1" ht="14.45">
      <c r="A1107" s="59"/>
      <c r="B1107" s="63"/>
      <c r="C1107" s="61"/>
      <c r="D1107" s="62"/>
      <c r="E1107" s="157"/>
      <c r="F1107" s="137"/>
      <c r="G1107" s="217"/>
    </row>
    <row r="1108" spans="1:7" s="30" customFormat="1" ht="28.9">
      <c r="A1108" s="59"/>
      <c r="B1108" s="230" t="s">
        <v>323</v>
      </c>
      <c r="C1108" s="61"/>
      <c r="D1108" s="62"/>
      <c r="E1108" s="157"/>
      <c r="F1108" s="137"/>
      <c r="G1108" s="217"/>
    </row>
    <row r="1109" spans="1:7" s="30" customFormat="1" ht="14.45">
      <c r="A1109" s="71"/>
      <c r="B1109" s="72"/>
      <c r="C1109" s="73"/>
      <c r="D1109" s="74"/>
      <c r="E1109" s="159"/>
      <c r="F1109" s="138"/>
      <c r="G1109" s="226"/>
    </row>
    <row r="1110" spans="1:7" s="30" customFormat="1" ht="14.45">
      <c r="A1110" s="75"/>
      <c r="B1110" s="76"/>
      <c r="C1110" s="77" t="s">
        <v>30</v>
      </c>
      <c r="D1110" s="77"/>
      <c r="E1110" s="160" t="s">
        <v>8</v>
      </c>
      <c r="F1110" s="139">
        <f>SUM(F1067:F1107)</f>
        <v>423195.78</v>
      </c>
      <c r="G1110" s="227"/>
    </row>
    <row r="1111" spans="1:7" s="30" customFormat="1" ht="14.45">
      <c r="A1111" s="75"/>
      <c r="B1111" s="76"/>
      <c r="C1111" s="78"/>
      <c r="D1111" s="79"/>
      <c r="E1111" s="161"/>
      <c r="F1111" s="140"/>
      <c r="G1111" s="228"/>
    </row>
    <row r="1112" spans="1:7" s="30" customFormat="1" ht="14.45">
      <c r="A1112" s="59"/>
      <c r="B1112" s="63"/>
      <c r="C1112" s="61"/>
      <c r="D1112" s="62"/>
      <c r="E1112" s="157"/>
      <c r="F1112" s="137"/>
      <c r="G1112" s="217"/>
    </row>
    <row r="1113" spans="1:7" s="30" customFormat="1" ht="14.45">
      <c r="A1113" s="59"/>
      <c r="B1113" s="64" t="s">
        <v>1950</v>
      </c>
      <c r="C1113" s="61"/>
      <c r="D1113" s="62"/>
      <c r="E1113" s="157"/>
      <c r="F1113" s="137"/>
      <c r="G1113" s="217"/>
    </row>
    <row r="1114" spans="1:7" s="30" customFormat="1" ht="14.45">
      <c r="A1114" s="59"/>
      <c r="B1114" s="100"/>
      <c r="C1114" s="61"/>
      <c r="D1114" s="62"/>
      <c r="E1114" s="157"/>
      <c r="F1114" s="137"/>
      <c r="G1114" s="217"/>
    </row>
    <row r="1115" spans="1:7" s="30" customFormat="1" ht="14.45">
      <c r="A1115" s="66" t="s">
        <v>14</v>
      </c>
      <c r="B1115" s="67" t="s">
        <v>2426</v>
      </c>
      <c r="C1115" s="68" t="s">
        <v>304</v>
      </c>
      <c r="D1115" s="69" t="s">
        <v>63</v>
      </c>
      <c r="E1115" s="157">
        <v>15452.31</v>
      </c>
      <c r="F1115" s="137">
        <f t="shared" ref="F1115" si="123">C1115*E1115</f>
        <v>15452.31</v>
      </c>
      <c r="G1115" s="217" t="s">
        <v>2377</v>
      </c>
    </row>
    <row r="1116" spans="1:7" s="30" customFormat="1" ht="14.45">
      <c r="A1116" s="59"/>
      <c r="B1116" s="100"/>
      <c r="C1116" s="61"/>
      <c r="D1116" s="62"/>
      <c r="E1116" s="157"/>
      <c r="F1116" s="137"/>
      <c r="G1116" s="217"/>
    </row>
    <row r="1117" spans="1:7" s="30" customFormat="1" ht="14.45">
      <c r="A1117" s="66" t="s">
        <v>17</v>
      </c>
      <c r="B1117" s="67" t="s">
        <v>2427</v>
      </c>
      <c r="C1117" s="68" t="s">
        <v>304</v>
      </c>
      <c r="D1117" s="69" t="s">
        <v>63</v>
      </c>
      <c r="E1117" s="157">
        <v>15452.31</v>
      </c>
      <c r="F1117" s="137">
        <f t="shared" ref="F1117" si="124">C1117*E1117</f>
        <v>15452.31</v>
      </c>
      <c r="G1117" s="217" t="s">
        <v>2377</v>
      </c>
    </row>
    <row r="1118" spans="1:7" s="30" customFormat="1" ht="14.45">
      <c r="A1118" s="59"/>
      <c r="B1118" s="100"/>
      <c r="C1118" s="61"/>
      <c r="D1118" s="62"/>
      <c r="E1118" s="157"/>
      <c r="F1118" s="137"/>
      <c r="G1118" s="217"/>
    </row>
    <row r="1119" spans="1:7" s="30" customFormat="1" ht="14.45">
      <c r="A1119" s="66" t="s">
        <v>20</v>
      </c>
      <c r="B1119" s="67" t="s">
        <v>2428</v>
      </c>
      <c r="C1119" s="68" t="s">
        <v>304</v>
      </c>
      <c r="D1119" s="69" t="s">
        <v>63</v>
      </c>
      <c r="E1119" s="157">
        <v>15452.31</v>
      </c>
      <c r="F1119" s="137">
        <f t="shared" ref="F1119" si="125">C1119*E1119</f>
        <v>15452.31</v>
      </c>
      <c r="G1119" s="217" t="s">
        <v>2377</v>
      </c>
    </row>
    <row r="1120" spans="1:7" s="30" customFormat="1" ht="14.45">
      <c r="A1120" s="59"/>
      <c r="B1120" s="100"/>
      <c r="C1120" s="61"/>
      <c r="D1120" s="62"/>
      <c r="E1120" s="157"/>
      <c r="F1120" s="137"/>
      <c r="G1120" s="217"/>
    </row>
    <row r="1121" spans="1:7" s="30" customFormat="1" ht="14.45">
      <c r="A1121" s="66" t="s">
        <v>23</v>
      </c>
      <c r="B1121" s="67" t="s">
        <v>2429</v>
      </c>
      <c r="C1121" s="68" t="s">
        <v>304</v>
      </c>
      <c r="D1121" s="69" t="s">
        <v>63</v>
      </c>
      <c r="E1121" s="157">
        <v>15452.31</v>
      </c>
      <c r="F1121" s="137">
        <f t="shared" ref="F1121" si="126">C1121*E1121</f>
        <v>15452.31</v>
      </c>
      <c r="G1121" s="217" t="s">
        <v>2377</v>
      </c>
    </row>
    <row r="1122" spans="1:7" s="30" customFormat="1" ht="14.45">
      <c r="A1122" s="59"/>
      <c r="B1122" s="100"/>
      <c r="C1122" s="61"/>
      <c r="D1122" s="62"/>
      <c r="E1122" s="157"/>
      <c r="F1122" s="137"/>
      <c r="G1122" s="217"/>
    </row>
    <row r="1123" spans="1:7" s="30" customFormat="1" ht="14.45">
      <c r="A1123" s="66" t="s">
        <v>27</v>
      </c>
      <c r="B1123" s="67" t="s">
        <v>2430</v>
      </c>
      <c r="C1123" s="68" t="s">
        <v>304</v>
      </c>
      <c r="D1123" s="69" t="s">
        <v>63</v>
      </c>
      <c r="E1123" s="157">
        <v>15452.31</v>
      </c>
      <c r="F1123" s="137">
        <f t="shared" ref="F1123" si="127">C1123*E1123</f>
        <v>15452.31</v>
      </c>
      <c r="G1123" s="217" t="s">
        <v>2377</v>
      </c>
    </row>
    <row r="1124" spans="1:7" s="30" customFormat="1" ht="14.45">
      <c r="A1124" s="59"/>
      <c r="B1124" s="100"/>
      <c r="C1124" s="61"/>
      <c r="D1124" s="62"/>
      <c r="E1124" s="157"/>
      <c r="F1124" s="137"/>
      <c r="G1124" s="217"/>
    </row>
    <row r="1125" spans="1:7" s="30" customFormat="1" ht="14.45">
      <c r="A1125" s="66" t="s">
        <v>44</v>
      </c>
      <c r="B1125" s="67" t="s">
        <v>2431</v>
      </c>
      <c r="C1125" s="68" t="s">
        <v>304</v>
      </c>
      <c r="D1125" s="69" t="s">
        <v>63</v>
      </c>
      <c r="E1125" s="157">
        <v>15452.31</v>
      </c>
      <c r="F1125" s="137">
        <f t="shared" ref="F1125" si="128">C1125*E1125</f>
        <v>15452.31</v>
      </c>
      <c r="G1125" s="217" t="s">
        <v>2377</v>
      </c>
    </row>
    <row r="1126" spans="1:7" s="30" customFormat="1" ht="14.45">
      <c r="A1126" s="59"/>
      <c r="B1126" s="100"/>
      <c r="C1126" s="61"/>
      <c r="D1126" s="62"/>
      <c r="E1126" s="157"/>
      <c r="F1126" s="137"/>
      <c r="G1126" s="217"/>
    </row>
    <row r="1127" spans="1:7" s="30" customFormat="1" ht="14.45">
      <c r="A1127" s="66" t="s">
        <v>48</v>
      </c>
      <c r="B1127" s="67" t="s">
        <v>2432</v>
      </c>
      <c r="C1127" s="68" t="s">
        <v>304</v>
      </c>
      <c r="D1127" s="69" t="s">
        <v>63</v>
      </c>
      <c r="E1127" s="157">
        <v>15452.31</v>
      </c>
      <c r="F1127" s="137">
        <f t="shared" ref="F1127" si="129">C1127*E1127</f>
        <v>15452.31</v>
      </c>
      <c r="G1127" s="217" t="s">
        <v>2377</v>
      </c>
    </row>
    <row r="1128" spans="1:7" s="30" customFormat="1" ht="14.45">
      <c r="A1128" s="59"/>
      <c r="B1128" s="100"/>
      <c r="C1128" s="61"/>
      <c r="D1128" s="62"/>
      <c r="E1128" s="157"/>
      <c r="F1128" s="137"/>
      <c r="G1128" s="217"/>
    </row>
    <row r="1129" spans="1:7" s="30" customFormat="1" ht="14.45">
      <c r="A1129" s="66" t="s">
        <v>84</v>
      </c>
      <c r="B1129" s="67" t="s">
        <v>2433</v>
      </c>
      <c r="C1129" s="68" t="s">
        <v>304</v>
      </c>
      <c r="D1129" s="69" t="s">
        <v>63</v>
      </c>
      <c r="E1129" s="157">
        <v>15452.31</v>
      </c>
      <c r="F1129" s="137">
        <f t="shared" ref="F1129" si="130">C1129*E1129</f>
        <v>15452.31</v>
      </c>
      <c r="G1129" s="217" t="s">
        <v>2377</v>
      </c>
    </row>
    <row r="1130" spans="1:7" s="30" customFormat="1" ht="14.45">
      <c r="A1130" s="59"/>
      <c r="B1130" s="100"/>
      <c r="C1130" s="61"/>
      <c r="D1130" s="62"/>
      <c r="E1130" s="157"/>
      <c r="F1130" s="137"/>
      <c r="G1130" s="217"/>
    </row>
    <row r="1131" spans="1:7" s="30" customFormat="1" ht="14.45">
      <c r="A1131" s="66" t="s">
        <v>86</v>
      </c>
      <c r="B1131" s="67" t="s">
        <v>2434</v>
      </c>
      <c r="C1131" s="68" t="s">
        <v>304</v>
      </c>
      <c r="D1131" s="69" t="s">
        <v>63</v>
      </c>
      <c r="E1131" s="157">
        <v>15452.31</v>
      </c>
      <c r="F1131" s="137">
        <f t="shared" ref="F1131" si="131">C1131*E1131</f>
        <v>15452.31</v>
      </c>
      <c r="G1131" s="217" t="s">
        <v>2377</v>
      </c>
    </row>
    <row r="1132" spans="1:7" s="30" customFormat="1" ht="14.45">
      <c r="A1132" s="59"/>
      <c r="B1132" s="100"/>
      <c r="C1132" s="61"/>
      <c r="D1132" s="62"/>
      <c r="E1132" s="157"/>
      <c r="F1132" s="137"/>
      <c r="G1132" s="217"/>
    </row>
    <row r="1133" spans="1:7" s="30" customFormat="1" ht="14.45">
      <c r="A1133" s="66" t="s">
        <v>90</v>
      </c>
      <c r="B1133" s="67" t="s">
        <v>2435</v>
      </c>
      <c r="C1133" s="68" t="s">
        <v>304</v>
      </c>
      <c r="D1133" s="69" t="s">
        <v>63</v>
      </c>
      <c r="E1133" s="157">
        <v>15452.31</v>
      </c>
      <c r="F1133" s="137">
        <f t="shared" ref="F1133" si="132">C1133*E1133</f>
        <v>15452.31</v>
      </c>
      <c r="G1133" s="217" t="s">
        <v>2377</v>
      </c>
    </row>
    <row r="1134" spans="1:7" s="30" customFormat="1" ht="14.45">
      <c r="A1134" s="59"/>
      <c r="B1134" s="100"/>
      <c r="C1134" s="61"/>
      <c r="D1134" s="62"/>
      <c r="E1134" s="157"/>
      <c r="F1134" s="137"/>
      <c r="G1134" s="217"/>
    </row>
    <row r="1135" spans="1:7" s="30" customFormat="1" ht="14.45">
      <c r="A1135" s="66" t="s">
        <v>92</v>
      </c>
      <c r="B1135" s="67" t="s">
        <v>2436</v>
      </c>
      <c r="C1135" s="68" t="s">
        <v>304</v>
      </c>
      <c r="D1135" s="69" t="s">
        <v>63</v>
      </c>
      <c r="E1135" s="157">
        <v>15452.31</v>
      </c>
      <c r="F1135" s="137">
        <f t="shared" ref="F1135" si="133">C1135*E1135</f>
        <v>15452.31</v>
      </c>
      <c r="G1135" s="217" t="s">
        <v>2377</v>
      </c>
    </row>
    <row r="1136" spans="1:7" s="30" customFormat="1" ht="14.45">
      <c r="A1136" s="59"/>
      <c r="B1136" s="100"/>
      <c r="C1136" s="61"/>
      <c r="D1136" s="62"/>
      <c r="E1136" s="157"/>
      <c r="F1136" s="137"/>
      <c r="G1136" s="217"/>
    </row>
    <row r="1137" spans="1:7" s="30" customFormat="1" ht="14.45">
      <c r="A1137" s="66" t="s">
        <v>94</v>
      </c>
      <c r="B1137" s="67" t="s">
        <v>2437</v>
      </c>
      <c r="C1137" s="68" t="s">
        <v>304</v>
      </c>
      <c r="D1137" s="69" t="s">
        <v>63</v>
      </c>
      <c r="E1137" s="157">
        <v>15452.31</v>
      </c>
      <c r="F1137" s="137">
        <f t="shared" ref="F1137" si="134">C1137*E1137</f>
        <v>15452.31</v>
      </c>
      <c r="G1137" s="217" t="s">
        <v>2377</v>
      </c>
    </row>
    <row r="1138" spans="1:7" s="30" customFormat="1" ht="14.45">
      <c r="A1138" s="59"/>
      <c r="B1138" s="100"/>
      <c r="C1138" s="61"/>
      <c r="D1138" s="62"/>
      <c r="E1138" s="157"/>
      <c r="F1138" s="137"/>
      <c r="G1138" s="217"/>
    </row>
    <row r="1139" spans="1:7" s="30" customFormat="1" ht="14.45">
      <c r="A1139" s="66" t="s">
        <v>140</v>
      </c>
      <c r="B1139" s="67" t="s">
        <v>2438</v>
      </c>
      <c r="C1139" s="68" t="s">
        <v>304</v>
      </c>
      <c r="D1139" s="69" t="s">
        <v>63</v>
      </c>
      <c r="E1139" s="157">
        <v>15452.31</v>
      </c>
      <c r="F1139" s="137">
        <f t="shared" ref="F1139" si="135">C1139*E1139</f>
        <v>15452.31</v>
      </c>
      <c r="G1139" s="217" t="s">
        <v>2377</v>
      </c>
    </row>
    <row r="1140" spans="1:7" s="30" customFormat="1" ht="14.45">
      <c r="A1140" s="59"/>
      <c r="B1140" s="100"/>
      <c r="C1140" s="61"/>
      <c r="D1140" s="62"/>
      <c r="E1140" s="157"/>
      <c r="F1140" s="137"/>
      <c r="G1140" s="217"/>
    </row>
    <row r="1141" spans="1:7" s="30" customFormat="1" ht="14.45">
      <c r="A1141" s="66" t="s">
        <v>159</v>
      </c>
      <c r="B1141" s="67" t="s">
        <v>2439</v>
      </c>
      <c r="C1141" s="68" t="s">
        <v>304</v>
      </c>
      <c r="D1141" s="69" t="s">
        <v>63</v>
      </c>
      <c r="E1141" s="157">
        <v>15452.31</v>
      </c>
      <c r="F1141" s="137">
        <f t="shared" ref="F1141" si="136">C1141*E1141</f>
        <v>15452.31</v>
      </c>
      <c r="G1141" s="217" t="s">
        <v>2377</v>
      </c>
    </row>
    <row r="1142" spans="1:7" s="30" customFormat="1" ht="14.45">
      <c r="A1142" s="59"/>
      <c r="B1142" s="100"/>
      <c r="C1142" s="61"/>
      <c r="D1142" s="62"/>
      <c r="E1142" s="157"/>
      <c r="F1142" s="137"/>
      <c r="G1142" s="217"/>
    </row>
    <row r="1143" spans="1:7" s="30" customFormat="1" ht="14.45">
      <c r="A1143" s="66" t="s">
        <v>162</v>
      </c>
      <c r="B1143" s="67" t="s">
        <v>2440</v>
      </c>
      <c r="C1143" s="68" t="s">
        <v>304</v>
      </c>
      <c r="D1143" s="69" t="s">
        <v>63</v>
      </c>
      <c r="E1143" s="157">
        <v>15452.31</v>
      </c>
      <c r="F1143" s="137">
        <f t="shared" ref="F1143" si="137">C1143*E1143</f>
        <v>15452.31</v>
      </c>
      <c r="G1143" s="217" t="s">
        <v>2377</v>
      </c>
    </row>
    <row r="1144" spans="1:7" s="30" customFormat="1" ht="10.5" customHeight="1">
      <c r="A1144" s="59"/>
      <c r="B1144" s="100"/>
      <c r="C1144" s="61"/>
      <c r="D1144" s="62"/>
      <c r="E1144" s="157"/>
      <c r="F1144" s="137"/>
      <c r="G1144" s="217"/>
    </row>
    <row r="1145" spans="1:7" s="30" customFormat="1" ht="14.45">
      <c r="A1145" s="66" t="s">
        <v>164</v>
      </c>
      <c r="B1145" s="67" t="s">
        <v>2441</v>
      </c>
      <c r="C1145" s="68" t="s">
        <v>304</v>
      </c>
      <c r="D1145" s="69" t="s">
        <v>63</v>
      </c>
      <c r="E1145" s="157">
        <v>15452.31</v>
      </c>
      <c r="F1145" s="137">
        <f t="shared" ref="F1145" si="138">C1145*E1145</f>
        <v>15452.31</v>
      </c>
      <c r="G1145" s="217" t="s">
        <v>2377</v>
      </c>
    </row>
    <row r="1146" spans="1:7" s="30" customFormat="1" ht="10.5" customHeight="1">
      <c r="A1146" s="59"/>
      <c r="B1146" s="100"/>
      <c r="C1146" s="61"/>
      <c r="D1146" s="62"/>
      <c r="E1146" s="157"/>
      <c r="F1146" s="137"/>
      <c r="G1146" s="217"/>
    </row>
    <row r="1147" spans="1:7" s="30" customFormat="1" ht="14.45">
      <c r="A1147" s="66" t="s">
        <v>166</v>
      </c>
      <c r="B1147" s="67" t="s">
        <v>2442</v>
      </c>
      <c r="C1147" s="68" t="s">
        <v>304</v>
      </c>
      <c r="D1147" s="69" t="s">
        <v>63</v>
      </c>
      <c r="E1147" s="157">
        <v>15452.31</v>
      </c>
      <c r="F1147" s="137">
        <f t="shared" ref="F1147" si="139">C1147*E1147</f>
        <v>15452.31</v>
      </c>
      <c r="G1147" s="217" t="s">
        <v>2377</v>
      </c>
    </row>
    <row r="1148" spans="1:7" s="30" customFormat="1" ht="11.25" customHeight="1">
      <c r="A1148" s="59"/>
      <c r="B1148" s="100"/>
      <c r="C1148" s="61"/>
      <c r="D1148" s="62"/>
      <c r="E1148" s="157"/>
      <c r="F1148" s="137"/>
      <c r="G1148" s="217"/>
    </row>
    <row r="1149" spans="1:7" s="30" customFormat="1" ht="14.45">
      <c r="A1149" s="66" t="s">
        <v>168</v>
      </c>
      <c r="B1149" s="67" t="s">
        <v>2443</v>
      </c>
      <c r="C1149" s="68" t="s">
        <v>304</v>
      </c>
      <c r="D1149" s="69" t="s">
        <v>63</v>
      </c>
      <c r="E1149" s="157">
        <v>15452.31</v>
      </c>
      <c r="F1149" s="137">
        <f t="shared" ref="F1149" si="140">C1149*E1149</f>
        <v>15452.31</v>
      </c>
      <c r="G1149" s="217" t="s">
        <v>2377</v>
      </c>
    </row>
    <row r="1150" spans="1:7" s="30" customFormat="1" ht="10.5" customHeight="1">
      <c r="A1150" s="59"/>
      <c r="B1150" s="100"/>
      <c r="C1150" s="61"/>
      <c r="D1150" s="62"/>
      <c r="E1150" s="157"/>
      <c r="F1150" s="137"/>
      <c r="G1150" s="217"/>
    </row>
    <row r="1151" spans="1:7" s="30" customFormat="1" ht="14.45">
      <c r="A1151" s="66" t="s">
        <v>170</v>
      </c>
      <c r="B1151" s="67" t="s">
        <v>2444</v>
      </c>
      <c r="C1151" s="68" t="s">
        <v>304</v>
      </c>
      <c r="D1151" s="69" t="s">
        <v>63</v>
      </c>
      <c r="E1151" s="157">
        <v>15452.31</v>
      </c>
      <c r="F1151" s="137">
        <f t="shared" ref="F1151" si="141">C1151*E1151</f>
        <v>15452.31</v>
      </c>
      <c r="G1151" s="217" t="s">
        <v>2377</v>
      </c>
    </row>
    <row r="1152" spans="1:7" s="30" customFormat="1" ht="12.75" customHeight="1">
      <c r="A1152" s="59"/>
      <c r="B1152" s="100"/>
      <c r="C1152" s="61"/>
      <c r="D1152" s="62"/>
      <c r="E1152" s="157"/>
      <c r="F1152" s="137"/>
      <c r="G1152" s="217"/>
    </row>
    <row r="1153" spans="1:7" s="30" customFormat="1" ht="14.45">
      <c r="A1153" s="66" t="s">
        <v>172</v>
      </c>
      <c r="B1153" s="67" t="s">
        <v>2445</v>
      </c>
      <c r="C1153" s="68" t="s">
        <v>304</v>
      </c>
      <c r="D1153" s="69" t="s">
        <v>63</v>
      </c>
      <c r="E1153" s="157">
        <v>15452.31</v>
      </c>
      <c r="F1153" s="137">
        <f t="shared" ref="F1153" si="142">C1153*E1153</f>
        <v>15452.31</v>
      </c>
      <c r="G1153" s="217" t="s">
        <v>2377</v>
      </c>
    </row>
    <row r="1154" spans="1:7" s="30" customFormat="1" ht="11.25" customHeight="1">
      <c r="A1154" s="59"/>
      <c r="B1154" s="100"/>
      <c r="C1154" s="61"/>
      <c r="D1154" s="62"/>
      <c r="E1154" s="157"/>
      <c r="F1154" s="137"/>
      <c r="G1154" s="217"/>
    </row>
    <row r="1155" spans="1:7" s="30" customFormat="1" ht="14.45">
      <c r="A1155" s="66" t="s">
        <v>1615</v>
      </c>
      <c r="B1155" s="67" t="s">
        <v>2446</v>
      </c>
      <c r="C1155" s="68" t="s">
        <v>304</v>
      </c>
      <c r="D1155" s="69" t="s">
        <v>63</v>
      </c>
      <c r="E1155" s="157">
        <v>15452.31</v>
      </c>
      <c r="F1155" s="137">
        <f t="shared" ref="F1155" si="143">C1155*E1155</f>
        <v>15452.31</v>
      </c>
      <c r="G1155" s="217" t="s">
        <v>2377</v>
      </c>
    </row>
    <row r="1156" spans="1:7" s="30" customFormat="1" ht="14.45">
      <c r="A1156" s="59"/>
      <c r="B1156" s="100"/>
      <c r="C1156" s="61"/>
      <c r="D1156" s="62"/>
      <c r="E1156" s="157"/>
      <c r="F1156" s="137"/>
      <c r="G1156" s="217"/>
    </row>
    <row r="1157" spans="1:7" s="30" customFormat="1" ht="14.45">
      <c r="A1157" s="66" t="s">
        <v>1617</v>
      </c>
      <c r="B1157" s="67" t="s">
        <v>2447</v>
      </c>
      <c r="C1157" s="68" t="s">
        <v>304</v>
      </c>
      <c r="D1157" s="69" t="s">
        <v>63</v>
      </c>
      <c r="E1157" s="157">
        <v>15452.31</v>
      </c>
      <c r="F1157" s="137">
        <f t="shared" ref="F1157" si="144">C1157*E1157</f>
        <v>15452.31</v>
      </c>
      <c r="G1157" s="217" t="s">
        <v>2377</v>
      </c>
    </row>
    <row r="1158" spans="1:7" s="30" customFormat="1" ht="28.9">
      <c r="A1158" s="59"/>
      <c r="B1158" s="230" t="s">
        <v>323</v>
      </c>
      <c r="C1158" s="61"/>
      <c r="D1158" s="62"/>
      <c r="E1158" s="157"/>
      <c r="F1158" s="137"/>
      <c r="G1158" s="217"/>
    </row>
    <row r="1159" spans="1:7" s="30" customFormat="1" ht="14.45">
      <c r="A1159" s="71"/>
      <c r="B1159" s="72"/>
      <c r="C1159" s="73"/>
      <c r="D1159" s="74"/>
      <c r="E1159" s="159"/>
      <c r="F1159" s="138"/>
      <c r="G1159" s="226"/>
    </row>
    <row r="1160" spans="1:7" s="30" customFormat="1" ht="14.45">
      <c r="A1160" s="75"/>
      <c r="B1160" s="76"/>
      <c r="C1160" s="77" t="s">
        <v>30</v>
      </c>
      <c r="D1160" s="77"/>
      <c r="E1160" s="160" t="s">
        <v>8</v>
      </c>
      <c r="F1160" s="139">
        <f>SUM(F1114:F1158)</f>
        <v>339950.82</v>
      </c>
      <c r="G1160" s="227"/>
    </row>
    <row r="1161" spans="1:7" s="30" customFormat="1" ht="14.45">
      <c r="A1161" s="75"/>
      <c r="B1161" s="76"/>
      <c r="C1161" s="78"/>
      <c r="D1161" s="79"/>
      <c r="E1161" s="161"/>
      <c r="F1161" s="140"/>
      <c r="G1161" s="228"/>
    </row>
    <row r="1162" spans="1:7" s="30" customFormat="1" ht="14.45">
      <c r="A1162" s="59"/>
      <c r="B1162" s="63"/>
      <c r="C1162" s="61"/>
      <c r="D1162" s="62"/>
      <c r="E1162" s="157"/>
      <c r="F1162" s="137"/>
      <c r="G1162" s="217"/>
    </row>
    <row r="1163" spans="1:7" s="30" customFormat="1" ht="14.45">
      <c r="A1163" s="59"/>
      <c r="B1163" s="64" t="s">
        <v>1950</v>
      </c>
      <c r="C1163" s="61"/>
      <c r="D1163" s="62"/>
      <c r="E1163" s="157"/>
      <c r="F1163" s="137"/>
      <c r="G1163" s="217"/>
    </row>
    <row r="1164" spans="1:7" s="30" customFormat="1" ht="14.45">
      <c r="A1164" s="59"/>
      <c r="B1164" s="100"/>
      <c r="C1164" s="61"/>
      <c r="D1164" s="62"/>
      <c r="E1164" s="157"/>
      <c r="F1164" s="137"/>
      <c r="G1164" s="217"/>
    </row>
    <row r="1165" spans="1:7" s="30" customFormat="1" ht="14.45">
      <c r="A1165" s="66" t="s">
        <v>14</v>
      </c>
      <c r="B1165" s="67" t="s">
        <v>2448</v>
      </c>
      <c r="C1165" s="68" t="s">
        <v>304</v>
      </c>
      <c r="D1165" s="69" t="s">
        <v>63</v>
      </c>
      <c r="E1165" s="157">
        <v>15452.31</v>
      </c>
      <c r="F1165" s="137">
        <f t="shared" ref="F1165" si="145">C1165*E1165</f>
        <v>15452.31</v>
      </c>
      <c r="G1165" s="217" t="s">
        <v>2377</v>
      </c>
    </row>
    <row r="1166" spans="1:7" s="30" customFormat="1" ht="14.45">
      <c r="A1166" s="59"/>
      <c r="B1166" s="100"/>
      <c r="C1166" s="61"/>
      <c r="D1166" s="62"/>
      <c r="E1166" s="157"/>
      <c r="F1166" s="137"/>
      <c r="G1166" s="217"/>
    </row>
    <row r="1167" spans="1:7" s="30" customFormat="1" ht="14.45">
      <c r="A1167" s="66" t="s">
        <v>17</v>
      </c>
      <c r="B1167" s="67" t="s">
        <v>2449</v>
      </c>
      <c r="C1167" s="68" t="s">
        <v>304</v>
      </c>
      <c r="D1167" s="69" t="s">
        <v>63</v>
      </c>
      <c r="E1167" s="157">
        <v>15452.31</v>
      </c>
      <c r="F1167" s="137">
        <f t="shared" ref="F1167" si="146">C1167*E1167</f>
        <v>15452.31</v>
      </c>
      <c r="G1167" s="217" t="s">
        <v>2377</v>
      </c>
    </row>
    <row r="1168" spans="1:7" s="30" customFormat="1" ht="14.45">
      <c r="A1168" s="59"/>
      <c r="B1168" s="100"/>
      <c r="C1168" s="61"/>
      <c r="D1168" s="62"/>
      <c r="E1168" s="157"/>
      <c r="F1168" s="137"/>
      <c r="G1168" s="217"/>
    </row>
    <row r="1169" spans="1:7" s="30" customFormat="1" ht="14.45">
      <c r="A1169" s="66" t="s">
        <v>20</v>
      </c>
      <c r="B1169" s="67" t="s">
        <v>2450</v>
      </c>
      <c r="C1169" s="68" t="s">
        <v>304</v>
      </c>
      <c r="D1169" s="69" t="s">
        <v>63</v>
      </c>
      <c r="E1169" s="157">
        <v>15452.31</v>
      </c>
      <c r="F1169" s="137">
        <f t="shared" ref="F1169" si="147">C1169*E1169</f>
        <v>15452.31</v>
      </c>
      <c r="G1169" s="217" t="s">
        <v>2377</v>
      </c>
    </row>
    <row r="1170" spans="1:7" s="30" customFormat="1" ht="14.45">
      <c r="A1170" s="59"/>
      <c r="B1170" s="100"/>
      <c r="C1170" s="61"/>
      <c r="D1170" s="62"/>
      <c r="E1170" s="157"/>
      <c r="F1170" s="137"/>
      <c r="G1170" s="217"/>
    </row>
    <row r="1171" spans="1:7" s="30" customFormat="1" ht="14.45">
      <c r="A1171" s="66" t="s">
        <v>23</v>
      </c>
      <c r="B1171" s="67" t="s">
        <v>2451</v>
      </c>
      <c r="C1171" s="68" t="s">
        <v>304</v>
      </c>
      <c r="D1171" s="69" t="s">
        <v>63</v>
      </c>
      <c r="E1171" s="157">
        <v>15452.31</v>
      </c>
      <c r="F1171" s="137">
        <f t="shared" ref="F1171" si="148">C1171*E1171</f>
        <v>15452.31</v>
      </c>
      <c r="G1171" s="217" t="s">
        <v>2377</v>
      </c>
    </row>
    <row r="1172" spans="1:7" s="30" customFormat="1" ht="14.45">
      <c r="A1172" s="59"/>
      <c r="B1172" s="100"/>
      <c r="C1172" s="61"/>
      <c r="D1172" s="62"/>
      <c r="E1172" s="157"/>
      <c r="F1172" s="137"/>
      <c r="G1172" s="217"/>
    </row>
    <row r="1173" spans="1:7" s="30" customFormat="1" ht="14.45">
      <c r="A1173" s="66" t="s">
        <v>27</v>
      </c>
      <c r="B1173" s="67" t="s">
        <v>2452</v>
      </c>
      <c r="C1173" s="68" t="s">
        <v>304</v>
      </c>
      <c r="D1173" s="69" t="s">
        <v>63</v>
      </c>
      <c r="E1173" s="157">
        <v>15452.31</v>
      </c>
      <c r="F1173" s="137">
        <f t="shared" ref="F1173" si="149">C1173*E1173</f>
        <v>15452.31</v>
      </c>
      <c r="G1173" s="217" t="s">
        <v>2377</v>
      </c>
    </row>
    <row r="1174" spans="1:7" s="30" customFormat="1" ht="14.45">
      <c r="A1174" s="59"/>
      <c r="B1174" s="100"/>
      <c r="C1174" s="61"/>
      <c r="D1174" s="62"/>
      <c r="E1174" s="157"/>
      <c r="F1174" s="137"/>
      <c r="G1174" s="217"/>
    </row>
    <row r="1175" spans="1:7" s="30" customFormat="1" ht="14.45">
      <c r="A1175" s="66" t="s">
        <v>44</v>
      </c>
      <c r="B1175" s="67" t="s">
        <v>2453</v>
      </c>
      <c r="C1175" s="68" t="s">
        <v>304</v>
      </c>
      <c r="D1175" s="69" t="s">
        <v>63</v>
      </c>
      <c r="E1175" s="157">
        <v>15452.31</v>
      </c>
      <c r="F1175" s="137">
        <f t="shared" ref="F1175" si="150">C1175*E1175</f>
        <v>15452.31</v>
      </c>
      <c r="G1175" s="217" t="s">
        <v>2377</v>
      </c>
    </row>
    <row r="1176" spans="1:7" s="30" customFormat="1" ht="14.45">
      <c r="A1176" s="59"/>
      <c r="B1176" s="100"/>
      <c r="C1176" s="61"/>
      <c r="D1176" s="62"/>
      <c r="E1176" s="157"/>
      <c r="F1176" s="137"/>
      <c r="G1176" s="217"/>
    </row>
    <row r="1177" spans="1:7" s="30" customFormat="1" ht="14.45">
      <c r="A1177" s="66" t="s">
        <v>48</v>
      </c>
      <c r="B1177" s="67" t="s">
        <v>2454</v>
      </c>
      <c r="C1177" s="68" t="s">
        <v>304</v>
      </c>
      <c r="D1177" s="69" t="s">
        <v>63</v>
      </c>
      <c r="E1177" s="157">
        <v>15452.31</v>
      </c>
      <c r="F1177" s="137">
        <f t="shared" ref="F1177" si="151">C1177*E1177</f>
        <v>15452.31</v>
      </c>
      <c r="G1177" s="217" t="s">
        <v>2377</v>
      </c>
    </row>
    <row r="1178" spans="1:7" s="30" customFormat="1" ht="14.45">
      <c r="A1178" s="59"/>
      <c r="B1178" s="100"/>
      <c r="C1178" s="61"/>
      <c r="D1178" s="62"/>
      <c r="E1178" s="157"/>
      <c r="F1178" s="137"/>
      <c r="G1178" s="217"/>
    </row>
    <row r="1179" spans="1:7" s="30" customFormat="1" ht="14.45">
      <c r="A1179" s="66" t="s">
        <v>84</v>
      </c>
      <c r="B1179" s="67" t="s">
        <v>2455</v>
      </c>
      <c r="C1179" s="68" t="s">
        <v>304</v>
      </c>
      <c r="D1179" s="69" t="s">
        <v>63</v>
      </c>
      <c r="E1179" s="157">
        <v>15452.31</v>
      </c>
      <c r="F1179" s="137">
        <f t="shared" ref="F1179" si="152">C1179*E1179</f>
        <v>15452.31</v>
      </c>
      <c r="G1179" s="217" t="s">
        <v>2377</v>
      </c>
    </row>
    <row r="1180" spans="1:7" s="30" customFormat="1" ht="14.45">
      <c r="A1180" s="59"/>
      <c r="B1180" s="100"/>
      <c r="C1180" s="61"/>
      <c r="D1180" s="62"/>
      <c r="E1180" s="157"/>
      <c r="F1180" s="137"/>
      <c r="G1180" s="217"/>
    </row>
    <row r="1181" spans="1:7" s="30" customFormat="1" ht="14.45">
      <c r="A1181" s="66" t="s">
        <v>86</v>
      </c>
      <c r="B1181" s="67" t="s">
        <v>2456</v>
      </c>
      <c r="C1181" s="68" t="s">
        <v>304</v>
      </c>
      <c r="D1181" s="69" t="s">
        <v>63</v>
      </c>
      <c r="E1181" s="157">
        <v>15452.31</v>
      </c>
      <c r="F1181" s="137">
        <f t="shared" ref="F1181" si="153">C1181*E1181</f>
        <v>15452.31</v>
      </c>
      <c r="G1181" s="217" t="s">
        <v>2377</v>
      </c>
    </row>
    <row r="1182" spans="1:7" s="30" customFormat="1" ht="14.45">
      <c r="A1182" s="59"/>
      <c r="B1182" s="100"/>
      <c r="C1182" s="61"/>
      <c r="D1182" s="62"/>
      <c r="E1182" s="157"/>
      <c r="F1182" s="137"/>
      <c r="G1182" s="217"/>
    </row>
    <row r="1183" spans="1:7" s="30" customFormat="1" ht="14.45">
      <c r="A1183" s="66" t="s">
        <v>90</v>
      </c>
      <c r="B1183" s="67" t="s">
        <v>2457</v>
      </c>
      <c r="C1183" s="68" t="s">
        <v>304</v>
      </c>
      <c r="D1183" s="69" t="s">
        <v>63</v>
      </c>
      <c r="E1183" s="157">
        <v>15452.31</v>
      </c>
      <c r="F1183" s="137">
        <f t="shared" ref="F1183" si="154">C1183*E1183</f>
        <v>15452.31</v>
      </c>
      <c r="G1183" s="217" t="s">
        <v>2377</v>
      </c>
    </row>
    <row r="1184" spans="1:7" s="30" customFormat="1" ht="14.45">
      <c r="A1184" s="59"/>
      <c r="B1184" s="100"/>
      <c r="C1184" s="61"/>
      <c r="D1184" s="62"/>
      <c r="E1184" s="157"/>
      <c r="F1184" s="137"/>
      <c r="G1184" s="217"/>
    </row>
    <row r="1185" spans="1:7" s="30" customFormat="1" ht="14.45">
      <c r="A1185" s="66" t="s">
        <v>92</v>
      </c>
      <c r="B1185" s="67" t="s">
        <v>2458</v>
      </c>
      <c r="C1185" s="68" t="s">
        <v>304</v>
      </c>
      <c r="D1185" s="69" t="s">
        <v>63</v>
      </c>
      <c r="E1185" s="157">
        <v>15452.31</v>
      </c>
      <c r="F1185" s="137">
        <f t="shared" ref="F1185" si="155">C1185*E1185</f>
        <v>15452.31</v>
      </c>
      <c r="G1185" s="217" t="s">
        <v>2377</v>
      </c>
    </row>
    <row r="1186" spans="1:7" s="30" customFormat="1" ht="14.45">
      <c r="A1186" s="59"/>
      <c r="B1186" s="100"/>
      <c r="C1186" s="61"/>
      <c r="D1186" s="62"/>
      <c r="E1186" s="157"/>
      <c r="F1186" s="137"/>
      <c r="G1186" s="217"/>
    </row>
    <row r="1187" spans="1:7" s="30" customFormat="1" ht="14.45">
      <c r="A1187" s="66" t="s">
        <v>94</v>
      </c>
      <c r="B1187" s="67" t="s">
        <v>2459</v>
      </c>
      <c r="C1187" s="68" t="s">
        <v>304</v>
      </c>
      <c r="D1187" s="69" t="s">
        <v>63</v>
      </c>
      <c r="E1187" s="157">
        <v>15452.31</v>
      </c>
      <c r="F1187" s="137">
        <f t="shared" ref="F1187" si="156">C1187*E1187</f>
        <v>15452.31</v>
      </c>
      <c r="G1187" s="217" t="s">
        <v>2377</v>
      </c>
    </row>
    <row r="1188" spans="1:7" s="30" customFormat="1" ht="14.45">
      <c r="A1188" s="59"/>
      <c r="B1188" s="100"/>
      <c r="C1188" s="61"/>
      <c r="D1188" s="62"/>
      <c r="E1188" s="157"/>
      <c r="F1188" s="137"/>
      <c r="G1188" s="217"/>
    </row>
    <row r="1189" spans="1:7" s="30" customFormat="1" ht="14.45">
      <c r="A1189" s="66" t="s">
        <v>140</v>
      </c>
      <c r="B1189" s="67" t="s">
        <v>2460</v>
      </c>
      <c r="C1189" s="68" t="s">
        <v>304</v>
      </c>
      <c r="D1189" s="69" t="s">
        <v>63</v>
      </c>
      <c r="E1189" s="157">
        <v>15452.31</v>
      </c>
      <c r="F1189" s="137">
        <f t="shared" ref="F1189" si="157">C1189*E1189</f>
        <v>15452.31</v>
      </c>
      <c r="G1189" s="217" t="s">
        <v>2377</v>
      </c>
    </row>
    <row r="1190" spans="1:7" s="30" customFormat="1" ht="14.45">
      <c r="A1190" s="59"/>
      <c r="B1190" s="100"/>
      <c r="C1190" s="61"/>
      <c r="D1190" s="62"/>
      <c r="E1190" s="157"/>
      <c r="F1190" s="137"/>
      <c r="G1190" s="217"/>
    </row>
    <row r="1191" spans="1:7" s="30" customFormat="1" ht="14.45">
      <c r="A1191" s="66" t="s">
        <v>159</v>
      </c>
      <c r="B1191" s="67" t="s">
        <v>2461</v>
      </c>
      <c r="C1191" s="68" t="s">
        <v>304</v>
      </c>
      <c r="D1191" s="69" t="s">
        <v>63</v>
      </c>
      <c r="E1191" s="157">
        <v>15452.31</v>
      </c>
      <c r="F1191" s="137">
        <f t="shared" ref="F1191" si="158">C1191*E1191</f>
        <v>15452.31</v>
      </c>
      <c r="G1191" s="217" t="s">
        <v>2377</v>
      </c>
    </row>
    <row r="1192" spans="1:7" s="30" customFormat="1" ht="12" customHeight="1">
      <c r="A1192" s="59"/>
      <c r="B1192" s="100"/>
      <c r="C1192" s="61"/>
      <c r="D1192" s="62"/>
      <c r="E1192" s="157"/>
      <c r="F1192" s="137"/>
      <c r="G1192" s="217"/>
    </row>
    <row r="1193" spans="1:7" s="30" customFormat="1" ht="14.45">
      <c r="A1193" s="66" t="s">
        <v>162</v>
      </c>
      <c r="B1193" s="67" t="s">
        <v>2462</v>
      </c>
      <c r="C1193" s="68" t="s">
        <v>304</v>
      </c>
      <c r="D1193" s="69" t="s">
        <v>63</v>
      </c>
      <c r="E1193" s="157">
        <v>15452.31</v>
      </c>
      <c r="F1193" s="137">
        <f t="shared" ref="F1193" si="159">C1193*E1193</f>
        <v>15452.31</v>
      </c>
      <c r="G1193" s="217" t="s">
        <v>2377</v>
      </c>
    </row>
    <row r="1194" spans="1:7" s="30" customFormat="1" ht="12" customHeight="1">
      <c r="A1194" s="59"/>
      <c r="B1194" s="100"/>
      <c r="C1194" s="61"/>
      <c r="D1194" s="62"/>
      <c r="E1194" s="157"/>
      <c r="F1194" s="137"/>
      <c r="G1194" s="217"/>
    </row>
    <row r="1195" spans="1:7" s="30" customFormat="1" ht="14.45">
      <c r="A1195" s="66" t="s">
        <v>164</v>
      </c>
      <c r="B1195" s="67" t="s">
        <v>2463</v>
      </c>
      <c r="C1195" s="68" t="s">
        <v>304</v>
      </c>
      <c r="D1195" s="69" t="s">
        <v>63</v>
      </c>
      <c r="E1195" s="157">
        <v>15452.31</v>
      </c>
      <c r="F1195" s="137">
        <f t="shared" ref="F1195" si="160">C1195*E1195</f>
        <v>15452.31</v>
      </c>
      <c r="G1195" s="217" t="s">
        <v>2377</v>
      </c>
    </row>
    <row r="1196" spans="1:7" s="30" customFormat="1" ht="9.75" customHeight="1">
      <c r="A1196" s="59"/>
      <c r="B1196" s="100"/>
      <c r="C1196" s="61"/>
      <c r="D1196" s="62"/>
      <c r="E1196" s="157"/>
      <c r="F1196" s="137"/>
      <c r="G1196" s="217"/>
    </row>
    <row r="1197" spans="1:7" s="30" customFormat="1" ht="14.45">
      <c r="A1197" s="66" t="s">
        <v>166</v>
      </c>
      <c r="B1197" s="67" t="s">
        <v>2464</v>
      </c>
      <c r="C1197" s="68" t="s">
        <v>304</v>
      </c>
      <c r="D1197" s="69" t="s">
        <v>63</v>
      </c>
      <c r="E1197" s="157">
        <v>15452.31</v>
      </c>
      <c r="F1197" s="137">
        <f t="shared" ref="F1197" si="161">C1197*E1197</f>
        <v>15452.31</v>
      </c>
      <c r="G1197" s="217" t="s">
        <v>2377</v>
      </c>
    </row>
    <row r="1198" spans="1:7" s="30" customFormat="1" ht="9.75" customHeight="1">
      <c r="A1198" s="59"/>
      <c r="B1198" s="100"/>
      <c r="C1198" s="61"/>
      <c r="D1198" s="62"/>
      <c r="E1198" s="157"/>
      <c r="F1198" s="137"/>
      <c r="G1198" s="217"/>
    </row>
    <row r="1199" spans="1:7" s="30" customFormat="1" ht="14.45">
      <c r="A1199" s="66" t="s">
        <v>168</v>
      </c>
      <c r="B1199" s="67" t="s">
        <v>2465</v>
      </c>
      <c r="C1199" s="68" t="s">
        <v>304</v>
      </c>
      <c r="D1199" s="69" t="s">
        <v>63</v>
      </c>
      <c r="E1199" s="157">
        <v>15452.31</v>
      </c>
      <c r="F1199" s="137">
        <f t="shared" ref="F1199" si="162">C1199*E1199</f>
        <v>15452.31</v>
      </c>
      <c r="G1199" s="217" t="s">
        <v>2377</v>
      </c>
    </row>
    <row r="1200" spans="1:7" s="30" customFormat="1" ht="9.75" customHeight="1">
      <c r="A1200" s="59"/>
      <c r="B1200" s="100"/>
      <c r="C1200" s="61"/>
      <c r="D1200" s="62"/>
      <c r="E1200" s="157"/>
      <c r="F1200" s="137"/>
      <c r="G1200" s="217"/>
    </row>
    <row r="1201" spans="1:7" s="30" customFormat="1" ht="14.45">
      <c r="A1201" s="66" t="s">
        <v>170</v>
      </c>
      <c r="B1201" s="67" t="s">
        <v>2466</v>
      </c>
      <c r="C1201" s="68" t="s">
        <v>304</v>
      </c>
      <c r="D1201" s="69" t="s">
        <v>63</v>
      </c>
      <c r="E1201" s="157">
        <v>15452.31</v>
      </c>
      <c r="F1201" s="137">
        <f t="shared" ref="F1201" si="163">C1201*E1201</f>
        <v>15452.31</v>
      </c>
      <c r="G1201" s="217" t="s">
        <v>2377</v>
      </c>
    </row>
    <row r="1202" spans="1:7" s="30" customFormat="1" ht="9" customHeight="1">
      <c r="A1202" s="59"/>
      <c r="B1202" s="100"/>
      <c r="C1202" s="61"/>
      <c r="D1202" s="62"/>
      <c r="E1202" s="157"/>
      <c r="F1202" s="137"/>
      <c r="G1202" s="217"/>
    </row>
    <row r="1203" spans="1:7" s="30" customFormat="1" ht="14.45">
      <c r="A1203" s="66" t="s">
        <v>172</v>
      </c>
      <c r="B1203" s="67" t="s">
        <v>2467</v>
      </c>
      <c r="C1203" s="68" t="s">
        <v>304</v>
      </c>
      <c r="D1203" s="69" t="s">
        <v>63</v>
      </c>
      <c r="E1203" s="157">
        <v>15452.31</v>
      </c>
      <c r="F1203" s="137">
        <f t="shared" ref="F1203" si="164">C1203*E1203</f>
        <v>15452.31</v>
      </c>
      <c r="G1203" s="217" t="s">
        <v>2377</v>
      </c>
    </row>
    <row r="1204" spans="1:7" s="30" customFormat="1" ht="14.45">
      <c r="A1204" s="59"/>
      <c r="B1204" s="100"/>
      <c r="C1204" s="61"/>
      <c r="D1204" s="62"/>
      <c r="E1204" s="157"/>
      <c r="F1204" s="137"/>
      <c r="G1204" s="217"/>
    </row>
    <row r="1205" spans="1:7" s="30" customFormat="1" ht="14.45">
      <c r="A1205" s="66" t="s">
        <v>1615</v>
      </c>
      <c r="B1205" s="67" t="s">
        <v>2468</v>
      </c>
      <c r="C1205" s="68" t="s">
        <v>304</v>
      </c>
      <c r="D1205" s="69" t="s">
        <v>63</v>
      </c>
      <c r="E1205" s="157">
        <v>15452.31</v>
      </c>
      <c r="F1205" s="137">
        <f t="shared" ref="F1205" si="165">C1205*E1205</f>
        <v>15452.31</v>
      </c>
      <c r="G1205" s="217" t="s">
        <v>2377</v>
      </c>
    </row>
    <row r="1206" spans="1:7" s="30" customFormat="1" ht="14.45">
      <c r="A1206" s="59"/>
      <c r="B1206" s="100"/>
      <c r="C1206" s="61"/>
      <c r="D1206" s="62"/>
      <c r="E1206" s="157"/>
      <c r="F1206" s="137"/>
      <c r="G1206" s="217"/>
    </row>
    <row r="1207" spans="1:7" s="30" customFormat="1" ht="14.45">
      <c r="A1207" s="66" t="s">
        <v>1617</v>
      </c>
      <c r="B1207" s="67" t="s">
        <v>2469</v>
      </c>
      <c r="C1207" s="68" t="s">
        <v>304</v>
      </c>
      <c r="D1207" s="69" t="s">
        <v>63</v>
      </c>
      <c r="E1207" s="157">
        <v>15452.31</v>
      </c>
      <c r="F1207" s="137">
        <f t="shared" ref="F1207" si="166">C1207*E1207</f>
        <v>15452.31</v>
      </c>
      <c r="G1207" s="217" t="s">
        <v>2377</v>
      </c>
    </row>
    <row r="1208" spans="1:7" s="30" customFormat="1" ht="28.9">
      <c r="A1208" s="59"/>
      <c r="B1208" s="230" t="s">
        <v>323</v>
      </c>
      <c r="C1208" s="61"/>
      <c r="D1208" s="62"/>
      <c r="E1208" s="157"/>
      <c r="F1208" s="137"/>
      <c r="G1208" s="217"/>
    </row>
    <row r="1209" spans="1:7" s="30" customFormat="1" ht="14.45">
      <c r="A1209" s="71"/>
      <c r="B1209" s="72"/>
      <c r="C1209" s="73"/>
      <c r="D1209" s="74"/>
      <c r="E1209" s="159"/>
      <c r="F1209" s="138"/>
      <c r="G1209" s="226"/>
    </row>
    <row r="1210" spans="1:7" s="30" customFormat="1" ht="14.45">
      <c r="A1210" s="75"/>
      <c r="B1210" s="76"/>
      <c r="C1210" s="77" t="s">
        <v>30</v>
      </c>
      <c r="D1210" s="77"/>
      <c r="E1210" s="160" t="s">
        <v>8</v>
      </c>
      <c r="F1210" s="139">
        <f>SUM(F1164:F1207)</f>
        <v>339950.82</v>
      </c>
      <c r="G1210" s="227"/>
    </row>
    <row r="1211" spans="1:7" s="30" customFormat="1" ht="14.45">
      <c r="A1211" s="75"/>
      <c r="B1211" s="76"/>
      <c r="C1211" s="78"/>
      <c r="D1211" s="79"/>
      <c r="E1211" s="161"/>
      <c r="F1211" s="140"/>
      <c r="G1211" s="228"/>
    </row>
    <row r="1212" spans="1:7" s="30" customFormat="1" ht="14.45">
      <c r="A1212" s="59"/>
      <c r="B1212" s="63"/>
      <c r="C1212" s="61"/>
      <c r="D1212" s="62"/>
      <c r="E1212" s="157"/>
      <c r="F1212" s="137"/>
      <c r="G1212" s="217"/>
    </row>
    <row r="1213" spans="1:7" s="30" customFormat="1" ht="14.45">
      <c r="A1213" s="59"/>
      <c r="B1213" s="64" t="s">
        <v>1950</v>
      </c>
      <c r="C1213" s="61"/>
      <c r="D1213" s="62"/>
      <c r="E1213" s="157"/>
      <c r="F1213" s="137"/>
      <c r="G1213" s="217"/>
    </row>
    <row r="1214" spans="1:7" s="30" customFormat="1" ht="14.45">
      <c r="A1214" s="59"/>
      <c r="B1214" s="100"/>
      <c r="C1214" s="61"/>
      <c r="D1214" s="62"/>
      <c r="E1214" s="157"/>
      <c r="F1214" s="137"/>
      <c r="G1214" s="217"/>
    </row>
    <row r="1215" spans="1:7" s="30" customFormat="1" ht="14.45">
      <c r="A1215" s="66" t="s">
        <v>14</v>
      </c>
      <c r="B1215" s="67" t="s">
        <v>2470</v>
      </c>
      <c r="C1215" s="68" t="s">
        <v>304</v>
      </c>
      <c r="D1215" s="69" t="s">
        <v>63</v>
      </c>
      <c r="E1215" s="157">
        <v>15452.31</v>
      </c>
      <c r="F1215" s="137">
        <f t="shared" ref="F1215" si="167">C1215*E1215</f>
        <v>15452.31</v>
      </c>
      <c r="G1215" s="217" t="s">
        <v>2377</v>
      </c>
    </row>
    <row r="1216" spans="1:7" s="30" customFormat="1" ht="14.45">
      <c r="A1216" s="59"/>
      <c r="B1216" s="100"/>
      <c r="C1216" s="61"/>
      <c r="D1216" s="62"/>
      <c r="E1216" s="157"/>
      <c r="F1216" s="137"/>
      <c r="G1216" s="217"/>
    </row>
    <row r="1217" spans="1:7" s="30" customFormat="1" ht="14.45">
      <c r="A1217" s="66" t="s">
        <v>17</v>
      </c>
      <c r="B1217" s="67" t="s">
        <v>2471</v>
      </c>
      <c r="C1217" s="68" t="s">
        <v>304</v>
      </c>
      <c r="D1217" s="69" t="s">
        <v>63</v>
      </c>
      <c r="E1217" s="157">
        <v>15452.31</v>
      </c>
      <c r="F1217" s="137">
        <f t="shared" ref="F1217" si="168">C1217*E1217</f>
        <v>15452.31</v>
      </c>
      <c r="G1217" s="217" t="s">
        <v>2377</v>
      </c>
    </row>
    <row r="1218" spans="1:7" s="30" customFormat="1" ht="14.45">
      <c r="A1218" s="59"/>
      <c r="B1218" s="100"/>
      <c r="C1218" s="61"/>
      <c r="D1218" s="62"/>
      <c r="E1218" s="157"/>
      <c r="F1218" s="137"/>
      <c r="G1218" s="217"/>
    </row>
    <row r="1219" spans="1:7" s="30" customFormat="1" ht="14.45">
      <c r="A1219" s="66" t="s">
        <v>20</v>
      </c>
      <c r="B1219" s="67" t="s">
        <v>2472</v>
      </c>
      <c r="C1219" s="68" t="s">
        <v>304</v>
      </c>
      <c r="D1219" s="69" t="s">
        <v>63</v>
      </c>
      <c r="E1219" s="157">
        <v>15452.31</v>
      </c>
      <c r="F1219" s="137">
        <f t="shared" ref="F1219" si="169">C1219*E1219</f>
        <v>15452.31</v>
      </c>
      <c r="G1219" s="217" t="s">
        <v>2377</v>
      </c>
    </row>
    <row r="1220" spans="1:7" s="30" customFormat="1" ht="14.45">
      <c r="A1220" s="59"/>
      <c r="B1220" s="100"/>
      <c r="C1220" s="61"/>
      <c r="D1220" s="62"/>
      <c r="E1220" s="157"/>
      <c r="F1220" s="137"/>
      <c r="G1220" s="217"/>
    </row>
    <row r="1221" spans="1:7" s="30" customFormat="1" ht="14.45">
      <c r="A1221" s="66" t="s">
        <v>23</v>
      </c>
      <c r="B1221" s="67" t="s">
        <v>2473</v>
      </c>
      <c r="C1221" s="68" t="s">
        <v>304</v>
      </c>
      <c r="D1221" s="69" t="s">
        <v>63</v>
      </c>
      <c r="E1221" s="157">
        <v>15452.31</v>
      </c>
      <c r="F1221" s="137">
        <f t="shared" ref="F1221" si="170">C1221*E1221</f>
        <v>15452.31</v>
      </c>
      <c r="G1221" s="217" t="s">
        <v>2377</v>
      </c>
    </row>
    <row r="1222" spans="1:7" s="30" customFormat="1" ht="14.45">
      <c r="A1222" s="59"/>
      <c r="B1222" s="100"/>
      <c r="C1222" s="61"/>
      <c r="D1222" s="62"/>
      <c r="E1222" s="157"/>
      <c r="F1222" s="137"/>
      <c r="G1222" s="217"/>
    </row>
    <row r="1223" spans="1:7" s="30" customFormat="1" ht="14.45">
      <c r="A1223" s="66" t="s">
        <v>27</v>
      </c>
      <c r="B1223" s="67" t="s">
        <v>2474</v>
      </c>
      <c r="C1223" s="68" t="s">
        <v>304</v>
      </c>
      <c r="D1223" s="69" t="s">
        <v>63</v>
      </c>
      <c r="E1223" s="157">
        <v>15452.31</v>
      </c>
      <c r="F1223" s="137">
        <f t="shared" ref="F1223" si="171">C1223*E1223</f>
        <v>15452.31</v>
      </c>
      <c r="G1223" s="217" t="s">
        <v>2377</v>
      </c>
    </row>
    <row r="1224" spans="1:7" s="30" customFormat="1" ht="14.45">
      <c r="A1224" s="59"/>
      <c r="B1224" s="100"/>
      <c r="C1224" s="61"/>
      <c r="D1224" s="62"/>
      <c r="E1224" s="157"/>
      <c r="F1224" s="137"/>
      <c r="G1224" s="217"/>
    </row>
    <row r="1225" spans="1:7" s="30" customFormat="1" ht="14.45">
      <c r="A1225" s="66" t="s">
        <v>44</v>
      </c>
      <c r="B1225" s="67" t="s">
        <v>2475</v>
      </c>
      <c r="C1225" s="68" t="s">
        <v>304</v>
      </c>
      <c r="D1225" s="69" t="s">
        <v>63</v>
      </c>
      <c r="E1225" s="157">
        <v>15452.31</v>
      </c>
      <c r="F1225" s="137">
        <f t="shared" ref="F1225" si="172">C1225*E1225</f>
        <v>15452.31</v>
      </c>
      <c r="G1225" s="217" t="s">
        <v>2377</v>
      </c>
    </row>
    <row r="1226" spans="1:7" s="30" customFormat="1" ht="14.45">
      <c r="A1226" s="59"/>
      <c r="B1226" s="100"/>
      <c r="C1226" s="61"/>
      <c r="D1226" s="62"/>
      <c r="E1226" s="157"/>
      <c r="F1226" s="137"/>
      <c r="G1226" s="217"/>
    </row>
    <row r="1227" spans="1:7" s="30" customFormat="1" ht="14.45">
      <c r="A1227" s="66" t="s">
        <v>48</v>
      </c>
      <c r="B1227" s="67" t="s">
        <v>2476</v>
      </c>
      <c r="C1227" s="68" t="s">
        <v>304</v>
      </c>
      <c r="D1227" s="69" t="s">
        <v>63</v>
      </c>
      <c r="E1227" s="157">
        <v>15452.31</v>
      </c>
      <c r="F1227" s="137">
        <f t="shared" ref="F1227" si="173">C1227*E1227</f>
        <v>15452.31</v>
      </c>
      <c r="G1227" s="217" t="s">
        <v>2377</v>
      </c>
    </row>
    <row r="1228" spans="1:7" s="30" customFormat="1" ht="14.45">
      <c r="A1228" s="59"/>
      <c r="B1228" s="100"/>
      <c r="C1228" s="61"/>
      <c r="D1228" s="62"/>
      <c r="E1228" s="157"/>
      <c r="F1228" s="137"/>
      <c r="G1228" s="217"/>
    </row>
    <row r="1229" spans="1:7" s="30" customFormat="1" ht="14.45">
      <c r="A1229" s="66" t="s">
        <v>84</v>
      </c>
      <c r="B1229" s="67" t="s">
        <v>2477</v>
      </c>
      <c r="C1229" s="68" t="s">
        <v>304</v>
      </c>
      <c r="D1229" s="69" t="s">
        <v>63</v>
      </c>
      <c r="E1229" s="157">
        <v>15452.31</v>
      </c>
      <c r="F1229" s="137">
        <f t="shared" ref="F1229" si="174">C1229*E1229</f>
        <v>15452.31</v>
      </c>
      <c r="G1229" s="217" t="s">
        <v>2377</v>
      </c>
    </row>
    <row r="1230" spans="1:7" s="30" customFormat="1" ht="14.45">
      <c r="A1230" s="59"/>
      <c r="B1230" s="100"/>
      <c r="C1230" s="61"/>
      <c r="D1230" s="62"/>
      <c r="E1230" s="157"/>
      <c r="F1230" s="137"/>
      <c r="G1230" s="217"/>
    </row>
    <row r="1231" spans="1:7" s="30" customFormat="1" ht="14.45">
      <c r="A1231" s="66" t="s">
        <v>86</v>
      </c>
      <c r="B1231" s="67" t="s">
        <v>2478</v>
      </c>
      <c r="C1231" s="68" t="s">
        <v>304</v>
      </c>
      <c r="D1231" s="69" t="s">
        <v>63</v>
      </c>
      <c r="E1231" s="157">
        <v>15452.31</v>
      </c>
      <c r="F1231" s="137">
        <f t="shared" ref="F1231" si="175">C1231*E1231</f>
        <v>15452.31</v>
      </c>
      <c r="G1231" s="217" t="s">
        <v>2377</v>
      </c>
    </row>
    <row r="1232" spans="1:7" s="30" customFormat="1" ht="14.45">
      <c r="A1232" s="59"/>
      <c r="B1232" s="100"/>
      <c r="C1232" s="61"/>
      <c r="D1232" s="62"/>
      <c r="E1232" s="157"/>
      <c r="F1232" s="137"/>
      <c r="G1232" s="217"/>
    </row>
    <row r="1233" spans="1:7" s="30" customFormat="1" ht="14.45">
      <c r="A1233" s="66" t="s">
        <v>90</v>
      </c>
      <c r="B1233" s="67" t="s">
        <v>2479</v>
      </c>
      <c r="C1233" s="68" t="s">
        <v>304</v>
      </c>
      <c r="D1233" s="69" t="s">
        <v>63</v>
      </c>
      <c r="E1233" s="157">
        <v>15452.31</v>
      </c>
      <c r="F1233" s="137">
        <f t="shared" ref="F1233" si="176">C1233*E1233</f>
        <v>15452.31</v>
      </c>
      <c r="G1233" s="217" t="s">
        <v>2377</v>
      </c>
    </row>
    <row r="1234" spans="1:7" s="30" customFormat="1" ht="14.45">
      <c r="A1234" s="59"/>
      <c r="B1234" s="100"/>
      <c r="C1234" s="61"/>
      <c r="D1234" s="62"/>
      <c r="E1234" s="157"/>
      <c r="F1234" s="137"/>
      <c r="G1234" s="217"/>
    </row>
    <row r="1235" spans="1:7" s="30" customFormat="1" ht="14.45">
      <c r="A1235" s="66" t="s">
        <v>92</v>
      </c>
      <c r="B1235" s="67" t="s">
        <v>2480</v>
      </c>
      <c r="C1235" s="68" t="s">
        <v>304</v>
      </c>
      <c r="D1235" s="69" t="s">
        <v>63</v>
      </c>
      <c r="E1235" s="157">
        <v>15452.31</v>
      </c>
      <c r="F1235" s="137">
        <f t="shared" ref="F1235" si="177">C1235*E1235</f>
        <v>15452.31</v>
      </c>
      <c r="G1235" s="217" t="s">
        <v>2377</v>
      </c>
    </row>
    <row r="1236" spans="1:7" s="30" customFormat="1" ht="14.45">
      <c r="A1236" s="59"/>
      <c r="B1236" s="100"/>
      <c r="C1236" s="61"/>
      <c r="D1236" s="62"/>
      <c r="E1236" s="157"/>
      <c r="F1236" s="137"/>
      <c r="G1236" s="217"/>
    </row>
    <row r="1237" spans="1:7" s="30" customFormat="1" ht="14.45">
      <c r="A1237" s="66" t="s">
        <v>94</v>
      </c>
      <c r="B1237" s="67" t="s">
        <v>2481</v>
      </c>
      <c r="C1237" s="68" t="s">
        <v>304</v>
      </c>
      <c r="D1237" s="69" t="s">
        <v>63</v>
      </c>
      <c r="E1237" s="157">
        <v>15452.31</v>
      </c>
      <c r="F1237" s="137">
        <f t="shared" ref="F1237" si="178">C1237*E1237</f>
        <v>15452.31</v>
      </c>
      <c r="G1237" s="217" t="s">
        <v>2377</v>
      </c>
    </row>
    <row r="1238" spans="1:7" s="30" customFormat="1" ht="14.45">
      <c r="A1238" s="59"/>
      <c r="B1238" s="100"/>
      <c r="C1238" s="61"/>
      <c r="D1238" s="62"/>
      <c r="E1238" s="157"/>
      <c r="F1238" s="137"/>
      <c r="G1238" s="217"/>
    </row>
    <row r="1239" spans="1:7" s="30" customFormat="1" ht="14.45">
      <c r="A1239" s="66" t="s">
        <v>140</v>
      </c>
      <c r="B1239" s="67" t="s">
        <v>2482</v>
      </c>
      <c r="C1239" s="68" t="s">
        <v>304</v>
      </c>
      <c r="D1239" s="69" t="s">
        <v>63</v>
      </c>
      <c r="E1239" s="157">
        <v>15452.31</v>
      </c>
      <c r="F1239" s="137">
        <f t="shared" ref="F1239" si="179">C1239*E1239</f>
        <v>15452.31</v>
      </c>
      <c r="G1239" s="217" t="s">
        <v>2377</v>
      </c>
    </row>
    <row r="1240" spans="1:7" s="30" customFormat="1" ht="10.5" customHeight="1">
      <c r="A1240" s="59"/>
      <c r="B1240" s="100"/>
      <c r="C1240" s="61"/>
      <c r="D1240" s="62"/>
      <c r="E1240" s="157"/>
      <c r="F1240" s="137"/>
      <c r="G1240" s="217"/>
    </row>
    <row r="1241" spans="1:7" s="30" customFormat="1" ht="14.45">
      <c r="A1241" s="66" t="s">
        <v>159</v>
      </c>
      <c r="B1241" s="67" t="s">
        <v>2483</v>
      </c>
      <c r="C1241" s="68" t="s">
        <v>304</v>
      </c>
      <c r="D1241" s="69" t="s">
        <v>63</v>
      </c>
      <c r="E1241" s="157">
        <v>15452.31</v>
      </c>
      <c r="F1241" s="137">
        <f t="shared" ref="F1241" si="180">C1241*E1241</f>
        <v>15452.31</v>
      </c>
      <c r="G1241" s="217" t="s">
        <v>2377</v>
      </c>
    </row>
    <row r="1242" spans="1:7" s="30" customFormat="1" ht="10.5" customHeight="1">
      <c r="A1242" s="59"/>
      <c r="B1242" s="100"/>
      <c r="C1242" s="61"/>
      <c r="D1242" s="62"/>
      <c r="E1242" s="157"/>
      <c r="F1242" s="137"/>
      <c r="G1242" s="217"/>
    </row>
    <row r="1243" spans="1:7" s="30" customFormat="1" ht="14.45">
      <c r="A1243" s="66" t="s">
        <v>162</v>
      </c>
      <c r="B1243" s="67" t="s">
        <v>2484</v>
      </c>
      <c r="C1243" s="68" t="s">
        <v>304</v>
      </c>
      <c r="D1243" s="69" t="s">
        <v>63</v>
      </c>
      <c r="E1243" s="157">
        <v>15452.31</v>
      </c>
      <c r="F1243" s="137">
        <f t="shared" ref="F1243" si="181">C1243*E1243</f>
        <v>15452.31</v>
      </c>
      <c r="G1243" s="217" t="s">
        <v>2377</v>
      </c>
    </row>
    <row r="1244" spans="1:7" s="30" customFormat="1" ht="8.25" customHeight="1">
      <c r="A1244" s="59"/>
      <c r="B1244" s="100"/>
      <c r="C1244" s="61"/>
      <c r="D1244" s="62"/>
      <c r="E1244" s="157"/>
      <c r="F1244" s="137"/>
      <c r="G1244" s="217"/>
    </row>
    <row r="1245" spans="1:7" s="30" customFormat="1" ht="14.45">
      <c r="A1245" s="66" t="s">
        <v>164</v>
      </c>
      <c r="B1245" s="67" t="s">
        <v>2485</v>
      </c>
      <c r="C1245" s="68" t="s">
        <v>304</v>
      </c>
      <c r="D1245" s="69" t="s">
        <v>63</v>
      </c>
      <c r="E1245" s="157">
        <v>15452.31</v>
      </c>
      <c r="F1245" s="137">
        <f t="shared" ref="F1245" si="182">C1245*E1245</f>
        <v>15452.31</v>
      </c>
      <c r="G1245" s="217" t="s">
        <v>2377</v>
      </c>
    </row>
    <row r="1246" spans="1:7" s="30" customFormat="1" ht="9" customHeight="1">
      <c r="A1246" s="59"/>
      <c r="B1246" s="100"/>
      <c r="C1246" s="61"/>
      <c r="D1246" s="62"/>
      <c r="E1246" s="157"/>
      <c r="F1246" s="137"/>
      <c r="G1246" s="217"/>
    </row>
    <row r="1247" spans="1:7" s="30" customFormat="1" ht="14.45">
      <c r="A1247" s="66" t="s">
        <v>166</v>
      </c>
      <c r="B1247" s="67" t="s">
        <v>2486</v>
      </c>
      <c r="C1247" s="68" t="s">
        <v>304</v>
      </c>
      <c r="D1247" s="69" t="s">
        <v>63</v>
      </c>
      <c r="E1247" s="157">
        <v>15452.31</v>
      </c>
      <c r="F1247" s="137">
        <f t="shared" ref="F1247" si="183">C1247*E1247</f>
        <v>15452.31</v>
      </c>
      <c r="G1247" s="217" t="s">
        <v>2377</v>
      </c>
    </row>
    <row r="1248" spans="1:7" s="30" customFormat="1" ht="11.25" customHeight="1">
      <c r="A1248" s="59"/>
      <c r="B1248" s="100"/>
      <c r="C1248" s="61"/>
      <c r="D1248" s="62"/>
      <c r="E1248" s="157"/>
      <c r="F1248" s="137"/>
      <c r="G1248" s="217"/>
    </row>
    <row r="1249" spans="1:7" s="30" customFormat="1" ht="14.45">
      <c r="A1249" s="66" t="s">
        <v>168</v>
      </c>
      <c r="B1249" s="67" t="s">
        <v>2487</v>
      </c>
      <c r="C1249" s="68" t="s">
        <v>304</v>
      </c>
      <c r="D1249" s="69" t="s">
        <v>63</v>
      </c>
      <c r="E1249" s="157">
        <v>15452.31</v>
      </c>
      <c r="F1249" s="137">
        <f t="shared" ref="F1249" si="184">C1249*E1249</f>
        <v>15452.31</v>
      </c>
      <c r="G1249" s="217" t="s">
        <v>2377</v>
      </c>
    </row>
    <row r="1250" spans="1:7" s="30" customFormat="1" ht="15.75" customHeight="1">
      <c r="A1250" s="59"/>
      <c r="B1250" s="100"/>
      <c r="C1250" s="61"/>
      <c r="D1250" s="62"/>
      <c r="E1250" s="157"/>
      <c r="F1250" s="137"/>
      <c r="G1250" s="217"/>
    </row>
    <row r="1251" spans="1:7" s="30" customFormat="1" ht="14.45">
      <c r="A1251" s="66" t="s">
        <v>170</v>
      </c>
      <c r="B1251" s="67" t="s">
        <v>2488</v>
      </c>
      <c r="C1251" s="68" t="s">
        <v>304</v>
      </c>
      <c r="D1251" s="69" t="s">
        <v>63</v>
      </c>
      <c r="E1251" s="157">
        <v>15452.31</v>
      </c>
      <c r="F1251" s="137">
        <f t="shared" ref="F1251" si="185">C1251*E1251</f>
        <v>15452.31</v>
      </c>
      <c r="G1251" s="217" t="s">
        <v>2377</v>
      </c>
    </row>
    <row r="1252" spans="1:7" s="30" customFormat="1" ht="14.45">
      <c r="A1252" s="59"/>
      <c r="B1252" s="100"/>
      <c r="C1252" s="61"/>
      <c r="D1252" s="62"/>
      <c r="E1252" s="157"/>
      <c r="F1252" s="137"/>
      <c r="G1252" s="217"/>
    </row>
    <row r="1253" spans="1:7" s="30" customFormat="1" ht="14.45">
      <c r="A1253" s="66" t="s">
        <v>172</v>
      </c>
      <c r="B1253" s="67" t="s">
        <v>2489</v>
      </c>
      <c r="C1253" s="68" t="s">
        <v>304</v>
      </c>
      <c r="D1253" s="69" t="s">
        <v>63</v>
      </c>
      <c r="E1253" s="157">
        <v>15452.31</v>
      </c>
      <c r="F1253" s="137">
        <f t="shared" ref="F1253" si="186">C1253*E1253</f>
        <v>15452.31</v>
      </c>
      <c r="G1253" s="217" t="s">
        <v>2377</v>
      </c>
    </row>
    <row r="1254" spans="1:7" s="30" customFormat="1" ht="14.45">
      <c r="A1254" s="59"/>
      <c r="B1254" s="100"/>
      <c r="C1254" s="61"/>
      <c r="D1254" s="62"/>
      <c r="E1254" s="157"/>
      <c r="F1254" s="137"/>
      <c r="G1254" s="217"/>
    </row>
    <row r="1255" spans="1:7" s="30" customFormat="1" ht="14.45">
      <c r="A1255" s="66" t="s">
        <v>1615</v>
      </c>
      <c r="B1255" s="67" t="s">
        <v>2490</v>
      </c>
      <c r="C1255" s="68" t="s">
        <v>304</v>
      </c>
      <c r="D1255" s="69" t="s">
        <v>63</v>
      </c>
      <c r="E1255" s="157">
        <v>15452.31</v>
      </c>
      <c r="F1255" s="137">
        <f t="shared" ref="F1255" si="187">C1255*E1255</f>
        <v>15452.31</v>
      </c>
      <c r="G1255" s="217" t="s">
        <v>2377</v>
      </c>
    </row>
    <row r="1256" spans="1:7" s="30" customFormat="1" ht="14.45">
      <c r="A1256" s="59"/>
      <c r="B1256" s="100"/>
      <c r="C1256" s="61"/>
      <c r="D1256" s="62"/>
      <c r="E1256" s="157"/>
      <c r="F1256" s="137"/>
      <c r="G1256" s="217"/>
    </row>
    <row r="1257" spans="1:7" s="30" customFormat="1" ht="14.45">
      <c r="A1257" s="66" t="s">
        <v>1617</v>
      </c>
      <c r="B1257" s="67" t="s">
        <v>2491</v>
      </c>
      <c r="C1257" s="68" t="s">
        <v>304</v>
      </c>
      <c r="D1257" s="69" t="s">
        <v>63</v>
      </c>
      <c r="E1257" s="157">
        <v>15452.31</v>
      </c>
      <c r="F1257" s="137">
        <f t="shared" ref="F1257" si="188">C1257*E1257</f>
        <v>15452.31</v>
      </c>
      <c r="G1257" s="217" t="s">
        <v>2377</v>
      </c>
    </row>
    <row r="1258" spans="1:7" s="30" customFormat="1" ht="28.9">
      <c r="A1258" s="59"/>
      <c r="B1258" s="230" t="s">
        <v>323</v>
      </c>
      <c r="C1258" s="61"/>
      <c r="D1258" s="62"/>
      <c r="E1258" s="157"/>
      <c r="F1258" s="137"/>
      <c r="G1258" s="217"/>
    </row>
    <row r="1259" spans="1:7" s="30" customFormat="1" ht="14.45">
      <c r="A1259" s="71"/>
      <c r="B1259" s="72"/>
      <c r="C1259" s="73"/>
      <c r="D1259" s="74"/>
      <c r="E1259" s="159"/>
      <c r="F1259" s="143"/>
      <c r="G1259" s="236"/>
    </row>
    <row r="1260" spans="1:7" s="30" customFormat="1" ht="14.45">
      <c r="A1260" s="75"/>
      <c r="B1260" s="76"/>
      <c r="C1260" s="77" t="s">
        <v>30</v>
      </c>
      <c r="D1260" s="77"/>
      <c r="E1260" s="160" t="s">
        <v>8</v>
      </c>
      <c r="F1260" s="139">
        <f>SUM(F1213:F1258)</f>
        <v>339950.82</v>
      </c>
      <c r="G1260" s="227"/>
    </row>
    <row r="1261" spans="1:7" s="30" customFormat="1" ht="14.45">
      <c r="A1261" s="75"/>
      <c r="B1261" s="76"/>
      <c r="C1261" s="78"/>
      <c r="D1261" s="79"/>
      <c r="E1261" s="161"/>
      <c r="F1261" s="140"/>
      <c r="G1261" s="228"/>
    </row>
    <row r="1262" spans="1:7" s="30" customFormat="1" ht="14.45">
      <c r="A1262" s="59"/>
      <c r="B1262" s="63"/>
      <c r="C1262" s="61"/>
      <c r="D1262" s="62"/>
      <c r="E1262" s="157"/>
      <c r="F1262" s="137"/>
      <c r="G1262" s="217"/>
    </row>
    <row r="1263" spans="1:7" s="30" customFormat="1" ht="14.45">
      <c r="A1263" s="59"/>
      <c r="B1263" s="63"/>
      <c r="C1263" s="61"/>
      <c r="D1263" s="62"/>
      <c r="E1263" s="157"/>
      <c r="F1263" s="137"/>
      <c r="G1263" s="217"/>
    </row>
    <row r="1264" spans="1:7" s="30" customFormat="1" ht="14.45">
      <c r="A1264" s="59"/>
      <c r="B1264" s="64" t="s">
        <v>1950</v>
      </c>
      <c r="C1264" s="61"/>
      <c r="D1264" s="62"/>
      <c r="E1264" s="157"/>
      <c r="F1264" s="137"/>
      <c r="G1264" s="217"/>
    </row>
    <row r="1265" spans="1:7" s="30" customFormat="1" ht="14.45">
      <c r="A1265" s="59"/>
      <c r="B1265" s="100"/>
      <c r="C1265" s="61"/>
      <c r="D1265" s="62"/>
      <c r="E1265" s="157"/>
      <c r="F1265" s="137"/>
      <c r="G1265" s="217"/>
    </row>
    <row r="1266" spans="1:7" s="30" customFormat="1" ht="14.45">
      <c r="A1266" s="66" t="s">
        <v>14</v>
      </c>
      <c r="B1266" s="67" t="s">
        <v>2492</v>
      </c>
      <c r="C1266" s="68" t="s">
        <v>304</v>
      </c>
      <c r="D1266" s="69" t="s">
        <v>63</v>
      </c>
      <c r="E1266" s="157">
        <v>15452.31</v>
      </c>
      <c r="F1266" s="137">
        <f t="shared" ref="F1266" si="189">C1266*E1266</f>
        <v>15452.31</v>
      </c>
      <c r="G1266" s="217" t="s">
        <v>2377</v>
      </c>
    </row>
    <row r="1267" spans="1:7" s="30" customFormat="1" ht="14.45">
      <c r="A1267" s="59"/>
      <c r="B1267" s="100"/>
      <c r="C1267" s="61"/>
      <c r="D1267" s="62"/>
      <c r="E1267" s="157"/>
      <c r="F1267" s="137"/>
      <c r="G1267" s="217"/>
    </row>
    <row r="1268" spans="1:7" s="30" customFormat="1" ht="14.45">
      <c r="A1268" s="66" t="s">
        <v>17</v>
      </c>
      <c r="B1268" s="67" t="s">
        <v>2493</v>
      </c>
      <c r="C1268" s="68" t="s">
        <v>304</v>
      </c>
      <c r="D1268" s="69" t="s">
        <v>63</v>
      </c>
      <c r="E1268" s="157">
        <v>15452.31</v>
      </c>
      <c r="F1268" s="137">
        <f t="shared" ref="F1268" si="190">C1268*E1268</f>
        <v>15452.31</v>
      </c>
      <c r="G1268" s="217" t="s">
        <v>2377</v>
      </c>
    </row>
    <row r="1269" spans="1:7" s="30" customFormat="1" ht="14.45">
      <c r="A1269" s="59"/>
      <c r="B1269" s="100"/>
      <c r="C1269" s="61"/>
      <c r="D1269" s="62"/>
      <c r="E1269" s="157"/>
      <c r="F1269" s="137"/>
      <c r="G1269" s="217"/>
    </row>
    <row r="1270" spans="1:7" s="30" customFormat="1" ht="14.45">
      <c r="A1270" s="66" t="s">
        <v>20</v>
      </c>
      <c r="B1270" s="67" t="s">
        <v>2494</v>
      </c>
      <c r="C1270" s="68" t="s">
        <v>304</v>
      </c>
      <c r="D1270" s="69" t="s">
        <v>63</v>
      </c>
      <c r="E1270" s="157">
        <v>15452.31</v>
      </c>
      <c r="F1270" s="137">
        <f t="shared" ref="F1270" si="191">C1270*E1270</f>
        <v>15452.31</v>
      </c>
      <c r="G1270" s="217" t="s">
        <v>2377</v>
      </c>
    </row>
    <row r="1271" spans="1:7" s="30" customFormat="1" ht="14.45">
      <c r="A1271" s="59"/>
      <c r="B1271" s="100"/>
      <c r="C1271" s="61"/>
      <c r="D1271" s="62"/>
      <c r="E1271" s="157"/>
      <c r="F1271" s="137"/>
      <c r="G1271" s="217"/>
    </row>
    <row r="1272" spans="1:7" s="30" customFormat="1" ht="14.45">
      <c r="A1272" s="66"/>
      <c r="B1272" s="98" t="s">
        <v>2495</v>
      </c>
      <c r="C1272" s="68"/>
      <c r="D1272" s="69"/>
      <c r="E1272" s="157"/>
      <c r="F1272" s="137"/>
      <c r="G1272" s="217"/>
    </row>
    <row r="1273" spans="1:7" s="30" customFormat="1" ht="14.45">
      <c r="A1273" s="59"/>
      <c r="B1273" s="100"/>
      <c r="C1273" s="61"/>
      <c r="D1273" s="62"/>
      <c r="E1273" s="157"/>
      <c r="F1273" s="137"/>
      <c r="G1273" s="217"/>
    </row>
    <row r="1274" spans="1:7" s="30" customFormat="1" ht="14.45">
      <c r="A1274" s="66" t="s">
        <v>23</v>
      </c>
      <c r="B1274" s="67" t="s">
        <v>2496</v>
      </c>
      <c r="C1274" s="68" t="s">
        <v>304</v>
      </c>
      <c r="D1274" s="69" t="s">
        <v>63</v>
      </c>
      <c r="E1274" s="157">
        <v>11562.25</v>
      </c>
      <c r="F1274" s="137">
        <f t="shared" ref="F1274" si="192">C1274*E1274</f>
        <v>11562.25</v>
      </c>
      <c r="G1274" s="217"/>
    </row>
    <row r="1275" spans="1:7" s="30" customFormat="1" ht="14.45">
      <c r="A1275" s="59"/>
      <c r="B1275" s="100"/>
      <c r="C1275" s="61"/>
      <c r="D1275" s="62"/>
      <c r="E1275" s="157"/>
      <c r="F1275" s="137"/>
      <c r="G1275" s="217"/>
    </row>
    <row r="1276" spans="1:7" s="30" customFormat="1" ht="14.45">
      <c r="A1276" s="66" t="s">
        <v>27</v>
      </c>
      <c r="B1276" s="67" t="s">
        <v>2497</v>
      </c>
      <c r="C1276" s="68" t="s">
        <v>304</v>
      </c>
      <c r="D1276" s="69" t="s">
        <v>63</v>
      </c>
      <c r="E1276" s="157">
        <v>11562.25</v>
      </c>
      <c r="F1276" s="137">
        <f t="shared" ref="F1276" si="193">C1276*E1276</f>
        <v>11562.25</v>
      </c>
      <c r="G1276" s="217"/>
    </row>
    <row r="1277" spans="1:7" s="30" customFormat="1" ht="14.45">
      <c r="A1277" s="59"/>
      <c r="B1277" s="100"/>
      <c r="C1277" s="61"/>
      <c r="D1277" s="62"/>
      <c r="E1277" s="157"/>
      <c r="F1277" s="137"/>
      <c r="G1277" s="217"/>
    </row>
    <row r="1278" spans="1:7" s="30" customFormat="1" ht="14.45">
      <c r="A1278" s="66" t="s">
        <v>44</v>
      </c>
      <c r="B1278" s="67" t="s">
        <v>2498</v>
      </c>
      <c r="C1278" s="68" t="s">
        <v>304</v>
      </c>
      <c r="D1278" s="69" t="s">
        <v>63</v>
      </c>
      <c r="E1278" s="157">
        <v>12189.54</v>
      </c>
      <c r="F1278" s="137">
        <f t="shared" ref="F1278" si="194">C1278*E1278</f>
        <v>12189.54</v>
      </c>
      <c r="G1278" s="217"/>
    </row>
    <row r="1279" spans="1:7" s="30" customFormat="1" ht="14.45">
      <c r="A1279" s="59"/>
      <c r="B1279" s="100"/>
      <c r="C1279" s="61"/>
      <c r="D1279" s="62"/>
      <c r="E1279" s="157"/>
      <c r="F1279" s="137"/>
      <c r="G1279" s="217"/>
    </row>
    <row r="1280" spans="1:7" s="30" customFormat="1" ht="14.45">
      <c r="A1280" s="66" t="s">
        <v>48</v>
      </c>
      <c r="B1280" s="67" t="s">
        <v>2499</v>
      </c>
      <c r="C1280" s="68" t="s">
        <v>304</v>
      </c>
      <c r="D1280" s="69" t="s">
        <v>63</v>
      </c>
      <c r="E1280" s="157">
        <v>12002.14</v>
      </c>
      <c r="F1280" s="137">
        <f t="shared" ref="F1280" si="195">C1280*E1280</f>
        <v>12002.14</v>
      </c>
      <c r="G1280" s="217"/>
    </row>
    <row r="1281" spans="1:7" s="30" customFormat="1" ht="14.45">
      <c r="A1281" s="59"/>
      <c r="B1281" s="100"/>
      <c r="C1281" s="61"/>
      <c r="D1281" s="62"/>
      <c r="E1281" s="157"/>
      <c r="F1281" s="137"/>
      <c r="G1281" s="217"/>
    </row>
    <row r="1282" spans="1:7" s="30" customFormat="1" ht="14.45">
      <c r="A1282" s="66" t="s">
        <v>84</v>
      </c>
      <c r="B1282" s="67" t="s">
        <v>2500</v>
      </c>
      <c r="C1282" s="68" t="s">
        <v>304</v>
      </c>
      <c r="D1282" s="69" t="s">
        <v>63</v>
      </c>
      <c r="E1282" s="157">
        <v>11562.25</v>
      </c>
      <c r="F1282" s="137">
        <f t="shared" ref="F1282" si="196">C1282*E1282</f>
        <v>11562.25</v>
      </c>
      <c r="G1282" s="217"/>
    </row>
    <row r="1283" spans="1:7" s="30" customFormat="1" ht="14.45">
      <c r="A1283" s="59"/>
      <c r="B1283" s="100"/>
      <c r="C1283" s="61"/>
      <c r="D1283" s="62"/>
      <c r="E1283" s="157"/>
      <c r="F1283" s="137"/>
      <c r="G1283" s="217"/>
    </row>
    <row r="1284" spans="1:7" s="30" customFormat="1" ht="14.45">
      <c r="A1284" s="66" t="s">
        <v>86</v>
      </c>
      <c r="B1284" s="67" t="s">
        <v>2501</v>
      </c>
      <c r="C1284" s="68" t="s">
        <v>304</v>
      </c>
      <c r="D1284" s="69" t="s">
        <v>63</v>
      </c>
      <c r="E1284" s="157">
        <v>11562.25</v>
      </c>
      <c r="F1284" s="137">
        <f t="shared" ref="F1284" si="197">C1284*E1284</f>
        <v>11562.25</v>
      </c>
      <c r="G1284" s="217"/>
    </row>
    <row r="1285" spans="1:7" s="30" customFormat="1" ht="14.45">
      <c r="A1285" s="59"/>
      <c r="B1285" s="100"/>
      <c r="C1285" s="61"/>
      <c r="D1285" s="62"/>
      <c r="E1285" s="157"/>
      <c r="F1285" s="137"/>
      <c r="G1285" s="217"/>
    </row>
    <row r="1286" spans="1:7" s="30" customFormat="1" ht="14.45">
      <c r="A1286" s="66" t="s">
        <v>90</v>
      </c>
      <c r="B1286" s="67" t="s">
        <v>2502</v>
      </c>
      <c r="C1286" s="68" t="s">
        <v>304</v>
      </c>
      <c r="D1286" s="69" t="s">
        <v>63</v>
      </c>
      <c r="E1286" s="157">
        <v>12459.86</v>
      </c>
      <c r="F1286" s="137">
        <f t="shared" ref="F1286:F1306" si="198">C1286*E1286</f>
        <v>12459.86</v>
      </c>
      <c r="G1286" s="217"/>
    </row>
    <row r="1287" spans="1:7" s="30" customFormat="1" ht="14.45">
      <c r="A1287" s="59"/>
      <c r="B1287" s="100"/>
      <c r="C1287" s="61"/>
      <c r="D1287" s="62"/>
      <c r="E1287" s="157"/>
      <c r="F1287" s="137"/>
      <c r="G1287" s="217"/>
    </row>
    <row r="1288" spans="1:7" s="30" customFormat="1" ht="14.45">
      <c r="A1288" s="66" t="s">
        <v>92</v>
      </c>
      <c r="B1288" s="67" t="s">
        <v>2503</v>
      </c>
      <c r="C1288" s="68" t="s">
        <v>304</v>
      </c>
      <c r="D1288" s="69" t="s">
        <v>63</v>
      </c>
      <c r="E1288" s="157">
        <v>12277.71</v>
      </c>
      <c r="F1288" s="137">
        <f t="shared" si="198"/>
        <v>12277.71</v>
      </c>
      <c r="G1288" s="217"/>
    </row>
    <row r="1289" spans="1:7" s="30" customFormat="1" ht="14.45">
      <c r="A1289" s="59"/>
      <c r="B1289" s="100"/>
      <c r="C1289" s="61"/>
      <c r="D1289" s="62"/>
      <c r="E1289" s="157"/>
      <c r="F1289" s="137"/>
      <c r="G1289" s="217"/>
    </row>
    <row r="1290" spans="1:7" s="30" customFormat="1" ht="14.45">
      <c r="A1290" s="66" t="s">
        <v>94</v>
      </c>
      <c r="B1290" s="67" t="s">
        <v>2504</v>
      </c>
      <c r="C1290" s="68" t="s">
        <v>304</v>
      </c>
      <c r="D1290" s="69" t="s">
        <v>63</v>
      </c>
      <c r="E1290" s="157">
        <v>11562.25</v>
      </c>
      <c r="F1290" s="137">
        <f t="shared" si="198"/>
        <v>11562.25</v>
      </c>
      <c r="G1290" s="217"/>
    </row>
    <row r="1291" spans="1:7" s="30" customFormat="1" ht="14.45">
      <c r="A1291" s="59"/>
      <c r="B1291" s="100"/>
      <c r="C1291" s="61"/>
      <c r="D1291" s="62"/>
      <c r="E1291" s="157"/>
      <c r="F1291" s="137"/>
      <c r="G1291" s="217"/>
    </row>
    <row r="1292" spans="1:7" s="30" customFormat="1" ht="14.45">
      <c r="A1292" s="66" t="s">
        <v>140</v>
      </c>
      <c r="B1292" s="67" t="s">
        <v>2505</v>
      </c>
      <c r="C1292" s="68" t="s">
        <v>304</v>
      </c>
      <c r="D1292" s="69" t="s">
        <v>63</v>
      </c>
      <c r="E1292" s="157">
        <v>11562.25</v>
      </c>
      <c r="F1292" s="137">
        <f t="shared" si="198"/>
        <v>11562.25</v>
      </c>
      <c r="G1292" s="217"/>
    </row>
    <row r="1293" spans="1:7" s="30" customFormat="1" ht="14.45">
      <c r="A1293" s="59"/>
      <c r="B1293" s="100"/>
      <c r="C1293" s="61"/>
      <c r="D1293" s="62"/>
      <c r="E1293" s="157"/>
      <c r="F1293" s="137"/>
      <c r="G1293" s="217"/>
    </row>
    <row r="1294" spans="1:7" s="30" customFormat="1" ht="14.45">
      <c r="A1294" s="66" t="s">
        <v>159</v>
      </c>
      <c r="B1294" s="67" t="s">
        <v>2506</v>
      </c>
      <c r="C1294" s="68" t="s">
        <v>304</v>
      </c>
      <c r="D1294" s="69" t="s">
        <v>63</v>
      </c>
      <c r="E1294" s="157">
        <v>11562.25</v>
      </c>
      <c r="F1294" s="137">
        <f t="shared" si="198"/>
        <v>11562.25</v>
      </c>
      <c r="G1294" s="217"/>
    </row>
    <row r="1295" spans="1:7" s="30" customFormat="1" ht="14.45">
      <c r="A1295" s="59"/>
      <c r="B1295" s="100"/>
      <c r="C1295" s="61"/>
      <c r="D1295" s="62"/>
      <c r="E1295" s="157"/>
      <c r="F1295" s="137"/>
      <c r="G1295" s="217"/>
    </row>
    <row r="1296" spans="1:7" s="30" customFormat="1" ht="14.45">
      <c r="A1296" s="66" t="s">
        <v>162</v>
      </c>
      <c r="B1296" s="67" t="s">
        <v>2507</v>
      </c>
      <c r="C1296" s="68" t="s">
        <v>304</v>
      </c>
      <c r="D1296" s="69" t="s">
        <v>63</v>
      </c>
      <c r="E1296" s="157">
        <v>11562.25</v>
      </c>
      <c r="F1296" s="137">
        <f t="shared" si="198"/>
        <v>11562.25</v>
      </c>
      <c r="G1296" s="217"/>
    </row>
    <row r="1297" spans="1:7" s="30" customFormat="1" ht="14.45">
      <c r="A1297" s="59"/>
      <c r="B1297" s="100"/>
      <c r="C1297" s="61"/>
      <c r="D1297" s="62"/>
      <c r="E1297" s="157"/>
      <c r="F1297" s="137"/>
      <c r="G1297" s="217"/>
    </row>
    <row r="1298" spans="1:7" s="30" customFormat="1" ht="14.45">
      <c r="A1298" s="66" t="s">
        <v>164</v>
      </c>
      <c r="B1298" s="67" t="s">
        <v>2508</v>
      </c>
      <c r="C1298" s="68" t="s">
        <v>304</v>
      </c>
      <c r="D1298" s="69" t="s">
        <v>63</v>
      </c>
      <c r="E1298" s="157">
        <v>11562.25</v>
      </c>
      <c r="F1298" s="137">
        <f t="shared" si="198"/>
        <v>11562.25</v>
      </c>
      <c r="G1298" s="217"/>
    </row>
    <row r="1299" spans="1:7" s="30" customFormat="1" ht="14.45">
      <c r="A1299" s="59"/>
      <c r="B1299" s="100"/>
      <c r="C1299" s="61"/>
      <c r="D1299" s="62"/>
      <c r="E1299" s="157"/>
      <c r="F1299" s="137"/>
      <c r="G1299" s="217"/>
    </row>
    <row r="1300" spans="1:7" s="30" customFormat="1" ht="14.45">
      <c r="A1300" s="66" t="s">
        <v>166</v>
      </c>
      <c r="B1300" s="67" t="s">
        <v>2509</v>
      </c>
      <c r="C1300" s="68" t="s">
        <v>304</v>
      </c>
      <c r="D1300" s="69" t="s">
        <v>63</v>
      </c>
      <c r="E1300" s="157">
        <v>12459.86</v>
      </c>
      <c r="F1300" s="137">
        <f t="shared" si="198"/>
        <v>12459.86</v>
      </c>
      <c r="G1300" s="217"/>
    </row>
    <row r="1301" spans="1:7" s="30" customFormat="1" ht="14.45">
      <c r="A1301" s="59"/>
      <c r="B1301" s="100"/>
      <c r="C1301" s="61"/>
      <c r="D1301" s="62"/>
      <c r="E1301" s="157"/>
      <c r="F1301" s="137"/>
      <c r="G1301" s="217"/>
    </row>
    <row r="1302" spans="1:7" s="30" customFormat="1" ht="14.45">
      <c r="A1302" s="66" t="s">
        <v>168</v>
      </c>
      <c r="B1302" s="67" t="s">
        <v>2510</v>
      </c>
      <c r="C1302" s="68" t="s">
        <v>304</v>
      </c>
      <c r="D1302" s="69" t="s">
        <v>63</v>
      </c>
      <c r="E1302" s="157">
        <v>11562.25</v>
      </c>
      <c r="F1302" s="137">
        <f t="shared" si="198"/>
        <v>11562.25</v>
      </c>
      <c r="G1302" s="217"/>
    </row>
    <row r="1303" spans="1:7" s="30" customFormat="1" ht="14.45">
      <c r="A1303" s="59"/>
      <c r="B1303" s="100"/>
      <c r="C1303" s="61"/>
      <c r="D1303" s="62"/>
      <c r="E1303" s="157"/>
      <c r="F1303" s="137"/>
      <c r="G1303" s="217"/>
    </row>
    <row r="1304" spans="1:7" s="30" customFormat="1" ht="14.45">
      <c r="A1304" s="66" t="s">
        <v>170</v>
      </c>
      <c r="B1304" s="67" t="s">
        <v>2511</v>
      </c>
      <c r="C1304" s="68" t="s">
        <v>304</v>
      </c>
      <c r="D1304" s="69" t="s">
        <v>63</v>
      </c>
      <c r="E1304" s="157">
        <v>11562.25</v>
      </c>
      <c r="F1304" s="137">
        <f t="shared" si="198"/>
        <v>11562.25</v>
      </c>
      <c r="G1304" s="217"/>
    </row>
    <row r="1305" spans="1:7" s="30" customFormat="1" ht="14.45">
      <c r="A1305" s="59"/>
      <c r="B1305" s="100"/>
      <c r="C1305" s="61"/>
      <c r="D1305" s="62"/>
      <c r="E1305" s="157"/>
      <c r="F1305" s="137"/>
      <c r="G1305" s="217"/>
    </row>
    <row r="1306" spans="1:7" s="30" customFormat="1" ht="14.45">
      <c r="A1306" s="66" t="s">
        <v>172</v>
      </c>
      <c r="B1306" s="67" t="s">
        <v>2512</v>
      </c>
      <c r="C1306" s="68" t="s">
        <v>304</v>
      </c>
      <c r="D1306" s="69" t="s">
        <v>63</v>
      </c>
      <c r="E1306" s="157">
        <v>11562.25</v>
      </c>
      <c r="F1306" s="137">
        <f t="shared" si="198"/>
        <v>11562.25</v>
      </c>
      <c r="G1306" s="217"/>
    </row>
    <row r="1307" spans="1:7" s="30" customFormat="1" ht="14.45">
      <c r="A1307" s="66"/>
      <c r="B1307" s="67"/>
      <c r="C1307" s="68"/>
      <c r="D1307" s="69"/>
      <c r="E1307" s="157"/>
      <c r="F1307" s="137"/>
      <c r="G1307" s="217"/>
    </row>
    <row r="1308" spans="1:7" s="30" customFormat="1" ht="28.9">
      <c r="A1308" s="66"/>
      <c r="B1308" s="230" t="s">
        <v>323</v>
      </c>
      <c r="C1308" s="68"/>
      <c r="D1308" s="69"/>
      <c r="E1308" s="157"/>
      <c r="F1308" s="137"/>
      <c r="G1308" s="217"/>
    </row>
    <row r="1309" spans="1:7" s="30" customFormat="1" ht="14.45">
      <c r="A1309" s="71"/>
      <c r="B1309" s="72"/>
      <c r="C1309" s="73"/>
      <c r="D1309" s="74"/>
      <c r="E1309" s="159"/>
      <c r="F1309" s="138"/>
      <c r="G1309" s="226"/>
    </row>
    <row r="1310" spans="1:7" s="30" customFormat="1" ht="14.45">
      <c r="A1310" s="75"/>
      <c r="B1310" s="76"/>
      <c r="C1310" s="77" t="s">
        <v>30</v>
      </c>
      <c r="D1310" s="77"/>
      <c r="E1310" s="160" t="s">
        <v>8</v>
      </c>
      <c r="F1310" s="139">
        <f>SUM(F1265:F1306)</f>
        <v>246493.03999999998</v>
      </c>
      <c r="G1310" s="227"/>
    </row>
    <row r="1311" spans="1:7" s="30" customFormat="1" ht="14.45">
      <c r="A1311" s="75"/>
      <c r="B1311" s="76"/>
      <c r="C1311" s="78"/>
      <c r="D1311" s="79"/>
      <c r="E1311" s="161"/>
      <c r="F1311" s="140"/>
      <c r="G1311" s="228"/>
    </row>
    <row r="1312" spans="1:7" s="30" customFormat="1" ht="14.45">
      <c r="A1312" s="59"/>
      <c r="B1312" s="63"/>
      <c r="C1312" s="61"/>
      <c r="D1312" s="62"/>
      <c r="E1312" s="157"/>
      <c r="F1312" s="137"/>
      <c r="G1312" s="217"/>
    </row>
    <row r="1313" spans="1:7" s="30" customFormat="1" ht="14.45">
      <c r="A1313" s="59"/>
      <c r="B1313" s="64" t="s">
        <v>1950</v>
      </c>
      <c r="C1313" s="61"/>
      <c r="D1313" s="62"/>
      <c r="E1313" s="157"/>
      <c r="F1313" s="137"/>
      <c r="G1313" s="217"/>
    </row>
    <row r="1314" spans="1:7" s="30" customFormat="1" ht="14.45">
      <c r="A1314" s="59"/>
      <c r="B1314" s="100"/>
      <c r="C1314" s="61"/>
      <c r="D1314" s="62"/>
      <c r="E1314" s="157"/>
      <c r="F1314" s="137"/>
      <c r="G1314" s="217"/>
    </row>
    <row r="1315" spans="1:7" s="30" customFormat="1" ht="14.45">
      <c r="A1315" s="66" t="s">
        <v>14</v>
      </c>
      <c r="B1315" s="67" t="s">
        <v>2513</v>
      </c>
      <c r="C1315" s="68" t="s">
        <v>304</v>
      </c>
      <c r="D1315" s="69" t="s">
        <v>63</v>
      </c>
      <c r="E1315" s="157">
        <v>11562.25</v>
      </c>
      <c r="F1315" s="137">
        <f t="shared" ref="F1315" si="199">C1315*E1315</f>
        <v>11562.25</v>
      </c>
      <c r="G1315" s="217"/>
    </row>
    <row r="1316" spans="1:7" s="30" customFormat="1" ht="14.45">
      <c r="A1316" s="59"/>
      <c r="B1316" s="100"/>
      <c r="C1316" s="61"/>
      <c r="D1316" s="62"/>
      <c r="E1316" s="157"/>
      <c r="F1316" s="137"/>
      <c r="G1316" s="217"/>
    </row>
    <row r="1317" spans="1:7" s="30" customFormat="1" ht="14.45">
      <c r="A1317" s="66" t="s">
        <v>17</v>
      </c>
      <c r="B1317" s="67" t="s">
        <v>2514</v>
      </c>
      <c r="C1317" s="68" t="s">
        <v>304</v>
      </c>
      <c r="D1317" s="69" t="s">
        <v>63</v>
      </c>
      <c r="E1317" s="157">
        <v>12002.14</v>
      </c>
      <c r="F1317" s="137">
        <f t="shared" ref="F1317" si="200">C1317*E1317</f>
        <v>12002.14</v>
      </c>
      <c r="G1317" s="217"/>
    </row>
    <row r="1318" spans="1:7" s="30" customFormat="1" ht="14.45">
      <c r="A1318" s="59"/>
      <c r="B1318" s="100"/>
      <c r="C1318" s="61"/>
      <c r="D1318" s="62"/>
      <c r="E1318" s="157"/>
      <c r="F1318" s="137"/>
      <c r="G1318" s="217"/>
    </row>
    <row r="1319" spans="1:7" s="30" customFormat="1" ht="14.45">
      <c r="A1319" s="66" t="s">
        <v>20</v>
      </c>
      <c r="B1319" s="67" t="s">
        <v>2515</v>
      </c>
      <c r="C1319" s="68" t="s">
        <v>304</v>
      </c>
      <c r="D1319" s="69" t="s">
        <v>63</v>
      </c>
      <c r="E1319" s="157">
        <v>11562.25</v>
      </c>
      <c r="F1319" s="137">
        <f t="shared" ref="F1319" si="201">C1319*E1319</f>
        <v>11562.25</v>
      </c>
      <c r="G1319" s="217"/>
    </row>
    <row r="1320" spans="1:7" s="30" customFormat="1" ht="14.45">
      <c r="A1320" s="59"/>
      <c r="B1320" s="100"/>
      <c r="C1320" s="61"/>
      <c r="D1320" s="62"/>
      <c r="E1320" s="157"/>
      <c r="F1320" s="137"/>
      <c r="G1320" s="217"/>
    </row>
    <row r="1321" spans="1:7" s="30" customFormat="1" ht="14.45">
      <c r="A1321" s="66" t="s">
        <v>23</v>
      </c>
      <c r="B1321" s="67" t="s">
        <v>2516</v>
      </c>
      <c r="C1321" s="68" t="s">
        <v>304</v>
      </c>
      <c r="D1321" s="69" t="s">
        <v>63</v>
      </c>
      <c r="E1321" s="157">
        <v>11562.25</v>
      </c>
      <c r="F1321" s="137">
        <f t="shared" ref="F1321" si="202">C1321*E1321</f>
        <v>11562.25</v>
      </c>
      <c r="G1321" s="217"/>
    </row>
    <row r="1322" spans="1:7" s="30" customFormat="1" ht="14.45">
      <c r="A1322" s="59"/>
      <c r="B1322" s="100"/>
      <c r="C1322" s="61"/>
      <c r="D1322" s="62"/>
      <c r="E1322" s="157"/>
      <c r="F1322" s="137"/>
      <c r="G1322" s="217"/>
    </row>
    <row r="1323" spans="1:7" s="30" customFormat="1" ht="14.45">
      <c r="A1323" s="66" t="s">
        <v>27</v>
      </c>
      <c r="B1323" s="67" t="s">
        <v>2517</v>
      </c>
      <c r="C1323" s="68" t="s">
        <v>304</v>
      </c>
      <c r="D1323" s="69" t="s">
        <v>63</v>
      </c>
      <c r="E1323" s="157">
        <v>11562.25</v>
      </c>
      <c r="F1323" s="137">
        <f t="shared" ref="F1323" si="203">C1323*E1323</f>
        <v>11562.25</v>
      </c>
      <c r="G1323" s="217"/>
    </row>
    <row r="1324" spans="1:7" s="30" customFormat="1" ht="14.45">
      <c r="A1324" s="59"/>
      <c r="B1324" s="100"/>
      <c r="C1324" s="61"/>
      <c r="D1324" s="62"/>
      <c r="E1324" s="157"/>
      <c r="F1324" s="137"/>
      <c r="G1324" s="217"/>
    </row>
    <row r="1325" spans="1:7" s="30" customFormat="1" ht="14.45">
      <c r="A1325" s="66" t="s">
        <v>44</v>
      </c>
      <c r="B1325" s="67" t="s">
        <v>2518</v>
      </c>
      <c r="C1325" s="68" t="s">
        <v>304</v>
      </c>
      <c r="D1325" s="69" t="s">
        <v>63</v>
      </c>
      <c r="E1325" s="157">
        <v>11562.25</v>
      </c>
      <c r="F1325" s="137">
        <f t="shared" ref="F1325" si="204">C1325*E1325</f>
        <v>11562.25</v>
      </c>
      <c r="G1325" s="217"/>
    </row>
    <row r="1326" spans="1:7" s="30" customFormat="1" ht="14.45">
      <c r="A1326" s="59"/>
      <c r="B1326" s="100"/>
      <c r="C1326" s="61"/>
      <c r="D1326" s="62"/>
      <c r="E1326" s="157"/>
      <c r="F1326" s="137"/>
      <c r="G1326" s="217"/>
    </row>
    <row r="1327" spans="1:7" s="30" customFormat="1" ht="14.45">
      <c r="A1327" s="66" t="s">
        <v>48</v>
      </c>
      <c r="B1327" s="67" t="s">
        <v>2519</v>
      </c>
      <c r="C1327" s="68" t="s">
        <v>304</v>
      </c>
      <c r="D1327" s="69" t="s">
        <v>63</v>
      </c>
      <c r="E1327" s="157">
        <v>11562.25</v>
      </c>
      <c r="F1327" s="137">
        <f t="shared" ref="F1327" si="205">C1327*E1327</f>
        <v>11562.25</v>
      </c>
      <c r="G1327" s="217"/>
    </row>
    <row r="1328" spans="1:7" s="30" customFormat="1" ht="14.45">
      <c r="A1328" s="59"/>
      <c r="B1328" s="100"/>
      <c r="C1328" s="61"/>
      <c r="D1328" s="62"/>
      <c r="E1328" s="157"/>
      <c r="F1328" s="137"/>
      <c r="G1328" s="217"/>
    </row>
    <row r="1329" spans="1:7" s="30" customFormat="1" ht="14.45">
      <c r="A1329" s="66" t="s">
        <v>84</v>
      </c>
      <c r="B1329" s="67" t="s">
        <v>2520</v>
      </c>
      <c r="C1329" s="68" t="s">
        <v>304</v>
      </c>
      <c r="D1329" s="69" t="s">
        <v>63</v>
      </c>
      <c r="E1329" s="157">
        <v>11562.25</v>
      </c>
      <c r="F1329" s="137">
        <f t="shared" ref="F1329" si="206">C1329*E1329</f>
        <v>11562.25</v>
      </c>
      <c r="G1329" s="217"/>
    </row>
    <row r="1330" spans="1:7" s="30" customFormat="1" ht="14.45">
      <c r="A1330" s="59"/>
      <c r="B1330" s="100"/>
      <c r="C1330" s="61"/>
      <c r="D1330" s="62"/>
      <c r="E1330" s="157"/>
      <c r="F1330" s="137"/>
      <c r="G1330" s="217"/>
    </row>
    <row r="1331" spans="1:7" s="30" customFormat="1" ht="14.45">
      <c r="A1331" s="66" t="s">
        <v>86</v>
      </c>
      <c r="B1331" s="67" t="s">
        <v>2521</v>
      </c>
      <c r="C1331" s="68" t="s">
        <v>304</v>
      </c>
      <c r="D1331" s="69" t="s">
        <v>63</v>
      </c>
      <c r="E1331" s="157">
        <v>11562.25</v>
      </c>
      <c r="F1331" s="137">
        <f t="shared" ref="F1331" si="207">C1331*E1331</f>
        <v>11562.25</v>
      </c>
      <c r="G1331" s="217"/>
    </row>
    <row r="1332" spans="1:7" s="30" customFormat="1" ht="14.45">
      <c r="A1332" s="59"/>
      <c r="B1332" s="100"/>
      <c r="C1332" s="61"/>
      <c r="D1332" s="62"/>
      <c r="E1332" s="157"/>
      <c r="F1332" s="137"/>
      <c r="G1332" s="217"/>
    </row>
    <row r="1333" spans="1:7" s="30" customFormat="1" ht="14.45">
      <c r="A1333" s="66" t="s">
        <v>90</v>
      </c>
      <c r="B1333" s="67" t="s">
        <v>2522</v>
      </c>
      <c r="C1333" s="68" t="s">
        <v>304</v>
      </c>
      <c r="D1333" s="69" t="s">
        <v>63</v>
      </c>
      <c r="E1333" s="157">
        <v>11562.25</v>
      </c>
      <c r="F1333" s="137">
        <f t="shared" ref="F1333" si="208">C1333*E1333</f>
        <v>11562.25</v>
      </c>
      <c r="G1333" s="217"/>
    </row>
    <row r="1334" spans="1:7" s="30" customFormat="1" ht="10.5" customHeight="1">
      <c r="A1334" s="59"/>
      <c r="B1334" s="100"/>
      <c r="C1334" s="61"/>
      <c r="D1334" s="62"/>
      <c r="E1334" s="157"/>
      <c r="F1334" s="137"/>
      <c r="G1334" s="217"/>
    </row>
    <row r="1335" spans="1:7" s="30" customFormat="1" ht="14.45">
      <c r="A1335" s="66" t="s">
        <v>92</v>
      </c>
      <c r="B1335" s="67" t="s">
        <v>2523</v>
      </c>
      <c r="C1335" s="68" t="s">
        <v>304</v>
      </c>
      <c r="D1335" s="69" t="s">
        <v>63</v>
      </c>
      <c r="E1335" s="157">
        <v>12317.11</v>
      </c>
      <c r="F1335" s="137">
        <f t="shared" ref="F1335" si="209">C1335*E1335</f>
        <v>12317.11</v>
      </c>
      <c r="G1335" s="217"/>
    </row>
    <row r="1336" spans="1:7" s="30" customFormat="1" ht="11.25" customHeight="1">
      <c r="A1336" s="59"/>
      <c r="B1336" s="100"/>
      <c r="C1336" s="61"/>
      <c r="D1336" s="62"/>
      <c r="E1336" s="157"/>
      <c r="F1336" s="137"/>
      <c r="G1336" s="217"/>
    </row>
    <row r="1337" spans="1:7" s="30" customFormat="1" ht="14.45">
      <c r="A1337" s="66" t="s">
        <v>94</v>
      </c>
      <c r="B1337" s="67" t="s">
        <v>2524</v>
      </c>
      <c r="C1337" s="68" t="s">
        <v>304</v>
      </c>
      <c r="D1337" s="69" t="s">
        <v>63</v>
      </c>
      <c r="E1337" s="157">
        <v>12317.11</v>
      </c>
      <c r="F1337" s="137">
        <f t="shared" ref="F1337" si="210">C1337*E1337</f>
        <v>12317.11</v>
      </c>
      <c r="G1337" s="217"/>
    </row>
    <row r="1338" spans="1:7" s="30" customFormat="1" ht="12" customHeight="1">
      <c r="A1338" s="59"/>
      <c r="B1338" s="100"/>
      <c r="C1338" s="61"/>
      <c r="D1338" s="62"/>
      <c r="E1338" s="157"/>
      <c r="F1338" s="137"/>
      <c r="G1338" s="217"/>
    </row>
    <row r="1339" spans="1:7" s="30" customFormat="1" ht="14.45">
      <c r="A1339" s="66" t="s">
        <v>140</v>
      </c>
      <c r="B1339" s="67" t="s">
        <v>2525</v>
      </c>
      <c r="C1339" s="68" t="s">
        <v>304</v>
      </c>
      <c r="D1339" s="69" t="s">
        <v>63</v>
      </c>
      <c r="E1339" s="157">
        <v>11562.25</v>
      </c>
      <c r="F1339" s="137">
        <f t="shared" ref="F1339" si="211">C1339*E1339</f>
        <v>11562.25</v>
      </c>
      <c r="G1339" s="217"/>
    </row>
    <row r="1340" spans="1:7" s="30" customFormat="1" ht="9" customHeight="1">
      <c r="A1340" s="59"/>
      <c r="B1340" s="100"/>
      <c r="C1340" s="61"/>
      <c r="D1340" s="62"/>
      <c r="E1340" s="157"/>
      <c r="F1340" s="137"/>
      <c r="G1340" s="217"/>
    </row>
    <row r="1341" spans="1:7" s="30" customFormat="1" ht="14.45">
      <c r="A1341" s="66" t="s">
        <v>159</v>
      </c>
      <c r="B1341" s="67" t="s">
        <v>2526</v>
      </c>
      <c r="C1341" s="68" t="s">
        <v>304</v>
      </c>
      <c r="D1341" s="69" t="s">
        <v>63</v>
      </c>
      <c r="E1341" s="157">
        <v>11562.25</v>
      </c>
      <c r="F1341" s="137">
        <f t="shared" ref="F1341" si="212">C1341*E1341</f>
        <v>11562.25</v>
      </c>
      <c r="G1341" s="217"/>
    </row>
    <row r="1342" spans="1:7" s="30" customFormat="1" ht="11.25" customHeight="1">
      <c r="A1342" s="59"/>
      <c r="B1342" s="100"/>
      <c r="C1342" s="61"/>
      <c r="D1342" s="62"/>
      <c r="E1342" s="157"/>
      <c r="F1342" s="137"/>
      <c r="G1342" s="217"/>
    </row>
    <row r="1343" spans="1:7" s="30" customFormat="1" ht="14.45">
      <c r="A1343" s="66" t="s">
        <v>162</v>
      </c>
      <c r="B1343" s="67" t="s">
        <v>2527</v>
      </c>
      <c r="C1343" s="68" t="s">
        <v>304</v>
      </c>
      <c r="D1343" s="69" t="s">
        <v>63</v>
      </c>
      <c r="E1343" s="157">
        <v>11562.25</v>
      </c>
      <c r="F1343" s="137">
        <f t="shared" ref="F1343:F1357" si="213">C1343*E1343</f>
        <v>11562.25</v>
      </c>
      <c r="G1343" s="217"/>
    </row>
    <row r="1344" spans="1:7" s="30" customFormat="1" ht="12" customHeight="1">
      <c r="A1344" s="59"/>
      <c r="B1344" s="100"/>
      <c r="C1344" s="61"/>
      <c r="D1344" s="62"/>
      <c r="E1344" s="157"/>
      <c r="F1344" s="137"/>
      <c r="G1344" s="217"/>
    </row>
    <row r="1345" spans="1:7" s="30" customFormat="1" ht="14.45">
      <c r="A1345" s="66" t="s">
        <v>164</v>
      </c>
      <c r="B1345" s="67" t="s">
        <v>2528</v>
      </c>
      <c r="C1345" s="68" t="s">
        <v>304</v>
      </c>
      <c r="D1345" s="69" t="s">
        <v>63</v>
      </c>
      <c r="E1345" s="157">
        <v>11562.25</v>
      </c>
      <c r="F1345" s="137">
        <f t="shared" si="213"/>
        <v>11562.25</v>
      </c>
      <c r="G1345" s="217"/>
    </row>
    <row r="1346" spans="1:7" s="30" customFormat="1" ht="14.45">
      <c r="A1346" s="59"/>
      <c r="B1346" s="100"/>
      <c r="C1346" s="61"/>
      <c r="D1346" s="62"/>
      <c r="E1346" s="157"/>
      <c r="F1346" s="137"/>
      <c r="G1346" s="217"/>
    </row>
    <row r="1347" spans="1:7" s="30" customFormat="1" ht="14.45">
      <c r="A1347" s="66" t="s">
        <v>166</v>
      </c>
      <c r="B1347" s="67" t="s">
        <v>2529</v>
      </c>
      <c r="C1347" s="68" t="s">
        <v>304</v>
      </c>
      <c r="D1347" s="69" t="s">
        <v>63</v>
      </c>
      <c r="E1347" s="157">
        <v>11562.25</v>
      </c>
      <c r="F1347" s="137">
        <f t="shared" si="213"/>
        <v>11562.25</v>
      </c>
      <c r="G1347" s="217"/>
    </row>
    <row r="1348" spans="1:7" s="30" customFormat="1" ht="14.45">
      <c r="A1348" s="59"/>
      <c r="B1348" s="100"/>
      <c r="C1348" s="61"/>
      <c r="D1348" s="62"/>
      <c r="E1348" s="157"/>
      <c r="F1348" s="137"/>
      <c r="G1348" s="217"/>
    </row>
    <row r="1349" spans="1:7" s="30" customFormat="1" ht="14.45">
      <c r="A1349" s="66" t="s">
        <v>168</v>
      </c>
      <c r="B1349" s="67" t="s">
        <v>2530</v>
      </c>
      <c r="C1349" s="68" t="s">
        <v>304</v>
      </c>
      <c r="D1349" s="69" t="s">
        <v>63</v>
      </c>
      <c r="E1349" s="157">
        <v>11562.25</v>
      </c>
      <c r="F1349" s="137">
        <f t="shared" si="213"/>
        <v>11562.25</v>
      </c>
      <c r="G1349" s="217"/>
    </row>
    <row r="1350" spans="1:7" s="30" customFormat="1" ht="14.45">
      <c r="A1350" s="59"/>
      <c r="B1350" s="100"/>
      <c r="C1350" s="61"/>
      <c r="D1350" s="62"/>
      <c r="E1350" s="157"/>
      <c r="F1350" s="137"/>
      <c r="G1350" s="217"/>
    </row>
    <row r="1351" spans="1:7" s="30" customFormat="1" ht="14.45">
      <c r="A1351" s="66" t="s">
        <v>170</v>
      </c>
      <c r="B1351" s="67" t="s">
        <v>2531</v>
      </c>
      <c r="C1351" s="68" t="s">
        <v>304</v>
      </c>
      <c r="D1351" s="69" t="s">
        <v>63</v>
      </c>
      <c r="E1351" s="157">
        <v>11562.25</v>
      </c>
      <c r="F1351" s="137">
        <f t="shared" si="213"/>
        <v>11562.25</v>
      </c>
      <c r="G1351" s="217"/>
    </row>
    <row r="1352" spans="1:7" s="30" customFormat="1" ht="14.45">
      <c r="A1352" s="59"/>
      <c r="B1352" s="100"/>
      <c r="C1352" s="61"/>
      <c r="D1352" s="62"/>
      <c r="E1352" s="157"/>
      <c r="F1352" s="137"/>
      <c r="G1352" s="217"/>
    </row>
    <row r="1353" spans="1:7" s="30" customFormat="1" ht="14.45">
      <c r="A1353" s="66" t="s">
        <v>172</v>
      </c>
      <c r="B1353" s="67" t="s">
        <v>2532</v>
      </c>
      <c r="C1353" s="68" t="s">
        <v>304</v>
      </c>
      <c r="D1353" s="69" t="s">
        <v>63</v>
      </c>
      <c r="E1353" s="157">
        <v>11562.25</v>
      </c>
      <c r="F1353" s="137">
        <f t="shared" si="213"/>
        <v>11562.25</v>
      </c>
      <c r="G1353" s="217"/>
    </row>
    <row r="1354" spans="1:7" s="30" customFormat="1" ht="14.45">
      <c r="A1354" s="59"/>
      <c r="B1354" s="100"/>
      <c r="C1354" s="61"/>
      <c r="D1354" s="62"/>
      <c r="E1354" s="157"/>
      <c r="F1354" s="137"/>
      <c r="G1354" s="217"/>
    </row>
    <row r="1355" spans="1:7" s="30" customFormat="1" ht="14.45">
      <c r="A1355" s="66" t="s">
        <v>1615</v>
      </c>
      <c r="B1355" s="67" t="s">
        <v>2533</v>
      </c>
      <c r="C1355" s="68" t="s">
        <v>304</v>
      </c>
      <c r="D1355" s="69" t="s">
        <v>63</v>
      </c>
      <c r="E1355" s="157">
        <v>11562.25</v>
      </c>
      <c r="F1355" s="137">
        <f t="shared" si="213"/>
        <v>11562.25</v>
      </c>
      <c r="G1355" s="217"/>
    </row>
    <row r="1356" spans="1:7" s="30" customFormat="1" ht="14.45">
      <c r="A1356" s="59"/>
      <c r="B1356" s="100"/>
      <c r="C1356" s="61"/>
      <c r="D1356" s="62"/>
      <c r="E1356" s="157"/>
      <c r="F1356" s="137"/>
      <c r="G1356" s="217"/>
    </row>
    <row r="1357" spans="1:7" s="30" customFormat="1" ht="14.45">
      <c r="A1357" s="66" t="s">
        <v>1617</v>
      </c>
      <c r="B1357" s="67" t="s">
        <v>2534</v>
      </c>
      <c r="C1357" s="68" t="s">
        <v>304</v>
      </c>
      <c r="D1357" s="69" t="s">
        <v>63</v>
      </c>
      <c r="E1357" s="157">
        <v>11562.25</v>
      </c>
      <c r="F1357" s="137">
        <f t="shared" si="213"/>
        <v>11562.25</v>
      </c>
      <c r="G1357" s="217"/>
    </row>
    <row r="1358" spans="1:7" s="30" customFormat="1" ht="14.45">
      <c r="A1358" s="59"/>
      <c r="B1358" s="63"/>
      <c r="C1358" s="61"/>
      <c r="D1358" s="62"/>
      <c r="E1358" s="157"/>
      <c r="F1358" s="137"/>
      <c r="G1358" s="217"/>
    </row>
    <row r="1359" spans="1:7" s="30" customFormat="1" ht="14.45">
      <c r="A1359" s="71"/>
      <c r="B1359" s="72"/>
      <c r="C1359" s="73"/>
      <c r="D1359" s="74"/>
      <c r="E1359" s="159"/>
      <c r="F1359" s="138"/>
      <c r="G1359" s="226"/>
    </row>
    <row r="1360" spans="1:7" s="30" customFormat="1" ht="14.45">
      <c r="A1360" s="75"/>
      <c r="B1360" s="76"/>
      <c r="C1360" s="77" t="s">
        <v>30</v>
      </c>
      <c r="D1360" s="77"/>
      <c r="E1360" s="160" t="s">
        <v>8</v>
      </c>
      <c r="F1360" s="139">
        <f>SUM(F1314:F1357)</f>
        <v>256319.11</v>
      </c>
      <c r="G1360" s="227"/>
    </row>
    <row r="1361" spans="1:7" s="30" customFormat="1" ht="14.45">
      <c r="A1361" s="75"/>
      <c r="B1361" s="76"/>
      <c r="C1361" s="78"/>
      <c r="D1361" s="79"/>
      <c r="E1361" s="161"/>
      <c r="F1361" s="140"/>
      <c r="G1361" s="228"/>
    </row>
    <row r="1362" spans="1:7" s="30" customFormat="1" ht="14.45">
      <c r="A1362" s="59"/>
      <c r="B1362" s="63"/>
      <c r="C1362" s="61"/>
      <c r="D1362" s="62"/>
      <c r="E1362" s="157"/>
      <c r="F1362" s="137"/>
      <c r="G1362" s="217"/>
    </row>
    <row r="1363" spans="1:7" s="30" customFormat="1" ht="14.45">
      <c r="A1363" s="59"/>
      <c r="B1363" s="64" t="s">
        <v>1950</v>
      </c>
      <c r="C1363" s="61"/>
      <c r="D1363" s="62"/>
      <c r="E1363" s="157"/>
      <c r="F1363" s="137"/>
      <c r="G1363" s="217"/>
    </row>
    <row r="1364" spans="1:7" s="30" customFormat="1" ht="14.45">
      <c r="A1364" s="59"/>
      <c r="B1364" s="100"/>
      <c r="C1364" s="61"/>
      <c r="D1364" s="62"/>
      <c r="E1364" s="157"/>
      <c r="F1364" s="137"/>
      <c r="G1364" s="217"/>
    </row>
    <row r="1365" spans="1:7" s="30" customFormat="1" ht="14.45">
      <c r="A1365" s="66" t="s">
        <v>14</v>
      </c>
      <c r="B1365" s="67" t="s">
        <v>2535</v>
      </c>
      <c r="C1365" s="68" t="s">
        <v>304</v>
      </c>
      <c r="D1365" s="69" t="s">
        <v>63</v>
      </c>
      <c r="E1365" s="157">
        <v>12993.16</v>
      </c>
      <c r="F1365" s="137">
        <f t="shared" ref="F1365" si="214">C1365*E1365</f>
        <v>12993.16</v>
      </c>
      <c r="G1365" s="217"/>
    </row>
    <row r="1366" spans="1:7" s="30" customFormat="1" ht="14.45">
      <c r="A1366" s="59"/>
      <c r="B1366" s="100"/>
      <c r="C1366" s="61"/>
      <c r="D1366" s="62"/>
      <c r="E1366" s="157"/>
      <c r="F1366" s="137"/>
      <c r="G1366" s="217"/>
    </row>
    <row r="1367" spans="1:7" s="30" customFormat="1" ht="14.45">
      <c r="A1367" s="66" t="s">
        <v>17</v>
      </c>
      <c r="B1367" s="67" t="s">
        <v>2536</v>
      </c>
      <c r="C1367" s="68" t="s">
        <v>304</v>
      </c>
      <c r="D1367" s="69" t="s">
        <v>63</v>
      </c>
      <c r="E1367" s="157">
        <v>11562.25</v>
      </c>
      <c r="F1367" s="137">
        <f t="shared" ref="F1367" si="215">C1367*E1367</f>
        <v>11562.25</v>
      </c>
      <c r="G1367" s="217"/>
    </row>
    <row r="1368" spans="1:7" s="30" customFormat="1" ht="14.45">
      <c r="A1368" s="59"/>
      <c r="B1368" s="100"/>
      <c r="C1368" s="61"/>
      <c r="D1368" s="62"/>
      <c r="E1368" s="157"/>
      <c r="F1368" s="137"/>
      <c r="G1368" s="217"/>
    </row>
    <row r="1369" spans="1:7" s="30" customFormat="1" ht="14.45">
      <c r="A1369" s="66" t="s">
        <v>20</v>
      </c>
      <c r="B1369" s="67" t="s">
        <v>2537</v>
      </c>
      <c r="C1369" s="68" t="s">
        <v>304</v>
      </c>
      <c r="D1369" s="69" t="s">
        <v>63</v>
      </c>
      <c r="E1369" s="157">
        <v>11562.25</v>
      </c>
      <c r="F1369" s="137">
        <f t="shared" ref="F1369" si="216">C1369*E1369</f>
        <v>11562.25</v>
      </c>
      <c r="G1369" s="217"/>
    </row>
    <row r="1370" spans="1:7" s="30" customFormat="1" ht="14.45">
      <c r="A1370" s="59"/>
      <c r="B1370" s="100"/>
      <c r="C1370" s="61"/>
      <c r="D1370" s="62"/>
      <c r="E1370" s="157"/>
      <c r="F1370" s="137"/>
      <c r="G1370" s="217"/>
    </row>
    <row r="1371" spans="1:7" s="30" customFormat="1" ht="14.45">
      <c r="A1371" s="66" t="s">
        <v>23</v>
      </c>
      <c r="B1371" s="67" t="s">
        <v>2538</v>
      </c>
      <c r="C1371" s="68" t="s">
        <v>304</v>
      </c>
      <c r="D1371" s="69" t="s">
        <v>63</v>
      </c>
      <c r="E1371" s="157">
        <v>11562.25</v>
      </c>
      <c r="F1371" s="137">
        <f t="shared" ref="F1371" si="217">C1371*E1371</f>
        <v>11562.25</v>
      </c>
      <c r="G1371" s="217"/>
    </row>
    <row r="1372" spans="1:7" s="30" customFormat="1" ht="14.45">
      <c r="A1372" s="59"/>
      <c r="B1372" s="100"/>
      <c r="C1372" s="61"/>
      <c r="D1372" s="62"/>
      <c r="E1372" s="157"/>
      <c r="F1372" s="137"/>
      <c r="G1372" s="217"/>
    </row>
    <row r="1373" spans="1:7" s="30" customFormat="1" ht="14.45">
      <c r="A1373" s="66" t="s">
        <v>27</v>
      </c>
      <c r="B1373" s="67" t="s">
        <v>2539</v>
      </c>
      <c r="C1373" s="68" t="s">
        <v>304</v>
      </c>
      <c r="D1373" s="69" t="s">
        <v>63</v>
      </c>
      <c r="E1373" s="157">
        <v>11562.25</v>
      </c>
      <c r="F1373" s="137">
        <f t="shared" ref="F1373" si="218">C1373*E1373</f>
        <v>11562.25</v>
      </c>
      <c r="G1373" s="217"/>
    </row>
    <row r="1374" spans="1:7" s="30" customFormat="1" ht="14.45">
      <c r="A1374" s="59"/>
      <c r="B1374" s="100"/>
      <c r="C1374" s="61"/>
      <c r="D1374" s="62"/>
      <c r="E1374" s="157"/>
      <c r="F1374" s="137"/>
      <c r="G1374" s="217"/>
    </row>
    <row r="1375" spans="1:7" s="30" customFormat="1" ht="14.45">
      <c r="A1375" s="66"/>
      <c r="B1375" s="98" t="s">
        <v>2540</v>
      </c>
      <c r="C1375" s="68"/>
      <c r="D1375" s="69"/>
      <c r="E1375" s="157"/>
      <c r="F1375" s="137"/>
      <c r="G1375" s="217"/>
    </row>
    <row r="1376" spans="1:7" s="30" customFormat="1" ht="14.45">
      <c r="A1376" s="59"/>
      <c r="B1376" s="100"/>
      <c r="C1376" s="61"/>
      <c r="D1376" s="62"/>
      <c r="E1376" s="157"/>
      <c r="F1376" s="137"/>
      <c r="G1376" s="217"/>
    </row>
    <row r="1377" spans="1:7" s="30" customFormat="1" ht="14.45">
      <c r="A1377" s="66" t="s">
        <v>44</v>
      </c>
      <c r="B1377" s="67" t="s">
        <v>2541</v>
      </c>
      <c r="C1377" s="68" t="s">
        <v>304</v>
      </c>
      <c r="D1377" s="69" t="s">
        <v>63</v>
      </c>
      <c r="E1377" s="157">
        <v>15486.53</v>
      </c>
      <c r="F1377" s="137">
        <f t="shared" ref="F1377" si="219">C1377*E1377</f>
        <v>15486.53</v>
      </c>
      <c r="G1377" s="217" t="s">
        <v>2542</v>
      </c>
    </row>
    <row r="1378" spans="1:7" s="30" customFormat="1" ht="14.45">
      <c r="A1378" s="59"/>
      <c r="B1378" s="100"/>
      <c r="C1378" s="61"/>
      <c r="D1378" s="62"/>
      <c r="E1378" s="157"/>
      <c r="F1378" s="137"/>
      <c r="G1378" s="217"/>
    </row>
    <row r="1379" spans="1:7" s="30" customFormat="1" ht="14.45">
      <c r="A1379" s="66" t="s">
        <v>48</v>
      </c>
      <c r="B1379" s="67" t="s">
        <v>2543</v>
      </c>
      <c r="C1379" s="68" t="s">
        <v>304</v>
      </c>
      <c r="D1379" s="69" t="s">
        <v>63</v>
      </c>
      <c r="E1379" s="157">
        <v>15486.53</v>
      </c>
      <c r="F1379" s="137">
        <f t="shared" ref="F1379" si="220">C1379*E1379</f>
        <v>15486.53</v>
      </c>
      <c r="G1379" s="217" t="s">
        <v>2377</v>
      </c>
    </row>
    <row r="1380" spans="1:7" s="30" customFormat="1" ht="14.45">
      <c r="A1380" s="59"/>
      <c r="B1380" s="100"/>
      <c r="C1380" s="61"/>
      <c r="D1380" s="62"/>
      <c r="E1380" s="157"/>
      <c r="F1380" s="137"/>
      <c r="G1380" s="217"/>
    </row>
    <row r="1381" spans="1:7" s="30" customFormat="1" ht="14.45">
      <c r="A1381" s="66" t="s">
        <v>84</v>
      </c>
      <c r="B1381" s="67" t="s">
        <v>2544</v>
      </c>
      <c r="C1381" s="68" t="s">
        <v>304</v>
      </c>
      <c r="D1381" s="69" t="s">
        <v>63</v>
      </c>
      <c r="E1381" s="157">
        <v>15486.53</v>
      </c>
      <c r="F1381" s="137">
        <f t="shared" ref="F1381" si="221">C1381*E1381</f>
        <v>15486.53</v>
      </c>
      <c r="G1381" s="217" t="s">
        <v>2542</v>
      </c>
    </row>
    <row r="1382" spans="1:7" s="30" customFormat="1" ht="14.45">
      <c r="A1382" s="59"/>
      <c r="B1382" s="100"/>
      <c r="C1382" s="61"/>
      <c r="D1382" s="62"/>
      <c r="E1382" s="157"/>
      <c r="F1382" s="137"/>
      <c r="G1382" s="217"/>
    </row>
    <row r="1383" spans="1:7" s="30" customFormat="1" ht="14.45">
      <c r="A1383" s="66" t="s">
        <v>86</v>
      </c>
      <c r="B1383" s="67" t="s">
        <v>2545</v>
      </c>
      <c r="C1383" s="68" t="s">
        <v>304</v>
      </c>
      <c r="D1383" s="69" t="s">
        <v>63</v>
      </c>
      <c r="E1383" s="157">
        <v>15486.53</v>
      </c>
      <c r="F1383" s="137">
        <f t="shared" ref="F1383" si="222">C1383*E1383</f>
        <v>15486.53</v>
      </c>
      <c r="G1383" s="217" t="s">
        <v>2542</v>
      </c>
    </row>
    <row r="1384" spans="1:7" s="30" customFormat="1" ht="14.45">
      <c r="A1384" s="59"/>
      <c r="B1384" s="100"/>
      <c r="C1384" s="61"/>
      <c r="D1384" s="62"/>
      <c r="E1384" s="157"/>
      <c r="F1384" s="137"/>
      <c r="G1384" s="217"/>
    </row>
    <row r="1385" spans="1:7" s="30" customFormat="1" ht="27.6">
      <c r="A1385" s="66"/>
      <c r="B1385" s="98" t="s">
        <v>2546</v>
      </c>
      <c r="C1385" s="68"/>
      <c r="D1385" s="69"/>
      <c r="E1385" s="157"/>
      <c r="F1385" s="137"/>
      <c r="G1385" s="217"/>
    </row>
    <row r="1386" spans="1:7" s="30" customFormat="1" ht="14.45">
      <c r="A1386" s="59"/>
      <c r="B1386" s="100"/>
      <c r="C1386" s="61"/>
      <c r="D1386" s="62"/>
      <c r="E1386" s="157"/>
      <c r="F1386" s="137"/>
      <c r="G1386" s="217"/>
    </row>
    <row r="1387" spans="1:7" s="30" customFormat="1" ht="14.45">
      <c r="A1387" s="66" t="s">
        <v>90</v>
      </c>
      <c r="B1387" s="67" t="s">
        <v>2547</v>
      </c>
      <c r="C1387" s="68" t="s">
        <v>304</v>
      </c>
      <c r="D1387" s="69" t="s">
        <v>63</v>
      </c>
      <c r="E1387" s="157">
        <v>11562.25</v>
      </c>
      <c r="F1387" s="137">
        <f t="shared" ref="F1387" si="223">C1387*E1387</f>
        <v>11562.25</v>
      </c>
      <c r="G1387" s="217"/>
    </row>
    <row r="1388" spans="1:7" s="30" customFormat="1" ht="14.45">
      <c r="A1388" s="59"/>
      <c r="B1388" s="100"/>
      <c r="C1388" s="61"/>
      <c r="D1388" s="62"/>
      <c r="E1388" s="157"/>
      <c r="F1388" s="137"/>
      <c r="G1388" s="217"/>
    </row>
    <row r="1389" spans="1:7" s="30" customFormat="1" ht="14.45">
      <c r="A1389" s="66" t="s">
        <v>92</v>
      </c>
      <c r="B1389" s="67" t="s">
        <v>2548</v>
      </c>
      <c r="C1389" s="68" t="s">
        <v>304</v>
      </c>
      <c r="D1389" s="69" t="s">
        <v>63</v>
      </c>
      <c r="E1389" s="157">
        <v>11562.25</v>
      </c>
      <c r="F1389" s="137">
        <f t="shared" ref="F1389" si="224">C1389*E1389</f>
        <v>11562.25</v>
      </c>
      <c r="G1389" s="217"/>
    </row>
    <row r="1390" spans="1:7" s="30" customFormat="1" ht="14.45">
      <c r="A1390" s="59"/>
      <c r="B1390" s="100"/>
      <c r="C1390" s="61"/>
      <c r="D1390" s="62"/>
      <c r="E1390" s="157"/>
      <c r="F1390" s="137"/>
      <c r="G1390" s="217"/>
    </row>
    <row r="1391" spans="1:7" s="30" customFormat="1" ht="14.45">
      <c r="A1391" s="66" t="s">
        <v>94</v>
      </c>
      <c r="B1391" s="67" t="s">
        <v>2549</v>
      </c>
      <c r="C1391" s="68" t="s">
        <v>304</v>
      </c>
      <c r="D1391" s="69" t="s">
        <v>63</v>
      </c>
      <c r="E1391" s="157">
        <v>11562.25</v>
      </c>
      <c r="F1391" s="137">
        <f t="shared" ref="F1391" si="225">C1391*E1391</f>
        <v>11562.25</v>
      </c>
      <c r="G1391" s="217"/>
    </row>
    <row r="1392" spans="1:7" s="30" customFormat="1" ht="14.45">
      <c r="A1392" s="59"/>
      <c r="B1392" s="100"/>
      <c r="C1392" s="61"/>
      <c r="D1392" s="62"/>
      <c r="E1392" s="157"/>
      <c r="F1392" s="137"/>
      <c r="G1392" s="217"/>
    </row>
    <row r="1393" spans="1:7" s="30" customFormat="1" ht="14.45">
      <c r="A1393" s="66" t="s">
        <v>140</v>
      </c>
      <c r="B1393" s="67" t="s">
        <v>2550</v>
      </c>
      <c r="C1393" s="68" t="s">
        <v>304</v>
      </c>
      <c r="D1393" s="69" t="s">
        <v>63</v>
      </c>
      <c r="E1393" s="157">
        <v>11562.25</v>
      </c>
      <c r="F1393" s="137">
        <f t="shared" ref="F1393" si="226">C1393*E1393</f>
        <v>11562.25</v>
      </c>
      <c r="G1393" s="217"/>
    </row>
    <row r="1394" spans="1:7" s="30" customFormat="1" ht="14.45">
      <c r="A1394" s="59"/>
      <c r="B1394" s="100"/>
      <c r="C1394" s="61"/>
      <c r="D1394" s="62"/>
      <c r="E1394" s="157"/>
      <c r="F1394" s="137"/>
      <c r="G1394" s="217"/>
    </row>
    <row r="1395" spans="1:7" s="30" customFormat="1" ht="14.45">
      <c r="A1395" s="66" t="s">
        <v>159</v>
      </c>
      <c r="B1395" s="67" t="s">
        <v>2551</v>
      </c>
      <c r="C1395" s="68" t="s">
        <v>304</v>
      </c>
      <c r="D1395" s="69" t="s">
        <v>63</v>
      </c>
      <c r="E1395" s="157">
        <v>11562.25</v>
      </c>
      <c r="F1395" s="137">
        <f t="shared" ref="F1395" si="227">C1395*E1395</f>
        <v>11562.25</v>
      </c>
      <c r="G1395" s="217"/>
    </row>
    <row r="1396" spans="1:7" s="30" customFormat="1" ht="14.45">
      <c r="A1396" s="59"/>
      <c r="B1396" s="100"/>
      <c r="C1396" s="61"/>
      <c r="D1396" s="62"/>
      <c r="E1396" s="157"/>
      <c r="F1396" s="137"/>
      <c r="G1396" s="217"/>
    </row>
    <row r="1397" spans="1:7" s="30" customFormat="1" ht="14.45">
      <c r="A1397" s="66" t="s">
        <v>162</v>
      </c>
      <c r="B1397" s="67" t="s">
        <v>2552</v>
      </c>
      <c r="C1397" s="68" t="s">
        <v>304</v>
      </c>
      <c r="D1397" s="69" t="s">
        <v>63</v>
      </c>
      <c r="E1397" s="157">
        <v>12793.53</v>
      </c>
      <c r="F1397" s="137">
        <f t="shared" ref="F1397" si="228">C1397*E1397</f>
        <v>12793.53</v>
      </c>
      <c r="G1397" s="217"/>
    </row>
    <row r="1398" spans="1:7" s="30" customFormat="1" ht="14.45">
      <c r="A1398" s="59"/>
      <c r="B1398" s="100"/>
      <c r="C1398" s="61"/>
      <c r="D1398" s="62"/>
      <c r="E1398" s="157"/>
      <c r="F1398" s="137"/>
      <c r="G1398" s="217"/>
    </row>
    <row r="1399" spans="1:7" s="30" customFormat="1" ht="14.45">
      <c r="A1399" s="66" t="s">
        <v>164</v>
      </c>
      <c r="B1399" s="67" t="s">
        <v>2553</v>
      </c>
      <c r="C1399" s="68" t="s">
        <v>304</v>
      </c>
      <c r="D1399" s="69" t="s">
        <v>63</v>
      </c>
      <c r="E1399" s="157">
        <v>11562.25</v>
      </c>
      <c r="F1399" s="137">
        <f t="shared" ref="F1399" si="229">C1399*E1399</f>
        <v>11562.25</v>
      </c>
      <c r="G1399" s="217"/>
    </row>
    <row r="1400" spans="1:7" s="30" customFormat="1" ht="14.45">
      <c r="A1400" s="59"/>
      <c r="B1400" s="100"/>
      <c r="C1400" s="61"/>
      <c r="D1400" s="62"/>
      <c r="E1400" s="157"/>
      <c r="F1400" s="137"/>
      <c r="G1400" s="217"/>
    </row>
    <row r="1401" spans="1:7" s="30" customFormat="1" ht="14.45">
      <c r="A1401" s="66" t="s">
        <v>166</v>
      </c>
      <c r="B1401" s="67" t="s">
        <v>2554</v>
      </c>
      <c r="C1401" s="68" t="s">
        <v>304</v>
      </c>
      <c r="D1401" s="69" t="s">
        <v>63</v>
      </c>
      <c r="E1401" s="157">
        <v>11562.25</v>
      </c>
      <c r="F1401" s="137">
        <f t="shared" ref="F1401" si="230">C1401*E1401</f>
        <v>11562.25</v>
      </c>
      <c r="G1401" s="217"/>
    </row>
    <row r="1402" spans="1:7" s="30" customFormat="1" ht="14.45">
      <c r="A1402" s="59"/>
      <c r="B1402" s="100"/>
      <c r="C1402" s="61"/>
      <c r="D1402" s="62"/>
      <c r="E1402" s="157"/>
      <c r="F1402" s="137"/>
      <c r="G1402" s="217"/>
    </row>
    <row r="1403" spans="1:7" s="30" customFormat="1" ht="14.45">
      <c r="A1403" s="66"/>
      <c r="B1403" s="98" t="s">
        <v>2555</v>
      </c>
      <c r="C1403" s="68"/>
      <c r="D1403" s="69"/>
      <c r="E1403" s="157"/>
      <c r="F1403" s="137"/>
      <c r="G1403" s="217"/>
    </row>
    <row r="1404" spans="1:7" s="30" customFormat="1" ht="14.45">
      <c r="A1404" s="59"/>
      <c r="B1404" s="63"/>
      <c r="C1404" s="61"/>
      <c r="D1404" s="62"/>
      <c r="E1404" s="157"/>
      <c r="F1404" s="137"/>
      <c r="G1404" s="217"/>
    </row>
    <row r="1405" spans="1:7" s="30" customFormat="1" ht="28.9">
      <c r="A1405" s="59"/>
      <c r="B1405" s="230" t="s">
        <v>323</v>
      </c>
      <c r="C1405" s="61"/>
      <c r="D1405" s="62"/>
      <c r="E1405" s="157"/>
      <c r="F1405" s="137"/>
      <c r="G1405" s="217"/>
    </row>
    <row r="1406" spans="1:7" s="30" customFormat="1" ht="14.45">
      <c r="A1406" s="71"/>
      <c r="B1406" s="72"/>
      <c r="C1406" s="73"/>
      <c r="D1406" s="74"/>
      <c r="E1406" s="159"/>
      <c r="F1406" s="138"/>
      <c r="G1406" s="226"/>
    </row>
    <row r="1407" spans="1:7" s="30" customFormat="1" ht="14.45">
      <c r="A1407" s="75"/>
      <c r="B1407" s="76"/>
      <c r="C1407" s="77" t="s">
        <v>30</v>
      </c>
      <c r="D1407" s="77"/>
      <c r="E1407" s="160" t="s">
        <v>8</v>
      </c>
      <c r="F1407" s="139">
        <f>SUM(F1364:F1403)</f>
        <v>214917.56</v>
      </c>
      <c r="G1407" s="227"/>
    </row>
    <row r="1408" spans="1:7" s="30" customFormat="1" ht="14.45">
      <c r="A1408" s="75"/>
      <c r="B1408" s="76"/>
      <c r="C1408" s="78"/>
      <c r="D1408" s="79"/>
      <c r="E1408" s="161"/>
      <c r="F1408" s="140"/>
      <c r="G1408" s="228"/>
    </row>
    <row r="1409" spans="1:7" s="30" customFormat="1" ht="14.45">
      <c r="A1409" s="59"/>
      <c r="B1409" s="63"/>
      <c r="C1409" s="61"/>
      <c r="D1409" s="62"/>
      <c r="E1409" s="157"/>
      <c r="F1409" s="137"/>
      <c r="G1409" s="217"/>
    </row>
    <row r="1410" spans="1:7" s="30" customFormat="1" ht="14.45">
      <c r="A1410" s="59"/>
      <c r="B1410" s="64" t="s">
        <v>1950</v>
      </c>
      <c r="C1410" s="61"/>
      <c r="D1410" s="62"/>
      <c r="E1410" s="157"/>
      <c r="F1410" s="137"/>
      <c r="G1410" s="217"/>
    </row>
    <row r="1411" spans="1:7" s="30" customFormat="1" ht="14.45">
      <c r="A1411" s="59"/>
      <c r="B1411" s="100"/>
      <c r="C1411" s="61"/>
      <c r="D1411" s="62"/>
      <c r="E1411" s="157"/>
      <c r="F1411" s="137"/>
      <c r="G1411" s="217"/>
    </row>
    <row r="1412" spans="1:7" s="30" customFormat="1" ht="14.45">
      <c r="A1412" s="66" t="s">
        <v>14</v>
      </c>
      <c r="B1412" s="67" t="s">
        <v>2556</v>
      </c>
      <c r="C1412" s="68" t="s">
        <v>304</v>
      </c>
      <c r="D1412" s="69" t="s">
        <v>63</v>
      </c>
      <c r="E1412" s="157">
        <v>4443.3599999999997</v>
      </c>
      <c r="F1412" s="137">
        <f t="shared" ref="F1412" si="231">C1412*E1412</f>
        <v>4443.3599999999997</v>
      </c>
      <c r="G1412" s="217" t="s">
        <v>2377</v>
      </c>
    </row>
    <row r="1413" spans="1:7" s="30" customFormat="1" ht="14.45">
      <c r="A1413" s="59"/>
      <c r="B1413" s="100"/>
      <c r="C1413" s="61"/>
      <c r="D1413" s="62"/>
      <c r="E1413" s="157"/>
      <c r="F1413" s="137"/>
      <c r="G1413" s="217"/>
    </row>
    <row r="1414" spans="1:7" s="30" customFormat="1" ht="14.45">
      <c r="A1414" s="66" t="s">
        <v>17</v>
      </c>
      <c r="B1414" s="67" t="s">
        <v>2557</v>
      </c>
      <c r="C1414" s="68" t="s">
        <v>304</v>
      </c>
      <c r="D1414" s="69" t="s">
        <v>63</v>
      </c>
      <c r="E1414" s="157">
        <v>4443.3599999999997</v>
      </c>
      <c r="F1414" s="137">
        <f t="shared" ref="F1414" si="232">C1414*E1414</f>
        <v>4443.3599999999997</v>
      </c>
      <c r="G1414" s="217" t="s">
        <v>2377</v>
      </c>
    </row>
    <row r="1415" spans="1:7" s="30" customFormat="1" ht="14.45">
      <c r="A1415" s="59"/>
      <c r="B1415" s="100"/>
      <c r="C1415" s="61"/>
      <c r="D1415" s="62"/>
      <c r="E1415" s="157"/>
      <c r="F1415" s="137"/>
      <c r="G1415" s="217"/>
    </row>
    <row r="1416" spans="1:7" s="30" customFormat="1" ht="14.45">
      <c r="A1416" s="66" t="s">
        <v>20</v>
      </c>
      <c r="B1416" s="67" t="s">
        <v>2558</v>
      </c>
      <c r="C1416" s="68" t="s">
        <v>304</v>
      </c>
      <c r="D1416" s="69" t="s">
        <v>63</v>
      </c>
      <c r="E1416" s="157">
        <v>4443.3599999999997</v>
      </c>
      <c r="F1416" s="137">
        <f t="shared" ref="F1416" si="233">C1416*E1416</f>
        <v>4443.3599999999997</v>
      </c>
      <c r="G1416" s="217" t="s">
        <v>2377</v>
      </c>
    </row>
    <row r="1417" spans="1:7" s="30" customFormat="1" ht="14.45">
      <c r="A1417" s="59"/>
      <c r="B1417" s="100"/>
      <c r="C1417" s="61"/>
      <c r="D1417" s="62"/>
      <c r="E1417" s="157"/>
      <c r="F1417" s="137"/>
      <c r="G1417" s="217"/>
    </row>
    <row r="1418" spans="1:7" s="30" customFormat="1" ht="14.45">
      <c r="A1418" s="66" t="s">
        <v>23</v>
      </c>
      <c r="B1418" s="67" t="s">
        <v>2559</v>
      </c>
      <c r="C1418" s="68" t="s">
        <v>304</v>
      </c>
      <c r="D1418" s="69" t="s">
        <v>63</v>
      </c>
      <c r="E1418" s="157">
        <v>4443.3599999999997</v>
      </c>
      <c r="F1418" s="137">
        <f t="shared" ref="F1418" si="234">C1418*E1418</f>
        <v>4443.3599999999997</v>
      </c>
      <c r="G1418" s="217" t="s">
        <v>2377</v>
      </c>
    </row>
    <row r="1419" spans="1:7" s="30" customFormat="1" ht="14.45">
      <c r="A1419" s="59"/>
      <c r="B1419" s="100"/>
      <c r="C1419" s="61"/>
      <c r="D1419" s="62"/>
      <c r="E1419" s="157"/>
      <c r="F1419" s="137"/>
      <c r="G1419" s="217"/>
    </row>
    <row r="1420" spans="1:7" s="30" customFormat="1" ht="14.45">
      <c r="A1420" s="66" t="s">
        <v>27</v>
      </c>
      <c r="B1420" s="67" t="s">
        <v>2560</v>
      </c>
      <c r="C1420" s="68" t="s">
        <v>304</v>
      </c>
      <c r="D1420" s="69" t="s">
        <v>63</v>
      </c>
      <c r="E1420" s="157">
        <v>4443.3599999999997</v>
      </c>
      <c r="F1420" s="137">
        <f t="shared" ref="F1420" si="235">C1420*E1420</f>
        <v>4443.3599999999997</v>
      </c>
      <c r="G1420" s="217" t="s">
        <v>2377</v>
      </c>
    </row>
    <row r="1421" spans="1:7" s="30" customFormat="1" ht="14.45">
      <c r="A1421" s="59"/>
      <c r="B1421" s="100"/>
      <c r="C1421" s="61"/>
      <c r="D1421" s="62"/>
      <c r="E1421" s="157"/>
      <c r="F1421" s="137"/>
      <c r="G1421" s="217"/>
    </row>
    <row r="1422" spans="1:7" s="30" customFormat="1" ht="14.45">
      <c r="A1422" s="66" t="s">
        <v>44</v>
      </c>
      <c r="B1422" s="67" t="s">
        <v>2561</v>
      </c>
      <c r="C1422" s="68" t="s">
        <v>304</v>
      </c>
      <c r="D1422" s="69" t="s">
        <v>63</v>
      </c>
      <c r="E1422" s="157">
        <v>4443.3599999999997</v>
      </c>
      <c r="F1422" s="137">
        <f t="shared" ref="F1422" si="236">C1422*E1422</f>
        <v>4443.3599999999997</v>
      </c>
      <c r="G1422" s="217" t="s">
        <v>2377</v>
      </c>
    </row>
    <row r="1423" spans="1:7" s="30" customFormat="1" ht="14.45">
      <c r="A1423" s="59"/>
      <c r="B1423" s="100"/>
      <c r="C1423" s="61"/>
      <c r="D1423" s="62"/>
      <c r="E1423" s="157"/>
      <c r="F1423" s="137"/>
      <c r="G1423" s="217"/>
    </row>
    <row r="1424" spans="1:7" s="30" customFormat="1" ht="14.45">
      <c r="A1424" s="66" t="s">
        <v>48</v>
      </c>
      <c r="B1424" s="67" t="s">
        <v>2562</v>
      </c>
      <c r="C1424" s="68" t="s">
        <v>304</v>
      </c>
      <c r="D1424" s="69" t="s">
        <v>63</v>
      </c>
      <c r="E1424" s="157">
        <v>4443.3599999999997</v>
      </c>
      <c r="F1424" s="137">
        <f t="shared" ref="F1424" si="237">C1424*E1424</f>
        <v>4443.3599999999997</v>
      </c>
      <c r="G1424" s="217" t="s">
        <v>2377</v>
      </c>
    </row>
    <row r="1425" spans="1:7" s="30" customFormat="1" ht="14.45">
      <c r="A1425" s="59"/>
      <c r="B1425" s="100"/>
      <c r="C1425" s="61"/>
      <c r="D1425" s="62"/>
      <c r="E1425" s="157"/>
      <c r="F1425" s="137"/>
      <c r="G1425" s="217"/>
    </row>
    <row r="1426" spans="1:7" s="30" customFormat="1" ht="14.45">
      <c r="A1426" s="66" t="s">
        <v>84</v>
      </c>
      <c r="B1426" s="67" t="s">
        <v>2563</v>
      </c>
      <c r="C1426" s="68" t="s">
        <v>304</v>
      </c>
      <c r="D1426" s="69" t="s">
        <v>63</v>
      </c>
      <c r="E1426" s="157">
        <v>4443.3599999999997</v>
      </c>
      <c r="F1426" s="137">
        <f t="shared" ref="F1426" si="238">C1426*E1426</f>
        <v>4443.3599999999997</v>
      </c>
      <c r="G1426" s="217" t="s">
        <v>2377</v>
      </c>
    </row>
    <row r="1427" spans="1:7" s="30" customFormat="1" ht="14.45">
      <c r="A1427" s="59"/>
      <c r="B1427" s="100"/>
      <c r="C1427" s="61"/>
      <c r="D1427" s="62"/>
      <c r="E1427" s="157"/>
      <c r="F1427" s="137"/>
      <c r="G1427" s="217"/>
    </row>
    <row r="1428" spans="1:7" s="30" customFormat="1" ht="14.45">
      <c r="A1428" s="66" t="s">
        <v>86</v>
      </c>
      <c r="B1428" s="67" t="s">
        <v>2564</v>
      </c>
      <c r="C1428" s="68" t="s">
        <v>152</v>
      </c>
      <c r="D1428" s="69" t="s">
        <v>63</v>
      </c>
      <c r="E1428" s="157">
        <v>4443.3599999999997</v>
      </c>
      <c r="F1428" s="137">
        <f t="shared" ref="F1428" si="239">C1428*E1428</f>
        <v>8886.7199999999993</v>
      </c>
      <c r="G1428" s="217" t="s">
        <v>2377</v>
      </c>
    </row>
    <row r="1429" spans="1:7" s="30" customFormat="1" ht="14.45">
      <c r="A1429" s="59"/>
      <c r="B1429" s="100"/>
      <c r="C1429" s="61"/>
      <c r="D1429" s="62"/>
      <c r="E1429" s="157"/>
      <c r="F1429" s="137"/>
      <c r="G1429" s="217"/>
    </row>
    <row r="1430" spans="1:7" s="30" customFormat="1" ht="14.45">
      <c r="A1430" s="66" t="s">
        <v>90</v>
      </c>
      <c r="B1430" s="67" t="s">
        <v>2565</v>
      </c>
      <c r="C1430" s="68" t="s">
        <v>304</v>
      </c>
      <c r="D1430" s="69" t="s">
        <v>63</v>
      </c>
      <c r="E1430" s="157">
        <v>4443.3599999999997</v>
      </c>
      <c r="F1430" s="137">
        <f t="shared" ref="F1430" si="240">C1430*E1430</f>
        <v>4443.3599999999997</v>
      </c>
      <c r="G1430" s="217" t="s">
        <v>2377</v>
      </c>
    </row>
    <row r="1431" spans="1:7" s="30" customFormat="1" ht="14.45">
      <c r="A1431" s="59"/>
      <c r="B1431" s="100"/>
      <c r="C1431" s="61"/>
      <c r="D1431" s="62"/>
      <c r="E1431" s="157"/>
      <c r="F1431" s="137"/>
      <c r="G1431" s="217"/>
    </row>
    <row r="1432" spans="1:7" s="30" customFormat="1" ht="14.45">
      <c r="A1432" s="66" t="s">
        <v>92</v>
      </c>
      <c r="B1432" s="67" t="s">
        <v>2566</v>
      </c>
      <c r="C1432" s="68" t="s">
        <v>304</v>
      </c>
      <c r="D1432" s="69" t="s">
        <v>63</v>
      </c>
      <c r="E1432" s="157">
        <v>4443.3599999999997</v>
      </c>
      <c r="F1432" s="137">
        <f t="shared" ref="F1432" si="241">C1432*E1432</f>
        <v>4443.3599999999997</v>
      </c>
      <c r="G1432" s="217" t="s">
        <v>2377</v>
      </c>
    </row>
    <row r="1433" spans="1:7" s="30" customFormat="1" ht="10.5" customHeight="1">
      <c r="A1433" s="59"/>
      <c r="B1433" s="100"/>
      <c r="C1433" s="61"/>
      <c r="D1433" s="62"/>
      <c r="E1433" s="157"/>
      <c r="F1433" s="137"/>
      <c r="G1433" s="217"/>
    </row>
    <row r="1434" spans="1:7" s="30" customFormat="1" ht="14.45">
      <c r="A1434" s="66" t="s">
        <v>94</v>
      </c>
      <c r="B1434" s="67" t="s">
        <v>2567</v>
      </c>
      <c r="C1434" s="68" t="s">
        <v>304</v>
      </c>
      <c r="D1434" s="69" t="s">
        <v>63</v>
      </c>
      <c r="E1434" s="157">
        <v>4443.3599999999997</v>
      </c>
      <c r="F1434" s="137">
        <f t="shared" ref="F1434" si="242">C1434*E1434</f>
        <v>4443.3599999999997</v>
      </c>
      <c r="G1434" s="217" t="s">
        <v>2377</v>
      </c>
    </row>
    <row r="1435" spans="1:7" s="30" customFormat="1" ht="10.5" customHeight="1">
      <c r="A1435" s="59"/>
      <c r="B1435" s="100"/>
      <c r="C1435" s="61"/>
      <c r="D1435" s="62"/>
      <c r="E1435" s="157"/>
      <c r="F1435" s="137"/>
      <c r="G1435" s="217"/>
    </row>
    <row r="1436" spans="1:7" s="30" customFormat="1" ht="14.45">
      <c r="A1436" s="66" t="s">
        <v>140</v>
      </c>
      <c r="B1436" s="67" t="s">
        <v>2568</v>
      </c>
      <c r="C1436" s="68" t="s">
        <v>304</v>
      </c>
      <c r="D1436" s="69" t="s">
        <v>63</v>
      </c>
      <c r="E1436" s="157">
        <v>4443.3599999999997</v>
      </c>
      <c r="F1436" s="137">
        <f t="shared" ref="F1436" si="243">C1436*E1436</f>
        <v>4443.3599999999997</v>
      </c>
      <c r="G1436" s="217" t="s">
        <v>2377</v>
      </c>
    </row>
    <row r="1437" spans="1:7" s="30" customFormat="1" ht="12.75" customHeight="1">
      <c r="A1437" s="59"/>
      <c r="B1437" s="100"/>
      <c r="C1437" s="61"/>
      <c r="D1437" s="62"/>
      <c r="E1437" s="157"/>
      <c r="F1437" s="137"/>
      <c r="G1437" s="217"/>
    </row>
    <row r="1438" spans="1:7" s="30" customFormat="1" ht="14.45">
      <c r="A1438" s="66" t="s">
        <v>159</v>
      </c>
      <c r="B1438" s="67" t="s">
        <v>2569</v>
      </c>
      <c r="C1438" s="68" t="s">
        <v>304</v>
      </c>
      <c r="D1438" s="69" t="s">
        <v>63</v>
      </c>
      <c r="E1438" s="157">
        <v>4443.3599999999997</v>
      </c>
      <c r="F1438" s="137">
        <f t="shared" ref="F1438" si="244">C1438*E1438</f>
        <v>4443.3599999999997</v>
      </c>
      <c r="G1438" s="217" t="s">
        <v>2377</v>
      </c>
    </row>
    <row r="1439" spans="1:7" s="30" customFormat="1" ht="8.25" customHeight="1">
      <c r="A1439" s="59"/>
      <c r="B1439" s="100"/>
      <c r="C1439" s="61"/>
      <c r="D1439" s="62"/>
      <c r="E1439" s="157"/>
      <c r="F1439" s="137"/>
      <c r="G1439" s="217"/>
    </row>
    <row r="1440" spans="1:7" s="30" customFormat="1" ht="14.45">
      <c r="A1440" s="66" t="s">
        <v>162</v>
      </c>
      <c r="B1440" s="67" t="s">
        <v>2570</v>
      </c>
      <c r="C1440" s="68" t="s">
        <v>304</v>
      </c>
      <c r="D1440" s="69" t="s">
        <v>63</v>
      </c>
      <c r="E1440" s="157">
        <v>4443.3599999999997</v>
      </c>
      <c r="F1440" s="137">
        <f t="shared" ref="F1440" si="245">C1440*E1440</f>
        <v>4443.3599999999997</v>
      </c>
      <c r="G1440" s="217" t="s">
        <v>2377</v>
      </c>
    </row>
    <row r="1441" spans="1:7" s="30" customFormat="1" ht="11.25" customHeight="1">
      <c r="A1441" s="59"/>
      <c r="B1441" s="100"/>
      <c r="C1441" s="61"/>
      <c r="D1441" s="62"/>
      <c r="E1441" s="157"/>
      <c r="F1441" s="137"/>
      <c r="G1441" s="217"/>
    </row>
    <row r="1442" spans="1:7" s="30" customFormat="1" ht="14.45">
      <c r="A1442" s="66" t="s">
        <v>164</v>
      </c>
      <c r="B1442" s="67" t="s">
        <v>2571</v>
      </c>
      <c r="C1442" s="68" t="s">
        <v>304</v>
      </c>
      <c r="D1442" s="69" t="s">
        <v>63</v>
      </c>
      <c r="E1442" s="157">
        <v>4443.3599999999997</v>
      </c>
      <c r="F1442" s="137">
        <f t="shared" ref="F1442" si="246">C1442*E1442</f>
        <v>4443.3599999999997</v>
      </c>
      <c r="G1442" s="217" t="s">
        <v>2377</v>
      </c>
    </row>
    <row r="1443" spans="1:7" s="30" customFormat="1" ht="11.25" customHeight="1">
      <c r="A1443" s="59"/>
      <c r="B1443" s="100"/>
      <c r="C1443" s="61"/>
      <c r="D1443" s="62"/>
      <c r="E1443" s="157"/>
      <c r="F1443" s="137"/>
      <c r="G1443" s="217"/>
    </row>
    <row r="1444" spans="1:7" s="30" customFormat="1" ht="14.45">
      <c r="A1444" s="66" t="s">
        <v>166</v>
      </c>
      <c r="B1444" s="67" t="s">
        <v>2572</v>
      </c>
      <c r="C1444" s="68" t="s">
        <v>304</v>
      </c>
      <c r="D1444" s="69" t="s">
        <v>63</v>
      </c>
      <c r="E1444" s="157">
        <v>4443.3599999999997</v>
      </c>
      <c r="F1444" s="137">
        <f t="shared" ref="F1444" si="247">C1444*E1444</f>
        <v>4443.3599999999997</v>
      </c>
      <c r="G1444" s="217" t="s">
        <v>2377</v>
      </c>
    </row>
    <row r="1445" spans="1:7" s="30" customFormat="1" ht="8.25" customHeight="1">
      <c r="A1445" s="59"/>
      <c r="B1445" s="100"/>
      <c r="C1445" s="61"/>
      <c r="D1445" s="62"/>
      <c r="E1445" s="157"/>
      <c r="F1445" s="137"/>
      <c r="G1445" s="217"/>
    </row>
    <row r="1446" spans="1:7" s="30" customFormat="1" ht="14.45">
      <c r="A1446" s="66" t="s">
        <v>168</v>
      </c>
      <c r="B1446" s="67" t="s">
        <v>2573</v>
      </c>
      <c r="C1446" s="68" t="s">
        <v>304</v>
      </c>
      <c r="D1446" s="69" t="s">
        <v>63</v>
      </c>
      <c r="E1446" s="157">
        <v>4443.3599999999997</v>
      </c>
      <c r="F1446" s="137">
        <f t="shared" ref="F1446" si="248">C1446*E1446</f>
        <v>4443.3599999999997</v>
      </c>
      <c r="G1446" s="217" t="s">
        <v>2377</v>
      </c>
    </row>
    <row r="1447" spans="1:7" s="30" customFormat="1" ht="14.45">
      <c r="A1447" s="59"/>
      <c r="B1447" s="100"/>
      <c r="C1447" s="61"/>
      <c r="D1447" s="62"/>
      <c r="E1447" s="157"/>
      <c r="F1447" s="137"/>
      <c r="G1447" s="217"/>
    </row>
    <row r="1448" spans="1:7" s="30" customFormat="1" ht="14.45">
      <c r="A1448" s="66" t="s">
        <v>170</v>
      </c>
      <c r="B1448" s="67" t="s">
        <v>2574</v>
      </c>
      <c r="C1448" s="68" t="s">
        <v>304</v>
      </c>
      <c r="D1448" s="69" t="s">
        <v>63</v>
      </c>
      <c r="E1448" s="157">
        <v>4443.3599999999997</v>
      </c>
      <c r="F1448" s="137">
        <f t="shared" ref="F1448" si="249">C1448*E1448</f>
        <v>4443.3599999999997</v>
      </c>
      <c r="G1448" s="217" t="s">
        <v>2377</v>
      </c>
    </row>
    <row r="1449" spans="1:7" s="30" customFormat="1" ht="14.45">
      <c r="A1449" s="59"/>
      <c r="B1449" s="100"/>
      <c r="C1449" s="61"/>
      <c r="D1449" s="62"/>
      <c r="E1449" s="157"/>
      <c r="F1449" s="137"/>
      <c r="G1449" s="217"/>
    </row>
    <row r="1450" spans="1:7" s="30" customFormat="1" ht="14.45">
      <c r="A1450" s="66" t="s">
        <v>172</v>
      </c>
      <c r="B1450" s="67" t="s">
        <v>2575</v>
      </c>
      <c r="C1450" s="68" t="s">
        <v>304</v>
      </c>
      <c r="D1450" s="69" t="s">
        <v>63</v>
      </c>
      <c r="E1450" s="157">
        <v>4443.3599999999997</v>
      </c>
      <c r="F1450" s="137">
        <f t="shared" ref="F1450" si="250">C1450*E1450</f>
        <v>4443.3599999999997</v>
      </c>
      <c r="G1450" s="217" t="s">
        <v>2377</v>
      </c>
    </row>
    <row r="1451" spans="1:7" s="30" customFormat="1" ht="14.45">
      <c r="A1451" s="59"/>
      <c r="B1451" s="100"/>
      <c r="C1451" s="61"/>
      <c r="D1451" s="62"/>
      <c r="E1451" s="157"/>
      <c r="F1451" s="137"/>
      <c r="G1451" s="217"/>
    </row>
    <row r="1452" spans="1:7" s="30" customFormat="1" ht="14.45">
      <c r="A1452" s="66" t="s">
        <v>1615</v>
      </c>
      <c r="B1452" s="67" t="s">
        <v>2576</v>
      </c>
      <c r="C1452" s="68" t="s">
        <v>304</v>
      </c>
      <c r="D1452" s="69" t="s">
        <v>63</v>
      </c>
      <c r="E1452" s="157">
        <v>4443.3599999999997</v>
      </c>
      <c r="F1452" s="137">
        <f t="shared" ref="F1452" si="251">C1452*E1452</f>
        <v>4443.3599999999997</v>
      </c>
      <c r="G1452" s="217" t="s">
        <v>2377</v>
      </c>
    </row>
    <row r="1453" spans="1:7" s="30" customFormat="1" ht="14.45">
      <c r="A1453" s="59"/>
      <c r="B1453" s="100"/>
      <c r="C1453" s="61"/>
      <c r="D1453" s="62"/>
      <c r="E1453" s="157"/>
      <c r="F1453" s="137"/>
      <c r="G1453" s="217"/>
    </row>
    <row r="1454" spans="1:7" s="30" customFormat="1" ht="14.45">
      <c r="A1454" s="66" t="s">
        <v>1617</v>
      </c>
      <c r="B1454" s="67" t="s">
        <v>2577</v>
      </c>
      <c r="C1454" s="68" t="s">
        <v>304</v>
      </c>
      <c r="D1454" s="69" t="s">
        <v>63</v>
      </c>
      <c r="E1454" s="157">
        <v>4443.3599999999997</v>
      </c>
      <c r="F1454" s="137">
        <f t="shared" ref="F1454" si="252">C1454*E1454</f>
        <v>4443.3599999999997</v>
      </c>
      <c r="G1454" s="217" t="s">
        <v>2377</v>
      </c>
    </row>
    <row r="1455" spans="1:7" s="30" customFormat="1" ht="28.9">
      <c r="A1455" s="59"/>
      <c r="B1455" s="230" t="s">
        <v>323</v>
      </c>
      <c r="C1455" s="61"/>
      <c r="D1455" s="62"/>
      <c r="E1455" s="157"/>
      <c r="F1455" s="137"/>
      <c r="G1455" s="217"/>
    </row>
    <row r="1456" spans="1:7" s="30" customFormat="1" ht="14.45">
      <c r="A1456" s="71"/>
      <c r="B1456" s="72"/>
      <c r="C1456" s="73"/>
      <c r="D1456" s="74"/>
      <c r="E1456" s="159"/>
      <c r="F1456" s="138"/>
      <c r="G1456" s="226"/>
    </row>
    <row r="1457" spans="1:7" s="30" customFormat="1" ht="14.45">
      <c r="A1457" s="75"/>
      <c r="B1457" s="76"/>
      <c r="C1457" s="77" t="s">
        <v>30</v>
      </c>
      <c r="D1457" s="77"/>
      <c r="E1457" s="160" t="s">
        <v>8</v>
      </c>
      <c r="F1457" s="139">
        <f>SUM(F1411:F1455)</f>
        <v>102197.28</v>
      </c>
      <c r="G1457" s="227"/>
    </row>
    <row r="1458" spans="1:7" s="30" customFormat="1" ht="14.45">
      <c r="A1458" s="75"/>
      <c r="B1458" s="76"/>
      <c r="C1458" s="78"/>
      <c r="D1458" s="79"/>
      <c r="E1458" s="161"/>
      <c r="F1458" s="140"/>
      <c r="G1458" s="228"/>
    </row>
    <row r="1459" spans="1:7" s="30" customFormat="1" ht="14.45">
      <c r="A1459" s="59"/>
      <c r="B1459" s="63"/>
      <c r="C1459" s="61"/>
      <c r="D1459" s="62"/>
      <c r="E1459" s="157"/>
      <c r="F1459" s="137"/>
      <c r="G1459" s="217"/>
    </row>
    <row r="1460" spans="1:7" s="30" customFormat="1" ht="14.45">
      <c r="A1460" s="59"/>
      <c r="B1460" s="64" t="s">
        <v>1950</v>
      </c>
      <c r="C1460" s="61"/>
      <c r="D1460" s="62"/>
      <c r="E1460" s="157"/>
      <c r="F1460" s="137"/>
      <c r="G1460" s="217"/>
    </row>
    <row r="1461" spans="1:7" s="30" customFormat="1" ht="14.45">
      <c r="A1461" s="59"/>
      <c r="B1461" s="100"/>
      <c r="C1461" s="61"/>
      <c r="D1461" s="62"/>
      <c r="E1461" s="157"/>
      <c r="F1461" s="137"/>
      <c r="G1461" s="217"/>
    </row>
    <row r="1462" spans="1:7" s="30" customFormat="1" ht="14.45">
      <c r="A1462" s="66" t="s">
        <v>14</v>
      </c>
      <c r="B1462" s="67" t="s">
        <v>2578</v>
      </c>
      <c r="C1462" s="68" t="s">
        <v>304</v>
      </c>
      <c r="D1462" s="69" t="s">
        <v>63</v>
      </c>
      <c r="E1462" s="157">
        <v>4443.3599999999997</v>
      </c>
      <c r="F1462" s="137">
        <f t="shared" ref="F1462" si="253">C1462*E1462</f>
        <v>4443.3599999999997</v>
      </c>
      <c r="G1462" s="217" t="s">
        <v>2377</v>
      </c>
    </row>
    <row r="1463" spans="1:7" s="30" customFormat="1" ht="14.45">
      <c r="A1463" s="59"/>
      <c r="B1463" s="100"/>
      <c r="C1463" s="61"/>
      <c r="D1463" s="62"/>
      <c r="E1463" s="157"/>
      <c r="F1463" s="137"/>
      <c r="G1463" s="217"/>
    </row>
    <row r="1464" spans="1:7" s="30" customFormat="1" ht="14.45">
      <c r="A1464" s="66" t="s">
        <v>17</v>
      </c>
      <c r="B1464" s="67" t="s">
        <v>2579</v>
      </c>
      <c r="C1464" s="68" t="s">
        <v>304</v>
      </c>
      <c r="D1464" s="69" t="s">
        <v>63</v>
      </c>
      <c r="E1464" s="157">
        <v>4443.3599999999997</v>
      </c>
      <c r="F1464" s="137">
        <f t="shared" ref="F1464" si="254">C1464*E1464</f>
        <v>4443.3599999999997</v>
      </c>
      <c r="G1464" s="217" t="s">
        <v>2377</v>
      </c>
    </row>
    <row r="1465" spans="1:7" s="30" customFormat="1" ht="14.45">
      <c r="A1465" s="59"/>
      <c r="B1465" s="100"/>
      <c r="C1465" s="61"/>
      <c r="D1465" s="62"/>
      <c r="E1465" s="157"/>
      <c r="F1465" s="137"/>
      <c r="G1465" s="217"/>
    </row>
    <row r="1466" spans="1:7" s="30" customFormat="1" ht="14.45">
      <c r="A1466" s="66" t="s">
        <v>20</v>
      </c>
      <c r="B1466" s="67" t="s">
        <v>2580</v>
      </c>
      <c r="C1466" s="68" t="s">
        <v>304</v>
      </c>
      <c r="D1466" s="69" t="s">
        <v>63</v>
      </c>
      <c r="E1466" s="157">
        <v>4443.3599999999997</v>
      </c>
      <c r="F1466" s="137">
        <f t="shared" ref="F1466" si="255">C1466*E1466</f>
        <v>4443.3599999999997</v>
      </c>
      <c r="G1466" s="217" t="s">
        <v>2377</v>
      </c>
    </row>
    <row r="1467" spans="1:7" s="30" customFormat="1" ht="11.25" customHeight="1">
      <c r="A1467" s="59"/>
      <c r="B1467" s="100"/>
      <c r="C1467" s="61"/>
      <c r="D1467" s="62"/>
      <c r="E1467" s="157"/>
      <c r="F1467" s="137"/>
      <c r="G1467" s="217"/>
    </row>
    <row r="1468" spans="1:7" s="30" customFormat="1" ht="14.45">
      <c r="A1468" s="66" t="s">
        <v>23</v>
      </c>
      <c r="B1468" s="67" t="s">
        <v>2581</v>
      </c>
      <c r="C1468" s="68" t="s">
        <v>304</v>
      </c>
      <c r="D1468" s="69" t="s">
        <v>63</v>
      </c>
      <c r="E1468" s="157">
        <v>4443.3599999999997</v>
      </c>
      <c r="F1468" s="137">
        <f t="shared" ref="F1468" si="256">C1468*E1468</f>
        <v>4443.3599999999997</v>
      </c>
      <c r="G1468" s="217" t="s">
        <v>2377</v>
      </c>
    </row>
    <row r="1469" spans="1:7" s="30" customFormat="1" ht="10.5" customHeight="1">
      <c r="A1469" s="59"/>
      <c r="B1469" s="100"/>
      <c r="C1469" s="61"/>
      <c r="D1469" s="62"/>
      <c r="E1469" s="157"/>
      <c r="F1469" s="137"/>
      <c r="G1469" s="217"/>
    </row>
    <row r="1470" spans="1:7" s="30" customFormat="1" ht="14.45">
      <c r="A1470" s="66" t="s">
        <v>27</v>
      </c>
      <c r="B1470" s="67" t="s">
        <v>2582</v>
      </c>
      <c r="C1470" s="68" t="s">
        <v>304</v>
      </c>
      <c r="D1470" s="69" t="s">
        <v>63</v>
      </c>
      <c r="E1470" s="157">
        <v>4443.3599999999997</v>
      </c>
      <c r="F1470" s="137">
        <f t="shared" ref="F1470" si="257">C1470*E1470</f>
        <v>4443.3599999999997</v>
      </c>
      <c r="G1470" s="217" t="s">
        <v>2377</v>
      </c>
    </row>
    <row r="1471" spans="1:7" s="30" customFormat="1" ht="12.75" customHeight="1">
      <c r="A1471" s="59"/>
      <c r="B1471" s="100"/>
      <c r="C1471" s="61"/>
      <c r="D1471" s="62"/>
      <c r="E1471" s="157"/>
      <c r="F1471" s="137"/>
      <c r="G1471" s="217"/>
    </row>
    <row r="1472" spans="1:7" s="30" customFormat="1" ht="14.45">
      <c r="A1472" s="66" t="s">
        <v>44</v>
      </c>
      <c r="B1472" s="67" t="s">
        <v>2583</v>
      </c>
      <c r="C1472" s="68" t="s">
        <v>304</v>
      </c>
      <c r="D1472" s="69" t="s">
        <v>63</v>
      </c>
      <c r="E1472" s="157">
        <v>4443.3599999999997</v>
      </c>
      <c r="F1472" s="137">
        <f t="shared" ref="F1472" si="258">C1472*E1472</f>
        <v>4443.3599999999997</v>
      </c>
      <c r="G1472" s="217" t="s">
        <v>2377</v>
      </c>
    </row>
    <row r="1473" spans="1:7" s="30" customFormat="1" ht="14.45">
      <c r="A1473" s="59"/>
      <c r="B1473" s="100"/>
      <c r="C1473" s="61"/>
      <c r="D1473" s="62"/>
      <c r="E1473" s="157"/>
      <c r="F1473" s="137"/>
      <c r="G1473" s="217"/>
    </row>
    <row r="1474" spans="1:7" s="30" customFormat="1" ht="14.45">
      <c r="A1474" s="66" t="s">
        <v>48</v>
      </c>
      <c r="B1474" s="67" t="s">
        <v>2584</v>
      </c>
      <c r="C1474" s="68" t="s">
        <v>304</v>
      </c>
      <c r="D1474" s="69" t="s">
        <v>63</v>
      </c>
      <c r="E1474" s="157">
        <v>4443.3599999999997</v>
      </c>
      <c r="F1474" s="137">
        <f t="shared" ref="F1474" si="259">C1474*E1474</f>
        <v>4443.3599999999997</v>
      </c>
      <c r="G1474" s="217" t="s">
        <v>2377</v>
      </c>
    </row>
    <row r="1475" spans="1:7" s="30" customFormat="1" ht="14.45">
      <c r="A1475" s="59"/>
      <c r="B1475" s="100"/>
      <c r="C1475" s="61"/>
      <c r="D1475" s="62"/>
      <c r="E1475" s="157"/>
      <c r="F1475" s="137"/>
      <c r="G1475" s="217"/>
    </row>
    <row r="1476" spans="1:7" s="30" customFormat="1" ht="14.45">
      <c r="A1476" s="66" t="s">
        <v>84</v>
      </c>
      <c r="B1476" s="67" t="s">
        <v>2585</v>
      </c>
      <c r="C1476" s="68" t="s">
        <v>304</v>
      </c>
      <c r="D1476" s="69" t="s">
        <v>63</v>
      </c>
      <c r="E1476" s="157">
        <v>4443.3599999999997</v>
      </c>
      <c r="F1476" s="137">
        <f t="shared" ref="F1476" si="260">C1476*E1476</f>
        <v>4443.3599999999997</v>
      </c>
      <c r="G1476" s="217" t="s">
        <v>2377</v>
      </c>
    </row>
    <row r="1477" spans="1:7" s="30" customFormat="1" ht="14.45">
      <c r="A1477" s="59"/>
      <c r="B1477" s="100"/>
      <c r="C1477" s="61"/>
      <c r="D1477" s="62"/>
      <c r="E1477" s="157"/>
      <c r="F1477" s="137"/>
      <c r="G1477" s="217"/>
    </row>
    <row r="1478" spans="1:7" s="30" customFormat="1" ht="14.45">
      <c r="A1478" s="66" t="s">
        <v>86</v>
      </c>
      <c r="B1478" s="67" t="s">
        <v>2586</v>
      </c>
      <c r="C1478" s="68" t="s">
        <v>304</v>
      </c>
      <c r="D1478" s="69" t="s">
        <v>63</v>
      </c>
      <c r="E1478" s="157">
        <v>4443.3599999999997</v>
      </c>
      <c r="F1478" s="137">
        <f t="shared" ref="F1478" si="261">C1478*E1478</f>
        <v>4443.3599999999997</v>
      </c>
      <c r="G1478" s="217" t="s">
        <v>2377</v>
      </c>
    </row>
    <row r="1479" spans="1:7" s="30" customFormat="1" ht="14.45">
      <c r="A1479" s="59"/>
      <c r="B1479" s="100"/>
      <c r="C1479" s="61"/>
      <c r="D1479" s="62"/>
      <c r="E1479" s="157"/>
      <c r="F1479" s="137"/>
      <c r="G1479" s="217"/>
    </row>
    <row r="1480" spans="1:7" s="30" customFormat="1" ht="14.45">
      <c r="A1480" s="66" t="s">
        <v>90</v>
      </c>
      <c r="B1480" s="67" t="s">
        <v>2587</v>
      </c>
      <c r="C1480" s="68" t="s">
        <v>304</v>
      </c>
      <c r="D1480" s="69" t="s">
        <v>63</v>
      </c>
      <c r="E1480" s="157">
        <v>4443.3599999999997</v>
      </c>
      <c r="F1480" s="137">
        <f t="shared" ref="F1480" si="262">C1480*E1480</f>
        <v>4443.3599999999997</v>
      </c>
      <c r="G1480" s="217" t="s">
        <v>2377</v>
      </c>
    </row>
    <row r="1481" spans="1:7" s="30" customFormat="1" ht="14.45">
      <c r="A1481" s="59"/>
      <c r="B1481" s="100"/>
      <c r="C1481" s="61"/>
      <c r="D1481" s="62"/>
      <c r="E1481" s="157"/>
      <c r="F1481" s="137"/>
      <c r="G1481" s="217"/>
    </row>
    <row r="1482" spans="1:7" s="30" customFormat="1" ht="14.45">
      <c r="A1482" s="66" t="s">
        <v>92</v>
      </c>
      <c r="B1482" s="67" t="s">
        <v>2588</v>
      </c>
      <c r="C1482" s="68" t="s">
        <v>304</v>
      </c>
      <c r="D1482" s="69" t="s">
        <v>63</v>
      </c>
      <c r="E1482" s="157">
        <v>4443.3599999999997</v>
      </c>
      <c r="F1482" s="137">
        <f t="shared" ref="F1482" si="263">C1482*E1482</f>
        <v>4443.3599999999997</v>
      </c>
      <c r="G1482" s="217" t="s">
        <v>2377</v>
      </c>
    </row>
    <row r="1483" spans="1:7" s="30" customFormat="1" ht="10.5" customHeight="1">
      <c r="A1483" s="59"/>
      <c r="B1483" s="100"/>
      <c r="C1483" s="61"/>
      <c r="D1483" s="62"/>
      <c r="E1483" s="157"/>
      <c r="F1483" s="137"/>
      <c r="G1483" s="217"/>
    </row>
    <row r="1484" spans="1:7" s="30" customFormat="1" ht="14.45">
      <c r="A1484" s="66" t="s">
        <v>94</v>
      </c>
      <c r="B1484" s="67" t="s">
        <v>2589</v>
      </c>
      <c r="C1484" s="68" t="s">
        <v>304</v>
      </c>
      <c r="D1484" s="69" t="s">
        <v>63</v>
      </c>
      <c r="E1484" s="157">
        <v>4443.3599999999997</v>
      </c>
      <c r="F1484" s="137">
        <f t="shared" ref="F1484" si="264">C1484*E1484</f>
        <v>4443.3599999999997</v>
      </c>
      <c r="G1484" s="217" t="s">
        <v>2377</v>
      </c>
    </row>
    <row r="1485" spans="1:7" s="30" customFormat="1" ht="14.45">
      <c r="A1485" s="59"/>
      <c r="B1485" s="100"/>
      <c r="C1485" s="61"/>
      <c r="D1485" s="62"/>
      <c r="E1485" s="157"/>
      <c r="F1485" s="137"/>
      <c r="G1485" s="217"/>
    </row>
    <row r="1486" spans="1:7" s="30" customFormat="1" ht="14.45">
      <c r="A1486" s="66" t="s">
        <v>140</v>
      </c>
      <c r="B1486" s="67" t="s">
        <v>2590</v>
      </c>
      <c r="C1486" s="68" t="s">
        <v>304</v>
      </c>
      <c r="D1486" s="69" t="s">
        <v>63</v>
      </c>
      <c r="E1486" s="157">
        <v>4443.3599999999997</v>
      </c>
      <c r="F1486" s="137">
        <f t="shared" ref="F1486" si="265">C1486*E1486</f>
        <v>4443.3599999999997</v>
      </c>
      <c r="G1486" s="217" t="s">
        <v>2377</v>
      </c>
    </row>
    <row r="1487" spans="1:7" s="30" customFormat="1" ht="14.45">
      <c r="A1487" s="59"/>
      <c r="B1487" s="100"/>
      <c r="C1487" s="61"/>
      <c r="D1487" s="62"/>
      <c r="E1487" s="157"/>
      <c r="F1487" s="137"/>
      <c r="G1487" s="217"/>
    </row>
    <row r="1488" spans="1:7" s="30" customFormat="1" ht="14.45">
      <c r="A1488" s="66" t="s">
        <v>159</v>
      </c>
      <c r="B1488" s="67" t="s">
        <v>2591</v>
      </c>
      <c r="C1488" s="68" t="s">
        <v>304</v>
      </c>
      <c r="D1488" s="69" t="s">
        <v>63</v>
      </c>
      <c r="E1488" s="157">
        <v>4443.3599999999997</v>
      </c>
      <c r="F1488" s="137">
        <f t="shared" ref="F1488" si="266">C1488*E1488</f>
        <v>4443.3599999999997</v>
      </c>
      <c r="G1488" s="217" t="s">
        <v>2377</v>
      </c>
    </row>
    <row r="1489" spans="1:7" s="30" customFormat="1" ht="14.45">
      <c r="A1489" s="59"/>
      <c r="B1489" s="100"/>
      <c r="C1489" s="61"/>
      <c r="D1489" s="62"/>
      <c r="E1489" s="157"/>
      <c r="F1489" s="137"/>
      <c r="G1489" s="217"/>
    </row>
    <row r="1490" spans="1:7" s="30" customFormat="1" ht="14.45">
      <c r="A1490" s="66" t="s">
        <v>162</v>
      </c>
      <c r="B1490" s="67" t="s">
        <v>2592</v>
      </c>
      <c r="C1490" s="68" t="s">
        <v>304</v>
      </c>
      <c r="D1490" s="69" t="s">
        <v>63</v>
      </c>
      <c r="E1490" s="157">
        <v>4443.3599999999997</v>
      </c>
      <c r="F1490" s="137">
        <f t="shared" ref="F1490" si="267">C1490*E1490</f>
        <v>4443.3599999999997</v>
      </c>
      <c r="G1490" s="217" t="s">
        <v>2377</v>
      </c>
    </row>
    <row r="1491" spans="1:7" s="30" customFormat="1" ht="12.75" customHeight="1">
      <c r="A1491" s="59"/>
      <c r="B1491" s="100"/>
      <c r="C1491" s="61"/>
      <c r="D1491" s="62"/>
      <c r="E1491" s="157"/>
      <c r="F1491" s="137"/>
      <c r="G1491" s="217"/>
    </row>
    <row r="1492" spans="1:7" s="30" customFormat="1" ht="14.45">
      <c r="A1492" s="66" t="s">
        <v>164</v>
      </c>
      <c r="B1492" s="67" t="s">
        <v>2593</v>
      </c>
      <c r="C1492" s="68" t="s">
        <v>304</v>
      </c>
      <c r="D1492" s="69" t="s">
        <v>63</v>
      </c>
      <c r="E1492" s="157">
        <v>4443.3599999999997</v>
      </c>
      <c r="F1492" s="137">
        <f t="shared" ref="F1492" si="268">C1492*E1492</f>
        <v>4443.3599999999997</v>
      </c>
      <c r="G1492" s="217" t="s">
        <v>2377</v>
      </c>
    </row>
    <row r="1493" spans="1:7" s="30" customFormat="1" ht="9" customHeight="1">
      <c r="A1493" s="59"/>
      <c r="B1493" s="100"/>
      <c r="C1493" s="61"/>
      <c r="D1493" s="62"/>
      <c r="E1493" s="157"/>
      <c r="F1493" s="137"/>
      <c r="G1493" s="217"/>
    </row>
    <row r="1494" spans="1:7" s="30" customFormat="1" ht="14.45">
      <c r="A1494" s="66" t="s">
        <v>166</v>
      </c>
      <c r="B1494" s="67" t="s">
        <v>2594</v>
      </c>
      <c r="C1494" s="68" t="s">
        <v>304</v>
      </c>
      <c r="D1494" s="69" t="s">
        <v>63</v>
      </c>
      <c r="E1494" s="157">
        <v>4443.3599999999997</v>
      </c>
      <c r="F1494" s="137">
        <f t="shared" ref="F1494" si="269">C1494*E1494</f>
        <v>4443.3599999999997</v>
      </c>
      <c r="G1494" s="217" t="s">
        <v>2377</v>
      </c>
    </row>
    <row r="1495" spans="1:7" s="30" customFormat="1" ht="14.45">
      <c r="A1495" s="59"/>
      <c r="B1495" s="100"/>
      <c r="C1495" s="61"/>
      <c r="D1495" s="62"/>
      <c r="E1495" s="157"/>
      <c r="F1495" s="137"/>
      <c r="G1495" s="217"/>
    </row>
    <row r="1496" spans="1:7" s="30" customFormat="1" ht="14.45">
      <c r="A1496" s="66" t="s">
        <v>168</v>
      </c>
      <c r="B1496" s="67" t="s">
        <v>2595</v>
      </c>
      <c r="C1496" s="68" t="s">
        <v>304</v>
      </c>
      <c r="D1496" s="69" t="s">
        <v>63</v>
      </c>
      <c r="E1496" s="157">
        <v>4443.3599999999997</v>
      </c>
      <c r="F1496" s="137">
        <f t="shared" ref="F1496" si="270">C1496*E1496</f>
        <v>4443.3599999999997</v>
      </c>
      <c r="G1496" s="217" t="s">
        <v>2377</v>
      </c>
    </row>
    <row r="1497" spans="1:7" s="30" customFormat="1" ht="14.45">
      <c r="A1497" s="59"/>
      <c r="B1497" s="100"/>
      <c r="C1497" s="61"/>
      <c r="D1497" s="62"/>
      <c r="E1497" s="157"/>
      <c r="F1497" s="137"/>
      <c r="G1497" s="217"/>
    </row>
    <row r="1498" spans="1:7" s="30" customFormat="1" ht="14.45">
      <c r="A1498" s="66" t="s">
        <v>170</v>
      </c>
      <c r="B1498" s="67" t="s">
        <v>2596</v>
      </c>
      <c r="C1498" s="68" t="s">
        <v>304</v>
      </c>
      <c r="D1498" s="69" t="s">
        <v>63</v>
      </c>
      <c r="E1498" s="157">
        <v>4443.3599999999997</v>
      </c>
      <c r="F1498" s="137">
        <f t="shared" ref="F1498" si="271">C1498*E1498</f>
        <v>4443.3599999999997</v>
      </c>
      <c r="G1498" s="217" t="s">
        <v>2377</v>
      </c>
    </row>
    <row r="1499" spans="1:7" s="30" customFormat="1" ht="14.45">
      <c r="A1499" s="59"/>
      <c r="B1499" s="100"/>
      <c r="C1499" s="61"/>
      <c r="D1499" s="62"/>
      <c r="E1499" s="157"/>
      <c r="F1499" s="137"/>
      <c r="G1499" s="217"/>
    </row>
    <row r="1500" spans="1:7" s="30" customFormat="1" ht="14.45">
      <c r="A1500" s="66" t="s">
        <v>172</v>
      </c>
      <c r="B1500" s="67" t="s">
        <v>2597</v>
      </c>
      <c r="C1500" s="68" t="s">
        <v>304</v>
      </c>
      <c r="D1500" s="69" t="s">
        <v>63</v>
      </c>
      <c r="E1500" s="157">
        <v>4443.3599999999997</v>
      </c>
      <c r="F1500" s="137">
        <f t="shared" ref="F1500" si="272">C1500*E1500</f>
        <v>4443.3599999999997</v>
      </c>
      <c r="G1500" s="217" t="s">
        <v>2377</v>
      </c>
    </row>
    <row r="1501" spans="1:7" s="30" customFormat="1" ht="14.45">
      <c r="A1501" s="59"/>
      <c r="B1501" s="100"/>
      <c r="C1501" s="61"/>
      <c r="D1501" s="62"/>
      <c r="E1501" s="157"/>
      <c r="F1501" s="137"/>
      <c r="G1501" s="217"/>
    </row>
    <row r="1502" spans="1:7" s="30" customFormat="1" ht="14.45">
      <c r="A1502" s="66" t="s">
        <v>1615</v>
      </c>
      <c r="B1502" s="67" t="s">
        <v>2598</v>
      </c>
      <c r="C1502" s="68" t="s">
        <v>304</v>
      </c>
      <c r="D1502" s="69" t="s">
        <v>63</v>
      </c>
      <c r="E1502" s="157">
        <v>4443.3599999999997</v>
      </c>
      <c r="F1502" s="137">
        <f t="shared" ref="F1502" si="273">C1502*E1502</f>
        <v>4443.3599999999997</v>
      </c>
      <c r="G1502" s="217" t="s">
        <v>2377</v>
      </c>
    </row>
    <row r="1503" spans="1:7" s="30" customFormat="1" ht="14.45">
      <c r="A1503" s="59"/>
      <c r="B1503" s="100"/>
      <c r="C1503" s="61"/>
      <c r="D1503" s="62"/>
      <c r="E1503" s="157"/>
      <c r="F1503" s="137"/>
      <c r="G1503" s="217"/>
    </row>
    <row r="1504" spans="1:7" s="30" customFormat="1" ht="14.45">
      <c r="A1504" s="66" t="s">
        <v>1617</v>
      </c>
      <c r="B1504" s="67" t="s">
        <v>2599</v>
      </c>
      <c r="C1504" s="68" t="s">
        <v>304</v>
      </c>
      <c r="D1504" s="69" t="s">
        <v>63</v>
      </c>
      <c r="E1504" s="157">
        <v>4443.3599999999997</v>
      </c>
      <c r="F1504" s="137">
        <f t="shared" ref="F1504" si="274">C1504*E1504</f>
        <v>4443.3599999999997</v>
      </c>
      <c r="G1504" s="217" t="s">
        <v>2377</v>
      </c>
    </row>
    <row r="1505" spans="1:7" s="30" customFormat="1" ht="28.9">
      <c r="A1505" s="59"/>
      <c r="B1505" s="230" t="s">
        <v>323</v>
      </c>
      <c r="C1505" s="61"/>
      <c r="D1505" s="62"/>
      <c r="E1505" s="157"/>
      <c r="F1505" s="137"/>
      <c r="G1505" s="217"/>
    </row>
    <row r="1506" spans="1:7" s="30" customFormat="1" ht="14.45">
      <c r="A1506" s="71"/>
      <c r="B1506" s="72"/>
      <c r="C1506" s="73"/>
      <c r="D1506" s="74"/>
      <c r="E1506" s="159"/>
      <c r="F1506" s="138"/>
      <c r="G1506" s="226"/>
    </row>
    <row r="1507" spans="1:7" s="30" customFormat="1" ht="14.45">
      <c r="A1507" s="75"/>
      <c r="B1507" s="76"/>
      <c r="C1507" s="77" t="s">
        <v>30</v>
      </c>
      <c r="D1507" s="77"/>
      <c r="E1507" s="160" t="s">
        <v>8</v>
      </c>
      <c r="F1507" s="139">
        <f>SUM(F1461:F1505)</f>
        <v>97753.919999999998</v>
      </c>
      <c r="G1507" s="227"/>
    </row>
    <row r="1508" spans="1:7" s="30" customFormat="1" ht="14.45">
      <c r="A1508" s="75"/>
      <c r="B1508" s="76"/>
      <c r="C1508" s="78"/>
      <c r="D1508" s="79"/>
      <c r="E1508" s="161"/>
      <c r="F1508" s="140"/>
      <c r="G1508" s="228"/>
    </row>
    <row r="1509" spans="1:7" s="30" customFormat="1" ht="14.45">
      <c r="A1509" s="59"/>
      <c r="B1509" s="63"/>
      <c r="C1509" s="61"/>
      <c r="D1509" s="62"/>
      <c r="E1509" s="157"/>
      <c r="F1509" s="137"/>
      <c r="G1509" s="217"/>
    </row>
    <row r="1510" spans="1:7" s="30" customFormat="1" ht="14.45">
      <c r="A1510" s="59"/>
      <c r="B1510" s="64" t="s">
        <v>1950</v>
      </c>
      <c r="C1510" s="61"/>
      <c r="D1510" s="62"/>
      <c r="E1510" s="157"/>
      <c r="F1510" s="137"/>
      <c r="G1510" s="217"/>
    </row>
    <row r="1511" spans="1:7" s="30" customFormat="1" ht="14.45">
      <c r="A1511" s="59"/>
      <c r="B1511" s="100"/>
      <c r="C1511" s="61"/>
      <c r="D1511" s="62"/>
      <c r="E1511" s="157"/>
      <c r="F1511" s="137"/>
      <c r="G1511" s="217"/>
    </row>
    <row r="1512" spans="1:7" s="30" customFormat="1" ht="14.45">
      <c r="A1512" s="66" t="s">
        <v>14</v>
      </c>
      <c r="B1512" s="67" t="s">
        <v>2600</v>
      </c>
      <c r="C1512" s="68" t="s">
        <v>304</v>
      </c>
      <c r="D1512" s="69" t="s">
        <v>63</v>
      </c>
      <c r="E1512" s="157">
        <v>4443.3599999999997</v>
      </c>
      <c r="F1512" s="137">
        <f t="shared" ref="F1512" si="275">C1512*E1512</f>
        <v>4443.3599999999997</v>
      </c>
      <c r="G1512" s="217" t="s">
        <v>2377</v>
      </c>
    </row>
    <row r="1513" spans="1:7" s="30" customFormat="1" ht="14.45">
      <c r="A1513" s="59"/>
      <c r="B1513" s="100"/>
      <c r="C1513" s="61"/>
      <c r="D1513" s="62"/>
      <c r="E1513" s="157"/>
      <c r="F1513" s="137"/>
      <c r="G1513" s="217"/>
    </row>
    <row r="1514" spans="1:7" s="30" customFormat="1" ht="14.45">
      <c r="A1514" s="66" t="s">
        <v>17</v>
      </c>
      <c r="B1514" s="67" t="s">
        <v>2601</v>
      </c>
      <c r="C1514" s="68" t="s">
        <v>304</v>
      </c>
      <c r="D1514" s="69" t="s">
        <v>63</v>
      </c>
      <c r="E1514" s="157">
        <v>4443.3599999999997</v>
      </c>
      <c r="F1514" s="137">
        <f t="shared" ref="F1514" si="276">C1514*E1514</f>
        <v>4443.3599999999997</v>
      </c>
      <c r="G1514" s="217" t="s">
        <v>2377</v>
      </c>
    </row>
    <row r="1515" spans="1:7" s="30" customFormat="1" ht="14.45">
      <c r="A1515" s="59"/>
      <c r="B1515" s="100"/>
      <c r="C1515" s="61"/>
      <c r="D1515" s="62"/>
      <c r="E1515" s="157"/>
      <c r="F1515" s="137"/>
      <c r="G1515" s="217"/>
    </row>
    <row r="1516" spans="1:7" s="30" customFormat="1" ht="14.45">
      <c r="A1516" s="66" t="s">
        <v>20</v>
      </c>
      <c r="B1516" s="67" t="s">
        <v>2602</v>
      </c>
      <c r="C1516" s="68" t="s">
        <v>304</v>
      </c>
      <c r="D1516" s="69" t="s">
        <v>63</v>
      </c>
      <c r="E1516" s="157">
        <v>4443.3599999999997</v>
      </c>
      <c r="F1516" s="137">
        <f t="shared" ref="F1516" si="277">C1516*E1516</f>
        <v>4443.3599999999997</v>
      </c>
      <c r="G1516" s="217" t="s">
        <v>2377</v>
      </c>
    </row>
    <row r="1517" spans="1:7" s="30" customFormat="1" ht="14.45">
      <c r="A1517" s="59"/>
      <c r="B1517" s="100"/>
      <c r="C1517" s="61"/>
      <c r="D1517" s="62"/>
      <c r="E1517" s="157"/>
      <c r="F1517" s="137"/>
      <c r="G1517" s="217"/>
    </row>
    <row r="1518" spans="1:7" s="30" customFormat="1" ht="14.45">
      <c r="A1518" s="66" t="s">
        <v>23</v>
      </c>
      <c r="B1518" s="67" t="s">
        <v>2603</v>
      </c>
      <c r="C1518" s="68" t="s">
        <v>304</v>
      </c>
      <c r="D1518" s="69" t="s">
        <v>63</v>
      </c>
      <c r="E1518" s="157">
        <v>4443.3599999999997</v>
      </c>
      <c r="F1518" s="137">
        <f t="shared" ref="F1518" si="278">C1518*E1518</f>
        <v>4443.3599999999997</v>
      </c>
      <c r="G1518" s="217" t="s">
        <v>2377</v>
      </c>
    </row>
    <row r="1519" spans="1:7" s="30" customFormat="1" ht="14.45">
      <c r="A1519" s="59"/>
      <c r="B1519" s="100"/>
      <c r="C1519" s="61"/>
      <c r="D1519" s="62"/>
      <c r="E1519" s="157"/>
      <c r="F1519" s="137"/>
      <c r="G1519" s="217"/>
    </row>
    <row r="1520" spans="1:7" s="30" customFormat="1" ht="14.45">
      <c r="A1520" s="66" t="s">
        <v>27</v>
      </c>
      <c r="B1520" s="67" t="s">
        <v>2604</v>
      </c>
      <c r="C1520" s="68" t="s">
        <v>304</v>
      </c>
      <c r="D1520" s="69" t="s">
        <v>63</v>
      </c>
      <c r="E1520" s="157">
        <v>4443.3599999999997</v>
      </c>
      <c r="F1520" s="137">
        <f t="shared" ref="F1520" si="279">C1520*E1520</f>
        <v>4443.3599999999997</v>
      </c>
      <c r="G1520" s="217" t="s">
        <v>2377</v>
      </c>
    </row>
    <row r="1521" spans="1:7" s="30" customFormat="1" ht="14.45">
      <c r="A1521" s="59"/>
      <c r="B1521" s="100"/>
      <c r="C1521" s="61"/>
      <c r="D1521" s="62"/>
      <c r="E1521" s="157"/>
      <c r="F1521" s="137"/>
      <c r="G1521" s="217"/>
    </row>
    <row r="1522" spans="1:7" s="30" customFormat="1" ht="14.45">
      <c r="A1522" s="66" t="s">
        <v>44</v>
      </c>
      <c r="B1522" s="67" t="s">
        <v>2605</v>
      </c>
      <c r="C1522" s="68" t="s">
        <v>304</v>
      </c>
      <c r="D1522" s="69" t="s">
        <v>63</v>
      </c>
      <c r="E1522" s="157">
        <v>4443.3599999999997</v>
      </c>
      <c r="F1522" s="137">
        <f t="shared" ref="F1522" si="280">C1522*E1522</f>
        <v>4443.3599999999997</v>
      </c>
      <c r="G1522" s="217" t="s">
        <v>2377</v>
      </c>
    </row>
    <row r="1523" spans="1:7" s="30" customFormat="1" ht="14.45">
      <c r="A1523" s="59"/>
      <c r="B1523" s="100"/>
      <c r="C1523" s="61"/>
      <c r="D1523" s="62"/>
      <c r="E1523" s="157"/>
      <c r="F1523" s="137"/>
      <c r="G1523" s="217"/>
    </row>
    <row r="1524" spans="1:7" s="30" customFormat="1" ht="14.45">
      <c r="A1524" s="66" t="s">
        <v>48</v>
      </c>
      <c r="B1524" s="67" t="s">
        <v>2606</v>
      </c>
      <c r="C1524" s="68" t="s">
        <v>304</v>
      </c>
      <c r="D1524" s="69" t="s">
        <v>63</v>
      </c>
      <c r="E1524" s="157">
        <v>4443.3599999999997</v>
      </c>
      <c r="F1524" s="137">
        <f t="shared" ref="F1524" si="281">C1524*E1524</f>
        <v>4443.3599999999997</v>
      </c>
      <c r="G1524" s="217" t="s">
        <v>2377</v>
      </c>
    </row>
    <row r="1525" spans="1:7" s="30" customFormat="1" ht="14.45">
      <c r="A1525" s="59"/>
      <c r="B1525" s="100"/>
      <c r="C1525" s="61"/>
      <c r="D1525" s="62"/>
      <c r="E1525" s="157"/>
      <c r="F1525" s="137"/>
      <c r="G1525" s="217"/>
    </row>
    <row r="1526" spans="1:7" s="30" customFormat="1" ht="14.45">
      <c r="A1526" s="66" t="s">
        <v>84</v>
      </c>
      <c r="B1526" s="67" t="s">
        <v>2607</v>
      </c>
      <c r="C1526" s="68" t="s">
        <v>304</v>
      </c>
      <c r="D1526" s="69" t="s">
        <v>63</v>
      </c>
      <c r="E1526" s="157">
        <v>4443.3599999999997</v>
      </c>
      <c r="F1526" s="137">
        <f t="shared" ref="F1526" si="282">C1526*E1526</f>
        <v>4443.3599999999997</v>
      </c>
      <c r="G1526" s="217" t="s">
        <v>2377</v>
      </c>
    </row>
    <row r="1527" spans="1:7" s="30" customFormat="1" ht="14.45">
      <c r="A1527" s="59"/>
      <c r="B1527" s="100"/>
      <c r="C1527" s="61"/>
      <c r="D1527" s="62"/>
      <c r="E1527" s="157"/>
      <c r="F1527" s="137"/>
      <c r="G1527" s="217"/>
    </row>
    <row r="1528" spans="1:7" s="30" customFormat="1" ht="14.45">
      <c r="A1528" s="66" t="s">
        <v>86</v>
      </c>
      <c r="B1528" s="67" t="s">
        <v>2608</v>
      </c>
      <c r="C1528" s="68" t="s">
        <v>304</v>
      </c>
      <c r="D1528" s="69" t="s">
        <v>63</v>
      </c>
      <c r="E1528" s="157">
        <v>4443.3599999999997</v>
      </c>
      <c r="F1528" s="137">
        <f t="shared" ref="F1528" si="283">C1528*E1528</f>
        <v>4443.3599999999997</v>
      </c>
      <c r="G1528" s="217" t="s">
        <v>2377</v>
      </c>
    </row>
    <row r="1529" spans="1:7" s="30" customFormat="1" ht="14.45">
      <c r="A1529" s="59"/>
      <c r="B1529" s="100"/>
      <c r="C1529" s="61"/>
      <c r="D1529" s="62"/>
      <c r="E1529" s="157"/>
      <c r="F1529" s="137"/>
      <c r="G1529" s="217"/>
    </row>
    <row r="1530" spans="1:7" s="30" customFormat="1" ht="14.45">
      <c r="A1530" s="66" t="s">
        <v>90</v>
      </c>
      <c r="B1530" s="67" t="s">
        <v>2609</v>
      </c>
      <c r="C1530" s="68" t="s">
        <v>304</v>
      </c>
      <c r="D1530" s="69" t="s">
        <v>63</v>
      </c>
      <c r="E1530" s="157">
        <v>4443.3599999999997</v>
      </c>
      <c r="F1530" s="137">
        <f t="shared" ref="F1530" si="284">C1530*E1530</f>
        <v>4443.3599999999997</v>
      </c>
      <c r="G1530" s="217" t="s">
        <v>2377</v>
      </c>
    </row>
    <row r="1531" spans="1:7" s="30" customFormat="1" ht="14.45">
      <c r="A1531" s="59"/>
      <c r="B1531" s="100"/>
      <c r="C1531" s="61"/>
      <c r="D1531" s="62"/>
      <c r="E1531" s="157"/>
      <c r="F1531" s="137"/>
      <c r="G1531" s="217"/>
    </row>
    <row r="1532" spans="1:7" s="30" customFormat="1" ht="14.45">
      <c r="A1532" s="66" t="s">
        <v>92</v>
      </c>
      <c r="B1532" s="67" t="s">
        <v>2610</v>
      </c>
      <c r="C1532" s="68" t="s">
        <v>304</v>
      </c>
      <c r="D1532" s="69" t="s">
        <v>63</v>
      </c>
      <c r="E1532" s="157">
        <v>4443.3599999999997</v>
      </c>
      <c r="F1532" s="137">
        <f t="shared" ref="F1532" si="285">C1532*E1532</f>
        <v>4443.3599999999997</v>
      </c>
      <c r="G1532" s="217" t="s">
        <v>2377</v>
      </c>
    </row>
    <row r="1533" spans="1:7" s="30" customFormat="1" ht="14.45">
      <c r="A1533" s="59"/>
      <c r="B1533" s="100"/>
      <c r="C1533" s="61"/>
      <c r="D1533" s="62"/>
      <c r="E1533" s="157"/>
      <c r="F1533" s="137"/>
      <c r="G1533" s="217"/>
    </row>
    <row r="1534" spans="1:7" s="30" customFormat="1" ht="14.45">
      <c r="A1534" s="66" t="s">
        <v>94</v>
      </c>
      <c r="B1534" s="67" t="s">
        <v>2611</v>
      </c>
      <c r="C1534" s="68" t="s">
        <v>304</v>
      </c>
      <c r="D1534" s="69" t="s">
        <v>63</v>
      </c>
      <c r="E1534" s="157">
        <v>4443.3599999999997</v>
      </c>
      <c r="F1534" s="137">
        <f t="shared" ref="F1534" si="286">C1534*E1534</f>
        <v>4443.3599999999997</v>
      </c>
      <c r="G1534" s="217" t="s">
        <v>2377</v>
      </c>
    </row>
    <row r="1535" spans="1:7" s="30" customFormat="1" ht="14.45">
      <c r="A1535" s="59"/>
      <c r="B1535" s="100"/>
      <c r="C1535" s="61"/>
      <c r="D1535" s="62"/>
      <c r="E1535" s="157"/>
      <c r="F1535" s="137"/>
      <c r="G1535" s="217"/>
    </row>
    <row r="1536" spans="1:7" s="30" customFormat="1" ht="14.45">
      <c r="A1536" s="66" t="s">
        <v>140</v>
      </c>
      <c r="B1536" s="67" t="s">
        <v>2612</v>
      </c>
      <c r="C1536" s="68" t="s">
        <v>304</v>
      </c>
      <c r="D1536" s="69" t="s">
        <v>63</v>
      </c>
      <c r="E1536" s="157">
        <v>4443.3599999999997</v>
      </c>
      <c r="F1536" s="137">
        <f t="shared" ref="F1536" si="287">C1536*E1536</f>
        <v>4443.3599999999997</v>
      </c>
      <c r="G1536" s="217" t="s">
        <v>2377</v>
      </c>
    </row>
    <row r="1537" spans="1:7" s="30" customFormat="1" ht="14.45">
      <c r="A1537" s="59"/>
      <c r="B1537" s="100"/>
      <c r="C1537" s="61"/>
      <c r="D1537" s="62"/>
      <c r="E1537" s="157"/>
      <c r="F1537" s="137"/>
      <c r="G1537" s="217"/>
    </row>
    <row r="1538" spans="1:7" s="30" customFormat="1" ht="14.45">
      <c r="A1538" s="66" t="s">
        <v>159</v>
      </c>
      <c r="B1538" s="67" t="s">
        <v>2613</v>
      </c>
      <c r="C1538" s="68" t="s">
        <v>304</v>
      </c>
      <c r="D1538" s="69" t="s">
        <v>63</v>
      </c>
      <c r="E1538" s="157">
        <v>4443.3599999999997</v>
      </c>
      <c r="F1538" s="137">
        <f t="shared" ref="F1538" si="288">C1538*E1538</f>
        <v>4443.3599999999997</v>
      </c>
      <c r="G1538" s="217" t="s">
        <v>2377</v>
      </c>
    </row>
    <row r="1539" spans="1:7" s="30" customFormat="1" ht="14.45">
      <c r="A1539" s="59"/>
      <c r="B1539" s="100"/>
      <c r="C1539" s="61"/>
      <c r="D1539" s="62"/>
      <c r="E1539" s="157"/>
      <c r="F1539" s="137"/>
      <c r="G1539" s="217"/>
    </row>
    <row r="1540" spans="1:7" s="30" customFormat="1" ht="14.45">
      <c r="A1540" s="66" t="s">
        <v>162</v>
      </c>
      <c r="B1540" s="67" t="s">
        <v>2614</v>
      </c>
      <c r="C1540" s="68" t="s">
        <v>304</v>
      </c>
      <c r="D1540" s="69" t="s">
        <v>63</v>
      </c>
      <c r="E1540" s="157">
        <v>4443.3599999999997</v>
      </c>
      <c r="F1540" s="137">
        <f t="shared" ref="F1540" si="289">C1540*E1540</f>
        <v>4443.3599999999997</v>
      </c>
      <c r="G1540" s="217" t="s">
        <v>2377</v>
      </c>
    </row>
    <row r="1541" spans="1:7" s="30" customFormat="1" ht="14.45">
      <c r="A1541" s="59"/>
      <c r="B1541" s="100"/>
      <c r="C1541" s="61"/>
      <c r="D1541" s="62"/>
      <c r="E1541" s="157"/>
      <c r="F1541" s="137"/>
      <c r="G1541" s="217"/>
    </row>
    <row r="1542" spans="1:7" s="30" customFormat="1" ht="14.45">
      <c r="A1542" s="66" t="s">
        <v>164</v>
      </c>
      <c r="B1542" s="67" t="s">
        <v>2615</v>
      </c>
      <c r="C1542" s="68" t="s">
        <v>304</v>
      </c>
      <c r="D1542" s="69" t="s">
        <v>63</v>
      </c>
      <c r="E1542" s="157">
        <v>4443.3599999999997</v>
      </c>
      <c r="F1542" s="137">
        <f t="shared" ref="F1542" si="290">C1542*E1542</f>
        <v>4443.3599999999997</v>
      </c>
      <c r="G1542" s="217" t="s">
        <v>2377</v>
      </c>
    </row>
    <row r="1543" spans="1:7" s="30" customFormat="1" ht="14.45">
      <c r="A1543" s="59"/>
      <c r="B1543" s="100"/>
      <c r="C1543" s="61"/>
      <c r="D1543" s="62"/>
      <c r="E1543" s="157"/>
      <c r="F1543" s="137"/>
      <c r="G1543" s="217"/>
    </row>
    <row r="1544" spans="1:7" s="30" customFormat="1" ht="14.45">
      <c r="A1544" s="66" t="s">
        <v>166</v>
      </c>
      <c r="B1544" s="67" t="s">
        <v>2616</v>
      </c>
      <c r="C1544" s="68" t="s">
        <v>304</v>
      </c>
      <c r="D1544" s="69" t="s">
        <v>63</v>
      </c>
      <c r="E1544" s="157">
        <v>4443.3599999999997</v>
      </c>
      <c r="F1544" s="137">
        <f t="shared" ref="F1544" si="291">C1544*E1544</f>
        <v>4443.3599999999997</v>
      </c>
      <c r="G1544" s="217" t="s">
        <v>2377</v>
      </c>
    </row>
    <row r="1545" spans="1:7" s="30" customFormat="1" ht="9.75" customHeight="1">
      <c r="A1545" s="59"/>
      <c r="B1545" s="100"/>
      <c r="C1545" s="61"/>
      <c r="D1545" s="62"/>
      <c r="E1545" s="157"/>
      <c r="F1545" s="137"/>
      <c r="G1545" s="217"/>
    </row>
    <row r="1546" spans="1:7" s="30" customFormat="1" ht="14.45">
      <c r="A1546" s="66" t="s">
        <v>168</v>
      </c>
      <c r="B1546" s="67" t="s">
        <v>2617</v>
      </c>
      <c r="C1546" s="68" t="s">
        <v>304</v>
      </c>
      <c r="D1546" s="69" t="s">
        <v>63</v>
      </c>
      <c r="E1546" s="157">
        <v>4443.3599999999997</v>
      </c>
      <c r="F1546" s="137">
        <f t="shared" ref="F1546" si="292">C1546*E1546</f>
        <v>4443.3599999999997</v>
      </c>
      <c r="G1546" s="217" t="s">
        <v>2377</v>
      </c>
    </row>
    <row r="1547" spans="1:7" s="30" customFormat="1" ht="8.25" customHeight="1">
      <c r="A1547" s="59"/>
      <c r="B1547" s="100"/>
      <c r="C1547" s="61"/>
      <c r="D1547" s="62"/>
      <c r="E1547" s="157"/>
      <c r="F1547" s="137"/>
      <c r="G1547" s="217"/>
    </row>
    <row r="1548" spans="1:7" s="30" customFormat="1" ht="14.45">
      <c r="A1548" s="66" t="s">
        <v>170</v>
      </c>
      <c r="B1548" s="67" t="s">
        <v>2618</v>
      </c>
      <c r="C1548" s="68" t="s">
        <v>304</v>
      </c>
      <c r="D1548" s="69" t="s">
        <v>63</v>
      </c>
      <c r="E1548" s="157">
        <v>4443.3599999999997</v>
      </c>
      <c r="F1548" s="137">
        <f t="shared" ref="F1548" si="293">C1548*E1548</f>
        <v>4443.3599999999997</v>
      </c>
      <c r="G1548" s="217" t="s">
        <v>2377</v>
      </c>
    </row>
    <row r="1549" spans="1:7" s="30" customFormat="1" ht="9.75" customHeight="1">
      <c r="A1549" s="59"/>
      <c r="B1549" s="100"/>
      <c r="C1549" s="61"/>
      <c r="D1549" s="62"/>
      <c r="E1549" s="157"/>
      <c r="F1549" s="137"/>
      <c r="G1549" s="217"/>
    </row>
    <row r="1550" spans="1:7" s="30" customFormat="1" ht="14.45">
      <c r="A1550" s="66" t="s">
        <v>172</v>
      </c>
      <c r="B1550" s="67" t="s">
        <v>2619</v>
      </c>
      <c r="C1550" s="68" t="s">
        <v>304</v>
      </c>
      <c r="D1550" s="69" t="s">
        <v>63</v>
      </c>
      <c r="E1550" s="157">
        <v>4443.3599999999997</v>
      </c>
      <c r="F1550" s="137">
        <f t="shared" ref="F1550" si="294">C1550*E1550</f>
        <v>4443.3599999999997</v>
      </c>
      <c r="G1550" s="217" t="s">
        <v>2377</v>
      </c>
    </row>
    <row r="1551" spans="1:7" s="30" customFormat="1" ht="7.5" customHeight="1">
      <c r="A1551" s="59"/>
      <c r="B1551" s="100"/>
      <c r="C1551" s="61"/>
      <c r="D1551" s="62"/>
      <c r="E1551" s="157"/>
      <c r="F1551" s="137"/>
      <c r="G1551" s="217"/>
    </row>
    <row r="1552" spans="1:7" s="30" customFormat="1" ht="14.45">
      <c r="A1552" s="66" t="s">
        <v>1615</v>
      </c>
      <c r="B1552" s="67" t="s">
        <v>2620</v>
      </c>
      <c r="C1552" s="68" t="s">
        <v>304</v>
      </c>
      <c r="D1552" s="69" t="s">
        <v>63</v>
      </c>
      <c r="E1552" s="157">
        <v>4443.3599999999997</v>
      </c>
      <c r="F1552" s="137">
        <f t="shared" ref="F1552" si="295">C1552*E1552</f>
        <v>4443.3599999999997</v>
      </c>
      <c r="G1552" s="217" t="s">
        <v>2377</v>
      </c>
    </row>
    <row r="1553" spans="1:7" s="30" customFormat="1" ht="14.45">
      <c r="A1553" s="59"/>
      <c r="B1553" s="100"/>
      <c r="C1553" s="61"/>
      <c r="D1553" s="62"/>
      <c r="E1553" s="157"/>
      <c r="F1553" s="137"/>
      <c r="G1553" s="217"/>
    </row>
    <row r="1554" spans="1:7" s="30" customFormat="1" ht="14.45">
      <c r="A1554" s="66" t="s">
        <v>1617</v>
      </c>
      <c r="B1554" s="67" t="s">
        <v>2621</v>
      </c>
      <c r="C1554" s="68" t="s">
        <v>304</v>
      </c>
      <c r="D1554" s="69" t="s">
        <v>63</v>
      </c>
      <c r="E1554" s="157">
        <v>4443.3599999999997</v>
      </c>
      <c r="F1554" s="137">
        <f t="shared" ref="F1554" si="296">C1554*E1554</f>
        <v>4443.3599999999997</v>
      </c>
      <c r="G1554" s="217" t="s">
        <v>2377</v>
      </c>
    </row>
    <row r="1555" spans="1:7" s="30" customFormat="1" ht="28.9">
      <c r="A1555" s="59"/>
      <c r="B1555" s="230" t="s">
        <v>323</v>
      </c>
      <c r="C1555" s="61"/>
      <c r="D1555" s="62"/>
      <c r="E1555" s="157"/>
      <c r="F1555" s="137"/>
      <c r="G1555" s="217"/>
    </row>
    <row r="1556" spans="1:7" s="30" customFormat="1" ht="14.45">
      <c r="A1556" s="71"/>
      <c r="B1556" s="72"/>
      <c r="C1556" s="73"/>
      <c r="D1556" s="74"/>
      <c r="E1556" s="159"/>
      <c r="F1556" s="138"/>
      <c r="G1556" s="226"/>
    </row>
    <row r="1557" spans="1:7" s="30" customFormat="1" ht="14.45">
      <c r="A1557" s="75"/>
      <c r="B1557" s="76"/>
      <c r="C1557" s="77" t="s">
        <v>30</v>
      </c>
      <c r="D1557" s="77"/>
      <c r="E1557" s="160" t="s">
        <v>8</v>
      </c>
      <c r="F1557" s="139">
        <f>SUM(F1510:F1554)</f>
        <v>97753.919999999998</v>
      </c>
      <c r="G1557" s="227"/>
    </row>
    <row r="1558" spans="1:7" s="30" customFormat="1" ht="14.45">
      <c r="A1558" s="75"/>
      <c r="B1558" s="76"/>
      <c r="C1558" s="78"/>
      <c r="D1558" s="79"/>
      <c r="E1558" s="161"/>
      <c r="F1558" s="140"/>
      <c r="G1558" s="228"/>
    </row>
    <row r="1559" spans="1:7" s="30" customFormat="1" ht="14.45">
      <c r="A1559" s="59"/>
      <c r="B1559" s="63"/>
      <c r="C1559" s="61"/>
      <c r="D1559" s="62"/>
      <c r="E1559" s="157"/>
      <c r="F1559" s="137"/>
      <c r="G1559" s="217"/>
    </row>
    <row r="1560" spans="1:7" s="30" customFormat="1" ht="14.45">
      <c r="A1560" s="59"/>
      <c r="B1560" s="64" t="s">
        <v>1950</v>
      </c>
      <c r="C1560" s="61"/>
      <c r="D1560" s="62"/>
      <c r="E1560" s="157"/>
      <c r="F1560" s="137"/>
      <c r="G1560" s="217"/>
    </row>
    <row r="1561" spans="1:7" s="30" customFormat="1" ht="14.45">
      <c r="A1561" s="59"/>
      <c r="B1561" s="100"/>
      <c r="C1561" s="61"/>
      <c r="D1561" s="62"/>
      <c r="E1561" s="157"/>
      <c r="F1561" s="137"/>
      <c r="G1561" s="217"/>
    </row>
    <row r="1562" spans="1:7" s="30" customFormat="1" ht="14.45">
      <c r="A1562" s="66" t="s">
        <v>14</v>
      </c>
      <c r="B1562" s="67" t="s">
        <v>2622</v>
      </c>
      <c r="C1562" s="68" t="s">
        <v>304</v>
      </c>
      <c r="D1562" s="69" t="s">
        <v>63</v>
      </c>
      <c r="E1562" s="157">
        <v>4443.3599999999997</v>
      </c>
      <c r="F1562" s="137">
        <f t="shared" ref="F1562" si="297">C1562*E1562</f>
        <v>4443.3599999999997</v>
      </c>
      <c r="G1562" s="217" t="s">
        <v>2377</v>
      </c>
    </row>
    <row r="1563" spans="1:7" s="30" customFormat="1" ht="14.45">
      <c r="A1563" s="59"/>
      <c r="B1563" s="100"/>
      <c r="C1563" s="61"/>
      <c r="D1563" s="62"/>
      <c r="E1563" s="157"/>
      <c r="F1563" s="137"/>
      <c r="G1563" s="217"/>
    </row>
    <row r="1564" spans="1:7" s="30" customFormat="1" ht="14.45">
      <c r="A1564" s="66" t="s">
        <v>17</v>
      </c>
      <c r="B1564" s="67" t="s">
        <v>2623</v>
      </c>
      <c r="C1564" s="68" t="s">
        <v>304</v>
      </c>
      <c r="D1564" s="69" t="s">
        <v>63</v>
      </c>
      <c r="E1564" s="157">
        <v>4443.3599999999997</v>
      </c>
      <c r="F1564" s="137">
        <f t="shared" ref="F1564" si="298">C1564*E1564</f>
        <v>4443.3599999999997</v>
      </c>
      <c r="G1564" s="217" t="s">
        <v>2377</v>
      </c>
    </row>
    <row r="1565" spans="1:7" s="30" customFormat="1" ht="14.45">
      <c r="A1565" s="59"/>
      <c r="B1565" s="100"/>
      <c r="C1565" s="61"/>
      <c r="D1565" s="62"/>
      <c r="E1565" s="157"/>
      <c r="F1565" s="137"/>
      <c r="G1565" s="217"/>
    </row>
    <row r="1566" spans="1:7" s="30" customFormat="1" ht="14.45">
      <c r="A1566" s="66" t="s">
        <v>20</v>
      </c>
      <c r="B1566" s="67" t="s">
        <v>2624</v>
      </c>
      <c r="C1566" s="68" t="s">
        <v>304</v>
      </c>
      <c r="D1566" s="69" t="s">
        <v>63</v>
      </c>
      <c r="E1566" s="157">
        <v>4443.3599999999997</v>
      </c>
      <c r="F1566" s="137">
        <f t="shared" ref="F1566" si="299">C1566*E1566</f>
        <v>4443.3599999999997</v>
      </c>
      <c r="G1566" s="217" t="s">
        <v>2377</v>
      </c>
    </row>
    <row r="1567" spans="1:7" s="30" customFormat="1" ht="14.45">
      <c r="A1567" s="59"/>
      <c r="B1567" s="100"/>
      <c r="C1567" s="61"/>
      <c r="D1567" s="62"/>
      <c r="E1567" s="157"/>
      <c r="F1567" s="137"/>
      <c r="G1567" s="217"/>
    </row>
    <row r="1568" spans="1:7" s="30" customFormat="1" ht="14.45">
      <c r="A1568" s="66" t="s">
        <v>23</v>
      </c>
      <c r="B1568" s="67" t="s">
        <v>2625</v>
      </c>
      <c r="C1568" s="68" t="s">
        <v>304</v>
      </c>
      <c r="D1568" s="69" t="s">
        <v>63</v>
      </c>
      <c r="E1568" s="157">
        <v>4443.3599999999997</v>
      </c>
      <c r="F1568" s="137">
        <f t="shared" ref="F1568" si="300">C1568*E1568</f>
        <v>4443.3599999999997</v>
      </c>
      <c r="G1568" s="217" t="s">
        <v>2377</v>
      </c>
    </row>
    <row r="1569" spans="1:7" s="30" customFormat="1" ht="14.45">
      <c r="A1569" s="59"/>
      <c r="B1569" s="100"/>
      <c r="C1569" s="61"/>
      <c r="D1569" s="62"/>
      <c r="E1569" s="157"/>
      <c r="F1569" s="137"/>
      <c r="G1569" s="217"/>
    </row>
    <row r="1570" spans="1:7" s="30" customFormat="1" ht="14.45">
      <c r="A1570" s="66" t="s">
        <v>27</v>
      </c>
      <c r="B1570" s="67" t="s">
        <v>2626</v>
      </c>
      <c r="C1570" s="68" t="s">
        <v>304</v>
      </c>
      <c r="D1570" s="69" t="s">
        <v>63</v>
      </c>
      <c r="E1570" s="157">
        <v>4443.3599999999997</v>
      </c>
      <c r="F1570" s="137">
        <f t="shared" ref="F1570" si="301">C1570*E1570</f>
        <v>4443.3599999999997</v>
      </c>
      <c r="G1570" s="217" t="s">
        <v>2377</v>
      </c>
    </row>
    <row r="1571" spans="1:7" s="30" customFormat="1" ht="14.45">
      <c r="A1571" s="59"/>
      <c r="B1571" s="100"/>
      <c r="C1571" s="61"/>
      <c r="D1571" s="62"/>
      <c r="E1571" s="157"/>
      <c r="F1571" s="137"/>
      <c r="G1571" s="217"/>
    </row>
    <row r="1572" spans="1:7" s="30" customFormat="1" ht="14.45">
      <c r="A1572" s="66" t="s">
        <v>44</v>
      </c>
      <c r="B1572" s="67" t="s">
        <v>2627</v>
      </c>
      <c r="C1572" s="68" t="s">
        <v>304</v>
      </c>
      <c r="D1572" s="69" t="s">
        <v>63</v>
      </c>
      <c r="E1572" s="157">
        <v>4443.3599999999997</v>
      </c>
      <c r="F1572" s="137">
        <f t="shared" ref="F1572" si="302">C1572*E1572</f>
        <v>4443.3599999999997</v>
      </c>
      <c r="G1572" s="217" t="s">
        <v>2377</v>
      </c>
    </row>
    <row r="1573" spans="1:7" s="30" customFormat="1" ht="14.45">
      <c r="A1573" s="59"/>
      <c r="B1573" s="100"/>
      <c r="C1573" s="61"/>
      <c r="D1573" s="62"/>
      <c r="E1573" s="157"/>
      <c r="F1573" s="137"/>
      <c r="G1573" s="217"/>
    </row>
    <row r="1574" spans="1:7" s="30" customFormat="1" ht="14.45">
      <c r="A1574" s="66" t="s">
        <v>48</v>
      </c>
      <c r="B1574" s="67" t="s">
        <v>2628</v>
      </c>
      <c r="C1574" s="68" t="s">
        <v>304</v>
      </c>
      <c r="D1574" s="69" t="s">
        <v>63</v>
      </c>
      <c r="E1574" s="157">
        <v>4443.3599999999997</v>
      </c>
      <c r="F1574" s="137">
        <f t="shared" ref="F1574" si="303">C1574*E1574</f>
        <v>4443.3599999999997</v>
      </c>
      <c r="G1574" s="217" t="s">
        <v>2377</v>
      </c>
    </row>
    <row r="1575" spans="1:7" s="30" customFormat="1" ht="14.45">
      <c r="A1575" s="59"/>
      <c r="B1575" s="100"/>
      <c r="C1575" s="61"/>
      <c r="D1575" s="62"/>
      <c r="E1575" s="157"/>
      <c r="F1575" s="137"/>
      <c r="G1575" s="217"/>
    </row>
    <row r="1576" spans="1:7" s="30" customFormat="1" ht="14.45">
      <c r="A1576" s="66" t="s">
        <v>84</v>
      </c>
      <c r="B1576" s="67" t="s">
        <v>2629</v>
      </c>
      <c r="C1576" s="68" t="s">
        <v>304</v>
      </c>
      <c r="D1576" s="69" t="s">
        <v>63</v>
      </c>
      <c r="E1576" s="157">
        <v>4443.3599999999997</v>
      </c>
      <c r="F1576" s="137">
        <f t="shared" ref="F1576" si="304">C1576*E1576</f>
        <v>4443.3599999999997</v>
      </c>
      <c r="G1576" s="217" t="s">
        <v>2377</v>
      </c>
    </row>
    <row r="1577" spans="1:7" s="30" customFormat="1" ht="14.45">
      <c r="A1577" s="59"/>
      <c r="B1577" s="100"/>
      <c r="C1577" s="61"/>
      <c r="D1577" s="62"/>
      <c r="E1577" s="157"/>
      <c r="F1577" s="137"/>
      <c r="G1577" s="217"/>
    </row>
    <row r="1578" spans="1:7" s="30" customFormat="1" ht="14.45">
      <c r="A1578" s="66" t="s">
        <v>86</v>
      </c>
      <c r="B1578" s="67" t="s">
        <v>2630</v>
      </c>
      <c r="C1578" s="68" t="s">
        <v>304</v>
      </c>
      <c r="D1578" s="69" t="s">
        <v>63</v>
      </c>
      <c r="E1578" s="157">
        <v>4443.3599999999997</v>
      </c>
      <c r="F1578" s="137">
        <f t="shared" ref="F1578" si="305">C1578*E1578</f>
        <v>4443.3599999999997</v>
      </c>
      <c r="G1578" s="217" t="s">
        <v>2377</v>
      </c>
    </row>
    <row r="1579" spans="1:7" s="30" customFormat="1" ht="14.45">
      <c r="A1579" s="59"/>
      <c r="B1579" s="100"/>
      <c r="C1579" s="61"/>
      <c r="D1579" s="62"/>
      <c r="E1579" s="157"/>
      <c r="F1579" s="137"/>
      <c r="G1579" s="217"/>
    </row>
    <row r="1580" spans="1:7" s="30" customFormat="1" ht="14.45">
      <c r="A1580" s="66" t="s">
        <v>90</v>
      </c>
      <c r="B1580" s="67" t="s">
        <v>2631</v>
      </c>
      <c r="C1580" s="68" t="s">
        <v>304</v>
      </c>
      <c r="D1580" s="69" t="s">
        <v>63</v>
      </c>
      <c r="E1580" s="157">
        <v>4443.3599999999997</v>
      </c>
      <c r="F1580" s="137">
        <f t="shared" ref="F1580" si="306">C1580*E1580</f>
        <v>4443.3599999999997</v>
      </c>
      <c r="G1580" s="217" t="s">
        <v>2377</v>
      </c>
    </row>
    <row r="1581" spans="1:7" s="30" customFormat="1" ht="14.45">
      <c r="A1581" s="59"/>
      <c r="B1581" s="100"/>
      <c r="C1581" s="61"/>
      <c r="D1581" s="62"/>
      <c r="E1581" s="157"/>
      <c r="F1581" s="137"/>
      <c r="G1581" s="217"/>
    </row>
    <row r="1582" spans="1:7" s="30" customFormat="1" ht="14.45">
      <c r="A1582" s="66" t="s">
        <v>92</v>
      </c>
      <c r="B1582" s="67" t="s">
        <v>2632</v>
      </c>
      <c r="C1582" s="68" t="s">
        <v>304</v>
      </c>
      <c r="D1582" s="69" t="s">
        <v>63</v>
      </c>
      <c r="E1582" s="157">
        <v>4443.3599999999997</v>
      </c>
      <c r="F1582" s="137">
        <f t="shared" ref="F1582" si="307">C1582*E1582</f>
        <v>4443.3599999999997</v>
      </c>
      <c r="G1582" s="217" t="s">
        <v>2377</v>
      </c>
    </row>
    <row r="1583" spans="1:7" s="30" customFormat="1" ht="14.45">
      <c r="A1583" s="59"/>
      <c r="B1583" s="100"/>
      <c r="C1583" s="61"/>
      <c r="D1583" s="62"/>
      <c r="E1583" s="157"/>
      <c r="F1583" s="137"/>
      <c r="G1583" s="217"/>
    </row>
    <row r="1584" spans="1:7" s="30" customFormat="1" ht="14.45">
      <c r="A1584" s="66" t="s">
        <v>94</v>
      </c>
      <c r="B1584" s="67" t="s">
        <v>2633</v>
      </c>
      <c r="C1584" s="68" t="s">
        <v>304</v>
      </c>
      <c r="D1584" s="69" t="s">
        <v>63</v>
      </c>
      <c r="E1584" s="157">
        <v>4443.3599999999997</v>
      </c>
      <c r="F1584" s="137">
        <f t="shared" ref="F1584" si="308">C1584*E1584</f>
        <v>4443.3599999999997</v>
      </c>
      <c r="G1584" s="217" t="s">
        <v>2377</v>
      </c>
    </row>
    <row r="1585" spans="1:7" s="30" customFormat="1" ht="14.45">
      <c r="A1585" s="59"/>
      <c r="B1585" s="100"/>
      <c r="C1585" s="61"/>
      <c r="D1585" s="62"/>
      <c r="E1585" s="157"/>
      <c r="F1585" s="137"/>
      <c r="G1585" s="217"/>
    </row>
    <row r="1586" spans="1:7" s="30" customFormat="1" ht="14.45">
      <c r="A1586" s="66" t="s">
        <v>140</v>
      </c>
      <c r="B1586" s="67" t="s">
        <v>2634</v>
      </c>
      <c r="C1586" s="68" t="s">
        <v>304</v>
      </c>
      <c r="D1586" s="69" t="s">
        <v>63</v>
      </c>
      <c r="E1586" s="157">
        <v>4443.3599999999997</v>
      </c>
      <c r="F1586" s="137">
        <f t="shared" ref="F1586" si="309">C1586*E1586</f>
        <v>4443.3599999999997</v>
      </c>
      <c r="G1586" s="217" t="s">
        <v>2377</v>
      </c>
    </row>
    <row r="1587" spans="1:7" s="30" customFormat="1" ht="14.45">
      <c r="A1587" s="59"/>
      <c r="B1587" s="100"/>
      <c r="C1587" s="61"/>
      <c r="D1587" s="62"/>
      <c r="E1587" s="157"/>
      <c r="F1587" s="137"/>
      <c r="G1587" s="217"/>
    </row>
    <row r="1588" spans="1:7" s="30" customFormat="1" ht="14.45">
      <c r="A1588" s="66" t="s">
        <v>159</v>
      </c>
      <c r="B1588" s="67" t="s">
        <v>2635</v>
      </c>
      <c r="C1588" s="68" t="s">
        <v>304</v>
      </c>
      <c r="D1588" s="69" t="s">
        <v>63</v>
      </c>
      <c r="E1588" s="157">
        <v>4443.3599999999997</v>
      </c>
      <c r="F1588" s="137">
        <f t="shared" ref="F1588" si="310">C1588*E1588</f>
        <v>4443.3599999999997</v>
      </c>
      <c r="G1588" s="217" t="s">
        <v>2377</v>
      </c>
    </row>
    <row r="1589" spans="1:7" s="30" customFormat="1" ht="9.75" customHeight="1">
      <c r="A1589" s="59"/>
      <c r="B1589" s="100"/>
      <c r="C1589" s="61"/>
      <c r="D1589" s="62"/>
      <c r="E1589" s="157"/>
      <c r="F1589" s="137"/>
      <c r="G1589" s="217"/>
    </row>
    <row r="1590" spans="1:7" s="30" customFormat="1" ht="14.45">
      <c r="A1590" s="66" t="s">
        <v>162</v>
      </c>
      <c r="B1590" s="67" t="s">
        <v>2636</v>
      </c>
      <c r="C1590" s="68" t="s">
        <v>304</v>
      </c>
      <c r="D1590" s="69" t="s">
        <v>63</v>
      </c>
      <c r="E1590" s="157">
        <v>4443.3599999999997</v>
      </c>
      <c r="F1590" s="137">
        <f t="shared" ref="F1590" si="311">C1590*E1590</f>
        <v>4443.3599999999997</v>
      </c>
      <c r="G1590" s="217" t="s">
        <v>2377</v>
      </c>
    </row>
    <row r="1591" spans="1:7" s="30" customFormat="1" ht="11.25" customHeight="1">
      <c r="A1591" s="59"/>
      <c r="B1591" s="100"/>
      <c r="C1591" s="61"/>
      <c r="D1591" s="62"/>
      <c r="E1591" s="157"/>
      <c r="F1591" s="137"/>
      <c r="G1591" s="217"/>
    </row>
    <row r="1592" spans="1:7" s="30" customFormat="1" ht="14.45">
      <c r="A1592" s="66" t="s">
        <v>164</v>
      </c>
      <c r="B1592" s="67" t="s">
        <v>2637</v>
      </c>
      <c r="C1592" s="68" t="s">
        <v>304</v>
      </c>
      <c r="D1592" s="69" t="s">
        <v>63</v>
      </c>
      <c r="E1592" s="157">
        <v>4443.3599999999997</v>
      </c>
      <c r="F1592" s="137">
        <f t="shared" ref="F1592" si="312">C1592*E1592</f>
        <v>4443.3599999999997</v>
      </c>
      <c r="G1592" s="217" t="s">
        <v>2377</v>
      </c>
    </row>
    <row r="1593" spans="1:7" s="30" customFormat="1" ht="11.25" customHeight="1">
      <c r="A1593" s="59"/>
      <c r="B1593" s="100"/>
      <c r="C1593" s="61"/>
      <c r="D1593" s="62"/>
      <c r="E1593" s="157"/>
      <c r="F1593" s="137"/>
      <c r="G1593" s="217"/>
    </row>
    <row r="1594" spans="1:7" s="30" customFormat="1" ht="14.45">
      <c r="A1594" s="66" t="s">
        <v>166</v>
      </c>
      <c r="B1594" s="67" t="s">
        <v>2638</v>
      </c>
      <c r="C1594" s="68" t="s">
        <v>304</v>
      </c>
      <c r="D1594" s="69" t="s">
        <v>63</v>
      </c>
      <c r="E1594" s="157">
        <v>4443.3599999999997</v>
      </c>
      <c r="F1594" s="137">
        <f t="shared" ref="F1594" si="313">C1594*E1594</f>
        <v>4443.3599999999997</v>
      </c>
      <c r="G1594" s="217" t="s">
        <v>2377</v>
      </c>
    </row>
    <row r="1595" spans="1:7" s="30" customFormat="1" ht="10.5" customHeight="1">
      <c r="A1595" s="59"/>
      <c r="B1595" s="100"/>
      <c r="C1595" s="61"/>
      <c r="D1595" s="62"/>
      <c r="E1595" s="157"/>
      <c r="F1595" s="137"/>
      <c r="G1595" s="217"/>
    </row>
    <row r="1596" spans="1:7" s="30" customFormat="1" ht="14.45">
      <c r="A1596" s="66" t="s">
        <v>168</v>
      </c>
      <c r="B1596" s="67" t="s">
        <v>2639</v>
      </c>
      <c r="C1596" s="68" t="s">
        <v>304</v>
      </c>
      <c r="D1596" s="69" t="s">
        <v>63</v>
      </c>
      <c r="E1596" s="157">
        <v>4443.3599999999997</v>
      </c>
      <c r="F1596" s="137">
        <f t="shared" ref="F1596" si="314">C1596*E1596</f>
        <v>4443.3599999999997</v>
      </c>
      <c r="G1596" s="217" t="s">
        <v>2377</v>
      </c>
    </row>
    <row r="1597" spans="1:7" s="30" customFormat="1" ht="10.5" customHeight="1">
      <c r="A1597" s="59"/>
      <c r="B1597" s="100"/>
      <c r="C1597" s="61"/>
      <c r="D1597" s="62"/>
      <c r="E1597" s="157"/>
      <c r="F1597" s="137"/>
      <c r="G1597" s="217"/>
    </row>
    <row r="1598" spans="1:7" s="30" customFormat="1" ht="14.45">
      <c r="A1598" s="66" t="s">
        <v>170</v>
      </c>
      <c r="B1598" s="67" t="s">
        <v>2640</v>
      </c>
      <c r="C1598" s="68" t="s">
        <v>304</v>
      </c>
      <c r="D1598" s="69" t="s">
        <v>63</v>
      </c>
      <c r="E1598" s="157">
        <v>4443.3599999999997</v>
      </c>
      <c r="F1598" s="137">
        <f t="shared" ref="F1598" si="315">C1598*E1598</f>
        <v>4443.3599999999997</v>
      </c>
      <c r="G1598" s="217" t="s">
        <v>2377</v>
      </c>
    </row>
    <row r="1599" spans="1:7" s="30" customFormat="1" ht="11.25" customHeight="1">
      <c r="A1599" s="59"/>
      <c r="B1599" s="100"/>
      <c r="C1599" s="61"/>
      <c r="D1599" s="62"/>
      <c r="E1599" s="157"/>
      <c r="F1599" s="137"/>
      <c r="G1599" s="217"/>
    </row>
    <row r="1600" spans="1:7" s="30" customFormat="1" ht="14.45">
      <c r="A1600" s="66" t="s">
        <v>172</v>
      </c>
      <c r="B1600" s="67" t="s">
        <v>2641</v>
      </c>
      <c r="C1600" s="68" t="s">
        <v>304</v>
      </c>
      <c r="D1600" s="69" t="s">
        <v>63</v>
      </c>
      <c r="E1600" s="157">
        <v>4443.3599999999997</v>
      </c>
      <c r="F1600" s="137">
        <f t="shared" ref="F1600" si="316">C1600*E1600</f>
        <v>4443.3599999999997</v>
      </c>
      <c r="G1600" s="217" t="s">
        <v>2377</v>
      </c>
    </row>
    <row r="1601" spans="1:7" s="30" customFormat="1" ht="14.45">
      <c r="A1601" s="59"/>
      <c r="B1601" s="100"/>
      <c r="C1601" s="61"/>
      <c r="D1601" s="62"/>
      <c r="E1601" s="157"/>
      <c r="F1601" s="137"/>
      <c r="G1601" s="217"/>
    </row>
    <row r="1602" spans="1:7" s="30" customFormat="1" ht="14.45">
      <c r="A1602" s="66" t="s">
        <v>1615</v>
      </c>
      <c r="B1602" s="67" t="s">
        <v>2642</v>
      </c>
      <c r="C1602" s="68" t="s">
        <v>304</v>
      </c>
      <c r="D1602" s="69" t="s">
        <v>63</v>
      </c>
      <c r="E1602" s="157">
        <v>4443.3599999999997</v>
      </c>
      <c r="F1602" s="137">
        <f t="shared" ref="F1602:F1604" si="317">C1602*E1602</f>
        <v>4443.3599999999997</v>
      </c>
      <c r="G1602" s="217" t="s">
        <v>2377</v>
      </c>
    </row>
    <row r="1603" spans="1:7" s="30" customFormat="1" ht="14.45">
      <c r="A1603" s="59"/>
      <c r="B1603" s="100"/>
      <c r="C1603" s="61"/>
      <c r="D1603" s="62"/>
      <c r="E1603" s="157"/>
      <c r="F1603" s="137"/>
      <c r="G1603" s="217"/>
    </row>
    <row r="1604" spans="1:7" s="30" customFormat="1" ht="14.45">
      <c r="A1604" s="66" t="s">
        <v>1617</v>
      </c>
      <c r="B1604" s="67" t="s">
        <v>2643</v>
      </c>
      <c r="C1604" s="68" t="s">
        <v>304</v>
      </c>
      <c r="D1604" s="69" t="s">
        <v>63</v>
      </c>
      <c r="E1604" s="157">
        <v>4443.3599999999997</v>
      </c>
      <c r="F1604" s="137">
        <f t="shared" si="317"/>
        <v>4443.3599999999997</v>
      </c>
      <c r="G1604" s="217" t="s">
        <v>2377</v>
      </c>
    </row>
    <row r="1605" spans="1:7" s="30" customFormat="1" ht="28.9">
      <c r="A1605" s="59"/>
      <c r="B1605" s="230" t="s">
        <v>323</v>
      </c>
      <c r="C1605" s="61"/>
      <c r="D1605" s="62"/>
      <c r="E1605" s="157"/>
      <c r="F1605" s="137"/>
      <c r="G1605" s="217"/>
    </row>
    <row r="1606" spans="1:7" s="30" customFormat="1" ht="14.45">
      <c r="A1606" s="71"/>
      <c r="B1606" s="72"/>
      <c r="C1606" s="73"/>
      <c r="D1606" s="74"/>
      <c r="E1606" s="159"/>
      <c r="F1606" s="138"/>
      <c r="G1606" s="226"/>
    </row>
    <row r="1607" spans="1:7" s="30" customFormat="1" ht="14.45">
      <c r="A1607" s="75"/>
      <c r="B1607" s="76"/>
      <c r="C1607" s="77" t="s">
        <v>30</v>
      </c>
      <c r="D1607" s="77"/>
      <c r="E1607" s="160" t="s">
        <v>8</v>
      </c>
      <c r="F1607" s="139">
        <f>SUM(F1561:F1604)</f>
        <v>97753.919999999998</v>
      </c>
      <c r="G1607" s="227"/>
    </row>
    <row r="1608" spans="1:7" s="30" customFormat="1" ht="14.45">
      <c r="A1608" s="75"/>
      <c r="B1608" s="76"/>
      <c r="C1608" s="78"/>
      <c r="D1608" s="79"/>
      <c r="E1608" s="161"/>
      <c r="F1608" s="140"/>
      <c r="G1608" s="228"/>
    </row>
    <row r="1609" spans="1:7" s="30" customFormat="1" ht="14.45">
      <c r="A1609" s="59"/>
      <c r="B1609" s="63"/>
      <c r="C1609" s="61"/>
      <c r="D1609" s="62"/>
      <c r="E1609" s="157"/>
      <c r="F1609" s="137"/>
      <c r="G1609" s="217"/>
    </row>
    <row r="1610" spans="1:7" s="30" customFormat="1" ht="14.45">
      <c r="A1610" s="59"/>
      <c r="B1610" s="64" t="s">
        <v>1950</v>
      </c>
      <c r="C1610" s="61"/>
      <c r="D1610" s="62"/>
      <c r="E1610" s="157"/>
      <c r="F1610" s="137"/>
      <c r="G1610" s="217"/>
    </row>
    <row r="1611" spans="1:7" s="30" customFormat="1" ht="14.45">
      <c r="A1611" s="59"/>
      <c r="B1611" s="100"/>
      <c r="C1611" s="61"/>
      <c r="D1611" s="62"/>
      <c r="E1611" s="157"/>
      <c r="F1611" s="137"/>
      <c r="G1611" s="217"/>
    </row>
    <row r="1612" spans="1:7" s="30" customFormat="1" ht="14.45">
      <c r="A1612" s="66" t="s">
        <v>14</v>
      </c>
      <c r="B1612" s="67" t="s">
        <v>2644</v>
      </c>
      <c r="C1612" s="68" t="s">
        <v>304</v>
      </c>
      <c r="D1612" s="69" t="s">
        <v>63</v>
      </c>
      <c r="E1612" s="157">
        <v>4443.3599999999997</v>
      </c>
      <c r="F1612" s="137">
        <f t="shared" ref="F1612" si="318">C1612*E1612</f>
        <v>4443.3599999999997</v>
      </c>
      <c r="G1612" s="217" t="s">
        <v>2377</v>
      </c>
    </row>
    <row r="1613" spans="1:7" s="30" customFormat="1" ht="14.45">
      <c r="A1613" s="59"/>
      <c r="B1613" s="100"/>
      <c r="C1613" s="61"/>
      <c r="D1613" s="62"/>
      <c r="E1613" s="157"/>
      <c r="F1613" s="137"/>
      <c r="G1613" s="217"/>
    </row>
    <row r="1614" spans="1:7" s="30" customFormat="1" ht="14.45">
      <c r="A1614" s="66" t="s">
        <v>17</v>
      </c>
      <c r="B1614" s="67" t="s">
        <v>2645</v>
      </c>
      <c r="C1614" s="68" t="s">
        <v>304</v>
      </c>
      <c r="D1614" s="69" t="s">
        <v>63</v>
      </c>
      <c r="E1614" s="157">
        <v>4443.3599999999997</v>
      </c>
      <c r="F1614" s="137">
        <f t="shared" ref="F1614" si="319">C1614*E1614</f>
        <v>4443.3599999999997</v>
      </c>
      <c r="G1614" s="217" t="s">
        <v>2377</v>
      </c>
    </row>
    <row r="1615" spans="1:7" s="30" customFormat="1" ht="14.45">
      <c r="A1615" s="59"/>
      <c r="B1615" s="100"/>
      <c r="C1615" s="61"/>
      <c r="D1615" s="62"/>
      <c r="E1615" s="157"/>
      <c r="F1615" s="137"/>
      <c r="G1615" s="217"/>
    </row>
    <row r="1616" spans="1:7" s="30" customFormat="1" ht="14.45">
      <c r="A1616" s="66" t="s">
        <v>20</v>
      </c>
      <c r="B1616" s="67" t="s">
        <v>2646</v>
      </c>
      <c r="C1616" s="68" t="s">
        <v>304</v>
      </c>
      <c r="D1616" s="69" t="s">
        <v>63</v>
      </c>
      <c r="E1616" s="157">
        <v>4443.3599999999997</v>
      </c>
      <c r="F1616" s="137">
        <f t="shared" ref="F1616" si="320">C1616*E1616</f>
        <v>4443.3599999999997</v>
      </c>
      <c r="G1616" s="217" t="s">
        <v>2377</v>
      </c>
    </row>
    <row r="1617" spans="1:7" s="30" customFormat="1" ht="14.45">
      <c r="A1617" s="59"/>
      <c r="B1617" s="100"/>
      <c r="C1617" s="61"/>
      <c r="D1617" s="62"/>
      <c r="E1617" s="157"/>
      <c r="F1617" s="137"/>
      <c r="G1617" s="217"/>
    </row>
    <row r="1618" spans="1:7" s="30" customFormat="1" ht="14.45">
      <c r="A1618" s="66" t="s">
        <v>23</v>
      </c>
      <c r="B1618" s="67" t="s">
        <v>2647</v>
      </c>
      <c r="C1618" s="68" t="s">
        <v>304</v>
      </c>
      <c r="D1618" s="69" t="s">
        <v>63</v>
      </c>
      <c r="E1618" s="157">
        <v>4443.3599999999997</v>
      </c>
      <c r="F1618" s="137">
        <f t="shared" ref="F1618" si="321">C1618*E1618</f>
        <v>4443.3599999999997</v>
      </c>
      <c r="G1618" s="217" t="s">
        <v>2377</v>
      </c>
    </row>
    <row r="1619" spans="1:7" s="30" customFormat="1" ht="14.45">
      <c r="A1619" s="59"/>
      <c r="B1619" s="100"/>
      <c r="C1619" s="61"/>
      <c r="D1619" s="62"/>
      <c r="E1619" s="157"/>
      <c r="F1619" s="137"/>
      <c r="G1619" s="217"/>
    </row>
    <row r="1620" spans="1:7" s="30" customFormat="1" ht="14.45">
      <c r="A1620" s="66" t="s">
        <v>27</v>
      </c>
      <c r="B1620" s="67" t="s">
        <v>2648</v>
      </c>
      <c r="C1620" s="68" t="s">
        <v>304</v>
      </c>
      <c r="D1620" s="69" t="s">
        <v>63</v>
      </c>
      <c r="E1620" s="157">
        <v>4443.3599999999997</v>
      </c>
      <c r="F1620" s="137">
        <f t="shared" ref="F1620" si="322">C1620*E1620</f>
        <v>4443.3599999999997</v>
      </c>
      <c r="G1620" s="217" t="s">
        <v>2377</v>
      </c>
    </row>
    <row r="1621" spans="1:7" s="30" customFormat="1" ht="14.45">
      <c r="A1621" s="59"/>
      <c r="B1621" s="100"/>
      <c r="C1621" s="61"/>
      <c r="D1621" s="62"/>
      <c r="E1621" s="157"/>
      <c r="F1621" s="137"/>
      <c r="G1621" s="217"/>
    </row>
    <row r="1622" spans="1:7" s="30" customFormat="1" ht="14.45">
      <c r="A1622" s="66" t="s">
        <v>44</v>
      </c>
      <c r="B1622" s="67" t="s">
        <v>2649</v>
      </c>
      <c r="C1622" s="68" t="s">
        <v>304</v>
      </c>
      <c r="D1622" s="69" t="s">
        <v>63</v>
      </c>
      <c r="E1622" s="157">
        <v>4443.3599999999997</v>
      </c>
      <c r="F1622" s="137">
        <f t="shared" ref="F1622" si="323">C1622*E1622</f>
        <v>4443.3599999999997</v>
      </c>
      <c r="G1622" s="217" t="s">
        <v>2377</v>
      </c>
    </row>
    <row r="1623" spans="1:7" s="30" customFormat="1" ht="14.45">
      <c r="A1623" s="59"/>
      <c r="B1623" s="100"/>
      <c r="C1623" s="61"/>
      <c r="D1623" s="62"/>
      <c r="E1623" s="157"/>
      <c r="F1623" s="137"/>
      <c r="G1623" s="217"/>
    </row>
    <row r="1624" spans="1:7" s="30" customFormat="1" ht="14.45">
      <c r="A1624" s="66" t="s">
        <v>48</v>
      </c>
      <c r="B1624" s="67" t="s">
        <v>2650</v>
      </c>
      <c r="C1624" s="68" t="s">
        <v>304</v>
      </c>
      <c r="D1624" s="69" t="s">
        <v>63</v>
      </c>
      <c r="E1624" s="157">
        <v>4443.3599999999997</v>
      </c>
      <c r="F1624" s="137">
        <f t="shared" ref="F1624" si="324">C1624*E1624</f>
        <v>4443.3599999999997</v>
      </c>
      <c r="G1624" s="217" t="s">
        <v>2377</v>
      </c>
    </row>
    <row r="1625" spans="1:7" s="30" customFormat="1" ht="14.45">
      <c r="A1625" s="59"/>
      <c r="B1625" s="100"/>
      <c r="C1625" s="61"/>
      <c r="D1625" s="62"/>
      <c r="E1625" s="157"/>
      <c r="F1625" s="137"/>
      <c r="G1625" s="217"/>
    </row>
    <row r="1626" spans="1:7" s="30" customFormat="1" ht="14.45">
      <c r="A1626" s="66" t="s">
        <v>84</v>
      </c>
      <c r="B1626" s="67" t="s">
        <v>2651</v>
      </c>
      <c r="C1626" s="68" t="s">
        <v>304</v>
      </c>
      <c r="D1626" s="69" t="s">
        <v>63</v>
      </c>
      <c r="E1626" s="157">
        <v>4443.3599999999997</v>
      </c>
      <c r="F1626" s="137">
        <f t="shared" ref="F1626" si="325">C1626*E1626</f>
        <v>4443.3599999999997</v>
      </c>
      <c r="G1626" s="217" t="s">
        <v>2377</v>
      </c>
    </row>
    <row r="1627" spans="1:7" s="30" customFormat="1" ht="14.45">
      <c r="A1627" s="59"/>
      <c r="B1627" s="100"/>
      <c r="C1627" s="61"/>
      <c r="D1627" s="62"/>
      <c r="E1627" s="157"/>
      <c r="F1627" s="137"/>
      <c r="G1627" s="217"/>
    </row>
    <row r="1628" spans="1:7" s="30" customFormat="1" ht="14.45">
      <c r="A1628" s="66" t="s">
        <v>86</v>
      </c>
      <c r="B1628" s="67" t="s">
        <v>2652</v>
      </c>
      <c r="C1628" s="68" t="s">
        <v>304</v>
      </c>
      <c r="D1628" s="69" t="s">
        <v>63</v>
      </c>
      <c r="E1628" s="157">
        <v>4443.3599999999997</v>
      </c>
      <c r="F1628" s="137">
        <f t="shared" ref="F1628" si="326">C1628*E1628</f>
        <v>4443.3599999999997</v>
      </c>
      <c r="G1628" s="217" t="s">
        <v>2377</v>
      </c>
    </row>
    <row r="1629" spans="1:7" s="30" customFormat="1" ht="14.45">
      <c r="A1629" s="59"/>
      <c r="B1629" s="100"/>
      <c r="C1629" s="61"/>
      <c r="D1629" s="62"/>
      <c r="E1629" s="157"/>
      <c r="F1629" s="137"/>
      <c r="G1629" s="217"/>
    </row>
    <row r="1630" spans="1:7" s="30" customFormat="1" ht="14.45">
      <c r="A1630" s="66" t="s">
        <v>90</v>
      </c>
      <c r="B1630" s="67" t="s">
        <v>2653</v>
      </c>
      <c r="C1630" s="68" t="s">
        <v>304</v>
      </c>
      <c r="D1630" s="69" t="s">
        <v>63</v>
      </c>
      <c r="E1630" s="157">
        <v>4443.3599999999997</v>
      </c>
      <c r="F1630" s="137">
        <f t="shared" ref="F1630" si="327">C1630*E1630</f>
        <v>4443.3599999999997</v>
      </c>
      <c r="G1630" s="217" t="s">
        <v>2377</v>
      </c>
    </row>
    <row r="1631" spans="1:7" s="30" customFormat="1" ht="14.45">
      <c r="A1631" s="59"/>
      <c r="B1631" s="100"/>
      <c r="C1631" s="61"/>
      <c r="D1631" s="62"/>
      <c r="E1631" s="157"/>
      <c r="F1631" s="137"/>
      <c r="G1631" s="217"/>
    </row>
    <row r="1632" spans="1:7" s="30" customFormat="1" ht="14.45">
      <c r="A1632" s="66" t="s">
        <v>92</v>
      </c>
      <c r="B1632" s="67" t="s">
        <v>2654</v>
      </c>
      <c r="C1632" s="68" t="s">
        <v>304</v>
      </c>
      <c r="D1632" s="69" t="s">
        <v>63</v>
      </c>
      <c r="E1632" s="157">
        <v>4443.3599999999997</v>
      </c>
      <c r="F1632" s="137">
        <f t="shared" ref="F1632" si="328">C1632*E1632</f>
        <v>4443.3599999999997</v>
      </c>
      <c r="G1632" s="217" t="s">
        <v>2377</v>
      </c>
    </row>
    <row r="1633" spans="1:7" s="30" customFormat="1" ht="14.45">
      <c r="A1633" s="59"/>
      <c r="B1633" s="100"/>
      <c r="C1633" s="61"/>
      <c r="D1633" s="62"/>
      <c r="E1633" s="157"/>
      <c r="F1633" s="137"/>
      <c r="G1633" s="217"/>
    </row>
    <row r="1634" spans="1:7" s="30" customFormat="1" ht="14.45">
      <c r="A1634" s="66" t="s">
        <v>94</v>
      </c>
      <c r="B1634" s="67" t="s">
        <v>2655</v>
      </c>
      <c r="C1634" s="68" t="s">
        <v>304</v>
      </c>
      <c r="D1634" s="69" t="s">
        <v>63</v>
      </c>
      <c r="E1634" s="157">
        <v>4443.3599999999997</v>
      </c>
      <c r="F1634" s="137">
        <f t="shared" ref="F1634" si="329">C1634*E1634</f>
        <v>4443.3599999999997</v>
      </c>
      <c r="G1634" s="217" t="s">
        <v>2377</v>
      </c>
    </row>
    <row r="1635" spans="1:7" s="30" customFormat="1" ht="14.45">
      <c r="A1635" s="59"/>
      <c r="B1635" s="100"/>
      <c r="C1635" s="61"/>
      <c r="D1635" s="62"/>
      <c r="E1635" s="157"/>
      <c r="F1635" s="137"/>
      <c r="G1635" s="217"/>
    </row>
    <row r="1636" spans="1:7" s="30" customFormat="1" ht="14.45">
      <c r="A1636" s="66" t="s">
        <v>140</v>
      </c>
      <c r="B1636" s="67" t="s">
        <v>2656</v>
      </c>
      <c r="C1636" s="68" t="s">
        <v>304</v>
      </c>
      <c r="D1636" s="69" t="s">
        <v>63</v>
      </c>
      <c r="E1636" s="157">
        <v>4443.3599999999997</v>
      </c>
      <c r="F1636" s="137">
        <f t="shared" ref="F1636" si="330">C1636*E1636</f>
        <v>4443.3599999999997</v>
      </c>
      <c r="G1636" s="217" t="s">
        <v>2377</v>
      </c>
    </row>
    <row r="1637" spans="1:7" s="30" customFormat="1" ht="14.45">
      <c r="A1637" s="59"/>
      <c r="B1637" s="100"/>
      <c r="C1637" s="61"/>
      <c r="D1637" s="62"/>
      <c r="E1637" s="157"/>
      <c r="F1637" s="137"/>
      <c r="G1637" s="217"/>
    </row>
    <row r="1638" spans="1:7" s="30" customFormat="1" ht="14.45">
      <c r="A1638" s="66" t="s">
        <v>159</v>
      </c>
      <c r="B1638" s="67" t="s">
        <v>2657</v>
      </c>
      <c r="C1638" s="68" t="s">
        <v>304</v>
      </c>
      <c r="D1638" s="69" t="s">
        <v>63</v>
      </c>
      <c r="E1638" s="157">
        <v>4443.3599999999997</v>
      </c>
      <c r="F1638" s="137">
        <f t="shared" ref="F1638" si="331">C1638*E1638</f>
        <v>4443.3599999999997</v>
      </c>
      <c r="G1638" s="217" t="s">
        <v>2377</v>
      </c>
    </row>
    <row r="1639" spans="1:7" s="30" customFormat="1" ht="14.45">
      <c r="A1639" s="59"/>
      <c r="B1639" s="100"/>
      <c r="C1639" s="61"/>
      <c r="D1639" s="62"/>
      <c r="E1639" s="157"/>
      <c r="F1639" s="137"/>
      <c r="G1639" s="217"/>
    </row>
    <row r="1640" spans="1:7" s="30" customFormat="1" ht="14.45">
      <c r="A1640" s="66" t="s">
        <v>162</v>
      </c>
      <c r="B1640" s="67" t="s">
        <v>2658</v>
      </c>
      <c r="C1640" s="68" t="s">
        <v>304</v>
      </c>
      <c r="D1640" s="69" t="s">
        <v>63</v>
      </c>
      <c r="E1640" s="157">
        <v>4443.3599999999997</v>
      </c>
      <c r="F1640" s="137">
        <f t="shared" ref="F1640" si="332">C1640*E1640</f>
        <v>4443.3599999999997</v>
      </c>
      <c r="G1640" s="217" t="s">
        <v>2377</v>
      </c>
    </row>
    <row r="1641" spans="1:7" s="30" customFormat="1" ht="14.45">
      <c r="A1641" s="59"/>
      <c r="B1641" s="100"/>
      <c r="C1641" s="61"/>
      <c r="D1641" s="62"/>
      <c r="E1641" s="157"/>
      <c r="F1641" s="137"/>
      <c r="G1641" s="217"/>
    </row>
    <row r="1642" spans="1:7" s="30" customFormat="1" ht="14.45">
      <c r="A1642" s="66" t="s">
        <v>164</v>
      </c>
      <c r="B1642" s="67" t="s">
        <v>2659</v>
      </c>
      <c r="C1642" s="68" t="s">
        <v>304</v>
      </c>
      <c r="D1642" s="69" t="s">
        <v>63</v>
      </c>
      <c r="E1642" s="157">
        <v>4443.3599999999997</v>
      </c>
      <c r="F1642" s="137">
        <f t="shared" ref="F1642" si="333">C1642*E1642</f>
        <v>4443.3599999999997</v>
      </c>
      <c r="G1642" s="217" t="s">
        <v>2377</v>
      </c>
    </row>
    <row r="1643" spans="1:7" s="30" customFormat="1" ht="10.5" customHeight="1">
      <c r="A1643" s="59"/>
      <c r="B1643" s="100"/>
      <c r="C1643" s="61"/>
      <c r="D1643" s="62"/>
      <c r="E1643" s="157"/>
      <c r="F1643" s="137"/>
      <c r="G1643" s="217"/>
    </row>
    <row r="1644" spans="1:7" s="30" customFormat="1" ht="14.45">
      <c r="A1644" s="66" t="s">
        <v>166</v>
      </c>
      <c r="B1644" s="67" t="s">
        <v>2660</v>
      </c>
      <c r="C1644" s="68" t="s">
        <v>304</v>
      </c>
      <c r="D1644" s="69" t="s">
        <v>63</v>
      </c>
      <c r="E1644" s="157">
        <v>4443.3599999999997</v>
      </c>
      <c r="F1644" s="137">
        <f t="shared" ref="F1644" si="334">C1644*E1644</f>
        <v>4443.3599999999997</v>
      </c>
      <c r="G1644" s="217" t="s">
        <v>2377</v>
      </c>
    </row>
    <row r="1645" spans="1:7" s="30" customFormat="1" ht="7.5" customHeight="1">
      <c r="A1645" s="59"/>
      <c r="B1645" s="100"/>
      <c r="C1645" s="61"/>
      <c r="D1645" s="62"/>
      <c r="E1645" s="157"/>
      <c r="F1645" s="137"/>
      <c r="G1645" s="217"/>
    </row>
    <row r="1646" spans="1:7" s="30" customFormat="1" ht="14.45">
      <c r="A1646" s="66" t="s">
        <v>168</v>
      </c>
      <c r="B1646" s="67" t="s">
        <v>2661</v>
      </c>
      <c r="C1646" s="68" t="s">
        <v>304</v>
      </c>
      <c r="D1646" s="69" t="s">
        <v>63</v>
      </c>
      <c r="E1646" s="157">
        <v>4443.3599999999997</v>
      </c>
      <c r="F1646" s="137">
        <f t="shared" ref="F1646" si="335">C1646*E1646</f>
        <v>4443.3599999999997</v>
      </c>
      <c r="G1646" s="217" t="s">
        <v>2377</v>
      </c>
    </row>
    <row r="1647" spans="1:7" s="30" customFormat="1" ht="9.75" customHeight="1">
      <c r="A1647" s="59"/>
      <c r="B1647" s="100"/>
      <c r="C1647" s="61"/>
      <c r="D1647" s="62"/>
      <c r="E1647" s="157"/>
      <c r="F1647" s="137"/>
      <c r="G1647" s="217"/>
    </row>
    <row r="1648" spans="1:7" s="30" customFormat="1" ht="14.45">
      <c r="A1648" s="66" t="s">
        <v>170</v>
      </c>
      <c r="B1648" s="67" t="s">
        <v>2662</v>
      </c>
      <c r="C1648" s="68" t="s">
        <v>304</v>
      </c>
      <c r="D1648" s="69" t="s">
        <v>63</v>
      </c>
      <c r="E1648" s="157">
        <v>4443.3599999999997</v>
      </c>
      <c r="F1648" s="137">
        <f t="shared" ref="F1648" si="336">C1648*E1648</f>
        <v>4443.3599999999997</v>
      </c>
      <c r="G1648" s="217" t="s">
        <v>2377</v>
      </c>
    </row>
    <row r="1649" spans="1:7" s="30" customFormat="1" ht="9" customHeight="1">
      <c r="A1649" s="59"/>
      <c r="B1649" s="100"/>
      <c r="C1649" s="61"/>
      <c r="D1649" s="62"/>
      <c r="E1649" s="157"/>
      <c r="F1649" s="137"/>
      <c r="G1649" s="217"/>
    </row>
    <row r="1650" spans="1:7" s="30" customFormat="1" ht="14.45">
      <c r="A1650" s="66" t="s">
        <v>172</v>
      </c>
      <c r="B1650" s="67" t="s">
        <v>2663</v>
      </c>
      <c r="C1650" s="68" t="s">
        <v>304</v>
      </c>
      <c r="D1650" s="69" t="s">
        <v>63</v>
      </c>
      <c r="E1650" s="157">
        <v>4443.3599999999997</v>
      </c>
      <c r="F1650" s="137">
        <f t="shared" ref="F1650" si="337">C1650*E1650</f>
        <v>4443.3599999999997</v>
      </c>
      <c r="G1650" s="217" t="s">
        <v>2377</v>
      </c>
    </row>
    <row r="1651" spans="1:7" s="30" customFormat="1" ht="11.25" customHeight="1">
      <c r="A1651" s="59"/>
      <c r="B1651" s="100"/>
      <c r="C1651" s="61"/>
      <c r="D1651" s="62"/>
      <c r="E1651" s="157"/>
      <c r="F1651" s="137"/>
      <c r="G1651" s="217"/>
    </row>
    <row r="1652" spans="1:7" s="30" customFormat="1" ht="14.45">
      <c r="A1652" s="66" t="s">
        <v>1615</v>
      </c>
      <c r="B1652" s="67" t="s">
        <v>2664</v>
      </c>
      <c r="C1652" s="68" t="s">
        <v>304</v>
      </c>
      <c r="D1652" s="69" t="s">
        <v>63</v>
      </c>
      <c r="E1652" s="157">
        <v>4443.3599999999997</v>
      </c>
      <c r="F1652" s="137">
        <f t="shared" ref="F1652" si="338">C1652*E1652</f>
        <v>4443.3599999999997</v>
      </c>
      <c r="G1652" s="217" t="s">
        <v>2377</v>
      </c>
    </row>
    <row r="1653" spans="1:7" s="30" customFormat="1" ht="14.45">
      <c r="A1653" s="59"/>
      <c r="B1653" s="100"/>
      <c r="C1653" s="61"/>
      <c r="D1653" s="62"/>
      <c r="E1653" s="157"/>
      <c r="F1653" s="137"/>
      <c r="G1653" s="217"/>
    </row>
    <row r="1654" spans="1:7" s="30" customFormat="1" ht="14.45">
      <c r="A1654" s="66" t="s">
        <v>1617</v>
      </c>
      <c r="B1654" s="67" t="s">
        <v>2665</v>
      </c>
      <c r="C1654" s="68" t="s">
        <v>304</v>
      </c>
      <c r="D1654" s="69" t="s">
        <v>63</v>
      </c>
      <c r="E1654" s="157">
        <v>4443.3599999999997</v>
      </c>
      <c r="F1654" s="137">
        <f t="shared" ref="F1654" si="339">C1654*E1654</f>
        <v>4443.3599999999997</v>
      </c>
      <c r="G1654" s="217" t="s">
        <v>2377</v>
      </c>
    </row>
    <row r="1655" spans="1:7" s="30" customFormat="1" ht="28.9">
      <c r="A1655" s="59"/>
      <c r="B1655" s="230" t="s">
        <v>323</v>
      </c>
      <c r="C1655" s="61"/>
      <c r="D1655" s="62"/>
      <c r="E1655" s="157"/>
      <c r="F1655" s="137"/>
      <c r="G1655" s="217"/>
    </row>
    <row r="1656" spans="1:7" s="30" customFormat="1" ht="14.45">
      <c r="A1656" s="71"/>
      <c r="B1656" s="72"/>
      <c r="C1656" s="73"/>
      <c r="D1656" s="74"/>
      <c r="E1656" s="159"/>
      <c r="F1656" s="138"/>
      <c r="G1656" s="226"/>
    </row>
    <row r="1657" spans="1:7" s="30" customFormat="1" ht="14.45">
      <c r="A1657" s="75"/>
      <c r="B1657" s="76"/>
      <c r="C1657" s="77" t="s">
        <v>30</v>
      </c>
      <c r="D1657" s="77"/>
      <c r="E1657" s="160" t="s">
        <v>8</v>
      </c>
      <c r="F1657" s="139">
        <f>SUM(F1610:F1654)</f>
        <v>97753.919999999998</v>
      </c>
      <c r="G1657" s="227"/>
    </row>
    <row r="1658" spans="1:7" s="30" customFormat="1" ht="14.45">
      <c r="A1658" s="75"/>
      <c r="B1658" s="76"/>
      <c r="C1658" s="78"/>
      <c r="D1658" s="79"/>
      <c r="E1658" s="161"/>
      <c r="F1658" s="140"/>
      <c r="G1658" s="228"/>
    </row>
    <row r="1659" spans="1:7" s="30" customFormat="1" ht="14.45">
      <c r="A1659" s="59"/>
      <c r="B1659" s="63"/>
      <c r="C1659" s="61"/>
      <c r="D1659" s="62"/>
      <c r="E1659" s="157"/>
      <c r="F1659" s="137"/>
      <c r="G1659" s="217"/>
    </row>
    <row r="1660" spans="1:7" s="30" customFormat="1" ht="14.45">
      <c r="A1660" s="59"/>
      <c r="B1660" s="64" t="s">
        <v>1950</v>
      </c>
      <c r="C1660" s="61"/>
      <c r="D1660" s="62"/>
      <c r="E1660" s="157"/>
      <c r="F1660" s="137"/>
      <c r="G1660" s="217"/>
    </row>
    <row r="1661" spans="1:7" s="30" customFormat="1" ht="14.45">
      <c r="A1661" s="59"/>
      <c r="B1661" s="100"/>
      <c r="C1661" s="61"/>
      <c r="D1661" s="62"/>
      <c r="E1661" s="157"/>
      <c r="F1661" s="137"/>
      <c r="G1661" s="217"/>
    </row>
    <row r="1662" spans="1:7" s="30" customFormat="1" ht="14.45">
      <c r="A1662" s="66" t="s">
        <v>14</v>
      </c>
      <c r="B1662" s="67" t="s">
        <v>2666</v>
      </c>
      <c r="C1662" s="68" t="s">
        <v>304</v>
      </c>
      <c r="D1662" s="69" t="s">
        <v>63</v>
      </c>
      <c r="E1662" s="157">
        <v>4443.3599999999997</v>
      </c>
      <c r="F1662" s="137">
        <f t="shared" ref="F1662" si="340">C1662*E1662</f>
        <v>4443.3599999999997</v>
      </c>
      <c r="G1662" s="217" t="s">
        <v>2377</v>
      </c>
    </row>
    <row r="1663" spans="1:7" s="30" customFormat="1" ht="14.45">
      <c r="A1663" s="59"/>
      <c r="B1663" s="100"/>
      <c r="C1663" s="61"/>
      <c r="D1663" s="62"/>
      <c r="E1663" s="157"/>
      <c r="F1663" s="137"/>
      <c r="G1663" s="217"/>
    </row>
    <row r="1664" spans="1:7" s="30" customFormat="1" ht="14.45">
      <c r="A1664" s="66" t="s">
        <v>17</v>
      </c>
      <c r="B1664" s="67" t="s">
        <v>2667</v>
      </c>
      <c r="C1664" s="68" t="s">
        <v>304</v>
      </c>
      <c r="D1664" s="69" t="s">
        <v>63</v>
      </c>
      <c r="E1664" s="157">
        <v>4443.3599999999997</v>
      </c>
      <c r="F1664" s="137">
        <f t="shared" ref="F1664" si="341">C1664*E1664</f>
        <v>4443.3599999999997</v>
      </c>
      <c r="G1664" s="217" t="s">
        <v>2377</v>
      </c>
    </row>
    <row r="1665" spans="1:7" s="30" customFormat="1" ht="14.45">
      <c r="A1665" s="59"/>
      <c r="B1665" s="100"/>
      <c r="C1665" s="61"/>
      <c r="D1665" s="62"/>
      <c r="E1665" s="157"/>
      <c r="F1665" s="137"/>
      <c r="G1665" s="217"/>
    </row>
    <row r="1666" spans="1:7" s="30" customFormat="1" ht="14.45">
      <c r="A1666" s="66" t="s">
        <v>20</v>
      </c>
      <c r="B1666" s="67" t="s">
        <v>2668</v>
      </c>
      <c r="C1666" s="68" t="s">
        <v>304</v>
      </c>
      <c r="D1666" s="69" t="s">
        <v>63</v>
      </c>
      <c r="E1666" s="157">
        <v>4443.3599999999997</v>
      </c>
      <c r="F1666" s="137">
        <f t="shared" ref="F1666" si="342">C1666*E1666</f>
        <v>4443.3599999999997</v>
      </c>
      <c r="G1666" s="217" t="s">
        <v>2377</v>
      </c>
    </row>
    <row r="1667" spans="1:7" s="30" customFormat="1" ht="14.45">
      <c r="A1667" s="59"/>
      <c r="B1667" s="100"/>
      <c r="C1667" s="61"/>
      <c r="D1667" s="62"/>
      <c r="E1667" s="157"/>
      <c r="F1667" s="137"/>
      <c r="G1667" s="217"/>
    </row>
    <row r="1668" spans="1:7" s="30" customFormat="1" ht="14.45">
      <c r="A1668" s="66" t="s">
        <v>23</v>
      </c>
      <c r="B1668" s="67" t="s">
        <v>2669</v>
      </c>
      <c r="C1668" s="68" t="s">
        <v>304</v>
      </c>
      <c r="D1668" s="69" t="s">
        <v>63</v>
      </c>
      <c r="E1668" s="157">
        <v>4443.3599999999997</v>
      </c>
      <c r="F1668" s="137">
        <f t="shared" ref="F1668" si="343">C1668*E1668</f>
        <v>4443.3599999999997</v>
      </c>
      <c r="G1668" s="217" t="s">
        <v>2377</v>
      </c>
    </row>
    <row r="1669" spans="1:7" s="30" customFormat="1" ht="14.45">
      <c r="A1669" s="59"/>
      <c r="B1669" s="100"/>
      <c r="C1669" s="61"/>
      <c r="D1669" s="62"/>
      <c r="E1669" s="157"/>
      <c r="F1669" s="137"/>
      <c r="G1669" s="217"/>
    </row>
    <row r="1670" spans="1:7" s="30" customFormat="1" ht="14.45">
      <c r="A1670" s="66" t="s">
        <v>27</v>
      </c>
      <c r="B1670" s="67" t="s">
        <v>2670</v>
      </c>
      <c r="C1670" s="68" t="s">
        <v>304</v>
      </c>
      <c r="D1670" s="69" t="s">
        <v>63</v>
      </c>
      <c r="E1670" s="157">
        <v>4443.3599999999997</v>
      </c>
      <c r="F1670" s="137">
        <f t="shared" ref="F1670" si="344">C1670*E1670</f>
        <v>4443.3599999999997</v>
      </c>
      <c r="G1670" s="217" t="s">
        <v>2377</v>
      </c>
    </row>
    <row r="1671" spans="1:7" s="30" customFormat="1" ht="14.45">
      <c r="A1671" s="59"/>
      <c r="B1671" s="100"/>
      <c r="C1671" s="61"/>
      <c r="D1671" s="62"/>
      <c r="E1671" s="157"/>
      <c r="F1671" s="137"/>
      <c r="G1671" s="217"/>
    </row>
    <row r="1672" spans="1:7" s="30" customFormat="1" ht="14.45">
      <c r="A1672" s="66" t="s">
        <v>44</v>
      </c>
      <c r="B1672" s="67" t="s">
        <v>2671</v>
      </c>
      <c r="C1672" s="68" t="s">
        <v>304</v>
      </c>
      <c r="D1672" s="69" t="s">
        <v>63</v>
      </c>
      <c r="E1672" s="157">
        <v>4443.3599999999997</v>
      </c>
      <c r="F1672" s="137">
        <f t="shared" ref="F1672" si="345">C1672*E1672</f>
        <v>4443.3599999999997</v>
      </c>
      <c r="G1672" s="217" t="s">
        <v>2377</v>
      </c>
    </row>
    <row r="1673" spans="1:7" s="30" customFormat="1" ht="14.45">
      <c r="A1673" s="59"/>
      <c r="B1673" s="100"/>
      <c r="C1673" s="61"/>
      <c r="D1673" s="62"/>
      <c r="E1673" s="157"/>
      <c r="F1673" s="137"/>
      <c r="G1673" s="217"/>
    </row>
    <row r="1674" spans="1:7" s="30" customFormat="1" ht="14.45">
      <c r="A1674" s="66" t="s">
        <v>48</v>
      </c>
      <c r="B1674" s="67" t="s">
        <v>2672</v>
      </c>
      <c r="C1674" s="68" t="s">
        <v>304</v>
      </c>
      <c r="D1674" s="69" t="s">
        <v>63</v>
      </c>
      <c r="E1674" s="157">
        <v>4443.3599999999997</v>
      </c>
      <c r="F1674" s="137">
        <f t="shared" ref="F1674" si="346">C1674*E1674</f>
        <v>4443.3599999999997</v>
      </c>
      <c r="G1674" s="217" t="s">
        <v>2377</v>
      </c>
    </row>
    <row r="1675" spans="1:7" s="30" customFormat="1" ht="14.45">
      <c r="A1675" s="59"/>
      <c r="B1675" s="100"/>
      <c r="C1675" s="61"/>
      <c r="D1675" s="62"/>
      <c r="E1675" s="157"/>
      <c r="F1675" s="137"/>
      <c r="G1675" s="217"/>
    </row>
    <row r="1676" spans="1:7" s="30" customFormat="1" ht="14.45">
      <c r="A1676" s="66" t="s">
        <v>84</v>
      </c>
      <c r="B1676" s="67" t="s">
        <v>2673</v>
      </c>
      <c r="C1676" s="68" t="s">
        <v>304</v>
      </c>
      <c r="D1676" s="69" t="s">
        <v>63</v>
      </c>
      <c r="E1676" s="157">
        <v>4443.3599999999997</v>
      </c>
      <c r="F1676" s="137">
        <f t="shared" ref="F1676" si="347">C1676*E1676</f>
        <v>4443.3599999999997</v>
      </c>
      <c r="G1676" s="217" t="s">
        <v>2377</v>
      </c>
    </row>
    <row r="1677" spans="1:7" s="30" customFormat="1" ht="9.75" customHeight="1">
      <c r="A1677" s="59"/>
      <c r="B1677" s="100"/>
      <c r="C1677" s="61"/>
      <c r="D1677" s="62"/>
      <c r="E1677" s="157"/>
      <c r="F1677" s="137"/>
      <c r="G1677" s="217"/>
    </row>
    <row r="1678" spans="1:7" s="30" customFormat="1" ht="14.45">
      <c r="A1678" s="66" t="s">
        <v>86</v>
      </c>
      <c r="B1678" s="67" t="s">
        <v>2674</v>
      </c>
      <c r="C1678" s="68" t="s">
        <v>304</v>
      </c>
      <c r="D1678" s="69" t="s">
        <v>63</v>
      </c>
      <c r="E1678" s="157">
        <v>4443.3599999999997</v>
      </c>
      <c r="F1678" s="137">
        <f t="shared" ref="F1678" si="348">C1678*E1678</f>
        <v>4443.3599999999997</v>
      </c>
      <c r="G1678" s="217" t="s">
        <v>2377</v>
      </c>
    </row>
    <row r="1679" spans="1:7" s="30" customFormat="1" ht="12" customHeight="1">
      <c r="A1679" s="59"/>
      <c r="B1679" s="100"/>
      <c r="C1679" s="61"/>
      <c r="D1679" s="62"/>
      <c r="E1679" s="157"/>
      <c r="F1679" s="137"/>
      <c r="G1679" s="217"/>
    </row>
    <row r="1680" spans="1:7" s="30" customFormat="1" ht="14.45">
      <c r="A1680" s="66" t="s">
        <v>90</v>
      </c>
      <c r="B1680" s="67" t="s">
        <v>2675</v>
      </c>
      <c r="C1680" s="68" t="s">
        <v>304</v>
      </c>
      <c r="D1680" s="69" t="s">
        <v>63</v>
      </c>
      <c r="E1680" s="157">
        <v>4443.3599999999997</v>
      </c>
      <c r="F1680" s="137">
        <f t="shared" ref="F1680" si="349">C1680*E1680</f>
        <v>4443.3599999999997</v>
      </c>
      <c r="G1680" s="217" t="s">
        <v>2377</v>
      </c>
    </row>
    <row r="1681" spans="1:7" s="30" customFormat="1" ht="9.75" customHeight="1">
      <c r="A1681" s="59"/>
      <c r="B1681" s="100"/>
      <c r="C1681" s="61"/>
      <c r="D1681" s="62"/>
      <c r="E1681" s="157"/>
      <c r="F1681" s="137"/>
      <c r="G1681" s="217"/>
    </row>
    <row r="1682" spans="1:7" s="30" customFormat="1" ht="14.45">
      <c r="A1682" s="66" t="s">
        <v>92</v>
      </c>
      <c r="B1682" s="67" t="s">
        <v>2676</v>
      </c>
      <c r="C1682" s="68" t="s">
        <v>304</v>
      </c>
      <c r="D1682" s="69" t="s">
        <v>63</v>
      </c>
      <c r="E1682" s="157">
        <v>4443.3599999999997</v>
      </c>
      <c r="F1682" s="137">
        <f t="shared" ref="F1682" si="350">C1682*E1682</f>
        <v>4443.3599999999997</v>
      </c>
      <c r="G1682" s="217" t="s">
        <v>2377</v>
      </c>
    </row>
    <row r="1683" spans="1:7" s="30" customFormat="1" ht="9.75" customHeight="1">
      <c r="A1683" s="59"/>
      <c r="B1683" s="100"/>
      <c r="C1683" s="61"/>
      <c r="D1683" s="62"/>
      <c r="E1683" s="157"/>
      <c r="F1683" s="137"/>
      <c r="G1683" s="217"/>
    </row>
    <row r="1684" spans="1:7" s="30" customFormat="1" ht="14.45">
      <c r="A1684" s="66" t="s">
        <v>94</v>
      </c>
      <c r="B1684" s="67" t="s">
        <v>2677</v>
      </c>
      <c r="C1684" s="68" t="s">
        <v>304</v>
      </c>
      <c r="D1684" s="69" t="s">
        <v>63</v>
      </c>
      <c r="E1684" s="157">
        <v>4443.3599999999997</v>
      </c>
      <c r="F1684" s="137">
        <f t="shared" ref="F1684" si="351">C1684*E1684</f>
        <v>4443.3599999999997</v>
      </c>
      <c r="G1684" s="217" t="s">
        <v>2377</v>
      </c>
    </row>
    <row r="1685" spans="1:7" s="30" customFormat="1" ht="9" customHeight="1">
      <c r="A1685" s="59"/>
      <c r="B1685" s="100"/>
      <c r="C1685" s="61"/>
      <c r="D1685" s="62"/>
      <c r="E1685" s="157"/>
      <c r="F1685" s="137"/>
      <c r="G1685" s="217"/>
    </row>
    <row r="1686" spans="1:7" s="30" customFormat="1" ht="14.45">
      <c r="A1686" s="66" t="s">
        <v>140</v>
      </c>
      <c r="B1686" s="67" t="s">
        <v>2678</v>
      </c>
      <c r="C1686" s="68" t="s">
        <v>304</v>
      </c>
      <c r="D1686" s="69" t="s">
        <v>63</v>
      </c>
      <c r="E1686" s="157">
        <v>4443.3599999999997</v>
      </c>
      <c r="F1686" s="137">
        <f t="shared" ref="F1686" si="352">C1686*E1686</f>
        <v>4443.3599999999997</v>
      </c>
      <c r="G1686" s="217" t="s">
        <v>2377</v>
      </c>
    </row>
    <row r="1687" spans="1:7" s="30" customFormat="1" ht="12" customHeight="1">
      <c r="A1687" s="59"/>
      <c r="B1687" s="100"/>
      <c r="C1687" s="61"/>
      <c r="D1687" s="62"/>
      <c r="E1687" s="157"/>
      <c r="F1687" s="137"/>
      <c r="G1687" s="217"/>
    </row>
    <row r="1688" spans="1:7" s="30" customFormat="1" ht="14.45">
      <c r="A1688" s="66" t="s">
        <v>159</v>
      </c>
      <c r="B1688" s="67" t="s">
        <v>2679</v>
      </c>
      <c r="C1688" s="68" t="s">
        <v>304</v>
      </c>
      <c r="D1688" s="69" t="s">
        <v>63</v>
      </c>
      <c r="E1688" s="157">
        <v>4443.3599999999997</v>
      </c>
      <c r="F1688" s="137">
        <f t="shared" ref="F1688" si="353">C1688*E1688</f>
        <v>4443.3599999999997</v>
      </c>
      <c r="G1688" s="217" t="s">
        <v>2377</v>
      </c>
    </row>
    <row r="1689" spans="1:7" s="30" customFormat="1" ht="14.45">
      <c r="A1689" s="59"/>
      <c r="B1689" s="100"/>
      <c r="C1689" s="61"/>
      <c r="D1689" s="62"/>
      <c r="E1689" s="157"/>
      <c r="F1689" s="137"/>
      <c r="G1689" s="217"/>
    </row>
    <row r="1690" spans="1:7" s="30" customFormat="1" ht="14.45">
      <c r="A1690" s="66" t="s">
        <v>162</v>
      </c>
      <c r="B1690" s="67" t="s">
        <v>2680</v>
      </c>
      <c r="C1690" s="68" t="s">
        <v>304</v>
      </c>
      <c r="D1690" s="69" t="s">
        <v>63</v>
      </c>
      <c r="E1690" s="157">
        <v>4443.3599999999997</v>
      </c>
      <c r="F1690" s="137">
        <f t="shared" ref="F1690" si="354">C1690*E1690</f>
        <v>4443.3599999999997</v>
      </c>
      <c r="G1690" s="217" t="s">
        <v>2377</v>
      </c>
    </row>
    <row r="1691" spans="1:7" s="30" customFormat="1" ht="14.45">
      <c r="A1691" s="59"/>
      <c r="B1691" s="100"/>
      <c r="C1691" s="61"/>
      <c r="D1691" s="62"/>
      <c r="E1691" s="157"/>
      <c r="F1691" s="137"/>
      <c r="G1691" s="217"/>
    </row>
    <row r="1692" spans="1:7" s="30" customFormat="1" ht="14.45">
      <c r="A1692" s="66" t="s">
        <v>164</v>
      </c>
      <c r="B1692" s="67" t="s">
        <v>2681</v>
      </c>
      <c r="C1692" s="68" t="s">
        <v>304</v>
      </c>
      <c r="D1692" s="69" t="s">
        <v>63</v>
      </c>
      <c r="E1692" s="157">
        <v>4443.3599999999997</v>
      </c>
      <c r="F1692" s="137">
        <f t="shared" ref="F1692" si="355">C1692*E1692</f>
        <v>4443.3599999999997</v>
      </c>
      <c r="G1692" s="217" t="s">
        <v>2377</v>
      </c>
    </row>
    <row r="1693" spans="1:7" s="30" customFormat="1" ht="14.45">
      <c r="A1693" s="59"/>
      <c r="B1693" s="100"/>
      <c r="C1693" s="61"/>
      <c r="D1693" s="62"/>
      <c r="E1693" s="157"/>
      <c r="F1693" s="137"/>
      <c r="G1693" s="217"/>
    </row>
    <row r="1694" spans="1:7" s="30" customFormat="1" ht="14.45">
      <c r="A1694" s="66" t="s">
        <v>166</v>
      </c>
      <c r="B1694" s="67" t="s">
        <v>2682</v>
      </c>
      <c r="C1694" s="68" t="s">
        <v>304</v>
      </c>
      <c r="D1694" s="69" t="s">
        <v>63</v>
      </c>
      <c r="E1694" s="157">
        <v>4443.3599999999997</v>
      </c>
      <c r="F1694" s="137">
        <f t="shared" ref="F1694" si="356">C1694*E1694</f>
        <v>4443.3599999999997</v>
      </c>
      <c r="G1694" s="217" t="s">
        <v>2377</v>
      </c>
    </row>
    <row r="1695" spans="1:7" s="30" customFormat="1" ht="14.45">
      <c r="A1695" s="59"/>
      <c r="B1695" s="100"/>
      <c r="C1695" s="61"/>
      <c r="D1695" s="62"/>
      <c r="E1695" s="157"/>
      <c r="F1695" s="137"/>
      <c r="G1695" s="217"/>
    </row>
    <row r="1696" spans="1:7" s="30" customFormat="1" ht="14.45">
      <c r="A1696" s="66" t="s">
        <v>168</v>
      </c>
      <c r="B1696" s="67" t="s">
        <v>2683</v>
      </c>
      <c r="C1696" s="68" t="s">
        <v>304</v>
      </c>
      <c r="D1696" s="69" t="s">
        <v>63</v>
      </c>
      <c r="E1696" s="157">
        <v>4443.3599999999997</v>
      </c>
      <c r="F1696" s="137">
        <f t="shared" ref="F1696" si="357">C1696*E1696</f>
        <v>4443.3599999999997</v>
      </c>
      <c r="G1696" s="217" t="s">
        <v>2377</v>
      </c>
    </row>
    <row r="1697" spans="1:7" s="30" customFormat="1" ht="14.45">
      <c r="A1697" s="59"/>
      <c r="B1697" s="100"/>
      <c r="C1697" s="61"/>
      <c r="D1697" s="62"/>
      <c r="E1697" s="157"/>
      <c r="F1697" s="137"/>
      <c r="G1697" s="217"/>
    </row>
    <row r="1698" spans="1:7" s="30" customFormat="1" ht="14.45">
      <c r="A1698" s="66" t="s">
        <v>170</v>
      </c>
      <c r="B1698" s="67" t="s">
        <v>2684</v>
      </c>
      <c r="C1698" s="68" t="s">
        <v>304</v>
      </c>
      <c r="D1698" s="69" t="s">
        <v>63</v>
      </c>
      <c r="E1698" s="157">
        <v>4443.3599999999997</v>
      </c>
      <c r="F1698" s="137">
        <f t="shared" ref="F1698" si="358">C1698*E1698</f>
        <v>4443.3599999999997</v>
      </c>
      <c r="G1698" s="217" t="s">
        <v>2377</v>
      </c>
    </row>
    <row r="1699" spans="1:7" s="30" customFormat="1" ht="14.45">
      <c r="A1699" s="59"/>
      <c r="B1699" s="100"/>
      <c r="C1699" s="61"/>
      <c r="D1699" s="62"/>
      <c r="E1699" s="157"/>
      <c r="F1699" s="137"/>
      <c r="G1699" s="217"/>
    </row>
    <row r="1700" spans="1:7" s="30" customFormat="1" ht="14.45">
      <c r="A1700" s="66" t="s">
        <v>172</v>
      </c>
      <c r="B1700" s="67" t="s">
        <v>2685</v>
      </c>
      <c r="C1700" s="68" t="s">
        <v>304</v>
      </c>
      <c r="D1700" s="69" t="s">
        <v>63</v>
      </c>
      <c r="E1700" s="157">
        <v>4443.3599999999997</v>
      </c>
      <c r="F1700" s="137">
        <f t="shared" ref="F1700" si="359">C1700*E1700</f>
        <v>4443.3599999999997</v>
      </c>
      <c r="G1700" s="217" t="s">
        <v>2377</v>
      </c>
    </row>
    <row r="1701" spans="1:7" s="30" customFormat="1" ht="14.45">
      <c r="A1701" s="59"/>
      <c r="B1701" s="100"/>
      <c r="C1701" s="61"/>
      <c r="D1701" s="62"/>
      <c r="E1701" s="157"/>
      <c r="F1701" s="137"/>
      <c r="G1701" s="217"/>
    </row>
    <row r="1702" spans="1:7" s="30" customFormat="1" ht="14.45">
      <c r="A1702" s="66" t="s">
        <v>1615</v>
      </c>
      <c r="B1702" s="67" t="s">
        <v>2686</v>
      </c>
      <c r="C1702" s="68" t="s">
        <v>304</v>
      </c>
      <c r="D1702" s="69" t="s">
        <v>63</v>
      </c>
      <c r="E1702" s="157">
        <v>4443.3599999999997</v>
      </c>
      <c r="F1702" s="137">
        <f t="shared" ref="F1702" si="360">C1702*E1702</f>
        <v>4443.3599999999997</v>
      </c>
      <c r="G1702" s="217" t="s">
        <v>2377</v>
      </c>
    </row>
    <row r="1703" spans="1:7" s="30" customFormat="1" ht="14.45">
      <c r="A1703" s="59"/>
      <c r="B1703" s="100"/>
      <c r="C1703" s="61"/>
      <c r="D1703" s="62"/>
      <c r="E1703" s="157"/>
      <c r="F1703" s="137"/>
      <c r="G1703" s="217"/>
    </row>
    <row r="1704" spans="1:7" s="30" customFormat="1" ht="14.45">
      <c r="A1704" s="66" t="s">
        <v>1617</v>
      </c>
      <c r="B1704" s="67" t="s">
        <v>2687</v>
      </c>
      <c r="C1704" s="68" t="s">
        <v>304</v>
      </c>
      <c r="D1704" s="69" t="s">
        <v>63</v>
      </c>
      <c r="E1704" s="157">
        <v>4443.3599999999997</v>
      </c>
      <c r="F1704" s="137">
        <f t="shared" ref="F1704" si="361">C1704*E1704</f>
        <v>4443.3599999999997</v>
      </c>
      <c r="G1704" s="217" t="s">
        <v>2377</v>
      </c>
    </row>
    <row r="1705" spans="1:7" s="30" customFormat="1" ht="28.9">
      <c r="A1705" s="59"/>
      <c r="B1705" s="230" t="s">
        <v>323</v>
      </c>
      <c r="C1705" s="61"/>
      <c r="D1705" s="62"/>
      <c r="E1705" s="157"/>
      <c r="F1705" s="137"/>
      <c r="G1705" s="217"/>
    </row>
    <row r="1706" spans="1:7" s="30" customFormat="1" ht="14.45">
      <c r="A1706" s="71"/>
      <c r="B1706" s="72"/>
      <c r="C1706" s="73"/>
      <c r="D1706" s="74"/>
      <c r="E1706" s="159"/>
      <c r="F1706" s="138"/>
      <c r="G1706" s="226"/>
    </row>
    <row r="1707" spans="1:7" s="30" customFormat="1" ht="14.45">
      <c r="A1707" s="75"/>
      <c r="B1707" s="76"/>
      <c r="C1707" s="77" t="s">
        <v>30</v>
      </c>
      <c r="D1707" s="77"/>
      <c r="E1707" s="160" t="s">
        <v>8</v>
      </c>
      <c r="F1707" s="139">
        <f>SUM(F1661:F1705)</f>
        <v>97753.919999999998</v>
      </c>
      <c r="G1707" s="227"/>
    </row>
    <row r="1708" spans="1:7" s="30" customFormat="1" ht="14.45">
      <c r="A1708" s="75"/>
      <c r="B1708" s="76"/>
      <c r="C1708" s="78"/>
      <c r="D1708" s="79"/>
      <c r="E1708" s="161"/>
      <c r="F1708" s="140"/>
      <c r="G1708" s="228"/>
    </row>
    <row r="1709" spans="1:7" s="30" customFormat="1" ht="14.45">
      <c r="A1709" s="59"/>
      <c r="B1709" s="63"/>
      <c r="C1709" s="61"/>
      <c r="D1709" s="62"/>
      <c r="E1709" s="157"/>
      <c r="F1709" s="137"/>
      <c r="G1709" s="217"/>
    </row>
    <row r="1710" spans="1:7" s="30" customFormat="1" ht="14.45">
      <c r="A1710" s="59"/>
      <c r="B1710" s="64" t="s">
        <v>1950</v>
      </c>
      <c r="C1710" s="61"/>
      <c r="D1710" s="62"/>
      <c r="E1710" s="157"/>
      <c r="F1710" s="137"/>
      <c r="G1710" s="217"/>
    </row>
    <row r="1711" spans="1:7" s="30" customFormat="1" ht="14.45">
      <c r="A1711" s="59"/>
      <c r="B1711" s="100"/>
      <c r="C1711" s="61"/>
      <c r="D1711" s="62"/>
      <c r="E1711" s="157"/>
      <c r="F1711" s="137"/>
      <c r="G1711" s="217"/>
    </row>
    <row r="1712" spans="1:7" s="30" customFormat="1" ht="14.45">
      <c r="A1712" s="66" t="s">
        <v>14</v>
      </c>
      <c r="B1712" s="67" t="s">
        <v>2688</v>
      </c>
      <c r="C1712" s="68" t="s">
        <v>304</v>
      </c>
      <c r="D1712" s="69" t="s">
        <v>63</v>
      </c>
      <c r="E1712" s="157">
        <v>4443.3599999999997</v>
      </c>
      <c r="F1712" s="137">
        <f t="shared" ref="F1712" si="362">C1712*E1712</f>
        <v>4443.3599999999997</v>
      </c>
      <c r="G1712" s="217" t="s">
        <v>2377</v>
      </c>
    </row>
    <row r="1713" spans="1:7" s="30" customFormat="1" ht="14.45">
      <c r="A1713" s="59"/>
      <c r="B1713" s="100"/>
      <c r="C1713" s="61"/>
      <c r="D1713" s="62"/>
      <c r="E1713" s="157"/>
      <c r="F1713" s="137"/>
      <c r="G1713" s="217"/>
    </row>
    <row r="1714" spans="1:7" s="30" customFormat="1" ht="14.45">
      <c r="A1714" s="66" t="s">
        <v>17</v>
      </c>
      <c r="B1714" s="67" t="s">
        <v>2689</v>
      </c>
      <c r="C1714" s="68" t="s">
        <v>304</v>
      </c>
      <c r="D1714" s="69" t="s">
        <v>63</v>
      </c>
      <c r="E1714" s="157">
        <v>4443.3599999999997</v>
      </c>
      <c r="F1714" s="137">
        <f t="shared" ref="F1714" si="363">C1714*E1714</f>
        <v>4443.3599999999997</v>
      </c>
      <c r="G1714" s="217" t="s">
        <v>2377</v>
      </c>
    </row>
    <row r="1715" spans="1:7" s="30" customFormat="1" ht="14.45">
      <c r="A1715" s="59"/>
      <c r="B1715" s="100"/>
      <c r="C1715" s="61"/>
      <c r="D1715" s="62"/>
      <c r="E1715" s="157"/>
      <c r="F1715" s="137"/>
      <c r="G1715" s="217"/>
    </row>
    <row r="1716" spans="1:7" s="30" customFormat="1" ht="14.45">
      <c r="A1716" s="66" t="s">
        <v>20</v>
      </c>
      <c r="B1716" s="67" t="s">
        <v>2690</v>
      </c>
      <c r="C1716" s="68" t="s">
        <v>304</v>
      </c>
      <c r="D1716" s="69" t="s">
        <v>63</v>
      </c>
      <c r="E1716" s="157">
        <v>4443.3599999999997</v>
      </c>
      <c r="F1716" s="137">
        <f t="shared" ref="F1716" si="364">C1716*E1716</f>
        <v>4443.3599999999997</v>
      </c>
      <c r="G1716" s="217" t="s">
        <v>2377</v>
      </c>
    </row>
    <row r="1717" spans="1:7" s="30" customFormat="1" ht="14.45">
      <c r="A1717" s="59"/>
      <c r="B1717" s="100"/>
      <c r="C1717" s="61"/>
      <c r="D1717" s="62"/>
      <c r="E1717" s="157"/>
      <c r="F1717" s="137"/>
      <c r="G1717" s="217"/>
    </row>
    <row r="1718" spans="1:7" s="30" customFormat="1" ht="14.45">
      <c r="A1718" s="66" t="s">
        <v>23</v>
      </c>
      <c r="B1718" s="67" t="s">
        <v>2691</v>
      </c>
      <c r="C1718" s="68" t="s">
        <v>304</v>
      </c>
      <c r="D1718" s="69" t="s">
        <v>63</v>
      </c>
      <c r="E1718" s="157">
        <v>4443.3599999999997</v>
      </c>
      <c r="F1718" s="137">
        <f t="shared" ref="F1718" si="365">C1718*E1718</f>
        <v>4443.3599999999997</v>
      </c>
      <c r="G1718" s="217" t="s">
        <v>2377</v>
      </c>
    </row>
    <row r="1719" spans="1:7" s="30" customFormat="1" ht="14.45">
      <c r="A1719" s="59"/>
      <c r="B1719" s="100"/>
      <c r="C1719" s="61"/>
      <c r="D1719" s="62"/>
      <c r="E1719" s="157"/>
      <c r="F1719" s="137"/>
      <c r="G1719" s="217"/>
    </row>
    <row r="1720" spans="1:7" s="30" customFormat="1" ht="14.45">
      <c r="A1720" s="66" t="s">
        <v>27</v>
      </c>
      <c r="B1720" s="67" t="s">
        <v>2692</v>
      </c>
      <c r="C1720" s="68" t="s">
        <v>304</v>
      </c>
      <c r="D1720" s="69" t="s">
        <v>63</v>
      </c>
      <c r="E1720" s="157">
        <v>4443.3599999999997</v>
      </c>
      <c r="F1720" s="137">
        <f t="shared" ref="F1720" si="366">C1720*E1720</f>
        <v>4443.3599999999997</v>
      </c>
      <c r="G1720" s="217" t="s">
        <v>2377</v>
      </c>
    </row>
    <row r="1721" spans="1:7" s="30" customFormat="1" ht="14.45">
      <c r="A1721" s="59"/>
      <c r="B1721" s="100"/>
      <c r="C1721" s="61"/>
      <c r="D1721" s="62"/>
      <c r="E1721" s="157"/>
      <c r="F1721" s="137"/>
      <c r="G1721" s="217"/>
    </row>
    <row r="1722" spans="1:7" s="30" customFormat="1" ht="14.45">
      <c r="A1722" s="66" t="s">
        <v>44</v>
      </c>
      <c r="B1722" s="67" t="s">
        <v>2693</v>
      </c>
      <c r="C1722" s="68" t="s">
        <v>304</v>
      </c>
      <c r="D1722" s="69" t="s">
        <v>63</v>
      </c>
      <c r="E1722" s="157">
        <v>4443.3599999999997</v>
      </c>
      <c r="F1722" s="137">
        <f t="shared" ref="F1722" si="367">C1722*E1722</f>
        <v>4443.3599999999997</v>
      </c>
      <c r="G1722" s="217" t="s">
        <v>2377</v>
      </c>
    </row>
    <row r="1723" spans="1:7" s="30" customFormat="1" ht="14.45">
      <c r="A1723" s="59"/>
      <c r="B1723" s="100"/>
      <c r="C1723" s="61"/>
      <c r="D1723" s="62"/>
      <c r="E1723" s="157"/>
      <c r="F1723" s="137"/>
      <c r="G1723" s="217"/>
    </row>
    <row r="1724" spans="1:7" s="30" customFormat="1" ht="14.45">
      <c r="A1724" s="66" t="s">
        <v>48</v>
      </c>
      <c r="B1724" s="67" t="s">
        <v>2694</v>
      </c>
      <c r="C1724" s="68" t="s">
        <v>304</v>
      </c>
      <c r="D1724" s="69" t="s">
        <v>63</v>
      </c>
      <c r="E1724" s="157">
        <v>4443.3599999999997</v>
      </c>
      <c r="F1724" s="137">
        <f t="shared" ref="F1724" si="368">C1724*E1724</f>
        <v>4443.3599999999997</v>
      </c>
      <c r="G1724" s="217" t="s">
        <v>2377</v>
      </c>
    </row>
    <row r="1725" spans="1:7" s="30" customFormat="1" ht="14.45">
      <c r="A1725" s="59"/>
      <c r="B1725" s="100"/>
      <c r="C1725" s="61"/>
      <c r="D1725" s="62"/>
      <c r="E1725" s="157"/>
      <c r="F1725" s="137"/>
      <c r="G1725" s="217"/>
    </row>
    <row r="1726" spans="1:7" s="30" customFormat="1" ht="14.45">
      <c r="A1726" s="66" t="s">
        <v>84</v>
      </c>
      <c r="B1726" s="67" t="s">
        <v>2695</v>
      </c>
      <c r="C1726" s="68" t="s">
        <v>304</v>
      </c>
      <c r="D1726" s="69" t="s">
        <v>63</v>
      </c>
      <c r="E1726" s="157">
        <v>4443.3599999999997</v>
      </c>
      <c r="F1726" s="137">
        <f t="shared" ref="F1726" si="369">C1726*E1726</f>
        <v>4443.3599999999997</v>
      </c>
      <c r="G1726" s="217" t="s">
        <v>2377</v>
      </c>
    </row>
    <row r="1727" spans="1:7" s="30" customFormat="1" ht="14.45">
      <c r="A1727" s="59"/>
      <c r="B1727" s="100"/>
      <c r="C1727" s="61"/>
      <c r="D1727" s="62"/>
      <c r="E1727" s="157"/>
      <c r="F1727" s="137"/>
      <c r="G1727" s="217"/>
    </row>
    <row r="1728" spans="1:7" s="30" customFormat="1" ht="14.45">
      <c r="A1728" s="66" t="s">
        <v>86</v>
      </c>
      <c r="B1728" s="67" t="s">
        <v>2696</v>
      </c>
      <c r="C1728" s="68" t="s">
        <v>304</v>
      </c>
      <c r="D1728" s="69" t="s">
        <v>63</v>
      </c>
      <c r="E1728" s="157">
        <v>4443.3599999999997</v>
      </c>
      <c r="F1728" s="137">
        <f t="shared" ref="F1728" si="370">C1728*E1728</f>
        <v>4443.3599999999997</v>
      </c>
      <c r="G1728" s="217" t="s">
        <v>2377</v>
      </c>
    </row>
    <row r="1729" spans="1:7" s="30" customFormat="1" ht="14.45">
      <c r="A1729" s="59"/>
      <c r="B1729" s="100"/>
      <c r="C1729" s="61"/>
      <c r="D1729" s="62"/>
      <c r="E1729" s="157"/>
      <c r="F1729" s="137"/>
      <c r="G1729" s="217"/>
    </row>
    <row r="1730" spans="1:7" s="30" customFormat="1" ht="14.45">
      <c r="A1730" s="66" t="s">
        <v>90</v>
      </c>
      <c r="B1730" s="67" t="s">
        <v>2697</v>
      </c>
      <c r="C1730" s="68" t="s">
        <v>304</v>
      </c>
      <c r="D1730" s="69" t="s">
        <v>63</v>
      </c>
      <c r="E1730" s="157">
        <v>4443.3599999999997</v>
      </c>
      <c r="F1730" s="137">
        <f t="shared" ref="F1730" si="371">C1730*E1730</f>
        <v>4443.3599999999997</v>
      </c>
      <c r="G1730" s="217" t="s">
        <v>2377</v>
      </c>
    </row>
    <row r="1731" spans="1:7" s="30" customFormat="1" ht="14.45">
      <c r="A1731" s="59"/>
      <c r="B1731" s="100"/>
      <c r="C1731" s="61"/>
      <c r="D1731" s="62"/>
      <c r="E1731" s="157"/>
      <c r="F1731" s="137"/>
      <c r="G1731" s="217"/>
    </row>
    <row r="1732" spans="1:7" s="30" customFormat="1" ht="14.45">
      <c r="A1732" s="66" t="s">
        <v>92</v>
      </c>
      <c r="B1732" s="67" t="s">
        <v>2698</v>
      </c>
      <c r="C1732" s="68" t="s">
        <v>304</v>
      </c>
      <c r="D1732" s="69" t="s">
        <v>63</v>
      </c>
      <c r="E1732" s="157">
        <v>4443.3599999999997</v>
      </c>
      <c r="F1732" s="137">
        <f t="shared" ref="F1732" si="372">C1732*E1732</f>
        <v>4443.3599999999997</v>
      </c>
      <c r="G1732" s="217" t="s">
        <v>2377</v>
      </c>
    </row>
    <row r="1733" spans="1:7" s="30" customFormat="1" ht="11.25" customHeight="1">
      <c r="A1733" s="59"/>
      <c r="B1733" s="100"/>
      <c r="C1733" s="61"/>
      <c r="D1733" s="62"/>
      <c r="E1733" s="157"/>
      <c r="F1733" s="137"/>
      <c r="G1733" s="217"/>
    </row>
    <row r="1734" spans="1:7" s="30" customFormat="1" ht="14.45">
      <c r="A1734" s="66" t="s">
        <v>94</v>
      </c>
      <c r="B1734" s="67" t="s">
        <v>2699</v>
      </c>
      <c r="C1734" s="68" t="s">
        <v>304</v>
      </c>
      <c r="D1734" s="69" t="s">
        <v>63</v>
      </c>
      <c r="E1734" s="157">
        <v>4443.3599999999997</v>
      </c>
      <c r="F1734" s="137">
        <f t="shared" ref="F1734" si="373">C1734*E1734</f>
        <v>4443.3599999999997</v>
      </c>
      <c r="G1734" s="217" t="s">
        <v>2377</v>
      </c>
    </row>
    <row r="1735" spans="1:7" s="30" customFormat="1" ht="10.5" customHeight="1">
      <c r="A1735" s="59"/>
      <c r="B1735" s="100"/>
      <c r="C1735" s="61"/>
      <c r="D1735" s="62"/>
      <c r="E1735" s="157"/>
      <c r="F1735" s="137"/>
      <c r="G1735" s="217"/>
    </row>
    <row r="1736" spans="1:7" s="30" customFormat="1" ht="14.45">
      <c r="A1736" s="66" t="s">
        <v>140</v>
      </c>
      <c r="B1736" s="67" t="s">
        <v>2700</v>
      </c>
      <c r="C1736" s="68" t="s">
        <v>304</v>
      </c>
      <c r="D1736" s="69" t="s">
        <v>63</v>
      </c>
      <c r="E1736" s="157">
        <v>4443.3599999999997</v>
      </c>
      <c r="F1736" s="137">
        <f t="shared" ref="F1736" si="374">C1736*E1736</f>
        <v>4443.3599999999997</v>
      </c>
      <c r="G1736" s="217" t="s">
        <v>2377</v>
      </c>
    </row>
    <row r="1737" spans="1:7" s="30" customFormat="1" ht="10.5" customHeight="1">
      <c r="A1737" s="59"/>
      <c r="B1737" s="100"/>
      <c r="C1737" s="61"/>
      <c r="D1737" s="62"/>
      <c r="E1737" s="157"/>
      <c r="F1737" s="137"/>
      <c r="G1737" s="217"/>
    </row>
    <row r="1738" spans="1:7" s="30" customFormat="1" ht="14.45">
      <c r="A1738" s="66" t="s">
        <v>159</v>
      </c>
      <c r="B1738" s="67" t="s">
        <v>2701</v>
      </c>
      <c r="C1738" s="68" t="s">
        <v>304</v>
      </c>
      <c r="D1738" s="69" t="s">
        <v>63</v>
      </c>
      <c r="E1738" s="157">
        <v>4443.3599999999997</v>
      </c>
      <c r="F1738" s="137">
        <f t="shared" ref="F1738" si="375">C1738*E1738</f>
        <v>4443.3599999999997</v>
      </c>
      <c r="G1738" s="217" t="s">
        <v>2377</v>
      </c>
    </row>
    <row r="1739" spans="1:7" s="30" customFormat="1" ht="11.25" customHeight="1">
      <c r="A1739" s="59"/>
      <c r="B1739" s="100"/>
      <c r="C1739" s="61"/>
      <c r="D1739" s="62"/>
      <c r="E1739" s="157"/>
      <c r="F1739" s="137"/>
      <c r="G1739" s="217"/>
    </row>
    <row r="1740" spans="1:7" s="30" customFormat="1" ht="14.45">
      <c r="A1740" s="66" t="s">
        <v>162</v>
      </c>
      <c r="B1740" s="67" t="s">
        <v>2702</v>
      </c>
      <c r="C1740" s="68" t="s">
        <v>304</v>
      </c>
      <c r="D1740" s="69" t="s">
        <v>63</v>
      </c>
      <c r="E1740" s="157">
        <v>4443.3599999999997</v>
      </c>
      <c r="F1740" s="137">
        <f t="shared" ref="F1740" si="376">C1740*E1740</f>
        <v>4443.3599999999997</v>
      </c>
      <c r="G1740" s="217" t="s">
        <v>2377</v>
      </c>
    </row>
    <row r="1741" spans="1:7" s="30" customFormat="1" ht="9.75" customHeight="1">
      <c r="A1741" s="59"/>
      <c r="B1741" s="100"/>
      <c r="C1741" s="61"/>
      <c r="D1741" s="62"/>
      <c r="E1741" s="157"/>
      <c r="F1741" s="137"/>
      <c r="G1741" s="217"/>
    </row>
    <row r="1742" spans="1:7" s="30" customFormat="1" ht="14.45">
      <c r="A1742" s="66" t="s">
        <v>164</v>
      </c>
      <c r="B1742" s="67" t="s">
        <v>2703</v>
      </c>
      <c r="C1742" s="68" t="s">
        <v>304</v>
      </c>
      <c r="D1742" s="69" t="s">
        <v>63</v>
      </c>
      <c r="E1742" s="157">
        <v>4443.3599999999997</v>
      </c>
      <c r="F1742" s="137">
        <f t="shared" ref="F1742" si="377">C1742*E1742</f>
        <v>4443.3599999999997</v>
      </c>
      <c r="G1742" s="217" t="s">
        <v>2377</v>
      </c>
    </row>
    <row r="1743" spans="1:7" s="30" customFormat="1" ht="8.25" customHeight="1">
      <c r="A1743" s="59"/>
      <c r="B1743" s="100"/>
      <c r="C1743" s="61"/>
      <c r="D1743" s="62"/>
      <c r="E1743" s="157"/>
      <c r="F1743" s="137"/>
      <c r="G1743" s="217"/>
    </row>
    <row r="1744" spans="1:7" s="30" customFormat="1" ht="14.45">
      <c r="A1744" s="66" t="s">
        <v>166</v>
      </c>
      <c r="B1744" s="67" t="s">
        <v>2704</v>
      </c>
      <c r="C1744" s="68" t="s">
        <v>304</v>
      </c>
      <c r="D1744" s="69" t="s">
        <v>63</v>
      </c>
      <c r="E1744" s="157">
        <v>4443.3599999999997</v>
      </c>
      <c r="F1744" s="137">
        <f t="shared" ref="F1744" si="378">C1744*E1744</f>
        <v>4443.3599999999997</v>
      </c>
      <c r="G1744" s="217" t="s">
        <v>2377</v>
      </c>
    </row>
    <row r="1745" spans="1:7" s="30" customFormat="1" ht="7.5" customHeight="1">
      <c r="A1745" s="59"/>
      <c r="B1745" s="100"/>
      <c r="C1745" s="61"/>
      <c r="D1745" s="62"/>
      <c r="E1745" s="157"/>
      <c r="F1745" s="137"/>
      <c r="G1745" s="217"/>
    </row>
    <row r="1746" spans="1:7" s="30" customFormat="1" ht="14.45">
      <c r="A1746" s="66" t="s">
        <v>168</v>
      </c>
      <c r="B1746" s="67" t="s">
        <v>2705</v>
      </c>
      <c r="C1746" s="68" t="s">
        <v>304</v>
      </c>
      <c r="D1746" s="69" t="s">
        <v>63</v>
      </c>
      <c r="E1746" s="157">
        <v>4443.3599999999997</v>
      </c>
      <c r="F1746" s="137">
        <f t="shared" ref="F1746" si="379">C1746*E1746</f>
        <v>4443.3599999999997</v>
      </c>
      <c r="G1746" s="217" t="s">
        <v>2377</v>
      </c>
    </row>
    <row r="1747" spans="1:7" s="30" customFormat="1" ht="14.45">
      <c r="A1747" s="59"/>
      <c r="B1747" s="100"/>
      <c r="C1747" s="61"/>
      <c r="D1747" s="62"/>
      <c r="E1747" s="157"/>
      <c r="F1747" s="137"/>
      <c r="G1747" s="217"/>
    </row>
    <row r="1748" spans="1:7" s="30" customFormat="1" ht="14.45">
      <c r="A1748" s="66" t="s">
        <v>170</v>
      </c>
      <c r="B1748" s="67" t="s">
        <v>2706</v>
      </c>
      <c r="C1748" s="68" t="s">
        <v>304</v>
      </c>
      <c r="D1748" s="69" t="s">
        <v>63</v>
      </c>
      <c r="E1748" s="157">
        <v>4443.3599999999997</v>
      </c>
      <c r="F1748" s="137">
        <f t="shared" ref="F1748" si="380">C1748*E1748</f>
        <v>4443.3599999999997</v>
      </c>
      <c r="G1748" s="217" t="s">
        <v>2377</v>
      </c>
    </row>
    <row r="1749" spans="1:7" s="30" customFormat="1" ht="14.45">
      <c r="A1749" s="59"/>
      <c r="B1749" s="100"/>
      <c r="C1749" s="61"/>
      <c r="D1749" s="62"/>
      <c r="E1749" s="157"/>
      <c r="F1749" s="137"/>
      <c r="G1749" s="217"/>
    </row>
    <row r="1750" spans="1:7" s="30" customFormat="1" ht="14.45">
      <c r="A1750" s="66" t="s">
        <v>172</v>
      </c>
      <c r="B1750" s="67" t="s">
        <v>2707</v>
      </c>
      <c r="C1750" s="68" t="s">
        <v>304</v>
      </c>
      <c r="D1750" s="69" t="s">
        <v>63</v>
      </c>
      <c r="E1750" s="157">
        <v>4443.3599999999997</v>
      </c>
      <c r="F1750" s="137">
        <f t="shared" ref="F1750" si="381">C1750*E1750</f>
        <v>4443.3599999999997</v>
      </c>
      <c r="G1750" s="217" t="s">
        <v>2377</v>
      </c>
    </row>
    <row r="1751" spans="1:7" s="30" customFormat="1" ht="14.45">
      <c r="A1751" s="59"/>
      <c r="B1751" s="100"/>
      <c r="C1751" s="61"/>
      <c r="D1751" s="62"/>
      <c r="E1751" s="157"/>
      <c r="F1751" s="137"/>
      <c r="G1751" s="217"/>
    </row>
    <row r="1752" spans="1:7" s="30" customFormat="1" ht="14.45">
      <c r="A1752" s="66" t="s">
        <v>1615</v>
      </c>
      <c r="B1752" s="67" t="s">
        <v>2708</v>
      </c>
      <c r="C1752" s="68" t="s">
        <v>304</v>
      </c>
      <c r="D1752" s="69" t="s">
        <v>63</v>
      </c>
      <c r="E1752" s="157">
        <v>4443.3599999999997</v>
      </c>
      <c r="F1752" s="137">
        <f t="shared" ref="F1752" si="382">C1752*E1752</f>
        <v>4443.3599999999997</v>
      </c>
      <c r="G1752" s="217" t="s">
        <v>2377</v>
      </c>
    </row>
    <row r="1753" spans="1:7" s="30" customFormat="1" ht="14.45">
      <c r="A1753" s="59"/>
      <c r="B1753" s="100"/>
      <c r="C1753" s="61"/>
      <c r="D1753" s="62"/>
      <c r="E1753" s="157"/>
      <c r="F1753" s="137"/>
      <c r="G1753" s="217"/>
    </row>
    <row r="1754" spans="1:7" s="30" customFormat="1" ht="14.45">
      <c r="A1754" s="66" t="s">
        <v>1617</v>
      </c>
      <c r="B1754" s="67" t="s">
        <v>2709</v>
      </c>
      <c r="C1754" s="68" t="s">
        <v>304</v>
      </c>
      <c r="D1754" s="69" t="s">
        <v>63</v>
      </c>
      <c r="E1754" s="157">
        <v>4443.3599999999997</v>
      </c>
      <c r="F1754" s="137">
        <f t="shared" ref="F1754" si="383">C1754*E1754</f>
        <v>4443.3599999999997</v>
      </c>
      <c r="G1754" s="217" t="s">
        <v>2377</v>
      </c>
    </row>
    <row r="1755" spans="1:7" s="30" customFormat="1" ht="28.9">
      <c r="A1755" s="59"/>
      <c r="B1755" s="230" t="s">
        <v>323</v>
      </c>
      <c r="C1755" s="61"/>
      <c r="D1755" s="62"/>
      <c r="E1755" s="157"/>
      <c r="F1755" s="137"/>
      <c r="G1755" s="217"/>
    </row>
    <row r="1756" spans="1:7" s="30" customFormat="1" ht="14.45">
      <c r="A1756" s="71"/>
      <c r="B1756" s="72"/>
      <c r="C1756" s="73"/>
      <c r="D1756" s="74"/>
      <c r="E1756" s="159"/>
      <c r="F1756" s="138"/>
      <c r="G1756" s="226"/>
    </row>
    <row r="1757" spans="1:7" s="30" customFormat="1" ht="14.45">
      <c r="A1757" s="75"/>
      <c r="B1757" s="76"/>
      <c r="C1757" s="77" t="s">
        <v>30</v>
      </c>
      <c r="D1757" s="77"/>
      <c r="E1757" s="160" t="s">
        <v>8</v>
      </c>
      <c r="F1757" s="139">
        <f>SUM(F1711:F1755)</f>
        <v>97753.919999999998</v>
      </c>
      <c r="G1757" s="227"/>
    </row>
    <row r="1758" spans="1:7" s="30" customFormat="1" ht="14.45">
      <c r="A1758" s="75"/>
      <c r="B1758" s="76"/>
      <c r="C1758" s="78"/>
      <c r="D1758" s="79"/>
      <c r="E1758" s="161"/>
      <c r="F1758" s="140"/>
      <c r="G1758" s="228"/>
    </row>
    <row r="1759" spans="1:7" s="30" customFormat="1" ht="14.45">
      <c r="A1759" s="59"/>
      <c r="B1759" s="63"/>
      <c r="C1759" s="61"/>
      <c r="D1759" s="62"/>
      <c r="E1759" s="157"/>
      <c r="F1759" s="137"/>
      <c r="G1759" s="217"/>
    </row>
    <row r="1760" spans="1:7" s="30" customFormat="1" ht="14.45">
      <c r="A1760" s="59"/>
      <c r="B1760" s="64" t="s">
        <v>1950</v>
      </c>
      <c r="C1760" s="61"/>
      <c r="D1760" s="62"/>
      <c r="E1760" s="157"/>
      <c r="F1760" s="137"/>
      <c r="G1760" s="217"/>
    </row>
    <row r="1761" spans="1:7" s="30" customFormat="1" ht="14.45">
      <c r="A1761" s="59"/>
      <c r="B1761" s="100"/>
      <c r="C1761" s="61"/>
      <c r="D1761" s="62"/>
      <c r="E1761" s="157"/>
      <c r="F1761" s="137"/>
      <c r="G1761" s="217"/>
    </row>
    <row r="1762" spans="1:7" s="30" customFormat="1" ht="14.45">
      <c r="A1762" s="66" t="s">
        <v>14</v>
      </c>
      <c r="B1762" s="67" t="s">
        <v>2710</v>
      </c>
      <c r="C1762" s="68" t="s">
        <v>304</v>
      </c>
      <c r="D1762" s="69" t="s">
        <v>63</v>
      </c>
      <c r="E1762" s="157">
        <v>4443.3599999999997</v>
      </c>
      <c r="F1762" s="137">
        <f t="shared" ref="F1762" si="384">C1762*E1762</f>
        <v>4443.3599999999997</v>
      </c>
      <c r="G1762" s="217" t="s">
        <v>2377</v>
      </c>
    </row>
    <row r="1763" spans="1:7" s="30" customFormat="1" ht="14.45">
      <c r="A1763" s="59"/>
      <c r="B1763" s="100"/>
      <c r="C1763" s="61"/>
      <c r="D1763" s="62"/>
      <c r="E1763" s="157"/>
      <c r="F1763" s="137"/>
      <c r="G1763" s="217"/>
    </row>
    <row r="1764" spans="1:7" s="30" customFormat="1" ht="14.45">
      <c r="A1764" s="66" t="s">
        <v>17</v>
      </c>
      <c r="B1764" s="67" t="s">
        <v>2711</v>
      </c>
      <c r="C1764" s="68" t="s">
        <v>304</v>
      </c>
      <c r="D1764" s="69" t="s">
        <v>63</v>
      </c>
      <c r="E1764" s="157">
        <v>4443.3599999999997</v>
      </c>
      <c r="F1764" s="137">
        <f t="shared" ref="F1764" si="385">C1764*E1764</f>
        <v>4443.3599999999997</v>
      </c>
      <c r="G1764" s="217" t="s">
        <v>2377</v>
      </c>
    </row>
    <row r="1765" spans="1:7" s="30" customFormat="1" ht="14.45">
      <c r="A1765" s="59"/>
      <c r="B1765" s="100"/>
      <c r="C1765" s="61"/>
      <c r="D1765" s="62"/>
      <c r="E1765" s="157"/>
      <c r="F1765" s="137"/>
      <c r="G1765" s="217"/>
    </row>
    <row r="1766" spans="1:7" s="30" customFormat="1" ht="14.45">
      <c r="A1766" s="66" t="s">
        <v>20</v>
      </c>
      <c r="B1766" s="67" t="s">
        <v>2712</v>
      </c>
      <c r="C1766" s="68" t="s">
        <v>304</v>
      </c>
      <c r="D1766" s="69" t="s">
        <v>63</v>
      </c>
      <c r="E1766" s="157">
        <v>4443.3599999999997</v>
      </c>
      <c r="F1766" s="137">
        <f t="shared" ref="F1766" si="386">C1766*E1766</f>
        <v>4443.3599999999997</v>
      </c>
      <c r="G1766" s="217" t="s">
        <v>2377</v>
      </c>
    </row>
    <row r="1767" spans="1:7" s="30" customFormat="1" ht="14.45">
      <c r="A1767" s="59"/>
      <c r="B1767" s="100"/>
      <c r="C1767" s="61"/>
      <c r="D1767" s="62"/>
      <c r="E1767" s="157"/>
      <c r="F1767" s="137"/>
      <c r="G1767" s="217"/>
    </row>
    <row r="1768" spans="1:7" s="30" customFormat="1" ht="14.45">
      <c r="A1768" s="66" t="s">
        <v>23</v>
      </c>
      <c r="B1768" s="67" t="s">
        <v>2713</v>
      </c>
      <c r="C1768" s="68" t="s">
        <v>304</v>
      </c>
      <c r="D1768" s="69" t="s">
        <v>63</v>
      </c>
      <c r="E1768" s="157">
        <v>4443.3599999999997</v>
      </c>
      <c r="F1768" s="137">
        <f t="shared" ref="F1768" si="387">C1768*E1768</f>
        <v>4443.3599999999997</v>
      </c>
      <c r="G1768" s="217" t="s">
        <v>2377</v>
      </c>
    </row>
    <row r="1769" spans="1:7" s="30" customFormat="1" ht="14.45">
      <c r="A1769" s="59"/>
      <c r="B1769" s="100"/>
      <c r="C1769" s="61"/>
      <c r="D1769" s="62"/>
      <c r="E1769" s="157"/>
      <c r="F1769" s="137"/>
      <c r="G1769" s="217"/>
    </row>
    <row r="1770" spans="1:7" s="30" customFormat="1" ht="14.45">
      <c r="A1770" s="66" t="s">
        <v>27</v>
      </c>
      <c r="B1770" s="67" t="s">
        <v>2714</v>
      </c>
      <c r="C1770" s="68" t="s">
        <v>304</v>
      </c>
      <c r="D1770" s="69" t="s">
        <v>63</v>
      </c>
      <c r="E1770" s="157">
        <v>4443.3599999999997</v>
      </c>
      <c r="F1770" s="137">
        <f t="shared" ref="F1770" si="388">C1770*E1770</f>
        <v>4443.3599999999997</v>
      </c>
      <c r="G1770" s="217" t="s">
        <v>2377</v>
      </c>
    </row>
    <row r="1771" spans="1:7" s="30" customFormat="1" ht="14.45">
      <c r="A1771" s="59"/>
      <c r="B1771" s="100"/>
      <c r="C1771" s="61"/>
      <c r="D1771" s="62"/>
      <c r="E1771" s="157"/>
      <c r="F1771" s="137"/>
      <c r="G1771" s="217"/>
    </row>
    <row r="1772" spans="1:7" s="30" customFormat="1" ht="14.45">
      <c r="A1772" s="66" t="s">
        <v>44</v>
      </c>
      <c r="B1772" s="67" t="s">
        <v>2715</v>
      </c>
      <c r="C1772" s="68" t="s">
        <v>304</v>
      </c>
      <c r="D1772" s="69" t="s">
        <v>63</v>
      </c>
      <c r="E1772" s="157">
        <v>4443.3599999999997</v>
      </c>
      <c r="F1772" s="137">
        <f t="shared" ref="F1772" si="389">C1772*E1772</f>
        <v>4443.3599999999997</v>
      </c>
      <c r="G1772" s="217" t="s">
        <v>2377</v>
      </c>
    </row>
    <row r="1773" spans="1:7" s="30" customFormat="1" ht="14.45">
      <c r="A1773" s="59"/>
      <c r="B1773" s="100"/>
      <c r="C1773" s="61"/>
      <c r="D1773" s="62"/>
      <c r="E1773" s="157"/>
      <c r="F1773" s="137"/>
      <c r="G1773" s="217"/>
    </row>
    <row r="1774" spans="1:7" s="30" customFormat="1" ht="14.45">
      <c r="A1774" s="66" t="s">
        <v>48</v>
      </c>
      <c r="B1774" s="67" t="s">
        <v>2716</v>
      </c>
      <c r="C1774" s="68" t="s">
        <v>304</v>
      </c>
      <c r="D1774" s="69" t="s">
        <v>63</v>
      </c>
      <c r="E1774" s="157">
        <v>4443.3599999999997</v>
      </c>
      <c r="F1774" s="137">
        <f t="shared" ref="F1774" si="390">C1774*E1774</f>
        <v>4443.3599999999997</v>
      </c>
      <c r="G1774" s="217" t="s">
        <v>2377</v>
      </c>
    </row>
    <row r="1775" spans="1:7" s="30" customFormat="1" ht="14.45">
      <c r="A1775" s="59"/>
      <c r="B1775" s="100"/>
      <c r="C1775" s="61"/>
      <c r="D1775" s="62"/>
      <c r="E1775" s="157"/>
      <c r="F1775" s="137"/>
      <c r="G1775" s="217"/>
    </row>
    <row r="1776" spans="1:7" s="30" customFormat="1" ht="14.45">
      <c r="A1776" s="66" t="s">
        <v>84</v>
      </c>
      <c r="B1776" s="67" t="s">
        <v>2717</v>
      </c>
      <c r="C1776" s="68" t="s">
        <v>304</v>
      </c>
      <c r="D1776" s="69" t="s">
        <v>63</v>
      </c>
      <c r="E1776" s="157">
        <v>4443.3599999999997</v>
      </c>
      <c r="F1776" s="137">
        <f t="shared" ref="F1776" si="391">C1776*E1776</f>
        <v>4443.3599999999997</v>
      </c>
      <c r="G1776" s="217" t="s">
        <v>2377</v>
      </c>
    </row>
    <row r="1777" spans="1:7" s="30" customFormat="1" ht="14.45">
      <c r="A1777" s="59"/>
      <c r="B1777" s="100"/>
      <c r="C1777" s="61"/>
      <c r="D1777" s="62"/>
      <c r="E1777" s="157"/>
      <c r="F1777" s="137"/>
      <c r="G1777" s="217"/>
    </row>
    <row r="1778" spans="1:7" s="30" customFormat="1" ht="14.45">
      <c r="A1778" s="66" t="s">
        <v>86</v>
      </c>
      <c r="B1778" s="67" t="s">
        <v>2718</v>
      </c>
      <c r="C1778" s="68" t="s">
        <v>304</v>
      </c>
      <c r="D1778" s="69" t="s">
        <v>63</v>
      </c>
      <c r="E1778" s="157">
        <v>4443.3599999999997</v>
      </c>
      <c r="F1778" s="137">
        <f t="shared" ref="F1778" si="392">C1778*E1778</f>
        <v>4443.3599999999997</v>
      </c>
      <c r="G1778" s="217" t="s">
        <v>2377</v>
      </c>
    </row>
    <row r="1779" spans="1:7" s="30" customFormat="1" ht="14.45">
      <c r="A1779" s="59"/>
      <c r="B1779" s="100"/>
      <c r="C1779" s="61"/>
      <c r="D1779" s="62"/>
      <c r="E1779" s="157"/>
      <c r="F1779" s="137"/>
      <c r="G1779" s="217"/>
    </row>
    <row r="1780" spans="1:7" s="30" customFormat="1" ht="14.45">
      <c r="A1780" s="66" t="s">
        <v>90</v>
      </c>
      <c r="B1780" s="67" t="s">
        <v>2719</v>
      </c>
      <c r="C1780" s="68" t="s">
        <v>304</v>
      </c>
      <c r="D1780" s="69" t="s">
        <v>63</v>
      </c>
      <c r="E1780" s="157">
        <v>4443.3599999999997</v>
      </c>
      <c r="F1780" s="137">
        <f t="shared" ref="F1780" si="393">C1780*E1780</f>
        <v>4443.3599999999997</v>
      </c>
      <c r="G1780" s="217" t="s">
        <v>2377</v>
      </c>
    </row>
    <row r="1781" spans="1:7" s="30" customFormat="1" ht="14.45">
      <c r="A1781" s="59"/>
      <c r="B1781" s="100"/>
      <c r="C1781" s="61"/>
      <c r="D1781" s="62"/>
      <c r="E1781" s="157"/>
      <c r="F1781" s="137"/>
      <c r="G1781" s="217"/>
    </row>
    <row r="1782" spans="1:7" s="30" customFormat="1" ht="14.45">
      <c r="A1782" s="66" t="s">
        <v>92</v>
      </c>
      <c r="B1782" s="67" t="s">
        <v>2720</v>
      </c>
      <c r="C1782" s="68" t="s">
        <v>304</v>
      </c>
      <c r="D1782" s="69" t="s">
        <v>63</v>
      </c>
      <c r="E1782" s="157">
        <v>4443.3599999999997</v>
      </c>
      <c r="F1782" s="137">
        <f t="shared" ref="F1782" si="394">C1782*E1782</f>
        <v>4443.3599999999997</v>
      </c>
      <c r="G1782" s="217" t="s">
        <v>2377</v>
      </c>
    </row>
    <row r="1783" spans="1:7" s="30" customFormat="1" ht="14.45">
      <c r="A1783" s="59"/>
      <c r="B1783" s="100"/>
      <c r="C1783" s="61"/>
      <c r="D1783" s="62"/>
      <c r="E1783" s="157"/>
      <c r="F1783" s="137"/>
      <c r="G1783" s="217"/>
    </row>
    <row r="1784" spans="1:7" s="30" customFormat="1" ht="14.45">
      <c r="A1784" s="66" t="s">
        <v>94</v>
      </c>
      <c r="B1784" s="67" t="s">
        <v>2721</v>
      </c>
      <c r="C1784" s="68" t="s">
        <v>304</v>
      </c>
      <c r="D1784" s="69" t="s">
        <v>63</v>
      </c>
      <c r="E1784" s="157">
        <v>4443.3599999999997</v>
      </c>
      <c r="F1784" s="137">
        <f t="shared" ref="F1784" si="395">C1784*E1784</f>
        <v>4443.3599999999997</v>
      </c>
      <c r="G1784" s="217" t="s">
        <v>2377</v>
      </c>
    </row>
    <row r="1785" spans="1:7" s="30" customFormat="1" ht="14.45">
      <c r="A1785" s="59"/>
      <c r="B1785" s="100"/>
      <c r="C1785" s="61"/>
      <c r="D1785" s="62"/>
      <c r="E1785" s="157"/>
      <c r="F1785" s="137"/>
      <c r="G1785" s="217"/>
    </row>
    <row r="1786" spans="1:7" s="30" customFormat="1" ht="14.45">
      <c r="A1786" s="66" t="s">
        <v>140</v>
      </c>
      <c r="B1786" s="67" t="s">
        <v>2722</v>
      </c>
      <c r="C1786" s="68" t="s">
        <v>304</v>
      </c>
      <c r="D1786" s="69" t="s">
        <v>63</v>
      </c>
      <c r="E1786" s="157">
        <v>4443.3599999999997</v>
      </c>
      <c r="F1786" s="137">
        <f t="shared" ref="F1786" si="396">C1786*E1786</f>
        <v>4443.3599999999997</v>
      </c>
      <c r="G1786" s="217" t="s">
        <v>2377</v>
      </c>
    </row>
    <row r="1787" spans="1:7" s="30" customFormat="1" ht="9.75" customHeight="1">
      <c r="A1787" s="59"/>
      <c r="B1787" s="100"/>
      <c r="C1787" s="61"/>
      <c r="D1787" s="62"/>
      <c r="E1787" s="157"/>
      <c r="F1787" s="137"/>
      <c r="G1787" s="217"/>
    </row>
    <row r="1788" spans="1:7" s="30" customFormat="1" ht="14.45">
      <c r="A1788" s="66" t="s">
        <v>159</v>
      </c>
      <c r="B1788" s="67" t="s">
        <v>2723</v>
      </c>
      <c r="C1788" s="68" t="s">
        <v>304</v>
      </c>
      <c r="D1788" s="69" t="s">
        <v>63</v>
      </c>
      <c r="E1788" s="157">
        <v>4443.3599999999997</v>
      </c>
      <c r="F1788" s="137">
        <f t="shared" ref="F1788" si="397">C1788*E1788</f>
        <v>4443.3599999999997</v>
      </c>
      <c r="G1788" s="217" t="s">
        <v>2377</v>
      </c>
    </row>
    <row r="1789" spans="1:7" s="30" customFormat="1" ht="10.5" customHeight="1">
      <c r="A1789" s="59"/>
      <c r="B1789" s="100"/>
      <c r="C1789" s="61"/>
      <c r="D1789" s="62"/>
      <c r="E1789" s="157"/>
      <c r="F1789" s="137"/>
      <c r="G1789" s="217"/>
    </row>
    <row r="1790" spans="1:7" s="30" customFormat="1" ht="14.45">
      <c r="A1790" s="66" t="s">
        <v>162</v>
      </c>
      <c r="B1790" s="67" t="s">
        <v>2724</v>
      </c>
      <c r="C1790" s="68" t="s">
        <v>304</v>
      </c>
      <c r="D1790" s="69" t="s">
        <v>63</v>
      </c>
      <c r="E1790" s="157">
        <v>4443.3599999999997</v>
      </c>
      <c r="F1790" s="137">
        <f t="shared" ref="F1790" si="398">C1790*E1790</f>
        <v>4443.3599999999997</v>
      </c>
      <c r="G1790" s="217" t="s">
        <v>2377</v>
      </c>
    </row>
    <row r="1791" spans="1:7" s="30" customFormat="1" ht="9.75" customHeight="1">
      <c r="A1791" s="59"/>
      <c r="B1791" s="100"/>
      <c r="C1791" s="61"/>
      <c r="D1791" s="62"/>
      <c r="E1791" s="157"/>
      <c r="F1791" s="137"/>
      <c r="G1791" s="217"/>
    </row>
    <row r="1792" spans="1:7" s="30" customFormat="1" ht="14.45">
      <c r="A1792" s="66" t="s">
        <v>164</v>
      </c>
      <c r="B1792" s="67" t="s">
        <v>2725</v>
      </c>
      <c r="C1792" s="68" t="s">
        <v>304</v>
      </c>
      <c r="D1792" s="69" t="s">
        <v>63</v>
      </c>
      <c r="E1792" s="157">
        <v>4443.3599999999997</v>
      </c>
      <c r="F1792" s="137">
        <f t="shared" ref="F1792" si="399">C1792*E1792</f>
        <v>4443.3599999999997</v>
      </c>
      <c r="G1792" s="217" t="s">
        <v>2377</v>
      </c>
    </row>
    <row r="1793" spans="1:7" s="30" customFormat="1" ht="10.5" customHeight="1">
      <c r="A1793" s="59"/>
      <c r="B1793" s="100"/>
      <c r="C1793" s="61"/>
      <c r="D1793" s="62"/>
      <c r="E1793" s="157"/>
      <c r="F1793" s="137"/>
      <c r="G1793" s="217"/>
    </row>
    <row r="1794" spans="1:7" s="30" customFormat="1" ht="14.45">
      <c r="A1794" s="66" t="s">
        <v>166</v>
      </c>
      <c r="B1794" s="67" t="s">
        <v>2726</v>
      </c>
      <c r="C1794" s="68" t="s">
        <v>304</v>
      </c>
      <c r="D1794" s="69" t="s">
        <v>63</v>
      </c>
      <c r="E1794" s="157">
        <v>4443.3599999999997</v>
      </c>
      <c r="F1794" s="137">
        <f t="shared" ref="F1794" si="400">C1794*E1794</f>
        <v>4443.3599999999997</v>
      </c>
      <c r="G1794" s="217" t="s">
        <v>2377</v>
      </c>
    </row>
    <row r="1795" spans="1:7" s="30" customFormat="1" ht="9.75" customHeight="1">
      <c r="A1795" s="59"/>
      <c r="B1795" s="100"/>
      <c r="C1795" s="61"/>
      <c r="D1795" s="62"/>
      <c r="E1795" s="157"/>
      <c r="F1795" s="137"/>
      <c r="G1795" s="217"/>
    </row>
    <row r="1796" spans="1:7" s="30" customFormat="1" ht="14.45">
      <c r="A1796" s="66" t="s">
        <v>168</v>
      </c>
      <c r="B1796" s="67" t="s">
        <v>2727</v>
      </c>
      <c r="C1796" s="68" t="s">
        <v>304</v>
      </c>
      <c r="D1796" s="69" t="s">
        <v>63</v>
      </c>
      <c r="E1796" s="157">
        <v>4443.3599999999997</v>
      </c>
      <c r="F1796" s="137">
        <f t="shared" ref="F1796" si="401">C1796*E1796</f>
        <v>4443.3599999999997</v>
      </c>
      <c r="G1796" s="217" t="s">
        <v>2377</v>
      </c>
    </row>
    <row r="1797" spans="1:7" s="30" customFormat="1" ht="9.75" customHeight="1">
      <c r="A1797" s="59"/>
      <c r="B1797" s="100"/>
      <c r="C1797" s="61"/>
      <c r="D1797" s="62"/>
      <c r="E1797" s="157"/>
      <c r="F1797" s="137"/>
      <c r="G1797" s="217"/>
    </row>
    <row r="1798" spans="1:7" s="30" customFormat="1" ht="14.45">
      <c r="A1798" s="66" t="s">
        <v>170</v>
      </c>
      <c r="B1798" s="67" t="s">
        <v>2728</v>
      </c>
      <c r="C1798" s="68" t="s">
        <v>304</v>
      </c>
      <c r="D1798" s="69" t="s">
        <v>63</v>
      </c>
      <c r="E1798" s="157">
        <v>4443.3599999999997</v>
      </c>
      <c r="F1798" s="137">
        <f t="shared" ref="F1798" si="402">C1798*E1798</f>
        <v>4443.3599999999997</v>
      </c>
      <c r="G1798" s="217" t="s">
        <v>2377</v>
      </c>
    </row>
    <row r="1799" spans="1:7" s="30" customFormat="1" ht="10.5" customHeight="1">
      <c r="A1799" s="59"/>
      <c r="B1799" s="100"/>
      <c r="C1799" s="61"/>
      <c r="D1799" s="62"/>
      <c r="E1799" s="157"/>
      <c r="F1799" s="137"/>
      <c r="G1799" s="217"/>
    </row>
    <row r="1800" spans="1:7" s="30" customFormat="1" ht="14.45">
      <c r="A1800" s="66" t="s">
        <v>172</v>
      </c>
      <c r="B1800" s="67" t="s">
        <v>2729</v>
      </c>
      <c r="C1800" s="68" t="s">
        <v>304</v>
      </c>
      <c r="D1800" s="69" t="s">
        <v>63</v>
      </c>
      <c r="E1800" s="157">
        <v>4443.3599999999997</v>
      </c>
      <c r="F1800" s="137">
        <f t="shared" ref="F1800" si="403">C1800*E1800</f>
        <v>4443.3599999999997</v>
      </c>
      <c r="G1800" s="217" t="s">
        <v>2377</v>
      </c>
    </row>
    <row r="1801" spans="1:7" s="30" customFormat="1" ht="14.45">
      <c r="A1801" s="59"/>
      <c r="B1801" s="100"/>
      <c r="C1801" s="61"/>
      <c r="D1801" s="62"/>
      <c r="E1801" s="157"/>
      <c r="F1801" s="137"/>
      <c r="G1801" s="217"/>
    </row>
    <row r="1802" spans="1:7" s="30" customFormat="1" ht="14.45">
      <c r="A1802" s="66" t="s">
        <v>1615</v>
      </c>
      <c r="B1802" s="67" t="s">
        <v>2730</v>
      </c>
      <c r="C1802" s="68" t="s">
        <v>304</v>
      </c>
      <c r="D1802" s="69" t="s">
        <v>63</v>
      </c>
      <c r="E1802" s="157">
        <v>4443.3599999999997</v>
      </c>
      <c r="F1802" s="137">
        <f t="shared" ref="F1802" si="404">C1802*E1802</f>
        <v>4443.3599999999997</v>
      </c>
      <c r="G1802" s="217" t="s">
        <v>2377</v>
      </c>
    </row>
    <row r="1803" spans="1:7" s="30" customFormat="1" ht="14.45">
      <c r="A1803" s="59"/>
      <c r="B1803" s="100"/>
      <c r="C1803" s="61"/>
      <c r="D1803" s="62"/>
      <c r="E1803" s="157"/>
      <c r="F1803" s="137"/>
      <c r="G1803" s="217"/>
    </row>
    <row r="1804" spans="1:7" s="30" customFormat="1" ht="14.45">
      <c r="A1804" s="66" t="s">
        <v>1617</v>
      </c>
      <c r="B1804" s="67" t="s">
        <v>2731</v>
      </c>
      <c r="C1804" s="68" t="s">
        <v>304</v>
      </c>
      <c r="D1804" s="69" t="s">
        <v>63</v>
      </c>
      <c r="E1804" s="157">
        <v>4443.3599999999997</v>
      </c>
      <c r="F1804" s="137">
        <f t="shared" ref="F1804" si="405">C1804*E1804</f>
        <v>4443.3599999999997</v>
      </c>
      <c r="G1804" s="217" t="s">
        <v>2377</v>
      </c>
    </row>
    <row r="1805" spans="1:7" s="30" customFormat="1" ht="28.9">
      <c r="A1805" s="59"/>
      <c r="B1805" s="230" t="s">
        <v>323</v>
      </c>
      <c r="C1805" s="61"/>
      <c r="D1805" s="62"/>
      <c r="E1805" s="157"/>
      <c r="F1805" s="137"/>
      <c r="G1805" s="217"/>
    </row>
    <row r="1806" spans="1:7" s="30" customFormat="1" ht="14.45">
      <c r="A1806" s="71"/>
      <c r="B1806" s="72"/>
      <c r="C1806" s="73"/>
      <c r="D1806" s="74"/>
      <c r="E1806" s="159"/>
      <c r="F1806" s="138"/>
      <c r="G1806" s="226"/>
    </row>
    <row r="1807" spans="1:7" s="30" customFormat="1" ht="14.45">
      <c r="A1807" s="75"/>
      <c r="B1807" s="76"/>
      <c r="C1807" s="77" t="s">
        <v>30</v>
      </c>
      <c r="D1807" s="77"/>
      <c r="E1807" s="160" t="s">
        <v>8</v>
      </c>
      <c r="F1807" s="139">
        <f>SUM(F1761:F1804)</f>
        <v>97753.919999999998</v>
      </c>
      <c r="G1807" s="227"/>
    </row>
    <row r="1808" spans="1:7" s="30" customFormat="1" ht="14.45">
      <c r="A1808" s="75"/>
      <c r="B1808" s="76"/>
      <c r="C1808" s="78"/>
      <c r="D1808" s="79"/>
      <c r="E1808" s="161"/>
      <c r="F1808" s="140"/>
      <c r="G1808" s="228"/>
    </row>
    <row r="1809" spans="1:7" s="30" customFormat="1" ht="14.45">
      <c r="A1809" s="59"/>
      <c r="B1809" s="63"/>
      <c r="C1809" s="61"/>
      <c r="D1809" s="62"/>
      <c r="E1809" s="157"/>
      <c r="F1809" s="137"/>
      <c r="G1809" s="217"/>
    </row>
    <row r="1810" spans="1:7" s="30" customFormat="1" ht="14.45">
      <c r="A1810" s="59"/>
      <c r="B1810" s="64" t="s">
        <v>1950</v>
      </c>
      <c r="C1810" s="61"/>
      <c r="D1810" s="62"/>
      <c r="E1810" s="157"/>
      <c r="F1810" s="137"/>
      <c r="G1810" s="217"/>
    </row>
    <row r="1811" spans="1:7" s="30" customFormat="1" ht="14.45">
      <c r="A1811" s="59"/>
      <c r="B1811" s="100"/>
      <c r="C1811" s="61"/>
      <c r="D1811" s="62"/>
      <c r="E1811" s="157"/>
      <c r="F1811" s="137"/>
      <c r="G1811" s="217"/>
    </row>
    <row r="1812" spans="1:7" s="30" customFormat="1" ht="14.45">
      <c r="A1812" s="66" t="s">
        <v>14</v>
      </c>
      <c r="B1812" s="67" t="s">
        <v>2732</v>
      </c>
      <c r="C1812" s="68" t="s">
        <v>304</v>
      </c>
      <c r="D1812" s="69" t="s">
        <v>63</v>
      </c>
      <c r="E1812" s="157">
        <v>4443.3599999999997</v>
      </c>
      <c r="F1812" s="137">
        <f t="shared" ref="F1812" si="406">C1812*E1812</f>
        <v>4443.3599999999997</v>
      </c>
      <c r="G1812" s="217" t="s">
        <v>2377</v>
      </c>
    </row>
    <row r="1813" spans="1:7" s="30" customFormat="1" ht="14.45">
      <c r="A1813" s="59"/>
      <c r="B1813" s="100"/>
      <c r="C1813" s="61"/>
      <c r="D1813" s="62"/>
      <c r="E1813" s="157"/>
      <c r="F1813" s="137"/>
      <c r="G1813" s="217"/>
    </row>
    <row r="1814" spans="1:7" s="30" customFormat="1" ht="14.45">
      <c r="A1814" s="66" t="s">
        <v>17</v>
      </c>
      <c r="B1814" s="67" t="s">
        <v>2733</v>
      </c>
      <c r="C1814" s="68" t="s">
        <v>304</v>
      </c>
      <c r="D1814" s="69" t="s">
        <v>63</v>
      </c>
      <c r="E1814" s="157">
        <v>4443.3599999999997</v>
      </c>
      <c r="F1814" s="137">
        <f t="shared" ref="F1814" si="407">C1814*E1814</f>
        <v>4443.3599999999997</v>
      </c>
      <c r="G1814" s="217" t="s">
        <v>2377</v>
      </c>
    </row>
    <row r="1815" spans="1:7" s="30" customFormat="1" ht="14.45">
      <c r="A1815" s="59"/>
      <c r="B1815" s="100"/>
      <c r="C1815" s="61"/>
      <c r="D1815" s="62"/>
      <c r="E1815" s="157"/>
      <c r="F1815" s="137"/>
      <c r="G1815" s="217"/>
    </row>
    <row r="1816" spans="1:7" s="30" customFormat="1" ht="14.45">
      <c r="A1816" s="66" t="s">
        <v>20</v>
      </c>
      <c r="B1816" s="67" t="s">
        <v>2734</v>
      </c>
      <c r="C1816" s="68" t="s">
        <v>304</v>
      </c>
      <c r="D1816" s="69" t="s">
        <v>63</v>
      </c>
      <c r="E1816" s="157">
        <v>4443.3599999999997</v>
      </c>
      <c r="F1816" s="137">
        <f t="shared" ref="F1816" si="408">C1816*E1816</f>
        <v>4443.3599999999997</v>
      </c>
      <c r="G1816" s="217" t="s">
        <v>2377</v>
      </c>
    </row>
    <row r="1817" spans="1:7" s="30" customFormat="1" ht="14.45">
      <c r="A1817" s="59"/>
      <c r="B1817" s="100"/>
      <c r="C1817" s="61"/>
      <c r="D1817" s="62"/>
      <c r="E1817" s="157"/>
      <c r="F1817" s="137"/>
      <c r="G1817" s="217"/>
    </row>
    <row r="1818" spans="1:7" s="30" customFormat="1" ht="14.45">
      <c r="A1818" s="66" t="s">
        <v>23</v>
      </c>
      <c r="B1818" s="67" t="s">
        <v>2735</v>
      </c>
      <c r="C1818" s="68" t="s">
        <v>304</v>
      </c>
      <c r="D1818" s="69" t="s">
        <v>63</v>
      </c>
      <c r="E1818" s="157">
        <v>4443.3599999999997</v>
      </c>
      <c r="F1818" s="137">
        <f t="shared" ref="F1818" si="409">C1818*E1818</f>
        <v>4443.3599999999997</v>
      </c>
      <c r="G1818" s="217" t="s">
        <v>2377</v>
      </c>
    </row>
    <row r="1819" spans="1:7" s="30" customFormat="1" ht="14.45">
      <c r="A1819" s="59"/>
      <c r="B1819" s="100"/>
      <c r="C1819" s="61"/>
      <c r="D1819" s="62"/>
      <c r="E1819" s="157"/>
      <c r="F1819" s="137"/>
      <c r="G1819" s="217"/>
    </row>
    <row r="1820" spans="1:7" s="30" customFormat="1" ht="14.45">
      <c r="A1820" s="66" t="s">
        <v>27</v>
      </c>
      <c r="B1820" s="67" t="s">
        <v>2736</v>
      </c>
      <c r="C1820" s="68" t="s">
        <v>304</v>
      </c>
      <c r="D1820" s="69" t="s">
        <v>63</v>
      </c>
      <c r="E1820" s="157">
        <v>4443.3599999999997</v>
      </c>
      <c r="F1820" s="137">
        <f t="shared" ref="F1820" si="410">C1820*E1820</f>
        <v>4443.3599999999997</v>
      </c>
      <c r="G1820" s="217" t="s">
        <v>2377</v>
      </c>
    </row>
    <row r="1821" spans="1:7" s="30" customFormat="1" ht="14.45">
      <c r="A1821" s="59"/>
      <c r="B1821" s="100"/>
      <c r="C1821" s="61"/>
      <c r="D1821" s="62"/>
      <c r="E1821" s="157"/>
      <c r="F1821" s="137"/>
      <c r="G1821" s="217"/>
    </row>
    <row r="1822" spans="1:7" s="30" customFormat="1" ht="14.45">
      <c r="A1822" s="66" t="s">
        <v>44</v>
      </c>
      <c r="B1822" s="67" t="s">
        <v>2737</v>
      </c>
      <c r="C1822" s="68" t="s">
        <v>304</v>
      </c>
      <c r="D1822" s="69" t="s">
        <v>63</v>
      </c>
      <c r="E1822" s="157">
        <v>4443.3599999999997</v>
      </c>
      <c r="F1822" s="137">
        <f t="shared" ref="F1822" si="411">C1822*E1822</f>
        <v>4443.3599999999997</v>
      </c>
      <c r="G1822" s="217" t="s">
        <v>2377</v>
      </c>
    </row>
    <row r="1823" spans="1:7" s="30" customFormat="1" ht="14.45">
      <c r="A1823" s="59"/>
      <c r="B1823" s="100"/>
      <c r="C1823" s="61"/>
      <c r="D1823" s="62"/>
      <c r="E1823" s="157"/>
      <c r="F1823" s="137"/>
      <c r="G1823" s="217"/>
    </row>
    <row r="1824" spans="1:7" s="30" customFormat="1" ht="14.45">
      <c r="A1824" s="66" t="s">
        <v>48</v>
      </c>
      <c r="B1824" s="67" t="s">
        <v>2738</v>
      </c>
      <c r="C1824" s="68" t="s">
        <v>304</v>
      </c>
      <c r="D1824" s="69" t="s">
        <v>63</v>
      </c>
      <c r="E1824" s="157">
        <v>4443.3599999999997</v>
      </c>
      <c r="F1824" s="137">
        <f t="shared" ref="F1824" si="412">C1824*E1824</f>
        <v>4443.3599999999997</v>
      </c>
      <c r="G1824" s="217" t="s">
        <v>2377</v>
      </c>
    </row>
    <row r="1825" spans="1:7" s="30" customFormat="1" ht="14.45">
      <c r="A1825" s="59"/>
      <c r="B1825" s="100"/>
      <c r="C1825" s="61"/>
      <c r="D1825" s="62"/>
      <c r="E1825" s="157"/>
      <c r="F1825" s="137"/>
      <c r="G1825" s="217"/>
    </row>
    <row r="1826" spans="1:7" s="30" customFormat="1" ht="14.45">
      <c r="A1826" s="66" t="s">
        <v>84</v>
      </c>
      <c r="B1826" s="67" t="s">
        <v>2739</v>
      </c>
      <c r="C1826" s="68" t="s">
        <v>304</v>
      </c>
      <c r="D1826" s="69" t="s">
        <v>63</v>
      </c>
      <c r="E1826" s="157">
        <v>4443.3599999999997</v>
      </c>
      <c r="F1826" s="137">
        <f t="shared" ref="F1826" si="413">C1826*E1826</f>
        <v>4443.3599999999997</v>
      </c>
      <c r="G1826" s="217" t="s">
        <v>2377</v>
      </c>
    </row>
    <row r="1827" spans="1:7" s="30" customFormat="1" ht="14.45">
      <c r="A1827" s="59"/>
      <c r="B1827" s="100"/>
      <c r="C1827" s="61"/>
      <c r="D1827" s="62"/>
      <c r="E1827" s="157"/>
      <c r="F1827" s="137"/>
      <c r="G1827" s="217"/>
    </row>
    <row r="1828" spans="1:7" s="30" customFormat="1" ht="14.45">
      <c r="A1828" s="66" t="s">
        <v>86</v>
      </c>
      <c r="B1828" s="67" t="s">
        <v>2740</v>
      </c>
      <c r="C1828" s="68" t="s">
        <v>304</v>
      </c>
      <c r="D1828" s="69" t="s">
        <v>63</v>
      </c>
      <c r="E1828" s="157">
        <v>4443.3599999999997</v>
      </c>
      <c r="F1828" s="137">
        <f t="shared" ref="F1828" si="414">C1828*E1828</f>
        <v>4443.3599999999997</v>
      </c>
      <c r="G1828" s="217" t="s">
        <v>2377</v>
      </c>
    </row>
    <row r="1829" spans="1:7" s="30" customFormat="1" ht="14.45">
      <c r="A1829" s="59"/>
      <c r="B1829" s="100"/>
      <c r="C1829" s="61"/>
      <c r="D1829" s="62"/>
      <c r="E1829" s="157"/>
      <c r="F1829" s="137"/>
      <c r="G1829" s="217"/>
    </row>
    <row r="1830" spans="1:7" s="30" customFormat="1" ht="14.45">
      <c r="A1830" s="66" t="s">
        <v>90</v>
      </c>
      <c r="B1830" s="67" t="s">
        <v>2741</v>
      </c>
      <c r="C1830" s="68" t="s">
        <v>304</v>
      </c>
      <c r="D1830" s="69" t="s">
        <v>63</v>
      </c>
      <c r="E1830" s="157">
        <v>4443.3599999999997</v>
      </c>
      <c r="F1830" s="137">
        <f t="shared" ref="F1830" si="415">C1830*E1830</f>
        <v>4443.3599999999997</v>
      </c>
      <c r="G1830" s="217" t="s">
        <v>2377</v>
      </c>
    </row>
    <row r="1831" spans="1:7" s="30" customFormat="1" ht="14.45">
      <c r="A1831" s="59"/>
      <c r="B1831" s="100"/>
      <c r="C1831" s="61"/>
      <c r="D1831" s="62"/>
      <c r="E1831" s="157"/>
      <c r="F1831" s="137"/>
      <c r="G1831" s="217"/>
    </row>
    <row r="1832" spans="1:7" s="30" customFormat="1" ht="14.45">
      <c r="A1832" s="66" t="s">
        <v>92</v>
      </c>
      <c r="B1832" s="67" t="s">
        <v>2742</v>
      </c>
      <c r="C1832" s="68" t="s">
        <v>304</v>
      </c>
      <c r="D1832" s="69" t="s">
        <v>63</v>
      </c>
      <c r="E1832" s="157">
        <v>4443.3599999999997</v>
      </c>
      <c r="F1832" s="137">
        <f t="shared" ref="F1832" si="416">C1832*E1832</f>
        <v>4443.3599999999997</v>
      </c>
      <c r="G1832" s="217" t="s">
        <v>2377</v>
      </c>
    </row>
    <row r="1833" spans="1:7" s="30" customFormat="1" ht="14.45">
      <c r="A1833" s="59"/>
      <c r="B1833" s="100"/>
      <c r="C1833" s="61"/>
      <c r="D1833" s="62"/>
      <c r="E1833" s="157"/>
      <c r="F1833" s="137"/>
      <c r="G1833" s="217"/>
    </row>
    <row r="1834" spans="1:7" s="30" customFormat="1" ht="14.45">
      <c r="A1834" s="66"/>
      <c r="B1834" s="98" t="s">
        <v>2743</v>
      </c>
      <c r="C1834" s="68"/>
      <c r="D1834" s="69"/>
      <c r="E1834" s="157"/>
      <c r="F1834" s="137"/>
      <c r="G1834" s="217"/>
    </row>
    <row r="1835" spans="1:7" s="30" customFormat="1" ht="14.45">
      <c r="A1835" s="59"/>
      <c r="B1835" s="100"/>
      <c r="C1835" s="61"/>
      <c r="D1835" s="62"/>
      <c r="E1835" s="157"/>
      <c r="F1835" s="137"/>
      <c r="G1835" s="217"/>
    </row>
    <row r="1836" spans="1:7" s="30" customFormat="1" ht="14.45">
      <c r="A1836" s="66" t="s">
        <v>94</v>
      </c>
      <c r="B1836" s="67" t="s">
        <v>2744</v>
      </c>
      <c r="C1836" s="68" t="s">
        <v>304</v>
      </c>
      <c r="D1836" s="69" t="s">
        <v>63</v>
      </c>
      <c r="E1836" s="157">
        <v>4223.6000000000004</v>
      </c>
      <c r="F1836" s="137">
        <f t="shared" ref="F1836" si="417">C1836*E1836</f>
        <v>4223.6000000000004</v>
      </c>
      <c r="G1836" s="217"/>
    </row>
    <row r="1837" spans="1:7" s="30" customFormat="1" ht="14.45">
      <c r="A1837" s="59"/>
      <c r="B1837" s="100"/>
      <c r="C1837" s="61"/>
      <c r="D1837" s="62"/>
      <c r="E1837" s="157"/>
      <c r="F1837" s="137"/>
      <c r="G1837" s="217"/>
    </row>
    <row r="1838" spans="1:7" s="30" customFormat="1" ht="14.45">
      <c r="A1838" s="66" t="s">
        <v>140</v>
      </c>
      <c r="B1838" s="67" t="s">
        <v>2745</v>
      </c>
      <c r="C1838" s="68" t="s">
        <v>304</v>
      </c>
      <c r="D1838" s="69" t="s">
        <v>63</v>
      </c>
      <c r="E1838" s="157">
        <v>4223.6000000000004</v>
      </c>
      <c r="F1838" s="137">
        <f t="shared" ref="F1838" si="418">C1838*E1838</f>
        <v>4223.6000000000004</v>
      </c>
      <c r="G1838" s="217"/>
    </row>
    <row r="1839" spans="1:7" s="30" customFormat="1" ht="14.45">
      <c r="A1839" s="59"/>
      <c r="B1839" s="100"/>
      <c r="C1839" s="61"/>
      <c r="D1839" s="62"/>
      <c r="E1839" s="157"/>
      <c r="F1839" s="137"/>
      <c r="G1839" s="217"/>
    </row>
    <row r="1840" spans="1:7" s="30" customFormat="1" ht="14.45">
      <c r="A1840" s="66" t="s">
        <v>159</v>
      </c>
      <c r="B1840" s="67" t="s">
        <v>2746</v>
      </c>
      <c r="C1840" s="68" t="s">
        <v>304</v>
      </c>
      <c r="D1840" s="69" t="s">
        <v>63</v>
      </c>
      <c r="E1840" s="157">
        <v>4223.6000000000004</v>
      </c>
      <c r="F1840" s="137">
        <f t="shared" ref="F1840" si="419">C1840*E1840</f>
        <v>4223.6000000000004</v>
      </c>
      <c r="G1840" s="217"/>
    </row>
    <row r="1841" spans="1:7" s="30" customFormat="1" ht="14.45">
      <c r="A1841" s="59"/>
      <c r="B1841" s="100"/>
      <c r="C1841" s="61"/>
      <c r="D1841" s="62"/>
      <c r="E1841" s="157"/>
      <c r="F1841" s="137"/>
      <c r="G1841" s="217"/>
    </row>
    <row r="1842" spans="1:7" s="30" customFormat="1" ht="14.45">
      <c r="A1842" s="66" t="s">
        <v>162</v>
      </c>
      <c r="B1842" s="67" t="s">
        <v>2747</v>
      </c>
      <c r="C1842" s="68" t="s">
        <v>304</v>
      </c>
      <c r="D1842" s="69" t="s">
        <v>63</v>
      </c>
      <c r="E1842" s="157">
        <v>4223.6000000000004</v>
      </c>
      <c r="F1842" s="137">
        <f t="shared" ref="F1842" si="420">C1842*E1842</f>
        <v>4223.6000000000004</v>
      </c>
      <c r="G1842" s="217"/>
    </row>
    <row r="1843" spans="1:7" s="30" customFormat="1" ht="14.45">
      <c r="A1843" s="59"/>
      <c r="B1843" s="100"/>
      <c r="C1843" s="61"/>
      <c r="D1843" s="62"/>
      <c r="E1843" s="157"/>
      <c r="F1843" s="137"/>
      <c r="G1843" s="217"/>
    </row>
    <row r="1844" spans="1:7" s="30" customFormat="1" ht="14.45">
      <c r="A1844" s="66" t="s">
        <v>164</v>
      </c>
      <c r="B1844" s="67" t="s">
        <v>2748</v>
      </c>
      <c r="C1844" s="68" t="s">
        <v>304</v>
      </c>
      <c r="D1844" s="69" t="s">
        <v>63</v>
      </c>
      <c r="E1844" s="157">
        <v>4223.6000000000004</v>
      </c>
      <c r="F1844" s="137">
        <f t="shared" ref="F1844" si="421">C1844*E1844</f>
        <v>4223.6000000000004</v>
      </c>
      <c r="G1844" s="217"/>
    </row>
    <row r="1845" spans="1:7" s="30" customFormat="1" ht="14.45">
      <c r="A1845" s="59"/>
      <c r="B1845" s="100"/>
      <c r="C1845" s="61"/>
      <c r="D1845" s="62"/>
      <c r="E1845" s="157"/>
      <c r="F1845" s="137"/>
      <c r="G1845" s="217"/>
    </row>
    <row r="1846" spans="1:7" s="30" customFormat="1" ht="14.45">
      <c r="A1846" s="66" t="s">
        <v>166</v>
      </c>
      <c r="B1846" s="67" t="s">
        <v>2749</v>
      </c>
      <c r="C1846" s="68" t="s">
        <v>304</v>
      </c>
      <c r="D1846" s="69" t="s">
        <v>63</v>
      </c>
      <c r="E1846" s="157">
        <v>4223.6000000000004</v>
      </c>
      <c r="F1846" s="137">
        <f t="shared" ref="F1846" si="422">C1846*E1846</f>
        <v>4223.6000000000004</v>
      </c>
      <c r="G1846" s="217"/>
    </row>
    <row r="1847" spans="1:7" s="30" customFormat="1" ht="14.45">
      <c r="A1847" s="59"/>
      <c r="B1847" s="100"/>
      <c r="C1847" s="61"/>
      <c r="D1847" s="62"/>
      <c r="E1847" s="157"/>
      <c r="F1847" s="137"/>
      <c r="G1847" s="217"/>
    </row>
    <row r="1848" spans="1:7" s="30" customFormat="1" ht="14.45">
      <c r="A1848" s="66" t="s">
        <v>168</v>
      </c>
      <c r="B1848" s="67" t="s">
        <v>2750</v>
      </c>
      <c r="C1848" s="68" t="s">
        <v>304</v>
      </c>
      <c r="D1848" s="69" t="s">
        <v>63</v>
      </c>
      <c r="E1848" s="157">
        <v>4223.6000000000004</v>
      </c>
      <c r="F1848" s="137">
        <f t="shared" ref="F1848" si="423">C1848*E1848</f>
        <v>4223.6000000000004</v>
      </c>
      <c r="G1848" s="217"/>
    </row>
    <row r="1849" spans="1:7" s="30" customFormat="1" ht="14.45">
      <c r="A1849" s="59"/>
      <c r="B1849" s="100"/>
      <c r="C1849" s="61"/>
      <c r="D1849" s="62"/>
      <c r="E1849" s="157"/>
      <c r="F1849" s="137"/>
      <c r="G1849" s="217"/>
    </row>
    <row r="1850" spans="1:7" s="30" customFormat="1" ht="14.45">
      <c r="A1850" s="66" t="s">
        <v>170</v>
      </c>
      <c r="B1850" s="67" t="s">
        <v>2751</v>
      </c>
      <c r="C1850" s="68" t="s">
        <v>304</v>
      </c>
      <c r="D1850" s="69" t="s">
        <v>63</v>
      </c>
      <c r="E1850" s="157">
        <v>4223.6000000000004</v>
      </c>
      <c r="F1850" s="137">
        <f t="shared" ref="F1850" si="424">C1850*E1850</f>
        <v>4223.6000000000004</v>
      </c>
      <c r="G1850" s="217"/>
    </row>
    <row r="1851" spans="1:7" s="30" customFormat="1" ht="14.45">
      <c r="A1851" s="59"/>
      <c r="B1851" s="100"/>
      <c r="C1851" s="61"/>
      <c r="D1851" s="62"/>
      <c r="E1851" s="157"/>
      <c r="F1851" s="137"/>
      <c r="G1851" s="217"/>
    </row>
    <row r="1852" spans="1:7" s="30" customFormat="1" ht="14.45">
      <c r="A1852" s="66" t="s">
        <v>172</v>
      </c>
      <c r="B1852" s="67" t="s">
        <v>2752</v>
      </c>
      <c r="C1852" s="68" t="s">
        <v>304</v>
      </c>
      <c r="D1852" s="69" t="s">
        <v>63</v>
      </c>
      <c r="E1852" s="157">
        <v>4223.6000000000004</v>
      </c>
      <c r="F1852" s="137">
        <f t="shared" ref="F1852" si="425">C1852*E1852</f>
        <v>4223.6000000000004</v>
      </c>
      <c r="G1852" s="217"/>
    </row>
    <row r="1853" spans="1:7" s="30" customFormat="1" ht="14.45">
      <c r="A1853" s="66"/>
      <c r="B1853" s="67"/>
      <c r="C1853" s="68"/>
      <c r="D1853" s="69"/>
      <c r="E1853" s="157"/>
      <c r="F1853" s="137"/>
      <c r="G1853" s="217"/>
    </row>
    <row r="1854" spans="1:7" s="30" customFormat="1" ht="28.9">
      <c r="A1854" s="59"/>
      <c r="B1854" s="230" t="s">
        <v>323</v>
      </c>
      <c r="C1854" s="61"/>
      <c r="D1854" s="62"/>
      <c r="E1854" s="157"/>
      <c r="F1854" s="137"/>
      <c r="G1854" s="217"/>
    </row>
    <row r="1855" spans="1:7" s="30" customFormat="1" ht="14.45">
      <c r="A1855" s="71"/>
      <c r="B1855" s="72"/>
      <c r="C1855" s="73"/>
      <c r="D1855" s="74"/>
      <c r="E1855" s="159"/>
      <c r="F1855" s="138"/>
      <c r="G1855" s="226"/>
    </row>
    <row r="1856" spans="1:7" s="30" customFormat="1" ht="14.45">
      <c r="A1856" s="75"/>
      <c r="B1856" s="76"/>
      <c r="C1856" s="77" t="s">
        <v>30</v>
      </c>
      <c r="D1856" s="77"/>
      <c r="E1856" s="160" t="s">
        <v>8</v>
      </c>
      <c r="F1856" s="139">
        <f>SUM(F1811:F1854)</f>
        <v>86889.36000000003</v>
      </c>
      <c r="G1856" s="227"/>
    </row>
    <row r="1857" spans="1:7" s="30" customFormat="1" ht="14.45">
      <c r="A1857" s="75"/>
      <c r="B1857" s="76"/>
      <c r="C1857" s="78"/>
      <c r="D1857" s="79"/>
      <c r="E1857" s="161"/>
      <c r="F1857" s="140"/>
      <c r="G1857" s="228"/>
    </row>
    <row r="1858" spans="1:7" s="30" customFormat="1" ht="14.45">
      <c r="A1858" s="59"/>
      <c r="B1858" s="63"/>
      <c r="C1858" s="61"/>
      <c r="D1858" s="62"/>
      <c r="E1858" s="157"/>
      <c r="F1858" s="137"/>
      <c r="G1858" s="217"/>
    </row>
    <row r="1859" spans="1:7" s="30" customFormat="1" ht="14.45">
      <c r="A1859" s="59"/>
      <c r="B1859" s="64" t="s">
        <v>1950</v>
      </c>
      <c r="C1859" s="61"/>
      <c r="D1859" s="62"/>
      <c r="E1859" s="157"/>
      <c r="F1859" s="137"/>
      <c r="G1859" s="217"/>
    </row>
    <row r="1860" spans="1:7" s="30" customFormat="1" ht="14.45">
      <c r="A1860" s="59"/>
      <c r="B1860" s="100"/>
      <c r="C1860" s="61"/>
      <c r="D1860" s="62"/>
      <c r="E1860" s="157"/>
      <c r="F1860" s="137"/>
      <c r="G1860" s="217"/>
    </row>
    <row r="1861" spans="1:7" s="30" customFormat="1" ht="14.45">
      <c r="A1861" s="66" t="s">
        <v>14</v>
      </c>
      <c r="B1861" s="67" t="s">
        <v>2753</v>
      </c>
      <c r="C1861" s="68" t="s">
        <v>304</v>
      </c>
      <c r="D1861" s="69" t="s">
        <v>63</v>
      </c>
      <c r="E1861" s="157">
        <v>4223.6000000000004</v>
      </c>
      <c r="F1861" s="137">
        <f t="shared" ref="F1861" si="426">C1861*E1861</f>
        <v>4223.6000000000004</v>
      </c>
      <c r="G1861" s="217"/>
    </row>
    <row r="1862" spans="1:7" s="30" customFormat="1" ht="14.45">
      <c r="A1862" s="59"/>
      <c r="B1862" s="100"/>
      <c r="C1862" s="61"/>
      <c r="D1862" s="62"/>
      <c r="E1862" s="157"/>
      <c r="F1862" s="137"/>
      <c r="G1862" s="217"/>
    </row>
    <row r="1863" spans="1:7" s="30" customFormat="1" ht="14.45">
      <c r="A1863" s="66" t="s">
        <v>17</v>
      </c>
      <c r="B1863" s="67" t="s">
        <v>2754</v>
      </c>
      <c r="C1863" s="68" t="s">
        <v>304</v>
      </c>
      <c r="D1863" s="69" t="s">
        <v>63</v>
      </c>
      <c r="E1863" s="157">
        <v>4223.6000000000004</v>
      </c>
      <c r="F1863" s="137">
        <f t="shared" ref="F1863" si="427">C1863*E1863</f>
        <v>4223.6000000000004</v>
      </c>
      <c r="G1863" s="217"/>
    </row>
    <row r="1864" spans="1:7" s="30" customFormat="1" ht="14.45">
      <c r="A1864" s="59"/>
      <c r="B1864" s="100"/>
      <c r="C1864" s="61"/>
      <c r="D1864" s="62"/>
      <c r="E1864" s="157"/>
      <c r="F1864" s="137"/>
      <c r="G1864" s="217"/>
    </row>
    <row r="1865" spans="1:7" s="30" customFormat="1" ht="14.45">
      <c r="A1865" s="66" t="s">
        <v>20</v>
      </c>
      <c r="B1865" s="67" t="s">
        <v>2755</v>
      </c>
      <c r="C1865" s="68" t="s">
        <v>304</v>
      </c>
      <c r="D1865" s="69" t="s">
        <v>63</v>
      </c>
      <c r="E1865" s="157">
        <v>4223.6000000000004</v>
      </c>
      <c r="F1865" s="137">
        <f t="shared" ref="F1865" si="428">C1865*E1865</f>
        <v>4223.6000000000004</v>
      </c>
      <c r="G1865" s="217"/>
    </row>
    <row r="1866" spans="1:7" s="30" customFormat="1" ht="14.45">
      <c r="A1866" s="59"/>
      <c r="B1866" s="100"/>
      <c r="C1866" s="61"/>
      <c r="D1866" s="62"/>
      <c r="E1866" s="157"/>
      <c r="F1866" s="137"/>
      <c r="G1866" s="217"/>
    </row>
    <row r="1867" spans="1:7" s="30" customFormat="1" ht="14.45">
      <c r="A1867" s="66" t="s">
        <v>23</v>
      </c>
      <c r="B1867" s="67" t="s">
        <v>2756</v>
      </c>
      <c r="C1867" s="68" t="s">
        <v>304</v>
      </c>
      <c r="D1867" s="69" t="s">
        <v>63</v>
      </c>
      <c r="E1867" s="157">
        <v>4223.6000000000004</v>
      </c>
      <c r="F1867" s="137">
        <f t="shared" ref="F1867" si="429">C1867*E1867</f>
        <v>4223.6000000000004</v>
      </c>
      <c r="G1867" s="217"/>
    </row>
    <row r="1868" spans="1:7" s="30" customFormat="1" ht="14.45">
      <c r="A1868" s="59"/>
      <c r="B1868" s="100"/>
      <c r="C1868" s="61"/>
      <c r="D1868" s="62"/>
      <c r="E1868" s="157"/>
      <c r="F1868" s="137"/>
      <c r="G1868" s="217"/>
    </row>
    <row r="1869" spans="1:7" s="30" customFormat="1" ht="14.45">
      <c r="A1869" s="66" t="s">
        <v>27</v>
      </c>
      <c r="B1869" s="67" t="s">
        <v>2757</v>
      </c>
      <c r="C1869" s="68" t="s">
        <v>304</v>
      </c>
      <c r="D1869" s="69" t="s">
        <v>63</v>
      </c>
      <c r="E1869" s="157">
        <v>4223.6000000000004</v>
      </c>
      <c r="F1869" s="137">
        <f t="shared" ref="F1869" si="430">C1869*E1869</f>
        <v>4223.6000000000004</v>
      </c>
      <c r="G1869" s="217"/>
    </row>
    <row r="1870" spans="1:7" s="30" customFormat="1" ht="14.45">
      <c r="A1870" s="59"/>
      <c r="B1870" s="100"/>
      <c r="C1870" s="61"/>
      <c r="D1870" s="62"/>
      <c r="E1870" s="157"/>
      <c r="F1870" s="137"/>
      <c r="G1870" s="217"/>
    </row>
    <row r="1871" spans="1:7" s="30" customFormat="1" ht="14.45">
      <c r="A1871" s="66" t="s">
        <v>44</v>
      </c>
      <c r="B1871" s="67" t="s">
        <v>2758</v>
      </c>
      <c r="C1871" s="68" t="s">
        <v>304</v>
      </c>
      <c r="D1871" s="69" t="s">
        <v>63</v>
      </c>
      <c r="E1871" s="157">
        <v>4223.6000000000004</v>
      </c>
      <c r="F1871" s="137">
        <f t="shared" ref="F1871" si="431">C1871*E1871</f>
        <v>4223.6000000000004</v>
      </c>
      <c r="G1871" s="217"/>
    </row>
    <row r="1872" spans="1:7" s="30" customFormat="1" ht="14.45">
      <c r="A1872" s="59"/>
      <c r="B1872" s="100"/>
      <c r="C1872" s="61"/>
      <c r="D1872" s="62"/>
      <c r="E1872" s="157"/>
      <c r="F1872" s="137"/>
      <c r="G1872" s="217"/>
    </row>
    <row r="1873" spans="1:7" s="30" customFormat="1" ht="14.45">
      <c r="A1873" s="66" t="s">
        <v>48</v>
      </c>
      <c r="B1873" s="67" t="s">
        <v>2759</v>
      </c>
      <c r="C1873" s="68" t="s">
        <v>304</v>
      </c>
      <c r="D1873" s="69" t="s">
        <v>63</v>
      </c>
      <c r="E1873" s="157">
        <v>4223.6000000000004</v>
      </c>
      <c r="F1873" s="137">
        <f t="shared" ref="F1873" si="432">C1873*E1873</f>
        <v>4223.6000000000004</v>
      </c>
      <c r="G1873" s="217"/>
    </row>
    <row r="1874" spans="1:7" s="30" customFormat="1" ht="14.45">
      <c r="A1874" s="59"/>
      <c r="B1874" s="100"/>
      <c r="C1874" s="61"/>
      <c r="D1874" s="62"/>
      <c r="E1874" s="157"/>
      <c r="F1874" s="137"/>
      <c r="G1874" s="217"/>
    </row>
    <row r="1875" spans="1:7" s="30" customFormat="1" ht="14.45">
      <c r="A1875" s="66" t="s">
        <v>84</v>
      </c>
      <c r="B1875" s="67" t="s">
        <v>2760</v>
      </c>
      <c r="C1875" s="68" t="s">
        <v>304</v>
      </c>
      <c r="D1875" s="69" t="s">
        <v>63</v>
      </c>
      <c r="E1875" s="157">
        <v>4223.6000000000004</v>
      </c>
      <c r="F1875" s="137">
        <f t="shared" ref="F1875" si="433">C1875*E1875</f>
        <v>4223.6000000000004</v>
      </c>
      <c r="G1875" s="217"/>
    </row>
    <row r="1876" spans="1:7" s="30" customFormat="1" ht="14.45">
      <c r="A1876" s="59"/>
      <c r="B1876" s="100"/>
      <c r="C1876" s="61"/>
      <c r="D1876" s="62"/>
      <c r="E1876" s="157"/>
      <c r="F1876" s="137"/>
      <c r="G1876" s="217"/>
    </row>
    <row r="1877" spans="1:7" s="30" customFormat="1" ht="14.45">
      <c r="A1877" s="66" t="s">
        <v>86</v>
      </c>
      <c r="B1877" s="67" t="s">
        <v>2761</v>
      </c>
      <c r="C1877" s="68" t="s">
        <v>304</v>
      </c>
      <c r="D1877" s="69" t="s">
        <v>63</v>
      </c>
      <c r="E1877" s="157">
        <v>4223.6000000000004</v>
      </c>
      <c r="F1877" s="137">
        <f t="shared" ref="F1877" si="434">C1877*E1877</f>
        <v>4223.6000000000004</v>
      </c>
      <c r="G1877" s="217"/>
    </row>
    <row r="1878" spans="1:7" s="30" customFormat="1" ht="14.45">
      <c r="A1878" s="59"/>
      <c r="B1878" s="100"/>
      <c r="C1878" s="61"/>
      <c r="D1878" s="62"/>
      <c r="E1878" s="157"/>
      <c r="F1878" s="137"/>
      <c r="G1878" s="217"/>
    </row>
    <row r="1879" spans="1:7" s="30" customFormat="1" ht="14.45">
      <c r="A1879" s="66" t="s">
        <v>90</v>
      </c>
      <c r="B1879" s="67" t="s">
        <v>2762</v>
      </c>
      <c r="C1879" s="68" t="s">
        <v>304</v>
      </c>
      <c r="D1879" s="69" t="s">
        <v>63</v>
      </c>
      <c r="E1879" s="157">
        <v>4223.6000000000004</v>
      </c>
      <c r="F1879" s="137">
        <f t="shared" ref="F1879" si="435">C1879*E1879</f>
        <v>4223.6000000000004</v>
      </c>
      <c r="G1879" s="217"/>
    </row>
    <row r="1880" spans="1:7" s="30" customFormat="1" ht="9.75" customHeight="1">
      <c r="A1880" s="59"/>
      <c r="B1880" s="100"/>
      <c r="C1880" s="61"/>
      <c r="D1880" s="62"/>
      <c r="E1880" s="157"/>
      <c r="F1880" s="137"/>
      <c r="G1880" s="217"/>
    </row>
    <row r="1881" spans="1:7" s="30" customFormat="1" ht="14.45">
      <c r="A1881" s="66" t="s">
        <v>92</v>
      </c>
      <c r="B1881" s="67" t="s">
        <v>2763</v>
      </c>
      <c r="C1881" s="68" t="s">
        <v>304</v>
      </c>
      <c r="D1881" s="69" t="s">
        <v>63</v>
      </c>
      <c r="E1881" s="157">
        <v>4223.6000000000004</v>
      </c>
      <c r="F1881" s="137">
        <f t="shared" ref="F1881" si="436">C1881*E1881</f>
        <v>4223.6000000000004</v>
      </c>
      <c r="G1881" s="217"/>
    </row>
    <row r="1882" spans="1:7" s="30" customFormat="1" ht="10.5" customHeight="1">
      <c r="A1882" s="59"/>
      <c r="B1882" s="100"/>
      <c r="C1882" s="61"/>
      <c r="D1882" s="62"/>
      <c r="E1882" s="157"/>
      <c r="F1882" s="137"/>
      <c r="G1882" s="217"/>
    </row>
    <row r="1883" spans="1:7" s="30" customFormat="1" ht="14.45">
      <c r="A1883" s="66" t="s">
        <v>94</v>
      </c>
      <c r="B1883" s="67" t="s">
        <v>2764</v>
      </c>
      <c r="C1883" s="68" t="s">
        <v>304</v>
      </c>
      <c r="D1883" s="69" t="s">
        <v>63</v>
      </c>
      <c r="E1883" s="157">
        <v>4223.6000000000004</v>
      </c>
      <c r="F1883" s="137">
        <f t="shared" ref="F1883" si="437">C1883*E1883</f>
        <v>4223.6000000000004</v>
      </c>
      <c r="G1883" s="217"/>
    </row>
    <row r="1884" spans="1:7" s="30" customFormat="1" ht="11.25" customHeight="1">
      <c r="A1884" s="59"/>
      <c r="B1884" s="100"/>
      <c r="C1884" s="61"/>
      <c r="D1884" s="62"/>
      <c r="E1884" s="157"/>
      <c r="F1884" s="137"/>
      <c r="G1884" s="217"/>
    </row>
    <row r="1885" spans="1:7" s="30" customFormat="1" ht="14.45">
      <c r="A1885" s="66" t="s">
        <v>140</v>
      </c>
      <c r="B1885" s="67" t="s">
        <v>2765</v>
      </c>
      <c r="C1885" s="68" t="s">
        <v>304</v>
      </c>
      <c r="D1885" s="69" t="s">
        <v>63</v>
      </c>
      <c r="E1885" s="157">
        <v>4223.6000000000004</v>
      </c>
      <c r="F1885" s="137">
        <f t="shared" ref="F1885" si="438">C1885*E1885</f>
        <v>4223.6000000000004</v>
      </c>
      <c r="G1885" s="217"/>
    </row>
    <row r="1886" spans="1:7" s="30" customFormat="1" ht="9.75" customHeight="1">
      <c r="A1886" s="59"/>
      <c r="B1886" s="100"/>
      <c r="C1886" s="61"/>
      <c r="D1886" s="62"/>
      <c r="E1886" s="157"/>
      <c r="F1886" s="137"/>
      <c r="G1886" s="217"/>
    </row>
    <row r="1887" spans="1:7" s="30" customFormat="1" ht="14.45">
      <c r="A1887" s="66" t="s">
        <v>159</v>
      </c>
      <c r="B1887" s="67" t="s">
        <v>2766</v>
      </c>
      <c r="C1887" s="68" t="s">
        <v>304</v>
      </c>
      <c r="D1887" s="69" t="s">
        <v>63</v>
      </c>
      <c r="E1887" s="157">
        <v>4223.6000000000004</v>
      </c>
      <c r="F1887" s="137">
        <f t="shared" ref="F1887" si="439">C1887*E1887</f>
        <v>4223.6000000000004</v>
      </c>
      <c r="G1887" s="217"/>
    </row>
    <row r="1888" spans="1:7" s="30" customFormat="1" ht="10.5" customHeight="1">
      <c r="A1888" s="59"/>
      <c r="B1888" s="100"/>
      <c r="C1888" s="61"/>
      <c r="D1888" s="62"/>
      <c r="E1888" s="157"/>
      <c r="F1888" s="137"/>
      <c r="G1888" s="217"/>
    </row>
    <row r="1889" spans="1:7" s="30" customFormat="1" ht="14.45">
      <c r="A1889" s="66" t="s">
        <v>162</v>
      </c>
      <c r="B1889" s="67" t="s">
        <v>2767</v>
      </c>
      <c r="C1889" s="68" t="s">
        <v>304</v>
      </c>
      <c r="D1889" s="69" t="s">
        <v>63</v>
      </c>
      <c r="E1889" s="157">
        <v>4223.6000000000004</v>
      </c>
      <c r="F1889" s="137">
        <f t="shared" ref="F1889" si="440">C1889*E1889</f>
        <v>4223.6000000000004</v>
      </c>
      <c r="G1889" s="217"/>
    </row>
    <row r="1890" spans="1:7" s="30" customFormat="1" ht="14.45">
      <c r="A1890" s="59"/>
      <c r="B1890" s="100"/>
      <c r="C1890" s="61"/>
      <c r="D1890" s="62"/>
      <c r="E1890" s="157"/>
      <c r="F1890" s="137"/>
      <c r="G1890" s="217"/>
    </row>
    <row r="1891" spans="1:7" s="30" customFormat="1" ht="14.45">
      <c r="A1891" s="66" t="s">
        <v>164</v>
      </c>
      <c r="B1891" s="67" t="s">
        <v>2768</v>
      </c>
      <c r="C1891" s="68" t="s">
        <v>304</v>
      </c>
      <c r="D1891" s="69" t="s">
        <v>63</v>
      </c>
      <c r="E1891" s="157">
        <v>4223.6000000000004</v>
      </c>
      <c r="F1891" s="137">
        <f t="shared" ref="F1891" si="441">C1891*E1891</f>
        <v>4223.6000000000004</v>
      </c>
      <c r="G1891" s="217"/>
    </row>
    <row r="1892" spans="1:7" s="30" customFormat="1" ht="14.45">
      <c r="A1892" s="59"/>
      <c r="B1892" s="100"/>
      <c r="C1892" s="61"/>
      <c r="D1892" s="62"/>
      <c r="E1892" s="157"/>
      <c r="F1892" s="137"/>
      <c r="G1892" s="217"/>
    </row>
    <row r="1893" spans="1:7" s="30" customFormat="1" ht="14.45">
      <c r="A1893" s="66" t="s">
        <v>166</v>
      </c>
      <c r="B1893" s="67" t="s">
        <v>2769</v>
      </c>
      <c r="C1893" s="68" t="s">
        <v>304</v>
      </c>
      <c r="D1893" s="69" t="s">
        <v>63</v>
      </c>
      <c r="E1893" s="157">
        <v>4223.6000000000004</v>
      </c>
      <c r="F1893" s="137">
        <f t="shared" ref="F1893" si="442">C1893*E1893</f>
        <v>4223.6000000000004</v>
      </c>
      <c r="G1893" s="217"/>
    </row>
    <row r="1894" spans="1:7" s="30" customFormat="1" ht="14.45">
      <c r="A1894" s="59"/>
      <c r="B1894" s="100"/>
      <c r="C1894" s="61"/>
      <c r="D1894" s="62"/>
      <c r="E1894" s="157"/>
      <c r="F1894" s="137"/>
      <c r="G1894" s="217"/>
    </row>
    <row r="1895" spans="1:7" s="30" customFormat="1" ht="14.45">
      <c r="A1895" s="66" t="s">
        <v>168</v>
      </c>
      <c r="B1895" s="67" t="s">
        <v>2770</v>
      </c>
      <c r="C1895" s="68" t="s">
        <v>304</v>
      </c>
      <c r="D1895" s="69" t="s">
        <v>63</v>
      </c>
      <c r="E1895" s="157">
        <v>4223.6000000000004</v>
      </c>
      <c r="F1895" s="137">
        <f t="shared" ref="F1895" si="443">C1895*E1895</f>
        <v>4223.6000000000004</v>
      </c>
      <c r="G1895" s="217"/>
    </row>
    <row r="1896" spans="1:7" s="30" customFormat="1" ht="14.45">
      <c r="A1896" s="59"/>
      <c r="B1896" s="100"/>
      <c r="C1896" s="61"/>
      <c r="D1896" s="62"/>
      <c r="E1896" s="157"/>
      <c r="F1896" s="137"/>
      <c r="G1896" s="217"/>
    </row>
    <row r="1897" spans="1:7" s="30" customFormat="1" ht="14.45">
      <c r="A1897" s="66" t="s">
        <v>170</v>
      </c>
      <c r="B1897" s="67" t="s">
        <v>2771</v>
      </c>
      <c r="C1897" s="68" t="s">
        <v>304</v>
      </c>
      <c r="D1897" s="69" t="s">
        <v>63</v>
      </c>
      <c r="E1897" s="157">
        <v>4223.6000000000004</v>
      </c>
      <c r="F1897" s="137">
        <f t="shared" ref="F1897" si="444">C1897*E1897</f>
        <v>4223.6000000000004</v>
      </c>
      <c r="G1897" s="217"/>
    </row>
    <row r="1898" spans="1:7" s="30" customFormat="1" ht="14.45">
      <c r="A1898" s="59"/>
      <c r="B1898" s="100"/>
      <c r="C1898" s="61"/>
      <c r="D1898" s="62"/>
      <c r="E1898" s="157"/>
      <c r="F1898" s="137"/>
      <c r="G1898" s="217"/>
    </row>
    <row r="1899" spans="1:7" s="30" customFormat="1" ht="14.45">
      <c r="A1899" s="66" t="s">
        <v>172</v>
      </c>
      <c r="B1899" s="67" t="s">
        <v>2772</v>
      </c>
      <c r="C1899" s="68" t="s">
        <v>304</v>
      </c>
      <c r="D1899" s="69" t="s">
        <v>63</v>
      </c>
      <c r="E1899" s="157">
        <v>4223.6000000000004</v>
      </c>
      <c r="F1899" s="137">
        <f t="shared" ref="F1899" si="445">C1899*E1899</f>
        <v>4223.6000000000004</v>
      </c>
      <c r="G1899" s="217"/>
    </row>
    <row r="1900" spans="1:7" s="30" customFormat="1" ht="14.45">
      <c r="A1900" s="59"/>
      <c r="B1900" s="100"/>
      <c r="C1900" s="61"/>
      <c r="D1900" s="62"/>
      <c r="E1900" s="157"/>
      <c r="F1900" s="137"/>
      <c r="G1900" s="217"/>
    </row>
    <row r="1901" spans="1:7" s="30" customFormat="1" ht="14.45">
      <c r="A1901" s="66" t="s">
        <v>1615</v>
      </c>
      <c r="B1901" s="67" t="s">
        <v>2773</v>
      </c>
      <c r="C1901" s="68" t="s">
        <v>304</v>
      </c>
      <c r="D1901" s="69" t="s">
        <v>63</v>
      </c>
      <c r="E1901" s="157">
        <v>4223.6000000000004</v>
      </c>
      <c r="F1901" s="137">
        <f t="shared" ref="F1901" si="446">C1901*E1901</f>
        <v>4223.6000000000004</v>
      </c>
      <c r="G1901" s="217"/>
    </row>
    <row r="1902" spans="1:7" s="30" customFormat="1" ht="14.45">
      <c r="A1902" s="59"/>
      <c r="B1902" s="100"/>
      <c r="C1902" s="61"/>
      <c r="D1902" s="62"/>
      <c r="E1902" s="157"/>
      <c r="F1902" s="137"/>
      <c r="G1902" s="217"/>
    </row>
    <row r="1903" spans="1:7" s="30" customFormat="1" ht="14.45">
      <c r="A1903" s="66" t="s">
        <v>1617</v>
      </c>
      <c r="B1903" s="67" t="s">
        <v>2774</v>
      </c>
      <c r="C1903" s="68" t="s">
        <v>304</v>
      </c>
      <c r="D1903" s="69" t="s">
        <v>63</v>
      </c>
      <c r="E1903" s="157">
        <v>4223.6000000000004</v>
      </c>
      <c r="F1903" s="137">
        <f t="shared" ref="F1903" si="447">C1903*E1903</f>
        <v>4223.6000000000004</v>
      </c>
      <c r="G1903" s="217"/>
    </row>
    <row r="1904" spans="1:7" s="30" customFormat="1" ht="14.45">
      <c r="A1904" s="59"/>
      <c r="B1904" s="63"/>
      <c r="C1904" s="61"/>
      <c r="D1904" s="62"/>
      <c r="E1904" s="157"/>
      <c r="F1904" s="137"/>
      <c r="G1904" s="217"/>
    </row>
    <row r="1905" spans="1:7" s="30" customFormat="1" ht="14.45">
      <c r="A1905" s="71"/>
      <c r="B1905" s="72"/>
      <c r="C1905" s="73"/>
      <c r="D1905" s="74"/>
      <c r="E1905" s="159"/>
      <c r="F1905" s="138"/>
      <c r="G1905" s="226"/>
    </row>
    <row r="1906" spans="1:7" s="30" customFormat="1" ht="14.45">
      <c r="A1906" s="75"/>
      <c r="B1906" s="76"/>
      <c r="C1906" s="77" t="s">
        <v>30</v>
      </c>
      <c r="D1906" s="77"/>
      <c r="E1906" s="160" t="s">
        <v>8</v>
      </c>
      <c r="F1906" s="139">
        <f>SUM(F1859:F1903)</f>
        <v>92919.200000000026</v>
      </c>
      <c r="G1906" s="227"/>
    </row>
    <row r="1907" spans="1:7" s="30" customFormat="1" ht="14.45">
      <c r="A1907" s="75"/>
      <c r="B1907" s="76"/>
      <c r="C1907" s="78"/>
      <c r="D1907" s="79"/>
      <c r="E1907" s="161"/>
      <c r="F1907" s="140"/>
      <c r="G1907" s="228"/>
    </row>
    <row r="1908" spans="1:7" s="30" customFormat="1" ht="14.45">
      <c r="A1908" s="59"/>
      <c r="B1908" s="63"/>
      <c r="C1908" s="61"/>
      <c r="D1908" s="62"/>
      <c r="E1908" s="157"/>
      <c r="F1908" s="137"/>
      <c r="G1908" s="217"/>
    </row>
    <row r="1909" spans="1:7" s="30" customFormat="1" ht="14.45">
      <c r="A1909" s="59"/>
      <c r="B1909" s="64" t="s">
        <v>1950</v>
      </c>
      <c r="C1909" s="61"/>
      <c r="D1909" s="62"/>
      <c r="E1909" s="157"/>
      <c r="F1909" s="137"/>
      <c r="G1909" s="217"/>
    </row>
    <row r="1910" spans="1:7" s="30" customFormat="1" ht="14.45">
      <c r="A1910" s="59"/>
      <c r="B1910" s="100"/>
      <c r="C1910" s="61"/>
      <c r="D1910" s="62"/>
      <c r="E1910" s="157"/>
      <c r="F1910" s="137"/>
      <c r="G1910" s="217"/>
    </row>
    <row r="1911" spans="1:7" s="30" customFormat="1" ht="14.45">
      <c r="A1911" s="66" t="s">
        <v>14</v>
      </c>
      <c r="B1911" s="67" t="s">
        <v>2775</v>
      </c>
      <c r="C1911" s="68" t="s">
        <v>304</v>
      </c>
      <c r="D1911" s="69" t="s">
        <v>63</v>
      </c>
      <c r="E1911" s="157">
        <v>4223.6000000000004</v>
      </c>
      <c r="F1911" s="137">
        <f t="shared" ref="F1911" si="448">C1911*E1911</f>
        <v>4223.6000000000004</v>
      </c>
      <c r="G1911" s="217"/>
    </row>
    <row r="1912" spans="1:7" s="30" customFormat="1" ht="14.45">
      <c r="A1912" s="59"/>
      <c r="B1912" s="100"/>
      <c r="C1912" s="61"/>
      <c r="D1912" s="62"/>
      <c r="E1912" s="157"/>
      <c r="F1912" s="137"/>
      <c r="G1912" s="217"/>
    </row>
    <row r="1913" spans="1:7" s="30" customFormat="1" ht="14.45">
      <c r="A1913" s="66" t="s">
        <v>17</v>
      </c>
      <c r="B1913" s="67" t="s">
        <v>2776</v>
      </c>
      <c r="C1913" s="68" t="s">
        <v>304</v>
      </c>
      <c r="D1913" s="69" t="s">
        <v>63</v>
      </c>
      <c r="E1913" s="157">
        <v>4223.6000000000004</v>
      </c>
      <c r="F1913" s="137">
        <f t="shared" ref="F1913" si="449">C1913*E1913</f>
        <v>4223.6000000000004</v>
      </c>
      <c r="G1913" s="217"/>
    </row>
    <row r="1914" spans="1:7" s="30" customFormat="1" ht="14.45">
      <c r="A1914" s="59"/>
      <c r="B1914" s="100"/>
      <c r="C1914" s="61"/>
      <c r="D1914" s="62"/>
      <c r="E1914" s="157"/>
      <c r="F1914" s="137"/>
      <c r="G1914" s="217"/>
    </row>
    <row r="1915" spans="1:7" s="30" customFormat="1" ht="14.45">
      <c r="A1915" s="66" t="s">
        <v>20</v>
      </c>
      <c r="B1915" s="67" t="s">
        <v>2777</v>
      </c>
      <c r="C1915" s="68" t="s">
        <v>304</v>
      </c>
      <c r="D1915" s="69" t="s">
        <v>63</v>
      </c>
      <c r="E1915" s="157">
        <v>4223.6000000000004</v>
      </c>
      <c r="F1915" s="137">
        <f t="shared" ref="F1915" si="450">C1915*E1915</f>
        <v>4223.6000000000004</v>
      </c>
      <c r="G1915" s="217"/>
    </row>
    <row r="1916" spans="1:7" s="30" customFormat="1" ht="14.45">
      <c r="A1916" s="59"/>
      <c r="B1916" s="100"/>
      <c r="C1916" s="61"/>
      <c r="D1916" s="62"/>
      <c r="E1916" s="157"/>
      <c r="F1916" s="137"/>
      <c r="G1916" s="217"/>
    </row>
    <row r="1917" spans="1:7" s="30" customFormat="1" ht="14.45">
      <c r="A1917" s="66" t="s">
        <v>23</v>
      </c>
      <c r="B1917" s="67" t="s">
        <v>2778</v>
      </c>
      <c r="C1917" s="68" t="s">
        <v>304</v>
      </c>
      <c r="D1917" s="69" t="s">
        <v>63</v>
      </c>
      <c r="E1917" s="157">
        <v>4223.6000000000004</v>
      </c>
      <c r="F1917" s="137">
        <f t="shared" ref="F1917" si="451">C1917*E1917</f>
        <v>4223.6000000000004</v>
      </c>
      <c r="G1917" s="217"/>
    </row>
    <row r="1918" spans="1:7" s="30" customFormat="1" ht="14.45">
      <c r="A1918" s="59"/>
      <c r="B1918" s="100"/>
      <c r="C1918" s="61"/>
      <c r="D1918" s="62"/>
      <c r="E1918" s="157"/>
      <c r="F1918" s="137"/>
      <c r="G1918" s="217"/>
    </row>
    <row r="1919" spans="1:7" s="30" customFormat="1" ht="14.45">
      <c r="A1919" s="66" t="s">
        <v>27</v>
      </c>
      <c r="B1919" s="67" t="s">
        <v>2779</v>
      </c>
      <c r="C1919" s="68" t="s">
        <v>304</v>
      </c>
      <c r="D1919" s="69" t="s">
        <v>63</v>
      </c>
      <c r="E1919" s="157">
        <v>4223.6000000000004</v>
      </c>
      <c r="F1919" s="137">
        <f t="shared" ref="F1919" si="452">C1919*E1919</f>
        <v>4223.6000000000004</v>
      </c>
      <c r="G1919" s="217"/>
    </row>
    <row r="1920" spans="1:7" s="30" customFormat="1" ht="14.45">
      <c r="A1920" s="59"/>
      <c r="B1920" s="100"/>
      <c r="C1920" s="61"/>
      <c r="D1920" s="62"/>
      <c r="E1920" s="157"/>
      <c r="F1920" s="137"/>
      <c r="G1920" s="217"/>
    </row>
    <row r="1921" spans="1:7" s="30" customFormat="1" ht="14.45">
      <c r="A1921" s="66" t="s">
        <v>44</v>
      </c>
      <c r="B1921" s="67" t="s">
        <v>2780</v>
      </c>
      <c r="C1921" s="68" t="s">
        <v>304</v>
      </c>
      <c r="D1921" s="69" t="s">
        <v>63</v>
      </c>
      <c r="E1921" s="157">
        <v>4223.6000000000004</v>
      </c>
      <c r="F1921" s="137">
        <f t="shared" ref="F1921" si="453">C1921*E1921</f>
        <v>4223.6000000000004</v>
      </c>
      <c r="G1921" s="217"/>
    </row>
    <row r="1922" spans="1:7" s="30" customFormat="1" ht="14.45">
      <c r="A1922" s="59"/>
      <c r="B1922" s="100"/>
      <c r="C1922" s="61"/>
      <c r="D1922" s="62"/>
      <c r="E1922" s="157"/>
      <c r="F1922" s="137"/>
      <c r="G1922" s="217"/>
    </row>
    <row r="1923" spans="1:7" s="30" customFormat="1" ht="14.45">
      <c r="A1923" s="66" t="s">
        <v>48</v>
      </c>
      <c r="B1923" s="67" t="s">
        <v>2781</v>
      </c>
      <c r="C1923" s="68" t="s">
        <v>304</v>
      </c>
      <c r="D1923" s="69" t="s">
        <v>63</v>
      </c>
      <c r="E1923" s="157">
        <v>4223.6000000000004</v>
      </c>
      <c r="F1923" s="137">
        <f t="shared" ref="F1923" si="454">C1923*E1923</f>
        <v>4223.6000000000004</v>
      </c>
      <c r="G1923" s="217"/>
    </row>
    <row r="1924" spans="1:7" s="30" customFormat="1" ht="14.45">
      <c r="A1924" s="59"/>
      <c r="B1924" s="100"/>
      <c r="C1924" s="61"/>
      <c r="D1924" s="62"/>
      <c r="E1924" s="157"/>
      <c r="F1924" s="137"/>
      <c r="G1924" s="217"/>
    </row>
    <row r="1925" spans="1:7" s="30" customFormat="1" ht="14.45">
      <c r="A1925" s="66" t="s">
        <v>84</v>
      </c>
      <c r="B1925" s="67" t="s">
        <v>2782</v>
      </c>
      <c r="C1925" s="68" t="s">
        <v>304</v>
      </c>
      <c r="D1925" s="69" t="s">
        <v>63</v>
      </c>
      <c r="E1925" s="157">
        <v>4223.6000000000004</v>
      </c>
      <c r="F1925" s="137">
        <f t="shared" ref="F1925" si="455">C1925*E1925</f>
        <v>4223.6000000000004</v>
      </c>
      <c r="G1925" s="217"/>
    </row>
    <row r="1926" spans="1:7" s="30" customFormat="1" ht="14.45">
      <c r="A1926" s="59"/>
      <c r="B1926" s="100"/>
      <c r="C1926" s="61"/>
      <c r="D1926" s="62"/>
      <c r="E1926" s="157"/>
      <c r="F1926" s="137"/>
      <c r="G1926" s="217"/>
    </row>
    <row r="1927" spans="1:7" s="30" customFormat="1" ht="14.45">
      <c r="A1927" s="66" t="s">
        <v>86</v>
      </c>
      <c r="B1927" s="67" t="s">
        <v>2783</v>
      </c>
      <c r="C1927" s="68" t="s">
        <v>304</v>
      </c>
      <c r="D1927" s="69" t="s">
        <v>63</v>
      </c>
      <c r="E1927" s="157">
        <v>4223.6000000000004</v>
      </c>
      <c r="F1927" s="137">
        <f t="shared" ref="F1927" si="456">C1927*E1927</f>
        <v>4223.6000000000004</v>
      </c>
      <c r="G1927" s="217"/>
    </row>
    <row r="1928" spans="1:7" s="30" customFormat="1" ht="14.45">
      <c r="A1928" s="59"/>
      <c r="B1928" s="100"/>
      <c r="C1928" s="61"/>
      <c r="D1928" s="62"/>
      <c r="E1928" s="157"/>
      <c r="F1928" s="137"/>
      <c r="G1928" s="217"/>
    </row>
    <row r="1929" spans="1:7" s="30" customFormat="1" ht="14.45">
      <c r="A1929" s="66" t="s">
        <v>90</v>
      </c>
      <c r="B1929" s="67" t="s">
        <v>2784</v>
      </c>
      <c r="C1929" s="68" t="s">
        <v>304</v>
      </c>
      <c r="D1929" s="69" t="s">
        <v>63</v>
      </c>
      <c r="E1929" s="157">
        <v>4223.6000000000004</v>
      </c>
      <c r="F1929" s="137">
        <f t="shared" ref="F1929" si="457">C1929*E1929</f>
        <v>4223.6000000000004</v>
      </c>
      <c r="G1929" s="217"/>
    </row>
    <row r="1930" spans="1:7" s="30" customFormat="1" ht="10.5" customHeight="1">
      <c r="A1930" s="59"/>
      <c r="B1930" s="100"/>
      <c r="C1930" s="61"/>
      <c r="D1930" s="62"/>
      <c r="E1930" s="157"/>
      <c r="F1930" s="137"/>
      <c r="G1930" s="217"/>
    </row>
    <row r="1931" spans="1:7" s="30" customFormat="1" ht="14.45">
      <c r="A1931" s="66" t="s">
        <v>92</v>
      </c>
      <c r="B1931" s="67" t="s">
        <v>2785</v>
      </c>
      <c r="C1931" s="68" t="s">
        <v>304</v>
      </c>
      <c r="D1931" s="69" t="s">
        <v>63</v>
      </c>
      <c r="E1931" s="157">
        <v>4223.6000000000004</v>
      </c>
      <c r="F1931" s="137">
        <f t="shared" ref="F1931" si="458">C1931*E1931</f>
        <v>4223.6000000000004</v>
      </c>
      <c r="G1931" s="217"/>
    </row>
    <row r="1932" spans="1:7" s="30" customFormat="1" ht="11.25" customHeight="1">
      <c r="A1932" s="59"/>
      <c r="B1932" s="100"/>
      <c r="C1932" s="61"/>
      <c r="D1932" s="62"/>
      <c r="E1932" s="157"/>
      <c r="F1932" s="137"/>
      <c r="G1932" s="217"/>
    </row>
    <row r="1933" spans="1:7" s="30" customFormat="1" ht="14.45">
      <c r="A1933" s="66" t="s">
        <v>94</v>
      </c>
      <c r="B1933" s="67" t="s">
        <v>2786</v>
      </c>
      <c r="C1933" s="68" t="s">
        <v>304</v>
      </c>
      <c r="D1933" s="69" t="s">
        <v>63</v>
      </c>
      <c r="E1933" s="157">
        <v>4223.6000000000004</v>
      </c>
      <c r="F1933" s="137">
        <f t="shared" ref="F1933" si="459">C1933*E1933</f>
        <v>4223.6000000000004</v>
      </c>
      <c r="G1933" s="217"/>
    </row>
    <row r="1934" spans="1:7" s="30" customFormat="1" ht="8.25" customHeight="1">
      <c r="A1934" s="59"/>
      <c r="B1934" s="100"/>
      <c r="C1934" s="61"/>
      <c r="D1934" s="62"/>
      <c r="E1934" s="157"/>
      <c r="F1934" s="137"/>
      <c r="G1934" s="217"/>
    </row>
    <row r="1935" spans="1:7" s="30" customFormat="1" ht="14.45">
      <c r="A1935" s="66" t="s">
        <v>140</v>
      </c>
      <c r="B1935" s="67" t="s">
        <v>2787</v>
      </c>
      <c r="C1935" s="68" t="s">
        <v>304</v>
      </c>
      <c r="D1935" s="69" t="s">
        <v>63</v>
      </c>
      <c r="E1935" s="157">
        <v>4223.6000000000004</v>
      </c>
      <c r="F1935" s="137">
        <f t="shared" ref="F1935" si="460">C1935*E1935</f>
        <v>4223.6000000000004</v>
      </c>
      <c r="G1935" s="217"/>
    </row>
    <row r="1936" spans="1:7" s="30" customFormat="1" ht="9.75" customHeight="1">
      <c r="A1936" s="59"/>
      <c r="B1936" s="100"/>
      <c r="C1936" s="61"/>
      <c r="D1936" s="62"/>
      <c r="E1936" s="157"/>
      <c r="F1936" s="137"/>
      <c r="G1936" s="217"/>
    </row>
    <row r="1937" spans="1:7" s="30" customFormat="1" ht="14.45">
      <c r="A1937" s="66" t="s">
        <v>159</v>
      </c>
      <c r="B1937" s="67" t="s">
        <v>2788</v>
      </c>
      <c r="C1937" s="68" t="s">
        <v>304</v>
      </c>
      <c r="D1937" s="69" t="s">
        <v>63</v>
      </c>
      <c r="E1937" s="157">
        <v>4223.6000000000004</v>
      </c>
      <c r="F1937" s="137">
        <f t="shared" ref="F1937" si="461">C1937*E1937</f>
        <v>4223.6000000000004</v>
      </c>
      <c r="G1937" s="217"/>
    </row>
    <row r="1938" spans="1:7" s="30" customFormat="1" ht="6.75" customHeight="1">
      <c r="A1938" s="59"/>
      <c r="B1938" s="100"/>
      <c r="C1938" s="61"/>
      <c r="D1938" s="62"/>
      <c r="E1938" s="157"/>
      <c r="F1938" s="137"/>
      <c r="G1938" s="217"/>
    </row>
    <row r="1939" spans="1:7" s="30" customFormat="1" ht="14.45">
      <c r="A1939" s="66" t="s">
        <v>162</v>
      </c>
      <c r="B1939" s="67" t="s">
        <v>2789</v>
      </c>
      <c r="C1939" s="68" t="s">
        <v>304</v>
      </c>
      <c r="D1939" s="69" t="s">
        <v>63</v>
      </c>
      <c r="E1939" s="157">
        <v>4223.6000000000004</v>
      </c>
      <c r="F1939" s="137">
        <f t="shared" ref="F1939" si="462">C1939*E1939</f>
        <v>4223.6000000000004</v>
      </c>
      <c r="G1939" s="217"/>
    </row>
    <row r="1940" spans="1:7" s="30" customFormat="1" ht="7.5" customHeight="1">
      <c r="A1940" s="59"/>
      <c r="B1940" s="100"/>
      <c r="C1940" s="61"/>
      <c r="D1940" s="62"/>
      <c r="E1940" s="157"/>
      <c r="F1940" s="137"/>
      <c r="G1940" s="217"/>
    </row>
    <row r="1941" spans="1:7" s="30" customFormat="1" ht="14.45">
      <c r="A1941" s="66" t="s">
        <v>164</v>
      </c>
      <c r="B1941" s="67" t="s">
        <v>2790</v>
      </c>
      <c r="C1941" s="68" t="s">
        <v>304</v>
      </c>
      <c r="D1941" s="69" t="s">
        <v>63</v>
      </c>
      <c r="E1941" s="157">
        <v>4223.6000000000004</v>
      </c>
      <c r="F1941" s="137">
        <f t="shared" ref="F1941" si="463">C1941*E1941</f>
        <v>4223.6000000000004</v>
      </c>
      <c r="G1941" s="217"/>
    </row>
    <row r="1942" spans="1:7" s="30" customFormat="1" ht="14.45">
      <c r="A1942" s="59"/>
      <c r="B1942" s="100"/>
      <c r="C1942" s="61"/>
      <c r="D1942" s="62"/>
      <c r="E1942" s="157"/>
      <c r="F1942" s="137"/>
      <c r="G1942" s="217"/>
    </row>
    <row r="1943" spans="1:7" s="30" customFormat="1" ht="14.45">
      <c r="A1943" s="66" t="s">
        <v>166</v>
      </c>
      <c r="B1943" s="67" t="s">
        <v>2791</v>
      </c>
      <c r="C1943" s="68" t="s">
        <v>304</v>
      </c>
      <c r="D1943" s="69" t="s">
        <v>63</v>
      </c>
      <c r="E1943" s="157">
        <v>4223.6000000000004</v>
      </c>
      <c r="F1943" s="137">
        <f t="shared" ref="F1943" si="464">C1943*E1943</f>
        <v>4223.6000000000004</v>
      </c>
      <c r="G1943" s="217"/>
    </row>
    <row r="1944" spans="1:7" s="30" customFormat="1" ht="14.45">
      <c r="A1944" s="59"/>
      <c r="B1944" s="100"/>
      <c r="C1944" s="61"/>
      <c r="D1944" s="62"/>
      <c r="E1944" s="157"/>
      <c r="F1944" s="137"/>
      <c r="G1944" s="217"/>
    </row>
    <row r="1945" spans="1:7" s="30" customFormat="1" ht="14.45">
      <c r="A1945" s="66" t="s">
        <v>168</v>
      </c>
      <c r="B1945" s="67" t="s">
        <v>2792</v>
      </c>
      <c r="C1945" s="68" t="s">
        <v>304</v>
      </c>
      <c r="D1945" s="69" t="s">
        <v>63</v>
      </c>
      <c r="E1945" s="157">
        <v>4223.6000000000004</v>
      </c>
      <c r="F1945" s="137">
        <f t="shared" ref="F1945" si="465">C1945*E1945</f>
        <v>4223.6000000000004</v>
      </c>
      <c r="G1945" s="217"/>
    </row>
    <row r="1946" spans="1:7" s="30" customFormat="1" ht="14.45">
      <c r="A1946" s="59"/>
      <c r="B1946" s="100"/>
      <c r="C1946" s="61"/>
      <c r="D1946" s="62"/>
      <c r="E1946" s="157"/>
      <c r="F1946" s="137"/>
      <c r="G1946" s="217"/>
    </row>
    <row r="1947" spans="1:7" s="30" customFormat="1" ht="14.45">
      <c r="A1947" s="66" t="s">
        <v>170</v>
      </c>
      <c r="B1947" s="67" t="s">
        <v>2793</v>
      </c>
      <c r="C1947" s="68" t="s">
        <v>304</v>
      </c>
      <c r="D1947" s="69" t="s">
        <v>63</v>
      </c>
      <c r="E1947" s="157">
        <v>4223.6000000000004</v>
      </c>
      <c r="F1947" s="137">
        <f t="shared" ref="F1947" si="466">C1947*E1947</f>
        <v>4223.6000000000004</v>
      </c>
      <c r="G1947" s="217"/>
    </row>
    <row r="1948" spans="1:7" s="30" customFormat="1" ht="14.45">
      <c r="A1948" s="59"/>
      <c r="B1948" s="100"/>
      <c r="C1948" s="61"/>
      <c r="D1948" s="62"/>
      <c r="E1948" s="157"/>
      <c r="F1948" s="137"/>
      <c r="G1948" s="217"/>
    </row>
    <row r="1949" spans="1:7" s="30" customFormat="1" ht="14.45">
      <c r="A1949" s="66" t="s">
        <v>172</v>
      </c>
      <c r="B1949" s="67" t="s">
        <v>2794</v>
      </c>
      <c r="C1949" s="68" t="s">
        <v>304</v>
      </c>
      <c r="D1949" s="69" t="s">
        <v>63</v>
      </c>
      <c r="E1949" s="157">
        <v>4223.6000000000004</v>
      </c>
      <c r="F1949" s="137">
        <f t="shared" ref="F1949" si="467">C1949*E1949</f>
        <v>4223.6000000000004</v>
      </c>
      <c r="G1949" s="217"/>
    </row>
    <row r="1950" spans="1:7" s="30" customFormat="1" ht="14.45">
      <c r="A1950" s="59"/>
      <c r="B1950" s="100"/>
      <c r="C1950" s="61"/>
      <c r="D1950" s="62"/>
      <c r="E1950" s="157"/>
      <c r="F1950" s="137"/>
      <c r="G1950" s="217"/>
    </row>
    <row r="1951" spans="1:7" s="30" customFormat="1" ht="14.45">
      <c r="A1951" s="66" t="s">
        <v>1615</v>
      </c>
      <c r="B1951" s="67" t="s">
        <v>2795</v>
      </c>
      <c r="C1951" s="68" t="s">
        <v>304</v>
      </c>
      <c r="D1951" s="69" t="s">
        <v>63</v>
      </c>
      <c r="E1951" s="157">
        <v>4223.6000000000004</v>
      </c>
      <c r="F1951" s="137">
        <f t="shared" ref="F1951" si="468">C1951*E1951</f>
        <v>4223.6000000000004</v>
      </c>
      <c r="G1951" s="217"/>
    </row>
    <row r="1952" spans="1:7" s="30" customFormat="1" ht="14.45">
      <c r="A1952" s="59"/>
      <c r="B1952" s="100"/>
      <c r="C1952" s="61"/>
      <c r="D1952" s="62"/>
      <c r="E1952" s="157"/>
      <c r="F1952" s="137"/>
      <c r="G1952" s="217"/>
    </row>
    <row r="1953" spans="1:7" s="30" customFormat="1" ht="14.45">
      <c r="A1953" s="66" t="s">
        <v>1617</v>
      </c>
      <c r="B1953" s="67" t="s">
        <v>2796</v>
      </c>
      <c r="C1953" s="68" t="s">
        <v>304</v>
      </c>
      <c r="D1953" s="69" t="s">
        <v>63</v>
      </c>
      <c r="E1953" s="157">
        <v>4223.6000000000004</v>
      </c>
      <c r="F1953" s="137">
        <f t="shared" ref="F1953" si="469">C1953*E1953</f>
        <v>4223.6000000000004</v>
      </c>
      <c r="G1953" s="217"/>
    </row>
    <row r="1954" spans="1:7" s="30" customFormat="1" ht="14.45">
      <c r="A1954" s="59"/>
      <c r="B1954" s="63"/>
      <c r="C1954" s="61"/>
      <c r="D1954" s="62"/>
      <c r="E1954" s="157"/>
      <c r="F1954" s="137"/>
      <c r="G1954" s="217"/>
    </row>
    <row r="1955" spans="1:7" s="30" customFormat="1" ht="14.45">
      <c r="A1955" s="71"/>
      <c r="B1955" s="72"/>
      <c r="C1955" s="73"/>
      <c r="D1955" s="74"/>
      <c r="E1955" s="159"/>
      <c r="F1955" s="138"/>
      <c r="G1955" s="226"/>
    </row>
    <row r="1956" spans="1:7" s="30" customFormat="1" ht="14.45">
      <c r="A1956" s="75"/>
      <c r="B1956" s="76"/>
      <c r="C1956" s="77" t="s">
        <v>30</v>
      </c>
      <c r="D1956" s="77"/>
      <c r="E1956" s="160" t="s">
        <v>8</v>
      </c>
      <c r="F1956" s="139">
        <f>SUM(F1909:F1954)</f>
        <v>92919.200000000026</v>
      </c>
      <c r="G1956" s="227"/>
    </row>
    <row r="1957" spans="1:7" s="30" customFormat="1" ht="14.45">
      <c r="A1957" s="75"/>
      <c r="B1957" s="76"/>
      <c r="C1957" s="78"/>
      <c r="D1957" s="79"/>
      <c r="E1957" s="161"/>
      <c r="F1957" s="140"/>
      <c r="G1957" s="228"/>
    </row>
    <row r="1958" spans="1:7" s="30" customFormat="1" ht="14.45">
      <c r="A1958" s="59"/>
      <c r="B1958" s="63"/>
      <c r="C1958" s="61"/>
      <c r="D1958" s="62"/>
      <c r="E1958" s="157"/>
      <c r="F1958" s="137"/>
      <c r="G1958" s="217"/>
    </row>
    <row r="1959" spans="1:7" s="30" customFormat="1" ht="14.45">
      <c r="A1959" s="59"/>
      <c r="B1959" s="64" t="s">
        <v>1950</v>
      </c>
      <c r="C1959" s="61"/>
      <c r="D1959" s="62"/>
      <c r="E1959" s="157"/>
      <c r="F1959" s="137"/>
      <c r="G1959" s="217"/>
    </row>
    <row r="1960" spans="1:7" s="30" customFormat="1" ht="14.45">
      <c r="A1960" s="59"/>
      <c r="B1960" s="100"/>
      <c r="C1960" s="61"/>
      <c r="D1960" s="62"/>
      <c r="E1960" s="157"/>
      <c r="F1960" s="137"/>
      <c r="G1960" s="217"/>
    </row>
    <row r="1961" spans="1:7" s="30" customFormat="1" ht="14.45">
      <c r="A1961" s="66" t="s">
        <v>14</v>
      </c>
      <c r="B1961" s="67" t="s">
        <v>2797</v>
      </c>
      <c r="C1961" s="68" t="s">
        <v>304</v>
      </c>
      <c r="D1961" s="69" t="s">
        <v>63</v>
      </c>
      <c r="E1961" s="157">
        <v>4223.6000000000004</v>
      </c>
      <c r="F1961" s="137">
        <f t="shared" ref="F1961" si="470">C1961*E1961</f>
        <v>4223.6000000000004</v>
      </c>
      <c r="G1961" s="217"/>
    </row>
    <row r="1962" spans="1:7" s="30" customFormat="1" ht="14.45">
      <c r="A1962" s="59"/>
      <c r="B1962" s="100"/>
      <c r="C1962" s="61"/>
      <c r="D1962" s="62"/>
      <c r="E1962" s="157"/>
      <c r="F1962" s="137"/>
      <c r="G1962" s="217"/>
    </row>
    <row r="1963" spans="1:7" s="30" customFormat="1" ht="14.45">
      <c r="A1963" s="66" t="s">
        <v>17</v>
      </c>
      <c r="B1963" s="67" t="s">
        <v>2798</v>
      </c>
      <c r="C1963" s="68" t="s">
        <v>304</v>
      </c>
      <c r="D1963" s="69" t="s">
        <v>63</v>
      </c>
      <c r="E1963" s="157">
        <v>4223.6000000000004</v>
      </c>
      <c r="F1963" s="137">
        <f t="shared" ref="F1963" si="471">C1963*E1963</f>
        <v>4223.6000000000004</v>
      </c>
      <c r="G1963" s="217"/>
    </row>
    <row r="1964" spans="1:7" s="30" customFormat="1" ht="14.45">
      <c r="A1964" s="59"/>
      <c r="B1964" s="100"/>
      <c r="C1964" s="61"/>
      <c r="D1964" s="62"/>
      <c r="E1964" s="157"/>
      <c r="F1964" s="137"/>
      <c r="G1964" s="217"/>
    </row>
    <row r="1965" spans="1:7" s="30" customFormat="1" ht="14.45">
      <c r="A1965" s="66" t="s">
        <v>20</v>
      </c>
      <c r="B1965" s="67" t="s">
        <v>2799</v>
      </c>
      <c r="C1965" s="68" t="s">
        <v>304</v>
      </c>
      <c r="D1965" s="69" t="s">
        <v>63</v>
      </c>
      <c r="E1965" s="157">
        <v>4223.6000000000004</v>
      </c>
      <c r="F1965" s="137">
        <f t="shared" ref="F1965" si="472">C1965*E1965</f>
        <v>4223.6000000000004</v>
      </c>
      <c r="G1965" s="217"/>
    </row>
    <row r="1966" spans="1:7" s="30" customFormat="1" ht="14.45">
      <c r="A1966" s="59"/>
      <c r="B1966" s="100"/>
      <c r="C1966" s="61"/>
      <c r="D1966" s="62"/>
      <c r="E1966" s="157"/>
      <c r="F1966" s="137"/>
      <c r="G1966" s="217"/>
    </row>
    <row r="1967" spans="1:7" s="30" customFormat="1" ht="14.45">
      <c r="A1967" s="66" t="s">
        <v>23</v>
      </c>
      <c r="B1967" s="67" t="s">
        <v>2800</v>
      </c>
      <c r="C1967" s="68" t="s">
        <v>304</v>
      </c>
      <c r="D1967" s="69" t="s">
        <v>63</v>
      </c>
      <c r="E1967" s="157">
        <v>4223.6000000000004</v>
      </c>
      <c r="F1967" s="137">
        <f t="shared" ref="F1967" si="473">C1967*E1967</f>
        <v>4223.6000000000004</v>
      </c>
      <c r="G1967" s="217"/>
    </row>
    <row r="1968" spans="1:7" s="30" customFormat="1" ht="14.45">
      <c r="A1968" s="59"/>
      <c r="B1968" s="100"/>
      <c r="C1968" s="61"/>
      <c r="D1968" s="62"/>
      <c r="E1968" s="157"/>
      <c r="F1968" s="137"/>
      <c r="G1968" s="217"/>
    </row>
    <row r="1969" spans="1:7" s="30" customFormat="1" ht="14.45">
      <c r="A1969" s="66" t="s">
        <v>27</v>
      </c>
      <c r="B1969" s="67" t="s">
        <v>2801</v>
      </c>
      <c r="C1969" s="68" t="s">
        <v>304</v>
      </c>
      <c r="D1969" s="69" t="s">
        <v>63</v>
      </c>
      <c r="E1969" s="157">
        <v>4223.6000000000004</v>
      </c>
      <c r="F1969" s="137">
        <f t="shared" ref="F1969" si="474">C1969*E1969</f>
        <v>4223.6000000000004</v>
      </c>
      <c r="G1969" s="217"/>
    </row>
    <row r="1970" spans="1:7" s="30" customFormat="1" ht="14.45">
      <c r="A1970" s="59"/>
      <c r="B1970" s="100"/>
      <c r="C1970" s="61"/>
      <c r="D1970" s="62"/>
      <c r="E1970" s="157"/>
      <c r="F1970" s="137"/>
      <c r="G1970" s="217"/>
    </row>
    <row r="1971" spans="1:7" s="30" customFormat="1" ht="14.45">
      <c r="A1971" s="66" t="s">
        <v>44</v>
      </c>
      <c r="B1971" s="67" t="s">
        <v>2802</v>
      </c>
      <c r="C1971" s="68" t="s">
        <v>304</v>
      </c>
      <c r="D1971" s="69" t="s">
        <v>63</v>
      </c>
      <c r="E1971" s="157">
        <v>4223.6000000000004</v>
      </c>
      <c r="F1971" s="137">
        <f t="shared" ref="F1971" si="475">C1971*E1971</f>
        <v>4223.6000000000004</v>
      </c>
      <c r="G1971" s="217"/>
    </row>
    <row r="1972" spans="1:7" s="30" customFormat="1" ht="14.45">
      <c r="A1972" s="59"/>
      <c r="B1972" s="100"/>
      <c r="C1972" s="61"/>
      <c r="D1972" s="62"/>
      <c r="E1972" s="157"/>
      <c r="F1972" s="137"/>
      <c r="G1972" s="217"/>
    </row>
    <row r="1973" spans="1:7" s="30" customFormat="1" ht="14.45">
      <c r="A1973" s="66" t="s">
        <v>48</v>
      </c>
      <c r="B1973" s="67" t="s">
        <v>2803</v>
      </c>
      <c r="C1973" s="68" t="s">
        <v>304</v>
      </c>
      <c r="D1973" s="69" t="s">
        <v>63</v>
      </c>
      <c r="E1973" s="157">
        <v>4223.6000000000004</v>
      </c>
      <c r="F1973" s="137">
        <f t="shared" ref="F1973" si="476">C1973*E1973</f>
        <v>4223.6000000000004</v>
      </c>
      <c r="G1973" s="217"/>
    </row>
    <row r="1974" spans="1:7" s="30" customFormat="1" ht="14.45">
      <c r="A1974" s="59"/>
      <c r="B1974" s="100"/>
      <c r="C1974" s="61"/>
      <c r="D1974" s="62"/>
      <c r="E1974" s="157"/>
      <c r="F1974" s="137"/>
      <c r="G1974" s="217"/>
    </row>
    <row r="1975" spans="1:7" s="30" customFormat="1" ht="14.45">
      <c r="A1975" s="66" t="s">
        <v>84</v>
      </c>
      <c r="B1975" s="67" t="s">
        <v>2804</v>
      </c>
      <c r="C1975" s="68" t="s">
        <v>304</v>
      </c>
      <c r="D1975" s="69" t="s">
        <v>63</v>
      </c>
      <c r="E1975" s="157">
        <v>4223.6000000000004</v>
      </c>
      <c r="F1975" s="137">
        <f t="shared" ref="F1975" si="477">C1975*E1975</f>
        <v>4223.6000000000004</v>
      </c>
      <c r="G1975" s="217"/>
    </row>
    <row r="1976" spans="1:7" s="30" customFormat="1" ht="14.45">
      <c r="A1976" s="59"/>
      <c r="B1976" s="100"/>
      <c r="C1976" s="61"/>
      <c r="D1976" s="62"/>
      <c r="E1976" s="157"/>
      <c r="F1976" s="137"/>
      <c r="G1976" s="217"/>
    </row>
    <row r="1977" spans="1:7" s="30" customFormat="1" ht="14.45">
      <c r="A1977" s="66" t="s">
        <v>86</v>
      </c>
      <c r="B1977" s="67" t="s">
        <v>2805</v>
      </c>
      <c r="C1977" s="68" t="s">
        <v>304</v>
      </c>
      <c r="D1977" s="69" t="s">
        <v>63</v>
      </c>
      <c r="E1977" s="157">
        <v>4223.6000000000004</v>
      </c>
      <c r="F1977" s="137">
        <f t="shared" ref="F1977" si="478">C1977*E1977</f>
        <v>4223.6000000000004</v>
      </c>
      <c r="G1977" s="217"/>
    </row>
    <row r="1978" spans="1:7" s="30" customFormat="1" ht="14.45">
      <c r="A1978" s="59"/>
      <c r="B1978" s="100"/>
      <c r="C1978" s="61"/>
      <c r="D1978" s="62"/>
      <c r="E1978" s="157"/>
      <c r="F1978" s="137"/>
      <c r="G1978" s="217"/>
    </row>
    <row r="1979" spans="1:7" s="30" customFormat="1" ht="14.45">
      <c r="A1979" s="66" t="s">
        <v>90</v>
      </c>
      <c r="B1979" s="67" t="s">
        <v>2806</v>
      </c>
      <c r="C1979" s="68" t="s">
        <v>304</v>
      </c>
      <c r="D1979" s="69" t="s">
        <v>63</v>
      </c>
      <c r="E1979" s="157">
        <v>4223.6000000000004</v>
      </c>
      <c r="F1979" s="137">
        <f t="shared" ref="F1979" si="479">C1979*E1979</f>
        <v>4223.6000000000004</v>
      </c>
      <c r="G1979" s="217"/>
    </row>
    <row r="1980" spans="1:7" s="30" customFormat="1" ht="14.45">
      <c r="A1980" s="59"/>
      <c r="B1980" s="100"/>
      <c r="C1980" s="61"/>
      <c r="D1980" s="62"/>
      <c r="E1980" s="157"/>
      <c r="F1980" s="137"/>
      <c r="G1980" s="217"/>
    </row>
    <row r="1981" spans="1:7" s="30" customFormat="1" ht="14.45">
      <c r="A1981" s="66" t="s">
        <v>92</v>
      </c>
      <c r="B1981" s="67" t="s">
        <v>2807</v>
      </c>
      <c r="C1981" s="68" t="s">
        <v>304</v>
      </c>
      <c r="D1981" s="69" t="s">
        <v>63</v>
      </c>
      <c r="E1981" s="157">
        <v>4223.6000000000004</v>
      </c>
      <c r="F1981" s="137">
        <f t="shared" ref="F1981" si="480">C1981*E1981</f>
        <v>4223.6000000000004</v>
      </c>
      <c r="G1981" s="217"/>
    </row>
    <row r="1982" spans="1:7" s="30" customFormat="1" ht="14.45">
      <c r="A1982" s="59"/>
      <c r="B1982" s="100"/>
      <c r="C1982" s="61"/>
      <c r="D1982" s="62"/>
      <c r="E1982" s="157"/>
      <c r="F1982" s="137"/>
      <c r="G1982" s="217"/>
    </row>
    <row r="1983" spans="1:7" s="30" customFormat="1" ht="14.45">
      <c r="A1983" s="66" t="s">
        <v>94</v>
      </c>
      <c r="B1983" s="67" t="s">
        <v>2808</v>
      </c>
      <c r="C1983" s="68" t="s">
        <v>304</v>
      </c>
      <c r="D1983" s="69" t="s">
        <v>63</v>
      </c>
      <c r="E1983" s="157">
        <v>4223.6000000000004</v>
      </c>
      <c r="F1983" s="137">
        <f t="shared" ref="F1983" si="481">C1983*E1983</f>
        <v>4223.6000000000004</v>
      </c>
      <c r="G1983" s="217"/>
    </row>
    <row r="1984" spans="1:7" s="30" customFormat="1" ht="14.45">
      <c r="A1984" s="59"/>
      <c r="B1984" s="100"/>
      <c r="C1984" s="61"/>
      <c r="D1984" s="62"/>
      <c r="E1984" s="157"/>
      <c r="F1984" s="137"/>
      <c r="G1984" s="217"/>
    </row>
    <row r="1985" spans="1:7" s="30" customFormat="1" ht="14.45">
      <c r="A1985" s="66" t="s">
        <v>140</v>
      </c>
      <c r="B1985" s="67" t="s">
        <v>2809</v>
      </c>
      <c r="C1985" s="68" t="s">
        <v>304</v>
      </c>
      <c r="D1985" s="69" t="s">
        <v>63</v>
      </c>
      <c r="E1985" s="157">
        <v>4223.6000000000004</v>
      </c>
      <c r="F1985" s="137">
        <f t="shared" ref="F1985" si="482">C1985*E1985</f>
        <v>4223.6000000000004</v>
      </c>
      <c r="G1985" s="217"/>
    </row>
    <row r="1986" spans="1:7" s="30" customFormat="1" ht="14.45">
      <c r="A1986" s="59"/>
      <c r="B1986" s="100"/>
      <c r="C1986" s="61"/>
      <c r="D1986" s="62"/>
      <c r="E1986" s="157"/>
      <c r="F1986" s="137"/>
      <c r="G1986" s="217"/>
    </row>
    <row r="1987" spans="1:7" s="30" customFormat="1" ht="14.45">
      <c r="A1987" s="66" t="s">
        <v>159</v>
      </c>
      <c r="B1987" s="67" t="s">
        <v>2810</v>
      </c>
      <c r="C1987" s="68" t="s">
        <v>304</v>
      </c>
      <c r="D1987" s="69" t="s">
        <v>63</v>
      </c>
      <c r="E1987" s="157">
        <v>4223.6000000000004</v>
      </c>
      <c r="F1987" s="137">
        <f t="shared" ref="F1987" si="483">C1987*E1987</f>
        <v>4223.6000000000004</v>
      </c>
      <c r="G1987" s="217"/>
    </row>
    <row r="1988" spans="1:7" s="30" customFormat="1" ht="14.45">
      <c r="A1988" s="59"/>
      <c r="B1988" s="100"/>
      <c r="C1988" s="61"/>
      <c r="D1988" s="62"/>
      <c r="E1988" s="157"/>
      <c r="F1988" s="137"/>
      <c r="G1988" s="217"/>
    </row>
    <row r="1989" spans="1:7" s="30" customFormat="1" ht="14.45">
      <c r="A1989" s="66" t="s">
        <v>162</v>
      </c>
      <c r="B1989" s="67" t="s">
        <v>2811</v>
      </c>
      <c r="C1989" s="68" t="s">
        <v>304</v>
      </c>
      <c r="D1989" s="69" t="s">
        <v>63</v>
      </c>
      <c r="E1989" s="157">
        <v>4223.6000000000004</v>
      </c>
      <c r="F1989" s="137">
        <f t="shared" ref="F1989" si="484">C1989*E1989</f>
        <v>4223.6000000000004</v>
      </c>
      <c r="G1989" s="217"/>
    </row>
    <row r="1990" spans="1:7" s="30" customFormat="1" ht="14.45">
      <c r="A1990" s="59"/>
      <c r="B1990" s="100"/>
      <c r="C1990" s="61"/>
      <c r="D1990" s="62"/>
      <c r="E1990" s="157"/>
      <c r="F1990" s="137"/>
      <c r="G1990" s="217"/>
    </row>
    <row r="1991" spans="1:7" s="30" customFormat="1" ht="14.45">
      <c r="A1991" s="66" t="s">
        <v>164</v>
      </c>
      <c r="B1991" s="67" t="s">
        <v>2812</v>
      </c>
      <c r="C1991" s="68" t="s">
        <v>304</v>
      </c>
      <c r="D1991" s="69" t="s">
        <v>63</v>
      </c>
      <c r="E1991" s="157">
        <v>4223.6000000000004</v>
      </c>
      <c r="F1991" s="137">
        <f t="shared" ref="F1991" si="485">C1991*E1991</f>
        <v>4223.6000000000004</v>
      </c>
      <c r="G1991" s="217"/>
    </row>
    <row r="1992" spans="1:7" s="30" customFormat="1" ht="14.45">
      <c r="A1992" s="59"/>
      <c r="B1992" s="100"/>
      <c r="C1992" s="61"/>
      <c r="D1992" s="62"/>
      <c r="E1992" s="157"/>
      <c r="F1992" s="137"/>
      <c r="G1992" s="217"/>
    </row>
    <row r="1993" spans="1:7" s="30" customFormat="1" ht="14.45">
      <c r="A1993" s="66" t="s">
        <v>166</v>
      </c>
      <c r="B1993" s="67" t="s">
        <v>2813</v>
      </c>
      <c r="C1993" s="68" t="s">
        <v>304</v>
      </c>
      <c r="D1993" s="69" t="s">
        <v>63</v>
      </c>
      <c r="E1993" s="157">
        <v>4223.6000000000004</v>
      </c>
      <c r="F1993" s="137">
        <f t="shared" ref="F1993" si="486">C1993*E1993</f>
        <v>4223.6000000000004</v>
      </c>
      <c r="G1993" s="217"/>
    </row>
    <row r="1994" spans="1:7" s="30" customFormat="1" ht="14.45">
      <c r="A1994" s="59"/>
      <c r="B1994" s="100"/>
      <c r="C1994" s="61"/>
      <c r="D1994" s="62"/>
      <c r="E1994" s="157"/>
      <c r="F1994" s="137"/>
      <c r="G1994" s="217"/>
    </row>
    <row r="1995" spans="1:7" s="30" customFormat="1" ht="14.45">
      <c r="A1995" s="66" t="s">
        <v>168</v>
      </c>
      <c r="B1995" s="67" t="s">
        <v>2814</v>
      </c>
      <c r="C1995" s="68" t="s">
        <v>304</v>
      </c>
      <c r="D1995" s="69" t="s">
        <v>63</v>
      </c>
      <c r="E1995" s="157">
        <v>4223.6000000000004</v>
      </c>
      <c r="F1995" s="137">
        <f t="shared" ref="F1995" si="487">C1995*E1995</f>
        <v>4223.6000000000004</v>
      </c>
      <c r="G1995" s="217"/>
    </row>
    <row r="1996" spans="1:7" s="30" customFormat="1" ht="14.45">
      <c r="A1996" s="59"/>
      <c r="B1996" s="100"/>
      <c r="C1996" s="61"/>
      <c r="D1996" s="62"/>
      <c r="E1996" s="157"/>
      <c r="F1996" s="137"/>
      <c r="G1996" s="217"/>
    </row>
    <row r="1997" spans="1:7" s="30" customFormat="1" ht="14.45">
      <c r="A1997" s="66" t="s">
        <v>170</v>
      </c>
      <c r="B1997" s="67" t="s">
        <v>2815</v>
      </c>
      <c r="C1997" s="68" t="s">
        <v>304</v>
      </c>
      <c r="D1997" s="69" t="s">
        <v>63</v>
      </c>
      <c r="E1997" s="157">
        <v>4223.6000000000004</v>
      </c>
      <c r="F1997" s="137">
        <f t="shared" ref="F1997" si="488">C1997*E1997</f>
        <v>4223.6000000000004</v>
      </c>
      <c r="G1997" s="217"/>
    </row>
    <row r="1998" spans="1:7" s="30" customFormat="1" ht="14.45">
      <c r="A1998" s="59"/>
      <c r="B1998" s="100"/>
      <c r="C1998" s="61"/>
      <c r="D1998" s="62"/>
      <c r="E1998" s="157"/>
      <c r="F1998" s="137"/>
      <c r="G1998" s="217"/>
    </row>
    <row r="1999" spans="1:7" s="30" customFormat="1" ht="14.45">
      <c r="A1999" s="66" t="s">
        <v>172</v>
      </c>
      <c r="B1999" s="67" t="s">
        <v>2816</v>
      </c>
      <c r="C1999" s="68" t="s">
        <v>304</v>
      </c>
      <c r="D1999" s="69" t="s">
        <v>63</v>
      </c>
      <c r="E1999" s="157">
        <v>4223.6000000000004</v>
      </c>
      <c r="F1999" s="137">
        <f t="shared" ref="F1999" si="489">C1999*E1999</f>
        <v>4223.6000000000004</v>
      </c>
      <c r="G1999" s="217"/>
    </row>
    <row r="2000" spans="1:7" s="30" customFormat="1" ht="14.45">
      <c r="A2000" s="59"/>
      <c r="B2000" s="100"/>
      <c r="C2000" s="61"/>
      <c r="D2000" s="62"/>
      <c r="E2000" s="157"/>
      <c r="F2000" s="137"/>
      <c r="G2000" s="217"/>
    </row>
    <row r="2001" spans="1:7" s="30" customFormat="1" ht="14.45">
      <c r="A2001" s="66"/>
      <c r="B2001" s="98" t="s">
        <v>2817</v>
      </c>
      <c r="C2001" s="68"/>
      <c r="D2001" s="69"/>
      <c r="E2001" s="157"/>
      <c r="F2001" s="137"/>
      <c r="G2001" s="217"/>
    </row>
    <row r="2002" spans="1:7" s="30" customFormat="1" ht="14.45">
      <c r="A2002" s="59"/>
      <c r="B2002" s="63"/>
      <c r="C2002" s="61"/>
      <c r="D2002" s="62"/>
      <c r="E2002" s="157"/>
      <c r="F2002" s="137"/>
      <c r="G2002" s="217"/>
    </row>
    <row r="2003" spans="1:7" s="30" customFormat="1" ht="14.45">
      <c r="A2003" s="71"/>
      <c r="B2003" s="72"/>
      <c r="C2003" s="73"/>
      <c r="D2003" s="74"/>
      <c r="E2003" s="159"/>
      <c r="F2003" s="138"/>
      <c r="G2003" s="226"/>
    </row>
    <row r="2004" spans="1:7" s="30" customFormat="1" ht="14.45">
      <c r="A2004" s="75"/>
      <c r="B2004" s="76"/>
      <c r="C2004" s="77" t="s">
        <v>30</v>
      </c>
      <c r="D2004" s="77"/>
      <c r="E2004" s="160" t="s">
        <v>8</v>
      </c>
      <c r="F2004" s="139">
        <f>SUM(F1960:F2001)</f>
        <v>84472.000000000015</v>
      </c>
      <c r="G2004" s="227"/>
    </row>
    <row r="2005" spans="1:7" s="30" customFormat="1" ht="14.45">
      <c r="A2005" s="75"/>
      <c r="B2005" s="76"/>
      <c r="C2005" s="78"/>
      <c r="D2005" s="79"/>
      <c r="E2005" s="161"/>
      <c r="F2005" s="140"/>
      <c r="G2005" s="228"/>
    </row>
    <row r="2006" spans="1:7" s="30" customFormat="1" ht="14.45">
      <c r="A2006" s="59"/>
      <c r="B2006" s="63"/>
      <c r="C2006" s="61"/>
      <c r="D2006" s="62"/>
      <c r="E2006" s="157"/>
      <c r="F2006" s="137"/>
      <c r="G2006" s="217"/>
    </row>
    <row r="2007" spans="1:7" s="30" customFormat="1" ht="14.45">
      <c r="A2007" s="59"/>
      <c r="B2007" s="64" t="s">
        <v>1950</v>
      </c>
      <c r="C2007" s="61"/>
      <c r="D2007" s="62"/>
      <c r="E2007" s="157"/>
      <c r="F2007" s="137"/>
      <c r="G2007" s="217"/>
    </row>
    <row r="2008" spans="1:7" s="30" customFormat="1" ht="14.45">
      <c r="A2008" s="59"/>
      <c r="B2008" s="100"/>
      <c r="C2008" s="61"/>
      <c r="D2008" s="62"/>
      <c r="E2008" s="157"/>
      <c r="F2008" s="137"/>
      <c r="G2008" s="217"/>
    </row>
    <row r="2009" spans="1:7" s="30" customFormat="1" ht="14.45">
      <c r="A2009" s="66" t="s">
        <v>14</v>
      </c>
      <c r="B2009" s="67" t="s">
        <v>2818</v>
      </c>
      <c r="C2009" s="68" t="s">
        <v>304</v>
      </c>
      <c r="D2009" s="69" t="s">
        <v>63</v>
      </c>
      <c r="E2009" s="157">
        <v>11268.95</v>
      </c>
      <c r="F2009" s="137">
        <f t="shared" ref="F2009" si="490">C2009*E2009</f>
        <v>11268.95</v>
      </c>
      <c r="G2009" s="217"/>
    </row>
    <row r="2010" spans="1:7" s="30" customFormat="1" ht="14.45">
      <c r="A2010" s="59"/>
      <c r="B2010" s="100"/>
      <c r="C2010" s="61"/>
      <c r="D2010" s="62"/>
      <c r="E2010" s="157"/>
      <c r="F2010" s="137"/>
      <c r="G2010" s="217"/>
    </row>
    <row r="2011" spans="1:7" s="30" customFormat="1" ht="14.45">
      <c r="A2011" s="66" t="s">
        <v>17</v>
      </c>
      <c r="B2011" s="67" t="s">
        <v>2819</v>
      </c>
      <c r="C2011" s="68" t="s">
        <v>304</v>
      </c>
      <c r="D2011" s="69" t="s">
        <v>63</v>
      </c>
      <c r="E2011" s="157">
        <v>11755.5</v>
      </c>
      <c r="F2011" s="137">
        <f t="shared" ref="F2011:F2015" si="491">C2011*E2011</f>
        <v>11755.5</v>
      </c>
      <c r="G2011" s="217"/>
    </row>
    <row r="2012" spans="1:7" s="30" customFormat="1" ht="14.45">
      <c r="A2012" s="59"/>
      <c r="B2012" s="100"/>
      <c r="C2012" s="61"/>
      <c r="D2012" s="62"/>
      <c r="E2012" s="157"/>
      <c r="F2012" s="137"/>
      <c r="G2012" s="217"/>
    </row>
    <row r="2013" spans="1:7" s="30" customFormat="1" ht="14.45">
      <c r="A2013" s="66" t="s">
        <v>20</v>
      </c>
      <c r="B2013" s="67" t="s">
        <v>2820</v>
      </c>
      <c r="C2013" s="68" t="s">
        <v>304</v>
      </c>
      <c r="D2013" s="69" t="s">
        <v>63</v>
      </c>
      <c r="E2013" s="157">
        <v>15577.03</v>
      </c>
      <c r="F2013" s="137">
        <f t="shared" si="491"/>
        <v>15577.03</v>
      </c>
      <c r="G2013" s="217"/>
    </row>
    <row r="2014" spans="1:7" s="30" customFormat="1" ht="14.45">
      <c r="A2014" s="59"/>
      <c r="B2014" s="100"/>
      <c r="C2014" s="61"/>
      <c r="D2014" s="62"/>
      <c r="E2014" s="157"/>
      <c r="F2014" s="137"/>
      <c r="G2014" s="217"/>
    </row>
    <row r="2015" spans="1:7" s="30" customFormat="1" ht="14.45">
      <c r="A2015" s="66" t="s">
        <v>23</v>
      </c>
      <c r="B2015" s="67" t="s">
        <v>2821</v>
      </c>
      <c r="C2015" s="68" t="s">
        <v>304</v>
      </c>
      <c r="D2015" s="69" t="s">
        <v>63</v>
      </c>
      <c r="E2015" s="157">
        <v>9811.7900000000009</v>
      </c>
      <c r="F2015" s="137">
        <f t="shared" si="491"/>
        <v>9811.7900000000009</v>
      </c>
      <c r="G2015" s="217"/>
    </row>
    <row r="2016" spans="1:7" s="30" customFormat="1" ht="14.45">
      <c r="A2016" s="59"/>
      <c r="B2016" s="100"/>
      <c r="C2016" s="61"/>
      <c r="D2016" s="62"/>
      <c r="E2016" s="157"/>
      <c r="F2016" s="137"/>
      <c r="G2016" s="217"/>
    </row>
    <row r="2017" spans="1:7" s="30" customFormat="1" ht="14.45">
      <c r="A2017" s="66"/>
      <c r="B2017" s="98" t="s">
        <v>2822</v>
      </c>
      <c r="C2017" s="68"/>
      <c r="D2017" s="69"/>
      <c r="E2017" s="157"/>
      <c r="F2017" s="137"/>
      <c r="G2017" s="217"/>
    </row>
    <row r="2018" spans="1:7" s="30" customFormat="1" ht="14.45">
      <c r="A2018" s="59"/>
      <c r="B2018" s="100"/>
      <c r="C2018" s="61"/>
      <c r="D2018" s="62"/>
      <c r="E2018" s="157"/>
      <c r="F2018" s="137"/>
      <c r="G2018" s="217"/>
    </row>
    <row r="2019" spans="1:7" s="30" customFormat="1" ht="27.6">
      <c r="A2019" s="66" t="s">
        <v>27</v>
      </c>
      <c r="B2019" s="67" t="s">
        <v>2823</v>
      </c>
      <c r="C2019" s="68" t="s">
        <v>304</v>
      </c>
      <c r="D2019" s="69" t="s">
        <v>63</v>
      </c>
      <c r="E2019" s="157">
        <v>150111.20000000001</v>
      </c>
      <c r="F2019" s="137">
        <f t="shared" ref="F2019" si="492">C2019*E2019</f>
        <v>150111.20000000001</v>
      </c>
      <c r="G2019" s="217" t="s">
        <v>2542</v>
      </c>
    </row>
    <row r="2020" spans="1:7" s="30" customFormat="1" ht="14.45">
      <c r="A2020" s="59"/>
      <c r="B2020" s="100"/>
      <c r="C2020" s="61"/>
      <c r="D2020" s="62"/>
      <c r="E2020" s="157"/>
      <c r="F2020" s="137"/>
      <c r="G2020" s="217"/>
    </row>
    <row r="2021" spans="1:7" s="30" customFormat="1" ht="27.6">
      <c r="A2021" s="66" t="s">
        <v>44</v>
      </c>
      <c r="B2021" s="67" t="s">
        <v>2824</v>
      </c>
      <c r="C2021" s="68" t="s">
        <v>304</v>
      </c>
      <c r="D2021" s="69" t="s">
        <v>63</v>
      </c>
      <c r="E2021" s="157">
        <v>212325.7</v>
      </c>
      <c r="F2021" s="137">
        <f t="shared" ref="F2021" si="493">C2021*E2021</f>
        <v>212325.7</v>
      </c>
      <c r="G2021" s="217" t="s">
        <v>2542</v>
      </c>
    </row>
    <row r="2022" spans="1:7" s="30" customFormat="1" ht="14.45">
      <c r="A2022" s="59"/>
      <c r="B2022" s="100"/>
      <c r="C2022" s="61"/>
      <c r="D2022" s="62"/>
      <c r="E2022" s="157"/>
      <c r="F2022" s="137"/>
      <c r="G2022" s="217"/>
    </row>
    <row r="2023" spans="1:7" s="30" customFormat="1" ht="27.6">
      <c r="A2023" s="66" t="s">
        <v>48</v>
      </c>
      <c r="B2023" s="67" t="s">
        <v>2825</v>
      </c>
      <c r="C2023" s="68" t="s">
        <v>304</v>
      </c>
      <c r="D2023" s="69" t="s">
        <v>63</v>
      </c>
      <c r="E2023" s="157">
        <v>150111.20000000001</v>
      </c>
      <c r="F2023" s="137">
        <f t="shared" ref="F2023" si="494">C2023*E2023</f>
        <v>150111.20000000001</v>
      </c>
      <c r="G2023" s="217" t="s">
        <v>2542</v>
      </c>
    </row>
    <row r="2024" spans="1:7" s="30" customFormat="1" ht="14.45">
      <c r="A2024" s="59"/>
      <c r="B2024" s="100"/>
      <c r="C2024" s="61"/>
      <c r="D2024" s="62"/>
      <c r="E2024" s="157"/>
      <c r="F2024" s="137"/>
      <c r="G2024" s="217"/>
    </row>
    <row r="2025" spans="1:7" s="30" customFormat="1" ht="14.45">
      <c r="A2025" s="66"/>
      <c r="B2025" s="98" t="s">
        <v>2826</v>
      </c>
      <c r="C2025" s="68"/>
      <c r="D2025" s="69"/>
      <c r="E2025" s="157"/>
      <c r="F2025" s="137"/>
      <c r="G2025" s="217"/>
    </row>
    <row r="2026" spans="1:7" s="30" customFormat="1" ht="14.45">
      <c r="A2026" s="59"/>
      <c r="B2026" s="100"/>
      <c r="C2026" s="61"/>
      <c r="D2026" s="62"/>
      <c r="E2026" s="157"/>
      <c r="F2026" s="137"/>
      <c r="G2026" s="217"/>
    </row>
    <row r="2027" spans="1:7" s="30" customFormat="1" ht="14.45">
      <c r="A2027" s="66" t="s">
        <v>84</v>
      </c>
      <c r="B2027" s="67" t="s">
        <v>2827</v>
      </c>
      <c r="C2027" s="68" t="s">
        <v>304</v>
      </c>
      <c r="D2027" s="69" t="s">
        <v>63</v>
      </c>
      <c r="E2027" s="157">
        <v>172470.96</v>
      </c>
      <c r="F2027" s="137">
        <f t="shared" ref="F2027" si="495">C2027*E2027</f>
        <v>172470.96</v>
      </c>
      <c r="G2027" s="217" t="s">
        <v>2542</v>
      </c>
    </row>
    <row r="2028" spans="1:7" s="30" customFormat="1" ht="14.45">
      <c r="A2028" s="59"/>
      <c r="B2028" s="100"/>
      <c r="C2028" s="61"/>
      <c r="D2028" s="62"/>
      <c r="E2028" s="157"/>
      <c r="F2028" s="137"/>
      <c r="G2028" s="217"/>
    </row>
    <row r="2029" spans="1:7" s="30" customFormat="1" ht="14.45">
      <c r="A2029" s="66" t="s">
        <v>86</v>
      </c>
      <c r="B2029" s="67" t="s">
        <v>2828</v>
      </c>
      <c r="C2029" s="68" t="s">
        <v>304</v>
      </c>
      <c r="D2029" s="69" t="s">
        <v>63</v>
      </c>
      <c r="E2029" s="157">
        <v>172470.96</v>
      </c>
      <c r="F2029" s="137">
        <f t="shared" ref="F2029" si="496">C2029*E2029</f>
        <v>172470.96</v>
      </c>
      <c r="G2029" s="217" t="s">
        <v>2542</v>
      </c>
    </row>
    <row r="2030" spans="1:7" s="30" customFormat="1" ht="14.45">
      <c r="A2030" s="59"/>
      <c r="B2030" s="100"/>
      <c r="C2030" s="61"/>
      <c r="D2030" s="62"/>
      <c r="E2030" s="157"/>
      <c r="F2030" s="137"/>
      <c r="G2030" s="217"/>
    </row>
    <row r="2031" spans="1:7" s="30" customFormat="1" ht="14.45">
      <c r="A2031" s="66" t="s">
        <v>90</v>
      </c>
      <c r="B2031" s="67" t="s">
        <v>2829</v>
      </c>
      <c r="C2031" s="68" t="s">
        <v>304</v>
      </c>
      <c r="D2031" s="69" t="s">
        <v>63</v>
      </c>
      <c r="E2031" s="157">
        <v>172674.16</v>
      </c>
      <c r="F2031" s="137">
        <f t="shared" ref="F2031" si="497">C2031*E2031</f>
        <v>172674.16</v>
      </c>
      <c r="G2031" s="217" t="s">
        <v>2542</v>
      </c>
    </row>
    <row r="2032" spans="1:7" s="30" customFormat="1" ht="14.45">
      <c r="A2032" s="59"/>
      <c r="B2032" s="100"/>
      <c r="C2032" s="61"/>
      <c r="D2032" s="62"/>
      <c r="E2032" s="157"/>
      <c r="F2032" s="137"/>
      <c r="G2032" s="217"/>
    </row>
    <row r="2033" spans="1:7" s="30" customFormat="1" ht="14.45">
      <c r="A2033" s="66" t="s">
        <v>92</v>
      </c>
      <c r="B2033" s="67" t="s">
        <v>2830</v>
      </c>
      <c r="C2033" s="68" t="s">
        <v>304</v>
      </c>
      <c r="D2033" s="69" t="s">
        <v>63</v>
      </c>
      <c r="E2033" s="157">
        <v>126588.32</v>
      </c>
      <c r="F2033" s="137">
        <f t="shared" ref="F2033" si="498">C2033*E2033</f>
        <v>126588.32</v>
      </c>
      <c r="G2033" s="217" t="s">
        <v>2542</v>
      </c>
    </row>
    <row r="2034" spans="1:7" s="30" customFormat="1" ht="14.45">
      <c r="A2034" s="59"/>
      <c r="B2034" s="100"/>
      <c r="C2034" s="61"/>
      <c r="D2034" s="62"/>
      <c r="E2034" s="157"/>
      <c r="F2034" s="137"/>
      <c r="G2034" s="217"/>
    </row>
    <row r="2035" spans="1:7" s="30" customFormat="1" ht="14.45">
      <c r="A2035" s="66"/>
      <c r="B2035" s="98" t="s">
        <v>2831</v>
      </c>
      <c r="C2035" s="68"/>
      <c r="D2035" s="69"/>
      <c r="E2035" s="157"/>
      <c r="F2035" s="137"/>
      <c r="G2035" s="217"/>
    </row>
    <row r="2036" spans="1:7" s="30" customFormat="1" ht="14.45">
      <c r="A2036" s="59"/>
      <c r="B2036" s="100"/>
      <c r="C2036" s="61"/>
      <c r="D2036" s="62"/>
      <c r="E2036" s="157"/>
      <c r="F2036" s="137"/>
      <c r="G2036" s="217"/>
    </row>
    <row r="2037" spans="1:7" s="30" customFormat="1" ht="14.45">
      <c r="A2037" s="66" t="s">
        <v>94</v>
      </c>
      <c r="B2037" s="67" t="s">
        <v>2832</v>
      </c>
      <c r="C2037" s="68" t="s">
        <v>977</v>
      </c>
      <c r="D2037" s="69" t="s">
        <v>63</v>
      </c>
      <c r="E2037" s="157">
        <v>3339.99</v>
      </c>
      <c r="F2037" s="137">
        <f t="shared" ref="F2037" si="499">C2037*E2037</f>
        <v>106879.67999999999</v>
      </c>
      <c r="G2037" s="217"/>
    </row>
    <row r="2038" spans="1:7" s="30" customFormat="1" ht="14.45">
      <c r="A2038" s="59"/>
      <c r="B2038" s="100"/>
      <c r="C2038" s="61"/>
      <c r="D2038" s="62"/>
      <c r="E2038" s="157"/>
      <c r="F2038" s="137"/>
      <c r="G2038" s="217"/>
    </row>
    <row r="2039" spans="1:7" s="30" customFormat="1" ht="14.45">
      <c r="A2039" s="66"/>
      <c r="B2039" s="98" t="s">
        <v>2833</v>
      </c>
      <c r="C2039" s="68"/>
      <c r="D2039" s="69"/>
      <c r="E2039" s="157"/>
      <c r="F2039" s="137"/>
      <c r="G2039" s="217"/>
    </row>
    <row r="2040" spans="1:7" s="30" customFormat="1" ht="14.45">
      <c r="A2040" s="59"/>
      <c r="B2040" s="100"/>
      <c r="C2040" s="61"/>
      <c r="D2040" s="62"/>
      <c r="E2040" s="157"/>
      <c r="F2040" s="137"/>
      <c r="G2040" s="217"/>
    </row>
    <row r="2041" spans="1:7" s="30" customFormat="1" ht="14.45">
      <c r="A2041" s="66" t="s">
        <v>140</v>
      </c>
      <c r="B2041" s="67" t="s">
        <v>2834</v>
      </c>
      <c r="C2041" s="68" t="s">
        <v>1121</v>
      </c>
      <c r="D2041" s="69" t="s">
        <v>63</v>
      </c>
      <c r="E2041" s="157">
        <v>4637.43</v>
      </c>
      <c r="F2041" s="137">
        <f t="shared" ref="F2041" si="500">C2041*E2041</f>
        <v>162310.05000000002</v>
      </c>
      <c r="G2041" s="217"/>
    </row>
    <row r="2042" spans="1:7" s="30" customFormat="1" ht="14.45">
      <c r="A2042" s="59"/>
      <c r="B2042" s="100"/>
      <c r="C2042" s="61"/>
      <c r="D2042" s="62"/>
      <c r="E2042" s="157"/>
      <c r="F2042" s="137"/>
      <c r="G2042" s="217"/>
    </row>
    <row r="2043" spans="1:7" s="30" customFormat="1" ht="14.45">
      <c r="A2043" s="66" t="s">
        <v>159</v>
      </c>
      <c r="B2043" s="67" t="s">
        <v>2835</v>
      </c>
      <c r="C2043" s="68" t="s">
        <v>479</v>
      </c>
      <c r="D2043" s="69" t="s">
        <v>63</v>
      </c>
      <c r="E2043" s="157">
        <v>11315.85</v>
      </c>
      <c r="F2043" s="137">
        <f t="shared" ref="F2043" si="501">C2043*E2043</f>
        <v>101842.65000000001</v>
      </c>
      <c r="G2043" s="217"/>
    </row>
    <row r="2044" spans="1:7" s="30" customFormat="1" ht="14.45">
      <c r="A2044" s="59"/>
      <c r="B2044" s="100"/>
      <c r="C2044" s="61"/>
      <c r="D2044" s="62"/>
      <c r="E2044" s="157"/>
      <c r="F2044" s="137"/>
      <c r="G2044" s="217"/>
    </row>
    <row r="2045" spans="1:7" s="30" customFormat="1" ht="14.45">
      <c r="A2045" s="66" t="s">
        <v>162</v>
      </c>
      <c r="B2045" s="67" t="s">
        <v>2836</v>
      </c>
      <c r="C2045" s="68" t="s">
        <v>65</v>
      </c>
      <c r="D2045" s="69" t="s">
        <v>63</v>
      </c>
      <c r="E2045" s="157">
        <v>11974.57</v>
      </c>
      <c r="F2045" s="137">
        <f t="shared" ref="F2045" si="502">C2045*E2045</f>
        <v>47898.28</v>
      </c>
      <c r="G2045" s="217"/>
    </row>
    <row r="2046" spans="1:7" s="30" customFormat="1" ht="14.45">
      <c r="A2046" s="59"/>
      <c r="B2046" s="100"/>
      <c r="C2046" s="61"/>
      <c r="D2046" s="62"/>
      <c r="E2046" s="157"/>
      <c r="F2046" s="137"/>
      <c r="G2046" s="217"/>
    </row>
    <row r="2047" spans="1:7" s="30" customFormat="1" ht="14.45">
      <c r="A2047" s="66" t="s">
        <v>164</v>
      </c>
      <c r="B2047" s="67" t="s">
        <v>2837</v>
      </c>
      <c r="C2047" s="68" t="s">
        <v>65</v>
      </c>
      <c r="D2047" s="69" t="s">
        <v>63</v>
      </c>
      <c r="E2047" s="157">
        <v>15783.34</v>
      </c>
      <c r="F2047" s="137">
        <f t="shared" ref="F2047" si="503">C2047*E2047</f>
        <v>63133.36</v>
      </c>
      <c r="G2047" s="217"/>
    </row>
    <row r="2048" spans="1:7" s="30" customFormat="1" ht="14.45">
      <c r="A2048" s="71"/>
      <c r="B2048" s="72"/>
      <c r="C2048" s="73"/>
      <c r="D2048" s="74"/>
      <c r="E2048" s="159"/>
      <c r="F2048" s="138"/>
      <c r="G2048" s="226"/>
    </row>
    <row r="2049" spans="1:7" s="30" customFormat="1" ht="14.45">
      <c r="A2049" s="75"/>
      <c r="B2049" s="76"/>
      <c r="C2049" s="77" t="s">
        <v>30</v>
      </c>
      <c r="D2049" s="77"/>
      <c r="E2049" s="160" t="s">
        <v>8</v>
      </c>
      <c r="F2049" s="139">
        <f>SUM(F2007:F2047)</f>
        <v>1687229.79</v>
      </c>
      <c r="G2049" s="227"/>
    </row>
    <row r="2050" spans="1:7" s="30" customFormat="1" ht="14.45">
      <c r="A2050" s="75"/>
      <c r="B2050" s="76"/>
      <c r="C2050" s="78"/>
      <c r="D2050" s="79"/>
      <c r="E2050" s="161"/>
      <c r="F2050" s="140"/>
      <c r="G2050" s="228"/>
    </row>
    <row r="2051" spans="1:7" s="30" customFormat="1" ht="14.45">
      <c r="A2051" s="59"/>
      <c r="B2051" s="63"/>
      <c r="C2051" s="61"/>
      <c r="D2051" s="62"/>
      <c r="E2051" s="157"/>
      <c r="F2051" s="137"/>
      <c r="G2051" s="217"/>
    </row>
    <row r="2052" spans="1:7" s="30" customFormat="1" ht="14.45">
      <c r="A2052" s="59"/>
      <c r="B2052" s="64" t="s">
        <v>1950</v>
      </c>
      <c r="C2052" s="61"/>
      <c r="D2052" s="62"/>
      <c r="E2052" s="157"/>
      <c r="F2052" s="137"/>
      <c r="G2052" s="217"/>
    </row>
    <row r="2053" spans="1:7" s="30" customFormat="1" ht="14.45">
      <c r="A2053" s="59"/>
      <c r="B2053" s="100"/>
      <c r="C2053" s="61"/>
      <c r="D2053" s="62"/>
      <c r="E2053" s="157"/>
      <c r="F2053" s="137"/>
      <c r="G2053" s="217"/>
    </row>
    <row r="2054" spans="1:7" s="30" customFormat="1" ht="14.45">
      <c r="A2054" s="66" t="s">
        <v>14</v>
      </c>
      <c r="B2054" s="67" t="s">
        <v>2838</v>
      </c>
      <c r="C2054" s="68" t="s">
        <v>304</v>
      </c>
      <c r="D2054" s="69" t="s">
        <v>63</v>
      </c>
      <c r="E2054" s="157">
        <v>18016.73</v>
      </c>
      <c r="F2054" s="137">
        <f t="shared" ref="F2054" si="504">C2054*E2054</f>
        <v>18016.73</v>
      </c>
      <c r="G2054" s="217"/>
    </row>
    <row r="2055" spans="1:7" s="30" customFormat="1" ht="14.45">
      <c r="A2055" s="59"/>
      <c r="B2055" s="100"/>
      <c r="C2055" s="61"/>
      <c r="D2055" s="62"/>
      <c r="E2055" s="157"/>
      <c r="F2055" s="137"/>
      <c r="G2055" s="217"/>
    </row>
    <row r="2056" spans="1:7" s="30" customFormat="1" ht="14.45">
      <c r="A2056" s="66" t="s">
        <v>17</v>
      </c>
      <c r="B2056" s="67" t="s">
        <v>2839</v>
      </c>
      <c r="C2056" s="68" t="s">
        <v>304</v>
      </c>
      <c r="D2056" s="69" t="s">
        <v>63</v>
      </c>
      <c r="E2056" s="157">
        <v>23013.25</v>
      </c>
      <c r="F2056" s="137">
        <f t="shared" ref="F2056" si="505">C2056*E2056</f>
        <v>23013.25</v>
      </c>
      <c r="G2056" s="217"/>
    </row>
    <row r="2057" spans="1:7" s="30" customFormat="1" ht="14.45">
      <c r="A2057" s="59"/>
      <c r="B2057" s="100"/>
      <c r="C2057" s="61"/>
      <c r="D2057" s="62"/>
      <c r="E2057" s="157"/>
      <c r="F2057" s="137"/>
      <c r="G2057" s="217"/>
    </row>
    <row r="2058" spans="1:7" s="30" customFormat="1" ht="14.45">
      <c r="A2058" s="66" t="s">
        <v>20</v>
      </c>
      <c r="B2058" s="67" t="s">
        <v>2840</v>
      </c>
      <c r="C2058" s="68" t="s">
        <v>152</v>
      </c>
      <c r="D2058" s="69" t="s">
        <v>63</v>
      </c>
      <c r="E2058" s="157">
        <v>28397.62</v>
      </c>
      <c r="F2058" s="137">
        <f t="shared" ref="F2058" si="506">C2058*E2058</f>
        <v>56795.24</v>
      </c>
      <c r="G2058" s="217"/>
    </row>
    <row r="2059" spans="1:7" s="30" customFormat="1" ht="14.45">
      <c r="A2059" s="59"/>
      <c r="B2059" s="100"/>
      <c r="C2059" s="61"/>
      <c r="D2059" s="62"/>
      <c r="E2059" s="157"/>
      <c r="F2059" s="137"/>
      <c r="G2059" s="217"/>
    </row>
    <row r="2060" spans="1:7" s="30" customFormat="1" ht="14.45">
      <c r="A2060" s="66" t="s">
        <v>23</v>
      </c>
      <c r="B2060" s="67" t="s">
        <v>2841</v>
      </c>
      <c r="C2060" s="68" t="s">
        <v>152</v>
      </c>
      <c r="D2060" s="69" t="s">
        <v>63</v>
      </c>
      <c r="E2060" s="157">
        <v>33932.730000000003</v>
      </c>
      <c r="F2060" s="137">
        <f t="shared" ref="F2060" si="507">C2060*E2060</f>
        <v>67865.460000000006</v>
      </c>
      <c r="G2060" s="217"/>
    </row>
    <row r="2061" spans="1:7" s="30" customFormat="1" ht="14.45">
      <c r="A2061" s="59"/>
      <c r="B2061" s="100"/>
      <c r="C2061" s="61"/>
      <c r="D2061" s="62"/>
      <c r="E2061" s="157"/>
      <c r="F2061" s="137"/>
      <c r="G2061" s="217"/>
    </row>
    <row r="2062" spans="1:7" s="30" customFormat="1" ht="14.45">
      <c r="A2062" s="66"/>
      <c r="B2062" s="98" t="s">
        <v>2842</v>
      </c>
      <c r="C2062" s="68"/>
      <c r="D2062" s="69"/>
      <c r="E2062" s="157"/>
      <c r="F2062" s="137"/>
      <c r="G2062" s="217"/>
    </row>
    <row r="2063" spans="1:7" s="30" customFormat="1" ht="14.45">
      <c r="A2063" s="59"/>
      <c r="B2063" s="100"/>
      <c r="C2063" s="61"/>
      <c r="D2063" s="62"/>
      <c r="E2063" s="157"/>
      <c r="F2063" s="137"/>
      <c r="G2063" s="217"/>
    </row>
    <row r="2064" spans="1:7" s="30" customFormat="1" ht="14.45">
      <c r="A2064" s="66" t="s">
        <v>27</v>
      </c>
      <c r="B2064" s="67" t="s">
        <v>2843</v>
      </c>
      <c r="C2064" s="68" t="s">
        <v>304</v>
      </c>
      <c r="D2064" s="69" t="s">
        <v>63</v>
      </c>
      <c r="E2064" s="157">
        <v>494.15</v>
      </c>
      <c r="F2064" s="137">
        <f t="shared" ref="F2064" si="508">C2064*E2064</f>
        <v>494.15</v>
      </c>
      <c r="G2064" s="217"/>
    </row>
    <row r="2065" spans="1:7" s="30" customFormat="1" ht="14.45">
      <c r="A2065" s="59"/>
      <c r="B2065" s="100"/>
      <c r="C2065" s="61"/>
      <c r="D2065" s="62"/>
      <c r="E2065" s="157"/>
      <c r="F2065" s="137"/>
      <c r="G2065" s="217"/>
    </row>
    <row r="2066" spans="1:7" s="30" customFormat="1" ht="14.45">
      <c r="A2066" s="66" t="s">
        <v>44</v>
      </c>
      <c r="B2066" s="67" t="s">
        <v>2844</v>
      </c>
      <c r="C2066" s="68" t="s">
        <v>714</v>
      </c>
      <c r="D2066" s="69" t="s">
        <v>63</v>
      </c>
      <c r="E2066" s="157">
        <v>1297.29</v>
      </c>
      <c r="F2066" s="137">
        <f t="shared" ref="F2066" si="509">C2066*E2066</f>
        <v>10378.32</v>
      </c>
      <c r="G2066" s="217"/>
    </row>
    <row r="2067" spans="1:7" s="30" customFormat="1" ht="14.45">
      <c r="A2067" s="59"/>
      <c r="B2067" s="100"/>
      <c r="C2067" s="61"/>
      <c r="D2067" s="62"/>
      <c r="E2067" s="157"/>
      <c r="F2067" s="137"/>
      <c r="G2067" s="217"/>
    </row>
    <row r="2068" spans="1:7" s="30" customFormat="1" ht="14.45">
      <c r="A2068" s="66" t="s">
        <v>48</v>
      </c>
      <c r="B2068" s="67" t="s">
        <v>2845</v>
      </c>
      <c r="C2068" s="68" t="s">
        <v>332</v>
      </c>
      <c r="D2068" s="69" t="s">
        <v>63</v>
      </c>
      <c r="E2068" s="157">
        <v>2821.52</v>
      </c>
      <c r="F2068" s="137">
        <f t="shared" ref="F2068" si="510">C2068*E2068</f>
        <v>28215.200000000001</v>
      </c>
      <c r="G2068" s="217"/>
    </row>
    <row r="2069" spans="1:7" s="30" customFormat="1" ht="14.45">
      <c r="A2069" s="59"/>
      <c r="B2069" s="100"/>
      <c r="C2069" s="61"/>
      <c r="D2069" s="62"/>
      <c r="E2069" s="157"/>
      <c r="F2069" s="137"/>
      <c r="G2069" s="217"/>
    </row>
    <row r="2070" spans="1:7" s="30" customFormat="1" ht="14.45">
      <c r="A2070" s="66" t="s">
        <v>84</v>
      </c>
      <c r="B2070" s="67" t="s">
        <v>2846</v>
      </c>
      <c r="C2070" s="68" t="s">
        <v>304</v>
      </c>
      <c r="D2070" s="69" t="s">
        <v>63</v>
      </c>
      <c r="E2070" s="157">
        <v>2205.42</v>
      </c>
      <c r="F2070" s="137">
        <f t="shared" ref="F2070" si="511">C2070*E2070</f>
        <v>2205.42</v>
      </c>
      <c r="G2070" s="217"/>
    </row>
    <row r="2071" spans="1:7" s="30" customFormat="1" ht="14.45">
      <c r="A2071" s="59"/>
      <c r="B2071" s="100"/>
      <c r="C2071" s="61"/>
      <c r="D2071" s="62"/>
      <c r="E2071" s="157"/>
      <c r="F2071" s="137"/>
      <c r="G2071" s="217"/>
    </row>
    <row r="2072" spans="1:7" s="30" customFormat="1" ht="14.45">
      <c r="A2072" s="66" t="s">
        <v>86</v>
      </c>
      <c r="B2072" s="67" t="s">
        <v>2847</v>
      </c>
      <c r="C2072" s="68" t="s">
        <v>592</v>
      </c>
      <c r="D2072" s="69" t="s">
        <v>63</v>
      </c>
      <c r="E2072" s="157">
        <v>1297.29</v>
      </c>
      <c r="F2072" s="137">
        <f t="shared" ref="F2072" si="512">C2072*E2072</f>
        <v>19459.349999999999</v>
      </c>
      <c r="G2072" s="217"/>
    </row>
    <row r="2073" spans="1:7" s="30" customFormat="1" ht="14.45">
      <c r="A2073" s="59"/>
      <c r="B2073" s="100"/>
      <c r="C2073" s="61"/>
      <c r="D2073" s="62"/>
      <c r="E2073" s="157"/>
      <c r="F2073" s="137"/>
      <c r="G2073" s="217"/>
    </row>
    <row r="2074" spans="1:7" s="30" customFormat="1" ht="14.45">
      <c r="A2074" s="66" t="s">
        <v>90</v>
      </c>
      <c r="B2074" s="67" t="s">
        <v>2848</v>
      </c>
      <c r="C2074" s="68" t="s">
        <v>62</v>
      </c>
      <c r="D2074" s="69" t="s">
        <v>63</v>
      </c>
      <c r="E2074" s="157">
        <v>416.22</v>
      </c>
      <c r="F2074" s="137">
        <f t="shared" ref="F2074" si="513">C2074*E2074</f>
        <v>2081.1000000000004</v>
      </c>
      <c r="G2074" s="217"/>
    </row>
    <row r="2075" spans="1:7" s="30" customFormat="1" ht="14.45">
      <c r="A2075" s="59"/>
      <c r="B2075" s="100"/>
      <c r="C2075" s="61"/>
      <c r="D2075" s="62"/>
      <c r="E2075" s="157"/>
      <c r="F2075" s="137"/>
      <c r="G2075" s="217"/>
    </row>
    <row r="2076" spans="1:7" s="30" customFormat="1" ht="14.45">
      <c r="A2076" s="66" t="s">
        <v>92</v>
      </c>
      <c r="B2076" s="67" t="s">
        <v>2849</v>
      </c>
      <c r="C2076" s="68" t="s">
        <v>65</v>
      </c>
      <c r="D2076" s="69" t="s">
        <v>63</v>
      </c>
      <c r="E2076" s="157">
        <v>1297.29</v>
      </c>
      <c r="F2076" s="137">
        <f t="shared" ref="F2076" si="514">C2076*E2076</f>
        <v>5189.16</v>
      </c>
      <c r="G2076" s="217"/>
    </row>
    <row r="2077" spans="1:7" s="30" customFormat="1" ht="14.45">
      <c r="A2077" s="59"/>
      <c r="B2077" s="100"/>
      <c r="C2077" s="61"/>
      <c r="D2077" s="62"/>
      <c r="E2077" s="157"/>
      <c r="F2077" s="137"/>
      <c r="G2077" s="217"/>
    </row>
    <row r="2078" spans="1:7" s="30" customFormat="1" ht="14.45">
      <c r="A2078" s="66" t="s">
        <v>94</v>
      </c>
      <c r="B2078" s="67" t="s">
        <v>2850</v>
      </c>
      <c r="C2078" s="68" t="s">
        <v>62</v>
      </c>
      <c r="D2078" s="69" t="s">
        <v>63</v>
      </c>
      <c r="E2078" s="157">
        <v>2821.52</v>
      </c>
      <c r="F2078" s="137">
        <f t="shared" ref="F2078" si="515">C2078*E2078</f>
        <v>14107.6</v>
      </c>
      <c r="G2078" s="217"/>
    </row>
    <row r="2079" spans="1:7" s="30" customFormat="1" ht="14.45">
      <c r="A2079" s="59"/>
      <c r="B2079" s="100"/>
      <c r="C2079" s="61"/>
      <c r="D2079" s="62"/>
      <c r="E2079" s="157"/>
      <c r="F2079" s="137"/>
      <c r="G2079" s="217"/>
    </row>
    <row r="2080" spans="1:7" s="30" customFormat="1" ht="14.45">
      <c r="A2080" s="66" t="s">
        <v>140</v>
      </c>
      <c r="B2080" s="67" t="s">
        <v>2851</v>
      </c>
      <c r="C2080" s="68" t="s">
        <v>62</v>
      </c>
      <c r="D2080" s="69" t="s">
        <v>63</v>
      </c>
      <c r="E2080" s="157">
        <v>2205.42</v>
      </c>
      <c r="F2080" s="137">
        <f t="shared" ref="F2080" si="516">C2080*E2080</f>
        <v>11027.1</v>
      </c>
      <c r="G2080" s="217"/>
    </row>
    <row r="2081" spans="1:7" s="30" customFormat="1" ht="14.45">
      <c r="A2081" s="59"/>
      <c r="B2081" s="100"/>
      <c r="C2081" s="61"/>
      <c r="D2081" s="62"/>
      <c r="E2081" s="157"/>
      <c r="F2081" s="137"/>
      <c r="G2081" s="217"/>
    </row>
    <row r="2082" spans="1:7" s="30" customFormat="1" ht="14.45">
      <c r="A2082" s="66" t="s">
        <v>159</v>
      </c>
      <c r="B2082" s="67" t="s">
        <v>2852</v>
      </c>
      <c r="C2082" s="68" t="s">
        <v>304</v>
      </c>
      <c r="D2082" s="69" t="s">
        <v>63</v>
      </c>
      <c r="E2082" s="157">
        <v>7190.78</v>
      </c>
      <c r="F2082" s="137">
        <f t="shared" ref="F2082" si="517">C2082*E2082</f>
        <v>7190.78</v>
      </c>
      <c r="G2082" s="217"/>
    </row>
    <row r="2083" spans="1:7" s="30" customFormat="1" ht="14.45">
      <c r="A2083" s="59"/>
      <c r="B2083" s="100"/>
      <c r="C2083" s="61"/>
      <c r="D2083" s="62"/>
      <c r="E2083" s="157"/>
      <c r="F2083" s="137"/>
      <c r="G2083" s="217"/>
    </row>
    <row r="2084" spans="1:7" s="30" customFormat="1" ht="14.45">
      <c r="A2084" s="66"/>
      <c r="B2084" s="98" t="s">
        <v>2853</v>
      </c>
      <c r="C2084" s="68"/>
      <c r="D2084" s="69"/>
      <c r="E2084" s="157"/>
      <c r="F2084" s="137"/>
      <c r="G2084" s="217"/>
    </row>
    <row r="2085" spans="1:7" s="30" customFormat="1" ht="14.45">
      <c r="A2085" s="59"/>
      <c r="B2085" s="100"/>
      <c r="C2085" s="61"/>
      <c r="D2085" s="62"/>
      <c r="E2085" s="157"/>
      <c r="F2085" s="137"/>
      <c r="G2085" s="217"/>
    </row>
    <row r="2086" spans="1:7" s="30" customFormat="1" ht="55.15">
      <c r="A2086" s="66"/>
      <c r="B2086" s="98" t="s">
        <v>2854</v>
      </c>
      <c r="C2086" s="68"/>
      <c r="D2086" s="69"/>
      <c r="E2086" s="157"/>
      <c r="F2086" s="137"/>
      <c r="G2086" s="217"/>
    </row>
    <row r="2087" spans="1:7" s="30" customFormat="1" ht="14.45">
      <c r="A2087" s="59"/>
      <c r="B2087" s="100"/>
      <c r="C2087" s="61"/>
      <c r="D2087" s="62"/>
      <c r="E2087" s="157"/>
      <c r="F2087" s="137"/>
      <c r="G2087" s="217"/>
    </row>
    <row r="2088" spans="1:7" s="30" customFormat="1" ht="14.45">
      <c r="A2088" s="66" t="s">
        <v>162</v>
      </c>
      <c r="B2088" s="67" t="s">
        <v>2855</v>
      </c>
      <c r="C2088" s="68" t="s">
        <v>2856</v>
      </c>
      <c r="D2088" s="69" t="s">
        <v>63</v>
      </c>
      <c r="E2088" s="157">
        <v>585.98</v>
      </c>
      <c r="F2088" s="137">
        <f t="shared" ref="F2088" si="518">C2088*E2088</f>
        <v>429523.34</v>
      </c>
      <c r="G2088" s="217"/>
    </row>
    <row r="2089" spans="1:7" s="30" customFormat="1" ht="14.45">
      <c r="A2089" s="59"/>
      <c r="B2089" s="100"/>
      <c r="C2089" s="61"/>
      <c r="D2089" s="62"/>
      <c r="E2089" s="157"/>
      <c r="F2089" s="137"/>
      <c r="G2089" s="217"/>
    </row>
    <row r="2090" spans="1:7" s="30" customFormat="1" ht="14.45">
      <c r="A2090" s="66" t="s">
        <v>164</v>
      </c>
      <c r="B2090" s="67" t="s">
        <v>2857</v>
      </c>
      <c r="C2090" s="68" t="s">
        <v>2858</v>
      </c>
      <c r="D2090" s="69" t="s">
        <v>63</v>
      </c>
      <c r="E2090" s="157">
        <v>1071.6300000000001</v>
      </c>
      <c r="F2090" s="137">
        <f t="shared" ref="F2090" si="519">C2090*E2090</f>
        <v>1128426.3900000001</v>
      </c>
      <c r="G2090" s="217"/>
    </row>
    <row r="2091" spans="1:7" s="30" customFormat="1" ht="14.45">
      <c r="A2091" s="66"/>
      <c r="B2091" s="99"/>
      <c r="C2091" s="68"/>
      <c r="D2091" s="69"/>
      <c r="E2091" s="157"/>
      <c r="F2091" s="137"/>
      <c r="G2091" s="217"/>
    </row>
    <row r="2092" spans="1:7" s="30" customFormat="1" ht="14.45">
      <c r="A2092" s="59"/>
      <c r="B2092" s="63"/>
      <c r="C2092" s="61"/>
      <c r="D2092" s="62"/>
      <c r="E2092" s="157"/>
      <c r="F2092" s="137"/>
      <c r="G2092" s="217"/>
    </row>
    <row r="2093" spans="1:7" s="30" customFormat="1" ht="14.45">
      <c r="A2093" s="71"/>
      <c r="B2093" s="72"/>
      <c r="C2093" s="73"/>
      <c r="D2093" s="74"/>
      <c r="E2093" s="159"/>
      <c r="F2093" s="138"/>
      <c r="G2093" s="226"/>
    </row>
    <row r="2094" spans="1:7" s="30" customFormat="1" ht="14.45">
      <c r="A2094" s="75"/>
      <c r="B2094" s="76"/>
      <c r="C2094" s="77" t="s">
        <v>30</v>
      </c>
      <c r="D2094" s="77"/>
      <c r="E2094" s="160" t="s">
        <v>8</v>
      </c>
      <c r="F2094" s="139">
        <f>SUM(F2053:F2091)</f>
        <v>1823988.5900000003</v>
      </c>
      <c r="G2094" s="227"/>
    </row>
    <row r="2095" spans="1:7" s="30" customFormat="1" ht="14.45">
      <c r="A2095" s="75"/>
      <c r="B2095" s="76"/>
      <c r="C2095" s="78"/>
      <c r="D2095" s="79"/>
      <c r="E2095" s="161"/>
      <c r="F2095" s="140"/>
      <c r="G2095" s="228"/>
    </row>
    <row r="2096" spans="1:7" s="30" customFormat="1" ht="14.45">
      <c r="A2096" s="59"/>
      <c r="B2096" s="63"/>
      <c r="C2096" s="61"/>
      <c r="D2096" s="62"/>
      <c r="E2096" s="157"/>
      <c r="F2096" s="137"/>
      <c r="G2096" s="217"/>
    </row>
    <row r="2097" spans="1:7" s="30" customFormat="1" ht="14.45">
      <c r="A2097" s="59"/>
      <c r="B2097" s="64" t="s">
        <v>1950</v>
      </c>
      <c r="C2097" s="61"/>
      <c r="D2097" s="62"/>
      <c r="E2097" s="157"/>
      <c r="F2097" s="137"/>
      <c r="G2097" s="217"/>
    </row>
    <row r="2098" spans="1:7" s="30" customFormat="1" ht="14.45">
      <c r="A2098" s="59"/>
      <c r="B2098" s="100"/>
      <c r="C2098" s="61"/>
      <c r="D2098" s="62"/>
      <c r="E2098" s="157"/>
      <c r="F2098" s="137"/>
      <c r="G2098" s="217"/>
    </row>
    <row r="2099" spans="1:7" s="30" customFormat="1" ht="14.45">
      <c r="A2099" s="66" t="s">
        <v>14</v>
      </c>
      <c r="B2099" s="67" t="s">
        <v>2859</v>
      </c>
      <c r="C2099" s="68" t="s">
        <v>1356</v>
      </c>
      <c r="D2099" s="69" t="s">
        <v>63</v>
      </c>
      <c r="E2099" s="157">
        <v>1909.24</v>
      </c>
      <c r="F2099" s="137">
        <f t="shared" ref="F2099" si="520">C2099*E2099</f>
        <v>253928.92</v>
      </c>
      <c r="G2099" s="217"/>
    </row>
    <row r="2100" spans="1:7" s="30" customFormat="1" ht="14.45">
      <c r="A2100" s="59"/>
      <c r="B2100" s="100"/>
      <c r="C2100" s="61"/>
      <c r="D2100" s="62"/>
      <c r="E2100" s="157"/>
      <c r="F2100" s="137"/>
      <c r="G2100" s="217"/>
    </row>
    <row r="2101" spans="1:7" s="30" customFormat="1" ht="27.6">
      <c r="A2101" s="66"/>
      <c r="B2101" s="98" t="s">
        <v>2860</v>
      </c>
      <c r="C2101" s="68"/>
      <c r="D2101" s="69"/>
      <c r="E2101" s="157"/>
      <c r="F2101" s="137"/>
      <c r="G2101" s="217"/>
    </row>
    <row r="2102" spans="1:7" s="30" customFormat="1" ht="14.45">
      <c r="A2102" s="59"/>
      <c r="B2102" s="100"/>
      <c r="C2102" s="61"/>
      <c r="D2102" s="62"/>
      <c r="E2102" s="157"/>
      <c r="F2102" s="137"/>
      <c r="G2102" s="217"/>
    </row>
    <row r="2103" spans="1:7" s="30" customFormat="1" ht="14.45">
      <c r="A2103" s="66" t="s">
        <v>17</v>
      </c>
      <c r="B2103" s="67" t="s">
        <v>2861</v>
      </c>
      <c r="C2103" s="68" t="s">
        <v>2862</v>
      </c>
      <c r="D2103" s="69" t="s">
        <v>63</v>
      </c>
      <c r="E2103" s="157">
        <v>311.14</v>
      </c>
      <c r="F2103" s="137">
        <f t="shared" ref="F2103" si="521">C2103*E2103</f>
        <v>139079.57999999999</v>
      </c>
      <c r="G2103" s="217"/>
    </row>
    <row r="2104" spans="1:7" s="30" customFormat="1" ht="14.45">
      <c r="A2104" s="59"/>
      <c r="B2104" s="100"/>
      <c r="C2104" s="61"/>
      <c r="D2104" s="62"/>
      <c r="E2104" s="157"/>
      <c r="F2104" s="137"/>
      <c r="G2104" s="217"/>
    </row>
    <row r="2105" spans="1:7" s="30" customFormat="1" ht="14.45">
      <c r="A2105" s="66" t="s">
        <v>20</v>
      </c>
      <c r="B2105" s="67" t="s">
        <v>2863</v>
      </c>
      <c r="C2105" s="68" t="s">
        <v>2864</v>
      </c>
      <c r="D2105" s="69" t="s">
        <v>63</v>
      </c>
      <c r="E2105" s="157">
        <v>101.65</v>
      </c>
      <c r="F2105" s="137">
        <f t="shared" ref="F2105" si="522">C2105*E2105</f>
        <v>18093.7</v>
      </c>
      <c r="G2105" s="217"/>
    </row>
    <row r="2106" spans="1:7" s="30" customFormat="1" ht="14.45">
      <c r="A2106" s="59"/>
      <c r="B2106" s="100"/>
      <c r="C2106" s="61"/>
      <c r="D2106" s="62"/>
      <c r="E2106" s="157"/>
      <c r="F2106" s="137"/>
      <c r="G2106" s="217"/>
    </row>
    <row r="2107" spans="1:7" s="30" customFormat="1" ht="14.45">
      <c r="A2107" s="66" t="s">
        <v>23</v>
      </c>
      <c r="B2107" s="67" t="s">
        <v>2865</v>
      </c>
      <c r="C2107" s="68" t="s">
        <v>1352</v>
      </c>
      <c r="D2107" s="69" t="s">
        <v>63</v>
      </c>
      <c r="E2107" s="157">
        <v>210.85</v>
      </c>
      <c r="F2107" s="137">
        <f t="shared" ref="F2107" si="523">C2107*E2107</f>
        <v>22771.8</v>
      </c>
      <c r="G2107" s="217"/>
    </row>
    <row r="2108" spans="1:7" s="30" customFormat="1" ht="14.45">
      <c r="A2108" s="59"/>
      <c r="B2108" s="100"/>
      <c r="C2108" s="61"/>
      <c r="D2108" s="62"/>
      <c r="E2108" s="157"/>
      <c r="F2108" s="137"/>
      <c r="G2108" s="217"/>
    </row>
    <row r="2109" spans="1:7" s="30" customFormat="1" ht="14.45">
      <c r="A2109" s="66" t="s">
        <v>27</v>
      </c>
      <c r="B2109" s="67" t="s">
        <v>2866</v>
      </c>
      <c r="C2109" s="68" t="s">
        <v>2867</v>
      </c>
      <c r="D2109" s="69" t="s">
        <v>63</v>
      </c>
      <c r="E2109" s="157">
        <v>193.38</v>
      </c>
      <c r="F2109" s="137">
        <f t="shared" ref="F2109" si="524">C2109*E2109</f>
        <v>159925.26</v>
      </c>
      <c r="G2109" s="217"/>
    </row>
    <row r="2110" spans="1:7" s="30" customFormat="1" ht="14.45">
      <c r="A2110" s="59"/>
      <c r="B2110" s="100"/>
      <c r="C2110" s="61"/>
      <c r="D2110" s="62"/>
      <c r="E2110" s="157"/>
      <c r="F2110" s="137"/>
      <c r="G2110" s="217"/>
    </row>
    <row r="2111" spans="1:7" s="30" customFormat="1" ht="14.45">
      <c r="A2111" s="66" t="s">
        <v>44</v>
      </c>
      <c r="B2111" s="67" t="s">
        <v>2868</v>
      </c>
      <c r="C2111" s="68" t="s">
        <v>1125</v>
      </c>
      <c r="D2111" s="69" t="s">
        <v>63</v>
      </c>
      <c r="E2111" s="157">
        <v>166.98</v>
      </c>
      <c r="F2111" s="137">
        <f t="shared" ref="F2111" si="525">C2111*E2111</f>
        <v>8182.0199999999995</v>
      </c>
      <c r="G2111" s="217"/>
    </row>
    <row r="2112" spans="1:7" s="30" customFormat="1" ht="14.45">
      <c r="A2112" s="59"/>
      <c r="B2112" s="100"/>
      <c r="C2112" s="61"/>
      <c r="D2112" s="62"/>
      <c r="E2112" s="157"/>
      <c r="F2112" s="137"/>
      <c r="G2112" s="217"/>
    </row>
    <row r="2113" spans="1:7" s="30" customFormat="1" ht="14.45">
      <c r="A2113" s="66" t="s">
        <v>48</v>
      </c>
      <c r="B2113" s="67" t="s">
        <v>2869</v>
      </c>
      <c r="C2113" s="68" t="s">
        <v>1072</v>
      </c>
      <c r="D2113" s="69" t="s">
        <v>63</v>
      </c>
      <c r="E2113" s="157">
        <v>166.98</v>
      </c>
      <c r="F2113" s="137">
        <f t="shared" ref="F2113" si="526">C2113*E2113</f>
        <v>2838.66</v>
      </c>
      <c r="G2113" s="217"/>
    </row>
    <row r="2114" spans="1:7" s="30" customFormat="1" ht="14.45">
      <c r="A2114" s="59"/>
      <c r="B2114" s="100"/>
      <c r="C2114" s="61"/>
      <c r="D2114" s="62"/>
      <c r="E2114" s="157"/>
      <c r="F2114" s="137"/>
      <c r="G2114" s="217"/>
    </row>
    <row r="2115" spans="1:7" s="30" customFormat="1" ht="14.45">
      <c r="A2115" s="66" t="s">
        <v>84</v>
      </c>
      <c r="B2115" s="67" t="s">
        <v>2870</v>
      </c>
      <c r="C2115" s="68" t="s">
        <v>2871</v>
      </c>
      <c r="D2115" s="69" t="s">
        <v>63</v>
      </c>
      <c r="E2115" s="157">
        <v>166.98</v>
      </c>
      <c r="F2115" s="137">
        <f t="shared" ref="F2115" si="527">C2115*E2115</f>
        <v>26382.84</v>
      </c>
      <c r="G2115" s="217"/>
    </row>
    <row r="2116" spans="1:7" s="30" customFormat="1" ht="14.45">
      <c r="A2116" s="59"/>
      <c r="B2116" s="100"/>
      <c r="C2116" s="61"/>
      <c r="D2116" s="62"/>
      <c r="E2116" s="157"/>
      <c r="F2116" s="137"/>
      <c r="G2116" s="217"/>
    </row>
    <row r="2117" spans="1:7" s="30" customFormat="1" ht="27.6">
      <c r="A2117" s="66" t="s">
        <v>86</v>
      </c>
      <c r="B2117" s="67" t="s">
        <v>2872</v>
      </c>
      <c r="C2117" s="68" t="s">
        <v>152</v>
      </c>
      <c r="D2117" s="69" t="s">
        <v>63</v>
      </c>
      <c r="E2117" s="157">
        <v>166.98</v>
      </c>
      <c r="F2117" s="137">
        <f t="shared" ref="F2117" si="528">C2117*E2117</f>
        <v>333.96</v>
      </c>
      <c r="G2117" s="217"/>
    </row>
    <row r="2118" spans="1:7" s="30" customFormat="1" ht="14.45">
      <c r="A2118" s="59"/>
      <c r="B2118" s="100"/>
      <c r="C2118" s="61"/>
      <c r="D2118" s="62"/>
      <c r="E2118" s="157"/>
      <c r="F2118" s="137"/>
      <c r="G2118" s="217"/>
    </row>
    <row r="2119" spans="1:7" s="30" customFormat="1" ht="41.45">
      <c r="A2119" s="66" t="s">
        <v>90</v>
      </c>
      <c r="B2119" s="67" t="s">
        <v>2873</v>
      </c>
      <c r="C2119" s="68" t="s">
        <v>1356</v>
      </c>
      <c r="D2119" s="69" t="s">
        <v>63</v>
      </c>
      <c r="E2119" s="157">
        <v>1492.35</v>
      </c>
      <c r="F2119" s="137">
        <f t="shared" ref="F2119" si="529">C2119*E2119</f>
        <v>198482.55</v>
      </c>
      <c r="G2119" s="217"/>
    </row>
    <row r="2120" spans="1:7" s="30" customFormat="1" ht="14.45">
      <c r="A2120" s="59"/>
      <c r="B2120" s="100"/>
      <c r="C2120" s="61"/>
      <c r="D2120" s="62"/>
      <c r="E2120" s="157"/>
      <c r="F2120" s="137"/>
      <c r="G2120" s="217"/>
    </row>
    <row r="2121" spans="1:7" s="30" customFormat="1" ht="14.45">
      <c r="A2121" s="66"/>
      <c r="B2121" s="98" t="s">
        <v>2874</v>
      </c>
      <c r="C2121" s="68"/>
      <c r="D2121" s="69"/>
      <c r="E2121" s="157"/>
      <c r="F2121" s="137"/>
      <c r="G2121" s="217"/>
    </row>
    <row r="2122" spans="1:7" s="30" customFormat="1" ht="14.45">
      <c r="A2122" s="59"/>
      <c r="B2122" s="100"/>
      <c r="C2122" s="61"/>
      <c r="D2122" s="62"/>
      <c r="E2122" s="157"/>
      <c r="F2122" s="137"/>
      <c r="G2122" s="217"/>
    </row>
    <row r="2123" spans="1:7" s="30" customFormat="1" ht="41.45">
      <c r="A2123" s="66"/>
      <c r="B2123" s="98" t="s">
        <v>2875</v>
      </c>
      <c r="C2123" s="68"/>
      <c r="D2123" s="69"/>
      <c r="E2123" s="157"/>
      <c r="F2123" s="137"/>
      <c r="G2123" s="217"/>
    </row>
    <row r="2124" spans="1:7" s="30" customFormat="1" ht="14.45">
      <c r="A2124" s="59"/>
      <c r="B2124" s="100"/>
      <c r="C2124" s="61"/>
      <c r="D2124" s="62"/>
      <c r="E2124" s="157"/>
      <c r="F2124" s="137"/>
      <c r="G2124" s="217"/>
    </row>
    <row r="2125" spans="1:7" s="30" customFormat="1" ht="14.45">
      <c r="A2125" s="66" t="s">
        <v>92</v>
      </c>
      <c r="B2125" s="67" t="s">
        <v>2876</v>
      </c>
      <c r="C2125" s="68" t="s">
        <v>2877</v>
      </c>
      <c r="D2125" s="69" t="s">
        <v>199</v>
      </c>
      <c r="E2125" s="157">
        <v>173.99</v>
      </c>
      <c r="F2125" s="137">
        <f t="shared" ref="F2125" si="530">C2125*E2125</f>
        <v>76207.62000000001</v>
      </c>
      <c r="G2125" s="217"/>
    </row>
    <row r="2126" spans="1:7" s="30" customFormat="1" ht="14.45">
      <c r="A2126" s="59"/>
      <c r="B2126" s="100"/>
      <c r="C2126" s="61"/>
      <c r="D2126" s="62"/>
      <c r="E2126" s="157"/>
      <c r="F2126" s="137"/>
      <c r="G2126" s="217"/>
    </row>
    <row r="2127" spans="1:7" s="30" customFormat="1" ht="14.45">
      <c r="A2127" s="66" t="s">
        <v>94</v>
      </c>
      <c r="B2127" s="67" t="s">
        <v>2878</v>
      </c>
      <c r="C2127" s="68" t="s">
        <v>1593</v>
      </c>
      <c r="D2127" s="69" t="s">
        <v>199</v>
      </c>
      <c r="E2127" s="157">
        <v>112.21</v>
      </c>
      <c r="F2127" s="137">
        <f t="shared" ref="F2127" si="531">C2127*E2127</f>
        <v>26032.719999999998</v>
      </c>
      <c r="G2127" s="217"/>
    </row>
    <row r="2128" spans="1:7" s="30" customFormat="1" ht="14.45">
      <c r="A2128" s="59"/>
      <c r="B2128" s="100"/>
      <c r="C2128" s="61"/>
      <c r="D2128" s="62"/>
      <c r="E2128" s="157"/>
      <c r="F2128" s="137"/>
      <c r="G2128" s="217"/>
    </row>
    <row r="2129" spans="1:7" s="30" customFormat="1" ht="14.45">
      <c r="A2129" s="66" t="s">
        <v>140</v>
      </c>
      <c r="B2129" s="67" t="s">
        <v>2879</v>
      </c>
      <c r="C2129" s="68" t="s">
        <v>1573</v>
      </c>
      <c r="D2129" s="69" t="s">
        <v>199</v>
      </c>
      <c r="E2129" s="157">
        <v>89.26</v>
      </c>
      <c r="F2129" s="137">
        <f t="shared" ref="F2129" si="532">C2129*E2129</f>
        <v>31955.08</v>
      </c>
      <c r="G2129" s="217"/>
    </row>
    <row r="2130" spans="1:7" s="30" customFormat="1" ht="14.45">
      <c r="A2130" s="59"/>
      <c r="B2130" s="100"/>
      <c r="C2130" s="61"/>
      <c r="D2130" s="62"/>
      <c r="E2130" s="157"/>
      <c r="F2130" s="137"/>
      <c r="G2130" s="217"/>
    </row>
    <row r="2131" spans="1:7" s="30" customFormat="1" ht="27.6">
      <c r="A2131" s="66"/>
      <c r="B2131" s="98" t="s">
        <v>2880</v>
      </c>
      <c r="C2131" s="68"/>
      <c r="D2131" s="69"/>
      <c r="E2131" s="157"/>
      <c r="F2131" s="137"/>
      <c r="G2131" s="217"/>
    </row>
    <row r="2132" spans="1:7" s="30" customFormat="1" ht="14.45">
      <c r="A2132" s="59"/>
      <c r="B2132" s="100"/>
      <c r="C2132" s="61"/>
      <c r="D2132" s="62"/>
      <c r="E2132" s="157"/>
      <c r="F2132" s="137"/>
      <c r="G2132" s="217"/>
    </row>
    <row r="2133" spans="1:7" s="30" customFormat="1" ht="14.45">
      <c r="A2133" s="66" t="s">
        <v>159</v>
      </c>
      <c r="B2133" s="67" t="s">
        <v>2881</v>
      </c>
      <c r="C2133" s="68" t="s">
        <v>39</v>
      </c>
      <c r="D2133" s="69" t="s">
        <v>2882</v>
      </c>
      <c r="E2133" s="157">
        <v>817.04</v>
      </c>
      <c r="F2133" s="137">
        <f t="shared" ref="F2133" si="533">C2133*E2133</f>
        <v>4902.24</v>
      </c>
      <c r="G2133" s="217"/>
    </row>
    <row r="2134" spans="1:7" s="30" customFormat="1" ht="14.45">
      <c r="A2134" s="59"/>
      <c r="B2134" s="63"/>
      <c r="C2134" s="61"/>
      <c r="D2134" s="62"/>
      <c r="E2134" s="157"/>
      <c r="F2134" s="137"/>
      <c r="G2134" s="217"/>
    </row>
    <row r="2135" spans="1:7" s="30" customFormat="1" ht="14.45">
      <c r="A2135" s="71"/>
      <c r="B2135" s="72"/>
      <c r="C2135" s="73"/>
      <c r="D2135" s="74"/>
      <c r="E2135" s="159"/>
      <c r="F2135" s="138"/>
      <c r="G2135" s="226"/>
    </row>
    <row r="2136" spans="1:7" s="30" customFormat="1" ht="14.45">
      <c r="A2136" s="75"/>
      <c r="B2136" s="76"/>
      <c r="C2136" s="77" t="s">
        <v>30</v>
      </c>
      <c r="D2136" s="77"/>
      <c r="E2136" s="160" t="s">
        <v>8</v>
      </c>
      <c r="F2136" s="139">
        <f>SUM(F2097:F2133)</f>
        <v>969116.95</v>
      </c>
      <c r="G2136" s="227"/>
    </row>
    <row r="2137" spans="1:7" s="30" customFormat="1" ht="14.45">
      <c r="A2137" s="75"/>
      <c r="B2137" s="76"/>
      <c r="C2137" s="78"/>
      <c r="D2137" s="79"/>
      <c r="E2137" s="161"/>
      <c r="F2137" s="140"/>
      <c r="G2137" s="228"/>
    </row>
    <row r="2138" spans="1:7" s="30" customFormat="1" ht="14.45">
      <c r="A2138" s="59"/>
      <c r="B2138" s="63"/>
      <c r="C2138" s="61"/>
      <c r="D2138" s="62"/>
      <c r="E2138" s="157"/>
      <c r="F2138" s="137"/>
      <c r="G2138" s="217"/>
    </row>
    <row r="2139" spans="1:7" s="30" customFormat="1" ht="14.45">
      <c r="A2139" s="59"/>
      <c r="B2139" s="64" t="s">
        <v>1950</v>
      </c>
      <c r="C2139" s="61"/>
      <c r="D2139" s="62"/>
      <c r="E2139" s="157"/>
      <c r="F2139" s="137"/>
      <c r="G2139" s="217"/>
    </row>
    <row r="2140" spans="1:7" s="30" customFormat="1" ht="14.45">
      <c r="A2140" s="59"/>
      <c r="B2140" s="100"/>
      <c r="C2140" s="61"/>
      <c r="D2140" s="62"/>
      <c r="E2140" s="157"/>
      <c r="F2140" s="137"/>
      <c r="G2140" s="217"/>
    </row>
    <row r="2141" spans="1:7" s="30" customFormat="1" ht="14.45">
      <c r="A2141" s="66" t="s">
        <v>14</v>
      </c>
      <c r="B2141" s="67" t="s">
        <v>2883</v>
      </c>
      <c r="C2141" s="68" t="s">
        <v>481</v>
      </c>
      <c r="D2141" s="69" t="s">
        <v>2882</v>
      </c>
      <c r="E2141" s="157">
        <v>4814.05</v>
      </c>
      <c r="F2141" s="137">
        <f t="shared" ref="F2141" si="534">C2141*E2141</f>
        <v>173305.80000000002</v>
      </c>
      <c r="G2141" s="217"/>
    </row>
    <row r="2142" spans="1:7" s="30" customFormat="1" ht="14.45">
      <c r="A2142" s="59"/>
      <c r="B2142" s="100"/>
      <c r="C2142" s="61"/>
      <c r="D2142" s="62"/>
      <c r="E2142" s="157"/>
      <c r="F2142" s="137"/>
      <c r="G2142" s="217"/>
    </row>
    <row r="2143" spans="1:7" s="30" customFormat="1" ht="14.45">
      <c r="A2143" s="66" t="s">
        <v>17</v>
      </c>
      <c r="B2143" s="67" t="s">
        <v>2884</v>
      </c>
      <c r="C2143" s="68" t="s">
        <v>308</v>
      </c>
      <c r="D2143" s="69" t="s">
        <v>2882</v>
      </c>
      <c r="E2143" s="157">
        <v>343.72</v>
      </c>
      <c r="F2143" s="137">
        <f t="shared" ref="F2143" si="535">C2143*E2143</f>
        <v>4124.6400000000003</v>
      </c>
      <c r="G2143" s="217"/>
    </row>
    <row r="2144" spans="1:7" s="30" customFormat="1" ht="14.45">
      <c r="A2144" s="59"/>
      <c r="B2144" s="100"/>
      <c r="C2144" s="61"/>
      <c r="D2144" s="62"/>
      <c r="E2144" s="157"/>
      <c r="F2144" s="137"/>
      <c r="G2144" s="217"/>
    </row>
    <row r="2145" spans="1:7" s="30" customFormat="1" ht="41.45">
      <c r="A2145" s="66" t="s">
        <v>20</v>
      </c>
      <c r="B2145" s="67" t="s">
        <v>2885</v>
      </c>
      <c r="C2145" s="68"/>
      <c r="D2145" s="69" t="s">
        <v>2</v>
      </c>
      <c r="E2145" s="157">
        <v>95238.82</v>
      </c>
      <c r="F2145" s="137">
        <f>+E2145</f>
        <v>95238.82</v>
      </c>
      <c r="G2145" s="217"/>
    </row>
    <row r="2146" spans="1:7" s="30" customFormat="1" ht="14.45">
      <c r="A2146" s="59"/>
      <c r="B2146" s="63"/>
      <c r="C2146" s="61"/>
      <c r="D2146" s="62"/>
      <c r="E2146" s="157"/>
      <c r="F2146" s="137"/>
      <c r="G2146" s="217"/>
    </row>
    <row r="2147" spans="1:7" s="30" customFormat="1" ht="14.45">
      <c r="A2147" s="59"/>
      <c r="B2147" s="63"/>
      <c r="C2147" s="61"/>
      <c r="D2147" s="62"/>
      <c r="E2147" s="157"/>
      <c r="F2147" s="137"/>
      <c r="G2147" s="217"/>
    </row>
    <row r="2148" spans="1:7" s="30" customFormat="1" ht="14.45">
      <c r="A2148" s="59"/>
      <c r="B2148" s="63"/>
      <c r="C2148" s="61"/>
      <c r="D2148" s="62"/>
      <c r="E2148" s="157"/>
      <c r="F2148" s="137"/>
      <c r="G2148" s="217"/>
    </row>
    <row r="2149" spans="1:7" s="30" customFormat="1" ht="14.45">
      <c r="A2149" s="59"/>
      <c r="B2149" s="63"/>
      <c r="C2149" s="61"/>
      <c r="D2149" s="62"/>
      <c r="E2149" s="157"/>
      <c r="F2149" s="137"/>
      <c r="G2149" s="217"/>
    </row>
    <row r="2150" spans="1:7" s="30" customFormat="1" ht="14.45">
      <c r="A2150" s="59"/>
      <c r="B2150" s="63"/>
      <c r="C2150" s="61"/>
      <c r="D2150" s="62"/>
      <c r="E2150" s="157"/>
      <c r="F2150" s="137"/>
      <c r="G2150" s="217"/>
    </row>
    <row r="2151" spans="1:7" s="30" customFormat="1" ht="14.45">
      <c r="A2151" s="59"/>
      <c r="B2151" s="63"/>
      <c r="C2151" s="61"/>
      <c r="D2151" s="62"/>
      <c r="E2151" s="157"/>
      <c r="F2151" s="137"/>
      <c r="G2151" s="217"/>
    </row>
    <row r="2152" spans="1:7" s="30" customFormat="1" ht="14.45">
      <c r="A2152" s="59"/>
      <c r="B2152" s="63"/>
      <c r="C2152" s="61"/>
      <c r="D2152" s="62"/>
      <c r="E2152" s="157"/>
      <c r="F2152" s="137"/>
      <c r="G2152" s="217"/>
    </row>
    <row r="2153" spans="1:7" s="30" customFormat="1" ht="14.45">
      <c r="A2153" s="59"/>
      <c r="B2153" s="63"/>
      <c r="C2153" s="61"/>
      <c r="D2153" s="62"/>
      <c r="E2153" s="157"/>
      <c r="F2153" s="137"/>
      <c r="G2153" s="217"/>
    </row>
    <row r="2154" spans="1:7" s="30" customFormat="1" ht="14.45">
      <c r="A2154" s="59"/>
      <c r="B2154" s="63"/>
      <c r="C2154" s="61"/>
      <c r="D2154" s="62"/>
      <c r="E2154" s="157"/>
      <c r="F2154" s="137"/>
      <c r="G2154" s="217"/>
    </row>
    <row r="2155" spans="1:7" s="30" customFormat="1" ht="14.45">
      <c r="A2155" s="59"/>
      <c r="B2155" s="63"/>
      <c r="C2155" s="61"/>
      <c r="D2155" s="62"/>
      <c r="E2155" s="157"/>
      <c r="F2155" s="137"/>
      <c r="G2155" s="217"/>
    </row>
    <row r="2156" spans="1:7" s="30" customFormat="1" ht="14.45">
      <c r="A2156" s="59"/>
      <c r="B2156" s="63"/>
      <c r="C2156" s="61"/>
      <c r="D2156" s="62"/>
      <c r="E2156" s="157"/>
      <c r="F2156" s="137"/>
      <c r="G2156" s="217"/>
    </row>
    <row r="2157" spans="1:7" s="30" customFormat="1" ht="14.45">
      <c r="A2157" s="59"/>
      <c r="B2157" s="63"/>
      <c r="C2157" s="61"/>
      <c r="D2157" s="62"/>
      <c r="E2157" s="157"/>
      <c r="F2157" s="137"/>
      <c r="G2157" s="217"/>
    </row>
    <row r="2158" spans="1:7" s="30" customFormat="1" ht="14.45">
      <c r="A2158" s="59"/>
      <c r="B2158" s="63"/>
      <c r="C2158" s="61"/>
      <c r="D2158" s="62"/>
      <c r="E2158" s="157"/>
      <c r="F2158" s="137"/>
      <c r="G2158" s="217"/>
    </row>
    <row r="2159" spans="1:7" s="30" customFormat="1" ht="14.45">
      <c r="A2159" s="59"/>
      <c r="B2159" s="63"/>
      <c r="C2159" s="61"/>
      <c r="D2159" s="62"/>
      <c r="E2159" s="157"/>
      <c r="F2159" s="137"/>
      <c r="G2159" s="217"/>
    </row>
    <row r="2160" spans="1:7" s="30" customFormat="1" ht="14.45">
      <c r="A2160" s="59"/>
      <c r="B2160" s="63"/>
      <c r="C2160" s="61"/>
      <c r="D2160" s="62"/>
      <c r="E2160" s="157"/>
      <c r="F2160" s="137"/>
      <c r="G2160" s="217"/>
    </row>
    <row r="2161" spans="1:7" s="30" customFormat="1" ht="14.45">
      <c r="A2161" s="59"/>
      <c r="B2161" s="63"/>
      <c r="C2161" s="61"/>
      <c r="D2161" s="62"/>
      <c r="E2161" s="157"/>
      <c r="F2161" s="137"/>
      <c r="G2161" s="217"/>
    </row>
    <row r="2162" spans="1:7" s="30" customFormat="1" ht="14.45">
      <c r="A2162" s="59"/>
      <c r="B2162" s="63"/>
      <c r="C2162" s="61"/>
      <c r="D2162" s="62"/>
      <c r="E2162" s="157"/>
      <c r="F2162" s="137"/>
      <c r="G2162" s="217"/>
    </row>
    <row r="2163" spans="1:7" s="30" customFormat="1" ht="14.45">
      <c r="A2163" s="59"/>
      <c r="B2163" s="63"/>
      <c r="C2163" s="61"/>
      <c r="D2163" s="62"/>
      <c r="E2163" s="157"/>
      <c r="F2163" s="137"/>
      <c r="G2163" s="217"/>
    </row>
    <row r="2164" spans="1:7" s="30" customFormat="1" ht="14.45">
      <c r="A2164" s="59"/>
      <c r="B2164" s="63"/>
      <c r="C2164" s="61"/>
      <c r="D2164" s="62"/>
      <c r="E2164" s="157"/>
      <c r="F2164" s="137"/>
      <c r="G2164" s="217"/>
    </row>
    <row r="2165" spans="1:7" s="30" customFormat="1" ht="14.45">
      <c r="A2165" s="59"/>
      <c r="B2165" s="63"/>
      <c r="C2165" s="61"/>
      <c r="D2165" s="62"/>
      <c r="E2165" s="157"/>
      <c r="F2165" s="137"/>
      <c r="G2165" s="217"/>
    </row>
    <row r="2166" spans="1:7" s="30" customFormat="1" ht="14.45">
      <c r="A2166" s="59"/>
      <c r="B2166" s="63"/>
      <c r="C2166" s="61"/>
      <c r="D2166" s="62"/>
      <c r="E2166" s="157"/>
      <c r="F2166" s="137"/>
      <c r="G2166" s="217"/>
    </row>
    <row r="2167" spans="1:7" s="30" customFormat="1" ht="14.45">
      <c r="A2167" s="59"/>
      <c r="B2167" s="63"/>
      <c r="C2167" s="61"/>
      <c r="D2167" s="62"/>
      <c r="E2167" s="157"/>
      <c r="F2167" s="137"/>
      <c r="G2167" s="217"/>
    </row>
    <row r="2168" spans="1:7" s="30" customFormat="1" ht="14.45">
      <c r="A2168" s="59"/>
      <c r="B2168" s="63"/>
      <c r="C2168" s="61"/>
      <c r="D2168" s="62"/>
      <c r="E2168" s="157"/>
      <c r="F2168" s="137"/>
      <c r="G2168" s="217"/>
    </row>
    <row r="2169" spans="1:7" s="30" customFormat="1" ht="14.45">
      <c r="A2169" s="59"/>
      <c r="B2169" s="63"/>
      <c r="C2169" s="61"/>
      <c r="D2169" s="62"/>
      <c r="E2169" s="157"/>
      <c r="F2169" s="137"/>
      <c r="G2169" s="217"/>
    </row>
    <row r="2170" spans="1:7" s="30" customFormat="1" ht="14.45">
      <c r="A2170" s="59"/>
      <c r="B2170" s="63"/>
      <c r="C2170" s="61"/>
      <c r="D2170" s="62"/>
      <c r="E2170" s="157"/>
      <c r="F2170" s="137"/>
      <c r="G2170" s="217"/>
    </row>
    <row r="2171" spans="1:7" s="30" customFormat="1" ht="14.45">
      <c r="A2171" s="59"/>
      <c r="B2171" s="63"/>
      <c r="C2171" s="61"/>
      <c r="D2171" s="62"/>
      <c r="E2171" s="157"/>
      <c r="F2171" s="137"/>
      <c r="G2171" s="217"/>
    </row>
    <row r="2172" spans="1:7" s="30" customFormat="1" ht="14.45">
      <c r="A2172" s="59"/>
      <c r="B2172" s="63"/>
      <c r="C2172" s="61"/>
      <c r="D2172" s="62"/>
      <c r="E2172" s="157"/>
      <c r="F2172" s="137"/>
      <c r="G2172" s="217"/>
    </row>
    <row r="2173" spans="1:7" s="30" customFormat="1" ht="14.45">
      <c r="A2173" s="59"/>
      <c r="B2173" s="63"/>
      <c r="C2173" s="61"/>
      <c r="D2173" s="62"/>
      <c r="E2173" s="157"/>
      <c r="F2173" s="137"/>
      <c r="G2173" s="217"/>
    </row>
    <row r="2174" spans="1:7" s="30" customFormat="1" ht="14.45">
      <c r="A2174" s="59"/>
      <c r="B2174" s="63"/>
      <c r="C2174" s="61"/>
      <c r="D2174" s="62"/>
      <c r="E2174" s="157"/>
      <c r="F2174" s="137"/>
      <c r="G2174" s="217"/>
    </row>
    <row r="2175" spans="1:7" s="30" customFormat="1" ht="14.45">
      <c r="A2175" s="59"/>
      <c r="B2175" s="63"/>
      <c r="C2175" s="61"/>
      <c r="D2175" s="62"/>
      <c r="E2175" s="157"/>
      <c r="F2175" s="137"/>
      <c r="G2175" s="217"/>
    </row>
    <row r="2176" spans="1:7" s="30" customFormat="1" ht="14.45">
      <c r="A2176" s="59"/>
      <c r="B2176" s="63"/>
      <c r="C2176" s="61"/>
      <c r="D2176" s="62"/>
      <c r="E2176" s="157"/>
      <c r="F2176" s="137"/>
      <c r="G2176" s="217"/>
    </row>
    <row r="2177" spans="1:7" s="30" customFormat="1" ht="14.45">
      <c r="A2177" s="59"/>
      <c r="B2177" s="63"/>
      <c r="C2177" s="61"/>
      <c r="D2177" s="62"/>
      <c r="E2177" s="157"/>
      <c r="F2177" s="137"/>
      <c r="G2177" s="217"/>
    </row>
    <row r="2178" spans="1:7" s="30" customFormat="1" ht="14.45">
      <c r="A2178" s="59"/>
      <c r="B2178" s="63"/>
      <c r="C2178" s="61"/>
      <c r="D2178" s="62"/>
      <c r="E2178" s="157"/>
      <c r="F2178" s="137"/>
      <c r="G2178" s="217"/>
    </row>
    <row r="2179" spans="1:7" s="30" customFormat="1" ht="14.45">
      <c r="A2179" s="59"/>
      <c r="B2179" s="63"/>
      <c r="C2179" s="61"/>
      <c r="D2179" s="62"/>
      <c r="E2179" s="157"/>
      <c r="F2179" s="137"/>
      <c r="G2179" s="217"/>
    </row>
    <row r="2180" spans="1:7" s="30" customFormat="1" ht="14.45">
      <c r="A2180" s="59"/>
      <c r="B2180" s="63"/>
      <c r="C2180" s="61"/>
      <c r="D2180" s="62"/>
      <c r="E2180" s="157"/>
      <c r="F2180" s="137"/>
      <c r="G2180" s="217"/>
    </row>
    <row r="2181" spans="1:7" s="30" customFormat="1" ht="14.45">
      <c r="A2181" s="71"/>
      <c r="B2181" s="72"/>
      <c r="C2181" s="73"/>
      <c r="D2181" s="74"/>
      <c r="E2181" s="159"/>
      <c r="F2181" s="138"/>
      <c r="G2181" s="226"/>
    </row>
    <row r="2182" spans="1:7" s="30" customFormat="1" ht="14.45">
      <c r="A2182" s="75"/>
      <c r="B2182" s="76"/>
      <c r="C2182" s="77" t="s">
        <v>30</v>
      </c>
      <c r="D2182" s="77"/>
      <c r="E2182" s="160" t="s">
        <v>8</v>
      </c>
      <c r="F2182" s="139">
        <f>SUM(F2139:F2157)</f>
        <v>272669.26</v>
      </c>
      <c r="G2182" s="227"/>
    </row>
    <row r="2183" spans="1:7" s="30" customFormat="1" ht="14.45">
      <c r="A2183" s="75"/>
      <c r="B2183" s="76"/>
      <c r="C2183" s="78"/>
      <c r="D2183" s="79"/>
      <c r="E2183" s="161"/>
      <c r="F2183" s="140"/>
      <c r="G2183" s="228"/>
    </row>
    <row r="2184" spans="1:7" s="30" customFormat="1" ht="14.45">
      <c r="A2184" s="59"/>
      <c r="B2184" s="63"/>
      <c r="C2184" s="61"/>
      <c r="D2184" s="62"/>
      <c r="E2184" s="157"/>
      <c r="F2184" s="137"/>
      <c r="G2184" s="217"/>
    </row>
    <row r="2185" spans="1:7" s="30" customFormat="1" ht="14.45">
      <c r="A2185" s="59"/>
      <c r="B2185" s="64" t="s">
        <v>2886</v>
      </c>
      <c r="C2185" s="61"/>
      <c r="D2185" s="62"/>
      <c r="E2185" s="157"/>
      <c r="F2185" s="137"/>
      <c r="G2185" s="217"/>
    </row>
    <row r="2186" spans="1:7" s="30" customFormat="1" ht="14.45">
      <c r="A2186" s="59"/>
      <c r="B2186" s="100"/>
      <c r="C2186" s="61"/>
      <c r="D2186" s="62"/>
      <c r="E2186" s="157"/>
      <c r="F2186" s="137"/>
      <c r="G2186" s="217"/>
    </row>
    <row r="2187" spans="1:7" s="30" customFormat="1" ht="14.45">
      <c r="A2187" s="66"/>
      <c r="B2187" s="99" t="s">
        <v>979</v>
      </c>
      <c r="C2187" s="68"/>
      <c r="D2187" s="69"/>
      <c r="E2187" s="157"/>
      <c r="F2187" s="137"/>
      <c r="G2187" s="217"/>
    </row>
    <row r="2188" spans="1:7" s="30" customFormat="1" ht="14.45">
      <c r="A2188" s="59"/>
      <c r="B2188" s="100"/>
      <c r="C2188" s="61"/>
      <c r="D2188" s="62"/>
      <c r="E2188" s="157"/>
      <c r="F2188" s="137"/>
      <c r="G2188" s="217"/>
    </row>
    <row r="2189" spans="1:7" s="30" customFormat="1" ht="55.15">
      <c r="A2189" s="66"/>
      <c r="B2189" s="99" t="s">
        <v>2887</v>
      </c>
      <c r="C2189" s="68"/>
      <c r="D2189" s="69"/>
      <c r="E2189" s="157"/>
      <c r="F2189" s="137"/>
      <c r="G2189" s="217"/>
    </row>
    <row r="2190" spans="1:7" s="30" customFormat="1" ht="14.45">
      <c r="A2190" s="59"/>
      <c r="B2190" s="100"/>
      <c r="C2190" s="61"/>
      <c r="D2190" s="62"/>
      <c r="E2190" s="157"/>
      <c r="F2190" s="137"/>
      <c r="G2190" s="217"/>
    </row>
    <row r="2191" spans="1:7" s="30" customFormat="1" ht="82.9">
      <c r="A2191" s="66"/>
      <c r="B2191" s="99" t="s">
        <v>2888</v>
      </c>
      <c r="C2191" s="68"/>
      <c r="D2191" s="69"/>
      <c r="E2191" s="157"/>
      <c r="F2191" s="137"/>
      <c r="G2191" s="217"/>
    </row>
    <row r="2192" spans="1:7" s="30" customFormat="1" ht="14.45">
      <c r="A2192" s="59"/>
      <c r="B2192" s="100"/>
      <c r="C2192" s="61"/>
      <c r="D2192" s="62"/>
      <c r="E2192" s="157"/>
      <c r="F2192" s="137"/>
      <c r="G2192" s="217"/>
    </row>
    <row r="2193" spans="1:7" s="30" customFormat="1" ht="27.6">
      <c r="A2193" s="66"/>
      <c r="B2193" s="99" t="s">
        <v>2889</v>
      </c>
      <c r="C2193" s="68"/>
      <c r="D2193" s="69"/>
      <c r="E2193" s="157"/>
      <c r="F2193" s="137"/>
      <c r="G2193" s="217"/>
    </row>
    <row r="2194" spans="1:7" s="30" customFormat="1" ht="14.45">
      <c r="A2194" s="59"/>
      <c r="B2194" s="100"/>
      <c r="C2194" s="61"/>
      <c r="D2194" s="62"/>
      <c r="E2194" s="157"/>
      <c r="F2194" s="137"/>
      <c r="G2194" s="217"/>
    </row>
    <row r="2195" spans="1:7" s="30" customFormat="1" ht="41.45">
      <c r="A2195" s="66"/>
      <c r="B2195" s="98" t="s">
        <v>2890</v>
      </c>
      <c r="C2195" s="68"/>
      <c r="D2195" s="69"/>
      <c r="E2195" s="157"/>
      <c r="F2195" s="137"/>
      <c r="G2195" s="217"/>
    </row>
    <row r="2196" spans="1:7" s="30" customFormat="1" ht="14.45">
      <c r="A2196" s="59"/>
      <c r="B2196" s="100"/>
      <c r="C2196" s="61"/>
      <c r="D2196" s="62"/>
      <c r="E2196" s="157"/>
      <c r="F2196" s="137"/>
      <c r="G2196" s="217"/>
    </row>
    <row r="2197" spans="1:7" s="30" customFormat="1" ht="14.45">
      <c r="A2197" s="66" t="s">
        <v>14</v>
      </c>
      <c r="B2197" s="67" t="s">
        <v>2891</v>
      </c>
      <c r="C2197" s="68" t="s">
        <v>2892</v>
      </c>
      <c r="D2197" s="69" t="s">
        <v>63</v>
      </c>
      <c r="E2197" s="157">
        <v>1183.1099999999999</v>
      </c>
      <c r="F2197" s="137">
        <f t="shared" ref="F2197" si="536">C2197*E2197</f>
        <v>492173.75999999995</v>
      </c>
      <c r="G2197" s="217"/>
    </row>
    <row r="2198" spans="1:7" s="30" customFormat="1" ht="14.45">
      <c r="A2198" s="59"/>
      <c r="B2198" s="100"/>
      <c r="C2198" s="61"/>
      <c r="D2198" s="62"/>
      <c r="E2198" s="157"/>
      <c r="F2198" s="137"/>
      <c r="G2198" s="217"/>
    </row>
    <row r="2199" spans="1:7" s="30" customFormat="1" ht="14.45">
      <c r="A2199" s="66" t="s">
        <v>17</v>
      </c>
      <c r="B2199" s="67" t="s">
        <v>2893</v>
      </c>
      <c r="C2199" s="68" t="s">
        <v>2894</v>
      </c>
      <c r="D2199" s="69" t="s">
        <v>199</v>
      </c>
      <c r="E2199" s="157">
        <v>394.37</v>
      </c>
      <c r="F2199" s="137">
        <f t="shared" ref="F2199" si="537">C2199*E2199</f>
        <v>2059794.51</v>
      </c>
      <c r="G2199" s="217"/>
    </row>
    <row r="2200" spans="1:7" s="30" customFormat="1" ht="14.45">
      <c r="A2200" s="59"/>
      <c r="B2200" s="100"/>
      <c r="C2200" s="61"/>
      <c r="D2200" s="62"/>
      <c r="E2200" s="157"/>
      <c r="F2200" s="137"/>
      <c r="G2200" s="217"/>
    </row>
    <row r="2201" spans="1:7" s="30" customFormat="1" ht="27.6">
      <c r="A2201" s="66" t="s">
        <v>20</v>
      </c>
      <c r="B2201" s="67" t="s">
        <v>2895</v>
      </c>
      <c r="C2201" s="68" t="s">
        <v>2896</v>
      </c>
      <c r="D2201" s="69" t="s">
        <v>63</v>
      </c>
      <c r="E2201" s="157">
        <v>377.39</v>
      </c>
      <c r="F2201" s="137">
        <f t="shared" ref="F2201" si="538">C2201*E2201</f>
        <v>3595394.53</v>
      </c>
      <c r="G2201" s="217" t="s">
        <v>2897</v>
      </c>
    </row>
    <row r="2202" spans="1:7" s="30" customFormat="1" ht="14.45">
      <c r="A2202" s="59"/>
      <c r="B2202" s="100"/>
      <c r="C2202" s="61"/>
      <c r="D2202" s="62"/>
      <c r="E2202" s="157"/>
      <c r="F2202" s="137"/>
      <c r="G2202" s="217"/>
    </row>
    <row r="2203" spans="1:7" s="30" customFormat="1" ht="27.6">
      <c r="A2203" s="66" t="s">
        <v>23</v>
      </c>
      <c r="B2203" s="67" t="s">
        <v>2898</v>
      </c>
      <c r="C2203" s="68" t="s">
        <v>2899</v>
      </c>
      <c r="D2203" s="69" t="s">
        <v>199</v>
      </c>
      <c r="E2203" s="157">
        <v>125.79</v>
      </c>
      <c r="F2203" s="137">
        <f t="shared" ref="F2203" si="539">C2203*E2203</f>
        <v>2750901.5100000002</v>
      </c>
      <c r="G2203" s="217" t="s">
        <v>2897</v>
      </c>
    </row>
    <row r="2204" spans="1:7" s="30" customFormat="1" ht="14.45">
      <c r="A2204" s="59"/>
      <c r="B2204" s="100"/>
      <c r="C2204" s="61"/>
      <c r="D2204" s="62"/>
      <c r="E2204" s="157"/>
      <c r="F2204" s="137"/>
      <c r="G2204" s="217"/>
    </row>
    <row r="2205" spans="1:7" s="30" customFormat="1" ht="27.6">
      <c r="A2205" s="66" t="s">
        <v>27</v>
      </c>
      <c r="B2205" s="67" t="s">
        <v>2900</v>
      </c>
      <c r="C2205" s="68" t="s">
        <v>2901</v>
      </c>
      <c r="D2205" s="69" t="s">
        <v>16</v>
      </c>
      <c r="E2205" s="157">
        <v>377.39</v>
      </c>
      <c r="F2205" s="137">
        <f t="shared" ref="F2205" si="540">C2205*E2205</f>
        <v>136615.18</v>
      </c>
      <c r="G2205" s="217" t="s">
        <v>2897</v>
      </c>
    </row>
    <row r="2206" spans="1:7" s="30" customFormat="1" ht="14.45">
      <c r="A2206" s="59"/>
      <c r="B2206" s="100"/>
      <c r="C2206" s="61"/>
      <c r="D2206" s="62"/>
      <c r="E2206" s="157"/>
      <c r="F2206" s="137"/>
      <c r="G2206" s="217"/>
    </row>
    <row r="2207" spans="1:7" s="30" customFormat="1" ht="14.45">
      <c r="A2207" s="66" t="s">
        <v>44</v>
      </c>
      <c r="B2207" s="67" t="s">
        <v>2902</v>
      </c>
      <c r="C2207" s="68" t="s">
        <v>2903</v>
      </c>
      <c r="D2207" s="69" t="s">
        <v>63</v>
      </c>
      <c r="E2207" s="157">
        <v>687.96</v>
      </c>
      <c r="F2207" s="137">
        <f t="shared" ref="F2207" si="541">C2207*E2207</f>
        <v>550368</v>
      </c>
      <c r="G2207" s="217"/>
    </row>
    <row r="2208" spans="1:7" s="30" customFormat="1" ht="14.45">
      <c r="A2208" s="59"/>
      <c r="B2208" s="100"/>
      <c r="C2208" s="61"/>
      <c r="D2208" s="62"/>
      <c r="E2208" s="157"/>
      <c r="F2208" s="137"/>
      <c r="G2208" s="217"/>
    </row>
    <row r="2209" spans="1:7" s="30" customFormat="1" ht="27.6">
      <c r="A2209" s="66" t="s">
        <v>48</v>
      </c>
      <c r="B2209" s="67" t="s">
        <v>2904</v>
      </c>
      <c r="C2209" s="68" t="s">
        <v>966</v>
      </c>
      <c r="D2209" s="69" t="s">
        <v>199</v>
      </c>
      <c r="E2209" s="157">
        <v>125.79</v>
      </c>
      <c r="F2209" s="137">
        <f t="shared" ref="F2209" si="542">C2209*E2209</f>
        <v>22264.83</v>
      </c>
      <c r="G2209" s="217" t="s">
        <v>2897</v>
      </c>
    </row>
    <row r="2210" spans="1:7" s="30" customFormat="1" ht="14.45">
      <c r="A2210" s="59"/>
      <c r="B2210" s="100"/>
      <c r="C2210" s="61"/>
      <c r="D2210" s="62"/>
      <c r="E2210" s="157"/>
      <c r="F2210" s="137"/>
      <c r="G2210" s="217"/>
    </row>
    <row r="2211" spans="1:7" s="30" customFormat="1" ht="14.45">
      <c r="A2211" s="66" t="s">
        <v>84</v>
      </c>
      <c r="B2211" s="67" t="s">
        <v>2905</v>
      </c>
      <c r="C2211" s="68" t="s">
        <v>2906</v>
      </c>
      <c r="D2211" s="69" t="s">
        <v>63</v>
      </c>
      <c r="E2211" s="157">
        <v>1738.06</v>
      </c>
      <c r="F2211" s="137">
        <f t="shared" ref="F2211" si="543">C2211*E2211</f>
        <v>750841.91999999993</v>
      </c>
      <c r="G2211" s="217"/>
    </row>
    <row r="2212" spans="1:7" s="30" customFormat="1" ht="14.45">
      <c r="A2212" s="59"/>
      <c r="B2212" s="100"/>
      <c r="C2212" s="61"/>
      <c r="D2212" s="62"/>
      <c r="E2212" s="157"/>
      <c r="F2212" s="137"/>
      <c r="G2212" s="217"/>
    </row>
    <row r="2213" spans="1:7" s="30" customFormat="1" ht="14.45">
      <c r="A2213" s="66" t="s">
        <v>86</v>
      </c>
      <c r="B2213" s="67" t="s">
        <v>2907</v>
      </c>
      <c r="C2213" s="68" t="s">
        <v>2908</v>
      </c>
      <c r="D2213" s="69" t="s">
        <v>199</v>
      </c>
      <c r="E2213" s="157">
        <v>579.35</v>
      </c>
      <c r="F2213" s="137">
        <f t="shared" ref="F2213" si="544">C2213*E2213</f>
        <v>822677</v>
      </c>
      <c r="G2213" s="217"/>
    </row>
    <row r="2214" spans="1:7" s="30" customFormat="1" ht="14.45">
      <c r="A2214" s="59"/>
      <c r="B2214" s="100"/>
      <c r="C2214" s="61"/>
      <c r="D2214" s="62"/>
      <c r="E2214" s="157"/>
      <c r="F2214" s="137"/>
      <c r="G2214" s="217"/>
    </row>
    <row r="2215" spans="1:7" s="30" customFormat="1" ht="14.45">
      <c r="A2215" s="66" t="s">
        <v>90</v>
      </c>
      <c r="B2215" s="67" t="s">
        <v>2909</v>
      </c>
      <c r="C2215" s="68" t="s">
        <v>2910</v>
      </c>
      <c r="D2215" s="69" t="s">
        <v>63</v>
      </c>
      <c r="E2215" s="157">
        <v>676.46</v>
      </c>
      <c r="F2215" s="137">
        <f t="shared" ref="F2215" si="545">C2215*E2215</f>
        <v>445110.68000000005</v>
      </c>
      <c r="G2215" s="217"/>
    </row>
    <row r="2216" spans="1:7" s="30" customFormat="1" ht="14.45">
      <c r="A2216" s="66"/>
      <c r="B2216" s="99"/>
      <c r="C2216" s="68"/>
      <c r="D2216" s="69"/>
      <c r="E2216" s="157"/>
      <c r="F2216" s="137"/>
      <c r="G2216" s="217"/>
    </row>
    <row r="2217" spans="1:7" s="30" customFormat="1" ht="28.9">
      <c r="A2217" s="59"/>
      <c r="B2217" s="230" t="s">
        <v>323</v>
      </c>
      <c r="C2217" s="61"/>
      <c r="D2217" s="62"/>
      <c r="E2217" s="157"/>
      <c r="F2217" s="137"/>
      <c r="G2217" s="217"/>
    </row>
    <row r="2218" spans="1:7" s="30" customFormat="1" ht="14.45">
      <c r="A2218" s="71"/>
      <c r="B2218" s="72"/>
      <c r="C2218" s="73"/>
      <c r="D2218" s="74"/>
      <c r="E2218" s="159"/>
      <c r="F2218" s="138"/>
      <c r="G2218" s="226"/>
    </row>
    <row r="2219" spans="1:7" s="30" customFormat="1" ht="14.45">
      <c r="A2219" s="75"/>
      <c r="B2219" s="76"/>
      <c r="C2219" s="77" t="s">
        <v>30</v>
      </c>
      <c r="D2219" s="77"/>
      <c r="E2219" s="160" t="s">
        <v>8</v>
      </c>
      <c r="F2219" s="139">
        <f>SUM(F2195:F2216)</f>
        <v>11626141.92</v>
      </c>
      <c r="G2219" s="227"/>
    </row>
    <row r="2220" spans="1:7" s="30" customFormat="1" ht="14.45">
      <c r="A2220" s="75"/>
      <c r="B2220" s="76"/>
      <c r="C2220" s="78"/>
      <c r="D2220" s="79"/>
      <c r="E2220" s="161"/>
      <c r="F2220" s="140"/>
      <c r="G2220" s="228"/>
    </row>
    <row r="2221" spans="1:7" s="30" customFormat="1" ht="14.45">
      <c r="A2221" s="59"/>
      <c r="B2221" s="63"/>
      <c r="C2221" s="61"/>
      <c r="D2221" s="62"/>
      <c r="E2221" s="157"/>
      <c r="F2221" s="137"/>
      <c r="G2221" s="217"/>
    </row>
    <row r="2222" spans="1:7" s="30" customFormat="1" ht="14.45">
      <c r="A2222" s="59"/>
      <c r="B2222" s="64" t="s">
        <v>2911</v>
      </c>
      <c r="C2222" s="61"/>
      <c r="D2222" s="62"/>
      <c r="E2222" s="157"/>
      <c r="F2222" s="137"/>
      <c r="G2222" s="217"/>
    </row>
    <row r="2223" spans="1:7" s="30" customFormat="1" ht="14.45">
      <c r="A2223" s="59"/>
      <c r="B2223" s="103"/>
      <c r="C2223" s="61"/>
      <c r="D2223" s="62"/>
      <c r="E2223" s="157"/>
      <c r="F2223" s="137"/>
      <c r="G2223" s="217"/>
    </row>
    <row r="2224" spans="1:7" s="30" customFormat="1" ht="27.6">
      <c r="A2224" s="66"/>
      <c r="B2224" s="98" t="s">
        <v>2912</v>
      </c>
      <c r="C2224" s="68"/>
      <c r="D2224" s="69"/>
      <c r="E2224" s="157"/>
      <c r="F2224" s="137"/>
      <c r="G2224" s="217"/>
    </row>
    <row r="2225" spans="1:7" s="30" customFormat="1" ht="14.45">
      <c r="A2225" s="59"/>
      <c r="B2225" s="100"/>
      <c r="C2225" s="61"/>
      <c r="D2225" s="62"/>
      <c r="E2225" s="157"/>
      <c r="F2225" s="137"/>
      <c r="G2225" s="217"/>
    </row>
    <row r="2226" spans="1:7" s="30" customFormat="1" ht="14.45">
      <c r="A2226" s="66"/>
      <c r="B2226" s="98" t="s">
        <v>2913</v>
      </c>
      <c r="C2226" s="68"/>
      <c r="D2226" s="69"/>
      <c r="E2226" s="157"/>
      <c r="F2226" s="137"/>
      <c r="G2226" s="217"/>
    </row>
    <row r="2227" spans="1:7" s="30" customFormat="1" ht="14.45">
      <c r="A2227" s="59"/>
      <c r="B2227" s="100"/>
      <c r="C2227" s="61"/>
      <c r="D2227" s="62"/>
      <c r="E2227" s="157"/>
      <c r="F2227" s="137"/>
      <c r="G2227" s="217"/>
    </row>
    <row r="2228" spans="1:7" s="30" customFormat="1" ht="27.6">
      <c r="A2228" s="66" t="s">
        <v>14</v>
      </c>
      <c r="B2228" s="67" t="s">
        <v>2914</v>
      </c>
      <c r="C2228" s="68" t="s">
        <v>2915</v>
      </c>
      <c r="D2228" s="69" t="s">
        <v>199</v>
      </c>
      <c r="E2228" s="157">
        <v>295.20999999999998</v>
      </c>
      <c r="F2228" s="137">
        <f t="shared" ref="F2228" si="546">C2228*E2228</f>
        <v>89743.84</v>
      </c>
      <c r="G2228" s="217" t="s">
        <v>2916</v>
      </c>
    </row>
    <row r="2229" spans="1:7" s="30" customFormat="1" ht="14.45">
      <c r="A2229" s="59"/>
      <c r="B2229" s="100"/>
      <c r="C2229" s="61"/>
      <c r="D2229" s="62"/>
      <c r="E2229" s="157"/>
      <c r="F2229" s="137"/>
      <c r="G2229" s="217"/>
    </row>
    <row r="2230" spans="1:7" s="30" customFormat="1" ht="27.6">
      <c r="A2230" s="66" t="s">
        <v>17</v>
      </c>
      <c r="B2230" s="67" t="s">
        <v>2917</v>
      </c>
      <c r="C2230" s="68" t="s">
        <v>1294</v>
      </c>
      <c r="D2230" s="69" t="s">
        <v>199</v>
      </c>
      <c r="E2230" s="157">
        <v>379.49</v>
      </c>
      <c r="F2230" s="137">
        <f t="shared" ref="F2230" si="547">C2230*E2230</f>
        <v>42502.880000000005</v>
      </c>
      <c r="G2230" s="217" t="s">
        <v>2916</v>
      </c>
    </row>
    <row r="2231" spans="1:7" s="30" customFormat="1" ht="14.45">
      <c r="A2231" s="59"/>
      <c r="B2231" s="100"/>
      <c r="C2231" s="61"/>
      <c r="D2231" s="62"/>
      <c r="E2231" s="157"/>
      <c r="F2231" s="137"/>
      <c r="G2231" s="217"/>
    </row>
    <row r="2232" spans="1:7" s="30" customFormat="1" ht="27.6">
      <c r="A2232" s="66" t="s">
        <v>20</v>
      </c>
      <c r="B2232" s="67" t="s">
        <v>2918</v>
      </c>
      <c r="C2232" s="68" t="s">
        <v>2919</v>
      </c>
      <c r="D2232" s="69" t="s">
        <v>199</v>
      </c>
      <c r="E2232" s="157">
        <v>307.88</v>
      </c>
      <c r="F2232" s="137">
        <f t="shared" ref="F2232" si="548">C2232*E2232</f>
        <v>94211.28</v>
      </c>
      <c r="G2232" s="217" t="s">
        <v>2916</v>
      </c>
    </row>
    <row r="2233" spans="1:7" s="30" customFormat="1" ht="14.45">
      <c r="A2233" s="59"/>
      <c r="B2233" s="100"/>
      <c r="C2233" s="61"/>
      <c r="D2233" s="62"/>
      <c r="E2233" s="157"/>
      <c r="F2233" s="137"/>
      <c r="G2233" s="217"/>
    </row>
    <row r="2234" spans="1:7" s="30" customFormat="1" ht="27.6">
      <c r="A2234" s="66" t="s">
        <v>23</v>
      </c>
      <c r="B2234" s="67" t="s">
        <v>2920</v>
      </c>
      <c r="C2234" s="68" t="s">
        <v>451</v>
      </c>
      <c r="D2234" s="69" t="s">
        <v>63</v>
      </c>
      <c r="E2234" s="157">
        <v>574.17999999999995</v>
      </c>
      <c r="F2234" s="137">
        <f t="shared" ref="F2234" si="549">C2234*E2234</f>
        <v>9186.8799999999992</v>
      </c>
      <c r="G2234" s="217" t="s">
        <v>2916</v>
      </c>
    </row>
    <row r="2235" spans="1:7" s="30" customFormat="1" ht="14.45">
      <c r="A2235" s="59"/>
      <c r="B2235" s="100"/>
      <c r="C2235" s="61"/>
      <c r="D2235" s="62"/>
      <c r="E2235" s="157"/>
      <c r="F2235" s="137"/>
      <c r="G2235" s="217"/>
    </row>
    <row r="2236" spans="1:7" s="30" customFormat="1" ht="27.6">
      <c r="A2236" s="66" t="s">
        <v>27</v>
      </c>
      <c r="B2236" s="67" t="s">
        <v>2921</v>
      </c>
      <c r="C2236" s="68" t="s">
        <v>479</v>
      </c>
      <c r="D2236" s="69" t="s">
        <v>63</v>
      </c>
      <c r="E2236" s="157">
        <v>307.88</v>
      </c>
      <c r="F2236" s="137">
        <f t="shared" ref="F2236" si="550">C2236*E2236</f>
        <v>2770.92</v>
      </c>
      <c r="G2236" s="217" t="s">
        <v>2916</v>
      </c>
    </row>
    <row r="2237" spans="1:7" s="30" customFormat="1" ht="14.45">
      <c r="A2237" s="59"/>
      <c r="B2237" s="100"/>
      <c r="C2237" s="61"/>
      <c r="D2237" s="62"/>
      <c r="E2237" s="157"/>
      <c r="F2237" s="137"/>
      <c r="G2237" s="217"/>
    </row>
    <row r="2238" spans="1:7" s="30" customFormat="1" ht="27.6">
      <c r="A2238" s="66" t="s">
        <v>44</v>
      </c>
      <c r="B2238" s="67" t="s">
        <v>2922</v>
      </c>
      <c r="C2238" s="68" t="s">
        <v>2923</v>
      </c>
      <c r="D2238" s="69" t="s">
        <v>63</v>
      </c>
      <c r="E2238" s="157">
        <v>576.38</v>
      </c>
      <c r="F2238" s="137">
        <f t="shared" ref="F2238" si="551">C2238*E2238</f>
        <v>130838.26</v>
      </c>
      <c r="G2238" s="217" t="s">
        <v>2916</v>
      </c>
    </row>
    <row r="2239" spans="1:7" s="30" customFormat="1" ht="14.45">
      <c r="A2239" s="59"/>
      <c r="B2239" s="100"/>
      <c r="C2239" s="61"/>
      <c r="D2239" s="62"/>
      <c r="E2239" s="157"/>
      <c r="F2239" s="137"/>
      <c r="G2239" s="217"/>
    </row>
    <row r="2240" spans="1:7" s="30" customFormat="1" ht="27.6">
      <c r="A2240" s="66" t="s">
        <v>48</v>
      </c>
      <c r="B2240" s="67" t="s">
        <v>2924</v>
      </c>
      <c r="C2240" s="68" t="s">
        <v>2925</v>
      </c>
      <c r="D2240" s="69" t="s">
        <v>63</v>
      </c>
      <c r="E2240" s="157">
        <v>576.38</v>
      </c>
      <c r="F2240" s="137">
        <f t="shared" ref="F2240" si="552">C2240*E2240</f>
        <v>56485.24</v>
      </c>
      <c r="G2240" s="217" t="s">
        <v>2916</v>
      </c>
    </row>
    <row r="2241" spans="1:7" s="30" customFormat="1" ht="14.45">
      <c r="A2241" s="59"/>
      <c r="B2241" s="100"/>
      <c r="C2241" s="61"/>
      <c r="D2241" s="62"/>
      <c r="E2241" s="157"/>
      <c r="F2241" s="137"/>
      <c r="G2241" s="217"/>
    </row>
    <row r="2242" spans="1:7" s="30" customFormat="1" ht="27.6">
      <c r="A2242" s="66" t="s">
        <v>84</v>
      </c>
      <c r="B2242" s="67" t="s">
        <v>2926</v>
      </c>
      <c r="C2242" s="68" t="s">
        <v>332</v>
      </c>
      <c r="D2242" s="69" t="s">
        <v>63</v>
      </c>
      <c r="E2242" s="157">
        <v>1263.6099999999999</v>
      </c>
      <c r="F2242" s="137">
        <f t="shared" ref="F2242" si="553">C2242*E2242</f>
        <v>12636.099999999999</v>
      </c>
      <c r="G2242" s="217" t="s">
        <v>2916</v>
      </c>
    </row>
    <row r="2243" spans="1:7" s="30" customFormat="1" ht="14.45">
      <c r="A2243" s="59"/>
      <c r="B2243" s="100"/>
      <c r="C2243" s="61"/>
      <c r="D2243" s="62"/>
      <c r="E2243" s="157"/>
      <c r="F2243" s="137"/>
      <c r="G2243" s="217"/>
    </row>
    <row r="2244" spans="1:7" s="30" customFormat="1" ht="27.6">
      <c r="A2244" s="66" t="s">
        <v>86</v>
      </c>
      <c r="B2244" s="67" t="s">
        <v>2927</v>
      </c>
      <c r="C2244" s="68" t="s">
        <v>2928</v>
      </c>
      <c r="D2244" s="69" t="s">
        <v>199</v>
      </c>
      <c r="E2244" s="157">
        <v>142.6</v>
      </c>
      <c r="F2244" s="137">
        <f t="shared" ref="F2244" si="554">C2244*E2244</f>
        <v>322989</v>
      </c>
      <c r="G2244" s="217" t="s">
        <v>2916</v>
      </c>
    </row>
    <row r="2245" spans="1:7" s="30" customFormat="1" ht="14.45">
      <c r="A2245" s="59"/>
      <c r="B2245" s="100"/>
      <c r="C2245" s="61"/>
      <c r="D2245" s="62"/>
      <c r="E2245" s="157"/>
      <c r="F2245" s="137"/>
      <c r="G2245" s="217"/>
    </row>
    <row r="2246" spans="1:7" s="30" customFormat="1" ht="41.45">
      <c r="A2246" s="66" t="s">
        <v>90</v>
      </c>
      <c r="B2246" s="67" t="s">
        <v>2929</v>
      </c>
      <c r="C2246" s="68" t="s">
        <v>2103</v>
      </c>
      <c r="D2246" s="69" t="s">
        <v>199</v>
      </c>
      <c r="E2246" s="157">
        <v>489.67</v>
      </c>
      <c r="F2246" s="137">
        <f t="shared" ref="F2246" si="555">C2246*E2246</f>
        <v>48967</v>
      </c>
      <c r="G2246" s="217" t="s">
        <v>2916</v>
      </c>
    </row>
    <row r="2247" spans="1:7" s="30" customFormat="1" ht="14.45">
      <c r="A2247" s="59"/>
      <c r="B2247" s="100"/>
      <c r="C2247" s="61"/>
      <c r="D2247" s="62"/>
      <c r="E2247" s="157"/>
      <c r="F2247" s="137"/>
      <c r="G2247" s="217"/>
    </row>
    <row r="2248" spans="1:7" s="30" customFormat="1" ht="27.6">
      <c r="A2248" s="66" t="s">
        <v>92</v>
      </c>
      <c r="B2248" s="67" t="s">
        <v>2930</v>
      </c>
      <c r="C2248" s="68" t="s">
        <v>2931</v>
      </c>
      <c r="D2248" s="69" t="s">
        <v>199</v>
      </c>
      <c r="E2248" s="157">
        <v>489.67</v>
      </c>
      <c r="F2248" s="137">
        <f t="shared" ref="F2248" si="556">C2248*E2248</f>
        <v>305554.08</v>
      </c>
      <c r="G2248" s="217" t="s">
        <v>2916</v>
      </c>
    </row>
    <row r="2249" spans="1:7" s="30" customFormat="1" ht="14.45">
      <c r="A2249" s="59"/>
      <c r="B2249" s="100"/>
      <c r="C2249" s="61"/>
      <c r="D2249" s="62"/>
      <c r="E2249" s="157"/>
      <c r="F2249" s="137"/>
      <c r="G2249" s="217"/>
    </row>
    <row r="2250" spans="1:7" s="30" customFormat="1" ht="27.6">
      <c r="A2250" s="66" t="s">
        <v>94</v>
      </c>
      <c r="B2250" s="67" t="s">
        <v>2932</v>
      </c>
      <c r="C2250" s="68" t="s">
        <v>2933</v>
      </c>
      <c r="D2250" s="69" t="s">
        <v>199</v>
      </c>
      <c r="E2250" s="157">
        <v>142.6</v>
      </c>
      <c r="F2250" s="137">
        <f t="shared" ref="F2250" si="557">C2250*E2250</f>
        <v>215611.19999999998</v>
      </c>
      <c r="G2250" s="217" t="s">
        <v>2916</v>
      </c>
    </row>
    <row r="2251" spans="1:7" s="30" customFormat="1" ht="14.45">
      <c r="A2251" s="59"/>
      <c r="B2251" s="63"/>
      <c r="C2251" s="61"/>
      <c r="D2251" s="62"/>
      <c r="E2251" s="157"/>
      <c r="F2251" s="137"/>
      <c r="G2251" s="217"/>
    </row>
    <row r="2252" spans="1:7" s="30" customFormat="1" ht="28.9">
      <c r="A2252" s="59"/>
      <c r="B2252" s="230" t="s">
        <v>323</v>
      </c>
      <c r="C2252" s="61"/>
      <c r="D2252" s="62"/>
      <c r="E2252" s="157"/>
      <c r="F2252" s="137"/>
      <c r="G2252" s="217"/>
    </row>
    <row r="2253" spans="1:7" s="30" customFormat="1" ht="14.45">
      <c r="A2253" s="71"/>
      <c r="B2253" s="72"/>
      <c r="C2253" s="73"/>
      <c r="D2253" s="74"/>
      <c r="E2253" s="159"/>
      <c r="F2253" s="138"/>
      <c r="G2253" s="226"/>
    </row>
    <row r="2254" spans="1:7" s="30" customFormat="1" ht="14.45">
      <c r="A2254" s="75"/>
      <c r="B2254" s="76"/>
      <c r="C2254" s="77" t="s">
        <v>30</v>
      </c>
      <c r="D2254" s="77"/>
      <c r="E2254" s="160" t="s">
        <v>8</v>
      </c>
      <c r="F2254" s="139">
        <f>SUM(F2227:F2251)</f>
        <v>1331496.68</v>
      </c>
      <c r="G2254" s="227"/>
    </row>
    <row r="2255" spans="1:7" s="30" customFormat="1" ht="14.45">
      <c r="A2255" s="75"/>
      <c r="B2255" s="76"/>
      <c r="C2255" s="78"/>
      <c r="D2255" s="79"/>
      <c r="E2255" s="161"/>
      <c r="F2255" s="140"/>
      <c r="G2255" s="228"/>
    </row>
    <row r="2256" spans="1:7" s="30" customFormat="1" ht="14.45">
      <c r="A2256" s="59"/>
      <c r="B2256" s="63"/>
      <c r="C2256" s="61"/>
      <c r="D2256" s="62"/>
      <c r="E2256" s="157"/>
      <c r="F2256" s="137"/>
      <c r="G2256" s="217"/>
    </row>
    <row r="2257" spans="1:7" s="30" customFormat="1" ht="14.45">
      <c r="A2257" s="59"/>
      <c r="B2257" s="64" t="s">
        <v>2911</v>
      </c>
      <c r="C2257" s="61"/>
      <c r="D2257" s="62"/>
      <c r="E2257" s="157"/>
      <c r="F2257" s="137"/>
      <c r="G2257" s="217"/>
    </row>
    <row r="2258" spans="1:7" s="30" customFormat="1" ht="14.45">
      <c r="A2258" s="59"/>
      <c r="B2258" s="100"/>
      <c r="C2258" s="61"/>
      <c r="D2258" s="62"/>
      <c r="E2258" s="157"/>
      <c r="F2258" s="137"/>
      <c r="G2258" s="217"/>
    </row>
    <row r="2259" spans="1:7" s="30" customFormat="1" ht="41.45">
      <c r="A2259" s="66" t="s">
        <v>14</v>
      </c>
      <c r="B2259" s="67" t="s">
        <v>2934</v>
      </c>
      <c r="C2259" s="68" t="s">
        <v>281</v>
      </c>
      <c r="D2259" s="69" t="s">
        <v>63</v>
      </c>
      <c r="E2259" s="157">
        <v>552.94000000000005</v>
      </c>
      <c r="F2259" s="137">
        <f t="shared" ref="F2259" si="558">C2259*E2259</f>
        <v>30964.640000000003</v>
      </c>
      <c r="G2259" s="217" t="s">
        <v>2916</v>
      </c>
    </row>
    <row r="2260" spans="1:7" s="30" customFormat="1" ht="14.45">
      <c r="A2260" s="59"/>
      <c r="B2260" s="100"/>
      <c r="C2260" s="61"/>
      <c r="D2260" s="62"/>
      <c r="E2260" s="157"/>
      <c r="F2260" s="137"/>
      <c r="G2260" s="217"/>
    </row>
    <row r="2261" spans="1:7" s="30" customFormat="1" ht="14.45">
      <c r="A2261" s="66"/>
      <c r="B2261" s="98" t="s">
        <v>2935</v>
      </c>
      <c r="C2261" s="68"/>
      <c r="D2261" s="69"/>
      <c r="E2261" s="157"/>
      <c r="F2261" s="137"/>
      <c r="G2261" s="217"/>
    </row>
    <row r="2262" spans="1:7" s="30" customFormat="1" ht="14.45">
      <c r="A2262" s="59"/>
      <c r="B2262" s="100"/>
      <c r="C2262" s="61"/>
      <c r="D2262" s="62"/>
      <c r="E2262" s="157"/>
      <c r="F2262" s="137"/>
      <c r="G2262" s="217"/>
    </row>
    <row r="2263" spans="1:7" s="30" customFormat="1" ht="27.6">
      <c r="A2263" s="66" t="s">
        <v>17</v>
      </c>
      <c r="B2263" s="67" t="s">
        <v>2936</v>
      </c>
      <c r="C2263" s="68" t="s">
        <v>2937</v>
      </c>
      <c r="D2263" s="69" t="s">
        <v>63</v>
      </c>
      <c r="E2263" s="157">
        <v>684.36</v>
      </c>
      <c r="F2263" s="137">
        <f t="shared" ref="F2263" si="559">C2263*E2263</f>
        <v>2327508.36</v>
      </c>
      <c r="G2263" s="217" t="s">
        <v>2916</v>
      </c>
    </row>
    <row r="2264" spans="1:7" s="30" customFormat="1" ht="14.45">
      <c r="A2264" s="59"/>
      <c r="B2264" s="100"/>
      <c r="C2264" s="61"/>
      <c r="D2264" s="62"/>
      <c r="E2264" s="157"/>
      <c r="F2264" s="137"/>
      <c r="G2264" s="217"/>
    </row>
    <row r="2265" spans="1:7" s="30" customFormat="1" ht="27.6">
      <c r="A2265" s="66" t="s">
        <v>20</v>
      </c>
      <c r="B2265" s="67" t="s">
        <v>2938</v>
      </c>
      <c r="C2265" s="68" t="s">
        <v>2939</v>
      </c>
      <c r="D2265" s="69" t="s">
        <v>63</v>
      </c>
      <c r="E2265" s="157">
        <v>576.38</v>
      </c>
      <c r="F2265" s="137">
        <f t="shared" ref="F2265" si="560">C2265*E2265</f>
        <v>595400.54</v>
      </c>
      <c r="G2265" s="217" t="s">
        <v>2916</v>
      </c>
    </row>
    <row r="2266" spans="1:7" s="30" customFormat="1" ht="14.45">
      <c r="A2266" s="59"/>
      <c r="B2266" s="100"/>
      <c r="C2266" s="61"/>
      <c r="D2266" s="62"/>
      <c r="E2266" s="157"/>
      <c r="F2266" s="137"/>
      <c r="G2266" s="217"/>
    </row>
    <row r="2267" spans="1:7" s="30" customFormat="1" ht="27.6">
      <c r="A2267" s="66" t="s">
        <v>23</v>
      </c>
      <c r="B2267" s="67" t="s">
        <v>2940</v>
      </c>
      <c r="C2267" s="68" t="s">
        <v>2941</v>
      </c>
      <c r="D2267" s="69" t="s">
        <v>63</v>
      </c>
      <c r="E2267" s="157">
        <v>505.48</v>
      </c>
      <c r="F2267" s="137">
        <f t="shared" ref="F2267" si="561">C2267*E2267</f>
        <v>287112.64</v>
      </c>
      <c r="G2267" s="217" t="s">
        <v>2916</v>
      </c>
    </row>
    <row r="2268" spans="1:7" s="30" customFormat="1" ht="14.45">
      <c r="A2268" s="59"/>
      <c r="B2268" s="100"/>
      <c r="C2268" s="61"/>
      <c r="D2268" s="62"/>
      <c r="E2268" s="157"/>
      <c r="F2268" s="137"/>
      <c r="G2268" s="217"/>
    </row>
    <row r="2269" spans="1:7" s="30" customFormat="1" ht="27.6">
      <c r="A2269" s="66" t="s">
        <v>27</v>
      </c>
      <c r="B2269" s="67" t="s">
        <v>2942</v>
      </c>
      <c r="C2269" s="68" t="s">
        <v>1326</v>
      </c>
      <c r="D2269" s="69" t="s">
        <v>63</v>
      </c>
      <c r="E2269" s="157">
        <v>1180.17</v>
      </c>
      <c r="F2269" s="137">
        <f t="shared" ref="F2269" si="562">C2269*E2269</f>
        <v>74350.710000000006</v>
      </c>
      <c r="G2269" s="217" t="s">
        <v>2916</v>
      </c>
    </row>
    <row r="2270" spans="1:7" s="30" customFormat="1" ht="14.45">
      <c r="A2270" s="59"/>
      <c r="B2270" s="100"/>
      <c r="C2270" s="61"/>
      <c r="D2270" s="62"/>
      <c r="E2270" s="157"/>
      <c r="F2270" s="137"/>
      <c r="G2270" s="217"/>
    </row>
    <row r="2271" spans="1:7" s="30" customFormat="1" ht="27.6">
      <c r="A2271" s="66" t="s">
        <v>44</v>
      </c>
      <c r="B2271" s="67" t="s">
        <v>2943</v>
      </c>
      <c r="C2271" s="68" t="s">
        <v>2944</v>
      </c>
      <c r="D2271" s="69" t="s">
        <v>63</v>
      </c>
      <c r="E2271" s="157">
        <v>607.23</v>
      </c>
      <c r="F2271" s="137">
        <f t="shared" ref="F2271" si="563">C2271*E2271</f>
        <v>687384.36</v>
      </c>
      <c r="G2271" s="217" t="s">
        <v>2916</v>
      </c>
    </row>
    <row r="2272" spans="1:7" s="30" customFormat="1" ht="14.45">
      <c r="A2272" s="59"/>
      <c r="B2272" s="100"/>
      <c r="C2272" s="61"/>
      <c r="D2272" s="62"/>
      <c r="E2272" s="157"/>
      <c r="F2272" s="137"/>
      <c r="G2272" s="217"/>
    </row>
    <row r="2273" spans="1:7" s="30" customFormat="1" ht="27.6">
      <c r="A2273" s="66" t="s">
        <v>48</v>
      </c>
      <c r="B2273" s="67" t="s">
        <v>2945</v>
      </c>
      <c r="C2273" s="68" t="s">
        <v>1009</v>
      </c>
      <c r="D2273" s="69" t="s">
        <v>63</v>
      </c>
      <c r="E2273" s="157">
        <v>684.36</v>
      </c>
      <c r="F2273" s="137">
        <f t="shared" ref="F2273" si="564">C2273*E2273</f>
        <v>228576.24</v>
      </c>
      <c r="G2273" s="217" t="s">
        <v>2916</v>
      </c>
    </row>
    <row r="2274" spans="1:7" s="30" customFormat="1" ht="14.45">
      <c r="A2274" s="59"/>
      <c r="B2274" s="100"/>
      <c r="C2274" s="61"/>
      <c r="D2274" s="62"/>
      <c r="E2274" s="157"/>
      <c r="F2274" s="137"/>
      <c r="G2274" s="217"/>
    </row>
    <row r="2275" spans="1:7" s="30" customFormat="1" ht="27.6">
      <c r="A2275" s="66" t="s">
        <v>84</v>
      </c>
      <c r="B2275" s="67" t="s">
        <v>2946</v>
      </c>
      <c r="C2275" s="68" t="s">
        <v>1352</v>
      </c>
      <c r="D2275" s="69" t="s">
        <v>63</v>
      </c>
      <c r="E2275" s="157">
        <v>684.36</v>
      </c>
      <c r="F2275" s="137">
        <f t="shared" ref="F2275" si="565">C2275*E2275</f>
        <v>73910.880000000005</v>
      </c>
      <c r="G2275" s="217" t="s">
        <v>2916</v>
      </c>
    </row>
    <row r="2276" spans="1:7" s="30" customFormat="1" ht="14.45">
      <c r="A2276" s="59"/>
      <c r="B2276" s="100"/>
      <c r="C2276" s="61"/>
      <c r="D2276" s="62"/>
      <c r="E2276" s="157"/>
      <c r="F2276" s="137"/>
      <c r="G2276" s="217"/>
    </row>
    <row r="2277" spans="1:7" s="30" customFormat="1" ht="27.6">
      <c r="A2277" s="66" t="s">
        <v>86</v>
      </c>
      <c r="B2277" s="67" t="s">
        <v>2947</v>
      </c>
      <c r="C2277" s="68" t="s">
        <v>2948</v>
      </c>
      <c r="D2277" s="69" t="s">
        <v>199</v>
      </c>
      <c r="E2277" s="157">
        <v>142.6</v>
      </c>
      <c r="F2277" s="137">
        <f t="shared" ref="F2277" si="566">C2277*E2277</f>
        <v>2567655.6</v>
      </c>
      <c r="G2277" s="217" t="s">
        <v>2916</v>
      </c>
    </row>
    <row r="2278" spans="1:7" s="30" customFormat="1" ht="14.45">
      <c r="A2278" s="59"/>
      <c r="B2278" s="100"/>
      <c r="C2278" s="61"/>
      <c r="D2278" s="62"/>
      <c r="E2278" s="157"/>
      <c r="F2278" s="137"/>
      <c r="G2278" s="217"/>
    </row>
    <row r="2279" spans="1:7" s="30" customFormat="1" ht="27.6">
      <c r="A2279" s="66" t="s">
        <v>90</v>
      </c>
      <c r="B2279" s="67" t="s">
        <v>2949</v>
      </c>
      <c r="C2279" s="68" t="s">
        <v>1356</v>
      </c>
      <c r="D2279" s="69" t="s">
        <v>63</v>
      </c>
      <c r="E2279" s="157">
        <v>684.36</v>
      </c>
      <c r="F2279" s="137">
        <f t="shared" ref="F2279:F2281" si="567">C2279*E2279</f>
        <v>91019.88</v>
      </c>
      <c r="G2279" s="217" t="s">
        <v>2916</v>
      </c>
    </row>
    <row r="2280" spans="1:7" s="30" customFormat="1" ht="14.45">
      <c r="A2280" s="59"/>
      <c r="B2280" s="100"/>
      <c r="C2280" s="61"/>
      <c r="D2280" s="62"/>
      <c r="E2280" s="157"/>
      <c r="F2280" s="137"/>
      <c r="G2280" s="217"/>
    </row>
    <row r="2281" spans="1:7" s="30" customFormat="1" ht="27.6">
      <c r="A2281" s="66" t="s">
        <v>92</v>
      </c>
      <c r="B2281" s="67" t="s">
        <v>2950</v>
      </c>
      <c r="C2281" s="68" t="s">
        <v>2951</v>
      </c>
      <c r="D2281" s="69" t="s">
        <v>199</v>
      </c>
      <c r="E2281" s="157">
        <v>142.6</v>
      </c>
      <c r="F2281" s="137">
        <f t="shared" si="567"/>
        <v>29233</v>
      </c>
      <c r="G2281" s="217" t="s">
        <v>2916</v>
      </c>
    </row>
    <row r="2282" spans="1:7" s="30" customFormat="1" ht="14.45">
      <c r="A2282" s="59"/>
      <c r="B2282" s="100"/>
      <c r="C2282" s="61"/>
      <c r="D2282" s="62"/>
      <c r="E2282" s="157"/>
      <c r="F2282" s="137"/>
      <c r="G2282" s="217"/>
    </row>
    <row r="2283" spans="1:7" s="30" customFormat="1" ht="27.6">
      <c r="A2283" s="66" t="s">
        <v>94</v>
      </c>
      <c r="B2283" s="67" t="s">
        <v>2952</v>
      </c>
      <c r="C2283" s="68" t="s">
        <v>2953</v>
      </c>
      <c r="D2283" s="69" t="s">
        <v>63</v>
      </c>
      <c r="E2283" s="157">
        <v>393.09</v>
      </c>
      <c r="F2283" s="137">
        <f t="shared" ref="F2283" si="568">C2283*E2283</f>
        <v>263370.3</v>
      </c>
      <c r="G2283" s="217" t="s">
        <v>2916</v>
      </c>
    </row>
    <row r="2284" spans="1:7" s="30" customFormat="1" ht="14.45">
      <c r="A2284" s="59"/>
      <c r="B2284" s="100"/>
      <c r="C2284" s="61"/>
      <c r="D2284" s="62"/>
      <c r="E2284" s="157"/>
      <c r="F2284" s="137"/>
      <c r="G2284" s="217"/>
    </row>
    <row r="2285" spans="1:7" s="30" customFormat="1" ht="27.6">
      <c r="A2285" s="66" t="s">
        <v>140</v>
      </c>
      <c r="B2285" s="67" t="s">
        <v>2954</v>
      </c>
      <c r="C2285" s="68" t="s">
        <v>481</v>
      </c>
      <c r="D2285" s="69" t="s">
        <v>63</v>
      </c>
      <c r="E2285" s="157">
        <v>353.81</v>
      </c>
      <c r="F2285" s="137">
        <f t="shared" ref="F2285" si="569">C2285*E2285</f>
        <v>12737.16</v>
      </c>
      <c r="G2285" s="217" t="s">
        <v>2916</v>
      </c>
    </row>
    <row r="2286" spans="1:7" s="30" customFormat="1" ht="14.45">
      <c r="A2286" s="66"/>
      <c r="B2286" s="99"/>
      <c r="C2286" s="68"/>
      <c r="D2286" s="69"/>
      <c r="E2286" s="157"/>
      <c r="F2286" s="137"/>
      <c r="G2286" s="217"/>
    </row>
    <row r="2287" spans="1:7" s="30" customFormat="1" ht="28.9">
      <c r="A2287" s="59"/>
      <c r="B2287" s="230" t="s">
        <v>323</v>
      </c>
      <c r="C2287" s="61"/>
      <c r="D2287" s="62"/>
      <c r="E2287" s="157"/>
      <c r="F2287" s="137"/>
      <c r="G2287" s="217"/>
    </row>
    <row r="2288" spans="1:7" s="30" customFormat="1" ht="14.45">
      <c r="A2288" s="71"/>
      <c r="B2288" s="72"/>
      <c r="C2288" s="73"/>
      <c r="D2288" s="74"/>
      <c r="E2288" s="159"/>
      <c r="F2288" s="138"/>
      <c r="G2288" s="226"/>
    </row>
    <row r="2289" spans="1:7" s="30" customFormat="1" ht="14.45">
      <c r="A2289" s="75"/>
      <c r="B2289" s="76"/>
      <c r="C2289" s="77" t="s">
        <v>30</v>
      </c>
      <c r="D2289" s="77"/>
      <c r="E2289" s="160" t="s">
        <v>8</v>
      </c>
      <c r="F2289" s="139">
        <f>SUM(F2259:F2286)</f>
        <v>7269224.3100000005</v>
      </c>
      <c r="G2289" s="227"/>
    </row>
    <row r="2290" spans="1:7" s="30" customFormat="1" ht="14.45">
      <c r="A2290" s="75"/>
      <c r="B2290" s="76"/>
      <c r="C2290" s="78"/>
      <c r="D2290" s="79"/>
      <c r="E2290" s="161"/>
      <c r="F2290" s="140"/>
      <c r="G2290" s="228"/>
    </row>
    <row r="2291" spans="1:7" s="30" customFormat="1" ht="14.45">
      <c r="A2291" s="59"/>
      <c r="B2291" s="63"/>
      <c r="C2291" s="61"/>
      <c r="D2291" s="62"/>
      <c r="E2291" s="157"/>
      <c r="F2291" s="137"/>
      <c r="G2291" s="217"/>
    </row>
    <row r="2292" spans="1:7" s="30" customFormat="1" ht="14.45">
      <c r="A2292" s="59"/>
      <c r="B2292" s="64" t="s">
        <v>2911</v>
      </c>
      <c r="C2292" s="61"/>
      <c r="D2292" s="62"/>
      <c r="E2292" s="157"/>
      <c r="F2292" s="137"/>
      <c r="G2292" s="217"/>
    </row>
    <row r="2293" spans="1:7" s="30" customFormat="1" ht="14.45">
      <c r="A2293" s="59"/>
      <c r="B2293" s="100"/>
      <c r="C2293" s="61"/>
      <c r="D2293" s="62"/>
      <c r="E2293" s="157"/>
      <c r="F2293" s="137"/>
      <c r="G2293" s="217"/>
    </row>
    <row r="2294" spans="1:7" s="30" customFormat="1" ht="27.6">
      <c r="A2294" s="66" t="s">
        <v>14</v>
      </c>
      <c r="B2294" s="67" t="s">
        <v>2955</v>
      </c>
      <c r="C2294" s="68" t="s">
        <v>1707</v>
      </c>
      <c r="D2294" s="69" t="s">
        <v>63</v>
      </c>
      <c r="E2294" s="157">
        <v>353.81</v>
      </c>
      <c r="F2294" s="137">
        <f t="shared" ref="F2294" si="570">C2294*E2294</f>
        <v>23351.46</v>
      </c>
      <c r="G2294" s="217" t="s">
        <v>2916</v>
      </c>
    </row>
    <row r="2295" spans="1:7" s="30" customFormat="1" ht="14.45">
      <c r="A2295" s="59"/>
      <c r="B2295" s="100"/>
      <c r="C2295" s="61"/>
      <c r="D2295" s="62"/>
      <c r="E2295" s="157"/>
      <c r="F2295" s="137"/>
      <c r="G2295" s="217"/>
    </row>
    <row r="2296" spans="1:7" s="30" customFormat="1" ht="27.6">
      <c r="A2296" s="66" t="s">
        <v>17</v>
      </c>
      <c r="B2296" s="67" t="s">
        <v>2956</v>
      </c>
      <c r="C2296" s="68" t="s">
        <v>2957</v>
      </c>
      <c r="D2296" s="69" t="s">
        <v>63</v>
      </c>
      <c r="E2296" s="157">
        <v>463.99</v>
      </c>
      <c r="F2296" s="137">
        <f t="shared" ref="F2296" si="571">C2296*E2296</f>
        <v>560499.92000000004</v>
      </c>
      <c r="G2296" s="217" t="s">
        <v>2916</v>
      </c>
    </row>
    <row r="2297" spans="1:7" s="30" customFormat="1" ht="14.45">
      <c r="A2297" s="59"/>
      <c r="B2297" s="100"/>
      <c r="C2297" s="61"/>
      <c r="D2297" s="62"/>
      <c r="E2297" s="157"/>
      <c r="F2297" s="137"/>
      <c r="G2297" s="217"/>
    </row>
    <row r="2298" spans="1:7" s="30" customFormat="1" ht="27.6">
      <c r="A2298" s="66" t="s">
        <v>20</v>
      </c>
      <c r="B2298" s="67" t="s">
        <v>2958</v>
      </c>
      <c r="C2298" s="68" t="s">
        <v>2959</v>
      </c>
      <c r="D2298" s="69" t="s">
        <v>63</v>
      </c>
      <c r="E2298" s="157">
        <v>440.86</v>
      </c>
      <c r="F2298" s="137">
        <f t="shared" ref="F2298" si="572">C2298*E2298</f>
        <v>33064.5</v>
      </c>
      <c r="G2298" s="217" t="s">
        <v>2916</v>
      </c>
    </row>
    <row r="2299" spans="1:7" s="30" customFormat="1" ht="14.45">
      <c r="A2299" s="59"/>
      <c r="B2299" s="100"/>
      <c r="C2299" s="61"/>
      <c r="D2299" s="62"/>
      <c r="E2299" s="157"/>
      <c r="F2299" s="137"/>
      <c r="G2299" s="217"/>
    </row>
    <row r="2300" spans="1:7" s="30" customFormat="1" ht="27.6">
      <c r="A2300" s="66" t="s">
        <v>23</v>
      </c>
      <c r="B2300" s="67" t="s">
        <v>2960</v>
      </c>
      <c r="C2300" s="68" t="s">
        <v>2961</v>
      </c>
      <c r="D2300" s="69" t="s">
        <v>199</v>
      </c>
      <c r="E2300" s="157">
        <v>489.67</v>
      </c>
      <c r="F2300" s="137">
        <f t="shared" ref="F2300" si="573">C2300*E2300</f>
        <v>1392621.48</v>
      </c>
      <c r="G2300" s="217" t="s">
        <v>2916</v>
      </c>
    </row>
    <row r="2301" spans="1:7" s="30" customFormat="1" ht="14.45">
      <c r="A2301" s="59"/>
      <c r="B2301" s="100"/>
      <c r="C2301" s="61"/>
      <c r="D2301" s="62"/>
      <c r="E2301" s="157"/>
      <c r="F2301" s="137"/>
      <c r="G2301" s="217"/>
    </row>
    <row r="2302" spans="1:7" s="30" customFormat="1" ht="27.6">
      <c r="A2302" s="66" t="s">
        <v>27</v>
      </c>
      <c r="B2302" s="67" t="s">
        <v>2962</v>
      </c>
      <c r="C2302" s="68" t="s">
        <v>2901</v>
      </c>
      <c r="D2302" s="69" t="s">
        <v>16</v>
      </c>
      <c r="E2302" s="157">
        <v>464.8</v>
      </c>
      <c r="F2302" s="137">
        <f t="shared" ref="F2302" si="574">C2302*E2302</f>
        <v>168257.6</v>
      </c>
      <c r="G2302" s="217" t="s">
        <v>2916</v>
      </c>
    </row>
    <row r="2303" spans="1:7" s="30" customFormat="1" ht="14.45">
      <c r="A2303" s="59"/>
      <c r="B2303" s="100"/>
      <c r="C2303" s="61"/>
      <c r="D2303" s="62"/>
      <c r="E2303" s="157"/>
      <c r="F2303" s="137"/>
      <c r="G2303" s="217"/>
    </row>
    <row r="2304" spans="1:7" s="30" customFormat="1" ht="27.6">
      <c r="A2304" s="66" t="s">
        <v>44</v>
      </c>
      <c r="B2304" s="67" t="s">
        <v>2963</v>
      </c>
      <c r="C2304" s="68" t="s">
        <v>2964</v>
      </c>
      <c r="D2304" s="69" t="s">
        <v>63</v>
      </c>
      <c r="E2304" s="157">
        <v>684.36</v>
      </c>
      <c r="F2304" s="137">
        <f t="shared" ref="F2304" si="575">C2304*E2304</f>
        <v>227891.88</v>
      </c>
      <c r="G2304" s="217" t="s">
        <v>2916</v>
      </c>
    </row>
    <row r="2305" spans="1:7" s="30" customFormat="1" ht="14.45">
      <c r="A2305" s="59"/>
      <c r="B2305" s="100"/>
      <c r="C2305" s="61"/>
      <c r="D2305" s="62"/>
      <c r="E2305" s="157"/>
      <c r="F2305" s="137"/>
      <c r="G2305" s="217"/>
    </row>
    <row r="2306" spans="1:7" s="30" customFormat="1" ht="14.45">
      <c r="A2306" s="66" t="s">
        <v>48</v>
      </c>
      <c r="B2306" s="67" t="s">
        <v>2965</v>
      </c>
      <c r="C2306" s="68" t="s">
        <v>2966</v>
      </c>
      <c r="D2306" s="69" t="s">
        <v>63</v>
      </c>
      <c r="E2306" s="157">
        <v>1122.45</v>
      </c>
      <c r="F2306" s="137">
        <f t="shared" ref="F2306" si="576">C2306*E2306</f>
        <v>290714.55</v>
      </c>
      <c r="G2306" s="217" t="s">
        <v>2916</v>
      </c>
    </row>
    <row r="2307" spans="1:7" s="30" customFormat="1" ht="14.45">
      <c r="A2307" s="59"/>
      <c r="B2307" s="100"/>
      <c r="C2307" s="61"/>
      <c r="D2307" s="62"/>
      <c r="E2307" s="157"/>
      <c r="F2307" s="137"/>
      <c r="G2307" s="217"/>
    </row>
    <row r="2308" spans="1:7" s="30" customFormat="1" ht="27.6">
      <c r="A2308" s="66" t="s">
        <v>84</v>
      </c>
      <c r="B2308" s="67" t="s">
        <v>2967</v>
      </c>
      <c r="C2308" s="68" t="s">
        <v>1352</v>
      </c>
      <c r="D2308" s="69" t="s">
        <v>63</v>
      </c>
      <c r="E2308" s="157">
        <v>580.4</v>
      </c>
      <c r="F2308" s="137">
        <f t="shared" ref="F2308" si="577">C2308*E2308</f>
        <v>62683.199999999997</v>
      </c>
      <c r="G2308" s="217" t="s">
        <v>2916</v>
      </c>
    </row>
    <row r="2309" spans="1:7" s="30" customFormat="1" ht="14.45">
      <c r="A2309" s="59"/>
      <c r="B2309" s="100"/>
      <c r="C2309" s="61"/>
      <c r="D2309" s="62"/>
      <c r="E2309" s="157"/>
      <c r="F2309" s="137"/>
      <c r="G2309" s="217"/>
    </row>
    <row r="2310" spans="1:7" s="30" customFormat="1" ht="27.6">
      <c r="A2310" s="66" t="s">
        <v>86</v>
      </c>
      <c r="B2310" s="67" t="s">
        <v>2968</v>
      </c>
      <c r="C2310" s="68" t="s">
        <v>2969</v>
      </c>
      <c r="D2310" s="69" t="s">
        <v>199</v>
      </c>
      <c r="E2310" s="157">
        <v>142.6</v>
      </c>
      <c r="F2310" s="137">
        <f t="shared" ref="F2310" si="578">C2310*E2310</f>
        <v>116076.4</v>
      </c>
      <c r="G2310" s="217" t="s">
        <v>2916</v>
      </c>
    </row>
    <row r="2311" spans="1:7" s="30" customFormat="1" ht="14.45">
      <c r="A2311" s="59"/>
      <c r="B2311" s="100"/>
      <c r="C2311" s="61"/>
      <c r="D2311" s="62"/>
      <c r="E2311" s="157"/>
      <c r="F2311" s="137"/>
      <c r="G2311" s="217"/>
    </row>
    <row r="2312" spans="1:7" s="30" customFormat="1" ht="14.45">
      <c r="A2312" s="66"/>
      <c r="B2312" s="98" t="s">
        <v>2970</v>
      </c>
      <c r="C2312" s="68"/>
      <c r="D2312" s="69"/>
      <c r="E2312" s="157"/>
      <c r="F2312" s="137"/>
      <c r="G2312" s="217"/>
    </row>
    <row r="2313" spans="1:7" s="30" customFormat="1" ht="14.45">
      <c r="A2313" s="59"/>
      <c r="B2313" s="100"/>
      <c r="C2313" s="61"/>
      <c r="D2313" s="62"/>
      <c r="E2313" s="157"/>
      <c r="F2313" s="137"/>
      <c r="G2313" s="217"/>
    </row>
    <row r="2314" spans="1:7" s="30" customFormat="1" ht="14.45">
      <c r="A2314" s="66" t="s">
        <v>90</v>
      </c>
      <c r="B2314" s="81" t="s">
        <v>2971</v>
      </c>
      <c r="C2314" s="68" t="s">
        <v>152</v>
      </c>
      <c r="D2314" s="69" t="s">
        <v>63</v>
      </c>
      <c r="E2314" s="157">
        <v>607.23</v>
      </c>
      <c r="F2314" s="137">
        <f t="shared" ref="F2314" si="579">C2314*E2314</f>
        <v>1214.46</v>
      </c>
      <c r="G2314" s="217" t="s">
        <v>2916</v>
      </c>
    </row>
    <row r="2315" spans="1:7" s="30" customFormat="1" ht="14.45">
      <c r="A2315" s="59"/>
      <c r="B2315" s="100"/>
      <c r="C2315" s="61"/>
      <c r="D2315" s="62"/>
      <c r="E2315" s="157"/>
      <c r="F2315" s="137"/>
      <c r="G2315" s="217"/>
    </row>
    <row r="2316" spans="1:7" s="30" customFormat="1" ht="55.15">
      <c r="A2316" s="66" t="s">
        <v>92</v>
      </c>
      <c r="B2316" s="67" t="s">
        <v>2972</v>
      </c>
      <c r="C2316" s="68" t="s">
        <v>2973</v>
      </c>
      <c r="D2316" s="69" t="s">
        <v>63</v>
      </c>
      <c r="E2316" s="157">
        <v>607.23</v>
      </c>
      <c r="F2316" s="137">
        <f t="shared" ref="F2316" si="580">C2316*E2316</f>
        <v>97764.03</v>
      </c>
      <c r="G2316" s="217" t="s">
        <v>2916</v>
      </c>
    </row>
    <row r="2317" spans="1:7" s="30" customFormat="1" ht="14.45">
      <c r="A2317" s="59"/>
      <c r="B2317" s="100"/>
      <c r="C2317" s="61"/>
      <c r="D2317" s="62"/>
      <c r="E2317" s="157"/>
      <c r="F2317" s="137"/>
      <c r="G2317" s="217"/>
    </row>
    <row r="2318" spans="1:7" s="30" customFormat="1" ht="55.15">
      <c r="A2318" s="66" t="s">
        <v>94</v>
      </c>
      <c r="B2318" s="67" t="s">
        <v>2974</v>
      </c>
      <c r="C2318" s="68" t="s">
        <v>781</v>
      </c>
      <c r="D2318" s="69" t="s">
        <v>63</v>
      </c>
      <c r="E2318" s="157">
        <v>607.23</v>
      </c>
      <c r="F2318" s="137">
        <f t="shared" ref="F2318" si="581">C2318*E2318</f>
        <v>18216.900000000001</v>
      </c>
      <c r="G2318" s="217" t="s">
        <v>2916</v>
      </c>
    </row>
    <row r="2319" spans="1:7" s="30" customFormat="1" ht="14.45">
      <c r="A2319" s="59"/>
      <c r="B2319" s="100"/>
      <c r="C2319" s="61"/>
      <c r="D2319" s="62"/>
      <c r="E2319" s="157"/>
      <c r="F2319" s="137"/>
      <c r="G2319" s="217"/>
    </row>
    <row r="2320" spans="1:7" s="30" customFormat="1" ht="14.45">
      <c r="A2320" s="66" t="s">
        <v>140</v>
      </c>
      <c r="B2320" s="67" t="s">
        <v>2975</v>
      </c>
      <c r="C2320" s="68" t="s">
        <v>2976</v>
      </c>
      <c r="D2320" s="69" t="s">
        <v>63</v>
      </c>
      <c r="E2320" s="157">
        <v>273.63</v>
      </c>
      <c r="F2320" s="137">
        <f t="shared" ref="F2320" si="582">C2320*E2320</f>
        <v>101790.36</v>
      </c>
      <c r="G2320" s="217" t="s">
        <v>2916</v>
      </c>
    </row>
    <row r="2321" spans="1:7" s="30" customFormat="1" ht="28.9">
      <c r="A2321" s="59"/>
      <c r="B2321" s="230" t="s">
        <v>323</v>
      </c>
      <c r="C2321" s="61"/>
      <c r="D2321" s="62"/>
      <c r="E2321" s="157"/>
      <c r="F2321" s="137"/>
      <c r="G2321" s="217"/>
    </row>
    <row r="2322" spans="1:7" s="30" customFormat="1" ht="14.45">
      <c r="A2322" s="71"/>
      <c r="B2322" s="72"/>
      <c r="C2322" s="73"/>
      <c r="D2322" s="74"/>
      <c r="E2322" s="159"/>
      <c r="F2322" s="138"/>
      <c r="G2322" s="226"/>
    </row>
    <row r="2323" spans="1:7" s="30" customFormat="1" ht="14.45">
      <c r="A2323" s="75"/>
      <c r="B2323" s="76"/>
      <c r="C2323" s="77" t="s">
        <v>30</v>
      </c>
      <c r="D2323" s="77"/>
      <c r="E2323" s="160" t="s">
        <v>8</v>
      </c>
      <c r="F2323" s="139">
        <f>SUM(F2294:F2320)</f>
        <v>3094146.7399999993</v>
      </c>
      <c r="G2323" s="227"/>
    </row>
    <row r="2324" spans="1:7" s="30" customFormat="1" ht="14.45">
      <c r="A2324" s="75"/>
      <c r="B2324" s="76"/>
      <c r="C2324" s="78"/>
      <c r="D2324" s="79"/>
      <c r="E2324" s="161"/>
      <c r="F2324" s="140"/>
      <c r="G2324" s="228"/>
    </row>
    <row r="2325" spans="1:7" s="30" customFormat="1" ht="14.45">
      <c r="A2325" s="59"/>
      <c r="B2325" s="63"/>
      <c r="C2325" s="61"/>
      <c r="D2325" s="62"/>
      <c r="E2325" s="157"/>
      <c r="F2325" s="137"/>
      <c r="G2325" s="217"/>
    </row>
    <row r="2326" spans="1:7" s="30" customFormat="1" ht="14.45">
      <c r="A2326" s="59"/>
      <c r="B2326" s="64" t="s">
        <v>2911</v>
      </c>
      <c r="C2326" s="61"/>
      <c r="D2326" s="62"/>
      <c r="E2326" s="157"/>
      <c r="F2326" s="137"/>
      <c r="G2326" s="217"/>
    </row>
    <row r="2327" spans="1:7" s="30" customFormat="1" ht="14.45">
      <c r="A2327" s="59"/>
      <c r="B2327" s="100"/>
      <c r="C2327" s="61"/>
      <c r="D2327" s="62"/>
      <c r="E2327" s="157"/>
      <c r="F2327" s="137"/>
      <c r="G2327" s="217"/>
    </row>
    <row r="2328" spans="1:7" s="30" customFormat="1" ht="55.15">
      <c r="A2328" s="66" t="s">
        <v>14</v>
      </c>
      <c r="B2328" s="67" t="s">
        <v>2977</v>
      </c>
      <c r="C2328" s="68" t="s">
        <v>308</v>
      </c>
      <c r="D2328" s="69" t="s">
        <v>63</v>
      </c>
      <c r="E2328" s="157">
        <v>552.13</v>
      </c>
      <c r="F2328" s="137">
        <f t="shared" ref="F2328" si="583">C2328*E2328</f>
        <v>6625.5599999999995</v>
      </c>
      <c r="G2328" s="217" t="s">
        <v>2916</v>
      </c>
    </row>
    <row r="2329" spans="1:7" s="30" customFormat="1" ht="14.45">
      <c r="A2329" s="59"/>
      <c r="B2329" s="100"/>
      <c r="C2329" s="61"/>
      <c r="D2329" s="62"/>
      <c r="E2329" s="157"/>
      <c r="F2329" s="137"/>
      <c r="G2329" s="217"/>
    </row>
    <row r="2330" spans="1:7" s="30" customFormat="1" ht="41.45">
      <c r="A2330" s="66" t="s">
        <v>17</v>
      </c>
      <c r="B2330" s="67" t="s">
        <v>2978</v>
      </c>
      <c r="C2330" s="68" t="s">
        <v>975</v>
      </c>
      <c r="D2330" s="69" t="s">
        <v>63</v>
      </c>
      <c r="E2330" s="157">
        <v>143.05000000000001</v>
      </c>
      <c r="F2330" s="137">
        <f t="shared" ref="F2330" si="584">C2330*E2330</f>
        <v>4148.4500000000007</v>
      </c>
      <c r="G2330" s="217" t="s">
        <v>2916</v>
      </c>
    </row>
    <row r="2331" spans="1:7" s="30" customFormat="1" ht="14.45">
      <c r="A2331" s="59"/>
      <c r="B2331" s="100"/>
      <c r="C2331" s="61"/>
      <c r="D2331" s="62"/>
      <c r="E2331" s="157"/>
      <c r="F2331" s="137"/>
      <c r="G2331" s="217"/>
    </row>
    <row r="2332" spans="1:7" s="30" customFormat="1" ht="55.15">
      <c r="A2332" s="66" t="s">
        <v>20</v>
      </c>
      <c r="B2332" s="67" t="s">
        <v>2979</v>
      </c>
      <c r="C2332" s="68" t="s">
        <v>308</v>
      </c>
      <c r="D2332" s="69" t="s">
        <v>63</v>
      </c>
      <c r="E2332" s="157">
        <v>216.81</v>
      </c>
      <c r="F2332" s="137">
        <f t="shared" ref="F2332" si="585">C2332*E2332</f>
        <v>2601.7200000000003</v>
      </c>
      <c r="G2332" s="217" t="s">
        <v>2916</v>
      </c>
    </row>
    <row r="2333" spans="1:7" s="30" customFormat="1" ht="14.45">
      <c r="A2333" s="59"/>
      <c r="B2333" s="100"/>
      <c r="C2333" s="61"/>
      <c r="D2333" s="62"/>
      <c r="E2333" s="157"/>
      <c r="F2333" s="137"/>
      <c r="G2333" s="217"/>
    </row>
    <row r="2334" spans="1:7" s="30" customFormat="1" ht="69">
      <c r="A2334" s="66" t="s">
        <v>23</v>
      </c>
      <c r="B2334" s="67" t="s">
        <v>2980</v>
      </c>
      <c r="C2334" s="68" t="s">
        <v>281</v>
      </c>
      <c r="D2334" s="69" t="s">
        <v>63</v>
      </c>
      <c r="E2334" s="157">
        <v>262.61</v>
      </c>
      <c r="F2334" s="137">
        <f t="shared" ref="F2334" si="586">C2334*E2334</f>
        <v>14706.16</v>
      </c>
      <c r="G2334" s="217" t="s">
        <v>2916</v>
      </c>
    </row>
    <row r="2335" spans="1:7" s="30" customFormat="1" ht="14.45">
      <c r="A2335" s="59"/>
      <c r="B2335" s="100"/>
      <c r="C2335" s="61"/>
      <c r="D2335" s="62"/>
      <c r="E2335" s="157"/>
      <c r="F2335" s="137"/>
      <c r="G2335" s="217"/>
    </row>
    <row r="2336" spans="1:7" s="30" customFormat="1" ht="55.15">
      <c r="A2336" s="66" t="s">
        <v>27</v>
      </c>
      <c r="B2336" s="67" t="s">
        <v>2981</v>
      </c>
      <c r="C2336" s="68" t="s">
        <v>2982</v>
      </c>
      <c r="D2336" s="69" t="s">
        <v>63</v>
      </c>
      <c r="E2336" s="157">
        <v>484.5</v>
      </c>
      <c r="F2336" s="137">
        <f t="shared" ref="F2336" si="587">C2336*E2336</f>
        <v>61047</v>
      </c>
      <c r="G2336" s="217" t="s">
        <v>2916</v>
      </c>
    </row>
    <row r="2337" spans="1:7" s="30" customFormat="1" ht="14.45">
      <c r="A2337" s="59"/>
      <c r="B2337" s="100"/>
      <c r="C2337" s="61"/>
      <c r="D2337" s="62"/>
      <c r="E2337" s="157"/>
      <c r="F2337" s="137"/>
      <c r="G2337" s="217"/>
    </row>
    <row r="2338" spans="1:7" s="30" customFormat="1" ht="14.45">
      <c r="A2338" s="66" t="s">
        <v>44</v>
      </c>
      <c r="B2338" s="67" t="s">
        <v>2983</v>
      </c>
      <c r="C2338" s="68" t="s">
        <v>966</v>
      </c>
      <c r="D2338" s="69" t="s">
        <v>199</v>
      </c>
      <c r="E2338" s="157">
        <v>214.22</v>
      </c>
      <c r="F2338" s="137">
        <f t="shared" ref="F2338" si="588">C2338*E2338</f>
        <v>37916.94</v>
      </c>
      <c r="G2338" s="217" t="s">
        <v>2916</v>
      </c>
    </row>
    <row r="2339" spans="1:7" s="30" customFormat="1" ht="14.45">
      <c r="A2339" s="59"/>
      <c r="B2339" s="100"/>
      <c r="C2339" s="61"/>
      <c r="D2339" s="62"/>
      <c r="E2339" s="157"/>
      <c r="F2339" s="137"/>
      <c r="G2339" s="217"/>
    </row>
    <row r="2340" spans="1:7" s="30" customFormat="1" ht="14.45">
      <c r="A2340" s="66"/>
      <c r="B2340" s="98" t="s">
        <v>2984</v>
      </c>
      <c r="C2340" s="68"/>
      <c r="D2340" s="69"/>
      <c r="E2340" s="157"/>
      <c r="F2340" s="137"/>
      <c r="G2340" s="217"/>
    </row>
    <row r="2341" spans="1:7" s="30" customFormat="1" ht="14.45">
      <c r="A2341" s="59"/>
      <c r="B2341" s="100"/>
      <c r="C2341" s="61"/>
      <c r="D2341" s="62"/>
      <c r="E2341" s="157"/>
      <c r="F2341" s="137"/>
      <c r="G2341" s="217"/>
    </row>
    <row r="2342" spans="1:7" s="30" customFormat="1" ht="41.45">
      <c r="A2342" s="66" t="s">
        <v>48</v>
      </c>
      <c r="B2342" s="67" t="s">
        <v>2985</v>
      </c>
      <c r="C2342" s="68" t="s">
        <v>2261</v>
      </c>
      <c r="D2342" s="69" t="s">
        <v>63</v>
      </c>
      <c r="E2342" s="157">
        <v>1056.3599999999999</v>
      </c>
      <c r="F2342" s="137">
        <f t="shared" ref="F2342" si="589">C2342*E2342</f>
        <v>264090</v>
      </c>
      <c r="G2342" s="217" t="s">
        <v>2916</v>
      </c>
    </row>
    <row r="2343" spans="1:7" s="30" customFormat="1" ht="14.45">
      <c r="A2343" s="59"/>
      <c r="B2343" s="100"/>
      <c r="C2343" s="61"/>
      <c r="D2343" s="62"/>
      <c r="E2343" s="157"/>
      <c r="F2343" s="137"/>
      <c r="G2343" s="217"/>
    </row>
    <row r="2344" spans="1:7" s="30" customFormat="1" ht="27.6">
      <c r="A2344" s="66" t="s">
        <v>84</v>
      </c>
      <c r="B2344" s="67" t="s">
        <v>2986</v>
      </c>
      <c r="C2344" s="68" t="s">
        <v>2987</v>
      </c>
      <c r="D2344" s="69" t="s">
        <v>199</v>
      </c>
      <c r="E2344" s="157">
        <v>142.6</v>
      </c>
      <c r="F2344" s="137">
        <f t="shared" ref="F2344" si="590">C2344*E2344</f>
        <v>139177.60000000001</v>
      </c>
      <c r="G2344" s="217" t="s">
        <v>2916</v>
      </c>
    </row>
    <row r="2345" spans="1:7" s="30" customFormat="1" ht="14.45">
      <c r="A2345" s="59"/>
      <c r="B2345" s="100"/>
      <c r="C2345" s="61"/>
      <c r="D2345" s="62"/>
      <c r="E2345" s="157"/>
      <c r="F2345" s="137"/>
      <c r="G2345" s="217"/>
    </row>
    <row r="2346" spans="1:7" s="30" customFormat="1" ht="27.6">
      <c r="A2346" s="66" t="s">
        <v>86</v>
      </c>
      <c r="B2346" s="67" t="s">
        <v>2988</v>
      </c>
      <c r="C2346" s="68" t="s">
        <v>2989</v>
      </c>
      <c r="D2346" s="69" t="s">
        <v>199</v>
      </c>
      <c r="E2346" s="157">
        <v>142.6</v>
      </c>
      <c r="F2346" s="137">
        <f t="shared" ref="F2346" si="591">C2346*E2346</f>
        <v>63314.399999999994</v>
      </c>
      <c r="G2346" s="217" t="s">
        <v>2916</v>
      </c>
    </row>
    <row r="2347" spans="1:7" s="30" customFormat="1" ht="14.45">
      <c r="A2347" s="59"/>
      <c r="B2347" s="100"/>
      <c r="C2347" s="61"/>
      <c r="D2347" s="62"/>
      <c r="E2347" s="157"/>
      <c r="F2347" s="137"/>
      <c r="G2347" s="217"/>
    </row>
    <row r="2348" spans="1:7" s="30" customFormat="1" ht="27.6">
      <c r="A2348" s="66" t="s">
        <v>90</v>
      </c>
      <c r="B2348" s="67" t="s">
        <v>2990</v>
      </c>
      <c r="C2348" s="68" t="s">
        <v>39</v>
      </c>
      <c r="D2348" s="69" t="s">
        <v>63</v>
      </c>
      <c r="E2348" s="157">
        <v>1289.95</v>
      </c>
      <c r="F2348" s="137">
        <f t="shared" ref="F2348" si="592">C2348*E2348</f>
        <v>7739.7000000000007</v>
      </c>
      <c r="G2348" s="217" t="s">
        <v>2916</v>
      </c>
    </row>
    <row r="2349" spans="1:7" s="30" customFormat="1" ht="28.9">
      <c r="A2349" s="59"/>
      <c r="B2349" s="230" t="s">
        <v>323</v>
      </c>
      <c r="C2349" s="61"/>
      <c r="D2349" s="62"/>
      <c r="E2349" s="157"/>
      <c r="F2349" s="137"/>
      <c r="G2349" s="217"/>
    </row>
    <row r="2350" spans="1:7" s="30" customFormat="1" ht="14.45">
      <c r="A2350" s="71"/>
      <c r="B2350" s="72"/>
      <c r="C2350" s="73"/>
      <c r="D2350" s="74"/>
      <c r="E2350" s="159"/>
      <c r="F2350" s="138"/>
      <c r="G2350" s="226"/>
    </row>
    <row r="2351" spans="1:7" s="30" customFormat="1" ht="14.45">
      <c r="A2351" s="75"/>
      <c r="B2351" s="76"/>
      <c r="C2351" s="77" t="s">
        <v>30</v>
      </c>
      <c r="D2351" s="77"/>
      <c r="E2351" s="160" t="s">
        <v>8</v>
      </c>
      <c r="F2351" s="139">
        <f>SUM(F2328:F2348)</f>
        <v>601367.53</v>
      </c>
      <c r="G2351" s="227"/>
    </row>
    <row r="2352" spans="1:7" s="30" customFormat="1" ht="14.45">
      <c r="A2352" s="75"/>
      <c r="B2352" s="76"/>
      <c r="C2352" s="78"/>
      <c r="D2352" s="79"/>
      <c r="E2352" s="161"/>
      <c r="F2352" s="140"/>
      <c r="G2352" s="228"/>
    </row>
    <row r="2353" spans="1:7" s="30" customFormat="1" ht="14.45">
      <c r="A2353" s="59"/>
      <c r="B2353" s="63"/>
      <c r="C2353" s="61"/>
      <c r="D2353" s="62"/>
      <c r="E2353" s="157"/>
      <c r="F2353" s="137"/>
      <c r="G2353" s="217"/>
    </row>
    <row r="2354" spans="1:7" s="30" customFormat="1" ht="14.45">
      <c r="A2354" s="59"/>
      <c r="B2354" s="64" t="s">
        <v>2911</v>
      </c>
      <c r="C2354" s="61"/>
      <c r="D2354" s="62"/>
      <c r="E2354" s="157"/>
      <c r="F2354" s="137"/>
      <c r="G2354" s="217"/>
    </row>
    <row r="2355" spans="1:7" s="30" customFormat="1" ht="14.45">
      <c r="A2355" s="59"/>
      <c r="B2355" s="100"/>
      <c r="C2355" s="61"/>
      <c r="D2355" s="62"/>
      <c r="E2355" s="157"/>
      <c r="F2355" s="137"/>
      <c r="G2355" s="217"/>
    </row>
    <row r="2356" spans="1:7" s="30" customFormat="1" ht="27.6">
      <c r="A2356" s="66" t="s">
        <v>14</v>
      </c>
      <c r="B2356" s="67" t="s">
        <v>2991</v>
      </c>
      <c r="C2356" s="68" t="s">
        <v>39</v>
      </c>
      <c r="D2356" s="69" t="s">
        <v>63</v>
      </c>
      <c r="E2356" s="157">
        <v>1201.8</v>
      </c>
      <c r="F2356" s="137">
        <f t="shared" ref="F2356" si="593">C2356*E2356</f>
        <v>7210.7999999999993</v>
      </c>
      <c r="G2356" s="217" t="s">
        <v>2916</v>
      </c>
    </row>
    <row r="2357" spans="1:7" s="30" customFormat="1" ht="14.45">
      <c r="A2357" s="59"/>
      <c r="B2357" s="100"/>
      <c r="C2357" s="61"/>
      <c r="D2357" s="62"/>
      <c r="E2357" s="157"/>
      <c r="F2357" s="137"/>
      <c r="G2357" s="217"/>
    </row>
    <row r="2358" spans="1:7" s="30" customFormat="1" ht="27.6">
      <c r="A2358" s="66" t="s">
        <v>17</v>
      </c>
      <c r="B2358" s="67" t="s">
        <v>2992</v>
      </c>
      <c r="C2358" s="68" t="s">
        <v>2993</v>
      </c>
      <c r="D2358" s="69" t="s">
        <v>63</v>
      </c>
      <c r="E2358" s="157">
        <v>871.25</v>
      </c>
      <c r="F2358" s="137">
        <f t="shared" ref="F2358" si="594">C2358*E2358</f>
        <v>148112.5</v>
      </c>
      <c r="G2358" s="217" t="s">
        <v>2916</v>
      </c>
    </row>
    <row r="2359" spans="1:7" s="30" customFormat="1" ht="14.45">
      <c r="A2359" s="59"/>
      <c r="B2359" s="100"/>
      <c r="C2359" s="61"/>
      <c r="D2359" s="62"/>
      <c r="E2359" s="157"/>
      <c r="F2359" s="137"/>
      <c r="G2359" s="217"/>
    </row>
    <row r="2360" spans="1:7" s="30" customFormat="1" ht="27.6">
      <c r="A2360" s="66"/>
      <c r="B2360" s="98" t="s">
        <v>2994</v>
      </c>
      <c r="C2360" s="68"/>
      <c r="D2360" s="69"/>
      <c r="E2360" s="157"/>
      <c r="F2360" s="137"/>
      <c r="G2360" s="217"/>
    </row>
    <row r="2361" spans="1:7" s="30" customFormat="1" ht="14.45">
      <c r="A2361" s="59"/>
      <c r="B2361" s="100"/>
      <c r="C2361" s="61"/>
      <c r="D2361" s="62"/>
      <c r="E2361" s="157"/>
      <c r="F2361" s="137"/>
      <c r="G2361" s="217"/>
    </row>
    <row r="2362" spans="1:7" s="30" customFormat="1" ht="14.45">
      <c r="A2362" s="66" t="s">
        <v>20</v>
      </c>
      <c r="B2362" s="67" t="s">
        <v>2995</v>
      </c>
      <c r="C2362" s="68" t="s">
        <v>2993</v>
      </c>
      <c r="D2362" s="69" t="s">
        <v>63</v>
      </c>
      <c r="E2362" s="157">
        <v>41.06</v>
      </c>
      <c r="F2362" s="137">
        <f t="shared" ref="F2362" si="595">C2362*E2362</f>
        <v>6980.2000000000007</v>
      </c>
      <c r="G2362" s="217"/>
    </row>
    <row r="2363" spans="1:7" s="30" customFormat="1" ht="14.45">
      <c r="A2363" s="59"/>
      <c r="B2363" s="100"/>
      <c r="C2363" s="61"/>
      <c r="D2363" s="62"/>
      <c r="E2363" s="157"/>
      <c r="F2363" s="137"/>
      <c r="G2363" s="217"/>
    </row>
    <row r="2364" spans="1:7" s="30" customFormat="1" ht="14.45">
      <c r="A2364" s="66" t="s">
        <v>23</v>
      </c>
      <c r="B2364" s="67" t="s">
        <v>2996</v>
      </c>
      <c r="C2364" s="68" t="s">
        <v>339</v>
      </c>
      <c r="D2364" s="69" t="s">
        <v>63</v>
      </c>
      <c r="E2364" s="157">
        <v>70.459999999999994</v>
      </c>
      <c r="F2364" s="137">
        <f t="shared" ref="F2364" si="596">C2364*E2364</f>
        <v>1409.1999999999998</v>
      </c>
      <c r="G2364" s="217"/>
    </row>
    <row r="2365" spans="1:7" s="30" customFormat="1" ht="14.45">
      <c r="A2365" s="59"/>
      <c r="B2365" s="100"/>
      <c r="C2365" s="61"/>
      <c r="D2365" s="62"/>
      <c r="E2365" s="157"/>
      <c r="F2365" s="137"/>
      <c r="G2365" s="217"/>
    </row>
    <row r="2366" spans="1:7" s="30" customFormat="1" ht="14.45">
      <c r="A2366" s="66" t="s">
        <v>27</v>
      </c>
      <c r="B2366" s="67" t="s">
        <v>2997</v>
      </c>
      <c r="C2366" s="68" t="s">
        <v>39</v>
      </c>
      <c r="D2366" s="69" t="s">
        <v>63</v>
      </c>
      <c r="E2366" s="157">
        <v>51.31</v>
      </c>
      <c r="F2366" s="137">
        <f t="shared" ref="F2366" si="597">C2366*E2366</f>
        <v>307.86</v>
      </c>
      <c r="G2366" s="217"/>
    </row>
    <row r="2367" spans="1:7" s="30" customFormat="1" ht="14.45">
      <c r="A2367" s="59"/>
      <c r="B2367" s="100"/>
      <c r="C2367" s="61"/>
      <c r="D2367" s="62"/>
      <c r="E2367" s="157"/>
      <c r="F2367" s="137"/>
      <c r="G2367" s="217"/>
    </row>
    <row r="2368" spans="1:7" s="30" customFormat="1" ht="14.45">
      <c r="A2368" s="66" t="s">
        <v>44</v>
      </c>
      <c r="B2368" s="67" t="s">
        <v>2998</v>
      </c>
      <c r="C2368" s="68" t="s">
        <v>325</v>
      </c>
      <c r="D2368" s="69" t="s">
        <v>63</v>
      </c>
      <c r="E2368" s="157">
        <v>85.15</v>
      </c>
      <c r="F2368" s="137">
        <f t="shared" ref="F2368" si="598">C2368*E2368</f>
        <v>596.05000000000007</v>
      </c>
      <c r="G2368" s="217"/>
    </row>
    <row r="2369" spans="1:7" s="30" customFormat="1" ht="14.45">
      <c r="A2369" s="59"/>
      <c r="B2369" s="100"/>
      <c r="C2369" s="61"/>
      <c r="D2369" s="62"/>
      <c r="E2369" s="157"/>
      <c r="F2369" s="137"/>
      <c r="G2369" s="217"/>
    </row>
    <row r="2370" spans="1:7" s="30" customFormat="1" ht="14.45">
      <c r="A2370" s="66" t="s">
        <v>48</v>
      </c>
      <c r="B2370" s="67" t="s">
        <v>2999</v>
      </c>
      <c r="C2370" s="68" t="s">
        <v>3000</v>
      </c>
      <c r="D2370" s="69" t="s">
        <v>63</v>
      </c>
      <c r="E2370" s="157">
        <v>3633.69</v>
      </c>
      <c r="F2370" s="137">
        <f t="shared" ref="F2370" si="599">C2370*E2370</f>
        <v>861184.53</v>
      </c>
      <c r="G2370" s="217"/>
    </row>
    <row r="2371" spans="1:7" s="30" customFormat="1" ht="14.45">
      <c r="A2371" s="59"/>
      <c r="B2371" s="100"/>
      <c r="C2371" s="61"/>
      <c r="D2371" s="62"/>
      <c r="E2371" s="157"/>
      <c r="F2371" s="137"/>
      <c r="G2371" s="217"/>
    </row>
    <row r="2372" spans="1:7" s="30" customFormat="1" ht="14.45">
      <c r="A2372" s="66" t="s">
        <v>84</v>
      </c>
      <c r="B2372" s="67" t="s">
        <v>3001</v>
      </c>
      <c r="C2372" s="68" t="s">
        <v>647</v>
      </c>
      <c r="D2372" s="69" t="s">
        <v>63</v>
      </c>
      <c r="E2372" s="157">
        <v>3633.69</v>
      </c>
      <c r="F2372" s="137">
        <f t="shared" ref="F2372" si="600">C2372*E2372</f>
        <v>792144.42</v>
      </c>
      <c r="G2372" s="217"/>
    </row>
    <row r="2373" spans="1:7" s="30" customFormat="1" ht="14.45">
      <c r="A2373" s="59"/>
      <c r="B2373" s="100"/>
      <c r="C2373" s="61"/>
      <c r="D2373" s="62"/>
      <c r="E2373" s="157"/>
      <c r="F2373" s="137"/>
      <c r="G2373" s="217"/>
    </row>
    <row r="2374" spans="1:7" s="30" customFormat="1" ht="41.45">
      <c r="A2374" s="66" t="s">
        <v>86</v>
      </c>
      <c r="B2374" s="67" t="s">
        <v>3002</v>
      </c>
      <c r="C2374" s="68"/>
      <c r="D2374" s="69" t="s">
        <v>2</v>
      </c>
      <c r="E2374" s="157">
        <v>272435.05</v>
      </c>
      <c r="F2374" s="137">
        <f>+E2374</f>
        <v>272435.05</v>
      </c>
      <c r="G2374" s="217"/>
    </row>
    <row r="2375" spans="1:7" s="30" customFormat="1" ht="14.45">
      <c r="A2375" s="59"/>
      <c r="B2375" s="100"/>
      <c r="C2375" s="61"/>
      <c r="D2375" s="62"/>
      <c r="E2375" s="157"/>
      <c r="F2375" s="137"/>
      <c r="G2375" s="217"/>
    </row>
    <row r="2376" spans="1:7" s="30" customFormat="1" ht="27.6">
      <c r="A2376" s="66" t="s">
        <v>90</v>
      </c>
      <c r="B2376" s="67" t="s">
        <v>3003</v>
      </c>
      <c r="C2376" s="68"/>
      <c r="D2376" s="69" t="s">
        <v>2</v>
      </c>
      <c r="E2376" s="157"/>
      <c r="F2376" s="137" t="s">
        <v>69</v>
      </c>
      <c r="G2376" s="217"/>
    </row>
    <row r="2377" spans="1:7" s="30" customFormat="1" ht="14.45">
      <c r="A2377" s="59"/>
      <c r="B2377" s="100"/>
      <c r="C2377" s="61"/>
      <c r="D2377" s="62"/>
      <c r="E2377" s="157"/>
      <c r="F2377" s="137"/>
      <c r="G2377" s="217"/>
    </row>
    <row r="2378" spans="1:7" s="30" customFormat="1" ht="14.45">
      <c r="A2378" s="66"/>
      <c r="B2378" s="98" t="s">
        <v>3004</v>
      </c>
      <c r="C2378" s="68"/>
      <c r="D2378" s="69"/>
      <c r="E2378" s="157"/>
      <c r="F2378" s="137"/>
      <c r="G2378" s="217"/>
    </row>
    <row r="2379" spans="1:7" s="30" customFormat="1" ht="14.45">
      <c r="A2379" s="59"/>
      <c r="B2379" s="100"/>
      <c r="C2379" s="61"/>
      <c r="D2379" s="62"/>
      <c r="E2379" s="157"/>
      <c r="F2379" s="137"/>
      <c r="G2379" s="217"/>
    </row>
    <row r="2380" spans="1:7" s="30" customFormat="1" ht="41.45">
      <c r="A2380" s="66"/>
      <c r="B2380" s="98" t="s">
        <v>2890</v>
      </c>
      <c r="C2380" s="68"/>
      <c r="D2380" s="69"/>
      <c r="E2380" s="157"/>
      <c r="F2380" s="137"/>
      <c r="G2380" s="217"/>
    </row>
    <row r="2381" spans="1:7" s="30" customFormat="1" ht="14.45">
      <c r="A2381" s="59"/>
      <c r="B2381" s="100"/>
      <c r="C2381" s="61"/>
      <c r="D2381" s="62"/>
      <c r="E2381" s="157"/>
      <c r="F2381" s="137"/>
      <c r="G2381" s="217"/>
    </row>
    <row r="2382" spans="1:7" s="30" customFormat="1" ht="27.6">
      <c r="A2382" s="66" t="s">
        <v>92</v>
      </c>
      <c r="B2382" s="67" t="s">
        <v>3005</v>
      </c>
      <c r="C2382" s="68" t="s">
        <v>3006</v>
      </c>
      <c r="D2382" s="69" t="s">
        <v>63</v>
      </c>
      <c r="E2382" s="157">
        <v>527.99</v>
      </c>
      <c r="F2382" s="137">
        <f t="shared" ref="F2382" si="601">C2382*E2382</f>
        <v>1783022.23</v>
      </c>
      <c r="G2382" s="217" t="s">
        <v>2897</v>
      </c>
    </row>
    <row r="2383" spans="1:7" s="30" customFormat="1" ht="14.45">
      <c r="A2383" s="59"/>
      <c r="B2383" s="100"/>
      <c r="C2383" s="61"/>
      <c r="D2383" s="62"/>
      <c r="E2383" s="157"/>
      <c r="F2383" s="137"/>
      <c r="G2383" s="217"/>
    </row>
    <row r="2384" spans="1:7" s="30" customFormat="1" ht="27.6">
      <c r="A2384" s="66" t="s">
        <v>94</v>
      </c>
      <c r="B2384" s="67" t="s">
        <v>3007</v>
      </c>
      <c r="C2384" s="68" t="s">
        <v>3008</v>
      </c>
      <c r="D2384" s="69" t="s">
        <v>63</v>
      </c>
      <c r="E2384" s="157">
        <v>527.99</v>
      </c>
      <c r="F2384" s="137">
        <f t="shared" ref="F2384" si="602">C2384*E2384</f>
        <v>107709.96</v>
      </c>
      <c r="G2384" s="217" t="s">
        <v>2897</v>
      </c>
    </row>
    <row r="2385" spans="1:7" s="30" customFormat="1" ht="14.45">
      <c r="A2385" s="59"/>
      <c r="B2385" s="63"/>
      <c r="C2385" s="61"/>
      <c r="D2385" s="62"/>
      <c r="E2385" s="157"/>
      <c r="F2385" s="137"/>
      <c r="G2385" s="217"/>
    </row>
    <row r="2386" spans="1:7" s="30" customFormat="1" ht="28.9">
      <c r="A2386" s="59"/>
      <c r="B2386" s="230" t="s">
        <v>323</v>
      </c>
      <c r="C2386" s="61"/>
      <c r="D2386" s="62"/>
      <c r="E2386" s="157"/>
      <c r="F2386" s="137"/>
      <c r="G2386" s="217"/>
    </row>
    <row r="2387" spans="1:7" s="30" customFormat="1" ht="14.45">
      <c r="A2387" s="71"/>
      <c r="B2387" s="72"/>
      <c r="C2387" s="73"/>
      <c r="D2387" s="74"/>
      <c r="E2387" s="159"/>
      <c r="F2387" s="138"/>
      <c r="G2387" s="226"/>
    </row>
    <row r="2388" spans="1:7" s="30" customFormat="1" ht="14.45">
      <c r="A2388" s="75"/>
      <c r="B2388" s="76"/>
      <c r="C2388" s="77" t="s">
        <v>30</v>
      </c>
      <c r="D2388" s="77"/>
      <c r="E2388" s="160" t="s">
        <v>8</v>
      </c>
      <c r="F2388" s="139">
        <f>SUM(F2356:F2385)</f>
        <v>3981112.8</v>
      </c>
      <c r="G2388" s="227"/>
    </row>
    <row r="2389" spans="1:7" s="30" customFormat="1" ht="14.45">
      <c r="A2389" s="75"/>
      <c r="B2389" s="76"/>
      <c r="C2389" s="78"/>
      <c r="D2389" s="79"/>
      <c r="E2389" s="161"/>
      <c r="F2389" s="140"/>
      <c r="G2389" s="228"/>
    </row>
    <row r="2390" spans="1:7" s="30" customFormat="1" ht="14.45">
      <c r="A2390" s="59"/>
      <c r="B2390" s="63"/>
      <c r="C2390" s="61"/>
      <c r="D2390" s="62"/>
      <c r="E2390" s="157"/>
      <c r="F2390" s="137"/>
      <c r="G2390" s="217"/>
    </row>
    <row r="2391" spans="1:7" s="30" customFormat="1" ht="14.45">
      <c r="A2391" s="59"/>
      <c r="B2391" s="64" t="s">
        <v>2911</v>
      </c>
      <c r="C2391" s="61"/>
      <c r="D2391" s="62"/>
      <c r="E2391" s="157"/>
      <c r="F2391" s="137"/>
      <c r="G2391" s="217"/>
    </row>
    <row r="2392" spans="1:7" s="30" customFormat="1" ht="14.45">
      <c r="A2392" s="59"/>
      <c r="B2392" s="100"/>
      <c r="C2392" s="61"/>
      <c r="D2392" s="62"/>
      <c r="E2392" s="157"/>
      <c r="F2392" s="137"/>
      <c r="G2392" s="217"/>
    </row>
    <row r="2393" spans="1:7" s="30" customFormat="1" ht="27.6">
      <c r="A2393" s="66"/>
      <c r="B2393" s="98" t="s">
        <v>2912</v>
      </c>
      <c r="C2393" s="68"/>
      <c r="D2393" s="69"/>
      <c r="E2393" s="157"/>
      <c r="F2393" s="137"/>
      <c r="G2393" s="217"/>
    </row>
    <row r="2394" spans="1:7" s="30" customFormat="1" ht="14.45">
      <c r="A2394" s="59"/>
      <c r="B2394" s="100"/>
      <c r="C2394" s="61"/>
      <c r="D2394" s="62"/>
      <c r="E2394" s="157"/>
      <c r="F2394" s="137"/>
      <c r="G2394" s="217"/>
    </row>
    <row r="2395" spans="1:7" s="30" customFormat="1" ht="55.15">
      <c r="A2395" s="66" t="s">
        <v>14</v>
      </c>
      <c r="B2395" s="67" t="s">
        <v>3009</v>
      </c>
      <c r="C2395" s="68" t="s">
        <v>335</v>
      </c>
      <c r="D2395" s="69" t="s">
        <v>63</v>
      </c>
      <c r="E2395" s="157">
        <v>1399.08</v>
      </c>
      <c r="F2395" s="137">
        <f t="shared" ref="F2395" si="603">C2395*E2395</f>
        <v>4197.24</v>
      </c>
      <c r="G2395" s="217"/>
    </row>
    <row r="2396" spans="1:7" s="30" customFormat="1" ht="14.45">
      <c r="A2396" s="59"/>
      <c r="B2396" s="100"/>
      <c r="C2396" s="61"/>
      <c r="D2396" s="62"/>
      <c r="E2396" s="157"/>
      <c r="F2396" s="137"/>
      <c r="G2396" s="217"/>
    </row>
    <row r="2397" spans="1:7" s="30" customFormat="1" ht="55.15">
      <c r="A2397" s="66" t="s">
        <v>17</v>
      </c>
      <c r="B2397" s="67" t="s">
        <v>3010</v>
      </c>
      <c r="C2397" s="68" t="s">
        <v>3011</v>
      </c>
      <c r="D2397" s="69" t="s">
        <v>63</v>
      </c>
      <c r="E2397" s="157">
        <v>1399.08</v>
      </c>
      <c r="F2397" s="137">
        <f t="shared" ref="F2397" si="604">C2397*E2397</f>
        <v>296604.95999999996</v>
      </c>
      <c r="G2397" s="217"/>
    </row>
    <row r="2398" spans="1:7" s="30" customFormat="1" ht="14.45">
      <c r="A2398" s="59"/>
      <c r="B2398" s="100"/>
      <c r="C2398" s="61"/>
      <c r="D2398" s="62"/>
      <c r="E2398" s="157"/>
      <c r="F2398" s="137"/>
      <c r="G2398" s="217"/>
    </row>
    <row r="2399" spans="1:7" s="30" customFormat="1" ht="55.15">
      <c r="A2399" s="66" t="s">
        <v>20</v>
      </c>
      <c r="B2399" s="67" t="s">
        <v>3012</v>
      </c>
      <c r="C2399" s="68" t="s">
        <v>3013</v>
      </c>
      <c r="D2399" s="69" t="s">
        <v>63</v>
      </c>
      <c r="E2399" s="157">
        <v>1399.08</v>
      </c>
      <c r="F2399" s="137">
        <f t="shared" ref="F2399" si="605">C2399*E2399</f>
        <v>1597749.3599999999</v>
      </c>
      <c r="G2399" s="217"/>
    </row>
    <row r="2400" spans="1:7" s="30" customFormat="1" ht="14.45">
      <c r="A2400" s="59"/>
      <c r="B2400" s="100"/>
      <c r="C2400" s="61"/>
      <c r="D2400" s="62"/>
      <c r="E2400" s="157"/>
      <c r="F2400" s="137"/>
      <c r="G2400" s="217"/>
    </row>
    <row r="2401" spans="1:7" s="30" customFormat="1" ht="55.15">
      <c r="A2401" s="66"/>
      <c r="B2401" s="99" t="s">
        <v>3014</v>
      </c>
      <c r="C2401" s="68" t="s">
        <v>479</v>
      </c>
      <c r="D2401" s="69"/>
      <c r="E2401" s="157">
        <v>1399.08</v>
      </c>
      <c r="F2401" s="137">
        <f t="shared" ref="F2401" si="606">C2401*E2401</f>
        <v>12591.72</v>
      </c>
      <c r="G2401" s="217"/>
    </row>
    <row r="2402" spans="1:7" s="30" customFormat="1" ht="14.45">
      <c r="A2402" s="59"/>
      <c r="B2402" s="100"/>
      <c r="C2402" s="61"/>
      <c r="D2402" s="62"/>
      <c r="E2402" s="157"/>
      <c r="F2402" s="137"/>
      <c r="G2402" s="217"/>
    </row>
    <row r="2403" spans="1:7" s="30" customFormat="1" ht="69">
      <c r="A2403" s="66" t="s">
        <v>23</v>
      </c>
      <c r="B2403" s="67" t="s">
        <v>3015</v>
      </c>
      <c r="C2403" s="68" t="s">
        <v>304</v>
      </c>
      <c r="D2403" s="69" t="s">
        <v>63</v>
      </c>
      <c r="E2403" s="157">
        <v>1399.08</v>
      </c>
      <c r="F2403" s="137">
        <f t="shared" ref="F2403" si="607">C2403*E2403</f>
        <v>1399.08</v>
      </c>
      <c r="G2403" s="217"/>
    </row>
    <row r="2404" spans="1:7" s="30" customFormat="1" ht="14.45">
      <c r="A2404" s="59"/>
      <c r="B2404" s="100"/>
      <c r="C2404" s="61"/>
      <c r="D2404" s="62"/>
      <c r="E2404" s="157"/>
      <c r="F2404" s="137"/>
      <c r="G2404" s="217"/>
    </row>
    <row r="2405" spans="1:7" s="30" customFormat="1" ht="69">
      <c r="A2405" s="66" t="s">
        <v>27</v>
      </c>
      <c r="B2405" s="67" t="s">
        <v>3016</v>
      </c>
      <c r="C2405" s="68" t="s">
        <v>3017</v>
      </c>
      <c r="D2405" s="69" t="s">
        <v>63</v>
      </c>
      <c r="E2405" s="157">
        <v>1399.08</v>
      </c>
      <c r="F2405" s="137">
        <f t="shared" ref="F2405" si="608">C2405*E2405</f>
        <v>2774375.6399999997</v>
      </c>
      <c r="G2405" s="217"/>
    </row>
    <row r="2406" spans="1:7" s="30" customFormat="1" ht="14.45">
      <c r="A2406" s="59"/>
      <c r="B2406" s="100"/>
      <c r="C2406" s="61"/>
      <c r="D2406" s="62"/>
      <c r="E2406" s="157"/>
      <c r="F2406" s="137"/>
      <c r="G2406" s="217"/>
    </row>
    <row r="2407" spans="1:7" s="30" customFormat="1" ht="14.45">
      <c r="A2407" s="66" t="s">
        <v>44</v>
      </c>
      <c r="B2407" s="67" t="s">
        <v>3018</v>
      </c>
      <c r="C2407" s="68" t="s">
        <v>1114</v>
      </c>
      <c r="D2407" s="69" t="s">
        <v>63</v>
      </c>
      <c r="E2407" s="157">
        <v>1399.08</v>
      </c>
      <c r="F2407" s="137">
        <f t="shared" ref="F2407" si="609">C2407*E2407</f>
        <v>37775.159999999996</v>
      </c>
      <c r="G2407" s="217"/>
    </row>
    <row r="2408" spans="1:7" s="30" customFormat="1" ht="14.45">
      <c r="A2408" s="59"/>
      <c r="B2408" s="100"/>
      <c r="C2408" s="61"/>
      <c r="D2408" s="62"/>
      <c r="E2408" s="157"/>
      <c r="F2408" s="137"/>
      <c r="G2408" s="217"/>
    </row>
    <row r="2409" spans="1:7" s="30" customFormat="1" ht="55.15">
      <c r="A2409" s="66" t="s">
        <v>48</v>
      </c>
      <c r="B2409" s="67" t="s">
        <v>3019</v>
      </c>
      <c r="C2409" s="68" t="s">
        <v>332</v>
      </c>
      <c r="D2409" s="69" t="s">
        <v>63</v>
      </c>
      <c r="E2409" s="157">
        <v>1399.08</v>
      </c>
      <c r="F2409" s="137">
        <f t="shared" ref="F2409" si="610">C2409*E2409</f>
        <v>13990.8</v>
      </c>
      <c r="G2409" s="217"/>
    </row>
    <row r="2410" spans="1:7" s="30" customFormat="1" ht="14.45">
      <c r="A2410" s="59"/>
      <c r="B2410" s="63"/>
      <c r="C2410" s="61"/>
      <c r="D2410" s="62"/>
      <c r="E2410" s="157"/>
      <c r="F2410" s="137"/>
      <c r="G2410" s="217"/>
    </row>
    <row r="2411" spans="1:7" s="30" customFormat="1" ht="14.45">
      <c r="A2411" s="59"/>
      <c r="B2411" s="63"/>
      <c r="C2411" s="61"/>
      <c r="D2411" s="62"/>
      <c r="E2411" s="157"/>
      <c r="F2411" s="137"/>
      <c r="G2411" s="217"/>
    </row>
    <row r="2412" spans="1:7" s="30" customFormat="1" ht="14.45">
      <c r="A2412" s="59"/>
      <c r="B2412" s="63"/>
      <c r="C2412" s="61"/>
      <c r="D2412" s="62"/>
      <c r="E2412" s="157"/>
      <c r="F2412" s="137"/>
      <c r="G2412" s="217"/>
    </row>
    <row r="2413" spans="1:7" s="30" customFormat="1" ht="14.45">
      <c r="A2413" s="71"/>
      <c r="B2413" s="72"/>
      <c r="C2413" s="73"/>
      <c r="D2413" s="74"/>
      <c r="E2413" s="159"/>
      <c r="F2413" s="138"/>
      <c r="G2413" s="226"/>
    </row>
    <row r="2414" spans="1:7" s="30" customFormat="1" ht="14.45">
      <c r="A2414" s="75"/>
      <c r="B2414" s="76"/>
      <c r="C2414" s="77" t="s">
        <v>30</v>
      </c>
      <c r="D2414" s="77"/>
      <c r="E2414" s="160" t="s">
        <v>8</v>
      </c>
      <c r="F2414" s="139">
        <f>SUM(F2394:F2410)</f>
        <v>4738683.96</v>
      </c>
      <c r="G2414" s="227"/>
    </row>
    <row r="2415" spans="1:7" s="30" customFormat="1" ht="14.45">
      <c r="A2415" s="75"/>
      <c r="B2415" s="76"/>
      <c r="C2415" s="78"/>
      <c r="D2415" s="79"/>
      <c r="E2415" s="161"/>
      <c r="F2415" s="140"/>
      <c r="G2415" s="228"/>
    </row>
    <row r="2416" spans="1:7" s="30" customFormat="1" ht="14.45">
      <c r="A2416" s="59"/>
      <c r="B2416" s="63"/>
      <c r="C2416" s="61"/>
      <c r="D2416" s="62"/>
      <c r="E2416" s="157"/>
      <c r="F2416" s="137"/>
      <c r="G2416" s="217"/>
    </row>
    <row r="2417" spans="1:7" s="30" customFormat="1" ht="14.45">
      <c r="A2417" s="59"/>
      <c r="B2417" s="64" t="s">
        <v>2911</v>
      </c>
      <c r="C2417" s="61"/>
      <c r="D2417" s="62"/>
      <c r="E2417" s="157"/>
      <c r="F2417" s="137"/>
      <c r="G2417" s="217"/>
    </row>
    <row r="2418" spans="1:7" s="30" customFormat="1" ht="14.45">
      <c r="A2418" s="59"/>
      <c r="B2418" s="100"/>
      <c r="C2418" s="61"/>
      <c r="D2418" s="62"/>
      <c r="E2418" s="157"/>
      <c r="F2418" s="137"/>
      <c r="G2418" s="217"/>
    </row>
    <row r="2419" spans="1:7" s="30" customFormat="1" ht="55.15">
      <c r="A2419" s="66" t="s">
        <v>14</v>
      </c>
      <c r="B2419" s="67" t="s">
        <v>3020</v>
      </c>
      <c r="C2419" s="68" t="s">
        <v>62</v>
      </c>
      <c r="D2419" s="69" t="s">
        <v>63</v>
      </c>
      <c r="E2419" s="157">
        <v>1399.08</v>
      </c>
      <c r="F2419" s="137">
        <f t="shared" ref="F2419" si="611">C2419*E2419</f>
        <v>6995.4</v>
      </c>
      <c r="G2419" s="217"/>
    </row>
    <row r="2420" spans="1:7" s="30" customFormat="1" ht="14.45">
      <c r="A2420" s="59"/>
      <c r="B2420" s="100"/>
      <c r="C2420" s="61"/>
      <c r="D2420" s="62"/>
      <c r="E2420" s="157"/>
      <c r="F2420" s="137"/>
      <c r="G2420" s="217"/>
    </row>
    <row r="2421" spans="1:7" s="30" customFormat="1" ht="69">
      <c r="A2421" s="66" t="s">
        <v>17</v>
      </c>
      <c r="B2421" s="67" t="s">
        <v>3021</v>
      </c>
      <c r="C2421" s="68" t="s">
        <v>3022</v>
      </c>
      <c r="D2421" s="69" t="s">
        <v>63</v>
      </c>
      <c r="E2421" s="157">
        <v>1399.08</v>
      </c>
      <c r="F2421" s="137">
        <f t="shared" ref="F2421" si="612">C2421*E2421</f>
        <v>235045.44</v>
      </c>
      <c r="G2421" s="217"/>
    </row>
    <row r="2422" spans="1:7" s="30" customFormat="1" ht="14.45">
      <c r="A2422" s="59"/>
      <c r="B2422" s="100"/>
      <c r="C2422" s="61"/>
      <c r="D2422" s="62"/>
      <c r="E2422" s="157"/>
      <c r="F2422" s="137"/>
      <c r="G2422" s="217"/>
    </row>
    <row r="2423" spans="1:7" s="30" customFormat="1" ht="14.45">
      <c r="A2423" s="66" t="s">
        <v>20</v>
      </c>
      <c r="B2423" s="67" t="s">
        <v>3023</v>
      </c>
      <c r="C2423" s="68" t="s">
        <v>1078</v>
      </c>
      <c r="D2423" s="69" t="s">
        <v>63</v>
      </c>
      <c r="E2423" s="157">
        <v>1399.08</v>
      </c>
      <c r="F2423" s="137">
        <f t="shared" ref="F2423" si="613">C2423*E2423</f>
        <v>29380.68</v>
      </c>
      <c r="G2423" s="217"/>
    </row>
    <row r="2424" spans="1:7" s="30" customFormat="1" ht="14.45">
      <c r="A2424" s="59"/>
      <c r="B2424" s="63"/>
      <c r="C2424" s="61"/>
      <c r="D2424" s="62"/>
      <c r="E2424" s="157"/>
      <c r="F2424" s="137"/>
      <c r="G2424" s="217"/>
    </row>
    <row r="2425" spans="1:7" s="30" customFormat="1" ht="14.45">
      <c r="A2425" s="59"/>
      <c r="B2425" s="63"/>
      <c r="C2425" s="61"/>
      <c r="D2425" s="62"/>
      <c r="E2425" s="157"/>
      <c r="F2425" s="137"/>
      <c r="G2425" s="217"/>
    </row>
    <row r="2426" spans="1:7" s="30" customFormat="1" ht="14.45">
      <c r="A2426" s="59"/>
      <c r="B2426" s="63"/>
      <c r="C2426" s="61"/>
      <c r="D2426" s="62"/>
      <c r="E2426" s="157"/>
      <c r="F2426" s="137"/>
      <c r="G2426" s="217"/>
    </row>
    <row r="2427" spans="1:7" s="30" customFormat="1" ht="14.45">
      <c r="A2427" s="59"/>
      <c r="B2427" s="63"/>
      <c r="C2427" s="61"/>
      <c r="D2427" s="62"/>
      <c r="E2427" s="157"/>
      <c r="F2427" s="137"/>
      <c r="G2427" s="217"/>
    </row>
    <row r="2428" spans="1:7" s="30" customFormat="1" ht="14.45">
      <c r="A2428" s="59"/>
      <c r="B2428" s="63"/>
      <c r="C2428" s="61"/>
      <c r="D2428" s="62"/>
      <c r="E2428" s="157"/>
      <c r="F2428" s="137"/>
      <c r="G2428" s="217"/>
    </row>
    <row r="2429" spans="1:7" s="30" customFormat="1" ht="14.45">
      <c r="A2429" s="59"/>
      <c r="B2429" s="63"/>
      <c r="C2429" s="61"/>
      <c r="D2429" s="62"/>
      <c r="E2429" s="157"/>
      <c r="F2429" s="137"/>
      <c r="G2429" s="217"/>
    </row>
    <row r="2430" spans="1:7" s="30" customFormat="1" ht="14.45">
      <c r="A2430" s="59"/>
      <c r="B2430" s="63"/>
      <c r="C2430" s="61"/>
      <c r="D2430" s="62"/>
      <c r="E2430" s="157"/>
      <c r="F2430" s="137"/>
      <c r="G2430" s="217"/>
    </row>
    <row r="2431" spans="1:7" s="30" customFormat="1" ht="14.45">
      <c r="A2431" s="59"/>
      <c r="B2431" s="63"/>
      <c r="C2431" s="61"/>
      <c r="D2431" s="62"/>
      <c r="E2431" s="157"/>
      <c r="F2431" s="137"/>
      <c r="G2431" s="217"/>
    </row>
    <row r="2432" spans="1:7" s="30" customFormat="1" ht="14.45">
      <c r="A2432" s="59"/>
      <c r="B2432" s="63"/>
      <c r="C2432" s="61"/>
      <c r="D2432" s="62"/>
      <c r="E2432" s="157"/>
      <c r="F2432" s="137"/>
      <c r="G2432" s="217"/>
    </row>
    <row r="2433" spans="1:7" s="30" customFormat="1" ht="14.45">
      <c r="A2433" s="59"/>
      <c r="B2433" s="63"/>
      <c r="C2433" s="61"/>
      <c r="D2433" s="62"/>
      <c r="E2433" s="157"/>
      <c r="F2433" s="137"/>
      <c r="G2433" s="217"/>
    </row>
    <row r="2434" spans="1:7" s="30" customFormat="1" ht="14.45">
      <c r="A2434" s="59"/>
      <c r="B2434" s="63"/>
      <c r="C2434" s="61"/>
      <c r="D2434" s="62"/>
      <c r="E2434" s="157"/>
      <c r="F2434" s="137"/>
      <c r="G2434" s="217"/>
    </row>
    <row r="2435" spans="1:7" s="30" customFormat="1" ht="14.45">
      <c r="A2435" s="59"/>
      <c r="B2435" s="63"/>
      <c r="C2435" s="61"/>
      <c r="D2435" s="62"/>
      <c r="E2435" s="157"/>
      <c r="F2435" s="137"/>
      <c r="G2435" s="217"/>
    </row>
    <row r="2436" spans="1:7" s="30" customFormat="1" ht="14.45">
      <c r="A2436" s="59"/>
      <c r="B2436" s="63"/>
      <c r="C2436" s="61"/>
      <c r="D2436" s="62"/>
      <c r="E2436" s="157"/>
      <c r="F2436" s="137"/>
      <c r="G2436" s="217"/>
    </row>
    <row r="2437" spans="1:7" s="30" customFormat="1" ht="14.45">
      <c r="A2437" s="59"/>
      <c r="B2437" s="63"/>
      <c r="C2437" s="61"/>
      <c r="D2437" s="62"/>
      <c r="E2437" s="157"/>
      <c r="F2437" s="137"/>
      <c r="G2437" s="217"/>
    </row>
    <row r="2438" spans="1:7" s="30" customFormat="1" ht="14.45">
      <c r="A2438" s="59"/>
      <c r="B2438" s="63"/>
      <c r="C2438" s="61"/>
      <c r="D2438" s="62"/>
      <c r="E2438" s="157"/>
      <c r="F2438" s="137"/>
      <c r="G2438" s="217"/>
    </row>
    <row r="2439" spans="1:7" s="30" customFormat="1" ht="14.45">
      <c r="A2439" s="59"/>
      <c r="B2439" s="63"/>
      <c r="C2439" s="61"/>
      <c r="D2439" s="62"/>
      <c r="E2439" s="157"/>
      <c r="F2439" s="137"/>
      <c r="G2439" s="217"/>
    </row>
    <row r="2440" spans="1:7" s="30" customFormat="1" ht="14.45">
      <c r="A2440" s="59"/>
      <c r="B2440" s="63"/>
      <c r="C2440" s="61"/>
      <c r="D2440" s="62"/>
      <c r="E2440" s="157"/>
      <c r="F2440" s="137"/>
      <c r="G2440" s="217"/>
    </row>
    <row r="2441" spans="1:7" s="30" customFormat="1" ht="14.45">
      <c r="A2441" s="59"/>
      <c r="B2441" s="63"/>
      <c r="C2441" s="61"/>
      <c r="D2441" s="62"/>
      <c r="E2441" s="157"/>
      <c r="F2441" s="137"/>
      <c r="G2441" s="217"/>
    </row>
    <row r="2442" spans="1:7" s="30" customFormat="1" ht="14.45">
      <c r="A2442" s="59"/>
      <c r="B2442" s="63"/>
      <c r="C2442" s="61"/>
      <c r="D2442" s="62"/>
      <c r="E2442" s="157"/>
      <c r="F2442" s="137"/>
      <c r="G2442" s="217"/>
    </row>
    <row r="2443" spans="1:7" s="30" customFormat="1" ht="14.45">
      <c r="A2443" s="59"/>
      <c r="B2443" s="63"/>
      <c r="C2443" s="61"/>
      <c r="D2443" s="62"/>
      <c r="E2443" s="157"/>
      <c r="F2443" s="137"/>
      <c r="G2443" s="217"/>
    </row>
    <row r="2444" spans="1:7" s="30" customFormat="1" ht="14.45">
      <c r="A2444" s="59"/>
      <c r="B2444" s="63"/>
      <c r="C2444" s="61"/>
      <c r="D2444" s="62"/>
      <c r="E2444" s="157"/>
      <c r="F2444" s="137"/>
      <c r="G2444" s="217"/>
    </row>
    <row r="2445" spans="1:7" s="30" customFormat="1" ht="14.45">
      <c r="A2445" s="59"/>
      <c r="B2445" s="63"/>
      <c r="C2445" s="61"/>
      <c r="D2445" s="62"/>
      <c r="E2445" s="157"/>
      <c r="F2445" s="137"/>
      <c r="G2445" s="217"/>
    </row>
    <row r="2446" spans="1:7" s="30" customFormat="1" ht="14.45">
      <c r="A2446" s="59"/>
      <c r="B2446" s="63"/>
      <c r="C2446" s="61"/>
      <c r="D2446" s="62"/>
      <c r="E2446" s="157"/>
      <c r="F2446" s="137"/>
      <c r="G2446" s="217"/>
    </row>
    <row r="2447" spans="1:7" s="30" customFormat="1" ht="14.45">
      <c r="A2447" s="59"/>
      <c r="B2447" s="63"/>
      <c r="C2447" s="61"/>
      <c r="D2447" s="62"/>
      <c r="E2447" s="157"/>
      <c r="F2447" s="137"/>
      <c r="G2447" s="217"/>
    </row>
    <row r="2448" spans="1:7" s="30" customFormat="1" ht="14.45">
      <c r="A2448" s="59"/>
      <c r="B2448" s="63"/>
      <c r="C2448" s="61"/>
      <c r="D2448" s="62"/>
      <c r="E2448" s="157"/>
      <c r="F2448" s="137"/>
      <c r="G2448" s="217"/>
    </row>
    <row r="2449" spans="1:7" s="30" customFormat="1" ht="14.45">
      <c r="A2449" s="59"/>
      <c r="B2449" s="63"/>
      <c r="C2449" s="61"/>
      <c r="D2449" s="62"/>
      <c r="E2449" s="157"/>
      <c r="F2449" s="137"/>
      <c r="G2449" s="217"/>
    </row>
    <row r="2450" spans="1:7" s="30" customFormat="1" ht="14.45">
      <c r="A2450" s="59"/>
      <c r="B2450" s="63"/>
      <c r="C2450" s="61"/>
      <c r="D2450" s="62"/>
      <c r="E2450" s="157"/>
      <c r="F2450" s="137"/>
      <c r="G2450" s="217"/>
    </row>
    <row r="2451" spans="1:7" s="30" customFormat="1" ht="14.45">
      <c r="A2451" s="59"/>
      <c r="B2451" s="63"/>
      <c r="C2451" s="61"/>
      <c r="D2451" s="62"/>
      <c r="E2451" s="157"/>
      <c r="F2451" s="137"/>
      <c r="G2451" s="217"/>
    </row>
    <row r="2452" spans="1:7" s="30" customFormat="1" ht="14.45">
      <c r="A2452" s="59"/>
      <c r="B2452" s="63"/>
      <c r="C2452" s="61"/>
      <c r="D2452" s="62"/>
      <c r="E2452" s="157"/>
      <c r="F2452" s="137"/>
      <c r="G2452" s="217"/>
    </row>
    <row r="2453" spans="1:7" s="30" customFormat="1" ht="14.45">
      <c r="A2453" s="59"/>
      <c r="B2453" s="63"/>
      <c r="C2453" s="61"/>
      <c r="D2453" s="62"/>
      <c r="E2453" s="157"/>
      <c r="F2453" s="137"/>
      <c r="G2453" s="217"/>
    </row>
    <row r="2454" spans="1:7" s="30" customFormat="1" ht="14.45">
      <c r="A2454" s="71"/>
      <c r="B2454" s="72"/>
      <c r="C2454" s="73"/>
      <c r="D2454" s="74"/>
      <c r="E2454" s="159"/>
      <c r="F2454" s="138"/>
      <c r="G2454" s="226"/>
    </row>
    <row r="2455" spans="1:7" s="30" customFormat="1" ht="14.45">
      <c r="A2455" s="75"/>
      <c r="B2455" s="76"/>
      <c r="C2455" s="77" t="s">
        <v>30</v>
      </c>
      <c r="D2455" s="77"/>
      <c r="E2455" s="160" t="s">
        <v>8</v>
      </c>
      <c r="F2455" s="139">
        <f>SUM(F2417:F2436)</f>
        <v>271421.52</v>
      </c>
      <c r="G2455" s="227"/>
    </row>
    <row r="2456" spans="1:7" s="30" customFormat="1" ht="14.45">
      <c r="A2456" s="75"/>
      <c r="B2456" s="76"/>
      <c r="C2456" s="78"/>
      <c r="D2456" s="79"/>
      <c r="E2456" s="161"/>
      <c r="F2456" s="140"/>
      <c r="G2456" s="228"/>
    </row>
    <row r="2457" spans="1:7" s="30" customFormat="1" ht="14.45">
      <c r="A2457" s="59"/>
      <c r="B2457" s="63"/>
      <c r="C2457" s="61"/>
      <c r="D2457" s="62"/>
      <c r="E2457" s="157"/>
      <c r="F2457" s="137"/>
      <c r="G2457" s="217"/>
    </row>
    <row r="2458" spans="1:7" s="30" customFormat="1" ht="14.45">
      <c r="A2458" s="59"/>
      <c r="B2458" s="64" t="s">
        <v>3024</v>
      </c>
      <c r="C2458" s="61"/>
      <c r="D2458" s="62"/>
      <c r="E2458" s="157"/>
      <c r="F2458" s="137"/>
      <c r="G2458" s="217"/>
    </row>
    <row r="2459" spans="1:7" s="30" customFormat="1" ht="14.45">
      <c r="A2459" s="59"/>
      <c r="B2459" s="100"/>
      <c r="C2459" s="61"/>
      <c r="D2459" s="62"/>
      <c r="E2459" s="157"/>
      <c r="F2459" s="137"/>
      <c r="G2459" s="217"/>
    </row>
    <row r="2460" spans="1:7" s="30" customFormat="1" ht="14.45">
      <c r="A2460" s="66"/>
      <c r="B2460" s="99" t="s">
        <v>979</v>
      </c>
      <c r="C2460" s="68"/>
      <c r="D2460" s="69"/>
      <c r="E2460" s="157"/>
      <c r="F2460" s="137"/>
      <c r="G2460" s="217"/>
    </row>
    <row r="2461" spans="1:7" s="30" customFormat="1" ht="14.45">
      <c r="A2461" s="59"/>
      <c r="B2461" s="100"/>
      <c r="C2461" s="61"/>
      <c r="D2461" s="62"/>
      <c r="E2461" s="157"/>
      <c r="F2461" s="137"/>
      <c r="G2461" s="217"/>
    </row>
    <row r="2462" spans="1:7" s="30" customFormat="1" ht="41.45">
      <c r="A2462" s="66"/>
      <c r="B2462" s="99" t="s">
        <v>3025</v>
      </c>
      <c r="C2462" s="68"/>
      <c r="D2462" s="69"/>
      <c r="E2462" s="157"/>
      <c r="F2462" s="137"/>
      <c r="G2462" s="217"/>
    </row>
    <row r="2463" spans="1:7" s="30" customFormat="1" ht="14.45">
      <c r="A2463" s="59"/>
      <c r="B2463" s="100"/>
      <c r="C2463" s="61"/>
      <c r="D2463" s="62"/>
      <c r="E2463" s="157"/>
      <c r="F2463" s="137"/>
      <c r="G2463" s="217"/>
    </row>
    <row r="2464" spans="1:7" s="30" customFormat="1" ht="27.6">
      <c r="A2464" s="66"/>
      <c r="B2464" s="99" t="s">
        <v>1937</v>
      </c>
      <c r="C2464" s="68"/>
      <c r="D2464" s="69"/>
      <c r="E2464" s="157"/>
      <c r="F2464" s="137"/>
      <c r="G2464" s="217"/>
    </row>
    <row r="2465" spans="1:7" s="30" customFormat="1" ht="14.45">
      <c r="A2465" s="59"/>
      <c r="B2465" s="100"/>
      <c r="C2465" s="61"/>
      <c r="D2465" s="62"/>
      <c r="E2465" s="157"/>
      <c r="F2465" s="137"/>
      <c r="G2465" s="217"/>
    </row>
    <row r="2466" spans="1:7" s="30" customFormat="1" ht="41.45">
      <c r="A2466" s="66"/>
      <c r="B2466" s="98" t="s">
        <v>2890</v>
      </c>
      <c r="C2466" s="68"/>
      <c r="D2466" s="69"/>
      <c r="E2466" s="157"/>
      <c r="F2466" s="137"/>
      <c r="G2466" s="217"/>
    </row>
    <row r="2467" spans="1:7" s="30" customFormat="1" ht="14.45">
      <c r="A2467" s="59"/>
      <c r="B2467" s="100"/>
      <c r="C2467" s="61"/>
      <c r="D2467" s="62"/>
      <c r="E2467" s="157"/>
      <c r="F2467" s="137"/>
      <c r="G2467" s="217"/>
    </row>
    <row r="2468" spans="1:7" s="30" customFormat="1" ht="21">
      <c r="A2468" s="66" t="s">
        <v>14</v>
      </c>
      <c r="B2468" s="67" t="s">
        <v>3026</v>
      </c>
      <c r="C2468" s="68" t="s">
        <v>3027</v>
      </c>
      <c r="D2468" s="69" t="s">
        <v>63</v>
      </c>
      <c r="E2468" s="157">
        <v>419.9</v>
      </c>
      <c r="F2468" s="137">
        <f t="shared" ref="F2468" si="614">C2468*E2468</f>
        <v>1019937.1</v>
      </c>
      <c r="G2468" s="237" t="s">
        <v>2897</v>
      </c>
    </row>
    <row r="2469" spans="1:7" s="30" customFormat="1" ht="14.45">
      <c r="A2469" s="59"/>
      <c r="B2469" s="100"/>
      <c r="C2469" s="61"/>
      <c r="D2469" s="62"/>
      <c r="E2469" s="157"/>
      <c r="F2469" s="137"/>
      <c r="G2469" s="217"/>
    </row>
    <row r="2470" spans="1:7" s="30" customFormat="1" ht="21">
      <c r="A2470" s="66" t="s">
        <v>17</v>
      </c>
      <c r="B2470" s="67" t="s">
        <v>3028</v>
      </c>
      <c r="C2470" s="68" t="s">
        <v>1537</v>
      </c>
      <c r="D2470" s="69" t="s">
        <v>63</v>
      </c>
      <c r="E2470" s="157">
        <v>546.41999999999996</v>
      </c>
      <c r="F2470" s="137">
        <f t="shared" ref="F2470" si="615">C2470*E2470</f>
        <v>463364.16</v>
      </c>
      <c r="G2470" s="237" t="s">
        <v>2897</v>
      </c>
    </row>
    <row r="2471" spans="1:7" s="30" customFormat="1" ht="14.45">
      <c r="A2471" s="59"/>
      <c r="B2471" s="100"/>
      <c r="C2471" s="61"/>
      <c r="D2471" s="62"/>
      <c r="E2471" s="157"/>
      <c r="F2471" s="137"/>
      <c r="G2471" s="217"/>
    </row>
    <row r="2472" spans="1:7" s="30" customFormat="1" ht="21">
      <c r="A2472" s="66" t="s">
        <v>20</v>
      </c>
      <c r="B2472" s="67" t="s">
        <v>3029</v>
      </c>
      <c r="C2472" s="68" t="s">
        <v>714</v>
      </c>
      <c r="D2472" s="69" t="s">
        <v>63</v>
      </c>
      <c r="E2472" s="157">
        <v>446.73</v>
      </c>
      <c r="F2472" s="137">
        <f t="shared" ref="F2472" si="616">C2472*E2472</f>
        <v>3573.84</v>
      </c>
      <c r="G2472" s="237" t="s">
        <v>2897</v>
      </c>
    </row>
    <row r="2473" spans="1:7" s="30" customFormat="1" ht="14.45">
      <c r="A2473" s="59"/>
      <c r="B2473" s="100"/>
      <c r="C2473" s="61"/>
      <c r="D2473" s="62"/>
      <c r="E2473" s="157"/>
      <c r="F2473" s="137"/>
      <c r="G2473" s="217"/>
    </row>
    <row r="2474" spans="1:7" s="30" customFormat="1" ht="21">
      <c r="A2474" s="66" t="s">
        <v>23</v>
      </c>
      <c r="B2474" s="67" t="s">
        <v>3030</v>
      </c>
      <c r="C2474" s="68" t="s">
        <v>722</v>
      </c>
      <c r="D2474" s="69" t="s">
        <v>63</v>
      </c>
      <c r="E2474" s="157">
        <v>446.73</v>
      </c>
      <c r="F2474" s="137">
        <f t="shared" ref="F2474" si="617">C2474*E2474</f>
        <v>46459.92</v>
      </c>
      <c r="G2474" s="237" t="s">
        <v>2897</v>
      </c>
    </row>
    <row r="2475" spans="1:7" s="30" customFormat="1" ht="14.45">
      <c r="A2475" s="59"/>
      <c r="B2475" s="100"/>
      <c r="C2475" s="61"/>
      <c r="D2475" s="62"/>
      <c r="E2475" s="157"/>
      <c r="F2475" s="137"/>
      <c r="G2475" s="217"/>
    </row>
    <row r="2476" spans="1:7" s="30" customFormat="1" ht="21">
      <c r="A2476" s="66" t="s">
        <v>27</v>
      </c>
      <c r="B2476" s="67" t="s">
        <v>3031</v>
      </c>
      <c r="C2476" s="68" t="s">
        <v>88</v>
      </c>
      <c r="D2476" s="69" t="s">
        <v>63</v>
      </c>
      <c r="E2476" s="157">
        <v>446.73</v>
      </c>
      <c r="F2476" s="137">
        <f t="shared" ref="F2476:F2496" si="618">C2476*E2476</f>
        <v>6254.22</v>
      </c>
      <c r="G2476" s="237" t="s">
        <v>2897</v>
      </c>
    </row>
    <row r="2477" spans="1:7" s="30" customFormat="1" ht="14.45">
      <c r="A2477" s="59"/>
      <c r="B2477" s="100"/>
      <c r="C2477" s="61"/>
      <c r="D2477" s="62"/>
      <c r="E2477" s="157"/>
      <c r="F2477" s="137"/>
      <c r="G2477" s="217"/>
    </row>
    <row r="2478" spans="1:7" s="30" customFormat="1" ht="21">
      <c r="A2478" s="66" t="s">
        <v>44</v>
      </c>
      <c r="B2478" s="67" t="s">
        <v>3032</v>
      </c>
      <c r="C2478" s="68" t="s">
        <v>339</v>
      </c>
      <c r="D2478" s="69" t="s">
        <v>63</v>
      </c>
      <c r="E2478" s="157">
        <v>506.43</v>
      </c>
      <c r="F2478" s="137">
        <f t="shared" si="618"/>
        <v>10128.6</v>
      </c>
      <c r="G2478" s="237" t="s">
        <v>2897</v>
      </c>
    </row>
    <row r="2479" spans="1:7" s="30" customFormat="1" ht="14.45">
      <c r="A2479" s="59"/>
      <c r="B2479" s="100"/>
      <c r="C2479" s="61"/>
      <c r="D2479" s="62"/>
      <c r="E2479" s="157"/>
      <c r="F2479" s="137"/>
      <c r="G2479" s="217"/>
    </row>
    <row r="2480" spans="1:7" s="30" customFormat="1" ht="21">
      <c r="A2480" s="66" t="s">
        <v>48</v>
      </c>
      <c r="B2480" s="67" t="s">
        <v>3033</v>
      </c>
      <c r="C2480" s="68" t="s">
        <v>3034</v>
      </c>
      <c r="D2480" s="69" t="s">
        <v>63</v>
      </c>
      <c r="E2480" s="157">
        <v>615.94000000000005</v>
      </c>
      <c r="F2480" s="137">
        <f t="shared" si="618"/>
        <v>639345.72000000009</v>
      </c>
      <c r="G2480" s="237" t="s">
        <v>2897</v>
      </c>
    </row>
    <row r="2481" spans="1:7" s="30" customFormat="1" ht="14.45">
      <c r="A2481" s="59"/>
      <c r="B2481" s="100"/>
      <c r="C2481" s="61"/>
      <c r="D2481" s="62"/>
      <c r="E2481" s="157"/>
      <c r="F2481" s="137"/>
      <c r="G2481" s="217"/>
    </row>
    <row r="2482" spans="1:7" s="30" customFormat="1" ht="21">
      <c r="A2482" s="66" t="s">
        <v>84</v>
      </c>
      <c r="B2482" s="67" t="s">
        <v>3035</v>
      </c>
      <c r="C2482" s="68" t="s">
        <v>62</v>
      </c>
      <c r="D2482" s="69" t="s">
        <v>63</v>
      </c>
      <c r="E2482" s="157">
        <v>615.94000000000005</v>
      </c>
      <c r="F2482" s="137">
        <f t="shared" si="618"/>
        <v>3079.7000000000003</v>
      </c>
      <c r="G2482" s="237" t="s">
        <v>2897</v>
      </c>
    </row>
    <row r="2483" spans="1:7" s="30" customFormat="1" ht="14.45">
      <c r="A2483" s="59"/>
      <c r="B2483" s="100"/>
      <c r="C2483" s="61"/>
      <c r="D2483" s="62"/>
      <c r="E2483" s="157"/>
      <c r="F2483" s="137"/>
      <c r="G2483" s="217"/>
    </row>
    <row r="2484" spans="1:7" s="30" customFormat="1" ht="21">
      <c r="A2484" s="66" t="s">
        <v>86</v>
      </c>
      <c r="B2484" s="67" t="s">
        <v>3036</v>
      </c>
      <c r="C2484" s="68" t="s">
        <v>304</v>
      </c>
      <c r="D2484" s="69" t="s">
        <v>63</v>
      </c>
      <c r="E2484" s="157">
        <v>446.73</v>
      </c>
      <c r="F2484" s="137">
        <f t="shared" si="618"/>
        <v>446.73</v>
      </c>
      <c r="G2484" s="237" t="s">
        <v>2897</v>
      </c>
    </row>
    <row r="2485" spans="1:7" s="30" customFormat="1" ht="14.45">
      <c r="A2485" s="59"/>
      <c r="B2485" s="100"/>
      <c r="C2485" s="61"/>
      <c r="D2485" s="62"/>
      <c r="E2485" s="157"/>
      <c r="F2485" s="137"/>
      <c r="G2485" s="217"/>
    </row>
    <row r="2486" spans="1:7" s="30" customFormat="1" ht="21">
      <c r="A2486" s="66" t="s">
        <v>90</v>
      </c>
      <c r="B2486" s="67" t="s">
        <v>3037</v>
      </c>
      <c r="C2486" s="68" t="s">
        <v>716</v>
      </c>
      <c r="D2486" s="69" t="s">
        <v>63</v>
      </c>
      <c r="E2486" s="157">
        <v>412.84</v>
      </c>
      <c r="F2486" s="137">
        <f t="shared" si="618"/>
        <v>9908.16</v>
      </c>
      <c r="G2486" s="237" t="s">
        <v>2897</v>
      </c>
    </row>
    <row r="2487" spans="1:7" s="30" customFormat="1" ht="14.45">
      <c r="A2487" s="59"/>
      <c r="B2487" s="100"/>
      <c r="C2487" s="61"/>
      <c r="D2487" s="62"/>
      <c r="E2487" s="157"/>
      <c r="F2487" s="137"/>
      <c r="G2487" s="217"/>
    </row>
    <row r="2488" spans="1:7" s="30" customFormat="1" ht="21">
      <c r="A2488" s="66" t="s">
        <v>92</v>
      </c>
      <c r="B2488" s="67" t="s">
        <v>3038</v>
      </c>
      <c r="C2488" s="68" t="s">
        <v>716</v>
      </c>
      <c r="D2488" s="69" t="s">
        <v>63</v>
      </c>
      <c r="E2488" s="157">
        <v>412.84</v>
      </c>
      <c r="F2488" s="137">
        <f t="shared" si="618"/>
        <v>9908.16</v>
      </c>
      <c r="G2488" s="237" t="s">
        <v>2897</v>
      </c>
    </row>
    <row r="2489" spans="1:7" s="30" customFormat="1" ht="14.45">
      <c r="A2489" s="59"/>
      <c r="B2489" s="100"/>
      <c r="C2489" s="61"/>
      <c r="D2489" s="62"/>
      <c r="E2489" s="157"/>
      <c r="F2489" s="137"/>
      <c r="G2489" s="217"/>
    </row>
    <row r="2490" spans="1:7" s="30" customFormat="1" ht="21">
      <c r="A2490" s="66" t="s">
        <v>94</v>
      </c>
      <c r="B2490" s="67" t="s">
        <v>3039</v>
      </c>
      <c r="C2490" s="68" t="s">
        <v>3040</v>
      </c>
      <c r="D2490" s="69" t="s">
        <v>63</v>
      </c>
      <c r="E2490" s="157">
        <v>419.9</v>
      </c>
      <c r="F2490" s="137">
        <f t="shared" si="618"/>
        <v>122190.9</v>
      </c>
      <c r="G2490" s="237" t="s">
        <v>2897</v>
      </c>
    </row>
    <row r="2491" spans="1:7" s="30" customFormat="1" ht="14.45">
      <c r="A2491" s="59"/>
      <c r="B2491" s="100"/>
      <c r="C2491" s="61"/>
      <c r="D2491" s="62"/>
      <c r="E2491" s="157"/>
      <c r="F2491" s="137"/>
      <c r="G2491" s="217"/>
    </row>
    <row r="2492" spans="1:7" s="30" customFormat="1" ht="21">
      <c r="A2492" s="66" t="s">
        <v>140</v>
      </c>
      <c r="B2492" s="67" t="s">
        <v>3041</v>
      </c>
      <c r="C2492" s="68" t="s">
        <v>332</v>
      </c>
      <c r="D2492" s="69" t="s">
        <v>63</v>
      </c>
      <c r="E2492" s="157">
        <v>419.9</v>
      </c>
      <c r="F2492" s="137">
        <f t="shared" si="618"/>
        <v>4199</v>
      </c>
      <c r="G2492" s="237" t="s">
        <v>2897</v>
      </c>
    </row>
    <row r="2493" spans="1:7" s="30" customFormat="1" ht="14.45">
      <c r="A2493" s="59"/>
      <c r="B2493" s="100"/>
      <c r="C2493" s="61"/>
      <c r="D2493" s="62"/>
      <c r="E2493" s="157"/>
      <c r="F2493" s="137"/>
      <c r="G2493" s="217"/>
    </row>
    <row r="2494" spans="1:7" s="30" customFormat="1" ht="21">
      <c r="A2494" s="66" t="s">
        <v>159</v>
      </c>
      <c r="B2494" s="67" t="s">
        <v>3042</v>
      </c>
      <c r="C2494" s="68" t="s">
        <v>3043</v>
      </c>
      <c r="D2494" s="69" t="s">
        <v>63</v>
      </c>
      <c r="E2494" s="157">
        <v>419.9</v>
      </c>
      <c r="F2494" s="137">
        <f t="shared" si="618"/>
        <v>123030.7</v>
      </c>
      <c r="G2494" s="237" t="s">
        <v>2897</v>
      </c>
    </row>
    <row r="2495" spans="1:7" s="30" customFormat="1" ht="14.45">
      <c r="A2495" s="59"/>
      <c r="B2495" s="100"/>
      <c r="C2495" s="61"/>
      <c r="D2495" s="62"/>
      <c r="E2495" s="157"/>
      <c r="F2495" s="137"/>
      <c r="G2495" s="217"/>
    </row>
    <row r="2496" spans="1:7" s="30" customFormat="1" ht="21">
      <c r="A2496" s="66" t="s">
        <v>162</v>
      </c>
      <c r="B2496" s="67" t="s">
        <v>3044</v>
      </c>
      <c r="C2496" s="68" t="s">
        <v>479</v>
      </c>
      <c r="D2496" s="69" t="s">
        <v>63</v>
      </c>
      <c r="E2496" s="157">
        <v>419.9</v>
      </c>
      <c r="F2496" s="137">
        <f t="shared" si="618"/>
        <v>3779.1</v>
      </c>
      <c r="G2496" s="237" t="s">
        <v>2897</v>
      </c>
    </row>
    <row r="2497" spans="1:7" s="30" customFormat="1" ht="28.9">
      <c r="A2497" s="66"/>
      <c r="B2497" s="225" t="s">
        <v>323</v>
      </c>
      <c r="C2497" s="68"/>
      <c r="D2497" s="69"/>
      <c r="E2497" s="157"/>
      <c r="F2497" s="137"/>
      <c r="G2497" s="237"/>
    </row>
    <row r="2498" spans="1:7" s="30" customFormat="1" ht="14.45">
      <c r="A2498" s="71"/>
      <c r="B2498" s="72"/>
      <c r="C2498" s="73"/>
      <c r="D2498" s="74"/>
      <c r="E2498" s="159"/>
      <c r="F2498" s="138"/>
      <c r="G2498" s="226"/>
    </row>
    <row r="2499" spans="1:7" s="30" customFormat="1" ht="14.45">
      <c r="A2499" s="75"/>
      <c r="B2499" s="76"/>
      <c r="C2499" s="77" t="s">
        <v>30</v>
      </c>
      <c r="D2499" s="77"/>
      <c r="E2499" s="160" t="s">
        <v>8</v>
      </c>
      <c r="F2499" s="139">
        <f>SUM(F2463:F2496)</f>
        <v>2465606.0100000007</v>
      </c>
      <c r="G2499" s="227"/>
    </row>
    <row r="2500" spans="1:7" s="30" customFormat="1" ht="14.45">
      <c r="A2500" s="75"/>
      <c r="B2500" s="76"/>
      <c r="C2500" s="78"/>
      <c r="D2500" s="79"/>
      <c r="E2500" s="161"/>
      <c r="F2500" s="140"/>
      <c r="G2500" s="228"/>
    </row>
    <row r="2501" spans="1:7" s="30" customFormat="1" ht="14.45">
      <c r="A2501" s="59"/>
      <c r="B2501" s="63"/>
      <c r="C2501" s="61"/>
      <c r="D2501" s="62"/>
      <c r="E2501" s="157"/>
      <c r="F2501" s="137"/>
      <c r="G2501" s="217"/>
    </row>
    <row r="2502" spans="1:7" s="30" customFormat="1" ht="27.6">
      <c r="A2502" s="59"/>
      <c r="B2502" s="64" t="s">
        <v>3045</v>
      </c>
      <c r="C2502" s="61"/>
      <c r="D2502" s="62"/>
      <c r="E2502" s="157"/>
      <c r="F2502" s="137"/>
      <c r="G2502" s="217"/>
    </row>
    <row r="2503" spans="1:7" s="30" customFormat="1" ht="14.45">
      <c r="A2503" s="59"/>
      <c r="B2503" s="103"/>
      <c r="C2503" s="61"/>
      <c r="D2503" s="62"/>
      <c r="E2503" s="157"/>
      <c r="F2503" s="137"/>
      <c r="G2503" s="217"/>
    </row>
    <row r="2504" spans="1:7" s="30" customFormat="1" ht="27.6">
      <c r="A2504" s="66"/>
      <c r="B2504" s="98" t="s">
        <v>2860</v>
      </c>
      <c r="C2504" s="68"/>
      <c r="D2504" s="69"/>
      <c r="E2504" s="157"/>
      <c r="F2504" s="137"/>
      <c r="G2504" s="217"/>
    </row>
    <row r="2505" spans="1:7" s="30" customFormat="1" ht="14.45">
      <c r="A2505" s="59"/>
      <c r="B2505" s="100"/>
      <c r="C2505" s="61"/>
      <c r="D2505" s="62"/>
      <c r="E2505" s="157"/>
      <c r="F2505" s="137"/>
      <c r="G2505" s="217"/>
    </row>
    <row r="2506" spans="1:7" s="30" customFormat="1" ht="14.45">
      <c r="A2506" s="66" t="s">
        <v>14</v>
      </c>
      <c r="B2506" s="67" t="s">
        <v>3026</v>
      </c>
      <c r="C2506" s="68" t="s">
        <v>3027</v>
      </c>
      <c r="D2506" s="69" t="s">
        <v>63</v>
      </c>
      <c r="E2506" s="157">
        <v>270.64999999999998</v>
      </c>
      <c r="F2506" s="137">
        <f t="shared" ref="F2506" si="619">C2506*E2506</f>
        <v>657408.85</v>
      </c>
      <c r="G2506" s="217"/>
    </row>
    <row r="2507" spans="1:7" s="30" customFormat="1" ht="14.45">
      <c r="A2507" s="59"/>
      <c r="B2507" s="100"/>
      <c r="C2507" s="61"/>
      <c r="D2507" s="62"/>
      <c r="E2507" s="157"/>
      <c r="F2507" s="137"/>
      <c r="G2507" s="217"/>
    </row>
    <row r="2508" spans="1:7" s="30" customFormat="1" ht="14.45">
      <c r="A2508" s="66" t="s">
        <v>17</v>
      </c>
      <c r="B2508" s="67" t="s">
        <v>3028</v>
      </c>
      <c r="C2508" s="68" t="s">
        <v>1537</v>
      </c>
      <c r="D2508" s="69" t="s">
        <v>63</v>
      </c>
      <c r="E2508" s="157">
        <v>403.56</v>
      </c>
      <c r="F2508" s="137">
        <f t="shared" ref="F2508" si="620">C2508*E2508</f>
        <v>342218.88</v>
      </c>
      <c r="G2508" s="217"/>
    </row>
    <row r="2509" spans="1:7" s="30" customFormat="1" ht="14.45">
      <c r="A2509" s="59"/>
      <c r="B2509" s="100"/>
      <c r="C2509" s="61"/>
      <c r="D2509" s="62"/>
      <c r="E2509" s="157"/>
      <c r="F2509" s="137"/>
      <c r="G2509" s="217"/>
    </row>
    <row r="2510" spans="1:7" s="30" customFormat="1" ht="14.45">
      <c r="A2510" s="66" t="s">
        <v>20</v>
      </c>
      <c r="B2510" s="67" t="s">
        <v>3029</v>
      </c>
      <c r="C2510" s="68" t="s">
        <v>714</v>
      </c>
      <c r="D2510" s="69" t="s">
        <v>63</v>
      </c>
      <c r="E2510" s="157">
        <v>466.16</v>
      </c>
      <c r="F2510" s="137">
        <f t="shared" ref="F2510" si="621">C2510*E2510</f>
        <v>3729.28</v>
      </c>
      <c r="G2510" s="217"/>
    </row>
    <row r="2511" spans="1:7" s="30" customFormat="1" ht="14.45">
      <c r="A2511" s="59"/>
      <c r="B2511" s="100"/>
      <c r="C2511" s="61"/>
      <c r="D2511" s="62"/>
      <c r="E2511" s="157"/>
      <c r="F2511" s="137"/>
      <c r="G2511" s="217"/>
    </row>
    <row r="2512" spans="1:7" s="30" customFormat="1" ht="14.45">
      <c r="A2512" s="66" t="s">
        <v>23</v>
      </c>
      <c r="B2512" s="67" t="s">
        <v>3030</v>
      </c>
      <c r="C2512" s="68" t="s">
        <v>722</v>
      </c>
      <c r="D2512" s="69" t="s">
        <v>63</v>
      </c>
      <c r="E2512" s="157">
        <v>466.16</v>
      </c>
      <c r="F2512" s="137">
        <f t="shared" ref="F2512" si="622">C2512*E2512</f>
        <v>48480.639999999999</v>
      </c>
      <c r="G2512" s="217"/>
    </row>
    <row r="2513" spans="1:7" s="30" customFormat="1" ht="14.45">
      <c r="A2513" s="59"/>
      <c r="B2513" s="100"/>
      <c r="C2513" s="61"/>
      <c r="D2513" s="62"/>
      <c r="E2513" s="157"/>
      <c r="F2513" s="137"/>
      <c r="G2513" s="217"/>
    </row>
    <row r="2514" spans="1:7" s="30" customFormat="1" ht="14.45">
      <c r="A2514" s="66" t="s">
        <v>27</v>
      </c>
      <c r="B2514" s="67" t="s">
        <v>3031</v>
      </c>
      <c r="C2514" s="68" t="s">
        <v>88</v>
      </c>
      <c r="D2514" s="69" t="s">
        <v>63</v>
      </c>
      <c r="E2514" s="157">
        <v>135.62</v>
      </c>
      <c r="F2514" s="137">
        <f t="shared" ref="F2514" si="623">C2514*E2514</f>
        <v>1898.68</v>
      </c>
      <c r="G2514" s="217"/>
    </row>
    <row r="2515" spans="1:7" s="30" customFormat="1" ht="14.45">
      <c r="A2515" s="59"/>
      <c r="B2515" s="100"/>
      <c r="C2515" s="61"/>
      <c r="D2515" s="62"/>
      <c r="E2515" s="157"/>
      <c r="F2515" s="137"/>
      <c r="G2515" s="217"/>
    </row>
    <row r="2516" spans="1:7" s="30" customFormat="1" ht="14.45">
      <c r="A2516" s="66" t="s">
        <v>44</v>
      </c>
      <c r="B2516" s="67" t="s">
        <v>3032</v>
      </c>
      <c r="C2516" s="68" t="s">
        <v>339</v>
      </c>
      <c r="D2516" s="69" t="s">
        <v>63</v>
      </c>
      <c r="E2516" s="157">
        <v>351.93</v>
      </c>
      <c r="F2516" s="137">
        <f t="shared" ref="F2516" si="624">C2516*E2516</f>
        <v>7038.6</v>
      </c>
      <c r="G2516" s="217"/>
    </row>
    <row r="2517" spans="1:7" s="30" customFormat="1" ht="14.45">
      <c r="A2517" s="59"/>
      <c r="B2517" s="100"/>
      <c r="C2517" s="61"/>
      <c r="D2517" s="62"/>
      <c r="E2517" s="157"/>
      <c r="F2517" s="137"/>
      <c r="G2517" s="217"/>
    </row>
    <row r="2518" spans="1:7" s="30" customFormat="1" ht="14.45">
      <c r="A2518" s="66" t="s">
        <v>48</v>
      </c>
      <c r="B2518" s="67" t="s">
        <v>3033</v>
      </c>
      <c r="C2518" s="68" t="s">
        <v>3034</v>
      </c>
      <c r="D2518" s="69" t="s">
        <v>63</v>
      </c>
      <c r="E2518" s="157">
        <v>351.82</v>
      </c>
      <c r="F2518" s="137">
        <f t="shared" ref="F2518" si="625">C2518*E2518</f>
        <v>365189.16</v>
      </c>
      <c r="G2518" s="217"/>
    </row>
    <row r="2519" spans="1:7" s="30" customFormat="1" ht="14.45">
      <c r="A2519" s="59"/>
      <c r="B2519" s="100"/>
      <c r="C2519" s="61"/>
      <c r="D2519" s="62"/>
      <c r="E2519" s="157"/>
      <c r="F2519" s="137"/>
      <c r="G2519" s="217"/>
    </row>
    <row r="2520" spans="1:7" s="30" customFormat="1" ht="14.45">
      <c r="A2520" s="66" t="s">
        <v>84</v>
      </c>
      <c r="B2520" s="67" t="s">
        <v>3035</v>
      </c>
      <c r="C2520" s="68" t="s">
        <v>62</v>
      </c>
      <c r="D2520" s="69" t="s">
        <v>63</v>
      </c>
      <c r="E2520" s="157">
        <v>576.35</v>
      </c>
      <c r="F2520" s="137">
        <f t="shared" ref="F2520" si="626">C2520*E2520</f>
        <v>2881.75</v>
      </c>
      <c r="G2520" s="217"/>
    </row>
    <row r="2521" spans="1:7" s="30" customFormat="1" ht="14.45">
      <c r="A2521" s="59"/>
      <c r="B2521" s="100"/>
      <c r="C2521" s="61"/>
      <c r="D2521" s="62"/>
      <c r="E2521" s="157"/>
      <c r="F2521" s="137"/>
      <c r="G2521" s="217"/>
    </row>
    <row r="2522" spans="1:7" s="30" customFormat="1" ht="14.45">
      <c r="A2522" s="66" t="s">
        <v>86</v>
      </c>
      <c r="B2522" s="67" t="s">
        <v>3036</v>
      </c>
      <c r="C2522" s="68" t="s">
        <v>304</v>
      </c>
      <c r="D2522" s="69" t="s">
        <v>63</v>
      </c>
      <c r="E2522" s="157">
        <v>686.53</v>
      </c>
      <c r="F2522" s="137">
        <f t="shared" ref="F2522" si="627">C2522*E2522</f>
        <v>686.53</v>
      </c>
      <c r="G2522" s="217"/>
    </row>
    <row r="2523" spans="1:7" s="30" customFormat="1" ht="14.45">
      <c r="A2523" s="59"/>
      <c r="B2523" s="100"/>
      <c r="C2523" s="61"/>
      <c r="D2523" s="62"/>
      <c r="E2523" s="157"/>
      <c r="F2523" s="137"/>
      <c r="G2523" s="217"/>
    </row>
    <row r="2524" spans="1:7" s="30" customFormat="1" ht="14.45">
      <c r="A2524" s="66" t="s">
        <v>90</v>
      </c>
      <c r="B2524" s="67" t="s">
        <v>3037</v>
      </c>
      <c r="C2524" s="68" t="s">
        <v>716</v>
      </c>
      <c r="D2524" s="69" t="s">
        <v>63</v>
      </c>
      <c r="E2524" s="157">
        <v>4564.7</v>
      </c>
      <c r="F2524" s="137">
        <f t="shared" ref="F2524" si="628">C2524*E2524</f>
        <v>109552.79999999999</v>
      </c>
      <c r="G2524" s="217"/>
    </row>
    <row r="2525" spans="1:7" s="30" customFormat="1" ht="14.45">
      <c r="A2525" s="59"/>
      <c r="B2525" s="100"/>
      <c r="C2525" s="61"/>
      <c r="D2525" s="62"/>
      <c r="E2525" s="157"/>
      <c r="F2525" s="137"/>
      <c r="G2525" s="217"/>
    </row>
    <row r="2526" spans="1:7" s="30" customFormat="1" ht="14.45">
      <c r="A2526" s="66" t="s">
        <v>92</v>
      </c>
      <c r="B2526" s="67" t="s">
        <v>3038</v>
      </c>
      <c r="C2526" s="68" t="s">
        <v>716</v>
      </c>
      <c r="D2526" s="69" t="s">
        <v>63</v>
      </c>
      <c r="E2526" s="157">
        <v>4564.7</v>
      </c>
      <c r="F2526" s="137">
        <f t="shared" ref="F2526" si="629">C2526*E2526</f>
        <v>109552.79999999999</v>
      </c>
      <c r="G2526" s="217"/>
    </row>
    <row r="2527" spans="1:7" s="30" customFormat="1" ht="14.45">
      <c r="A2527" s="59"/>
      <c r="B2527" s="100"/>
      <c r="C2527" s="61"/>
      <c r="D2527" s="62"/>
      <c r="E2527" s="157"/>
      <c r="F2527" s="137"/>
      <c r="G2527" s="217"/>
    </row>
    <row r="2528" spans="1:7" s="30" customFormat="1" ht="27.6">
      <c r="A2528" s="66"/>
      <c r="B2528" s="98" t="s">
        <v>3046</v>
      </c>
      <c r="C2528" s="68"/>
      <c r="D2528" s="69"/>
      <c r="E2528" s="157"/>
      <c r="F2528" s="137"/>
      <c r="G2528" s="217"/>
    </row>
    <row r="2529" spans="1:7" s="30" customFormat="1" ht="14.45">
      <c r="A2529" s="59"/>
      <c r="B2529" s="100"/>
      <c r="C2529" s="61"/>
      <c r="D2529" s="62"/>
      <c r="E2529" s="157"/>
      <c r="F2529" s="137"/>
      <c r="G2529" s="217"/>
    </row>
    <row r="2530" spans="1:7" s="30" customFormat="1" ht="14.45">
      <c r="A2530" s="66" t="s">
        <v>94</v>
      </c>
      <c r="B2530" s="67" t="s">
        <v>3039</v>
      </c>
      <c r="C2530" s="68" t="s">
        <v>3040</v>
      </c>
      <c r="D2530" s="69" t="s">
        <v>63</v>
      </c>
      <c r="E2530" s="157">
        <v>301.88</v>
      </c>
      <c r="F2530" s="137">
        <f t="shared" ref="F2530" si="630">C2530*E2530</f>
        <v>87847.08</v>
      </c>
      <c r="G2530" s="217"/>
    </row>
    <row r="2531" spans="1:7" s="30" customFormat="1" ht="14.45">
      <c r="A2531" s="59"/>
      <c r="B2531" s="100"/>
      <c r="C2531" s="61"/>
      <c r="D2531" s="62"/>
      <c r="E2531" s="157"/>
      <c r="F2531" s="137"/>
      <c r="G2531" s="217"/>
    </row>
    <row r="2532" spans="1:7" s="30" customFormat="1" ht="14.45">
      <c r="A2532" s="66" t="s">
        <v>140</v>
      </c>
      <c r="B2532" s="67" t="s">
        <v>3041</v>
      </c>
      <c r="C2532" s="68" t="s">
        <v>332</v>
      </c>
      <c r="D2532" s="69" t="s">
        <v>63</v>
      </c>
      <c r="E2532" s="157">
        <v>301.88</v>
      </c>
      <c r="F2532" s="137">
        <f t="shared" ref="F2532" si="631">C2532*E2532</f>
        <v>3018.8</v>
      </c>
      <c r="G2532" s="217"/>
    </row>
    <row r="2533" spans="1:7" s="30" customFormat="1" ht="14.45">
      <c r="A2533" s="59"/>
      <c r="B2533" s="100"/>
      <c r="C2533" s="61"/>
      <c r="D2533" s="62"/>
      <c r="E2533" s="157"/>
      <c r="F2533" s="137"/>
      <c r="G2533" s="217"/>
    </row>
    <row r="2534" spans="1:7" s="30" customFormat="1" ht="14.45">
      <c r="A2534" s="66" t="s">
        <v>159</v>
      </c>
      <c r="B2534" s="67" t="s">
        <v>3042</v>
      </c>
      <c r="C2534" s="68" t="s">
        <v>3043</v>
      </c>
      <c r="D2534" s="69" t="s">
        <v>63</v>
      </c>
      <c r="E2534" s="157">
        <v>274.33</v>
      </c>
      <c r="F2534" s="137">
        <f t="shared" ref="F2534" si="632">C2534*E2534</f>
        <v>80378.69</v>
      </c>
      <c r="G2534" s="217"/>
    </row>
    <row r="2535" spans="1:7" s="30" customFormat="1" ht="14.45">
      <c r="A2535" s="59"/>
      <c r="B2535" s="100"/>
      <c r="C2535" s="61"/>
      <c r="D2535" s="62"/>
      <c r="E2535" s="157"/>
      <c r="F2535" s="137"/>
      <c r="G2535" s="217"/>
    </row>
    <row r="2536" spans="1:7" s="30" customFormat="1" ht="14.45">
      <c r="A2536" s="66" t="s">
        <v>162</v>
      </c>
      <c r="B2536" s="67" t="s">
        <v>3044</v>
      </c>
      <c r="C2536" s="68" t="s">
        <v>479</v>
      </c>
      <c r="D2536" s="69" t="s">
        <v>63</v>
      </c>
      <c r="E2536" s="157">
        <v>274.33</v>
      </c>
      <c r="F2536" s="137">
        <f t="shared" ref="F2536" si="633">C2536*E2536</f>
        <v>2468.9699999999998</v>
      </c>
      <c r="G2536" s="217"/>
    </row>
    <row r="2537" spans="1:7" s="30" customFormat="1" ht="14.45">
      <c r="A2537" s="59"/>
      <c r="B2537" s="63"/>
      <c r="C2537" s="61"/>
      <c r="D2537" s="62"/>
      <c r="E2537" s="157"/>
      <c r="F2537" s="137"/>
      <c r="G2537" s="217"/>
    </row>
    <row r="2538" spans="1:7" s="30" customFormat="1" ht="14.45">
      <c r="A2538" s="59"/>
      <c r="B2538" s="63"/>
      <c r="C2538" s="61"/>
      <c r="D2538" s="62"/>
      <c r="E2538" s="157"/>
      <c r="F2538" s="137"/>
      <c r="G2538" s="217"/>
    </row>
    <row r="2539" spans="1:7" s="30" customFormat="1" ht="14.45">
      <c r="A2539" s="59"/>
      <c r="B2539" s="63"/>
      <c r="C2539" s="61"/>
      <c r="D2539" s="62"/>
      <c r="E2539" s="157"/>
      <c r="F2539" s="137"/>
      <c r="G2539" s="217"/>
    </row>
    <row r="2540" spans="1:7" s="30" customFormat="1" ht="14.45">
      <c r="A2540" s="59"/>
      <c r="B2540" s="63"/>
      <c r="C2540" s="61"/>
      <c r="D2540" s="62"/>
      <c r="E2540" s="157"/>
      <c r="F2540" s="137"/>
      <c r="G2540" s="217"/>
    </row>
    <row r="2541" spans="1:7" s="30" customFormat="1" ht="14.45">
      <c r="A2541" s="59"/>
      <c r="B2541" s="63"/>
      <c r="C2541" s="61"/>
      <c r="D2541" s="62"/>
      <c r="E2541" s="157"/>
      <c r="F2541" s="137"/>
      <c r="G2541" s="217"/>
    </row>
    <row r="2542" spans="1:7" s="30" customFormat="1" ht="14.45">
      <c r="A2542" s="59"/>
      <c r="B2542" s="63"/>
      <c r="C2542" s="61"/>
      <c r="D2542" s="62"/>
      <c r="E2542" s="157"/>
      <c r="F2542" s="137"/>
      <c r="G2542" s="217"/>
    </row>
    <row r="2543" spans="1:7" s="30" customFormat="1" ht="14.45">
      <c r="A2543" s="71"/>
      <c r="B2543" s="72"/>
      <c r="C2543" s="73"/>
      <c r="D2543" s="74"/>
      <c r="E2543" s="159"/>
      <c r="F2543" s="138"/>
      <c r="G2543" s="226"/>
    </row>
    <row r="2544" spans="1:7" s="30" customFormat="1" ht="14.45">
      <c r="A2544" s="75"/>
      <c r="B2544" s="76"/>
      <c r="C2544" s="77" t="s">
        <v>30</v>
      </c>
      <c r="D2544" s="77"/>
      <c r="E2544" s="160" t="s">
        <v>8</v>
      </c>
      <c r="F2544" s="139">
        <f>SUM(F2503:F2539)</f>
        <v>1822351.51</v>
      </c>
      <c r="G2544" s="227"/>
    </row>
    <row r="2545" spans="1:7" s="30" customFormat="1" ht="14.45">
      <c r="A2545" s="75"/>
      <c r="B2545" s="76"/>
      <c r="C2545" s="78"/>
      <c r="D2545" s="79"/>
      <c r="E2545" s="161"/>
      <c r="F2545" s="140"/>
      <c r="G2545" s="228"/>
    </row>
    <row r="2546" spans="1:7" s="30" customFormat="1" ht="14.45">
      <c r="A2546" s="59"/>
      <c r="B2546" s="63"/>
      <c r="C2546" s="61"/>
      <c r="D2546" s="62"/>
      <c r="E2546" s="157"/>
      <c r="F2546" s="137"/>
      <c r="G2546" s="217"/>
    </row>
    <row r="2547" spans="1:7" s="30" customFormat="1" ht="14.45">
      <c r="A2547" s="59"/>
      <c r="B2547" s="64" t="s">
        <v>3047</v>
      </c>
      <c r="C2547" s="61"/>
      <c r="D2547" s="62"/>
      <c r="E2547" s="157"/>
      <c r="F2547" s="137"/>
      <c r="G2547" s="217"/>
    </row>
    <row r="2548" spans="1:7" s="30" customFormat="1" ht="14.45">
      <c r="A2548" s="59"/>
      <c r="B2548" s="100"/>
      <c r="C2548" s="61"/>
      <c r="D2548" s="62"/>
      <c r="E2548" s="157"/>
      <c r="F2548" s="137"/>
      <c r="G2548" s="217"/>
    </row>
    <row r="2549" spans="1:7" s="30" customFormat="1" ht="14.45">
      <c r="A2549" s="66"/>
      <c r="B2549" s="99" t="s">
        <v>979</v>
      </c>
      <c r="C2549" s="68"/>
      <c r="D2549" s="69"/>
      <c r="E2549" s="157"/>
      <c r="F2549" s="137"/>
      <c r="G2549" s="217"/>
    </row>
    <row r="2550" spans="1:7" s="30" customFormat="1" ht="14.45">
      <c r="A2550" s="59"/>
      <c r="B2550" s="100"/>
      <c r="C2550" s="61"/>
      <c r="D2550" s="62"/>
      <c r="E2550" s="157"/>
      <c r="F2550" s="137"/>
      <c r="G2550" s="217"/>
    </row>
    <row r="2551" spans="1:7" s="30" customFormat="1" ht="41.45">
      <c r="A2551" s="66"/>
      <c r="B2551" s="99" t="s">
        <v>3048</v>
      </c>
      <c r="C2551" s="68"/>
      <c r="D2551" s="69"/>
      <c r="E2551" s="157"/>
      <c r="F2551" s="137"/>
      <c r="G2551" s="217"/>
    </row>
    <row r="2552" spans="1:7" s="30" customFormat="1" ht="14.45">
      <c r="A2552" s="59"/>
      <c r="B2552" s="100"/>
      <c r="C2552" s="61"/>
      <c r="D2552" s="62"/>
      <c r="E2552" s="157"/>
      <c r="F2552" s="137"/>
      <c r="G2552" s="217"/>
    </row>
    <row r="2553" spans="1:7" s="30" customFormat="1" ht="27.6">
      <c r="A2553" s="66"/>
      <c r="B2553" s="99" t="s">
        <v>1937</v>
      </c>
      <c r="C2553" s="68"/>
      <c r="D2553" s="69"/>
      <c r="E2553" s="157"/>
      <c r="F2553" s="137"/>
      <c r="G2553" s="217"/>
    </row>
    <row r="2554" spans="1:7" s="30" customFormat="1" ht="14.45">
      <c r="A2554" s="59"/>
      <c r="B2554" s="100"/>
      <c r="C2554" s="61"/>
      <c r="D2554" s="62"/>
      <c r="E2554" s="157"/>
      <c r="F2554" s="137"/>
      <c r="G2554" s="217"/>
    </row>
    <row r="2555" spans="1:7" s="30" customFormat="1" ht="41.45">
      <c r="A2555" s="66"/>
      <c r="B2555" s="98" t="s">
        <v>2890</v>
      </c>
      <c r="C2555" s="68"/>
      <c r="D2555" s="69"/>
      <c r="E2555" s="157"/>
      <c r="F2555" s="137"/>
      <c r="G2555" s="217"/>
    </row>
    <row r="2556" spans="1:7" s="30" customFormat="1" ht="14.45">
      <c r="A2556" s="59"/>
      <c r="B2556" s="100"/>
      <c r="C2556" s="61"/>
      <c r="D2556" s="62"/>
      <c r="E2556" s="157"/>
      <c r="F2556" s="137"/>
      <c r="G2556" s="217"/>
    </row>
    <row r="2557" spans="1:7" s="30" customFormat="1" ht="27.6">
      <c r="A2557" s="66" t="s">
        <v>14</v>
      </c>
      <c r="B2557" s="67" t="s">
        <v>3049</v>
      </c>
      <c r="C2557" s="68" t="s">
        <v>1565</v>
      </c>
      <c r="D2557" s="69" t="s">
        <v>63</v>
      </c>
      <c r="E2557" s="157"/>
      <c r="F2557" s="137" t="s">
        <v>69</v>
      </c>
      <c r="G2557" s="217"/>
    </row>
    <row r="2558" spans="1:7" s="30" customFormat="1" ht="14.45">
      <c r="A2558" s="59"/>
      <c r="B2558" s="100"/>
      <c r="C2558" s="61"/>
      <c r="D2558" s="62"/>
      <c r="E2558" s="157"/>
      <c r="F2558" s="137"/>
      <c r="G2558" s="217"/>
    </row>
    <row r="2559" spans="1:7" s="30" customFormat="1" ht="27.6">
      <c r="A2559" s="66" t="s">
        <v>17</v>
      </c>
      <c r="B2559" s="67" t="s">
        <v>3050</v>
      </c>
      <c r="C2559" s="68" t="s">
        <v>3051</v>
      </c>
      <c r="D2559" s="69" t="s">
        <v>63</v>
      </c>
      <c r="E2559" s="157"/>
      <c r="F2559" s="137" t="s">
        <v>69</v>
      </c>
      <c r="G2559" s="217"/>
    </row>
    <row r="2560" spans="1:7" s="30" customFormat="1" ht="14.45">
      <c r="A2560" s="59"/>
      <c r="B2560" s="100"/>
      <c r="C2560" s="61"/>
      <c r="D2560" s="62"/>
      <c r="E2560" s="157"/>
      <c r="F2560" s="137"/>
      <c r="G2560" s="217"/>
    </row>
    <row r="2561" spans="1:7" s="30" customFormat="1" ht="14.45">
      <c r="A2561" s="66" t="s">
        <v>20</v>
      </c>
      <c r="B2561" s="67" t="s">
        <v>3052</v>
      </c>
      <c r="C2561" s="68" t="s">
        <v>3053</v>
      </c>
      <c r="D2561" s="69" t="s">
        <v>63</v>
      </c>
      <c r="E2561" s="157"/>
      <c r="F2561" s="137" t="s">
        <v>69</v>
      </c>
      <c r="G2561" s="217"/>
    </row>
    <row r="2562" spans="1:7" s="30" customFormat="1" ht="14.45">
      <c r="A2562" s="59"/>
      <c r="B2562" s="100"/>
      <c r="C2562" s="61"/>
      <c r="D2562" s="62"/>
      <c r="E2562" s="157"/>
      <c r="F2562" s="137"/>
      <c r="G2562" s="217"/>
    </row>
    <row r="2563" spans="1:7" s="30" customFormat="1" ht="27.6">
      <c r="A2563" s="66" t="s">
        <v>23</v>
      </c>
      <c r="B2563" s="67" t="s">
        <v>3054</v>
      </c>
      <c r="C2563" s="68" t="s">
        <v>3055</v>
      </c>
      <c r="D2563" s="69" t="s">
        <v>63</v>
      </c>
      <c r="E2563" s="157"/>
      <c r="F2563" s="137" t="s">
        <v>69</v>
      </c>
      <c r="G2563" s="217"/>
    </row>
    <row r="2564" spans="1:7" s="30" customFormat="1" ht="14.45">
      <c r="A2564" s="59"/>
      <c r="B2564" s="100"/>
      <c r="C2564" s="61"/>
      <c r="D2564" s="62"/>
      <c r="E2564" s="157"/>
      <c r="F2564" s="137"/>
      <c r="G2564" s="217"/>
    </row>
    <row r="2565" spans="1:7" s="30" customFormat="1" ht="14.45">
      <c r="A2565" s="66" t="s">
        <v>27</v>
      </c>
      <c r="B2565" s="67" t="s">
        <v>3056</v>
      </c>
      <c r="C2565" s="68" t="s">
        <v>312</v>
      </c>
      <c r="D2565" s="69" t="s">
        <v>63</v>
      </c>
      <c r="E2565" s="157"/>
      <c r="F2565" s="137" t="s">
        <v>69</v>
      </c>
      <c r="G2565" s="217"/>
    </row>
    <row r="2566" spans="1:7" s="30" customFormat="1" ht="14.45">
      <c r="A2566" s="59"/>
      <c r="B2566" s="100"/>
      <c r="C2566" s="61"/>
      <c r="D2566" s="62"/>
      <c r="E2566" s="157"/>
      <c r="F2566" s="137"/>
      <c r="G2566" s="217"/>
    </row>
    <row r="2567" spans="1:7" s="30" customFormat="1" ht="14.45">
      <c r="A2567" s="66" t="s">
        <v>44</v>
      </c>
      <c r="B2567" s="67" t="s">
        <v>3057</v>
      </c>
      <c r="C2567" s="68" t="s">
        <v>1072</v>
      </c>
      <c r="D2567" s="69" t="s">
        <v>63</v>
      </c>
      <c r="E2567" s="157"/>
      <c r="F2567" s="137" t="s">
        <v>69</v>
      </c>
      <c r="G2567" s="217"/>
    </row>
    <row r="2568" spans="1:7" s="30" customFormat="1" ht="14.45">
      <c r="A2568" s="59"/>
      <c r="B2568" s="100"/>
      <c r="C2568" s="61"/>
      <c r="D2568" s="62"/>
      <c r="E2568" s="157"/>
      <c r="F2568" s="137"/>
      <c r="G2568" s="217"/>
    </row>
    <row r="2569" spans="1:7" s="30" customFormat="1" ht="14.45">
      <c r="A2569" s="66" t="s">
        <v>48</v>
      </c>
      <c r="B2569" s="67" t="s">
        <v>3058</v>
      </c>
      <c r="C2569" s="68" t="s">
        <v>3055</v>
      </c>
      <c r="D2569" s="69" t="s">
        <v>63</v>
      </c>
      <c r="E2569" s="157"/>
      <c r="F2569" s="137" t="s">
        <v>69</v>
      </c>
      <c r="G2569" s="217"/>
    </row>
    <row r="2570" spans="1:7" s="30" customFormat="1" ht="14.45">
      <c r="A2570" s="59"/>
      <c r="B2570" s="100"/>
      <c r="C2570" s="61"/>
      <c r="D2570" s="62"/>
      <c r="E2570" s="157"/>
      <c r="F2570" s="137"/>
      <c r="G2570" s="217"/>
    </row>
    <row r="2571" spans="1:7" s="30" customFormat="1" ht="55.15">
      <c r="A2571" s="66" t="s">
        <v>84</v>
      </c>
      <c r="B2571" s="67" t="s">
        <v>3059</v>
      </c>
      <c r="C2571" s="68" t="s">
        <v>787</v>
      </c>
      <c r="D2571" s="69" t="s">
        <v>63</v>
      </c>
      <c r="E2571" s="157"/>
      <c r="F2571" s="137" t="s">
        <v>69</v>
      </c>
      <c r="G2571" s="217"/>
    </row>
    <row r="2572" spans="1:7" s="30" customFormat="1" ht="14.45">
      <c r="A2572" s="59"/>
      <c r="B2572" s="100"/>
      <c r="C2572" s="61"/>
      <c r="D2572" s="62"/>
      <c r="E2572" s="157"/>
      <c r="F2572" s="137"/>
      <c r="G2572" s="217"/>
    </row>
    <row r="2573" spans="1:7" s="30" customFormat="1" ht="41.45">
      <c r="A2573" s="66" t="s">
        <v>86</v>
      </c>
      <c r="B2573" s="67" t="s">
        <v>3060</v>
      </c>
      <c r="C2573" s="68" t="s">
        <v>1292</v>
      </c>
      <c r="D2573" s="69" t="s">
        <v>63</v>
      </c>
      <c r="E2573" s="157"/>
      <c r="F2573" s="137" t="s">
        <v>69</v>
      </c>
      <c r="G2573" s="217"/>
    </row>
    <row r="2574" spans="1:7" s="30" customFormat="1" ht="14.45">
      <c r="A2574" s="59"/>
      <c r="B2574" s="100"/>
      <c r="C2574" s="61"/>
      <c r="D2574" s="62"/>
      <c r="E2574" s="157"/>
      <c r="F2574" s="137"/>
      <c r="G2574" s="217"/>
    </row>
    <row r="2575" spans="1:7" s="30" customFormat="1" ht="14.45">
      <c r="A2575" s="66" t="s">
        <v>90</v>
      </c>
      <c r="B2575" s="67" t="s">
        <v>3061</v>
      </c>
      <c r="C2575" s="68" t="s">
        <v>1425</v>
      </c>
      <c r="D2575" s="69" t="s">
        <v>63</v>
      </c>
      <c r="E2575" s="157"/>
      <c r="F2575" s="137" t="s">
        <v>69</v>
      </c>
      <c r="G2575" s="217"/>
    </row>
    <row r="2576" spans="1:7" s="30" customFormat="1" ht="14.45">
      <c r="A2576" s="59"/>
      <c r="B2576" s="100"/>
      <c r="C2576" s="61"/>
      <c r="D2576" s="62"/>
      <c r="E2576" s="157"/>
      <c r="F2576" s="137"/>
      <c r="G2576" s="217"/>
    </row>
    <row r="2577" spans="1:7" s="30" customFormat="1" ht="14.45">
      <c r="A2577" s="66" t="s">
        <v>92</v>
      </c>
      <c r="B2577" s="67" t="s">
        <v>3062</v>
      </c>
      <c r="C2577" s="68" t="s">
        <v>2342</v>
      </c>
      <c r="D2577" s="69" t="s">
        <v>63</v>
      </c>
      <c r="E2577" s="157"/>
      <c r="F2577" s="137" t="s">
        <v>69</v>
      </c>
      <c r="G2577" s="217"/>
    </row>
    <row r="2578" spans="1:7" s="30" customFormat="1" ht="14.45">
      <c r="A2578" s="59"/>
      <c r="B2578" s="63"/>
      <c r="C2578" s="61"/>
      <c r="D2578" s="62"/>
      <c r="E2578" s="157"/>
      <c r="F2578" s="137"/>
      <c r="G2578" s="217"/>
    </row>
    <row r="2579" spans="1:7" s="30" customFormat="1" ht="14.45">
      <c r="A2579" s="71"/>
      <c r="B2579" s="72"/>
      <c r="C2579" s="73"/>
      <c r="D2579" s="74"/>
      <c r="E2579" s="159"/>
      <c r="F2579" s="138"/>
      <c r="G2579" s="226"/>
    </row>
    <row r="2580" spans="1:7" s="30" customFormat="1" ht="14.45">
      <c r="A2580" s="75"/>
      <c r="B2580" s="76"/>
      <c r="C2580" s="77" t="s">
        <v>30</v>
      </c>
      <c r="D2580" s="77"/>
      <c r="E2580" s="160" t="s">
        <v>8</v>
      </c>
      <c r="F2580" s="139">
        <f>SUM(F2553:F2578)</f>
        <v>0</v>
      </c>
      <c r="G2580" s="227"/>
    </row>
    <row r="2581" spans="1:7" s="30" customFormat="1" ht="14.45">
      <c r="A2581" s="75"/>
      <c r="B2581" s="76"/>
      <c r="C2581" s="78"/>
      <c r="D2581" s="79"/>
      <c r="E2581" s="161"/>
      <c r="F2581" s="140"/>
      <c r="G2581" s="228"/>
    </row>
    <row r="2582" spans="1:7" s="30" customFormat="1" ht="14.45">
      <c r="A2582" s="59"/>
      <c r="B2582" s="63"/>
      <c r="C2582" s="61"/>
      <c r="D2582" s="62"/>
      <c r="E2582" s="157"/>
      <c r="F2582" s="137"/>
      <c r="G2582" s="217"/>
    </row>
    <row r="2583" spans="1:7" s="30" customFormat="1" ht="14.45">
      <c r="A2583" s="59"/>
      <c r="B2583" s="64" t="s">
        <v>3063</v>
      </c>
      <c r="C2583" s="61"/>
      <c r="D2583" s="62"/>
      <c r="E2583" s="157"/>
      <c r="F2583" s="137"/>
      <c r="G2583" s="217"/>
    </row>
    <row r="2584" spans="1:7" s="30" customFormat="1" ht="14.45">
      <c r="A2584" s="59"/>
      <c r="B2584" s="100"/>
      <c r="C2584" s="61"/>
      <c r="D2584" s="62"/>
      <c r="E2584" s="157"/>
      <c r="F2584" s="137"/>
      <c r="G2584" s="217"/>
    </row>
    <row r="2585" spans="1:7" s="30" customFormat="1" ht="14.45">
      <c r="A2585" s="66" t="s">
        <v>14</v>
      </c>
      <c r="B2585" s="67" t="s">
        <v>3064</v>
      </c>
      <c r="C2585" s="68" t="s">
        <v>152</v>
      </c>
      <c r="D2585" s="69" t="s">
        <v>63</v>
      </c>
      <c r="E2585" s="157"/>
      <c r="F2585" s="137" t="s">
        <v>69</v>
      </c>
      <c r="G2585" s="217"/>
    </row>
    <row r="2586" spans="1:7" s="30" customFormat="1" ht="14.45">
      <c r="A2586" s="59"/>
      <c r="B2586" s="100"/>
      <c r="C2586" s="61"/>
      <c r="D2586" s="62"/>
      <c r="E2586" s="157"/>
      <c r="F2586" s="137"/>
      <c r="G2586" s="217"/>
    </row>
    <row r="2587" spans="1:7" s="30" customFormat="1" ht="14.45">
      <c r="A2587" s="66" t="s">
        <v>17</v>
      </c>
      <c r="B2587" s="67" t="s">
        <v>3065</v>
      </c>
      <c r="C2587" s="68" t="s">
        <v>335</v>
      </c>
      <c r="D2587" s="69" t="s">
        <v>63</v>
      </c>
      <c r="E2587" s="157"/>
      <c r="F2587" s="137" t="s">
        <v>69</v>
      </c>
      <c r="G2587" s="217"/>
    </row>
    <row r="2588" spans="1:7" s="30" customFormat="1" ht="14.45">
      <c r="A2588" s="59"/>
      <c r="B2588" s="100"/>
      <c r="C2588" s="61"/>
      <c r="D2588" s="62"/>
      <c r="E2588" s="157"/>
      <c r="F2588" s="137"/>
      <c r="G2588" s="217"/>
    </row>
    <row r="2589" spans="1:7" s="30" customFormat="1" ht="27.6">
      <c r="A2589" s="66"/>
      <c r="B2589" s="98" t="s">
        <v>2860</v>
      </c>
      <c r="C2589" s="68"/>
      <c r="D2589" s="69"/>
      <c r="E2589" s="157"/>
      <c r="F2589" s="137"/>
      <c r="G2589" s="217"/>
    </row>
    <row r="2590" spans="1:7" s="30" customFormat="1" ht="14.45">
      <c r="A2590" s="59"/>
      <c r="B2590" s="100"/>
      <c r="C2590" s="61"/>
      <c r="D2590" s="62"/>
      <c r="E2590" s="157"/>
      <c r="F2590" s="137"/>
      <c r="G2590" s="217"/>
    </row>
    <row r="2591" spans="1:7" s="30" customFormat="1" ht="55.15" customHeight="1">
      <c r="A2591" s="66" t="s">
        <v>20</v>
      </c>
      <c r="B2591" s="67" t="s">
        <v>3049</v>
      </c>
      <c r="C2591" s="68" t="s">
        <v>1565</v>
      </c>
      <c r="D2591" s="69" t="s">
        <v>63</v>
      </c>
      <c r="E2591" s="157"/>
      <c r="F2591" s="137" t="s">
        <v>69</v>
      </c>
      <c r="G2591" s="217"/>
    </row>
    <row r="2592" spans="1:7" s="30" customFormat="1" ht="14.45">
      <c r="A2592" s="59"/>
      <c r="B2592" s="100"/>
      <c r="C2592" s="61"/>
      <c r="D2592" s="62"/>
      <c r="E2592" s="157"/>
      <c r="F2592" s="163"/>
      <c r="G2592" s="163"/>
    </row>
    <row r="2593" spans="1:7" s="30" customFormat="1" ht="27.6">
      <c r="A2593" s="66" t="s">
        <v>23</v>
      </c>
      <c r="B2593" s="67" t="s">
        <v>3050</v>
      </c>
      <c r="C2593" s="68" t="s">
        <v>3051</v>
      </c>
      <c r="D2593" s="69" t="s">
        <v>63</v>
      </c>
      <c r="E2593" s="157"/>
      <c r="F2593" s="137" t="s">
        <v>69</v>
      </c>
      <c r="G2593" s="217"/>
    </row>
    <row r="2594" spans="1:7" s="30" customFormat="1" ht="14.45">
      <c r="A2594" s="59"/>
      <c r="B2594" s="100"/>
      <c r="C2594" s="61"/>
      <c r="D2594" s="62"/>
      <c r="E2594" s="157"/>
      <c r="F2594" s="163"/>
      <c r="G2594" s="163"/>
    </row>
    <row r="2595" spans="1:7" s="30" customFormat="1" ht="14.45">
      <c r="A2595" s="66" t="s">
        <v>27</v>
      </c>
      <c r="B2595" s="67" t="s">
        <v>3052</v>
      </c>
      <c r="C2595" s="68" t="s">
        <v>3053</v>
      </c>
      <c r="D2595" s="69" t="s">
        <v>63</v>
      </c>
      <c r="E2595" s="157"/>
      <c r="F2595" s="137" t="s">
        <v>69</v>
      </c>
      <c r="G2595" s="217"/>
    </row>
    <row r="2596" spans="1:7" s="30" customFormat="1" ht="14.45">
      <c r="A2596" s="59"/>
      <c r="B2596" s="100"/>
      <c r="C2596" s="61"/>
      <c r="D2596" s="62"/>
      <c r="E2596" s="157"/>
      <c r="F2596" s="163"/>
      <c r="G2596" s="163"/>
    </row>
    <row r="2597" spans="1:7" s="30" customFormat="1" ht="27.6">
      <c r="A2597" s="66" t="s">
        <v>44</v>
      </c>
      <c r="B2597" s="67" t="s">
        <v>3054</v>
      </c>
      <c r="C2597" s="68" t="s">
        <v>3055</v>
      </c>
      <c r="D2597" s="69" t="s">
        <v>63</v>
      </c>
      <c r="E2597" s="157"/>
      <c r="F2597" s="137" t="s">
        <v>69</v>
      </c>
      <c r="G2597" s="217"/>
    </row>
    <row r="2598" spans="1:7" s="30" customFormat="1" ht="14.45">
      <c r="A2598" s="59"/>
      <c r="B2598" s="100"/>
      <c r="C2598" s="61"/>
      <c r="D2598" s="62"/>
      <c r="E2598" s="157"/>
      <c r="F2598" s="163"/>
      <c r="G2598" s="163"/>
    </row>
    <row r="2599" spans="1:7" s="30" customFormat="1" ht="14.45">
      <c r="A2599" s="66" t="s">
        <v>48</v>
      </c>
      <c r="B2599" s="67" t="s">
        <v>3056</v>
      </c>
      <c r="C2599" s="68" t="s">
        <v>312</v>
      </c>
      <c r="D2599" s="69" t="s">
        <v>63</v>
      </c>
      <c r="E2599" s="157"/>
      <c r="F2599" s="137" t="s">
        <v>69</v>
      </c>
      <c r="G2599" s="217"/>
    </row>
    <row r="2600" spans="1:7" s="30" customFormat="1" ht="14.45">
      <c r="A2600" s="59"/>
      <c r="B2600" s="100"/>
      <c r="C2600" s="61"/>
      <c r="D2600" s="62"/>
      <c r="E2600" s="157"/>
      <c r="F2600" s="163"/>
      <c r="G2600" s="163"/>
    </row>
    <row r="2601" spans="1:7" s="30" customFormat="1" ht="14.45">
      <c r="A2601" s="66" t="s">
        <v>84</v>
      </c>
      <c r="B2601" s="67" t="s">
        <v>3057</v>
      </c>
      <c r="C2601" s="68" t="s">
        <v>1072</v>
      </c>
      <c r="D2601" s="69" t="s">
        <v>63</v>
      </c>
      <c r="E2601" s="157"/>
      <c r="F2601" s="137" t="s">
        <v>69</v>
      </c>
      <c r="G2601" s="217"/>
    </row>
    <row r="2602" spans="1:7" s="30" customFormat="1" ht="14.45">
      <c r="A2602" s="59"/>
      <c r="B2602" s="100"/>
      <c r="C2602" s="61"/>
      <c r="D2602" s="62"/>
      <c r="E2602" s="157"/>
      <c r="F2602" s="163"/>
      <c r="G2602" s="163"/>
    </row>
    <row r="2603" spans="1:7" s="30" customFormat="1" ht="14.45">
      <c r="A2603" s="66" t="s">
        <v>86</v>
      </c>
      <c r="B2603" s="67" t="s">
        <v>3058</v>
      </c>
      <c r="C2603" s="68" t="s">
        <v>3055</v>
      </c>
      <c r="D2603" s="69" t="s">
        <v>63</v>
      </c>
      <c r="E2603" s="157">
        <v>4179.3</v>
      </c>
      <c r="F2603" s="179">
        <f>+C2603*E2603</f>
        <v>447185.10000000003</v>
      </c>
      <c r="G2603" s="163"/>
    </row>
    <row r="2604" spans="1:7" s="30" customFormat="1" ht="14.45">
      <c r="A2604" s="59"/>
      <c r="B2604" s="100"/>
      <c r="C2604" s="61"/>
      <c r="D2604" s="62"/>
      <c r="E2604" s="157"/>
      <c r="F2604" s="163"/>
      <c r="G2604" s="163"/>
    </row>
    <row r="2605" spans="1:7" s="30" customFormat="1" ht="55.15">
      <c r="A2605" s="66" t="s">
        <v>90</v>
      </c>
      <c r="B2605" s="67" t="s">
        <v>3059</v>
      </c>
      <c r="C2605" s="68" t="s">
        <v>787</v>
      </c>
      <c r="D2605" s="69" t="s">
        <v>63</v>
      </c>
      <c r="E2605" s="157"/>
      <c r="F2605" s="137" t="s">
        <v>69</v>
      </c>
      <c r="G2605" s="217"/>
    </row>
    <row r="2606" spans="1:7" s="30" customFormat="1" ht="14.45">
      <c r="A2606" s="59"/>
      <c r="B2606" s="100"/>
      <c r="C2606" s="61"/>
      <c r="D2606" s="62"/>
      <c r="E2606" s="157"/>
      <c r="F2606" s="163"/>
      <c r="G2606" s="163"/>
    </row>
    <row r="2607" spans="1:7" s="30" customFormat="1" ht="41.45">
      <c r="A2607" s="66" t="s">
        <v>92</v>
      </c>
      <c r="B2607" s="67" t="s">
        <v>3060</v>
      </c>
      <c r="C2607" s="68" t="s">
        <v>1292</v>
      </c>
      <c r="D2607" s="69" t="s">
        <v>63</v>
      </c>
      <c r="E2607" s="157"/>
      <c r="F2607" s="137" t="s">
        <v>69</v>
      </c>
      <c r="G2607" s="217"/>
    </row>
    <row r="2608" spans="1:7" s="30" customFormat="1" ht="14.45">
      <c r="A2608" s="59"/>
      <c r="B2608" s="100"/>
      <c r="C2608" s="61"/>
      <c r="D2608" s="62"/>
      <c r="E2608" s="157"/>
      <c r="F2608" s="163"/>
      <c r="G2608" s="163"/>
    </row>
    <row r="2609" spans="1:7" s="30" customFormat="1" ht="15.6" customHeight="1">
      <c r="A2609" s="66" t="s">
        <v>94</v>
      </c>
      <c r="B2609" s="67" t="s">
        <v>3061</v>
      </c>
      <c r="C2609" s="68" t="s">
        <v>1425</v>
      </c>
      <c r="D2609" s="69" t="s">
        <v>63</v>
      </c>
      <c r="E2609" s="157">
        <v>2034.49</v>
      </c>
      <c r="F2609" s="179">
        <f>+C2609*E2609</f>
        <v>101724.5</v>
      </c>
      <c r="G2609" s="163"/>
    </row>
    <row r="2610" spans="1:7" s="30" customFormat="1" ht="14.45">
      <c r="A2610" s="59"/>
      <c r="B2610" s="100"/>
      <c r="C2610" s="61"/>
      <c r="D2610" s="62"/>
      <c r="E2610" s="157"/>
      <c r="F2610" s="163"/>
      <c r="G2610" s="163"/>
    </row>
    <row r="2611" spans="1:7" s="30" customFormat="1" ht="27.6">
      <c r="A2611" s="66"/>
      <c r="B2611" s="98" t="s">
        <v>3046</v>
      </c>
      <c r="C2611" s="68"/>
      <c r="D2611" s="69"/>
      <c r="E2611" s="157"/>
      <c r="F2611" s="163"/>
      <c r="G2611" s="163"/>
    </row>
    <row r="2612" spans="1:7" s="30" customFormat="1" ht="14.45">
      <c r="A2612" s="59"/>
      <c r="B2612" s="100"/>
      <c r="C2612" s="61"/>
      <c r="D2612" s="62"/>
      <c r="E2612" s="157"/>
      <c r="F2612" s="163"/>
      <c r="G2612" s="163"/>
    </row>
    <row r="2613" spans="1:7" s="30" customFormat="1" ht="24" customHeight="1">
      <c r="A2613" s="66" t="s">
        <v>140</v>
      </c>
      <c r="B2613" s="67" t="s">
        <v>3062</v>
      </c>
      <c r="C2613" s="68" t="s">
        <v>2342</v>
      </c>
      <c r="D2613" s="69" t="s">
        <v>63</v>
      </c>
      <c r="E2613" s="157"/>
      <c r="F2613" s="137" t="s">
        <v>69</v>
      </c>
      <c r="G2613" s="217"/>
    </row>
    <row r="2614" spans="1:7" s="30" customFormat="1" ht="14.45">
      <c r="A2614" s="59"/>
      <c r="B2614" s="100"/>
      <c r="C2614" s="61"/>
      <c r="D2614" s="62"/>
      <c r="E2614" s="157"/>
      <c r="F2614" s="163"/>
      <c r="G2614" s="163"/>
    </row>
    <row r="2615" spans="1:7" s="30" customFormat="1" ht="24.6" customHeight="1">
      <c r="A2615" s="66" t="s">
        <v>159</v>
      </c>
      <c r="B2615" s="67" t="s">
        <v>3064</v>
      </c>
      <c r="C2615" s="68" t="s">
        <v>152</v>
      </c>
      <c r="D2615" s="69" t="s">
        <v>63</v>
      </c>
      <c r="E2615" s="157"/>
      <c r="F2615" s="137" t="s">
        <v>69</v>
      </c>
      <c r="G2615" s="217"/>
    </row>
    <row r="2616" spans="1:7" s="30" customFormat="1" ht="14.45">
      <c r="A2616" s="59"/>
      <c r="B2616" s="100"/>
      <c r="C2616" s="61"/>
      <c r="D2616" s="62"/>
      <c r="E2616" s="157"/>
      <c r="F2616" s="163"/>
      <c r="G2616" s="163"/>
    </row>
    <row r="2617" spans="1:7" s="30" customFormat="1" ht="14.45">
      <c r="A2617" s="66" t="s">
        <v>162</v>
      </c>
      <c r="B2617" s="67" t="s">
        <v>3065</v>
      </c>
      <c r="C2617" s="68" t="s">
        <v>335</v>
      </c>
      <c r="D2617" s="69" t="s">
        <v>63</v>
      </c>
      <c r="E2617" s="157">
        <v>2074819.7</v>
      </c>
      <c r="F2617" s="137">
        <f>+C2617*E2617</f>
        <v>6224459.0999999996</v>
      </c>
      <c r="G2617" s="217"/>
    </row>
    <row r="2618" spans="1:7" s="30" customFormat="1" ht="14.45">
      <c r="A2618" s="71"/>
      <c r="B2618" s="72"/>
      <c r="C2618" s="73"/>
      <c r="D2618" s="74"/>
      <c r="E2618" s="159"/>
      <c r="F2618" s="138"/>
      <c r="G2618" s="226"/>
    </row>
    <row r="2619" spans="1:7" s="30" customFormat="1" ht="14.45">
      <c r="A2619" s="75"/>
      <c r="B2619" s="76"/>
      <c r="C2619" s="77" t="s">
        <v>30</v>
      </c>
      <c r="D2619" s="77"/>
      <c r="E2619" s="160" t="s">
        <v>8</v>
      </c>
      <c r="F2619" s="139">
        <f>SUM(F2584:F2617)</f>
        <v>6773368.6999999993</v>
      </c>
      <c r="G2619" s="227"/>
    </row>
    <row r="2620" spans="1:7" s="30" customFormat="1" ht="14.45">
      <c r="A2620" s="75"/>
      <c r="B2620" s="76"/>
      <c r="C2620" s="78"/>
      <c r="D2620" s="79"/>
      <c r="E2620" s="161"/>
      <c r="F2620" s="140"/>
      <c r="G2620" s="228"/>
    </row>
    <row r="2621" spans="1:7" s="30" customFormat="1" ht="14.45">
      <c r="A2621" s="59"/>
      <c r="B2621" s="63"/>
      <c r="C2621" s="61"/>
      <c r="D2621" s="62"/>
      <c r="E2621" s="157"/>
      <c r="F2621" s="137"/>
      <c r="G2621" s="217"/>
    </row>
    <row r="2622" spans="1:7" s="30" customFormat="1" ht="14.45">
      <c r="A2622" s="59"/>
      <c r="B2622" s="64" t="s">
        <v>3066</v>
      </c>
      <c r="C2622" s="61"/>
      <c r="D2622" s="62"/>
      <c r="E2622" s="157"/>
      <c r="F2622" s="137"/>
      <c r="G2622" s="217"/>
    </row>
    <row r="2623" spans="1:7" s="30" customFormat="1" ht="14.45">
      <c r="A2623" s="59"/>
      <c r="B2623" s="100"/>
      <c r="C2623" s="61"/>
      <c r="D2623" s="62"/>
      <c r="E2623" s="157"/>
      <c r="F2623" s="137"/>
      <c r="G2623" s="217"/>
    </row>
    <row r="2624" spans="1:7" s="30" customFormat="1" ht="14.45">
      <c r="A2624" s="66"/>
      <c r="B2624" s="99" t="s">
        <v>979</v>
      </c>
      <c r="C2624" s="68"/>
      <c r="D2624" s="69"/>
      <c r="E2624" s="157"/>
      <c r="F2624" s="137"/>
      <c r="G2624" s="217"/>
    </row>
    <row r="2625" spans="1:7" s="30" customFormat="1" ht="14.45">
      <c r="A2625" s="59"/>
      <c r="B2625" s="100"/>
      <c r="C2625" s="61"/>
      <c r="D2625" s="62"/>
      <c r="E2625" s="157"/>
      <c r="F2625" s="137"/>
      <c r="G2625" s="217"/>
    </row>
    <row r="2626" spans="1:7" s="30" customFormat="1" ht="14.45">
      <c r="A2626" s="66"/>
      <c r="B2626" s="99" t="s">
        <v>3067</v>
      </c>
      <c r="C2626" s="68"/>
      <c r="D2626" s="69"/>
      <c r="E2626" s="157"/>
      <c r="F2626" s="137"/>
      <c r="G2626" s="217"/>
    </row>
    <row r="2627" spans="1:7" s="30" customFormat="1" ht="14.45">
      <c r="A2627" s="59"/>
      <c r="B2627" s="100"/>
      <c r="C2627" s="61"/>
      <c r="D2627" s="62"/>
      <c r="E2627" s="157"/>
      <c r="F2627" s="137"/>
      <c r="G2627" s="217"/>
    </row>
    <row r="2628" spans="1:7" s="30" customFormat="1" ht="69">
      <c r="A2628" s="66" t="s">
        <v>14</v>
      </c>
      <c r="B2628" s="67" t="s">
        <v>3068</v>
      </c>
      <c r="C2628" s="68"/>
      <c r="D2628" s="69" t="s">
        <v>2</v>
      </c>
      <c r="E2628" s="157"/>
      <c r="F2628" s="239">
        <v>2687725.33</v>
      </c>
      <c r="G2628" s="217"/>
    </row>
    <row r="2629" spans="1:7" s="30" customFormat="1" ht="14.45">
      <c r="A2629" s="59"/>
      <c r="B2629" s="63"/>
      <c r="C2629" s="61"/>
      <c r="D2629" s="62"/>
      <c r="E2629" s="157"/>
      <c r="F2629" s="137"/>
      <c r="G2629" s="217"/>
    </row>
    <row r="2630" spans="1:7" s="30" customFormat="1" ht="14.45">
      <c r="A2630" s="59"/>
      <c r="B2630" s="63"/>
      <c r="C2630" s="61"/>
      <c r="D2630" s="62"/>
      <c r="E2630" s="157"/>
      <c r="F2630" s="137"/>
      <c r="G2630" s="217"/>
    </row>
    <row r="2631" spans="1:7" s="30" customFormat="1" ht="14.45">
      <c r="A2631" s="59"/>
      <c r="B2631" s="63"/>
      <c r="C2631" s="61"/>
      <c r="D2631" s="62"/>
      <c r="E2631" s="157"/>
      <c r="F2631" s="137"/>
      <c r="G2631" s="217"/>
    </row>
    <row r="2632" spans="1:7" s="30" customFormat="1" ht="14.45">
      <c r="A2632" s="59"/>
      <c r="B2632" s="63"/>
      <c r="C2632" s="61"/>
      <c r="D2632" s="62"/>
      <c r="E2632" s="157"/>
      <c r="F2632" s="137"/>
      <c r="G2632" s="217"/>
    </row>
    <row r="2633" spans="1:7" s="30" customFormat="1" ht="14.45">
      <c r="A2633" s="59"/>
      <c r="B2633" s="63"/>
      <c r="C2633" s="61"/>
      <c r="D2633" s="62"/>
      <c r="E2633" s="157"/>
      <c r="F2633" s="137"/>
      <c r="G2633" s="217"/>
    </row>
    <row r="2634" spans="1:7" s="30" customFormat="1" ht="14.45">
      <c r="A2634" s="59"/>
      <c r="B2634" s="63"/>
      <c r="C2634" s="61"/>
      <c r="D2634" s="62"/>
      <c r="E2634" s="157"/>
      <c r="F2634" s="137"/>
      <c r="G2634" s="217"/>
    </row>
    <row r="2635" spans="1:7" s="30" customFormat="1" ht="14.45">
      <c r="A2635" s="59"/>
      <c r="B2635" s="63"/>
      <c r="C2635" s="61"/>
      <c r="D2635" s="62"/>
      <c r="E2635" s="157"/>
      <c r="F2635" s="137"/>
      <c r="G2635" s="217"/>
    </row>
    <row r="2636" spans="1:7" s="30" customFormat="1" ht="14.45">
      <c r="A2636" s="59"/>
      <c r="B2636" s="63"/>
      <c r="C2636" s="61"/>
      <c r="D2636" s="62"/>
      <c r="E2636" s="157"/>
      <c r="F2636" s="137"/>
      <c r="G2636" s="217"/>
    </row>
    <row r="2637" spans="1:7" s="30" customFormat="1" ht="14.45">
      <c r="A2637" s="59"/>
      <c r="B2637" s="63"/>
      <c r="C2637" s="61"/>
      <c r="D2637" s="62"/>
      <c r="E2637" s="157"/>
      <c r="F2637" s="137"/>
      <c r="G2637" s="217"/>
    </row>
    <row r="2638" spans="1:7" s="30" customFormat="1" ht="14.45">
      <c r="A2638" s="59"/>
      <c r="B2638" s="63"/>
      <c r="C2638" s="61"/>
      <c r="D2638" s="62"/>
      <c r="E2638" s="157"/>
      <c r="F2638" s="137"/>
      <c r="G2638" s="217"/>
    </row>
    <row r="2639" spans="1:7" s="30" customFormat="1" ht="14.45">
      <c r="A2639" s="59"/>
      <c r="B2639" s="63"/>
      <c r="C2639" s="61"/>
      <c r="D2639" s="62"/>
      <c r="E2639" s="157"/>
      <c r="F2639" s="137"/>
      <c r="G2639" s="217"/>
    </row>
    <row r="2640" spans="1:7" s="30" customFormat="1" ht="14.45">
      <c r="A2640" s="59"/>
      <c r="B2640" s="63"/>
      <c r="C2640" s="61"/>
      <c r="D2640" s="62"/>
      <c r="E2640" s="157"/>
      <c r="F2640" s="137"/>
      <c r="G2640" s="217"/>
    </row>
    <row r="2641" spans="1:7" s="30" customFormat="1" ht="14.45">
      <c r="A2641" s="59"/>
      <c r="B2641" s="63"/>
      <c r="C2641" s="61"/>
      <c r="D2641" s="62"/>
      <c r="E2641" s="157"/>
      <c r="F2641" s="137"/>
      <c r="G2641" s="217"/>
    </row>
    <row r="2642" spans="1:7" s="30" customFormat="1" ht="14.45">
      <c r="A2642" s="59"/>
      <c r="B2642" s="63"/>
      <c r="C2642" s="61"/>
      <c r="D2642" s="62"/>
      <c r="E2642" s="157"/>
      <c r="F2642" s="137"/>
      <c r="G2642" s="217"/>
    </row>
    <row r="2643" spans="1:7" s="30" customFormat="1" ht="14.45">
      <c r="A2643" s="59"/>
      <c r="B2643" s="63"/>
      <c r="C2643" s="61"/>
      <c r="D2643" s="62"/>
      <c r="E2643" s="157"/>
      <c r="F2643" s="137"/>
      <c r="G2643" s="217"/>
    </row>
    <row r="2644" spans="1:7" s="30" customFormat="1" ht="14.45">
      <c r="A2644" s="59"/>
      <c r="B2644" s="63"/>
      <c r="C2644" s="61"/>
      <c r="D2644" s="62"/>
      <c r="E2644" s="157"/>
      <c r="F2644" s="137"/>
      <c r="G2644" s="217"/>
    </row>
    <row r="2645" spans="1:7" s="30" customFormat="1" ht="14.45">
      <c r="A2645" s="59"/>
      <c r="B2645" s="63"/>
      <c r="C2645" s="61"/>
      <c r="D2645" s="62"/>
      <c r="E2645" s="157"/>
      <c r="F2645" s="137"/>
      <c r="G2645" s="217"/>
    </row>
    <row r="2646" spans="1:7" s="30" customFormat="1" ht="14.45">
      <c r="A2646" s="59"/>
      <c r="B2646" s="63"/>
      <c r="C2646" s="61"/>
      <c r="D2646" s="62"/>
      <c r="E2646" s="157"/>
      <c r="F2646" s="137"/>
      <c r="G2646" s="217"/>
    </row>
    <row r="2647" spans="1:7" s="30" customFormat="1" ht="14.45">
      <c r="A2647" s="59"/>
      <c r="B2647" s="63"/>
      <c r="C2647" s="61"/>
      <c r="D2647" s="62"/>
      <c r="E2647" s="157"/>
      <c r="F2647" s="137"/>
      <c r="G2647" s="217"/>
    </row>
    <row r="2648" spans="1:7" s="30" customFormat="1" ht="14.45">
      <c r="A2648" s="59"/>
      <c r="B2648" s="63"/>
      <c r="C2648" s="61"/>
      <c r="D2648" s="62"/>
      <c r="E2648" s="157"/>
      <c r="F2648" s="137"/>
      <c r="G2648" s="217"/>
    </row>
    <row r="2649" spans="1:7" s="30" customFormat="1" ht="14.45">
      <c r="A2649" s="59"/>
      <c r="B2649" s="63"/>
      <c r="C2649" s="61"/>
      <c r="D2649" s="62"/>
      <c r="E2649" s="157"/>
      <c r="F2649" s="137"/>
      <c r="G2649" s="217"/>
    </row>
    <row r="2650" spans="1:7" s="30" customFormat="1" ht="14.45">
      <c r="A2650" s="59"/>
      <c r="B2650" s="63"/>
      <c r="C2650" s="61"/>
      <c r="D2650" s="62"/>
      <c r="E2650" s="157"/>
      <c r="F2650" s="137"/>
      <c r="G2650" s="217"/>
    </row>
    <row r="2651" spans="1:7" s="30" customFormat="1" ht="14.45">
      <c r="A2651" s="59"/>
      <c r="B2651" s="63"/>
      <c r="C2651" s="61"/>
      <c r="D2651" s="62"/>
      <c r="E2651" s="157"/>
      <c r="F2651" s="137"/>
      <c r="G2651" s="217"/>
    </row>
    <row r="2652" spans="1:7" s="30" customFormat="1" ht="14.45">
      <c r="A2652" s="59"/>
      <c r="B2652" s="63"/>
      <c r="C2652" s="61"/>
      <c r="D2652" s="62"/>
      <c r="E2652" s="157"/>
      <c r="F2652" s="137"/>
      <c r="G2652" s="217"/>
    </row>
    <row r="2653" spans="1:7" s="30" customFormat="1" ht="14.45">
      <c r="A2653" s="59"/>
      <c r="B2653" s="63"/>
      <c r="C2653" s="61"/>
      <c r="D2653" s="62"/>
      <c r="E2653" s="157"/>
      <c r="F2653" s="137"/>
      <c r="G2653" s="217"/>
    </row>
    <row r="2654" spans="1:7" s="30" customFormat="1" ht="14.45">
      <c r="A2654" s="59"/>
      <c r="B2654" s="63"/>
      <c r="C2654" s="61"/>
      <c r="D2654" s="62"/>
      <c r="E2654" s="157"/>
      <c r="F2654" s="137"/>
      <c r="G2654" s="217"/>
    </row>
    <row r="2655" spans="1:7" s="30" customFormat="1" ht="14.45">
      <c r="A2655" s="59"/>
      <c r="B2655" s="63"/>
      <c r="C2655" s="61"/>
      <c r="D2655" s="62"/>
      <c r="E2655" s="157"/>
      <c r="F2655" s="137"/>
      <c r="G2655" s="217"/>
    </row>
    <row r="2656" spans="1:7" s="30" customFormat="1" ht="14.45">
      <c r="A2656" s="59"/>
      <c r="B2656" s="63"/>
      <c r="C2656" s="61"/>
      <c r="D2656" s="62"/>
      <c r="E2656" s="157"/>
      <c r="F2656" s="137"/>
      <c r="G2656" s="217"/>
    </row>
    <row r="2657" spans="1:7" s="30" customFormat="1" ht="14.45">
      <c r="A2657" s="59"/>
      <c r="B2657" s="63"/>
      <c r="C2657" s="61"/>
      <c r="D2657" s="62"/>
      <c r="E2657" s="157"/>
      <c r="F2657" s="137"/>
      <c r="G2657" s="217"/>
    </row>
    <row r="2658" spans="1:7" s="30" customFormat="1" ht="14.45">
      <c r="A2658" s="59"/>
      <c r="B2658" s="63"/>
      <c r="C2658" s="61"/>
      <c r="D2658" s="62"/>
      <c r="E2658" s="157"/>
      <c r="F2658" s="137"/>
      <c r="G2658" s="217"/>
    </row>
    <row r="2659" spans="1:7" s="30" customFormat="1" ht="14.45">
      <c r="A2659" s="59"/>
      <c r="B2659" s="63"/>
      <c r="C2659" s="61"/>
      <c r="D2659" s="62"/>
      <c r="E2659" s="157"/>
      <c r="F2659" s="137"/>
      <c r="G2659" s="217"/>
    </row>
    <row r="2660" spans="1:7" s="30" customFormat="1" ht="14.45">
      <c r="A2660" s="59"/>
      <c r="B2660" s="63"/>
      <c r="C2660" s="61"/>
      <c r="D2660" s="62"/>
      <c r="E2660" s="157"/>
      <c r="F2660" s="137"/>
      <c r="G2660" s="217"/>
    </row>
    <row r="2661" spans="1:7" s="30" customFormat="1" ht="14.45">
      <c r="A2661" s="59"/>
      <c r="B2661" s="63"/>
      <c r="C2661" s="61"/>
      <c r="D2661" s="62"/>
      <c r="E2661" s="157"/>
      <c r="F2661" s="137"/>
      <c r="G2661" s="217"/>
    </row>
    <row r="2662" spans="1:7" s="30" customFormat="1" ht="14.45">
      <c r="A2662" s="71"/>
      <c r="B2662" s="72"/>
      <c r="C2662" s="73"/>
      <c r="D2662" s="74"/>
      <c r="E2662" s="159"/>
      <c r="F2662" s="138"/>
      <c r="G2662" s="226"/>
    </row>
    <row r="2663" spans="1:7" s="30" customFormat="1" ht="14.45">
      <c r="A2663" s="75"/>
      <c r="B2663" s="76"/>
      <c r="C2663" s="77" t="s">
        <v>30</v>
      </c>
      <c r="D2663" s="77"/>
      <c r="E2663" s="160" t="s">
        <v>8</v>
      </c>
      <c r="F2663" s="139">
        <f>SUM(F2624:F2645)</f>
        <v>2687725.33</v>
      </c>
      <c r="G2663" s="227"/>
    </row>
    <row r="2664" spans="1:7" s="30" customFormat="1" ht="14.45">
      <c r="A2664" s="75"/>
      <c r="B2664" s="76"/>
      <c r="C2664" s="78"/>
      <c r="D2664" s="79"/>
      <c r="E2664" s="161"/>
      <c r="F2664" s="140"/>
      <c r="G2664" s="228"/>
    </row>
    <row r="2665" spans="1:7" s="30" customFormat="1" ht="14.45">
      <c r="A2665" s="59"/>
      <c r="B2665" s="63"/>
      <c r="C2665" s="61"/>
      <c r="D2665" s="62"/>
      <c r="E2665" s="157"/>
      <c r="F2665" s="137"/>
      <c r="G2665" s="217"/>
    </row>
    <row r="2666" spans="1:7" s="30" customFormat="1" ht="14.45">
      <c r="A2666" s="59"/>
      <c r="B2666" s="64" t="s">
        <v>3069</v>
      </c>
      <c r="C2666" s="61"/>
      <c r="D2666" s="62"/>
      <c r="E2666" s="157"/>
      <c r="F2666" s="137"/>
      <c r="G2666" s="217"/>
    </row>
    <row r="2667" spans="1:7" s="30" customFormat="1" ht="14.45">
      <c r="A2667" s="59"/>
      <c r="B2667" s="100"/>
      <c r="C2667" s="61"/>
      <c r="D2667" s="62"/>
      <c r="E2667" s="157"/>
      <c r="F2667" s="137"/>
      <c r="G2667" s="217"/>
    </row>
    <row r="2668" spans="1:7" s="30" customFormat="1" ht="14.45">
      <c r="A2668" s="66"/>
      <c r="B2668" s="99" t="s">
        <v>979</v>
      </c>
      <c r="C2668" s="68"/>
      <c r="D2668" s="69"/>
      <c r="E2668" s="157"/>
      <c r="F2668" s="137"/>
      <c r="G2668" s="217"/>
    </row>
    <row r="2669" spans="1:7" s="30" customFormat="1" ht="14.45">
      <c r="A2669" s="59"/>
      <c r="B2669" s="100"/>
      <c r="C2669" s="61"/>
      <c r="D2669" s="62"/>
      <c r="E2669" s="157"/>
      <c r="F2669" s="137"/>
      <c r="G2669" s="217"/>
    </row>
    <row r="2670" spans="1:7" s="30" customFormat="1" ht="27.6">
      <c r="A2670" s="66"/>
      <c r="B2670" s="99" t="s">
        <v>3070</v>
      </c>
      <c r="C2670" s="68"/>
      <c r="D2670" s="69"/>
      <c r="E2670" s="157"/>
      <c r="F2670" s="137"/>
      <c r="G2670" s="217"/>
    </row>
    <row r="2671" spans="1:7" s="30" customFormat="1" ht="14.45">
      <c r="A2671" s="59"/>
      <c r="B2671" s="100"/>
      <c r="C2671" s="61"/>
      <c r="D2671" s="62"/>
      <c r="E2671" s="157"/>
      <c r="F2671" s="137"/>
      <c r="G2671" s="217"/>
    </row>
    <row r="2672" spans="1:7" s="30" customFormat="1" ht="27.6">
      <c r="A2672" s="66"/>
      <c r="B2672" s="99" t="s">
        <v>1937</v>
      </c>
      <c r="C2672" s="68"/>
      <c r="D2672" s="69"/>
      <c r="E2672" s="157"/>
      <c r="F2672" s="137"/>
      <c r="G2672" s="217"/>
    </row>
    <row r="2673" spans="1:7" s="30" customFormat="1" ht="14.45">
      <c r="A2673" s="59"/>
      <c r="B2673" s="100"/>
      <c r="C2673" s="61"/>
      <c r="D2673" s="62"/>
      <c r="E2673" s="157"/>
      <c r="F2673" s="137"/>
      <c r="G2673" s="217"/>
    </row>
    <row r="2674" spans="1:7" s="30" customFormat="1" ht="41.45">
      <c r="A2674" s="66"/>
      <c r="B2674" s="98" t="s">
        <v>2890</v>
      </c>
      <c r="C2674" s="68"/>
      <c r="D2674" s="69"/>
      <c r="E2674" s="157"/>
      <c r="F2674" s="137"/>
      <c r="G2674" s="217"/>
    </row>
    <row r="2675" spans="1:7" s="30" customFormat="1" ht="14.45">
      <c r="A2675" s="59"/>
      <c r="B2675" s="100"/>
      <c r="C2675" s="61"/>
      <c r="D2675" s="62"/>
      <c r="E2675" s="157"/>
      <c r="F2675" s="137"/>
      <c r="G2675" s="217"/>
    </row>
    <row r="2676" spans="1:7" s="30" customFormat="1" ht="14.45">
      <c r="A2676" s="66" t="s">
        <v>14</v>
      </c>
      <c r="B2676" s="67" t="s">
        <v>3071</v>
      </c>
      <c r="C2676" s="68" t="s">
        <v>3072</v>
      </c>
      <c r="D2676" s="69" t="s">
        <v>63</v>
      </c>
      <c r="E2676" s="157">
        <v>5908.66</v>
      </c>
      <c r="F2676" s="137">
        <f t="shared" ref="F2676" si="634">C2676*E2676</f>
        <v>2818430.82</v>
      </c>
      <c r="G2676" s="217" t="s">
        <v>3073</v>
      </c>
    </row>
    <row r="2677" spans="1:7" s="30" customFormat="1" ht="14.45">
      <c r="A2677" s="59"/>
      <c r="B2677" s="100"/>
      <c r="C2677" s="61"/>
      <c r="D2677" s="62"/>
      <c r="E2677" s="157"/>
      <c r="F2677" s="137"/>
      <c r="G2677" s="217"/>
    </row>
    <row r="2678" spans="1:7" s="30" customFormat="1" ht="14.45">
      <c r="A2678" s="66"/>
      <c r="B2678" s="99" t="s">
        <v>3074</v>
      </c>
      <c r="C2678" s="68" t="s">
        <v>3075</v>
      </c>
      <c r="D2678" s="69" t="s">
        <v>63</v>
      </c>
      <c r="E2678" s="157">
        <v>1462.55</v>
      </c>
      <c r="F2678" s="137">
        <f t="shared" ref="F2678:F2680" si="635">C2678*E2678</f>
        <v>105303.59999999999</v>
      </c>
      <c r="G2678" s="217"/>
    </row>
    <row r="2679" spans="1:7" s="30" customFormat="1" ht="14.45">
      <c r="A2679" s="59"/>
      <c r="B2679" s="100"/>
      <c r="C2679" s="61"/>
      <c r="D2679" s="62"/>
      <c r="E2679" s="157"/>
      <c r="F2679" s="137"/>
      <c r="G2679" s="217"/>
    </row>
    <row r="2680" spans="1:7" s="30" customFormat="1" ht="14.45">
      <c r="A2680" s="66" t="s">
        <v>17</v>
      </c>
      <c r="B2680" s="67" t="s">
        <v>3076</v>
      </c>
      <c r="C2680" s="68" t="s">
        <v>451</v>
      </c>
      <c r="D2680" s="69" t="s">
        <v>63</v>
      </c>
      <c r="E2680" s="157">
        <v>12122.52</v>
      </c>
      <c r="F2680" s="137">
        <f t="shared" si="635"/>
        <v>193960.32000000001</v>
      </c>
      <c r="G2680" s="217"/>
    </row>
    <row r="2681" spans="1:7" s="30" customFormat="1" ht="14.45">
      <c r="A2681" s="59"/>
      <c r="B2681" s="100"/>
      <c r="C2681" s="61"/>
      <c r="D2681" s="62"/>
      <c r="E2681" s="157"/>
      <c r="F2681" s="137"/>
      <c r="G2681" s="217"/>
    </row>
    <row r="2682" spans="1:7" s="30" customFormat="1" ht="27.6">
      <c r="A2682" s="66"/>
      <c r="B2682" s="98" t="s">
        <v>2860</v>
      </c>
      <c r="C2682" s="68"/>
      <c r="D2682" s="69"/>
      <c r="E2682" s="157"/>
      <c r="F2682" s="137"/>
      <c r="G2682" s="217"/>
    </row>
    <row r="2683" spans="1:7" s="30" customFormat="1" ht="14.45">
      <c r="A2683" s="59"/>
      <c r="B2683" s="100"/>
      <c r="C2683" s="61"/>
      <c r="D2683" s="62"/>
      <c r="E2683" s="157"/>
      <c r="F2683" s="137"/>
      <c r="G2683" s="217"/>
    </row>
    <row r="2684" spans="1:7" s="30" customFormat="1" ht="40.9" customHeight="1">
      <c r="A2684" s="66" t="s">
        <v>20</v>
      </c>
      <c r="B2684" s="67" t="s">
        <v>3077</v>
      </c>
      <c r="C2684" s="68" t="s">
        <v>37</v>
      </c>
      <c r="D2684" s="69" t="s">
        <v>63</v>
      </c>
      <c r="E2684" s="157"/>
      <c r="F2684" s="179" t="s">
        <v>69</v>
      </c>
      <c r="G2684" s="163"/>
    </row>
    <row r="2685" spans="1:7" s="30" customFormat="1" ht="14.45">
      <c r="A2685" s="59"/>
      <c r="B2685" s="100"/>
      <c r="C2685" s="61"/>
      <c r="D2685" s="62"/>
      <c r="E2685" s="157"/>
      <c r="F2685" s="137"/>
      <c r="G2685" s="217"/>
    </row>
    <row r="2686" spans="1:7" s="30" customFormat="1" ht="40.9" customHeight="1">
      <c r="A2686" s="66" t="s">
        <v>23</v>
      </c>
      <c r="B2686" s="67" t="s">
        <v>3078</v>
      </c>
      <c r="C2686" s="68" t="s">
        <v>39</v>
      </c>
      <c r="D2686" s="69" t="s">
        <v>63</v>
      </c>
      <c r="E2686" s="157"/>
      <c r="F2686" s="179" t="s">
        <v>69</v>
      </c>
      <c r="G2686" s="163"/>
    </row>
    <row r="2687" spans="1:7" s="30" customFormat="1" ht="14.45">
      <c r="A2687" s="59"/>
      <c r="B2687" s="100"/>
      <c r="C2687" s="61"/>
      <c r="D2687" s="62"/>
      <c r="E2687" s="157"/>
      <c r="F2687" s="137"/>
      <c r="G2687" s="217"/>
    </row>
    <row r="2688" spans="1:7" s="30" customFormat="1" ht="40.9" customHeight="1">
      <c r="A2688" s="66" t="s">
        <v>27</v>
      </c>
      <c r="B2688" s="67" t="s">
        <v>3079</v>
      </c>
      <c r="C2688" s="68" t="s">
        <v>3080</v>
      </c>
      <c r="D2688" s="69" t="s">
        <v>63</v>
      </c>
      <c r="E2688" s="157"/>
      <c r="F2688" s="179" t="s">
        <v>69</v>
      </c>
      <c r="G2688" s="163"/>
    </row>
    <row r="2689" spans="1:7" s="30" customFormat="1" ht="14.45">
      <c r="A2689" s="59"/>
      <c r="B2689" s="100"/>
      <c r="C2689" s="61"/>
      <c r="D2689" s="62"/>
      <c r="E2689" s="157"/>
      <c r="F2689" s="137"/>
      <c r="G2689" s="217"/>
    </row>
    <row r="2690" spans="1:7" s="30" customFormat="1" ht="40.9" customHeight="1">
      <c r="A2690" s="66" t="s">
        <v>44</v>
      </c>
      <c r="B2690" s="67" t="s">
        <v>3081</v>
      </c>
      <c r="C2690" s="68" t="s">
        <v>3082</v>
      </c>
      <c r="D2690" s="69" t="s">
        <v>63</v>
      </c>
      <c r="E2690" s="157"/>
      <c r="F2690" s="179" t="s">
        <v>69</v>
      </c>
      <c r="G2690" s="163"/>
    </row>
    <row r="2691" spans="1:7" s="30" customFormat="1" ht="14.45">
      <c r="A2691" s="59"/>
      <c r="B2691" s="100"/>
      <c r="C2691" s="61"/>
      <c r="D2691" s="62"/>
      <c r="E2691" s="157"/>
      <c r="F2691" s="137"/>
      <c r="G2691" s="217"/>
    </row>
    <row r="2692" spans="1:7" s="30" customFormat="1" ht="40.9" customHeight="1">
      <c r="A2692" s="66" t="s">
        <v>48</v>
      </c>
      <c r="B2692" s="67" t="s">
        <v>3083</v>
      </c>
      <c r="C2692" s="68" t="s">
        <v>281</v>
      </c>
      <c r="D2692" s="69" t="s">
        <v>63</v>
      </c>
      <c r="E2692" s="157"/>
      <c r="F2692" s="179" t="s">
        <v>69</v>
      </c>
      <c r="G2692" s="163"/>
    </row>
    <row r="2693" spans="1:7" s="30" customFormat="1" ht="14.45">
      <c r="A2693" s="59"/>
      <c r="B2693" s="100"/>
      <c r="C2693" s="61"/>
      <c r="D2693" s="62"/>
      <c r="E2693" s="157"/>
      <c r="F2693" s="137"/>
      <c r="G2693" s="217"/>
    </row>
    <row r="2694" spans="1:7" s="30" customFormat="1" ht="40.9" customHeight="1">
      <c r="A2694" s="66" t="s">
        <v>84</v>
      </c>
      <c r="B2694" s="67" t="s">
        <v>3084</v>
      </c>
      <c r="C2694" s="68" t="s">
        <v>62</v>
      </c>
      <c r="D2694" s="69" t="s">
        <v>63</v>
      </c>
      <c r="E2694" s="157"/>
      <c r="F2694" s="179" t="s">
        <v>69</v>
      </c>
      <c r="G2694" s="163"/>
    </row>
    <row r="2695" spans="1:7" s="30" customFormat="1" ht="14.45">
      <c r="A2695" s="59"/>
      <c r="B2695" s="100"/>
      <c r="C2695" s="61"/>
      <c r="D2695" s="62"/>
      <c r="E2695" s="157"/>
      <c r="F2695" s="137"/>
      <c r="G2695" s="217"/>
    </row>
    <row r="2696" spans="1:7" s="30" customFormat="1" ht="40.9" customHeight="1">
      <c r="A2696" s="66" t="s">
        <v>86</v>
      </c>
      <c r="B2696" s="67" t="s">
        <v>3085</v>
      </c>
      <c r="C2696" s="68" t="s">
        <v>65</v>
      </c>
      <c r="D2696" s="69" t="s">
        <v>63</v>
      </c>
      <c r="E2696" s="157"/>
      <c r="F2696" s="179" t="s">
        <v>69</v>
      </c>
      <c r="G2696" s="163"/>
    </row>
    <row r="2697" spans="1:7" s="30" customFormat="1" ht="14.45">
      <c r="A2697" s="59"/>
      <c r="B2697" s="100"/>
      <c r="C2697" s="61"/>
      <c r="D2697" s="62"/>
      <c r="E2697" s="157"/>
      <c r="F2697" s="137"/>
      <c r="G2697" s="217"/>
    </row>
    <row r="2698" spans="1:7" s="30" customFormat="1" ht="40.9" customHeight="1">
      <c r="A2698" s="66" t="s">
        <v>90</v>
      </c>
      <c r="B2698" s="67" t="s">
        <v>3086</v>
      </c>
      <c r="C2698" s="68" t="s">
        <v>977</v>
      </c>
      <c r="D2698" s="69" t="s">
        <v>63</v>
      </c>
      <c r="E2698" s="157"/>
      <c r="F2698" s="179" t="s">
        <v>69</v>
      </c>
      <c r="G2698" s="163"/>
    </row>
    <row r="2699" spans="1:7" s="30" customFormat="1" ht="14.45">
      <c r="A2699" s="71"/>
      <c r="B2699" s="72"/>
      <c r="C2699" s="73"/>
      <c r="D2699" s="74"/>
      <c r="E2699" s="159"/>
      <c r="F2699" s="138"/>
      <c r="G2699" s="226"/>
    </row>
    <row r="2700" spans="1:7" s="30" customFormat="1" ht="14.45">
      <c r="A2700" s="75"/>
      <c r="B2700" s="76"/>
      <c r="C2700" s="77" t="s">
        <v>30</v>
      </c>
      <c r="D2700" s="77"/>
      <c r="E2700" s="160" t="s">
        <v>8</v>
      </c>
      <c r="F2700" s="139">
        <f>SUM(F2674:F2698)</f>
        <v>3117694.7399999998</v>
      </c>
      <c r="G2700" s="227"/>
    </row>
    <row r="2701" spans="1:7" s="30" customFormat="1" ht="14.45">
      <c r="A2701" s="75"/>
      <c r="B2701" s="76"/>
      <c r="C2701" s="78"/>
      <c r="D2701" s="79"/>
      <c r="E2701" s="161"/>
      <c r="F2701" s="140"/>
      <c r="G2701" s="228"/>
    </row>
    <row r="2702" spans="1:7" s="30" customFormat="1" ht="14.45">
      <c r="A2702" s="59"/>
      <c r="B2702" s="63"/>
      <c r="C2702" s="61"/>
      <c r="D2702" s="62"/>
      <c r="E2702" s="157"/>
      <c r="F2702" s="137"/>
      <c r="G2702" s="217"/>
    </row>
    <row r="2703" spans="1:7" s="30" customFormat="1" ht="14.45">
      <c r="A2703" s="59"/>
      <c r="B2703" s="64" t="s">
        <v>3087</v>
      </c>
      <c r="C2703" s="61"/>
      <c r="D2703" s="62"/>
      <c r="E2703" s="157"/>
      <c r="F2703" s="137"/>
      <c r="G2703" s="217"/>
    </row>
    <row r="2704" spans="1:7" s="30" customFormat="1" ht="14.45">
      <c r="A2704" s="59"/>
      <c r="B2704" s="100"/>
      <c r="C2704" s="61"/>
      <c r="D2704" s="62"/>
      <c r="E2704" s="157"/>
      <c r="F2704" s="137"/>
      <c r="G2704" s="217"/>
    </row>
    <row r="2705" spans="1:7" s="30" customFormat="1" ht="24" customHeight="1">
      <c r="A2705" s="66" t="s">
        <v>14</v>
      </c>
      <c r="B2705" s="67" t="s">
        <v>3088</v>
      </c>
      <c r="C2705" s="68" t="s">
        <v>1526</v>
      </c>
      <c r="D2705" s="69" t="s">
        <v>63</v>
      </c>
      <c r="E2705" s="157"/>
      <c r="F2705" s="179" t="s">
        <v>69</v>
      </c>
      <c r="G2705" s="163"/>
    </row>
    <row r="2706" spans="1:7" s="30" customFormat="1" ht="14.45">
      <c r="A2706" s="59"/>
      <c r="B2706" s="100"/>
      <c r="C2706" s="61"/>
      <c r="D2706" s="62"/>
      <c r="E2706" s="157"/>
      <c r="F2706" s="137"/>
      <c r="G2706" s="217"/>
    </row>
    <row r="2707" spans="1:7" s="30" customFormat="1" ht="27.6">
      <c r="A2707" s="66"/>
      <c r="B2707" s="98" t="s">
        <v>3089</v>
      </c>
      <c r="C2707" s="68"/>
      <c r="D2707" s="69"/>
      <c r="E2707" s="157"/>
      <c r="F2707" s="137"/>
      <c r="G2707" s="217"/>
    </row>
    <row r="2708" spans="1:7" s="30" customFormat="1" ht="14.45">
      <c r="A2708" s="59"/>
      <c r="B2708" s="100"/>
      <c r="C2708" s="61"/>
      <c r="D2708" s="62"/>
      <c r="E2708" s="157"/>
      <c r="F2708" s="137"/>
      <c r="G2708" s="217"/>
    </row>
    <row r="2709" spans="1:7" s="30" customFormat="1" ht="24" customHeight="1">
      <c r="A2709" s="66" t="s">
        <v>17</v>
      </c>
      <c r="B2709" s="67" t="s">
        <v>3090</v>
      </c>
      <c r="C2709" s="68" t="s">
        <v>308</v>
      </c>
      <c r="D2709" s="69" t="s">
        <v>63</v>
      </c>
      <c r="E2709" s="157"/>
      <c r="F2709" s="179" t="s">
        <v>69</v>
      </c>
      <c r="G2709" s="163"/>
    </row>
    <row r="2710" spans="1:7" s="30" customFormat="1" ht="14.45">
      <c r="A2710" s="59"/>
      <c r="B2710" s="100"/>
      <c r="C2710" s="61"/>
      <c r="D2710" s="62"/>
      <c r="E2710" s="157"/>
      <c r="F2710" s="137"/>
      <c r="G2710" s="217"/>
    </row>
    <row r="2711" spans="1:7" s="30" customFormat="1" ht="24" customHeight="1">
      <c r="A2711" s="66" t="s">
        <v>20</v>
      </c>
      <c r="B2711" s="67" t="s">
        <v>3091</v>
      </c>
      <c r="C2711" s="68" t="s">
        <v>688</v>
      </c>
      <c r="D2711" s="69" t="s">
        <v>63</v>
      </c>
      <c r="E2711" s="157"/>
      <c r="F2711" s="179" t="s">
        <v>69</v>
      </c>
      <c r="G2711" s="163"/>
    </row>
    <row r="2712" spans="1:7" s="30" customFormat="1" ht="14.45">
      <c r="A2712" s="59"/>
      <c r="B2712" s="100"/>
      <c r="C2712" s="61"/>
      <c r="D2712" s="62"/>
      <c r="E2712" s="157"/>
      <c r="F2712" s="137"/>
      <c r="G2712" s="217"/>
    </row>
    <row r="2713" spans="1:7" s="30" customFormat="1" ht="24" customHeight="1">
      <c r="A2713" s="66" t="s">
        <v>23</v>
      </c>
      <c r="B2713" s="67" t="s">
        <v>3092</v>
      </c>
      <c r="C2713" s="68" t="s">
        <v>312</v>
      </c>
      <c r="D2713" s="69" t="s">
        <v>63</v>
      </c>
      <c r="E2713" s="157"/>
      <c r="F2713" s="179" t="s">
        <v>69</v>
      </c>
      <c r="G2713" s="163"/>
    </row>
    <row r="2714" spans="1:7" s="30" customFormat="1" ht="14.45">
      <c r="A2714" s="59"/>
      <c r="B2714" s="100"/>
      <c r="C2714" s="61"/>
      <c r="D2714" s="62"/>
      <c r="E2714" s="157"/>
      <c r="F2714" s="137"/>
      <c r="G2714" s="217"/>
    </row>
    <row r="2715" spans="1:7" s="30" customFormat="1" ht="24" customHeight="1">
      <c r="A2715" s="66" t="s">
        <v>27</v>
      </c>
      <c r="B2715" s="67" t="s">
        <v>3093</v>
      </c>
      <c r="C2715" s="68" t="s">
        <v>325</v>
      </c>
      <c r="D2715" s="69" t="s">
        <v>63</v>
      </c>
      <c r="E2715" s="157"/>
      <c r="F2715" s="179" t="s">
        <v>69</v>
      </c>
      <c r="G2715" s="163"/>
    </row>
    <row r="2716" spans="1:7" s="30" customFormat="1" ht="14.45">
      <c r="A2716" s="59"/>
      <c r="B2716" s="100"/>
      <c r="C2716" s="61"/>
      <c r="D2716" s="62"/>
      <c r="E2716" s="157"/>
      <c r="F2716" s="137"/>
      <c r="G2716" s="217"/>
    </row>
    <row r="2717" spans="1:7" s="30" customFormat="1" ht="27.6">
      <c r="A2717" s="66"/>
      <c r="B2717" s="98" t="s">
        <v>3094</v>
      </c>
      <c r="C2717" s="68"/>
      <c r="D2717" s="69"/>
      <c r="E2717" s="157"/>
      <c r="F2717" s="137"/>
      <c r="G2717" s="217"/>
    </row>
    <row r="2718" spans="1:7" s="30" customFormat="1" ht="14.45">
      <c r="A2718" s="59"/>
      <c r="B2718" s="100"/>
      <c r="C2718" s="61"/>
      <c r="D2718" s="62"/>
      <c r="E2718" s="157"/>
      <c r="F2718" s="137"/>
      <c r="G2718" s="217"/>
    </row>
    <row r="2719" spans="1:7" s="30" customFormat="1" ht="24" customHeight="1">
      <c r="A2719" s="66" t="s">
        <v>44</v>
      </c>
      <c r="B2719" s="67" t="s">
        <v>3095</v>
      </c>
      <c r="C2719" s="68" t="s">
        <v>716</v>
      </c>
      <c r="D2719" s="69" t="s">
        <v>63</v>
      </c>
      <c r="E2719" s="157"/>
      <c r="F2719" s="179" t="s">
        <v>69</v>
      </c>
      <c r="G2719" s="163"/>
    </row>
    <row r="2720" spans="1:7" s="30" customFormat="1" ht="14.45">
      <c r="A2720" s="59"/>
      <c r="B2720" s="63"/>
      <c r="C2720" s="61"/>
      <c r="D2720" s="62"/>
      <c r="E2720" s="157"/>
      <c r="F2720" s="137"/>
      <c r="G2720" s="217"/>
    </row>
    <row r="2721" spans="1:7" s="30" customFormat="1" ht="14.45">
      <c r="A2721" s="59"/>
      <c r="B2721" s="63"/>
      <c r="C2721" s="61"/>
      <c r="D2721" s="62"/>
      <c r="E2721" s="157"/>
      <c r="F2721" s="137"/>
      <c r="G2721" s="217"/>
    </row>
    <row r="2722" spans="1:7" s="30" customFormat="1" ht="14.45">
      <c r="A2722" s="59"/>
      <c r="B2722" s="63"/>
      <c r="C2722" s="61"/>
      <c r="D2722" s="62"/>
      <c r="E2722" s="157"/>
      <c r="F2722" s="137"/>
      <c r="G2722" s="217"/>
    </row>
    <row r="2723" spans="1:7" s="30" customFormat="1" ht="14.45">
      <c r="A2723" s="59"/>
      <c r="B2723" s="63"/>
      <c r="C2723" s="61"/>
      <c r="D2723" s="62"/>
      <c r="E2723" s="157"/>
      <c r="F2723" s="137"/>
      <c r="G2723" s="217"/>
    </row>
    <row r="2724" spans="1:7" s="30" customFormat="1" ht="14.45">
      <c r="A2724" s="59"/>
      <c r="B2724" s="63"/>
      <c r="C2724" s="61"/>
      <c r="D2724" s="62"/>
      <c r="E2724" s="157"/>
      <c r="F2724" s="137"/>
      <c r="G2724" s="217"/>
    </row>
    <row r="2725" spans="1:7" s="30" customFormat="1" ht="14.45">
      <c r="A2725" s="59"/>
      <c r="B2725" s="63"/>
      <c r="C2725" s="61"/>
      <c r="D2725" s="62"/>
      <c r="E2725" s="157"/>
      <c r="F2725" s="137"/>
      <c r="G2725" s="217"/>
    </row>
    <row r="2726" spans="1:7" s="30" customFormat="1" ht="14.45">
      <c r="A2726" s="59"/>
      <c r="B2726" s="63"/>
      <c r="C2726" s="61"/>
      <c r="D2726" s="62"/>
      <c r="E2726" s="157"/>
      <c r="F2726" s="137"/>
      <c r="G2726" s="217"/>
    </row>
    <row r="2727" spans="1:7" s="30" customFormat="1" ht="14.45">
      <c r="A2727" s="59"/>
      <c r="B2727" s="63"/>
      <c r="C2727" s="61"/>
      <c r="D2727" s="62"/>
      <c r="E2727" s="157"/>
      <c r="F2727" s="137"/>
      <c r="G2727" s="217"/>
    </row>
    <row r="2728" spans="1:7" s="30" customFormat="1" ht="14.45">
      <c r="A2728" s="59"/>
      <c r="B2728" s="63"/>
      <c r="C2728" s="61"/>
      <c r="D2728" s="62"/>
      <c r="E2728" s="157"/>
      <c r="F2728" s="137"/>
      <c r="G2728" s="217"/>
    </row>
    <row r="2729" spans="1:7" s="30" customFormat="1" ht="14.45">
      <c r="A2729" s="59"/>
      <c r="B2729" s="63"/>
      <c r="C2729" s="61"/>
      <c r="D2729" s="62"/>
      <c r="E2729" s="157"/>
      <c r="F2729" s="137"/>
      <c r="G2729" s="217"/>
    </row>
    <row r="2730" spans="1:7" s="30" customFormat="1" ht="14.45">
      <c r="A2730" s="59"/>
      <c r="B2730" s="63"/>
      <c r="C2730" s="61"/>
      <c r="D2730" s="62"/>
      <c r="E2730" s="157"/>
      <c r="F2730" s="137"/>
      <c r="G2730" s="217"/>
    </row>
    <row r="2731" spans="1:7" s="30" customFormat="1" ht="14.45">
      <c r="A2731" s="59"/>
      <c r="B2731" s="63"/>
      <c r="C2731" s="61"/>
      <c r="D2731" s="62"/>
      <c r="E2731" s="157"/>
      <c r="F2731" s="137"/>
      <c r="G2731" s="217"/>
    </row>
    <row r="2732" spans="1:7" s="30" customFormat="1" ht="14.45">
      <c r="A2732" s="59"/>
      <c r="B2732" s="63"/>
      <c r="C2732" s="61"/>
      <c r="D2732" s="62"/>
      <c r="E2732" s="157"/>
      <c r="F2732" s="137"/>
      <c r="G2732" s="217"/>
    </row>
    <row r="2733" spans="1:7" s="30" customFormat="1" ht="14.45">
      <c r="A2733" s="59"/>
      <c r="B2733" s="63"/>
      <c r="C2733" s="61"/>
      <c r="D2733" s="62"/>
      <c r="E2733" s="157"/>
      <c r="F2733" s="137"/>
      <c r="G2733" s="217"/>
    </row>
    <row r="2734" spans="1:7" s="30" customFormat="1" ht="14.45">
      <c r="A2734" s="59"/>
      <c r="B2734" s="63"/>
      <c r="C2734" s="61"/>
      <c r="D2734" s="62"/>
      <c r="E2734" s="157"/>
      <c r="F2734" s="137"/>
      <c r="G2734" s="217"/>
    </row>
    <row r="2735" spans="1:7" s="30" customFormat="1" ht="14.45">
      <c r="A2735" s="59"/>
      <c r="B2735" s="63"/>
      <c r="C2735" s="61"/>
      <c r="D2735" s="62"/>
      <c r="E2735" s="157"/>
      <c r="F2735" s="137"/>
      <c r="G2735" s="217"/>
    </row>
    <row r="2736" spans="1:7" s="30" customFormat="1" ht="14.45">
      <c r="A2736" s="59"/>
      <c r="B2736" s="63"/>
      <c r="C2736" s="61"/>
      <c r="D2736" s="62"/>
      <c r="E2736" s="157"/>
      <c r="F2736" s="137"/>
      <c r="G2736" s="217"/>
    </row>
    <row r="2737" spans="1:7" s="30" customFormat="1" ht="14.45">
      <c r="A2737" s="59"/>
      <c r="B2737" s="63"/>
      <c r="C2737" s="61"/>
      <c r="D2737" s="62"/>
      <c r="E2737" s="157"/>
      <c r="F2737" s="137"/>
      <c r="G2737" s="217"/>
    </row>
    <row r="2738" spans="1:7" s="30" customFormat="1" ht="14.45">
      <c r="A2738" s="59"/>
      <c r="B2738" s="63"/>
      <c r="C2738" s="61"/>
      <c r="D2738" s="62"/>
      <c r="E2738" s="157"/>
      <c r="F2738" s="137"/>
      <c r="G2738" s="217"/>
    </row>
    <row r="2739" spans="1:7" s="30" customFormat="1" ht="14.45">
      <c r="A2739" s="59"/>
      <c r="B2739" s="63"/>
      <c r="C2739" s="61"/>
      <c r="D2739" s="62"/>
      <c r="E2739" s="157"/>
      <c r="F2739" s="137"/>
      <c r="G2739" s="217"/>
    </row>
    <row r="2740" spans="1:7" s="30" customFormat="1" ht="14.45">
      <c r="A2740" s="59"/>
      <c r="B2740" s="63"/>
      <c r="C2740" s="61"/>
      <c r="D2740" s="62"/>
      <c r="E2740" s="157"/>
      <c r="F2740" s="137"/>
      <c r="G2740" s="217"/>
    </row>
    <row r="2741" spans="1:7" s="30" customFormat="1" ht="14.45">
      <c r="A2741" s="59"/>
      <c r="B2741" s="63"/>
      <c r="C2741" s="61"/>
      <c r="D2741" s="62"/>
      <c r="E2741" s="157"/>
      <c r="F2741" s="137"/>
      <c r="G2741" s="217"/>
    </row>
    <row r="2742" spans="1:7" s="30" customFormat="1" ht="14.45">
      <c r="A2742" s="59"/>
      <c r="B2742" s="63"/>
      <c r="C2742" s="61"/>
      <c r="D2742" s="62"/>
      <c r="E2742" s="157"/>
      <c r="F2742" s="137"/>
      <c r="G2742" s="217"/>
    </row>
    <row r="2743" spans="1:7" s="30" customFormat="1" ht="14.45">
      <c r="A2743" s="59"/>
      <c r="B2743" s="63"/>
      <c r="C2743" s="61"/>
      <c r="D2743" s="62"/>
      <c r="E2743" s="157"/>
      <c r="F2743" s="137"/>
      <c r="G2743" s="217"/>
    </row>
    <row r="2744" spans="1:7" s="30" customFormat="1" ht="14.45">
      <c r="A2744" s="59"/>
      <c r="B2744" s="63"/>
      <c r="C2744" s="61"/>
      <c r="D2744" s="62"/>
      <c r="E2744" s="157"/>
      <c r="F2744" s="137"/>
      <c r="G2744" s="217"/>
    </row>
    <row r="2745" spans="1:7" s="30" customFormat="1" ht="14.45">
      <c r="A2745" s="71"/>
      <c r="B2745" s="72"/>
      <c r="C2745" s="73"/>
      <c r="D2745" s="74"/>
      <c r="E2745" s="159"/>
      <c r="F2745" s="138"/>
      <c r="G2745" s="226"/>
    </row>
    <row r="2746" spans="1:7" s="30" customFormat="1" ht="14.45">
      <c r="A2746" s="75"/>
      <c r="B2746" s="76"/>
      <c r="C2746" s="77" t="s">
        <v>30</v>
      </c>
      <c r="D2746" s="77"/>
      <c r="E2746" s="160" t="s">
        <v>8</v>
      </c>
      <c r="F2746" s="139">
        <f>SUM(F2703:F2726)</f>
        <v>0</v>
      </c>
      <c r="G2746" s="227"/>
    </row>
    <row r="2747" spans="1:7" s="30" customFormat="1" ht="14.45">
      <c r="A2747" s="75"/>
      <c r="B2747" s="76"/>
      <c r="C2747" s="78"/>
      <c r="D2747" s="79"/>
      <c r="E2747" s="161"/>
      <c r="F2747" s="140"/>
      <c r="G2747" s="228"/>
    </row>
    <row r="2748" spans="1:7" s="30" customFormat="1" ht="14.45">
      <c r="A2748" s="59"/>
      <c r="B2748" s="63"/>
      <c r="C2748" s="61"/>
      <c r="D2748" s="62"/>
      <c r="E2748" s="157"/>
      <c r="F2748" s="137"/>
      <c r="G2748" s="217"/>
    </row>
    <row r="2749" spans="1:7" s="30" customFormat="1" ht="14.45">
      <c r="A2749" s="59"/>
      <c r="B2749" s="64" t="s">
        <v>203</v>
      </c>
      <c r="C2749" s="61"/>
      <c r="D2749" s="62"/>
      <c r="E2749" s="157"/>
      <c r="F2749" s="137"/>
      <c r="G2749" s="217"/>
    </row>
    <row r="2750" spans="1:7" s="30" customFormat="1" ht="14.45">
      <c r="A2750" s="59"/>
      <c r="B2750" s="103"/>
      <c r="C2750" s="61"/>
      <c r="D2750" s="62"/>
      <c r="E2750" s="157"/>
      <c r="F2750" s="137"/>
      <c r="G2750" s="217"/>
    </row>
    <row r="2751" spans="1:7" s="30" customFormat="1" ht="41.45">
      <c r="A2751" s="66" t="s">
        <v>14</v>
      </c>
      <c r="B2751" s="67" t="s">
        <v>3096</v>
      </c>
      <c r="C2751" s="68"/>
      <c r="D2751" s="69" t="s">
        <v>2</v>
      </c>
      <c r="E2751" s="157"/>
      <c r="F2751" s="137" t="s">
        <v>69</v>
      </c>
      <c r="G2751" s="217"/>
    </row>
    <row r="2752" spans="1:7" s="30" customFormat="1" ht="14.45">
      <c r="A2752" s="59"/>
      <c r="B2752" s="100"/>
      <c r="C2752" s="61"/>
      <c r="D2752" s="62"/>
      <c r="E2752" s="157"/>
      <c r="F2752" s="137"/>
      <c r="G2752" s="217"/>
    </row>
    <row r="2753" spans="1:7" s="30" customFormat="1" ht="27.6">
      <c r="A2753" s="66" t="s">
        <v>17</v>
      </c>
      <c r="B2753" s="67" t="s">
        <v>3097</v>
      </c>
      <c r="C2753" s="68"/>
      <c r="D2753" s="69" t="s">
        <v>2</v>
      </c>
      <c r="E2753" s="157"/>
      <c r="F2753" s="137" t="s">
        <v>69</v>
      </c>
      <c r="G2753" s="217"/>
    </row>
    <row r="2754" spans="1:7" s="30" customFormat="1" ht="14.45">
      <c r="A2754" s="59"/>
      <c r="B2754" s="100"/>
      <c r="C2754" s="61"/>
      <c r="D2754" s="62"/>
      <c r="E2754" s="157"/>
      <c r="F2754" s="137"/>
      <c r="G2754" s="217"/>
    </row>
    <row r="2755" spans="1:7" s="30" customFormat="1" ht="96.6">
      <c r="A2755" s="66" t="s">
        <v>20</v>
      </c>
      <c r="B2755" s="67" t="s">
        <v>1822</v>
      </c>
      <c r="C2755" s="68"/>
      <c r="D2755" s="69" t="s">
        <v>2</v>
      </c>
      <c r="E2755" s="157">
        <v>1579951.87</v>
      </c>
      <c r="F2755" s="137">
        <f>+E2755</f>
        <v>1579951.87</v>
      </c>
      <c r="G2755" s="217"/>
    </row>
    <row r="2756" spans="1:7" s="30" customFormat="1" ht="14.45">
      <c r="A2756" s="59"/>
      <c r="B2756" s="100"/>
      <c r="C2756" s="61"/>
      <c r="D2756" s="62"/>
      <c r="E2756" s="157"/>
      <c r="F2756" s="137"/>
      <c r="G2756" s="217"/>
    </row>
    <row r="2757" spans="1:7" s="30" customFormat="1" ht="69">
      <c r="A2757" s="66" t="s">
        <v>23</v>
      </c>
      <c r="B2757" s="67" t="s">
        <v>3098</v>
      </c>
      <c r="C2757" s="68"/>
      <c r="D2757" s="69" t="s">
        <v>2</v>
      </c>
      <c r="E2757" s="157"/>
      <c r="F2757" s="137" t="s">
        <v>69</v>
      </c>
      <c r="G2757" s="217"/>
    </row>
    <row r="2758" spans="1:7" s="30" customFormat="1" ht="14.45">
      <c r="A2758" s="59"/>
      <c r="B2758" s="100"/>
      <c r="C2758" s="61"/>
      <c r="D2758" s="62"/>
      <c r="E2758" s="157"/>
      <c r="F2758" s="137"/>
      <c r="G2758" s="217"/>
    </row>
    <row r="2759" spans="1:7" s="30" customFormat="1" ht="27.6">
      <c r="A2759" s="66" t="s">
        <v>27</v>
      </c>
      <c r="B2759" s="67" t="s">
        <v>3099</v>
      </c>
      <c r="C2759" s="68"/>
      <c r="D2759" s="69" t="s">
        <v>2</v>
      </c>
      <c r="E2759" s="157">
        <v>161856.5</v>
      </c>
      <c r="F2759" s="137">
        <f>+E2759</f>
        <v>161856.5</v>
      </c>
      <c r="G2759" s="217"/>
    </row>
    <row r="2760" spans="1:7" s="30" customFormat="1" ht="14.45">
      <c r="A2760" s="59"/>
      <c r="B2760" s="100"/>
      <c r="C2760" s="61"/>
      <c r="D2760" s="62"/>
      <c r="E2760" s="157"/>
      <c r="F2760" s="137"/>
      <c r="G2760" s="217"/>
    </row>
    <row r="2761" spans="1:7" s="30" customFormat="1" ht="55.15">
      <c r="A2761" s="66" t="s">
        <v>44</v>
      </c>
      <c r="B2761" s="67" t="s">
        <v>1825</v>
      </c>
      <c r="C2761" s="68"/>
      <c r="D2761" s="69" t="s">
        <v>2</v>
      </c>
      <c r="E2761" s="157"/>
      <c r="F2761" s="137" t="s">
        <v>69</v>
      </c>
      <c r="G2761" s="217"/>
    </row>
    <row r="2762" spans="1:7" s="30" customFormat="1" ht="14.45">
      <c r="A2762" s="59"/>
      <c r="B2762" s="100"/>
      <c r="C2762" s="61"/>
      <c r="D2762" s="62"/>
      <c r="E2762" s="157"/>
      <c r="F2762" s="137"/>
      <c r="G2762" s="217"/>
    </row>
    <row r="2763" spans="1:7" s="30" customFormat="1" ht="41.45">
      <c r="A2763" s="66" t="s">
        <v>48</v>
      </c>
      <c r="B2763" s="67" t="s">
        <v>3100</v>
      </c>
      <c r="C2763" s="68"/>
      <c r="D2763" s="69" t="s">
        <v>2</v>
      </c>
      <c r="E2763" s="157"/>
      <c r="F2763" s="137" t="s">
        <v>69</v>
      </c>
      <c r="G2763" s="217"/>
    </row>
    <row r="2764" spans="1:7" s="30" customFormat="1" ht="14.45">
      <c r="A2764" s="59"/>
      <c r="B2764" s="63"/>
      <c r="C2764" s="61"/>
      <c r="D2764" s="62"/>
      <c r="E2764" s="157"/>
      <c r="F2764" s="137"/>
      <c r="G2764" s="217"/>
    </row>
    <row r="2765" spans="1:7" s="30" customFormat="1" ht="14.45">
      <c r="A2765" s="59"/>
      <c r="B2765" s="63"/>
      <c r="C2765" s="61"/>
      <c r="D2765" s="62"/>
      <c r="E2765" s="157"/>
      <c r="F2765" s="137"/>
      <c r="G2765" s="217"/>
    </row>
    <row r="2766" spans="1:7" s="30" customFormat="1" ht="14.45">
      <c r="A2766" s="59"/>
      <c r="B2766" s="63"/>
      <c r="C2766" s="61"/>
      <c r="D2766" s="62"/>
      <c r="E2766" s="157"/>
      <c r="F2766" s="137"/>
      <c r="G2766" s="217"/>
    </row>
    <row r="2767" spans="1:7" s="30" customFormat="1" ht="14.45">
      <c r="A2767" s="59"/>
      <c r="B2767" s="63"/>
      <c r="C2767" s="61"/>
      <c r="D2767" s="62"/>
      <c r="E2767" s="157"/>
      <c r="F2767" s="137"/>
      <c r="G2767" s="217"/>
    </row>
    <row r="2768" spans="1:7" s="30" customFormat="1" ht="14.45">
      <c r="A2768" s="59"/>
      <c r="B2768" s="63"/>
      <c r="C2768" s="61"/>
      <c r="D2768" s="62"/>
      <c r="E2768" s="157"/>
      <c r="F2768" s="137"/>
      <c r="G2768" s="217"/>
    </row>
    <row r="2769" spans="1:7" s="30" customFormat="1" ht="14.45">
      <c r="A2769" s="59"/>
      <c r="B2769" s="63"/>
      <c r="C2769" s="61"/>
      <c r="D2769" s="62"/>
      <c r="E2769" s="157"/>
      <c r="F2769" s="137"/>
      <c r="G2769" s="217"/>
    </row>
    <row r="2770" spans="1:7" s="30" customFormat="1" ht="14.45">
      <c r="A2770" s="59"/>
      <c r="B2770" s="63"/>
      <c r="C2770" s="61"/>
      <c r="D2770" s="62"/>
      <c r="E2770" s="157"/>
      <c r="F2770" s="137"/>
      <c r="G2770" s="217"/>
    </row>
    <row r="2771" spans="1:7" s="30" customFormat="1" ht="14.45">
      <c r="A2771" s="59"/>
      <c r="B2771" s="63"/>
      <c r="C2771" s="61"/>
      <c r="D2771" s="62"/>
      <c r="E2771" s="157"/>
      <c r="F2771" s="137"/>
      <c r="G2771" s="217"/>
    </row>
    <row r="2772" spans="1:7" s="30" customFormat="1" ht="14.45">
      <c r="A2772" s="59"/>
      <c r="B2772" s="63"/>
      <c r="C2772" s="61"/>
      <c r="D2772" s="62"/>
      <c r="E2772" s="157"/>
      <c r="F2772" s="137"/>
      <c r="G2772" s="217"/>
    </row>
    <row r="2773" spans="1:7" s="30" customFormat="1" ht="14.45">
      <c r="A2773" s="59"/>
      <c r="B2773" s="63"/>
      <c r="C2773" s="61"/>
      <c r="D2773" s="62"/>
      <c r="E2773" s="157"/>
      <c r="F2773" s="137"/>
      <c r="G2773" s="217"/>
    </row>
    <row r="2774" spans="1:7" s="30" customFormat="1" ht="14.45">
      <c r="A2774" s="71"/>
      <c r="B2774" s="72"/>
      <c r="C2774" s="73"/>
      <c r="D2774" s="74"/>
      <c r="E2774" s="159"/>
      <c r="F2774" s="138"/>
      <c r="G2774" s="226"/>
    </row>
    <row r="2775" spans="1:7" s="30" customFormat="1" ht="14.45">
      <c r="A2775" s="75"/>
      <c r="B2775" s="76"/>
      <c r="C2775" s="77" t="s">
        <v>30</v>
      </c>
      <c r="D2775" s="77"/>
      <c r="E2775" s="160" t="s">
        <v>8</v>
      </c>
      <c r="F2775" s="139">
        <f>SUM(F2751:F2768)</f>
        <v>1741808.37</v>
      </c>
      <c r="G2775" s="227"/>
    </row>
    <row r="2776" spans="1:7" s="30" customFormat="1" ht="14.45">
      <c r="A2776" s="75"/>
      <c r="B2776" s="76"/>
      <c r="C2776" s="78"/>
      <c r="D2776" s="79"/>
      <c r="E2776" s="161"/>
      <c r="F2776" s="140"/>
      <c r="G2776" s="228"/>
    </row>
    <row r="2777" spans="1:7" s="30" customFormat="1" ht="14.45">
      <c r="A2777" s="59"/>
      <c r="B2777" s="63"/>
      <c r="C2777" s="61"/>
      <c r="D2777" s="62"/>
      <c r="E2777" s="157"/>
      <c r="F2777" s="137"/>
      <c r="G2777" s="217"/>
    </row>
    <row r="2778" spans="1:7" s="30" customFormat="1" ht="14.45">
      <c r="A2778" s="59"/>
      <c r="B2778" s="64" t="s">
        <v>3101</v>
      </c>
      <c r="C2778" s="61"/>
      <c r="D2778" s="62"/>
      <c r="E2778" s="157"/>
      <c r="F2778" s="137"/>
      <c r="G2778" s="217"/>
    </row>
    <row r="2779" spans="1:7" s="30" customFormat="1" ht="14.45">
      <c r="A2779" s="59"/>
      <c r="B2779" s="100"/>
      <c r="C2779" s="61"/>
      <c r="D2779" s="62"/>
      <c r="E2779" s="157"/>
      <c r="F2779" s="137"/>
      <c r="G2779" s="217"/>
    </row>
    <row r="2780" spans="1:7" s="30" customFormat="1" ht="27.6">
      <c r="A2780" s="66"/>
      <c r="B2780" s="98" t="s">
        <v>3102</v>
      </c>
      <c r="C2780" s="68"/>
      <c r="D2780" s="69"/>
      <c r="E2780" s="157"/>
      <c r="F2780" s="137"/>
      <c r="G2780" s="217"/>
    </row>
    <row r="2781" spans="1:7" s="30" customFormat="1" ht="14.45">
      <c r="A2781" s="59"/>
      <c r="B2781" s="100"/>
      <c r="C2781" s="61"/>
      <c r="D2781" s="62"/>
      <c r="E2781" s="157"/>
      <c r="F2781" s="137"/>
      <c r="G2781" s="217"/>
    </row>
    <row r="2782" spans="1:7" s="30" customFormat="1" ht="27.6">
      <c r="A2782" s="66" t="s">
        <v>14</v>
      </c>
      <c r="B2782" s="67" t="s">
        <v>1832</v>
      </c>
      <c r="C2782" s="68"/>
      <c r="D2782" s="69" t="s">
        <v>2</v>
      </c>
      <c r="E2782" s="157"/>
      <c r="F2782" s="137" t="s">
        <v>69</v>
      </c>
      <c r="G2782" s="217"/>
    </row>
    <row r="2783" spans="1:7" s="30" customFormat="1" ht="14.45">
      <c r="A2783" s="59"/>
      <c r="B2783" s="100"/>
      <c r="C2783" s="61"/>
      <c r="D2783" s="62"/>
      <c r="E2783" s="157"/>
      <c r="F2783" s="137"/>
      <c r="G2783" s="217"/>
    </row>
    <row r="2784" spans="1:7" s="30" customFormat="1" ht="41.45">
      <c r="A2784" s="66" t="s">
        <v>17</v>
      </c>
      <c r="B2784" s="67" t="s">
        <v>3103</v>
      </c>
      <c r="C2784" s="68"/>
      <c r="D2784" s="69" t="s">
        <v>2</v>
      </c>
      <c r="E2784" s="157"/>
      <c r="F2784" s="137" t="s">
        <v>69</v>
      </c>
      <c r="G2784" s="217"/>
    </row>
    <row r="2785" spans="1:7" s="30" customFormat="1" ht="14.45">
      <c r="A2785" s="59"/>
      <c r="B2785" s="100"/>
      <c r="C2785" s="61"/>
      <c r="D2785" s="62"/>
      <c r="E2785" s="157"/>
      <c r="F2785" s="137"/>
      <c r="G2785" s="217"/>
    </row>
    <row r="2786" spans="1:7" s="30" customFormat="1" ht="41.45">
      <c r="A2786" s="66" t="s">
        <v>20</v>
      </c>
      <c r="B2786" s="67" t="s">
        <v>3104</v>
      </c>
      <c r="C2786" s="68"/>
      <c r="D2786" s="69" t="s">
        <v>2</v>
      </c>
      <c r="E2786" s="157"/>
      <c r="F2786" s="137" t="s">
        <v>69</v>
      </c>
      <c r="G2786" s="217"/>
    </row>
    <row r="2787" spans="1:7" s="30" customFormat="1" ht="14.45">
      <c r="A2787" s="59"/>
      <c r="B2787" s="100"/>
      <c r="C2787" s="61"/>
      <c r="D2787" s="62"/>
      <c r="E2787" s="157"/>
      <c r="F2787" s="137"/>
      <c r="G2787" s="217"/>
    </row>
    <row r="2788" spans="1:7" s="30" customFormat="1" ht="41.45">
      <c r="A2788" s="66" t="s">
        <v>23</v>
      </c>
      <c r="B2788" s="67" t="s">
        <v>1834</v>
      </c>
      <c r="C2788" s="68"/>
      <c r="D2788" s="69" t="s">
        <v>2</v>
      </c>
      <c r="E2788" s="157"/>
      <c r="F2788" s="137" t="s">
        <v>69</v>
      </c>
      <c r="G2788" s="217"/>
    </row>
    <row r="2789" spans="1:7" s="30" customFormat="1" ht="14.45">
      <c r="A2789" s="59"/>
      <c r="B2789" s="100"/>
      <c r="C2789" s="61"/>
      <c r="D2789" s="62"/>
      <c r="E2789" s="157"/>
      <c r="F2789" s="137"/>
      <c r="G2789" s="217"/>
    </row>
    <row r="2790" spans="1:7" s="30" customFormat="1" ht="55.15">
      <c r="A2790" s="66" t="s">
        <v>27</v>
      </c>
      <c r="B2790" s="67" t="s">
        <v>3105</v>
      </c>
      <c r="C2790" s="68"/>
      <c r="D2790" s="69" t="s">
        <v>2</v>
      </c>
      <c r="E2790" s="157"/>
      <c r="F2790" s="137" t="s">
        <v>69</v>
      </c>
      <c r="G2790" s="217"/>
    </row>
    <row r="2791" spans="1:7" s="30" customFormat="1" ht="14.45">
      <c r="A2791" s="59"/>
      <c r="B2791" s="100"/>
      <c r="C2791" s="61"/>
      <c r="D2791" s="62"/>
      <c r="E2791" s="157"/>
      <c r="F2791" s="137"/>
      <c r="G2791" s="217"/>
    </row>
    <row r="2792" spans="1:7" s="30" customFormat="1" ht="55.15">
      <c r="A2792" s="66" t="s">
        <v>44</v>
      </c>
      <c r="B2792" s="67" t="s">
        <v>3106</v>
      </c>
      <c r="C2792" s="68"/>
      <c r="D2792" s="69" t="s">
        <v>2</v>
      </c>
      <c r="E2792" s="157">
        <v>583787.9</v>
      </c>
      <c r="F2792" s="137">
        <f>+E2792</f>
        <v>583787.9</v>
      </c>
      <c r="G2792" s="217"/>
    </row>
    <row r="2793" spans="1:7" s="30" customFormat="1" ht="14.45">
      <c r="A2793" s="59"/>
      <c r="B2793" s="100"/>
      <c r="C2793" s="61"/>
      <c r="D2793" s="62"/>
      <c r="E2793" s="157"/>
      <c r="F2793" s="137"/>
      <c r="G2793" s="217"/>
    </row>
    <row r="2794" spans="1:7" s="30" customFormat="1" ht="41.45">
      <c r="A2794" s="66" t="s">
        <v>48</v>
      </c>
      <c r="B2794" s="67" t="s">
        <v>3107</v>
      </c>
      <c r="C2794" s="68"/>
      <c r="D2794" s="69" t="s">
        <v>2</v>
      </c>
      <c r="E2794" s="157"/>
      <c r="F2794" s="137" t="s">
        <v>69</v>
      </c>
      <c r="G2794" s="217"/>
    </row>
    <row r="2795" spans="1:7" s="30" customFormat="1" ht="14.45">
      <c r="A2795" s="59"/>
      <c r="B2795" s="100"/>
      <c r="C2795" s="61"/>
      <c r="D2795" s="62"/>
      <c r="E2795" s="157"/>
      <c r="F2795" s="137"/>
      <c r="G2795" s="217"/>
    </row>
    <row r="2796" spans="1:7" s="30" customFormat="1" ht="55.15">
      <c r="A2796" s="66" t="s">
        <v>84</v>
      </c>
      <c r="B2796" s="67" t="s">
        <v>3108</v>
      </c>
      <c r="C2796" s="68"/>
      <c r="D2796" s="69" t="s">
        <v>2</v>
      </c>
      <c r="E2796" s="157"/>
      <c r="F2796" s="137" t="s">
        <v>69</v>
      </c>
      <c r="G2796" s="217"/>
    </row>
    <row r="2797" spans="1:7" s="30" customFormat="1" ht="14.45">
      <c r="A2797" s="59"/>
      <c r="B2797" s="100"/>
      <c r="C2797" s="61"/>
      <c r="D2797" s="62"/>
      <c r="E2797" s="157"/>
      <c r="F2797" s="137"/>
      <c r="G2797" s="217"/>
    </row>
    <row r="2798" spans="1:7" s="30" customFormat="1" ht="55.15">
      <c r="A2798" s="66" t="s">
        <v>86</v>
      </c>
      <c r="B2798" s="67" t="s">
        <v>3109</v>
      </c>
      <c r="C2798" s="68"/>
      <c r="D2798" s="69" t="s">
        <v>2</v>
      </c>
      <c r="E2798" s="157"/>
      <c r="F2798" s="137" t="s">
        <v>69</v>
      </c>
      <c r="G2798" s="217"/>
    </row>
    <row r="2799" spans="1:7" s="30" customFormat="1" ht="14.45">
      <c r="A2799" s="59"/>
      <c r="B2799" s="63"/>
      <c r="C2799" s="61"/>
      <c r="D2799" s="62"/>
      <c r="E2799" s="157"/>
      <c r="F2799" s="137"/>
      <c r="G2799" s="217"/>
    </row>
    <row r="2800" spans="1:7" s="30" customFormat="1" ht="14.45">
      <c r="A2800" s="59"/>
      <c r="B2800" s="63"/>
      <c r="C2800" s="61"/>
      <c r="D2800" s="62"/>
      <c r="E2800" s="157"/>
      <c r="F2800" s="137"/>
      <c r="G2800" s="217"/>
    </row>
    <row r="2801" spans="1:7" s="30" customFormat="1" ht="14.45">
      <c r="A2801" s="71"/>
      <c r="B2801" s="72"/>
      <c r="C2801" s="73"/>
      <c r="D2801" s="74"/>
      <c r="E2801" s="159"/>
      <c r="F2801" s="138"/>
      <c r="G2801" s="226"/>
    </row>
    <row r="2802" spans="1:7" s="30" customFormat="1" ht="14.45">
      <c r="A2802" s="75"/>
      <c r="B2802" s="76"/>
      <c r="C2802" s="77" t="s">
        <v>30</v>
      </c>
      <c r="D2802" s="77"/>
      <c r="E2802" s="160" t="s">
        <v>8</v>
      </c>
      <c r="F2802" s="139">
        <f>SUM(F2780:F2799)</f>
        <v>583787.9</v>
      </c>
      <c r="G2802" s="227"/>
    </row>
    <row r="2803" spans="1:7" s="30" customFormat="1" ht="14.45">
      <c r="A2803" s="75"/>
      <c r="B2803" s="76"/>
      <c r="C2803" s="78"/>
      <c r="D2803" s="79"/>
      <c r="E2803" s="161"/>
      <c r="F2803" s="140"/>
      <c r="G2803" s="228"/>
    </row>
    <row r="2804" spans="1:7" s="30" customFormat="1" ht="14.45">
      <c r="A2804" s="59"/>
      <c r="B2804" s="63"/>
      <c r="C2804" s="61"/>
      <c r="D2804" s="62"/>
      <c r="E2804" s="157"/>
      <c r="F2804" s="137"/>
      <c r="G2804" s="217"/>
    </row>
    <row r="2805" spans="1:7" s="30" customFormat="1" ht="14.45">
      <c r="A2805" s="59"/>
      <c r="B2805" s="64" t="s">
        <v>3110</v>
      </c>
      <c r="C2805" s="61"/>
      <c r="D2805" s="62"/>
      <c r="E2805" s="157"/>
      <c r="F2805" s="137"/>
      <c r="G2805" s="217"/>
    </row>
    <row r="2806" spans="1:7" s="30" customFormat="1" ht="14.45">
      <c r="A2806" s="59"/>
      <c r="B2806" s="100"/>
      <c r="C2806" s="61"/>
      <c r="D2806" s="62"/>
      <c r="E2806" s="157"/>
      <c r="F2806" s="137"/>
      <c r="G2806" s="217"/>
    </row>
    <row r="2807" spans="1:7" s="30" customFormat="1" ht="41.45">
      <c r="A2807" s="66" t="s">
        <v>14</v>
      </c>
      <c r="B2807" s="67" t="s">
        <v>3111</v>
      </c>
      <c r="C2807" s="68"/>
      <c r="D2807" s="69" t="s">
        <v>2</v>
      </c>
      <c r="E2807" s="157"/>
      <c r="F2807" s="137" t="s">
        <v>69</v>
      </c>
      <c r="G2807" s="217"/>
    </row>
    <row r="2808" spans="1:7" s="30" customFormat="1" ht="14.45">
      <c r="A2808" s="59"/>
      <c r="B2808" s="100"/>
      <c r="C2808" s="61"/>
      <c r="D2808" s="62"/>
      <c r="E2808" s="157"/>
      <c r="F2808" s="137"/>
      <c r="G2808" s="217"/>
    </row>
    <row r="2809" spans="1:7" s="30" customFormat="1" ht="41.45">
      <c r="A2809" s="66" t="s">
        <v>17</v>
      </c>
      <c r="B2809" s="67" t="s">
        <v>3112</v>
      </c>
      <c r="C2809" s="68"/>
      <c r="D2809" s="69" t="s">
        <v>2</v>
      </c>
      <c r="E2809" s="157"/>
      <c r="F2809" s="137" t="s">
        <v>69</v>
      </c>
      <c r="G2809" s="217"/>
    </row>
    <row r="2810" spans="1:7" s="30" customFormat="1" ht="14.45">
      <c r="A2810" s="59"/>
      <c r="B2810" s="100"/>
      <c r="C2810" s="61"/>
      <c r="D2810" s="62"/>
      <c r="E2810" s="157"/>
      <c r="F2810" s="137"/>
      <c r="G2810" s="217"/>
    </row>
    <row r="2811" spans="1:7" s="30" customFormat="1" ht="27.6">
      <c r="A2811" s="66"/>
      <c r="B2811" s="98" t="s">
        <v>3113</v>
      </c>
      <c r="C2811" s="68"/>
      <c r="D2811" s="69"/>
      <c r="E2811" s="157"/>
      <c r="F2811" s="137"/>
      <c r="G2811" s="217"/>
    </row>
    <row r="2812" spans="1:7" s="30" customFormat="1" ht="14.45">
      <c r="A2812" s="59"/>
      <c r="B2812" s="100"/>
      <c r="C2812" s="61"/>
      <c r="D2812" s="62"/>
      <c r="E2812" s="157"/>
      <c r="F2812" s="137"/>
      <c r="G2812" s="217"/>
    </row>
    <row r="2813" spans="1:7" s="30" customFormat="1" ht="41.45">
      <c r="A2813" s="66" t="s">
        <v>20</v>
      </c>
      <c r="B2813" s="67" t="s">
        <v>3114</v>
      </c>
      <c r="C2813" s="68"/>
      <c r="D2813" s="69" t="s">
        <v>2</v>
      </c>
      <c r="E2813" s="157">
        <v>1887726.57</v>
      </c>
      <c r="F2813" s="137">
        <f>+E2813</f>
        <v>1887726.57</v>
      </c>
      <c r="G2813" s="217"/>
    </row>
    <row r="2814" spans="1:7" s="30" customFormat="1" ht="14.45">
      <c r="A2814" s="59"/>
      <c r="B2814" s="63"/>
      <c r="C2814" s="61"/>
      <c r="D2814" s="62"/>
      <c r="E2814" s="157"/>
      <c r="F2814" s="137"/>
      <c r="G2814" s="217"/>
    </row>
    <row r="2815" spans="1:7" s="30" customFormat="1" ht="14.45">
      <c r="A2815" s="59"/>
      <c r="B2815" s="63"/>
      <c r="C2815" s="61"/>
      <c r="D2815" s="62"/>
      <c r="E2815" s="157"/>
      <c r="F2815" s="137"/>
      <c r="G2815" s="217"/>
    </row>
    <row r="2816" spans="1:7" s="30" customFormat="1" ht="14.45">
      <c r="A2816" s="59"/>
      <c r="B2816" s="63"/>
      <c r="C2816" s="61"/>
      <c r="D2816" s="62"/>
      <c r="E2816" s="157"/>
      <c r="F2816" s="137"/>
      <c r="G2816" s="217"/>
    </row>
    <row r="2817" spans="1:7" s="30" customFormat="1" ht="14.45">
      <c r="A2817" s="59"/>
      <c r="B2817" s="63"/>
      <c r="C2817" s="61"/>
      <c r="D2817" s="62"/>
      <c r="E2817" s="157"/>
      <c r="F2817" s="137"/>
      <c r="G2817" s="217"/>
    </row>
    <row r="2818" spans="1:7" s="30" customFormat="1" ht="14.45">
      <c r="A2818" s="59"/>
      <c r="B2818" s="63"/>
      <c r="C2818" s="61"/>
      <c r="D2818" s="62"/>
      <c r="E2818" s="157"/>
      <c r="F2818" s="137"/>
      <c r="G2818" s="217"/>
    </row>
    <row r="2819" spans="1:7" s="30" customFormat="1" ht="14.45">
      <c r="A2819" s="59"/>
      <c r="B2819" s="63"/>
      <c r="C2819" s="61"/>
      <c r="D2819" s="62"/>
      <c r="E2819" s="157"/>
      <c r="F2819" s="137"/>
      <c r="G2819" s="217"/>
    </row>
    <row r="2820" spans="1:7" s="30" customFormat="1" ht="14.45">
      <c r="A2820" s="59"/>
      <c r="B2820" s="63"/>
      <c r="C2820" s="61"/>
      <c r="D2820" s="62"/>
      <c r="E2820" s="157"/>
      <c r="F2820" s="137"/>
      <c r="G2820" s="217"/>
    </row>
    <row r="2821" spans="1:7" s="30" customFormat="1" ht="14.45">
      <c r="A2821" s="59"/>
      <c r="B2821" s="63"/>
      <c r="C2821" s="61"/>
      <c r="D2821" s="62"/>
      <c r="E2821" s="157"/>
      <c r="F2821" s="137"/>
      <c r="G2821" s="217"/>
    </row>
    <row r="2822" spans="1:7" s="30" customFormat="1" ht="14.45">
      <c r="A2822" s="59"/>
      <c r="B2822" s="63"/>
      <c r="C2822" s="61"/>
      <c r="D2822" s="62"/>
      <c r="E2822" s="157"/>
      <c r="F2822" s="137"/>
      <c r="G2822" s="217"/>
    </row>
    <row r="2823" spans="1:7" s="30" customFormat="1" ht="14.45">
      <c r="A2823" s="59"/>
      <c r="B2823" s="63"/>
      <c r="C2823" s="61"/>
      <c r="D2823" s="62"/>
      <c r="E2823" s="157"/>
      <c r="F2823" s="137"/>
      <c r="G2823" s="217"/>
    </row>
    <row r="2824" spans="1:7" s="30" customFormat="1" ht="14.45">
      <c r="A2824" s="59"/>
      <c r="B2824" s="63"/>
      <c r="C2824" s="61"/>
      <c r="D2824" s="62"/>
      <c r="E2824" s="157"/>
      <c r="F2824" s="137"/>
      <c r="G2824" s="217"/>
    </row>
    <row r="2825" spans="1:7" s="30" customFormat="1" ht="14.45">
      <c r="A2825" s="59"/>
      <c r="B2825" s="63"/>
      <c r="C2825" s="61"/>
      <c r="D2825" s="62"/>
      <c r="E2825" s="157"/>
      <c r="F2825" s="137"/>
      <c r="G2825" s="217"/>
    </row>
    <row r="2826" spans="1:7" s="30" customFormat="1" ht="14.45">
      <c r="A2826" s="59"/>
      <c r="B2826" s="63"/>
      <c r="C2826" s="61"/>
      <c r="D2826" s="62"/>
      <c r="E2826" s="157"/>
      <c r="F2826" s="137"/>
      <c r="G2826" s="217"/>
    </row>
    <row r="2827" spans="1:7" s="30" customFormat="1" ht="14.45">
      <c r="A2827" s="59"/>
      <c r="B2827" s="63"/>
      <c r="C2827" s="61"/>
      <c r="D2827" s="62"/>
      <c r="E2827" s="157"/>
      <c r="F2827" s="137"/>
      <c r="G2827" s="217"/>
    </row>
    <row r="2828" spans="1:7" s="30" customFormat="1" ht="14.45">
      <c r="A2828" s="59"/>
      <c r="B2828" s="63"/>
      <c r="C2828" s="61"/>
      <c r="D2828" s="62"/>
      <c r="E2828" s="157"/>
      <c r="F2828" s="137"/>
      <c r="G2828" s="217"/>
    </row>
    <row r="2829" spans="1:7" s="30" customFormat="1" ht="14.45">
      <c r="A2829" s="59"/>
      <c r="B2829" s="63"/>
      <c r="C2829" s="61"/>
      <c r="D2829" s="62"/>
      <c r="E2829" s="157"/>
      <c r="F2829" s="137"/>
      <c r="G2829" s="217"/>
    </row>
    <row r="2830" spans="1:7" s="30" customFormat="1" ht="14.45">
      <c r="A2830" s="59"/>
      <c r="B2830" s="63"/>
      <c r="C2830" s="61"/>
      <c r="D2830" s="62"/>
      <c r="E2830" s="157"/>
      <c r="F2830" s="137"/>
      <c r="G2830" s="217"/>
    </row>
    <row r="2831" spans="1:7" s="30" customFormat="1" ht="14.45">
      <c r="A2831" s="59"/>
      <c r="B2831" s="63"/>
      <c r="C2831" s="61"/>
      <c r="D2831" s="62"/>
      <c r="E2831" s="157"/>
      <c r="F2831" s="137"/>
      <c r="G2831" s="217"/>
    </row>
    <row r="2832" spans="1:7" s="30" customFormat="1" ht="14.45">
      <c r="A2832" s="59"/>
      <c r="B2832" s="63"/>
      <c r="C2832" s="61"/>
      <c r="D2832" s="62"/>
      <c r="E2832" s="157"/>
      <c r="F2832" s="137"/>
      <c r="G2832" s="217"/>
    </row>
    <row r="2833" spans="1:7" s="30" customFormat="1" ht="14.45">
      <c r="A2833" s="59"/>
      <c r="B2833" s="63"/>
      <c r="C2833" s="61"/>
      <c r="D2833" s="62"/>
      <c r="E2833" s="157"/>
      <c r="F2833" s="137"/>
      <c r="G2833" s="217"/>
    </row>
    <row r="2834" spans="1:7" s="30" customFormat="1" ht="14.45">
      <c r="A2834" s="59"/>
      <c r="B2834" s="63"/>
      <c r="C2834" s="61"/>
      <c r="D2834" s="62"/>
      <c r="E2834" s="157"/>
      <c r="F2834" s="137"/>
      <c r="G2834" s="217"/>
    </row>
    <row r="2835" spans="1:7" s="30" customFormat="1" ht="14.45">
      <c r="A2835" s="59"/>
      <c r="B2835" s="63"/>
      <c r="C2835" s="61"/>
      <c r="D2835" s="62"/>
      <c r="E2835" s="157"/>
      <c r="F2835" s="137"/>
      <c r="G2835" s="217"/>
    </row>
    <row r="2836" spans="1:7" s="30" customFormat="1" ht="14.45">
      <c r="A2836" s="59"/>
      <c r="B2836" s="63"/>
      <c r="C2836" s="61"/>
      <c r="D2836" s="62"/>
      <c r="E2836" s="157"/>
      <c r="F2836" s="137"/>
      <c r="G2836" s="217"/>
    </row>
    <row r="2837" spans="1:7" s="30" customFormat="1" ht="14.45">
      <c r="A2837" s="59"/>
      <c r="B2837" s="63"/>
      <c r="C2837" s="61"/>
      <c r="D2837" s="62"/>
      <c r="E2837" s="157"/>
      <c r="F2837" s="137"/>
      <c r="G2837" s="217"/>
    </row>
    <row r="2838" spans="1:7" s="30" customFormat="1" ht="14.45">
      <c r="A2838" s="59"/>
      <c r="B2838" s="63"/>
      <c r="C2838" s="61"/>
      <c r="D2838" s="62"/>
      <c r="E2838" s="157"/>
      <c r="F2838" s="137"/>
      <c r="G2838" s="217"/>
    </row>
    <row r="2839" spans="1:7" s="30" customFormat="1" ht="14.45">
      <c r="A2839" s="59"/>
      <c r="B2839" s="63"/>
      <c r="C2839" s="61"/>
      <c r="D2839" s="62"/>
      <c r="E2839" s="157"/>
      <c r="F2839" s="137"/>
      <c r="G2839" s="217"/>
    </row>
    <row r="2840" spans="1:7" s="30" customFormat="1" ht="14.45">
      <c r="A2840" s="59"/>
      <c r="B2840" s="63"/>
      <c r="C2840" s="61"/>
      <c r="D2840" s="62"/>
      <c r="E2840" s="157"/>
      <c r="F2840" s="137"/>
      <c r="G2840" s="217"/>
    </row>
    <row r="2841" spans="1:7" s="30" customFormat="1" ht="14.45">
      <c r="A2841" s="59"/>
      <c r="B2841" s="63"/>
      <c r="C2841" s="61"/>
      <c r="D2841" s="62"/>
      <c r="E2841" s="157"/>
      <c r="F2841" s="137"/>
      <c r="G2841" s="217"/>
    </row>
    <row r="2842" spans="1:7" s="30" customFormat="1" ht="14.45">
      <c r="A2842" s="59"/>
      <c r="B2842" s="63"/>
      <c r="C2842" s="61"/>
      <c r="D2842" s="62"/>
      <c r="E2842" s="157"/>
      <c r="F2842" s="137"/>
      <c r="G2842" s="217"/>
    </row>
    <row r="2843" spans="1:7" s="30" customFormat="1" ht="14.45">
      <c r="A2843" s="71"/>
      <c r="B2843" s="72"/>
      <c r="C2843" s="73"/>
      <c r="D2843" s="74"/>
      <c r="E2843" s="159"/>
      <c r="F2843" s="138"/>
      <c r="G2843" s="226"/>
    </row>
    <row r="2844" spans="1:7" s="30" customFormat="1" ht="14.45">
      <c r="A2844" s="75"/>
      <c r="B2844" s="76"/>
      <c r="C2844" s="77" t="s">
        <v>30</v>
      </c>
      <c r="D2844" s="77"/>
      <c r="E2844" s="160" t="s">
        <v>8</v>
      </c>
      <c r="F2844" s="139">
        <f>SUM(F2807:F2820)</f>
        <v>1887726.57</v>
      </c>
      <c r="G2844" s="227"/>
    </row>
    <row r="2845" spans="1:7" s="30" customFormat="1" ht="14.45">
      <c r="A2845" s="75"/>
      <c r="B2845" s="76"/>
      <c r="C2845" s="78"/>
      <c r="D2845" s="79"/>
      <c r="E2845" s="161"/>
      <c r="F2845" s="140"/>
      <c r="G2845" s="228"/>
    </row>
    <row r="2846" spans="1:7" s="30" customFormat="1" ht="14.45">
      <c r="A2846" s="59"/>
      <c r="B2846" s="63"/>
      <c r="C2846" s="61"/>
      <c r="D2846" s="62"/>
      <c r="E2846" s="157"/>
      <c r="F2846" s="137"/>
      <c r="G2846" s="217"/>
    </row>
    <row r="2847" spans="1:7" s="30" customFormat="1" ht="14.45">
      <c r="A2847" s="59"/>
      <c r="B2847" s="64" t="s">
        <v>105</v>
      </c>
      <c r="C2847" s="61"/>
      <c r="D2847" s="62"/>
      <c r="E2847" s="157"/>
      <c r="F2847" s="137"/>
      <c r="G2847" s="217"/>
    </row>
    <row r="2848" spans="1:7" s="30" customFormat="1" ht="14.45">
      <c r="A2848" s="59"/>
      <c r="B2848" s="65"/>
      <c r="C2848" s="61"/>
      <c r="D2848" s="62"/>
      <c r="E2848" s="157"/>
      <c r="F2848" s="137"/>
      <c r="G2848" s="217"/>
    </row>
    <row r="2849" spans="1:7" s="30" customFormat="1" ht="69">
      <c r="A2849" s="66" t="s">
        <v>14</v>
      </c>
      <c r="B2849" s="67" t="s">
        <v>3115</v>
      </c>
      <c r="C2849" s="68"/>
      <c r="D2849" s="69" t="s">
        <v>2</v>
      </c>
      <c r="E2849" s="157"/>
      <c r="F2849" s="137">
        <f t="shared" ref="F2849" si="636">C2849*E2849</f>
        <v>0</v>
      </c>
      <c r="G2849" s="217"/>
    </row>
    <row r="2850" spans="1:7" s="30" customFormat="1" ht="14.45">
      <c r="A2850" s="59"/>
      <c r="B2850" s="63"/>
      <c r="C2850" s="61"/>
      <c r="D2850" s="62"/>
      <c r="E2850" s="157"/>
      <c r="F2850" s="137"/>
      <c r="G2850" s="217"/>
    </row>
    <row r="2851" spans="1:7" s="30" customFormat="1" ht="14.45">
      <c r="A2851" s="45" t="s">
        <v>210</v>
      </c>
      <c r="B2851" s="48" t="s">
        <v>3116</v>
      </c>
      <c r="C2851" s="46"/>
      <c r="D2851" s="47"/>
      <c r="E2851" s="157"/>
      <c r="F2851" s="137"/>
      <c r="G2851" s="217"/>
    </row>
    <row r="2852" spans="1:7" s="30" customFormat="1" ht="14.45">
      <c r="A2852" s="45"/>
      <c r="B2852" s="146"/>
      <c r="C2852" s="46"/>
      <c r="D2852" s="47"/>
      <c r="E2852" s="157"/>
      <c r="F2852" s="137"/>
      <c r="G2852" s="217"/>
    </row>
    <row r="2853" spans="1:7" s="30" customFormat="1" ht="14.45">
      <c r="A2853" s="147" t="s">
        <v>14</v>
      </c>
      <c r="B2853" s="146" t="s">
        <v>3117</v>
      </c>
      <c r="C2853" s="46">
        <v>1</v>
      </c>
      <c r="D2853" s="47" t="s">
        <v>2</v>
      </c>
      <c r="E2853" s="157">
        <v>1056606.1399999999</v>
      </c>
      <c r="F2853" s="137">
        <f>+C2853*E2853</f>
        <v>1056606.1399999999</v>
      </c>
      <c r="G2853" s="217" t="s">
        <v>2377</v>
      </c>
    </row>
    <row r="2854" spans="1:7" s="30" customFormat="1" ht="14.45">
      <c r="A2854" s="45"/>
      <c r="B2854" s="146"/>
      <c r="C2854" s="46"/>
      <c r="D2854" s="47"/>
      <c r="E2854" s="157"/>
      <c r="F2854" s="137"/>
      <c r="G2854" s="217"/>
    </row>
    <row r="2855" spans="1:7" s="30" customFormat="1" ht="14.45">
      <c r="A2855" s="147" t="s">
        <v>17</v>
      </c>
      <c r="B2855" s="146" t="s">
        <v>3118</v>
      </c>
      <c r="C2855" s="46">
        <v>1</v>
      </c>
      <c r="D2855" s="47" t="s">
        <v>2</v>
      </c>
      <c r="E2855" s="157">
        <v>2362631.83</v>
      </c>
      <c r="F2855" s="137">
        <f>+C2855*E2855</f>
        <v>2362631.83</v>
      </c>
      <c r="G2855" s="217" t="s">
        <v>2916</v>
      </c>
    </row>
    <row r="2856" spans="1:7" s="30" customFormat="1" ht="14.45">
      <c r="A2856" s="45"/>
      <c r="B2856" s="146"/>
      <c r="C2856" s="46"/>
      <c r="D2856" s="47"/>
      <c r="E2856" s="157"/>
      <c r="F2856" s="137"/>
      <c r="G2856" s="217"/>
    </row>
    <row r="2857" spans="1:7" s="30" customFormat="1" ht="14.45">
      <c r="A2857" s="147" t="s">
        <v>20</v>
      </c>
      <c r="B2857" s="146" t="s">
        <v>3119</v>
      </c>
      <c r="C2857" s="46">
        <v>1</v>
      </c>
      <c r="D2857" s="47" t="s">
        <v>2</v>
      </c>
      <c r="E2857" s="157">
        <v>4276894.71</v>
      </c>
      <c r="F2857" s="137">
        <f>+C2857*E2857</f>
        <v>4276894.71</v>
      </c>
      <c r="G2857" s="217"/>
    </row>
    <row r="2858" spans="1:7" s="30" customFormat="1" ht="14.45">
      <c r="A2858" s="147"/>
      <c r="B2858" s="146"/>
      <c r="C2858" s="46"/>
      <c r="D2858" s="47"/>
      <c r="E2858" s="157"/>
      <c r="F2858" s="137"/>
      <c r="G2858" s="217"/>
    </row>
    <row r="2859" spans="1:7" s="30" customFormat="1" ht="27.6">
      <c r="A2859" s="147" t="s">
        <v>23</v>
      </c>
      <c r="B2859" s="146" t="s">
        <v>3120</v>
      </c>
      <c r="C2859" s="46">
        <v>1</v>
      </c>
      <c r="D2859" s="47" t="s">
        <v>2</v>
      </c>
      <c r="E2859" s="157"/>
      <c r="F2859" s="217" t="s">
        <v>3121</v>
      </c>
      <c r="G2859" s="217" t="s">
        <v>3122</v>
      </c>
    </row>
    <row r="2860" spans="1:7" s="30" customFormat="1" ht="14.45">
      <c r="A2860" s="45"/>
      <c r="B2860" s="48"/>
      <c r="C2860" s="46"/>
      <c r="D2860" s="47"/>
      <c r="E2860" s="157"/>
      <c r="F2860" s="137"/>
      <c r="G2860" s="217"/>
    </row>
    <row r="2861" spans="1:7" s="30" customFormat="1" ht="27.6">
      <c r="A2861" s="45" t="s">
        <v>3123</v>
      </c>
      <c r="B2861" s="146" t="s">
        <v>3124</v>
      </c>
      <c r="C2861" s="46">
        <v>1</v>
      </c>
      <c r="D2861" s="47" t="s">
        <v>2</v>
      </c>
      <c r="E2861" s="157">
        <v>1351243</v>
      </c>
      <c r="F2861" s="137">
        <f>+C2861*E2861</f>
        <v>1351243</v>
      </c>
      <c r="G2861" s="217"/>
    </row>
    <row r="2862" spans="1:7" s="30" customFormat="1" ht="14.45">
      <c r="A2862" s="45"/>
      <c r="B2862" s="146"/>
      <c r="C2862" s="46"/>
      <c r="D2862" s="47"/>
      <c r="E2862" s="157"/>
      <c r="F2862" s="137"/>
      <c r="G2862" s="217"/>
    </row>
    <row r="2863" spans="1:7" s="30" customFormat="1" ht="14.45">
      <c r="A2863" s="45" t="s">
        <v>210</v>
      </c>
      <c r="B2863" s="48" t="s">
        <v>3125</v>
      </c>
      <c r="C2863" s="46"/>
      <c r="D2863" s="47"/>
      <c r="E2863" s="157"/>
      <c r="F2863" s="137"/>
      <c r="G2863" s="217"/>
    </row>
    <row r="2864" spans="1:7" s="30" customFormat="1" ht="14.45">
      <c r="A2864" s="45"/>
      <c r="B2864" s="146"/>
      <c r="C2864" s="46"/>
      <c r="D2864" s="47"/>
      <c r="E2864" s="157"/>
      <c r="F2864" s="137"/>
      <c r="G2864" s="217"/>
    </row>
    <row r="2865" spans="1:7" s="30" customFormat="1" ht="27.6">
      <c r="A2865" s="147" t="s">
        <v>27</v>
      </c>
      <c r="B2865" s="146" t="s">
        <v>3126</v>
      </c>
      <c r="C2865" s="46">
        <v>1</v>
      </c>
      <c r="D2865" s="47" t="s">
        <v>2</v>
      </c>
      <c r="E2865" s="157">
        <v>-1406970.22</v>
      </c>
      <c r="F2865" s="137">
        <f>+C2865*E2865</f>
        <v>-1406970.22</v>
      </c>
      <c r="G2865" s="217" t="s">
        <v>2916</v>
      </c>
    </row>
    <row r="2866" spans="1:7" s="30" customFormat="1" ht="14.45">
      <c r="A2866" s="45"/>
      <c r="B2866" s="146"/>
      <c r="C2866" s="46"/>
      <c r="D2866" s="47"/>
      <c r="E2866" s="157"/>
      <c r="F2866" s="137"/>
      <c r="G2866" s="217"/>
    </row>
    <row r="2867" spans="1:7" s="30" customFormat="1" ht="41.45">
      <c r="A2867" s="147" t="s">
        <v>44</v>
      </c>
      <c r="B2867" s="146" t="s">
        <v>3127</v>
      </c>
      <c r="C2867" s="46">
        <v>1</v>
      </c>
      <c r="D2867" s="47" t="s">
        <v>2</v>
      </c>
      <c r="E2867" s="157">
        <v>-2149032.14</v>
      </c>
      <c r="F2867" s="137">
        <f>+C2867*E2867</f>
        <v>-2149032.14</v>
      </c>
      <c r="G2867" s="217" t="s">
        <v>2542</v>
      </c>
    </row>
    <row r="2868" spans="1:7" s="30" customFormat="1" ht="14.45">
      <c r="A2868" s="45"/>
      <c r="B2868" s="146"/>
      <c r="C2868" s="46"/>
      <c r="D2868" s="47"/>
      <c r="E2868" s="157"/>
      <c r="F2868" s="137"/>
      <c r="G2868" s="217"/>
    </row>
    <row r="2869" spans="1:7" s="30" customFormat="1" ht="27.6">
      <c r="A2869" s="45" t="s">
        <v>48</v>
      </c>
      <c r="B2869" s="146" t="s">
        <v>3128</v>
      </c>
      <c r="C2869" s="46">
        <v>1</v>
      </c>
      <c r="D2869" s="47" t="s">
        <v>2</v>
      </c>
      <c r="E2869" s="157">
        <v>-2487987.12</v>
      </c>
      <c r="F2869" s="137">
        <f>+C2869*E2869</f>
        <v>-2487987.12</v>
      </c>
      <c r="G2869" s="217" t="s">
        <v>3129</v>
      </c>
    </row>
    <row r="2870" spans="1:7" s="30" customFormat="1" ht="14.45">
      <c r="A2870" s="45"/>
      <c r="B2870" s="146"/>
      <c r="C2870" s="46"/>
      <c r="D2870" s="47"/>
      <c r="E2870" s="157"/>
      <c r="F2870" s="137"/>
      <c r="G2870" s="217"/>
    </row>
    <row r="2871" spans="1:7" s="30" customFormat="1" ht="27.6">
      <c r="A2871" s="45" t="s">
        <v>84</v>
      </c>
      <c r="B2871" s="146" t="s">
        <v>3130</v>
      </c>
      <c r="C2871" s="46">
        <v>1</v>
      </c>
      <c r="D2871" s="47" t="s">
        <v>2</v>
      </c>
      <c r="E2871" s="157">
        <v>-3037816.78</v>
      </c>
      <c r="F2871" s="137">
        <f>+C2871*E2871</f>
        <v>-3037816.78</v>
      </c>
      <c r="G2871" s="217" t="s">
        <v>3131</v>
      </c>
    </row>
    <row r="2872" spans="1:7" s="30" customFormat="1" ht="14.45">
      <c r="A2872" s="45"/>
      <c r="B2872" s="146"/>
      <c r="C2872" s="46"/>
      <c r="D2872" s="47"/>
      <c r="E2872" s="157"/>
      <c r="F2872" s="137"/>
      <c r="G2872" s="217"/>
    </row>
    <row r="2873" spans="1:7" s="30" customFormat="1" ht="27.6">
      <c r="A2873" s="45" t="s">
        <v>86</v>
      </c>
      <c r="B2873" s="146" t="s">
        <v>3132</v>
      </c>
      <c r="C2873" s="46">
        <v>1</v>
      </c>
      <c r="D2873" s="47" t="s">
        <v>2</v>
      </c>
      <c r="E2873" s="157">
        <v>-141376.12</v>
      </c>
      <c r="F2873" s="137">
        <f>+C2873*E2873</f>
        <v>-141376.12</v>
      </c>
      <c r="G2873" s="217" t="s">
        <v>3133</v>
      </c>
    </row>
    <row r="2874" spans="1:7" s="30" customFormat="1" ht="14.45">
      <c r="A2874" s="45"/>
      <c r="B2874" s="146"/>
      <c r="C2874" s="46"/>
      <c r="D2874" s="47"/>
      <c r="E2874" s="157"/>
      <c r="F2874" s="137"/>
      <c r="G2874" s="217"/>
    </row>
    <row r="2875" spans="1:7" s="30" customFormat="1" ht="41.45">
      <c r="A2875" s="45" t="s">
        <v>90</v>
      </c>
      <c r="B2875" s="146" t="s">
        <v>3134</v>
      </c>
      <c r="C2875" s="46">
        <v>1</v>
      </c>
      <c r="D2875" s="47" t="s">
        <v>2</v>
      </c>
      <c r="E2875" s="157">
        <v>0</v>
      </c>
      <c r="F2875" s="137" t="s">
        <v>3135</v>
      </c>
      <c r="G2875" s="217" t="s">
        <v>3136</v>
      </c>
    </row>
    <row r="2876" spans="1:7" s="30" customFormat="1" ht="14.45">
      <c r="A2876" s="45"/>
      <c r="B2876" s="146"/>
      <c r="C2876" s="46"/>
      <c r="D2876" s="47"/>
      <c r="E2876" s="157"/>
      <c r="F2876" s="137"/>
      <c r="G2876" s="217"/>
    </row>
    <row r="2877" spans="1:7" s="30" customFormat="1" ht="14.45">
      <c r="A2877" s="45"/>
      <c r="B2877" s="146" t="s">
        <v>1861</v>
      </c>
      <c r="C2877" s="46"/>
      <c r="D2877" s="47"/>
      <c r="E2877" s="157"/>
      <c r="F2877" s="137"/>
      <c r="G2877" s="217"/>
    </row>
    <row r="2878" spans="1:7" s="30" customFormat="1" ht="14.45">
      <c r="A2878" s="45"/>
      <c r="B2878" s="48"/>
      <c r="C2878" s="46"/>
      <c r="D2878" s="47"/>
      <c r="E2878" s="157"/>
      <c r="F2878" s="137"/>
      <c r="G2878" s="217"/>
    </row>
    <row r="2879" spans="1:7" s="30" customFormat="1" ht="27.6">
      <c r="A2879" s="147"/>
      <c r="B2879" s="146" t="s">
        <v>3137</v>
      </c>
      <c r="C2879" s="46">
        <v>1</v>
      </c>
      <c r="D2879" s="47" t="s">
        <v>2</v>
      </c>
      <c r="E2879" s="157">
        <v>14991490.060000001</v>
      </c>
      <c r="F2879" s="137">
        <f>+C2879*E2879</f>
        <v>14991490.060000001</v>
      </c>
      <c r="G2879" s="217"/>
    </row>
    <row r="2880" spans="1:7" s="30" customFormat="1" ht="14.45">
      <c r="A2880" s="45"/>
      <c r="B2880" s="48"/>
      <c r="C2880" s="46"/>
      <c r="D2880" s="47"/>
      <c r="E2880" s="157"/>
      <c r="F2880" s="137"/>
      <c r="G2880" s="217"/>
    </row>
    <row r="2881" spans="1:7" s="30" customFormat="1" ht="14.45">
      <c r="A2881" s="45"/>
      <c r="B2881" s="48"/>
      <c r="C2881" s="46"/>
      <c r="D2881" s="47"/>
      <c r="E2881" s="157"/>
      <c r="F2881" s="137"/>
      <c r="G2881" s="217"/>
    </row>
    <row r="2882" spans="1:7" s="30" customFormat="1" ht="14.45">
      <c r="A2882" s="45"/>
      <c r="B2882" s="48"/>
      <c r="C2882" s="46"/>
      <c r="D2882" s="47"/>
      <c r="E2882" s="157"/>
      <c r="F2882" s="137"/>
      <c r="G2882" s="217"/>
    </row>
    <row r="2883" spans="1:7" s="30" customFormat="1" ht="14.45">
      <c r="A2883" s="45"/>
      <c r="B2883" s="48"/>
      <c r="C2883" s="46"/>
      <c r="D2883" s="47"/>
      <c r="E2883" s="157"/>
      <c r="F2883" s="137"/>
      <c r="G2883" s="217"/>
    </row>
    <row r="2884" spans="1:7" s="30" customFormat="1" ht="14.45">
      <c r="A2884" s="45"/>
      <c r="B2884" s="48"/>
      <c r="C2884" s="46"/>
      <c r="D2884" s="47"/>
      <c r="E2884" s="157"/>
      <c r="F2884" s="137"/>
      <c r="G2884" s="217"/>
    </row>
    <row r="2885" spans="1:7" s="30" customFormat="1" ht="14.45">
      <c r="A2885" s="45"/>
      <c r="B2885" s="48"/>
      <c r="C2885" s="46"/>
      <c r="D2885" s="47"/>
      <c r="E2885" s="157"/>
      <c r="F2885" s="137"/>
      <c r="G2885" s="217"/>
    </row>
    <row r="2886" spans="1:7" s="30" customFormat="1" ht="14.45">
      <c r="A2886" s="45"/>
      <c r="B2886" s="48"/>
      <c r="C2886" s="46"/>
      <c r="D2886" s="47"/>
      <c r="E2886" s="157"/>
      <c r="F2886" s="137"/>
      <c r="G2886" s="217"/>
    </row>
    <row r="2887" spans="1:7" s="30" customFormat="1" ht="14.45">
      <c r="A2887" s="45"/>
      <c r="B2887" s="48"/>
      <c r="C2887" s="46"/>
      <c r="D2887" s="47"/>
      <c r="E2887" s="157"/>
      <c r="F2887" s="137"/>
      <c r="G2887" s="217"/>
    </row>
    <row r="2888" spans="1:7" s="30" customFormat="1" ht="28.9">
      <c r="A2888" s="59"/>
      <c r="B2888" s="230" t="s">
        <v>323</v>
      </c>
      <c r="C2888" s="61"/>
      <c r="D2888" s="62"/>
      <c r="E2888" s="157"/>
      <c r="F2888" s="137"/>
      <c r="G2888" s="217"/>
    </row>
    <row r="2889" spans="1:7" s="30" customFormat="1" ht="14.45">
      <c r="A2889" s="71"/>
      <c r="B2889" s="72"/>
      <c r="C2889" s="73"/>
      <c r="D2889" s="74"/>
      <c r="E2889" s="159"/>
      <c r="F2889" s="138"/>
      <c r="G2889" s="226"/>
    </row>
    <row r="2890" spans="1:7" s="30" customFormat="1" ht="14.45">
      <c r="A2890" s="75"/>
      <c r="B2890" s="76"/>
      <c r="C2890" s="77" t="s">
        <v>30</v>
      </c>
      <c r="D2890" s="77"/>
      <c r="E2890" s="160" t="s">
        <v>8</v>
      </c>
      <c r="F2890" s="139">
        <f>SUM(F2848:F2887)</f>
        <v>14815683.360000001</v>
      </c>
      <c r="G2890" s="227"/>
    </row>
    <row r="2891" spans="1:7" s="30" customFormat="1" ht="14.45">
      <c r="A2891" s="75"/>
      <c r="B2891" s="76"/>
      <c r="C2891" s="78"/>
      <c r="D2891" s="79"/>
      <c r="E2891" s="161"/>
      <c r="F2891" s="140"/>
      <c r="G2891" s="228"/>
    </row>
    <row r="2892" spans="1:7" s="30" customFormat="1" ht="14.45">
      <c r="A2892" s="59"/>
      <c r="B2892" s="63"/>
      <c r="C2892" s="61"/>
      <c r="D2892" s="62"/>
      <c r="E2892" s="157"/>
      <c r="F2892" s="137"/>
      <c r="G2892" s="217"/>
    </row>
    <row r="2893" spans="1:7" s="30" customFormat="1" ht="14.45">
      <c r="A2893" s="59"/>
      <c r="B2893" s="38" t="s">
        <v>109</v>
      </c>
      <c r="C2893" s="61"/>
      <c r="D2893" s="62"/>
      <c r="E2893" s="157"/>
      <c r="F2893" s="137"/>
      <c r="G2893" s="217"/>
    </row>
    <row r="2894" spans="1:7" s="30" customFormat="1" ht="14.45">
      <c r="A2894" s="59"/>
      <c r="B2894" s="32"/>
      <c r="C2894" s="61"/>
      <c r="D2894" s="62"/>
      <c r="E2894" s="157"/>
      <c r="F2894" s="137"/>
      <c r="G2894" s="217"/>
    </row>
    <row r="2895" spans="1:7" s="30" customFormat="1" ht="14.45">
      <c r="A2895" s="59"/>
      <c r="B2895" s="39" t="s">
        <v>3138</v>
      </c>
      <c r="C2895" s="61"/>
      <c r="D2895" s="62"/>
      <c r="E2895" s="157"/>
      <c r="F2895" s="137">
        <f>F40</f>
        <v>493222.18000000005</v>
      </c>
      <c r="G2895" s="217"/>
    </row>
    <row r="2896" spans="1:7" s="30" customFormat="1" ht="14.45">
      <c r="A2896" s="59"/>
      <c r="B2896" s="32"/>
      <c r="C2896" s="61"/>
      <c r="D2896" s="62"/>
      <c r="E2896" s="157"/>
      <c r="F2896" s="137"/>
      <c r="G2896" s="217"/>
    </row>
    <row r="2897" spans="1:7" s="30" customFormat="1" ht="14.45">
      <c r="A2897" s="59"/>
      <c r="B2897" s="39" t="s">
        <v>3139</v>
      </c>
      <c r="C2897" s="61"/>
      <c r="D2897" s="62"/>
      <c r="E2897" s="157"/>
      <c r="F2897" s="137">
        <f>F88</f>
        <v>134498.62000000002</v>
      </c>
      <c r="G2897" s="217"/>
    </row>
    <row r="2898" spans="1:7" s="30" customFormat="1" ht="14.45">
      <c r="A2898" s="59"/>
      <c r="B2898" s="32"/>
      <c r="C2898" s="61"/>
      <c r="D2898" s="62"/>
      <c r="E2898" s="157"/>
      <c r="F2898" s="137"/>
      <c r="G2898" s="217"/>
    </row>
    <row r="2899" spans="1:7" s="30" customFormat="1" ht="14.45">
      <c r="A2899" s="59"/>
      <c r="B2899" s="39" t="s">
        <v>3140</v>
      </c>
      <c r="C2899" s="61"/>
      <c r="D2899" s="62"/>
      <c r="E2899" s="157"/>
      <c r="F2899" s="137">
        <f>F135</f>
        <v>70022.510000000009</v>
      </c>
      <c r="G2899" s="217"/>
    </row>
    <row r="2900" spans="1:7" s="30" customFormat="1" ht="14.45">
      <c r="A2900" s="59"/>
      <c r="B2900" s="32"/>
      <c r="C2900" s="61"/>
      <c r="D2900" s="62"/>
      <c r="E2900" s="157"/>
      <c r="F2900" s="137"/>
      <c r="G2900" s="217"/>
    </row>
    <row r="2901" spans="1:7" s="30" customFormat="1" ht="14.45">
      <c r="A2901" s="59"/>
      <c r="B2901" s="39" t="s">
        <v>3141</v>
      </c>
      <c r="C2901" s="61"/>
      <c r="D2901" s="62"/>
      <c r="E2901" s="157"/>
      <c r="F2901" s="137">
        <f>F182</f>
        <v>92042.319999999978</v>
      </c>
      <c r="G2901" s="217"/>
    </row>
    <row r="2902" spans="1:7" s="30" customFormat="1" ht="14.45">
      <c r="A2902" s="59"/>
      <c r="B2902" s="32"/>
      <c r="C2902" s="61"/>
      <c r="D2902" s="62"/>
      <c r="E2902" s="157"/>
      <c r="F2902" s="137"/>
      <c r="G2902" s="217"/>
    </row>
    <row r="2903" spans="1:7" s="30" customFormat="1" ht="14.45">
      <c r="A2903" s="59"/>
      <c r="B2903" s="39" t="s">
        <v>3142</v>
      </c>
      <c r="C2903" s="61"/>
      <c r="D2903" s="62"/>
      <c r="E2903" s="157"/>
      <c r="F2903" s="137">
        <f>F229</f>
        <v>174999.71</v>
      </c>
      <c r="G2903" s="217"/>
    </row>
    <row r="2904" spans="1:7" s="30" customFormat="1" ht="14.45">
      <c r="A2904" s="59"/>
      <c r="B2904" s="32"/>
      <c r="C2904" s="61"/>
      <c r="D2904" s="62"/>
      <c r="E2904" s="157"/>
      <c r="F2904" s="137"/>
      <c r="G2904" s="217"/>
    </row>
    <row r="2905" spans="1:7" s="30" customFormat="1" ht="14.45">
      <c r="A2905" s="59"/>
      <c r="B2905" s="39" t="s">
        <v>3143</v>
      </c>
      <c r="C2905" s="61"/>
      <c r="D2905" s="62"/>
      <c r="E2905" s="157"/>
      <c r="F2905" s="137">
        <f>'Bill 3 Elec'!F278</f>
        <v>137227.60999999999</v>
      </c>
      <c r="G2905" s="217"/>
    </row>
    <row r="2906" spans="1:7" s="30" customFormat="1" ht="14.45">
      <c r="A2906" s="59"/>
      <c r="B2906" s="32"/>
      <c r="C2906" s="61"/>
      <c r="D2906" s="62"/>
      <c r="E2906" s="157"/>
      <c r="F2906" s="137"/>
      <c r="G2906" s="217"/>
    </row>
    <row r="2907" spans="1:7" s="30" customFormat="1" ht="14.45">
      <c r="A2907" s="59"/>
      <c r="B2907" s="39" t="s">
        <v>3144</v>
      </c>
      <c r="C2907" s="61"/>
      <c r="D2907" s="62"/>
      <c r="E2907" s="157"/>
      <c r="F2907" s="137">
        <f>F321</f>
        <v>147197.16999999998</v>
      </c>
      <c r="G2907" s="217"/>
    </row>
    <row r="2908" spans="1:7" s="30" customFormat="1" ht="14.45">
      <c r="A2908" s="59"/>
      <c r="B2908" s="32"/>
      <c r="C2908" s="61"/>
      <c r="D2908" s="62"/>
      <c r="E2908" s="157"/>
      <c r="F2908" s="137"/>
      <c r="G2908" s="217"/>
    </row>
    <row r="2909" spans="1:7" s="30" customFormat="1" ht="14.45">
      <c r="A2909" s="59"/>
      <c r="B2909" s="39" t="s">
        <v>3145</v>
      </c>
      <c r="C2909" s="61"/>
      <c r="D2909" s="62"/>
      <c r="E2909" s="157"/>
      <c r="F2909" s="137">
        <f>F371</f>
        <v>150662.18</v>
      </c>
      <c r="G2909" s="217"/>
    </row>
    <row r="2910" spans="1:7" s="30" customFormat="1" ht="14.45">
      <c r="A2910" s="59"/>
      <c r="B2910" s="63"/>
      <c r="C2910" s="61"/>
      <c r="D2910" s="62"/>
      <c r="E2910" s="157"/>
      <c r="F2910" s="137"/>
      <c r="G2910" s="217"/>
    </row>
    <row r="2911" spans="1:7" s="30" customFormat="1" ht="14.45">
      <c r="A2911" s="59"/>
      <c r="B2911" s="39" t="s">
        <v>3146</v>
      </c>
      <c r="C2911" s="61"/>
      <c r="D2911" s="62"/>
      <c r="E2911" s="157"/>
      <c r="F2911" s="137">
        <f>F417</f>
        <v>178226.74000000002</v>
      </c>
      <c r="G2911" s="217"/>
    </row>
    <row r="2912" spans="1:7" s="30" customFormat="1" ht="14.45">
      <c r="A2912" s="59"/>
      <c r="B2912" s="32"/>
      <c r="C2912" s="61"/>
      <c r="D2912" s="62"/>
      <c r="E2912" s="157"/>
      <c r="F2912" s="137"/>
      <c r="G2912" s="217"/>
    </row>
    <row r="2913" spans="1:7" s="30" customFormat="1" ht="14.45">
      <c r="A2913" s="59"/>
      <c r="B2913" s="39" t="s">
        <v>3147</v>
      </c>
      <c r="C2913" s="61"/>
      <c r="D2913" s="62"/>
      <c r="E2913" s="157"/>
      <c r="F2913" s="137">
        <f>F465</f>
        <v>149170.67000000004</v>
      </c>
      <c r="G2913" s="217"/>
    </row>
    <row r="2914" spans="1:7" s="30" customFormat="1" ht="14.45">
      <c r="A2914" s="59"/>
      <c r="B2914" s="32"/>
      <c r="C2914" s="61"/>
      <c r="D2914" s="62"/>
      <c r="E2914" s="157"/>
      <c r="F2914" s="137"/>
      <c r="G2914" s="217"/>
    </row>
    <row r="2915" spans="1:7" s="30" customFormat="1" ht="14.45">
      <c r="A2915" s="59"/>
      <c r="B2915" s="39" t="s">
        <v>3148</v>
      </c>
      <c r="C2915" s="61"/>
      <c r="D2915" s="62"/>
      <c r="E2915" s="157"/>
      <c r="F2915" s="137">
        <f>F509</f>
        <v>209428.15</v>
      </c>
      <c r="G2915" s="217"/>
    </row>
    <row r="2916" spans="1:7" s="30" customFormat="1" ht="14.45">
      <c r="A2916" s="59"/>
      <c r="B2916" s="32"/>
      <c r="C2916" s="61"/>
      <c r="D2916" s="62"/>
      <c r="E2916" s="157"/>
      <c r="F2916" s="137"/>
      <c r="G2916" s="217"/>
    </row>
    <row r="2917" spans="1:7" s="30" customFormat="1" ht="14.45">
      <c r="A2917" s="59"/>
      <c r="B2917" s="39" t="s">
        <v>3149</v>
      </c>
      <c r="C2917" s="61"/>
      <c r="D2917" s="62"/>
      <c r="E2917" s="157"/>
      <c r="F2917" s="137">
        <f>F553</f>
        <v>219793.03999999998</v>
      </c>
      <c r="G2917" s="217"/>
    </row>
    <row r="2918" spans="1:7" s="30" customFormat="1" ht="10.5" customHeight="1">
      <c r="A2918" s="59"/>
      <c r="B2918" s="32"/>
      <c r="C2918" s="61"/>
      <c r="D2918" s="62"/>
      <c r="E2918" s="157"/>
      <c r="F2918" s="137"/>
      <c r="G2918" s="217"/>
    </row>
    <row r="2919" spans="1:7" s="30" customFormat="1" ht="14.45">
      <c r="A2919" s="59"/>
      <c r="B2919" s="39" t="s">
        <v>3150</v>
      </c>
      <c r="C2919" s="61"/>
      <c r="D2919" s="62"/>
      <c r="E2919" s="157"/>
      <c r="F2919" s="137">
        <f>F598</f>
        <v>724096.4800000001</v>
      </c>
      <c r="G2919" s="217"/>
    </row>
    <row r="2920" spans="1:7" s="30" customFormat="1" ht="11.25" customHeight="1">
      <c r="A2920" s="59"/>
      <c r="B2920" s="32"/>
      <c r="C2920" s="61"/>
      <c r="D2920" s="62"/>
      <c r="E2920" s="157"/>
      <c r="F2920" s="137"/>
      <c r="G2920" s="217"/>
    </row>
    <row r="2921" spans="1:7" s="30" customFormat="1" ht="14.45">
      <c r="A2921" s="59"/>
      <c r="B2921" s="39" t="s">
        <v>3151</v>
      </c>
      <c r="C2921" s="61"/>
      <c r="D2921" s="62"/>
      <c r="E2921" s="157"/>
      <c r="F2921" s="137">
        <f>F641</f>
        <v>468653.23999999987</v>
      </c>
      <c r="G2921" s="217"/>
    </row>
    <row r="2922" spans="1:7" s="30" customFormat="1" ht="9" customHeight="1">
      <c r="A2922" s="59"/>
      <c r="B2922" s="32"/>
      <c r="C2922" s="61"/>
      <c r="D2922" s="62"/>
      <c r="E2922" s="157"/>
      <c r="F2922" s="137"/>
      <c r="G2922" s="217"/>
    </row>
    <row r="2923" spans="1:7" s="30" customFormat="1" ht="14.45">
      <c r="A2923" s="59"/>
      <c r="B2923" s="39" t="s">
        <v>3152</v>
      </c>
      <c r="C2923" s="61"/>
      <c r="D2923" s="62"/>
      <c r="E2923" s="157"/>
      <c r="F2923" s="137">
        <f>F683</f>
        <v>1131139.5900000001</v>
      </c>
      <c r="G2923" s="217"/>
    </row>
    <row r="2924" spans="1:7" s="30" customFormat="1" ht="12" customHeight="1">
      <c r="A2924" s="59"/>
      <c r="B2924" s="32"/>
      <c r="C2924" s="61"/>
      <c r="D2924" s="62"/>
      <c r="E2924" s="157"/>
      <c r="F2924" s="137"/>
      <c r="G2924" s="217"/>
    </row>
    <row r="2925" spans="1:7" s="30" customFormat="1" ht="14.45">
      <c r="A2925" s="59"/>
      <c r="B2925" s="39" t="s">
        <v>3153</v>
      </c>
      <c r="C2925" s="61"/>
      <c r="D2925" s="62"/>
      <c r="E2925" s="157"/>
      <c r="F2925" s="137">
        <f>F725</f>
        <v>2199143.9299999997</v>
      </c>
      <c r="G2925" s="217"/>
    </row>
    <row r="2926" spans="1:7" s="30" customFormat="1" ht="9.75" customHeight="1">
      <c r="A2926" s="59"/>
      <c r="B2926" s="63"/>
      <c r="C2926" s="61"/>
      <c r="D2926" s="62"/>
      <c r="E2926" s="157"/>
      <c r="F2926" s="137"/>
      <c r="G2926" s="217"/>
    </row>
    <row r="2927" spans="1:7" s="30" customFormat="1" ht="14.45">
      <c r="A2927" s="59"/>
      <c r="B2927" s="39" t="s">
        <v>3154</v>
      </c>
      <c r="C2927" s="61"/>
      <c r="D2927" s="62"/>
      <c r="E2927" s="157"/>
      <c r="F2927" s="137">
        <f>F769</f>
        <v>608198.92999999993</v>
      </c>
      <c r="G2927" s="217"/>
    </row>
    <row r="2928" spans="1:7" s="30" customFormat="1" ht="9" customHeight="1">
      <c r="A2928" s="59"/>
      <c r="B2928" s="32"/>
      <c r="C2928" s="61"/>
      <c r="D2928" s="62"/>
      <c r="E2928" s="157"/>
      <c r="F2928" s="137"/>
      <c r="G2928" s="217"/>
    </row>
    <row r="2929" spans="1:7" s="30" customFormat="1" ht="14.45">
      <c r="A2929" s="59"/>
      <c r="B2929" s="39" t="s">
        <v>3155</v>
      </c>
      <c r="C2929" s="61"/>
      <c r="D2929" s="62"/>
      <c r="E2929" s="157"/>
      <c r="F2929" s="137">
        <f>F809</f>
        <v>2079556.23</v>
      </c>
      <c r="G2929" s="217"/>
    </row>
    <row r="2930" spans="1:7" s="30" customFormat="1" ht="14.45">
      <c r="A2930" s="59"/>
      <c r="B2930" s="32"/>
      <c r="C2930" s="61"/>
      <c r="D2930" s="62"/>
      <c r="E2930" s="157"/>
      <c r="F2930" s="137"/>
      <c r="G2930" s="217"/>
    </row>
    <row r="2931" spans="1:7" s="30" customFormat="1" ht="14.45">
      <c r="A2931" s="59"/>
      <c r="B2931" s="39" t="s">
        <v>3156</v>
      </c>
      <c r="C2931" s="61"/>
      <c r="D2931" s="62"/>
      <c r="E2931" s="157"/>
      <c r="F2931" s="137">
        <f>F846</f>
        <v>297118.99</v>
      </c>
      <c r="G2931" s="217"/>
    </row>
    <row r="2932" spans="1:7" s="30" customFormat="1" ht="14.45">
      <c r="A2932" s="59"/>
      <c r="B2932" s="32"/>
      <c r="C2932" s="61"/>
      <c r="D2932" s="62"/>
      <c r="E2932" s="157"/>
      <c r="F2932" s="137"/>
      <c r="G2932" s="217"/>
    </row>
    <row r="2933" spans="1:7" s="30" customFormat="1" ht="14.45">
      <c r="A2933" s="59"/>
      <c r="B2933" s="39" t="s">
        <v>3157</v>
      </c>
      <c r="C2933" s="61"/>
      <c r="D2933" s="62"/>
      <c r="E2933" s="157"/>
      <c r="F2933" s="137">
        <f>F882</f>
        <v>233586.84999999998</v>
      </c>
      <c r="G2933" s="217"/>
    </row>
    <row r="2934" spans="1:7" s="30" customFormat="1" ht="14.45">
      <c r="A2934" s="59"/>
      <c r="B2934" s="32"/>
      <c r="C2934" s="61"/>
      <c r="D2934" s="62"/>
      <c r="E2934" s="157"/>
      <c r="F2934" s="137"/>
      <c r="G2934" s="217"/>
    </row>
    <row r="2935" spans="1:7" s="30" customFormat="1" ht="14.45">
      <c r="A2935" s="59"/>
      <c r="B2935" s="39" t="s">
        <v>3158</v>
      </c>
      <c r="C2935" s="61"/>
      <c r="D2935" s="62"/>
      <c r="E2935" s="157"/>
      <c r="F2935" s="137">
        <f>F923</f>
        <v>598523.13</v>
      </c>
      <c r="G2935" s="217"/>
    </row>
    <row r="2936" spans="1:7" s="30" customFormat="1" ht="14.45">
      <c r="A2936" s="59"/>
      <c r="B2936" s="32"/>
      <c r="C2936" s="61"/>
      <c r="D2936" s="62"/>
      <c r="E2936" s="157"/>
      <c r="F2936" s="137"/>
      <c r="G2936" s="217"/>
    </row>
    <row r="2937" spans="1:7" s="30" customFormat="1" ht="14.45">
      <c r="A2937" s="59"/>
      <c r="B2937" s="39" t="s">
        <v>3159</v>
      </c>
      <c r="C2937" s="61"/>
      <c r="D2937" s="62"/>
      <c r="E2937" s="157"/>
      <c r="F2937" s="137">
        <f>F966</f>
        <v>1112302.5</v>
      </c>
      <c r="G2937" s="217"/>
    </row>
    <row r="2938" spans="1:7" s="30" customFormat="1" ht="14.45">
      <c r="A2938" s="59"/>
      <c r="B2938" s="32"/>
      <c r="C2938" s="61"/>
      <c r="D2938" s="62"/>
      <c r="E2938" s="157"/>
      <c r="F2938" s="137"/>
      <c r="G2938" s="217"/>
    </row>
    <row r="2939" spans="1:7" s="30" customFormat="1" ht="14.45">
      <c r="A2939" s="71"/>
      <c r="B2939" s="72"/>
      <c r="C2939" s="73"/>
      <c r="D2939" s="74"/>
      <c r="E2939" s="159"/>
      <c r="F2939" s="138"/>
      <c r="G2939" s="226"/>
    </row>
    <row r="2940" spans="1:7" s="30" customFormat="1" ht="14.45">
      <c r="A2940" s="75"/>
      <c r="B2940" s="76"/>
      <c r="C2940" s="77" t="s">
        <v>30</v>
      </c>
      <c r="D2940" s="77"/>
      <c r="E2940" s="160" t="s">
        <v>8</v>
      </c>
      <c r="F2940" s="139">
        <f>SUM(F2894:F2937)</f>
        <v>11608810.77</v>
      </c>
      <c r="G2940" s="227"/>
    </row>
    <row r="2941" spans="1:7" s="30" customFormat="1" ht="14.45">
      <c r="A2941" s="75"/>
      <c r="B2941" s="76"/>
      <c r="C2941" s="78"/>
      <c r="D2941" s="79"/>
      <c r="E2941" s="161"/>
      <c r="F2941" s="140"/>
      <c r="G2941" s="228"/>
    </row>
    <row r="2942" spans="1:7" s="30" customFormat="1" ht="14.45">
      <c r="A2942" s="59"/>
      <c r="B2942" s="63"/>
      <c r="C2942" s="61"/>
      <c r="D2942" s="62"/>
      <c r="E2942" s="157"/>
      <c r="F2942" s="137"/>
      <c r="G2942" s="217"/>
    </row>
    <row r="2943" spans="1:7" s="30" customFormat="1" ht="14.45">
      <c r="A2943" s="59"/>
      <c r="B2943" s="38" t="s">
        <v>109</v>
      </c>
      <c r="C2943" s="61"/>
      <c r="D2943" s="62"/>
      <c r="E2943" s="157"/>
      <c r="F2943" s="137"/>
      <c r="G2943" s="217"/>
    </row>
    <row r="2944" spans="1:7" s="30" customFormat="1" ht="14.45">
      <c r="A2944" s="59"/>
      <c r="B2944" s="63"/>
      <c r="C2944" s="61"/>
      <c r="D2944" s="62"/>
      <c r="E2944" s="157"/>
      <c r="F2944" s="137"/>
      <c r="G2944" s="217"/>
    </row>
    <row r="2945" spans="1:7" s="30" customFormat="1" ht="14.45">
      <c r="A2945" s="59"/>
      <c r="B2945" s="63" t="s">
        <v>1914</v>
      </c>
      <c r="C2945" s="61"/>
      <c r="D2945" s="62"/>
      <c r="E2945" s="157"/>
      <c r="F2945" s="137">
        <f>+F2940</f>
        <v>11608810.77</v>
      </c>
      <c r="G2945" s="217"/>
    </row>
    <row r="2946" spans="1:7" s="30" customFormat="1" ht="14.45">
      <c r="A2946" s="59"/>
      <c r="B2946" s="63"/>
      <c r="C2946" s="61"/>
      <c r="D2946" s="62"/>
      <c r="E2946" s="157"/>
      <c r="F2946" s="137"/>
      <c r="G2946" s="217"/>
    </row>
    <row r="2947" spans="1:7" s="30" customFormat="1" ht="14.45">
      <c r="A2947" s="59"/>
      <c r="B2947" s="39" t="s">
        <v>3160</v>
      </c>
      <c r="C2947" s="61"/>
      <c r="D2947" s="62"/>
      <c r="E2947" s="157"/>
      <c r="F2947" s="137">
        <f>F1013</f>
        <v>1746500.06</v>
      </c>
      <c r="G2947" s="217"/>
    </row>
    <row r="2948" spans="1:7" s="30" customFormat="1" ht="14.45">
      <c r="A2948" s="59"/>
      <c r="B2948" s="63"/>
      <c r="C2948" s="61"/>
      <c r="D2948" s="62"/>
      <c r="E2948" s="157"/>
      <c r="F2948" s="137"/>
      <c r="G2948" s="217"/>
    </row>
    <row r="2949" spans="1:7" s="30" customFormat="1" ht="14.45">
      <c r="A2949" s="59"/>
      <c r="B2949" s="39" t="s">
        <v>3161</v>
      </c>
      <c r="C2949" s="61"/>
      <c r="D2949" s="62"/>
      <c r="E2949" s="157"/>
      <c r="F2949" s="137">
        <f>F1063</f>
        <v>1165528.82</v>
      </c>
      <c r="G2949" s="217"/>
    </row>
    <row r="2950" spans="1:7" s="30" customFormat="1" ht="14.45">
      <c r="A2950" s="59"/>
      <c r="B2950" s="63"/>
      <c r="C2950" s="61"/>
      <c r="D2950" s="62"/>
      <c r="E2950" s="157"/>
      <c r="F2950" s="137"/>
      <c r="G2950" s="217"/>
    </row>
    <row r="2951" spans="1:7" s="30" customFormat="1" ht="14.45">
      <c r="A2951" s="59"/>
      <c r="B2951" s="39" t="s">
        <v>3162</v>
      </c>
      <c r="C2951" s="61"/>
      <c r="D2951" s="62"/>
      <c r="E2951" s="157"/>
      <c r="F2951" s="137">
        <f>F1110</f>
        <v>423195.78</v>
      </c>
      <c r="G2951" s="217"/>
    </row>
    <row r="2952" spans="1:7" s="30" customFormat="1" ht="14.45">
      <c r="A2952" s="59"/>
      <c r="B2952" s="63"/>
      <c r="C2952" s="61"/>
      <c r="D2952" s="62"/>
      <c r="E2952" s="157"/>
      <c r="F2952" s="137"/>
      <c r="G2952" s="217"/>
    </row>
    <row r="2953" spans="1:7" s="30" customFormat="1" ht="14.45">
      <c r="A2953" s="59"/>
      <c r="B2953" s="39" t="s">
        <v>3163</v>
      </c>
      <c r="C2953" s="61"/>
      <c r="D2953" s="62"/>
      <c r="E2953" s="157"/>
      <c r="F2953" s="137">
        <f>F1160</f>
        <v>339950.82</v>
      </c>
      <c r="G2953" s="217"/>
    </row>
    <row r="2954" spans="1:7" s="30" customFormat="1" ht="14.45">
      <c r="A2954" s="59"/>
      <c r="B2954" s="63"/>
      <c r="C2954" s="61"/>
      <c r="D2954" s="62"/>
      <c r="E2954" s="157"/>
      <c r="F2954" s="137"/>
      <c r="G2954" s="217"/>
    </row>
    <row r="2955" spans="1:7" s="30" customFormat="1" ht="14.45">
      <c r="A2955" s="59"/>
      <c r="B2955" s="39" t="s">
        <v>3164</v>
      </c>
      <c r="C2955" s="61"/>
      <c r="D2955" s="62"/>
      <c r="E2955" s="157"/>
      <c r="F2955" s="137">
        <f>F1210</f>
        <v>339950.82</v>
      </c>
      <c r="G2955" s="217"/>
    </row>
    <row r="2956" spans="1:7" s="30" customFormat="1" ht="14.45">
      <c r="A2956" s="59"/>
      <c r="B2956" s="63"/>
      <c r="C2956" s="61"/>
      <c r="D2956" s="62"/>
      <c r="E2956" s="157"/>
      <c r="F2956" s="137"/>
      <c r="G2956" s="217"/>
    </row>
    <row r="2957" spans="1:7" s="30" customFormat="1" ht="14.45">
      <c r="A2957" s="59"/>
      <c r="B2957" s="39" t="s">
        <v>3165</v>
      </c>
      <c r="C2957" s="61"/>
      <c r="D2957" s="62"/>
      <c r="E2957" s="157"/>
      <c r="F2957" s="137">
        <f>F1260</f>
        <v>339950.82</v>
      </c>
      <c r="G2957" s="217"/>
    </row>
    <row r="2958" spans="1:7" s="30" customFormat="1" ht="14.45">
      <c r="A2958" s="59"/>
      <c r="B2958" s="63"/>
      <c r="C2958" s="61"/>
      <c r="D2958" s="62"/>
      <c r="E2958" s="157"/>
      <c r="F2958" s="137"/>
      <c r="G2958" s="217"/>
    </row>
    <row r="2959" spans="1:7" s="30" customFormat="1" ht="14.45">
      <c r="A2959" s="59"/>
      <c r="B2959" s="39" t="s">
        <v>3166</v>
      </c>
      <c r="C2959" s="61"/>
      <c r="D2959" s="62"/>
      <c r="E2959" s="157"/>
      <c r="F2959" s="137">
        <f>F1310</f>
        <v>246493.03999999998</v>
      </c>
      <c r="G2959" s="217"/>
    </row>
    <row r="2960" spans="1:7" s="30" customFormat="1" ht="14.45">
      <c r="A2960" s="59"/>
      <c r="B2960" s="63"/>
      <c r="C2960" s="61"/>
      <c r="D2960" s="62"/>
      <c r="E2960" s="157"/>
      <c r="F2960" s="137"/>
      <c r="G2960" s="217"/>
    </row>
    <row r="2961" spans="1:7" s="30" customFormat="1" ht="14.45">
      <c r="A2961" s="59"/>
      <c r="B2961" s="39" t="s">
        <v>3167</v>
      </c>
      <c r="C2961" s="61"/>
      <c r="D2961" s="62"/>
      <c r="E2961" s="157"/>
      <c r="F2961" s="137">
        <f>F1360</f>
        <v>256319.11</v>
      </c>
      <c r="G2961" s="217"/>
    </row>
    <row r="2962" spans="1:7" s="30" customFormat="1" ht="14.45">
      <c r="A2962" s="59"/>
      <c r="B2962" s="63"/>
      <c r="C2962" s="61"/>
      <c r="D2962" s="62"/>
      <c r="E2962" s="157"/>
      <c r="F2962" s="137"/>
      <c r="G2962" s="217"/>
    </row>
    <row r="2963" spans="1:7" s="30" customFormat="1" ht="14.45">
      <c r="A2963" s="59"/>
      <c r="B2963" s="39" t="s">
        <v>3168</v>
      </c>
      <c r="C2963" s="61"/>
      <c r="D2963" s="62"/>
      <c r="E2963" s="157"/>
      <c r="F2963" s="137">
        <f>F1407</f>
        <v>214917.56</v>
      </c>
      <c r="G2963" s="217"/>
    </row>
    <row r="2964" spans="1:7" s="30" customFormat="1" ht="12" customHeight="1">
      <c r="A2964" s="59"/>
      <c r="B2964" s="63"/>
      <c r="C2964" s="61"/>
      <c r="D2964" s="62"/>
      <c r="E2964" s="157"/>
      <c r="F2964" s="137"/>
      <c r="G2964" s="217"/>
    </row>
    <row r="2965" spans="1:7" s="30" customFormat="1" ht="14.45">
      <c r="A2965" s="59"/>
      <c r="B2965" s="39" t="s">
        <v>3169</v>
      </c>
      <c r="C2965" s="61"/>
      <c r="D2965" s="62"/>
      <c r="E2965" s="157"/>
      <c r="F2965" s="137">
        <f>F1457</f>
        <v>102197.28</v>
      </c>
      <c r="G2965" s="217"/>
    </row>
    <row r="2966" spans="1:7" s="30" customFormat="1" ht="14.25" customHeight="1">
      <c r="A2966" s="59"/>
      <c r="B2966" s="63"/>
      <c r="C2966" s="61"/>
      <c r="D2966" s="62"/>
      <c r="E2966" s="157"/>
      <c r="F2966" s="137"/>
      <c r="G2966" s="217"/>
    </row>
    <row r="2967" spans="1:7" s="30" customFormat="1" ht="14.45">
      <c r="A2967" s="59"/>
      <c r="B2967" s="39" t="s">
        <v>3170</v>
      </c>
      <c r="C2967" s="61"/>
      <c r="D2967" s="62"/>
      <c r="E2967" s="157"/>
      <c r="F2967" s="137">
        <f>F1507</f>
        <v>97753.919999999998</v>
      </c>
      <c r="G2967" s="217"/>
    </row>
    <row r="2968" spans="1:7" s="30" customFormat="1" ht="14.25" customHeight="1">
      <c r="A2968" s="59"/>
      <c r="B2968" s="63"/>
      <c r="C2968" s="61"/>
      <c r="D2968" s="62"/>
      <c r="E2968" s="157"/>
      <c r="F2968" s="137"/>
      <c r="G2968" s="217"/>
    </row>
    <row r="2969" spans="1:7" s="30" customFormat="1" ht="14.45">
      <c r="A2969" s="59"/>
      <c r="B2969" s="39" t="s">
        <v>3171</v>
      </c>
      <c r="C2969" s="61"/>
      <c r="D2969" s="62"/>
      <c r="E2969" s="157"/>
      <c r="F2969" s="137">
        <f>F1557</f>
        <v>97753.919999999998</v>
      </c>
      <c r="G2969" s="217"/>
    </row>
    <row r="2970" spans="1:7" s="30" customFormat="1" ht="14.25" customHeight="1">
      <c r="A2970" s="59"/>
      <c r="B2970" s="63"/>
      <c r="C2970" s="61"/>
      <c r="D2970" s="62"/>
      <c r="E2970" s="157"/>
      <c r="F2970" s="137"/>
      <c r="G2970" s="217"/>
    </row>
    <row r="2971" spans="1:7" s="30" customFormat="1" ht="14.45">
      <c r="A2971" s="59"/>
      <c r="B2971" s="39" t="s">
        <v>3172</v>
      </c>
      <c r="C2971" s="61"/>
      <c r="D2971" s="62"/>
      <c r="E2971" s="157"/>
      <c r="F2971" s="137">
        <f>F1607</f>
        <v>97753.919999999998</v>
      </c>
      <c r="G2971" s="217"/>
    </row>
    <row r="2972" spans="1:7" s="30" customFormat="1" ht="14.25" customHeight="1">
      <c r="A2972" s="59"/>
      <c r="B2972" s="63"/>
      <c r="C2972" s="61"/>
      <c r="D2972" s="62"/>
      <c r="E2972" s="157"/>
      <c r="F2972" s="137"/>
      <c r="G2972" s="217"/>
    </row>
    <row r="2973" spans="1:7" s="30" customFormat="1" ht="14.45">
      <c r="A2973" s="59"/>
      <c r="B2973" s="39" t="s">
        <v>3173</v>
      </c>
      <c r="C2973" s="61"/>
      <c r="D2973" s="62"/>
      <c r="E2973" s="157"/>
      <c r="F2973" s="137">
        <f>F1657</f>
        <v>97753.919999999998</v>
      </c>
      <c r="G2973" s="217"/>
    </row>
    <row r="2974" spans="1:7" s="30" customFormat="1" ht="14.25" customHeight="1">
      <c r="A2974" s="59"/>
      <c r="B2974" s="63"/>
      <c r="C2974" s="61"/>
      <c r="D2974" s="62"/>
      <c r="E2974" s="157"/>
      <c r="F2974" s="137"/>
      <c r="G2974" s="217"/>
    </row>
    <row r="2975" spans="1:7" s="30" customFormat="1" ht="14.45">
      <c r="A2975" s="59"/>
      <c r="B2975" s="39" t="s">
        <v>3174</v>
      </c>
      <c r="C2975" s="61"/>
      <c r="D2975" s="62"/>
      <c r="E2975" s="157"/>
      <c r="F2975" s="137">
        <f>F1707</f>
        <v>97753.919999999998</v>
      </c>
      <c r="G2975" s="217"/>
    </row>
    <row r="2976" spans="1:7" s="30" customFormat="1" ht="14.25" customHeight="1">
      <c r="A2976" s="59"/>
      <c r="B2976" s="63"/>
      <c r="C2976" s="61"/>
      <c r="D2976" s="62"/>
      <c r="E2976" s="157"/>
      <c r="F2976" s="137"/>
      <c r="G2976" s="217"/>
    </row>
    <row r="2977" spans="1:7" s="30" customFormat="1" ht="14.45">
      <c r="A2977" s="59"/>
      <c r="B2977" s="39" t="s">
        <v>3175</v>
      </c>
      <c r="C2977" s="61"/>
      <c r="D2977" s="62"/>
      <c r="E2977" s="157"/>
      <c r="F2977" s="137">
        <f>F1757</f>
        <v>97753.919999999998</v>
      </c>
      <c r="G2977" s="217"/>
    </row>
    <row r="2978" spans="1:7" s="30" customFormat="1" ht="14.25" customHeight="1">
      <c r="A2978" s="59"/>
      <c r="B2978" s="63"/>
      <c r="C2978" s="61"/>
      <c r="D2978" s="62"/>
      <c r="E2978" s="157"/>
      <c r="F2978" s="137"/>
      <c r="G2978" s="217"/>
    </row>
    <row r="2979" spans="1:7" s="30" customFormat="1" ht="14.45">
      <c r="A2979" s="59"/>
      <c r="B2979" s="39" t="s">
        <v>3176</v>
      </c>
      <c r="C2979" s="61"/>
      <c r="D2979" s="62"/>
      <c r="E2979" s="157"/>
      <c r="F2979" s="137">
        <f>F1807</f>
        <v>97753.919999999998</v>
      </c>
      <c r="G2979" s="217"/>
    </row>
    <row r="2980" spans="1:7" s="30" customFormat="1" ht="14.25" customHeight="1">
      <c r="A2980" s="59"/>
      <c r="B2980" s="63"/>
      <c r="C2980" s="61"/>
      <c r="D2980" s="62"/>
      <c r="E2980" s="157"/>
      <c r="F2980" s="137"/>
      <c r="G2980" s="217"/>
    </row>
    <row r="2981" spans="1:7" s="30" customFormat="1" ht="14.45">
      <c r="A2981" s="59"/>
      <c r="B2981" s="39" t="s">
        <v>3177</v>
      </c>
      <c r="C2981" s="61"/>
      <c r="D2981" s="62"/>
      <c r="E2981" s="157"/>
      <c r="F2981" s="137">
        <f>F1856</f>
        <v>86889.36000000003</v>
      </c>
      <c r="G2981" s="217"/>
    </row>
    <row r="2982" spans="1:7" s="30" customFormat="1" ht="14.25" customHeight="1">
      <c r="A2982" s="59"/>
      <c r="B2982" s="63"/>
      <c r="C2982" s="61"/>
      <c r="D2982" s="62"/>
      <c r="E2982" s="157"/>
      <c r="F2982" s="137"/>
      <c r="G2982" s="217"/>
    </row>
    <row r="2983" spans="1:7" s="30" customFormat="1" ht="14.45">
      <c r="A2983" s="59"/>
      <c r="B2983" s="39" t="s">
        <v>3178</v>
      </c>
      <c r="C2983" s="61"/>
      <c r="D2983" s="62"/>
      <c r="E2983" s="157"/>
      <c r="F2983" s="137">
        <f>F1906</f>
        <v>92919.200000000026</v>
      </c>
      <c r="G2983" s="217"/>
    </row>
    <row r="2984" spans="1:7" s="30" customFormat="1" ht="14.25" customHeight="1">
      <c r="A2984" s="59"/>
      <c r="B2984" s="63"/>
      <c r="C2984" s="61"/>
      <c r="D2984" s="62"/>
      <c r="E2984" s="157"/>
      <c r="F2984" s="137"/>
      <c r="G2984" s="217"/>
    </row>
    <row r="2985" spans="1:7" s="30" customFormat="1" ht="14.45">
      <c r="A2985" s="59"/>
      <c r="B2985" s="39" t="s">
        <v>3179</v>
      </c>
      <c r="C2985" s="61"/>
      <c r="D2985" s="62"/>
      <c r="E2985" s="157"/>
      <c r="F2985" s="137">
        <f>F1956</f>
        <v>92919.200000000026</v>
      </c>
      <c r="G2985" s="217"/>
    </row>
    <row r="2986" spans="1:7" s="30" customFormat="1" ht="14.45">
      <c r="A2986" s="59"/>
      <c r="B2986" s="63"/>
      <c r="C2986" s="61"/>
      <c r="D2986" s="62"/>
      <c r="E2986" s="157"/>
      <c r="F2986" s="137"/>
      <c r="G2986" s="217"/>
    </row>
    <row r="2987" spans="1:7" s="30" customFormat="1" ht="14.45">
      <c r="A2987" s="59"/>
      <c r="B2987" s="39" t="s">
        <v>3180</v>
      </c>
      <c r="C2987" s="61"/>
      <c r="D2987" s="62"/>
      <c r="E2987" s="157"/>
      <c r="F2987" s="137">
        <f>F2004</f>
        <v>84472.000000000015</v>
      </c>
      <c r="G2987" s="217"/>
    </row>
    <row r="2988" spans="1:7" s="30" customFormat="1" ht="14.45">
      <c r="A2988" s="71"/>
      <c r="B2988" s="72"/>
      <c r="C2988" s="73"/>
      <c r="D2988" s="74"/>
      <c r="E2988" s="159"/>
      <c r="F2988" s="138"/>
      <c r="G2988" s="226"/>
    </row>
    <row r="2989" spans="1:7" s="30" customFormat="1" ht="14.45">
      <c r="A2989" s="75"/>
      <c r="B2989" s="76"/>
      <c r="C2989" s="77" t="s">
        <v>30</v>
      </c>
      <c r="D2989" s="77"/>
      <c r="E2989" s="160" t="s">
        <v>8</v>
      </c>
      <c r="F2989" s="139">
        <f>SUM(F2945:F2987)</f>
        <v>17825292.080000009</v>
      </c>
      <c r="G2989" s="227"/>
    </row>
    <row r="2990" spans="1:7" s="30" customFormat="1" ht="14.45">
      <c r="A2990" s="75"/>
      <c r="B2990" s="76"/>
      <c r="C2990" s="78"/>
      <c r="D2990" s="79"/>
      <c r="E2990" s="161"/>
      <c r="F2990" s="140"/>
      <c r="G2990" s="228"/>
    </row>
    <row r="2991" spans="1:7" s="30" customFormat="1" ht="14.45">
      <c r="A2991" s="59"/>
      <c r="B2991" s="63"/>
      <c r="C2991" s="61"/>
      <c r="D2991" s="62"/>
      <c r="E2991" s="157"/>
      <c r="F2991" s="137"/>
      <c r="G2991" s="217"/>
    </row>
    <row r="2992" spans="1:7" s="30" customFormat="1" ht="14.45">
      <c r="A2992" s="59"/>
      <c r="B2992" s="38" t="s">
        <v>109</v>
      </c>
      <c r="C2992" s="61"/>
      <c r="D2992" s="62"/>
      <c r="E2992" s="157"/>
      <c r="F2992" s="137"/>
      <c r="G2992" s="217"/>
    </row>
    <row r="2993" spans="1:7" s="30" customFormat="1" ht="14.45">
      <c r="A2993" s="59"/>
      <c r="B2993" s="63"/>
      <c r="C2993" s="61"/>
      <c r="D2993" s="62"/>
      <c r="E2993" s="157"/>
      <c r="F2993" s="137"/>
      <c r="G2993" s="217"/>
    </row>
    <row r="2994" spans="1:7" s="30" customFormat="1" ht="14.45">
      <c r="A2994" s="59"/>
      <c r="B2994" s="63" t="s">
        <v>1914</v>
      </c>
      <c r="C2994" s="61"/>
      <c r="D2994" s="62"/>
      <c r="E2994" s="157"/>
      <c r="F2994" s="137">
        <f>+F2989</f>
        <v>17825292.080000009</v>
      </c>
      <c r="G2994" s="217"/>
    </row>
    <row r="2995" spans="1:7" s="30" customFormat="1" ht="14.45">
      <c r="A2995" s="59"/>
      <c r="B2995" s="63"/>
      <c r="C2995" s="61"/>
      <c r="D2995" s="62"/>
      <c r="E2995" s="157"/>
      <c r="F2995" s="137"/>
      <c r="G2995" s="217"/>
    </row>
    <row r="2996" spans="1:7" s="30" customFormat="1" ht="14.45">
      <c r="A2996" s="59"/>
      <c r="B2996" s="39" t="s">
        <v>3181</v>
      </c>
      <c r="C2996" s="61"/>
      <c r="D2996" s="62"/>
      <c r="E2996" s="157"/>
      <c r="F2996" s="137">
        <f>F2049</f>
        <v>1687229.79</v>
      </c>
      <c r="G2996" s="217"/>
    </row>
    <row r="2997" spans="1:7" s="30" customFormat="1" ht="14.45">
      <c r="A2997" s="59"/>
      <c r="B2997" s="63"/>
      <c r="C2997" s="61"/>
      <c r="D2997" s="62"/>
      <c r="E2997" s="157"/>
      <c r="F2997" s="137"/>
      <c r="G2997" s="217"/>
    </row>
    <row r="2998" spans="1:7" s="30" customFormat="1" ht="14.45">
      <c r="A2998" s="59"/>
      <c r="B2998" s="39" t="s">
        <v>3182</v>
      </c>
      <c r="C2998" s="61"/>
      <c r="D2998" s="62"/>
      <c r="E2998" s="157"/>
      <c r="F2998" s="137">
        <f>F2094</f>
        <v>1823988.5900000003</v>
      </c>
      <c r="G2998" s="217"/>
    </row>
    <row r="2999" spans="1:7" s="30" customFormat="1" ht="14.45">
      <c r="A2999" s="59"/>
      <c r="B2999" s="63"/>
      <c r="C2999" s="61"/>
      <c r="D2999" s="62"/>
      <c r="E2999" s="157"/>
      <c r="F2999" s="137"/>
      <c r="G2999" s="217"/>
    </row>
    <row r="3000" spans="1:7" s="30" customFormat="1" ht="14.45">
      <c r="A3000" s="59"/>
      <c r="B3000" s="39" t="s">
        <v>3183</v>
      </c>
      <c r="C3000" s="61"/>
      <c r="D3000" s="62"/>
      <c r="E3000" s="157"/>
      <c r="F3000" s="137">
        <f>F2136</f>
        <v>969116.95</v>
      </c>
      <c r="G3000" s="217"/>
    </row>
    <row r="3001" spans="1:7" s="30" customFormat="1" ht="14.45">
      <c r="A3001" s="59"/>
      <c r="B3001" s="63"/>
      <c r="C3001" s="61"/>
      <c r="D3001" s="62"/>
      <c r="E3001" s="157"/>
      <c r="F3001" s="137"/>
      <c r="G3001" s="217"/>
    </row>
    <row r="3002" spans="1:7" s="30" customFormat="1" ht="14.45">
      <c r="A3002" s="59"/>
      <c r="B3002" s="39" t="s">
        <v>3184</v>
      </c>
      <c r="C3002" s="61"/>
      <c r="D3002" s="62"/>
      <c r="E3002" s="157"/>
      <c r="F3002" s="137">
        <f>F2182</f>
        <v>272669.26</v>
      </c>
      <c r="G3002" s="217"/>
    </row>
    <row r="3003" spans="1:7" s="30" customFormat="1" ht="14.45">
      <c r="A3003" s="59"/>
      <c r="B3003" s="63"/>
      <c r="C3003" s="61"/>
      <c r="D3003" s="62"/>
      <c r="E3003" s="157"/>
      <c r="F3003" s="137"/>
      <c r="G3003" s="217"/>
    </row>
    <row r="3004" spans="1:7" s="30" customFormat="1" ht="14.45">
      <c r="A3004" s="59"/>
      <c r="B3004" s="39" t="s">
        <v>3185</v>
      </c>
      <c r="C3004" s="61"/>
      <c r="D3004" s="62"/>
      <c r="E3004" s="157"/>
      <c r="F3004" s="137">
        <f>F2219</f>
        <v>11626141.92</v>
      </c>
      <c r="G3004" s="217"/>
    </row>
    <row r="3005" spans="1:7" s="30" customFormat="1" ht="14.45">
      <c r="A3005" s="59"/>
      <c r="B3005" s="63"/>
      <c r="C3005" s="61"/>
      <c r="D3005" s="62"/>
      <c r="E3005" s="157"/>
      <c r="F3005" s="137"/>
      <c r="G3005" s="217"/>
    </row>
    <row r="3006" spans="1:7" s="30" customFormat="1" ht="14.45">
      <c r="A3006" s="59"/>
      <c r="B3006" s="39" t="s">
        <v>3186</v>
      </c>
      <c r="C3006" s="61"/>
      <c r="D3006" s="62"/>
      <c r="E3006" s="157"/>
      <c r="F3006" s="137">
        <f>F2254</f>
        <v>1331496.68</v>
      </c>
      <c r="G3006" s="217"/>
    </row>
    <row r="3007" spans="1:7" s="30" customFormat="1" ht="14.45">
      <c r="A3007" s="59"/>
      <c r="B3007" s="63"/>
      <c r="C3007" s="61"/>
      <c r="D3007" s="62"/>
      <c r="E3007" s="157"/>
      <c r="F3007" s="137"/>
      <c r="G3007" s="217"/>
    </row>
    <row r="3008" spans="1:7" s="30" customFormat="1" ht="14.45">
      <c r="A3008" s="59"/>
      <c r="B3008" s="39" t="s">
        <v>3187</v>
      </c>
      <c r="C3008" s="61"/>
      <c r="D3008" s="62"/>
      <c r="E3008" s="157"/>
      <c r="F3008" s="137">
        <f>F2289</f>
        <v>7269224.3100000005</v>
      </c>
      <c r="G3008" s="217"/>
    </row>
    <row r="3009" spans="1:7" s="30" customFormat="1" ht="9" customHeight="1">
      <c r="A3009" s="59"/>
      <c r="B3009" s="63"/>
      <c r="C3009" s="61"/>
      <c r="D3009" s="62"/>
      <c r="E3009" s="157"/>
      <c r="F3009" s="137"/>
      <c r="G3009" s="217"/>
    </row>
    <row r="3010" spans="1:7" s="30" customFormat="1" ht="14.45">
      <c r="A3010" s="59"/>
      <c r="B3010" s="39" t="s">
        <v>3188</v>
      </c>
      <c r="C3010" s="61"/>
      <c r="D3010" s="62"/>
      <c r="E3010" s="157"/>
      <c r="F3010" s="137">
        <f>F2323</f>
        <v>3094146.7399999993</v>
      </c>
      <c r="G3010" s="217"/>
    </row>
    <row r="3011" spans="1:7" s="30" customFormat="1" ht="10.5" customHeight="1">
      <c r="A3011" s="59"/>
      <c r="B3011" s="63"/>
      <c r="C3011" s="61"/>
      <c r="D3011" s="62"/>
      <c r="E3011" s="157"/>
      <c r="F3011" s="137"/>
      <c r="G3011" s="217"/>
    </row>
    <row r="3012" spans="1:7" s="30" customFormat="1" ht="14.45">
      <c r="A3012" s="59"/>
      <c r="B3012" s="39" t="s">
        <v>3189</v>
      </c>
      <c r="C3012" s="61"/>
      <c r="D3012" s="62"/>
      <c r="E3012" s="157"/>
      <c r="F3012" s="137">
        <f>F2351</f>
        <v>601367.53</v>
      </c>
      <c r="G3012" s="217"/>
    </row>
    <row r="3013" spans="1:7" s="30" customFormat="1" ht="9.75" customHeight="1">
      <c r="A3013" s="59"/>
      <c r="B3013" s="63"/>
      <c r="C3013" s="61"/>
      <c r="D3013" s="62"/>
      <c r="E3013" s="157"/>
      <c r="F3013" s="137"/>
      <c r="G3013" s="217"/>
    </row>
    <row r="3014" spans="1:7" s="30" customFormat="1" ht="14.45">
      <c r="A3014" s="59"/>
      <c r="B3014" s="39" t="s">
        <v>3190</v>
      </c>
      <c r="C3014" s="61"/>
      <c r="D3014" s="62"/>
      <c r="E3014" s="157"/>
      <c r="F3014" s="137">
        <f>F2388</f>
        <v>3981112.8</v>
      </c>
      <c r="G3014" s="217"/>
    </row>
    <row r="3015" spans="1:7" s="30" customFormat="1" ht="14.45">
      <c r="A3015" s="59"/>
      <c r="B3015" s="63"/>
      <c r="C3015" s="61"/>
      <c r="D3015" s="62"/>
      <c r="E3015" s="157"/>
      <c r="F3015" s="137"/>
      <c r="G3015" s="217"/>
    </row>
    <row r="3016" spans="1:7" s="30" customFormat="1" ht="14.45">
      <c r="A3016" s="59"/>
      <c r="B3016" s="39" t="s">
        <v>3191</v>
      </c>
      <c r="C3016" s="61"/>
      <c r="D3016" s="62"/>
      <c r="E3016" s="157"/>
      <c r="F3016" s="137">
        <f>F2414</f>
        <v>4738683.96</v>
      </c>
      <c r="G3016" s="217"/>
    </row>
    <row r="3017" spans="1:7" s="30" customFormat="1" ht="14.45">
      <c r="A3017" s="59"/>
      <c r="B3017" s="63"/>
      <c r="C3017" s="61"/>
      <c r="D3017" s="62"/>
      <c r="E3017" s="157"/>
      <c r="F3017" s="137"/>
      <c r="G3017" s="217"/>
    </row>
    <row r="3018" spans="1:7" s="30" customFormat="1" ht="14.45">
      <c r="A3018" s="59"/>
      <c r="B3018" s="39" t="s">
        <v>3192</v>
      </c>
      <c r="C3018" s="61"/>
      <c r="D3018" s="62"/>
      <c r="E3018" s="157"/>
      <c r="F3018" s="137">
        <f>F2455</f>
        <v>271421.52</v>
      </c>
      <c r="G3018" s="217"/>
    </row>
    <row r="3019" spans="1:7" s="30" customFormat="1" ht="14.45">
      <c r="A3019" s="59"/>
      <c r="B3019" s="63"/>
      <c r="C3019" s="61"/>
      <c r="D3019" s="62"/>
      <c r="E3019" s="157"/>
      <c r="F3019" s="137"/>
      <c r="G3019" s="217"/>
    </row>
    <row r="3020" spans="1:7" s="30" customFormat="1" ht="14.45">
      <c r="A3020" s="59"/>
      <c r="B3020" s="39" t="s">
        <v>3193</v>
      </c>
      <c r="C3020" s="61"/>
      <c r="D3020" s="62"/>
      <c r="E3020" s="157"/>
      <c r="F3020" s="137">
        <f>F2499</f>
        <v>2465606.0100000007</v>
      </c>
      <c r="G3020" s="217"/>
    </row>
    <row r="3021" spans="1:7" s="30" customFormat="1" ht="6.75" customHeight="1">
      <c r="A3021" s="59"/>
      <c r="B3021" s="63"/>
      <c r="C3021" s="61"/>
      <c r="D3021" s="62"/>
      <c r="E3021" s="157"/>
      <c r="F3021" s="137"/>
      <c r="G3021" s="217"/>
    </row>
    <row r="3022" spans="1:7" s="30" customFormat="1" ht="14.45">
      <c r="A3022" s="59"/>
      <c r="B3022" s="39" t="s">
        <v>3194</v>
      </c>
      <c r="C3022" s="61"/>
      <c r="D3022" s="62"/>
      <c r="E3022" s="157"/>
      <c r="F3022" s="137">
        <f>F2544</f>
        <v>1822351.51</v>
      </c>
      <c r="G3022" s="217"/>
    </row>
    <row r="3023" spans="1:7" s="30" customFormat="1" ht="9" customHeight="1">
      <c r="A3023" s="59"/>
      <c r="B3023" s="63"/>
      <c r="C3023" s="61"/>
      <c r="D3023" s="62"/>
      <c r="E3023" s="157"/>
      <c r="F3023" s="137"/>
      <c r="G3023" s="217"/>
    </row>
    <row r="3024" spans="1:7" s="30" customFormat="1" ht="14.45">
      <c r="A3024" s="59"/>
      <c r="B3024" s="39" t="s">
        <v>3195</v>
      </c>
      <c r="C3024" s="61"/>
      <c r="D3024" s="62"/>
      <c r="E3024" s="157"/>
      <c r="F3024" s="137">
        <f>F2580</f>
        <v>0</v>
      </c>
      <c r="G3024" s="217"/>
    </row>
    <row r="3025" spans="1:7" s="30" customFormat="1" ht="14.45">
      <c r="A3025" s="59"/>
      <c r="B3025" s="63"/>
      <c r="C3025" s="61"/>
      <c r="D3025" s="62"/>
      <c r="E3025" s="157"/>
      <c r="F3025" s="137"/>
      <c r="G3025" s="217"/>
    </row>
    <row r="3026" spans="1:7" s="30" customFormat="1" ht="14.45">
      <c r="A3026" s="59"/>
      <c r="B3026" s="39" t="s">
        <v>3196</v>
      </c>
      <c r="C3026" s="61"/>
      <c r="D3026" s="62"/>
      <c r="E3026" s="157"/>
      <c r="F3026" s="137">
        <f>F2619</f>
        <v>6773368.6999999993</v>
      </c>
      <c r="G3026" s="217"/>
    </row>
    <row r="3027" spans="1:7" s="30" customFormat="1" ht="14.45">
      <c r="A3027" s="59"/>
      <c r="B3027" s="63"/>
      <c r="C3027" s="61"/>
      <c r="D3027" s="62"/>
      <c r="E3027" s="157"/>
      <c r="F3027" s="137"/>
      <c r="G3027" s="217"/>
    </row>
    <row r="3028" spans="1:7" s="30" customFormat="1" ht="14.45">
      <c r="A3028" s="59"/>
      <c r="B3028" s="39" t="s">
        <v>3197</v>
      </c>
      <c r="C3028" s="61"/>
      <c r="D3028" s="62"/>
      <c r="E3028" s="157"/>
      <c r="F3028" s="137">
        <f>F2663</f>
        <v>2687725.33</v>
      </c>
      <c r="G3028" s="217"/>
    </row>
    <row r="3029" spans="1:7" s="30" customFormat="1" ht="14.45">
      <c r="A3029" s="59"/>
      <c r="B3029" s="63"/>
      <c r="C3029" s="61"/>
      <c r="D3029" s="62"/>
      <c r="E3029" s="157"/>
      <c r="F3029" s="137"/>
      <c r="G3029" s="217"/>
    </row>
    <row r="3030" spans="1:7" s="30" customFormat="1" ht="14.45">
      <c r="A3030" s="59"/>
      <c r="B3030" s="39" t="s">
        <v>3198</v>
      </c>
      <c r="C3030" s="61"/>
      <c r="D3030" s="62"/>
      <c r="E3030" s="157"/>
      <c r="F3030" s="137">
        <f>F2700</f>
        <v>3117694.7399999998</v>
      </c>
      <c r="G3030" s="217"/>
    </row>
    <row r="3031" spans="1:7" s="30" customFormat="1" ht="14.45">
      <c r="A3031" s="59"/>
      <c r="B3031" s="63"/>
      <c r="C3031" s="61"/>
      <c r="D3031" s="62"/>
      <c r="E3031" s="157"/>
      <c r="F3031" s="137"/>
      <c r="G3031" s="217"/>
    </row>
    <row r="3032" spans="1:7" s="30" customFormat="1" ht="14.45">
      <c r="A3032" s="59"/>
      <c r="B3032" s="39" t="s">
        <v>3199</v>
      </c>
      <c r="C3032" s="61"/>
      <c r="D3032" s="62"/>
      <c r="E3032" s="157"/>
      <c r="F3032" s="137">
        <f>F2746</f>
        <v>0</v>
      </c>
      <c r="G3032" s="217"/>
    </row>
    <row r="3033" spans="1:7" s="30" customFormat="1" ht="14.45">
      <c r="A3033" s="59"/>
      <c r="B3033" s="63"/>
      <c r="C3033" s="61"/>
      <c r="D3033" s="62"/>
      <c r="E3033" s="157"/>
      <c r="F3033" s="137"/>
      <c r="G3033" s="217"/>
    </row>
    <row r="3034" spans="1:7" s="30" customFormat="1" ht="14.45">
      <c r="A3034" s="59"/>
      <c r="B3034" s="39" t="s">
        <v>3200</v>
      </c>
      <c r="C3034" s="61"/>
      <c r="D3034" s="62"/>
      <c r="E3034" s="157"/>
      <c r="F3034" s="137">
        <f>F2775</f>
        <v>1741808.37</v>
      </c>
      <c r="G3034" s="217"/>
    </row>
    <row r="3035" spans="1:7" s="30" customFormat="1" ht="14.45">
      <c r="A3035" s="59"/>
      <c r="B3035" s="63"/>
      <c r="C3035" s="61"/>
      <c r="D3035" s="62"/>
      <c r="E3035" s="157"/>
      <c r="F3035" s="137"/>
      <c r="G3035" s="217"/>
    </row>
    <row r="3036" spans="1:7" s="30" customFormat="1" ht="14.45">
      <c r="A3036" s="59"/>
      <c r="B3036" s="39" t="s">
        <v>3201</v>
      </c>
      <c r="C3036" s="61"/>
      <c r="D3036" s="62"/>
      <c r="E3036" s="157"/>
      <c r="F3036" s="137">
        <f>F2802</f>
        <v>583787.9</v>
      </c>
      <c r="G3036" s="217"/>
    </row>
    <row r="3037" spans="1:7" s="30" customFormat="1" ht="14.45">
      <c r="A3037" s="59"/>
      <c r="B3037" s="63"/>
      <c r="C3037" s="61"/>
      <c r="D3037" s="62"/>
      <c r="E3037" s="157"/>
      <c r="F3037" s="137"/>
      <c r="G3037" s="217"/>
    </row>
    <row r="3038" spans="1:7" s="30" customFormat="1" ht="14.45">
      <c r="A3038" s="71"/>
      <c r="B3038" s="72"/>
      <c r="C3038" s="73"/>
      <c r="D3038" s="74"/>
      <c r="E3038" s="159"/>
      <c r="F3038" s="138"/>
      <c r="G3038" s="226"/>
    </row>
    <row r="3039" spans="1:7" s="30" customFormat="1" ht="14.45">
      <c r="A3039" s="75"/>
      <c r="B3039" s="76"/>
      <c r="C3039" s="77" t="s">
        <v>30</v>
      </c>
      <c r="D3039" s="77"/>
      <c r="E3039" s="160" t="s">
        <v>8</v>
      </c>
      <c r="F3039" s="139">
        <f>SUM(F2993:F3036)</f>
        <v>74684234.690000013</v>
      </c>
      <c r="G3039" s="227"/>
    </row>
    <row r="3040" spans="1:7" s="30" customFormat="1" ht="14.45">
      <c r="A3040" s="75"/>
      <c r="B3040" s="76"/>
      <c r="C3040" s="78"/>
      <c r="D3040" s="79"/>
      <c r="E3040" s="161"/>
      <c r="F3040" s="140"/>
      <c r="G3040" s="228"/>
    </row>
    <row r="3041" spans="1:7">
      <c r="A3041" s="59"/>
      <c r="B3041" s="63"/>
      <c r="C3041" s="61"/>
      <c r="D3041" s="62"/>
      <c r="E3041" s="157"/>
      <c r="F3041" s="137"/>
      <c r="G3041" s="217"/>
    </row>
    <row r="3042" spans="1:7">
      <c r="A3042" s="59"/>
      <c r="B3042" s="38" t="s">
        <v>109</v>
      </c>
      <c r="C3042" s="61"/>
      <c r="D3042" s="62"/>
      <c r="E3042" s="157"/>
      <c r="F3042" s="137"/>
      <c r="G3042" s="217"/>
    </row>
    <row r="3043" spans="1:7">
      <c r="A3043" s="59"/>
      <c r="B3043" s="63"/>
      <c r="C3043" s="61"/>
      <c r="D3043" s="62"/>
      <c r="E3043" s="157"/>
      <c r="F3043" s="137"/>
      <c r="G3043" s="217"/>
    </row>
    <row r="3044" spans="1:7">
      <c r="A3044" s="59"/>
      <c r="B3044" s="63" t="s">
        <v>1914</v>
      </c>
      <c r="C3044" s="61"/>
      <c r="D3044" s="62"/>
      <c r="E3044" s="157"/>
      <c r="F3044" s="137">
        <f>+F3039</f>
        <v>74684234.690000013</v>
      </c>
      <c r="G3044" s="217"/>
    </row>
    <row r="3045" spans="1:7">
      <c r="A3045" s="59"/>
      <c r="B3045" s="63"/>
      <c r="C3045" s="61"/>
      <c r="D3045" s="62"/>
      <c r="E3045" s="157"/>
      <c r="F3045" s="137"/>
      <c r="G3045" s="217"/>
    </row>
    <row r="3046" spans="1:7">
      <c r="A3046" s="59"/>
      <c r="B3046" s="39" t="s">
        <v>3202</v>
      </c>
      <c r="C3046" s="61"/>
      <c r="D3046" s="62"/>
      <c r="E3046" s="157"/>
      <c r="F3046" s="137">
        <f>F2844</f>
        <v>1887726.57</v>
      </c>
      <c r="G3046" s="217"/>
    </row>
    <row r="3047" spans="1:7">
      <c r="A3047" s="59"/>
      <c r="B3047" s="63"/>
      <c r="C3047" s="61"/>
      <c r="D3047" s="62"/>
      <c r="E3047" s="157"/>
      <c r="F3047" s="137"/>
      <c r="G3047" s="217"/>
    </row>
    <row r="3048" spans="1:7">
      <c r="A3048" s="59"/>
      <c r="B3048" s="39" t="s">
        <v>3203</v>
      </c>
      <c r="C3048" s="61"/>
      <c r="D3048" s="62"/>
      <c r="E3048" s="157"/>
      <c r="F3048" s="137">
        <f>F2890</f>
        <v>14815683.360000001</v>
      </c>
      <c r="G3048" s="217"/>
    </row>
    <row r="3049" spans="1:7">
      <c r="A3049" s="59"/>
      <c r="B3049" s="63"/>
      <c r="C3049" s="61"/>
      <c r="D3049" s="62"/>
      <c r="E3049" s="157"/>
      <c r="F3049" s="137"/>
      <c r="G3049" s="217"/>
    </row>
    <row r="3050" spans="1:7">
      <c r="A3050" s="59"/>
      <c r="B3050" s="39" t="s">
        <v>3204</v>
      </c>
      <c r="C3050" s="61"/>
      <c r="D3050" s="62"/>
      <c r="E3050" s="157"/>
      <c r="F3050" s="137"/>
      <c r="G3050" s="217"/>
    </row>
    <row r="3051" spans="1:7">
      <c r="A3051" s="59"/>
      <c r="B3051" s="63"/>
      <c r="C3051" s="61"/>
      <c r="D3051" s="62"/>
      <c r="E3051" s="157"/>
      <c r="F3051" s="137"/>
      <c r="G3051" s="217"/>
    </row>
    <row r="3052" spans="1:7">
      <c r="A3052" s="59"/>
      <c r="B3052" s="39" t="s">
        <v>3205</v>
      </c>
      <c r="C3052" s="61"/>
      <c r="D3052" s="62"/>
      <c r="E3052" s="157"/>
      <c r="F3052" s="137"/>
      <c r="G3052" s="217"/>
    </row>
    <row r="3053" spans="1:7">
      <c r="A3053" s="59"/>
      <c r="B3053" s="63"/>
      <c r="C3053" s="61"/>
      <c r="D3053" s="62"/>
      <c r="E3053" s="157"/>
      <c r="F3053" s="137"/>
      <c r="G3053" s="217"/>
    </row>
    <row r="3054" spans="1:7">
      <c r="A3054" s="59"/>
      <c r="B3054" s="39" t="s">
        <v>3206</v>
      </c>
      <c r="C3054" s="61"/>
      <c r="D3054" s="62"/>
      <c r="E3054" s="157"/>
      <c r="F3054" s="137"/>
      <c r="G3054" s="217"/>
    </row>
    <row r="3055" spans="1:7">
      <c r="A3055" s="59"/>
      <c r="B3055" s="63"/>
      <c r="C3055" s="61"/>
      <c r="D3055" s="62"/>
      <c r="E3055" s="157"/>
      <c r="F3055" s="137"/>
      <c r="G3055" s="217"/>
    </row>
    <row r="3056" spans="1:7">
      <c r="A3056" s="59"/>
      <c r="B3056" s="39"/>
      <c r="C3056" s="61"/>
      <c r="D3056" s="62"/>
      <c r="E3056" s="157"/>
      <c r="F3056" s="137"/>
      <c r="G3056" s="217"/>
    </row>
    <row r="3057" spans="1:7">
      <c r="A3057" s="59"/>
      <c r="B3057" s="63"/>
      <c r="C3057" s="61"/>
      <c r="D3057" s="62"/>
      <c r="E3057" s="157"/>
      <c r="F3057" s="137"/>
      <c r="G3057" s="217"/>
    </row>
    <row r="3058" spans="1:7">
      <c r="A3058" s="59"/>
      <c r="B3058" s="39"/>
      <c r="C3058" s="61"/>
      <c r="D3058" s="62"/>
      <c r="E3058" s="157"/>
      <c r="F3058" s="137"/>
      <c r="G3058" s="217"/>
    </row>
    <row r="3059" spans="1:7">
      <c r="A3059" s="59"/>
      <c r="B3059" s="63"/>
      <c r="C3059" s="61"/>
      <c r="D3059" s="62"/>
      <c r="E3059" s="157"/>
      <c r="F3059" s="137"/>
      <c r="G3059" s="217"/>
    </row>
    <row r="3060" spans="1:7">
      <c r="A3060" s="59"/>
      <c r="B3060" s="39"/>
      <c r="C3060" s="61"/>
      <c r="D3060" s="62"/>
      <c r="E3060" s="157"/>
      <c r="F3060" s="137"/>
      <c r="G3060" s="217"/>
    </row>
    <row r="3061" spans="1:7">
      <c r="A3061" s="59"/>
      <c r="B3061" s="63"/>
      <c r="C3061" s="61"/>
      <c r="D3061" s="62"/>
      <c r="E3061" s="157"/>
      <c r="F3061" s="137"/>
      <c r="G3061" s="217"/>
    </row>
    <row r="3062" spans="1:7">
      <c r="A3062" s="59"/>
      <c r="B3062" s="39"/>
      <c r="C3062" s="61"/>
      <c r="D3062" s="62"/>
      <c r="E3062" s="157"/>
      <c r="F3062" s="137"/>
      <c r="G3062" s="217"/>
    </row>
    <row r="3063" spans="1:7">
      <c r="A3063" s="59"/>
      <c r="B3063" s="63"/>
      <c r="C3063" s="61"/>
      <c r="D3063" s="62"/>
      <c r="E3063" s="157"/>
      <c r="F3063" s="137"/>
      <c r="G3063" s="217"/>
    </row>
    <row r="3064" spans="1:7">
      <c r="A3064" s="59"/>
      <c r="B3064" s="39"/>
      <c r="C3064" s="61"/>
      <c r="D3064" s="62"/>
      <c r="E3064" s="157"/>
      <c r="F3064" s="137"/>
      <c r="G3064" s="217"/>
    </row>
    <row r="3065" spans="1:7">
      <c r="A3065" s="59"/>
      <c r="B3065" s="63"/>
      <c r="C3065" s="61"/>
      <c r="D3065" s="62"/>
      <c r="E3065" s="157"/>
      <c r="F3065" s="137"/>
      <c r="G3065" s="217"/>
    </row>
    <row r="3066" spans="1:7">
      <c r="A3066" s="59"/>
      <c r="B3066" s="39"/>
      <c r="C3066" s="61"/>
      <c r="D3066" s="62"/>
      <c r="E3066" s="157"/>
      <c r="F3066" s="137"/>
      <c r="G3066" s="217"/>
    </row>
    <row r="3067" spans="1:7">
      <c r="A3067" s="59"/>
      <c r="B3067" s="63"/>
      <c r="C3067" s="61"/>
      <c r="D3067" s="62"/>
      <c r="E3067" s="157"/>
      <c r="F3067" s="137"/>
      <c r="G3067" s="217"/>
    </row>
    <row r="3068" spans="1:7">
      <c r="A3068" s="59"/>
      <c r="B3068" s="39"/>
      <c r="C3068" s="61"/>
      <c r="D3068" s="62"/>
      <c r="E3068" s="157"/>
      <c r="F3068" s="137"/>
      <c r="G3068" s="217"/>
    </row>
    <row r="3069" spans="1:7">
      <c r="A3069" s="59"/>
      <c r="B3069" s="63"/>
      <c r="C3069" s="61"/>
      <c r="D3069" s="62"/>
      <c r="E3069" s="157"/>
      <c r="F3069" s="137"/>
      <c r="G3069" s="217"/>
    </row>
    <row r="3070" spans="1:7">
      <c r="A3070" s="59"/>
      <c r="B3070" s="39"/>
      <c r="C3070" s="61"/>
      <c r="D3070" s="62"/>
      <c r="E3070" s="157"/>
      <c r="F3070" s="137"/>
      <c r="G3070" s="217"/>
    </row>
    <row r="3071" spans="1:7">
      <c r="A3071" s="59"/>
      <c r="B3071" s="63"/>
      <c r="C3071" s="61"/>
      <c r="D3071" s="62"/>
      <c r="E3071" s="157"/>
      <c r="F3071" s="137"/>
      <c r="G3071" s="217"/>
    </row>
    <row r="3072" spans="1:7">
      <c r="A3072" s="59"/>
      <c r="B3072" s="39"/>
      <c r="C3072" s="61"/>
      <c r="D3072" s="62"/>
      <c r="E3072" s="157"/>
      <c r="F3072" s="137"/>
      <c r="G3072" s="217"/>
    </row>
    <row r="3073" spans="1:7">
      <c r="A3073" s="59"/>
      <c r="B3073" s="63"/>
      <c r="C3073" s="61"/>
      <c r="D3073" s="62"/>
      <c r="E3073" s="157"/>
      <c r="F3073" s="137"/>
      <c r="G3073" s="217"/>
    </row>
    <row r="3074" spans="1:7">
      <c r="A3074" s="59"/>
      <c r="B3074" s="39"/>
      <c r="C3074" s="61"/>
      <c r="D3074" s="62"/>
      <c r="E3074" s="157"/>
      <c r="F3074" s="137"/>
      <c r="G3074" s="217"/>
    </row>
    <row r="3075" spans="1:7">
      <c r="A3075" s="59"/>
      <c r="B3075" s="63"/>
      <c r="C3075" s="61"/>
      <c r="D3075" s="62"/>
      <c r="E3075" s="157"/>
      <c r="F3075" s="137"/>
      <c r="G3075" s="217"/>
    </row>
    <row r="3076" spans="1:7">
      <c r="A3076" s="59"/>
      <c r="B3076" s="39"/>
      <c r="C3076" s="61"/>
      <c r="D3076" s="62"/>
      <c r="E3076" s="157"/>
      <c r="F3076" s="137"/>
      <c r="G3076" s="217"/>
    </row>
    <row r="3077" spans="1:7">
      <c r="A3077" s="59"/>
      <c r="B3077" s="63"/>
      <c r="C3077" s="61"/>
      <c r="D3077" s="62"/>
      <c r="E3077" s="157"/>
      <c r="F3077" s="137"/>
      <c r="G3077" s="217"/>
    </row>
    <row r="3078" spans="1:7">
      <c r="A3078" s="59"/>
      <c r="B3078" s="39"/>
      <c r="C3078" s="61"/>
      <c r="D3078" s="62"/>
      <c r="E3078" s="157"/>
      <c r="F3078" s="137"/>
      <c r="G3078" s="217"/>
    </row>
    <row r="3079" spans="1:7">
      <c r="A3079" s="59"/>
      <c r="B3079" s="63"/>
      <c r="C3079" s="61"/>
      <c r="D3079" s="62"/>
      <c r="E3079" s="157"/>
      <c r="F3079" s="137"/>
      <c r="G3079" s="217"/>
    </row>
    <row r="3080" spans="1:7">
      <c r="A3080" s="59"/>
      <c r="B3080" s="97"/>
      <c r="C3080" s="61"/>
      <c r="D3080" s="62"/>
      <c r="E3080" s="157"/>
      <c r="F3080" s="137"/>
      <c r="G3080" s="217"/>
    </row>
    <row r="3081" spans="1:7">
      <c r="A3081" s="59"/>
      <c r="B3081" s="39"/>
      <c r="C3081" s="61"/>
      <c r="D3081" s="62"/>
      <c r="E3081" s="157"/>
      <c r="F3081" s="137"/>
      <c r="G3081" s="217"/>
    </row>
    <row r="3082" spans="1:7">
      <c r="A3082" s="59"/>
      <c r="B3082" s="63"/>
      <c r="C3082" s="61"/>
      <c r="D3082" s="62"/>
      <c r="E3082" s="157"/>
      <c r="F3082" s="137"/>
      <c r="G3082" s="217"/>
    </row>
    <row r="3083" spans="1:7">
      <c r="A3083" s="59"/>
      <c r="B3083" s="39"/>
      <c r="C3083" s="61"/>
      <c r="D3083" s="62"/>
      <c r="E3083" s="157"/>
      <c r="F3083" s="137"/>
      <c r="G3083" s="217"/>
    </row>
    <row r="3084" spans="1:7">
      <c r="A3084" s="59"/>
      <c r="B3084" s="63"/>
      <c r="C3084" s="61"/>
      <c r="D3084" s="62"/>
      <c r="E3084" s="157"/>
      <c r="F3084" s="137"/>
      <c r="G3084" s="217"/>
    </row>
    <row r="3085" spans="1:7">
      <c r="A3085" s="59"/>
      <c r="B3085" s="39"/>
      <c r="C3085" s="61"/>
      <c r="D3085" s="62"/>
      <c r="E3085" s="157"/>
      <c r="F3085" s="137"/>
      <c r="G3085" s="217"/>
    </row>
    <row r="3086" spans="1:7">
      <c r="A3086" s="59"/>
      <c r="B3086" s="63"/>
      <c r="C3086" s="61"/>
      <c r="D3086" s="62"/>
      <c r="E3086" s="157"/>
      <c r="F3086" s="137"/>
      <c r="G3086" s="217"/>
    </row>
    <row r="3087" spans="1:7">
      <c r="A3087" s="59"/>
      <c r="B3087" s="39"/>
      <c r="C3087" s="61"/>
      <c r="D3087" s="62"/>
      <c r="E3087" s="157"/>
      <c r="F3087" s="137"/>
      <c r="G3087" s="217"/>
    </row>
    <row r="3088" spans="1:7">
      <c r="A3088" s="59"/>
      <c r="B3088" s="63"/>
      <c r="C3088" s="61"/>
      <c r="D3088" s="62"/>
      <c r="E3088" s="157"/>
      <c r="F3088" s="137"/>
      <c r="G3088" s="217"/>
    </row>
    <row r="3089" spans="1:7">
      <c r="A3089" s="71"/>
      <c r="B3089" s="72"/>
      <c r="C3089" s="73"/>
      <c r="D3089" s="74"/>
      <c r="E3089" s="159"/>
      <c r="F3089" s="138"/>
      <c r="G3089" s="226"/>
    </row>
    <row r="3090" spans="1:7">
      <c r="A3090" s="75"/>
      <c r="B3090" s="76"/>
      <c r="C3090" s="77" t="s">
        <v>116</v>
      </c>
      <c r="D3090" s="77"/>
      <c r="E3090" s="160" t="s">
        <v>8</v>
      </c>
      <c r="F3090" s="139">
        <f>SUM(F3042:F3065)</f>
        <v>91387644.620000005</v>
      </c>
      <c r="G3090" s="227"/>
    </row>
    <row r="3091" spans="1:7">
      <c r="A3091" s="75"/>
      <c r="B3091" s="76"/>
      <c r="C3091" s="78"/>
      <c r="D3091" s="79"/>
      <c r="E3091" s="161"/>
      <c r="F3091" s="140"/>
      <c r="G3091" s="228"/>
    </row>
  </sheetData>
  <autoFilter ref="A1:G3091" xr:uid="{E618C83C-50A5-4441-B417-D74E9EA416CD}"/>
  <customSheetViews>
    <customSheetView guid="{3432A39B-C5E3-4DF0-8655-3886C046AF9C}" showPageBreaks="1" printArea="1" showAutoFilter="1" view="pageBreakPreview">
      <pane xSplit="4" ySplit="2" topLeftCell="E2870" activePane="bottomRight" state="frozen"/>
      <selection pane="bottomRight" activeCell="F2870" sqref="F2870"/>
      <rowBreaks count="69" manualBreakCount="69">
        <brk id="41" max="5" man="1"/>
        <brk id="89" max="5" man="1"/>
        <brk id="136" max="5" man="1"/>
        <brk id="183" max="5" man="1"/>
        <brk id="230" max="5" man="1"/>
        <brk id="279" max="5" man="1"/>
        <brk id="322" max="5" man="1"/>
        <brk id="372" max="5" man="1"/>
        <brk id="418" max="5" man="1"/>
        <brk id="466" max="5" man="1"/>
        <brk id="510" max="5" man="1"/>
        <brk id="554" max="5" man="1"/>
        <brk id="599" max="5" man="1"/>
        <brk id="642" max="5" man="1"/>
        <brk id="684" max="5" man="1"/>
        <brk id="726" max="5" man="1"/>
        <brk id="770" max="5" man="1"/>
        <brk id="810" max="5" man="1"/>
        <brk id="847" max="5" man="1"/>
        <brk id="883" max="5" man="1"/>
        <brk id="924" max="5" man="1"/>
        <brk id="966" max="5" man="1"/>
        <brk id="1013" max="5" man="1"/>
        <brk id="1063" max="5" man="1"/>
        <brk id="1110" max="5" man="1"/>
        <brk id="1160" max="5" man="1"/>
        <brk id="1210" max="5" man="1"/>
        <brk id="1260" max="5" man="1"/>
        <brk id="1308" max="5" man="1"/>
        <brk id="1358" max="5" man="1"/>
        <brk id="1405" max="5" man="1"/>
        <brk id="1455" max="5" man="1"/>
        <brk id="1505" max="5" man="1"/>
        <brk id="1555" max="5" man="1"/>
        <brk id="1605" max="5" man="1"/>
        <brk id="1655" max="5" man="1"/>
        <brk id="1705" max="5" man="1"/>
        <brk id="1755" max="5" man="1"/>
        <brk id="1805" max="5" man="1"/>
        <brk id="1853" max="5" man="1"/>
        <brk id="1903" max="5" man="1"/>
        <brk id="1953" max="5" man="1"/>
        <brk id="2001" max="5" man="1"/>
        <brk id="2046" max="5" man="1"/>
        <brk id="2091" max="5" man="1"/>
        <brk id="2133" max="5" man="1"/>
        <brk id="2179" max="5" man="1"/>
        <brk id="2217" max="5" man="1"/>
        <brk id="2252" max="5" man="1"/>
        <brk id="2287" max="5" man="1"/>
        <brk id="2321" max="5" man="1"/>
        <brk id="2349" max="5" man="1"/>
        <brk id="2390" max="5" man="1"/>
        <brk id="2416" max="5" man="1"/>
        <brk id="2457" max="5" man="1"/>
        <brk id="2500" max="5" man="1"/>
        <brk id="2545" max="5" man="1"/>
        <brk id="2581" max="5" man="1"/>
        <brk id="2620" max="5" man="1"/>
        <brk id="2664" max="5" man="1"/>
        <brk id="2701" max="5" man="1"/>
        <brk id="2747" max="5" man="1"/>
        <brk id="2776" max="5" man="1"/>
        <brk id="2803" max="5" man="1"/>
        <brk id="2845" max="5" man="1"/>
        <brk id="2884" max="5" man="1"/>
        <brk id="2934" max="5" man="1"/>
        <brk id="2983" max="5" man="1"/>
        <brk id="3033" max="5" man="1"/>
      </rowBreaks>
      <pageMargins left="0" right="0" top="0" bottom="0" header="0" footer="0"/>
      <printOptions horizontalCentered="1"/>
      <pageSetup paperSize="9" scale="75" fitToHeight="0" orientation="portrait" useFirstPageNumber="1" r:id="rId1"/>
      <headerFooter>
        <oddHeader>&amp;R&amp;11&amp;U
BILL NO. 3 - MALL REFURBISHMENT
ELECTRICAL ENGINEERING INSTALLATIONS</oddHeader>
        <oddFooter>&amp;L&amp;8DMS 148704 BOQ - Nakheel Mall Al Khail&amp;C3/R/&amp;P</oddFooter>
      </headerFooter>
      <autoFilter ref="A1:G3084" xr:uid="{5C794A27-904B-4083-9FD3-9FD089D3C42F}"/>
    </customSheetView>
    <customSheetView guid="{47E345F0-E696-46B9-B7A2-C22AD1CF4FAA}" showPageBreaks="1" printArea="1" view="pageBreakPreview" topLeftCell="A3064">
      <selection activeCell="F3052" sqref="F3052"/>
      <rowBreaks count="69" manualBreakCount="69">
        <brk id="41" max="5" man="1"/>
        <brk id="89" max="5" man="1"/>
        <brk id="136" max="5" man="1"/>
        <brk id="183" max="5" man="1"/>
        <brk id="230" max="5" man="1"/>
        <brk id="279" max="5" man="1"/>
        <brk id="322" max="5" man="1"/>
        <brk id="372" max="5" man="1"/>
        <brk id="418" max="5" man="1"/>
        <brk id="466" max="5" man="1"/>
        <brk id="510" max="5" man="1"/>
        <brk id="554" max="5" man="1"/>
        <brk id="599" max="5" man="1"/>
        <brk id="642" max="5" man="1"/>
        <brk id="684" max="5" man="1"/>
        <brk id="726" max="5" man="1"/>
        <brk id="770" max="5" man="1"/>
        <brk id="810" max="5" man="1"/>
        <brk id="847" max="5" man="1"/>
        <brk id="883" max="5" man="1"/>
        <brk id="924" max="5" man="1"/>
        <brk id="966" max="5" man="1"/>
        <brk id="1013" max="5" man="1"/>
        <brk id="1063" max="5" man="1"/>
        <brk id="1110" max="5" man="1"/>
        <brk id="1160" max="5" man="1"/>
        <brk id="1210" max="5" man="1"/>
        <brk id="1260" max="5" man="1"/>
        <brk id="1308" max="5" man="1"/>
        <brk id="1358" max="5" man="1"/>
        <brk id="1405" max="5" man="1"/>
        <brk id="1455" max="5" man="1"/>
        <brk id="1505" max="5" man="1"/>
        <brk id="1555" max="5" man="1"/>
        <brk id="1605" max="5" man="1"/>
        <brk id="1655" max="5" man="1"/>
        <brk id="1705" max="5" man="1"/>
        <brk id="1755" max="5" man="1"/>
        <brk id="1805" max="5" man="1"/>
        <brk id="1853" max="5" man="1"/>
        <brk id="1903" max="5" man="1"/>
        <brk id="1953" max="5" man="1"/>
        <brk id="2001" max="5" man="1"/>
        <brk id="2046" max="5" man="1"/>
        <brk id="2091" max="5" man="1"/>
        <brk id="2133" max="5" man="1"/>
        <brk id="2179" max="5" man="1"/>
        <brk id="2217" max="5" man="1"/>
        <brk id="2252" max="5" man="1"/>
        <brk id="2287" max="5" man="1"/>
        <brk id="2321" max="5" man="1"/>
        <brk id="2349" max="5" man="1"/>
        <brk id="2390" max="5" man="1"/>
        <brk id="2416" max="5" man="1"/>
        <brk id="2457" max="5" man="1"/>
        <brk id="2500" max="5" man="1"/>
        <brk id="2545" max="5" man="1"/>
        <brk id="2581" max="5" man="1"/>
        <brk id="2620" max="5" man="1"/>
        <brk id="2664" max="5" man="1"/>
        <brk id="2701" max="5" man="1"/>
        <brk id="2747" max="5" man="1"/>
        <brk id="2776" max="5" man="1"/>
        <brk id="2803" max="5" man="1"/>
        <brk id="2845" max="5" man="1"/>
        <brk id="2888" max="5" man="1"/>
        <brk id="2938" max="5" man="1"/>
        <brk id="2987" max="5" man="1"/>
        <brk id="3037" max="5" man="1"/>
      </rowBreaks>
      <pageMargins left="0" right="0" top="0" bottom="0" header="0" footer="0"/>
      <printOptions horizontalCentered="1"/>
      <pageSetup paperSize="9" fitToHeight="0" orientation="portrait" useFirstPageNumber="1" r:id="rId2"/>
      <headerFooter>
        <oddHeader>&amp;R&amp;11&amp;U
BILL NO. 3 - MALL REFURBISHMENT
ELECTRICAL ENGINEERING INSTALLATIONS</oddHeader>
        <oddFooter>&amp;L&amp;8DMS 148704 BOQ - Nakheel Mall Al Khail&amp;C3/R/&amp;P</oddFooter>
      </headerFooter>
    </customSheetView>
    <customSheetView guid="{252EBC6A-BD49-4FC3-9285-77861935BFE3}" showPageBreaks="1" printArea="1" view="pageBreakPreview" topLeftCell="A3064">
      <selection activeCell="F3052" sqref="F3052"/>
      <rowBreaks count="69" manualBreakCount="69">
        <brk id="41" max="5" man="1"/>
        <brk id="89" max="5" man="1"/>
        <brk id="136" max="5" man="1"/>
        <brk id="183" max="5" man="1"/>
        <brk id="230" max="5" man="1"/>
        <brk id="279" max="5" man="1"/>
        <brk id="322" max="5" man="1"/>
        <brk id="372" max="5" man="1"/>
        <brk id="418" max="5" man="1"/>
        <brk id="466" max="5" man="1"/>
        <brk id="510" max="5" man="1"/>
        <brk id="554" max="5" man="1"/>
        <brk id="599" max="5" man="1"/>
        <brk id="642" max="5" man="1"/>
        <brk id="684" max="5" man="1"/>
        <brk id="726" max="5" man="1"/>
        <brk id="770" max="5" man="1"/>
        <brk id="810" max="5" man="1"/>
        <brk id="847" max="5" man="1"/>
        <brk id="883" max="5" man="1"/>
        <brk id="924" max="5" man="1"/>
        <brk id="966" max="5" man="1"/>
        <brk id="1013" max="5" man="1"/>
        <brk id="1063" max="5" man="1"/>
        <brk id="1110" max="5" man="1"/>
        <brk id="1160" max="5" man="1"/>
        <brk id="1210" max="5" man="1"/>
        <brk id="1260" max="5" man="1"/>
        <brk id="1308" max="5" man="1"/>
        <brk id="1358" max="5" man="1"/>
        <brk id="1405" max="5" man="1"/>
        <brk id="1455" max="5" man="1"/>
        <brk id="1505" max="5" man="1"/>
        <brk id="1555" max="5" man="1"/>
        <brk id="1605" max="5" man="1"/>
        <brk id="1655" max="5" man="1"/>
        <brk id="1705" max="5" man="1"/>
        <brk id="1755" max="5" man="1"/>
        <brk id="1805" max="5" man="1"/>
        <brk id="1853" max="5" man="1"/>
        <brk id="1903" max="5" man="1"/>
        <brk id="1953" max="5" man="1"/>
        <brk id="2001" max="5" man="1"/>
        <brk id="2046" max="5" man="1"/>
        <brk id="2091" max="5" man="1"/>
        <brk id="2133" max="5" man="1"/>
        <brk id="2179" max="5" man="1"/>
        <brk id="2217" max="5" man="1"/>
        <brk id="2252" max="5" man="1"/>
        <brk id="2287" max="5" man="1"/>
        <brk id="2321" max="5" man="1"/>
        <brk id="2349" max="5" man="1"/>
        <brk id="2390" max="5" man="1"/>
        <brk id="2416" max="5" man="1"/>
        <brk id="2457" max="5" man="1"/>
        <brk id="2500" max="5" man="1"/>
        <brk id="2545" max="5" man="1"/>
        <brk id="2581" max="5" man="1"/>
        <brk id="2620" max="5" man="1"/>
        <brk id="2664" max="5" man="1"/>
        <brk id="2701" max="5" man="1"/>
        <brk id="2747" max="5" man="1"/>
        <brk id="2776" max="5" man="1"/>
        <brk id="2803" max="5" man="1"/>
        <brk id="2845" max="5" man="1"/>
        <brk id="2888" max="5" man="1"/>
        <brk id="2938" max="5" man="1"/>
        <brk id="2987" max="5" man="1"/>
        <brk id="3037" max="5" man="1"/>
      </rowBreaks>
      <pageMargins left="0" right="0" top="0" bottom="0" header="0" footer="0"/>
      <printOptions horizontalCentered="1"/>
      <pageSetup paperSize="9" fitToHeight="0" orientation="portrait" useFirstPageNumber="1" r:id="rId3"/>
      <headerFooter>
        <oddHeader>&amp;R&amp;11&amp;U
BILL NO. 3 - MALL REFURBISHMENT
ELECTRICAL ENGINEERING INSTALLATIONS</oddHeader>
        <oddFooter>&amp;L&amp;8DMS 148704 BOQ - Nakheel Mall Al Khail&amp;C3/R/&amp;P</oddFooter>
      </headerFooter>
    </customSheetView>
    <customSheetView guid="{80D5E0F2-D974-412D-A20C-052459C7A221}" showPageBreaks="1" printArea="1" showAutoFilter="1" view="pageBreakPreview">
      <pane xSplit="4" ySplit="2" topLeftCell="E3074" activePane="bottomRight" state="frozen"/>
      <selection pane="bottomRight" activeCell="G3083" sqref="G3083"/>
      <rowBreaks count="69" manualBreakCount="69">
        <brk id="41" max="5" man="1"/>
        <brk id="89" max="5" man="1"/>
        <brk id="136" max="5" man="1"/>
        <brk id="183" max="5" man="1"/>
        <brk id="230" max="5" man="1"/>
        <brk id="279" max="5" man="1"/>
        <brk id="322" max="5" man="1"/>
        <brk id="372" max="5" man="1"/>
        <brk id="418" max="5" man="1"/>
        <brk id="466" max="5" man="1"/>
        <brk id="510" max="5" man="1"/>
        <brk id="554" max="5" man="1"/>
        <brk id="599" max="5" man="1"/>
        <brk id="642" max="5" man="1"/>
        <brk id="684" max="5" man="1"/>
        <brk id="726" max="5" man="1"/>
        <brk id="770" max="5" man="1"/>
        <brk id="810" max="5" man="1"/>
        <brk id="847" max="5" man="1"/>
        <brk id="883" max="5" man="1"/>
        <brk id="924" max="5" man="1"/>
        <brk id="966" max="5" man="1"/>
        <brk id="1013" max="5" man="1"/>
        <brk id="1063" max="5" man="1"/>
        <brk id="1110" max="5" man="1"/>
        <brk id="1160" max="5" man="1"/>
        <brk id="1210" max="5" man="1"/>
        <brk id="1260" max="5" man="1"/>
        <brk id="1308" max="5" man="1"/>
        <brk id="1358" max="5" man="1"/>
        <brk id="1405" max="5" man="1"/>
        <brk id="1455" max="5" man="1"/>
        <brk id="1505" max="5" man="1"/>
        <brk id="1555" max="5" man="1"/>
        <brk id="1605" max="5" man="1"/>
        <brk id="1655" max="5" man="1"/>
        <brk id="1705" max="5" man="1"/>
        <brk id="1755" max="5" man="1"/>
        <brk id="1805" max="5" man="1"/>
        <brk id="1853" max="5" man="1"/>
        <brk id="1903" max="5" man="1"/>
        <brk id="1953" max="5" man="1"/>
        <brk id="2001" max="5" man="1"/>
        <brk id="2046" max="5" man="1"/>
        <brk id="2091" max="5" man="1"/>
        <brk id="2133" max="5" man="1"/>
        <brk id="2179" max="5" man="1"/>
        <brk id="2217" max="5" man="1"/>
        <brk id="2252" max="5" man="1"/>
        <brk id="2287" max="5" man="1"/>
        <brk id="2321" max="5" man="1"/>
        <brk id="2349" max="5" man="1"/>
        <brk id="2390" max="5" man="1"/>
        <brk id="2416" max="5" man="1"/>
        <brk id="2457" max="5" man="1"/>
        <brk id="2500" max="5" man="1"/>
        <brk id="2545" max="5" man="1"/>
        <brk id="2581" max="5" man="1"/>
        <brk id="2620" max="5" man="1"/>
        <brk id="2664" max="5" man="1"/>
        <brk id="2701" max="5" man="1"/>
        <brk id="2747" max="5" man="1"/>
        <brk id="2776" max="5" man="1"/>
        <brk id="2803" max="5" man="1"/>
        <brk id="2845" max="5" man="1"/>
        <brk id="2884" max="5" man="1"/>
        <brk id="2934" max="5" man="1"/>
        <brk id="2983" max="5" man="1"/>
        <brk id="3033" max="5" man="1"/>
      </rowBreaks>
      <pageMargins left="0" right="0" top="0" bottom="0" header="0" footer="0"/>
      <printOptions horizontalCentered="1"/>
      <pageSetup paperSize="9" scale="75" fitToHeight="0" orientation="portrait" useFirstPageNumber="1" r:id="rId4"/>
      <headerFooter>
        <oddHeader>&amp;R&amp;11&amp;U
BILL NO. 3 - MALL REFURBISHMENT
ELECTRICAL ENGINEERING INSTALLATIONS</oddHeader>
        <oddFooter>&amp;L&amp;8DMS 148704 BOQ - Nakheel Mall Al Khail&amp;C3/R/&amp;P</oddFooter>
      </headerFooter>
      <autoFilter ref="A1:G3084" xr:uid="{48AF81A5-C09D-4F8B-B6A9-A84706DF01B7}"/>
    </customSheetView>
  </customSheetViews>
  <mergeCells count="5">
    <mergeCell ref="A1:A2"/>
    <mergeCell ref="B1:B2"/>
    <mergeCell ref="C1:C2"/>
    <mergeCell ref="D1:D2"/>
    <mergeCell ref="G1:G2"/>
  </mergeCells>
  <phoneticPr fontId="18" type="noConversion"/>
  <printOptions horizontalCentered="1"/>
  <pageMargins left="0.6692913385826772" right="0.19685039370078741" top="0.82677165354330717" bottom="0.47244094488188981" header="0.19685039370078741" footer="0.23622047244094491"/>
  <pageSetup paperSize="9" scale="75" fitToHeight="0" orientation="portrait" useFirstPageNumber="1" r:id="rId5"/>
  <headerFooter>
    <oddHeader>&amp;R&amp;11&amp;U
BILL NO. 3 - MALL REFURBISHMENT
ELECTRICAL ENGINEERING INSTALLATIONS</oddHeader>
    <oddFooter>&amp;L&amp;8DMS 148704 BOQ - Nakheel Mall Al Khail&amp;C3/R/&amp;P</oddFooter>
  </headerFooter>
  <rowBreaks count="69" manualBreakCount="69">
    <brk id="41" max="6" man="1"/>
    <brk id="89" max="6" man="1"/>
    <brk id="136" max="6" man="1"/>
    <brk id="183" max="6" man="1"/>
    <brk id="230" max="6" man="1"/>
    <brk id="279" max="6" man="1"/>
    <brk id="322" max="6" man="1"/>
    <brk id="372" max="6" man="1"/>
    <brk id="418" max="6" man="1"/>
    <brk id="466" max="6" man="1"/>
    <brk id="510" max="6" man="1"/>
    <brk id="554" max="6" man="1"/>
    <brk id="599" max="6" man="1"/>
    <brk id="642" max="6" man="1"/>
    <brk id="684" max="6" man="1"/>
    <brk id="726" max="6" man="1"/>
    <brk id="770" max="6" man="1"/>
    <brk id="810" max="6" man="1"/>
    <brk id="847" max="6" man="1"/>
    <brk id="883" max="6" man="1"/>
    <brk id="924" max="6" man="1"/>
    <brk id="967" max="6" man="1"/>
    <brk id="1014" max="6" man="1"/>
    <brk id="1064" max="6" man="1"/>
    <brk id="1111" max="6" man="1"/>
    <brk id="1161" max="6" man="1"/>
    <brk id="1211" max="6" man="1"/>
    <brk id="1261" max="6" man="1"/>
    <brk id="1311" max="6" man="1"/>
    <brk id="1361" max="6" man="1"/>
    <brk id="1408" max="6" man="1"/>
    <brk id="1458" max="6" man="1"/>
    <brk id="1508" max="6" man="1"/>
    <brk id="1558" max="6" man="1"/>
    <brk id="1608" max="6" man="1"/>
    <brk id="1658" max="6" man="1"/>
    <brk id="1708" max="6" man="1"/>
    <brk id="1758" max="6" man="1"/>
    <brk id="1808" max="6" man="1"/>
    <brk id="1857" max="6" man="1"/>
    <brk id="1907" max="6" man="1"/>
    <brk id="1957" max="6" man="1"/>
    <brk id="2005" max="6" man="1"/>
    <brk id="2050" max="6" man="1"/>
    <brk id="2095" max="6" man="1"/>
    <brk id="2137" max="6" man="1"/>
    <brk id="2183" max="6" man="1"/>
    <brk id="2220" max="6" man="1"/>
    <brk id="2255" max="6" man="1"/>
    <brk id="2290" max="6" man="1"/>
    <brk id="2324" max="6" man="1"/>
    <brk id="2352" max="6" man="1"/>
    <brk id="2389" max="6" man="1"/>
    <brk id="2415" max="6" man="1"/>
    <brk id="2456" max="6" man="1"/>
    <brk id="2500" max="6" man="1"/>
    <brk id="2545" max="6" man="1"/>
    <brk id="2581" max="6" man="1"/>
    <brk id="2620" max="6" man="1"/>
    <brk id="2664" max="6" man="1"/>
    <brk id="2701" max="6" man="1"/>
    <brk id="2747" max="6" man="1"/>
    <brk id="2776" max="6" man="1"/>
    <brk id="2803" max="6" man="1"/>
    <brk id="2845" max="6" man="1"/>
    <brk id="2891" max="6" man="1"/>
    <brk id="2941" max="6" man="1"/>
    <brk id="2990" max="6" man="1"/>
    <brk id="3040" max="6"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676B1-7FDB-477A-8EF5-F3279B6CE7B0}">
  <sheetPr codeName="Sheet5"/>
  <dimension ref="A1:E102"/>
  <sheetViews>
    <sheetView tabSelected="1" view="pageBreakPreview" topLeftCell="A36" zoomScale="90" zoomScaleNormal="90" zoomScaleSheetLayoutView="90" zoomScalePageLayoutView="85" workbookViewId="0">
      <selection activeCell="F34" sqref="F34"/>
    </sheetView>
  </sheetViews>
  <sheetFormatPr defaultColWidth="8.7109375" defaultRowHeight="13.9"/>
  <cols>
    <col min="1" max="1" width="5.7109375" style="117" customWidth="1"/>
    <col min="2" max="2" width="52.28515625" style="117" customWidth="1"/>
    <col min="3" max="3" width="20" style="134" customWidth="1"/>
    <col min="4" max="4" width="24.28515625" style="26" customWidth="1"/>
    <col min="5" max="5" width="27.42578125" style="20" customWidth="1"/>
    <col min="6" max="16384" width="8.7109375" style="21"/>
  </cols>
  <sheetData>
    <row r="1" spans="1:5" s="12" customFormat="1" ht="18.75" customHeight="1">
      <c r="A1" s="325" t="s">
        <v>2</v>
      </c>
      <c r="B1" s="325" t="s">
        <v>3</v>
      </c>
      <c r="C1" s="327" t="s">
        <v>3207</v>
      </c>
      <c r="D1" s="329" t="s">
        <v>3208</v>
      </c>
      <c r="E1" s="11"/>
    </row>
    <row r="2" spans="1:5" s="13" customFormat="1" ht="18.75" customHeight="1">
      <c r="A2" s="326"/>
      <c r="B2" s="326"/>
      <c r="C2" s="328"/>
      <c r="D2" s="330"/>
      <c r="E2" s="11"/>
    </row>
    <row r="3" spans="1:5" s="16" customFormat="1" ht="14.25" customHeight="1">
      <c r="A3" s="107"/>
      <c r="B3" s="108"/>
      <c r="C3" s="109"/>
      <c r="D3" s="14"/>
      <c r="E3" s="15"/>
    </row>
    <row r="4" spans="1:5" s="16" customFormat="1" ht="14.25" customHeight="1">
      <c r="A4" s="110"/>
      <c r="B4" s="108"/>
      <c r="C4" s="111"/>
      <c r="D4" s="17"/>
      <c r="E4" s="15"/>
    </row>
    <row r="5" spans="1:5" s="16" customFormat="1" ht="14.25" customHeight="1">
      <c r="A5" s="110"/>
      <c r="B5" s="112" t="s">
        <v>3209</v>
      </c>
      <c r="C5" s="111"/>
      <c r="D5" s="18"/>
      <c r="E5" s="15"/>
    </row>
    <row r="6" spans="1:5" s="16" customFormat="1" ht="14.25" customHeight="1">
      <c r="A6" s="110"/>
      <c r="B6" s="113"/>
      <c r="C6" s="111"/>
      <c r="D6" s="18"/>
      <c r="E6" s="15"/>
    </row>
    <row r="7" spans="1:5" s="16" customFormat="1" ht="14.25" customHeight="1">
      <c r="A7" s="110"/>
      <c r="B7" s="113" t="s">
        <v>3210</v>
      </c>
      <c r="C7" s="111" t="s">
        <v>3211</v>
      </c>
      <c r="D7" s="19">
        <f>'Bill 3 Siteworks'!F294</f>
        <v>843572.28</v>
      </c>
      <c r="E7" s="15"/>
    </row>
    <row r="8" spans="1:5" s="273" customFormat="1" ht="14.25" customHeight="1">
      <c r="A8" s="268"/>
      <c r="B8" s="269" t="s">
        <v>222</v>
      </c>
      <c r="C8" s="270" t="s">
        <v>3212</v>
      </c>
      <c r="D8" s="271">
        <f>+'Bill 3 Siteworks-EO'!F27</f>
        <v>55072.149999999951</v>
      </c>
      <c r="E8" s="272"/>
    </row>
    <row r="9" spans="1:5" s="16" customFormat="1" ht="14.25" customHeight="1">
      <c r="A9" s="110"/>
      <c r="B9" s="113"/>
      <c r="C9" s="111"/>
      <c r="D9" s="19"/>
      <c r="E9" s="15"/>
    </row>
    <row r="10" spans="1:5" s="16" customFormat="1" ht="14.25" customHeight="1">
      <c r="A10" s="110"/>
      <c r="B10" s="114" t="s">
        <v>123</v>
      </c>
      <c r="C10" s="115" t="s">
        <v>3213</v>
      </c>
      <c r="D10" s="19">
        <f>'Bill 3 Concrete'!F329</f>
        <v>9184532.998399999</v>
      </c>
      <c r="E10" s="15"/>
    </row>
    <row r="11" spans="1:5" s="273" customFormat="1" ht="14.25" customHeight="1">
      <c r="A11" s="268"/>
      <c r="B11" s="269" t="s">
        <v>222</v>
      </c>
      <c r="C11" s="270" t="s">
        <v>3214</v>
      </c>
      <c r="D11" s="271">
        <f>+'Bill 3 Concrete-EO'!F144</f>
        <v>4157251.6515000006</v>
      </c>
      <c r="E11" s="272"/>
    </row>
    <row r="12" spans="1:5" s="16" customFormat="1" ht="14.25" customHeight="1">
      <c r="A12" s="110"/>
      <c r="B12" s="114"/>
      <c r="C12" s="115"/>
      <c r="D12" s="19"/>
      <c r="E12" s="15"/>
    </row>
    <row r="13" spans="1:5" s="16" customFormat="1" ht="14.25" customHeight="1">
      <c r="A13" s="110"/>
      <c r="B13" s="114" t="s">
        <v>230</v>
      </c>
      <c r="C13" s="115" t="s">
        <v>3215</v>
      </c>
      <c r="D13" s="19">
        <f>'Bill 3 Masonry'!F134</f>
        <v>5590258.6499999994</v>
      </c>
      <c r="E13" s="15"/>
    </row>
    <row r="14" spans="1:5" s="16" customFormat="1" ht="14.25" customHeight="1">
      <c r="A14" s="110"/>
      <c r="B14" s="114"/>
      <c r="C14" s="115"/>
      <c r="D14" s="19"/>
      <c r="E14" s="15"/>
    </row>
    <row r="15" spans="1:5" s="16" customFormat="1" ht="14.25" customHeight="1">
      <c r="A15" s="110"/>
      <c r="B15" s="114"/>
      <c r="C15" s="115"/>
      <c r="D15" s="19"/>
      <c r="E15" s="15"/>
    </row>
    <row r="16" spans="1:5" s="16" customFormat="1" ht="14.25" customHeight="1">
      <c r="A16" s="110"/>
      <c r="B16" s="114" t="s">
        <v>3216</v>
      </c>
      <c r="C16" s="115" t="s">
        <v>3217</v>
      </c>
      <c r="D16" s="19">
        <f>+'Bill 3 Metalwork REV'!F292</f>
        <v>6916464.1400000006</v>
      </c>
      <c r="E16" s="15"/>
    </row>
    <row r="17" spans="1:5" s="16" customFormat="1" ht="14.25" customHeight="1">
      <c r="A17" s="110"/>
      <c r="B17" s="114"/>
      <c r="C17" s="115"/>
      <c r="D17" s="19"/>
      <c r="E17" s="15"/>
    </row>
    <row r="18" spans="1:5" s="16" customFormat="1" ht="14.25" customHeight="1">
      <c r="A18" s="110"/>
      <c r="B18" s="114"/>
      <c r="C18" s="115"/>
      <c r="D18" s="19"/>
      <c r="E18" s="15"/>
    </row>
    <row r="19" spans="1:5" s="16" customFormat="1" ht="14.25" customHeight="1">
      <c r="A19" s="110"/>
      <c r="B19" s="114" t="s">
        <v>298</v>
      </c>
      <c r="C19" s="115" t="s">
        <v>3218</v>
      </c>
      <c r="D19" s="19">
        <f>'Bill 3 Woodwork'!F414</f>
        <v>16618538.200000001</v>
      </c>
      <c r="E19" s="15"/>
    </row>
    <row r="20" spans="1:5" s="16" customFormat="1" ht="14.25" customHeight="1">
      <c r="A20" s="110"/>
      <c r="B20" s="114"/>
      <c r="C20" s="115"/>
      <c r="D20" s="19"/>
      <c r="E20" s="15"/>
    </row>
    <row r="21" spans="1:5" s="16" customFormat="1" ht="14.25" customHeight="1">
      <c r="A21" s="110"/>
      <c r="B21" s="114"/>
      <c r="C21" s="115"/>
      <c r="D21" s="19"/>
      <c r="E21" s="15"/>
    </row>
    <row r="22" spans="1:5" s="16" customFormat="1" ht="14.25" customHeight="1">
      <c r="A22" s="110"/>
      <c r="B22" s="114" t="s">
        <v>438</v>
      </c>
      <c r="C22" s="115" t="s">
        <v>3219</v>
      </c>
      <c r="D22" s="19">
        <f>'Bill 3 Thermal'!F135</f>
        <v>258133.23</v>
      </c>
      <c r="E22" s="15"/>
    </row>
    <row r="23" spans="1:5" s="16" customFormat="1" ht="14.25" customHeight="1">
      <c r="A23" s="110"/>
      <c r="B23" s="114"/>
      <c r="C23" s="115"/>
      <c r="D23" s="19"/>
      <c r="E23" s="15"/>
    </row>
    <row r="24" spans="1:5" s="16" customFormat="1" ht="14.25" customHeight="1">
      <c r="A24" s="110"/>
      <c r="B24" s="114"/>
      <c r="C24" s="115"/>
      <c r="D24" s="19"/>
      <c r="E24" s="15"/>
    </row>
    <row r="25" spans="1:5" s="16" customFormat="1" ht="14.25" customHeight="1">
      <c r="A25" s="110"/>
      <c r="B25" s="114" t="s">
        <v>456</v>
      </c>
      <c r="C25" s="115" t="s">
        <v>3220</v>
      </c>
      <c r="D25" s="19">
        <f>'Bill 3 Doors and Windows'!F437</f>
        <v>37038780.560000002</v>
      </c>
      <c r="E25" s="15"/>
    </row>
    <row r="26" spans="1:5" s="16" customFormat="1" ht="14.25" customHeight="1">
      <c r="A26" s="110"/>
      <c r="B26" s="114"/>
      <c r="C26" s="115"/>
      <c r="D26" s="19"/>
      <c r="E26" s="15"/>
    </row>
    <row r="27" spans="1:5" s="16" customFormat="1" ht="14.25" customHeight="1">
      <c r="A27" s="110"/>
      <c r="B27" s="114"/>
      <c r="C27" s="115"/>
      <c r="D27" s="19"/>
      <c r="E27" s="15"/>
    </row>
    <row r="28" spans="1:5" s="16" customFormat="1" ht="14.25" customHeight="1">
      <c r="A28" s="110"/>
      <c r="B28" s="114" t="s">
        <v>580</v>
      </c>
      <c r="C28" s="115" t="s">
        <v>3221</v>
      </c>
      <c r="D28" s="19">
        <f>'Bill 3 Finishes'!F834</f>
        <v>68215249.600000009</v>
      </c>
      <c r="E28" s="15"/>
    </row>
    <row r="29" spans="1:5" ht="14.25" customHeight="1">
      <c r="A29" s="116"/>
      <c r="B29" s="114"/>
      <c r="C29" s="115"/>
      <c r="D29" s="19"/>
    </row>
    <row r="30" spans="1:5" ht="14.25" customHeight="1">
      <c r="A30" s="116"/>
      <c r="B30" s="114"/>
      <c r="C30" s="115"/>
      <c r="D30" s="19"/>
    </row>
    <row r="31" spans="1:5" s="16" customFormat="1" ht="14.25" customHeight="1">
      <c r="A31" s="110"/>
      <c r="B31" s="114" t="s">
        <v>900</v>
      </c>
      <c r="C31" s="115" t="s">
        <v>3222</v>
      </c>
      <c r="D31" s="19">
        <f>'Bill 3 - Accessories'!F614</f>
        <v>10734620.859999998</v>
      </c>
      <c r="E31" s="15"/>
    </row>
    <row r="32" spans="1:5" ht="14.25" customHeight="1">
      <c r="A32" s="116"/>
      <c r="B32" s="114"/>
      <c r="C32" s="115"/>
      <c r="D32" s="19"/>
    </row>
    <row r="33" spans="1:4" ht="14.25" customHeight="1">
      <c r="A33" s="116"/>
      <c r="B33" s="114"/>
      <c r="C33" s="115"/>
      <c r="D33" s="19"/>
    </row>
    <row r="34" spans="1:4" ht="14.25" customHeight="1">
      <c r="A34" s="116"/>
      <c r="B34" s="114" t="s">
        <v>1107</v>
      </c>
      <c r="C34" s="115" t="s">
        <v>3223</v>
      </c>
      <c r="D34" s="19">
        <f>'Bill 3 - Furnishings'!F280</f>
        <v>2425676.94</v>
      </c>
    </row>
    <row r="35" spans="1:4" ht="14.25" customHeight="1">
      <c r="A35" s="116"/>
      <c r="B35" s="114"/>
      <c r="C35" s="115"/>
      <c r="D35" s="19"/>
    </row>
    <row r="36" spans="1:4" ht="14.25" customHeight="1">
      <c r="A36" s="116"/>
      <c r="B36" s="114"/>
      <c r="C36" s="115"/>
      <c r="D36" s="19"/>
    </row>
    <row r="37" spans="1:4" ht="14.25" customHeight="1">
      <c r="A37" s="116"/>
      <c r="B37" s="114" t="s">
        <v>1176</v>
      </c>
      <c r="C37" s="115" t="s">
        <v>3224</v>
      </c>
      <c r="D37" s="19">
        <f>'Bill 3 - Special Cons'!F172</f>
        <v>2836616.8400000003</v>
      </c>
    </row>
    <row r="38" spans="1:4" ht="14.25" customHeight="1">
      <c r="A38" s="116"/>
      <c r="B38" s="114"/>
      <c r="C38" s="115"/>
      <c r="D38" s="19"/>
    </row>
    <row r="39" spans="1:4" ht="14.25" customHeight="1">
      <c r="A39" s="116"/>
      <c r="B39" s="114"/>
      <c r="C39" s="115"/>
      <c r="D39" s="19"/>
    </row>
    <row r="40" spans="1:4" ht="14.25" customHeight="1">
      <c r="A40" s="116"/>
      <c r="B40" s="114" t="s">
        <v>3225</v>
      </c>
      <c r="C40" s="115" t="s">
        <v>3226</v>
      </c>
      <c r="D40" s="19">
        <f>'Bill 3 - Conveying'!F363</f>
        <v>9287021.8200000003</v>
      </c>
    </row>
    <row r="41" spans="1:4" ht="14.25" customHeight="1">
      <c r="A41" s="116"/>
      <c r="B41" s="114"/>
      <c r="C41" s="115"/>
      <c r="D41" s="19"/>
    </row>
    <row r="42" spans="1:4" ht="14.25" customHeight="1">
      <c r="A42" s="116"/>
      <c r="B42" s="114"/>
      <c r="C42" s="115"/>
      <c r="D42" s="19"/>
    </row>
    <row r="43" spans="1:4" ht="14.25" customHeight="1">
      <c r="A43" s="116"/>
      <c r="B43" s="114" t="s">
        <v>1281</v>
      </c>
      <c r="C43" s="115" t="s">
        <v>3227</v>
      </c>
      <c r="D43" s="19">
        <f>'Bill 3 - Mech'!F1876</f>
        <v>29073029.579999998</v>
      </c>
    </row>
    <row r="44" spans="1:4" ht="14.25" customHeight="1">
      <c r="A44" s="116"/>
      <c r="B44" s="114"/>
      <c r="C44" s="115"/>
      <c r="D44" s="19"/>
    </row>
    <row r="45" spans="1:4" ht="14.25" customHeight="1">
      <c r="A45" s="116"/>
      <c r="B45" s="114"/>
      <c r="C45" s="115"/>
      <c r="D45" s="19"/>
    </row>
    <row r="46" spans="1:4" ht="14.25" customHeight="1">
      <c r="A46" s="116"/>
      <c r="B46" s="114" t="s">
        <v>1934</v>
      </c>
      <c r="C46" s="115" t="s">
        <v>3228</v>
      </c>
      <c r="D46" s="19">
        <f>'Bill 3 Elec'!F3090</f>
        <v>91387644.620000005</v>
      </c>
    </row>
    <row r="47" spans="1:4" ht="14.25" customHeight="1">
      <c r="A47" s="116"/>
      <c r="B47" s="114"/>
      <c r="C47" s="115"/>
      <c r="D47" s="19"/>
    </row>
    <row r="48" spans="1:4" s="20" customFormat="1" ht="14.25" customHeight="1">
      <c r="A48" s="116"/>
      <c r="B48" s="117"/>
      <c r="C48" s="115"/>
      <c r="D48" s="19"/>
    </row>
    <row r="49" spans="1:4" s="20" customFormat="1" ht="14.25" customHeight="1">
      <c r="A49" s="118"/>
      <c r="B49" s="119"/>
      <c r="C49" s="120"/>
      <c r="D49" s="22"/>
    </row>
    <row r="50" spans="1:4" s="20" customFormat="1">
      <c r="A50" s="117"/>
      <c r="B50" s="121" t="s">
        <v>3229</v>
      </c>
      <c r="C50" s="122"/>
      <c r="D50" s="23"/>
    </row>
    <row r="51" spans="1:4">
      <c r="A51" s="123"/>
      <c r="B51" s="124" t="s">
        <v>3230</v>
      </c>
      <c r="C51" s="125" t="s">
        <v>8</v>
      </c>
      <c r="D51" s="23">
        <f>SUM(D6:D48)</f>
        <v>294622464.11989999</v>
      </c>
    </row>
    <row r="52" spans="1:4" ht="14.25" customHeight="1">
      <c r="A52" s="123"/>
      <c r="B52" s="126"/>
      <c r="C52" s="125"/>
      <c r="D52" s="22"/>
    </row>
    <row r="54" spans="1:4" s="25" customFormat="1" ht="13.15">
      <c r="A54" s="127"/>
      <c r="B54" s="128"/>
      <c r="C54" s="129"/>
      <c r="D54" s="24"/>
    </row>
    <row r="55" spans="1:4" s="25" customFormat="1" ht="13.15">
      <c r="A55" s="130"/>
      <c r="B55" s="131"/>
      <c r="C55" s="129"/>
      <c r="D55" s="24"/>
    </row>
    <row r="56" spans="1:4" s="25" customFormat="1" ht="13.15">
      <c r="A56" s="130"/>
      <c r="B56" s="131"/>
      <c r="C56" s="129"/>
      <c r="D56" s="24"/>
    </row>
    <row r="57" spans="1:4" s="25" customFormat="1" ht="13.15">
      <c r="A57" s="130"/>
      <c r="B57" s="131"/>
      <c r="C57" s="129"/>
      <c r="D57" s="24"/>
    </row>
    <row r="58" spans="1:4" s="25" customFormat="1" ht="13.15">
      <c r="A58" s="130"/>
      <c r="B58" s="131"/>
      <c r="C58" s="129"/>
      <c r="D58" s="24"/>
    </row>
    <row r="59" spans="1:4" s="25" customFormat="1" ht="13.15">
      <c r="A59" s="130"/>
      <c r="B59" s="131"/>
      <c r="C59" s="129"/>
      <c r="D59" s="24"/>
    </row>
    <row r="60" spans="1:4" s="25" customFormat="1" ht="13.15">
      <c r="A60" s="130"/>
      <c r="B60" s="131"/>
      <c r="C60" s="129"/>
      <c r="D60" s="24"/>
    </row>
    <row r="61" spans="1:4" s="25" customFormat="1" ht="13.15">
      <c r="A61" s="130"/>
      <c r="B61" s="131"/>
      <c r="C61" s="129"/>
      <c r="D61" s="24"/>
    </row>
    <row r="62" spans="1:4" s="25" customFormat="1" ht="13.15">
      <c r="A62" s="130"/>
      <c r="B62" s="131"/>
      <c r="C62" s="129"/>
      <c r="D62" s="24"/>
    </row>
    <row r="63" spans="1:4" s="25" customFormat="1" ht="13.15">
      <c r="A63" s="130"/>
      <c r="B63" s="131"/>
      <c r="C63" s="129"/>
      <c r="D63" s="24"/>
    </row>
    <row r="64" spans="1:4" s="25" customFormat="1" ht="13.15">
      <c r="A64" s="130"/>
      <c r="B64" s="131"/>
      <c r="C64" s="129"/>
      <c r="D64" s="24"/>
    </row>
    <row r="65" spans="1:4" s="25" customFormat="1" ht="13.15">
      <c r="A65" s="130"/>
      <c r="B65" s="131"/>
      <c r="C65" s="129"/>
      <c r="D65" s="24"/>
    </row>
    <row r="66" spans="1:4" s="25" customFormat="1" ht="13.15">
      <c r="A66" s="130"/>
      <c r="B66" s="131"/>
      <c r="C66" s="129"/>
      <c r="D66" s="24"/>
    </row>
    <row r="67" spans="1:4" s="25" customFormat="1" ht="13.15">
      <c r="A67" s="130"/>
      <c r="B67" s="131"/>
      <c r="C67" s="129"/>
      <c r="D67" s="24"/>
    </row>
    <row r="68" spans="1:4" s="25" customFormat="1" ht="13.15">
      <c r="A68" s="130"/>
      <c r="B68" s="131"/>
      <c r="C68" s="129"/>
      <c r="D68" s="24"/>
    </row>
    <row r="69" spans="1:4" s="25" customFormat="1" ht="13.15">
      <c r="A69" s="130"/>
      <c r="B69" s="131"/>
      <c r="C69" s="129"/>
      <c r="D69" s="24"/>
    </row>
    <row r="70" spans="1:4" s="25" customFormat="1" ht="13.15">
      <c r="A70" s="130"/>
      <c r="B70" s="131"/>
      <c r="C70" s="129"/>
      <c r="D70" s="24"/>
    </row>
    <row r="71" spans="1:4" s="25" customFormat="1" ht="13.15">
      <c r="A71" s="130"/>
      <c r="B71" s="131"/>
      <c r="C71" s="129"/>
      <c r="D71" s="24"/>
    </row>
    <row r="72" spans="1:4" s="25" customFormat="1" ht="13.15">
      <c r="A72" s="130"/>
      <c r="B72" s="131"/>
      <c r="C72" s="129"/>
      <c r="D72" s="24"/>
    </row>
    <row r="73" spans="1:4" s="25" customFormat="1" ht="13.15">
      <c r="A73" s="130"/>
      <c r="B73" s="131"/>
      <c r="C73" s="129"/>
      <c r="D73" s="24"/>
    </row>
    <row r="74" spans="1:4" s="25" customFormat="1" ht="13.15">
      <c r="A74" s="130"/>
      <c r="B74" s="131"/>
      <c r="C74" s="129"/>
      <c r="D74" s="24"/>
    </row>
    <row r="75" spans="1:4" s="25" customFormat="1" ht="13.15">
      <c r="A75" s="130"/>
      <c r="B75" s="131"/>
      <c r="C75" s="129"/>
      <c r="D75" s="24"/>
    </row>
    <row r="76" spans="1:4" s="25" customFormat="1" ht="13.15">
      <c r="A76" s="130"/>
      <c r="B76" s="131"/>
      <c r="C76" s="129"/>
      <c r="D76" s="24"/>
    </row>
    <row r="77" spans="1:4" s="25" customFormat="1" ht="13.15">
      <c r="A77" s="132"/>
      <c r="B77" s="131"/>
      <c r="C77" s="129"/>
      <c r="D77" s="24"/>
    </row>
    <row r="78" spans="1:4" s="25" customFormat="1" ht="13.15">
      <c r="A78" s="132"/>
      <c r="B78" s="131"/>
      <c r="C78" s="129"/>
      <c r="D78" s="24"/>
    </row>
    <row r="79" spans="1:4" s="25" customFormat="1" ht="13.15">
      <c r="A79" s="132"/>
      <c r="B79" s="131"/>
      <c r="C79" s="129"/>
      <c r="D79" s="24"/>
    </row>
    <row r="80" spans="1:4" s="25" customFormat="1" ht="13.15">
      <c r="A80" s="132"/>
      <c r="B80" s="131"/>
      <c r="C80" s="129"/>
      <c r="D80" s="24"/>
    </row>
    <row r="81" spans="1:4" s="25" customFormat="1" ht="13.15">
      <c r="A81" s="132"/>
      <c r="B81" s="131"/>
      <c r="C81" s="129"/>
      <c r="D81" s="24"/>
    </row>
    <row r="82" spans="1:4" s="25" customFormat="1" ht="13.15">
      <c r="A82" s="130"/>
      <c r="B82" s="131"/>
      <c r="C82" s="129"/>
      <c r="D82" s="24"/>
    </row>
    <row r="83" spans="1:4" s="25" customFormat="1" ht="13.15">
      <c r="A83" s="130"/>
      <c r="B83" s="131"/>
      <c r="C83" s="129"/>
      <c r="D83" s="24"/>
    </row>
    <row r="84" spans="1:4" s="25" customFormat="1" ht="13.15">
      <c r="A84" s="130"/>
      <c r="B84" s="131"/>
      <c r="C84" s="129"/>
      <c r="D84" s="24"/>
    </row>
    <row r="85" spans="1:4" s="25" customFormat="1" ht="13.15">
      <c r="A85" s="130"/>
      <c r="B85" s="131"/>
      <c r="C85" s="129"/>
      <c r="D85" s="24"/>
    </row>
    <row r="86" spans="1:4" s="25" customFormat="1" ht="13.15">
      <c r="A86" s="130"/>
      <c r="B86" s="131"/>
      <c r="C86" s="129"/>
      <c r="D86" s="24"/>
    </row>
    <row r="87" spans="1:4" s="25" customFormat="1" ht="13.15">
      <c r="A87" s="130"/>
      <c r="B87" s="131"/>
      <c r="C87" s="129"/>
      <c r="D87" s="24"/>
    </row>
    <row r="88" spans="1:4" s="25" customFormat="1" ht="13.15">
      <c r="A88" s="130"/>
      <c r="B88" s="131"/>
      <c r="C88" s="129"/>
      <c r="D88" s="24"/>
    </row>
    <row r="89" spans="1:4" s="25" customFormat="1" ht="13.15">
      <c r="A89" s="130"/>
      <c r="B89" s="131"/>
      <c r="C89" s="129"/>
      <c r="D89" s="24"/>
    </row>
    <row r="90" spans="1:4" s="25" customFormat="1" ht="13.15">
      <c r="A90" s="130"/>
      <c r="B90" s="131"/>
      <c r="C90" s="129"/>
      <c r="D90" s="24"/>
    </row>
    <row r="91" spans="1:4" s="25" customFormat="1" ht="13.15">
      <c r="A91" s="130"/>
      <c r="B91" s="131"/>
      <c r="C91" s="129"/>
      <c r="D91" s="24"/>
    </row>
    <row r="92" spans="1:4" s="25" customFormat="1" ht="13.15">
      <c r="A92" s="130"/>
      <c r="B92" s="131"/>
      <c r="C92" s="129"/>
      <c r="D92" s="24"/>
    </row>
    <row r="93" spans="1:4" s="25" customFormat="1" ht="13.15">
      <c r="A93" s="130"/>
      <c r="B93" s="131"/>
      <c r="C93" s="129"/>
      <c r="D93" s="24"/>
    </row>
    <row r="94" spans="1:4" s="25" customFormat="1" ht="13.15">
      <c r="A94" s="130"/>
      <c r="B94" s="131"/>
      <c r="C94" s="129"/>
      <c r="D94" s="24"/>
    </row>
    <row r="95" spans="1:4" s="25" customFormat="1" ht="13.15">
      <c r="A95" s="130"/>
      <c r="B95" s="131"/>
      <c r="C95" s="129"/>
      <c r="D95" s="24"/>
    </row>
    <row r="96" spans="1:4" s="25" customFormat="1" ht="13.15">
      <c r="A96" s="130"/>
      <c r="B96" s="131"/>
      <c r="C96" s="129"/>
      <c r="D96" s="24"/>
    </row>
    <row r="97" spans="1:4" s="25" customFormat="1" ht="13.15">
      <c r="A97" s="130"/>
      <c r="B97" s="131"/>
      <c r="C97" s="129"/>
      <c r="D97" s="24"/>
    </row>
    <row r="98" spans="1:4" s="25" customFormat="1" ht="13.15">
      <c r="A98" s="133"/>
      <c r="B98" s="133"/>
      <c r="C98" s="129"/>
      <c r="D98" s="24"/>
    </row>
    <row r="102" spans="1:4" s="20" customFormat="1">
      <c r="A102" s="117"/>
      <c r="B102" s="117"/>
      <c r="C102" s="134"/>
      <c r="D102" s="26"/>
    </row>
  </sheetData>
  <customSheetViews>
    <customSheetView guid="{3432A39B-C5E3-4DF0-8655-3886C046AF9C}" scale="90" showPageBreaks="1" printArea="1" view="pageBreakPreview" topLeftCell="A33">
      <selection activeCell="D43" sqref="D43"/>
      <colBreaks count="1" manualBreakCount="1">
        <brk id="4" max="41" man="1"/>
      </colBreaks>
      <pageMargins left="0" right="0" top="0" bottom="0" header="0" footer="0"/>
      <pageSetup paperSize="9" scale="94" orientation="portrait" r:id="rId1"/>
      <headerFooter>
        <oddHeader>&amp;R&amp;U
&amp;11BILL NO. 3 -MALL REFURBISHMENT
AL KHAIL MALL REFURBISHMENT</oddHeader>
        <oddFooter>&amp;L&amp;8DMS 148704 BOQ - Nakheel Mall Al Khail&amp;C3/SUM</oddFooter>
      </headerFooter>
    </customSheetView>
    <customSheetView guid="{47E345F0-E696-46B9-B7A2-C22AD1CF4FAA}" scale="90" showPageBreaks="1" printArea="1" view="pageBreakPreview" topLeftCell="A11">
      <selection activeCell="B38" sqref="B38"/>
      <colBreaks count="1" manualBreakCount="1">
        <brk id="4" max="41" man="1"/>
      </colBreaks>
      <pageMargins left="0" right="0" top="0" bottom="0" header="0" footer="0"/>
      <pageSetup paperSize="9" orientation="portrait" r:id="rId2"/>
      <headerFooter>
        <oddHeader>&amp;R&amp;U
&amp;11BILL NO. 3 -MALL REFURBISHMENT
AL KHAIL MALL REFURBISHMENT</oddHeader>
        <oddFooter>&amp;L&amp;8DMS 148704 BOQ - Nakheel Mall Al Khail&amp;C3/SUM</oddFooter>
      </headerFooter>
    </customSheetView>
    <customSheetView guid="{252EBC6A-BD49-4FC3-9285-77861935BFE3}" scale="90" showPageBreaks="1" printArea="1" view="pageBreakPreview" topLeftCell="A11">
      <selection activeCell="B24" sqref="B24"/>
      <colBreaks count="1" manualBreakCount="1">
        <brk id="4" max="41" man="1"/>
      </colBreaks>
      <pageMargins left="0" right="0" top="0" bottom="0" header="0" footer="0"/>
      <pageSetup paperSize="9" orientation="portrait" r:id="rId3"/>
      <headerFooter>
        <oddHeader>&amp;R&amp;U
&amp;11BILL NO. 3 -MALL REFURBISHMENT
AL KHAIL MALL REFURBISHMENT</oddHeader>
        <oddFooter>&amp;L&amp;8DMS 148704 BOQ - Nakheel Mall Al Khail&amp;C3/SUM</oddFooter>
      </headerFooter>
    </customSheetView>
    <customSheetView guid="{80D5E0F2-D974-412D-A20C-052459C7A221}" scale="90" showPageBreaks="1" printArea="1" view="pageBreakPreview">
      <selection activeCell="D51" sqref="D51"/>
      <colBreaks count="1" manualBreakCount="1">
        <brk id="4" max="41" man="1"/>
      </colBreaks>
      <pageMargins left="0" right="0" top="0" bottom="0" header="0" footer="0"/>
      <pageSetup paperSize="9" scale="94" orientation="portrait" r:id="rId4"/>
      <headerFooter>
        <oddHeader>&amp;R&amp;U
&amp;11BILL NO. 3 -MALL REFURBISHMENT
AL KHAIL MALL REFURBISHMENT</oddHeader>
        <oddFooter>&amp;L&amp;8DMS 148704 BOQ - Nakheel Mall Al Khail&amp;C3/SUM</oddFooter>
      </headerFooter>
    </customSheetView>
  </customSheetViews>
  <mergeCells count="4">
    <mergeCell ref="A1:A2"/>
    <mergeCell ref="B1:B2"/>
    <mergeCell ref="C1:C2"/>
    <mergeCell ref="D1:D2"/>
  </mergeCells>
  <phoneticPr fontId="18" type="noConversion"/>
  <pageMargins left="0.66929133858267698" right="0.196850393700787" top="0.82677165354330695" bottom="0.47" header="0.196850393700787" footer="0.24"/>
  <pageSetup paperSize="9" scale="94" orientation="portrait" r:id="rId5"/>
  <headerFooter>
    <oddHeader>&amp;R&amp;U
&amp;11BILL NO. 3 -MALL REFURBISHMENT
AL KHAIL MALL REFURBISHMENT</oddHeader>
    <oddFooter>&amp;L&amp;8DMS 148704 BOQ - Nakheel Mall Al Khail&amp;C3/SUM</oddFooter>
  </headerFooter>
  <colBreaks count="1" manualBreakCount="1">
    <brk id="4" max="41"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3EF1AB537AC9E47B3E67E62C11EDC34" ma:contentTypeVersion="6" ma:contentTypeDescription="Create a new document." ma:contentTypeScope="" ma:versionID="2393c6d2fbf1c3b1fcf0524f3ce13afe">
  <xsd:schema xmlns:xsd="http://www.w3.org/2001/XMLSchema" xmlns:xs="http://www.w3.org/2001/XMLSchema" xmlns:p="http://schemas.microsoft.com/office/2006/metadata/properties" xmlns:ns2="29343c2e-0cc4-4aa9-a004-66d03d634282" xmlns:ns3="303d1388-59d5-4b44-81d6-4cb28e15e614" targetNamespace="http://schemas.microsoft.com/office/2006/metadata/properties" ma:root="true" ma:fieldsID="42acea1767e65b62021b29439736a286" ns2:_="" ns3:_="">
    <xsd:import namespace="29343c2e-0cc4-4aa9-a004-66d03d634282"/>
    <xsd:import namespace="303d1388-59d5-4b44-81d6-4cb28e15e61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9343c2e-0cc4-4aa9-a004-66d03d634282"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03d1388-59d5-4b44-81d6-4cb28e15e61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1199A8D-4979-4118-B8A4-F9AFD12139C5}"/>
</file>

<file path=customXml/itemProps2.xml><?xml version="1.0" encoding="utf-8"?>
<ds:datastoreItem xmlns:ds="http://schemas.openxmlformats.org/officeDocument/2006/customXml" ds:itemID="{A903E518-7C14-45D3-9E7B-3D3107E4AA92}"/>
</file>

<file path=customXml/itemProps3.xml><?xml version="1.0" encoding="utf-8"?>
<ds:datastoreItem xmlns:ds="http://schemas.openxmlformats.org/officeDocument/2006/customXml" ds:itemID="{95F95858-F106-4722-AB05-090F5C7AD3C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Aaron Mendoza</dc:creator>
  <cp:keywords/>
  <dc:description/>
  <cp:lastModifiedBy>Taj - Innovaite</cp:lastModifiedBy>
  <cp:revision/>
  <dcterms:created xsi:type="dcterms:W3CDTF">2021-12-10T06:42:14Z</dcterms:created>
  <dcterms:modified xsi:type="dcterms:W3CDTF">2026-03-11T15:19:35Z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0x010100D3EF1AB537AC9E47B3E67E62C11EDC34</vt:lpwstr>
  </property>
</Properties>
</file>