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05"/>
  <workbookPr defaultThemeVersion="124226"/>
  <mc:AlternateContent xmlns:mc="http://schemas.openxmlformats.org/markup-compatibility/2006">
    <mc:Choice Requires="x15">
      <x15ac:absPath xmlns:x15ac="http://schemas.microsoft.com/office/spreadsheetml/2010/11/ac" url="S:\Projects\CallisonRTKL\1102_Al Khail Mall\WORKSHOP\Post Contract\02 Contract  Documents\03 BOQ\2024.02.21_BOQ\"/>
    </mc:Choice>
  </mc:AlternateContent>
  <xr:revisionPtr revIDLastSave="0" documentId="13_ncr:1_{479AC229-26BC-427A-9E0F-588DB3CCAE17}" xr6:coauthVersionLast="47" xr6:coauthVersionMax="47" xr10:uidLastSave="{00000000-0000-0000-0000-000000000000}"/>
  <bookViews>
    <workbookView xWindow="-108" yWindow="-108" windowWidth="23256" windowHeight="12456" tabRatio="861" firstSheet="4" activeTab="4" xr2:uid="{00000000-000D-0000-FFFF-FFFF00000000}"/>
  </bookViews>
  <sheets>
    <sheet name="Fly-Bill 2" sheetId="20" r:id="rId1"/>
    <sheet name="Bill 2 Demo" sheetId="8" r:id="rId2"/>
    <sheet name="Bill 2 Demo EO" sheetId="24" r:id="rId3"/>
    <sheet name="Bill 2 Alteration" sheetId="23" r:id="rId4"/>
    <sheet name="Bill 2-Sum" sheetId="21" r:id="rId5"/>
  </sheets>
  <definedNames>
    <definedName name="_xlnm._FilterDatabase" localSheetId="3" hidden="1">'Bill 2 Alteration'!$A$1:$A$538</definedName>
    <definedName name="_xlnm._FilterDatabase" localSheetId="1" hidden="1">'Bill 2 Demo'!$A$1:$A$2008</definedName>
    <definedName name="_xlnm._FilterDatabase" localSheetId="2" hidden="1">'Bill 2 Demo EO'!$A$1:$A$192</definedName>
    <definedName name="_xlnm._FilterDatabase" localSheetId="4" hidden="1">'Bill 2-Sum'!$A$1:$E$51</definedName>
    <definedName name="_xlnm.Print_Area" localSheetId="3">'Bill 2 Alteration'!$A$1:$F$538</definedName>
    <definedName name="_xlnm.Print_Area" localSheetId="1">'Bill 2 Demo'!$A$1:$F$2008</definedName>
    <definedName name="_xlnm.Print_Area" localSheetId="2">'Bill 2 Demo EO'!$A$1:$F$192</definedName>
    <definedName name="_xlnm.Print_Area" localSheetId="4">'Bill 2-Sum'!$A$1:$D$51</definedName>
    <definedName name="_xlnm.Print_Area" localSheetId="0">'Fly-Bill 2'!$A$1:$J$50</definedName>
    <definedName name="_xlnm.Print_Titles" localSheetId="3">'Bill 2 Alteration'!$1:$3</definedName>
    <definedName name="_xlnm.Print_Titles" localSheetId="1">'Bill 2 Demo'!$1:$3</definedName>
    <definedName name="_xlnm.Print_Titles" localSheetId="2">'Bill 2 Demo EO'!$1:$3</definedName>
    <definedName name="_xlnm.Print_Titles" localSheetId="4">'Bill 2-Sum'!$1:$3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0" i="21" l="1"/>
  <c r="F114" i="24"/>
  <c r="F112" i="24"/>
  <c r="F121" i="24"/>
  <c r="F118" i="24"/>
  <c r="F92" i="24"/>
  <c r="F90" i="24"/>
  <c r="F86" i="24"/>
  <c r="F84" i="24"/>
  <c r="F66" i="24"/>
  <c r="F62" i="24"/>
  <c r="F60" i="24"/>
  <c r="F56" i="24"/>
  <c r="F52" i="24"/>
  <c r="F48" i="24"/>
  <c r="F46" i="24"/>
  <c r="F36" i="24"/>
  <c r="F34" i="24"/>
  <c r="F30" i="24"/>
  <c r="F28" i="24"/>
  <c r="F24" i="24"/>
  <c r="F20" i="24"/>
  <c r="F18" i="24"/>
  <c r="F140" i="24" l="1"/>
  <c r="F151" i="24" s="1"/>
  <c r="F101" i="24"/>
  <c r="F149" i="24" s="1"/>
  <c r="F73" i="24"/>
  <c r="F39" i="24"/>
  <c r="F147" i="24"/>
  <c r="F145" i="24"/>
  <c r="F191" i="24" l="1"/>
  <c r="D10" i="21" s="1"/>
  <c r="F449" i="23"/>
  <c r="F447" i="23"/>
  <c r="F16" i="23"/>
  <c r="F18" i="23"/>
  <c r="F20" i="23"/>
  <c r="F22" i="23"/>
  <c r="F24" i="23"/>
  <c r="F28" i="23"/>
  <c r="F30" i="23"/>
  <c r="F32" i="23"/>
  <c r="F34" i="23"/>
  <c r="F36" i="23"/>
  <c r="F341" i="8"/>
  <c r="F337" i="8"/>
  <c r="F1831" i="8"/>
  <c r="F1829" i="8"/>
  <c r="F401" i="23"/>
  <c r="F438" i="23" s="1"/>
  <c r="F511" i="23" s="1"/>
  <c r="F399" i="23"/>
  <c r="F386" i="23"/>
  <c r="F384" i="23"/>
  <c r="F382" i="23"/>
  <c r="F380" i="23"/>
  <c r="F378" i="23"/>
  <c r="F376" i="23"/>
  <c r="F372" i="23"/>
  <c r="F366" i="23"/>
  <c r="F364" i="23"/>
  <c r="F362" i="23"/>
  <c r="F351" i="23"/>
  <c r="F349" i="23"/>
  <c r="F345" i="23"/>
  <c r="F343" i="23"/>
  <c r="F341" i="23"/>
  <c r="F339" i="23"/>
  <c r="F337" i="23"/>
  <c r="F312" i="23"/>
  <c r="F310" i="23"/>
  <c r="F302" i="23"/>
  <c r="F306" i="23"/>
  <c r="F298" i="23"/>
  <c r="F296" i="23"/>
  <c r="F294" i="23"/>
  <c r="F292" i="23"/>
  <c r="F290" i="23"/>
  <c r="F288" i="23"/>
  <c r="F286" i="23"/>
  <c r="F270" i="23"/>
  <c r="F268" i="23"/>
  <c r="F266" i="23"/>
  <c r="F264" i="23"/>
  <c r="F262" i="23"/>
  <c r="F260" i="23"/>
  <c r="F258" i="23"/>
  <c r="F256" i="23"/>
  <c r="F254" i="23"/>
  <c r="F250" i="23"/>
  <c r="F246" i="23"/>
  <c r="F244" i="23"/>
  <c r="F242" i="23"/>
  <c r="F240" i="23"/>
  <c r="F238" i="23"/>
  <c r="F236" i="23"/>
  <c r="F234" i="23"/>
  <c r="F225" i="23"/>
  <c r="F223" i="23"/>
  <c r="F221" i="23"/>
  <c r="F219" i="23"/>
  <c r="F217" i="23"/>
  <c r="F215" i="23"/>
  <c r="F213" i="23"/>
  <c r="F211" i="23"/>
  <c r="F209" i="23"/>
  <c r="F207" i="23"/>
  <c r="F205" i="23"/>
  <c r="F203" i="23"/>
  <c r="F201" i="23"/>
  <c r="F199" i="23"/>
  <c r="F197" i="23"/>
  <c r="F195" i="23"/>
  <c r="F193" i="23"/>
  <c r="F191" i="23"/>
  <c r="F189" i="23"/>
  <c r="F175" i="23"/>
  <c r="F182" i="23" s="1"/>
  <c r="F499" i="23" s="1"/>
  <c r="F134" i="23"/>
  <c r="F132" i="23"/>
  <c r="F128" i="23"/>
  <c r="F126" i="23"/>
  <c r="F124" i="23"/>
  <c r="F122" i="23"/>
  <c r="F120" i="23"/>
  <c r="F118" i="23"/>
  <c r="F105" i="23"/>
  <c r="F103" i="23"/>
  <c r="F101" i="23"/>
  <c r="F99" i="23"/>
  <c r="F97" i="23"/>
  <c r="F95" i="23"/>
  <c r="F91" i="23"/>
  <c r="F89" i="23"/>
  <c r="F87" i="23"/>
  <c r="F85" i="23"/>
  <c r="F83" i="23"/>
  <c r="F81" i="23"/>
  <c r="F71" i="23"/>
  <c r="F69" i="23"/>
  <c r="F67" i="23"/>
  <c r="F65" i="23"/>
  <c r="F63" i="23"/>
  <c r="F61" i="23"/>
  <c r="F59" i="23"/>
  <c r="F57" i="23"/>
  <c r="F55" i="23"/>
  <c r="F53" i="23"/>
  <c r="F51" i="23"/>
  <c r="F49" i="23"/>
  <c r="F47" i="23"/>
  <c r="F45" i="23"/>
  <c r="F1825" i="8"/>
  <c r="F1785" i="8"/>
  <c r="F1769" i="8"/>
  <c r="F1767" i="8"/>
  <c r="F1765" i="8"/>
  <c r="F1763" i="8"/>
  <c r="F1759" i="8"/>
  <c r="F1757" i="8"/>
  <c r="F1738" i="8"/>
  <c r="F1736" i="8"/>
  <c r="F1732" i="8"/>
  <c r="F1726" i="8"/>
  <c r="F1724" i="8"/>
  <c r="F1722" i="8"/>
  <c r="F1718" i="8"/>
  <c r="F1712" i="8"/>
  <c r="F1698" i="8"/>
  <c r="F1696" i="8"/>
  <c r="F1692" i="8"/>
  <c r="F1690" i="8"/>
  <c r="F1688" i="8"/>
  <c r="F1686" i="8"/>
  <c r="F1684" i="8"/>
  <c r="F1682" i="8"/>
  <c r="F1680" i="8"/>
  <c r="F1678" i="8"/>
  <c r="F1676" i="8"/>
  <c r="F1674" i="8"/>
  <c r="F1672" i="8"/>
  <c r="F1668" i="8"/>
  <c r="F1657" i="8"/>
  <c r="F1655" i="8"/>
  <c r="F1651" i="8"/>
  <c r="F1649" i="8"/>
  <c r="F1647" i="8"/>
  <c r="F1643" i="8"/>
  <c r="F1641" i="8"/>
  <c r="F1639" i="8"/>
  <c r="F1637" i="8"/>
  <c r="F1635" i="8"/>
  <c r="F1633" i="8"/>
  <c r="F1631" i="8"/>
  <c r="F1629" i="8"/>
  <c r="F1627" i="8"/>
  <c r="F1617" i="8"/>
  <c r="F1615" i="8"/>
  <c r="F1613" i="8"/>
  <c r="F1611" i="8"/>
  <c r="F1609" i="8"/>
  <c r="F1607" i="8"/>
  <c r="F1605" i="8"/>
  <c r="F1603" i="8"/>
  <c r="F1601" i="8"/>
  <c r="F1599" i="8"/>
  <c r="F1597" i="8"/>
  <c r="F1595" i="8"/>
  <c r="F1593" i="8"/>
  <c r="F1591" i="8"/>
  <c r="F1581" i="8"/>
  <c r="F1579" i="8"/>
  <c r="F1577" i="8"/>
  <c r="F1575" i="8"/>
  <c r="F1573" i="8"/>
  <c r="F1571" i="8"/>
  <c r="F1569" i="8"/>
  <c r="F1567" i="8"/>
  <c r="F1565" i="8"/>
  <c r="F1563" i="8"/>
  <c r="F1561" i="8"/>
  <c r="F1559" i="8"/>
  <c r="F1557" i="8"/>
  <c r="F1555" i="8"/>
  <c r="F1544" i="8"/>
  <c r="F1542" i="8"/>
  <c r="F1540" i="8"/>
  <c r="F1538" i="8"/>
  <c r="F1536" i="8"/>
  <c r="F1476" i="8"/>
  <c r="F1474" i="8"/>
  <c r="F1463" i="8"/>
  <c r="F1461" i="8"/>
  <c r="F1459" i="8"/>
  <c r="F1457" i="8"/>
  <c r="F1455" i="8"/>
  <c r="F1453" i="8"/>
  <c r="F1451" i="8"/>
  <c r="F1449" i="8"/>
  <c r="F1447" i="8"/>
  <c r="F1445" i="8"/>
  <c r="F1443" i="8"/>
  <c r="F1441" i="8"/>
  <c r="F1437" i="8"/>
  <c r="F1431" i="8"/>
  <c r="F1429" i="8"/>
  <c r="F1420" i="8"/>
  <c r="F1418" i="8"/>
  <c r="F1416" i="8"/>
  <c r="F1414" i="8"/>
  <c r="F1412" i="8"/>
  <c r="F1410" i="8"/>
  <c r="F1408" i="8"/>
  <c r="F1406" i="8"/>
  <c r="F1404" i="8"/>
  <c r="F1402" i="8"/>
  <c r="F1400" i="8"/>
  <c r="F1398" i="8"/>
  <c r="F1396" i="8"/>
  <c r="F1394" i="8"/>
  <c r="F1392" i="8"/>
  <c r="F1390" i="8"/>
  <c r="F1388" i="8"/>
  <c r="F1386" i="8"/>
  <c r="F1384" i="8"/>
  <c r="F1375" i="8"/>
  <c r="F1373" i="8"/>
  <c r="F1371" i="8"/>
  <c r="F1369" i="8"/>
  <c r="F1367" i="8"/>
  <c r="F1365" i="8"/>
  <c r="F1363" i="8"/>
  <c r="F1359" i="8"/>
  <c r="F1357" i="8"/>
  <c r="F1355" i="8"/>
  <c r="F1353" i="8"/>
  <c r="F1351" i="8"/>
  <c r="F1349" i="8"/>
  <c r="F1347" i="8"/>
  <c r="F1345" i="8"/>
  <c r="F1343" i="8"/>
  <c r="F1341" i="8"/>
  <c r="F1339" i="8"/>
  <c r="F1329" i="8"/>
  <c r="F1327" i="8"/>
  <c r="F1325" i="8"/>
  <c r="F1323" i="8"/>
  <c r="F1321" i="8"/>
  <c r="F1319" i="8"/>
  <c r="F1317" i="8"/>
  <c r="F1315" i="8"/>
  <c r="F1313" i="8"/>
  <c r="F1311" i="8"/>
  <c r="F1309" i="8"/>
  <c r="F1307" i="8"/>
  <c r="F1305" i="8"/>
  <c r="F1303" i="8"/>
  <c r="F1301" i="8"/>
  <c r="F1299" i="8"/>
  <c r="F1297" i="8"/>
  <c r="F1295" i="8"/>
  <c r="F1293" i="8"/>
  <c r="F1291" i="8"/>
  <c r="F1289" i="8"/>
  <c r="F1279" i="8"/>
  <c r="F1277" i="8"/>
  <c r="F1275" i="8"/>
  <c r="F1273" i="8"/>
  <c r="F1271" i="8"/>
  <c r="F1269" i="8"/>
  <c r="F1267" i="8"/>
  <c r="F1265" i="8"/>
  <c r="F1263" i="8"/>
  <c r="F1261" i="8"/>
  <c r="F1259" i="8"/>
  <c r="F1257" i="8"/>
  <c r="F1255" i="8"/>
  <c r="F1253" i="8"/>
  <c r="F1251" i="8"/>
  <c r="F1249" i="8"/>
  <c r="F1247" i="8"/>
  <c r="F1245" i="8"/>
  <c r="F1243" i="8"/>
  <c r="F1241" i="8"/>
  <c r="F1239" i="8"/>
  <c r="F1227" i="8"/>
  <c r="F1225" i="8"/>
  <c r="F1223" i="8"/>
  <c r="F1221" i="8"/>
  <c r="F1219" i="8"/>
  <c r="F1215" i="8"/>
  <c r="F1213" i="8"/>
  <c r="F1211" i="8"/>
  <c r="F1209" i="8"/>
  <c r="F1207" i="8"/>
  <c r="F1203" i="8"/>
  <c r="F1201" i="8"/>
  <c r="F1199" i="8"/>
  <c r="F1197" i="8"/>
  <c r="F1187" i="8"/>
  <c r="F1185" i="8"/>
  <c r="F1183" i="8"/>
  <c r="F1181" i="8"/>
  <c r="F1179" i="8"/>
  <c r="F1177" i="8"/>
  <c r="F1175" i="8"/>
  <c r="F1173" i="8"/>
  <c r="F1171" i="8"/>
  <c r="F1169" i="8"/>
  <c r="F1167" i="8"/>
  <c r="F1165" i="8"/>
  <c r="F1163" i="8"/>
  <c r="F1161" i="8"/>
  <c r="F1159" i="8"/>
  <c r="F1157" i="8"/>
  <c r="F1155" i="8"/>
  <c r="F1153" i="8"/>
  <c r="F1151" i="8"/>
  <c r="F1149" i="8"/>
  <c r="F1147" i="8"/>
  <c r="F1137" i="8"/>
  <c r="F1135" i="8"/>
  <c r="F1133" i="8"/>
  <c r="F1131" i="8"/>
  <c r="F1129" i="8"/>
  <c r="F1127" i="8"/>
  <c r="F1125" i="8"/>
  <c r="F1123" i="8"/>
  <c r="F1121" i="8"/>
  <c r="F1119" i="8"/>
  <c r="F1117" i="8"/>
  <c r="F1115" i="8"/>
  <c r="F1113" i="8"/>
  <c r="F1111" i="8"/>
  <c r="F1109" i="8"/>
  <c r="F1107" i="8"/>
  <c r="F1105" i="8"/>
  <c r="F1103" i="8"/>
  <c r="F1101" i="8"/>
  <c r="F1099" i="8"/>
  <c r="F1097" i="8"/>
  <c r="F1087" i="8"/>
  <c r="F1085" i="8"/>
  <c r="F1083" i="8"/>
  <c r="F1081" i="8"/>
  <c r="F1079" i="8"/>
  <c r="F1077" i="8"/>
  <c r="F1075" i="8"/>
  <c r="F1073" i="8"/>
  <c r="F1071" i="8"/>
  <c r="F1069" i="8"/>
  <c r="F1067" i="8"/>
  <c r="F1065" i="8"/>
  <c r="F1063" i="8"/>
  <c r="F1061" i="8"/>
  <c r="F1059" i="8"/>
  <c r="F1057" i="8"/>
  <c r="F1055" i="8"/>
  <c r="F1053" i="8"/>
  <c r="F1051" i="8"/>
  <c r="F1049" i="8"/>
  <c r="F1047" i="8"/>
  <c r="F1037" i="8"/>
  <c r="F1035" i="8"/>
  <c r="F1033" i="8"/>
  <c r="F1031" i="8"/>
  <c r="F1029" i="8"/>
  <c r="F1027" i="8"/>
  <c r="F1025" i="8"/>
  <c r="F1023" i="8"/>
  <c r="F1021" i="8"/>
  <c r="F1019" i="8"/>
  <c r="F1017" i="8"/>
  <c r="F1015" i="8"/>
  <c r="F1013" i="8"/>
  <c r="F1011" i="8"/>
  <c r="F1009" i="8"/>
  <c r="F1007" i="8"/>
  <c r="F1005" i="8"/>
  <c r="F1003" i="8"/>
  <c r="F1001" i="8"/>
  <c r="F999" i="8"/>
  <c r="F997" i="8"/>
  <c r="F987" i="8"/>
  <c r="F985" i="8"/>
  <c r="F983" i="8"/>
  <c r="F981" i="8"/>
  <c r="F979" i="8"/>
  <c r="F977" i="8"/>
  <c r="F975" i="8"/>
  <c r="F973" i="8"/>
  <c r="F971" i="8"/>
  <c r="F969" i="8"/>
  <c r="F967" i="8"/>
  <c r="F965" i="8"/>
  <c r="F963" i="8"/>
  <c r="F961" i="8"/>
  <c r="F959" i="8"/>
  <c r="F957" i="8"/>
  <c r="F955" i="8"/>
  <c r="F953" i="8"/>
  <c r="F951" i="8"/>
  <c r="F949" i="8"/>
  <c r="F947" i="8"/>
  <c r="F937" i="8"/>
  <c r="F935" i="8"/>
  <c r="F933" i="8"/>
  <c r="F931" i="8"/>
  <c r="F929" i="8"/>
  <c r="F927" i="8"/>
  <c r="F925" i="8"/>
  <c r="F923" i="8"/>
  <c r="F921" i="8"/>
  <c r="F919" i="8"/>
  <c r="F917" i="8"/>
  <c r="F915" i="8"/>
  <c r="F913" i="8"/>
  <c r="F911" i="8"/>
  <c r="F909" i="8"/>
  <c r="F907" i="8"/>
  <c r="F905" i="8"/>
  <c r="F903" i="8"/>
  <c r="F901" i="8"/>
  <c r="F899" i="8"/>
  <c r="F897" i="8"/>
  <c r="F887" i="8"/>
  <c r="F885" i="8"/>
  <c r="F883" i="8"/>
  <c r="F881" i="8"/>
  <c r="F879" i="8"/>
  <c r="F877" i="8"/>
  <c r="F875" i="8"/>
  <c r="F873" i="8"/>
  <c r="F871" i="8"/>
  <c r="F869" i="8"/>
  <c r="F867" i="8"/>
  <c r="F865" i="8"/>
  <c r="F863" i="8"/>
  <c r="F861" i="8"/>
  <c r="F859" i="8"/>
  <c r="F857" i="8"/>
  <c r="F855" i="8"/>
  <c r="F841" i="8"/>
  <c r="F839" i="8"/>
  <c r="F837" i="8"/>
  <c r="F835" i="8"/>
  <c r="F833" i="8"/>
  <c r="F831" i="8"/>
  <c r="F829" i="8"/>
  <c r="F827" i="8"/>
  <c r="F825" i="8"/>
  <c r="F823" i="8"/>
  <c r="F821" i="8"/>
  <c r="F819" i="8"/>
  <c r="F817" i="8"/>
  <c r="F815" i="8"/>
  <c r="F813" i="8"/>
  <c r="F811" i="8"/>
  <c r="F809" i="8"/>
  <c r="F807" i="8"/>
  <c r="F805" i="8"/>
  <c r="F803" i="8"/>
  <c r="F792" i="8"/>
  <c r="F790" i="8"/>
  <c r="F788" i="8"/>
  <c r="F786" i="8"/>
  <c r="F784" i="8"/>
  <c r="F782" i="8"/>
  <c r="F780" i="8"/>
  <c r="F778" i="8"/>
  <c r="F776" i="8"/>
  <c r="F772" i="8"/>
  <c r="F770" i="8"/>
  <c r="F754" i="8"/>
  <c r="F752" i="8"/>
  <c r="F750" i="8"/>
  <c r="F748" i="8"/>
  <c r="F746" i="8"/>
  <c r="F744" i="8"/>
  <c r="F742" i="8"/>
  <c r="F740" i="8"/>
  <c r="F738" i="8"/>
  <c r="F736" i="8"/>
  <c r="F734" i="8"/>
  <c r="F732" i="8"/>
  <c r="F730" i="8"/>
  <c r="F720" i="8"/>
  <c r="F718" i="8"/>
  <c r="F716" i="8"/>
  <c r="F712" i="8"/>
  <c r="F710" i="8"/>
  <c r="F708" i="8"/>
  <c r="F706" i="8"/>
  <c r="F704" i="8"/>
  <c r="F700" i="8"/>
  <c r="F698" i="8"/>
  <c r="F696" i="8"/>
  <c r="F684" i="8"/>
  <c r="F682" i="8"/>
  <c r="F680" i="8"/>
  <c r="F678" i="8"/>
  <c r="F676" i="8"/>
  <c r="F674" i="8"/>
  <c r="F672" i="8"/>
  <c r="F670" i="8"/>
  <c r="F668" i="8"/>
  <c r="F666" i="8"/>
  <c r="F664" i="8"/>
  <c r="F660" i="8"/>
  <c r="F647" i="8"/>
  <c r="F645" i="8"/>
  <c r="F643" i="8"/>
  <c r="F641" i="8"/>
  <c r="F639" i="8"/>
  <c r="F637" i="8"/>
  <c r="F635" i="8"/>
  <c r="F633" i="8"/>
  <c r="F631" i="8"/>
  <c r="F629" i="8"/>
  <c r="F627" i="8"/>
  <c r="F625" i="8"/>
  <c r="F623" i="8"/>
  <c r="F619" i="8"/>
  <c r="F617" i="8"/>
  <c r="F615" i="8"/>
  <c r="F613" i="8"/>
  <c r="F602" i="8"/>
  <c r="F600" i="8"/>
  <c r="F598" i="8"/>
  <c r="F596" i="8"/>
  <c r="F594" i="8"/>
  <c r="F592" i="8"/>
  <c r="F590" i="8"/>
  <c r="F588" i="8"/>
  <c r="F584" i="8"/>
  <c r="F582" i="8"/>
  <c r="F580" i="8"/>
  <c r="F578" i="8"/>
  <c r="F576" i="8"/>
  <c r="F574" i="8"/>
  <c r="F572" i="8"/>
  <c r="F570" i="8"/>
  <c r="F561" i="8"/>
  <c r="F559" i="8"/>
  <c r="F557" i="8"/>
  <c r="F555" i="8"/>
  <c r="F553" i="8"/>
  <c r="F551" i="8"/>
  <c r="F549" i="8"/>
  <c r="F547" i="8"/>
  <c r="F545" i="8"/>
  <c r="F543" i="8"/>
  <c r="F541" i="8"/>
  <c r="F537" i="8"/>
  <c r="F535" i="8"/>
  <c r="F533" i="8"/>
  <c r="F531" i="8"/>
  <c r="F529" i="8"/>
  <c r="F527" i="8"/>
  <c r="F525" i="8"/>
  <c r="F516" i="8"/>
  <c r="F514" i="8"/>
  <c r="F512" i="8"/>
  <c r="F508" i="8"/>
  <c r="F506" i="8"/>
  <c r="F504" i="8"/>
  <c r="F502" i="8"/>
  <c r="F500" i="8"/>
  <c r="F498" i="8"/>
  <c r="F496" i="8"/>
  <c r="F494" i="8"/>
  <c r="F492" i="8"/>
  <c r="F474" i="8"/>
  <c r="F472" i="8"/>
  <c r="F470" i="8"/>
  <c r="F468" i="8"/>
  <c r="F466" i="8"/>
  <c r="F464" i="8"/>
  <c r="F462" i="8"/>
  <c r="F460" i="8"/>
  <c r="F458" i="8"/>
  <c r="F456" i="8"/>
  <c r="F454" i="8"/>
  <c r="F452" i="8"/>
  <c r="F450" i="8"/>
  <c r="F448" i="8"/>
  <c r="F446" i="8"/>
  <c r="F444" i="8"/>
  <c r="F434" i="8"/>
  <c r="F432" i="8"/>
  <c r="F430" i="8"/>
  <c r="F428" i="8"/>
  <c r="F426" i="8"/>
  <c r="F424" i="8"/>
  <c r="F422" i="8"/>
  <c r="F420" i="8"/>
  <c r="F418" i="8"/>
  <c r="F416" i="8"/>
  <c r="F414" i="8"/>
  <c r="F412" i="8"/>
  <c r="F408" i="8"/>
  <c r="F394" i="8"/>
  <c r="F401" i="8" s="1"/>
  <c r="F1879" i="8" s="1"/>
  <c r="F347" i="8"/>
  <c r="F345" i="8"/>
  <c r="F339" i="8"/>
  <c r="F325" i="8"/>
  <c r="F323" i="8"/>
  <c r="F321" i="8"/>
  <c r="F317" i="8"/>
  <c r="F315" i="8"/>
  <c r="F313" i="8"/>
  <c r="F311" i="8"/>
  <c r="F309" i="8"/>
  <c r="F307" i="8"/>
  <c r="F305" i="8"/>
  <c r="F274" i="8"/>
  <c r="F272" i="8"/>
  <c r="F270" i="8"/>
  <c r="F268" i="8"/>
  <c r="F266" i="8"/>
  <c r="F264" i="8"/>
  <c r="F262" i="8"/>
  <c r="F260" i="8"/>
  <c r="F209" i="8"/>
  <c r="F196" i="8"/>
  <c r="F192" i="8"/>
  <c r="F188" i="8"/>
  <c r="F184" i="8"/>
  <c r="F182" i="8"/>
  <c r="F178" i="8"/>
  <c r="F163" i="8"/>
  <c r="F161" i="8"/>
  <c r="F159" i="8"/>
  <c r="F157" i="8"/>
  <c r="F155" i="8"/>
  <c r="F153" i="8"/>
  <c r="F149" i="8"/>
  <c r="F145" i="8"/>
  <c r="F129" i="8"/>
  <c r="F125" i="8"/>
  <c r="F123" i="8"/>
  <c r="F119" i="8"/>
  <c r="F117" i="8"/>
  <c r="F115" i="8"/>
  <c r="F111" i="8"/>
  <c r="F109" i="8"/>
  <c r="F98" i="8"/>
  <c r="F94" i="8"/>
  <c r="F92" i="8"/>
  <c r="F90" i="8"/>
  <c r="F88" i="8"/>
  <c r="F86" i="8"/>
  <c r="F84" i="8"/>
  <c r="F82" i="8"/>
  <c r="F80" i="8"/>
  <c r="F78" i="8"/>
  <c r="F76" i="8"/>
  <c r="F72" i="8"/>
  <c r="F64" i="8"/>
  <c r="F60" i="8"/>
  <c r="F58" i="8"/>
  <c r="F54" i="8"/>
  <c r="F52" i="8"/>
  <c r="F48" i="8"/>
  <c r="F44" i="8"/>
  <c r="F42" i="8"/>
  <c r="F32" i="8"/>
  <c r="F30" i="8"/>
  <c r="F28" i="8"/>
  <c r="F24" i="8"/>
  <c r="F20" i="8"/>
  <c r="F18" i="8"/>
  <c r="F67" i="8" l="1"/>
  <c r="F35" i="8"/>
  <c r="F102" i="8"/>
  <c r="F294" i="8"/>
  <c r="F171" i="8"/>
  <c r="F253" i="8"/>
  <c r="F1871" i="8" s="1"/>
  <c r="F138" i="8"/>
  <c r="F204" i="8"/>
  <c r="F1854" i="8"/>
  <c r="F486" i="23"/>
  <c r="F513" i="23" s="1"/>
  <c r="F279" i="23"/>
  <c r="F156" i="23"/>
  <c r="F76" i="23"/>
  <c r="F40" i="23"/>
  <c r="F394" i="23"/>
  <c r="F357" i="23"/>
  <c r="F322" i="23"/>
  <c r="F229" i="23"/>
  <c r="F113" i="23"/>
  <c r="F520" i="8"/>
  <c r="F992" i="8"/>
  <c r="F1663" i="8"/>
  <c r="F1519" i="8"/>
  <c r="F892" i="8"/>
  <c r="F1092" i="8"/>
  <c r="F1622" i="8"/>
  <c r="F332" i="8"/>
  <c r="F439" i="8"/>
  <c r="F725" i="8"/>
  <c r="F1424" i="8"/>
  <c r="F1334" i="8"/>
  <c r="F1586" i="8"/>
  <c r="F1042" i="8"/>
  <c r="F765" i="8"/>
  <c r="F848" i="8"/>
  <c r="F1142" i="8"/>
  <c r="F1284" i="8"/>
  <c r="F1550" i="8"/>
  <c r="F1820" i="8"/>
  <c r="F1778" i="8"/>
  <c r="F1748" i="8"/>
  <c r="F1707" i="8"/>
  <c r="F1469" i="8"/>
  <c r="F1379" i="8"/>
  <c r="F1234" i="8"/>
  <c r="F1192" i="8"/>
  <c r="F942" i="8"/>
  <c r="F798" i="8"/>
  <c r="F691" i="8"/>
  <c r="F653" i="8"/>
  <c r="F608" i="8"/>
  <c r="F565" i="8"/>
  <c r="F485" i="8"/>
  <c r="F371" i="8"/>
  <c r="F1965" i="8" l="1"/>
  <c r="F1859" i="8"/>
  <c r="F509" i="23"/>
  <c r="F507" i="23"/>
  <c r="F505" i="23"/>
  <c r="F503" i="23"/>
  <c r="F501" i="23"/>
  <c r="F497" i="23"/>
  <c r="F495" i="23"/>
  <c r="F493" i="23"/>
  <c r="F491" i="23"/>
  <c r="F1963" i="8"/>
  <c r="F1952" i="8"/>
  <c r="F1950" i="8"/>
  <c r="F1948" i="8"/>
  <c r="F1946" i="8"/>
  <c r="F1944" i="8"/>
  <c r="F1942" i="8"/>
  <c r="F1940" i="8"/>
  <c r="F1938" i="8"/>
  <c r="F1936" i="8"/>
  <c r="F1934" i="8"/>
  <c r="F1932" i="8"/>
  <c r="F1930" i="8"/>
  <c r="F1928" i="8"/>
  <c r="F1926" i="8"/>
  <c r="F1924" i="8"/>
  <c r="F1922" i="8"/>
  <c r="F1920" i="8"/>
  <c r="F1918" i="8"/>
  <c r="F1916" i="8"/>
  <c r="F1914" i="8"/>
  <c r="F1912" i="8"/>
  <c r="F1901" i="8"/>
  <c r="F1899" i="8"/>
  <c r="F1897" i="8"/>
  <c r="F1895" i="8"/>
  <c r="F1893" i="8"/>
  <c r="F1891" i="8"/>
  <c r="F1889" i="8"/>
  <c r="F1887" i="8"/>
  <c r="F1885" i="8"/>
  <c r="F1883" i="8"/>
  <c r="F1881" i="8"/>
  <c r="F1877" i="8"/>
  <c r="F1875" i="8"/>
  <c r="F1873" i="8"/>
  <c r="F1869" i="8"/>
  <c r="F1867" i="8"/>
  <c r="F1865" i="8"/>
  <c r="F1863" i="8"/>
  <c r="F1861" i="8"/>
  <c r="F537" i="23" l="1"/>
  <c r="F1956" i="8"/>
  <c r="F1969" i="8" s="1"/>
  <c r="F1905" i="8"/>
  <c r="F1967" i="8" s="1"/>
  <c r="D12" i="21" l="1"/>
  <c r="F2007" i="8"/>
  <c r="D8" i="21" s="1"/>
  <c r="D50" i="21" l="1"/>
</calcChain>
</file>

<file path=xl/sharedStrings.xml><?xml version="1.0" encoding="utf-8"?>
<sst xmlns="http://schemas.openxmlformats.org/spreadsheetml/2006/main" count="3229" uniqueCount="1106">
  <si>
    <t>BILL NO. 2</t>
  </si>
  <si>
    <t>DEMOLITIONS AND ALTERATIONS</t>
  </si>
  <si>
    <t>Item</t>
  </si>
  <si>
    <t>Description</t>
  </si>
  <si>
    <t xml:space="preserve"> Quantity</t>
  </si>
  <si>
    <t>Unit</t>
  </si>
  <si>
    <t>Rate</t>
  </si>
  <si>
    <t>Amount</t>
  </si>
  <si>
    <t>AED</t>
  </si>
  <si>
    <t>DEMOLITIONS</t>
  </si>
  <si>
    <t>CUTTING / REMOVALS; STRUCTURAL</t>
  </si>
  <si>
    <t>Note: Please refer to the following:</t>
  </si>
  <si>
    <t>1. Demolition Plan Drawing Nr. S-12200 series</t>
  </si>
  <si>
    <t>2. Demolition Section and Details Drawing Nr. S-30200 series</t>
  </si>
  <si>
    <t>Demolition/Cutting of concrete structures including necessary propping, frames, supports, protection, making good of adjacent structures, offsite disposal to approved locations and all ancillary works as necessary</t>
  </si>
  <si>
    <t>Ref. D1; demolition for back of house lift 1,2 and 3. (SE-m-08, SE-m-09, SE-m-10)</t>
  </si>
  <si>
    <t>A</t>
  </si>
  <si>
    <t>Break to remove ground bearing slab over compacted fill to expose top of raft slab and allow connection of new shaft walls to be formed; to basement 2</t>
  </si>
  <si>
    <t>m²</t>
  </si>
  <si>
    <t>B</t>
  </si>
  <si>
    <t>Cutting of existing suspended RC slab to form new service lift shaft; from basement 1 to second floor mezzanine</t>
  </si>
  <si>
    <t>Ref. D2; demolition for lulu service lift</t>
  </si>
  <si>
    <t>C</t>
  </si>
  <si>
    <t>Cutting of existing suspended RC slab to form new lift shaft; to ground floor and first floor</t>
  </si>
  <si>
    <t>19</t>
  </si>
  <si>
    <t>Ref. D3; demolition for waitrose trolley lift (pe-m-21, pe-m-22)</t>
  </si>
  <si>
    <t>D</t>
  </si>
  <si>
    <t>Break to remove ground bearing slab and allow removal of compacted fill; including cutting of raft slab to form overrun pit; to basement 2</t>
  </si>
  <si>
    <t>37</t>
  </si>
  <si>
    <t>E</t>
  </si>
  <si>
    <t>Demolish RC column; size 600 x 1250 x 3050mm high; to basement 2</t>
  </si>
  <si>
    <t>1</t>
  </si>
  <si>
    <t>Nr</t>
  </si>
  <si>
    <t>F</t>
  </si>
  <si>
    <t>Cutting of existing suspended RC slab to form new lift shaft; from basement 1 to lower roof</t>
  </si>
  <si>
    <t>To Collection</t>
  </si>
  <si>
    <t>CUTTING / REMOVALS; STRUCTURAL (Cont´d)</t>
  </si>
  <si>
    <t>Ref. D4; demolition for lulu trolley lift (pe-m-18, pe-m-19, pe-m-20)</t>
  </si>
  <si>
    <t>Ref. D5; demolition for f&amp;b passenger lift (pe-m-17.1, pe-m-17.2)</t>
  </si>
  <si>
    <t>130</t>
  </si>
  <si>
    <t>Ref. D6; demolition for f&amp;b stairs</t>
  </si>
  <si>
    <t>Cutting of existing suspended RC slab to form new stair well; from basement 1 to second floor</t>
  </si>
  <si>
    <t>Ref. D7; partial demolition of existing south entrance shaft walls</t>
  </si>
  <si>
    <t>Demolition of staircase; from ground floor to second floor</t>
  </si>
  <si>
    <t>Nr.</t>
  </si>
  <si>
    <t>G</t>
  </si>
  <si>
    <t>Demolition of fire escape walls; 600mm thick RC walls; from ground floor to third floor</t>
  </si>
  <si>
    <t>323</t>
  </si>
  <si>
    <t>Ref. D8; demolition for installation of new escalator from level 1 to level 2</t>
  </si>
  <si>
    <t>H</t>
  </si>
  <si>
    <t>Cutting of existing RC slab to form opening for new escalator; to first floor</t>
  </si>
  <si>
    <t>Cutting of existing RC slab to form opening for new escalator; to second floor</t>
  </si>
  <si>
    <t>Ref. D9; demolition for new south entrance</t>
  </si>
  <si>
    <t>Demolition of RC column; size 1250 x 1250 x7250mm high; to ground floor</t>
  </si>
  <si>
    <t>3</t>
  </si>
  <si>
    <t>Demolition of RC column; size 1250 x 2000 x 7250mm high; to ground floor</t>
  </si>
  <si>
    <t>Demolition of RC column; size 1250 x 1250 x7000mm high; to first floor</t>
  </si>
  <si>
    <t>Demolition of RC column; size 1250 x 2000 x 7000mm high; to first floor</t>
  </si>
  <si>
    <t>Demolition of RC column; size 1250 x 1250 x 6200mm high; to second floor</t>
  </si>
  <si>
    <t>Demolition of RC column; size 1250 x 2000 x 6200mm high; to second floor</t>
  </si>
  <si>
    <t>Demolition of RC column; size 1250 x 1250 x 6300mm high; to third floor</t>
  </si>
  <si>
    <t>J</t>
  </si>
  <si>
    <t>Demolition of RC column; size 1250 x 2000 x 6300mm high; to third floor</t>
  </si>
  <si>
    <t>K</t>
  </si>
  <si>
    <t>Cutting of existing suspended RC slab for new south entrance; from first floor to upper roof</t>
  </si>
  <si>
    <t>2,799</t>
  </si>
  <si>
    <t>L</t>
  </si>
  <si>
    <t>Removal of composite metal deck and steel beams; to first floor and second floor</t>
  </si>
  <si>
    <t>1,325</t>
  </si>
  <si>
    <t>Ref. D10; demolition for ellipsoid opening - no. 1,2,3 &amp; 4</t>
  </si>
  <si>
    <t>M</t>
  </si>
  <si>
    <t>Cutting of existing suspended RC slab to form new oval shaped void; from first floor to lower roof</t>
  </si>
  <si>
    <t>625</t>
  </si>
  <si>
    <t>Ref. D12; demolition for garden walk planter boxes -no. 1,2,3,4,5,6,7,8,9 and 10</t>
  </si>
  <si>
    <t>Cutting of existing suspended RC slab to allow formation of new planter boxes; to ground floor</t>
  </si>
  <si>
    <t>2,169</t>
  </si>
  <si>
    <t>Cutting of existing suspended RC slab to form escalator overrun pit; to ground floor</t>
  </si>
  <si>
    <t>55</t>
  </si>
  <si>
    <t>Ref. D13; demolition for existing bridging structure</t>
  </si>
  <si>
    <t>Demolition of  RC column; size 1250 x 1500 x 7250mm high; to ground floor</t>
  </si>
  <si>
    <t>8</t>
  </si>
  <si>
    <t>Demolition of RC column; size 1250 x 1500 x 7000mm high; to first floor</t>
  </si>
  <si>
    <t>Demolition of existing bridge walkway; to first floor and second floor</t>
  </si>
  <si>
    <t>1,028</t>
  </si>
  <si>
    <t>Ref. D14; demolition for new ramp b2 to b1 level</t>
  </si>
  <si>
    <t>Break to remove ground bearing slab over compacted fill to expose top of raft slab and allow connection of new ramp slab to be formed; to basement 2</t>
  </si>
  <si>
    <t>Cutting of existing suspended RC slab to form slot for new ramp; to basement 1</t>
  </si>
  <si>
    <t>Ref. D15; demolition to accommodate the new escalator at level 1</t>
  </si>
  <si>
    <t>Cutting to form notch in existing suspended RC slab; to first floor</t>
  </si>
  <si>
    <t>Ref. D16; demolition to form south side planters and feature opening</t>
  </si>
  <si>
    <t>937</t>
  </si>
  <si>
    <t>Ref. D17; demolition to allow formation of new bridging structure - no 1,2, 3 and 4.</t>
  </si>
  <si>
    <t>Cutting of existing suspended RC slab to facilitate bridge connection;  to first floor and second floor</t>
  </si>
  <si>
    <t>Ref. D18; demolition to form openings around the pulse.</t>
  </si>
  <si>
    <t xml:space="preserve">Demolition of RC column; size 1250 x 1250 x 7250mm high; to ground floor </t>
  </si>
  <si>
    <t xml:space="preserve">Demolition of RC column; size 1250 x 1250 x 7000mm high; to first floor </t>
  </si>
  <si>
    <t xml:space="preserve">Demolition of RC column; size 1250 x 1250 x 6250mm high; to second floor </t>
  </si>
  <si>
    <t xml:space="preserve">Demolition of RC column; size 1250 x 1250 x 3400mm high; to third floor </t>
  </si>
  <si>
    <t>Demolition of RC wall; 600mm thick; from ground floor to third floor</t>
  </si>
  <si>
    <t>400</t>
  </si>
  <si>
    <t>Cutting of existing RC slab to to form opening around pulse; from first floor to lower roof</t>
  </si>
  <si>
    <t>Ref. D19; demolition to reprofile existing openings - n0. 1,2,3,4,5, 6 and 7.</t>
  </si>
  <si>
    <t>Break back and remove the covering of bulkhead and any architectural finishes on the existing hexagonal opening; to first floor and second floor</t>
  </si>
  <si>
    <t>m</t>
  </si>
  <si>
    <t>Ref. D20; demolition to facilitate new travelator from b2 to b1.</t>
  </si>
  <si>
    <t>Break to remove ground bearing slab and compacted fill, a minimum of 250mm breaking is also required in structural raft and an additional of 100mm for strengthening works</t>
  </si>
  <si>
    <t>28</t>
  </si>
  <si>
    <t>Cutting of existing suspended RC slab to form opening for new travelator; to basement 1</t>
  </si>
  <si>
    <t>23</t>
  </si>
  <si>
    <t>Ref. D21; demolition of steel area to form new circular opening - no. 1,2,3,4,5 and 6</t>
  </si>
  <si>
    <t>Demolition and removal of steel beams; from third floor to upper roof</t>
  </si>
  <si>
    <t>2,336</t>
  </si>
  <si>
    <t>Ref. D22; demolition of r.c. slab to form circular opening -no. 1,2 and 3</t>
  </si>
  <si>
    <t>Cutting of existing suspended RC slab to form opening; from third floor to upper roof</t>
  </si>
  <si>
    <t>342</t>
  </si>
  <si>
    <t>Ref. D23; partial demolition to facilitate addition of planters on existing steel structures - no. 1 and 2</t>
  </si>
  <si>
    <t>Demolition and removal of steel beams; to first floor</t>
  </si>
  <si>
    <t>78</t>
  </si>
  <si>
    <t>Ref. D24; demolition to facilitate closing of existing opening</t>
  </si>
  <si>
    <t>Cutting of 2 nr. 750mm wide strips out of the existing suspended RC slab; to third floor</t>
  </si>
  <si>
    <t>25</t>
  </si>
  <si>
    <t>Others:</t>
  </si>
  <si>
    <t>Break to remove ground bearing slab over compacted fill to expose top of raft slab and allow connection of new sewer tank walls to be formed; to basement 2</t>
  </si>
  <si>
    <t>Demolition of  existing RC wall to allow wall opening for new air intake shaft: 350mm thick; to basement 1</t>
  </si>
  <si>
    <t>51</t>
  </si>
  <si>
    <t>Demolition of existing ramp; to ground floor</t>
  </si>
  <si>
    <t>Demolition of existing wall; to ground floor</t>
  </si>
  <si>
    <t>5</t>
  </si>
  <si>
    <t>Demolition of parapet wall above ramp top slab; to ground floor</t>
  </si>
  <si>
    <t>56</t>
  </si>
  <si>
    <t>Demolition of existing RC slab to facilitate new slab opening geometry; to first floor</t>
  </si>
  <si>
    <t>36</t>
  </si>
  <si>
    <t>Cutting of existing RC slab to form opening; to upper roof</t>
  </si>
  <si>
    <t>Cutting of existing RC slab to form opening; to top of upper mechanical room</t>
  </si>
  <si>
    <t>STRIP-OUT / REMOVALS;  ARCHITECTURAL</t>
  </si>
  <si>
    <t>Note: Refer to the following:</t>
  </si>
  <si>
    <t>1. Demolition Plan Drawing Nr. D-101A to D-111D and D-200</t>
  </si>
  <si>
    <t>Removal of internal partitions and doors; various thickness; including disposal to approved locations, cleaning, making good all work affected and all ancillary works as necessary</t>
  </si>
  <si>
    <t>Removal of blockwork walls; from basement 2 to upper roof</t>
  </si>
  <si>
    <t>19,141</t>
  </si>
  <si>
    <t>Extra over single leaf door; from ground floor to lower roof</t>
  </si>
  <si>
    <t>43</t>
  </si>
  <si>
    <t>Extra over double leaf door; from ground floor to lower roof</t>
  </si>
  <si>
    <t>17</t>
  </si>
  <si>
    <t>Removal of demising walls; from ground floor to second floor</t>
  </si>
  <si>
    <t>25,457</t>
  </si>
  <si>
    <t xml:space="preserve">Removal of shop-front / demiser piers; from ground floor to second floor </t>
  </si>
  <si>
    <t>36,879</t>
  </si>
  <si>
    <t>Removal of single leaf door; to ground floor</t>
  </si>
  <si>
    <t>2</t>
  </si>
  <si>
    <t>Removal of double leaf door; to second floor and upper floor</t>
  </si>
  <si>
    <t>Removal of facade; including disposal to approved locations, cleaning, making good all work affected and all ancillary works as necessary</t>
  </si>
  <si>
    <t>Removal of blockwork walls; from ground floor to second floor</t>
  </si>
  <si>
    <t>1,893</t>
  </si>
  <si>
    <t>Extra over double leaf door; to ground floor</t>
  </si>
  <si>
    <t>Removal of curtain walls; to ground floor</t>
  </si>
  <si>
    <t>2,145</t>
  </si>
  <si>
    <t>STRIP-OUT / REMOVALS;  ARCHITECTURAL (Cont´d)</t>
  </si>
  <si>
    <t>Extra over for removal of GFRC panels and frames</t>
  </si>
  <si>
    <t>Removal of GFRC panels and frames (RATE ONLY)</t>
  </si>
  <si>
    <t xml:space="preserve">Removal of air intake (approximate) </t>
  </si>
  <si>
    <t>Removal of internal finishes; including disposal to approved locations, cleaning, making good all work affected and all ancillary works as necessary</t>
  </si>
  <si>
    <t xml:space="preserve">Removal of existing floor finish on mall concourse; from ground floor to second floor </t>
  </si>
  <si>
    <t>Removal of bulkhead in preparation for newly shaped opening; to first floor and second floor</t>
  </si>
  <si>
    <t>STRIP-OUT / REMOVALS; MECHANICAL ENGINEERING INSTALLATIONS</t>
  </si>
  <si>
    <t>1. Drawings are provided for services that are required to be removed and modified. However, the extent / scope of demolition shall not be limited to the details shown on the drawings, based on site conditions. Contractor shall be responsible for rerouting or modifying existing services whether shown on the drawings or not to facilitate civil, architectural and MEP works.</t>
  </si>
  <si>
    <t>2. Drawing Nr.. D-12100 to 12159 drainage layout demolition</t>
  </si>
  <si>
    <t>3. Drawing Nr.. W-12300 to 12354 water system demolition layout drawing</t>
  </si>
  <si>
    <t>4. Drawing Nr.. F-12200 to 12254 fire protection system demolition layout drawings</t>
  </si>
  <si>
    <t>5. Drawing Nr.. G-12500 to 12524 gas system demolition layout drawings</t>
  </si>
  <si>
    <t>6. Drawing Nr.. M-12000 to 12094 /  12100 to 12194 HVAC and chilled water system demolition layout drawing</t>
  </si>
  <si>
    <t>7. Modification and reinstatement works shall include dropping / extending the existing water pipes and accessories to suit the new level of height.</t>
  </si>
  <si>
    <t xml:space="preserve">Dismantling/packing of existing escalator unit; complete with drive motor, balustrade, truss, steps control panel, gears, sprockets, switches, escalator safety mechanisms,  hoisting/hauling, and all ancillary works as necessary </t>
  </si>
  <si>
    <t>Dismantling/packing escalator at lulu area</t>
  </si>
  <si>
    <t>Nr..</t>
  </si>
  <si>
    <t>STRIP-OUT / REMOVALS; MECHANICAL ENGINEERING INSTALLATIONS (Cont´d)</t>
  </si>
  <si>
    <t xml:space="preserve">Dismantling of existing VT unit; complete with drive motor, balustrade, truss, steps control panel, gears, sprockets, switches, escalator safety mechanisms,  hoisting/hauling, and all ancillary works as necessary </t>
  </si>
  <si>
    <t>Dismantling of escalator unit; to garden walk area</t>
  </si>
  <si>
    <t>4</t>
  </si>
  <si>
    <t>Dismantling, protect and store all existing Drainage system services; including pipes, pipe fittings, supports, hangers, valves, floor drains, parking drains, roof vent cowls, roof drains, clean outs, and all ancillary works as necessary( for subsequent; re-use, isolate, disconnections, pipe branches to be dismantled shall be close and fitted with tags and making good and disposal to approved location)</t>
  </si>
  <si>
    <t>Kitchen waste pipe; size 75mm diameter</t>
  </si>
  <si>
    <t>538</t>
  </si>
  <si>
    <t>Kitchen waste pipe; size 80mm diameter</t>
  </si>
  <si>
    <t>Kitchen waste pipe; size 100mm diameter</t>
  </si>
  <si>
    <t>Kitchen waste pipe; size 150mm diameter</t>
  </si>
  <si>
    <t>54</t>
  </si>
  <si>
    <t>Kitchen waste pipe; size 160mm diameter</t>
  </si>
  <si>
    <t>110</t>
  </si>
  <si>
    <t>Sewer pipe; size 50mm diameter</t>
  </si>
  <si>
    <t>27</t>
  </si>
  <si>
    <t>Sewer pipe; size 80mm diameter</t>
  </si>
  <si>
    <t>Sewer pipe; size 100mm diameter</t>
  </si>
  <si>
    <t>525</t>
  </si>
  <si>
    <t>Sewer pipe; size 110mm diameter</t>
  </si>
  <si>
    <t>50</t>
  </si>
  <si>
    <t>Sewer pipe; size 160mm diameter</t>
  </si>
  <si>
    <t>80</t>
  </si>
  <si>
    <t>Sewer pipe; size 200mm diameter</t>
  </si>
  <si>
    <t>64</t>
  </si>
  <si>
    <t>N</t>
  </si>
  <si>
    <t>Waste pipe; size 50mm diameter</t>
  </si>
  <si>
    <t>255</t>
  </si>
  <si>
    <t>Waste pipe; size 65mm diameter</t>
  </si>
  <si>
    <t>Waste pipe; size 80mm diameter</t>
  </si>
  <si>
    <t>631</t>
  </si>
  <si>
    <t>Waste pipe; size 82mm diameter</t>
  </si>
  <si>
    <t>435</t>
  </si>
  <si>
    <t>Waste pipe; size 100mm diameter</t>
  </si>
  <si>
    <t>234</t>
  </si>
  <si>
    <t>Waste pipe; size 110mm diameter</t>
  </si>
  <si>
    <t>52</t>
  </si>
  <si>
    <t>Waste pipe; size 150mm diameter</t>
  </si>
  <si>
    <t>9</t>
  </si>
  <si>
    <t>Waste pipe; size 160mm diameter</t>
  </si>
  <si>
    <t>221</t>
  </si>
  <si>
    <t>Waste pipe; size 200mm diameter</t>
  </si>
  <si>
    <t>168</t>
  </si>
  <si>
    <t>Vent pipe; size 50mm diameter</t>
  </si>
  <si>
    <t>39</t>
  </si>
  <si>
    <t>Vent pipe; size 82mm diameter</t>
  </si>
  <si>
    <t>1,273</t>
  </si>
  <si>
    <t>Vent pipe; size 65mm diameter</t>
  </si>
  <si>
    <t>83</t>
  </si>
  <si>
    <t>Vent pipe; size 80mm diameter</t>
  </si>
  <si>
    <t>Vent pipe; size 110mm diameter</t>
  </si>
  <si>
    <t>13</t>
  </si>
  <si>
    <t>P</t>
  </si>
  <si>
    <t>Storm drainage pipe; size 82mm diameter</t>
  </si>
  <si>
    <t>Q</t>
  </si>
  <si>
    <t>Storm drainage pipe; size 110mm diameter</t>
  </si>
  <si>
    <t>591</t>
  </si>
  <si>
    <t>R</t>
  </si>
  <si>
    <t>Allow for dismantling, protect and store all existing Sanitary Fixtures and accessories; including disconnections of pipes, and all ancillary works as necessary( for subsequent re-use; isolate, making good and disposal to approved location)</t>
  </si>
  <si>
    <t>Dismantling, protect and store all existing Condensate drain pipe; including pipes, pipe fittings, supports, hangers, clean outs, insulations, and all ancillary works as necessary( for subsequent re-use; isolate, disconnections, pipe branches to be dismantled shall be close and fitted with tags, making good and disposal to approved location)</t>
  </si>
  <si>
    <t>CDP; size 25mm diameter</t>
  </si>
  <si>
    <t>300</t>
  </si>
  <si>
    <t>CDP; size 32mm diameter</t>
  </si>
  <si>
    <t>67</t>
  </si>
  <si>
    <t>CDP; size 40mm diameter</t>
  </si>
  <si>
    <t>21</t>
  </si>
  <si>
    <t>CDP; size 50mm diameter</t>
  </si>
  <si>
    <t>118</t>
  </si>
  <si>
    <t>CDP; size 65mm diameter</t>
  </si>
  <si>
    <t>CDP; size 75mm diameter</t>
  </si>
  <si>
    <t>44</t>
  </si>
  <si>
    <t>CDP; size 80mm diameter</t>
  </si>
  <si>
    <t>85</t>
  </si>
  <si>
    <t>CDP; size 82mm diameter</t>
  </si>
  <si>
    <t>512</t>
  </si>
  <si>
    <t>CDP; size 100mm diameter</t>
  </si>
  <si>
    <t>Dismantling, protect and handing over at client yard all existing cold/hot Water Services; including pipes, pipe fittings, insulations, supports, hangers, valves, equipments and all ancillary works as necessary( for subsequent re-use; isolate, disconnections, pipe branches to be dismantled shall be close and fitted with tags, making good and disposal to approved location)</t>
  </si>
  <si>
    <t>CWS pipe; size 15mm diameter</t>
  </si>
  <si>
    <t>171</t>
  </si>
  <si>
    <t>CWS pipe; size 20mm diameter</t>
  </si>
  <si>
    <t>352</t>
  </si>
  <si>
    <t>CWS pipe; size 25mm diameter</t>
  </si>
  <si>
    <t>133</t>
  </si>
  <si>
    <t>CWS pipe; size 32mm diameter</t>
  </si>
  <si>
    <t>63</t>
  </si>
  <si>
    <t>CWS pipe; size 40mm diameter</t>
  </si>
  <si>
    <t>508</t>
  </si>
  <si>
    <t>CWS pipe; size 50mm diameter</t>
  </si>
  <si>
    <t>2,595</t>
  </si>
  <si>
    <t>CWS pipe; size 65mm diameter</t>
  </si>
  <si>
    <t>277</t>
  </si>
  <si>
    <t>CWS pipe; size 82mm diameter</t>
  </si>
  <si>
    <t>100</t>
  </si>
  <si>
    <t>CWS pipe; size 90mm diameter</t>
  </si>
  <si>
    <t>CWS pipe; size 100mm diameter</t>
  </si>
  <si>
    <t>42</t>
  </si>
  <si>
    <t>Dismantling, protect and handing over at client yard in all existing valves and pipe Specialties: including supports, insulation and other accessories, making good, and disposal to approved location and all ancillary works as necessary</t>
  </si>
  <si>
    <t>Ball valve; size 32mm diameter</t>
  </si>
  <si>
    <t>Ball valve; size 40mm diameter</t>
  </si>
  <si>
    <t>Ball valve; size 50mm diameter</t>
  </si>
  <si>
    <t>103</t>
  </si>
  <si>
    <t>Ball valve; size 65mm diameter</t>
  </si>
  <si>
    <t>Butterfly valve; size 65mm diameter</t>
  </si>
  <si>
    <t>Butterfly valve; size 100mm diameter</t>
  </si>
  <si>
    <t>Isolation valve; size 20mm diameter</t>
  </si>
  <si>
    <t>Isolation valve; size 25mm diameter</t>
  </si>
  <si>
    <t>6</t>
  </si>
  <si>
    <t>Isolation valve; size 40mm diameter</t>
  </si>
  <si>
    <t>14</t>
  </si>
  <si>
    <t>S</t>
  </si>
  <si>
    <t>Isolation valve; size 50mm diameter</t>
  </si>
  <si>
    <t>74</t>
  </si>
  <si>
    <t>T</t>
  </si>
  <si>
    <t>Isolation valve; size 65mm diameter</t>
  </si>
  <si>
    <t>Gate valve; size 65mm diameter</t>
  </si>
  <si>
    <t>7</t>
  </si>
  <si>
    <t>Gate valve; size 82mm diameter</t>
  </si>
  <si>
    <t>Gate valve; size 90mm diameter</t>
  </si>
  <si>
    <t>Cleaning hose cabinet; CHC-1</t>
  </si>
  <si>
    <t>WT-01; size 15mm diameter</t>
  </si>
  <si>
    <t>Water meter; size 40mm diameter</t>
  </si>
  <si>
    <t>Water meter; size 50mm diameter</t>
  </si>
  <si>
    <t>35</t>
  </si>
  <si>
    <t>Water meter; size 65mm diameter</t>
  </si>
  <si>
    <t>11</t>
  </si>
  <si>
    <t>Dismantling, protect and handing over at client yard all existing Fire Protection Services; including pipes, pipe fittings, valves, fire hose cabinets, sprinkler heads, fire extinguishers,  and all ancillary works as necessary ( for subsequent re-use; isolate, disconnection, pipe branches dismantled shall be closed and fitted with tags, making good and disposal to approved location)</t>
  </si>
  <si>
    <t>WRP pipe; size 25mm diameter</t>
  </si>
  <si>
    <t>6,870</t>
  </si>
  <si>
    <t>WRP pipe; size 32mm diameter</t>
  </si>
  <si>
    <t>1,308</t>
  </si>
  <si>
    <t>WRP pipe; size 40mm diameter</t>
  </si>
  <si>
    <t>944</t>
  </si>
  <si>
    <t>WRP pipe; size 50mm diameter</t>
  </si>
  <si>
    <t>923</t>
  </si>
  <si>
    <t>WRP pipe; size 65mm diameter</t>
  </si>
  <si>
    <t>891</t>
  </si>
  <si>
    <t>WRP pipe; size 80mm diameter</t>
  </si>
  <si>
    <t>656</t>
  </si>
  <si>
    <t>WRP pipe; size 100mm diameter</t>
  </si>
  <si>
    <t>770</t>
  </si>
  <si>
    <t>WRP pipe; size 150mm diameter</t>
  </si>
  <si>
    <t>415</t>
  </si>
  <si>
    <t>WRP pipe; size 200mm diameter</t>
  </si>
  <si>
    <t>162</t>
  </si>
  <si>
    <t>WRP pipe; size 250mm diameter</t>
  </si>
  <si>
    <t>WRP pipe; various sizes</t>
  </si>
  <si>
    <t>321</t>
  </si>
  <si>
    <t>Underground HDPE pipe: size 250mm diameter</t>
  </si>
  <si>
    <t>69</t>
  </si>
  <si>
    <t>Dismantling, protect and handing over at client yard all existing Valves and Pipe Specialties: including supports, accessories and all ancillary works as necessary ( for subsequent re-use; isolate, disconnection,  making good and disposal to approved location)</t>
  </si>
  <si>
    <t>CO2 5kg fire extinguisher - FE-2</t>
  </si>
  <si>
    <t>Water type 9liters fire extinguisher- FE-1</t>
  </si>
  <si>
    <t>Various sprinkler head</t>
  </si>
  <si>
    <t>5,327</t>
  </si>
  <si>
    <t>Fire hose cabinet - FHC-2</t>
  </si>
  <si>
    <t>Drain valve; 25mm diameter</t>
  </si>
  <si>
    <t>16</t>
  </si>
  <si>
    <t>Drain valve; 40mm diameter</t>
  </si>
  <si>
    <t>Zone control valve; size 100mm diameter</t>
  </si>
  <si>
    <t>Zone control valve; size 200mm diameter</t>
  </si>
  <si>
    <t>Valve with stub-out; size 40mm diameter</t>
  </si>
  <si>
    <t>Valve with stub-out; size 50mm diameter</t>
  </si>
  <si>
    <t>Valve with stub-out; size 65mm diameter</t>
  </si>
  <si>
    <t>Valve with stub-out; size 80mm diameter</t>
  </si>
  <si>
    <t>Valve with stub-out; size 150mm diameter</t>
  </si>
  <si>
    <t>Dismantling, protect and handing over at client yard all existing Fire Hose Cabinet: including valves, fire extinguishers, hose reel, supports, making good and all ancillary works as necessary</t>
  </si>
  <si>
    <t>Dismantling, protect and store all existing Gas Services; including pipes, pipe fittings, supports, hangers, valves, gas detectors, sensors,  and all ancillary works as necessary (for subsequent re-use; isolate, disconnections, pipe branches to be dismantled shall be close and fitted with tags, making good and disposal to approved location)</t>
  </si>
  <si>
    <t>Gas CS pipe sch. 40; size 32mm diameter</t>
  </si>
  <si>
    <t>184</t>
  </si>
  <si>
    <t>Gas CS pipe sch. 40; size 40mm diameter</t>
  </si>
  <si>
    <t>62</t>
  </si>
  <si>
    <t>Gas CS pipe sch. 40; size 50mm diameter</t>
  </si>
  <si>
    <t>65</t>
  </si>
  <si>
    <t>Gas CS pipe sch. 40; size 65mm diameter</t>
  </si>
  <si>
    <t>Gas CS pipe sch. 40; size 80mm diameter</t>
  </si>
  <si>
    <t>Gas CS pipe sch. 40; size 125mm diameter</t>
  </si>
  <si>
    <t>75</t>
  </si>
  <si>
    <t>Gas CS pipe sch. 40; size 150mm diameter</t>
  </si>
  <si>
    <t>Gas CS pipe sch. 40; size 250mm diameter</t>
  </si>
  <si>
    <t>18</t>
  </si>
  <si>
    <t>ERW steel gas protection pipe; size 65mm diameter</t>
  </si>
  <si>
    <t>77</t>
  </si>
  <si>
    <t>ERW steel gas protection pipe; size 80mm diameter</t>
  </si>
  <si>
    <t>15</t>
  </si>
  <si>
    <t>ERW steel gas protection pipe; size 100mm diameter</t>
  </si>
  <si>
    <t>ERW steel gas protection pipe; size 150mm diameter</t>
  </si>
  <si>
    <t>ERW steel gas protection pipe; size 200mm diameter</t>
  </si>
  <si>
    <t>126</t>
  </si>
  <si>
    <t>ERW steel gas protection pipe; size 300mm diameter</t>
  </si>
  <si>
    <t>Dismantling, protect and handing over at client yard in all existing valves and pipe Specialties: including supports, accessories, BMS disconnections and all ancillary works as necessary (for subsequent re-use; isolate, disconnections, making good and disposal to approved location)</t>
  </si>
  <si>
    <t>Ball valve: size 32mm diameter</t>
  </si>
  <si>
    <t>Ball valve: size 65mm diameter</t>
  </si>
  <si>
    <t>Ball valve: size 125mm diameter</t>
  </si>
  <si>
    <t>Explosion proof gas detector</t>
  </si>
  <si>
    <t>Pipe gas detector</t>
  </si>
  <si>
    <t>Dismantling, protect and handing over at client yard all existing Chilled Water Services; including pipes, pipe fittings, insulations, supports, hangers, valves and all ancillary works as necessary( for subsequent re-use; isolate, disconnections, pipe branches to be dismantled shall be close and fitted with tags, making good and disposal to approved location)</t>
  </si>
  <si>
    <t>SHWS/R pipe; size 20mm diameter</t>
  </si>
  <si>
    <t>583</t>
  </si>
  <si>
    <t>SHWS/R pipe; size 25mm diameter</t>
  </si>
  <si>
    <t>1,035</t>
  </si>
  <si>
    <t>SHWS/R pipe; size 32mm diameter</t>
  </si>
  <si>
    <t>872</t>
  </si>
  <si>
    <t>SHWS/R pipe; size 40mm diameter</t>
  </si>
  <si>
    <t>638</t>
  </si>
  <si>
    <t>SHWS/R pipe; size 50mm diameter</t>
  </si>
  <si>
    <t>500</t>
  </si>
  <si>
    <t>SHWS/R pipe; size 65mm diameter</t>
  </si>
  <si>
    <t>269</t>
  </si>
  <si>
    <t>SHWS/R pipe; size 80mm diameter</t>
  </si>
  <si>
    <t>115</t>
  </si>
  <si>
    <t>SHWS/R pipe; size 100mm diameter</t>
  </si>
  <si>
    <t>125</t>
  </si>
  <si>
    <t>SHWS/R pipe; size 125mm diameter</t>
  </si>
  <si>
    <t>128</t>
  </si>
  <si>
    <t>SHWS/R pipe; size 150mm diameter</t>
  </si>
  <si>
    <t>29</t>
  </si>
  <si>
    <t>SHWS/R pipe; size 200mm diameter</t>
  </si>
  <si>
    <t>200</t>
  </si>
  <si>
    <t>SHWS/R pipe; size 250mm diameter</t>
  </si>
  <si>
    <t>SHWS/R pipe; size 300mm diameter</t>
  </si>
  <si>
    <t>SHWS/R pipe; various size</t>
  </si>
  <si>
    <t>2,712</t>
  </si>
  <si>
    <t>Allow demolition, protect and handing over at client yard for all existing Chilled Water Pipeworks; valves and accessories, making good, disposal to approved location and all ancillary works as necessary to third floor Grid line Y6 to Y9 and C2 to C4</t>
  </si>
  <si>
    <t>Allow demolition, protect and handing over at client yard for all existing Chilled Water Pipeworks, valves and accessories, making good, disposal to approved location and all ancillary works as necessary to third floor Grid line Z1 to Z2 and C1 to C2</t>
  </si>
  <si>
    <t>Allow for demolition, protect and handing over at client yard for all existing chilled water pipes, FCU's,RAHU's, valve sets, BMS disconnections, ductworks and accessories, making good, disposal to approved location and all ancillary works as necessary to lower roof Grid line Y6 to Y9 and C2 to C4</t>
  </si>
  <si>
    <t>Allow for demolition, protect and handing over at client yard for all existing Chilled Water Pipeworks, valve sets, making good,  disposal to approved location and all ancillary works as necessary to lower roof Grid line Z1 to Z4 and C6 to C10 grid line</t>
  </si>
  <si>
    <t>Dismantling, protect and handing over at client yard for all existing pipe Specialties; including BMS disconnections and all ancillary works as necessary (for subsequent re-use; isolate, disconnections, valves to be dismantled shall be with tags, making good,  disposal to approved location)</t>
  </si>
  <si>
    <t>Valve set; size 20mm diameter</t>
  </si>
  <si>
    <t>Valve set; size 25mm diameter</t>
  </si>
  <si>
    <t>Valve set; size 32mm diameter</t>
  </si>
  <si>
    <t>Valve set; size 50mm diameter</t>
  </si>
  <si>
    <t>Valve set; various size</t>
  </si>
  <si>
    <t>BTU meter assembly; size 20mm diameter</t>
  </si>
  <si>
    <t>61</t>
  </si>
  <si>
    <t>BTU meter assembly; size 25mm diameter</t>
  </si>
  <si>
    <t>87</t>
  </si>
  <si>
    <t>BTU meter assembly; size 32mm diameter</t>
  </si>
  <si>
    <t>BTU meter assembly; size 40mm diameter</t>
  </si>
  <si>
    <t>BTU meter assembly; size 50mm diameter</t>
  </si>
  <si>
    <t>BTU meter assembly; size 65mm diameter</t>
  </si>
  <si>
    <t>BTU meter assembly; size 80mm diameter</t>
  </si>
  <si>
    <t>BTU meter assembly; size 100mm diameter</t>
  </si>
  <si>
    <t>BTU meter assembly; size 125mm diameter</t>
  </si>
  <si>
    <t>BTU meter assembly; various size</t>
  </si>
  <si>
    <t>122</t>
  </si>
  <si>
    <t>Double regulating valve; size 32mm diameter</t>
  </si>
  <si>
    <t>Double regulating valve; size 40mm diameter</t>
  </si>
  <si>
    <t>Double regulating valve; size 50mm diameter</t>
  </si>
  <si>
    <t>Double regulating valve; size 65mm diameter</t>
  </si>
  <si>
    <t>Double regulating valve; size 80mm diameter</t>
  </si>
  <si>
    <t>Double regulating valve; size 250mm diameter</t>
  </si>
  <si>
    <t>Double regulating valve; various size</t>
  </si>
  <si>
    <t>Gate valve; size 32mm diameter</t>
  </si>
  <si>
    <t>Gate valve; size 40mm diameter</t>
  </si>
  <si>
    <t>Gate valve; size 50mm diameter</t>
  </si>
  <si>
    <t>Gate valve; size 80mm diameter</t>
  </si>
  <si>
    <t>U</t>
  </si>
  <si>
    <t>Gate valve; size 250mm diameter</t>
  </si>
  <si>
    <t>V</t>
  </si>
  <si>
    <t>Gate valve; various size</t>
  </si>
  <si>
    <t>Dismantling, protect and handing over at client yard for all existing Duct Works; including fittings, plenum boxes, insulations, supports, hangers, and all ancillary works as necessary( for subsequent re-use; isolate, disconnections, duct branches to be dismantled shall be close and fitted with tags, making good, and disposal to approved location)</t>
  </si>
  <si>
    <t>FAD; size 150 x 150mm</t>
  </si>
  <si>
    <t>FAD; size 200 x 200mm</t>
  </si>
  <si>
    <t>FAD; size 250 x 250mm</t>
  </si>
  <si>
    <t>370</t>
  </si>
  <si>
    <t>FAD; size 300 x 250mm</t>
  </si>
  <si>
    <t>FAD; size 300 x 300mm</t>
  </si>
  <si>
    <t>FAD; size 350 x 200mm</t>
  </si>
  <si>
    <t>FAD; size 350 x 250mm</t>
  </si>
  <si>
    <t>FAD; size 400 x 200mm</t>
  </si>
  <si>
    <t>24</t>
  </si>
  <si>
    <t>FAD; size 400 x 250mm</t>
  </si>
  <si>
    <t>149</t>
  </si>
  <si>
    <t>FAD; size 400 x 300mm</t>
  </si>
  <si>
    <t>FAD; size 450 x 200mm</t>
  </si>
  <si>
    <t>FAD; size 450 x 300mm</t>
  </si>
  <si>
    <t>FAD; size 450 x 350mm</t>
  </si>
  <si>
    <t>10</t>
  </si>
  <si>
    <t>FAD; size 500 x 250mm</t>
  </si>
  <si>
    <t>20</t>
  </si>
  <si>
    <t>FAD; size 500 x 300mm</t>
  </si>
  <si>
    <t>FAD; size 500 x 350mm</t>
  </si>
  <si>
    <t>FAD; size 550 x 250mm</t>
  </si>
  <si>
    <t>FAD; size 550 x 300mm</t>
  </si>
  <si>
    <t>FAD; size 600 x 300mm</t>
  </si>
  <si>
    <t>FAD; size 600 x 350mm</t>
  </si>
  <si>
    <t>FAD; size 650 x 300mm</t>
  </si>
  <si>
    <t>FAD; size 650 x 350mm</t>
  </si>
  <si>
    <t>FAD; size 650 x 400mm</t>
  </si>
  <si>
    <t>FAD; size 700 x 300mm</t>
  </si>
  <si>
    <t>26</t>
  </si>
  <si>
    <t>FAD; size 700 x 500mm</t>
  </si>
  <si>
    <t>FAD; size 750 x 250mm</t>
  </si>
  <si>
    <t>FAD; size 750 x 300mm</t>
  </si>
  <si>
    <t>FAD; size 800 x 350mm</t>
  </si>
  <si>
    <t>FAD; size 850 x 350mm</t>
  </si>
  <si>
    <t>FAD; size 850 x 550mm</t>
  </si>
  <si>
    <t>FAD; size 900 x 500mm</t>
  </si>
  <si>
    <t>33</t>
  </si>
  <si>
    <t>FAD; size 950 x 700mm</t>
  </si>
  <si>
    <t>FAD; size 1000 x 400mm</t>
  </si>
  <si>
    <t>FAD; size 1050 x 300mm</t>
  </si>
  <si>
    <t>FAD; size 1000 x 650mm</t>
  </si>
  <si>
    <t>FAD; size 1150 x 600mm</t>
  </si>
  <si>
    <t>FAD; size 1200 x 300mm</t>
  </si>
  <si>
    <t>W</t>
  </si>
  <si>
    <t>FAD; size 1200 x 350mm</t>
  </si>
  <si>
    <t>FAD; size 1200 x 400mm</t>
  </si>
  <si>
    <t>32</t>
  </si>
  <si>
    <t>FAD; size 1250 x 150mm</t>
  </si>
  <si>
    <t>FAD; size 1250 x 500mm</t>
  </si>
  <si>
    <t>FAD; size 1250 x 700mm</t>
  </si>
  <si>
    <t>FAD; size 1300 x 300mm</t>
  </si>
  <si>
    <t>FAD; size 1300 x 350mm</t>
  </si>
  <si>
    <t>40</t>
  </si>
  <si>
    <t>FAD; size 1300 x 600mm</t>
  </si>
  <si>
    <t>FAD; size 1350 x 400mm</t>
  </si>
  <si>
    <t>FAD; size 1500 x 400mm</t>
  </si>
  <si>
    <t>90</t>
  </si>
  <si>
    <t>FAD; size 1500 x 900mm</t>
  </si>
  <si>
    <t>FAD; size 1700 x 200mm</t>
  </si>
  <si>
    <t>FAD; size 1700 x 500mm</t>
  </si>
  <si>
    <t>FAD; size 1750 x 700mm</t>
  </si>
  <si>
    <t>FAD; size 1800 x 500mm</t>
  </si>
  <si>
    <t>FAD; size 1900 x 900mm</t>
  </si>
  <si>
    <t>FAD; size 2200 x 500mm</t>
  </si>
  <si>
    <t>FAD; size 2300 x 500mm</t>
  </si>
  <si>
    <t>FAD; size 2500 x 500mm</t>
  </si>
  <si>
    <t>FAD; size 3000 x 700mm</t>
  </si>
  <si>
    <t>FAD; various size duct</t>
  </si>
  <si>
    <t>1,113</t>
  </si>
  <si>
    <t>SAD; size 200 x 200mm</t>
  </si>
  <si>
    <t>SAD; size 300 x 200mm</t>
  </si>
  <si>
    <t>SAD; size 700 x 250mm</t>
  </si>
  <si>
    <t>SAD; size 1050 x 300mm</t>
  </si>
  <si>
    <t>SAD; various size duct</t>
  </si>
  <si>
    <t>1,599</t>
  </si>
  <si>
    <t>RAD; size 600 x 250mm</t>
  </si>
  <si>
    <t>RAD; size 1050 x 300mm</t>
  </si>
  <si>
    <t>Transfer duct various size</t>
  </si>
  <si>
    <t>EAD; size 150 x 150mm</t>
  </si>
  <si>
    <t>EAD; size 200 x 150mm</t>
  </si>
  <si>
    <t>193</t>
  </si>
  <si>
    <t>EAD; size 200 x 200mm</t>
  </si>
  <si>
    <t>82</t>
  </si>
  <si>
    <t>EAD; size 250 x 150mm</t>
  </si>
  <si>
    <t>EAD; size 250 x 200mm</t>
  </si>
  <si>
    <t>EAD; size 250 x 250mm</t>
  </si>
  <si>
    <t>EAD; size 300 x 150mm</t>
  </si>
  <si>
    <t>12</t>
  </si>
  <si>
    <t>EAD; size 300 x 200mm</t>
  </si>
  <si>
    <t>48</t>
  </si>
  <si>
    <t>EAD; size 300 x 250mm</t>
  </si>
  <si>
    <t>117</t>
  </si>
  <si>
    <t>EAD; size 300 x 300mm</t>
  </si>
  <si>
    <t>EAD; size 350 x 150mm</t>
  </si>
  <si>
    <t>EAD; size 350 x 200mm</t>
  </si>
  <si>
    <t>EAD; size 350 x 300mm</t>
  </si>
  <si>
    <t>EAD; size 350 x 600mm</t>
  </si>
  <si>
    <t>22</t>
  </si>
  <si>
    <t>EAD; size 400 x 150mm</t>
  </si>
  <si>
    <t>EAD; size 400 x 200mm</t>
  </si>
  <si>
    <t>EAD; size 400 x 250mm</t>
  </si>
  <si>
    <t>EAD; size 400 x 300mm</t>
  </si>
  <si>
    <t>EAD; size 400 x 350mm</t>
  </si>
  <si>
    <t>EAD; size 450 x 250mm</t>
  </si>
  <si>
    <t>EAD; size 450 x 300mm</t>
  </si>
  <si>
    <t>EAD; size 450 x 350mm</t>
  </si>
  <si>
    <t>EAD; size 450 x 450mm</t>
  </si>
  <si>
    <t>EAD; size 500 x 250mm</t>
  </si>
  <si>
    <t>49</t>
  </si>
  <si>
    <t>EAD; size 500 x 300mm</t>
  </si>
  <si>
    <t>81</t>
  </si>
  <si>
    <t>EAD; size 500 x 350mm</t>
  </si>
  <si>
    <t>30</t>
  </si>
  <si>
    <t>EAD; size 550 x 350mm</t>
  </si>
  <si>
    <t>EAD; size 550 x 550mm</t>
  </si>
  <si>
    <t>EAD; size 600 x 200mm</t>
  </si>
  <si>
    <t>EAD; size 600 x 300mm</t>
  </si>
  <si>
    <t>EAD; size 600 x 450mm</t>
  </si>
  <si>
    <t>EAD; size 600 x 500mm</t>
  </si>
  <si>
    <t>EAD; size 650 x 250mm</t>
  </si>
  <si>
    <t>EAD; size 650 x 300mm</t>
  </si>
  <si>
    <t>EAD; size 650 x 450mm</t>
  </si>
  <si>
    <t>EAD; size 700 x 200mm</t>
  </si>
  <si>
    <t>EAD; size 700 x 250mm</t>
  </si>
  <si>
    <t>EAD; size 700 x 300mm</t>
  </si>
  <si>
    <t>EAD; size 700 x 350mm</t>
  </si>
  <si>
    <t>EAD; size 700 x 500mm</t>
  </si>
  <si>
    <t>EAD; size 750 x 200mm</t>
  </si>
  <si>
    <t>41</t>
  </si>
  <si>
    <t>EAD; size 750 x 250mm</t>
  </si>
  <si>
    <t>EAD; size 750 x 300mm</t>
  </si>
  <si>
    <t>EAD; size 750 x 350mm</t>
  </si>
  <si>
    <t>EAD; size 750 x 400mm</t>
  </si>
  <si>
    <t>EAD; size 800 x 250mm</t>
  </si>
  <si>
    <t>EAD; size 850 x 300mm</t>
  </si>
  <si>
    <t>EAD; size 850 x 350mm</t>
  </si>
  <si>
    <t>EAD; size 900 x 300mm</t>
  </si>
  <si>
    <t>EAD; size 900 x 350mm</t>
  </si>
  <si>
    <t>EAD; size 900 x 400mm</t>
  </si>
  <si>
    <t>EAD; size 950 x 300mm</t>
  </si>
  <si>
    <t>EAD; size 950 x 500mm</t>
  </si>
  <si>
    <t>EAD; size 1000 x 250mm</t>
  </si>
  <si>
    <t>EAD; size 1000 x 400mm</t>
  </si>
  <si>
    <t>EAD; size 1050 x 500mm</t>
  </si>
  <si>
    <t>EAD; size 1100 x 450mm</t>
  </si>
  <si>
    <t>EAD; size 1150 x 300mm</t>
  </si>
  <si>
    <t>EAD; size 1200 x 300mm</t>
  </si>
  <si>
    <t>EAD; size 1400 x 450mm</t>
  </si>
  <si>
    <t>EAD; size 1500 x 450mm</t>
  </si>
  <si>
    <t>EAD; size 2200 x 500mm</t>
  </si>
  <si>
    <t>EAD; size 2500 x 450mm</t>
  </si>
  <si>
    <t>EAD; size 2800 x 500mm</t>
  </si>
  <si>
    <t>EAD; size 3000 x 500mm</t>
  </si>
  <si>
    <t>EAD; various size duct</t>
  </si>
  <si>
    <t>2,380</t>
  </si>
  <si>
    <t>KEAD; size 600 x 500mm</t>
  </si>
  <si>
    <t>KEAD; size 700 x 500mm</t>
  </si>
  <si>
    <t>KEAD; size 750 x 400mm</t>
  </si>
  <si>
    <t>KMAD; size 600 x 500mm</t>
  </si>
  <si>
    <t>KMAD; size 750 x 400mm</t>
  </si>
  <si>
    <t>KMAD; size 800 x 500mm</t>
  </si>
  <si>
    <t>SED; various size duct</t>
  </si>
  <si>
    <t>SED; size 900 x 1400mm</t>
  </si>
  <si>
    <t>SED; size 1100 x 600mm</t>
  </si>
  <si>
    <t>31</t>
  </si>
  <si>
    <t>SED; size 1100 x 650mm</t>
  </si>
  <si>
    <t>SED; size 1250 x 1250mm</t>
  </si>
  <si>
    <t>34</t>
  </si>
  <si>
    <t>SED; size 1850 x 800mm</t>
  </si>
  <si>
    <t>SED; size 2000 x 600mm</t>
  </si>
  <si>
    <t>SED; size 2000 x 700mm</t>
  </si>
  <si>
    <t>Duct works various type</t>
  </si>
  <si>
    <t>Dismantling, protect and handing over at client yard for all existing Flexible Duct; including insulations and all ancillary works as necessary( for subsequent re-use; isolate, disconnections, making good and disposal to approved location)</t>
  </si>
  <si>
    <t>Flexible duct; size 150mm diameter</t>
  </si>
  <si>
    <t>Flexible duct; size 200mm diameter</t>
  </si>
  <si>
    <t>88</t>
  </si>
  <si>
    <t>Flexible duct; size 250mm diameter</t>
  </si>
  <si>
    <t>Flexible duct; size 300mm diameter</t>
  </si>
  <si>
    <t>Flexible duct; various size</t>
  </si>
  <si>
    <t>215</t>
  </si>
  <si>
    <t>Dismantling, protect and handing over at client yard for all existing Duct Accessories; including insulations and all ancillary works as necessary( for subsequent re-use; isolate, disconnections, making good and disposal to approved location)</t>
  </si>
  <si>
    <t>VCD; size 150 x 150mm</t>
  </si>
  <si>
    <t>VCD; size 200 x 150mm</t>
  </si>
  <si>
    <t>139</t>
  </si>
  <si>
    <t>VCD; size 200 x 200mm</t>
  </si>
  <si>
    <t>VCD; size 250 x 200mm</t>
  </si>
  <si>
    <t>VCD; size 250 x 250mm</t>
  </si>
  <si>
    <t>443</t>
  </si>
  <si>
    <t>VCD; size 300 x 200mm</t>
  </si>
  <si>
    <t>VCD; size 300 x 250mm</t>
  </si>
  <si>
    <t>VCD; size 300 x 300mm</t>
  </si>
  <si>
    <t>VCD; size 300 x 150mm</t>
  </si>
  <si>
    <t>VCD; size 350 x 200mm</t>
  </si>
  <si>
    <t>VCD; size 400 x 200mm</t>
  </si>
  <si>
    <t>VCD; size 400 x 300mm</t>
  </si>
  <si>
    <t>VCD; size 500 x 250mm</t>
  </si>
  <si>
    <t>VCD; size 500 x 350mm</t>
  </si>
  <si>
    <t>VCD; size 600 x 200mm</t>
  </si>
  <si>
    <t>VCD; size 600 x 300mm</t>
  </si>
  <si>
    <t>VCD; size 700 x 200mm</t>
  </si>
  <si>
    <t>VCD; size 700 x 300mm</t>
  </si>
  <si>
    <t>VCD; size 600 x 450mm</t>
  </si>
  <si>
    <t>VCD; size 600 x 250mm</t>
  </si>
  <si>
    <t>VCD; size 800 x 250mm</t>
  </si>
  <si>
    <t>VCD; size 1000 x 400mm</t>
  </si>
  <si>
    <t>VCD; size 1150 x 300mm</t>
  </si>
  <si>
    <t>VCD; size 1200 x 300mm</t>
  </si>
  <si>
    <t>VCD; size 1300 x 350mm</t>
  </si>
  <si>
    <t>VCD; size 1350 x 400mm</t>
  </si>
  <si>
    <t>VCD; size 1500 x 400mm</t>
  </si>
  <si>
    <t>VCD; various size</t>
  </si>
  <si>
    <t>922</t>
  </si>
  <si>
    <t>Disc valve; size 150mm diameter</t>
  </si>
  <si>
    <t>375</t>
  </si>
  <si>
    <t>FD; size 300 x 150mm</t>
  </si>
  <si>
    <t>FD; size 200 x 150mm</t>
  </si>
  <si>
    <t>FD; size 300 x 300mm</t>
  </si>
  <si>
    <t>FD; size 350 x 200mm</t>
  </si>
  <si>
    <t>FD; size 400 x 200mm</t>
  </si>
  <si>
    <t>FD; size 400 x 300mm</t>
  </si>
  <si>
    <t>FD; size 450 x 200mm</t>
  </si>
  <si>
    <t>FD; size 450 x 250mm</t>
  </si>
  <si>
    <t>FD; size 500 x 350mm</t>
  </si>
  <si>
    <t>FD; size 550 x 550mm</t>
  </si>
  <si>
    <t>FD; size 600 x 450mm</t>
  </si>
  <si>
    <t>FD; size 600 x 500mm</t>
  </si>
  <si>
    <t>FD; size 700 x 300mm</t>
  </si>
  <si>
    <t>FD; size 700 x 350mm</t>
  </si>
  <si>
    <t>FD; size 750 x 250mm</t>
  </si>
  <si>
    <t>FD; size 1000 x 650mm</t>
  </si>
  <si>
    <t>FD; size 1250 x 500mm</t>
  </si>
  <si>
    <t>FD; size 1400 x 450mm</t>
  </si>
  <si>
    <t>FD; size 1500 x 900mm</t>
  </si>
  <si>
    <t>FD; size 1900 x 900mm</t>
  </si>
  <si>
    <t>FD; size 2000 x 600mm</t>
  </si>
  <si>
    <t>FD; various size</t>
  </si>
  <si>
    <t>MFSD; various size</t>
  </si>
  <si>
    <t>MFSD; size 1100 x 650mm</t>
  </si>
  <si>
    <t>MFSD; size 1850 x 800mm</t>
  </si>
  <si>
    <t>MFSD; size 2000 x 700mm</t>
  </si>
  <si>
    <t>MD; size 700 x 250mm</t>
  </si>
  <si>
    <t>MD; size 1250 x 1250mm</t>
  </si>
  <si>
    <t>Dismantling, protect and handing over at client yard for all existing Grilles and Diffusers; including plenum boxes, insulations and all ancillary works as necessary( for subsequent re-use; isolate, disconnections, making good and disposal to approved location)</t>
  </si>
  <si>
    <t>Supply grille; size 1350 x 400mm</t>
  </si>
  <si>
    <t>Exhaust grille; size 1150 x 300mm</t>
  </si>
  <si>
    <t>Return ceiling diffuser; size 300 x 300mm</t>
  </si>
  <si>
    <t>45</t>
  </si>
  <si>
    <t>Return ceiling diffuser; size 375 x 375mm</t>
  </si>
  <si>
    <t>Supply ceiling diffuser; size 300 x 300mm</t>
  </si>
  <si>
    <t>Supply ceiling diffuser; size 375 x 375mm</t>
  </si>
  <si>
    <t>Supply ceiling diffuser; size 600 x 600mm</t>
  </si>
  <si>
    <t>Supply ceiling diffuser; various size</t>
  </si>
  <si>
    <t>70</t>
  </si>
  <si>
    <t>Return grille; various size</t>
  </si>
  <si>
    <t>Supply grille; various size</t>
  </si>
  <si>
    <t>Linear slot diffuser; various size</t>
  </si>
  <si>
    <t>58</t>
  </si>
  <si>
    <t>Return ceiling diffuser; various size</t>
  </si>
  <si>
    <t>Return linear grille; various size</t>
  </si>
  <si>
    <t>Jet nozzle; 250mm diameter</t>
  </si>
  <si>
    <t>Jet nozzle; various size</t>
  </si>
  <si>
    <t>RLBG; various size</t>
  </si>
  <si>
    <t>266</t>
  </si>
  <si>
    <t>SLBG; various size</t>
  </si>
  <si>
    <t>274</t>
  </si>
  <si>
    <t>RLBG; size 1000mm long x 75mm width</t>
  </si>
  <si>
    <t>RLBG; size 2000mm long x 75mm width</t>
  </si>
  <si>
    <t>RLSD; 1800mm long 3 slot x 75mm width</t>
  </si>
  <si>
    <t>RLSD; 2000mm long 3 slot x 150mm width</t>
  </si>
  <si>
    <t>93</t>
  </si>
  <si>
    <t>SLBG; size 1000mm long x 75mm width with 200mm diameter flex. duct</t>
  </si>
  <si>
    <t>SLBG; size 1800mm long x 75mm width with 200mm diameter flex. duct</t>
  </si>
  <si>
    <t>SLBG; size 2000mm long x 75mm width with 200mm diameter flex. duct</t>
  </si>
  <si>
    <t>SLSD; 1800mm long 3 slot x 75mm width with 200mm flex. duct</t>
  </si>
  <si>
    <t>SLSD; 2000mm long 3 slot x 150mm width with 200mm flex. duct</t>
  </si>
  <si>
    <t>RR; size 1000 x 250mm</t>
  </si>
  <si>
    <t>SR; size 1000 x 250mm</t>
  </si>
  <si>
    <t>Dismantling, protect and handing over at client yard for all existing Equipments; including disconnections, wiring, isolators, BMS connections and all ancillary works as necessary( for subsequent re-use; isolate, disconnections, making good and disposal to approved location)</t>
  </si>
  <si>
    <t>Fans</t>
  </si>
  <si>
    <t>SEF-M-TOMR-01, 02, 03</t>
  </si>
  <si>
    <t>FCU's and AHU's</t>
  </si>
  <si>
    <t>CAHU-M-B1-02</t>
  </si>
  <si>
    <t>FCU-M-B1-16-02</t>
  </si>
  <si>
    <t>FCU-16 (UTC-20)</t>
  </si>
  <si>
    <t>FCU-01 (UTC-20)</t>
  </si>
  <si>
    <t>FCU-06 (UTC-20)</t>
  </si>
  <si>
    <t>FCU-07 (UTC-30)</t>
  </si>
  <si>
    <t>FCU-08 (UTC-50)</t>
  </si>
  <si>
    <t>FCU-09 (UTC-50)</t>
  </si>
  <si>
    <t>FCU-12 (UTC-30)</t>
  </si>
  <si>
    <t>FCU-13 (UTC-50)</t>
  </si>
  <si>
    <t>FCU-15 (VCE-54)</t>
  </si>
  <si>
    <t>AC-M-GF-01 to 09</t>
  </si>
  <si>
    <t>SRCU-M-FF-05-01</t>
  </si>
  <si>
    <t>SRCU-M-TF-05-01 service panel</t>
  </si>
  <si>
    <t>STRIP-OUT / REMOVALS; ELECTRICAL ENGINEERING INSTALLATIONS</t>
  </si>
  <si>
    <t>2. Drawing Nr. E-12000 to 12050, E-12055 to 12105, E-12110 to 12160, E-12165 to 12215, E-12355 to 12405, T-12000 to 12050, T-12065 to 12105, F-12000 to 12050, F-12055 to 12105, E-12225 to 12235 and E-12285 to 12325</t>
  </si>
  <si>
    <t>Disconnect, break out, seal off and strip-out/remove all existing redundant electrical engineering installation services generally, make good all damage to retained work</t>
  </si>
  <si>
    <t>Power system</t>
  </si>
  <si>
    <t>Existing power cables</t>
  </si>
  <si>
    <t>1 x 4C x 10mm²  CU/XLPE/PVC + 1 x 1C x 10mm² Cu/PVC (E)</t>
  </si>
  <si>
    <t>713</t>
  </si>
  <si>
    <t>1 x 4C x 10mm²  CU/XLPE/SWA/LSOH + 1 x 1C x 10mm² Cu/LSOH (E)</t>
  </si>
  <si>
    <t>3,027</t>
  </si>
  <si>
    <t>1 x 4C x 10mm²  CU/XLPE/SWA/PVC + 1 x 1C x 10mm² Cu/PVC (E)</t>
  </si>
  <si>
    <t>1,369</t>
  </si>
  <si>
    <t>1 x 4C x 16mm² Cu/XLPE/PVC + 1 x 1C x 16mm² Cu/PVC (E)</t>
  </si>
  <si>
    <t>486</t>
  </si>
  <si>
    <t>1 x 4C x 16mm² Cu/XLPE/SWA/LSOH + 1 x 1C x 16mm² Cu/LSOH (E)</t>
  </si>
  <si>
    <t>3,695</t>
  </si>
  <si>
    <t>STRIP-OUT / REMOVALS; ELECTRICAL ENGINEERING INSTALLATIONS (Cont´d)</t>
  </si>
  <si>
    <t>1 x 4C x 16mm² Cu/XLPE/SWA/PVC + 1 x 1C x 16mm² Cu/PVC (E)</t>
  </si>
  <si>
    <t>1,978</t>
  </si>
  <si>
    <t>1 x 4C x 25mm² Cu/XLPE/PVC + 1 x 1C x 16mm² Cu/PVC (E)</t>
  </si>
  <si>
    <t>1 x 4C x 25mm² Cu/XLPE/SWA/LSOH + 1 x 1C x 16mm² Cu/LSOH (E)</t>
  </si>
  <si>
    <t>4,248</t>
  </si>
  <si>
    <t>1 x 4C x 25mm² Cu/XLPE/SWA/PVC + 1 x 1C x 16mm² Cu/PVC (E)</t>
  </si>
  <si>
    <t>1,560</t>
  </si>
  <si>
    <t>1 x 4C x 35mm² Cu/XLPE/PVC + 1 x 1C x 25mm² Cu/PVC (E)</t>
  </si>
  <si>
    <t>135</t>
  </si>
  <si>
    <t>1 x 4C x 35mm² Cu/XLPE/SWA/LSOH + 1 x 1C x 16mm² Cu/LSOH (E)</t>
  </si>
  <si>
    <t>150</t>
  </si>
  <si>
    <t>1 x 4C x 35mm² Cu/XLPE/SWA/LSOH + 1 x 1C x 25mm² Cu/LSOH (E)</t>
  </si>
  <si>
    <t>2,889</t>
  </si>
  <si>
    <t>1 x 4C x 35mm² Cu/XLPE/SWA/PVC + 1 x 1C x 25mm² Cu/PVC (E)</t>
  </si>
  <si>
    <t>1,626</t>
  </si>
  <si>
    <t>1 x 4C x 50mm² Cu/XLPE/PVC + 1 x 1C x 25mm² Cu/PVC (E)</t>
  </si>
  <si>
    <t>1 x 4C x 50mm² Cu/XLPE/SWA/LSOH + 1 x 1C x 25mm² Cu/LSOH (E)</t>
  </si>
  <si>
    <t>786</t>
  </si>
  <si>
    <t>1 x 4C x 50mm² Cu/XLPE/SWA/LSOH + 1 x 1C x 35mm² Cu/LSOH (E)</t>
  </si>
  <si>
    <t>136</t>
  </si>
  <si>
    <t>1 x 4C x 50mm² Cu/XLPE/SWA/PVC + 1 x 1C x 25mm² Cu/PVC (E)</t>
  </si>
  <si>
    <t>791</t>
  </si>
  <si>
    <t>1 x 4C x 70mm² Cu/XLPE/LSOH + 1 x 1C x 35mm² Cu/LSOH (E)</t>
  </si>
  <si>
    <t>1 x 4C x 70mm² Cu/XLPE/LSOH + 1 x 1C x 50mm² Cu/LSOH (E)</t>
  </si>
  <si>
    <t>949</t>
  </si>
  <si>
    <t>1 x 4C x 70mm² Cu/XLPE/PVC + 1 x 1C x 35mm² Cu/PVC (E)</t>
  </si>
  <si>
    <t>1 x 4C x 70mm² Cu/XLPE/SWA/LSOH + 1 x 1C x 35mm² Cu/LSOH (E)</t>
  </si>
  <si>
    <t>969</t>
  </si>
  <si>
    <t>1 x 4C x 70mm² Cu/XLPE/SWA/LSOH + 1 x 1C x 50mm² Cu/LSOH (E)</t>
  </si>
  <si>
    <t>129</t>
  </si>
  <si>
    <t>1 x 4C x 70mm² Cu/XLPE/SWA/PVC + 1 x 1C x 35mm² Cu/PVC (E)</t>
  </si>
  <si>
    <t>532</t>
  </si>
  <si>
    <t>1 x 4C x 95mm² Cu/XLPE/LSOH + 1 x 1C x 70mm² Cu/LSOH (E)</t>
  </si>
  <si>
    <t>1 x 4C x 95mm² Cu/XLPE/SWA/LSOH + 1 x 1C x 50mm² Cu/LSOH (E)</t>
  </si>
  <si>
    <t>214</t>
  </si>
  <si>
    <t>1 x 4C x 120mm² Cu/XLPE/PVC + 1 x 1C x 70mm² Cu/PVC (E)</t>
  </si>
  <si>
    <t>140</t>
  </si>
  <si>
    <t>1 x 4C x 120mm² Cu/XLPE/SWA/PVC + 1 x 1C x 70mm² Cu/PVC (E)</t>
  </si>
  <si>
    <t>170</t>
  </si>
  <si>
    <t>1 x 4C x 150mm² Cu/XLPE/PVC + 1 x 1C x 95mm² Cu/PVC (E)</t>
  </si>
  <si>
    <t>1 x 4C x 150mm² Cu/XLPE/SWA/LSOH + 1 x 1C x 70mm² Cu/LSOH (E)</t>
  </si>
  <si>
    <t>205</t>
  </si>
  <si>
    <t>1 x 4C x 150mm² Cu/XLPE/SWA/PVC + 1 x 1C x 95mm² Cu/PVC (E)</t>
  </si>
  <si>
    <t>1 x 4C x 185mm² Cu/XLPE/SWA/LSOH + 1 x 1C x 95mm² Cu/LSOH (E)</t>
  </si>
  <si>
    <t>362</t>
  </si>
  <si>
    <t>1 x 4C x 185mm² Cu/XLPE/SWA/LSOH + 1 x 1C x 120mm² Cu/LSOH (E)</t>
  </si>
  <si>
    <t>293</t>
  </si>
  <si>
    <t>1 x 4C x 240mm² Cu/XLPE/SWA/LSOH + 1 x 1C x 120mm² Cu/LSOH (E)</t>
  </si>
  <si>
    <t>152</t>
  </si>
  <si>
    <t>1 x 4C x 300mm² Cu/XLPE/SWA/LSOH + 1 x 1C x 150mm² Cu/LSOH (E)</t>
  </si>
  <si>
    <t>7,458</t>
  </si>
  <si>
    <t>1 x 4C x 300mm² Cu/XLPE/SWA/PVC + 1 x 1C x 150mm² Cu/PVC (E)</t>
  </si>
  <si>
    <t>160</t>
  </si>
  <si>
    <t>2 x 4C x 150mm² Cu/XLPE/SWA/LSOH + 1 x 1C x 150mm² Cu/LSOH (E)</t>
  </si>
  <si>
    <t>2 x 4C x 150mm² Cu/XLPE/SWA/PVC + 1 x 1C x 150mm² Cu/PVC (E)</t>
  </si>
  <si>
    <t>236</t>
  </si>
  <si>
    <t>3 x 4C x 300mm² Cu/XLPE/PVC + 2 x 1C x 300mm² Cu/PVC (E)</t>
  </si>
  <si>
    <t>3 x 4C x 300mm² Cu/XLPE/SWA/LSOH + 2 x 1C x 300mm² Cu/LSOH (E)</t>
  </si>
  <si>
    <t>280</t>
  </si>
  <si>
    <t>8 x 1C x 630mm² Cu/XLPE/SWA/LSOH + 3 x 1C x 300mm² Cu/LSOH (E)</t>
  </si>
  <si>
    <t>12 x 1C x 630mm² Cu/XLPE/SWA/PVC + 4 x 1C x 300mm² Cu/PVC (E)</t>
  </si>
  <si>
    <t>Existing distribution board</t>
  </si>
  <si>
    <t>Main distribution board</t>
  </si>
  <si>
    <t>Sub-main distribution board</t>
  </si>
  <si>
    <t>Distribution board</t>
  </si>
  <si>
    <t>220</t>
  </si>
  <si>
    <t>Existing electrical meter</t>
  </si>
  <si>
    <t>CT meter</t>
  </si>
  <si>
    <t>kWh meter</t>
  </si>
  <si>
    <t>84</t>
  </si>
  <si>
    <t>Existing isolator</t>
  </si>
  <si>
    <t>Isolator</t>
  </si>
  <si>
    <t>Existing cable containment</t>
  </si>
  <si>
    <t>100mm wide cable tray</t>
  </si>
  <si>
    <t>150mm wide cable tray</t>
  </si>
  <si>
    <t>216</t>
  </si>
  <si>
    <t>200mm wide cable tray</t>
  </si>
  <si>
    <t>300mm wide cable tray</t>
  </si>
  <si>
    <t>450mm wide cable tray</t>
  </si>
  <si>
    <t>600mm wide cable tray</t>
  </si>
  <si>
    <t>92</t>
  </si>
  <si>
    <t>650mm wide cable tray</t>
  </si>
  <si>
    <t>750mm wide cable tray</t>
  </si>
  <si>
    <t>900mm wide cable tray</t>
  </si>
  <si>
    <t>178</t>
  </si>
  <si>
    <t>100 x 300mm wide power cable tray</t>
  </si>
  <si>
    <t>100 x 900mm wide power cable tray</t>
  </si>
  <si>
    <t>53</t>
  </si>
  <si>
    <t>Small power</t>
  </si>
  <si>
    <t>Allow for demolition of existing floor mounted electrical devices on mall concourse as reflected in ground floor, first floor and second floor of power demolition plan</t>
  </si>
  <si>
    <t>Allow for demolition of existing power provision in preparation for new architectural layout as reflected in ground floor, first floor and second floor of power demolition plan</t>
  </si>
  <si>
    <t>Earthing and lightning protection</t>
  </si>
  <si>
    <t>Existing down conductor and earth pit</t>
  </si>
  <si>
    <t>Earth pit</t>
  </si>
  <si>
    <t>Lighting system</t>
  </si>
  <si>
    <t>Existing cables and conduits</t>
  </si>
  <si>
    <t>To lighting points</t>
  </si>
  <si>
    <t>Existing lighting fixtures</t>
  </si>
  <si>
    <t>Lighting fixtures; various types</t>
  </si>
  <si>
    <t>Allow for demolition of all lighting fixtures in all suspended ceiling/bulkhead with in concourse area as reflected in lighting demolition plan</t>
  </si>
  <si>
    <t>Allow for demolition of lighting fixture in preparation for new architectural layout as reflected in lighting demolition plan</t>
  </si>
  <si>
    <t>Emergency lighting system</t>
  </si>
  <si>
    <t>To emergency lighting</t>
  </si>
  <si>
    <t>Emergency lighting; various types</t>
  </si>
  <si>
    <t>Allow for demolition of all emergency lighting devices with in new lift lobby as reflected in central battery system demolition plan</t>
  </si>
  <si>
    <t>Allow for demolition of all existing central battery system layout in preparation for new architectural layout as reflected in central battery system demolition plan</t>
  </si>
  <si>
    <t>Included</t>
  </si>
  <si>
    <t>Allow for demolition of all existing emergency lighting fixtures in all suspended ceiling/bulkhead with in concourse area as reflected in central battery system demolition plan</t>
  </si>
  <si>
    <t>Telecom system</t>
  </si>
  <si>
    <t>Allow for demolition of all existing data and wifi devices in all suspended ceiling/bulkhead with in concourse area as reflected in telecom system demolition plan</t>
  </si>
  <si>
    <t>Allow for demolition of all existing data and wifi devices in preparation for new architectural layout as reflected in telecom system demolition plan</t>
  </si>
  <si>
    <t>Antenna system</t>
  </si>
  <si>
    <t>Allow for demolition of all existing TETRA (antenna) devices in all suspended ceiling/bulkhead with in concourse area as reflected in antenna system demolition plan</t>
  </si>
  <si>
    <t>Allow for demolition of all existing TETRA (antenna) devices in preparation for new architectural layout as reflected in antenna system demolition plan</t>
  </si>
  <si>
    <t>Allow for demolition of all TETRA (antenna) devices within new lift lobby as reflected in antenna system demolition plan</t>
  </si>
  <si>
    <t>Allow for verification of TETRA (antenna) containment mounting location and apply suitable demolition method as reflected in antenna system demolition plan</t>
  </si>
  <si>
    <t>Fire detection and alarm system</t>
  </si>
  <si>
    <t>Allow for demolition of all fire detection and alarm system devices within new lift lobby as reflected in fire detection and alarm system demolition plan</t>
  </si>
  <si>
    <t>Allow for demolition of fire detection and alarm system devices in preparation for new architectural layout as reflected in fire detection and alarm system demolition plan</t>
  </si>
  <si>
    <t>Allow for demolition of all fire detection and alarm system devices in all suspended ceiling/bulkhead with in concourse area as reflected in fire detection and alarm system demolition plan</t>
  </si>
  <si>
    <t>GENERALLY</t>
  </si>
  <si>
    <t>Allow for any other works which are not included above and which are required to complete the Demolitions in accordance with the Specification and the Drawings (Tenderer to list below):</t>
  </si>
  <si>
    <t>Gypsum Ceiling</t>
  </si>
  <si>
    <t>Removal of gypsum ceilings</t>
  </si>
  <si>
    <t>Removal of gypsum bulkhead in preparation to removing MEP services</t>
  </si>
  <si>
    <t/>
  </si>
  <si>
    <t>Removal / disposal of various construction waste (Rates Only) as per TA#9 item 1</t>
  </si>
  <si>
    <t>Disposal of Re-usable Soil Waste from your site to approved Dubai municipality dumping location in 20m3 Tipper Truck</t>
  </si>
  <si>
    <t>m³</t>
  </si>
  <si>
    <t>Rate only</t>
  </si>
  <si>
    <t>Disposal of Non-reusable Soil Waste from your site to approved Dubai municipality dumping location in 20m3 Tipper Truck</t>
  </si>
  <si>
    <t>Dubai Municipality tipping charges applicable to above</t>
  </si>
  <si>
    <t>tonne</t>
  </si>
  <si>
    <t>Disposal of concrete debris from your site to approved Dubai
municipality dumping location in 20m3 Tipper Truck</t>
  </si>
  <si>
    <t>Disposal of construction debris (Other than Concrete) from your site
to approved Dubai municipality dumping location in 20m3 Tipper
Truck</t>
  </si>
  <si>
    <t>COLLECTION</t>
  </si>
  <si>
    <t>Page 2/B5.1/1</t>
  </si>
  <si>
    <t>Page 2/B5.1/2</t>
  </si>
  <si>
    <t>Page 2/B5.1/3</t>
  </si>
  <si>
    <t>Page 2/B5.1/4</t>
  </si>
  <si>
    <t>Page 2/B5.1/5</t>
  </si>
  <si>
    <t>Page 2/B5.1/6</t>
  </si>
  <si>
    <t>Page 2/B5.1/7</t>
  </si>
  <si>
    <t>Page 2/B5.1/8</t>
  </si>
  <si>
    <t>Page 2/B5.1/9</t>
  </si>
  <si>
    <t>Page 2/B5.1/10</t>
  </si>
  <si>
    <t>Page 2/B5.1/11</t>
  </si>
  <si>
    <t>Page 2/B5.1/12</t>
  </si>
  <si>
    <t>Page 2/B5.1/13</t>
  </si>
  <si>
    <t>Page 2/B5.1/14</t>
  </si>
  <si>
    <t>Page 2/B5.1/15</t>
  </si>
  <si>
    <t>Page 2/B5.1/16</t>
  </si>
  <si>
    <t>Page 2/B5.1/17</t>
  </si>
  <si>
    <t>Page 2/B5.1/18</t>
  </si>
  <si>
    <t>Page 2/B5.1/19</t>
  </si>
  <si>
    <t>Page 2/B5.1/20</t>
  </si>
  <si>
    <t>Page 2/B5.1/21</t>
  </si>
  <si>
    <t>Page 2/B5.1/22</t>
  </si>
  <si>
    <t>Brought Forward</t>
  </si>
  <si>
    <t>Page 2/B5.1/23</t>
  </si>
  <si>
    <t>Page 2/B5.1/24</t>
  </si>
  <si>
    <t>Page 2/B5.1/25</t>
  </si>
  <si>
    <t>Page 2/B5.1/26</t>
  </si>
  <si>
    <t>Page 2/B5.1/27</t>
  </si>
  <si>
    <t>Page 2/B5.1/28</t>
  </si>
  <si>
    <t>Page 2/B5.1/29</t>
  </si>
  <si>
    <t>Page 2/B5.1/30</t>
  </si>
  <si>
    <t>Page 2/B5.1/31</t>
  </si>
  <si>
    <t>Page 2/B5.1/32</t>
  </si>
  <si>
    <t>Page 2/B5.1/33</t>
  </si>
  <si>
    <t>Page 2/B5.1/34</t>
  </si>
  <si>
    <t>Page 2/B5.1/35</t>
  </si>
  <si>
    <t>Page 2/B5.1/36</t>
  </si>
  <si>
    <t>Page 2/B5.1/37</t>
  </si>
  <si>
    <t>Page 2/B5.1/38</t>
  </si>
  <si>
    <t>Page 2/B5.1/39</t>
  </si>
  <si>
    <t>Page 2/B5.1/40</t>
  </si>
  <si>
    <t>Page 2/B5.1/41</t>
  </si>
  <si>
    <t>Page 2/B5.1/42</t>
  </si>
  <si>
    <t>Page 2/B5.1/43</t>
  </si>
  <si>
    <t>Page 2/B5.1/44</t>
  </si>
  <si>
    <t>Page 2/B5.1/45</t>
  </si>
  <si>
    <t>Page 2/B5.1/46</t>
  </si>
  <si>
    <t>Page 2/B5.1/47</t>
  </si>
  <si>
    <t>Carried To Summary</t>
  </si>
  <si>
    <t>Extra-Over for Complying to Authority Comments: Break to remove ground bearing slab over compacted fill to expose top of raft slab and allow connection of new shaft walls to be formed; to basement 2</t>
  </si>
  <si>
    <t>Extra-Over for Complying to Authority Comments: Cutting of existing suspended RC slab to form new service lift shaft; from basement 1 to second floor mezzanine</t>
  </si>
  <si>
    <t>Extra-Over for Complying to Authority Comments: Cutting of existing suspended RC slab to form new lift shaft; from basement 1 to lower roof</t>
  </si>
  <si>
    <t>Extra-Over for Complying to Authority Comments: Cutting of existing suspended RC slab to form new stair well; from basement 1 to second floor</t>
  </si>
  <si>
    <t>Extra-Over for Complying to Authority Comments: Cutting of existing RC slab to form opening for new escalator; to first floor</t>
  </si>
  <si>
    <t>Extra-Over for Complying to Authority Comments: Cutting of existing RC slab to form opening for new escalator; to second floor</t>
  </si>
  <si>
    <t>Extra-Over for Complying to Authority Comments: Cutting of existing suspended RC slab to form slot for new ramp; to basement 1</t>
  </si>
  <si>
    <t>Extra-Over for Complying to Authority Comments: Cutting of existing suspended RC slab to facilitate bridge connection;  to first floor and second floor</t>
  </si>
  <si>
    <t>Extra-Over for Complying to Authority Comments: Cutting of existing RC slab to to form opening around pulse; from first floor to lower roof</t>
  </si>
  <si>
    <t>Extra-Over for Complying to Authority Comments: Cutting of existing RC slab to form opening top of raft slab to allow formation of new shear wall at Basement 02</t>
  </si>
  <si>
    <t>Extra-Over for Complying to Authority Comments: Break back and remove the covering of bulkhead and any architectural finishes on the existing hexagonal opening; to first floor and second floor</t>
  </si>
  <si>
    <t>Sundries - Extra-Over for Complying to Authority Comments:</t>
  </si>
  <si>
    <t>Openings</t>
  </si>
  <si>
    <t xml:space="preserve">	Slab openings for proposed structural steel canopies. Size: 700mm x 250mm opening on 450mm thick slab </t>
  </si>
  <si>
    <t>no</t>
  </si>
  <si>
    <t>Slab openings for proposed structural steel canopies. Size: 700mm x 250mm opening on 750mm thick slab</t>
  </si>
  <si>
    <t>Slab opening infill including waterproofing:</t>
  </si>
  <si>
    <t>450mm thk slab</t>
  </si>
  <si>
    <t>750mm thk slab</t>
  </si>
  <si>
    <t xml:space="preserve">Extra-Over for Complying to Authority Comments: Removal of existing floor finish on mall concourse; from ground floor to second floor </t>
  </si>
  <si>
    <t>Extra-Over for Complying to Authority Comments: Removal of bulkhead in preparation for newly shaped opening; to first floor and second floor</t>
  </si>
  <si>
    <t>Extra-Over for Complying to Authority Comments: Removal of existing floor finishes for lift and escalator lobbies at parking</t>
  </si>
  <si>
    <t>Roof Waterproofing</t>
  </si>
  <si>
    <t>Extra-Over for Complying to Authority Comments: Waterproofing, Screed and Roof System reinstatement for the slab openings</t>
  </si>
  <si>
    <t>sum</t>
  </si>
  <si>
    <t>Page 2/B5.1/EO/1</t>
  </si>
  <si>
    <t>Page 2/B5.1/EO/2</t>
  </si>
  <si>
    <t>Page 2/B5.1/EO/3</t>
  </si>
  <si>
    <t>Page 2/B5.1/EO/4</t>
  </si>
  <si>
    <t>ALTERATIONS</t>
  </si>
  <si>
    <t>STRUCTURE STRENGTHENING WORKS</t>
  </si>
  <si>
    <t>Strengthening works; including supports, fixings, accessories and all ancillary works as necessary</t>
  </si>
  <si>
    <t>Jacket existing column; size 1250 x 1250 x 3050mm high; to basement 2</t>
  </si>
  <si>
    <t>Jacket existing column; size 1250 x 2000 x 3050mm high; to basement 2</t>
  </si>
  <si>
    <t>Indicative props spaced at 500mm maximum on centers; 3050mm high; to basement 2</t>
  </si>
  <si>
    <t>327</t>
  </si>
  <si>
    <t>Jacket existing column; size 850 x 1250 x 3250mm high; to basement 1</t>
  </si>
  <si>
    <t>Jacket existing column; size 1250 x 1250 x 3250mm high; to basement 1</t>
  </si>
  <si>
    <t>Jacket existing column; size 1250 x 2000 x 3250mm high; to basement 1</t>
  </si>
  <si>
    <t>Repriced - Refer to GMP Bill No. 13 for Strengthening Works</t>
  </si>
  <si>
    <t>RC wall buttress structure; size 600 x 1300 x 3250mm high; to basement 1</t>
  </si>
  <si>
    <t>RC wall buttress structure; size 600 x 1500 x 3250mm high; to basement 1</t>
  </si>
  <si>
    <t>Indicative props spaced at 500mm maximum on centers; 3250mm high; to basement 1</t>
  </si>
  <si>
    <t>Jacket existing column; size 1250 x 1250 x 3700mm high; to ground floor</t>
  </si>
  <si>
    <t>Jacket existing column; size 1250 x 2000 x 3700mm high; to ground floor</t>
  </si>
  <si>
    <t>STRUCTURE STRENGTHENING WORKS (Cont´d)</t>
  </si>
  <si>
    <t>RC wall buttress structure; size 600 x 1300 x 3700mm high; to ground floor</t>
  </si>
  <si>
    <t>RC wall buttress structure; size 600 x 1500 x 3700mm high; to ground floor</t>
  </si>
  <si>
    <t>Indicative props spaced at 500mm maximum on centers; 3700mm high; to ground floor</t>
  </si>
  <si>
    <t>Jacket existing column; size 1250 x 1250 x 3550mm high; to ground floor mezzanine</t>
  </si>
  <si>
    <t>Jacket existing column; size 1250 x 2000 x 3550mm high; to ground floor mezzanine</t>
  </si>
  <si>
    <t>RC wall buttress structure; size 600 x 1300 x 3550mm high; to ground floor mezzanine</t>
  </si>
  <si>
    <t>RC wall buttress structure; size 600 x 1500 x 3550mm high; to ground floor mezzanine</t>
  </si>
  <si>
    <t>Indicative props spaced at 500mm maximum on centers; 3550mm high; to ground floor mezzanine</t>
  </si>
  <si>
    <t>Jacket existing column; size 1250 x 1250 x 3500mm high; to first floor</t>
  </si>
  <si>
    <t>Jacket existing column; size 1250 x 2000 x 3500mm high; to first floor</t>
  </si>
  <si>
    <t>RC wall buttress structure; size 600 x 1300 x 3500mm high; to first floor</t>
  </si>
  <si>
    <t>RC wall buttress structure; size 600 x 1500 x 3500mm high; to first floor</t>
  </si>
  <si>
    <t>Indicative props spaced at 500mm maximum on centers; 3500mm high; to first floor</t>
  </si>
  <si>
    <t>79</t>
  </si>
  <si>
    <t>Jacket existing column; size 1250 x 1250 x 2750mm high; to first floor mezzanine</t>
  </si>
  <si>
    <t>Jacket existing column; size 1250 x 2000 x 2750mm high; to first floor mezzanine</t>
  </si>
  <si>
    <t>RC wall buttress structure; size 600 x 1300 x 2750mm high; to first floor mezzanine</t>
  </si>
  <si>
    <t>RC wall buttress structure; size 600 x 1500 x 2750mm high; to first floor mezzanine</t>
  </si>
  <si>
    <t>Indicative props spaced at 500mm maximum on centers; 2750mm high; to first floor mezzanine</t>
  </si>
  <si>
    <t>Jacket existing column; size 1100 x 1100 x 3500mm high; to second floor</t>
  </si>
  <si>
    <t>Jacket existing column; size 1250 x 2000 x 3500mm high; to second floor</t>
  </si>
  <si>
    <t>RC wall buttress structure; size 600 x 1300 x 3500mm high; to second floor</t>
  </si>
  <si>
    <t>RC wall buttress structure; size 600 x 1500 x 3500mm high; to second floor</t>
  </si>
  <si>
    <t>Indicative props spaced at 500mm maximum on centers; 3500mm high; to second floor</t>
  </si>
  <si>
    <t>Jacket existing column; size 1100 x 1100 x 2700mm high; to second floor mezzanine</t>
  </si>
  <si>
    <t>Jacket existing column; size 1250 x 2000 x 2700mm high; to second floor mezzanine</t>
  </si>
  <si>
    <t>RC wall buttress structure; size 600 x 1300 x 2700mm high; to second floor mezzanine</t>
  </si>
  <si>
    <t>RC wall buttress structure; size 600 x 1500 x 2700mm high; to second floor mezzanine</t>
  </si>
  <si>
    <t>Indicative props spaced at 500mm maximum on centers; 2700mm high; to second floor mezzanine</t>
  </si>
  <si>
    <t>71</t>
  </si>
  <si>
    <t>Jacket existing column; size 1100 x 1100 x 2650mm high; to third floor</t>
  </si>
  <si>
    <t>Jacket existing column; size 1250 x 2000 x 2650mm high; to third floor</t>
  </si>
  <si>
    <t>RC wall buttress structure; size 600 x 1300 x 2650mm high; to third floor</t>
  </si>
  <si>
    <t>RC wall buttress structure; size 600 x 1500 x 2650mm high; to third floor</t>
  </si>
  <si>
    <t>Indicative props spaced at 500mm maximum on centers; 2650mm high; to third floor</t>
  </si>
  <si>
    <t>Sundries</t>
  </si>
  <si>
    <t>Additional rebar; dowel connection to existing to new structure</t>
  </si>
  <si>
    <t>83.75</t>
  </si>
  <si>
    <t>t</t>
  </si>
  <si>
    <t>Post fix hilti</t>
  </si>
  <si>
    <t>51,899</t>
  </si>
  <si>
    <t>MECHANICAL ENGINEERING INSTALLATIONS</t>
  </si>
  <si>
    <t>2. Drawing Nr. M-12000 to 12094 /  12100 to 12194 HVAC and chilled water system demolition layout drawing</t>
  </si>
  <si>
    <t>3. Drawing Nr. F-12200 to 12254 fire protection system demolition layout drawings</t>
  </si>
  <si>
    <t>4. Modification and reinstatement works shall include dropping / extending the existing water pipes and accessories to suit the new level of height.</t>
  </si>
  <si>
    <t xml:space="preserve">Re-installation of existing VT unit; complete with drive motor, balustrade, truss, steps control panel, gears, sprockets, switches, escalator safety mechanisms,  hoisting/hauling, and all ancillary works as necessary </t>
  </si>
  <si>
    <t>Re-installation of Escalator Unit; to garden walk area; replacement of damaged exterior cladding or other dismantled materials during relocations to be
in good as before condition.</t>
  </si>
  <si>
    <t>Allow existing Equipment, Pipeworks, Ductworks and Accessories within the plant room shall be temporarily removed safely, stored and reinstated to facilitate civil works in grid line Z3 to Y9 and C1 to C4 at third floor</t>
  </si>
  <si>
    <t>MECHANICAL ENGINEERING INSTALLATIONS (Cont´d)</t>
  </si>
  <si>
    <t>Existing Ductworks, Grille and Diffusers, Duct Accessories shall be temporally removed safely, stored and reinstated to facilitate the civil works at first floor mezzanine</t>
  </si>
  <si>
    <t>EAD; size 550 x 250mm</t>
  </si>
  <si>
    <t>EAD; size 600 x 250mm</t>
  </si>
  <si>
    <t>EAD; size 900 x 250mm</t>
  </si>
  <si>
    <t>FAD; size 350 x 300mm</t>
  </si>
  <si>
    <t>FAD; size 450 x 250mm</t>
  </si>
  <si>
    <t>FAD; size 600 x 250mm</t>
  </si>
  <si>
    <t>FAD; size 600 x 400mm</t>
  </si>
  <si>
    <t>FAD; size 750 x 400mm</t>
  </si>
  <si>
    <t>FAD; size 1000 x 300mm</t>
  </si>
  <si>
    <t>Flexible duct</t>
  </si>
  <si>
    <t>Duct accessories</t>
  </si>
  <si>
    <t>Jet nozzle with flexible duct 200mm diameter</t>
  </si>
  <si>
    <t>Jet nozzle; size 250mm diameter</t>
  </si>
  <si>
    <t>Return jet nozzle: size 250mm</t>
  </si>
  <si>
    <t>VCD; size 400 x 250mm</t>
  </si>
  <si>
    <t>VCD; size 450 x 250mm</t>
  </si>
  <si>
    <t>VCD; size 650 x 250mm</t>
  </si>
  <si>
    <t>VCD; size 700 x 250mm</t>
  </si>
  <si>
    <t>Grille and diffuser</t>
  </si>
  <si>
    <t>RLSD; size 1000mm long x 3 slots 3/4 width</t>
  </si>
  <si>
    <t>SLSD; size 1000mm long x 3 slots 3/4 width each with 200 mm flexible duct</t>
  </si>
  <si>
    <t>RLSD; 4000mm long x 3 slots 3/4 width</t>
  </si>
  <si>
    <t>RLSD; various size</t>
  </si>
  <si>
    <t>SLSD; various size</t>
  </si>
  <si>
    <t>Re-installation of existing Fire Hose Cabinet: including valves, fire extinguishers, hose reel, supports, making good and all ancillary works as necessary</t>
  </si>
  <si>
    <t>Allow to any dismantling works, relocation, modification works and for the purposes of connections to the existing services.</t>
  </si>
  <si>
    <t>Allow for all other works required or implied by the specifications and/or drawings</t>
  </si>
  <si>
    <t>N/A</t>
  </si>
  <si>
    <t>Allow for protecting all the works in all system</t>
  </si>
  <si>
    <t>Allow for providing protective finishes</t>
  </si>
  <si>
    <t>ELECTRICAL ENGINEERING INSTALLATIONS</t>
  </si>
  <si>
    <t>Containment</t>
  </si>
  <si>
    <t>Re-routing of remove existing cable containment (additional containment measured elsewhere) including all ancillary works as necessary</t>
  </si>
  <si>
    <t>100 x 150mm wide cable tray</t>
  </si>
  <si>
    <t>100 x 200mm wide cable tray</t>
  </si>
  <si>
    <t>100 x 300mm wide cable tray</t>
  </si>
  <si>
    <t>100 x 750mm wide cable tray</t>
  </si>
  <si>
    <t>100 x 900mm wide cable tray</t>
  </si>
  <si>
    <t>326</t>
  </si>
  <si>
    <t>Re-installation of remove existing cable containment including all ancillary works as necessary</t>
  </si>
  <si>
    <t>ELECTRICAL ENGINEERING INSTALLATIONS (Cont´d)</t>
  </si>
  <si>
    <t>46</t>
  </si>
  <si>
    <t>137</t>
  </si>
  <si>
    <t>Re-location of remove existing earth pit including all ancillary works as necessary</t>
  </si>
  <si>
    <t>Others</t>
  </si>
  <si>
    <t>Allow for temporarily removed, stored safely and reinstated of cable trays within the plant room at lower and upper roof after civil works</t>
  </si>
  <si>
    <t>Allow for temporarily removed, stored safely and reinstated of existing electrical devices with in the plant room at lower roof floor after civil works</t>
  </si>
  <si>
    <t>Allow for temporarily removed, stored safely and reinstated of all air terminal within the plant room after civil works at lower roof</t>
  </si>
  <si>
    <t>Allow for temporarily removed, stored safely and reinstated of all lighting within the plant room  at lower and upper roof after civil works</t>
  </si>
  <si>
    <t>Allow for temporarily removed, stored safely and reinstated of all emergency lighting within the plant room at lower and upper roof after civil works</t>
  </si>
  <si>
    <t>Allow for temporarily removed, stored safely and reinstated of all telecom devices within the plant room at lower and upper roof after civil works</t>
  </si>
  <si>
    <t>Allow for temporarily removed, stored safely and reinstated of all TETRA (antenna) devices within the plant room at lower and upper roof after civil works</t>
  </si>
  <si>
    <t>Allow for temporarily removed, stored safely and reinstated of all fire detection and alarm system devices within the plant room at lower and upper roof after civil works</t>
  </si>
  <si>
    <t>Allow for any other works which are not included above and which are required to complete the Alterations in accordance with the Specification and the Drawings (Tenderer to list below):</t>
  </si>
  <si>
    <t>BWIC &amp; PRELIMINARIES FOR MEP</t>
  </si>
  <si>
    <t>Builder's work in connection (BWIC) with Mechanical Engineering Installations</t>
  </si>
  <si>
    <t>Preliminaries for MEP Works within Bill No. 2</t>
  </si>
  <si>
    <t>Page 2/B5.2/1</t>
  </si>
  <si>
    <t>Page 2/B5.2/2</t>
  </si>
  <si>
    <t>Page 2/B5.2/3</t>
  </si>
  <si>
    <t>Page 2/B5.2/4</t>
  </si>
  <si>
    <t>Page 2/B5.2/5</t>
  </si>
  <si>
    <t>Page 2/B5.2/6</t>
  </si>
  <si>
    <t>Page 2/B5.2/7</t>
  </si>
  <si>
    <t>Page 2/B5.2/8</t>
  </si>
  <si>
    <t>Page 2/B5.2/9</t>
  </si>
  <si>
    <t>Page 2/B5.2/10</t>
  </si>
  <si>
    <t>Page 2/B5.2/11</t>
  </si>
  <si>
    <t>Page 2/B5.2/12</t>
  </si>
  <si>
    <t>Page Nr.</t>
  </si>
  <si>
    <t>Amount 
AED</t>
  </si>
  <si>
    <t>SUMMARY</t>
  </si>
  <si>
    <t>2/B5.1/1 - 2/B5.1/48</t>
  </si>
  <si>
    <t>DEMOLITIONS - EXTRA-OVER FOR COMPLYING TO AUTHORITY COMMENTS</t>
  </si>
  <si>
    <t>2/B5.1/EO/1 - 2/B5.1/EO/5</t>
  </si>
  <si>
    <t>2/B5.2/1 - 2/B5.2/12</t>
  </si>
  <si>
    <t>TOTAL FOR BILL NO. 2 - DEMOLITIONS AND ALTERATIONS</t>
  </si>
  <si>
    <t>TO MAIN SUMMARY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</si>
</sst>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00_-;\-* #,##0.00_-;_-* &quot;-&quot;??_-;_-@_-"/>
  </numFmts>
  <fonts count="28">
    <font>
      <sz val="10"/>
      <name val="Arial"/>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11"/>
      <name val="Arial"/>
      <family val="2"/>
    </font>
    <font>
      <u/>
      <sz val="11"/>
      <name val="Arial"/>
      <family val="2"/>
    </font>
    <font>
      <sz val="11"/>
      <color theme="1"/>
      <name val="Calibri"/>
      <family val="2"/>
      <scheme val="minor"/>
    </font>
    <font>
      <sz val="11"/>
      <color theme="1"/>
      <name val="Arial"/>
      <family val="2"/>
    </font>
    <font>
      <sz val="11"/>
      <color indexed="8"/>
      <name val="Arial"/>
      <family val="2"/>
    </font>
    <font>
      <u/>
      <sz val="11"/>
      <color indexed="8"/>
      <name val="Arial"/>
      <family val="2"/>
    </font>
    <font>
      <b/>
      <sz val="11"/>
      <name val="Arial"/>
      <family val="2"/>
    </font>
    <font>
      <sz val="11"/>
      <color rgb="FFFF0000"/>
      <name val="Arial"/>
      <family val="2"/>
    </font>
    <font>
      <sz val="10"/>
      <color theme="0"/>
      <name val="Arial"/>
      <family val="2"/>
    </font>
    <font>
      <b/>
      <sz val="9"/>
      <color theme="0"/>
      <name val="Arial"/>
      <family val="2"/>
    </font>
    <font>
      <sz val="9"/>
      <name val="Arial"/>
      <family val="2"/>
    </font>
    <font>
      <sz val="10"/>
      <color theme="1"/>
      <name val="Arial"/>
      <family val="2"/>
    </font>
    <font>
      <u/>
      <sz val="11"/>
      <color rgb="FF000000"/>
      <name val="Arial"/>
      <family val="2"/>
    </font>
    <font>
      <sz val="11"/>
      <color rgb="FF000000"/>
      <name val="Arial"/>
      <family val="2"/>
    </font>
    <font>
      <sz val="8"/>
      <name val="Arial"/>
      <family val="2"/>
    </font>
    <font>
      <u/>
      <sz val="11"/>
      <color theme="1"/>
      <name val="Arial"/>
      <family val="2"/>
    </font>
    <font>
      <u/>
      <sz val="10"/>
      <name val="Arial"/>
      <family val="2"/>
    </font>
    <font>
      <sz val="10"/>
      <name val="Arial"/>
      <family val="2"/>
    </font>
    <font>
      <sz val="11"/>
      <color rgb="FF002060"/>
      <name val="Arial"/>
      <family val="2"/>
    </font>
    <font>
      <u/>
      <sz val="11"/>
      <color rgb="FF002060"/>
      <name val="Arial"/>
      <family val="2"/>
    </font>
    <font>
      <b/>
      <sz val="11"/>
      <color rgb="FF002060"/>
      <name val="Arial"/>
      <family val="2"/>
    </font>
    <font>
      <b/>
      <u/>
      <sz val="11"/>
      <color rgb="FF002060"/>
      <name val="Arial"/>
      <family val="2"/>
    </font>
    <font>
      <sz val="8"/>
      <name val="Arial"/>
      <family val="2"/>
    </font>
  </fonts>
  <fills count="3">
    <fill>
      <patternFill patternType="none"/>
    </fill>
    <fill>
      <patternFill patternType="gray125"/>
    </fill>
    <fill>
      <patternFill patternType="solid">
        <fgColor rgb="FFFFFFFF"/>
        <bgColor indexed="64"/>
      </patternFill>
    </fill>
  </fills>
  <borders count="15">
    <border>
      <left/>
      <right/>
      <top/>
      <bottom/>
      <diagonal/>
    </border>
    <border>
      <left style="thin">
        <color auto="1"/>
      </left>
      <right style="thin">
        <color auto="1"/>
      </right>
      <top/>
      <bottom/>
      <diagonal/>
    </border>
    <border>
      <left style="thin">
        <color auto="1"/>
      </left>
      <right style="double">
        <color auto="1"/>
      </right>
      <top/>
      <bottom/>
      <diagonal/>
    </border>
    <border>
      <left style="double">
        <color auto="1"/>
      </left>
      <right style="thin">
        <color auto="1"/>
      </right>
      <top/>
      <bottom/>
      <diagonal/>
    </border>
    <border>
      <left style="thin">
        <color indexed="64"/>
      </left>
      <right style="thin">
        <color indexed="64"/>
      </right>
      <top style="thin">
        <color indexed="64"/>
      </top>
      <bottom/>
      <diagonal/>
    </border>
    <border>
      <left style="thin">
        <color indexed="64"/>
      </left>
      <right style="double">
        <color indexed="64"/>
      </right>
      <top style="thin">
        <color indexed="64"/>
      </top>
      <bottom/>
      <diagonal/>
    </border>
    <border>
      <left style="double">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double">
        <color auto="1"/>
      </right>
      <top/>
      <bottom style="thin">
        <color auto="1"/>
      </bottom>
      <diagonal/>
    </border>
    <border>
      <left style="double">
        <color auto="1"/>
      </left>
      <right style="thin">
        <color auto="1"/>
      </right>
      <top/>
      <bottom style="thin">
        <color auto="1"/>
      </bottom>
      <diagonal/>
    </border>
    <border>
      <left style="thin">
        <color auto="1"/>
      </left>
      <right/>
      <top/>
      <bottom/>
      <diagonal/>
    </border>
    <border>
      <left/>
      <right style="thin">
        <color auto="1"/>
      </right>
      <top/>
      <bottom/>
      <diagonal/>
    </border>
    <border>
      <left/>
      <right/>
      <top style="thin">
        <color indexed="64"/>
      </top>
      <bottom/>
      <diagonal/>
    </border>
    <border>
      <left/>
      <right style="thin">
        <color indexed="64"/>
      </right>
      <top style="thin">
        <color indexed="64"/>
      </top>
      <bottom/>
      <diagonal/>
    </border>
    <border>
      <left/>
      <right style="thin">
        <color auto="1"/>
      </right>
      <top/>
      <bottom style="thin">
        <color auto="1"/>
      </bottom>
      <diagonal/>
    </border>
  </borders>
  <cellStyleXfs count="21">
    <xf numFmtId="0" fontId="0" fillId="0" borderId="0"/>
    <xf numFmtId="0" fontId="7" fillId="0" borderId="0"/>
    <xf numFmtId="43" fontId="4" fillId="0" borderId="0" applyFont="0" applyFill="0" applyBorder="0" applyAlignment="0" applyProtection="0"/>
    <xf numFmtId="43" fontId="7" fillId="0" borderId="0" applyFont="0" applyFill="0" applyBorder="0" applyAlignment="0" applyProtection="0"/>
    <xf numFmtId="0" fontId="3" fillId="0" borderId="0"/>
    <xf numFmtId="0" fontId="4" fillId="0" borderId="0"/>
    <xf numFmtId="164" fontId="3" fillId="0" borderId="0" applyFont="0" applyFill="0" applyBorder="0" applyAlignment="0" applyProtection="0"/>
    <xf numFmtId="0" fontId="4" fillId="0" borderId="0"/>
    <xf numFmtId="164" fontId="2" fillId="0" borderId="0" applyFont="0" applyFill="0" applyBorder="0" applyAlignment="0" applyProtection="0"/>
    <xf numFmtId="164" fontId="2" fillId="0" borderId="0" applyFont="0" applyFill="0" applyBorder="0" applyAlignment="0" applyProtection="0"/>
    <xf numFmtId="0" fontId="4" fillId="0" borderId="0"/>
    <xf numFmtId="0" fontId="4" fillId="0" borderId="0"/>
    <xf numFmtId="0" fontId="4" fillId="0" borderId="0"/>
    <xf numFmtId="0" fontId="17" fillId="2" borderId="0">
      <alignment horizontal="center" vertical="center"/>
    </xf>
    <xf numFmtId="0" fontId="17" fillId="2" borderId="0">
      <alignment horizontal="left" vertical="center"/>
    </xf>
    <xf numFmtId="0" fontId="18" fillId="2" borderId="0">
      <alignment horizontal="center" vertical="top"/>
    </xf>
    <xf numFmtId="0" fontId="18" fillId="2" borderId="0">
      <alignment horizontal="left" vertical="top"/>
    </xf>
    <xf numFmtId="0" fontId="18" fillId="2" borderId="0">
      <alignment horizontal="center"/>
    </xf>
    <xf numFmtId="0" fontId="17" fillId="2" borderId="0">
      <alignment horizontal="left" vertical="top"/>
    </xf>
    <xf numFmtId="0" fontId="18" fillId="2" borderId="0">
      <alignment horizontal="center" vertical="top"/>
    </xf>
    <xf numFmtId="164" fontId="22" fillId="0" borderId="0" applyFont="0" applyFill="0" applyBorder="0" applyAlignment="0" applyProtection="0"/>
  </cellStyleXfs>
  <cellXfs count="199">
    <xf numFmtId="0" fontId="0" fillId="0" borderId="0" xfId="0"/>
    <xf numFmtId="0" fontId="10" fillId="0" borderId="0" xfId="4" applyFont="1" applyAlignment="1">
      <alignment vertical="top"/>
    </xf>
    <xf numFmtId="0" fontId="3" fillId="0" borderId="0" xfId="4"/>
    <xf numFmtId="0" fontId="10" fillId="0" borderId="0" xfId="4" applyFont="1" applyAlignment="1">
      <alignment horizontal="center" vertical="top"/>
    </xf>
    <xf numFmtId="0" fontId="10" fillId="0" borderId="0" xfId="4" applyFont="1" applyAlignment="1">
      <alignment vertical="top" wrapText="1"/>
    </xf>
    <xf numFmtId="4" fontId="10" fillId="0" borderId="0" xfId="4" applyNumberFormat="1" applyFont="1"/>
    <xf numFmtId="0" fontId="10" fillId="0" borderId="0" xfId="4" applyFont="1" applyAlignment="1">
      <alignment horizontal="center" vertical="top" wrapText="1"/>
    </xf>
    <xf numFmtId="0" fontId="9" fillId="0" borderId="0" xfId="4" applyFont="1" applyAlignment="1">
      <alignment horizontal="center" vertical="top"/>
    </xf>
    <xf numFmtId="0" fontId="9" fillId="0" borderId="0" xfId="4" applyFont="1" applyAlignment="1">
      <alignment vertical="top" wrapText="1"/>
    </xf>
    <xf numFmtId="3" fontId="9" fillId="0" borderId="0" xfId="4" applyNumberFormat="1" applyFont="1" applyAlignment="1">
      <alignment horizontal="right"/>
    </xf>
    <xf numFmtId="3" fontId="9" fillId="0" borderId="0" xfId="4" applyNumberFormat="1" applyFont="1" applyAlignment="1">
      <alignment horizontal="center"/>
    </xf>
    <xf numFmtId="4" fontId="9" fillId="0" borderId="0" xfId="4" applyNumberFormat="1" applyFont="1" applyAlignment="1">
      <alignment horizontal="right"/>
    </xf>
    <xf numFmtId="0" fontId="11" fillId="0" borderId="10" xfId="5" applyFont="1" applyBorder="1" applyAlignment="1" applyProtection="1">
      <alignment horizontal="center" vertical="center" wrapText="1"/>
      <protection locked="0"/>
    </xf>
    <xf numFmtId="0" fontId="11" fillId="0" borderId="0" xfId="5" applyFont="1" applyProtection="1">
      <protection locked="0"/>
    </xf>
    <xf numFmtId="0" fontId="11" fillId="0" borderId="0" xfId="5" applyFont="1" applyAlignment="1" applyProtection="1">
      <alignment vertical="center" wrapText="1"/>
      <protection locked="0"/>
    </xf>
    <xf numFmtId="164" fontId="12" fillId="0" borderId="4" xfId="6" applyFont="1" applyFill="1" applyBorder="1" applyAlignment="1" applyProtection="1">
      <alignment horizontal="center" vertical="top" wrapText="1"/>
      <protection locked="0"/>
    </xf>
    <xf numFmtId="0" fontId="11" fillId="0" borderId="0" xfId="5" applyFont="1" applyAlignment="1" applyProtection="1">
      <alignment horizontal="center" vertical="top" wrapText="1"/>
      <protection locked="0"/>
    </xf>
    <xf numFmtId="0" fontId="5" fillId="0" borderId="0" xfId="5" applyFont="1" applyAlignment="1" applyProtection="1">
      <alignment wrapText="1"/>
      <protection locked="0"/>
    </xf>
    <xf numFmtId="164" fontId="12" fillId="0" borderId="1" xfId="6" applyFont="1" applyFill="1" applyBorder="1" applyAlignment="1" applyProtection="1">
      <alignment horizontal="center" vertical="top" wrapText="1"/>
      <protection locked="0"/>
    </xf>
    <xf numFmtId="164" fontId="11" fillId="0" borderId="1" xfId="6" applyFont="1" applyFill="1" applyBorder="1" applyAlignment="1" applyProtection="1">
      <alignment horizontal="center" vertical="top" wrapText="1"/>
      <protection locked="0"/>
    </xf>
    <xf numFmtId="164" fontId="5" fillId="0" borderId="1" xfId="6" applyFont="1" applyFill="1" applyBorder="1" applyAlignment="1" applyProtection="1">
      <alignment horizontal="center" vertical="top" wrapText="1"/>
      <protection locked="0"/>
    </xf>
    <xf numFmtId="0" fontId="5" fillId="0" borderId="0" xfId="5" applyFont="1" applyAlignment="1" applyProtection="1">
      <alignment horizontal="center" vertical="top" wrapText="1"/>
      <protection locked="0"/>
    </xf>
    <xf numFmtId="0" fontId="5" fillId="0" borderId="0" xfId="5" applyFont="1" applyProtection="1">
      <protection locked="0"/>
    </xf>
    <xf numFmtId="164" fontId="5" fillId="0" borderId="7" xfId="6" applyFont="1" applyFill="1" applyBorder="1" applyAlignment="1" applyProtection="1">
      <alignment horizontal="center" wrapText="1"/>
      <protection locked="0"/>
    </xf>
    <xf numFmtId="164" fontId="5" fillId="0" borderId="1" xfId="6" applyFont="1" applyFill="1" applyBorder="1" applyAlignment="1" applyProtection="1">
      <alignment horizontal="center" wrapText="1"/>
      <protection locked="0"/>
    </xf>
    <xf numFmtId="49" fontId="11" fillId="0" borderId="0" xfId="5" applyNumberFormat="1" applyFont="1" applyAlignment="1" applyProtection="1">
      <alignment horizontal="center" wrapText="1"/>
      <protection locked="0"/>
    </xf>
    <xf numFmtId="0" fontId="11" fillId="0" borderId="0" xfId="5" applyFont="1" applyAlignment="1" applyProtection="1">
      <alignment horizontal="left" vertical="top" wrapText="1"/>
      <protection locked="0"/>
    </xf>
    <xf numFmtId="0" fontId="13" fillId="0" borderId="0" xfId="7" applyFont="1" applyAlignment="1" applyProtection="1">
      <alignment vertical="center"/>
      <protection locked="0"/>
    </xf>
    <xf numFmtId="0" fontId="14" fillId="0" borderId="0" xfId="7" applyFont="1" applyAlignment="1" applyProtection="1">
      <alignment horizontal="left" vertical="top" wrapText="1"/>
      <protection locked="0"/>
    </xf>
    <xf numFmtId="1" fontId="4" fillId="0" borderId="0" xfId="5" applyNumberFormat="1" applyAlignment="1" applyProtection="1">
      <alignment horizontal="center" vertical="top"/>
      <protection locked="0"/>
    </xf>
    <xf numFmtId="164" fontId="4" fillId="0" borderId="0" xfId="6" applyFont="1" applyFill="1" applyAlignment="1" applyProtection="1">
      <alignment vertical="top"/>
      <protection locked="0"/>
    </xf>
    <xf numFmtId="0" fontId="4" fillId="0" borderId="0" xfId="5" applyAlignment="1" applyProtection="1">
      <alignment vertical="top"/>
      <protection locked="0"/>
    </xf>
    <xf numFmtId="0" fontId="15" fillId="0" borderId="0" xfId="7" applyFont="1" applyAlignment="1" applyProtection="1">
      <alignment horizontal="left" vertical="top"/>
      <protection locked="0"/>
    </xf>
    <xf numFmtId="0" fontId="15" fillId="0" borderId="0" xfId="7" applyFont="1" applyAlignment="1" applyProtection="1">
      <alignment vertical="top" wrapText="1"/>
      <protection locked="0"/>
    </xf>
    <xf numFmtId="2" fontId="15" fillId="0" borderId="0" xfId="7" applyNumberFormat="1" applyFont="1" applyAlignment="1" applyProtection="1">
      <alignment horizontal="left" vertical="top"/>
      <protection locked="0"/>
    </xf>
    <xf numFmtId="49" fontId="5" fillId="0" borderId="0" xfId="5" applyNumberFormat="1" applyFont="1" applyAlignment="1" applyProtection="1">
      <alignment horizontal="center"/>
      <protection locked="0"/>
    </xf>
    <xf numFmtId="164" fontId="5" fillId="0" borderId="0" xfId="6" applyFont="1" applyFill="1" applyAlignment="1" applyProtection="1">
      <alignment horizontal="center" vertical="top" wrapText="1"/>
      <protection locked="0"/>
    </xf>
    <xf numFmtId="0" fontId="3" fillId="0" borderId="0" xfId="4" applyProtection="1">
      <protection locked="0"/>
    </xf>
    <xf numFmtId="0" fontId="16" fillId="0" borderId="0" xfId="4" applyFont="1" applyProtection="1">
      <protection locked="0"/>
    </xf>
    <xf numFmtId="0" fontId="5" fillId="0" borderId="1" xfId="0" applyFont="1" applyBorder="1" applyAlignment="1" applyProtection="1">
      <alignment horizontal="center" vertical="top" wrapText="1"/>
      <protection locked="0"/>
    </xf>
    <xf numFmtId="0" fontId="5" fillId="0" borderId="1" xfId="0" applyFont="1" applyBorder="1" applyAlignment="1" applyProtection="1">
      <alignment horizontal="center" wrapText="1"/>
      <protection locked="0"/>
    </xf>
    <xf numFmtId="0" fontId="5" fillId="0" borderId="2" xfId="0" applyFont="1" applyBorder="1" applyAlignment="1" applyProtection="1">
      <alignment horizontal="center" wrapText="1"/>
      <protection locked="0"/>
    </xf>
    <xf numFmtId="0" fontId="0" fillId="0" borderId="1" xfId="0" applyBorder="1" applyAlignment="1" applyProtection="1">
      <alignment horizontal="center" vertical="top" wrapText="1"/>
      <protection locked="0"/>
    </xf>
    <xf numFmtId="0" fontId="0" fillId="0" borderId="1" xfId="0" applyBorder="1" applyAlignment="1" applyProtection="1">
      <alignment horizontal="center" wrapText="1"/>
      <protection locked="0"/>
    </xf>
    <xf numFmtId="0" fontId="0" fillId="0" borderId="2" xfId="0" applyBorder="1" applyAlignment="1" applyProtection="1">
      <alignment horizontal="center" wrapText="1"/>
      <protection locked="0"/>
    </xf>
    <xf numFmtId="0" fontId="0" fillId="0" borderId="1" xfId="0" applyBorder="1" applyAlignment="1" applyProtection="1">
      <alignment wrapText="1"/>
      <protection locked="0"/>
    </xf>
    <xf numFmtId="0" fontId="18" fillId="0" borderId="1" xfId="19" applyFill="1" applyBorder="1" applyAlignment="1" applyProtection="1">
      <alignment horizontal="center" vertical="top" wrapText="1"/>
      <protection locked="0"/>
    </xf>
    <xf numFmtId="0" fontId="18" fillId="0" borderId="1" xfId="17" applyFill="1" applyBorder="1" applyAlignment="1" applyProtection="1">
      <alignment horizontal="center" wrapText="1"/>
      <protection locked="0"/>
    </xf>
    <xf numFmtId="0" fontId="18" fillId="0" borderId="2" xfId="17" applyFill="1" applyBorder="1" applyAlignment="1" applyProtection="1">
      <alignment horizontal="center" wrapText="1"/>
      <protection locked="0"/>
    </xf>
    <xf numFmtId="0" fontId="5" fillId="0" borderId="4" xfId="5" applyFont="1" applyBorder="1" applyAlignment="1">
      <alignment wrapText="1"/>
    </xf>
    <xf numFmtId="0" fontId="5" fillId="0" borderId="0" xfId="5" applyFont="1" applyAlignment="1">
      <alignment wrapText="1"/>
    </xf>
    <xf numFmtId="49" fontId="5" fillId="0" borderId="4" xfId="5" applyNumberFormat="1" applyFont="1" applyBorder="1" applyAlignment="1">
      <alignment horizontal="center" wrapText="1"/>
    </xf>
    <xf numFmtId="0" fontId="5" fillId="0" borderId="1" xfId="5" applyFont="1" applyBorder="1" applyAlignment="1">
      <alignment wrapText="1"/>
    </xf>
    <xf numFmtId="49" fontId="5" fillId="0" borderId="1" xfId="5" applyNumberFormat="1" applyFont="1" applyBorder="1" applyAlignment="1">
      <alignment horizontal="center" wrapText="1"/>
    </xf>
    <xf numFmtId="0" fontId="6" fillId="0" borderId="0" xfId="5" applyFont="1" applyAlignment="1">
      <alignment horizontal="center" wrapText="1"/>
    </xf>
    <xf numFmtId="0" fontId="5" fillId="0" borderId="0" xfId="5" applyFont="1" applyAlignment="1">
      <alignment horizontal="left" wrapText="1" indent="2"/>
    </xf>
    <xf numFmtId="49" fontId="5" fillId="0" borderId="1" xfId="5" applyNumberFormat="1" applyFont="1" applyBorder="1" applyAlignment="1">
      <alignment horizontal="center"/>
    </xf>
    <xf numFmtId="0" fontId="5" fillId="0" borderId="0" xfId="5" applyFont="1" applyAlignment="1">
      <alignment horizontal="left" indent="2"/>
    </xf>
    <xf numFmtId="0" fontId="5" fillId="0" borderId="1" xfId="5" applyFont="1" applyBorder="1"/>
    <xf numFmtId="0" fontId="5" fillId="0" borderId="0" xfId="5" applyFont="1"/>
    <xf numFmtId="0" fontId="5" fillId="0" borderId="7" xfId="5" applyFont="1" applyBorder="1"/>
    <xf numFmtId="0" fontId="5" fillId="0" borderId="14" xfId="5" applyFont="1" applyBorder="1"/>
    <xf numFmtId="49" fontId="5" fillId="0" borderId="7" xfId="5" applyNumberFormat="1" applyFont="1" applyBorder="1" applyAlignment="1">
      <alignment horizontal="center" wrapText="1"/>
    </xf>
    <xf numFmtId="0" fontId="11" fillId="0" borderId="0" xfId="5" applyFont="1" applyAlignment="1">
      <alignment vertical="top" wrapText="1"/>
    </xf>
    <xf numFmtId="49" fontId="11" fillId="0" borderId="12" xfId="5" applyNumberFormat="1" applyFont="1" applyBorder="1" applyAlignment="1">
      <alignment horizontal="center" wrapText="1"/>
    </xf>
    <xf numFmtId="0" fontId="5" fillId="0" borderId="0" xfId="5" applyFont="1" applyAlignment="1">
      <alignment horizontal="center" vertical="top" wrapText="1"/>
    </xf>
    <xf numFmtId="0" fontId="11" fillId="0" borderId="0" xfId="5" applyFont="1" applyAlignment="1">
      <alignment horizontal="right"/>
    </xf>
    <xf numFmtId="49" fontId="11" fillId="0" borderId="0" xfId="5" applyNumberFormat="1" applyFont="1" applyAlignment="1">
      <alignment horizontal="center" wrapText="1"/>
    </xf>
    <xf numFmtId="0" fontId="7" fillId="0" borderId="0" xfId="1" applyAlignment="1">
      <alignment vertical="center" wrapText="1"/>
    </xf>
    <xf numFmtId="0" fontId="8" fillId="0" borderId="1" xfId="1" applyFont="1" applyBorder="1" applyAlignment="1">
      <alignment horizontal="center" vertical="top" wrapText="1"/>
    </xf>
    <xf numFmtId="0" fontId="8" fillId="0" borderId="1" xfId="1" applyFont="1" applyBorder="1" applyAlignment="1">
      <alignment horizontal="center"/>
    </xf>
    <xf numFmtId="0" fontId="8" fillId="0" borderId="2" xfId="1" applyFont="1" applyBorder="1" applyAlignment="1">
      <alignment horizontal="center" wrapText="1"/>
    </xf>
    <xf numFmtId="0" fontId="0" fillId="0" borderId="1" xfId="0" applyBorder="1" applyAlignment="1">
      <alignment horizontal="center" vertical="top" wrapText="1"/>
    </xf>
    <xf numFmtId="0" fontId="0" fillId="0" borderId="1" xfId="0" applyBorder="1" applyAlignment="1">
      <alignment horizontal="center" wrapText="1"/>
    </xf>
    <xf numFmtId="0" fontId="0" fillId="0" borderId="2" xfId="0" applyBorder="1" applyAlignment="1">
      <alignment horizontal="center" wrapText="1"/>
    </xf>
    <xf numFmtId="0" fontId="5" fillId="0" borderId="1" xfId="0" applyFont="1" applyBorder="1" applyAlignment="1">
      <alignment horizontal="right" wrapText="1"/>
    </xf>
    <xf numFmtId="0" fontId="5" fillId="0" borderId="0" xfId="0" applyFont="1" applyAlignment="1">
      <alignment wrapText="1"/>
    </xf>
    <xf numFmtId="0" fontId="17" fillId="0" borderId="1" xfId="14" applyFill="1" applyBorder="1" applyAlignment="1">
      <alignment vertical="center" wrapText="1"/>
    </xf>
    <xf numFmtId="0" fontId="0" fillId="0" borderId="1" xfId="0" applyBorder="1" applyAlignment="1">
      <alignment wrapText="1"/>
    </xf>
    <xf numFmtId="0" fontId="18" fillId="0" borderId="1" xfId="19" applyFill="1" applyBorder="1" applyAlignment="1">
      <alignment horizontal="center" vertical="top" wrapText="1"/>
    </xf>
    <xf numFmtId="0" fontId="18" fillId="0" borderId="1" xfId="15" applyFill="1" applyBorder="1" applyAlignment="1">
      <alignment vertical="top" wrapText="1"/>
    </xf>
    <xf numFmtId="0" fontId="18" fillId="0" borderId="1" xfId="17" applyFill="1" applyBorder="1" applyAlignment="1">
      <alignment horizontal="center" wrapText="1"/>
    </xf>
    <xf numFmtId="0" fontId="18" fillId="0" borderId="2" xfId="17" applyFill="1" applyBorder="1" applyAlignment="1">
      <alignment horizontal="center" wrapText="1"/>
    </xf>
    <xf numFmtId="0" fontId="18" fillId="0" borderId="1" xfId="16" applyFill="1" applyBorder="1" applyAlignment="1">
      <alignment vertical="top" wrapText="1"/>
    </xf>
    <xf numFmtId="0" fontId="0" fillId="0" borderId="2" xfId="0" applyBorder="1" applyAlignment="1">
      <alignment wrapText="1"/>
    </xf>
    <xf numFmtId="0" fontId="5" fillId="0" borderId="12" xfId="1" applyFont="1" applyBorder="1" applyAlignment="1">
      <alignment horizontal="center" vertical="top" wrapText="1"/>
    </xf>
    <xf numFmtId="0" fontId="6" fillId="0" borderId="12" xfId="1" applyFont="1" applyBorder="1" applyAlignment="1">
      <alignment horizontal="left" vertical="top" wrapText="1" indent="1"/>
    </xf>
    <xf numFmtId="37" fontId="5" fillId="0" borderId="12" xfId="1" applyNumberFormat="1" applyFont="1" applyBorder="1" applyAlignment="1">
      <alignment horizontal="center" wrapText="1"/>
    </xf>
    <xf numFmtId="0" fontId="5" fillId="0" borderId="12" xfId="1" applyFont="1" applyBorder="1" applyAlignment="1">
      <alignment horizontal="center" wrapText="1"/>
    </xf>
    <xf numFmtId="0" fontId="5" fillId="0" borderId="0" xfId="1" applyFont="1" applyAlignment="1">
      <alignment horizontal="center" vertical="top" wrapText="1"/>
    </xf>
    <xf numFmtId="0" fontId="6" fillId="0" borderId="0" xfId="1" applyFont="1" applyAlignment="1">
      <alignment horizontal="left" vertical="top" wrapText="1" indent="1"/>
    </xf>
    <xf numFmtId="0" fontId="5" fillId="0" borderId="0" xfId="1" applyFont="1" applyAlignment="1">
      <alignment horizontal="center"/>
    </xf>
    <xf numFmtId="37" fontId="5" fillId="0" borderId="0" xfId="1" applyNumberFormat="1" applyFont="1" applyAlignment="1">
      <alignment horizontal="center" wrapText="1"/>
    </xf>
    <xf numFmtId="0" fontId="5" fillId="0" borderId="0" xfId="1" applyFont="1" applyAlignment="1">
      <alignment horizontal="center" wrapText="1"/>
    </xf>
    <xf numFmtId="0" fontId="17" fillId="0" borderId="0" xfId="0" applyFont="1" applyAlignment="1">
      <alignment horizontal="right"/>
    </xf>
    <xf numFmtId="0" fontId="4" fillId="0" borderId="1" xfId="0" applyFont="1" applyBorder="1" applyAlignment="1">
      <alignment horizontal="right" wrapText="1"/>
    </xf>
    <xf numFmtId="0" fontId="18" fillId="0" borderId="0" xfId="0" applyFont="1" applyAlignment="1">
      <alignment horizontal="right"/>
    </xf>
    <xf numFmtId="0" fontId="5" fillId="0" borderId="0" xfId="0" applyFont="1" applyAlignment="1">
      <alignment horizontal="center" vertical="top" wrapText="1"/>
    </xf>
    <xf numFmtId="0" fontId="5" fillId="0" borderId="0" xfId="0" applyFont="1" applyAlignment="1">
      <alignment vertical="top" wrapText="1"/>
    </xf>
    <xf numFmtId="0" fontId="5" fillId="0" borderId="0" xfId="0" applyFont="1" applyAlignment="1">
      <alignment horizontal="center"/>
    </xf>
    <xf numFmtId="0" fontId="5" fillId="0" borderId="0" xfId="0" applyFont="1" applyAlignment="1">
      <alignment horizontal="center" wrapText="1"/>
    </xf>
    <xf numFmtId="0" fontId="1" fillId="0" borderId="0" xfId="1" applyFont="1" applyAlignment="1">
      <alignment vertical="center" wrapText="1"/>
    </xf>
    <xf numFmtId="0" fontId="5" fillId="0" borderId="1" xfId="0" applyFont="1" applyBorder="1" applyAlignment="1">
      <alignment horizontal="center" vertical="top" wrapText="1"/>
    </xf>
    <xf numFmtId="0" fontId="5" fillId="0" borderId="1" xfId="0" applyFont="1" applyBorder="1" applyAlignment="1">
      <alignment horizontal="center" wrapText="1"/>
    </xf>
    <xf numFmtId="0" fontId="5" fillId="0" borderId="2" xfId="0" applyFont="1" applyBorder="1" applyAlignment="1">
      <alignment horizontal="center" wrapText="1"/>
    </xf>
    <xf numFmtId="0" fontId="5" fillId="0" borderId="1" xfId="0" applyFont="1" applyBorder="1" applyAlignment="1">
      <alignment wrapText="1"/>
    </xf>
    <xf numFmtId="0" fontId="18" fillId="0" borderId="1" xfId="19" applyFill="1" applyBorder="1">
      <alignment horizontal="center" vertical="top"/>
    </xf>
    <xf numFmtId="0" fontId="18" fillId="0" borderId="1" xfId="17" applyFill="1" applyBorder="1">
      <alignment horizontal="center"/>
    </xf>
    <xf numFmtId="0" fontId="18" fillId="0" borderId="2" xfId="17" applyFill="1" applyBorder="1">
      <alignment horizontal="center"/>
    </xf>
    <xf numFmtId="0" fontId="5" fillId="0" borderId="0" xfId="0" applyFont="1"/>
    <xf numFmtId="0" fontId="5" fillId="0" borderId="2" xfId="0" applyFont="1" applyBorder="1" applyAlignment="1">
      <alignment wrapText="1"/>
    </xf>
    <xf numFmtId="0" fontId="20" fillId="0" borderId="0" xfId="1" applyFont="1" applyAlignment="1">
      <alignment horizontal="left" vertical="top" wrapText="1"/>
    </xf>
    <xf numFmtId="0" fontId="17" fillId="0" borderId="1" xfId="13" applyFill="1" applyBorder="1" applyAlignment="1">
      <alignment horizontal="center" vertical="center" wrapText="1"/>
    </xf>
    <xf numFmtId="0" fontId="17" fillId="0" borderId="1" xfId="13" applyFill="1" applyBorder="1" applyAlignment="1">
      <alignment vertical="center" wrapText="1"/>
    </xf>
    <xf numFmtId="0" fontId="6" fillId="0" borderId="1" xfId="0" applyFont="1" applyBorder="1" applyAlignment="1">
      <alignment wrapText="1"/>
    </xf>
    <xf numFmtId="0" fontId="17" fillId="0" borderId="1" xfId="15" applyFont="1" applyFill="1" applyBorder="1" applyAlignment="1">
      <alignment vertical="top" wrapText="1"/>
    </xf>
    <xf numFmtId="0" fontId="17" fillId="0" borderId="1" xfId="15" applyFont="1" applyFill="1" applyBorder="1" applyAlignment="1">
      <alignment vertical="top"/>
    </xf>
    <xf numFmtId="0" fontId="17" fillId="0" borderId="1" xfId="16" applyFont="1" applyFill="1" applyBorder="1" applyAlignment="1">
      <alignment vertical="top" wrapText="1"/>
    </xf>
    <xf numFmtId="0" fontId="6" fillId="0" borderId="1" xfId="0" applyFont="1" applyBorder="1" applyAlignment="1">
      <alignment vertical="center" wrapText="1"/>
    </xf>
    <xf numFmtId="0" fontId="6" fillId="0" borderId="1" xfId="0" applyFont="1" applyBorder="1" applyAlignment="1" applyProtection="1">
      <alignment wrapText="1"/>
      <protection locked="0"/>
    </xf>
    <xf numFmtId="0" fontId="6" fillId="0" borderId="1" xfId="0" applyFont="1" applyBorder="1" applyAlignment="1">
      <alignment horizontal="right" wrapText="1"/>
    </xf>
    <xf numFmtId="0" fontId="6" fillId="0" borderId="0" xfId="0" applyFont="1" applyAlignment="1">
      <alignment wrapText="1"/>
    </xf>
    <xf numFmtId="0" fontId="6" fillId="0" borderId="0" xfId="0" applyFont="1" applyAlignment="1">
      <alignment vertical="top" wrapText="1"/>
    </xf>
    <xf numFmtId="0" fontId="21" fillId="0" borderId="1" xfId="0" applyFont="1" applyBorder="1" applyAlignment="1">
      <alignment wrapText="1"/>
    </xf>
    <xf numFmtId="0" fontId="21" fillId="0" borderId="1" xfId="0" applyFont="1" applyBorder="1" applyAlignment="1">
      <alignment vertical="center" wrapText="1"/>
    </xf>
    <xf numFmtId="0" fontId="21" fillId="0" borderId="1" xfId="0" applyFont="1" applyBorder="1" applyAlignment="1" applyProtection="1">
      <alignment wrapText="1"/>
      <protection locked="0"/>
    </xf>
    <xf numFmtId="0" fontId="17" fillId="0" borderId="1" xfId="14" applyFill="1" applyBorder="1" applyAlignment="1" applyProtection="1">
      <alignment vertical="center" wrapText="1"/>
      <protection locked="0"/>
    </xf>
    <xf numFmtId="0" fontId="17" fillId="0" borderId="1" xfId="15" applyFont="1" applyFill="1" applyBorder="1" applyAlignment="1" applyProtection="1">
      <alignment vertical="top" wrapText="1"/>
      <protection locked="0"/>
    </xf>
    <xf numFmtId="164" fontId="8" fillId="0" borderId="4" xfId="20" applyFont="1" applyBorder="1" applyAlignment="1" applyProtection="1">
      <alignment horizontal="center" vertical="center" wrapText="1"/>
      <protection locked="0"/>
    </xf>
    <xf numFmtId="164" fontId="8" fillId="0" borderId="7" xfId="20" applyFont="1" applyBorder="1" applyAlignment="1" applyProtection="1">
      <alignment horizontal="center" vertical="center" wrapText="1"/>
      <protection locked="0"/>
    </xf>
    <xf numFmtId="164" fontId="8" fillId="0" borderId="1" xfId="20" applyFont="1" applyBorder="1" applyAlignment="1" applyProtection="1">
      <alignment horizontal="center" wrapText="1"/>
      <protection locked="0"/>
    </xf>
    <xf numFmtId="164" fontId="5" fillId="0" borderId="1" xfId="20" applyFont="1" applyBorder="1" applyAlignment="1" applyProtection="1">
      <alignment horizontal="right" wrapText="1"/>
      <protection locked="0"/>
    </xf>
    <xf numFmtId="164" fontId="5" fillId="0" borderId="1" xfId="20" applyFont="1" applyBorder="1" applyAlignment="1" applyProtection="1">
      <alignment horizontal="right"/>
      <protection locked="0"/>
    </xf>
    <xf numFmtId="164" fontId="5" fillId="0" borderId="4" xfId="20" applyFont="1" applyFill="1" applyBorder="1" applyAlignment="1" applyProtection="1">
      <alignment horizontal="center" wrapText="1"/>
      <protection locked="0"/>
    </xf>
    <xf numFmtId="164" fontId="5" fillId="0" borderId="1" xfId="20" applyFont="1" applyFill="1" applyBorder="1" applyAlignment="1" applyProtection="1">
      <alignment horizontal="center" wrapText="1"/>
      <protection locked="0"/>
    </xf>
    <xf numFmtId="164" fontId="5" fillId="0" borderId="7" xfId="20" applyFont="1" applyFill="1" applyBorder="1" applyAlignment="1" applyProtection="1">
      <alignment horizontal="center" wrapText="1"/>
      <protection locked="0"/>
    </xf>
    <xf numFmtId="164" fontId="5" fillId="0" borderId="0" xfId="20" applyFont="1" applyAlignment="1" applyProtection="1">
      <alignment horizontal="right" wrapText="1"/>
      <protection locked="0"/>
    </xf>
    <xf numFmtId="0" fontId="11" fillId="0" borderId="1" xfId="15" applyFont="1" applyFill="1" applyBorder="1" applyAlignment="1">
      <alignment vertical="top" wrapText="1"/>
    </xf>
    <xf numFmtId="0" fontId="5" fillId="0" borderId="1" xfId="15" applyFont="1" applyFill="1" applyBorder="1" applyAlignment="1">
      <alignment vertical="top" wrapText="1"/>
    </xf>
    <xf numFmtId="0" fontId="4" fillId="0" borderId="0" xfId="0" applyFont="1" applyAlignment="1">
      <alignment vertical="top" wrapText="1"/>
    </xf>
    <xf numFmtId="164" fontId="8" fillId="0" borderId="6" xfId="20" applyFont="1" applyBorder="1" applyAlignment="1" applyProtection="1">
      <alignment horizontal="center" vertical="center" wrapText="1"/>
      <protection locked="0"/>
    </xf>
    <xf numFmtId="164" fontId="8" fillId="0" borderId="9" xfId="20" applyFont="1" applyBorder="1" applyAlignment="1" applyProtection="1">
      <alignment horizontal="center" vertical="center" wrapText="1"/>
      <protection locked="0"/>
    </xf>
    <xf numFmtId="164" fontId="8" fillId="0" borderId="3" xfId="20" applyFont="1" applyBorder="1" applyAlignment="1" applyProtection="1">
      <alignment horizontal="center" wrapText="1"/>
      <protection locked="0"/>
    </xf>
    <xf numFmtId="164" fontId="5" fillId="0" borderId="3" xfId="20" applyFont="1" applyBorder="1" applyAlignment="1" applyProtection="1">
      <alignment horizontal="center" wrapText="1"/>
      <protection locked="0"/>
    </xf>
    <xf numFmtId="164" fontId="5" fillId="0" borderId="3" xfId="20" applyFont="1" applyBorder="1" applyAlignment="1" applyProtection="1">
      <alignment horizontal="center"/>
      <protection locked="0"/>
    </xf>
    <xf numFmtId="164" fontId="5" fillId="0" borderId="13" xfId="20" applyFont="1" applyFill="1" applyBorder="1" applyAlignment="1" applyProtection="1">
      <alignment horizontal="center" wrapText="1"/>
      <protection locked="0"/>
    </xf>
    <xf numFmtId="164" fontId="5" fillId="0" borderId="0" xfId="20" applyFont="1" applyAlignment="1" applyProtection="1">
      <alignment horizontal="center" wrapText="1"/>
      <protection locked="0"/>
    </xf>
    <xf numFmtId="164" fontId="5" fillId="0" borderId="11" xfId="20" applyFont="1" applyFill="1" applyBorder="1" applyAlignment="1" applyProtection="1">
      <alignment horizontal="center" wrapText="1"/>
      <protection locked="0"/>
    </xf>
    <xf numFmtId="0" fontId="5" fillId="0" borderId="1" xfId="19" applyFont="1" applyFill="1" applyBorder="1" applyAlignment="1">
      <alignment horizontal="center" vertical="top" wrapText="1"/>
    </xf>
    <xf numFmtId="0" fontId="5" fillId="0" borderId="2" xfId="17" applyFont="1" applyFill="1" applyBorder="1" applyAlignment="1">
      <alignment horizontal="center" wrapText="1"/>
    </xf>
    <xf numFmtId="164" fontId="5" fillId="0" borderId="1" xfId="20" applyFont="1" applyFill="1" applyBorder="1" applyAlignment="1">
      <alignment horizontal="center" wrapText="1"/>
    </xf>
    <xf numFmtId="0" fontId="4" fillId="0" borderId="1" xfId="0" applyFont="1" applyBorder="1" applyAlignment="1" applyProtection="1">
      <alignment horizontal="center" vertical="top" wrapText="1"/>
      <protection locked="0"/>
    </xf>
    <xf numFmtId="0" fontId="4" fillId="0" borderId="1" xfId="0" applyFont="1" applyBorder="1" applyAlignment="1" applyProtection="1">
      <alignment vertical="top" wrapText="1"/>
      <protection locked="0"/>
    </xf>
    <xf numFmtId="0" fontId="4" fillId="0" borderId="2" xfId="0" applyFont="1" applyBorder="1" applyAlignment="1" applyProtection="1">
      <alignment horizontal="center" vertical="top" wrapText="1"/>
      <protection locked="0"/>
    </xf>
    <xf numFmtId="164" fontId="5" fillId="0" borderId="3" xfId="20" applyFont="1" applyBorder="1" applyAlignment="1" applyProtection="1">
      <alignment horizontal="center" vertical="top" wrapText="1"/>
      <protection locked="0"/>
    </xf>
    <xf numFmtId="164" fontId="5" fillId="0" borderId="1" xfId="20" applyFont="1" applyBorder="1" applyAlignment="1" applyProtection="1">
      <alignment horizontal="right" vertical="top" wrapText="1"/>
      <protection locked="0"/>
    </xf>
    <xf numFmtId="164" fontId="5" fillId="0" borderId="3" xfId="20" applyFont="1" applyFill="1" applyBorder="1" applyAlignment="1" applyProtection="1">
      <alignment horizontal="center" wrapText="1"/>
      <protection locked="0"/>
    </xf>
    <xf numFmtId="164" fontId="5" fillId="0" borderId="1" xfId="20" applyFont="1" applyFill="1" applyBorder="1" applyAlignment="1" applyProtection="1">
      <alignment horizontal="right" wrapText="1"/>
      <protection locked="0"/>
    </xf>
    <xf numFmtId="164" fontId="12" fillId="0" borderId="3" xfId="20" applyFont="1" applyBorder="1" applyAlignment="1" applyProtection="1">
      <alignment horizontal="center" wrapText="1"/>
      <protection locked="0"/>
    </xf>
    <xf numFmtId="164" fontId="18" fillId="0" borderId="1" xfId="20" applyFont="1" applyFill="1" applyBorder="1" applyAlignment="1">
      <alignment horizontal="center" wrapText="1"/>
    </xf>
    <xf numFmtId="0" fontId="23" fillId="0" borderId="1" xfId="19" applyFont="1" applyFill="1" applyBorder="1" applyAlignment="1">
      <alignment horizontal="center" vertical="top" wrapText="1"/>
    </xf>
    <xf numFmtId="0" fontId="23" fillId="0" borderId="1" xfId="15" applyFont="1" applyFill="1" applyBorder="1" applyAlignment="1">
      <alignment vertical="top" wrapText="1"/>
    </xf>
    <xf numFmtId="0" fontId="23" fillId="0" borderId="1" xfId="17" applyFont="1" applyFill="1" applyBorder="1" applyAlignment="1">
      <alignment horizontal="center" wrapText="1"/>
    </xf>
    <xf numFmtId="0" fontId="23" fillId="0" borderId="2" xfId="17" applyFont="1" applyFill="1" applyBorder="1" applyAlignment="1">
      <alignment horizontal="center" wrapText="1"/>
    </xf>
    <xf numFmtId="164" fontId="23" fillId="0" borderId="3" xfId="20" applyFont="1" applyBorder="1" applyAlignment="1" applyProtection="1">
      <alignment horizontal="center" wrapText="1"/>
      <protection locked="0"/>
    </xf>
    <xf numFmtId="164" fontId="23" fillId="0" borderId="1" xfId="20" applyFont="1" applyBorder="1" applyAlignment="1" applyProtection="1">
      <alignment horizontal="right" wrapText="1"/>
      <protection locked="0"/>
    </xf>
    <xf numFmtId="0" fontId="23" fillId="0" borderId="0" xfId="0" applyFont="1" applyAlignment="1">
      <alignment wrapText="1"/>
    </xf>
    <xf numFmtId="0" fontId="23" fillId="0" borderId="1" xfId="0" applyFont="1" applyBorder="1" applyAlignment="1">
      <alignment wrapText="1"/>
    </xf>
    <xf numFmtId="0" fontId="23" fillId="0" borderId="2" xfId="0" applyFont="1" applyBorder="1" applyAlignment="1">
      <alignment wrapText="1"/>
    </xf>
    <xf numFmtId="0" fontId="25" fillId="0" borderId="1" xfId="15" applyFont="1" applyFill="1" applyBorder="1" applyAlignment="1">
      <alignment vertical="top" wrapText="1"/>
    </xf>
    <xf numFmtId="0" fontId="24" fillId="0" borderId="1" xfId="13" applyFont="1" applyFill="1" applyBorder="1" applyAlignment="1">
      <alignment horizontal="center" vertical="center" wrapText="1"/>
    </xf>
    <xf numFmtId="0" fontId="24" fillId="0" borderId="1" xfId="16" applyFont="1" applyFill="1" applyBorder="1" applyAlignment="1">
      <alignment vertical="top" wrapText="1"/>
    </xf>
    <xf numFmtId="0" fontId="26" fillId="0" borderId="1" xfId="15" applyFont="1" applyFill="1" applyBorder="1" applyAlignment="1">
      <alignment vertical="top" wrapText="1"/>
    </xf>
    <xf numFmtId="164" fontId="23" fillId="0" borderId="1" xfId="20" applyFont="1" applyFill="1" applyBorder="1" applyAlignment="1">
      <alignment horizontal="center" wrapText="1"/>
    </xf>
    <xf numFmtId="0" fontId="23" fillId="0" borderId="1" xfId="0" applyFont="1" applyBorder="1" applyAlignment="1">
      <alignment horizontal="center" vertical="top" wrapText="1"/>
    </xf>
    <xf numFmtId="0" fontId="24" fillId="0" borderId="1" xfId="0" applyFont="1" applyBorder="1" applyAlignment="1">
      <alignment wrapText="1"/>
    </xf>
    <xf numFmtId="0" fontId="23" fillId="0" borderId="1" xfId="0" applyFont="1" applyBorder="1" applyAlignment="1">
      <alignment horizontal="center" wrapText="1"/>
    </xf>
    <xf numFmtId="0" fontId="23" fillId="0" borderId="2" xfId="0" applyFont="1" applyBorder="1" applyAlignment="1">
      <alignment horizontal="center" wrapText="1"/>
    </xf>
    <xf numFmtId="0" fontId="23" fillId="0" borderId="1" xfId="5" applyFont="1" applyBorder="1" applyAlignment="1">
      <alignment wrapText="1"/>
    </xf>
    <xf numFmtId="0" fontId="23" fillId="0" borderId="0" xfId="5" applyFont="1" applyAlignment="1">
      <alignment horizontal="left" wrapText="1" indent="2"/>
    </xf>
    <xf numFmtId="49" fontId="23" fillId="0" borderId="1" xfId="5" applyNumberFormat="1" applyFont="1" applyBorder="1" applyAlignment="1">
      <alignment horizontal="center" wrapText="1"/>
    </xf>
    <xf numFmtId="164" fontId="23" fillId="0" borderId="1" xfId="6" applyFont="1" applyFill="1" applyBorder="1" applyAlignment="1" applyProtection="1">
      <alignment horizontal="center" vertical="top" wrapText="1"/>
      <protection locked="0"/>
    </xf>
    <xf numFmtId="0" fontId="25" fillId="0" borderId="0" xfId="5" applyFont="1" applyAlignment="1" applyProtection="1">
      <alignment horizontal="center" vertical="top" wrapText="1"/>
      <protection locked="0"/>
    </xf>
    <xf numFmtId="0" fontId="23" fillId="0" borderId="0" xfId="5" applyFont="1" applyAlignment="1" applyProtection="1">
      <alignment wrapText="1"/>
      <protection locked="0"/>
    </xf>
    <xf numFmtId="164" fontId="12" fillId="0" borderId="1" xfId="20" applyFont="1" applyFill="1" applyBorder="1" applyAlignment="1" applyProtection="1">
      <alignment horizontal="right" wrapText="1"/>
      <protection locked="0"/>
    </xf>
    <xf numFmtId="164" fontId="5" fillId="0" borderId="0" xfId="20" applyFont="1" applyProtection="1">
      <protection locked="0"/>
    </xf>
    <xf numFmtId="0" fontId="5" fillId="0" borderId="4" xfId="5" applyFont="1" applyBorder="1" applyAlignment="1">
      <alignment horizontal="center" vertical="center" wrapText="1"/>
    </xf>
    <xf numFmtId="0" fontId="5" fillId="0" borderId="7" xfId="5" applyFont="1" applyBorder="1" applyAlignment="1">
      <alignment horizontal="center" vertical="center" wrapText="1"/>
    </xf>
    <xf numFmtId="49" fontId="5" fillId="0" borderId="4" xfId="5" applyNumberFormat="1" applyFont="1" applyBorder="1" applyAlignment="1">
      <alignment horizontal="center" vertical="center" wrapText="1"/>
    </xf>
    <xf numFmtId="49" fontId="5" fillId="0" borderId="7" xfId="5" applyNumberFormat="1" applyFont="1" applyBorder="1" applyAlignment="1">
      <alignment horizontal="center" vertical="center" wrapText="1"/>
    </xf>
    <xf numFmtId="164" fontId="5" fillId="0" borderId="4" xfId="6" applyFont="1" applyFill="1" applyBorder="1" applyAlignment="1" applyProtection="1">
      <alignment horizontal="center" vertical="center" wrapText="1"/>
      <protection locked="0"/>
    </xf>
    <xf numFmtId="164" fontId="5" fillId="0" borderId="7" xfId="6" applyFont="1" applyFill="1" applyBorder="1" applyAlignment="1" applyProtection="1">
      <alignment horizontal="center" vertical="center" wrapText="1"/>
      <protection locked="0"/>
    </xf>
    <xf numFmtId="0" fontId="10" fillId="0" borderId="0" xfId="4" applyFont="1" applyAlignment="1">
      <alignment horizontal="center" vertical="top" wrapText="1"/>
    </xf>
    <xf numFmtId="0" fontId="8" fillId="0" borderId="4" xfId="1" applyFont="1" applyBorder="1" applyAlignment="1">
      <alignment horizontal="center" vertical="center" wrapText="1"/>
    </xf>
    <xf numFmtId="0" fontId="8" fillId="0" borderId="7" xfId="1" applyFont="1" applyBorder="1" applyAlignment="1">
      <alignment horizontal="center" vertical="center" wrapText="1"/>
    </xf>
    <xf numFmtId="0" fontId="8" fillId="0" borderId="4" xfId="1" applyFont="1" applyBorder="1" applyAlignment="1">
      <alignment horizontal="center" vertical="center"/>
    </xf>
    <xf numFmtId="0" fontId="8" fillId="0" borderId="7" xfId="1" applyFont="1" applyBorder="1" applyAlignment="1">
      <alignment horizontal="center" vertical="center"/>
    </xf>
    <xf numFmtId="0" fontId="8" fillId="0" borderId="5" xfId="1" applyFont="1" applyBorder="1" applyAlignment="1">
      <alignment horizontal="center" vertical="center" wrapText="1"/>
    </xf>
    <xf numFmtId="0" fontId="8" fillId="0" borderId="8" xfId="1" applyFont="1" applyBorder="1" applyAlignment="1">
      <alignment horizontal="center" vertical="center" wrapText="1"/>
    </xf>
  </cellXfs>
  <cellStyles count="21">
    <cellStyle name="Comma" xfId="20" builtinId="3"/>
    <cellStyle name="Comma 2" xfId="3" xr:uid="{9C1CE4B5-736F-488E-9190-69946E416BEF}"/>
    <cellStyle name="Comma 3" xfId="6" xr:uid="{0964C275-693B-45D9-930D-B0B6CA6D2227}"/>
    <cellStyle name="Comma 3 4 2" xfId="8" xr:uid="{EEE54344-5F7C-4C31-B00E-AFCF8061C0D2}"/>
    <cellStyle name="Comma 4" xfId="2" xr:uid="{9767EF44-2F48-4FFF-8187-AB1A10C1DEDF}"/>
    <cellStyle name="Comma 8" xfId="9" xr:uid="{B5E891AB-A4C0-4CF1-A16A-A2AB7676F69F}"/>
    <cellStyle name="Normal" xfId="0" builtinId="0"/>
    <cellStyle name="Normal 10" xfId="11" xr:uid="{4C5E2F10-25A3-4CD8-AF92-8B72B5701FFD}"/>
    <cellStyle name="Normal 2" xfId="1" xr:uid="{38CC561F-389E-47C8-84CF-FD57F51E001A}"/>
    <cellStyle name="Normal 3" xfId="4" xr:uid="{5DC4DB59-0803-40AF-B6C2-ECA63432D50A}"/>
    <cellStyle name="Normal 3 2 2" xfId="12" xr:uid="{95ED1FB5-89F2-4657-9A54-9CC08F10E0A1}"/>
    <cellStyle name="Normal 3 3" xfId="5" xr:uid="{19CC8511-B21C-49DD-B4C1-F12F3F42A50C}"/>
    <cellStyle name="Normal 4" xfId="10" xr:uid="{097AA3C1-C4A0-4E49-A0DE-48AE16728481}"/>
    <cellStyle name="Normal_INT-CERT 2_1" xfId="7" xr:uid="{D5FEA537-7DB2-42CF-81A4-D8F84C6C27C0}"/>
    <cellStyle name="S10" xfId="19" xr:uid="{3E54056C-0E93-420B-B98A-84B25FC9045C}"/>
    <cellStyle name="S11" xfId="15" xr:uid="{60CD8397-E6DC-4928-A7DF-D3FE894E07EC}"/>
    <cellStyle name="S12" xfId="16" xr:uid="{EFFE06F0-1A6F-4FE5-9F3C-ACDAF554F326}"/>
    <cellStyle name="S13" xfId="18" xr:uid="{A1A56BCE-3BEA-40E5-ACA2-C6FFB02D573F}"/>
    <cellStyle name="S6" xfId="13" xr:uid="{0C165EBF-857B-4D3E-A83C-87ACA73EC9E7}"/>
    <cellStyle name="S7" xfId="14" xr:uid="{1006E85D-DCA0-48FA-914C-A12AB3D04815}"/>
    <cellStyle name="S8" xfId="17" xr:uid="{2111EA60-EDA4-4B0F-9B54-FFB02EBE932F}"/>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4</xdr:col>
      <xdr:colOff>113963</xdr:colOff>
      <xdr:row>15</xdr:row>
      <xdr:rowOff>235324</xdr:rowOff>
    </xdr:from>
    <xdr:to>
      <xdr:col>4</xdr:col>
      <xdr:colOff>493058</xdr:colOff>
      <xdr:row>35</xdr:row>
      <xdr:rowOff>257736</xdr:rowOff>
    </xdr:to>
    <xdr:sp macro="" textlink="">
      <xdr:nvSpPr>
        <xdr:cNvPr id="2" name="Right Brace 1">
          <a:extLst>
            <a:ext uri="{FF2B5EF4-FFF2-40B4-BE49-F238E27FC236}">
              <a16:creationId xmlns:a16="http://schemas.microsoft.com/office/drawing/2014/main" id="{B914F2DD-5062-451C-6D9E-DE0651738396}"/>
            </a:ext>
          </a:extLst>
        </xdr:cNvPr>
        <xdr:cNvSpPr/>
      </xdr:nvSpPr>
      <xdr:spPr>
        <a:xfrm>
          <a:off x="4842845" y="3148853"/>
          <a:ext cx="379095" cy="5177118"/>
        </a:xfrm>
        <a:prstGeom prst="rightBrace">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AE" sz="1100"/>
        </a:p>
      </xdr:txBody>
    </xdr:sp>
    <xdr:clientData/>
  </xdr:twoCellAnchor>
  <xdr:twoCellAnchor>
    <xdr:from>
      <xdr:col>4</xdr:col>
      <xdr:colOff>0</xdr:colOff>
      <xdr:row>43</xdr:row>
      <xdr:rowOff>168087</xdr:rowOff>
    </xdr:from>
    <xdr:to>
      <xdr:col>4</xdr:col>
      <xdr:colOff>504265</xdr:colOff>
      <xdr:row>70</xdr:row>
      <xdr:rowOff>280146</xdr:rowOff>
    </xdr:to>
    <xdr:sp macro="" textlink="">
      <xdr:nvSpPr>
        <xdr:cNvPr id="3" name="Right Brace 2">
          <a:extLst>
            <a:ext uri="{FF2B5EF4-FFF2-40B4-BE49-F238E27FC236}">
              <a16:creationId xmlns:a16="http://schemas.microsoft.com/office/drawing/2014/main" id="{9B2ADE5B-45A9-4C10-B434-25976DEB0EB5}"/>
            </a:ext>
          </a:extLst>
        </xdr:cNvPr>
        <xdr:cNvSpPr/>
      </xdr:nvSpPr>
      <xdr:spPr>
        <a:xfrm>
          <a:off x="4728882" y="10466293"/>
          <a:ext cx="504265" cy="6981265"/>
        </a:xfrm>
        <a:prstGeom prst="rightBrace">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AE" sz="1100"/>
        </a:p>
      </xdr:txBody>
    </xdr:sp>
    <xdr:clientData/>
  </xdr:twoCellAnchor>
  <xdr:twoCellAnchor>
    <xdr:from>
      <xdr:col>4</xdr:col>
      <xdr:colOff>93457</xdr:colOff>
      <xdr:row>80</xdr:row>
      <xdr:rowOff>203612</xdr:rowOff>
    </xdr:from>
    <xdr:to>
      <xdr:col>4</xdr:col>
      <xdr:colOff>605118</xdr:colOff>
      <xdr:row>104</xdr:row>
      <xdr:rowOff>224119</xdr:rowOff>
    </xdr:to>
    <xdr:sp macro="" textlink="">
      <xdr:nvSpPr>
        <xdr:cNvPr id="4" name="Right Brace 3">
          <a:extLst>
            <a:ext uri="{FF2B5EF4-FFF2-40B4-BE49-F238E27FC236}">
              <a16:creationId xmlns:a16="http://schemas.microsoft.com/office/drawing/2014/main" id="{33275A1B-F509-4A16-8263-87C47296D8FD}"/>
            </a:ext>
          </a:extLst>
        </xdr:cNvPr>
        <xdr:cNvSpPr/>
      </xdr:nvSpPr>
      <xdr:spPr>
        <a:xfrm>
          <a:off x="4822339" y="20116465"/>
          <a:ext cx="511661" cy="6206154"/>
        </a:xfrm>
        <a:prstGeom prst="rightBrace">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AE" sz="1100"/>
        </a:p>
      </xdr:txBody>
    </xdr:sp>
    <xdr:clientData/>
  </xdr:twoCellAnchor>
  <xdr:twoCellAnchor>
    <xdr:from>
      <xdr:col>4</xdr:col>
      <xdr:colOff>0</xdr:colOff>
      <xdr:row>117</xdr:row>
      <xdr:rowOff>0</xdr:rowOff>
    </xdr:from>
    <xdr:to>
      <xdr:col>4</xdr:col>
      <xdr:colOff>504265</xdr:colOff>
      <xdr:row>133</xdr:row>
      <xdr:rowOff>134471</xdr:rowOff>
    </xdr:to>
    <xdr:sp macro="" textlink="">
      <xdr:nvSpPr>
        <xdr:cNvPr id="5" name="Right Brace 4">
          <a:extLst>
            <a:ext uri="{FF2B5EF4-FFF2-40B4-BE49-F238E27FC236}">
              <a16:creationId xmlns:a16="http://schemas.microsoft.com/office/drawing/2014/main" id="{A5674916-4C50-448E-937E-5536A18D3DF0}"/>
            </a:ext>
          </a:extLst>
        </xdr:cNvPr>
        <xdr:cNvSpPr/>
      </xdr:nvSpPr>
      <xdr:spPr>
        <a:xfrm>
          <a:off x="4728882" y="29168912"/>
          <a:ext cx="504265" cy="4258235"/>
        </a:xfrm>
        <a:prstGeom prst="rightBrace">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AE" sz="1100"/>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2E0812-0458-4DB3-8754-2173B795A728}">
  <dimension ref="A1:J50"/>
  <sheetViews>
    <sheetView view="pageBreakPreview" topLeftCell="A24" zoomScaleNormal="100" zoomScaleSheetLayoutView="100" workbookViewId="0">
      <selection activeCell="E36" sqref="E36"/>
    </sheetView>
  </sheetViews>
  <sheetFormatPr defaultColWidth="8.7109375" defaultRowHeight="14.45"/>
  <cols>
    <col min="1" max="16384" width="8.7109375" style="2"/>
  </cols>
  <sheetData>
    <row r="1" spans="1:10">
      <c r="A1" s="1"/>
      <c r="B1" s="1"/>
      <c r="C1" s="1"/>
      <c r="D1" s="1"/>
      <c r="E1" s="1"/>
      <c r="F1" s="1"/>
      <c r="G1" s="1"/>
      <c r="H1" s="1"/>
      <c r="I1" s="1"/>
      <c r="J1" s="1"/>
    </row>
    <row r="2" spans="1:10">
      <c r="A2" s="1"/>
      <c r="B2" s="1"/>
      <c r="C2" s="1"/>
      <c r="D2" s="1"/>
      <c r="E2" s="1"/>
      <c r="F2" s="1"/>
      <c r="G2" s="1"/>
      <c r="H2" s="1"/>
      <c r="I2" s="1"/>
      <c r="J2" s="1"/>
    </row>
    <row r="3" spans="1:10">
      <c r="A3" s="1"/>
      <c r="B3" s="1"/>
      <c r="C3" s="1"/>
      <c r="D3" s="1"/>
      <c r="E3" s="1"/>
      <c r="F3" s="1"/>
      <c r="G3" s="1"/>
      <c r="H3" s="1"/>
      <c r="I3" s="1"/>
      <c r="J3" s="1"/>
    </row>
    <row r="4" spans="1:10">
      <c r="A4" s="1"/>
      <c r="B4" s="1"/>
      <c r="C4" s="1"/>
      <c r="D4" s="1"/>
      <c r="E4" s="1"/>
      <c r="F4" s="1"/>
      <c r="G4" s="1"/>
      <c r="H4" s="1"/>
      <c r="I4" s="1"/>
      <c r="J4" s="1"/>
    </row>
    <row r="5" spans="1:10">
      <c r="A5" s="1"/>
      <c r="B5" s="1"/>
      <c r="C5" s="1"/>
      <c r="D5" s="1"/>
      <c r="E5" s="1"/>
      <c r="F5" s="1"/>
      <c r="G5" s="1"/>
      <c r="H5" s="1"/>
      <c r="I5" s="1"/>
      <c r="J5" s="1"/>
    </row>
    <row r="6" spans="1:10">
      <c r="A6" s="1"/>
      <c r="B6" s="1"/>
      <c r="C6" s="1"/>
      <c r="D6" s="1"/>
      <c r="E6" s="1"/>
      <c r="F6" s="1"/>
      <c r="G6" s="1"/>
      <c r="H6" s="1"/>
      <c r="I6" s="1"/>
      <c r="J6" s="1"/>
    </row>
    <row r="7" spans="1:10">
      <c r="A7" s="1"/>
      <c r="B7" s="1"/>
      <c r="C7" s="1"/>
      <c r="D7" s="1"/>
      <c r="E7" s="1"/>
      <c r="F7" s="1"/>
      <c r="G7" s="1"/>
      <c r="H7" s="1"/>
      <c r="I7" s="1"/>
      <c r="J7" s="1"/>
    </row>
    <row r="8" spans="1:10">
      <c r="A8" s="1"/>
      <c r="B8" s="1"/>
      <c r="C8" s="1"/>
      <c r="D8" s="1"/>
      <c r="E8" s="1"/>
      <c r="F8" s="1"/>
      <c r="G8" s="1"/>
      <c r="H8" s="1"/>
      <c r="I8" s="1"/>
      <c r="J8" s="1"/>
    </row>
    <row r="9" spans="1:10">
      <c r="A9" s="1"/>
      <c r="B9" s="1"/>
      <c r="C9" s="1"/>
      <c r="D9" s="1"/>
      <c r="E9" s="1"/>
      <c r="F9" s="1"/>
      <c r="G9" s="1"/>
      <c r="H9" s="1"/>
      <c r="I9" s="1"/>
      <c r="J9" s="1"/>
    </row>
    <row r="10" spans="1:10">
      <c r="A10" s="1"/>
      <c r="B10" s="1"/>
      <c r="C10" s="1"/>
      <c r="D10" s="1"/>
      <c r="E10" s="1"/>
      <c r="F10" s="1"/>
      <c r="G10" s="1"/>
      <c r="H10" s="1"/>
      <c r="I10" s="1"/>
      <c r="J10" s="1"/>
    </row>
    <row r="11" spans="1:10">
      <c r="A11" s="1"/>
      <c r="B11" s="1"/>
      <c r="C11" s="1"/>
      <c r="D11" s="1"/>
      <c r="E11" s="1"/>
      <c r="F11" s="1"/>
      <c r="G11" s="1"/>
      <c r="H11" s="1"/>
      <c r="I11" s="1"/>
      <c r="J11" s="1"/>
    </row>
    <row r="12" spans="1:10">
      <c r="A12" s="1"/>
      <c r="B12" s="1"/>
      <c r="C12" s="1"/>
      <c r="D12" s="1"/>
      <c r="E12" s="1"/>
      <c r="F12" s="1"/>
      <c r="G12" s="1"/>
      <c r="H12" s="1"/>
      <c r="I12" s="1"/>
      <c r="J12" s="1"/>
    </row>
    <row r="13" spans="1:10">
      <c r="A13" s="1"/>
      <c r="B13" s="1"/>
      <c r="C13" s="1"/>
      <c r="D13" s="1"/>
      <c r="E13" s="1"/>
      <c r="F13" s="1"/>
      <c r="G13" s="1"/>
      <c r="H13" s="1"/>
      <c r="I13" s="1"/>
      <c r="J13" s="1"/>
    </row>
    <row r="14" spans="1:10">
      <c r="A14" s="3"/>
      <c r="B14" s="3"/>
      <c r="C14" s="3"/>
      <c r="D14" s="3"/>
      <c r="E14" s="3"/>
      <c r="F14" s="3"/>
      <c r="G14" s="3"/>
      <c r="H14" s="3"/>
      <c r="I14" s="3"/>
      <c r="J14" s="3"/>
    </row>
    <row r="15" spans="1:10">
      <c r="A15" s="3"/>
      <c r="B15" s="3"/>
      <c r="C15" s="3"/>
      <c r="D15" s="3"/>
      <c r="E15" s="3"/>
      <c r="F15" s="3"/>
      <c r="G15" s="3"/>
      <c r="H15" s="3"/>
      <c r="I15" s="3"/>
      <c r="J15" s="3"/>
    </row>
    <row r="16" spans="1:10">
      <c r="A16" s="1"/>
      <c r="B16" s="1"/>
      <c r="C16" s="1"/>
      <c r="D16" s="1"/>
      <c r="E16" s="1"/>
      <c r="F16" s="1"/>
      <c r="G16" s="1"/>
      <c r="H16" s="1"/>
      <c r="I16" s="1"/>
      <c r="J16" s="1"/>
    </row>
    <row r="17" spans="1:10">
      <c r="A17" s="1"/>
      <c r="B17" s="1"/>
      <c r="C17" s="1"/>
      <c r="D17" s="1"/>
      <c r="E17" s="1"/>
      <c r="F17" s="1"/>
      <c r="G17" s="1"/>
      <c r="H17" s="1"/>
      <c r="I17" s="1"/>
      <c r="J17" s="1"/>
    </row>
    <row r="18" spans="1:10">
      <c r="A18" s="1"/>
      <c r="B18" s="1"/>
      <c r="C18" s="1"/>
      <c r="D18" s="1"/>
      <c r="E18" s="1"/>
      <c r="F18" s="1"/>
      <c r="G18" s="1"/>
      <c r="H18" s="1"/>
      <c r="I18" s="1"/>
      <c r="J18" s="1"/>
    </row>
    <row r="19" spans="1:10">
      <c r="A19" s="1"/>
      <c r="B19" s="1"/>
      <c r="C19" s="1"/>
      <c r="D19" s="1"/>
      <c r="E19" s="1"/>
      <c r="F19" s="1"/>
      <c r="G19" s="1"/>
      <c r="H19" s="1"/>
      <c r="I19" s="1"/>
      <c r="J19" s="1"/>
    </row>
    <row r="20" spans="1:10">
      <c r="A20" s="1"/>
      <c r="B20" s="1"/>
      <c r="C20" s="1"/>
      <c r="D20" s="1"/>
      <c r="E20" s="1"/>
      <c r="F20" s="1"/>
      <c r="G20" s="1"/>
      <c r="H20" s="1"/>
      <c r="I20" s="1"/>
      <c r="J20" s="1"/>
    </row>
    <row r="21" spans="1:10">
      <c r="A21" s="1"/>
      <c r="B21" s="1"/>
      <c r="C21" s="1"/>
      <c r="D21" s="1"/>
      <c r="E21" s="1"/>
      <c r="F21" s="1"/>
      <c r="G21" s="1"/>
      <c r="H21" s="1"/>
      <c r="I21" s="1"/>
      <c r="J21" s="1"/>
    </row>
    <row r="22" spans="1:10">
      <c r="A22" s="192" t="s">
        <v>0</v>
      </c>
      <c r="B22" s="192"/>
      <c r="C22" s="192"/>
      <c r="D22" s="192"/>
      <c r="E22" s="192"/>
      <c r="F22" s="192"/>
      <c r="G22" s="192"/>
      <c r="H22" s="192"/>
      <c r="I22" s="192"/>
      <c r="J22" s="192"/>
    </row>
    <row r="23" spans="1:10">
      <c r="A23" s="4"/>
      <c r="B23" s="4"/>
      <c r="C23" s="4"/>
      <c r="D23" s="4"/>
      <c r="E23" s="4"/>
      <c r="F23" s="4"/>
      <c r="G23" s="4"/>
      <c r="H23" s="4"/>
      <c r="I23" s="4"/>
      <c r="J23" s="4"/>
    </row>
    <row r="24" spans="1:10" ht="15" customHeight="1">
      <c r="A24" s="192" t="s">
        <v>1</v>
      </c>
      <c r="B24" s="192"/>
      <c r="C24" s="192"/>
      <c r="D24" s="192"/>
      <c r="E24" s="192"/>
      <c r="F24" s="192"/>
      <c r="G24" s="192"/>
      <c r="H24" s="192"/>
      <c r="I24" s="192"/>
      <c r="J24" s="192"/>
    </row>
    <row r="25" spans="1:10">
      <c r="A25" s="4"/>
      <c r="B25" s="4"/>
      <c r="C25" s="4"/>
      <c r="D25" s="4"/>
      <c r="E25" s="4"/>
      <c r="F25" s="4"/>
      <c r="G25" s="4"/>
      <c r="H25" s="4"/>
      <c r="I25" s="4"/>
      <c r="J25" s="4"/>
    </row>
    <row r="26" spans="1:10">
      <c r="A26" s="4"/>
      <c r="B26" s="4"/>
      <c r="C26" s="4"/>
      <c r="D26" s="4"/>
      <c r="E26" s="4"/>
      <c r="F26" s="4"/>
      <c r="G26" s="4"/>
      <c r="H26" s="4"/>
      <c r="I26" s="4"/>
      <c r="J26" s="4"/>
    </row>
    <row r="27" spans="1:10">
      <c r="A27" s="5"/>
      <c r="B27" s="5"/>
      <c r="C27" s="5"/>
      <c r="D27" s="5"/>
      <c r="E27" s="5"/>
      <c r="F27" s="5"/>
      <c r="G27" s="5"/>
      <c r="H27" s="5"/>
      <c r="I27" s="5"/>
      <c r="J27" s="5"/>
    </row>
    <row r="28" spans="1:10">
      <c r="A28" s="4"/>
      <c r="B28" s="4"/>
      <c r="C28" s="4"/>
      <c r="D28" s="4"/>
      <c r="E28" s="4"/>
      <c r="F28" s="4"/>
      <c r="G28" s="4"/>
      <c r="H28" s="4"/>
      <c r="I28" s="4"/>
      <c r="J28" s="4"/>
    </row>
    <row r="29" spans="1:10">
      <c r="A29" s="4"/>
      <c r="B29" s="4"/>
      <c r="C29" s="4"/>
      <c r="D29" s="4"/>
      <c r="E29" s="4"/>
      <c r="F29" s="4"/>
      <c r="G29" s="4"/>
      <c r="H29" s="4"/>
      <c r="I29" s="4"/>
      <c r="J29" s="4"/>
    </row>
    <row r="30" spans="1:10">
      <c r="A30" s="4"/>
      <c r="B30" s="4"/>
      <c r="C30" s="4"/>
      <c r="D30" s="4"/>
      <c r="E30" s="4"/>
      <c r="F30" s="4"/>
      <c r="G30" s="4"/>
      <c r="H30" s="4"/>
      <c r="I30" s="4"/>
      <c r="J30" s="4"/>
    </row>
    <row r="31" spans="1:10">
      <c r="A31" s="6"/>
      <c r="B31" s="6"/>
      <c r="C31" s="6"/>
      <c r="D31" s="6"/>
      <c r="E31" s="6"/>
      <c r="F31" s="6"/>
      <c r="G31" s="6"/>
      <c r="H31" s="6"/>
      <c r="I31" s="6"/>
      <c r="J31" s="6"/>
    </row>
    <row r="32" spans="1:10">
      <c r="A32" s="6"/>
      <c r="B32" s="6"/>
      <c r="C32" s="6"/>
      <c r="D32" s="6"/>
      <c r="E32" s="6"/>
      <c r="F32" s="6"/>
      <c r="G32" s="6"/>
      <c r="H32" s="6"/>
      <c r="I32" s="6"/>
      <c r="J32" s="6"/>
    </row>
    <row r="33" spans="1:10">
      <c r="A33" s="4"/>
      <c r="B33" s="4"/>
      <c r="C33" s="4"/>
      <c r="D33" s="4"/>
      <c r="E33" s="4"/>
      <c r="F33" s="4"/>
      <c r="G33" s="4"/>
      <c r="H33" s="4"/>
      <c r="I33" s="4"/>
      <c r="J33" s="4"/>
    </row>
    <row r="34" spans="1:10">
      <c r="A34" s="4"/>
      <c r="B34" s="4"/>
      <c r="C34" s="4"/>
      <c r="D34" s="4"/>
      <c r="E34" s="4"/>
      <c r="F34" s="4"/>
      <c r="G34" s="4"/>
      <c r="H34" s="4"/>
      <c r="I34" s="4"/>
      <c r="J34" s="4"/>
    </row>
    <row r="35" spans="1:10">
      <c r="A35" s="4"/>
      <c r="B35" s="4"/>
      <c r="C35" s="4"/>
      <c r="D35" s="4"/>
      <c r="E35" s="4"/>
      <c r="F35" s="4"/>
      <c r="G35" s="4"/>
      <c r="H35" s="4"/>
      <c r="I35" s="4"/>
      <c r="J35" s="4"/>
    </row>
    <row r="36" spans="1:10">
      <c r="A36" s="4"/>
      <c r="B36" s="4"/>
      <c r="C36" s="4"/>
      <c r="D36" s="4"/>
      <c r="E36" s="4"/>
      <c r="F36" s="4"/>
      <c r="G36" s="4"/>
      <c r="H36" s="4"/>
      <c r="I36" s="4"/>
      <c r="J36" s="4"/>
    </row>
    <row r="37" spans="1:10">
      <c r="A37" s="4"/>
      <c r="B37" s="4"/>
      <c r="C37" s="4"/>
      <c r="D37" s="4"/>
      <c r="E37" s="4"/>
      <c r="F37" s="4"/>
      <c r="G37" s="4"/>
      <c r="H37" s="4"/>
      <c r="I37" s="4"/>
      <c r="J37" s="4"/>
    </row>
    <row r="38" spans="1:10">
      <c r="A38" s="4"/>
      <c r="B38" s="4"/>
      <c r="C38" s="4"/>
      <c r="D38" s="4"/>
      <c r="E38" s="4"/>
      <c r="F38" s="4"/>
      <c r="G38" s="4"/>
      <c r="H38" s="4"/>
      <c r="I38" s="4"/>
      <c r="J38" s="4"/>
    </row>
    <row r="39" spans="1:10">
      <c r="A39" s="4"/>
      <c r="B39" s="4"/>
      <c r="C39" s="4"/>
      <c r="D39" s="4"/>
      <c r="E39" s="4"/>
      <c r="F39" s="4"/>
      <c r="G39" s="4"/>
      <c r="H39" s="4"/>
      <c r="I39" s="4"/>
      <c r="J39" s="4"/>
    </row>
    <row r="40" spans="1:10">
      <c r="A40" s="4"/>
      <c r="B40" s="4"/>
      <c r="C40" s="4"/>
      <c r="D40" s="4"/>
      <c r="E40" s="4"/>
      <c r="F40" s="4"/>
      <c r="G40" s="4"/>
      <c r="H40" s="4"/>
      <c r="I40" s="4"/>
      <c r="J40" s="4"/>
    </row>
    <row r="41" spans="1:10">
      <c r="A41" s="4"/>
      <c r="B41" s="4"/>
      <c r="C41" s="4"/>
      <c r="D41" s="4"/>
      <c r="E41" s="4"/>
      <c r="F41" s="4"/>
      <c r="G41" s="4"/>
      <c r="H41" s="4"/>
      <c r="I41" s="4"/>
      <c r="J41" s="4"/>
    </row>
    <row r="42" spans="1:10">
      <c r="A42" s="7"/>
      <c r="B42" s="8"/>
      <c r="C42" s="9"/>
      <c r="D42" s="10"/>
      <c r="E42" s="11"/>
      <c r="F42" s="11"/>
    </row>
    <row r="43" spans="1:10">
      <c r="A43" s="7"/>
      <c r="B43" s="8"/>
      <c r="C43" s="9"/>
      <c r="D43" s="10"/>
      <c r="E43" s="11"/>
      <c r="F43" s="11"/>
    </row>
    <row r="44" spans="1:10">
      <c r="A44" s="7"/>
      <c r="B44" s="8"/>
      <c r="C44" s="9"/>
      <c r="D44" s="10"/>
      <c r="E44" s="11"/>
      <c r="F44" s="11"/>
    </row>
    <row r="45" spans="1:10">
      <c r="A45" s="7"/>
      <c r="B45" s="8"/>
      <c r="C45" s="9"/>
      <c r="D45" s="10"/>
      <c r="E45" s="11"/>
      <c r="F45" s="11"/>
    </row>
    <row r="46" spans="1:10">
      <c r="A46" s="7"/>
      <c r="B46" s="8"/>
      <c r="C46" s="9"/>
      <c r="D46" s="10"/>
      <c r="E46" s="11"/>
      <c r="F46" s="11"/>
    </row>
    <row r="47" spans="1:10">
      <c r="A47" s="7"/>
      <c r="B47" s="8"/>
      <c r="C47" s="9"/>
      <c r="D47" s="10"/>
      <c r="E47" s="11"/>
      <c r="F47" s="11"/>
    </row>
    <row r="48" spans="1:10">
      <c r="A48" s="7"/>
      <c r="B48" s="8"/>
      <c r="C48" s="9"/>
      <c r="D48" s="10"/>
      <c r="E48" s="11"/>
      <c r="F48" s="11"/>
    </row>
    <row r="49" spans="1:6">
      <c r="A49" s="7"/>
      <c r="B49" s="8"/>
      <c r="C49" s="9"/>
      <c r="D49" s="10"/>
      <c r="E49" s="11"/>
      <c r="F49" s="11"/>
    </row>
    <row r="50" spans="1:6">
      <c r="A50" s="7"/>
      <c r="B50" s="8"/>
      <c r="C50" s="9"/>
      <c r="D50" s="10"/>
      <c r="E50" s="11"/>
      <c r="F50" s="11"/>
    </row>
  </sheetData>
  <mergeCells count="2">
    <mergeCell ref="A22:J22"/>
    <mergeCell ref="A24:J24"/>
  </mergeCells>
  <printOptions horizontalCentered="1"/>
  <pageMargins left="0.66929133858267698" right="0.196850393700787" top="0.82677165354330695" bottom="0.47" header="0.196850393700787" footer="0.24"/>
  <pageSetup paperSize="9" orientation="portrait" r:id="rId1"/>
  <headerFooter>
    <oddFooter>&amp;L&amp;8DMS 148704 BOQ - Nakheel Mall Al Khail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A1B4A2-BE26-4C0E-A8E8-E3DB4EBEC6C1}">
  <dimension ref="A1:F2008"/>
  <sheetViews>
    <sheetView view="pageBreakPreview" zoomScale="85" zoomScaleNormal="100" zoomScaleSheetLayoutView="85" zoomScalePageLayoutView="70" workbookViewId="0">
      <selection activeCell="O1936" sqref="O1936"/>
    </sheetView>
  </sheetViews>
  <sheetFormatPr defaultColWidth="9.28515625" defaultRowHeight="13.9"/>
  <cols>
    <col min="1" max="1" width="5.7109375" style="97" customWidth="1"/>
    <col min="2" max="2" width="46" style="122" customWidth="1"/>
    <col min="3" max="3" width="11.5703125" style="99" customWidth="1"/>
    <col min="4" max="4" width="6.7109375" style="100" customWidth="1"/>
    <col min="5" max="5" width="16.85546875" style="146" customWidth="1"/>
    <col min="6" max="6" width="15.7109375" style="136" customWidth="1"/>
    <col min="7" max="16384" width="9.28515625" style="76"/>
  </cols>
  <sheetData>
    <row r="1" spans="1:6" s="101" customFormat="1" ht="14.45">
      <c r="A1" s="193" t="s">
        <v>2</v>
      </c>
      <c r="B1" s="193" t="s">
        <v>3</v>
      </c>
      <c r="C1" s="195" t="s">
        <v>4</v>
      </c>
      <c r="D1" s="197" t="s">
        <v>5</v>
      </c>
      <c r="E1" s="140" t="s">
        <v>6</v>
      </c>
      <c r="F1" s="128" t="s">
        <v>7</v>
      </c>
    </row>
    <row r="2" spans="1:6" s="101" customFormat="1" ht="14.45">
      <c r="A2" s="194"/>
      <c r="B2" s="194"/>
      <c r="C2" s="196"/>
      <c r="D2" s="198"/>
      <c r="E2" s="141" t="s">
        <v>8</v>
      </c>
      <c r="F2" s="129" t="s">
        <v>8</v>
      </c>
    </row>
    <row r="3" spans="1:6" s="101" customFormat="1" ht="6.6" customHeight="1">
      <c r="A3" s="69"/>
      <c r="B3" s="111"/>
      <c r="C3" s="70"/>
      <c r="D3" s="71"/>
      <c r="E3" s="142"/>
      <c r="F3" s="130"/>
    </row>
    <row r="4" spans="1:6">
      <c r="A4" s="102"/>
      <c r="B4" s="112" t="s">
        <v>9</v>
      </c>
      <c r="C4" s="103"/>
      <c r="D4" s="104"/>
      <c r="E4" s="143"/>
      <c r="F4" s="131"/>
    </row>
    <row r="5" spans="1:6" ht="4.9000000000000004" customHeight="1">
      <c r="A5" s="102"/>
      <c r="B5" s="113"/>
      <c r="C5" s="103"/>
      <c r="D5" s="104"/>
      <c r="E5" s="143"/>
      <c r="F5" s="131"/>
    </row>
    <row r="6" spans="1:6">
      <c r="A6" s="102"/>
      <c r="B6" s="77" t="s">
        <v>10</v>
      </c>
      <c r="C6" s="103"/>
      <c r="D6" s="104"/>
      <c r="E6" s="143"/>
      <c r="F6" s="131"/>
    </row>
    <row r="7" spans="1:6" ht="8.4499999999999993" customHeight="1">
      <c r="A7" s="102"/>
      <c r="B7" s="114"/>
      <c r="C7" s="103"/>
      <c r="D7" s="104"/>
      <c r="E7" s="143"/>
      <c r="F7" s="131"/>
    </row>
    <row r="8" spans="1:6">
      <c r="A8" s="79"/>
      <c r="B8" s="115" t="s">
        <v>11</v>
      </c>
      <c r="C8" s="81"/>
      <c r="D8" s="82"/>
      <c r="E8" s="143"/>
      <c r="F8" s="131"/>
    </row>
    <row r="9" spans="1:6" ht="7.15" customHeight="1">
      <c r="A9" s="102"/>
      <c r="B9" s="114"/>
      <c r="C9" s="103"/>
      <c r="D9" s="104"/>
      <c r="E9" s="143"/>
      <c r="F9" s="131"/>
    </row>
    <row r="10" spans="1:6" s="109" customFormat="1">
      <c r="A10" s="106"/>
      <c r="B10" s="116" t="s">
        <v>12</v>
      </c>
      <c r="C10" s="107"/>
      <c r="D10" s="108"/>
      <c r="E10" s="144"/>
      <c r="F10" s="132"/>
    </row>
    <row r="11" spans="1:6" ht="4.9000000000000004" customHeight="1">
      <c r="A11" s="102"/>
      <c r="B11" s="114"/>
      <c r="C11" s="103"/>
      <c r="D11" s="104"/>
      <c r="E11" s="143"/>
      <c r="F11" s="131"/>
    </row>
    <row r="12" spans="1:6" ht="27.6">
      <c r="A12" s="79"/>
      <c r="B12" s="115" t="s">
        <v>13</v>
      </c>
      <c r="C12" s="81"/>
      <c r="D12" s="82"/>
      <c r="E12" s="143"/>
      <c r="F12" s="131"/>
    </row>
    <row r="13" spans="1:6" ht="7.15" customHeight="1">
      <c r="A13" s="102"/>
      <c r="B13" s="114"/>
      <c r="C13" s="103"/>
      <c r="D13" s="104"/>
      <c r="E13" s="143"/>
      <c r="F13" s="131"/>
    </row>
    <row r="14" spans="1:6" ht="69">
      <c r="A14" s="79"/>
      <c r="B14" s="117" t="s">
        <v>14</v>
      </c>
      <c r="C14" s="81"/>
      <c r="D14" s="82"/>
      <c r="E14" s="143"/>
      <c r="F14" s="131"/>
    </row>
    <row r="15" spans="1:6" ht="10.15" customHeight="1">
      <c r="A15" s="102"/>
      <c r="B15" s="114"/>
      <c r="C15" s="103"/>
      <c r="D15" s="104"/>
      <c r="E15" s="143"/>
      <c r="F15" s="131"/>
    </row>
    <row r="16" spans="1:6" ht="27.6">
      <c r="A16" s="79"/>
      <c r="B16" s="117" t="s">
        <v>15</v>
      </c>
      <c r="C16" s="81"/>
      <c r="D16" s="82"/>
      <c r="E16" s="143"/>
      <c r="F16" s="131"/>
    </row>
    <row r="17" spans="1:6" ht="7.15" customHeight="1">
      <c r="A17" s="102"/>
      <c r="B17" s="114"/>
      <c r="C17" s="103"/>
      <c r="D17" s="104"/>
      <c r="E17" s="143"/>
      <c r="F17" s="131"/>
    </row>
    <row r="18" spans="1:6" ht="55.15">
      <c r="A18" s="79" t="s">
        <v>16</v>
      </c>
      <c r="B18" s="80" t="s">
        <v>17</v>
      </c>
      <c r="C18" s="81">
        <v>14</v>
      </c>
      <c r="D18" s="82" t="s">
        <v>18</v>
      </c>
      <c r="E18" s="143">
        <v>358.1</v>
      </c>
      <c r="F18" s="131">
        <f>C18*E18</f>
        <v>5013.4000000000005</v>
      </c>
    </row>
    <row r="19" spans="1:6" ht="9" customHeight="1">
      <c r="A19" s="102"/>
      <c r="B19" s="114"/>
      <c r="C19" s="103"/>
      <c r="D19" s="104"/>
      <c r="E19" s="143"/>
      <c r="F19" s="131"/>
    </row>
    <row r="20" spans="1:6" ht="41.45">
      <c r="A20" s="79" t="s">
        <v>19</v>
      </c>
      <c r="B20" s="80" t="s">
        <v>20</v>
      </c>
      <c r="C20" s="81">
        <v>149</v>
      </c>
      <c r="D20" s="82" t="s">
        <v>18</v>
      </c>
      <c r="E20" s="143">
        <v>414.01</v>
      </c>
      <c r="F20" s="131">
        <f>C20*E20</f>
        <v>61687.49</v>
      </c>
    </row>
    <row r="21" spans="1:6" ht="9" customHeight="1">
      <c r="A21" s="102"/>
      <c r="B21" s="114"/>
      <c r="C21" s="103"/>
      <c r="D21" s="104"/>
      <c r="E21" s="143"/>
      <c r="F21" s="131"/>
    </row>
    <row r="22" spans="1:6">
      <c r="A22" s="79"/>
      <c r="B22" s="117" t="s">
        <v>21</v>
      </c>
      <c r="C22" s="81"/>
      <c r="D22" s="82"/>
      <c r="E22" s="143"/>
      <c r="F22" s="131"/>
    </row>
    <row r="23" spans="1:6">
      <c r="A23" s="102"/>
      <c r="B23" s="114"/>
      <c r="C23" s="103"/>
      <c r="D23" s="104"/>
      <c r="E23" s="143"/>
      <c r="F23" s="131"/>
    </row>
    <row r="24" spans="1:6" ht="27.6">
      <c r="A24" s="79" t="s">
        <v>22</v>
      </c>
      <c r="B24" s="80" t="s">
        <v>23</v>
      </c>
      <c r="C24" s="81" t="s">
        <v>24</v>
      </c>
      <c r="D24" s="82" t="s">
        <v>18</v>
      </c>
      <c r="E24" s="143">
        <v>358.1</v>
      </c>
      <c r="F24" s="131">
        <f>C24*E24</f>
        <v>6803.9000000000005</v>
      </c>
    </row>
    <row r="25" spans="1:6" ht="7.9" customHeight="1">
      <c r="A25" s="102"/>
      <c r="B25" s="114"/>
      <c r="C25" s="103"/>
      <c r="D25" s="104"/>
      <c r="E25" s="143"/>
      <c r="F25" s="131"/>
    </row>
    <row r="26" spans="1:6" ht="27.6">
      <c r="A26" s="79"/>
      <c r="B26" s="117" t="s">
        <v>25</v>
      </c>
      <c r="C26" s="81"/>
      <c r="D26" s="82"/>
      <c r="E26" s="143"/>
      <c r="F26" s="131"/>
    </row>
    <row r="27" spans="1:6" ht="7.15" customHeight="1">
      <c r="A27" s="102"/>
      <c r="B27" s="114"/>
      <c r="C27" s="103"/>
      <c r="D27" s="104"/>
      <c r="E27" s="143"/>
      <c r="F27" s="131"/>
    </row>
    <row r="28" spans="1:6" ht="43.5" customHeight="1">
      <c r="A28" s="79" t="s">
        <v>26</v>
      </c>
      <c r="B28" s="80" t="s">
        <v>27</v>
      </c>
      <c r="C28" s="81" t="s">
        <v>28</v>
      </c>
      <c r="D28" s="82" t="s">
        <v>18</v>
      </c>
      <c r="E28" s="143">
        <v>358.1</v>
      </c>
      <c r="F28" s="131">
        <f>C28*E28</f>
        <v>13249.7</v>
      </c>
    </row>
    <row r="29" spans="1:6" ht="7.15" customHeight="1">
      <c r="A29" s="102"/>
      <c r="B29" s="114"/>
      <c r="C29" s="103"/>
      <c r="D29" s="104"/>
      <c r="E29" s="143"/>
      <c r="F29" s="131"/>
    </row>
    <row r="30" spans="1:6" ht="27.6">
      <c r="A30" s="79" t="s">
        <v>29</v>
      </c>
      <c r="B30" s="80" t="s">
        <v>30</v>
      </c>
      <c r="C30" s="81" t="s">
        <v>31</v>
      </c>
      <c r="D30" s="82" t="s">
        <v>32</v>
      </c>
      <c r="E30" s="143">
        <v>1603.45</v>
      </c>
      <c r="F30" s="131">
        <f>C30*E30</f>
        <v>1603.45</v>
      </c>
    </row>
    <row r="31" spans="1:6" ht="7.15" customHeight="1">
      <c r="A31" s="102"/>
      <c r="B31" s="114"/>
      <c r="C31" s="103"/>
      <c r="D31" s="104"/>
      <c r="E31" s="143"/>
      <c r="F31" s="131"/>
    </row>
    <row r="32" spans="1:6" ht="27.6">
      <c r="A32" s="79" t="s">
        <v>33</v>
      </c>
      <c r="B32" s="80" t="s">
        <v>34</v>
      </c>
      <c r="C32" s="81">
        <v>222</v>
      </c>
      <c r="D32" s="82" t="s">
        <v>18</v>
      </c>
      <c r="E32" s="143">
        <v>414.01</v>
      </c>
      <c r="F32" s="131">
        <f>C32*E32</f>
        <v>91910.22</v>
      </c>
    </row>
    <row r="33" spans="1:6">
      <c r="A33" s="105"/>
      <c r="B33" s="112"/>
      <c r="C33" s="105"/>
      <c r="D33" s="110"/>
      <c r="E33" s="143"/>
      <c r="F33" s="131"/>
    </row>
    <row r="34" spans="1:6">
      <c r="A34" s="85"/>
      <c r="B34" s="86"/>
      <c r="C34" s="87"/>
      <c r="D34" s="88"/>
      <c r="E34" s="145"/>
      <c r="F34" s="133"/>
    </row>
    <row r="35" spans="1:6">
      <c r="A35" s="89"/>
      <c r="B35" s="90"/>
      <c r="C35" s="91" t="s">
        <v>35</v>
      </c>
      <c r="D35" s="91"/>
      <c r="E35" s="146" t="s">
        <v>8</v>
      </c>
      <c r="F35" s="134">
        <f>SUM(F17:F33)</f>
        <v>180268.15999999997</v>
      </c>
    </row>
    <row r="36" spans="1:6">
      <c r="A36" s="89"/>
      <c r="B36" s="90"/>
      <c r="C36" s="92"/>
      <c r="D36" s="93"/>
      <c r="E36" s="147"/>
      <c r="F36" s="135"/>
    </row>
    <row r="37" spans="1:6" ht="7.9" customHeight="1">
      <c r="A37" s="105"/>
      <c r="B37" s="112"/>
      <c r="C37" s="105"/>
      <c r="D37" s="110"/>
      <c r="E37" s="143"/>
      <c r="F37" s="131"/>
    </row>
    <row r="38" spans="1:6" ht="27.6">
      <c r="A38" s="102"/>
      <c r="B38" s="77" t="s">
        <v>36</v>
      </c>
      <c r="C38" s="103"/>
      <c r="D38" s="104"/>
      <c r="E38" s="143"/>
      <c r="F38" s="131"/>
    </row>
    <row r="39" spans="1:6" ht="8.4499999999999993" customHeight="1">
      <c r="A39" s="102"/>
      <c r="B39" s="114"/>
      <c r="C39" s="103"/>
      <c r="D39" s="104"/>
      <c r="E39" s="143"/>
      <c r="F39" s="131"/>
    </row>
    <row r="40" spans="1:6" ht="27.6">
      <c r="A40" s="79"/>
      <c r="B40" s="117" t="s">
        <v>37</v>
      </c>
      <c r="C40" s="81"/>
      <c r="D40" s="82"/>
      <c r="E40" s="143"/>
      <c r="F40" s="131"/>
    </row>
    <row r="41" spans="1:6" ht="7.15" customHeight="1">
      <c r="A41" s="102"/>
      <c r="B41" s="114"/>
      <c r="C41" s="103"/>
      <c r="D41" s="104"/>
      <c r="E41" s="143"/>
      <c r="F41" s="131"/>
    </row>
    <row r="42" spans="1:6" ht="55.15">
      <c r="A42" s="79" t="s">
        <v>16</v>
      </c>
      <c r="B42" s="80" t="s">
        <v>17</v>
      </c>
      <c r="C42" s="81">
        <v>39</v>
      </c>
      <c r="D42" s="82" t="s">
        <v>18</v>
      </c>
      <c r="E42" s="143">
        <v>358.1</v>
      </c>
      <c r="F42" s="131">
        <f>C42*E42</f>
        <v>13965.900000000001</v>
      </c>
    </row>
    <row r="43" spans="1:6" ht="7.9" customHeight="1">
      <c r="A43" s="102"/>
      <c r="B43" s="114"/>
      <c r="C43" s="103"/>
      <c r="D43" s="104"/>
      <c r="E43" s="143"/>
      <c r="F43" s="131"/>
    </row>
    <row r="44" spans="1:6" ht="27.6">
      <c r="A44" s="79" t="s">
        <v>19</v>
      </c>
      <c r="B44" s="80" t="s">
        <v>34</v>
      </c>
      <c r="C44" s="81">
        <v>324</v>
      </c>
      <c r="D44" s="82" t="s">
        <v>18</v>
      </c>
      <c r="E44" s="143">
        <v>414.01</v>
      </c>
      <c r="F44" s="131">
        <f>C44*E44</f>
        <v>134139.24</v>
      </c>
    </row>
    <row r="45" spans="1:6" ht="7.15" customHeight="1">
      <c r="A45" s="102"/>
      <c r="B45" s="114"/>
      <c r="C45" s="103"/>
      <c r="D45" s="104"/>
      <c r="E45" s="143"/>
      <c r="F45" s="131"/>
    </row>
    <row r="46" spans="1:6" ht="27.6">
      <c r="A46" s="79"/>
      <c r="B46" s="117" t="s">
        <v>38</v>
      </c>
      <c r="C46" s="81"/>
      <c r="D46" s="82"/>
      <c r="E46" s="143"/>
      <c r="F46" s="131"/>
    </row>
    <row r="47" spans="1:6" ht="7.15" customHeight="1">
      <c r="A47" s="102"/>
      <c r="B47" s="114"/>
      <c r="C47" s="103"/>
      <c r="D47" s="104"/>
      <c r="E47" s="143"/>
      <c r="F47" s="131"/>
    </row>
    <row r="48" spans="1:6" ht="27.6">
      <c r="A48" s="79" t="s">
        <v>22</v>
      </c>
      <c r="B48" s="80" t="s">
        <v>34</v>
      </c>
      <c r="C48" s="81" t="s">
        <v>39</v>
      </c>
      <c r="D48" s="82" t="s">
        <v>18</v>
      </c>
      <c r="E48" s="143">
        <v>414.01</v>
      </c>
      <c r="F48" s="131">
        <f>C48*E48</f>
        <v>53821.299999999996</v>
      </c>
    </row>
    <row r="49" spans="1:6" ht="7.9" customHeight="1">
      <c r="A49" s="102"/>
      <c r="B49" s="114"/>
      <c r="C49" s="103"/>
      <c r="D49" s="104"/>
      <c r="E49" s="143"/>
      <c r="F49" s="131"/>
    </row>
    <row r="50" spans="1:6">
      <c r="A50" s="79"/>
      <c r="B50" s="117" t="s">
        <v>40</v>
      </c>
      <c r="C50" s="81"/>
      <c r="D50" s="82"/>
      <c r="E50" s="143"/>
      <c r="F50" s="131"/>
    </row>
    <row r="51" spans="1:6" ht="7.9" customHeight="1">
      <c r="A51" s="102"/>
      <c r="B51" s="114"/>
      <c r="C51" s="103"/>
      <c r="D51" s="104"/>
      <c r="E51" s="143"/>
      <c r="F51" s="131"/>
    </row>
    <row r="52" spans="1:6" ht="55.15">
      <c r="A52" s="79" t="s">
        <v>26</v>
      </c>
      <c r="B52" s="80" t="s">
        <v>17</v>
      </c>
      <c r="C52" s="81">
        <v>27</v>
      </c>
      <c r="D52" s="82" t="s">
        <v>18</v>
      </c>
      <c r="E52" s="143">
        <v>358.1</v>
      </c>
      <c r="F52" s="131">
        <f>C52*E52</f>
        <v>9668.7000000000007</v>
      </c>
    </row>
    <row r="53" spans="1:6" ht="7.15" customHeight="1">
      <c r="A53" s="102"/>
      <c r="B53" s="114"/>
      <c r="C53" s="103"/>
      <c r="D53" s="104"/>
      <c r="E53" s="143"/>
      <c r="F53" s="131"/>
    </row>
    <row r="54" spans="1:6" ht="27.6">
      <c r="A54" s="79" t="s">
        <v>29</v>
      </c>
      <c r="B54" s="80" t="s">
        <v>41</v>
      </c>
      <c r="C54" s="81">
        <v>165</v>
      </c>
      <c r="D54" s="82" t="s">
        <v>18</v>
      </c>
      <c r="E54" s="143">
        <v>414.01</v>
      </c>
      <c r="F54" s="131">
        <f>C54*E54</f>
        <v>68311.649999999994</v>
      </c>
    </row>
    <row r="55" spans="1:6" ht="7.9" customHeight="1">
      <c r="A55" s="102"/>
      <c r="B55" s="114"/>
      <c r="C55" s="103"/>
      <c r="D55" s="104"/>
      <c r="E55" s="143"/>
      <c r="F55" s="131"/>
    </row>
    <row r="56" spans="1:6" ht="27.6">
      <c r="A56" s="79"/>
      <c r="B56" s="117" t="s">
        <v>42</v>
      </c>
      <c r="C56" s="81"/>
      <c r="D56" s="82"/>
      <c r="E56" s="143"/>
      <c r="F56" s="131"/>
    </row>
    <row r="57" spans="1:6" ht="5.45" customHeight="1">
      <c r="A57" s="102"/>
      <c r="B57" s="114"/>
      <c r="C57" s="103"/>
      <c r="D57" s="104"/>
      <c r="E57" s="143"/>
      <c r="F57" s="131"/>
    </row>
    <row r="58" spans="1:6" ht="27.6">
      <c r="A58" s="79" t="s">
        <v>33</v>
      </c>
      <c r="B58" s="80" t="s">
        <v>43</v>
      </c>
      <c r="C58" s="81" t="s">
        <v>31</v>
      </c>
      <c r="D58" s="82" t="s">
        <v>44</v>
      </c>
      <c r="E58" s="156">
        <v>120975.38</v>
      </c>
      <c r="F58" s="157">
        <f>C58*E58</f>
        <v>120975.38</v>
      </c>
    </row>
    <row r="59" spans="1:6" ht="5.45" customHeight="1">
      <c r="A59" s="102"/>
      <c r="B59" s="114"/>
      <c r="C59" s="103"/>
      <c r="D59" s="104"/>
      <c r="E59" s="143"/>
      <c r="F59" s="131"/>
    </row>
    <row r="60" spans="1:6" ht="27.6">
      <c r="A60" s="79" t="s">
        <v>45</v>
      </c>
      <c r="B60" s="80" t="s">
        <v>46</v>
      </c>
      <c r="C60" s="81" t="s">
        <v>47</v>
      </c>
      <c r="D60" s="82" t="s">
        <v>18</v>
      </c>
      <c r="E60" s="143">
        <v>276.77</v>
      </c>
      <c r="F60" s="131">
        <f>C60*E60</f>
        <v>89396.709999999992</v>
      </c>
    </row>
    <row r="61" spans="1:6">
      <c r="A61" s="102"/>
      <c r="B61" s="114"/>
      <c r="C61" s="103"/>
      <c r="D61" s="104"/>
      <c r="E61" s="143"/>
      <c r="F61" s="131"/>
    </row>
    <row r="62" spans="1:6" ht="27.6">
      <c r="A62" s="79"/>
      <c r="B62" s="117" t="s">
        <v>48</v>
      </c>
      <c r="C62" s="81"/>
      <c r="D62" s="82"/>
      <c r="E62" s="143"/>
      <c r="F62" s="131"/>
    </row>
    <row r="63" spans="1:6" ht="7.15" customHeight="1">
      <c r="A63" s="102"/>
      <c r="B63" s="114"/>
      <c r="C63" s="103"/>
      <c r="D63" s="104"/>
      <c r="E63" s="143"/>
      <c r="F63" s="131"/>
    </row>
    <row r="64" spans="1:6" ht="27.6">
      <c r="A64" s="79" t="s">
        <v>49</v>
      </c>
      <c r="B64" s="80" t="s">
        <v>50</v>
      </c>
      <c r="C64" s="81">
        <v>20</v>
      </c>
      <c r="D64" s="82" t="s">
        <v>18</v>
      </c>
      <c r="E64" s="143">
        <v>358.1</v>
      </c>
      <c r="F64" s="131">
        <f>C64*E64</f>
        <v>7162</v>
      </c>
    </row>
    <row r="65" spans="1:6" ht="7.9" customHeight="1">
      <c r="A65" s="105"/>
      <c r="B65" s="112"/>
      <c r="C65" s="105"/>
      <c r="D65" s="110"/>
      <c r="E65" s="143"/>
      <c r="F65" s="131"/>
    </row>
    <row r="66" spans="1:6" ht="7.15" customHeight="1">
      <c r="A66" s="85"/>
      <c r="B66" s="86"/>
      <c r="C66" s="87"/>
      <c r="D66" s="88"/>
      <c r="E66" s="145"/>
      <c r="F66" s="133"/>
    </row>
    <row r="67" spans="1:6">
      <c r="A67" s="89"/>
      <c r="B67" s="90"/>
      <c r="C67" s="91" t="s">
        <v>35</v>
      </c>
      <c r="D67" s="91"/>
      <c r="E67" s="146" t="s">
        <v>8</v>
      </c>
      <c r="F67" s="134">
        <f>SUM(F40:F64)</f>
        <v>497440.88</v>
      </c>
    </row>
    <row r="68" spans="1:6" ht="8.4499999999999993" customHeight="1">
      <c r="A68" s="89"/>
      <c r="B68" s="90"/>
      <c r="C68" s="92"/>
      <c r="D68" s="93"/>
      <c r="E68" s="147"/>
      <c r="F68" s="135"/>
    </row>
    <row r="69" spans="1:6">
      <c r="A69" s="105"/>
      <c r="B69" s="112"/>
      <c r="C69" s="105"/>
      <c r="D69" s="110"/>
      <c r="E69" s="143"/>
      <c r="F69" s="131"/>
    </row>
    <row r="70" spans="1:6" ht="27.6">
      <c r="A70" s="102"/>
      <c r="B70" s="77" t="s">
        <v>36</v>
      </c>
      <c r="C70" s="103"/>
      <c r="D70" s="104"/>
      <c r="E70" s="143"/>
      <c r="F70" s="131"/>
    </row>
    <row r="71" spans="1:6">
      <c r="A71" s="102"/>
      <c r="B71" s="118"/>
      <c r="C71" s="103"/>
      <c r="D71" s="104"/>
      <c r="E71" s="143"/>
      <c r="F71" s="131"/>
    </row>
    <row r="72" spans="1:6" ht="27.6">
      <c r="A72" s="79" t="s">
        <v>16</v>
      </c>
      <c r="B72" s="80" t="s">
        <v>51</v>
      </c>
      <c r="C72" s="81">
        <v>62</v>
      </c>
      <c r="D72" s="82" t="s">
        <v>18</v>
      </c>
      <c r="E72" s="143">
        <v>358.1</v>
      </c>
      <c r="F72" s="131">
        <f>C72*E72</f>
        <v>22202.2</v>
      </c>
    </row>
    <row r="73" spans="1:6">
      <c r="A73" s="102"/>
      <c r="B73" s="114"/>
      <c r="C73" s="103"/>
      <c r="D73" s="104"/>
      <c r="E73" s="143"/>
      <c r="F73" s="131"/>
    </row>
    <row r="74" spans="1:6">
      <c r="A74" s="79"/>
      <c r="B74" s="117" t="s">
        <v>52</v>
      </c>
      <c r="C74" s="81"/>
      <c r="D74" s="82"/>
      <c r="E74" s="143"/>
      <c r="F74" s="131"/>
    </row>
    <row r="75" spans="1:6">
      <c r="A75" s="102"/>
      <c r="B75" s="114"/>
      <c r="C75" s="103"/>
      <c r="D75" s="104"/>
      <c r="E75" s="143"/>
      <c r="F75" s="131"/>
    </row>
    <row r="76" spans="1:6" ht="27.6">
      <c r="A76" s="79" t="s">
        <v>19</v>
      </c>
      <c r="B76" s="80" t="s">
        <v>53</v>
      </c>
      <c r="C76" s="81" t="s">
        <v>54</v>
      </c>
      <c r="D76" s="82" t="s">
        <v>44</v>
      </c>
      <c r="E76" s="143">
        <v>3057.21</v>
      </c>
      <c r="F76" s="131">
        <f>C76*E76</f>
        <v>9171.630000000001</v>
      </c>
    </row>
    <row r="77" spans="1:6">
      <c r="A77" s="102"/>
      <c r="B77" s="114"/>
      <c r="C77" s="103"/>
      <c r="D77" s="104"/>
      <c r="E77" s="143"/>
      <c r="F77" s="131"/>
    </row>
    <row r="78" spans="1:6" ht="27.6">
      <c r="A78" s="79" t="s">
        <v>22</v>
      </c>
      <c r="B78" s="80" t="s">
        <v>55</v>
      </c>
      <c r="C78" s="81" t="s">
        <v>31</v>
      </c>
      <c r="D78" s="82" t="s">
        <v>44</v>
      </c>
      <c r="E78" s="143">
        <v>3962</v>
      </c>
      <c r="F78" s="131">
        <f>C78*E78</f>
        <v>3962</v>
      </c>
    </row>
    <row r="79" spans="1:6">
      <c r="A79" s="102"/>
      <c r="B79" s="114"/>
      <c r="C79" s="103"/>
      <c r="D79" s="104"/>
      <c r="E79" s="143"/>
      <c r="F79" s="131"/>
    </row>
    <row r="80" spans="1:6" ht="27.6">
      <c r="A80" s="79" t="s">
        <v>26</v>
      </c>
      <c r="B80" s="80" t="s">
        <v>56</v>
      </c>
      <c r="C80" s="81" t="s">
        <v>54</v>
      </c>
      <c r="D80" s="82" t="s">
        <v>44</v>
      </c>
      <c r="E80" s="143">
        <v>3962</v>
      </c>
      <c r="F80" s="131">
        <f>C80*E80</f>
        <v>11886</v>
      </c>
    </row>
    <row r="81" spans="1:6">
      <c r="A81" s="102"/>
      <c r="B81" s="114"/>
      <c r="C81" s="103"/>
      <c r="D81" s="104"/>
      <c r="E81" s="143"/>
      <c r="F81" s="131"/>
    </row>
    <row r="82" spans="1:6" ht="27.6">
      <c r="A82" s="79" t="s">
        <v>29</v>
      </c>
      <c r="B82" s="80" t="s">
        <v>57</v>
      </c>
      <c r="C82" s="81" t="s">
        <v>31</v>
      </c>
      <c r="D82" s="82" t="s">
        <v>44</v>
      </c>
      <c r="E82" s="143">
        <v>3260.54</v>
      </c>
      <c r="F82" s="131">
        <f>C82*E82</f>
        <v>3260.54</v>
      </c>
    </row>
    <row r="83" spans="1:6">
      <c r="A83" s="102"/>
      <c r="B83" s="114"/>
      <c r="C83" s="103"/>
      <c r="D83" s="104"/>
      <c r="E83" s="143"/>
      <c r="F83" s="131"/>
    </row>
    <row r="84" spans="1:6" ht="27.6">
      <c r="A84" s="79" t="s">
        <v>33</v>
      </c>
      <c r="B84" s="80" t="s">
        <v>58</v>
      </c>
      <c r="C84" s="81" t="s">
        <v>54</v>
      </c>
      <c r="D84" s="82" t="s">
        <v>44</v>
      </c>
      <c r="E84" s="143">
        <v>3463.86</v>
      </c>
      <c r="F84" s="131">
        <f>C84*E84</f>
        <v>10391.58</v>
      </c>
    </row>
    <row r="85" spans="1:6">
      <c r="A85" s="102"/>
      <c r="B85" s="114"/>
      <c r="C85" s="103"/>
      <c r="D85" s="104"/>
      <c r="E85" s="143"/>
      <c r="F85" s="131"/>
    </row>
    <row r="86" spans="1:6" ht="27.6">
      <c r="A86" s="79" t="s">
        <v>45</v>
      </c>
      <c r="B86" s="80" t="s">
        <v>59</v>
      </c>
      <c r="C86" s="81" t="s">
        <v>31</v>
      </c>
      <c r="D86" s="82" t="s">
        <v>44</v>
      </c>
      <c r="E86" s="143">
        <v>3057.21</v>
      </c>
      <c r="F86" s="131">
        <f>C86*E86</f>
        <v>3057.21</v>
      </c>
    </row>
    <row r="87" spans="1:6">
      <c r="A87" s="102"/>
      <c r="B87" s="114"/>
      <c r="C87" s="103"/>
      <c r="D87" s="104"/>
      <c r="E87" s="143"/>
      <c r="F87" s="131"/>
    </row>
    <row r="88" spans="1:6" ht="27.6">
      <c r="A88" s="79" t="s">
        <v>49</v>
      </c>
      <c r="B88" s="80" t="s">
        <v>60</v>
      </c>
      <c r="C88" s="81" t="s">
        <v>54</v>
      </c>
      <c r="D88" s="82" t="s">
        <v>44</v>
      </c>
      <c r="E88" s="143">
        <v>3158.87</v>
      </c>
      <c r="F88" s="131">
        <f>C88*E88</f>
        <v>9476.61</v>
      </c>
    </row>
    <row r="89" spans="1:6">
      <c r="A89" s="102"/>
      <c r="B89" s="114"/>
      <c r="C89" s="103"/>
      <c r="D89" s="104"/>
      <c r="E89" s="143"/>
      <c r="F89" s="131"/>
    </row>
    <row r="90" spans="1:6" ht="27.6">
      <c r="A90" s="79" t="s">
        <v>61</v>
      </c>
      <c r="B90" s="80" t="s">
        <v>62</v>
      </c>
      <c r="C90" s="81" t="s">
        <v>31</v>
      </c>
      <c r="D90" s="82" t="s">
        <v>44</v>
      </c>
      <c r="E90" s="143">
        <v>3718.01</v>
      </c>
      <c r="F90" s="131">
        <f>C90*E90</f>
        <v>3718.01</v>
      </c>
    </row>
    <row r="91" spans="1:6">
      <c r="A91" s="102"/>
      <c r="B91" s="114"/>
      <c r="C91" s="103"/>
      <c r="D91" s="104"/>
      <c r="E91" s="143"/>
      <c r="F91" s="131"/>
    </row>
    <row r="92" spans="1:6" ht="27.6">
      <c r="A92" s="79" t="s">
        <v>63</v>
      </c>
      <c r="B92" s="80" t="s">
        <v>64</v>
      </c>
      <c r="C92" s="81" t="s">
        <v>65</v>
      </c>
      <c r="D92" s="82" t="s">
        <v>18</v>
      </c>
      <c r="E92" s="143">
        <v>414.01</v>
      </c>
      <c r="F92" s="131">
        <f>C92*E92</f>
        <v>1158813.99</v>
      </c>
    </row>
    <row r="93" spans="1:6">
      <c r="A93" s="102"/>
      <c r="B93" s="114"/>
      <c r="C93" s="103"/>
      <c r="D93" s="104"/>
      <c r="E93" s="143"/>
      <c r="F93" s="131"/>
    </row>
    <row r="94" spans="1:6" ht="27.6">
      <c r="A94" s="79" t="s">
        <v>66</v>
      </c>
      <c r="B94" s="80" t="s">
        <v>67</v>
      </c>
      <c r="C94" s="81" t="s">
        <v>68</v>
      </c>
      <c r="D94" s="82" t="s">
        <v>18</v>
      </c>
      <c r="E94" s="143">
        <v>256.44</v>
      </c>
      <c r="F94" s="131">
        <f>C94*E94</f>
        <v>339783</v>
      </c>
    </row>
    <row r="95" spans="1:6">
      <c r="A95" s="102"/>
      <c r="B95" s="114"/>
      <c r="C95" s="103"/>
      <c r="D95" s="104"/>
      <c r="E95" s="143"/>
      <c r="F95" s="131"/>
    </row>
    <row r="96" spans="1:6" ht="27.6">
      <c r="A96" s="79"/>
      <c r="B96" s="117" t="s">
        <v>69</v>
      </c>
      <c r="C96" s="81"/>
      <c r="D96" s="82"/>
      <c r="E96" s="143"/>
      <c r="F96" s="131"/>
    </row>
    <row r="97" spans="1:6">
      <c r="A97" s="102"/>
      <c r="B97" s="114"/>
      <c r="C97" s="103"/>
      <c r="D97" s="104"/>
      <c r="E97" s="143"/>
      <c r="F97" s="131"/>
    </row>
    <row r="98" spans="1:6" ht="41.45">
      <c r="A98" s="79" t="s">
        <v>70</v>
      </c>
      <c r="B98" s="80" t="s">
        <v>71</v>
      </c>
      <c r="C98" s="81" t="s">
        <v>72</v>
      </c>
      <c r="D98" s="82" t="s">
        <v>18</v>
      </c>
      <c r="E98" s="143">
        <v>414.01</v>
      </c>
      <c r="F98" s="131">
        <f>C98*E98</f>
        <v>258756.25</v>
      </c>
    </row>
    <row r="99" spans="1:6">
      <c r="A99" s="105"/>
      <c r="B99" s="112"/>
      <c r="C99" s="105"/>
      <c r="D99" s="110"/>
      <c r="E99" s="143"/>
      <c r="F99" s="131"/>
    </row>
    <row r="100" spans="1:6">
      <c r="A100" s="105"/>
      <c r="B100" s="112"/>
      <c r="C100" s="105"/>
      <c r="D100" s="110"/>
      <c r="E100" s="143"/>
      <c r="F100" s="131"/>
    </row>
    <row r="101" spans="1:6">
      <c r="A101" s="85"/>
      <c r="B101" s="86"/>
      <c r="C101" s="87"/>
      <c r="D101" s="88"/>
      <c r="E101" s="145"/>
      <c r="F101" s="133"/>
    </row>
    <row r="102" spans="1:6">
      <c r="A102" s="89"/>
      <c r="B102" s="90"/>
      <c r="C102" s="91" t="s">
        <v>35</v>
      </c>
      <c r="D102" s="91"/>
      <c r="E102" s="146" t="s">
        <v>8</v>
      </c>
      <c r="F102" s="134">
        <f>SUM(F70:F98)</f>
        <v>1834479.02</v>
      </c>
    </row>
    <row r="103" spans="1:6">
      <c r="A103" s="89"/>
      <c r="B103" s="90"/>
      <c r="C103" s="92"/>
      <c r="D103" s="93"/>
      <c r="E103" s="147"/>
      <c r="F103" s="135"/>
    </row>
    <row r="104" spans="1:6">
      <c r="A104" s="105"/>
      <c r="B104" s="112"/>
      <c r="C104" s="105"/>
      <c r="D104" s="110"/>
      <c r="E104" s="143"/>
      <c r="F104" s="131"/>
    </row>
    <row r="105" spans="1:6" ht="27.6">
      <c r="A105" s="102"/>
      <c r="B105" s="77" t="s">
        <v>36</v>
      </c>
      <c r="C105" s="103"/>
      <c r="D105" s="104"/>
      <c r="E105" s="143"/>
      <c r="F105" s="131"/>
    </row>
    <row r="106" spans="1:6">
      <c r="A106" s="102"/>
      <c r="B106" s="114"/>
      <c r="C106" s="103"/>
      <c r="D106" s="104"/>
      <c r="E106" s="143"/>
      <c r="F106" s="131"/>
    </row>
    <row r="107" spans="1:6" ht="27.6">
      <c r="A107" s="79"/>
      <c r="B107" s="117" t="s">
        <v>73</v>
      </c>
      <c r="C107" s="81"/>
      <c r="D107" s="82"/>
      <c r="E107" s="143"/>
      <c r="F107" s="131"/>
    </row>
    <row r="108" spans="1:6">
      <c r="A108" s="102"/>
      <c r="B108" s="114"/>
      <c r="C108" s="103"/>
      <c r="D108" s="104"/>
      <c r="E108" s="143"/>
      <c r="F108" s="131"/>
    </row>
    <row r="109" spans="1:6" ht="27.6">
      <c r="A109" s="79" t="s">
        <v>16</v>
      </c>
      <c r="B109" s="80" t="s">
        <v>74</v>
      </c>
      <c r="C109" s="81" t="s">
        <v>75</v>
      </c>
      <c r="D109" s="82" t="s">
        <v>18</v>
      </c>
      <c r="E109" s="143">
        <v>414.01</v>
      </c>
      <c r="F109" s="131">
        <f>C109*E109</f>
        <v>897987.69</v>
      </c>
    </row>
    <row r="110" spans="1:6">
      <c r="A110" s="102"/>
      <c r="B110" s="114"/>
      <c r="C110" s="103"/>
      <c r="D110" s="104"/>
      <c r="E110" s="143"/>
      <c r="F110" s="131"/>
    </row>
    <row r="111" spans="1:6" ht="27.6">
      <c r="A111" s="79" t="s">
        <v>19</v>
      </c>
      <c r="B111" s="80" t="s">
        <v>76</v>
      </c>
      <c r="C111" s="81" t="s">
        <v>77</v>
      </c>
      <c r="D111" s="82" t="s">
        <v>18</v>
      </c>
      <c r="E111" s="143">
        <v>414.01</v>
      </c>
      <c r="F111" s="131">
        <f>C111*E111</f>
        <v>22770.55</v>
      </c>
    </row>
    <row r="112" spans="1:6">
      <c r="A112" s="102"/>
      <c r="B112" s="114"/>
      <c r="C112" s="103"/>
      <c r="D112" s="104"/>
      <c r="E112" s="143"/>
      <c r="F112" s="131"/>
    </row>
    <row r="113" spans="1:6" ht="27.6">
      <c r="A113" s="79"/>
      <c r="B113" s="117" t="s">
        <v>78</v>
      </c>
      <c r="C113" s="81"/>
      <c r="D113" s="82"/>
      <c r="E113" s="143"/>
      <c r="F113" s="131"/>
    </row>
    <row r="114" spans="1:6">
      <c r="A114" s="102"/>
      <c r="B114" s="114"/>
      <c r="C114" s="103"/>
      <c r="D114" s="104"/>
      <c r="E114" s="143"/>
      <c r="F114" s="131"/>
    </row>
    <row r="115" spans="1:6" ht="27.6">
      <c r="A115" s="79" t="s">
        <v>22</v>
      </c>
      <c r="B115" s="80" t="s">
        <v>79</v>
      </c>
      <c r="C115" s="81" t="s">
        <v>80</v>
      </c>
      <c r="D115" s="82" t="s">
        <v>44</v>
      </c>
      <c r="E115" s="143">
        <v>3260.54</v>
      </c>
      <c r="F115" s="131">
        <f>C115*E115</f>
        <v>26084.32</v>
      </c>
    </row>
    <row r="116" spans="1:6">
      <c r="A116" s="102"/>
      <c r="B116" s="114"/>
      <c r="C116" s="103"/>
      <c r="D116" s="104"/>
      <c r="E116" s="143"/>
      <c r="F116" s="131"/>
    </row>
    <row r="117" spans="1:6" ht="27.6">
      <c r="A117" s="79" t="s">
        <v>26</v>
      </c>
      <c r="B117" s="80" t="s">
        <v>81</v>
      </c>
      <c r="C117" s="81" t="s">
        <v>80</v>
      </c>
      <c r="D117" s="82" t="s">
        <v>44</v>
      </c>
      <c r="E117" s="143">
        <v>3362.2</v>
      </c>
      <c r="F117" s="131">
        <f>C117*E117</f>
        <v>26897.599999999999</v>
      </c>
    </row>
    <row r="118" spans="1:6">
      <c r="A118" s="102"/>
      <c r="B118" s="114"/>
      <c r="C118" s="103"/>
      <c r="D118" s="104"/>
      <c r="E118" s="143"/>
      <c r="F118" s="131"/>
    </row>
    <row r="119" spans="1:6" ht="27.6">
      <c r="A119" s="79" t="s">
        <v>29</v>
      </c>
      <c r="B119" s="80" t="s">
        <v>82</v>
      </c>
      <c r="C119" s="81" t="s">
        <v>83</v>
      </c>
      <c r="D119" s="82" t="s">
        <v>18</v>
      </c>
      <c r="E119" s="143">
        <v>500.42</v>
      </c>
      <c r="F119" s="131">
        <f>C119*E119</f>
        <v>514431.76</v>
      </c>
    </row>
    <row r="120" spans="1:6">
      <c r="A120" s="102"/>
      <c r="B120" s="114"/>
      <c r="C120" s="103"/>
      <c r="D120" s="104"/>
      <c r="E120" s="143"/>
      <c r="F120" s="131"/>
    </row>
    <row r="121" spans="1:6">
      <c r="A121" s="79"/>
      <c r="B121" s="117" t="s">
        <v>84</v>
      </c>
      <c r="C121" s="81"/>
      <c r="D121" s="82"/>
      <c r="E121" s="143"/>
      <c r="F121" s="131"/>
    </row>
    <row r="122" spans="1:6">
      <c r="A122" s="102"/>
      <c r="B122" s="114"/>
      <c r="C122" s="103"/>
      <c r="D122" s="104"/>
      <c r="E122" s="143"/>
      <c r="F122" s="131"/>
    </row>
    <row r="123" spans="1:6" ht="55.15">
      <c r="A123" s="79" t="s">
        <v>33</v>
      </c>
      <c r="B123" s="80" t="s">
        <v>85</v>
      </c>
      <c r="C123" s="81">
        <v>17</v>
      </c>
      <c r="D123" s="82" t="s">
        <v>18</v>
      </c>
      <c r="E123" s="143">
        <v>358.1</v>
      </c>
      <c r="F123" s="131">
        <f>C123*E123</f>
        <v>6087.7000000000007</v>
      </c>
    </row>
    <row r="124" spans="1:6">
      <c r="A124" s="102"/>
      <c r="B124" s="114"/>
      <c r="C124" s="103"/>
      <c r="D124" s="104"/>
      <c r="E124" s="143"/>
      <c r="F124" s="131"/>
    </row>
    <row r="125" spans="1:6" ht="27.6">
      <c r="A125" s="79" t="s">
        <v>45</v>
      </c>
      <c r="B125" s="80" t="s">
        <v>86</v>
      </c>
      <c r="C125" s="81">
        <v>254</v>
      </c>
      <c r="D125" s="82" t="s">
        <v>18</v>
      </c>
      <c r="E125" s="143">
        <v>414.01</v>
      </c>
      <c r="F125" s="131">
        <f>C125*E125</f>
        <v>105158.54</v>
      </c>
    </row>
    <row r="126" spans="1:6">
      <c r="A126" s="102"/>
      <c r="B126" s="114"/>
      <c r="C126" s="103"/>
      <c r="D126" s="104"/>
      <c r="E126" s="143"/>
      <c r="F126" s="131"/>
    </row>
    <row r="127" spans="1:6" ht="27.6">
      <c r="A127" s="79"/>
      <c r="B127" s="117" t="s">
        <v>87</v>
      </c>
      <c r="C127" s="81"/>
      <c r="D127" s="82"/>
      <c r="E127" s="143"/>
      <c r="F127" s="131"/>
    </row>
    <row r="128" spans="1:6">
      <c r="A128" s="102"/>
      <c r="B128" s="114"/>
      <c r="C128" s="103"/>
      <c r="D128" s="104"/>
      <c r="E128" s="143"/>
      <c r="F128" s="131"/>
    </row>
    <row r="129" spans="1:6" ht="27.6">
      <c r="A129" s="79" t="s">
        <v>49</v>
      </c>
      <c r="B129" s="80" t="s">
        <v>88</v>
      </c>
      <c r="C129" s="81" t="s">
        <v>31</v>
      </c>
      <c r="D129" s="82" t="s">
        <v>18</v>
      </c>
      <c r="E129" s="143">
        <v>1613.62</v>
      </c>
      <c r="F129" s="131">
        <f>C129*E129</f>
        <v>1613.62</v>
      </c>
    </row>
    <row r="130" spans="1:6">
      <c r="A130" s="105"/>
      <c r="B130" s="112"/>
      <c r="C130" s="105"/>
      <c r="D130" s="110"/>
      <c r="E130" s="143"/>
      <c r="F130" s="131"/>
    </row>
    <row r="131" spans="1:6">
      <c r="A131" s="105"/>
      <c r="B131" s="112"/>
      <c r="C131" s="105"/>
      <c r="D131" s="110"/>
      <c r="E131" s="143"/>
      <c r="F131" s="131"/>
    </row>
    <row r="132" spans="1:6">
      <c r="A132" s="105"/>
      <c r="B132" s="112"/>
      <c r="C132" s="105"/>
      <c r="D132" s="110"/>
      <c r="E132" s="143"/>
      <c r="F132" s="131"/>
    </row>
    <row r="133" spans="1:6">
      <c r="A133" s="105"/>
      <c r="B133" s="112"/>
      <c r="C133" s="105"/>
      <c r="D133" s="110"/>
      <c r="E133" s="143"/>
      <c r="F133" s="131"/>
    </row>
    <row r="134" spans="1:6">
      <c r="A134" s="105"/>
      <c r="B134" s="112"/>
      <c r="C134" s="105"/>
      <c r="D134" s="110"/>
      <c r="E134" s="143"/>
      <c r="F134" s="131"/>
    </row>
    <row r="135" spans="1:6">
      <c r="A135" s="105"/>
      <c r="B135" s="112"/>
      <c r="C135" s="105"/>
      <c r="D135" s="110"/>
      <c r="E135" s="143"/>
      <c r="F135" s="131"/>
    </row>
    <row r="136" spans="1:6">
      <c r="A136" s="105"/>
      <c r="B136" s="112"/>
      <c r="C136" s="105"/>
      <c r="D136" s="110"/>
      <c r="E136" s="143"/>
      <c r="F136" s="131"/>
    </row>
    <row r="137" spans="1:6">
      <c r="A137" s="85"/>
      <c r="B137" s="86"/>
      <c r="C137" s="87"/>
      <c r="D137" s="88"/>
      <c r="E137" s="145"/>
      <c r="F137" s="133"/>
    </row>
    <row r="138" spans="1:6">
      <c r="A138" s="89"/>
      <c r="B138" s="90"/>
      <c r="C138" s="91" t="s">
        <v>35</v>
      </c>
      <c r="D138" s="91"/>
      <c r="E138" s="146" t="s">
        <v>8</v>
      </c>
      <c r="F138" s="134">
        <f>SUM(F107:F134)</f>
        <v>1601031.78</v>
      </c>
    </row>
    <row r="139" spans="1:6">
      <c r="A139" s="89"/>
      <c r="B139" s="90"/>
      <c r="C139" s="92"/>
      <c r="D139" s="93"/>
      <c r="E139" s="147"/>
      <c r="F139" s="135"/>
    </row>
    <row r="140" spans="1:6">
      <c r="A140" s="105"/>
      <c r="B140" s="112"/>
      <c r="C140" s="105"/>
      <c r="D140" s="110"/>
      <c r="E140" s="143"/>
      <c r="F140" s="131"/>
    </row>
    <row r="141" spans="1:6" ht="27.6">
      <c r="A141" s="102"/>
      <c r="B141" s="77" t="s">
        <v>36</v>
      </c>
      <c r="C141" s="103"/>
      <c r="D141" s="104"/>
      <c r="E141" s="143"/>
      <c r="F141" s="131"/>
    </row>
    <row r="142" spans="1:6">
      <c r="A142" s="102"/>
      <c r="B142" s="114"/>
      <c r="C142" s="103"/>
      <c r="D142" s="104"/>
      <c r="E142" s="143"/>
      <c r="F142" s="131"/>
    </row>
    <row r="143" spans="1:6" ht="27.6">
      <c r="A143" s="79"/>
      <c r="B143" s="117" t="s">
        <v>89</v>
      </c>
      <c r="C143" s="81"/>
      <c r="D143" s="82"/>
      <c r="E143" s="143"/>
      <c r="F143" s="131"/>
    </row>
    <row r="144" spans="1:6">
      <c r="A144" s="102"/>
      <c r="B144" s="114"/>
      <c r="C144" s="103"/>
      <c r="D144" s="104"/>
      <c r="E144" s="143"/>
      <c r="F144" s="131"/>
    </row>
    <row r="145" spans="1:6" ht="27.6">
      <c r="A145" s="79" t="s">
        <v>16</v>
      </c>
      <c r="B145" s="80" t="s">
        <v>67</v>
      </c>
      <c r="C145" s="81" t="s">
        <v>90</v>
      </c>
      <c r="D145" s="82" t="s">
        <v>18</v>
      </c>
      <c r="E145" s="143">
        <v>256.44</v>
      </c>
      <c r="F145" s="131">
        <f>C145*E145</f>
        <v>240284.28</v>
      </c>
    </row>
    <row r="146" spans="1:6">
      <c r="A146" s="102"/>
      <c r="B146" s="114"/>
      <c r="C146" s="103"/>
      <c r="D146" s="104"/>
      <c r="E146" s="143"/>
      <c r="F146" s="131"/>
    </row>
    <row r="147" spans="1:6" ht="27.6">
      <c r="A147" s="79"/>
      <c r="B147" s="117" t="s">
        <v>91</v>
      </c>
      <c r="C147" s="81"/>
      <c r="D147" s="82"/>
      <c r="E147" s="143"/>
      <c r="F147" s="131"/>
    </row>
    <row r="148" spans="1:6">
      <c r="A148" s="102"/>
      <c r="B148" s="114"/>
      <c r="C148" s="103"/>
      <c r="D148" s="104"/>
      <c r="E148" s="143"/>
      <c r="F148" s="131"/>
    </row>
    <row r="149" spans="1:6" ht="27.6">
      <c r="A149" s="79" t="s">
        <v>19</v>
      </c>
      <c r="B149" s="80" t="s">
        <v>92</v>
      </c>
      <c r="C149" s="81">
        <v>244</v>
      </c>
      <c r="D149" s="82" t="s">
        <v>18</v>
      </c>
      <c r="E149" s="143">
        <v>358.1</v>
      </c>
      <c r="F149" s="131">
        <f>C149*E149</f>
        <v>87376.400000000009</v>
      </c>
    </row>
    <row r="150" spans="1:6">
      <c r="A150" s="102"/>
      <c r="B150" s="114"/>
      <c r="C150" s="103"/>
      <c r="D150" s="104"/>
      <c r="E150" s="143"/>
      <c r="F150" s="131"/>
    </row>
    <row r="151" spans="1:6" ht="27.6">
      <c r="A151" s="79"/>
      <c r="B151" s="117" t="s">
        <v>93</v>
      </c>
      <c r="C151" s="81"/>
      <c r="D151" s="82"/>
      <c r="E151" s="143"/>
      <c r="F151" s="131"/>
    </row>
    <row r="152" spans="1:6">
      <c r="A152" s="102"/>
      <c r="B152" s="114"/>
      <c r="C152" s="103"/>
      <c r="D152" s="104"/>
      <c r="E152" s="143"/>
      <c r="F152" s="131"/>
    </row>
    <row r="153" spans="1:6" ht="27.6">
      <c r="A153" s="79" t="s">
        <v>22</v>
      </c>
      <c r="B153" s="80" t="s">
        <v>94</v>
      </c>
      <c r="C153" s="81" t="s">
        <v>31</v>
      </c>
      <c r="D153" s="82" t="s">
        <v>44</v>
      </c>
      <c r="E153" s="143">
        <v>3260.54</v>
      </c>
      <c r="F153" s="131">
        <f>C153*E153</f>
        <v>3260.54</v>
      </c>
    </row>
    <row r="154" spans="1:6">
      <c r="A154" s="102"/>
      <c r="B154" s="114"/>
      <c r="C154" s="103"/>
      <c r="D154" s="104"/>
      <c r="E154" s="143"/>
      <c r="F154" s="131"/>
    </row>
    <row r="155" spans="1:6" ht="27.6">
      <c r="A155" s="79" t="s">
        <v>26</v>
      </c>
      <c r="B155" s="80" t="s">
        <v>95</v>
      </c>
      <c r="C155" s="81" t="s">
        <v>31</v>
      </c>
      <c r="D155" s="82" t="s">
        <v>44</v>
      </c>
      <c r="E155" s="143">
        <v>3260.54</v>
      </c>
      <c r="F155" s="131">
        <f>C155*E155</f>
        <v>3260.54</v>
      </c>
    </row>
    <row r="156" spans="1:6">
      <c r="A156" s="102"/>
      <c r="B156" s="114"/>
      <c r="C156" s="103"/>
      <c r="D156" s="104"/>
      <c r="E156" s="143"/>
      <c r="F156" s="131"/>
    </row>
    <row r="157" spans="1:6" ht="27.6">
      <c r="A157" s="79" t="s">
        <v>29</v>
      </c>
      <c r="B157" s="80" t="s">
        <v>96</v>
      </c>
      <c r="C157" s="81" t="s">
        <v>31</v>
      </c>
      <c r="D157" s="82" t="s">
        <v>44</v>
      </c>
      <c r="E157" s="143">
        <v>3057.21</v>
      </c>
      <c r="F157" s="131">
        <f>C157*E157</f>
        <v>3057.21</v>
      </c>
    </row>
    <row r="158" spans="1:6">
      <c r="A158" s="102"/>
      <c r="B158" s="114"/>
      <c r="C158" s="103"/>
      <c r="D158" s="104"/>
      <c r="E158" s="143"/>
      <c r="F158" s="131"/>
    </row>
    <row r="159" spans="1:6" ht="27.6">
      <c r="A159" s="79" t="s">
        <v>33</v>
      </c>
      <c r="B159" s="80" t="s">
        <v>97</v>
      </c>
      <c r="C159" s="81" t="s">
        <v>31</v>
      </c>
      <c r="D159" s="82" t="s">
        <v>44</v>
      </c>
      <c r="E159" s="143">
        <v>1837.27</v>
      </c>
      <c r="F159" s="131">
        <f>C159*E159</f>
        <v>1837.27</v>
      </c>
    </row>
    <row r="160" spans="1:6">
      <c r="A160" s="102"/>
      <c r="B160" s="114"/>
      <c r="C160" s="103"/>
      <c r="D160" s="104"/>
      <c r="E160" s="143"/>
      <c r="F160" s="131"/>
    </row>
    <row r="161" spans="1:6" ht="27.6">
      <c r="A161" s="79" t="s">
        <v>45</v>
      </c>
      <c r="B161" s="80" t="s">
        <v>98</v>
      </c>
      <c r="C161" s="81" t="s">
        <v>99</v>
      </c>
      <c r="D161" s="82" t="s">
        <v>18</v>
      </c>
      <c r="E161" s="143">
        <v>434.34</v>
      </c>
      <c r="F161" s="131">
        <f>C161*E161</f>
        <v>173736</v>
      </c>
    </row>
    <row r="162" spans="1:6">
      <c r="A162" s="102"/>
      <c r="B162" s="114"/>
      <c r="C162" s="103"/>
      <c r="D162" s="104"/>
      <c r="E162" s="143"/>
      <c r="F162" s="131"/>
    </row>
    <row r="163" spans="1:6" ht="27.6">
      <c r="A163" s="79" t="s">
        <v>49</v>
      </c>
      <c r="B163" s="80" t="s">
        <v>100</v>
      </c>
      <c r="C163" s="81">
        <v>1655</v>
      </c>
      <c r="D163" s="82" t="s">
        <v>18</v>
      </c>
      <c r="E163" s="143">
        <v>358.1</v>
      </c>
      <c r="F163" s="131">
        <f>C163*E163</f>
        <v>592655.5</v>
      </c>
    </row>
    <row r="164" spans="1:6">
      <c r="A164" s="105"/>
      <c r="B164" s="112"/>
      <c r="C164" s="105"/>
      <c r="D164" s="110"/>
      <c r="E164" s="143"/>
      <c r="F164" s="131"/>
    </row>
    <row r="165" spans="1:6">
      <c r="A165" s="105"/>
      <c r="B165" s="112"/>
      <c r="C165" s="105"/>
      <c r="D165" s="110"/>
      <c r="E165" s="143"/>
      <c r="F165" s="131"/>
    </row>
    <row r="166" spans="1:6">
      <c r="A166" s="105"/>
      <c r="B166" s="112"/>
      <c r="C166" s="105"/>
      <c r="D166" s="110"/>
      <c r="E166" s="143"/>
      <c r="F166" s="131"/>
    </row>
    <row r="167" spans="1:6">
      <c r="A167" s="105"/>
      <c r="B167" s="112"/>
      <c r="C167" s="105"/>
      <c r="D167" s="110"/>
      <c r="E167" s="143"/>
      <c r="F167" s="131"/>
    </row>
    <row r="168" spans="1:6">
      <c r="A168" s="105"/>
      <c r="B168" s="112"/>
      <c r="C168" s="105"/>
      <c r="D168" s="110"/>
      <c r="E168" s="143"/>
      <c r="F168" s="131"/>
    </row>
    <row r="169" spans="1:6">
      <c r="A169" s="105"/>
      <c r="B169" s="112"/>
      <c r="C169" s="105"/>
      <c r="D169" s="110"/>
      <c r="E169" s="143"/>
      <c r="F169" s="131"/>
    </row>
    <row r="170" spans="1:6">
      <c r="A170" s="85"/>
      <c r="B170" s="86"/>
      <c r="C170" s="87"/>
      <c r="D170" s="88"/>
      <c r="E170" s="145"/>
      <c r="F170" s="133"/>
    </row>
    <row r="171" spans="1:6">
      <c r="A171" s="89"/>
      <c r="B171" s="90"/>
      <c r="C171" s="91" t="s">
        <v>35</v>
      </c>
      <c r="D171" s="91"/>
      <c r="E171" s="146" t="s">
        <v>8</v>
      </c>
      <c r="F171" s="134">
        <f>SUM(F143:F165)</f>
        <v>1105467.74</v>
      </c>
    </row>
    <row r="172" spans="1:6">
      <c r="A172" s="89"/>
      <c r="B172" s="90"/>
      <c r="C172" s="92"/>
      <c r="D172" s="93"/>
      <c r="E172" s="147"/>
      <c r="F172" s="135"/>
    </row>
    <row r="173" spans="1:6">
      <c r="A173" s="105"/>
      <c r="B173" s="112"/>
      <c r="C173" s="105"/>
      <c r="D173" s="110"/>
      <c r="E173" s="143"/>
      <c r="F173" s="131"/>
    </row>
    <row r="174" spans="1:6" ht="27.6">
      <c r="A174" s="102"/>
      <c r="B174" s="77" t="s">
        <v>36</v>
      </c>
      <c r="C174" s="103"/>
      <c r="D174" s="104"/>
      <c r="E174" s="143"/>
      <c r="F174" s="131"/>
    </row>
    <row r="175" spans="1:6">
      <c r="A175" s="102"/>
      <c r="B175" s="114"/>
      <c r="C175" s="103"/>
      <c r="D175" s="104"/>
      <c r="E175" s="143"/>
      <c r="F175" s="131"/>
    </row>
    <row r="176" spans="1:6" ht="27.6">
      <c r="A176" s="79"/>
      <c r="B176" s="117" t="s">
        <v>101</v>
      </c>
      <c r="C176" s="81"/>
      <c r="D176" s="82"/>
      <c r="E176" s="143"/>
      <c r="F176" s="131"/>
    </row>
    <row r="177" spans="1:6">
      <c r="A177" s="102"/>
      <c r="B177" s="114"/>
      <c r="C177" s="103"/>
      <c r="D177" s="104"/>
      <c r="E177" s="143"/>
      <c r="F177" s="131"/>
    </row>
    <row r="178" spans="1:6" ht="41.45">
      <c r="A178" s="79" t="s">
        <v>16</v>
      </c>
      <c r="B178" s="80" t="s">
        <v>102</v>
      </c>
      <c r="C178" s="81">
        <v>409</v>
      </c>
      <c r="D178" s="82" t="s">
        <v>103</v>
      </c>
      <c r="E178" s="143">
        <v>302.18</v>
      </c>
      <c r="F178" s="131">
        <f>C178*E178</f>
        <v>123591.62000000001</v>
      </c>
    </row>
    <row r="179" spans="1:6">
      <c r="A179" s="102"/>
      <c r="B179" s="114"/>
      <c r="C179" s="103"/>
      <c r="D179" s="104"/>
      <c r="E179" s="143"/>
      <c r="F179" s="131"/>
    </row>
    <row r="180" spans="1:6" ht="27.6">
      <c r="A180" s="79"/>
      <c r="B180" s="117" t="s">
        <v>104</v>
      </c>
      <c r="C180" s="81"/>
      <c r="D180" s="82"/>
      <c r="E180" s="143"/>
      <c r="F180" s="131"/>
    </row>
    <row r="181" spans="1:6">
      <c r="A181" s="102"/>
      <c r="B181" s="114"/>
      <c r="C181" s="103"/>
      <c r="D181" s="104"/>
      <c r="E181" s="143"/>
      <c r="F181" s="131"/>
    </row>
    <row r="182" spans="1:6" ht="55.15">
      <c r="A182" s="79" t="s">
        <v>19</v>
      </c>
      <c r="B182" s="80" t="s">
        <v>105</v>
      </c>
      <c r="C182" s="81" t="s">
        <v>106</v>
      </c>
      <c r="D182" s="82" t="s">
        <v>18</v>
      </c>
      <c r="E182" s="143">
        <v>480.09</v>
      </c>
      <c r="F182" s="131">
        <f>C182*E182</f>
        <v>13442.519999999999</v>
      </c>
    </row>
    <row r="183" spans="1:6">
      <c r="A183" s="102"/>
      <c r="B183" s="114"/>
      <c r="C183" s="103"/>
      <c r="D183" s="104"/>
      <c r="E183" s="143"/>
      <c r="F183" s="131"/>
    </row>
    <row r="184" spans="1:6" ht="27.6">
      <c r="A184" s="79" t="s">
        <v>22</v>
      </c>
      <c r="B184" s="80" t="s">
        <v>107</v>
      </c>
      <c r="C184" s="81" t="s">
        <v>108</v>
      </c>
      <c r="D184" s="82" t="s">
        <v>18</v>
      </c>
      <c r="E184" s="143">
        <v>358.1</v>
      </c>
      <c r="F184" s="131">
        <f>C184*E184</f>
        <v>8236.3000000000011</v>
      </c>
    </row>
    <row r="185" spans="1:6">
      <c r="A185" s="102"/>
      <c r="B185" s="114"/>
      <c r="C185" s="103"/>
      <c r="D185" s="104"/>
      <c r="E185" s="143"/>
      <c r="F185" s="131"/>
    </row>
    <row r="186" spans="1:6" ht="27.6">
      <c r="A186" s="79"/>
      <c r="B186" s="117" t="s">
        <v>109</v>
      </c>
      <c r="C186" s="81"/>
      <c r="D186" s="82"/>
      <c r="E186" s="143"/>
      <c r="F186" s="131"/>
    </row>
    <row r="187" spans="1:6">
      <c r="A187" s="102"/>
      <c r="B187" s="114"/>
      <c r="C187" s="103"/>
      <c r="D187" s="104"/>
      <c r="E187" s="143"/>
      <c r="F187" s="131"/>
    </row>
    <row r="188" spans="1:6" ht="27.6">
      <c r="A188" s="79" t="s">
        <v>26</v>
      </c>
      <c r="B188" s="80" t="s">
        <v>110</v>
      </c>
      <c r="C188" s="81" t="s">
        <v>111</v>
      </c>
      <c r="D188" s="82" t="s">
        <v>18</v>
      </c>
      <c r="E188" s="143">
        <v>256.44</v>
      </c>
      <c r="F188" s="131">
        <f>C188*E188</f>
        <v>599043.83999999997</v>
      </c>
    </row>
    <row r="189" spans="1:6">
      <c r="A189" s="102"/>
      <c r="B189" s="114"/>
      <c r="C189" s="103"/>
      <c r="D189" s="104"/>
      <c r="E189" s="143"/>
      <c r="F189" s="131"/>
    </row>
    <row r="190" spans="1:6" ht="27.6">
      <c r="A190" s="79"/>
      <c r="B190" s="117" t="s">
        <v>112</v>
      </c>
      <c r="C190" s="81"/>
      <c r="D190" s="82"/>
      <c r="E190" s="143"/>
      <c r="F190" s="131"/>
    </row>
    <row r="191" spans="1:6">
      <c r="A191" s="102"/>
      <c r="B191" s="114"/>
      <c r="C191" s="103"/>
      <c r="D191" s="104"/>
      <c r="E191" s="143"/>
      <c r="F191" s="131"/>
    </row>
    <row r="192" spans="1:6" ht="27.6">
      <c r="A192" s="79" t="s">
        <v>29</v>
      </c>
      <c r="B192" s="80" t="s">
        <v>113</v>
      </c>
      <c r="C192" s="81" t="s">
        <v>114</v>
      </c>
      <c r="D192" s="82" t="s">
        <v>18</v>
      </c>
      <c r="E192" s="143">
        <v>414.01</v>
      </c>
      <c r="F192" s="131">
        <f>C192*E192</f>
        <v>141591.41999999998</v>
      </c>
    </row>
    <row r="193" spans="1:6">
      <c r="A193" s="102"/>
      <c r="B193" s="114"/>
      <c r="C193" s="103"/>
      <c r="D193" s="104"/>
      <c r="E193" s="143"/>
      <c r="F193" s="131"/>
    </row>
    <row r="194" spans="1:6" ht="27.6">
      <c r="A194" s="79"/>
      <c r="B194" s="117" t="s">
        <v>115</v>
      </c>
      <c r="C194" s="81"/>
      <c r="D194" s="82"/>
      <c r="E194" s="143"/>
      <c r="F194" s="131"/>
    </row>
    <row r="195" spans="1:6">
      <c r="A195" s="102"/>
      <c r="B195" s="114"/>
      <c r="C195" s="103"/>
      <c r="D195" s="104"/>
      <c r="E195" s="143"/>
      <c r="F195" s="131"/>
    </row>
    <row r="196" spans="1:6" ht="27.6">
      <c r="A196" s="79" t="s">
        <v>33</v>
      </c>
      <c r="B196" s="80" t="s">
        <v>116</v>
      </c>
      <c r="C196" s="81" t="s">
        <v>117</v>
      </c>
      <c r="D196" s="82" t="s">
        <v>18</v>
      </c>
      <c r="E196" s="143">
        <v>256.44</v>
      </c>
      <c r="F196" s="131">
        <f>C196*E196</f>
        <v>20002.32</v>
      </c>
    </row>
    <row r="197" spans="1:6">
      <c r="A197" s="102"/>
      <c r="B197" s="114"/>
      <c r="C197" s="103"/>
      <c r="D197" s="104"/>
      <c r="E197" s="143"/>
      <c r="F197" s="131"/>
    </row>
    <row r="198" spans="1:6" ht="27.6">
      <c r="A198" s="79"/>
      <c r="B198" s="117" t="s">
        <v>118</v>
      </c>
      <c r="C198" s="81"/>
      <c r="D198" s="82"/>
      <c r="E198" s="143"/>
      <c r="F198" s="131"/>
    </row>
    <row r="199" spans="1:6">
      <c r="A199" s="105"/>
      <c r="B199" s="112"/>
      <c r="C199" s="105"/>
      <c r="D199" s="110"/>
      <c r="E199" s="143"/>
      <c r="F199" s="131"/>
    </row>
    <row r="200" spans="1:6">
      <c r="A200" s="105"/>
      <c r="B200" s="112"/>
      <c r="C200" s="105"/>
      <c r="D200" s="110"/>
      <c r="E200" s="143"/>
      <c r="F200" s="131"/>
    </row>
    <row r="201" spans="1:6">
      <c r="A201" s="105"/>
      <c r="B201" s="112"/>
      <c r="C201" s="105"/>
      <c r="D201" s="110"/>
      <c r="E201" s="143"/>
      <c r="F201" s="131"/>
    </row>
    <row r="202" spans="1:6">
      <c r="A202" s="105"/>
      <c r="B202" s="112"/>
      <c r="C202" s="105"/>
      <c r="D202" s="110"/>
      <c r="E202" s="143"/>
      <c r="F202" s="131"/>
    </row>
    <row r="203" spans="1:6">
      <c r="A203" s="85"/>
      <c r="B203" s="86"/>
      <c r="C203" s="87"/>
      <c r="D203" s="88"/>
      <c r="E203" s="145"/>
      <c r="F203" s="133"/>
    </row>
    <row r="204" spans="1:6">
      <c r="A204" s="89"/>
      <c r="B204" s="90"/>
      <c r="C204" s="91" t="s">
        <v>35</v>
      </c>
      <c r="D204" s="91"/>
      <c r="E204" s="146" t="s">
        <v>8</v>
      </c>
      <c r="F204" s="134">
        <f>SUM(F176:F198)</f>
        <v>905908.0199999999</v>
      </c>
    </row>
    <row r="205" spans="1:6">
      <c r="A205" s="89"/>
      <c r="B205" s="90"/>
      <c r="C205" s="92"/>
      <c r="D205" s="93"/>
      <c r="E205" s="147"/>
      <c r="F205" s="135"/>
    </row>
    <row r="206" spans="1:6">
      <c r="A206" s="105"/>
      <c r="B206" s="112"/>
      <c r="C206" s="105"/>
      <c r="D206" s="110"/>
      <c r="E206" s="143"/>
      <c r="F206" s="131"/>
    </row>
    <row r="207" spans="1:6" ht="27.6">
      <c r="A207" s="102"/>
      <c r="B207" s="77" t="s">
        <v>36</v>
      </c>
      <c r="C207" s="103"/>
      <c r="D207" s="104"/>
      <c r="E207" s="143"/>
      <c r="F207" s="131"/>
    </row>
    <row r="208" spans="1:6">
      <c r="A208" s="102"/>
      <c r="B208" s="114"/>
      <c r="C208" s="103"/>
      <c r="D208" s="104"/>
      <c r="E208" s="143"/>
      <c r="F208" s="131"/>
    </row>
    <row r="209" spans="1:6" ht="27.6">
      <c r="A209" s="79" t="s">
        <v>16</v>
      </c>
      <c r="B209" s="80" t="s">
        <v>119</v>
      </c>
      <c r="C209" s="81" t="s">
        <v>120</v>
      </c>
      <c r="D209" s="82" t="s">
        <v>18</v>
      </c>
      <c r="E209" s="143">
        <v>358.1</v>
      </c>
      <c r="F209" s="131">
        <f>C209*E209</f>
        <v>8952.5</v>
      </c>
    </row>
    <row r="210" spans="1:6">
      <c r="A210" s="105"/>
      <c r="B210" s="112"/>
      <c r="C210" s="105"/>
      <c r="D210" s="110"/>
      <c r="E210" s="143"/>
      <c r="F210" s="131"/>
    </row>
    <row r="211" spans="1:6">
      <c r="A211" s="105"/>
      <c r="B211" s="112"/>
      <c r="C211" s="105"/>
      <c r="D211" s="110"/>
      <c r="E211" s="143"/>
      <c r="F211" s="131"/>
    </row>
    <row r="212" spans="1:6">
      <c r="A212" s="105"/>
      <c r="B212" s="112"/>
      <c r="C212" s="105"/>
      <c r="D212" s="110"/>
      <c r="E212" s="143"/>
      <c r="F212" s="131"/>
    </row>
    <row r="213" spans="1:6">
      <c r="A213" s="105"/>
      <c r="B213" s="112"/>
      <c r="C213" s="105"/>
      <c r="D213" s="110"/>
      <c r="E213" s="143"/>
      <c r="F213" s="131"/>
    </row>
    <row r="214" spans="1:6">
      <c r="A214" s="105"/>
      <c r="B214" s="112"/>
      <c r="C214" s="105"/>
      <c r="D214" s="110"/>
      <c r="E214" s="143"/>
      <c r="F214" s="131"/>
    </row>
    <row r="215" spans="1:6">
      <c r="A215" s="105"/>
      <c r="B215" s="112"/>
      <c r="C215" s="105"/>
      <c r="D215" s="110"/>
      <c r="E215" s="143"/>
      <c r="F215" s="131"/>
    </row>
    <row r="216" spans="1:6">
      <c r="A216" s="105"/>
      <c r="B216" s="112"/>
      <c r="C216" s="105"/>
      <c r="D216" s="110"/>
      <c r="E216" s="143"/>
      <c r="F216" s="131"/>
    </row>
    <row r="217" spans="1:6">
      <c r="A217" s="105"/>
      <c r="B217" s="112"/>
      <c r="C217" s="105"/>
      <c r="D217" s="110"/>
      <c r="E217" s="143"/>
      <c r="F217" s="131"/>
    </row>
    <row r="218" spans="1:6">
      <c r="A218" s="105"/>
      <c r="B218" s="112"/>
      <c r="C218" s="105"/>
      <c r="D218" s="110"/>
      <c r="E218" s="143"/>
      <c r="F218" s="131"/>
    </row>
    <row r="219" spans="1:6">
      <c r="A219" s="105"/>
      <c r="B219" s="112"/>
      <c r="C219" s="105"/>
      <c r="D219" s="110"/>
      <c r="E219" s="143"/>
      <c r="F219" s="131"/>
    </row>
    <row r="220" spans="1:6">
      <c r="A220" s="105"/>
      <c r="B220" s="112"/>
      <c r="C220" s="105"/>
      <c r="D220" s="110"/>
      <c r="E220" s="143"/>
      <c r="F220" s="131"/>
    </row>
    <row r="221" spans="1:6">
      <c r="A221" s="105"/>
      <c r="B221" s="112"/>
      <c r="C221" s="105"/>
      <c r="D221" s="110"/>
      <c r="E221" s="143"/>
      <c r="F221" s="131"/>
    </row>
    <row r="222" spans="1:6">
      <c r="A222" s="105"/>
      <c r="B222" s="112"/>
      <c r="C222" s="105"/>
      <c r="D222" s="110"/>
      <c r="E222" s="143"/>
      <c r="F222" s="131"/>
    </row>
    <row r="223" spans="1:6">
      <c r="A223" s="105"/>
      <c r="B223" s="112"/>
      <c r="C223" s="105"/>
      <c r="D223" s="110"/>
      <c r="E223" s="143"/>
      <c r="F223" s="131"/>
    </row>
    <row r="224" spans="1:6">
      <c r="A224" s="105"/>
      <c r="B224" s="112"/>
      <c r="C224" s="105"/>
      <c r="D224" s="110"/>
      <c r="E224" s="143"/>
      <c r="F224" s="131"/>
    </row>
    <row r="225" spans="1:6">
      <c r="A225" s="105"/>
      <c r="B225" s="112"/>
      <c r="C225" s="105"/>
      <c r="D225" s="110"/>
      <c r="E225" s="143"/>
      <c r="F225" s="131"/>
    </row>
    <row r="226" spans="1:6">
      <c r="A226" s="105"/>
      <c r="B226" s="112"/>
      <c r="C226" s="105"/>
      <c r="D226" s="110"/>
      <c r="E226" s="143"/>
      <c r="F226" s="131"/>
    </row>
    <row r="227" spans="1:6">
      <c r="A227" s="105"/>
      <c r="B227" s="112"/>
      <c r="C227" s="105"/>
      <c r="D227" s="110"/>
      <c r="E227" s="143"/>
      <c r="F227" s="131"/>
    </row>
    <row r="228" spans="1:6">
      <c r="A228" s="105"/>
      <c r="B228" s="112"/>
      <c r="C228" s="105"/>
      <c r="D228" s="110"/>
      <c r="E228" s="143"/>
      <c r="F228" s="131"/>
    </row>
    <row r="229" spans="1:6">
      <c r="A229" s="105"/>
      <c r="B229" s="112"/>
      <c r="C229" s="105"/>
      <c r="D229" s="110"/>
      <c r="E229" s="143"/>
      <c r="F229" s="131"/>
    </row>
    <row r="230" spans="1:6">
      <c r="A230" s="105"/>
      <c r="B230" s="112"/>
      <c r="C230" s="105"/>
      <c r="D230" s="110"/>
      <c r="E230" s="143"/>
      <c r="F230" s="131"/>
    </row>
    <row r="231" spans="1:6">
      <c r="A231" s="105"/>
      <c r="B231" s="112"/>
      <c r="C231" s="105"/>
      <c r="D231" s="110"/>
      <c r="E231" s="143"/>
      <c r="F231" s="131"/>
    </row>
    <row r="232" spans="1:6">
      <c r="A232" s="105"/>
      <c r="B232" s="112"/>
      <c r="C232" s="105"/>
      <c r="D232" s="110"/>
      <c r="E232" s="143"/>
      <c r="F232" s="131"/>
    </row>
    <row r="233" spans="1:6">
      <c r="A233" s="105"/>
      <c r="B233" s="112"/>
      <c r="C233" s="105"/>
      <c r="D233" s="110"/>
      <c r="E233" s="143"/>
      <c r="F233" s="131"/>
    </row>
    <row r="234" spans="1:6">
      <c r="A234" s="105"/>
      <c r="B234" s="112"/>
      <c r="C234" s="105"/>
      <c r="D234" s="110"/>
      <c r="E234" s="143"/>
      <c r="F234" s="131"/>
    </row>
    <row r="235" spans="1:6">
      <c r="A235" s="105"/>
      <c r="B235" s="112"/>
      <c r="C235" s="105"/>
      <c r="D235" s="110"/>
      <c r="E235" s="143"/>
      <c r="F235" s="131"/>
    </row>
    <row r="236" spans="1:6">
      <c r="A236" s="105"/>
      <c r="B236" s="112"/>
      <c r="C236" s="105"/>
      <c r="D236" s="110"/>
      <c r="E236" s="143"/>
      <c r="F236" s="131"/>
    </row>
    <row r="237" spans="1:6">
      <c r="A237" s="105"/>
      <c r="B237" s="112"/>
      <c r="C237" s="105"/>
      <c r="D237" s="110"/>
      <c r="E237" s="143"/>
      <c r="F237" s="131"/>
    </row>
    <row r="238" spans="1:6">
      <c r="A238" s="105"/>
      <c r="B238" s="112"/>
      <c r="C238" s="105"/>
      <c r="D238" s="110"/>
      <c r="E238" s="143"/>
      <c r="F238" s="131"/>
    </row>
    <row r="239" spans="1:6">
      <c r="A239" s="105"/>
      <c r="B239" s="112"/>
      <c r="C239" s="105"/>
      <c r="D239" s="110"/>
      <c r="E239" s="143"/>
      <c r="F239" s="131"/>
    </row>
    <row r="240" spans="1:6">
      <c r="A240" s="105"/>
      <c r="B240" s="112"/>
      <c r="C240" s="105"/>
      <c r="D240" s="110"/>
      <c r="E240" s="143"/>
      <c r="F240" s="131"/>
    </row>
    <row r="241" spans="1:6">
      <c r="A241" s="105"/>
      <c r="B241" s="112"/>
      <c r="C241" s="105"/>
      <c r="D241" s="110"/>
      <c r="E241" s="143"/>
      <c r="F241" s="131"/>
    </row>
    <row r="242" spans="1:6">
      <c r="A242" s="105"/>
      <c r="B242" s="112"/>
      <c r="C242" s="105"/>
      <c r="D242" s="110"/>
      <c r="E242" s="143"/>
      <c r="F242" s="131"/>
    </row>
    <row r="243" spans="1:6">
      <c r="A243" s="105"/>
      <c r="B243" s="112"/>
      <c r="C243" s="105"/>
      <c r="D243" s="110"/>
      <c r="E243" s="143"/>
      <c r="F243" s="131"/>
    </row>
    <row r="244" spans="1:6">
      <c r="A244" s="105"/>
      <c r="B244" s="112"/>
      <c r="C244" s="105"/>
      <c r="D244" s="110"/>
      <c r="E244" s="143"/>
      <c r="F244" s="131"/>
    </row>
    <row r="245" spans="1:6">
      <c r="A245" s="105"/>
      <c r="B245" s="112"/>
      <c r="C245" s="105"/>
      <c r="D245" s="110"/>
      <c r="E245" s="143"/>
      <c r="F245" s="131"/>
    </row>
    <row r="246" spans="1:6">
      <c r="A246" s="105"/>
      <c r="B246" s="112"/>
      <c r="C246" s="105"/>
      <c r="D246" s="110"/>
      <c r="E246" s="143"/>
      <c r="F246" s="131"/>
    </row>
    <row r="247" spans="1:6">
      <c r="A247" s="105"/>
      <c r="B247" s="112"/>
      <c r="C247" s="105"/>
      <c r="D247" s="110"/>
      <c r="E247" s="143"/>
      <c r="F247" s="131"/>
    </row>
    <row r="248" spans="1:6">
      <c r="A248" s="105"/>
      <c r="B248" s="112"/>
      <c r="C248" s="105"/>
      <c r="D248" s="110"/>
      <c r="E248" s="143"/>
      <c r="F248" s="131"/>
    </row>
    <row r="249" spans="1:6">
      <c r="A249" s="105"/>
      <c r="B249" s="112"/>
      <c r="C249" s="105"/>
      <c r="D249" s="110"/>
      <c r="E249" s="143"/>
      <c r="F249" s="131"/>
    </row>
    <row r="250" spans="1:6">
      <c r="A250" s="105"/>
      <c r="B250" s="112"/>
      <c r="C250" s="105"/>
      <c r="D250" s="110"/>
      <c r="E250" s="143"/>
      <c r="F250" s="131"/>
    </row>
    <row r="251" spans="1:6">
      <c r="A251" s="105"/>
      <c r="B251" s="112"/>
      <c r="C251" s="105"/>
      <c r="D251" s="110"/>
      <c r="E251" s="143"/>
      <c r="F251" s="131"/>
    </row>
    <row r="252" spans="1:6">
      <c r="A252" s="85"/>
      <c r="B252" s="86"/>
      <c r="C252" s="87"/>
      <c r="D252" s="88"/>
      <c r="E252" s="145"/>
      <c r="F252" s="133"/>
    </row>
    <row r="253" spans="1:6">
      <c r="A253" s="89"/>
      <c r="B253" s="90"/>
      <c r="C253" s="91" t="s">
        <v>35</v>
      </c>
      <c r="D253" s="91"/>
      <c r="E253" s="146" t="s">
        <v>8</v>
      </c>
      <c r="F253" s="134">
        <f>SUM(F207:F219)</f>
        <v>8952.5</v>
      </c>
    </row>
    <row r="254" spans="1:6">
      <c r="A254" s="89"/>
      <c r="B254" s="90"/>
      <c r="C254" s="92"/>
      <c r="D254" s="93"/>
      <c r="E254" s="147"/>
      <c r="F254" s="135"/>
    </row>
    <row r="255" spans="1:6">
      <c r="A255" s="105"/>
      <c r="B255" s="112"/>
      <c r="C255" s="105"/>
      <c r="D255" s="110"/>
      <c r="E255" s="143"/>
      <c r="F255" s="131"/>
    </row>
    <row r="256" spans="1:6" ht="27.6">
      <c r="A256" s="102"/>
      <c r="B256" s="77" t="s">
        <v>36</v>
      </c>
      <c r="C256" s="103"/>
      <c r="D256" s="104"/>
      <c r="E256" s="143"/>
      <c r="F256" s="131"/>
    </row>
    <row r="257" spans="1:6">
      <c r="A257" s="102"/>
      <c r="B257" s="118"/>
      <c r="C257" s="103"/>
      <c r="D257" s="104"/>
      <c r="E257" s="143"/>
      <c r="F257" s="131"/>
    </row>
    <row r="258" spans="1:6">
      <c r="A258" s="79"/>
      <c r="B258" s="117" t="s">
        <v>121</v>
      </c>
      <c r="C258" s="81"/>
      <c r="D258" s="82"/>
      <c r="E258" s="143"/>
      <c r="F258" s="131"/>
    </row>
    <row r="259" spans="1:6">
      <c r="A259" s="102"/>
      <c r="B259" s="114"/>
      <c r="C259" s="103"/>
      <c r="D259" s="104"/>
      <c r="E259" s="143"/>
      <c r="F259" s="131"/>
    </row>
    <row r="260" spans="1:6" ht="55.15">
      <c r="A260" s="79" t="s">
        <v>16</v>
      </c>
      <c r="B260" s="80" t="s">
        <v>122</v>
      </c>
      <c r="C260" s="81" t="s">
        <v>80</v>
      </c>
      <c r="D260" s="82" t="s">
        <v>18</v>
      </c>
      <c r="E260" s="143">
        <v>358.1</v>
      </c>
      <c r="F260" s="131">
        <f>C260*E260</f>
        <v>2864.8</v>
      </c>
    </row>
    <row r="261" spans="1:6">
      <c r="A261" s="102"/>
      <c r="B261" s="114"/>
      <c r="C261" s="103"/>
      <c r="D261" s="104"/>
      <c r="E261" s="143"/>
      <c r="F261" s="131"/>
    </row>
    <row r="262" spans="1:6" ht="41.45">
      <c r="A262" s="79" t="s">
        <v>19</v>
      </c>
      <c r="B262" s="80" t="s">
        <v>123</v>
      </c>
      <c r="C262" s="81" t="s">
        <v>124</v>
      </c>
      <c r="D262" s="82" t="s">
        <v>18</v>
      </c>
      <c r="E262" s="143">
        <v>414.01</v>
      </c>
      <c r="F262" s="131">
        <f>C262*E262</f>
        <v>21114.51</v>
      </c>
    </row>
    <row r="263" spans="1:6">
      <c r="A263" s="102"/>
      <c r="B263" s="114"/>
      <c r="C263" s="103"/>
      <c r="D263" s="104"/>
      <c r="E263" s="143"/>
      <c r="F263" s="131"/>
    </row>
    <row r="264" spans="1:6">
      <c r="A264" s="79" t="s">
        <v>22</v>
      </c>
      <c r="B264" s="80" t="s">
        <v>125</v>
      </c>
      <c r="C264" s="81" t="s">
        <v>31</v>
      </c>
      <c r="D264" s="82" t="s">
        <v>44</v>
      </c>
      <c r="E264" s="143">
        <v>170514.62</v>
      </c>
      <c r="F264" s="131">
        <f>C264*E264</f>
        <v>170514.62</v>
      </c>
    </row>
    <row r="265" spans="1:6">
      <c r="A265" s="102"/>
      <c r="B265" s="114"/>
      <c r="C265" s="103"/>
      <c r="D265" s="104"/>
      <c r="E265" s="143"/>
      <c r="F265" s="131"/>
    </row>
    <row r="266" spans="1:6">
      <c r="A266" s="79" t="s">
        <v>26</v>
      </c>
      <c r="B266" s="80" t="s">
        <v>126</v>
      </c>
      <c r="C266" s="81" t="s">
        <v>127</v>
      </c>
      <c r="D266" s="82" t="s">
        <v>18</v>
      </c>
      <c r="E266" s="143">
        <v>434.34</v>
      </c>
      <c r="F266" s="131">
        <f>C266*E266</f>
        <v>2171.6999999999998</v>
      </c>
    </row>
    <row r="267" spans="1:6">
      <c r="A267" s="102"/>
      <c r="B267" s="114"/>
      <c r="C267" s="103"/>
      <c r="D267" s="104"/>
      <c r="E267" s="143"/>
      <c r="F267" s="131"/>
    </row>
    <row r="268" spans="1:6" ht="27.6">
      <c r="A268" s="79" t="s">
        <v>29</v>
      </c>
      <c r="B268" s="80" t="s">
        <v>128</v>
      </c>
      <c r="C268" s="81" t="s">
        <v>129</v>
      </c>
      <c r="D268" s="82" t="s">
        <v>103</v>
      </c>
      <c r="E268" s="143">
        <v>276.77</v>
      </c>
      <c r="F268" s="131">
        <f>C268*E268</f>
        <v>15499.119999999999</v>
      </c>
    </row>
    <row r="269" spans="1:6">
      <c r="A269" s="102"/>
      <c r="B269" s="114"/>
      <c r="C269" s="103"/>
      <c r="D269" s="104"/>
      <c r="E269" s="143"/>
      <c r="F269" s="131"/>
    </row>
    <row r="270" spans="1:6" ht="27.6">
      <c r="A270" s="79" t="s">
        <v>33</v>
      </c>
      <c r="B270" s="80" t="s">
        <v>130</v>
      </c>
      <c r="C270" s="81" t="s">
        <v>131</v>
      </c>
      <c r="D270" s="82" t="s">
        <v>18</v>
      </c>
      <c r="E270" s="143">
        <v>399.83</v>
      </c>
      <c r="F270" s="131">
        <f>C270*E270</f>
        <v>14393.88</v>
      </c>
    </row>
    <row r="271" spans="1:6">
      <c r="A271" s="102"/>
      <c r="B271" s="114"/>
      <c r="C271" s="103"/>
      <c r="D271" s="104"/>
      <c r="E271" s="143"/>
      <c r="F271" s="131"/>
    </row>
    <row r="272" spans="1:6" ht="27.6">
      <c r="A272" s="79" t="s">
        <v>45</v>
      </c>
      <c r="B272" s="80" t="s">
        <v>132</v>
      </c>
      <c r="C272" s="81" t="s">
        <v>127</v>
      </c>
      <c r="D272" s="82" t="s">
        <v>18</v>
      </c>
      <c r="E272" s="143">
        <v>358.1</v>
      </c>
      <c r="F272" s="131">
        <f>C272*E272</f>
        <v>1790.5</v>
      </c>
    </row>
    <row r="273" spans="1:6">
      <c r="A273" s="102"/>
      <c r="B273" s="114"/>
      <c r="C273" s="103"/>
      <c r="D273" s="104"/>
      <c r="E273" s="143"/>
      <c r="F273" s="131"/>
    </row>
    <row r="274" spans="1:6" ht="27.6">
      <c r="A274" s="79" t="s">
        <v>49</v>
      </c>
      <c r="B274" s="80" t="s">
        <v>133</v>
      </c>
      <c r="C274" s="81" t="s">
        <v>127</v>
      </c>
      <c r="D274" s="82" t="s">
        <v>18</v>
      </c>
      <c r="E274" s="143">
        <v>358.1</v>
      </c>
      <c r="F274" s="131">
        <f>C274*E274</f>
        <v>1790.5</v>
      </c>
    </row>
    <row r="275" spans="1:6">
      <c r="A275" s="105"/>
      <c r="B275" s="112"/>
      <c r="C275" s="105"/>
      <c r="D275" s="110"/>
      <c r="E275" s="143"/>
      <c r="F275" s="131"/>
    </row>
    <row r="276" spans="1:6">
      <c r="A276" s="105"/>
      <c r="B276" s="112"/>
      <c r="C276" s="105"/>
      <c r="D276" s="110"/>
      <c r="E276" s="143"/>
      <c r="F276" s="131"/>
    </row>
    <row r="277" spans="1:6" s="166" customFormat="1">
      <c r="A277" s="167"/>
      <c r="B277" s="172"/>
      <c r="C277" s="167"/>
      <c r="D277" s="168"/>
      <c r="E277" s="164"/>
      <c r="F277" s="165"/>
    </row>
    <row r="278" spans="1:6" s="166" customFormat="1">
      <c r="A278" s="167"/>
      <c r="B278" s="161"/>
      <c r="C278" s="167"/>
      <c r="D278" s="168"/>
      <c r="E278" s="164"/>
      <c r="F278" s="165"/>
    </row>
    <row r="279" spans="1:6" s="166" customFormat="1">
      <c r="A279" s="167"/>
      <c r="B279" s="169"/>
      <c r="C279" s="167"/>
      <c r="D279" s="168"/>
      <c r="E279" s="164"/>
      <c r="F279" s="165"/>
    </row>
    <row r="280" spans="1:6" s="166" customFormat="1">
      <c r="A280" s="160"/>
      <c r="B280" s="161"/>
      <c r="C280" s="162"/>
      <c r="D280" s="163"/>
      <c r="E280" s="164"/>
      <c r="F280" s="165"/>
    </row>
    <row r="281" spans="1:6" s="166" customFormat="1">
      <c r="A281" s="160"/>
      <c r="B281" s="161"/>
      <c r="C281" s="162"/>
      <c r="D281" s="163"/>
      <c r="E281" s="164"/>
      <c r="F281" s="165"/>
    </row>
    <row r="282" spans="1:6" s="166" customFormat="1">
      <c r="A282" s="160"/>
      <c r="B282" s="161"/>
      <c r="C282" s="162"/>
      <c r="D282" s="163"/>
      <c r="E282" s="164"/>
      <c r="F282" s="165"/>
    </row>
    <row r="283" spans="1:6" s="166" customFormat="1">
      <c r="A283" s="160"/>
      <c r="B283" s="169"/>
      <c r="C283" s="162"/>
      <c r="D283" s="163"/>
      <c r="E283" s="164"/>
      <c r="F283" s="165"/>
    </row>
    <row r="284" spans="1:6" s="166" customFormat="1">
      <c r="A284" s="160"/>
      <c r="B284" s="161"/>
      <c r="C284" s="162"/>
      <c r="D284" s="163"/>
      <c r="E284" s="164"/>
      <c r="F284" s="165"/>
    </row>
    <row r="285" spans="1:6" s="166" customFormat="1">
      <c r="A285" s="160"/>
      <c r="B285" s="161"/>
      <c r="C285" s="162"/>
      <c r="D285" s="163"/>
      <c r="E285" s="164"/>
      <c r="F285" s="165"/>
    </row>
    <row r="286" spans="1:6">
      <c r="A286" s="79"/>
      <c r="B286" s="112"/>
      <c r="C286" s="105"/>
      <c r="D286" s="110"/>
      <c r="E286" s="158"/>
      <c r="F286" s="131"/>
    </row>
    <row r="287" spans="1:6">
      <c r="A287" s="105"/>
      <c r="B287" s="112"/>
      <c r="C287" s="105"/>
      <c r="D287" s="110"/>
      <c r="E287" s="143"/>
      <c r="F287" s="131"/>
    </row>
    <row r="288" spans="1:6">
      <c r="A288" s="105"/>
      <c r="B288" s="112"/>
      <c r="C288" s="105"/>
      <c r="D288" s="110"/>
      <c r="E288" s="143"/>
      <c r="F288" s="131"/>
    </row>
    <row r="289" spans="1:6">
      <c r="A289" s="105"/>
      <c r="B289" s="112"/>
      <c r="C289" s="105"/>
      <c r="D289" s="110"/>
      <c r="E289" s="143"/>
      <c r="F289" s="131"/>
    </row>
    <row r="290" spans="1:6">
      <c r="A290" s="105"/>
      <c r="B290" s="112"/>
      <c r="C290" s="105"/>
      <c r="D290" s="110"/>
      <c r="E290" s="143"/>
      <c r="F290" s="131"/>
    </row>
    <row r="291" spans="1:6">
      <c r="A291" s="105"/>
      <c r="B291" s="112"/>
      <c r="C291" s="105"/>
      <c r="D291" s="110"/>
      <c r="E291" s="143"/>
      <c r="F291" s="131"/>
    </row>
    <row r="292" spans="1:6">
      <c r="A292" s="105"/>
      <c r="B292" s="112"/>
      <c r="C292" s="105"/>
      <c r="D292" s="110"/>
      <c r="E292" s="143"/>
      <c r="F292" s="131"/>
    </row>
    <row r="293" spans="1:6">
      <c r="A293" s="85"/>
      <c r="B293" s="86"/>
      <c r="C293" s="87"/>
      <c r="D293" s="88"/>
      <c r="E293" s="145"/>
      <c r="F293" s="133"/>
    </row>
    <row r="294" spans="1:6">
      <c r="A294" s="89"/>
      <c r="B294" s="90"/>
      <c r="C294" s="91" t="s">
        <v>35</v>
      </c>
      <c r="D294" s="91"/>
      <c r="E294" s="146" t="s">
        <v>8</v>
      </c>
      <c r="F294" s="134">
        <f>SUM(F260:F291)</f>
        <v>230139.63</v>
      </c>
    </row>
    <row r="295" spans="1:6">
      <c r="A295" s="89"/>
      <c r="B295" s="90"/>
      <c r="C295" s="92"/>
      <c r="D295" s="93"/>
      <c r="E295" s="147"/>
      <c r="F295" s="135"/>
    </row>
    <row r="296" spans="1:6">
      <c r="A296" s="105"/>
      <c r="B296" s="112"/>
      <c r="C296" s="105"/>
      <c r="D296" s="110"/>
      <c r="E296" s="143"/>
      <c r="F296" s="131"/>
    </row>
    <row r="297" spans="1:6">
      <c r="A297" s="102"/>
      <c r="B297" s="77" t="s">
        <v>134</v>
      </c>
      <c r="C297" s="103"/>
      <c r="D297" s="104"/>
      <c r="E297" s="143"/>
      <c r="F297" s="131"/>
    </row>
    <row r="298" spans="1:6">
      <c r="A298" s="102"/>
      <c r="B298" s="114"/>
      <c r="C298" s="103"/>
      <c r="D298" s="104"/>
      <c r="E298" s="143"/>
      <c r="F298" s="131"/>
    </row>
    <row r="299" spans="1:6">
      <c r="A299" s="79"/>
      <c r="B299" s="115" t="s">
        <v>135</v>
      </c>
      <c r="C299" s="81"/>
      <c r="D299" s="82"/>
      <c r="E299" s="143"/>
      <c r="F299" s="131"/>
    </row>
    <row r="300" spans="1:6">
      <c r="A300" s="102"/>
      <c r="B300" s="114"/>
      <c r="C300" s="103"/>
      <c r="D300" s="104"/>
      <c r="E300" s="143"/>
      <c r="F300" s="131"/>
    </row>
    <row r="301" spans="1:6" ht="27.6">
      <c r="A301" s="79"/>
      <c r="B301" s="115" t="s">
        <v>136</v>
      </c>
      <c r="C301" s="81"/>
      <c r="D301" s="82"/>
      <c r="E301" s="143"/>
      <c r="F301" s="131"/>
    </row>
    <row r="302" spans="1:6">
      <c r="A302" s="102"/>
      <c r="B302" s="114"/>
      <c r="C302" s="103"/>
      <c r="D302" s="104"/>
      <c r="E302" s="143"/>
      <c r="F302" s="131"/>
    </row>
    <row r="303" spans="1:6" ht="55.15">
      <c r="A303" s="79"/>
      <c r="B303" s="117" t="s">
        <v>137</v>
      </c>
      <c r="C303" s="81"/>
      <c r="D303" s="82"/>
      <c r="E303" s="143"/>
      <c r="F303" s="131"/>
    </row>
    <row r="304" spans="1:6">
      <c r="A304" s="102"/>
      <c r="B304" s="114"/>
      <c r="C304" s="103"/>
      <c r="D304" s="104"/>
      <c r="E304" s="143"/>
      <c r="F304" s="131"/>
    </row>
    <row r="305" spans="1:6" ht="27.6">
      <c r="A305" s="79" t="s">
        <v>16</v>
      </c>
      <c r="B305" s="80" t="s">
        <v>138</v>
      </c>
      <c r="C305" s="81" t="s">
        <v>139</v>
      </c>
      <c r="D305" s="82" t="s">
        <v>18</v>
      </c>
      <c r="E305" s="143">
        <v>80.56</v>
      </c>
      <c r="F305" s="131">
        <f>C305*E305</f>
        <v>1541998.96</v>
      </c>
    </row>
    <row r="306" spans="1:6">
      <c r="A306" s="102"/>
      <c r="B306" s="114"/>
      <c r="C306" s="103"/>
      <c r="D306" s="104"/>
      <c r="E306" s="143"/>
      <c r="F306" s="131"/>
    </row>
    <row r="307" spans="1:6" ht="27.6">
      <c r="A307" s="79" t="s">
        <v>19</v>
      </c>
      <c r="B307" s="80" t="s">
        <v>140</v>
      </c>
      <c r="C307" s="81" t="s">
        <v>141</v>
      </c>
      <c r="D307" s="82" t="s">
        <v>44</v>
      </c>
      <c r="E307" s="143">
        <v>134.44</v>
      </c>
      <c r="F307" s="131">
        <f>C307*E307</f>
        <v>5780.92</v>
      </c>
    </row>
    <row r="308" spans="1:6">
      <c r="A308" s="102"/>
      <c r="B308" s="114"/>
      <c r="C308" s="103"/>
      <c r="D308" s="104"/>
      <c r="E308" s="143"/>
      <c r="F308" s="131"/>
    </row>
    <row r="309" spans="1:6" ht="27.6">
      <c r="A309" s="79" t="s">
        <v>22</v>
      </c>
      <c r="B309" s="80" t="s">
        <v>142</v>
      </c>
      <c r="C309" s="81" t="s">
        <v>143</v>
      </c>
      <c r="D309" s="82" t="s">
        <v>44</v>
      </c>
      <c r="E309" s="143">
        <v>190.36</v>
      </c>
      <c r="F309" s="131">
        <f>C309*E309</f>
        <v>3236.1200000000003</v>
      </c>
    </row>
    <row r="310" spans="1:6">
      <c r="A310" s="102"/>
      <c r="B310" s="114"/>
      <c r="C310" s="103"/>
      <c r="D310" s="104"/>
      <c r="E310" s="143"/>
      <c r="F310" s="131"/>
    </row>
    <row r="311" spans="1:6" ht="27.6">
      <c r="A311" s="79" t="s">
        <v>26</v>
      </c>
      <c r="B311" s="80" t="s">
        <v>144</v>
      </c>
      <c r="C311" s="81" t="s">
        <v>145</v>
      </c>
      <c r="D311" s="82" t="s">
        <v>18</v>
      </c>
      <c r="E311" s="143">
        <v>80.56</v>
      </c>
      <c r="F311" s="131">
        <f>C311*E311</f>
        <v>2050815.9200000002</v>
      </c>
    </row>
    <row r="312" spans="1:6">
      <c r="A312" s="102"/>
      <c r="B312" s="114"/>
      <c r="C312" s="103"/>
      <c r="D312" s="104"/>
      <c r="E312" s="143"/>
      <c r="F312" s="131"/>
    </row>
    <row r="313" spans="1:6" ht="27.6">
      <c r="A313" s="79" t="s">
        <v>29</v>
      </c>
      <c r="B313" s="80" t="s">
        <v>146</v>
      </c>
      <c r="C313" s="81" t="s">
        <v>147</v>
      </c>
      <c r="D313" s="82" t="s">
        <v>18</v>
      </c>
      <c r="E313" s="143">
        <v>88.7</v>
      </c>
      <c r="F313" s="131">
        <f>C313*E313</f>
        <v>3271167.3000000003</v>
      </c>
    </row>
    <row r="314" spans="1:6">
      <c r="A314" s="102"/>
      <c r="B314" s="114"/>
      <c r="C314" s="103"/>
      <c r="D314" s="104"/>
      <c r="E314" s="143"/>
      <c r="F314" s="131"/>
    </row>
    <row r="315" spans="1:6">
      <c r="A315" s="79" t="s">
        <v>33</v>
      </c>
      <c r="B315" s="80" t="s">
        <v>148</v>
      </c>
      <c r="C315" s="81" t="s">
        <v>149</v>
      </c>
      <c r="D315" s="82" t="s">
        <v>44</v>
      </c>
      <c r="E315" s="143">
        <v>134.44</v>
      </c>
      <c r="F315" s="131">
        <f>C315*E315</f>
        <v>268.88</v>
      </c>
    </row>
    <row r="316" spans="1:6">
      <c r="A316" s="102"/>
      <c r="B316" s="114"/>
      <c r="C316" s="103"/>
      <c r="D316" s="104"/>
      <c r="E316" s="143"/>
      <c r="F316" s="131"/>
    </row>
    <row r="317" spans="1:6" ht="27.6">
      <c r="A317" s="79" t="s">
        <v>45</v>
      </c>
      <c r="B317" s="80" t="s">
        <v>150</v>
      </c>
      <c r="C317" s="81" t="s">
        <v>149</v>
      </c>
      <c r="D317" s="82" t="s">
        <v>44</v>
      </c>
      <c r="E317" s="143">
        <v>190.36</v>
      </c>
      <c r="F317" s="131">
        <f>C317*E317</f>
        <v>380.72</v>
      </c>
    </row>
    <row r="318" spans="1:6">
      <c r="A318" s="102"/>
      <c r="B318" s="114"/>
      <c r="C318" s="103"/>
      <c r="D318" s="104"/>
      <c r="E318" s="143"/>
      <c r="F318" s="131"/>
    </row>
    <row r="319" spans="1:6" ht="55.15">
      <c r="A319" s="79"/>
      <c r="B319" s="117" t="s">
        <v>151</v>
      </c>
      <c r="C319" s="81"/>
      <c r="D319" s="82"/>
      <c r="E319" s="143"/>
      <c r="F319" s="131"/>
    </row>
    <row r="320" spans="1:6">
      <c r="A320" s="102"/>
      <c r="B320" s="114"/>
      <c r="C320" s="103"/>
      <c r="D320" s="104"/>
      <c r="E320" s="143"/>
      <c r="F320" s="131"/>
    </row>
    <row r="321" spans="1:6" ht="27.6">
      <c r="A321" s="79" t="s">
        <v>49</v>
      </c>
      <c r="B321" s="80" t="s">
        <v>152</v>
      </c>
      <c r="C321" s="81" t="s">
        <v>153</v>
      </c>
      <c r="D321" s="82" t="s">
        <v>18</v>
      </c>
      <c r="E321" s="143">
        <v>80.56</v>
      </c>
      <c r="F321" s="131">
        <f>C321*E321</f>
        <v>152500.08000000002</v>
      </c>
    </row>
    <row r="322" spans="1:6">
      <c r="A322" s="102"/>
      <c r="B322" s="114"/>
      <c r="C322" s="103"/>
      <c r="D322" s="104"/>
      <c r="E322" s="143"/>
      <c r="F322" s="131"/>
    </row>
    <row r="323" spans="1:6">
      <c r="A323" s="79" t="s">
        <v>61</v>
      </c>
      <c r="B323" s="80" t="s">
        <v>154</v>
      </c>
      <c r="C323" s="81" t="s">
        <v>31</v>
      </c>
      <c r="D323" s="82" t="s">
        <v>44</v>
      </c>
      <c r="E323" s="143">
        <v>134.44</v>
      </c>
      <c r="F323" s="131">
        <f>C323*E323</f>
        <v>134.44</v>
      </c>
    </row>
    <row r="324" spans="1:6">
      <c r="A324" s="102"/>
      <c r="B324" s="114"/>
      <c r="C324" s="103"/>
      <c r="D324" s="104"/>
      <c r="E324" s="143"/>
      <c r="F324" s="131"/>
    </row>
    <row r="325" spans="1:6">
      <c r="A325" s="79" t="s">
        <v>63</v>
      </c>
      <c r="B325" s="80" t="s">
        <v>155</v>
      </c>
      <c r="C325" s="81" t="s">
        <v>156</v>
      </c>
      <c r="D325" s="82" t="s">
        <v>18</v>
      </c>
      <c r="E325" s="143">
        <v>367.51</v>
      </c>
      <c r="F325" s="131">
        <f>C325*E325</f>
        <v>788308.95</v>
      </c>
    </row>
    <row r="326" spans="1:6">
      <c r="A326" s="79"/>
      <c r="B326" s="115"/>
      <c r="C326" s="81"/>
      <c r="D326" s="82"/>
      <c r="E326" s="143"/>
      <c r="F326" s="131"/>
    </row>
    <row r="327" spans="1:6">
      <c r="A327" s="79"/>
      <c r="B327" s="115"/>
      <c r="C327" s="81"/>
      <c r="D327" s="82"/>
      <c r="E327" s="143"/>
      <c r="F327" s="131"/>
    </row>
    <row r="328" spans="1:6">
      <c r="A328" s="79"/>
      <c r="B328" s="115"/>
      <c r="C328" s="81"/>
      <c r="D328" s="82"/>
      <c r="E328" s="143"/>
      <c r="F328" s="131"/>
    </row>
    <row r="329" spans="1:6">
      <c r="A329" s="105"/>
      <c r="B329" s="112"/>
      <c r="C329" s="105"/>
      <c r="D329" s="110"/>
      <c r="E329" s="143"/>
      <c r="F329" s="131"/>
    </row>
    <row r="330" spans="1:6">
      <c r="A330" s="105"/>
      <c r="B330" s="112"/>
      <c r="C330" s="105"/>
      <c r="D330" s="110"/>
      <c r="E330" s="143"/>
      <c r="F330" s="131"/>
    </row>
    <row r="331" spans="1:6">
      <c r="A331" s="85"/>
      <c r="B331" s="86"/>
      <c r="C331" s="87"/>
      <c r="D331" s="88"/>
      <c r="E331" s="145"/>
      <c r="F331" s="133"/>
    </row>
    <row r="332" spans="1:6">
      <c r="A332" s="89"/>
      <c r="B332" s="90"/>
      <c r="C332" s="91" t="s">
        <v>35</v>
      </c>
      <c r="D332" s="91"/>
      <c r="E332" s="146" t="s">
        <v>8</v>
      </c>
      <c r="F332" s="134">
        <f>SUM(F303:F327)</f>
        <v>7814592.290000001</v>
      </c>
    </row>
    <row r="333" spans="1:6">
      <c r="A333" s="89"/>
      <c r="B333" s="90"/>
      <c r="C333" s="92"/>
      <c r="D333" s="93"/>
      <c r="E333" s="147"/>
      <c r="F333" s="135"/>
    </row>
    <row r="334" spans="1:6">
      <c r="A334" s="105"/>
      <c r="B334" s="112"/>
      <c r="C334" s="105"/>
      <c r="D334" s="110"/>
      <c r="E334" s="143"/>
      <c r="F334" s="131"/>
    </row>
    <row r="335" spans="1:6" ht="27.6">
      <c r="A335" s="102"/>
      <c r="B335" s="77" t="s">
        <v>157</v>
      </c>
      <c r="C335" s="103"/>
      <c r="D335" s="104"/>
      <c r="E335" s="143"/>
      <c r="F335" s="131"/>
    </row>
    <row r="336" spans="1:6">
      <c r="A336" s="102"/>
      <c r="B336" s="114"/>
      <c r="C336" s="103"/>
      <c r="D336" s="104"/>
      <c r="E336" s="143"/>
      <c r="F336" s="131"/>
    </row>
    <row r="337" spans="1:6" ht="27.6">
      <c r="A337" s="79" t="s">
        <v>16</v>
      </c>
      <c r="B337" s="80" t="s">
        <v>158</v>
      </c>
      <c r="C337" s="81">
        <v>1</v>
      </c>
      <c r="D337" s="82" t="s">
        <v>2</v>
      </c>
      <c r="E337" s="143">
        <v>416376.42</v>
      </c>
      <c r="F337" s="131">
        <f>C337*E337</f>
        <v>416376.42</v>
      </c>
    </row>
    <row r="338" spans="1:6">
      <c r="A338" s="102"/>
      <c r="B338" s="114"/>
      <c r="C338" s="103"/>
      <c r="D338" s="104"/>
      <c r="E338" s="143"/>
      <c r="F338" s="131"/>
    </row>
    <row r="339" spans="1:6" ht="27.6">
      <c r="A339" s="79" t="s">
        <v>19</v>
      </c>
      <c r="B339" s="80" t="s">
        <v>159</v>
      </c>
      <c r="C339" s="81"/>
      <c r="D339" s="82" t="s">
        <v>18</v>
      </c>
      <c r="E339" s="143">
        <v>300</v>
      </c>
      <c r="F339" s="131">
        <f>C339*E339</f>
        <v>0</v>
      </c>
    </row>
    <row r="340" spans="1:6">
      <c r="A340" s="102"/>
      <c r="B340" s="114"/>
      <c r="C340" s="103"/>
      <c r="D340" s="104"/>
      <c r="E340" s="143"/>
      <c r="F340" s="131"/>
    </row>
    <row r="341" spans="1:6">
      <c r="A341" s="148" t="s">
        <v>22</v>
      </c>
      <c r="B341" s="138" t="s">
        <v>160</v>
      </c>
      <c r="C341" s="150">
        <v>1680</v>
      </c>
      <c r="D341" s="149" t="s">
        <v>18</v>
      </c>
      <c r="E341" s="143">
        <v>370.22</v>
      </c>
      <c r="F341" s="131">
        <f>C341*E341</f>
        <v>621969.60000000009</v>
      </c>
    </row>
    <row r="342" spans="1:6">
      <c r="A342" s="102"/>
      <c r="B342" s="114"/>
      <c r="C342" s="103"/>
      <c r="D342" s="104"/>
      <c r="E342" s="143"/>
      <c r="F342" s="131"/>
    </row>
    <row r="343" spans="1:6" ht="55.15">
      <c r="A343" s="79"/>
      <c r="B343" s="117" t="s">
        <v>161</v>
      </c>
      <c r="C343" s="81"/>
      <c r="D343" s="82"/>
      <c r="E343" s="143"/>
      <c r="F343" s="131"/>
    </row>
    <row r="344" spans="1:6">
      <c r="A344" s="102"/>
      <c r="B344" s="114"/>
      <c r="C344" s="103"/>
      <c r="D344" s="104"/>
      <c r="E344" s="143"/>
      <c r="F344" s="131"/>
    </row>
    <row r="345" spans="1:6" ht="27.6">
      <c r="A345" s="79" t="s">
        <v>26</v>
      </c>
      <c r="B345" s="80" t="s">
        <v>162</v>
      </c>
      <c r="C345" s="159">
        <v>37395</v>
      </c>
      <c r="D345" s="82" t="s">
        <v>18</v>
      </c>
      <c r="E345" s="143">
        <v>95.81</v>
      </c>
      <c r="F345" s="131">
        <f>C345*E345</f>
        <v>3582814.95</v>
      </c>
    </row>
    <row r="346" spans="1:6">
      <c r="A346" s="102"/>
      <c r="B346" s="114"/>
      <c r="C346" s="103"/>
      <c r="D346" s="104"/>
      <c r="E346" s="143"/>
      <c r="F346" s="131"/>
    </row>
    <row r="347" spans="1:6" ht="27.6">
      <c r="A347" s="79" t="s">
        <v>29</v>
      </c>
      <c r="B347" s="80" t="s">
        <v>163</v>
      </c>
      <c r="C347" s="81">
        <v>606</v>
      </c>
      <c r="D347" s="82" t="s">
        <v>103</v>
      </c>
      <c r="E347" s="143">
        <v>302.18</v>
      </c>
      <c r="F347" s="131">
        <f>C347*E347</f>
        <v>183121.08000000002</v>
      </c>
    </row>
    <row r="348" spans="1:6">
      <c r="A348" s="105"/>
      <c r="B348" s="112"/>
      <c r="C348" s="105"/>
      <c r="D348" s="110"/>
      <c r="E348" s="143"/>
      <c r="F348" s="131"/>
    </row>
    <row r="349" spans="1:6" s="166" customFormat="1">
      <c r="A349" s="160"/>
      <c r="B349" s="161"/>
      <c r="C349" s="162"/>
      <c r="D349" s="163"/>
      <c r="E349" s="164"/>
      <c r="F349" s="165"/>
    </row>
    <row r="350" spans="1:6" s="166" customFormat="1">
      <c r="A350" s="167"/>
      <c r="B350" s="170"/>
      <c r="C350" s="167"/>
      <c r="D350" s="168"/>
      <c r="E350" s="164"/>
      <c r="F350" s="165"/>
    </row>
    <row r="351" spans="1:6" s="166" customFormat="1">
      <c r="A351" s="167"/>
      <c r="B351" s="171"/>
      <c r="C351" s="167"/>
      <c r="D351" s="168"/>
      <c r="E351" s="164"/>
      <c r="F351" s="165"/>
    </row>
    <row r="352" spans="1:6" s="166" customFormat="1">
      <c r="A352" s="160"/>
      <c r="B352" s="161"/>
      <c r="C352" s="162"/>
      <c r="D352" s="163"/>
      <c r="E352" s="164"/>
      <c r="F352" s="165"/>
    </row>
    <row r="353" spans="1:6">
      <c r="A353" s="105"/>
      <c r="B353" s="112"/>
      <c r="C353" s="105"/>
      <c r="D353" s="110"/>
      <c r="E353" s="143"/>
      <c r="F353" s="131"/>
    </row>
    <row r="354" spans="1:6">
      <c r="A354" s="105"/>
      <c r="B354" s="112"/>
      <c r="C354" s="105"/>
      <c r="D354" s="110"/>
      <c r="E354" s="143"/>
      <c r="F354" s="131"/>
    </row>
    <row r="355" spans="1:6">
      <c r="A355" s="105"/>
      <c r="B355" s="112"/>
      <c r="C355" s="105"/>
      <c r="D355" s="110"/>
      <c r="E355" s="143"/>
      <c r="F355" s="131"/>
    </row>
    <row r="356" spans="1:6">
      <c r="A356" s="105"/>
      <c r="B356" s="112"/>
      <c r="C356" s="105"/>
      <c r="D356" s="110"/>
      <c r="E356" s="143"/>
      <c r="F356" s="131"/>
    </row>
    <row r="357" spans="1:6">
      <c r="A357" s="105"/>
      <c r="B357" s="112"/>
      <c r="C357" s="105"/>
      <c r="D357" s="110"/>
      <c r="E357" s="143"/>
      <c r="F357" s="131"/>
    </row>
    <row r="358" spans="1:6">
      <c r="A358" s="105"/>
      <c r="B358" s="112"/>
      <c r="C358" s="105"/>
      <c r="D358" s="110"/>
      <c r="E358" s="143"/>
      <c r="F358" s="131"/>
    </row>
    <row r="359" spans="1:6">
      <c r="A359" s="105"/>
      <c r="B359" s="112"/>
      <c r="C359" s="105"/>
      <c r="D359" s="110"/>
      <c r="E359" s="143"/>
      <c r="F359" s="131"/>
    </row>
    <row r="360" spans="1:6">
      <c r="A360" s="105"/>
      <c r="B360" s="112"/>
      <c r="C360" s="105"/>
      <c r="D360" s="110"/>
      <c r="E360" s="143"/>
      <c r="F360" s="131"/>
    </row>
    <row r="361" spans="1:6">
      <c r="A361" s="105"/>
      <c r="B361" s="112"/>
      <c r="C361" s="105"/>
      <c r="D361" s="110"/>
      <c r="E361" s="143"/>
      <c r="F361" s="131"/>
    </row>
    <row r="362" spans="1:6">
      <c r="A362" s="105"/>
      <c r="B362" s="112"/>
      <c r="C362" s="105"/>
      <c r="D362" s="110"/>
      <c r="E362" s="143"/>
      <c r="F362" s="131"/>
    </row>
    <row r="363" spans="1:6">
      <c r="A363" s="105"/>
      <c r="B363" s="112"/>
      <c r="C363" s="105"/>
      <c r="D363" s="110"/>
      <c r="E363" s="143"/>
      <c r="F363" s="131"/>
    </row>
    <row r="364" spans="1:6">
      <c r="A364" s="105"/>
      <c r="B364" s="112"/>
      <c r="C364" s="105"/>
      <c r="D364" s="110"/>
      <c r="E364" s="143"/>
      <c r="F364" s="131"/>
    </row>
    <row r="365" spans="1:6">
      <c r="A365" s="105"/>
      <c r="B365" s="112"/>
      <c r="C365" s="105"/>
      <c r="D365" s="110"/>
      <c r="E365" s="143"/>
      <c r="F365" s="131"/>
    </row>
    <row r="366" spans="1:6">
      <c r="A366" s="105"/>
      <c r="B366" s="112"/>
      <c r="C366" s="105"/>
      <c r="D366" s="110"/>
      <c r="E366" s="143"/>
      <c r="F366" s="131"/>
    </row>
    <row r="367" spans="1:6">
      <c r="A367" s="105"/>
      <c r="B367" s="112"/>
      <c r="C367" s="105"/>
      <c r="D367" s="110"/>
      <c r="E367" s="143"/>
      <c r="F367" s="131"/>
    </row>
    <row r="368" spans="1:6">
      <c r="A368" s="105"/>
      <c r="B368" s="112"/>
      <c r="C368" s="105"/>
      <c r="D368" s="110"/>
      <c r="E368" s="143"/>
      <c r="F368" s="131"/>
    </row>
    <row r="369" spans="1:6">
      <c r="A369" s="105"/>
      <c r="B369" s="112"/>
      <c r="C369" s="105"/>
      <c r="D369" s="110"/>
      <c r="E369" s="143"/>
      <c r="F369" s="131"/>
    </row>
    <row r="370" spans="1:6">
      <c r="A370" s="85"/>
      <c r="B370" s="86"/>
      <c r="C370" s="87"/>
      <c r="D370" s="88"/>
      <c r="E370" s="145"/>
      <c r="F370" s="133"/>
    </row>
    <row r="371" spans="1:6">
      <c r="A371" s="89"/>
      <c r="B371" s="90"/>
      <c r="C371" s="91" t="s">
        <v>35</v>
      </c>
      <c r="D371" s="91"/>
      <c r="E371" s="146" t="s">
        <v>8</v>
      </c>
      <c r="F371" s="134">
        <f>SUM(F336:F352)</f>
        <v>4804282.0500000007</v>
      </c>
    </row>
    <row r="372" spans="1:6">
      <c r="A372" s="89"/>
      <c r="B372" s="90"/>
      <c r="C372" s="92"/>
      <c r="D372" s="93"/>
      <c r="E372" s="147"/>
      <c r="F372" s="135"/>
    </row>
    <row r="373" spans="1:6">
      <c r="A373" s="105"/>
      <c r="B373" s="112"/>
      <c r="C373" s="105"/>
      <c r="D373" s="110"/>
      <c r="E373" s="143"/>
      <c r="F373" s="131"/>
    </row>
    <row r="374" spans="1:6" ht="27.6">
      <c r="A374" s="102"/>
      <c r="B374" s="77" t="s">
        <v>164</v>
      </c>
      <c r="C374" s="103"/>
      <c r="D374" s="104"/>
      <c r="E374" s="143"/>
      <c r="F374" s="131"/>
    </row>
    <row r="375" spans="1:6">
      <c r="A375" s="102"/>
      <c r="B375" s="114"/>
      <c r="C375" s="103"/>
      <c r="D375" s="104"/>
      <c r="E375" s="143"/>
      <c r="F375" s="131"/>
    </row>
    <row r="376" spans="1:6">
      <c r="A376" s="79"/>
      <c r="B376" s="115" t="s">
        <v>135</v>
      </c>
      <c r="C376" s="81"/>
      <c r="D376" s="82"/>
      <c r="E376" s="143"/>
      <c r="F376" s="131"/>
    </row>
    <row r="377" spans="1:6">
      <c r="A377" s="102"/>
      <c r="B377" s="114"/>
      <c r="C377" s="103"/>
      <c r="D377" s="104"/>
      <c r="E377" s="143"/>
      <c r="F377" s="131"/>
    </row>
    <row r="378" spans="1:6" ht="110.45">
      <c r="A378" s="79"/>
      <c r="B378" s="115" t="s">
        <v>165</v>
      </c>
      <c r="C378" s="81"/>
      <c r="D378" s="82"/>
      <c r="E378" s="143"/>
      <c r="F378" s="131"/>
    </row>
    <row r="379" spans="1:6">
      <c r="A379" s="102"/>
      <c r="B379" s="114"/>
      <c r="C379" s="103"/>
      <c r="D379" s="104"/>
      <c r="E379" s="143"/>
      <c r="F379" s="131"/>
    </row>
    <row r="380" spans="1:6" ht="27.6">
      <c r="A380" s="79"/>
      <c r="B380" s="115" t="s">
        <v>166</v>
      </c>
      <c r="C380" s="81"/>
      <c r="D380" s="82"/>
      <c r="E380" s="143"/>
      <c r="F380" s="131"/>
    </row>
    <row r="381" spans="1:6">
      <c r="A381" s="102"/>
      <c r="B381" s="114"/>
      <c r="C381" s="103"/>
      <c r="D381" s="104"/>
      <c r="E381" s="143"/>
      <c r="F381" s="131"/>
    </row>
    <row r="382" spans="1:6" ht="27.6">
      <c r="A382" s="79"/>
      <c r="B382" s="115" t="s">
        <v>167</v>
      </c>
      <c r="C382" s="81"/>
      <c r="D382" s="82"/>
      <c r="E382" s="143"/>
      <c r="F382" s="131"/>
    </row>
    <row r="383" spans="1:6">
      <c r="A383" s="102"/>
      <c r="B383" s="114"/>
      <c r="C383" s="103"/>
      <c r="D383" s="104"/>
      <c r="E383" s="143"/>
      <c r="F383" s="131"/>
    </row>
    <row r="384" spans="1:6" ht="27.6">
      <c r="A384" s="79"/>
      <c r="B384" s="115" t="s">
        <v>168</v>
      </c>
      <c r="C384" s="81"/>
      <c r="D384" s="82"/>
      <c r="E384" s="143"/>
      <c r="F384" s="131"/>
    </row>
    <row r="385" spans="1:6">
      <c r="A385" s="102"/>
      <c r="B385" s="114"/>
      <c r="C385" s="103"/>
      <c r="D385" s="104"/>
      <c r="E385" s="143"/>
      <c r="F385" s="131"/>
    </row>
    <row r="386" spans="1:6" ht="27.6">
      <c r="A386" s="79"/>
      <c r="B386" s="115" t="s">
        <v>169</v>
      </c>
      <c r="C386" s="81"/>
      <c r="D386" s="82"/>
      <c r="E386" s="143"/>
      <c r="F386" s="131"/>
    </row>
    <row r="387" spans="1:6">
      <c r="A387" s="102"/>
      <c r="B387" s="114"/>
      <c r="C387" s="103"/>
      <c r="D387" s="104"/>
      <c r="E387" s="143"/>
      <c r="F387" s="131"/>
    </row>
    <row r="388" spans="1:6" ht="41.45">
      <c r="A388" s="79"/>
      <c r="B388" s="115" t="s">
        <v>170</v>
      </c>
      <c r="C388" s="81"/>
      <c r="D388" s="82"/>
      <c r="E388" s="143"/>
      <c r="F388" s="131"/>
    </row>
    <row r="389" spans="1:6">
      <c r="A389" s="102"/>
      <c r="B389" s="114"/>
      <c r="C389" s="103"/>
      <c r="D389" s="104"/>
      <c r="E389" s="143"/>
      <c r="F389" s="131"/>
    </row>
    <row r="390" spans="1:6" ht="55.15">
      <c r="A390" s="79"/>
      <c r="B390" s="115" t="s">
        <v>171</v>
      </c>
      <c r="C390" s="81"/>
      <c r="D390" s="82"/>
      <c r="E390" s="143"/>
      <c r="F390" s="131"/>
    </row>
    <row r="391" spans="1:6">
      <c r="A391" s="102"/>
      <c r="B391" s="114"/>
      <c r="C391" s="103"/>
      <c r="D391" s="104"/>
      <c r="E391" s="143"/>
      <c r="F391" s="131"/>
    </row>
    <row r="392" spans="1:6" ht="69">
      <c r="A392" s="79"/>
      <c r="B392" s="117" t="s">
        <v>172</v>
      </c>
      <c r="C392" s="81"/>
      <c r="D392" s="82"/>
      <c r="E392" s="143"/>
      <c r="F392" s="131"/>
    </row>
    <row r="393" spans="1:6">
      <c r="A393" s="102"/>
      <c r="B393" s="114"/>
      <c r="C393" s="103"/>
      <c r="D393" s="104"/>
      <c r="E393" s="143"/>
      <c r="F393" s="131"/>
    </row>
    <row r="394" spans="1:6">
      <c r="A394" s="79" t="s">
        <v>16</v>
      </c>
      <c r="B394" s="80" t="s">
        <v>173</v>
      </c>
      <c r="C394" s="81" t="s">
        <v>149</v>
      </c>
      <c r="D394" s="82" t="s">
        <v>174</v>
      </c>
      <c r="E394" s="143">
        <v>32348.799999999999</v>
      </c>
      <c r="F394" s="131">
        <f>C394*E394</f>
        <v>64697.599999999999</v>
      </c>
    </row>
    <row r="395" spans="1:6">
      <c r="A395" s="105"/>
      <c r="B395" s="112"/>
      <c r="C395" s="105"/>
      <c r="D395" s="110"/>
      <c r="E395" s="143"/>
      <c r="F395" s="131"/>
    </row>
    <row r="396" spans="1:6">
      <c r="A396" s="105"/>
      <c r="B396" s="112"/>
      <c r="C396" s="105"/>
      <c r="D396" s="110"/>
      <c r="E396" s="143"/>
      <c r="F396" s="131"/>
    </row>
    <row r="397" spans="1:6">
      <c r="A397" s="105"/>
      <c r="B397" s="112"/>
      <c r="C397" s="105"/>
      <c r="D397" s="110"/>
      <c r="E397" s="143"/>
      <c r="F397" s="131"/>
    </row>
    <row r="398" spans="1:6">
      <c r="A398" s="105"/>
      <c r="B398" s="112"/>
      <c r="C398" s="105"/>
      <c r="D398" s="110"/>
      <c r="E398" s="143"/>
      <c r="F398" s="131"/>
    </row>
    <row r="399" spans="1:6">
      <c r="A399" s="105"/>
      <c r="B399" s="112"/>
      <c r="C399" s="105"/>
      <c r="D399" s="110"/>
      <c r="E399" s="143"/>
      <c r="F399" s="131"/>
    </row>
    <row r="400" spans="1:6">
      <c r="A400" s="85"/>
      <c r="B400" s="86"/>
      <c r="C400" s="87"/>
      <c r="D400" s="88"/>
      <c r="E400" s="145"/>
      <c r="F400" s="133"/>
    </row>
    <row r="401" spans="1:6">
      <c r="A401" s="89"/>
      <c r="B401" s="90"/>
      <c r="C401" s="91" t="s">
        <v>35</v>
      </c>
      <c r="D401" s="91"/>
      <c r="E401" s="146" t="s">
        <v>8</v>
      </c>
      <c r="F401" s="134">
        <f>SUM(F378:F399)</f>
        <v>64697.599999999999</v>
      </c>
    </row>
    <row r="402" spans="1:6">
      <c r="A402" s="89"/>
      <c r="B402" s="90"/>
      <c r="C402" s="92"/>
      <c r="D402" s="93"/>
      <c r="E402" s="147"/>
      <c r="F402" s="135"/>
    </row>
    <row r="403" spans="1:6">
      <c r="A403" s="105"/>
      <c r="B403" s="112"/>
      <c r="C403" s="105"/>
      <c r="D403" s="110"/>
      <c r="E403" s="143"/>
      <c r="F403" s="131"/>
    </row>
    <row r="404" spans="1:6" ht="27.6">
      <c r="A404" s="102"/>
      <c r="B404" s="77" t="s">
        <v>175</v>
      </c>
      <c r="C404" s="103"/>
      <c r="D404" s="104"/>
      <c r="E404" s="143"/>
      <c r="F404" s="131"/>
    </row>
    <row r="405" spans="1:6">
      <c r="A405" s="102"/>
      <c r="B405" s="114"/>
      <c r="C405" s="103"/>
      <c r="D405" s="104"/>
      <c r="E405" s="143"/>
      <c r="F405" s="131"/>
    </row>
    <row r="406" spans="1:6" ht="69">
      <c r="A406" s="79"/>
      <c r="B406" s="117" t="s">
        <v>176</v>
      </c>
      <c r="C406" s="81"/>
      <c r="D406" s="82"/>
      <c r="E406" s="143"/>
      <c r="F406" s="131"/>
    </row>
    <row r="407" spans="1:6">
      <c r="A407" s="102"/>
      <c r="B407" s="114"/>
      <c r="C407" s="103"/>
      <c r="D407" s="104"/>
      <c r="E407" s="143"/>
      <c r="F407" s="131"/>
    </row>
    <row r="408" spans="1:6">
      <c r="A408" s="79" t="s">
        <v>16</v>
      </c>
      <c r="B408" s="80" t="s">
        <v>177</v>
      </c>
      <c r="C408" s="81" t="s">
        <v>178</v>
      </c>
      <c r="D408" s="82" t="s">
        <v>44</v>
      </c>
      <c r="E408" s="143">
        <v>88418.96</v>
      </c>
      <c r="F408" s="131">
        <f>C408*E408</f>
        <v>353675.84</v>
      </c>
    </row>
    <row r="409" spans="1:6">
      <c r="A409" s="102"/>
      <c r="B409" s="114"/>
      <c r="C409" s="103"/>
      <c r="D409" s="104"/>
      <c r="E409" s="143"/>
      <c r="F409" s="131"/>
    </row>
    <row r="410" spans="1:6" ht="124.15">
      <c r="A410" s="79"/>
      <c r="B410" s="117" t="s">
        <v>179</v>
      </c>
      <c r="C410" s="81"/>
      <c r="D410" s="82"/>
      <c r="E410" s="143"/>
      <c r="F410" s="131"/>
    </row>
    <row r="411" spans="1:6">
      <c r="A411" s="102"/>
      <c r="B411" s="114"/>
      <c r="C411" s="103"/>
      <c r="D411" s="104"/>
      <c r="E411" s="143"/>
      <c r="F411" s="131"/>
    </row>
    <row r="412" spans="1:6">
      <c r="A412" s="79" t="s">
        <v>19</v>
      </c>
      <c r="B412" s="80" t="s">
        <v>180</v>
      </c>
      <c r="C412" s="81" t="s">
        <v>181</v>
      </c>
      <c r="D412" s="82" t="s">
        <v>103</v>
      </c>
      <c r="E412" s="143">
        <v>60.24</v>
      </c>
      <c r="F412" s="131">
        <f>C412*E412</f>
        <v>32409.120000000003</v>
      </c>
    </row>
    <row r="413" spans="1:6">
      <c r="A413" s="102"/>
      <c r="B413" s="114"/>
      <c r="C413" s="103"/>
      <c r="D413" s="104"/>
      <c r="E413" s="143"/>
      <c r="F413" s="131"/>
    </row>
    <row r="414" spans="1:6">
      <c r="A414" s="79" t="s">
        <v>22</v>
      </c>
      <c r="B414" s="80" t="s">
        <v>182</v>
      </c>
      <c r="C414" s="81" t="s">
        <v>80</v>
      </c>
      <c r="D414" s="82" t="s">
        <v>103</v>
      </c>
      <c r="E414" s="143">
        <v>60.26</v>
      </c>
      <c r="F414" s="131">
        <f>C414*E414</f>
        <v>482.08</v>
      </c>
    </row>
    <row r="415" spans="1:6">
      <c r="A415" s="102"/>
      <c r="B415" s="114"/>
      <c r="C415" s="103"/>
      <c r="D415" s="104"/>
      <c r="E415" s="143"/>
      <c r="F415" s="131"/>
    </row>
    <row r="416" spans="1:6">
      <c r="A416" s="79" t="s">
        <v>26</v>
      </c>
      <c r="B416" s="80" t="s">
        <v>183</v>
      </c>
      <c r="C416" s="81" t="s">
        <v>127</v>
      </c>
      <c r="D416" s="82" t="s">
        <v>103</v>
      </c>
      <c r="E416" s="143">
        <v>61.15</v>
      </c>
      <c r="F416" s="131">
        <f>C416*E416</f>
        <v>305.75</v>
      </c>
    </row>
    <row r="417" spans="1:6">
      <c r="A417" s="102"/>
      <c r="B417" s="114"/>
      <c r="C417" s="103"/>
      <c r="D417" s="104"/>
      <c r="E417" s="143"/>
      <c r="F417" s="131"/>
    </row>
    <row r="418" spans="1:6">
      <c r="A418" s="79" t="s">
        <v>29</v>
      </c>
      <c r="B418" s="80" t="s">
        <v>184</v>
      </c>
      <c r="C418" s="81" t="s">
        <v>185</v>
      </c>
      <c r="D418" s="82" t="s">
        <v>103</v>
      </c>
      <c r="E418" s="143">
        <v>154.83000000000001</v>
      </c>
      <c r="F418" s="131">
        <f>C418*E418</f>
        <v>8360.8200000000015</v>
      </c>
    </row>
    <row r="419" spans="1:6">
      <c r="A419" s="102"/>
      <c r="B419" s="114"/>
      <c r="C419" s="103"/>
      <c r="D419" s="104"/>
      <c r="E419" s="143"/>
      <c r="F419" s="131"/>
    </row>
    <row r="420" spans="1:6">
      <c r="A420" s="79" t="s">
        <v>33</v>
      </c>
      <c r="B420" s="80" t="s">
        <v>186</v>
      </c>
      <c r="C420" s="81" t="s">
        <v>187</v>
      </c>
      <c r="D420" s="82" t="s">
        <v>103</v>
      </c>
      <c r="E420" s="143">
        <v>154.83000000000001</v>
      </c>
      <c r="F420" s="131">
        <f>C420*E420</f>
        <v>17031.300000000003</v>
      </c>
    </row>
    <row r="421" spans="1:6">
      <c r="A421" s="102"/>
      <c r="B421" s="114"/>
      <c r="C421" s="103"/>
      <c r="D421" s="104"/>
      <c r="E421" s="143"/>
      <c r="F421" s="131"/>
    </row>
    <row r="422" spans="1:6">
      <c r="A422" s="79" t="s">
        <v>45</v>
      </c>
      <c r="B422" s="80" t="s">
        <v>188</v>
      </c>
      <c r="C422" s="81" t="s">
        <v>189</v>
      </c>
      <c r="D422" s="82" t="s">
        <v>103</v>
      </c>
      <c r="E422" s="143">
        <v>43.03</v>
      </c>
      <c r="F422" s="131">
        <f>C422*E422</f>
        <v>1161.81</v>
      </c>
    </row>
    <row r="423" spans="1:6">
      <c r="A423" s="102"/>
      <c r="B423" s="114"/>
      <c r="C423" s="103"/>
      <c r="D423" s="104"/>
      <c r="E423" s="143"/>
      <c r="F423" s="131"/>
    </row>
    <row r="424" spans="1:6">
      <c r="A424" s="79" t="s">
        <v>49</v>
      </c>
      <c r="B424" s="80" t="s">
        <v>190</v>
      </c>
      <c r="C424" s="81" t="s">
        <v>108</v>
      </c>
      <c r="D424" s="82" t="s">
        <v>103</v>
      </c>
      <c r="E424" s="143">
        <v>33.1</v>
      </c>
      <c r="F424" s="131">
        <f>C424*E424</f>
        <v>761.30000000000007</v>
      </c>
    </row>
    <row r="425" spans="1:6">
      <c r="A425" s="102"/>
      <c r="B425" s="114"/>
      <c r="C425" s="103"/>
      <c r="D425" s="104"/>
      <c r="E425" s="143"/>
      <c r="F425" s="131"/>
    </row>
    <row r="426" spans="1:6">
      <c r="A426" s="79" t="s">
        <v>61</v>
      </c>
      <c r="B426" s="80" t="s">
        <v>191</v>
      </c>
      <c r="C426" s="81" t="s">
        <v>192</v>
      </c>
      <c r="D426" s="82" t="s">
        <v>103</v>
      </c>
      <c r="E426" s="143">
        <v>33.75</v>
      </c>
      <c r="F426" s="131">
        <f>C426*E426</f>
        <v>17718.75</v>
      </c>
    </row>
    <row r="427" spans="1:6">
      <c r="A427" s="102"/>
      <c r="B427" s="114"/>
      <c r="C427" s="103"/>
      <c r="D427" s="104"/>
      <c r="E427" s="143"/>
      <c r="F427" s="131"/>
    </row>
    <row r="428" spans="1:6">
      <c r="A428" s="79" t="s">
        <v>63</v>
      </c>
      <c r="B428" s="80" t="s">
        <v>193</v>
      </c>
      <c r="C428" s="81" t="s">
        <v>194</v>
      </c>
      <c r="D428" s="82" t="s">
        <v>103</v>
      </c>
      <c r="E428" s="143">
        <v>33.75</v>
      </c>
      <c r="F428" s="131">
        <f>C428*E428</f>
        <v>1687.5</v>
      </c>
    </row>
    <row r="429" spans="1:6">
      <c r="A429" s="102"/>
      <c r="B429" s="114"/>
      <c r="C429" s="103"/>
      <c r="D429" s="104"/>
      <c r="E429" s="143"/>
      <c r="F429" s="131"/>
    </row>
    <row r="430" spans="1:6">
      <c r="A430" s="79" t="s">
        <v>66</v>
      </c>
      <c r="B430" s="80" t="s">
        <v>195</v>
      </c>
      <c r="C430" s="81" t="s">
        <v>196</v>
      </c>
      <c r="D430" s="82" t="s">
        <v>103</v>
      </c>
      <c r="E430" s="143">
        <v>54.92</v>
      </c>
      <c r="F430" s="131">
        <f>C430*E430</f>
        <v>4393.6000000000004</v>
      </c>
    </row>
    <row r="431" spans="1:6">
      <c r="A431" s="102"/>
      <c r="B431" s="114"/>
      <c r="C431" s="103"/>
      <c r="D431" s="104"/>
      <c r="E431" s="143"/>
      <c r="F431" s="131"/>
    </row>
    <row r="432" spans="1:6">
      <c r="A432" s="79" t="s">
        <v>70</v>
      </c>
      <c r="B432" s="80" t="s">
        <v>197</v>
      </c>
      <c r="C432" s="81" t="s">
        <v>198</v>
      </c>
      <c r="D432" s="82" t="s">
        <v>103</v>
      </c>
      <c r="E432" s="143">
        <v>66.66</v>
      </c>
      <c r="F432" s="131">
        <f>C432*E432</f>
        <v>4266.24</v>
      </c>
    </row>
    <row r="433" spans="1:6">
      <c r="A433" s="102"/>
      <c r="B433" s="114"/>
      <c r="C433" s="103"/>
      <c r="D433" s="104"/>
      <c r="E433" s="143"/>
      <c r="F433" s="131"/>
    </row>
    <row r="434" spans="1:6">
      <c r="A434" s="79" t="s">
        <v>199</v>
      </c>
      <c r="B434" s="80" t="s">
        <v>200</v>
      </c>
      <c r="C434" s="81" t="s">
        <v>201</v>
      </c>
      <c r="D434" s="82" t="s">
        <v>103</v>
      </c>
      <c r="E434" s="143">
        <v>43.03</v>
      </c>
      <c r="F434" s="131">
        <f>C434*E434</f>
        <v>10972.65</v>
      </c>
    </row>
    <row r="435" spans="1:6">
      <c r="A435" s="79"/>
      <c r="B435" s="115"/>
      <c r="C435" s="81"/>
      <c r="D435" s="82"/>
      <c r="E435" s="143"/>
      <c r="F435" s="131"/>
    </row>
    <row r="436" spans="1:6">
      <c r="A436" s="79"/>
      <c r="B436" s="115"/>
      <c r="C436" s="81"/>
      <c r="D436" s="82"/>
      <c r="E436" s="143"/>
      <c r="F436" s="131"/>
    </row>
    <row r="437" spans="1:6">
      <c r="A437" s="102"/>
      <c r="B437" s="114"/>
      <c r="C437" s="103"/>
      <c r="D437" s="104"/>
      <c r="E437" s="143"/>
      <c r="F437" s="131"/>
    </row>
    <row r="438" spans="1:6">
      <c r="A438" s="85"/>
      <c r="B438" s="86"/>
      <c r="C438" s="87"/>
      <c r="D438" s="88"/>
      <c r="E438" s="145"/>
      <c r="F438" s="133"/>
    </row>
    <row r="439" spans="1:6">
      <c r="A439" s="89"/>
      <c r="B439" s="90"/>
      <c r="C439" s="91" t="s">
        <v>35</v>
      </c>
      <c r="D439" s="91"/>
      <c r="E439" s="146" t="s">
        <v>8</v>
      </c>
      <c r="F439" s="134">
        <f>SUM(F406:F436)</f>
        <v>453226.76</v>
      </c>
    </row>
    <row r="440" spans="1:6">
      <c r="A440" s="89"/>
      <c r="B440" s="90"/>
      <c r="C440" s="92"/>
      <c r="D440" s="93"/>
      <c r="E440" s="147"/>
      <c r="F440" s="135"/>
    </row>
    <row r="441" spans="1:6">
      <c r="A441" s="102"/>
      <c r="B441" s="114"/>
      <c r="C441" s="103"/>
      <c r="D441" s="104"/>
      <c r="E441" s="143"/>
      <c r="F441" s="131"/>
    </row>
    <row r="442" spans="1:6" ht="27.6">
      <c r="A442" s="102"/>
      <c r="B442" s="77" t="s">
        <v>175</v>
      </c>
      <c r="C442" s="103"/>
      <c r="D442" s="104"/>
      <c r="E442" s="143"/>
      <c r="F442" s="131"/>
    </row>
    <row r="443" spans="1:6">
      <c r="A443" s="102"/>
      <c r="B443" s="114"/>
      <c r="C443" s="103"/>
      <c r="D443" s="104"/>
      <c r="E443" s="143"/>
      <c r="F443" s="131"/>
    </row>
    <row r="444" spans="1:6">
      <c r="A444" s="79" t="s">
        <v>16</v>
      </c>
      <c r="B444" s="80" t="s">
        <v>202</v>
      </c>
      <c r="C444" s="81" t="s">
        <v>149</v>
      </c>
      <c r="D444" s="82" t="s">
        <v>103</v>
      </c>
      <c r="E444" s="143">
        <v>33.08</v>
      </c>
      <c r="F444" s="131">
        <f>C444*E444</f>
        <v>66.16</v>
      </c>
    </row>
    <row r="445" spans="1:6">
      <c r="A445" s="102"/>
      <c r="B445" s="114"/>
      <c r="C445" s="103"/>
      <c r="D445" s="104"/>
      <c r="E445" s="143"/>
      <c r="F445" s="131"/>
    </row>
    <row r="446" spans="1:6">
      <c r="A446" s="79" t="s">
        <v>19</v>
      </c>
      <c r="B446" s="80" t="s">
        <v>203</v>
      </c>
      <c r="C446" s="81" t="s">
        <v>204</v>
      </c>
      <c r="D446" s="82" t="s">
        <v>103</v>
      </c>
      <c r="E446" s="143">
        <v>33.1</v>
      </c>
      <c r="F446" s="131">
        <f>C446*E446</f>
        <v>20886.100000000002</v>
      </c>
    </row>
    <row r="447" spans="1:6">
      <c r="A447" s="102"/>
      <c r="B447" s="114"/>
      <c r="C447" s="103"/>
      <c r="D447" s="104"/>
      <c r="E447" s="143"/>
      <c r="F447" s="131"/>
    </row>
    <row r="448" spans="1:6">
      <c r="A448" s="79" t="s">
        <v>22</v>
      </c>
      <c r="B448" s="80" t="s">
        <v>205</v>
      </c>
      <c r="C448" s="81" t="s">
        <v>206</v>
      </c>
      <c r="D448" s="82" t="s">
        <v>103</v>
      </c>
      <c r="E448" s="143">
        <v>33.1</v>
      </c>
      <c r="F448" s="131">
        <f>C448*E448</f>
        <v>14398.5</v>
      </c>
    </row>
    <row r="449" spans="1:6">
      <c r="A449" s="102"/>
      <c r="B449" s="114"/>
      <c r="C449" s="103"/>
      <c r="D449" s="104"/>
      <c r="E449" s="143"/>
      <c r="F449" s="131"/>
    </row>
    <row r="450" spans="1:6">
      <c r="A450" s="79" t="s">
        <v>26</v>
      </c>
      <c r="B450" s="80" t="s">
        <v>207</v>
      </c>
      <c r="C450" s="81" t="s">
        <v>208</v>
      </c>
      <c r="D450" s="82" t="s">
        <v>103</v>
      </c>
      <c r="E450" s="143">
        <v>33.75</v>
      </c>
      <c r="F450" s="131">
        <f>C450*E450</f>
        <v>7897.5</v>
      </c>
    </row>
    <row r="451" spans="1:6">
      <c r="A451" s="102"/>
      <c r="B451" s="114"/>
      <c r="C451" s="103"/>
      <c r="D451" s="104"/>
      <c r="E451" s="143"/>
      <c r="F451" s="131"/>
    </row>
    <row r="452" spans="1:6">
      <c r="A452" s="79" t="s">
        <v>29</v>
      </c>
      <c r="B452" s="80" t="s">
        <v>209</v>
      </c>
      <c r="C452" s="81" t="s">
        <v>210</v>
      </c>
      <c r="D452" s="82" t="s">
        <v>103</v>
      </c>
      <c r="E452" s="143">
        <v>33.75</v>
      </c>
      <c r="F452" s="131">
        <f>C452*E452</f>
        <v>1755</v>
      </c>
    </row>
    <row r="453" spans="1:6">
      <c r="A453" s="102"/>
      <c r="B453" s="114"/>
      <c r="C453" s="103"/>
      <c r="D453" s="104"/>
      <c r="E453" s="143"/>
      <c r="F453" s="131"/>
    </row>
    <row r="454" spans="1:6">
      <c r="A454" s="79" t="s">
        <v>33</v>
      </c>
      <c r="B454" s="80" t="s">
        <v>211</v>
      </c>
      <c r="C454" s="81" t="s">
        <v>212</v>
      </c>
      <c r="D454" s="82" t="s">
        <v>103</v>
      </c>
      <c r="E454" s="143">
        <v>54.92</v>
      </c>
      <c r="F454" s="131">
        <f>C454*E454</f>
        <v>494.28000000000003</v>
      </c>
    </row>
    <row r="455" spans="1:6">
      <c r="A455" s="102"/>
      <c r="B455" s="114"/>
      <c r="C455" s="103"/>
      <c r="D455" s="104"/>
      <c r="E455" s="143"/>
      <c r="F455" s="131"/>
    </row>
    <row r="456" spans="1:6">
      <c r="A456" s="79" t="s">
        <v>45</v>
      </c>
      <c r="B456" s="80" t="s">
        <v>213</v>
      </c>
      <c r="C456" s="81" t="s">
        <v>214</v>
      </c>
      <c r="D456" s="82" t="s">
        <v>103</v>
      </c>
      <c r="E456" s="143">
        <v>54.92</v>
      </c>
      <c r="F456" s="131">
        <f>C456*E456</f>
        <v>12137.32</v>
      </c>
    </row>
    <row r="457" spans="1:6">
      <c r="A457" s="102"/>
      <c r="B457" s="114"/>
      <c r="C457" s="103"/>
      <c r="D457" s="104"/>
      <c r="E457" s="143"/>
      <c r="F457" s="131"/>
    </row>
    <row r="458" spans="1:6">
      <c r="A458" s="79" t="s">
        <v>49</v>
      </c>
      <c r="B458" s="80" t="s">
        <v>215</v>
      </c>
      <c r="C458" s="81" t="s">
        <v>216</v>
      </c>
      <c r="D458" s="82" t="s">
        <v>103</v>
      </c>
      <c r="E458" s="143">
        <v>66.66</v>
      </c>
      <c r="F458" s="131">
        <f>C458*E458</f>
        <v>11198.88</v>
      </c>
    </row>
    <row r="459" spans="1:6">
      <c r="A459" s="102"/>
      <c r="B459" s="114"/>
      <c r="C459" s="103"/>
      <c r="D459" s="104"/>
      <c r="E459" s="143"/>
      <c r="F459" s="131"/>
    </row>
    <row r="460" spans="1:6">
      <c r="A460" s="79" t="s">
        <v>61</v>
      </c>
      <c r="B460" s="80" t="s">
        <v>217</v>
      </c>
      <c r="C460" s="81" t="s">
        <v>218</v>
      </c>
      <c r="D460" s="82" t="s">
        <v>103</v>
      </c>
      <c r="E460" s="143">
        <v>43.03</v>
      </c>
      <c r="F460" s="131">
        <f>C460*E460</f>
        <v>1678.17</v>
      </c>
    </row>
    <row r="461" spans="1:6">
      <c r="A461" s="102"/>
      <c r="B461" s="114"/>
      <c r="C461" s="103"/>
      <c r="D461" s="104"/>
      <c r="E461" s="143"/>
      <c r="F461" s="131"/>
    </row>
    <row r="462" spans="1:6">
      <c r="A462" s="79" t="s">
        <v>63</v>
      </c>
      <c r="B462" s="80" t="s">
        <v>219</v>
      </c>
      <c r="C462" s="81" t="s">
        <v>220</v>
      </c>
      <c r="D462" s="82" t="s">
        <v>103</v>
      </c>
      <c r="E462" s="143">
        <v>33.1</v>
      </c>
      <c r="F462" s="131">
        <f>C462*E462</f>
        <v>42136.3</v>
      </c>
    </row>
    <row r="463" spans="1:6">
      <c r="A463" s="102"/>
      <c r="B463" s="114"/>
      <c r="C463" s="103"/>
      <c r="D463" s="104"/>
      <c r="E463" s="143"/>
      <c r="F463" s="131"/>
    </row>
    <row r="464" spans="1:6">
      <c r="A464" s="79" t="s">
        <v>66</v>
      </c>
      <c r="B464" s="80" t="s">
        <v>221</v>
      </c>
      <c r="C464" s="81" t="s">
        <v>222</v>
      </c>
      <c r="D464" s="82" t="s">
        <v>103</v>
      </c>
      <c r="E464" s="143">
        <v>33.08</v>
      </c>
      <c r="F464" s="131">
        <f>C464*E464</f>
        <v>2745.64</v>
      </c>
    </row>
    <row r="465" spans="1:6">
      <c r="A465" s="102"/>
      <c r="B465" s="114"/>
      <c r="C465" s="103"/>
      <c r="D465" s="104"/>
      <c r="E465" s="143"/>
      <c r="F465" s="131"/>
    </row>
    <row r="466" spans="1:6">
      <c r="A466" s="79" t="s">
        <v>70</v>
      </c>
      <c r="B466" s="80" t="s">
        <v>223</v>
      </c>
      <c r="C466" s="81" t="s">
        <v>117</v>
      </c>
      <c r="D466" s="82" t="s">
        <v>103</v>
      </c>
      <c r="E466" s="143">
        <v>33.1</v>
      </c>
      <c r="F466" s="131">
        <f>C466*E466</f>
        <v>2581.8000000000002</v>
      </c>
    </row>
    <row r="467" spans="1:6">
      <c r="A467" s="102"/>
      <c r="B467" s="114"/>
      <c r="C467" s="103"/>
      <c r="D467" s="104"/>
      <c r="E467" s="143"/>
      <c r="F467" s="131"/>
    </row>
    <row r="468" spans="1:6">
      <c r="A468" s="79" t="s">
        <v>199</v>
      </c>
      <c r="B468" s="80" t="s">
        <v>224</v>
      </c>
      <c r="C468" s="81" t="s">
        <v>225</v>
      </c>
      <c r="D468" s="82" t="s">
        <v>103</v>
      </c>
      <c r="E468" s="143">
        <v>33.75</v>
      </c>
      <c r="F468" s="131">
        <f>C468*E468</f>
        <v>438.75</v>
      </c>
    </row>
    <row r="469" spans="1:6">
      <c r="A469" s="102"/>
      <c r="B469" s="114"/>
      <c r="C469" s="103"/>
      <c r="D469" s="104"/>
      <c r="E469" s="143"/>
      <c r="F469" s="131"/>
    </row>
    <row r="470" spans="1:6">
      <c r="A470" s="79" t="s">
        <v>226</v>
      </c>
      <c r="B470" s="80" t="s">
        <v>227</v>
      </c>
      <c r="C470" s="81" t="s">
        <v>212</v>
      </c>
      <c r="D470" s="82" t="s">
        <v>103</v>
      </c>
      <c r="E470" s="143">
        <v>33.1</v>
      </c>
      <c r="F470" s="131">
        <f>C470*E470</f>
        <v>297.90000000000003</v>
      </c>
    </row>
    <row r="471" spans="1:6">
      <c r="A471" s="102"/>
      <c r="B471" s="114"/>
      <c r="C471" s="103"/>
      <c r="D471" s="104"/>
      <c r="E471" s="143"/>
      <c r="F471" s="131"/>
    </row>
    <row r="472" spans="1:6">
      <c r="A472" s="79" t="s">
        <v>228</v>
      </c>
      <c r="B472" s="80" t="s">
        <v>229</v>
      </c>
      <c r="C472" s="81" t="s">
        <v>230</v>
      </c>
      <c r="D472" s="82" t="s">
        <v>103</v>
      </c>
      <c r="E472" s="143">
        <v>33.75</v>
      </c>
      <c r="F472" s="131">
        <f>C472*E472</f>
        <v>19946.25</v>
      </c>
    </row>
    <row r="473" spans="1:6">
      <c r="A473" s="102"/>
      <c r="B473" s="114"/>
      <c r="C473" s="103"/>
      <c r="D473" s="104"/>
      <c r="E473" s="143"/>
      <c r="F473" s="131"/>
    </row>
    <row r="474" spans="1:6" ht="82.9">
      <c r="A474" s="79" t="s">
        <v>231</v>
      </c>
      <c r="B474" s="80" t="s">
        <v>232</v>
      </c>
      <c r="C474" s="81">
        <v>1</v>
      </c>
      <c r="D474" s="82" t="s">
        <v>2</v>
      </c>
      <c r="E474" s="143">
        <v>29006.46</v>
      </c>
      <c r="F474" s="131">
        <f>C474*E474</f>
        <v>29006.46</v>
      </c>
    </row>
    <row r="475" spans="1:6">
      <c r="A475" s="102"/>
      <c r="B475" s="114"/>
      <c r="C475" s="103"/>
      <c r="D475" s="104"/>
      <c r="E475" s="143"/>
      <c r="F475" s="131"/>
    </row>
    <row r="476" spans="1:6">
      <c r="A476" s="102"/>
      <c r="B476" s="114"/>
      <c r="C476" s="103"/>
      <c r="D476" s="104"/>
      <c r="E476" s="143"/>
      <c r="F476" s="131"/>
    </row>
    <row r="477" spans="1:6">
      <c r="A477" s="102"/>
      <c r="B477" s="114"/>
      <c r="C477" s="103"/>
      <c r="D477" s="104"/>
      <c r="E477" s="143"/>
      <c r="F477" s="131"/>
    </row>
    <row r="478" spans="1:6">
      <c r="A478" s="102"/>
      <c r="B478" s="114"/>
      <c r="C478" s="103"/>
      <c r="D478" s="104"/>
      <c r="E478" s="143"/>
      <c r="F478" s="131"/>
    </row>
    <row r="479" spans="1:6">
      <c r="A479" s="102"/>
      <c r="B479" s="114"/>
      <c r="C479" s="103"/>
      <c r="D479" s="104"/>
      <c r="E479" s="143"/>
      <c r="F479" s="131"/>
    </row>
    <row r="480" spans="1:6">
      <c r="A480" s="102"/>
      <c r="B480" s="114"/>
      <c r="C480" s="103"/>
      <c r="D480" s="104"/>
      <c r="E480" s="143"/>
      <c r="F480" s="131"/>
    </row>
    <row r="481" spans="1:6">
      <c r="A481" s="102"/>
      <c r="B481" s="114"/>
      <c r="C481" s="103"/>
      <c r="D481" s="104"/>
      <c r="E481" s="143"/>
      <c r="F481" s="131"/>
    </row>
    <row r="482" spans="1:6">
      <c r="A482" s="102"/>
      <c r="B482" s="114"/>
      <c r="C482" s="103"/>
      <c r="D482" s="104"/>
      <c r="E482" s="143"/>
      <c r="F482" s="131"/>
    </row>
    <row r="483" spans="1:6">
      <c r="A483" s="102"/>
      <c r="B483" s="114"/>
      <c r="C483" s="103"/>
      <c r="D483" s="104"/>
      <c r="E483" s="143"/>
      <c r="F483" s="131"/>
    </row>
    <row r="484" spans="1:6">
      <c r="A484" s="85"/>
      <c r="B484" s="86"/>
      <c r="C484" s="87"/>
      <c r="D484" s="88"/>
      <c r="E484" s="145"/>
      <c r="F484" s="133"/>
    </row>
    <row r="485" spans="1:6">
      <c r="A485" s="89"/>
      <c r="B485" s="90"/>
      <c r="C485" s="91" t="s">
        <v>35</v>
      </c>
      <c r="D485" s="91"/>
      <c r="E485" s="146" t="s">
        <v>8</v>
      </c>
      <c r="F485" s="134">
        <f>SUM(F442:F480)</f>
        <v>167665.00999999998</v>
      </c>
    </row>
    <row r="486" spans="1:6">
      <c r="A486" s="89"/>
      <c r="B486" s="90"/>
      <c r="C486" s="92"/>
      <c r="D486" s="93"/>
      <c r="E486" s="147"/>
      <c r="F486" s="135"/>
    </row>
    <row r="487" spans="1:6">
      <c r="A487" s="102"/>
      <c r="B487" s="114"/>
      <c r="C487" s="103"/>
      <c r="D487" s="104"/>
      <c r="E487" s="143"/>
      <c r="F487" s="131"/>
    </row>
    <row r="488" spans="1:6" ht="27.6">
      <c r="A488" s="102"/>
      <c r="B488" s="77" t="s">
        <v>175</v>
      </c>
      <c r="C488" s="103"/>
      <c r="D488" s="104"/>
      <c r="E488" s="143"/>
      <c r="F488" s="131"/>
    </row>
    <row r="489" spans="1:6">
      <c r="A489" s="102"/>
      <c r="B489" s="114"/>
      <c r="C489" s="103"/>
      <c r="D489" s="104"/>
      <c r="E489" s="143"/>
      <c r="F489" s="131"/>
    </row>
    <row r="490" spans="1:6" ht="110.45">
      <c r="A490" s="79"/>
      <c r="B490" s="117" t="s">
        <v>233</v>
      </c>
      <c r="C490" s="81"/>
      <c r="D490" s="82"/>
      <c r="E490" s="143"/>
      <c r="F490" s="131"/>
    </row>
    <row r="491" spans="1:6">
      <c r="A491" s="102"/>
      <c r="B491" s="114"/>
      <c r="C491" s="103"/>
      <c r="D491" s="104"/>
      <c r="E491" s="143"/>
      <c r="F491" s="131"/>
    </row>
    <row r="492" spans="1:6">
      <c r="A492" s="79" t="s">
        <v>16</v>
      </c>
      <c r="B492" s="80" t="s">
        <v>234</v>
      </c>
      <c r="C492" s="81" t="s">
        <v>235</v>
      </c>
      <c r="D492" s="82" t="s">
        <v>103</v>
      </c>
      <c r="E492" s="143">
        <v>36.69</v>
      </c>
      <c r="F492" s="131">
        <f>C492*E492</f>
        <v>11007</v>
      </c>
    </row>
    <row r="493" spans="1:6">
      <c r="A493" s="102"/>
      <c r="B493" s="114"/>
      <c r="C493" s="103"/>
      <c r="D493" s="104"/>
      <c r="E493" s="143"/>
      <c r="F493" s="131"/>
    </row>
    <row r="494" spans="1:6">
      <c r="A494" s="79" t="s">
        <v>19</v>
      </c>
      <c r="B494" s="80" t="s">
        <v>236</v>
      </c>
      <c r="C494" s="81" t="s">
        <v>237</v>
      </c>
      <c r="D494" s="82" t="s">
        <v>103</v>
      </c>
      <c r="E494" s="143">
        <v>37.81</v>
      </c>
      <c r="F494" s="131">
        <f>C494*E494</f>
        <v>2533.27</v>
      </c>
    </row>
    <row r="495" spans="1:6">
      <c r="A495" s="102"/>
      <c r="B495" s="114"/>
      <c r="C495" s="103"/>
      <c r="D495" s="104"/>
      <c r="E495" s="143"/>
      <c r="F495" s="131"/>
    </row>
    <row r="496" spans="1:6">
      <c r="A496" s="79" t="s">
        <v>22</v>
      </c>
      <c r="B496" s="80" t="s">
        <v>238</v>
      </c>
      <c r="C496" s="81" t="s">
        <v>239</v>
      </c>
      <c r="D496" s="82" t="s">
        <v>103</v>
      </c>
      <c r="E496" s="143">
        <v>40.590000000000003</v>
      </c>
      <c r="F496" s="131">
        <f>C496*E496</f>
        <v>852.3900000000001</v>
      </c>
    </row>
    <row r="497" spans="1:6">
      <c r="A497" s="102"/>
      <c r="B497" s="114"/>
      <c r="C497" s="103"/>
      <c r="D497" s="104"/>
      <c r="E497" s="143"/>
      <c r="F497" s="131"/>
    </row>
    <row r="498" spans="1:6">
      <c r="A498" s="79" t="s">
        <v>26</v>
      </c>
      <c r="B498" s="80" t="s">
        <v>240</v>
      </c>
      <c r="C498" s="81" t="s">
        <v>241</v>
      </c>
      <c r="D498" s="82" t="s">
        <v>103</v>
      </c>
      <c r="E498" s="143">
        <v>41.14</v>
      </c>
      <c r="F498" s="131">
        <f>C498*E498</f>
        <v>4854.5200000000004</v>
      </c>
    </row>
    <row r="499" spans="1:6">
      <c r="A499" s="102"/>
      <c r="B499" s="114"/>
      <c r="C499" s="103"/>
      <c r="D499" s="104"/>
      <c r="E499" s="143"/>
      <c r="F499" s="131"/>
    </row>
    <row r="500" spans="1:6">
      <c r="A500" s="79" t="s">
        <v>29</v>
      </c>
      <c r="B500" s="80" t="s">
        <v>242</v>
      </c>
      <c r="C500" s="81" t="s">
        <v>106</v>
      </c>
      <c r="D500" s="82" t="s">
        <v>103</v>
      </c>
      <c r="E500" s="143">
        <v>41.97</v>
      </c>
      <c r="F500" s="131">
        <f>C500*E500</f>
        <v>1175.1599999999999</v>
      </c>
    </row>
    <row r="501" spans="1:6">
      <c r="A501" s="102"/>
      <c r="B501" s="114"/>
      <c r="C501" s="103"/>
      <c r="D501" s="104"/>
      <c r="E501" s="143"/>
      <c r="F501" s="131"/>
    </row>
    <row r="502" spans="1:6">
      <c r="A502" s="79" t="s">
        <v>33</v>
      </c>
      <c r="B502" s="80" t="s">
        <v>243</v>
      </c>
      <c r="C502" s="81" t="s">
        <v>244</v>
      </c>
      <c r="D502" s="82" t="s">
        <v>103</v>
      </c>
      <c r="E502" s="143">
        <v>47.81</v>
      </c>
      <c r="F502" s="131">
        <f>C502*E502</f>
        <v>2103.6400000000003</v>
      </c>
    </row>
    <row r="503" spans="1:6">
      <c r="A503" s="102"/>
      <c r="B503" s="114"/>
      <c r="C503" s="103"/>
      <c r="D503" s="104"/>
      <c r="E503" s="143"/>
      <c r="F503" s="131"/>
    </row>
    <row r="504" spans="1:6">
      <c r="A504" s="79" t="s">
        <v>45</v>
      </c>
      <c r="B504" s="80" t="s">
        <v>245</v>
      </c>
      <c r="C504" s="81" t="s">
        <v>246</v>
      </c>
      <c r="D504" s="82" t="s">
        <v>103</v>
      </c>
      <c r="E504" s="143">
        <v>47.81</v>
      </c>
      <c r="F504" s="131">
        <f>C504*E504</f>
        <v>4063.8500000000004</v>
      </c>
    </row>
    <row r="505" spans="1:6">
      <c r="A505" s="102"/>
      <c r="B505" s="114"/>
      <c r="C505" s="103"/>
      <c r="D505" s="104"/>
      <c r="E505" s="143"/>
      <c r="F505" s="131"/>
    </row>
    <row r="506" spans="1:6">
      <c r="A506" s="79" t="s">
        <v>49</v>
      </c>
      <c r="B506" s="80" t="s">
        <v>247</v>
      </c>
      <c r="C506" s="81" t="s">
        <v>248</v>
      </c>
      <c r="D506" s="82" t="s">
        <v>103</v>
      </c>
      <c r="E506" s="143">
        <v>47.81</v>
      </c>
      <c r="F506" s="131">
        <f>C506*E506</f>
        <v>24478.720000000001</v>
      </c>
    </row>
    <row r="507" spans="1:6">
      <c r="A507" s="102"/>
      <c r="B507" s="114"/>
      <c r="C507" s="103"/>
      <c r="D507" s="104"/>
      <c r="E507" s="143"/>
      <c r="F507" s="131"/>
    </row>
    <row r="508" spans="1:6">
      <c r="A508" s="79" t="s">
        <v>61</v>
      </c>
      <c r="B508" s="80" t="s">
        <v>249</v>
      </c>
      <c r="C508" s="81" t="s">
        <v>80</v>
      </c>
      <c r="D508" s="82" t="s">
        <v>103</v>
      </c>
      <c r="E508" s="143">
        <v>66.709999999999994</v>
      </c>
      <c r="F508" s="131">
        <f>C508*E508</f>
        <v>533.67999999999995</v>
      </c>
    </row>
    <row r="509" spans="1:6">
      <c r="A509" s="102"/>
      <c r="B509" s="114"/>
      <c r="C509" s="103"/>
      <c r="D509" s="104"/>
      <c r="E509" s="143"/>
      <c r="F509" s="131"/>
    </row>
    <row r="510" spans="1:6" ht="114" customHeight="1">
      <c r="A510" s="79"/>
      <c r="B510" s="117" t="s">
        <v>250</v>
      </c>
      <c r="C510" s="81"/>
      <c r="D510" s="82"/>
      <c r="E510" s="143"/>
      <c r="F510" s="131"/>
    </row>
    <row r="511" spans="1:6">
      <c r="A511" s="102"/>
      <c r="B511" s="114"/>
      <c r="C511" s="103"/>
      <c r="D511" s="104"/>
      <c r="E511" s="143"/>
      <c r="F511" s="131"/>
    </row>
    <row r="512" spans="1:6">
      <c r="A512" s="79" t="s">
        <v>63</v>
      </c>
      <c r="B512" s="80" t="s">
        <v>251</v>
      </c>
      <c r="C512" s="81" t="s">
        <v>252</v>
      </c>
      <c r="D512" s="82" t="s">
        <v>103</v>
      </c>
      <c r="E512" s="143">
        <v>35.590000000000003</v>
      </c>
      <c r="F512" s="131">
        <f>C512*E512</f>
        <v>6085.89</v>
      </c>
    </row>
    <row r="513" spans="1:6">
      <c r="A513" s="102"/>
      <c r="B513" s="114"/>
      <c r="C513" s="103"/>
      <c r="D513" s="104"/>
      <c r="E513" s="143"/>
      <c r="F513" s="131"/>
    </row>
    <row r="514" spans="1:6">
      <c r="A514" s="79" t="s">
        <v>66</v>
      </c>
      <c r="B514" s="80" t="s">
        <v>253</v>
      </c>
      <c r="C514" s="81" t="s">
        <v>254</v>
      </c>
      <c r="D514" s="82" t="s">
        <v>103</v>
      </c>
      <c r="E514" s="143">
        <v>41.69</v>
      </c>
      <c r="F514" s="131">
        <f>C514*E514</f>
        <v>14674.88</v>
      </c>
    </row>
    <row r="515" spans="1:6">
      <c r="A515" s="102"/>
      <c r="B515" s="114"/>
      <c r="C515" s="103"/>
      <c r="D515" s="104"/>
      <c r="E515" s="143"/>
      <c r="F515" s="131"/>
    </row>
    <row r="516" spans="1:6">
      <c r="A516" s="79" t="s">
        <v>70</v>
      </c>
      <c r="B516" s="80" t="s">
        <v>255</v>
      </c>
      <c r="C516" s="81" t="s">
        <v>256</v>
      </c>
      <c r="D516" s="82" t="s">
        <v>103</v>
      </c>
      <c r="E516" s="143">
        <v>44.48</v>
      </c>
      <c r="F516" s="131">
        <f>C516*E516</f>
        <v>5915.8399999999992</v>
      </c>
    </row>
    <row r="517" spans="1:6">
      <c r="A517" s="79"/>
      <c r="B517" s="115"/>
      <c r="C517" s="81"/>
      <c r="D517" s="82"/>
      <c r="E517" s="143"/>
      <c r="F517" s="131"/>
    </row>
    <row r="518" spans="1:6">
      <c r="A518" s="102"/>
      <c r="B518" s="114"/>
      <c r="C518" s="103"/>
      <c r="D518" s="104"/>
      <c r="E518" s="143"/>
      <c r="F518" s="131"/>
    </row>
    <row r="519" spans="1:6">
      <c r="A519" s="85"/>
      <c r="B519" s="86"/>
      <c r="C519" s="87"/>
      <c r="D519" s="88"/>
      <c r="E519" s="145"/>
      <c r="F519" s="133"/>
    </row>
    <row r="520" spans="1:6">
      <c r="A520" s="89"/>
      <c r="B520" s="90"/>
      <c r="C520" s="91" t="s">
        <v>35</v>
      </c>
      <c r="D520" s="91"/>
      <c r="E520" s="146" t="s">
        <v>8</v>
      </c>
      <c r="F520" s="134">
        <f>SUM(F490:F517)</f>
        <v>78278.84</v>
      </c>
    </row>
    <row r="521" spans="1:6">
      <c r="A521" s="89"/>
      <c r="B521" s="90"/>
      <c r="C521" s="92"/>
      <c r="D521" s="93"/>
      <c r="E521" s="147"/>
      <c r="F521" s="135"/>
    </row>
    <row r="522" spans="1:6">
      <c r="A522" s="102"/>
      <c r="B522" s="114"/>
      <c r="C522" s="103"/>
      <c r="D522" s="104"/>
      <c r="E522" s="143"/>
      <c r="F522" s="131"/>
    </row>
    <row r="523" spans="1:6" ht="27.6">
      <c r="A523" s="102"/>
      <c r="B523" s="77" t="s">
        <v>175</v>
      </c>
      <c r="C523" s="103"/>
      <c r="D523" s="104"/>
      <c r="E523" s="143"/>
      <c r="F523" s="131"/>
    </row>
    <row r="524" spans="1:6">
      <c r="A524" s="102"/>
      <c r="B524" s="114"/>
      <c r="C524" s="103"/>
      <c r="D524" s="104"/>
      <c r="E524" s="143"/>
      <c r="F524" s="131"/>
    </row>
    <row r="525" spans="1:6">
      <c r="A525" s="79" t="s">
        <v>16</v>
      </c>
      <c r="B525" s="80" t="s">
        <v>257</v>
      </c>
      <c r="C525" s="81" t="s">
        <v>258</v>
      </c>
      <c r="D525" s="82" t="s">
        <v>103</v>
      </c>
      <c r="E525" s="143">
        <v>46.98</v>
      </c>
      <c r="F525" s="131">
        <f>C525*E525</f>
        <v>2959.74</v>
      </c>
    </row>
    <row r="526" spans="1:6">
      <c r="A526" s="102"/>
      <c r="B526" s="114"/>
      <c r="C526" s="103"/>
      <c r="D526" s="104"/>
      <c r="E526" s="143"/>
      <c r="F526" s="131"/>
    </row>
    <row r="527" spans="1:6">
      <c r="A527" s="79" t="s">
        <v>19</v>
      </c>
      <c r="B527" s="80" t="s">
        <v>259</v>
      </c>
      <c r="C527" s="81" t="s">
        <v>260</v>
      </c>
      <c r="D527" s="82" t="s">
        <v>103</v>
      </c>
      <c r="E527" s="143">
        <v>51.7</v>
      </c>
      <c r="F527" s="131">
        <f>C527*E527</f>
        <v>26263.600000000002</v>
      </c>
    </row>
    <row r="528" spans="1:6">
      <c r="A528" s="102"/>
      <c r="B528" s="114"/>
      <c r="C528" s="103"/>
      <c r="D528" s="104"/>
      <c r="E528" s="143"/>
      <c r="F528" s="131"/>
    </row>
    <row r="529" spans="1:6">
      <c r="A529" s="79" t="s">
        <v>22</v>
      </c>
      <c r="B529" s="80" t="s">
        <v>261</v>
      </c>
      <c r="C529" s="81" t="s">
        <v>262</v>
      </c>
      <c r="D529" s="82" t="s">
        <v>103</v>
      </c>
      <c r="E529" s="143">
        <v>54.2</v>
      </c>
      <c r="F529" s="131">
        <f>C529*E529</f>
        <v>140649</v>
      </c>
    </row>
    <row r="530" spans="1:6">
      <c r="A530" s="102"/>
      <c r="B530" s="114"/>
      <c r="C530" s="103"/>
      <c r="D530" s="104"/>
      <c r="E530" s="143"/>
      <c r="F530" s="131"/>
    </row>
    <row r="531" spans="1:6">
      <c r="A531" s="79" t="s">
        <v>26</v>
      </c>
      <c r="B531" s="80" t="s">
        <v>263</v>
      </c>
      <c r="C531" s="81" t="s">
        <v>264</v>
      </c>
      <c r="D531" s="82" t="s">
        <v>103</v>
      </c>
      <c r="E531" s="143">
        <v>58.93</v>
      </c>
      <c r="F531" s="131">
        <f>C531*E531</f>
        <v>16323.61</v>
      </c>
    </row>
    <row r="532" spans="1:6">
      <c r="A532" s="102"/>
      <c r="B532" s="114"/>
      <c r="C532" s="103"/>
      <c r="D532" s="104"/>
      <c r="E532" s="143"/>
      <c r="F532" s="131"/>
    </row>
    <row r="533" spans="1:6">
      <c r="A533" s="79" t="s">
        <v>29</v>
      </c>
      <c r="B533" s="80" t="s">
        <v>265</v>
      </c>
      <c r="C533" s="81" t="s">
        <v>266</v>
      </c>
      <c r="D533" s="82" t="s">
        <v>103</v>
      </c>
      <c r="E533" s="143">
        <v>77</v>
      </c>
      <c r="F533" s="131">
        <f>C533*E533</f>
        <v>7700</v>
      </c>
    </row>
    <row r="534" spans="1:6">
      <c r="A534" s="102"/>
      <c r="B534" s="114"/>
      <c r="C534" s="103"/>
      <c r="D534" s="104"/>
      <c r="E534" s="143"/>
      <c r="F534" s="131"/>
    </row>
    <row r="535" spans="1:6">
      <c r="A535" s="79" t="s">
        <v>33</v>
      </c>
      <c r="B535" s="80" t="s">
        <v>267</v>
      </c>
      <c r="C535" s="81" t="s">
        <v>212</v>
      </c>
      <c r="D535" s="82" t="s">
        <v>103</v>
      </c>
      <c r="E535" s="143">
        <v>80.61</v>
      </c>
      <c r="F535" s="131">
        <f>C535*E535</f>
        <v>725.49</v>
      </c>
    </row>
    <row r="536" spans="1:6">
      <c r="A536" s="102"/>
      <c r="B536" s="114"/>
      <c r="C536" s="103"/>
      <c r="D536" s="104"/>
      <c r="E536" s="143"/>
      <c r="F536" s="131"/>
    </row>
    <row r="537" spans="1:6">
      <c r="A537" s="79" t="s">
        <v>45</v>
      </c>
      <c r="B537" s="80" t="s">
        <v>268</v>
      </c>
      <c r="C537" s="81" t="s">
        <v>269</v>
      </c>
      <c r="D537" s="82" t="s">
        <v>103</v>
      </c>
      <c r="E537" s="143">
        <v>80.61</v>
      </c>
      <c r="F537" s="131">
        <f>C537*E537</f>
        <v>3385.62</v>
      </c>
    </row>
    <row r="538" spans="1:6">
      <c r="A538" s="102"/>
      <c r="B538" s="114"/>
      <c r="C538" s="103"/>
      <c r="D538" s="104"/>
      <c r="E538" s="143"/>
      <c r="F538" s="131"/>
    </row>
    <row r="539" spans="1:6" ht="82.9">
      <c r="A539" s="79"/>
      <c r="B539" s="117" t="s">
        <v>270</v>
      </c>
      <c r="C539" s="81"/>
      <c r="D539" s="82"/>
      <c r="E539" s="143"/>
      <c r="F539" s="131"/>
    </row>
    <row r="540" spans="1:6">
      <c r="A540" s="102"/>
      <c r="B540" s="114"/>
      <c r="C540" s="103"/>
      <c r="D540" s="104"/>
      <c r="E540" s="143"/>
      <c r="F540" s="131"/>
    </row>
    <row r="541" spans="1:6">
      <c r="A541" s="79" t="s">
        <v>49</v>
      </c>
      <c r="B541" s="80" t="s">
        <v>271</v>
      </c>
      <c r="C541" s="81" t="s">
        <v>31</v>
      </c>
      <c r="D541" s="82" t="s">
        <v>44</v>
      </c>
      <c r="E541" s="143">
        <v>55.04</v>
      </c>
      <c r="F541" s="131">
        <f>C541*E541</f>
        <v>55.04</v>
      </c>
    </row>
    <row r="542" spans="1:6">
      <c r="A542" s="102"/>
      <c r="B542" s="114"/>
      <c r="C542" s="103"/>
      <c r="D542" s="104"/>
      <c r="E542" s="143"/>
      <c r="F542" s="131"/>
    </row>
    <row r="543" spans="1:6">
      <c r="A543" s="79" t="s">
        <v>61</v>
      </c>
      <c r="B543" s="80" t="s">
        <v>272</v>
      </c>
      <c r="C543" s="81" t="s">
        <v>189</v>
      </c>
      <c r="D543" s="82" t="s">
        <v>44</v>
      </c>
      <c r="E543" s="143">
        <v>58.37</v>
      </c>
      <c r="F543" s="131">
        <f>C543*E543</f>
        <v>1575.99</v>
      </c>
    </row>
    <row r="544" spans="1:6">
      <c r="A544" s="102"/>
      <c r="B544" s="114"/>
      <c r="C544" s="103"/>
      <c r="D544" s="104"/>
      <c r="E544" s="143"/>
      <c r="F544" s="131"/>
    </row>
    <row r="545" spans="1:6">
      <c r="A545" s="79" t="s">
        <v>63</v>
      </c>
      <c r="B545" s="80" t="s">
        <v>273</v>
      </c>
      <c r="C545" s="81" t="s">
        <v>274</v>
      </c>
      <c r="D545" s="82" t="s">
        <v>44</v>
      </c>
      <c r="E545" s="143">
        <v>59.2</v>
      </c>
      <c r="F545" s="131">
        <f>C545*E545</f>
        <v>6097.6</v>
      </c>
    </row>
    <row r="546" spans="1:6">
      <c r="A546" s="102"/>
      <c r="B546" s="114"/>
      <c r="C546" s="103"/>
      <c r="D546" s="104"/>
      <c r="E546" s="143"/>
      <c r="F546" s="131"/>
    </row>
    <row r="547" spans="1:6">
      <c r="A547" s="79" t="s">
        <v>66</v>
      </c>
      <c r="B547" s="80" t="s">
        <v>275</v>
      </c>
      <c r="C547" s="81" t="s">
        <v>149</v>
      </c>
      <c r="D547" s="82" t="s">
        <v>44</v>
      </c>
      <c r="E547" s="143">
        <v>141.21</v>
      </c>
      <c r="F547" s="131">
        <f>C547*E547</f>
        <v>282.42</v>
      </c>
    </row>
    <row r="548" spans="1:6">
      <c r="A548" s="102"/>
      <c r="B548" s="114"/>
      <c r="C548" s="103"/>
      <c r="D548" s="104"/>
      <c r="E548" s="143"/>
      <c r="F548" s="131"/>
    </row>
    <row r="549" spans="1:6">
      <c r="A549" s="79" t="s">
        <v>70</v>
      </c>
      <c r="B549" s="80" t="s">
        <v>276</v>
      </c>
      <c r="C549" s="81" t="s">
        <v>149</v>
      </c>
      <c r="D549" s="82" t="s">
        <v>44</v>
      </c>
      <c r="E549" s="143">
        <v>152.06</v>
      </c>
      <c r="F549" s="131">
        <f>C549*E549</f>
        <v>304.12</v>
      </c>
    </row>
    <row r="550" spans="1:6">
      <c r="A550" s="102"/>
      <c r="B550" s="114"/>
      <c r="C550" s="103"/>
      <c r="D550" s="104"/>
      <c r="E550" s="143"/>
      <c r="F550" s="131"/>
    </row>
    <row r="551" spans="1:6">
      <c r="A551" s="79" t="s">
        <v>199</v>
      </c>
      <c r="B551" s="80" t="s">
        <v>277</v>
      </c>
      <c r="C551" s="81" t="s">
        <v>178</v>
      </c>
      <c r="D551" s="82" t="s">
        <v>44</v>
      </c>
      <c r="E551" s="143">
        <v>236.28</v>
      </c>
      <c r="F551" s="131">
        <f>C551*E551</f>
        <v>945.12</v>
      </c>
    </row>
    <row r="552" spans="1:6">
      <c r="A552" s="102"/>
      <c r="B552" s="114"/>
      <c r="C552" s="103"/>
      <c r="D552" s="104"/>
      <c r="E552" s="143"/>
      <c r="F552" s="131"/>
    </row>
    <row r="553" spans="1:6">
      <c r="A553" s="79" t="s">
        <v>226</v>
      </c>
      <c r="B553" s="80" t="s">
        <v>278</v>
      </c>
      <c r="C553" s="81" t="s">
        <v>189</v>
      </c>
      <c r="D553" s="82" t="s">
        <v>44</v>
      </c>
      <c r="E553" s="143">
        <v>33.08</v>
      </c>
      <c r="F553" s="131">
        <f>C553*E553</f>
        <v>893.16</v>
      </c>
    </row>
    <row r="554" spans="1:6">
      <c r="A554" s="102"/>
      <c r="B554" s="114"/>
      <c r="C554" s="103"/>
      <c r="D554" s="104"/>
      <c r="E554" s="143"/>
      <c r="F554" s="131"/>
    </row>
    <row r="555" spans="1:6">
      <c r="A555" s="79" t="s">
        <v>228</v>
      </c>
      <c r="B555" s="80" t="s">
        <v>279</v>
      </c>
      <c r="C555" s="81" t="s">
        <v>280</v>
      </c>
      <c r="D555" s="82" t="s">
        <v>44</v>
      </c>
      <c r="E555" s="143">
        <v>39.19</v>
      </c>
      <c r="F555" s="131">
        <f>C555*E555</f>
        <v>235.14</v>
      </c>
    </row>
    <row r="556" spans="1:6">
      <c r="A556" s="102"/>
      <c r="B556" s="114"/>
      <c r="C556" s="103"/>
      <c r="D556" s="104"/>
      <c r="E556" s="143"/>
      <c r="F556" s="131"/>
    </row>
    <row r="557" spans="1:6">
      <c r="A557" s="79" t="s">
        <v>231</v>
      </c>
      <c r="B557" s="80" t="s">
        <v>281</v>
      </c>
      <c r="C557" s="81" t="s">
        <v>282</v>
      </c>
      <c r="D557" s="82" t="s">
        <v>44</v>
      </c>
      <c r="E557" s="143">
        <v>39.47</v>
      </c>
      <c r="F557" s="131">
        <f>C557*E557</f>
        <v>552.57999999999993</v>
      </c>
    </row>
    <row r="558" spans="1:6">
      <c r="A558" s="102"/>
      <c r="B558" s="114"/>
      <c r="C558" s="103"/>
      <c r="D558" s="104"/>
      <c r="E558" s="143"/>
      <c r="F558" s="131"/>
    </row>
    <row r="559" spans="1:6">
      <c r="A559" s="79" t="s">
        <v>283</v>
      </c>
      <c r="B559" s="80" t="s">
        <v>284</v>
      </c>
      <c r="C559" s="81" t="s">
        <v>285</v>
      </c>
      <c r="D559" s="82" t="s">
        <v>44</v>
      </c>
      <c r="E559" s="143">
        <v>65.88</v>
      </c>
      <c r="F559" s="131">
        <f>C559*E559</f>
        <v>4875.12</v>
      </c>
    </row>
    <row r="560" spans="1:6">
      <c r="A560" s="102"/>
      <c r="B560" s="114"/>
      <c r="C560" s="103"/>
      <c r="D560" s="104"/>
      <c r="E560" s="143"/>
      <c r="F560" s="131"/>
    </row>
    <row r="561" spans="1:6">
      <c r="A561" s="79" t="s">
        <v>286</v>
      </c>
      <c r="B561" s="80" t="s">
        <v>287</v>
      </c>
      <c r="C561" s="81" t="s">
        <v>178</v>
      </c>
      <c r="D561" s="82" t="s">
        <v>44</v>
      </c>
      <c r="E561" s="143">
        <v>67.819999999999993</v>
      </c>
      <c r="F561" s="131">
        <f>C561*E561</f>
        <v>271.27999999999997</v>
      </c>
    </row>
    <row r="562" spans="1:6">
      <c r="A562" s="102"/>
      <c r="B562" s="114"/>
      <c r="C562" s="103"/>
      <c r="D562" s="104"/>
      <c r="E562" s="143"/>
      <c r="F562" s="131"/>
    </row>
    <row r="563" spans="1:6">
      <c r="A563" s="102"/>
      <c r="B563" s="114"/>
      <c r="C563" s="103"/>
      <c r="D563" s="104"/>
      <c r="E563" s="143"/>
      <c r="F563" s="131"/>
    </row>
    <row r="564" spans="1:6">
      <c r="A564" s="85"/>
      <c r="B564" s="86"/>
      <c r="C564" s="87"/>
      <c r="D564" s="88"/>
      <c r="E564" s="145"/>
      <c r="F564" s="133"/>
    </row>
    <row r="565" spans="1:6">
      <c r="A565" s="89"/>
      <c r="B565" s="90"/>
      <c r="C565" s="91" t="s">
        <v>35</v>
      </c>
      <c r="D565" s="91"/>
      <c r="E565" s="146" t="s">
        <v>8</v>
      </c>
      <c r="F565" s="134">
        <f>SUM(F523:F562)</f>
        <v>214094.63</v>
      </c>
    </row>
    <row r="566" spans="1:6">
      <c r="A566" s="89"/>
      <c r="B566" s="90"/>
      <c r="C566" s="92"/>
      <c r="D566" s="93"/>
      <c r="E566" s="147"/>
      <c r="F566" s="135"/>
    </row>
    <row r="567" spans="1:6">
      <c r="A567" s="102"/>
      <c r="B567" s="114"/>
      <c r="C567" s="103"/>
      <c r="D567" s="104"/>
      <c r="E567" s="143"/>
      <c r="F567" s="131"/>
    </row>
    <row r="568" spans="1:6" ht="27.6">
      <c r="A568" s="102"/>
      <c r="B568" s="77" t="s">
        <v>175</v>
      </c>
      <c r="C568" s="103"/>
      <c r="D568" s="104"/>
      <c r="E568" s="143"/>
      <c r="F568" s="131"/>
    </row>
    <row r="569" spans="1:6">
      <c r="A569" s="102"/>
      <c r="B569" s="114"/>
      <c r="C569" s="103"/>
      <c r="D569" s="104"/>
      <c r="E569" s="143"/>
      <c r="F569" s="131"/>
    </row>
    <row r="570" spans="1:6">
      <c r="A570" s="79" t="s">
        <v>16</v>
      </c>
      <c r="B570" s="80" t="s">
        <v>288</v>
      </c>
      <c r="C570" s="81" t="s">
        <v>289</v>
      </c>
      <c r="D570" s="82" t="s">
        <v>44</v>
      </c>
      <c r="E570" s="143">
        <v>67.819999999999993</v>
      </c>
      <c r="F570" s="131">
        <f t="shared" ref="F570:F584" si="0">C570*E570</f>
        <v>474.73999999999995</v>
      </c>
    </row>
    <row r="571" spans="1:6">
      <c r="A571" s="102"/>
      <c r="B571" s="114"/>
      <c r="C571" s="103"/>
      <c r="D571" s="104"/>
      <c r="E571" s="143"/>
      <c r="F571" s="131"/>
    </row>
    <row r="572" spans="1:6">
      <c r="A572" s="79" t="s">
        <v>19</v>
      </c>
      <c r="B572" s="80" t="s">
        <v>290</v>
      </c>
      <c r="C572" s="81" t="s">
        <v>149</v>
      </c>
      <c r="D572" s="82" t="s">
        <v>44</v>
      </c>
      <c r="E572" s="143">
        <v>127.31</v>
      </c>
      <c r="F572" s="131">
        <f t="shared" si="0"/>
        <v>254.62</v>
      </c>
    </row>
    <row r="573" spans="1:6">
      <c r="A573" s="102"/>
      <c r="B573" s="114"/>
      <c r="C573" s="103"/>
      <c r="D573" s="104"/>
      <c r="E573" s="143"/>
      <c r="F573" s="131"/>
    </row>
    <row r="574" spans="1:6">
      <c r="A574" s="79" t="s">
        <v>22</v>
      </c>
      <c r="B574" s="80" t="s">
        <v>291</v>
      </c>
      <c r="C574" s="81" t="s">
        <v>149</v>
      </c>
      <c r="D574" s="82" t="s">
        <v>44</v>
      </c>
      <c r="E574" s="143">
        <v>154.83000000000001</v>
      </c>
      <c r="F574" s="131">
        <f t="shared" si="0"/>
        <v>309.66000000000003</v>
      </c>
    </row>
    <row r="575" spans="1:6">
      <c r="A575" s="102"/>
      <c r="B575" s="114"/>
      <c r="C575" s="103"/>
      <c r="D575" s="104"/>
      <c r="E575" s="143"/>
      <c r="F575" s="131"/>
    </row>
    <row r="576" spans="1:6">
      <c r="A576" s="79" t="s">
        <v>26</v>
      </c>
      <c r="B576" s="80" t="s">
        <v>292</v>
      </c>
      <c r="C576" s="81" t="s">
        <v>282</v>
      </c>
      <c r="D576" s="82" t="s">
        <v>44</v>
      </c>
      <c r="E576" s="143">
        <v>160.94999999999999</v>
      </c>
      <c r="F576" s="131">
        <f t="shared" si="0"/>
        <v>2253.2999999999997</v>
      </c>
    </row>
    <row r="577" spans="1:6">
      <c r="A577" s="102"/>
      <c r="B577" s="114"/>
      <c r="C577" s="103"/>
      <c r="D577" s="104"/>
      <c r="E577" s="143"/>
      <c r="F577" s="131"/>
    </row>
    <row r="578" spans="1:6">
      <c r="A578" s="79" t="s">
        <v>29</v>
      </c>
      <c r="B578" s="80" t="s">
        <v>293</v>
      </c>
      <c r="C578" s="81" t="s">
        <v>149</v>
      </c>
      <c r="D578" s="82" t="s">
        <v>44</v>
      </c>
      <c r="E578" s="143">
        <v>160.94999999999999</v>
      </c>
      <c r="F578" s="131">
        <f t="shared" si="0"/>
        <v>321.89999999999998</v>
      </c>
    </row>
    <row r="579" spans="1:6">
      <c r="A579" s="102"/>
      <c r="B579" s="114"/>
      <c r="C579" s="103"/>
      <c r="D579" s="104"/>
      <c r="E579" s="143"/>
      <c r="F579" s="131"/>
    </row>
    <row r="580" spans="1:6">
      <c r="A580" s="79" t="s">
        <v>33</v>
      </c>
      <c r="B580" s="80" t="s">
        <v>294</v>
      </c>
      <c r="C580" s="81" t="s">
        <v>289</v>
      </c>
      <c r="D580" s="82" t="s">
        <v>44</v>
      </c>
      <c r="E580" s="143">
        <v>374.71</v>
      </c>
      <c r="F580" s="131">
        <f t="shared" si="0"/>
        <v>2622.97</v>
      </c>
    </row>
    <row r="581" spans="1:6">
      <c r="A581" s="102"/>
      <c r="B581" s="114"/>
      <c r="C581" s="103"/>
      <c r="D581" s="104"/>
      <c r="E581" s="143"/>
      <c r="F581" s="131"/>
    </row>
    <row r="582" spans="1:6">
      <c r="A582" s="79" t="s">
        <v>45</v>
      </c>
      <c r="B582" s="80" t="s">
        <v>295</v>
      </c>
      <c r="C582" s="81" t="s">
        <v>296</v>
      </c>
      <c r="D582" s="82" t="s">
        <v>44</v>
      </c>
      <c r="E582" s="143">
        <v>379.16</v>
      </c>
      <c r="F582" s="131">
        <f t="shared" si="0"/>
        <v>13270.6</v>
      </c>
    </row>
    <row r="583" spans="1:6">
      <c r="A583" s="102"/>
      <c r="B583" s="114"/>
      <c r="C583" s="103"/>
      <c r="D583" s="104"/>
      <c r="E583" s="143"/>
      <c r="F583" s="131"/>
    </row>
    <row r="584" spans="1:6">
      <c r="A584" s="79" t="s">
        <v>49</v>
      </c>
      <c r="B584" s="80" t="s">
        <v>297</v>
      </c>
      <c r="C584" s="81" t="s">
        <v>298</v>
      </c>
      <c r="D584" s="82" t="s">
        <v>44</v>
      </c>
      <c r="E584" s="143">
        <v>575.67999999999995</v>
      </c>
      <c r="F584" s="131">
        <f t="shared" si="0"/>
        <v>6332.48</v>
      </c>
    </row>
    <row r="585" spans="1:6">
      <c r="A585" s="102"/>
      <c r="B585" s="114"/>
      <c r="C585" s="103"/>
      <c r="D585" s="104"/>
      <c r="E585" s="143"/>
      <c r="F585" s="131"/>
    </row>
    <row r="586" spans="1:6" ht="110.45">
      <c r="A586" s="79"/>
      <c r="B586" s="117" t="s">
        <v>299</v>
      </c>
      <c r="C586" s="81"/>
      <c r="D586" s="82"/>
      <c r="E586" s="143"/>
      <c r="F586" s="131"/>
    </row>
    <row r="587" spans="1:6">
      <c r="A587" s="102"/>
      <c r="B587" s="114"/>
      <c r="C587" s="103"/>
      <c r="D587" s="104"/>
      <c r="E587" s="143"/>
      <c r="F587" s="131"/>
    </row>
    <row r="588" spans="1:6">
      <c r="A588" s="79" t="s">
        <v>61</v>
      </c>
      <c r="B588" s="80" t="s">
        <v>300</v>
      </c>
      <c r="C588" s="81" t="s">
        <v>301</v>
      </c>
      <c r="D588" s="82" t="s">
        <v>103</v>
      </c>
      <c r="E588" s="143">
        <v>34.75</v>
      </c>
      <c r="F588" s="131">
        <f t="shared" ref="F588" si="1">C588*E588</f>
        <v>238732.5</v>
      </c>
    </row>
    <row r="589" spans="1:6">
      <c r="A589" s="102"/>
      <c r="B589" s="114"/>
      <c r="C589" s="103"/>
      <c r="D589" s="104"/>
      <c r="E589" s="143"/>
      <c r="F589" s="131"/>
    </row>
    <row r="590" spans="1:6">
      <c r="A590" s="79" t="s">
        <v>63</v>
      </c>
      <c r="B590" s="80" t="s">
        <v>302</v>
      </c>
      <c r="C590" s="81" t="s">
        <v>303</v>
      </c>
      <c r="D590" s="82" t="s">
        <v>103</v>
      </c>
      <c r="E590" s="143">
        <v>42.26</v>
      </c>
      <c r="F590" s="131">
        <f t="shared" ref="F590" si="2">C590*E590</f>
        <v>55276.079999999994</v>
      </c>
    </row>
    <row r="591" spans="1:6">
      <c r="A591" s="102"/>
      <c r="B591" s="114"/>
      <c r="C591" s="103"/>
      <c r="D591" s="104"/>
      <c r="E591" s="143"/>
      <c r="F591" s="131"/>
    </row>
    <row r="592" spans="1:6">
      <c r="A592" s="79" t="s">
        <v>66</v>
      </c>
      <c r="B592" s="80" t="s">
        <v>304</v>
      </c>
      <c r="C592" s="81" t="s">
        <v>305</v>
      </c>
      <c r="D592" s="82" t="s">
        <v>103</v>
      </c>
      <c r="E592" s="143">
        <v>63.1</v>
      </c>
      <c r="F592" s="131">
        <f t="shared" ref="F592" si="3">C592*E592</f>
        <v>59566.400000000001</v>
      </c>
    </row>
    <row r="593" spans="1:6">
      <c r="A593" s="102"/>
      <c r="B593" s="114"/>
      <c r="C593" s="103"/>
      <c r="D593" s="104"/>
      <c r="E593" s="143"/>
      <c r="F593" s="131"/>
    </row>
    <row r="594" spans="1:6">
      <c r="A594" s="79" t="s">
        <v>70</v>
      </c>
      <c r="B594" s="80" t="s">
        <v>306</v>
      </c>
      <c r="C594" s="81" t="s">
        <v>307</v>
      </c>
      <c r="D594" s="82" t="s">
        <v>103</v>
      </c>
      <c r="E594" s="143">
        <v>63.94</v>
      </c>
      <c r="F594" s="131">
        <f t="shared" ref="F594" si="4">C594*E594</f>
        <v>59016.619999999995</v>
      </c>
    </row>
    <row r="595" spans="1:6">
      <c r="A595" s="102"/>
      <c r="B595" s="114"/>
      <c r="C595" s="103"/>
      <c r="D595" s="104"/>
      <c r="E595" s="143"/>
      <c r="F595" s="131"/>
    </row>
    <row r="596" spans="1:6">
      <c r="A596" s="79" t="s">
        <v>199</v>
      </c>
      <c r="B596" s="80" t="s">
        <v>308</v>
      </c>
      <c r="C596" s="81" t="s">
        <v>309</v>
      </c>
      <c r="D596" s="82" t="s">
        <v>103</v>
      </c>
      <c r="E596" s="143">
        <v>65.88</v>
      </c>
      <c r="F596" s="131">
        <f t="shared" ref="F596" si="5">C596*E596</f>
        <v>58699.079999999994</v>
      </c>
    </row>
    <row r="597" spans="1:6">
      <c r="A597" s="102"/>
      <c r="B597" s="114"/>
      <c r="C597" s="103"/>
      <c r="D597" s="104"/>
      <c r="E597" s="143"/>
      <c r="F597" s="131"/>
    </row>
    <row r="598" spans="1:6">
      <c r="A598" s="79" t="s">
        <v>226</v>
      </c>
      <c r="B598" s="80" t="s">
        <v>310</v>
      </c>
      <c r="C598" s="81" t="s">
        <v>311</v>
      </c>
      <c r="D598" s="82" t="s">
        <v>103</v>
      </c>
      <c r="E598" s="143">
        <v>76.16</v>
      </c>
      <c r="F598" s="131">
        <f t="shared" ref="F598" si="6">C598*E598</f>
        <v>49960.959999999999</v>
      </c>
    </row>
    <row r="599" spans="1:6">
      <c r="A599" s="102"/>
      <c r="B599" s="114"/>
      <c r="C599" s="103"/>
      <c r="D599" s="104"/>
      <c r="E599" s="143"/>
      <c r="F599" s="131"/>
    </row>
    <row r="600" spans="1:6">
      <c r="A600" s="79" t="s">
        <v>228</v>
      </c>
      <c r="B600" s="80" t="s">
        <v>312</v>
      </c>
      <c r="C600" s="81" t="s">
        <v>313</v>
      </c>
      <c r="D600" s="82" t="s">
        <v>103</v>
      </c>
      <c r="E600" s="143">
        <v>79.78</v>
      </c>
      <c r="F600" s="131">
        <f t="shared" ref="F600" si="7">C600*E600</f>
        <v>61430.6</v>
      </c>
    </row>
    <row r="601" spans="1:6">
      <c r="A601" s="102"/>
      <c r="B601" s="114"/>
      <c r="C601" s="103"/>
      <c r="D601" s="104"/>
      <c r="E601" s="143"/>
      <c r="F601" s="131"/>
    </row>
    <row r="602" spans="1:6">
      <c r="A602" s="79" t="s">
        <v>231</v>
      </c>
      <c r="B602" s="80" t="s">
        <v>314</v>
      </c>
      <c r="C602" s="81" t="s">
        <v>315</v>
      </c>
      <c r="D602" s="82" t="s">
        <v>103</v>
      </c>
      <c r="E602" s="143">
        <v>102.29</v>
      </c>
      <c r="F602" s="131">
        <f t="shared" ref="F602" si="8">C602*E602</f>
        <v>42450.350000000006</v>
      </c>
    </row>
    <row r="603" spans="1:6">
      <c r="A603" s="102"/>
      <c r="B603" s="114"/>
      <c r="C603" s="103"/>
      <c r="D603" s="104"/>
      <c r="E603" s="143"/>
      <c r="F603" s="131"/>
    </row>
    <row r="604" spans="1:6">
      <c r="A604" s="102"/>
      <c r="B604" s="114"/>
      <c r="C604" s="103"/>
      <c r="D604" s="104"/>
      <c r="E604" s="143"/>
      <c r="F604" s="131"/>
    </row>
    <row r="605" spans="1:6">
      <c r="A605" s="102"/>
      <c r="B605" s="114"/>
      <c r="C605" s="103"/>
      <c r="D605" s="104"/>
      <c r="E605" s="143"/>
      <c r="F605" s="131"/>
    </row>
    <row r="606" spans="1:6">
      <c r="A606" s="102"/>
      <c r="B606" s="114"/>
      <c r="C606" s="103"/>
      <c r="D606" s="104"/>
      <c r="E606" s="143"/>
      <c r="F606" s="131"/>
    </row>
    <row r="607" spans="1:6">
      <c r="A607" s="85"/>
      <c r="B607" s="86"/>
      <c r="C607" s="87"/>
      <c r="D607" s="88"/>
      <c r="E607" s="145"/>
      <c r="F607" s="133"/>
    </row>
    <row r="608" spans="1:6">
      <c r="A608" s="89"/>
      <c r="B608" s="90"/>
      <c r="C608" s="91" t="s">
        <v>35</v>
      </c>
      <c r="D608" s="91"/>
      <c r="E608" s="146" t="s">
        <v>8</v>
      </c>
      <c r="F608" s="134">
        <f>SUM(F568:F605)</f>
        <v>650972.86</v>
      </c>
    </row>
    <row r="609" spans="1:6">
      <c r="A609" s="89"/>
      <c r="B609" s="90"/>
      <c r="C609" s="92"/>
      <c r="D609" s="93"/>
      <c r="E609" s="147"/>
      <c r="F609" s="135"/>
    </row>
    <row r="610" spans="1:6">
      <c r="A610" s="102"/>
      <c r="B610" s="114"/>
      <c r="C610" s="103"/>
      <c r="D610" s="104"/>
      <c r="E610" s="143"/>
      <c r="F610" s="131"/>
    </row>
    <row r="611" spans="1:6" ht="27.6">
      <c r="A611" s="102"/>
      <c r="B611" s="77" t="s">
        <v>175</v>
      </c>
      <c r="C611" s="103"/>
      <c r="D611" s="104"/>
      <c r="E611" s="143"/>
      <c r="F611" s="131"/>
    </row>
    <row r="612" spans="1:6">
      <c r="A612" s="102"/>
      <c r="B612" s="114"/>
      <c r="C612" s="103"/>
      <c r="D612" s="104"/>
      <c r="E612" s="143"/>
      <c r="F612" s="131"/>
    </row>
    <row r="613" spans="1:6">
      <c r="A613" s="79" t="s">
        <v>16</v>
      </c>
      <c r="B613" s="80" t="s">
        <v>316</v>
      </c>
      <c r="C613" s="81" t="s">
        <v>317</v>
      </c>
      <c r="D613" s="82" t="s">
        <v>103</v>
      </c>
      <c r="E613" s="143">
        <v>175.12</v>
      </c>
      <c r="F613" s="131">
        <f t="shared" ref="F613" si="9">C613*E613</f>
        <v>28369.440000000002</v>
      </c>
    </row>
    <row r="614" spans="1:6">
      <c r="A614" s="102"/>
      <c r="B614" s="114"/>
      <c r="C614" s="103"/>
      <c r="D614" s="104"/>
      <c r="E614" s="143"/>
      <c r="F614" s="131"/>
    </row>
    <row r="615" spans="1:6">
      <c r="A615" s="79" t="s">
        <v>19</v>
      </c>
      <c r="B615" s="80" t="s">
        <v>318</v>
      </c>
      <c r="C615" s="81" t="s">
        <v>143</v>
      </c>
      <c r="D615" s="82" t="s">
        <v>103</v>
      </c>
      <c r="E615" s="143">
        <v>259.07</v>
      </c>
      <c r="F615" s="131">
        <f t="shared" ref="F615" si="10">C615*E615</f>
        <v>4404.1899999999996</v>
      </c>
    </row>
    <row r="616" spans="1:6">
      <c r="A616" s="102"/>
      <c r="B616" s="114"/>
      <c r="C616" s="103"/>
      <c r="D616" s="104"/>
      <c r="E616" s="143"/>
      <c r="F616" s="131"/>
    </row>
    <row r="617" spans="1:6">
      <c r="A617" s="79" t="s">
        <v>22</v>
      </c>
      <c r="B617" s="80" t="s">
        <v>319</v>
      </c>
      <c r="C617" s="81" t="s">
        <v>320</v>
      </c>
      <c r="D617" s="82" t="s">
        <v>103</v>
      </c>
      <c r="E617" s="143">
        <v>83.39</v>
      </c>
      <c r="F617" s="131">
        <f t="shared" ref="F617" si="11">C617*E617</f>
        <v>26768.19</v>
      </c>
    </row>
    <row r="618" spans="1:6">
      <c r="A618" s="102"/>
      <c r="B618" s="114"/>
      <c r="C618" s="103"/>
      <c r="D618" s="104"/>
      <c r="E618" s="143"/>
      <c r="F618" s="131"/>
    </row>
    <row r="619" spans="1:6">
      <c r="A619" s="79" t="s">
        <v>26</v>
      </c>
      <c r="B619" s="80" t="s">
        <v>321</v>
      </c>
      <c r="C619" s="81" t="s">
        <v>322</v>
      </c>
      <c r="D619" s="82" t="s">
        <v>103</v>
      </c>
      <c r="E619" s="143">
        <v>101.74</v>
      </c>
      <c r="F619" s="131">
        <f t="shared" ref="F619" si="12">C619*E619</f>
        <v>7020.0599999999995</v>
      </c>
    </row>
    <row r="620" spans="1:6">
      <c r="A620" s="102"/>
      <c r="B620" s="114"/>
      <c r="C620" s="103"/>
      <c r="D620" s="104"/>
      <c r="E620" s="143"/>
      <c r="F620" s="131"/>
    </row>
    <row r="621" spans="1:6" ht="82.9">
      <c r="A621" s="79"/>
      <c r="B621" s="117" t="s">
        <v>323</v>
      </c>
      <c r="C621" s="81"/>
      <c r="D621" s="82"/>
      <c r="E621" s="143"/>
      <c r="F621" s="131"/>
    </row>
    <row r="622" spans="1:6">
      <c r="A622" s="102"/>
      <c r="B622" s="114"/>
      <c r="C622" s="103"/>
      <c r="D622" s="104"/>
      <c r="E622" s="143"/>
      <c r="F622" s="131"/>
    </row>
    <row r="623" spans="1:6">
      <c r="A623" s="79" t="s">
        <v>29</v>
      </c>
      <c r="B623" s="80" t="s">
        <v>324</v>
      </c>
      <c r="C623" s="81" t="s">
        <v>280</v>
      </c>
      <c r="D623" s="82" t="s">
        <v>44</v>
      </c>
      <c r="E623" s="143">
        <v>34.47</v>
      </c>
      <c r="F623" s="131">
        <f t="shared" ref="F623" si="13">C623*E623</f>
        <v>206.82</v>
      </c>
    </row>
    <row r="624" spans="1:6">
      <c r="A624" s="102"/>
      <c r="B624" s="114"/>
      <c r="C624" s="103"/>
      <c r="D624" s="104"/>
      <c r="E624" s="143"/>
      <c r="F624" s="131"/>
    </row>
    <row r="625" spans="1:6">
      <c r="A625" s="79" t="s">
        <v>33</v>
      </c>
      <c r="B625" s="80" t="s">
        <v>325</v>
      </c>
      <c r="C625" s="81" t="s">
        <v>149</v>
      </c>
      <c r="D625" s="82" t="s">
        <v>44</v>
      </c>
      <c r="E625" s="143">
        <v>34.47</v>
      </c>
      <c r="F625" s="131">
        <f t="shared" ref="F625" si="14">C625*E625</f>
        <v>68.94</v>
      </c>
    </row>
    <row r="626" spans="1:6">
      <c r="A626" s="102"/>
      <c r="B626" s="114"/>
      <c r="C626" s="103"/>
      <c r="D626" s="104"/>
      <c r="E626" s="143"/>
      <c r="F626" s="131"/>
    </row>
    <row r="627" spans="1:6">
      <c r="A627" s="79" t="s">
        <v>45</v>
      </c>
      <c r="B627" s="80" t="s">
        <v>326</v>
      </c>
      <c r="C627" s="81" t="s">
        <v>327</v>
      </c>
      <c r="D627" s="82" t="s">
        <v>44</v>
      </c>
      <c r="E627" s="143">
        <v>7.22</v>
      </c>
      <c r="F627" s="131">
        <f t="shared" ref="F627" si="15">C627*E627</f>
        <v>38460.939999999995</v>
      </c>
    </row>
    <row r="628" spans="1:6">
      <c r="A628" s="102"/>
      <c r="B628" s="114"/>
      <c r="C628" s="103"/>
      <c r="D628" s="104"/>
      <c r="E628" s="143"/>
      <c r="F628" s="131"/>
    </row>
    <row r="629" spans="1:6">
      <c r="A629" s="79" t="s">
        <v>49</v>
      </c>
      <c r="B629" s="80" t="s">
        <v>328</v>
      </c>
      <c r="C629" s="81" t="s">
        <v>31</v>
      </c>
      <c r="D629" s="82" t="s">
        <v>44</v>
      </c>
      <c r="E629" s="143">
        <v>679.93</v>
      </c>
      <c r="F629" s="131">
        <f t="shared" ref="F629" si="16">C629*E629</f>
        <v>679.93</v>
      </c>
    </row>
    <row r="630" spans="1:6">
      <c r="A630" s="102"/>
      <c r="B630" s="114"/>
      <c r="C630" s="103"/>
      <c r="D630" s="104"/>
      <c r="E630" s="143"/>
      <c r="F630" s="131"/>
    </row>
    <row r="631" spans="1:6">
      <c r="A631" s="79" t="s">
        <v>61</v>
      </c>
      <c r="B631" s="80" t="s">
        <v>329</v>
      </c>
      <c r="C631" s="81" t="s">
        <v>330</v>
      </c>
      <c r="D631" s="82" t="s">
        <v>44</v>
      </c>
      <c r="E631" s="143">
        <v>36.69</v>
      </c>
      <c r="F631" s="131">
        <f t="shared" ref="F631" si="17">C631*E631</f>
        <v>587.04</v>
      </c>
    </row>
    <row r="632" spans="1:6">
      <c r="A632" s="102"/>
      <c r="B632" s="114"/>
      <c r="C632" s="103"/>
      <c r="D632" s="104"/>
      <c r="E632" s="143"/>
      <c r="F632" s="131"/>
    </row>
    <row r="633" spans="1:6">
      <c r="A633" s="79" t="s">
        <v>63</v>
      </c>
      <c r="B633" s="80" t="s">
        <v>331</v>
      </c>
      <c r="C633" s="81" t="s">
        <v>31</v>
      </c>
      <c r="D633" s="82" t="s">
        <v>44</v>
      </c>
      <c r="E633" s="143">
        <v>58.1</v>
      </c>
      <c r="F633" s="131">
        <f t="shared" ref="F633" si="18">C633*E633</f>
        <v>58.1</v>
      </c>
    </row>
    <row r="634" spans="1:6">
      <c r="A634" s="102"/>
      <c r="B634" s="114"/>
      <c r="C634" s="103"/>
      <c r="D634" s="104"/>
      <c r="E634" s="143"/>
      <c r="F634" s="131"/>
    </row>
    <row r="635" spans="1:6">
      <c r="A635" s="79" t="s">
        <v>66</v>
      </c>
      <c r="B635" s="80" t="s">
        <v>332</v>
      </c>
      <c r="C635" s="81" t="s">
        <v>31</v>
      </c>
      <c r="D635" s="82" t="s">
        <v>44</v>
      </c>
      <c r="E635" s="143">
        <v>256.83999999999997</v>
      </c>
      <c r="F635" s="131">
        <f t="shared" ref="F635" si="19">C635*E635</f>
        <v>256.83999999999997</v>
      </c>
    </row>
    <row r="636" spans="1:6">
      <c r="A636" s="102"/>
      <c r="B636" s="114"/>
      <c r="C636" s="103"/>
      <c r="D636" s="104"/>
      <c r="E636" s="143"/>
      <c r="F636" s="131"/>
    </row>
    <row r="637" spans="1:6">
      <c r="A637" s="79" t="s">
        <v>70</v>
      </c>
      <c r="B637" s="80" t="s">
        <v>333</v>
      </c>
      <c r="C637" s="81" t="s">
        <v>31</v>
      </c>
      <c r="D637" s="82" t="s">
        <v>44</v>
      </c>
      <c r="E637" s="143">
        <v>456.99</v>
      </c>
      <c r="F637" s="131">
        <f t="shared" ref="F637" si="20">C637*E637</f>
        <v>456.99</v>
      </c>
    </row>
    <row r="638" spans="1:6">
      <c r="A638" s="102"/>
      <c r="B638" s="114"/>
      <c r="C638" s="103"/>
      <c r="D638" s="104"/>
      <c r="E638" s="143"/>
      <c r="F638" s="131"/>
    </row>
    <row r="639" spans="1:6">
      <c r="A639" s="79" t="s">
        <v>199</v>
      </c>
      <c r="B639" s="80" t="s">
        <v>334</v>
      </c>
      <c r="C639" s="81" t="s">
        <v>149</v>
      </c>
      <c r="D639" s="82" t="s">
        <v>44</v>
      </c>
      <c r="E639" s="143">
        <v>58.1</v>
      </c>
      <c r="F639" s="131">
        <f t="shared" ref="F639" si="21">C639*E639</f>
        <v>116.2</v>
      </c>
    </row>
    <row r="640" spans="1:6">
      <c r="A640" s="102"/>
      <c r="B640" s="114"/>
      <c r="C640" s="103"/>
      <c r="D640" s="104"/>
      <c r="E640" s="143"/>
      <c r="F640" s="131"/>
    </row>
    <row r="641" spans="1:6">
      <c r="A641" s="79" t="s">
        <v>226</v>
      </c>
      <c r="B641" s="80" t="s">
        <v>335</v>
      </c>
      <c r="C641" s="81" t="s">
        <v>298</v>
      </c>
      <c r="D641" s="82" t="s">
        <v>44</v>
      </c>
      <c r="E641" s="143">
        <v>68.11</v>
      </c>
      <c r="F641" s="131">
        <f t="shared" ref="F641" si="22">C641*E641</f>
        <v>749.21</v>
      </c>
    </row>
    <row r="642" spans="1:6">
      <c r="A642" s="102"/>
      <c r="B642" s="114"/>
      <c r="C642" s="103"/>
      <c r="D642" s="104"/>
      <c r="E642" s="143"/>
      <c r="F642" s="131"/>
    </row>
    <row r="643" spans="1:6">
      <c r="A643" s="79" t="s">
        <v>228</v>
      </c>
      <c r="B643" s="80" t="s">
        <v>336</v>
      </c>
      <c r="C643" s="81" t="s">
        <v>108</v>
      </c>
      <c r="D643" s="82" t="s">
        <v>44</v>
      </c>
      <c r="E643" s="143">
        <v>143.44</v>
      </c>
      <c r="F643" s="131">
        <f t="shared" ref="F643" si="23">C643*E643</f>
        <v>3299.12</v>
      </c>
    </row>
    <row r="644" spans="1:6">
      <c r="A644" s="102"/>
      <c r="B644" s="114"/>
      <c r="C644" s="103"/>
      <c r="D644" s="104"/>
      <c r="E644" s="143"/>
      <c r="F644" s="131"/>
    </row>
    <row r="645" spans="1:6">
      <c r="A645" s="79" t="s">
        <v>231</v>
      </c>
      <c r="B645" s="80" t="s">
        <v>337</v>
      </c>
      <c r="C645" s="81" t="s">
        <v>212</v>
      </c>
      <c r="D645" s="82" t="s">
        <v>44</v>
      </c>
      <c r="E645" s="143">
        <v>171.23</v>
      </c>
      <c r="F645" s="131">
        <f t="shared" ref="F645" si="24">C645*E645</f>
        <v>1541.07</v>
      </c>
    </row>
    <row r="646" spans="1:6">
      <c r="A646" s="102"/>
      <c r="B646" s="114"/>
      <c r="C646" s="103"/>
      <c r="D646" s="104"/>
      <c r="E646" s="143"/>
      <c r="F646" s="131"/>
    </row>
    <row r="647" spans="1:6">
      <c r="A647" s="79" t="s">
        <v>283</v>
      </c>
      <c r="B647" s="80" t="s">
        <v>338</v>
      </c>
      <c r="C647" s="81" t="s">
        <v>31</v>
      </c>
      <c r="D647" s="82" t="s">
        <v>44</v>
      </c>
      <c r="E647" s="143">
        <v>311.05</v>
      </c>
      <c r="F647" s="131">
        <f t="shared" ref="F647" si="25">C647*E647</f>
        <v>311.05</v>
      </c>
    </row>
    <row r="648" spans="1:6">
      <c r="A648" s="102"/>
      <c r="B648" s="114"/>
      <c r="C648" s="103"/>
      <c r="D648" s="104"/>
      <c r="E648" s="143"/>
      <c r="F648" s="131"/>
    </row>
    <row r="649" spans="1:6">
      <c r="A649" s="102"/>
      <c r="B649" s="114"/>
      <c r="C649" s="103"/>
      <c r="D649" s="104"/>
      <c r="E649" s="143"/>
      <c r="F649" s="131"/>
    </row>
    <row r="650" spans="1:6">
      <c r="A650" s="102"/>
      <c r="B650" s="114"/>
      <c r="C650" s="103"/>
      <c r="D650" s="104"/>
      <c r="E650" s="143"/>
      <c r="F650" s="131"/>
    </row>
    <row r="651" spans="1:6">
      <c r="A651" s="102"/>
      <c r="B651" s="114"/>
      <c r="C651" s="103"/>
      <c r="D651" s="104"/>
      <c r="E651" s="143"/>
      <c r="F651" s="131"/>
    </row>
    <row r="652" spans="1:6">
      <c r="A652" s="85"/>
      <c r="B652" s="86"/>
      <c r="C652" s="87"/>
      <c r="D652" s="88"/>
      <c r="E652" s="145"/>
      <c r="F652" s="133"/>
    </row>
    <row r="653" spans="1:6">
      <c r="A653" s="89"/>
      <c r="B653" s="90"/>
      <c r="C653" s="91" t="s">
        <v>35</v>
      </c>
      <c r="D653" s="91"/>
      <c r="E653" s="146" t="s">
        <v>8</v>
      </c>
      <c r="F653" s="134">
        <f>SUM(F611:F648)</f>
        <v>113354.13000000002</v>
      </c>
    </row>
    <row r="654" spans="1:6">
      <c r="A654" s="89"/>
      <c r="B654" s="90"/>
      <c r="C654" s="92"/>
      <c r="D654" s="93"/>
      <c r="E654" s="147"/>
      <c r="F654" s="135"/>
    </row>
    <row r="655" spans="1:6">
      <c r="A655" s="102"/>
      <c r="B655" s="114"/>
      <c r="C655" s="103"/>
      <c r="D655" s="104"/>
      <c r="E655" s="143"/>
      <c r="F655" s="131"/>
    </row>
    <row r="656" spans="1:6" ht="27.6">
      <c r="A656" s="102"/>
      <c r="B656" s="77" t="s">
        <v>175</v>
      </c>
      <c r="C656" s="103"/>
      <c r="D656" s="104"/>
      <c r="E656" s="143"/>
      <c r="F656" s="131"/>
    </row>
    <row r="657" spans="1:6">
      <c r="A657" s="102"/>
      <c r="B657" s="118"/>
      <c r="C657" s="103"/>
      <c r="D657" s="104"/>
      <c r="E657" s="143"/>
      <c r="F657" s="131"/>
    </row>
    <row r="658" spans="1:6" ht="55.15">
      <c r="A658" s="79"/>
      <c r="B658" s="117" t="s">
        <v>339</v>
      </c>
      <c r="C658" s="81"/>
      <c r="D658" s="82"/>
      <c r="E658" s="143"/>
      <c r="F658" s="131"/>
    </row>
    <row r="659" spans="1:6">
      <c r="A659" s="102"/>
      <c r="B659" s="114"/>
      <c r="C659" s="103"/>
      <c r="D659" s="104"/>
      <c r="E659" s="143"/>
      <c r="F659" s="131"/>
    </row>
    <row r="660" spans="1:6">
      <c r="A660" s="79" t="s">
        <v>16</v>
      </c>
      <c r="B660" s="80" t="s">
        <v>328</v>
      </c>
      <c r="C660" s="81" t="s">
        <v>280</v>
      </c>
      <c r="D660" s="82" t="s">
        <v>44</v>
      </c>
      <c r="E660" s="143">
        <v>679.93</v>
      </c>
      <c r="F660" s="131">
        <f t="shared" ref="F660" si="26">C660*E660</f>
        <v>4079.58</v>
      </c>
    </row>
    <row r="661" spans="1:6">
      <c r="A661" s="102"/>
      <c r="B661" s="114"/>
      <c r="C661" s="103"/>
      <c r="D661" s="104"/>
      <c r="E661" s="143"/>
      <c r="F661" s="131"/>
    </row>
    <row r="662" spans="1:6" ht="96.6">
      <c r="A662" s="79"/>
      <c r="B662" s="117" t="s">
        <v>340</v>
      </c>
      <c r="C662" s="81"/>
      <c r="D662" s="82"/>
      <c r="E662" s="143"/>
      <c r="F662" s="131"/>
    </row>
    <row r="663" spans="1:6">
      <c r="A663" s="102"/>
      <c r="B663" s="114"/>
      <c r="C663" s="103"/>
      <c r="D663" s="104"/>
      <c r="E663" s="143"/>
      <c r="F663" s="131"/>
    </row>
    <row r="664" spans="1:6">
      <c r="A664" s="79" t="s">
        <v>19</v>
      </c>
      <c r="B664" s="80" t="s">
        <v>341</v>
      </c>
      <c r="C664" s="81" t="s">
        <v>342</v>
      </c>
      <c r="D664" s="82" t="s">
        <v>103</v>
      </c>
      <c r="E664" s="143">
        <v>17.23</v>
      </c>
      <c r="F664" s="131">
        <f t="shared" ref="F664" si="27">C664*E664</f>
        <v>3170.32</v>
      </c>
    </row>
    <row r="665" spans="1:6">
      <c r="A665" s="102"/>
      <c r="B665" s="114"/>
      <c r="C665" s="103"/>
      <c r="D665" s="104"/>
      <c r="E665" s="143"/>
      <c r="F665" s="131"/>
    </row>
    <row r="666" spans="1:6">
      <c r="A666" s="79" t="s">
        <v>22</v>
      </c>
      <c r="B666" s="80" t="s">
        <v>343</v>
      </c>
      <c r="C666" s="81" t="s">
        <v>344</v>
      </c>
      <c r="D666" s="82" t="s">
        <v>103</v>
      </c>
      <c r="E666" s="143">
        <v>18.63</v>
      </c>
      <c r="F666" s="131">
        <f t="shared" ref="F666" si="28">C666*E666</f>
        <v>1155.06</v>
      </c>
    </row>
    <row r="667" spans="1:6">
      <c r="A667" s="102"/>
      <c r="B667" s="114"/>
      <c r="C667" s="103"/>
      <c r="D667" s="104"/>
      <c r="E667" s="143"/>
      <c r="F667" s="131"/>
    </row>
    <row r="668" spans="1:6">
      <c r="A668" s="79" t="s">
        <v>26</v>
      </c>
      <c r="B668" s="80" t="s">
        <v>345</v>
      </c>
      <c r="C668" s="81" t="s">
        <v>346</v>
      </c>
      <c r="D668" s="82" t="s">
        <v>103</v>
      </c>
      <c r="E668" s="143">
        <v>21.4</v>
      </c>
      <c r="F668" s="131">
        <f t="shared" ref="F668" si="29">C668*E668</f>
        <v>1391</v>
      </c>
    </row>
    <row r="669" spans="1:6">
      <c r="A669" s="102"/>
      <c r="B669" s="114"/>
      <c r="C669" s="103"/>
      <c r="D669" s="104"/>
      <c r="E669" s="143"/>
      <c r="F669" s="131"/>
    </row>
    <row r="670" spans="1:6">
      <c r="A670" s="79" t="s">
        <v>29</v>
      </c>
      <c r="B670" s="80" t="s">
        <v>347</v>
      </c>
      <c r="C670" s="81" t="s">
        <v>296</v>
      </c>
      <c r="D670" s="82" t="s">
        <v>103</v>
      </c>
      <c r="E670" s="143">
        <v>39.47</v>
      </c>
      <c r="F670" s="131">
        <f t="shared" ref="F670" si="30">C670*E670</f>
        <v>1381.45</v>
      </c>
    </row>
    <row r="671" spans="1:6">
      <c r="A671" s="102"/>
      <c r="B671" s="114"/>
      <c r="C671" s="103"/>
      <c r="D671" s="104"/>
      <c r="E671" s="143"/>
      <c r="F671" s="131"/>
    </row>
    <row r="672" spans="1:6">
      <c r="A672" s="79" t="s">
        <v>33</v>
      </c>
      <c r="B672" s="80" t="s">
        <v>348</v>
      </c>
      <c r="C672" s="81" t="s">
        <v>298</v>
      </c>
      <c r="D672" s="82" t="s">
        <v>103</v>
      </c>
      <c r="E672" s="143">
        <v>46.7</v>
      </c>
      <c r="F672" s="131">
        <f t="shared" ref="F672" si="31">C672*E672</f>
        <v>513.70000000000005</v>
      </c>
    </row>
    <row r="673" spans="1:6">
      <c r="A673" s="102"/>
      <c r="B673" s="114"/>
      <c r="C673" s="103"/>
      <c r="D673" s="104"/>
      <c r="E673" s="143"/>
      <c r="F673" s="131"/>
    </row>
    <row r="674" spans="1:6">
      <c r="A674" s="79" t="s">
        <v>45</v>
      </c>
      <c r="B674" s="80" t="s">
        <v>349</v>
      </c>
      <c r="C674" s="81" t="s">
        <v>350</v>
      </c>
      <c r="D674" s="82" t="s">
        <v>103</v>
      </c>
      <c r="E674" s="143">
        <v>50.59</v>
      </c>
      <c r="F674" s="131">
        <f t="shared" ref="F674" si="32">C674*E674</f>
        <v>3794.2500000000005</v>
      </c>
    </row>
    <row r="675" spans="1:6">
      <c r="A675" s="102"/>
      <c r="B675" s="114"/>
      <c r="C675" s="103"/>
      <c r="D675" s="104"/>
      <c r="E675" s="143"/>
      <c r="F675" s="131"/>
    </row>
    <row r="676" spans="1:6">
      <c r="A676" s="79" t="s">
        <v>49</v>
      </c>
      <c r="B676" s="80" t="s">
        <v>351</v>
      </c>
      <c r="C676" s="81" t="s">
        <v>322</v>
      </c>
      <c r="D676" s="82" t="s">
        <v>103</v>
      </c>
      <c r="E676" s="143">
        <v>82</v>
      </c>
      <c r="F676" s="131">
        <f t="shared" ref="F676" si="33">C676*E676</f>
        <v>5658</v>
      </c>
    </row>
    <row r="677" spans="1:6">
      <c r="A677" s="102"/>
      <c r="B677" s="114"/>
      <c r="C677" s="103"/>
      <c r="D677" s="104"/>
      <c r="E677" s="143"/>
      <c r="F677" s="131"/>
    </row>
    <row r="678" spans="1:6">
      <c r="A678" s="79" t="s">
        <v>61</v>
      </c>
      <c r="B678" s="80" t="s">
        <v>352</v>
      </c>
      <c r="C678" s="81" t="s">
        <v>353</v>
      </c>
      <c r="D678" s="82" t="s">
        <v>103</v>
      </c>
      <c r="E678" s="143">
        <v>259.07</v>
      </c>
      <c r="F678" s="131">
        <f t="shared" ref="F678" si="34">C678*E678</f>
        <v>4663.26</v>
      </c>
    </row>
    <row r="679" spans="1:6">
      <c r="A679" s="102"/>
      <c r="B679" s="114"/>
      <c r="C679" s="103"/>
      <c r="D679" s="104"/>
      <c r="E679" s="143"/>
      <c r="F679" s="131"/>
    </row>
    <row r="680" spans="1:6" ht="27.6">
      <c r="A680" s="79" t="s">
        <v>63</v>
      </c>
      <c r="B680" s="80" t="s">
        <v>354</v>
      </c>
      <c r="C680" s="81" t="s">
        <v>355</v>
      </c>
      <c r="D680" s="82" t="s">
        <v>103</v>
      </c>
      <c r="E680" s="143">
        <v>39.47</v>
      </c>
      <c r="F680" s="131">
        <f t="shared" ref="F680" si="35">C680*E680</f>
        <v>3039.19</v>
      </c>
    </row>
    <row r="681" spans="1:6">
      <c r="A681" s="102"/>
      <c r="B681" s="114"/>
      <c r="C681" s="103"/>
      <c r="D681" s="104"/>
      <c r="E681" s="143"/>
      <c r="F681" s="131"/>
    </row>
    <row r="682" spans="1:6" ht="27.6">
      <c r="A682" s="79" t="s">
        <v>66</v>
      </c>
      <c r="B682" s="80" t="s">
        <v>356</v>
      </c>
      <c r="C682" s="81" t="s">
        <v>357</v>
      </c>
      <c r="D682" s="82" t="s">
        <v>103</v>
      </c>
      <c r="E682" s="143">
        <v>46.7</v>
      </c>
      <c r="F682" s="131">
        <f t="shared" ref="F682" si="36">C682*E682</f>
        <v>700.5</v>
      </c>
    </row>
    <row r="683" spans="1:6">
      <c r="A683" s="102"/>
      <c r="B683" s="114"/>
      <c r="C683" s="103"/>
      <c r="D683" s="104"/>
      <c r="E683" s="143"/>
      <c r="F683" s="131"/>
    </row>
    <row r="684" spans="1:6" ht="27.6">
      <c r="A684" s="79" t="s">
        <v>70</v>
      </c>
      <c r="B684" s="80" t="s">
        <v>358</v>
      </c>
      <c r="C684" s="81" t="s">
        <v>246</v>
      </c>
      <c r="D684" s="82" t="s">
        <v>103</v>
      </c>
      <c r="E684" s="143">
        <v>50.59</v>
      </c>
      <c r="F684" s="131">
        <f t="shared" ref="F684" si="37">C684*E684</f>
        <v>4300.1500000000005</v>
      </c>
    </row>
    <row r="685" spans="1:6">
      <c r="A685" s="79"/>
      <c r="B685" s="115"/>
      <c r="C685" s="81"/>
      <c r="D685" s="82"/>
      <c r="E685" s="143"/>
      <c r="F685" s="131"/>
    </row>
    <row r="686" spans="1:6">
      <c r="A686" s="79"/>
      <c r="B686" s="115"/>
      <c r="C686" s="81"/>
      <c r="D686" s="82"/>
      <c r="E686" s="143"/>
      <c r="F686" s="131"/>
    </row>
    <row r="687" spans="1:6">
      <c r="A687" s="79"/>
      <c r="B687" s="115"/>
      <c r="C687" s="81"/>
      <c r="D687" s="82"/>
      <c r="E687" s="143"/>
      <c r="F687" s="131"/>
    </row>
    <row r="688" spans="1:6">
      <c r="A688" s="102"/>
      <c r="B688" s="114"/>
      <c r="C688" s="103"/>
      <c r="D688" s="104"/>
      <c r="E688" s="143"/>
      <c r="F688" s="131"/>
    </row>
    <row r="689" spans="1:6">
      <c r="A689" s="102"/>
      <c r="B689" s="114"/>
      <c r="C689" s="103"/>
      <c r="D689" s="104"/>
      <c r="E689" s="143"/>
      <c r="F689" s="131"/>
    </row>
    <row r="690" spans="1:6">
      <c r="A690" s="85"/>
      <c r="B690" s="86"/>
      <c r="C690" s="87"/>
      <c r="D690" s="88"/>
      <c r="E690" s="145"/>
      <c r="F690" s="133"/>
    </row>
    <row r="691" spans="1:6">
      <c r="A691" s="89"/>
      <c r="B691" s="90"/>
      <c r="C691" s="91" t="s">
        <v>35</v>
      </c>
      <c r="D691" s="91"/>
      <c r="E691" s="146" t="s">
        <v>8</v>
      </c>
      <c r="F691" s="134">
        <f>SUM(F658:F687)</f>
        <v>33846.46</v>
      </c>
    </row>
    <row r="692" spans="1:6">
      <c r="A692" s="89"/>
      <c r="B692" s="90"/>
      <c r="C692" s="92"/>
      <c r="D692" s="93"/>
      <c r="E692" s="147"/>
      <c r="F692" s="135"/>
    </row>
    <row r="693" spans="1:6">
      <c r="A693" s="102"/>
      <c r="B693" s="114"/>
      <c r="C693" s="103"/>
      <c r="D693" s="104"/>
      <c r="E693" s="143"/>
      <c r="F693" s="131"/>
    </row>
    <row r="694" spans="1:6" ht="27.6">
      <c r="A694" s="102"/>
      <c r="B694" s="77" t="s">
        <v>175</v>
      </c>
      <c r="C694" s="103"/>
      <c r="D694" s="104"/>
      <c r="E694" s="143"/>
      <c r="F694" s="131"/>
    </row>
    <row r="695" spans="1:6">
      <c r="A695" s="102"/>
      <c r="B695" s="114"/>
      <c r="C695" s="103"/>
      <c r="D695" s="104"/>
      <c r="E695" s="143"/>
      <c r="F695" s="131"/>
    </row>
    <row r="696" spans="1:6" ht="27.6">
      <c r="A696" s="79" t="s">
        <v>16</v>
      </c>
      <c r="B696" s="80" t="s">
        <v>359</v>
      </c>
      <c r="C696" s="81" t="s">
        <v>298</v>
      </c>
      <c r="D696" s="82" t="s">
        <v>103</v>
      </c>
      <c r="E696" s="143">
        <v>82</v>
      </c>
      <c r="F696" s="131">
        <f t="shared" ref="F696" si="38">C696*E696</f>
        <v>902</v>
      </c>
    </row>
    <row r="697" spans="1:6">
      <c r="A697" s="102"/>
      <c r="B697" s="114"/>
      <c r="C697" s="103"/>
      <c r="D697" s="104"/>
      <c r="E697" s="143"/>
      <c r="F697" s="131"/>
    </row>
    <row r="698" spans="1:6" ht="27.6">
      <c r="A698" s="79" t="s">
        <v>19</v>
      </c>
      <c r="B698" s="80" t="s">
        <v>360</v>
      </c>
      <c r="C698" s="81" t="s">
        <v>361</v>
      </c>
      <c r="D698" s="82" t="s">
        <v>103</v>
      </c>
      <c r="E698" s="143">
        <v>145.1</v>
      </c>
      <c r="F698" s="131">
        <f t="shared" ref="F698" si="39">C698*E698</f>
        <v>18282.599999999999</v>
      </c>
    </row>
    <row r="699" spans="1:6">
      <c r="A699" s="102"/>
      <c r="B699" s="114"/>
      <c r="C699" s="103"/>
      <c r="D699" s="104"/>
      <c r="E699" s="143"/>
      <c r="F699" s="131"/>
    </row>
    <row r="700" spans="1:6" ht="27.6">
      <c r="A700" s="79" t="s">
        <v>22</v>
      </c>
      <c r="B700" s="80" t="s">
        <v>362</v>
      </c>
      <c r="C700" s="81" t="s">
        <v>127</v>
      </c>
      <c r="D700" s="82" t="s">
        <v>103</v>
      </c>
      <c r="E700" s="143">
        <v>1356.22</v>
      </c>
      <c r="F700" s="131">
        <f t="shared" ref="F700" si="40">C700*E700</f>
        <v>6781.1</v>
      </c>
    </row>
    <row r="701" spans="1:6">
      <c r="A701" s="102"/>
      <c r="B701" s="114"/>
      <c r="C701" s="103"/>
      <c r="D701" s="104"/>
      <c r="E701" s="143"/>
      <c r="F701" s="131"/>
    </row>
    <row r="702" spans="1:6" ht="96.6">
      <c r="A702" s="79"/>
      <c r="B702" s="117" t="s">
        <v>363</v>
      </c>
      <c r="C702" s="81"/>
      <c r="D702" s="82"/>
      <c r="E702" s="143"/>
      <c r="F702" s="131"/>
    </row>
    <row r="703" spans="1:6">
      <c r="A703" s="102"/>
      <c r="B703" s="114"/>
      <c r="C703" s="103"/>
      <c r="D703" s="104"/>
      <c r="E703" s="143"/>
      <c r="F703" s="131"/>
    </row>
    <row r="704" spans="1:6">
      <c r="A704" s="79" t="s">
        <v>26</v>
      </c>
      <c r="B704" s="80" t="s">
        <v>364</v>
      </c>
      <c r="C704" s="81" t="s">
        <v>239</v>
      </c>
      <c r="D704" s="82" t="s">
        <v>44</v>
      </c>
      <c r="E704" s="143">
        <v>55.04</v>
      </c>
      <c r="F704" s="131">
        <f t="shared" ref="F704" si="41">C704*E704</f>
        <v>1155.8399999999999</v>
      </c>
    </row>
    <row r="705" spans="1:6">
      <c r="A705" s="102"/>
      <c r="B705" s="114"/>
      <c r="C705" s="103"/>
      <c r="D705" s="104"/>
      <c r="E705" s="143"/>
      <c r="F705" s="131"/>
    </row>
    <row r="706" spans="1:6">
      <c r="A706" s="79" t="s">
        <v>29</v>
      </c>
      <c r="B706" s="80" t="s">
        <v>365</v>
      </c>
      <c r="C706" s="81" t="s">
        <v>31</v>
      </c>
      <c r="D706" s="82" t="s">
        <v>44</v>
      </c>
      <c r="E706" s="143">
        <v>62.27</v>
      </c>
      <c r="F706" s="131">
        <f t="shared" ref="F706" si="42">C706*E706</f>
        <v>62.27</v>
      </c>
    </row>
    <row r="707" spans="1:6">
      <c r="A707" s="102"/>
      <c r="B707" s="114"/>
      <c r="C707" s="103"/>
      <c r="D707" s="104"/>
      <c r="E707" s="143"/>
      <c r="F707" s="131"/>
    </row>
    <row r="708" spans="1:6">
      <c r="A708" s="79" t="s">
        <v>33</v>
      </c>
      <c r="B708" s="80" t="s">
        <v>366</v>
      </c>
      <c r="C708" s="81" t="s">
        <v>31</v>
      </c>
      <c r="D708" s="82" t="s">
        <v>44</v>
      </c>
      <c r="E708" s="143">
        <v>154.83000000000001</v>
      </c>
      <c r="F708" s="131">
        <f t="shared" ref="F708" si="43">C708*E708</f>
        <v>154.83000000000001</v>
      </c>
    </row>
    <row r="709" spans="1:6">
      <c r="A709" s="102"/>
      <c r="B709" s="114"/>
      <c r="C709" s="103"/>
      <c r="D709" s="104"/>
      <c r="E709" s="143"/>
      <c r="F709" s="131"/>
    </row>
    <row r="710" spans="1:6">
      <c r="A710" s="79" t="s">
        <v>45</v>
      </c>
      <c r="B710" s="80" t="s">
        <v>367</v>
      </c>
      <c r="C710" s="81" t="s">
        <v>31</v>
      </c>
      <c r="D710" s="82" t="s">
        <v>44</v>
      </c>
      <c r="E710" s="143">
        <v>151.22</v>
      </c>
      <c r="F710" s="131">
        <f t="shared" ref="F710" si="44">C710*E710</f>
        <v>151.22</v>
      </c>
    </row>
    <row r="711" spans="1:6">
      <c r="A711" s="102"/>
      <c r="B711" s="114"/>
      <c r="C711" s="103"/>
      <c r="D711" s="104"/>
      <c r="E711" s="143"/>
      <c r="F711" s="131"/>
    </row>
    <row r="712" spans="1:6">
      <c r="A712" s="79" t="s">
        <v>49</v>
      </c>
      <c r="B712" s="80" t="s">
        <v>368</v>
      </c>
      <c r="C712" s="81" t="s">
        <v>225</v>
      </c>
      <c r="D712" s="82" t="s">
        <v>44</v>
      </c>
      <c r="E712" s="143">
        <v>154.83000000000001</v>
      </c>
      <c r="F712" s="131">
        <f t="shared" ref="F712" si="45">C712*E712</f>
        <v>2012.7900000000002</v>
      </c>
    </row>
    <row r="713" spans="1:6">
      <c r="A713" s="102"/>
      <c r="B713" s="114"/>
      <c r="C713" s="103"/>
      <c r="D713" s="104"/>
      <c r="E713" s="143"/>
      <c r="F713" s="131"/>
    </row>
    <row r="714" spans="1:6" ht="110.45">
      <c r="A714" s="79"/>
      <c r="B714" s="117" t="s">
        <v>369</v>
      </c>
      <c r="C714" s="81"/>
      <c r="D714" s="82"/>
      <c r="E714" s="143"/>
      <c r="F714" s="131"/>
    </row>
    <row r="715" spans="1:6">
      <c r="A715" s="102"/>
      <c r="B715" s="114"/>
      <c r="C715" s="103"/>
      <c r="D715" s="104"/>
      <c r="E715" s="143"/>
      <c r="F715" s="131"/>
    </row>
    <row r="716" spans="1:6">
      <c r="A716" s="79" t="s">
        <v>61</v>
      </c>
      <c r="B716" s="80" t="s">
        <v>370</v>
      </c>
      <c r="C716" s="81" t="s">
        <v>371</v>
      </c>
      <c r="D716" s="82" t="s">
        <v>103</v>
      </c>
      <c r="E716" s="143">
        <v>48.58</v>
      </c>
      <c r="F716" s="131">
        <f t="shared" ref="F716" si="46">C716*E716</f>
        <v>28322.14</v>
      </c>
    </row>
    <row r="717" spans="1:6">
      <c r="A717" s="102"/>
      <c r="B717" s="114"/>
      <c r="C717" s="103"/>
      <c r="D717" s="104"/>
      <c r="E717" s="143"/>
      <c r="F717" s="131"/>
    </row>
    <row r="718" spans="1:6">
      <c r="A718" s="79" t="s">
        <v>63</v>
      </c>
      <c r="B718" s="80" t="s">
        <v>372</v>
      </c>
      <c r="C718" s="81" t="s">
        <v>373</v>
      </c>
      <c r="D718" s="82" t="s">
        <v>103</v>
      </c>
      <c r="E718" s="143">
        <v>51.28</v>
      </c>
      <c r="F718" s="131">
        <f t="shared" ref="F718" si="47">C718*E718</f>
        <v>53074.8</v>
      </c>
    </row>
    <row r="719" spans="1:6">
      <c r="A719" s="102"/>
      <c r="B719" s="114"/>
      <c r="C719" s="103"/>
      <c r="D719" s="104"/>
      <c r="E719" s="143"/>
      <c r="F719" s="131"/>
    </row>
    <row r="720" spans="1:6">
      <c r="A720" s="79" t="s">
        <v>66</v>
      </c>
      <c r="B720" s="80" t="s">
        <v>374</v>
      </c>
      <c r="C720" s="81" t="s">
        <v>375</v>
      </c>
      <c r="D720" s="82" t="s">
        <v>103</v>
      </c>
      <c r="E720" s="143">
        <v>52.62</v>
      </c>
      <c r="F720" s="131">
        <f t="shared" ref="F720" si="48">C720*E720</f>
        <v>45884.639999999999</v>
      </c>
    </row>
    <row r="721" spans="1:6">
      <c r="A721" s="102"/>
      <c r="B721" s="114"/>
      <c r="C721" s="103"/>
      <c r="D721" s="104"/>
      <c r="E721" s="143"/>
      <c r="F721" s="131"/>
    </row>
    <row r="722" spans="1:6">
      <c r="A722" s="102"/>
      <c r="B722" s="114"/>
      <c r="C722" s="103"/>
      <c r="D722" s="104"/>
      <c r="E722" s="143"/>
      <c r="F722" s="131"/>
    </row>
    <row r="723" spans="1:6">
      <c r="A723" s="102"/>
      <c r="B723" s="114"/>
      <c r="C723" s="103"/>
      <c r="D723" s="104"/>
      <c r="E723" s="143"/>
      <c r="F723" s="131"/>
    </row>
    <row r="724" spans="1:6">
      <c r="A724" s="85"/>
      <c r="B724" s="86"/>
      <c r="C724" s="87"/>
      <c r="D724" s="88"/>
      <c r="E724" s="145"/>
      <c r="F724" s="133"/>
    </row>
    <row r="725" spans="1:6">
      <c r="A725" s="89"/>
      <c r="B725" s="90"/>
      <c r="C725" s="91" t="s">
        <v>35</v>
      </c>
      <c r="D725" s="91"/>
      <c r="E725" s="146" t="s">
        <v>8</v>
      </c>
      <c r="F725" s="134">
        <f>SUM(F694:F722)</f>
        <v>156784.22999999998</v>
      </c>
    </row>
    <row r="726" spans="1:6">
      <c r="A726" s="89"/>
      <c r="B726" s="90"/>
      <c r="C726" s="92"/>
      <c r="D726" s="93"/>
      <c r="E726" s="147"/>
      <c r="F726" s="135"/>
    </row>
    <row r="727" spans="1:6">
      <c r="A727" s="102"/>
      <c r="B727" s="114"/>
      <c r="C727" s="103"/>
      <c r="D727" s="104"/>
      <c r="E727" s="143"/>
      <c r="F727" s="131"/>
    </row>
    <row r="728" spans="1:6" ht="27.6">
      <c r="A728" s="102"/>
      <c r="B728" s="77" t="s">
        <v>175</v>
      </c>
      <c r="C728" s="103"/>
      <c r="D728" s="104"/>
      <c r="E728" s="143"/>
      <c r="F728" s="131"/>
    </row>
    <row r="729" spans="1:6">
      <c r="A729" s="102"/>
      <c r="B729" s="114"/>
      <c r="C729" s="103"/>
      <c r="D729" s="104"/>
      <c r="E729" s="143"/>
      <c r="F729" s="131"/>
    </row>
    <row r="730" spans="1:6">
      <c r="A730" s="79" t="s">
        <v>16</v>
      </c>
      <c r="B730" s="80" t="s">
        <v>376</v>
      </c>
      <c r="C730" s="81" t="s">
        <v>377</v>
      </c>
      <c r="D730" s="82" t="s">
        <v>103</v>
      </c>
      <c r="E730" s="143">
        <v>72.87</v>
      </c>
      <c r="F730" s="131">
        <f t="shared" ref="F730" si="49">C730*E730</f>
        <v>46491.060000000005</v>
      </c>
    </row>
    <row r="731" spans="1:6">
      <c r="A731" s="102"/>
      <c r="B731" s="114"/>
      <c r="C731" s="103"/>
      <c r="D731" s="104"/>
      <c r="E731" s="143"/>
      <c r="F731" s="131"/>
    </row>
    <row r="732" spans="1:6">
      <c r="A732" s="79" t="s">
        <v>19</v>
      </c>
      <c r="B732" s="80" t="s">
        <v>378</v>
      </c>
      <c r="C732" s="81" t="s">
        <v>379</v>
      </c>
      <c r="D732" s="82" t="s">
        <v>103</v>
      </c>
      <c r="E732" s="143">
        <v>81.5</v>
      </c>
      <c r="F732" s="131">
        <f t="shared" ref="F732" si="50">C732*E732</f>
        <v>40750</v>
      </c>
    </row>
    <row r="733" spans="1:6">
      <c r="A733" s="102"/>
      <c r="B733" s="114"/>
      <c r="C733" s="103"/>
      <c r="D733" s="104"/>
      <c r="E733" s="143"/>
      <c r="F733" s="131"/>
    </row>
    <row r="734" spans="1:6">
      <c r="A734" s="79" t="s">
        <v>22</v>
      </c>
      <c r="B734" s="80" t="s">
        <v>380</v>
      </c>
      <c r="C734" s="81" t="s">
        <v>381</v>
      </c>
      <c r="D734" s="82" t="s">
        <v>103</v>
      </c>
      <c r="E734" s="143">
        <v>142.76</v>
      </c>
      <c r="F734" s="131">
        <f t="shared" ref="F734" si="51">C734*E734</f>
        <v>38402.439999999995</v>
      </c>
    </row>
    <row r="735" spans="1:6">
      <c r="A735" s="102"/>
      <c r="B735" s="114"/>
      <c r="C735" s="103"/>
      <c r="D735" s="104"/>
      <c r="E735" s="143"/>
      <c r="F735" s="131"/>
    </row>
    <row r="736" spans="1:6">
      <c r="A736" s="79" t="s">
        <v>26</v>
      </c>
      <c r="B736" s="80" t="s">
        <v>382</v>
      </c>
      <c r="C736" s="81" t="s">
        <v>383</v>
      </c>
      <c r="D736" s="82" t="s">
        <v>103</v>
      </c>
      <c r="E736" s="143">
        <v>211.85</v>
      </c>
      <c r="F736" s="131">
        <f t="shared" ref="F736" si="52">C736*E736</f>
        <v>24362.75</v>
      </c>
    </row>
    <row r="737" spans="1:6">
      <c r="A737" s="102"/>
      <c r="B737" s="114"/>
      <c r="C737" s="103"/>
      <c r="D737" s="104"/>
      <c r="E737" s="143"/>
      <c r="F737" s="131"/>
    </row>
    <row r="738" spans="1:6">
      <c r="A738" s="79" t="s">
        <v>29</v>
      </c>
      <c r="B738" s="80" t="s">
        <v>384</v>
      </c>
      <c r="C738" s="81" t="s">
        <v>385</v>
      </c>
      <c r="D738" s="82" t="s">
        <v>103</v>
      </c>
      <c r="E738" s="143">
        <v>250.98</v>
      </c>
      <c r="F738" s="131">
        <f t="shared" ref="F738" si="53">C738*E738</f>
        <v>31372.5</v>
      </c>
    </row>
    <row r="739" spans="1:6">
      <c r="A739" s="102"/>
      <c r="B739" s="114"/>
      <c r="C739" s="103"/>
      <c r="D739" s="104"/>
      <c r="E739" s="143"/>
      <c r="F739" s="131"/>
    </row>
    <row r="740" spans="1:6">
      <c r="A740" s="79" t="s">
        <v>33</v>
      </c>
      <c r="B740" s="80" t="s">
        <v>386</v>
      </c>
      <c r="C740" s="81" t="s">
        <v>387</v>
      </c>
      <c r="D740" s="82" t="s">
        <v>103</v>
      </c>
      <c r="E740" s="143">
        <v>293.35000000000002</v>
      </c>
      <c r="F740" s="131">
        <f t="shared" ref="F740" si="54">C740*E740</f>
        <v>37548.800000000003</v>
      </c>
    </row>
    <row r="741" spans="1:6">
      <c r="A741" s="102"/>
      <c r="B741" s="114"/>
      <c r="C741" s="103"/>
      <c r="D741" s="104"/>
      <c r="E741" s="143"/>
      <c r="F741" s="131"/>
    </row>
    <row r="742" spans="1:6">
      <c r="A742" s="79" t="s">
        <v>45</v>
      </c>
      <c r="B742" s="80" t="s">
        <v>388</v>
      </c>
      <c r="C742" s="81" t="s">
        <v>389</v>
      </c>
      <c r="D742" s="82" t="s">
        <v>103</v>
      </c>
      <c r="E742" s="143">
        <v>341.12</v>
      </c>
      <c r="F742" s="131">
        <f t="shared" ref="F742" si="55">C742*E742</f>
        <v>9892.48</v>
      </c>
    </row>
    <row r="743" spans="1:6">
      <c r="A743" s="102"/>
      <c r="B743" s="114"/>
      <c r="C743" s="103"/>
      <c r="D743" s="104"/>
      <c r="E743" s="143"/>
      <c r="F743" s="131"/>
    </row>
    <row r="744" spans="1:6">
      <c r="A744" s="79" t="s">
        <v>49</v>
      </c>
      <c r="B744" s="80" t="s">
        <v>390</v>
      </c>
      <c r="C744" s="81" t="s">
        <v>391</v>
      </c>
      <c r="D744" s="82" t="s">
        <v>103</v>
      </c>
      <c r="E744" s="143">
        <v>399.69</v>
      </c>
      <c r="F744" s="131">
        <f t="shared" ref="F744" si="56">C744*E744</f>
        <v>79938</v>
      </c>
    </row>
    <row r="745" spans="1:6">
      <c r="A745" s="102"/>
      <c r="B745" s="114"/>
      <c r="C745" s="103"/>
      <c r="D745" s="104"/>
      <c r="E745" s="143"/>
      <c r="F745" s="131"/>
    </row>
    <row r="746" spans="1:6">
      <c r="A746" s="79" t="s">
        <v>61</v>
      </c>
      <c r="B746" s="80" t="s">
        <v>392</v>
      </c>
      <c r="C746" s="81" t="s">
        <v>24</v>
      </c>
      <c r="D746" s="82" t="s">
        <v>103</v>
      </c>
      <c r="E746" s="143">
        <v>487.39</v>
      </c>
      <c r="F746" s="131">
        <f t="shared" ref="F746" si="57">C746*E746</f>
        <v>9260.41</v>
      </c>
    </row>
    <row r="747" spans="1:6">
      <c r="A747" s="102"/>
      <c r="B747" s="114"/>
      <c r="C747" s="103"/>
      <c r="D747" s="104"/>
      <c r="E747" s="143"/>
      <c r="F747" s="131"/>
    </row>
    <row r="748" spans="1:6">
      <c r="A748" s="79" t="s">
        <v>63</v>
      </c>
      <c r="B748" s="80" t="s">
        <v>393</v>
      </c>
      <c r="C748" s="81" t="s">
        <v>252</v>
      </c>
      <c r="D748" s="82" t="s">
        <v>103</v>
      </c>
      <c r="E748" s="143">
        <v>487.39</v>
      </c>
      <c r="F748" s="131">
        <f t="shared" ref="F748" si="58">C748*E748</f>
        <v>83343.69</v>
      </c>
    </row>
    <row r="749" spans="1:6">
      <c r="A749" s="102"/>
      <c r="B749" s="114"/>
      <c r="C749" s="103"/>
      <c r="D749" s="104"/>
      <c r="E749" s="143"/>
      <c r="F749" s="131"/>
    </row>
    <row r="750" spans="1:6">
      <c r="A750" s="79" t="s">
        <v>66</v>
      </c>
      <c r="B750" s="80" t="s">
        <v>394</v>
      </c>
      <c r="C750" s="81" t="s">
        <v>395</v>
      </c>
      <c r="D750" s="82" t="s">
        <v>103</v>
      </c>
      <c r="E750" s="143">
        <v>188.92</v>
      </c>
      <c r="F750" s="131">
        <f t="shared" ref="F750" si="59">C750*E750</f>
        <v>512351.04</v>
      </c>
    </row>
    <row r="751" spans="1:6">
      <c r="A751" s="102"/>
      <c r="B751" s="114"/>
      <c r="C751" s="103"/>
      <c r="D751" s="104"/>
      <c r="E751" s="143"/>
      <c r="F751" s="131"/>
    </row>
    <row r="752" spans="1:6" ht="82.9">
      <c r="A752" s="79" t="s">
        <v>70</v>
      </c>
      <c r="B752" s="80" t="s">
        <v>396</v>
      </c>
      <c r="C752" s="81">
        <v>1</v>
      </c>
      <c r="D752" s="82" t="s">
        <v>2</v>
      </c>
      <c r="E752" s="143">
        <v>4048.15</v>
      </c>
      <c r="F752" s="131">
        <f t="shared" ref="F752" si="60">C752*E752</f>
        <v>4048.15</v>
      </c>
    </row>
    <row r="753" spans="1:6">
      <c r="A753" s="102"/>
      <c r="B753" s="114"/>
      <c r="C753" s="103"/>
      <c r="D753" s="104"/>
      <c r="E753" s="143"/>
      <c r="F753" s="131"/>
    </row>
    <row r="754" spans="1:6" ht="82.9">
      <c r="A754" s="79" t="s">
        <v>199</v>
      </c>
      <c r="B754" s="80" t="s">
        <v>397</v>
      </c>
      <c r="C754" s="81">
        <v>1</v>
      </c>
      <c r="D754" s="82" t="s">
        <v>2</v>
      </c>
      <c r="E754" s="143">
        <v>2698.77</v>
      </c>
      <c r="F754" s="131">
        <f t="shared" ref="F754" si="61">C754*E754</f>
        <v>2698.77</v>
      </c>
    </row>
    <row r="755" spans="1:6">
      <c r="A755" s="102"/>
      <c r="B755" s="114"/>
      <c r="C755" s="103"/>
      <c r="D755" s="104"/>
      <c r="E755" s="143"/>
      <c r="F755" s="131"/>
    </row>
    <row r="756" spans="1:6">
      <c r="A756" s="102"/>
      <c r="B756" s="114"/>
      <c r="C756" s="103"/>
      <c r="D756" s="104"/>
      <c r="E756" s="143"/>
      <c r="F756" s="131"/>
    </row>
    <row r="757" spans="1:6">
      <c r="A757" s="102"/>
      <c r="B757" s="114"/>
      <c r="C757" s="103"/>
      <c r="D757" s="104"/>
      <c r="E757" s="143"/>
      <c r="F757" s="131"/>
    </row>
    <row r="758" spans="1:6">
      <c r="A758" s="102"/>
      <c r="B758" s="114"/>
      <c r="C758" s="103"/>
      <c r="D758" s="104"/>
      <c r="E758" s="143"/>
      <c r="F758" s="131"/>
    </row>
    <row r="759" spans="1:6">
      <c r="A759" s="102"/>
      <c r="B759" s="114"/>
      <c r="C759" s="103"/>
      <c r="D759" s="104"/>
      <c r="E759" s="143"/>
      <c r="F759" s="131"/>
    </row>
    <row r="760" spans="1:6">
      <c r="A760" s="102"/>
      <c r="B760" s="114"/>
      <c r="C760" s="103"/>
      <c r="D760" s="104"/>
      <c r="E760" s="143"/>
      <c r="F760" s="131"/>
    </row>
    <row r="761" spans="1:6">
      <c r="A761" s="102"/>
      <c r="B761" s="114"/>
      <c r="C761" s="103"/>
      <c r="D761" s="104"/>
      <c r="E761" s="143"/>
      <c r="F761" s="131"/>
    </row>
    <row r="762" spans="1:6">
      <c r="A762" s="102"/>
      <c r="B762" s="114"/>
      <c r="C762" s="103"/>
      <c r="D762" s="104"/>
      <c r="E762" s="143"/>
      <c r="F762" s="131"/>
    </row>
    <row r="763" spans="1:6">
      <c r="A763" s="102"/>
      <c r="B763" s="114"/>
      <c r="C763" s="103"/>
      <c r="D763" s="104"/>
      <c r="E763" s="143"/>
      <c r="F763" s="131"/>
    </row>
    <row r="764" spans="1:6">
      <c r="A764" s="85"/>
      <c r="B764" s="86"/>
      <c r="C764" s="87"/>
      <c r="D764" s="88"/>
      <c r="E764" s="145"/>
      <c r="F764" s="133"/>
    </row>
    <row r="765" spans="1:6">
      <c r="A765" s="89"/>
      <c r="B765" s="90"/>
      <c r="C765" s="91" t="s">
        <v>35</v>
      </c>
      <c r="D765" s="91"/>
      <c r="E765" s="146" t="s">
        <v>8</v>
      </c>
      <c r="F765" s="134">
        <f>SUM(F729:F760)</f>
        <v>920460.09</v>
      </c>
    </row>
    <row r="766" spans="1:6">
      <c r="A766" s="89"/>
      <c r="B766" s="90"/>
      <c r="C766" s="92"/>
      <c r="D766" s="93"/>
      <c r="E766" s="147"/>
      <c r="F766" s="135"/>
    </row>
    <row r="767" spans="1:6">
      <c r="A767" s="102"/>
      <c r="B767" s="114"/>
      <c r="C767" s="103"/>
      <c r="D767" s="104"/>
      <c r="E767" s="143"/>
      <c r="F767" s="131"/>
    </row>
    <row r="768" spans="1:6" ht="27.6">
      <c r="A768" s="102"/>
      <c r="B768" s="77" t="s">
        <v>175</v>
      </c>
      <c r="C768" s="103"/>
      <c r="D768" s="104"/>
      <c r="E768" s="143"/>
      <c r="F768" s="131"/>
    </row>
    <row r="769" spans="1:6">
      <c r="A769" s="102"/>
      <c r="B769" s="114"/>
      <c r="C769" s="103"/>
      <c r="D769" s="104"/>
      <c r="E769" s="143"/>
      <c r="F769" s="131"/>
    </row>
    <row r="770" spans="1:6" ht="96.6">
      <c r="A770" s="79" t="s">
        <v>16</v>
      </c>
      <c r="B770" s="80" t="s">
        <v>398</v>
      </c>
      <c r="C770" s="81">
        <v>1</v>
      </c>
      <c r="D770" s="82" t="s">
        <v>2</v>
      </c>
      <c r="E770" s="143">
        <v>26987.65</v>
      </c>
      <c r="F770" s="131">
        <f t="shared" ref="F770" si="62">C770*E770</f>
        <v>26987.65</v>
      </c>
    </row>
    <row r="771" spans="1:6">
      <c r="A771" s="102"/>
      <c r="B771" s="114"/>
      <c r="C771" s="103"/>
      <c r="D771" s="104"/>
      <c r="E771" s="143"/>
      <c r="F771" s="131"/>
    </row>
    <row r="772" spans="1:6" ht="82.9">
      <c r="A772" s="79" t="s">
        <v>19</v>
      </c>
      <c r="B772" s="80" t="s">
        <v>399</v>
      </c>
      <c r="C772" s="81">
        <v>1</v>
      </c>
      <c r="D772" s="82" t="s">
        <v>2</v>
      </c>
      <c r="E772" s="143">
        <v>21590.12</v>
      </c>
      <c r="F772" s="131">
        <f t="shared" ref="F772" si="63">C772*E772</f>
        <v>21590.12</v>
      </c>
    </row>
    <row r="773" spans="1:6">
      <c r="A773" s="102"/>
      <c r="B773" s="114"/>
      <c r="C773" s="103"/>
      <c r="D773" s="104"/>
      <c r="E773" s="143"/>
      <c r="F773" s="131"/>
    </row>
    <row r="774" spans="1:6" ht="96.6">
      <c r="A774" s="79"/>
      <c r="B774" s="117" t="s">
        <v>400</v>
      </c>
      <c r="C774" s="81"/>
      <c r="D774" s="82"/>
      <c r="E774" s="143"/>
      <c r="F774" s="131"/>
    </row>
    <row r="775" spans="1:6">
      <c r="A775" s="102"/>
      <c r="B775" s="114"/>
      <c r="C775" s="103"/>
      <c r="D775" s="104"/>
      <c r="E775" s="143"/>
      <c r="F775" s="131"/>
    </row>
    <row r="776" spans="1:6">
      <c r="A776" s="79" t="s">
        <v>22</v>
      </c>
      <c r="B776" s="80" t="s">
        <v>401</v>
      </c>
      <c r="C776" s="81" t="s">
        <v>298</v>
      </c>
      <c r="D776" s="82" t="s">
        <v>44</v>
      </c>
      <c r="E776" s="143">
        <v>26.99</v>
      </c>
      <c r="F776" s="131">
        <f t="shared" ref="F776" si="64">C776*E776</f>
        <v>296.89</v>
      </c>
    </row>
    <row r="777" spans="1:6">
      <c r="A777" s="102"/>
      <c r="B777" s="114"/>
      <c r="C777" s="103"/>
      <c r="D777" s="104"/>
      <c r="E777" s="143"/>
      <c r="F777" s="131"/>
    </row>
    <row r="778" spans="1:6">
      <c r="A778" s="79" t="s">
        <v>26</v>
      </c>
      <c r="B778" s="80" t="s">
        <v>402</v>
      </c>
      <c r="C778" s="81" t="s">
        <v>298</v>
      </c>
      <c r="D778" s="82" t="s">
        <v>44</v>
      </c>
      <c r="E778" s="143">
        <v>26.99</v>
      </c>
      <c r="F778" s="131">
        <f t="shared" ref="F778" si="65">C778*E778</f>
        <v>296.89</v>
      </c>
    </row>
    <row r="779" spans="1:6">
      <c r="A779" s="102"/>
      <c r="B779" s="114"/>
      <c r="C779" s="103"/>
      <c r="D779" s="104"/>
      <c r="E779" s="143"/>
      <c r="F779" s="131"/>
    </row>
    <row r="780" spans="1:6">
      <c r="A780" s="79" t="s">
        <v>29</v>
      </c>
      <c r="B780" s="80" t="s">
        <v>403</v>
      </c>
      <c r="C780" s="81" t="s">
        <v>31</v>
      </c>
      <c r="D780" s="82" t="s">
        <v>44</v>
      </c>
      <c r="E780" s="143">
        <v>26.99</v>
      </c>
      <c r="F780" s="131">
        <f t="shared" ref="F780" si="66">C780*E780</f>
        <v>26.99</v>
      </c>
    </row>
    <row r="781" spans="1:6">
      <c r="A781" s="102"/>
      <c r="B781" s="114"/>
      <c r="C781" s="103"/>
      <c r="D781" s="104"/>
      <c r="E781" s="143"/>
      <c r="F781" s="131"/>
    </row>
    <row r="782" spans="1:6">
      <c r="A782" s="79" t="s">
        <v>33</v>
      </c>
      <c r="B782" s="80" t="s">
        <v>404</v>
      </c>
      <c r="C782" s="81" t="s">
        <v>31</v>
      </c>
      <c r="D782" s="82" t="s">
        <v>44</v>
      </c>
      <c r="E782" s="143">
        <v>32.380000000000003</v>
      </c>
      <c r="F782" s="131">
        <f t="shared" ref="F782" si="67">C782*E782</f>
        <v>32.380000000000003</v>
      </c>
    </row>
    <row r="783" spans="1:6">
      <c r="A783" s="102"/>
      <c r="B783" s="114"/>
      <c r="C783" s="103"/>
      <c r="D783" s="104"/>
      <c r="E783" s="143"/>
      <c r="F783" s="131"/>
    </row>
    <row r="784" spans="1:6">
      <c r="A784" s="79" t="s">
        <v>45</v>
      </c>
      <c r="B784" s="80" t="s">
        <v>405</v>
      </c>
      <c r="C784" s="81" t="s">
        <v>24</v>
      </c>
      <c r="D784" s="82" t="s">
        <v>44</v>
      </c>
      <c r="E784" s="143">
        <v>32.380000000000003</v>
      </c>
      <c r="F784" s="131">
        <f t="shared" ref="F784" si="68">C784*E784</f>
        <v>615.22</v>
      </c>
    </row>
    <row r="785" spans="1:6">
      <c r="A785" s="102"/>
      <c r="B785" s="114"/>
      <c r="C785" s="103"/>
      <c r="D785" s="104"/>
      <c r="E785" s="143"/>
      <c r="F785" s="131"/>
    </row>
    <row r="786" spans="1:6">
      <c r="A786" s="79" t="s">
        <v>49</v>
      </c>
      <c r="B786" s="80" t="s">
        <v>406</v>
      </c>
      <c r="C786" s="81" t="s">
        <v>407</v>
      </c>
      <c r="D786" s="82" t="s">
        <v>44</v>
      </c>
      <c r="E786" s="143">
        <v>53.97</v>
      </c>
      <c r="F786" s="131">
        <f t="shared" ref="F786" si="69">C786*E786</f>
        <v>3292.17</v>
      </c>
    </row>
    <row r="787" spans="1:6">
      <c r="A787" s="102"/>
      <c r="B787" s="114"/>
      <c r="C787" s="103"/>
      <c r="D787" s="104"/>
      <c r="E787" s="143"/>
      <c r="F787" s="131"/>
    </row>
    <row r="788" spans="1:6">
      <c r="A788" s="79" t="s">
        <v>61</v>
      </c>
      <c r="B788" s="80" t="s">
        <v>408</v>
      </c>
      <c r="C788" s="81" t="s">
        <v>409</v>
      </c>
      <c r="D788" s="82" t="s">
        <v>44</v>
      </c>
      <c r="E788" s="143">
        <v>53.97</v>
      </c>
      <c r="F788" s="131">
        <f t="shared" ref="F788" si="70">C788*E788</f>
        <v>4695.3900000000003</v>
      </c>
    </row>
    <row r="789" spans="1:6">
      <c r="A789" s="102"/>
      <c r="B789" s="114"/>
      <c r="C789" s="103"/>
      <c r="D789" s="104"/>
      <c r="E789" s="143"/>
      <c r="F789" s="131"/>
    </row>
    <row r="790" spans="1:6">
      <c r="A790" s="79" t="s">
        <v>63</v>
      </c>
      <c r="B790" s="80" t="s">
        <v>410</v>
      </c>
      <c r="C790" s="81" t="s">
        <v>108</v>
      </c>
      <c r="D790" s="82" t="s">
        <v>44</v>
      </c>
      <c r="E790" s="143">
        <v>53.97</v>
      </c>
      <c r="F790" s="131">
        <f t="shared" ref="F790" si="71">C790*E790</f>
        <v>1241.31</v>
      </c>
    </row>
    <row r="791" spans="1:6">
      <c r="A791" s="102"/>
      <c r="B791" s="114"/>
      <c r="C791" s="103"/>
      <c r="D791" s="104"/>
      <c r="E791" s="143"/>
      <c r="F791" s="131"/>
    </row>
    <row r="792" spans="1:6">
      <c r="A792" s="79" t="s">
        <v>66</v>
      </c>
      <c r="B792" s="80" t="s">
        <v>411</v>
      </c>
      <c r="C792" s="81" t="s">
        <v>54</v>
      </c>
      <c r="D792" s="82" t="s">
        <v>44</v>
      </c>
      <c r="E792" s="143">
        <v>64.77</v>
      </c>
      <c r="F792" s="131">
        <f t="shared" ref="F792" si="72">C792*E792</f>
        <v>194.31</v>
      </c>
    </row>
    <row r="793" spans="1:6">
      <c r="A793" s="102"/>
      <c r="B793" s="114"/>
      <c r="C793" s="103"/>
      <c r="D793" s="104"/>
      <c r="E793" s="143"/>
      <c r="F793" s="131"/>
    </row>
    <row r="794" spans="1:6">
      <c r="A794" s="102"/>
      <c r="B794" s="114"/>
      <c r="C794" s="103"/>
      <c r="D794" s="104"/>
      <c r="E794" s="143"/>
      <c r="F794" s="131"/>
    </row>
    <row r="795" spans="1:6">
      <c r="A795" s="102"/>
      <c r="B795" s="114"/>
      <c r="C795" s="103"/>
      <c r="D795" s="104"/>
      <c r="E795" s="143"/>
      <c r="F795" s="131"/>
    </row>
    <row r="796" spans="1:6">
      <c r="A796" s="102"/>
      <c r="B796" s="114"/>
      <c r="C796" s="103"/>
      <c r="D796" s="104"/>
      <c r="E796" s="143"/>
      <c r="F796" s="131"/>
    </row>
    <row r="797" spans="1:6">
      <c r="A797" s="85"/>
      <c r="B797" s="86"/>
      <c r="C797" s="87"/>
      <c r="D797" s="88"/>
      <c r="E797" s="145"/>
      <c r="F797" s="133"/>
    </row>
    <row r="798" spans="1:6">
      <c r="A798" s="89"/>
      <c r="B798" s="90"/>
      <c r="C798" s="91" t="s">
        <v>35</v>
      </c>
      <c r="D798" s="91"/>
      <c r="E798" s="146" t="s">
        <v>8</v>
      </c>
      <c r="F798" s="134">
        <f>SUM(F770:F795)</f>
        <v>59269.319999999992</v>
      </c>
    </row>
    <row r="799" spans="1:6">
      <c r="A799" s="89"/>
      <c r="B799" s="90"/>
      <c r="C799" s="92"/>
      <c r="D799" s="93"/>
      <c r="E799" s="147"/>
      <c r="F799" s="135"/>
    </row>
    <row r="800" spans="1:6">
      <c r="A800" s="102"/>
      <c r="B800" s="114"/>
      <c r="C800" s="103"/>
      <c r="D800" s="104"/>
      <c r="E800" s="143"/>
      <c r="F800" s="131"/>
    </row>
    <row r="801" spans="1:6" ht="27.6">
      <c r="A801" s="102"/>
      <c r="B801" s="77" t="s">
        <v>175</v>
      </c>
      <c r="C801" s="103"/>
      <c r="D801" s="104"/>
      <c r="E801" s="143"/>
      <c r="F801" s="131"/>
    </row>
    <row r="802" spans="1:6">
      <c r="A802" s="102"/>
      <c r="B802" s="114"/>
      <c r="C802" s="103"/>
      <c r="D802" s="104"/>
      <c r="E802" s="143"/>
      <c r="F802" s="131"/>
    </row>
    <row r="803" spans="1:6">
      <c r="A803" s="79" t="s">
        <v>16</v>
      </c>
      <c r="B803" s="80" t="s">
        <v>412</v>
      </c>
      <c r="C803" s="81" t="s">
        <v>178</v>
      </c>
      <c r="D803" s="82" t="s">
        <v>44</v>
      </c>
      <c r="E803" s="143">
        <v>64.77</v>
      </c>
      <c r="F803" s="131">
        <f t="shared" ref="F803" si="73">C803*E803</f>
        <v>259.08</v>
      </c>
    </row>
    <row r="804" spans="1:6">
      <c r="A804" s="102"/>
      <c r="B804" s="114"/>
      <c r="C804" s="103"/>
      <c r="D804" s="104"/>
      <c r="E804" s="143"/>
      <c r="F804" s="131"/>
    </row>
    <row r="805" spans="1:6">
      <c r="A805" s="79" t="s">
        <v>19</v>
      </c>
      <c r="B805" s="80" t="s">
        <v>413</v>
      </c>
      <c r="C805" s="81" t="s">
        <v>178</v>
      </c>
      <c r="D805" s="82" t="s">
        <v>44</v>
      </c>
      <c r="E805" s="143">
        <v>134.94</v>
      </c>
      <c r="F805" s="131">
        <f t="shared" ref="F805" si="74">C805*E805</f>
        <v>539.76</v>
      </c>
    </row>
    <row r="806" spans="1:6">
      <c r="A806" s="102"/>
      <c r="B806" s="114"/>
      <c r="C806" s="103"/>
      <c r="D806" s="104"/>
      <c r="E806" s="143"/>
      <c r="F806" s="131"/>
    </row>
    <row r="807" spans="1:6">
      <c r="A807" s="79" t="s">
        <v>22</v>
      </c>
      <c r="B807" s="80" t="s">
        <v>414</v>
      </c>
      <c r="C807" s="81" t="s">
        <v>54</v>
      </c>
      <c r="D807" s="82" t="s">
        <v>44</v>
      </c>
      <c r="E807" s="143">
        <v>134.94</v>
      </c>
      <c r="F807" s="131">
        <f t="shared" ref="F807" si="75">C807*E807</f>
        <v>404.82</v>
      </c>
    </row>
    <row r="808" spans="1:6">
      <c r="A808" s="102"/>
      <c r="B808" s="114"/>
      <c r="C808" s="103"/>
      <c r="D808" s="104"/>
      <c r="E808" s="143"/>
      <c r="F808" s="131"/>
    </row>
    <row r="809" spans="1:6">
      <c r="A809" s="79" t="s">
        <v>26</v>
      </c>
      <c r="B809" s="80" t="s">
        <v>415</v>
      </c>
      <c r="C809" s="81" t="s">
        <v>31</v>
      </c>
      <c r="D809" s="82" t="s">
        <v>44</v>
      </c>
      <c r="E809" s="143">
        <v>161.91999999999999</v>
      </c>
      <c r="F809" s="131">
        <f t="shared" ref="F809" si="76">C809*E809</f>
        <v>161.91999999999999</v>
      </c>
    </row>
    <row r="810" spans="1:6">
      <c r="A810" s="102"/>
      <c r="B810" s="114"/>
      <c r="C810" s="103"/>
      <c r="D810" s="104"/>
      <c r="E810" s="143"/>
      <c r="F810" s="131"/>
    </row>
    <row r="811" spans="1:6">
      <c r="A811" s="79" t="s">
        <v>29</v>
      </c>
      <c r="B811" s="80" t="s">
        <v>416</v>
      </c>
      <c r="C811" s="81" t="s">
        <v>31</v>
      </c>
      <c r="D811" s="82" t="s">
        <v>44</v>
      </c>
      <c r="E811" s="143">
        <v>161.91999999999999</v>
      </c>
      <c r="F811" s="131">
        <f t="shared" ref="F811" si="77">C811*E811</f>
        <v>161.91999999999999</v>
      </c>
    </row>
    <row r="812" spans="1:6">
      <c r="A812" s="102"/>
      <c r="B812" s="114"/>
      <c r="C812" s="103"/>
      <c r="D812" s="104"/>
      <c r="E812" s="143"/>
      <c r="F812" s="131"/>
    </row>
    <row r="813" spans="1:6">
      <c r="A813" s="79" t="s">
        <v>33</v>
      </c>
      <c r="B813" s="80" t="s">
        <v>417</v>
      </c>
      <c r="C813" s="81" t="s">
        <v>418</v>
      </c>
      <c r="D813" s="82" t="s">
        <v>44</v>
      </c>
      <c r="E813" s="143">
        <v>107.95</v>
      </c>
      <c r="F813" s="131">
        <f t="shared" ref="F813" si="78">C813*E813</f>
        <v>13169.9</v>
      </c>
    </row>
    <row r="814" spans="1:6">
      <c r="A814" s="102"/>
      <c r="B814" s="114"/>
      <c r="C814" s="103"/>
      <c r="D814" s="104"/>
      <c r="E814" s="143"/>
      <c r="F814" s="131"/>
    </row>
    <row r="815" spans="1:6">
      <c r="A815" s="79" t="s">
        <v>45</v>
      </c>
      <c r="B815" s="80" t="s">
        <v>419</v>
      </c>
      <c r="C815" s="81" t="s">
        <v>127</v>
      </c>
      <c r="D815" s="82" t="s">
        <v>44</v>
      </c>
      <c r="E815" s="143">
        <v>26.99</v>
      </c>
      <c r="F815" s="131">
        <f t="shared" ref="F815" si="79">C815*E815</f>
        <v>134.94999999999999</v>
      </c>
    </row>
    <row r="816" spans="1:6">
      <c r="A816" s="102"/>
      <c r="B816" s="114"/>
      <c r="C816" s="103"/>
      <c r="D816" s="104"/>
      <c r="E816" s="143"/>
      <c r="F816" s="131"/>
    </row>
    <row r="817" spans="1:6">
      <c r="A817" s="79" t="s">
        <v>49</v>
      </c>
      <c r="B817" s="80" t="s">
        <v>420</v>
      </c>
      <c r="C817" s="81" t="s">
        <v>149</v>
      </c>
      <c r="D817" s="82" t="s">
        <v>44</v>
      </c>
      <c r="E817" s="143">
        <v>26.99</v>
      </c>
      <c r="F817" s="131">
        <f t="shared" ref="F817" si="80">C817*E817</f>
        <v>53.98</v>
      </c>
    </row>
    <row r="818" spans="1:6">
      <c r="A818" s="102"/>
      <c r="B818" s="114"/>
      <c r="C818" s="103"/>
      <c r="D818" s="104"/>
      <c r="E818" s="143"/>
      <c r="F818" s="131"/>
    </row>
    <row r="819" spans="1:6">
      <c r="A819" s="79" t="s">
        <v>61</v>
      </c>
      <c r="B819" s="80" t="s">
        <v>421</v>
      </c>
      <c r="C819" s="81" t="s">
        <v>54</v>
      </c>
      <c r="D819" s="82" t="s">
        <v>44</v>
      </c>
      <c r="E819" s="143">
        <v>32.380000000000003</v>
      </c>
      <c r="F819" s="131">
        <f t="shared" ref="F819" si="81">C819*E819</f>
        <v>97.140000000000015</v>
      </c>
    </row>
    <row r="820" spans="1:6">
      <c r="A820" s="102"/>
      <c r="B820" s="114"/>
      <c r="C820" s="103"/>
      <c r="D820" s="104"/>
      <c r="E820" s="143"/>
      <c r="F820" s="131"/>
    </row>
    <row r="821" spans="1:6">
      <c r="A821" s="79" t="s">
        <v>63</v>
      </c>
      <c r="B821" s="80" t="s">
        <v>422</v>
      </c>
      <c r="C821" s="81" t="s">
        <v>149</v>
      </c>
      <c r="D821" s="82" t="s">
        <v>44</v>
      </c>
      <c r="E821" s="143">
        <v>34.28</v>
      </c>
      <c r="F821" s="131">
        <f t="shared" ref="F821" si="82">C821*E821</f>
        <v>68.56</v>
      </c>
    </row>
    <row r="822" spans="1:6">
      <c r="A822" s="102"/>
      <c r="B822" s="114"/>
      <c r="C822" s="103"/>
      <c r="D822" s="104"/>
      <c r="E822" s="143"/>
      <c r="F822" s="131"/>
    </row>
    <row r="823" spans="1:6">
      <c r="A823" s="79" t="s">
        <v>66</v>
      </c>
      <c r="B823" s="80" t="s">
        <v>423</v>
      </c>
      <c r="C823" s="81" t="s">
        <v>31</v>
      </c>
      <c r="D823" s="82" t="s">
        <v>44</v>
      </c>
      <c r="E823" s="143">
        <v>67.47</v>
      </c>
      <c r="F823" s="131">
        <f t="shared" ref="F823" si="83">C823*E823</f>
        <v>67.47</v>
      </c>
    </row>
    <row r="824" spans="1:6">
      <c r="A824" s="102"/>
      <c r="B824" s="114"/>
      <c r="C824" s="103"/>
      <c r="D824" s="104"/>
      <c r="E824" s="143"/>
      <c r="F824" s="131"/>
    </row>
    <row r="825" spans="1:6">
      <c r="A825" s="79" t="s">
        <v>70</v>
      </c>
      <c r="B825" s="80" t="s">
        <v>424</v>
      </c>
      <c r="C825" s="81" t="s">
        <v>31</v>
      </c>
      <c r="D825" s="82" t="s">
        <v>44</v>
      </c>
      <c r="E825" s="143">
        <v>114.7</v>
      </c>
      <c r="F825" s="131">
        <f t="shared" ref="F825" si="84">C825*E825</f>
        <v>114.7</v>
      </c>
    </row>
    <row r="826" spans="1:6">
      <c r="A826" s="102"/>
      <c r="B826" s="114"/>
      <c r="C826" s="103"/>
      <c r="D826" s="104"/>
      <c r="E826" s="143"/>
      <c r="F826" s="131"/>
    </row>
    <row r="827" spans="1:6">
      <c r="A827" s="79" t="s">
        <v>199</v>
      </c>
      <c r="B827" s="80" t="s">
        <v>425</v>
      </c>
      <c r="C827" s="81" t="s">
        <v>178</v>
      </c>
      <c r="D827" s="82" t="s">
        <v>44</v>
      </c>
      <c r="E827" s="143">
        <v>34.28</v>
      </c>
      <c r="F827" s="131">
        <f t="shared" ref="F827" si="85">C827*E827</f>
        <v>137.12</v>
      </c>
    </row>
    <row r="828" spans="1:6">
      <c r="A828" s="102"/>
      <c r="B828" s="114"/>
      <c r="C828" s="103"/>
      <c r="D828" s="104"/>
      <c r="E828" s="143"/>
      <c r="F828" s="131"/>
    </row>
    <row r="829" spans="1:6">
      <c r="A829" s="79" t="s">
        <v>226</v>
      </c>
      <c r="B829" s="80" t="s">
        <v>426</v>
      </c>
      <c r="C829" s="81" t="s">
        <v>127</v>
      </c>
      <c r="D829" s="82" t="s">
        <v>44</v>
      </c>
      <c r="E829" s="143">
        <v>26.99</v>
      </c>
      <c r="F829" s="131">
        <f t="shared" ref="F829" si="86">C829*E829</f>
        <v>134.94999999999999</v>
      </c>
    </row>
    <row r="830" spans="1:6">
      <c r="A830" s="102"/>
      <c r="B830" s="114"/>
      <c r="C830" s="103"/>
      <c r="D830" s="104"/>
      <c r="E830" s="143"/>
      <c r="F830" s="131"/>
    </row>
    <row r="831" spans="1:6">
      <c r="A831" s="79" t="s">
        <v>228</v>
      </c>
      <c r="B831" s="80" t="s">
        <v>427</v>
      </c>
      <c r="C831" s="81" t="s">
        <v>149</v>
      </c>
      <c r="D831" s="82" t="s">
        <v>44</v>
      </c>
      <c r="E831" s="143">
        <v>26.99</v>
      </c>
      <c r="F831" s="131">
        <f t="shared" ref="F831" si="87">C831*E831</f>
        <v>53.98</v>
      </c>
    </row>
    <row r="832" spans="1:6">
      <c r="A832" s="102"/>
      <c r="B832" s="114"/>
      <c r="C832" s="103"/>
      <c r="D832" s="104"/>
      <c r="E832" s="143"/>
      <c r="F832" s="131"/>
    </row>
    <row r="833" spans="1:6">
      <c r="A833" s="79" t="s">
        <v>231</v>
      </c>
      <c r="B833" s="80" t="s">
        <v>428</v>
      </c>
      <c r="C833" s="81" t="s">
        <v>54</v>
      </c>
      <c r="D833" s="82" t="s">
        <v>44</v>
      </c>
      <c r="E833" s="143">
        <v>32.380000000000003</v>
      </c>
      <c r="F833" s="131">
        <f t="shared" ref="F833" si="88">C833*E833</f>
        <v>97.140000000000015</v>
      </c>
    </row>
    <row r="834" spans="1:6">
      <c r="A834" s="102"/>
      <c r="B834" s="114"/>
      <c r="C834" s="103"/>
      <c r="D834" s="104"/>
      <c r="E834" s="143"/>
      <c r="F834" s="131"/>
    </row>
    <row r="835" spans="1:6">
      <c r="A835" s="79" t="s">
        <v>283</v>
      </c>
      <c r="B835" s="80" t="s">
        <v>288</v>
      </c>
      <c r="C835" s="81" t="s">
        <v>149</v>
      </c>
      <c r="D835" s="82" t="s">
        <v>44</v>
      </c>
      <c r="E835" s="143">
        <v>34.28</v>
      </c>
      <c r="F835" s="131">
        <f t="shared" ref="F835" si="89">C835*E835</f>
        <v>68.56</v>
      </c>
    </row>
    <row r="836" spans="1:6">
      <c r="A836" s="102"/>
      <c r="B836" s="114"/>
      <c r="C836" s="103"/>
      <c r="D836" s="104"/>
      <c r="E836" s="143"/>
      <c r="F836" s="131"/>
    </row>
    <row r="837" spans="1:6">
      <c r="A837" s="79" t="s">
        <v>286</v>
      </c>
      <c r="B837" s="80" t="s">
        <v>429</v>
      </c>
      <c r="C837" s="81" t="s">
        <v>31</v>
      </c>
      <c r="D837" s="82" t="s">
        <v>44</v>
      </c>
      <c r="E837" s="143">
        <v>67.47</v>
      </c>
      <c r="F837" s="131">
        <f t="shared" ref="F837" si="90">C837*E837</f>
        <v>67.47</v>
      </c>
    </row>
    <row r="838" spans="1:6">
      <c r="A838" s="102"/>
      <c r="B838" s="114"/>
      <c r="C838" s="103"/>
      <c r="D838" s="104"/>
      <c r="E838" s="143"/>
      <c r="F838" s="131"/>
    </row>
    <row r="839" spans="1:6">
      <c r="A839" s="79" t="s">
        <v>430</v>
      </c>
      <c r="B839" s="80" t="s">
        <v>431</v>
      </c>
      <c r="C839" s="81" t="s">
        <v>31</v>
      </c>
      <c r="D839" s="82" t="s">
        <v>44</v>
      </c>
      <c r="E839" s="143">
        <v>114.7</v>
      </c>
      <c r="F839" s="131">
        <f t="shared" ref="F839" si="91">C839*E839</f>
        <v>114.7</v>
      </c>
    </row>
    <row r="840" spans="1:6">
      <c r="A840" s="102"/>
      <c r="B840" s="114"/>
      <c r="C840" s="103"/>
      <c r="D840" s="104"/>
      <c r="E840" s="143"/>
      <c r="F840" s="131"/>
    </row>
    <row r="841" spans="1:6">
      <c r="A841" s="79" t="s">
        <v>432</v>
      </c>
      <c r="B841" s="80" t="s">
        <v>433</v>
      </c>
      <c r="C841" s="81" t="s">
        <v>178</v>
      </c>
      <c r="D841" s="82" t="s">
        <v>44</v>
      </c>
      <c r="E841" s="143">
        <v>34.28</v>
      </c>
      <c r="F841" s="131">
        <f t="shared" ref="F841" si="92">C841*E841</f>
        <v>137.12</v>
      </c>
    </row>
    <row r="842" spans="1:6">
      <c r="A842" s="102"/>
      <c r="B842" s="114"/>
      <c r="C842" s="103"/>
      <c r="D842" s="104"/>
      <c r="E842" s="143"/>
      <c r="F842" s="131"/>
    </row>
    <row r="843" spans="1:6">
      <c r="A843" s="102"/>
      <c r="B843" s="114"/>
      <c r="C843" s="103"/>
      <c r="D843" s="104"/>
      <c r="E843" s="143"/>
      <c r="F843" s="131"/>
    </row>
    <row r="844" spans="1:6">
      <c r="A844" s="102"/>
      <c r="B844" s="114"/>
      <c r="C844" s="103"/>
      <c r="D844" s="104"/>
      <c r="E844" s="143"/>
      <c r="F844" s="131"/>
    </row>
    <row r="845" spans="1:6">
      <c r="A845" s="102"/>
      <c r="B845" s="114"/>
      <c r="C845" s="103"/>
      <c r="D845" s="104"/>
      <c r="E845" s="143"/>
      <c r="F845" s="131"/>
    </row>
    <row r="846" spans="1:6">
      <c r="A846" s="102"/>
      <c r="B846" s="114"/>
      <c r="C846" s="103"/>
      <c r="D846" s="104"/>
      <c r="E846" s="143"/>
      <c r="F846" s="131"/>
    </row>
    <row r="847" spans="1:6">
      <c r="A847" s="85"/>
      <c r="B847" s="86"/>
      <c r="C847" s="87"/>
      <c r="D847" s="88"/>
      <c r="E847" s="145"/>
      <c r="F847" s="133"/>
    </row>
    <row r="848" spans="1:6">
      <c r="A848" s="89"/>
      <c r="B848" s="90"/>
      <c r="C848" s="91" t="s">
        <v>35</v>
      </c>
      <c r="D848" s="91"/>
      <c r="E848" s="146" t="s">
        <v>8</v>
      </c>
      <c r="F848" s="134">
        <f>SUM(F802:F842)</f>
        <v>16045.24</v>
      </c>
    </row>
    <row r="849" spans="1:6">
      <c r="A849" s="89"/>
      <c r="B849" s="90"/>
      <c r="C849" s="92"/>
      <c r="D849" s="93"/>
      <c r="E849" s="147"/>
      <c r="F849" s="135"/>
    </row>
    <row r="850" spans="1:6">
      <c r="A850" s="102"/>
      <c r="B850" s="114"/>
      <c r="C850" s="103"/>
      <c r="D850" s="104"/>
      <c r="E850" s="143"/>
      <c r="F850" s="131"/>
    </row>
    <row r="851" spans="1:6" ht="27.6">
      <c r="A851" s="102"/>
      <c r="B851" s="77" t="s">
        <v>175</v>
      </c>
      <c r="C851" s="103"/>
      <c r="D851" s="104"/>
      <c r="E851" s="143"/>
      <c r="F851" s="131"/>
    </row>
    <row r="852" spans="1:6">
      <c r="A852" s="102"/>
      <c r="B852" s="114"/>
      <c r="C852" s="103"/>
      <c r="D852" s="104"/>
      <c r="E852" s="143"/>
      <c r="F852" s="131"/>
    </row>
    <row r="853" spans="1:6" ht="110.45">
      <c r="A853" s="79"/>
      <c r="B853" s="117" t="s">
        <v>434</v>
      </c>
      <c r="C853" s="81"/>
      <c r="D853" s="82"/>
      <c r="E853" s="143"/>
      <c r="F853" s="131"/>
    </row>
    <row r="854" spans="1:6">
      <c r="A854" s="102"/>
      <c r="B854" s="114"/>
      <c r="C854" s="103"/>
      <c r="D854" s="104"/>
      <c r="E854" s="143"/>
      <c r="F854" s="131"/>
    </row>
    <row r="855" spans="1:6">
      <c r="A855" s="79" t="s">
        <v>16</v>
      </c>
      <c r="B855" s="80" t="s">
        <v>435</v>
      </c>
      <c r="C855" s="81" t="s">
        <v>189</v>
      </c>
      <c r="D855" s="82" t="s">
        <v>103</v>
      </c>
      <c r="E855" s="143">
        <v>29.15</v>
      </c>
      <c r="F855" s="131">
        <f t="shared" ref="F855" si="93">C855*E855</f>
        <v>787.05</v>
      </c>
    </row>
    <row r="856" spans="1:6">
      <c r="A856" s="102"/>
      <c r="B856" s="114"/>
      <c r="C856" s="103"/>
      <c r="D856" s="104"/>
      <c r="E856" s="143"/>
      <c r="F856" s="131"/>
    </row>
    <row r="857" spans="1:6">
      <c r="A857" s="79" t="s">
        <v>19</v>
      </c>
      <c r="B857" s="80" t="s">
        <v>436</v>
      </c>
      <c r="C857" s="81" t="s">
        <v>54</v>
      </c>
      <c r="D857" s="82" t="s">
        <v>103</v>
      </c>
      <c r="E857" s="143">
        <v>38.86</v>
      </c>
      <c r="F857" s="131">
        <f t="shared" ref="F857" si="94">C857*E857</f>
        <v>116.58</v>
      </c>
    </row>
    <row r="858" spans="1:6">
      <c r="A858" s="102"/>
      <c r="B858" s="114"/>
      <c r="C858" s="103"/>
      <c r="D858" s="104"/>
      <c r="E858" s="143"/>
      <c r="F858" s="131"/>
    </row>
    <row r="859" spans="1:6">
      <c r="A859" s="79" t="s">
        <v>22</v>
      </c>
      <c r="B859" s="80" t="s">
        <v>437</v>
      </c>
      <c r="C859" s="81" t="s">
        <v>438</v>
      </c>
      <c r="D859" s="82" t="s">
        <v>103</v>
      </c>
      <c r="E859" s="143">
        <v>48.58</v>
      </c>
      <c r="F859" s="131">
        <f t="shared" ref="F859" si="95">C859*E859</f>
        <v>17974.599999999999</v>
      </c>
    </row>
    <row r="860" spans="1:6">
      <c r="A860" s="102"/>
      <c r="B860" s="114"/>
      <c r="C860" s="103"/>
      <c r="D860" s="104"/>
      <c r="E860" s="143"/>
      <c r="F860" s="131"/>
    </row>
    <row r="861" spans="1:6">
      <c r="A861" s="79" t="s">
        <v>26</v>
      </c>
      <c r="B861" s="80" t="s">
        <v>439</v>
      </c>
      <c r="C861" s="81" t="s">
        <v>418</v>
      </c>
      <c r="D861" s="82" t="s">
        <v>103</v>
      </c>
      <c r="E861" s="143">
        <v>53.44</v>
      </c>
      <c r="F861" s="131">
        <f t="shared" ref="F861" si="96">C861*E861</f>
        <v>6519.6799999999994</v>
      </c>
    </row>
    <row r="862" spans="1:6">
      <c r="A862" s="102"/>
      <c r="B862" s="114"/>
      <c r="C862" s="103"/>
      <c r="D862" s="104"/>
      <c r="E862" s="143"/>
      <c r="F862" s="131"/>
    </row>
    <row r="863" spans="1:6">
      <c r="A863" s="79" t="s">
        <v>29</v>
      </c>
      <c r="B863" s="80" t="s">
        <v>440</v>
      </c>
      <c r="C863" s="81" t="s">
        <v>185</v>
      </c>
      <c r="D863" s="82" t="s">
        <v>103</v>
      </c>
      <c r="E863" s="143">
        <v>58.29</v>
      </c>
      <c r="F863" s="131">
        <f t="shared" ref="F863" si="97">C863*E863</f>
        <v>3147.66</v>
      </c>
    </row>
    <row r="864" spans="1:6">
      <c r="A864" s="102"/>
      <c r="B864" s="114"/>
      <c r="C864" s="103"/>
      <c r="D864" s="104"/>
      <c r="E864" s="143"/>
      <c r="F864" s="131"/>
    </row>
    <row r="865" spans="1:6">
      <c r="A865" s="79" t="s">
        <v>33</v>
      </c>
      <c r="B865" s="80" t="s">
        <v>441</v>
      </c>
      <c r="C865" s="81" t="s">
        <v>80</v>
      </c>
      <c r="D865" s="82" t="s">
        <v>103</v>
      </c>
      <c r="E865" s="143">
        <v>53.44</v>
      </c>
      <c r="F865" s="131">
        <f t="shared" ref="F865" si="98">C865*E865</f>
        <v>427.52</v>
      </c>
    </row>
    <row r="866" spans="1:6">
      <c r="A866" s="102"/>
      <c r="B866" s="114"/>
      <c r="C866" s="103"/>
      <c r="D866" s="104"/>
      <c r="E866" s="143"/>
      <c r="F866" s="131"/>
    </row>
    <row r="867" spans="1:6">
      <c r="A867" s="79" t="s">
        <v>45</v>
      </c>
      <c r="B867" s="80" t="s">
        <v>442</v>
      </c>
      <c r="C867" s="81" t="s">
        <v>346</v>
      </c>
      <c r="D867" s="82" t="s">
        <v>103</v>
      </c>
      <c r="E867" s="143">
        <v>58.29</v>
      </c>
      <c r="F867" s="131">
        <f t="shared" ref="F867" si="99">C867*E867</f>
        <v>3788.85</v>
      </c>
    </row>
    <row r="868" spans="1:6">
      <c r="A868" s="102"/>
      <c r="B868" s="114"/>
      <c r="C868" s="103"/>
      <c r="D868" s="104"/>
      <c r="E868" s="143"/>
      <c r="F868" s="131"/>
    </row>
    <row r="869" spans="1:6">
      <c r="A869" s="79" t="s">
        <v>49</v>
      </c>
      <c r="B869" s="80" t="s">
        <v>443</v>
      </c>
      <c r="C869" s="81" t="s">
        <v>444</v>
      </c>
      <c r="D869" s="82" t="s">
        <v>103</v>
      </c>
      <c r="E869" s="143">
        <v>58.29</v>
      </c>
      <c r="F869" s="131">
        <f t="shared" ref="F869" si="100">C869*E869</f>
        <v>1398.96</v>
      </c>
    </row>
    <row r="870" spans="1:6">
      <c r="A870" s="102"/>
      <c r="B870" s="114"/>
      <c r="C870" s="103"/>
      <c r="D870" s="104"/>
      <c r="E870" s="143"/>
      <c r="F870" s="131"/>
    </row>
    <row r="871" spans="1:6">
      <c r="A871" s="79" t="s">
        <v>61</v>
      </c>
      <c r="B871" s="80" t="s">
        <v>445</v>
      </c>
      <c r="C871" s="81" t="s">
        <v>446</v>
      </c>
      <c r="D871" s="82" t="s">
        <v>103</v>
      </c>
      <c r="E871" s="143">
        <v>63.15</v>
      </c>
      <c r="F871" s="131">
        <f t="shared" ref="F871" si="101">C871*E871</f>
        <v>9409.35</v>
      </c>
    </row>
    <row r="872" spans="1:6">
      <c r="A872" s="102"/>
      <c r="B872" s="114"/>
      <c r="C872" s="103"/>
      <c r="D872" s="104"/>
      <c r="E872" s="143"/>
      <c r="F872" s="131"/>
    </row>
    <row r="873" spans="1:6">
      <c r="A873" s="79" t="s">
        <v>63</v>
      </c>
      <c r="B873" s="80" t="s">
        <v>447</v>
      </c>
      <c r="C873" s="81" t="s">
        <v>196</v>
      </c>
      <c r="D873" s="82" t="s">
        <v>103</v>
      </c>
      <c r="E873" s="143">
        <v>68.010000000000005</v>
      </c>
      <c r="F873" s="131">
        <f t="shared" ref="F873" si="102">C873*E873</f>
        <v>5440.8</v>
      </c>
    </row>
    <row r="874" spans="1:6">
      <c r="A874" s="102"/>
      <c r="B874" s="114"/>
      <c r="C874" s="103"/>
      <c r="D874" s="104"/>
      <c r="E874" s="143"/>
      <c r="F874" s="131"/>
    </row>
    <row r="875" spans="1:6">
      <c r="A875" s="79" t="s">
        <v>66</v>
      </c>
      <c r="B875" s="80" t="s">
        <v>448</v>
      </c>
      <c r="C875" s="81" t="s">
        <v>127</v>
      </c>
      <c r="D875" s="82" t="s">
        <v>103</v>
      </c>
      <c r="E875" s="143">
        <v>63.15</v>
      </c>
      <c r="F875" s="131">
        <f t="shared" ref="F875" si="103">C875*E875</f>
        <v>315.75</v>
      </c>
    </row>
    <row r="876" spans="1:6">
      <c r="A876" s="102"/>
      <c r="B876" s="114"/>
      <c r="C876" s="103"/>
      <c r="D876" s="104"/>
      <c r="E876" s="143"/>
      <c r="F876" s="131"/>
    </row>
    <row r="877" spans="1:6">
      <c r="A877" s="79" t="s">
        <v>70</v>
      </c>
      <c r="B877" s="80" t="s">
        <v>449</v>
      </c>
      <c r="C877" s="81" t="s">
        <v>106</v>
      </c>
      <c r="D877" s="82" t="s">
        <v>103</v>
      </c>
      <c r="E877" s="143">
        <v>72.87</v>
      </c>
      <c r="F877" s="131">
        <f t="shared" ref="F877" si="104">C877*E877</f>
        <v>2040.3600000000001</v>
      </c>
    </row>
    <row r="878" spans="1:6">
      <c r="A878" s="102"/>
      <c r="B878" s="114"/>
      <c r="C878" s="103"/>
      <c r="D878" s="104"/>
      <c r="E878" s="143"/>
      <c r="F878" s="131"/>
    </row>
    <row r="879" spans="1:6">
      <c r="A879" s="79" t="s">
        <v>199</v>
      </c>
      <c r="B879" s="80" t="s">
        <v>450</v>
      </c>
      <c r="C879" s="81" t="s">
        <v>451</v>
      </c>
      <c r="D879" s="82" t="s">
        <v>103</v>
      </c>
      <c r="E879" s="143">
        <v>77.72</v>
      </c>
      <c r="F879" s="131">
        <f t="shared" ref="F879" si="105">C879*E879</f>
        <v>777.2</v>
      </c>
    </row>
    <row r="880" spans="1:6">
      <c r="A880" s="102"/>
      <c r="B880" s="114"/>
      <c r="C880" s="103"/>
      <c r="D880" s="104"/>
      <c r="E880" s="143"/>
      <c r="F880" s="131"/>
    </row>
    <row r="881" spans="1:6">
      <c r="A881" s="79" t="s">
        <v>226</v>
      </c>
      <c r="B881" s="80" t="s">
        <v>452</v>
      </c>
      <c r="C881" s="81" t="s">
        <v>453</v>
      </c>
      <c r="D881" s="82" t="s">
        <v>103</v>
      </c>
      <c r="E881" s="143">
        <v>72.87</v>
      </c>
      <c r="F881" s="131">
        <f t="shared" ref="F881" si="106">C881*E881</f>
        <v>1457.4</v>
      </c>
    </row>
    <row r="882" spans="1:6">
      <c r="A882" s="102"/>
      <c r="B882" s="114"/>
      <c r="C882" s="103"/>
      <c r="D882" s="104"/>
      <c r="E882" s="143"/>
      <c r="F882" s="131"/>
    </row>
    <row r="883" spans="1:6">
      <c r="A883" s="79" t="s">
        <v>228</v>
      </c>
      <c r="B883" s="80" t="s">
        <v>454</v>
      </c>
      <c r="C883" s="81" t="s">
        <v>143</v>
      </c>
      <c r="D883" s="82" t="s">
        <v>103</v>
      </c>
      <c r="E883" s="143">
        <v>77.72</v>
      </c>
      <c r="F883" s="131">
        <f t="shared" ref="F883" si="107">C883*E883</f>
        <v>1321.24</v>
      </c>
    </row>
    <row r="884" spans="1:6">
      <c r="A884" s="102"/>
      <c r="B884" s="114"/>
      <c r="C884" s="103"/>
      <c r="D884" s="104"/>
      <c r="E884" s="143"/>
      <c r="F884" s="131"/>
    </row>
    <row r="885" spans="1:6">
      <c r="A885" s="79" t="s">
        <v>231</v>
      </c>
      <c r="B885" s="80" t="s">
        <v>455</v>
      </c>
      <c r="C885" s="81" t="s">
        <v>451</v>
      </c>
      <c r="D885" s="82" t="s">
        <v>103</v>
      </c>
      <c r="E885" s="143">
        <v>82.58</v>
      </c>
      <c r="F885" s="131">
        <f t="shared" ref="F885" si="108">C885*E885</f>
        <v>825.8</v>
      </c>
    </row>
    <row r="886" spans="1:6">
      <c r="A886" s="102"/>
      <c r="B886" s="114"/>
      <c r="C886" s="103"/>
      <c r="D886" s="104"/>
      <c r="E886" s="143"/>
      <c r="F886" s="131"/>
    </row>
    <row r="887" spans="1:6">
      <c r="A887" s="79" t="s">
        <v>283</v>
      </c>
      <c r="B887" s="80" t="s">
        <v>456</v>
      </c>
      <c r="C887" s="81" t="s">
        <v>131</v>
      </c>
      <c r="D887" s="82" t="s">
        <v>103</v>
      </c>
      <c r="E887" s="143">
        <v>77.72</v>
      </c>
      <c r="F887" s="131">
        <f t="shared" ref="F887" si="109">C887*E887</f>
        <v>2797.92</v>
      </c>
    </row>
    <row r="888" spans="1:6">
      <c r="A888" s="79"/>
      <c r="B888" s="115"/>
      <c r="C888" s="81"/>
      <c r="D888" s="82"/>
      <c r="E888" s="143"/>
      <c r="F888" s="131"/>
    </row>
    <row r="889" spans="1:6">
      <c r="A889" s="79"/>
      <c r="B889" s="115"/>
      <c r="C889" s="81"/>
      <c r="D889" s="82"/>
      <c r="E889" s="143"/>
      <c r="F889" s="131"/>
    </row>
    <row r="890" spans="1:6">
      <c r="A890" s="102"/>
      <c r="B890" s="114"/>
      <c r="C890" s="103"/>
      <c r="D890" s="104"/>
      <c r="E890" s="143"/>
      <c r="F890" s="131"/>
    </row>
    <row r="891" spans="1:6">
      <c r="A891" s="85"/>
      <c r="B891" s="86"/>
      <c r="C891" s="87"/>
      <c r="D891" s="88"/>
      <c r="E891" s="145"/>
      <c r="F891" s="133"/>
    </row>
    <row r="892" spans="1:6">
      <c r="A892" s="89"/>
      <c r="B892" s="90"/>
      <c r="C892" s="91" t="s">
        <v>35</v>
      </c>
      <c r="D892" s="91"/>
      <c r="E892" s="146" t="s">
        <v>8</v>
      </c>
      <c r="F892" s="134">
        <f>SUM(F853:F889)</f>
        <v>58546.720000000001</v>
      </c>
    </row>
    <row r="893" spans="1:6">
      <c r="A893" s="89"/>
      <c r="B893" s="90"/>
      <c r="C893" s="92"/>
      <c r="D893" s="93"/>
      <c r="E893" s="147"/>
      <c r="F893" s="135"/>
    </row>
    <row r="894" spans="1:6">
      <c r="A894" s="102"/>
      <c r="B894" s="114"/>
      <c r="C894" s="103"/>
      <c r="D894" s="104"/>
      <c r="E894" s="143"/>
      <c r="F894" s="131"/>
    </row>
    <row r="895" spans="1:6" ht="27.6">
      <c r="A895" s="102"/>
      <c r="B895" s="77" t="s">
        <v>175</v>
      </c>
      <c r="C895" s="103"/>
      <c r="D895" s="104"/>
      <c r="E895" s="143"/>
      <c r="F895" s="131"/>
    </row>
    <row r="896" spans="1:6">
      <c r="A896" s="102"/>
      <c r="B896" s="114"/>
      <c r="C896" s="103"/>
      <c r="D896" s="104"/>
      <c r="E896" s="143"/>
      <c r="F896" s="131"/>
    </row>
    <row r="897" spans="1:6">
      <c r="A897" s="79" t="s">
        <v>16</v>
      </c>
      <c r="B897" s="80" t="s">
        <v>457</v>
      </c>
      <c r="C897" s="81" t="s">
        <v>289</v>
      </c>
      <c r="D897" s="82" t="s">
        <v>103</v>
      </c>
      <c r="E897" s="143">
        <v>82.58</v>
      </c>
      <c r="F897" s="131">
        <f t="shared" ref="F897" si="110">C897*E897</f>
        <v>578.05999999999995</v>
      </c>
    </row>
    <row r="898" spans="1:6">
      <c r="A898" s="102"/>
      <c r="B898" s="114"/>
      <c r="C898" s="103"/>
      <c r="D898" s="104"/>
      <c r="E898" s="143"/>
      <c r="F898" s="131"/>
    </row>
    <row r="899" spans="1:6">
      <c r="A899" s="79" t="s">
        <v>19</v>
      </c>
      <c r="B899" s="80" t="s">
        <v>458</v>
      </c>
      <c r="C899" s="81" t="s">
        <v>24</v>
      </c>
      <c r="D899" s="82" t="s">
        <v>103</v>
      </c>
      <c r="E899" s="143">
        <v>87.44</v>
      </c>
      <c r="F899" s="131">
        <f t="shared" ref="F899" si="111">C899*E899</f>
        <v>1661.36</v>
      </c>
    </row>
    <row r="900" spans="1:6">
      <c r="A900" s="102"/>
      <c r="B900" s="114"/>
      <c r="C900" s="103"/>
      <c r="D900" s="104"/>
      <c r="E900" s="143"/>
      <c r="F900" s="131"/>
    </row>
    <row r="901" spans="1:6">
      <c r="A901" s="79" t="s">
        <v>22</v>
      </c>
      <c r="B901" s="80" t="s">
        <v>459</v>
      </c>
      <c r="C901" s="81" t="s">
        <v>444</v>
      </c>
      <c r="D901" s="82" t="s">
        <v>103</v>
      </c>
      <c r="E901" s="143">
        <v>92.3</v>
      </c>
      <c r="F901" s="131">
        <f t="shared" ref="F901" si="112">C901*E901</f>
        <v>2215.1999999999998</v>
      </c>
    </row>
    <row r="902" spans="1:6">
      <c r="A902" s="102"/>
      <c r="B902" s="114"/>
      <c r="C902" s="103"/>
      <c r="D902" s="104"/>
      <c r="E902" s="143"/>
      <c r="F902" s="131"/>
    </row>
    <row r="903" spans="1:6">
      <c r="A903" s="79" t="s">
        <v>26</v>
      </c>
      <c r="B903" s="80" t="s">
        <v>460</v>
      </c>
      <c r="C903" s="81" t="s">
        <v>143</v>
      </c>
      <c r="D903" s="82" t="s">
        <v>103</v>
      </c>
      <c r="E903" s="143">
        <v>92.3</v>
      </c>
      <c r="F903" s="131">
        <f t="shared" ref="F903" si="113">C903*E903</f>
        <v>1569.1</v>
      </c>
    </row>
    <row r="904" spans="1:6">
      <c r="A904" s="102"/>
      <c r="B904" s="114"/>
      <c r="C904" s="103"/>
      <c r="D904" s="104"/>
      <c r="E904" s="143"/>
      <c r="F904" s="131"/>
    </row>
    <row r="905" spans="1:6">
      <c r="A905" s="79" t="s">
        <v>29</v>
      </c>
      <c r="B905" s="80" t="s">
        <v>461</v>
      </c>
      <c r="C905" s="81" t="s">
        <v>106</v>
      </c>
      <c r="D905" s="82" t="s">
        <v>103</v>
      </c>
      <c r="E905" s="143">
        <v>97.15</v>
      </c>
      <c r="F905" s="131">
        <f t="shared" ref="F905" si="114">C905*E905</f>
        <v>2720.2000000000003</v>
      </c>
    </row>
    <row r="906" spans="1:6">
      <c r="A906" s="102"/>
      <c r="B906" s="114"/>
      <c r="C906" s="103"/>
      <c r="D906" s="104"/>
      <c r="E906" s="143"/>
      <c r="F906" s="131"/>
    </row>
    <row r="907" spans="1:6">
      <c r="A907" s="79" t="s">
        <v>33</v>
      </c>
      <c r="B907" s="80" t="s">
        <v>462</v>
      </c>
      <c r="C907" s="81" t="s">
        <v>24</v>
      </c>
      <c r="D907" s="82" t="s">
        <v>103</v>
      </c>
      <c r="E907" s="143">
        <v>102.01</v>
      </c>
      <c r="F907" s="131">
        <f t="shared" ref="F907" si="115">C907*E907</f>
        <v>1938.19</v>
      </c>
    </row>
    <row r="908" spans="1:6">
      <c r="A908" s="102"/>
      <c r="B908" s="114"/>
      <c r="C908" s="103"/>
      <c r="D908" s="104"/>
      <c r="E908" s="143"/>
      <c r="F908" s="131"/>
    </row>
    <row r="909" spans="1:6">
      <c r="A909" s="79" t="s">
        <v>45</v>
      </c>
      <c r="B909" s="80" t="s">
        <v>463</v>
      </c>
      <c r="C909" s="81" t="s">
        <v>464</v>
      </c>
      <c r="D909" s="82" t="s">
        <v>103</v>
      </c>
      <c r="E909" s="143">
        <v>97.15</v>
      </c>
      <c r="F909" s="131">
        <f t="shared" ref="F909" si="116">C909*E909</f>
        <v>2525.9</v>
      </c>
    </row>
    <row r="910" spans="1:6">
      <c r="A910" s="102"/>
      <c r="B910" s="114"/>
      <c r="C910" s="103"/>
      <c r="D910" s="104"/>
      <c r="E910" s="143"/>
      <c r="F910" s="131"/>
    </row>
    <row r="911" spans="1:6">
      <c r="A911" s="79" t="s">
        <v>49</v>
      </c>
      <c r="B911" s="80" t="s">
        <v>465</v>
      </c>
      <c r="C911" s="81" t="s">
        <v>298</v>
      </c>
      <c r="D911" s="82" t="s">
        <v>103</v>
      </c>
      <c r="E911" s="143">
        <v>116.59</v>
      </c>
      <c r="F911" s="131">
        <f t="shared" ref="F911" si="117">C911*E911</f>
        <v>1282.49</v>
      </c>
    </row>
    <row r="912" spans="1:6">
      <c r="A912" s="102"/>
      <c r="B912" s="114"/>
      <c r="C912" s="103"/>
      <c r="D912" s="104"/>
      <c r="E912" s="143"/>
      <c r="F912" s="131"/>
    </row>
    <row r="913" spans="1:6">
      <c r="A913" s="79" t="s">
        <v>61</v>
      </c>
      <c r="B913" s="80" t="s">
        <v>466</v>
      </c>
      <c r="C913" s="81" t="s">
        <v>149</v>
      </c>
      <c r="D913" s="82" t="s">
        <v>103</v>
      </c>
      <c r="E913" s="143">
        <v>97.15</v>
      </c>
      <c r="F913" s="131">
        <f t="shared" ref="F913" si="118">C913*E913</f>
        <v>194.3</v>
      </c>
    </row>
    <row r="914" spans="1:6">
      <c r="A914" s="102"/>
      <c r="B914" s="114"/>
      <c r="C914" s="103"/>
      <c r="D914" s="104"/>
      <c r="E914" s="143"/>
      <c r="F914" s="131"/>
    </row>
    <row r="915" spans="1:6">
      <c r="A915" s="79" t="s">
        <v>63</v>
      </c>
      <c r="B915" s="80" t="s">
        <v>467</v>
      </c>
      <c r="C915" s="81" t="s">
        <v>357</v>
      </c>
      <c r="D915" s="82" t="s">
        <v>103</v>
      </c>
      <c r="E915" s="143">
        <v>102.01</v>
      </c>
      <c r="F915" s="131">
        <f t="shared" ref="F915" si="119">C915*E915</f>
        <v>1530.15</v>
      </c>
    </row>
    <row r="916" spans="1:6">
      <c r="A916" s="102"/>
      <c r="B916" s="114"/>
      <c r="C916" s="103"/>
      <c r="D916" s="104"/>
      <c r="E916" s="143"/>
      <c r="F916" s="131"/>
    </row>
    <row r="917" spans="1:6">
      <c r="A917" s="79" t="s">
        <v>66</v>
      </c>
      <c r="B917" s="80" t="s">
        <v>468</v>
      </c>
      <c r="C917" s="81" t="s">
        <v>106</v>
      </c>
      <c r="D917" s="82" t="s">
        <v>103</v>
      </c>
      <c r="E917" s="143">
        <v>111.73</v>
      </c>
      <c r="F917" s="131">
        <f t="shared" ref="F917" si="120">C917*E917</f>
        <v>3128.44</v>
      </c>
    </row>
    <row r="918" spans="1:6">
      <c r="A918" s="102"/>
      <c r="B918" s="114"/>
      <c r="C918" s="103"/>
      <c r="D918" s="104"/>
      <c r="E918" s="143"/>
      <c r="F918" s="131"/>
    </row>
    <row r="919" spans="1:6">
      <c r="A919" s="79" t="s">
        <v>70</v>
      </c>
      <c r="B919" s="80" t="s">
        <v>469</v>
      </c>
      <c r="C919" s="81" t="s">
        <v>54</v>
      </c>
      <c r="D919" s="82" t="s">
        <v>103</v>
      </c>
      <c r="E919" s="143">
        <v>116.59</v>
      </c>
      <c r="F919" s="131">
        <f t="shared" ref="F919" si="121">C919*E919</f>
        <v>349.77</v>
      </c>
    </row>
    <row r="920" spans="1:6">
      <c r="A920" s="102"/>
      <c r="B920" s="114"/>
      <c r="C920" s="103"/>
      <c r="D920" s="104"/>
      <c r="E920" s="143"/>
      <c r="F920" s="131"/>
    </row>
    <row r="921" spans="1:6">
      <c r="A921" s="79" t="s">
        <v>199</v>
      </c>
      <c r="B921" s="80" t="s">
        <v>470</v>
      </c>
      <c r="C921" s="81" t="s">
        <v>282</v>
      </c>
      <c r="D921" s="82" t="s">
        <v>103</v>
      </c>
      <c r="E921" s="143">
        <v>136.02000000000001</v>
      </c>
      <c r="F921" s="131">
        <f t="shared" ref="F921" si="122">C921*E921</f>
        <v>1904.2800000000002</v>
      </c>
    </row>
    <row r="922" spans="1:6">
      <c r="A922" s="102"/>
      <c r="B922" s="114"/>
      <c r="C922" s="103"/>
      <c r="D922" s="104"/>
      <c r="E922" s="143"/>
      <c r="F922" s="131"/>
    </row>
    <row r="923" spans="1:6">
      <c r="A923" s="79" t="s">
        <v>226</v>
      </c>
      <c r="B923" s="80" t="s">
        <v>471</v>
      </c>
      <c r="C923" s="81" t="s">
        <v>472</v>
      </c>
      <c r="D923" s="82" t="s">
        <v>103</v>
      </c>
      <c r="E923" s="143">
        <v>136.02000000000001</v>
      </c>
      <c r="F923" s="131">
        <f t="shared" ref="F923" si="123">C923*E923</f>
        <v>4488.6600000000008</v>
      </c>
    </row>
    <row r="924" spans="1:6">
      <c r="A924" s="102"/>
      <c r="B924" s="114"/>
      <c r="C924" s="103"/>
      <c r="D924" s="104"/>
      <c r="E924" s="143"/>
      <c r="F924" s="131"/>
    </row>
    <row r="925" spans="1:6">
      <c r="A925" s="79" t="s">
        <v>228</v>
      </c>
      <c r="B925" s="80" t="s">
        <v>473</v>
      </c>
      <c r="C925" s="81" t="s">
        <v>189</v>
      </c>
      <c r="D925" s="82" t="s">
        <v>103</v>
      </c>
      <c r="E925" s="143">
        <v>160.30000000000001</v>
      </c>
      <c r="F925" s="131">
        <f t="shared" ref="F925" si="124">C925*E925</f>
        <v>4328.1000000000004</v>
      </c>
    </row>
    <row r="926" spans="1:6">
      <c r="A926" s="102"/>
      <c r="B926" s="114"/>
      <c r="C926" s="103"/>
      <c r="D926" s="104"/>
      <c r="E926" s="143"/>
      <c r="F926" s="131"/>
    </row>
    <row r="927" spans="1:6">
      <c r="A927" s="79" t="s">
        <v>231</v>
      </c>
      <c r="B927" s="80" t="s">
        <v>474</v>
      </c>
      <c r="C927" s="81" t="s">
        <v>298</v>
      </c>
      <c r="D927" s="82" t="s">
        <v>103</v>
      </c>
      <c r="E927" s="143">
        <v>136.02000000000001</v>
      </c>
      <c r="F927" s="131">
        <f t="shared" ref="F927" si="125">C927*E927</f>
        <v>1496.22</v>
      </c>
    </row>
    <row r="928" spans="1:6">
      <c r="A928" s="102"/>
      <c r="B928" s="114"/>
      <c r="C928" s="103"/>
      <c r="D928" s="104"/>
      <c r="E928" s="143"/>
      <c r="F928" s="131"/>
    </row>
    <row r="929" spans="1:6">
      <c r="A929" s="79" t="s">
        <v>283</v>
      </c>
      <c r="B929" s="80" t="s">
        <v>475</v>
      </c>
      <c r="C929" s="81" t="s">
        <v>106</v>
      </c>
      <c r="D929" s="82" t="s">
        <v>103</v>
      </c>
      <c r="E929" s="143">
        <v>131.16</v>
      </c>
      <c r="F929" s="131">
        <f t="shared" ref="F929" si="126">C929*E929</f>
        <v>3672.48</v>
      </c>
    </row>
    <row r="930" spans="1:6">
      <c r="A930" s="102"/>
      <c r="B930" s="114"/>
      <c r="C930" s="103"/>
      <c r="D930" s="104"/>
      <c r="E930" s="143"/>
      <c r="F930" s="131"/>
    </row>
    <row r="931" spans="1:6">
      <c r="A931" s="79" t="s">
        <v>286</v>
      </c>
      <c r="B931" s="80" t="s">
        <v>476</v>
      </c>
      <c r="C931" s="81" t="s">
        <v>178</v>
      </c>
      <c r="D931" s="82" t="s">
        <v>103</v>
      </c>
      <c r="E931" s="143">
        <v>160.30000000000001</v>
      </c>
      <c r="F931" s="131">
        <f t="shared" ref="F931" si="127">C931*E931</f>
        <v>641.20000000000005</v>
      </c>
    </row>
    <row r="932" spans="1:6">
      <c r="A932" s="102"/>
      <c r="B932" s="114"/>
      <c r="C932" s="103"/>
      <c r="D932" s="104"/>
      <c r="E932" s="143"/>
      <c r="F932" s="131"/>
    </row>
    <row r="933" spans="1:6">
      <c r="A933" s="79" t="s">
        <v>430</v>
      </c>
      <c r="B933" s="80" t="s">
        <v>477</v>
      </c>
      <c r="C933" s="81" t="s">
        <v>24</v>
      </c>
      <c r="D933" s="82" t="s">
        <v>103</v>
      </c>
      <c r="E933" s="143">
        <v>170.02</v>
      </c>
      <c r="F933" s="131">
        <f t="shared" ref="F933" si="128">C933*E933</f>
        <v>3230.38</v>
      </c>
    </row>
    <row r="934" spans="1:6">
      <c r="A934" s="102"/>
      <c r="B934" s="114"/>
      <c r="C934" s="103"/>
      <c r="D934" s="104"/>
      <c r="E934" s="143"/>
      <c r="F934" s="131"/>
    </row>
    <row r="935" spans="1:6">
      <c r="A935" s="79" t="s">
        <v>432</v>
      </c>
      <c r="B935" s="80" t="s">
        <v>478</v>
      </c>
      <c r="C935" s="81" t="s">
        <v>80</v>
      </c>
      <c r="D935" s="82" t="s">
        <v>103</v>
      </c>
      <c r="E935" s="143">
        <v>145.74</v>
      </c>
      <c r="F935" s="131">
        <f t="shared" ref="F935" si="129">C935*E935</f>
        <v>1165.92</v>
      </c>
    </row>
    <row r="936" spans="1:6">
      <c r="A936" s="102"/>
      <c r="B936" s="114"/>
      <c r="C936" s="103"/>
      <c r="D936" s="104"/>
      <c r="E936" s="143"/>
      <c r="F936" s="131"/>
    </row>
    <row r="937" spans="1:6">
      <c r="A937" s="79" t="s">
        <v>479</v>
      </c>
      <c r="B937" s="80" t="s">
        <v>480</v>
      </c>
      <c r="C937" s="81" t="s">
        <v>54</v>
      </c>
      <c r="D937" s="82" t="s">
        <v>103</v>
      </c>
      <c r="E937" s="143">
        <v>150.59</v>
      </c>
      <c r="F937" s="131">
        <f t="shared" ref="F937" si="130">C937*E937</f>
        <v>451.77</v>
      </c>
    </row>
    <row r="938" spans="1:6">
      <c r="A938" s="102"/>
      <c r="B938" s="114"/>
      <c r="C938" s="103"/>
      <c r="D938" s="104"/>
      <c r="E938" s="143"/>
      <c r="F938" s="131"/>
    </row>
    <row r="939" spans="1:6">
      <c r="A939" s="102"/>
      <c r="B939" s="114"/>
      <c r="C939" s="103"/>
      <c r="D939" s="104"/>
      <c r="E939" s="143"/>
      <c r="F939" s="131"/>
    </row>
    <row r="940" spans="1:6">
      <c r="A940" s="102"/>
      <c r="B940" s="114"/>
      <c r="C940" s="103"/>
      <c r="D940" s="104"/>
      <c r="E940" s="143"/>
      <c r="F940" s="131"/>
    </row>
    <row r="941" spans="1:6">
      <c r="A941" s="85"/>
      <c r="B941" s="86"/>
      <c r="C941" s="87"/>
      <c r="D941" s="88"/>
      <c r="E941" s="145"/>
      <c r="F941" s="133"/>
    </row>
    <row r="942" spans="1:6">
      <c r="A942" s="89"/>
      <c r="B942" s="90"/>
      <c r="C942" s="91" t="s">
        <v>35</v>
      </c>
      <c r="D942" s="91"/>
      <c r="E942" s="146" t="s">
        <v>8</v>
      </c>
      <c r="F942" s="134">
        <f>SUM(F896:F938)</f>
        <v>41072.169999999991</v>
      </c>
    </row>
    <row r="943" spans="1:6">
      <c r="A943" s="89"/>
      <c r="B943" s="90"/>
      <c r="C943" s="92"/>
      <c r="D943" s="93"/>
      <c r="E943" s="147"/>
      <c r="F943" s="135"/>
    </row>
    <row r="944" spans="1:6">
      <c r="A944" s="102"/>
      <c r="B944" s="114"/>
      <c r="C944" s="103"/>
      <c r="D944" s="104"/>
      <c r="E944" s="143"/>
      <c r="F944" s="131"/>
    </row>
    <row r="945" spans="1:6" ht="27.6">
      <c r="A945" s="102"/>
      <c r="B945" s="77" t="s">
        <v>175</v>
      </c>
      <c r="C945" s="103"/>
      <c r="D945" s="104"/>
      <c r="E945" s="143"/>
      <c r="F945" s="131"/>
    </row>
    <row r="946" spans="1:6">
      <c r="A946" s="102"/>
      <c r="B946" s="114"/>
      <c r="C946" s="103"/>
      <c r="D946" s="104"/>
      <c r="E946" s="143"/>
      <c r="F946" s="131"/>
    </row>
    <row r="947" spans="1:6">
      <c r="A947" s="79" t="s">
        <v>16</v>
      </c>
      <c r="B947" s="80" t="s">
        <v>481</v>
      </c>
      <c r="C947" s="81" t="s">
        <v>482</v>
      </c>
      <c r="D947" s="82" t="s">
        <v>103</v>
      </c>
      <c r="E947" s="143">
        <v>155.44999999999999</v>
      </c>
      <c r="F947" s="131">
        <f t="shared" ref="F947" si="131">C947*E947</f>
        <v>4974.3999999999996</v>
      </c>
    </row>
    <row r="948" spans="1:6">
      <c r="A948" s="102"/>
      <c r="B948" s="114"/>
      <c r="C948" s="103"/>
      <c r="D948" s="104"/>
      <c r="E948" s="143"/>
      <c r="F948" s="131"/>
    </row>
    <row r="949" spans="1:6">
      <c r="A949" s="79" t="s">
        <v>19</v>
      </c>
      <c r="B949" s="80" t="s">
        <v>483</v>
      </c>
      <c r="C949" s="81" t="s">
        <v>54</v>
      </c>
      <c r="D949" s="82" t="s">
        <v>103</v>
      </c>
      <c r="E949" s="143">
        <v>136.02000000000001</v>
      </c>
      <c r="F949" s="131">
        <f t="shared" ref="F949" si="132">C949*E949</f>
        <v>408.06000000000006</v>
      </c>
    </row>
    <row r="950" spans="1:6">
      <c r="A950" s="102"/>
      <c r="B950" s="114"/>
      <c r="C950" s="103"/>
      <c r="D950" s="104"/>
      <c r="E950" s="143"/>
      <c r="F950" s="131"/>
    </row>
    <row r="951" spans="1:6">
      <c r="A951" s="79" t="s">
        <v>22</v>
      </c>
      <c r="B951" s="80" t="s">
        <v>484</v>
      </c>
      <c r="C951" s="81" t="s">
        <v>451</v>
      </c>
      <c r="D951" s="82" t="s">
        <v>103</v>
      </c>
      <c r="E951" s="143">
        <v>170.02</v>
      </c>
      <c r="F951" s="131">
        <f t="shared" ref="F951" si="133">C951*E951</f>
        <v>1700.2</v>
      </c>
    </row>
    <row r="952" spans="1:6">
      <c r="A952" s="102"/>
      <c r="B952" s="114"/>
      <c r="C952" s="103"/>
      <c r="D952" s="104"/>
      <c r="E952" s="143"/>
      <c r="F952" s="131"/>
    </row>
    <row r="953" spans="1:6">
      <c r="A953" s="79" t="s">
        <v>26</v>
      </c>
      <c r="B953" s="80" t="s">
        <v>485</v>
      </c>
      <c r="C953" s="81" t="s">
        <v>451</v>
      </c>
      <c r="D953" s="82" t="s">
        <v>103</v>
      </c>
      <c r="E953" s="143">
        <v>189.45</v>
      </c>
      <c r="F953" s="131">
        <f t="shared" ref="F953" si="134">C953*E953</f>
        <v>1894.5</v>
      </c>
    </row>
    <row r="954" spans="1:6">
      <c r="A954" s="102"/>
      <c r="B954" s="114"/>
      <c r="C954" s="103"/>
      <c r="D954" s="104"/>
      <c r="E954" s="143"/>
      <c r="F954" s="131"/>
    </row>
    <row r="955" spans="1:6">
      <c r="A955" s="79" t="s">
        <v>29</v>
      </c>
      <c r="B955" s="80" t="s">
        <v>486</v>
      </c>
      <c r="C955" s="81" t="s">
        <v>451</v>
      </c>
      <c r="D955" s="82" t="s">
        <v>103</v>
      </c>
      <c r="E955" s="143">
        <v>155.44999999999999</v>
      </c>
      <c r="F955" s="131">
        <f t="shared" ref="F955" si="135">C955*E955</f>
        <v>1554.5</v>
      </c>
    </row>
    <row r="956" spans="1:6">
      <c r="A956" s="102"/>
      <c r="B956" s="114"/>
      <c r="C956" s="103"/>
      <c r="D956" s="104"/>
      <c r="E956" s="143"/>
      <c r="F956" s="131"/>
    </row>
    <row r="957" spans="1:6">
      <c r="A957" s="79" t="s">
        <v>33</v>
      </c>
      <c r="B957" s="80" t="s">
        <v>487</v>
      </c>
      <c r="C957" s="81" t="s">
        <v>488</v>
      </c>
      <c r="D957" s="82" t="s">
        <v>103</v>
      </c>
      <c r="E957" s="143">
        <v>160.30000000000001</v>
      </c>
      <c r="F957" s="131">
        <f t="shared" ref="F957" si="136">C957*E957</f>
        <v>6412</v>
      </c>
    </row>
    <row r="958" spans="1:6">
      <c r="A958" s="102"/>
      <c r="B958" s="114"/>
      <c r="C958" s="103"/>
      <c r="D958" s="104"/>
      <c r="E958" s="143"/>
      <c r="F958" s="131"/>
    </row>
    <row r="959" spans="1:6">
      <c r="A959" s="79" t="s">
        <v>45</v>
      </c>
      <c r="B959" s="80" t="s">
        <v>489</v>
      </c>
      <c r="C959" s="81" t="s">
        <v>24</v>
      </c>
      <c r="D959" s="82" t="s">
        <v>103</v>
      </c>
      <c r="E959" s="143">
        <v>184.6</v>
      </c>
      <c r="F959" s="131">
        <f t="shared" ref="F959" si="137">C959*E959</f>
        <v>3507.4</v>
      </c>
    </row>
    <row r="960" spans="1:6">
      <c r="A960" s="102"/>
      <c r="B960" s="114"/>
      <c r="C960" s="103"/>
      <c r="D960" s="104"/>
      <c r="E960" s="143"/>
      <c r="F960" s="131"/>
    </row>
    <row r="961" spans="1:6">
      <c r="A961" s="79" t="s">
        <v>49</v>
      </c>
      <c r="B961" s="80" t="s">
        <v>490</v>
      </c>
      <c r="C961" s="81" t="s">
        <v>298</v>
      </c>
      <c r="D961" s="82" t="s">
        <v>103</v>
      </c>
      <c r="E961" s="143">
        <v>170.02</v>
      </c>
      <c r="F961" s="131">
        <f t="shared" ref="F961" si="138">C961*E961</f>
        <v>1870.22</v>
      </c>
    </row>
    <row r="962" spans="1:6">
      <c r="A962" s="102"/>
      <c r="B962" s="114"/>
      <c r="C962" s="103"/>
      <c r="D962" s="104"/>
      <c r="E962" s="143"/>
      <c r="F962" s="131"/>
    </row>
    <row r="963" spans="1:6">
      <c r="A963" s="79" t="s">
        <v>61</v>
      </c>
      <c r="B963" s="80" t="s">
        <v>491</v>
      </c>
      <c r="C963" s="81" t="s">
        <v>492</v>
      </c>
      <c r="D963" s="82" t="s">
        <v>103</v>
      </c>
      <c r="E963" s="143">
        <v>184.6</v>
      </c>
      <c r="F963" s="131">
        <f t="shared" ref="F963" si="139">C963*E963</f>
        <v>16614</v>
      </c>
    </row>
    <row r="964" spans="1:6">
      <c r="A964" s="102"/>
      <c r="B964" s="114"/>
      <c r="C964" s="103"/>
      <c r="D964" s="104"/>
      <c r="E964" s="143"/>
      <c r="F964" s="131"/>
    </row>
    <row r="965" spans="1:6">
      <c r="A965" s="79" t="s">
        <v>63</v>
      </c>
      <c r="B965" s="80" t="s">
        <v>493</v>
      </c>
      <c r="C965" s="81" t="s">
        <v>451</v>
      </c>
      <c r="D965" s="82" t="s">
        <v>103</v>
      </c>
      <c r="E965" s="143">
        <v>233.17</v>
      </c>
      <c r="F965" s="131">
        <f t="shared" ref="F965" si="140">C965*E965</f>
        <v>2331.6999999999998</v>
      </c>
    </row>
    <row r="966" spans="1:6">
      <c r="A966" s="102"/>
      <c r="B966" s="114"/>
      <c r="C966" s="103"/>
      <c r="D966" s="104"/>
      <c r="E966" s="143"/>
      <c r="F966" s="131"/>
    </row>
    <row r="967" spans="1:6">
      <c r="A967" s="79" t="s">
        <v>66</v>
      </c>
      <c r="B967" s="80" t="s">
        <v>494</v>
      </c>
      <c r="C967" s="81" t="s">
        <v>451</v>
      </c>
      <c r="D967" s="82" t="s">
        <v>103</v>
      </c>
      <c r="E967" s="143">
        <v>184.6</v>
      </c>
      <c r="F967" s="131">
        <f t="shared" ref="F967" si="141">C967*E967</f>
        <v>1846</v>
      </c>
    </row>
    <row r="968" spans="1:6">
      <c r="A968" s="102"/>
      <c r="B968" s="114"/>
      <c r="C968" s="103"/>
      <c r="D968" s="104"/>
      <c r="E968" s="143"/>
      <c r="F968" s="131"/>
    </row>
    <row r="969" spans="1:6">
      <c r="A969" s="79" t="s">
        <v>70</v>
      </c>
      <c r="B969" s="80" t="s">
        <v>495</v>
      </c>
      <c r="C969" s="81" t="s">
        <v>24</v>
      </c>
      <c r="D969" s="82" t="s">
        <v>103</v>
      </c>
      <c r="E969" s="143">
        <v>213.74</v>
      </c>
      <c r="F969" s="131">
        <f t="shared" ref="F969" si="142">C969*E969</f>
        <v>4061.0600000000004</v>
      </c>
    </row>
    <row r="970" spans="1:6">
      <c r="A970" s="102"/>
      <c r="B970" s="114"/>
      <c r="C970" s="103"/>
      <c r="D970" s="104"/>
      <c r="E970" s="143"/>
      <c r="F970" s="131"/>
    </row>
    <row r="971" spans="1:6">
      <c r="A971" s="79" t="s">
        <v>199</v>
      </c>
      <c r="B971" s="80" t="s">
        <v>496</v>
      </c>
      <c r="C971" s="81" t="s">
        <v>178</v>
      </c>
      <c r="D971" s="82" t="s">
        <v>103</v>
      </c>
      <c r="E971" s="143">
        <v>238.03</v>
      </c>
      <c r="F971" s="131">
        <f t="shared" ref="F971" si="143">C971*E971</f>
        <v>952.12</v>
      </c>
    </row>
    <row r="972" spans="1:6">
      <c r="A972" s="102"/>
      <c r="B972" s="114"/>
      <c r="C972" s="103"/>
      <c r="D972" s="104"/>
      <c r="E972" s="143"/>
      <c r="F972" s="131"/>
    </row>
    <row r="973" spans="1:6">
      <c r="A973" s="79" t="s">
        <v>226</v>
      </c>
      <c r="B973" s="80" t="s">
        <v>497</v>
      </c>
      <c r="C973" s="81" t="s">
        <v>212</v>
      </c>
      <c r="D973" s="82" t="s">
        <v>103</v>
      </c>
      <c r="E973" s="143">
        <v>223.46</v>
      </c>
      <c r="F973" s="131">
        <f t="shared" ref="F973:F985" si="144">C973*E973</f>
        <v>2011.14</v>
      </c>
    </row>
    <row r="974" spans="1:6">
      <c r="A974" s="102"/>
      <c r="B974" s="114"/>
      <c r="C974" s="103"/>
      <c r="D974" s="104"/>
      <c r="E974" s="143"/>
      <c r="F974" s="131"/>
    </row>
    <row r="975" spans="1:6">
      <c r="A975" s="79" t="s">
        <v>228</v>
      </c>
      <c r="B975" s="80" t="s">
        <v>498</v>
      </c>
      <c r="C975" s="81" t="s">
        <v>212</v>
      </c>
      <c r="D975" s="82" t="s">
        <v>103</v>
      </c>
      <c r="E975" s="143">
        <v>272.02999999999997</v>
      </c>
      <c r="F975" s="131">
        <f t="shared" si="144"/>
        <v>2448.2699999999995</v>
      </c>
    </row>
    <row r="976" spans="1:6">
      <c r="A976" s="102"/>
      <c r="B976" s="114"/>
      <c r="C976" s="103"/>
      <c r="D976" s="104"/>
      <c r="E976" s="143"/>
      <c r="F976" s="131"/>
    </row>
    <row r="977" spans="1:6">
      <c r="A977" s="79" t="s">
        <v>231</v>
      </c>
      <c r="B977" s="80" t="s">
        <v>499</v>
      </c>
      <c r="C977" s="81" t="s">
        <v>178</v>
      </c>
      <c r="D977" s="82" t="s">
        <v>103</v>
      </c>
      <c r="E977" s="143">
        <v>262.32</v>
      </c>
      <c r="F977" s="131">
        <f t="shared" si="144"/>
        <v>1049.28</v>
      </c>
    </row>
    <row r="978" spans="1:6">
      <c r="A978" s="102"/>
      <c r="B978" s="114"/>
      <c r="C978" s="103"/>
      <c r="D978" s="104"/>
      <c r="E978" s="143"/>
      <c r="F978" s="131"/>
    </row>
    <row r="979" spans="1:6">
      <c r="A979" s="79" t="s">
        <v>283</v>
      </c>
      <c r="B979" s="80" t="s">
        <v>500</v>
      </c>
      <c r="C979" s="81" t="s">
        <v>212</v>
      </c>
      <c r="D979" s="82" t="s">
        <v>103</v>
      </c>
      <c r="E979" s="143">
        <v>272.02999999999997</v>
      </c>
      <c r="F979" s="131">
        <f t="shared" si="144"/>
        <v>2448.2699999999995</v>
      </c>
    </row>
    <row r="980" spans="1:6">
      <c r="A980" s="102"/>
      <c r="B980" s="114"/>
      <c r="C980" s="103"/>
      <c r="D980" s="104"/>
      <c r="E980" s="143"/>
      <c r="F980" s="131"/>
    </row>
    <row r="981" spans="1:6">
      <c r="A981" s="79" t="s">
        <v>286</v>
      </c>
      <c r="B981" s="80" t="s">
        <v>501</v>
      </c>
      <c r="C981" s="81" t="s">
        <v>451</v>
      </c>
      <c r="D981" s="82" t="s">
        <v>103</v>
      </c>
      <c r="E981" s="143">
        <v>291.45999999999998</v>
      </c>
      <c r="F981" s="131">
        <f t="shared" si="144"/>
        <v>2914.6</v>
      </c>
    </row>
    <row r="982" spans="1:6">
      <c r="A982" s="102"/>
      <c r="B982" s="114"/>
      <c r="C982" s="103"/>
      <c r="D982" s="104"/>
      <c r="E982" s="143"/>
      <c r="F982" s="131"/>
    </row>
    <row r="983" spans="1:6">
      <c r="A983" s="79" t="s">
        <v>430</v>
      </c>
      <c r="B983" s="80" t="s">
        <v>502</v>
      </c>
      <c r="C983" s="81" t="s">
        <v>298</v>
      </c>
      <c r="D983" s="82" t="s">
        <v>103</v>
      </c>
      <c r="E983" s="143">
        <v>359.48</v>
      </c>
      <c r="F983" s="131">
        <f t="shared" si="144"/>
        <v>3954.28</v>
      </c>
    </row>
    <row r="984" spans="1:6">
      <c r="A984" s="102"/>
      <c r="B984" s="114"/>
      <c r="C984" s="103"/>
      <c r="D984" s="104"/>
      <c r="E984" s="143"/>
      <c r="F984" s="131"/>
    </row>
    <row r="985" spans="1:6">
      <c r="A985" s="79" t="s">
        <v>432</v>
      </c>
      <c r="B985" s="80" t="s">
        <v>503</v>
      </c>
      <c r="C985" s="81" t="s">
        <v>504</v>
      </c>
      <c r="D985" s="82" t="s">
        <v>103</v>
      </c>
      <c r="E985" s="143">
        <v>145.74</v>
      </c>
      <c r="F985" s="131">
        <f t="shared" si="144"/>
        <v>162208.62000000002</v>
      </c>
    </row>
    <row r="986" spans="1:6">
      <c r="A986" s="102"/>
      <c r="B986" s="114"/>
      <c r="C986" s="103"/>
      <c r="D986" s="104"/>
      <c r="E986" s="143"/>
      <c r="F986" s="131"/>
    </row>
    <row r="987" spans="1:6">
      <c r="A987" s="79" t="s">
        <v>479</v>
      </c>
      <c r="B987" s="80" t="s">
        <v>505</v>
      </c>
      <c r="C987" s="81" t="s">
        <v>298</v>
      </c>
      <c r="D987" s="82" t="s">
        <v>103</v>
      </c>
      <c r="E987" s="143">
        <v>38.86</v>
      </c>
      <c r="F987" s="131">
        <f>C987*E987</f>
        <v>427.46</v>
      </c>
    </row>
    <row r="988" spans="1:6">
      <c r="A988" s="102"/>
      <c r="B988" s="114"/>
      <c r="C988" s="103"/>
      <c r="D988" s="104"/>
      <c r="E988" s="143"/>
      <c r="F988" s="131"/>
    </row>
    <row r="989" spans="1:6">
      <c r="A989" s="102"/>
      <c r="B989" s="114"/>
      <c r="C989" s="103"/>
      <c r="D989" s="104"/>
      <c r="E989" s="143"/>
      <c r="F989" s="131"/>
    </row>
    <row r="990" spans="1:6">
      <c r="A990" s="102"/>
      <c r="B990" s="114"/>
      <c r="C990" s="103"/>
      <c r="D990" s="104"/>
      <c r="E990" s="143"/>
      <c r="F990" s="131"/>
    </row>
    <row r="991" spans="1:6">
      <c r="A991" s="85"/>
      <c r="B991" s="86"/>
      <c r="C991" s="87"/>
      <c r="D991" s="88"/>
      <c r="E991" s="145"/>
      <c r="F991" s="133"/>
    </row>
    <row r="992" spans="1:6">
      <c r="A992" s="89"/>
      <c r="B992" s="90"/>
      <c r="C992" s="91" t="s">
        <v>35</v>
      </c>
      <c r="D992" s="91"/>
      <c r="E992" s="146" t="s">
        <v>8</v>
      </c>
      <c r="F992" s="134">
        <f>SUM(F946:F989)</f>
        <v>225588.08</v>
      </c>
    </row>
    <row r="993" spans="1:6">
      <c r="A993" s="89"/>
      <c r="B993" s="90"/>
      <c r="C993" s="92"/>
      <c r="D993" s="93"/>
      <c r="E993" s="147"/>
      <c r="F993" s="135"/>
    </row>
    <row r="994" spans="1:6">
      <c r="A994" s="102"/>
      <c r="B994" s="114"/>
      <c r="C994" s="103"/>
      <c r="D994" s="104"/>
      <c r="E994" s="143"/>
      <c r="F994" s="131"/>
    </row>
    <row r="995" spans="1:6" ht="27.6">
      <c r="A995" s="102"/>
      <c r="B995" s="77" t="s">
        <v>175</v>
      </c>
      <c r="C995" s="103"/>
      <c r="D995" s="104"/>
      <c r="E995" s="143"/>
      <c r="F995" s="131"/>
    </row>
    <row r="996" spans="1:6">
      <c r="A996" s="102"/>
      <c r="B996" s="118"/>
      <c r="C996" s="103"/>
      <c r="D996" s="104"/>
      <c r="E996" s="143"/>
      <c r="F996" s="131"/>
    </row>
    <row r="997" spans="1:6">
      <c r="A997" s="79" t="s">
        <v>16</v>
      </c>
      <c r="B997" s="80" t="s">
        <v>506</v>
      </c>
      <c r="C997" s="81" t="s">
        <v>178</v>
      </c>
      <c r="D997" s="82" t="s">
        <v>103</v>
      </c>
      <c r="E997" s="143">
        <v>48.58</v>
      </c>
      <c r="F997" s="131">
        <f>C997*E997</f>
        <v>194.32</v>
      </c>
    </row>
    <row r="998" spans="1:6">
      <c r="A998" s="102"/>
      <c r="B998" s="114"/>
      <c r="C998" s="103"/>
      <c r="D998" s="104"/>
      <c r="E998" s="143"/>
      <c r="F998" s="131"/>
    </row>
    <row r="999" spans="1:6">
      <c r="A999" s="79" t="s">
        <v>19</v>
      </c>
      <c r="B999" s="80" t="s">
        <v>507</v>
      </c>
      <c r="C999" s="81" t="s">
        <v>127</v>
      </c>
      <c r="D999" s="82" t="s">
        <v>103</v>
      </c>
      <c r="E999" s="143">
        <v>92.3</v>
      </c>
      <c r="F999" s="131">
        <f>C999*E999</f>
        <v>461.5</v>
      </c>
    </row>
    <row r="1000" spans="1:6">
      <c r="A1000" s="102"/>
      <c r="B1000" s="114"/>
      <c r="C1000" s="103"/>
      <c r="D1000" s="104"/>
      <c r="E1000" s="143"/>
      <c r="F1000" s="131"/>
    </row>
    <row r="1001" spans="1:6">
      <c r="A1001" s="79" t="s">
        <v>22</v>
      </c>
      <c r="B1001" s="80" t="s">
        <v>508</v>
      </c>
      <c r="C1001" s="81" t="s">
        <v>127</v>
      </c>
      <c r="D1001" s="82" t="s">
        <v>103</v>
      </c>
      <c r="E1001" s="143">
        <v>131.16</v>
      </c>
      <c r="F1001" s="131">
        <f>C1001*E1001</f>
        <v>655.8</v>
      </c>
    </row>
    <row r="1002" spans="1:6">
      <c r="A1002" s="102"/>
      <c r="B1002" s="114"/>
      <c r="C1002" s="103"/>
      <c r="D1002" s="104"/>
      <c r="E1002" s="143"/>
      <c r="F1002" s="131"/>
    </row>
    <row r="1003" spans="1:6">
      <c r="A1003" s="79" t="s">
        <v>26</v>
      </c>
      <c r="B1003" s="80" t="s">
        <v>509</v>
      </c>
      <c r="C1003" s="81" t="s">
        <v>510</v>
      </c>
      <c r="D1003" s="82" t="s">
        <v>103</v>
      </c>
      <c r="E1003" s="143">
        <v>145.74</v>
      </c>
      <c r="F1003" s="131">
        <f>C1003*E1003</f>
        <v>233038.26</v>
      </c>
    </row>
    <row r="1004" spans="1:6">
      <c r="A1004" s="102"/>
      <c r="B1004" s="114"/>
      <c r="C1004" s="103"/>
      <c r="D1004" s="104"/>
      <c r="E1004" s="143"/>
      <c r="F1004" s="131"/>
    </row>
    <row r="1005" spans="1:6">
      <c r="A1005" s="79" t="s">
        <v>29</v>
      </c>
      <c r="B1005" s="80" t="s">
        <v>511</v>
      </c>
      <c r="C1005" s="81" t="s">
        <v>298</v>
      </c>
      <c r="D1005" s="82" t="s">
        <v>103</v>
      </c>
      <c r="E1005" s="143">
        <v>82.58</v>
      </c>
      <c r="F1005" s="131">
        <f>C1005*E1005</f>
        <v>908.38</v>
      </c>
    </row>
    <row r="1006" spans="1:6">
      <c r="A1006" s="102"/>
      <c r="B1006" s="114"/>
      <c r="C1006" s="103"/>
      <c r="D1006" s="104"/>
      <c r="E1006" s="143"/>
      <c r="F1006" s="131"/>
    </row>
    <row r="1007" spans="1:6">
      <c r="A1007" s="79" t="s">
        <v>33</v>
      </c>
      <c r="B1007" s="80" t="s">
        <v>512</v>
      </c>
      <c r="C1007" s="81" t="s">
        <v>451</v>
      </c>
      <c r="D1007" s="82" t="s">
        <v>103</v>
      </c>
      <c r="E1007" s="143">
        <v>131.16</v>
      </c>
      <c r="F1007" s="131">
        <f>C1007*E1007</f>
        <v>1311.6</v>
      </c>
    </row>
    <row r="1008" spans="1:6">
      <c r="A1008" s="102"/>
      <c r="B1008" s="114"/>
      <c r="C1008" s="103"/>
      <c r="D1008" s="104"/>
      <c r="E1008" s="143"/>
      <c r="F1008" s="131"/>
    </row>
    <row r="1009" spans="1:6">
      <c r="A1009" s="79" t="s">
        <v>45</v>
      </c>
      <c r="B1009" s="80" t="s">
        <v>513</v>
      </c>
      <c r="C1009" s="81" t="s">
        <v>212</v>
      </c>
      <c r="D1009" s="82" t="s">
        <v>103</v>
      </c>
      <c r="E1009" s="143">
        <v>145.74</v>
      </c>
      <c r="F1009" s="131">
        <f>C1009*E1009</f>
        <v>1311.66</v>
      </c>
    </row>
    <row r="1010" spans="1:6">
      <c r="A1010" s="102"/>
      <c r="B1010" s="114"/>
      <c r="C1010" s="103"/>
      <c r="D1010" s="104"/>
      <c r="E1010" s="143"/>
      <c r="F1010" s="131"/>
    </row>
    <row r="1011" spans="1:6">
      <c r="A1011" s="79" t="s">
        <v>49</v>
      </c>
      <c r="B1011" s="80" t="s">
        <v>514</v>
      </c>
      <c r="C1011" s="81" t="s">
        <v>482</v>
      </c>
      <c r="D1011" s="82" t="s">
        <v>103</v>
      </c>
      <c r="E1011" s="143">
        <v>29.15</v>
      </c>
      <c r="F1011" s="131">
        <f>C1011*E1011</f>
        <v>932.8</v>
      </c>
    </row>
    <row r="1012" spans="1:6">
      <c r="A1012" s="102"/>
      <c r="B1012" s="114"/>
      <c r="C1012" s="103"/>
      <c r="D1012" s="104"/>
      <c r="E1012" s="143"/>
      <c r="F1012" s="131"/>
    </row>
    <row r="1013" spans="1:6">
      <c r="A1013" s="79" t="s">
        <v>61</v>
      </c>
      <c r="B1013" s="80" t="s">
        <v>515</v>
      </c>
      <c r="C1013" s="81" t="s">
        <v>516</v>
      </c>
      <c r="D1013" s="82" t="s">
        <v>103</v>
      </c>
      <c r="E1013" s="143">
        <v>34.01</v>
      </c>
      <c r="F1013" s="131">
        <f>C1013*E1013</f>
        <v>6563.9299999999994</v>
      </c>
    </row>
    <row r="1014" spans="1:6">
      <c r="A1014" s="102"/>
      <c r="B1014" s="114"/>
      <c r="C1014" s="103"/>
      <c r="D1014" s="104"/>
      <c r="E1014" s="143"/>
      <c r="F1014" s="131"/>
    </row>
    <row r="1015" spans="1:6">
      <c r="A1015" s="79" t="s">
        <v>63</v>
      </c>
      <c r="B1015" s="80" t="s">
        <v>517</v>
      </c>
      <c r="C1015" s="81" t="s">
        <v>518</v>
      </c>
      <c r="D1015" s="82" t="s">
        <v>103</v>
      </c>
      <c r="E1015" s="143">
        <v>38.86</v>
      </c>
      <c r="F1015" s="131">
        <f>C1015*E1015</f>
        <v>3186.52</v>
      </c>
    </row>
    <row r="1016" spans="1:6">
      <c r="A1016" s="102"/>
      <c r="B1016" s="114"/>
      <c r="C1016" s="103"/>
      <c r="D1016" s="104"/>
      <c r="E1016" s="143"/>
      <c r="F1016" s="131"/>
    </row>
    <row r="1017" spans="1:6">
      <c r="A1017" s="79" t="s">
        <v>66</v>
      </c>
      <c r="B1017" s="80" t="s">
        <v>519</v>
      </c>
      <c r="C1017" s="81" t="s">
        <v>280</v>
      </c>
      <c r="D1017" s="82" t="s">
        <v>103</v>
      </c>
      <c r="E1017" s="143">
        <v>38.86</v>
      </c>
      <c r="F1017" s="131">
        <f>C1017*E1017</f>
        <v>233.16</v>
      </c>
    </row>
    <row r="1018" spans="1:6">
      <c r="A1018" s="102"/>
      <c r="B1018" s="114"/>
      <c r="C1018" s="103"/>
      <c r="D1018" s="104"/>
      <c r="E1018" s="143"/>
      <c r="F1018" s="131"/>
    </row>
    <row r="1019" spans="1:6">
      <c r="A1019" s="79" t="s">
        <v>70</v>
      </c>
      <c r="B1019" s="80" t="s">
        <v>520</v>
      </c>
      <c r="C1019" s="81" t="s">
        <v>218</v>
      </c>
      <c r="D1019" s="82" t="s">
        <v>103</v>
      </c>
      <c r="E1019" s="143">
        <v>43.72</v>
      </c>
      <c r="F1019" s="131">
        <f>C1019*E1019</f>
        <v>1705.08</v>
      </c>
    </row>
    <row r="1020" spans="1:6">
      <c r="A1020" s="102"/>
      <c r="B1020" s="114"/>
      <c r="C1020" s="103"/>
      <c r="D1020" s="104"/>
      <c r="E1020" s="143"/>
      <c r="F1020" s="131"/>
    </row>
    <row r="1021" spans="1:6">
      <c r="A1021" s="79" t="s">
        <v>199</v>
      </c>
      <c r="B1021" s="80" t="s">
        <v>521</v>
      </c>
      <c r="C1021" s="81" t="s">
        <v>141</v>
      </c>
      <c r="D1021" s="82" t="s">
        <v>103</v>
      </c>
      <c r="E1021" s="143">
        <v>48.58</v>
      </c>
      <c r="F1021" s="131">
        <f>C1021*E1021</f>
        <v>2088.94</v>
      </c>
    </row>
    <row r="1022" spans="1:6">
      <c r="A1022" s="102"/>
      <c r="B1022" s="114"/>
      <c r="C1022" s="103"/>
      <c r="D1022" s="104"/>
      <c r="E1022" s="143"/>
      <c r="F1022" s="131"/>
    </row>
    <row r="1023" spans="1:6">
      <c r="A1023" s="79" t="s">
        <v>226</v>
      </c>
      <c r="B1023" s="80" t="s">
        <v>522</v>
      </c>
      <c r="C1023" s="81" t="s">
        <v>523</v>
      </c>
      <c r="D1023" s="82" t="s">
        <v>103</v>
      </c>
      <c r="E1023" s="143">
        <v>43.72</v>
      </c>
      <c r="F1023" s="131">
        <f>C1023*E1023</f>
        <v>524.64</v>
      </c>
    </row>
    <row r="1024" spans="1:6">
      <c r="A1024" s="102"/>
      <c r="B1024" s="114"/>
      <c r="C1024" s="103"/>
      <c r="D1024" s="104"/>
      <c r="E1024" s="143"/>
      <c r="F1024" s="131"/>
    </row>
    <row r="1025" spans="1:6">
      <c r="A1025" s="79" t="s">
        <v>228</v>
      </c>
      <c r="B1025" s="80" t="s">
        <v>524</v>
      </c>
      <c r="C1025" s="81" t="s">
        <v>525</v>
      </c>
      <c r="D1025" s="82" t="s">
        <v>103</v>
      </c>
      <c r="E1025" s="143">
        <v>48.58</v>
      </c>
      <c r="F1025" s="131">
        <f>C1025*E1025</f>
        <v>2331.84</v>
      </c>
    </row>
    <row r="1026" spans="1:6">
      <c r="A1026" s="102"/>
      <c r="B1026" s="114"/>
      <c r="C1026" s="103"/>
      <c r="D1026" s="104"/>
      <c r="E1026" s="143"/>
      <c r="F1026" s="131"/>
    </row>
    <row r="1027" spans="1:6">
      <c r="A1027" s="79" t="s">
        <v>231</v>
      </c>
      <c r="B1027" s="80" t="s">
        <v>526</v>
      </c>
      <c r="C1027" s="81" t="s">
        <v>527</v>
      </c>
      <c r="D1027" s="82" t="s">
        <v>103</v>
      </c>
      <c r="E1027" s="143">
        <v>53.44</v>
      </c>
      <c r="F1027" s="131">
        <f>C1027*E1027</f>
        <v>6252.48</v>
      </c>
    </row>
    <row r="1028" spans="1:6">
      <c r="A1028" s="102"/>
      <c r="B1028" s="114"/>
      <c r="C1028" s="103"/>
      <c r="D1028" s="104"/>
      <c r="E1028" s="143"/>
      <c r="F1028" s="131"/>
    </row>
    <row r="1029" spans="1:6">
      <c r="A1029" s="79" t="s">
        <v>283</v>
      </c>
      <c r="B1029" s="80" t="s">
        <v>528</v>
      </c>
      <c r="C1029" s="81" t="s">
        <v>106</v>
      </c>
      <c r="D1029" s="82" t="s">
        <v>103</v>
      </c>
      <c r="E1029" s="143">
        <v>58.29</v>
      </c>
      <c r="F1029" s="131">
        <f>C1029*E1029</f>
        <v>1632.12</v>
      </c>
    </row>
    <row r="1030" spans="1:6">
      <c r="A1030" s="102"/>
      <c r="B1030" s="114"/>
      <c r="C1030" s="103"/>
      <c r="D1030" s="104"/>
      <c r="E1030" s="143"/>
      <c r="F1030" s="131"/>
    </row>
    <row r="1031" spans="1:6">
      <c r="A1031" s="79" t="s">
        <v>286</v>
      </c>
      <c r="B1031" s="80" t="s">
        <v>529</v>
      </c>
      <c r="C1031" s="81" t="s">
        <v>149</v>
      </c>
      <c r="D1031" s="82" t="s">
        <v>103</v>
      </c>
      <c r="E1031" s="143">
        <v>48.58</v>
      </c>
      <c r="F1031" s="131">
        <f>C1031*E1031</f>
        <v>97.16</v>
      </c>
    </row>
    <row r="1032" spans="1:6">
      <c r="A1032" s="102"/>
      <c r="B1032" s="114"/>
      <c r="C1032" s="103"/>
      <c r="D1032" s="104"/>
      <c r="E1032" s="143"/>
      <c r="F1032" s="131"/>
    </row>
    <row r="1033" spans="1:6">
      <c r="A1033" s="79" t="s">
        <v>430</v>
      </c>
      <c r="B1033" s="80" t="s">
        <v>530</v>
      </c>
      <c r="C1033" s="81" t="s">
        <v>389</v>
      </c>
      <c r="D1033" s="82" t="s">
        <v>103</v>
      </c>
      <c r="E1033" s="143">
        <v>53.44</v>
      </c>
      <c r="F1033" s="131">
        <f>C1033*E1033</f>
        <v>1549.76</v>
      </c>
    </row>
    <row r="1034" spans="1:6">
      <c r="A1034" s="102"/>
      <c r="B1034" s="114"/>
      <c r="C1034" s="103"/>
      <c r="D1034" s="104"/>
      <c r="E1034" s="143"/>
      <c r="F1034" s="131"/>
    </row>
    <row r="1035" spans="1:6">
      <c r="A1035" s="79" t="s">
        <v>432</v>
      </c>
      <c r="B1035" s="80" t="s">
        <v>531</v>
      </c>
      <c r="C1035" s="81" t="s">
        <v>106</v>
      </c>
      <c r="D1035" s="82" t="s">
        <v>103</v>
      </c>
      <c r="E1035" s="143">
        <v>63.15</v>
      </c>
      <c r="F1035" s="131">
        <f>C1035*E1035</f>
        <v>1768.2</v>
      </c>
    </row>
    <row r="1036" spans="1:6">
      <c r="A1036" s="102"/>
      <c r="B1036" s="114"/>
      <c r="C1036" s="103"/>
      <c r="D1036" s="104"/>
      <c r="E1036" s="143"/>
      <c r="F1036" s="131"/>
    </row>
    <row r="1037" spans="1:6">
      <c r="A1037" s="79" t="s">
        <v>479</v>
      </c>
      <c r="B1037" s="80" t="s">
        <v>532</v>
      </c>
      <c r="C1037" s="81" t="s">
        <v>533</v>
      </c>
      <c r="D1037" s="82" t="s">
        <v>103</v>
      </c>
      <c r="E1037" s="143">
        <v>92.3</v>
      </c>
      <c r="F1037" s="131">
        <f>C1037*E1037</f>
        <v>2030.6</v>
      </c>
    </row>
    <row r="1038" spans="1:6">
      <c r="A1038" s="102"/>
      <c r="B1038" s="114"/>
      <c r="C1038" s="103"/>
      <c r="D1038" s="104"/>
      <c r="E1038" s="143"/>
      <c r="F1038" s="131"/>
    </row>
    <row r="1039" spans="1:6">
      <c r="A1039" s="102"/>
      <c r="B1039" s="114"/>
      <c r="C1039" s="103"/>
      <c r="D1039" s="104"/>
      <c r="E1039" s="143"/>
      <c r="F1039" s="131"/>
    </row>
    <row r="1040" spans="1:6">
      <c r="A1040" s="102"/>
      <c r="B1040" s="114"/>
      <c r="C1040" s="103"/>
      <c r="D1040" s="104"/>
      <c r="E1040" s="143"/>
      <c r="F1040" s="131"/>
    </row>
    <row r="1041" spans="1:6">
      <c r="A1041" s="85"/>
      <c r="B1041" s="86"/>
      <c r="C1041" s="87"/>
      <c r="D1041" s="88"/>
      <c r="E1041" s="145"/>
      <c r="F1041" s="133"/>
    </row>
    <row r="1042" spans="1:6">
      <c r="A1042" s="89"/>
      <c r="B1042" s="90"/>
      <c r="C1042" s="91" t="s">
        <v>35</v>
      </c>
      <c r="D1042" s="91"/>
      <c r="E1042" s="146" t="s">
        <v>8</v>
      </c>
      <c r="F1042" s="134">
        <f>SUM(F996:F1039)</f>
        <v>268778.75</v>
      </c>
    </row>
    <row r="1043" spans="1:6">
      <c r="A1043" s="89"/>
      <c r="B1043" s="90"/>
      <c r="C1043" s="92"/>
      <c r="D1043" s="93"/>
      <c r="E1043" s="147"/>
      <c r="F1043" s="135"/>
    </row>
    <row r="1044" spans="1:6">
      <c r="A1044" s="102"/>
      <c r="B1044" s="114"/>
      <c r="C1044" s="103"/>
      <c r="D1044" s="104"/>
      <c r="E1044" s="143"/>
      <c r="F1044" s="131"/>
    </row>
    <row r="1045" spans="1:6" ht="27.6">
      <c r="A1045" s="102"/>
      <c r="B1045" s="77" t="s">
        <v>175</v>
      </c>
      <c r="C1045" s="103"/>
      <c r="D1045" s="104"/>
      <c r="E1045" s="143"/>
      <c r="F1045" s="131"/>
    </row>
    <row r="1046" spans="1:6">
      <c r="A1046" s="102"/>
      <c r="B1046" s="114"/>
      <c r="C1046" s="103"/>
      <c r="D1046" s="104"/>
      <c r="E1046" s="143"/>
      <c r="F1046" s="131"/>
    </row>
    <row r="1047" spans="1:6">
      <c r="A1047" s="79" t="s">
        <v>16</v>
      </c>
      <c r="B1047" s="80" t="s">
        <v>534</v>
      </c>
      <c r="C1047" s="81" t="s">
        <v>282</v>
      </c>
      <c r="D1047" s="82" t="s">
        <v>103</v>
      </c>
      <c r="E1047" s="143">
        <v>53.44</v>
      </c>
      <c r="F1047" s="131">
        <f>C1047*E1047</f>
        <v>748.16</v>
      </c>
    </row>
    <row r="1048" spans="1:6">
      <c r="A1048" s="102"/>
      <c r="B1048" s="114"/>
      <c r="C1048" s="103"/>
      <c r="D1048" s="104"/>
      <c r="E1048" s="143"/>
      <c r="F1048" s="131"/>
    </row>
    <row r="1049" spans="1:6">
      <c r="A1049" s="79" t="s">
        <v>19</v>
      </c>
      <c r="B1049" s="80" t="s">
        <v>535</v>
      </c>
      <c r="C1049" s="81" t="s">
        <v>77</v>
      </c>
      <c r="D1049" s="82" t="s">
        <v>103</v>
      </c>
      <c r="E1049" s="143">
        <v>58.29</v>
      </c>
      <c r="F1049" s="131">
        <f>C1049*E1049</f>
        <v>3205.95</v>
      </c>
    </row>
    <row r="1050" spans="1:6">
      <c r="A1050" s="102"/>
      <c r="B1050" s="114"/>
      <c r="C1050" s="103"/>
      <c r="D1050" s="104"/>
      <c r="E1050" s="143"/>
      <c r="F1050" s="131"/>
    </row>
    <row r="1051" spans="1:6">
      <c r="A1051" s="79" t="s">
        <v>22</v>
      </c>
      <c r="B1051" s="80" t="s">
        <v>536</v>
      </c>
      <c r="C1051" s="81" t="s">
        <v>225</v>
      </c>
      <c r="D1051" s="82" t="s">
        <v>103</v>
      </c>
      <c r="E1051" s="143">
        <v>63.15</v>
      </c>
      <c r="F1051" s="131">
        <f>C1051*E1051</f>
        <v>820.94999999999993</v>
      </c>
    </row>
    <row r="1052" spans="1:6">
      <c r="A1052" s="102"/>
      <c r="B1052" s="114"/>
      <c r="C1052" s="103"/>
      <c r="D1052" s="104"/>
      <c r="E1052" s="143"/>
      <c r="F1052" s="131"/>
    </row>
    <row r="1053" spans="1:6">
      <c r="A1053" s="79" t="s">
        <v>26</v>
      </c>
      <c r="B1053" s="80" t="s">
        <v>537</v>
      </c>
      <c r="C1053" s="81" t="s">
        <v>492</v>
      </c>
      <c r="D1053" s="82" t="s">
        <v>103</v>
      </c>
      <c r="E1053" s="143">
        <v>68.010000000000005</v>
      </c>
      <c r="F1053" s="131">
        <f>C1053*E1053</f>
        <v>6120.9000000000005</v>
      </c>
    </row>
    <row r="1054" spans="1:6">
      <c r="A1054" s="102"/>
      <c r="B1054" s="114"/>
      <c r="C1054" s="103"/>
      <c r="D1054" s="104"/>
      <c r="E1054" s="143"/>
      <c r="F1054" s="131"/>
    </row>
    <row r="1055" spans="1:6">
      <c r="A1055" s="79" t="s">
        <v>29</v>
      </c>
      <c r="B1055" s="80" t="s">
        <v>538</v>
      </c>
      <c r="C1055" s="81" t="s">
        <v>357</v>
      </c>
      <c r="D1055" s="82" t="s">
        <v>103</v>
      </c>
      <c r="E1055" s="143">
        <v>72.87</v>
      </c>
      <c r="F1055" s="131">
        <f>C1055*E1055</f>
        <v>1093.0500000000002</v>
      </c>
    </row>
    <row r="1056" spans="1:6">
      <c r="A1056" s="102"/>
      <c r="B1056" s="114"/>
      <c r="C1056" s="103"/>
      <c r="D1056" s="104"/>
      <c r="E1056" s="143"/>
      <c r="F1056" s="131"/>
    </row>
    <row r="1057" spans="1:6">
      <c r="A1057" s="79" t="s">
        <v>33</v>
      </c>
      <c r="B1057" s="80" t="s">
        <v>539</v>
      </c>
      <c r="C1057" s="81" t="s">
        <v>523</v>
      </c>
      <c r="D1057" s="82" t="s">
        <v>103</v>
      </c>
      <c r="E1057" s="143">
        <v>68.010000000000005</v>
      </c>
      <c r="F1057" s="131">
        <f>C1057*E1057</f>
        <v>816.12000000000012</v>
      </c>
    </row>
    <row r="1058" spans="1:6">
      <c r="A1058" s="102"/>
      <c r="B1058" s="114"/>
      <c r="C1058" s="103"/>
      <c r="D1058" s="104"/>
      <c r="E1058" s="143"/>
      <c r="F1058" s="131"/>
    </row>
    <row r="1059" spans="1:6">
      <c r="A1059" s="79" t="s">
        <v>45</v>
      </c>
      <c r="B1059" s="80" t="s">
        <v>540</v>
      </c>
      <c r="C1059" s="81" t="s">
        <v>212</v>
      </c>
      <c r="D1059" s="82" t="s">
        <v>103</v>
      </c>
      <c r="E1059" s="143">
        <v>72.87</v>
      </c>
      <c r="F1059" s="131">
        <f>C1059*E1059</f>
        <v>655.83</v>
      </c>
    </row>
    <row r="1060" spans="1:6">
      <c r="A1060" s="102"/>
      <c r="B1060" s="114"/>
      <c r="C1060" s="103"/>
      <c r="D1060" s="104"/>
      <c r="E1060" s="143"/>
      <c r="F1060" s="131"/>
    </row>
    <row r="1061" spans="1:6">
      <c r="A1061" s="79" t="s">
        <v>49</v>
      </c>
      <c r="B1061" s="80" t="s">
        <v>541</v>
      </c>
      <c r="C1061" s="81" t="s">
        <v>282</v>
      </c>
      <c r="D1061" s="82" t="s">
        <v>103</v>
      </c>
      <c r="E1061" s="143">
        <v>77.72</v>
      </c>
      <c r="F1061" s="131">
        <f>C1061*E1061</f>
        <v>1088.08</v>
      </c>
    </row>
    <row r="1062" spans="1:6">
      <c r="A1062" s="102"/>
      <c r="B1062" s="114"/>
      <c r="C1062" s="103"/>
      <c r="D1062" s="104"/>
      <c r="E1062" s="143"/>
      <c r="F1062" s="131"/>
    </row>
    <row r="1063" spans="1:6">
      <c r="A1063" s="79" t="s">
        <v>61</v>
      </c>
      <c r="B1063" s="80" t="s">
        <v>542</v>
      </c>
      <c r="C1063" s="81" t="s">
        <v>212</v>
      </c>
      <c r="D1063" s="82" t="s">
        <v>103</v>
      </c>
      <c r="E1063" s="143">
        <v>87.44</v>
      </c>
      <c r="F1063" s="131">
        <f>C1063*E1063</f>
        <v>786.96</v>
      </c>
    </row>
    <row r="1064" spans="1:6">
      <c r="A1064" s="102"/>
      <c r="B1064" s="114"/>
      <c r="C1064" s="103"/>
      <c r="D1064" s="104"/>
      <c r="E1064" s="143"/>
      <c r="F1064" s="131"/>
    </row>
    <row r="1065" spans="1:6">
      <c r="A1065" s="79" t="s">
        <v>63</v>
      </c>
      <c r="B1065" s="80" t="s">
        <v>543</v>
      </c>
      <c r="C1065" s="81" t="s">
        <v>544</v>
      </c>
      <c r="D1065" s="82" t="s">
        <v>103</v>
      </c>
      <c r="E1065" s="143">
        <v>72.87</v>
      </c>
      <c r="F1065" s="131">
        <f>C1065*E1065</f>
        <v>3570.63</v>
      </c>
    </row>
    <row r="1066" spans="1:6">
      <c r="A1066" s="102"/>
      <c r="B1066" s="114"/>
      <c r="C1066" s="103"/>
      <c r="D1066" s="104"/>
      <c r="E1066" s="143"/>
      <c r="F1066" s="131"/>
    </row>
    <row r="1067" spans="1:6">
      <c r="A1067" s="79" t="s">
        <v>66</v>
      </c>
      <c r="B1067" s="80" t="s">
        <v>545</v>
      </c>
      <c r="C1067" s="81" t="s">
        <v>546</v>
      </c>
      <c r="D1067" s="82" t="s">
        <v>103</v>
      </c>
      <c r="E1067" s="143">
        <v>77.72</v>
      </c>
      <c r="F1067" s="131">
        <f>C1067*E1067</f>
        <v>6295.32</v>
      </c>
    </row>
    <row r="1068" spans="1:6">
      <c r="A1068" s="102"/>
      <c r="B1068" s="114"/>
      <c r="C1068" s="103"/>
      <c r="D1068" s="104"/>
      <c r="E1068" s="143"/>
      <c r="F1068" s="131"/>
    </row>
    <row r="1069" spans="1:6">
      <c r="A1069" s="79" t="s">
        <v>70</v>
      </c>
      <c r="B1069" s="80" t="s">
        <v>547</v>
      </c>
      <c r="C1069" s="81" t="s">
        <v>548</v>
      </c>
      <c r="D1069" s="82" t="s">
        <v>103</v>
      </c>
      <c r="E1069" s="143">
        <v>82.58</v>
      </c>
      <c r="F1069" s="131">
        <f>C1069*E1069</f>
        <v>2477.4</v>
      </c>
    </row>
    <row r="1070" spans="1:6">
      <c r="A1070" s="102"/>
      <c r="B1070" s="114"/>
      <c r="C1070" s="103"/>
      <c r="D1070" s="104"/>
      <c r="E1070" s="143"/>
      <c r="F1070" s="131"/>
    </row>
    <row r="1071" spans="1:6">
      <c r="A1071" s="79" t="s">
        <v>199</v>
      </c>
      <c r="B1071" s="80" t="s">
        <v>549</v>
      </c>
      <c r="C1071" s="81" t="s">
        <v>54</v>
      </c>
      <c r="D1071" s="82" t="s">
        <v>103</v>
      </c>
      <c r="E1071" s="143">
        <v>87.44</v>
      </c>
      <c r="F1071" s="131">
        <f>C1071*E1071</f>
        <v>262.32</v>
      </c>
    </row>
    <row r="1072" spans="1:6">
      <c r="A1072" s="102"/>
      <c r="B1072" s="114"/>
      <c r="C1072" s="103"/>
      <c r="D1072" s="104"/>
      <c r="E1072" s="143"/>
      <c r="F1072" s="131"/>
    </row>
    <row r="1073" spans="1:6">
      <c r="A1073" s="79" t="s">
        <v>226</v>
      </c>
      <c r="B1073" s="80" t="s">
        <v>550</v>
      </c>
      <c r="C1073" s="81" t="s">
        <v>451</v>
      </c>
      <c r="D1073" s="82" t="s">
        <v>103</v>
      </c>
      <c r="E1073" s="143">
        <v>106.88</v>
      </c>
      <c r="F1073" s="131">
        <f>C1073*E1073</f>
        <v>1068.8</v>
      </c>
    </row>
    <row r="1074" spans="1:6">
      <c r="A1074" s="102"/>
      <c r="B1074" s="114"/>
      <c r="C1074" s="103"/>
      <c r="D1074" s="104"/>
      <c r="E1074" s="143"/>
      <c r="F1074" s="131"/>
    </row>
    <row r="1075" spans="1:6">
      <c r="A1075" s="79" t="s">
        <v>228</v>
      </c>
      <c r="B1075" s="80" t="s">
        <v>551</v>
      </c>
      <c r="C1075" s="81" t="s">
        <v>106</v>
      </c>
      <c r="D1075" s="82" t="s">
        <v>103</v>
      </c>
      <c r="E1075" s="143">
        <v>77.72</v>
      </c>
      <c r="F1075" s="131">
        <f>C1075*E1075</f>
        <v>2176.16</v>
      </c>
    </row>
    <row r="1076" spans="1:6">
      <c r="A1076" s="102"/>
      <c r="B1076" s="114"/>
      <c r="C1076" s="103"/>
      <c r="D1076" s="104"/>
      <c r="E1076" s="143"/>
      <c r="F1076" s="131"/>
    </row>
    <row r="1077" spans="1:6">
      <c r="A1077" s="79" t="s">
        <v>231</v>
      </c>
      <c r="B1077" s="80" t="s">
        <v>552</v>
      </c>
      <c r="C1077" s="81" t="s">
        <v>544</v>
      </c>
      <c r="D1077" s="82" t="s">
        <v>103</v>
      </c>
      <c r="E1077" s="143">
        <v>87.44</v>
      </c>
      <c r="F1077" s="131">
        <f>C1077*E1077</f>
        <v>4284.5599999999995</v>
      </c>
    </row>
    <row r="1078" spans="1:6">
      <c r="A1078" s="102"/>
      <c r="B1078" s="114"/>
      <c r="C1078" s="103"/>
      <c r="D1078" s="104"/>
      <c r="E1078" s="143"/>
      <c r="F1078" s="131"/>
    </row>
    <row r="1079" spans="1:6">
      <c r="A1079" s="79" t="s">
        <v>283</v>
      </c>
      <c r="B1079" s="80" t="s">
        <v>553</v>
      </c>
      <c r="C1079" s="81" t="s">
        <v>330</v>
      </c>
      <c r="D1079" s="82" t="s">
        <v>103</v>
      </c>
      <c r="E1079" s="143">
        <v>102.01</v>
      </c>
      <c r="F1079" s="131">
        <f>C1079*E1079</f>
        <v>1632.16</v>
      </c>
    </row>
    <row r="1080" spans="1:6">
      <c r="A1080" s="102"/>
      <c r="B1080" s="114"/>
      <c r="C1080" s="103"/>
      <c r="D1080" s="104"/>
      <c r="E1080" s="143"/>
      <c r="F1080" s="131"/>
    </row>
    <row r="1081" spans="1:6">
      <c r="A1081" s="79" t="s">
        <v>286</v>
      </c>
      <c r="B1081" s="80" t="s">
        <v>554</v>
      </c>
      <c r="C1081" s="81" t="s">
        <v>189</v>
      </c>
      <c r="D1081" s="82" t="s">
        <v>103</v>
      </c>
      <c r="E1081" s="143">
        <v>106.88</v>
      </c>
      <c r="F1081" s="131">
        <f>C1081*E1081</f>
        <v>2885.7599999999998</v>
      </c>
    </row>
    <row r="1082" spans="1:6">
      <c r="A1082" s="102"/>
      <c r="B1082" s="114"/>
      <c r="C1082" s="103"/>
      <c r="D1082" s="104"/>
      <c r="E1082" s="143"/>
      <c r="F1082" s="131"/>
    </row>
    <row r="1083" spans="1:6">
      <c r="A1083" s="79" t="s">
        <v>430</v>
      </c>
      <c r="B1083" s="80" t="s">
        <v>555</v>
      </c>
      <c r="C1083" s="81" t="s">
        <v>212</v>
      </c>
      <c r="D1083" s="82" t="s">
        <v>103</v>
      </c>
      <c r="E1083" s="143">
        <v>87.44</v>
      </c>
      <c r="F1083" s="131">
        <f>C1083*E1083</f>
        <v>786.96</v>
      </c>
    </row>
    <row r="1084" spans="1:6">
      <c r="A1084" s="102"/>
      <c r="B1084" s="114"/>
      <c r="C1084" s="103"/>
      <c r="D1084" s="104"/>
      <c r="E1084" s="143"/>
      <c r="F1084" s="131"/>
    </row>
    <row r="1085" spans="1:6">
      <c r="A1085" s="79" t="s">
        <v>432</v>
      </c>
      <c r="B1085" s="80" t="s">
        <v>556</v>
      </c>
      <c r="C1085" s="81" t="s">
        <v>464</v>
      </c>
      <c r="D1085" s="82" t="s">
        <v>103</v>
      </c>
      <c r="E1085" s="143">
        <v>92.3</v>
      </c>
      <c r="F1085" s="131">
        <f>C1085*E1085</f>
        <v>2399.7999999999997</v>
      </c>
    </row>
    <row r="1086" spans="1:6">
      <c r="A1086" s="102"/>
      <c r="B1086" s="114"/>
      <c r="C1086" s="103"/>
      <c r="D1086" s="104"/>
      <c r="E1086" s="143"/>
      <c r="F1086" s="131"/>
    </row>
    <row r="1087" spans="1:6">
      <c r="A1087" s="79" t="s">
        <v>479</v>
      </c>
      <c r="B1087" s="80" t="s">
        <v>557</v>
      </c>
      <c r="C1087" s="81" t="s">
        <v>178</v>
      </c>
      <c r="D1087" s="82" t="s">
        <v>103</v>
      </c>
      <c r="E1087" s="143">
        <v>106.88</v>
      </c>
      <c r="F1087" s="131">
        <f>C1087*E1087</f>
        <v>427.52</v>
      </c>
    </row>
    <row r="1088" spans="1:6">
      <c r="A1088" s="102"/>
      <c r="B1088" s="114"/>
      <c r="C1088" s="103"/>
      <c r="D1088" s="104"/>
      <c r="E1088" s="143"/>
      <c r="F1088" s="131"/>
    </row>
    <row r="1089" spans="1:6">
      <c r="A1089" s="102"/>
      <c r="B1089" s="114"/>
      <c r="C1089" s="103"/>
      <c r="D1089" s="104"/>
      <c r="E1089" s="143"/>
      <c r="F1089" s="131"/>
    </row>
    <row r="1090" spans="1:6">
      <c r="A1090" s="102"/>
      <c r="B1090" s="114"/>
      <c r="C1090" s="103"/>
      <c r="D1090" s="104"/>
      <c r="E1090" s="143"/>
      <c r="F1090" s="131"/>
    </row>
    <row r="1091" spans="1:6">
      <c r="A1091" s="85"/>
      <c r="B1091" s="86"/>
      <c r="C1091" s="87"/>
      <c r="D1091" s="88"/>
      <c r="E1091" s="145"/>
      <c r="F1091" s="133"/>
    </row>
    <row r="1092" spans="1:6">
      <c r="A1092" s="89"/>
      <c r="B1092" s="90"/>
      <c r="C1092" s="91" t="s">
        <v>35</v>
      </c>
      <c r="D1092" s="91"/>
      <c r="E1092" s="146" t="s">
        <v>8</v>
      </c>
      <c r="F1092" s="134">
        <f>SUM(F1046:F1090)</f>
        <v>43603.390000000007</v>
      </c>
    </row>
    <row r="1093" spans="1:6">
      <c r="A1093" s="89"/>
      <c r="B1093" s="90"/>
      <c r="C1093" s="92"/>
      <c r="D1093" s="93"/>
      <c r="E1093" s="147"/>
      <c r="F1093" s="135"/>
    </row>
    <row r="1094" spans="1:6">
      <c r="A1094" s="102"/>
      <c r="B1094" s="114"/>
      <c r="C1094" s="103"/>
      <c r="D1094" s="104"/>
      <c r="E1094" s="143"/>
      <c r="F1094" s="131"/>
    </row>
    <row r="1095" spans="1:6" ht="27.6">
      <c r="A1095" s="102"/>
      <c r="B1095" s="77" t="s">
        <v>175</v>
      </c>
      <c r="C1095" s="103"/>
      <c r="D1095" s="104"/>
      <c r="E1095" s="143"/>
      <c r="F1095" s="131"/>
    </row>
    <row r="1096" spans="1:6">
      <c r="A1096" s="102"/>
      <c r="B1096" s="114"/>
      <c r="C1096" s="103"/>
      <c r="D1096" s="104"/>
      <c r="E1096" s="143"/>
      <c r="F1096" s="131"/>
    </row>
    <row r="1097" spans="1:6">
      <c r="A1097" s="79" t="s">
        <v>16</v>
      </c>
      <c r="B1097" s="80" t="s">
        <v>558</v>
      </c>
      <c r="C1097" s="81" t="s">
        <v>453</v>
      </c>
      <c r="D1097" s="82" t="s">
        <v>103</v>
      </c>
      <c r="E1097" s="143">
        <v>87.44</v>
      </c>
      <c r="F1097" s="131">
        <f>C1097*E1097</f>
        <v>1748.8</v>
      </c>
    </row>
    <row r="1098" spans="1:6">
      <c r="A1098" s="102"/>
      <c r="B1098" s="114"/>
      <c r="C1098" s="103"/>
      <c r="D1098" s="104"/>
      <c r="E1098" s="143"/>
      <c r="F1098" s="131"/>
    </row>
    <row r="1099" spans="1:6">
      <c r="A1099" s="79" t="s">
        <v>19</v>
      </c>
      <c r="B1099" s="80" t="s">
        <v>559</v>
      </c>
      <c r="C1099" s="81" t="s">
        <v>298</v>
      </c>
      <c r="D1099" s="82" t="s">
        <v>103</v>
      </c>
      <c r="E1099" s="143">
        <v>92.3</v>
      </c>
      <c r="F1099" s="131">
        <f>C1099*E1099</f>
        <v>1015.3</v>
      </c>
    </row>
    <row r="1100" spans="1:6">
      <c r="A1100" s="102"/>
      <c r="B1100" s="114"/>
      <c r="C1100" s="103"/>
      <c r="D1100" s="104"/>
      <c r="E1100" s="143"/>
      <c r="F1100" s="131"/>
    </row>
    <row r="1101" spans="1:6">
      <c r="A1101" s="79" t="s">
        <v>22</v>
      </c>
      <c r="B1101" s="80" t="s">
        <v>560</v>
      </c>
      <c r="C1101" s="81" t="s">
        <v>131</v>
      </c>
      <c r="D1101" s="82" t="s">
        <v>103</v>
      </c>
      <c r="E1101" s="143">
        <v>97.15</v>
      </c>
      <c r="F1101" s="131">
        <f>C1101*E1101</f>
        <v>3497.4</v>
      </c>
    </row>
    <row r="1102" spans="1:6">
      <c r="A1102" s="102"/>
      <c r="B1102" s="114"/>
      <c r="C1102" s="103"/>
      <c r="D1102" s="104"/>
      <c r="E1102" s="143"/>
      <c r="F1102" s="131"/>
    </row>
    <row r="1103" spans="1:6">
      <c r="A1103" s="79" t="s">
        <v>26</v>
      </c>
      <c r="B1103" s="80" t="s">
        <v>561</v>
      </c>
      <c r="C1103" s="81" t="s">
        <v>149</v>
      </c>
      <c r="D1103" s="82" t="s">
        <v>103</v>
      </c>
      <c r="E1103" s="143">
        <v>102.01</v>
      </c>
      <c r="F1103" s="131">
        <f>C1103*E1103</f>
        <v>204.02</v>
      </c>
    </row>
    <row r="1104" spans="1:6">
      <c r="A1104" s="102"/>
      <c r="B1104" s="114"/>
      <c r="C1104" s="103"/>
      <c r="D1104" s="104"/>
      <c r="E1104" s="143"/>
      <c r="F1104" s="131"/>
    </row>
    <row r="1105" spans="1:6">
      <c r="A1105" s="79" t="s">
        <v>29</v>
      </c>
      <c r="B1105" s="80" t="s">
        <v>562</v>
      </c>
      <c r="C1105" s="81" t="s">
        <v>54</v>
      </c>
      <c r="D1105" s="82" t="s">
        <v>103</v>
      </c>
      <c r="E1105" s="143">
        <v>116.59</v>
      </c>
      <c r="F1105" s="131">
        <f>C1105*E1105</f>
        <v>349.77</v>
      </c>
    </row>
    <row r="1106" spans="1:6">
      <c r="A1106" s="102"/>
      <c r="B1106" s="114"/>
      <c r="C1106" s="103"/>
      <c r="D1106" s="104"/>
      <c r="E1106" s="143"/>
      <c r="F1106" s="131"/>
    </row>
    <row r="1107" spans="1:6">
      <c r="A1107" s="79" t="s">
        <v>33</v>
      </c>
      <c r="B1107" s="80" t="s">
        <v>563</v>
      </c>
      <c r="C1107" s="81" t="s">
        <v>564</v>
      </c>
      <c r="D1107" s="82" t="s">
        <v>103</v>
      </c>
      <c r="E1107" s="143">
        <v>92.3</v>
      </c>
      <c r="F1107" s="131">
        <f>C1107*E1107</f>
        <v>3784.2999999999997</v>
      </c>
    </row>
    <row r="1108" spans="1:6">
      <c r="A1108" s="102"/>
      <c r="B1108" s="114"/>
      <c r="C1108" s="103"/>
      <c r="D1108" s="104"/>
      <c r="E1108" s="143"/>
      <c r="F1108" s="131"/>
    </row>
    <row r="1109" spans="1:6">
      <c r="A1109" s="79" t="s">
        <v>45</v>
      </c>
      <c r="B1109" s="80" t="s">
        <v>565</v>
      </c>
      <c r="C1109" s="81" t="s">
        <v>244</v>
      </c>
      <c r="D1109" s="82" t="s">
        <v>103</v>
      </c>
      <c r="E1109" s="143">
        <v>97.15</v>
      </c>
      <c r="F1109" s="131">
        <f>C1109*E1109</f>
        <v>4274.6000000000004</v>
      </c>
    </row>
    <row r="1110" spans="1:6">
      <c r="A1110" s="102"/>
      <c r="B1110" s="114"/>
      <c r="C1110" s="103"/>
      <c r="D1110" s="104"/>
      <c r="E1110" s="143"/>
      <c r="F1110" s="131"/>
    </row>
    <row r="1111" spans="1:6">
      <c r="A1111" s="79" t="s">
        <v>49</v>
      </c>
      <c r="B1111" s="80" t="s">
        <v>566</v>
      </c>
      <c r="C1111" s="81" t="s">
        <v>225</v>
      </c>
      <c r="D1111" s="82" t="s">
        <v>103</v>
      </c>
      <c r="E1111" s="143">
        <v>102.01</v>
      </c>
      <c r="F1111" s="131">
        <f>C1111*E1111</f>
        <v>1326.13</v>
      </c>
    </row>
    <row r="1112" spans="1:6">
      <c r="A1112" s="102"/>
      <c r="B1112" s="114"/>
      <c r="C1112" s="103"/>
      <c r="D1112" s="104"/>
      <c r="E1112" s="143"/>
      <c r="F1112" s="131"/>
    </row>
    <row r="1113" spans="1:6">
      <c r="A1113" s="79" t="s">
        <v>61</v>
      </c>
      <c r="B1113" s="80" t="s">
        <v>567</v>
      </c>
      <c r="C1113" s="81" t="s">
        <v>149</v>
      </c>
      <c r="D1113" s="82" t="s">
        <v>103</v>
      </c>
      <c r="E1113" s="143">
        <v>106.88</v>
      </c>
      <c r="F1113" s="131">
        <f>C1113*E1113</f>
        <v>213.76</v>
      </c>
    </row>
    <row r="1114" spans="1:6">
      <c r="A1114" s="102"/>
      <c r="B1114" s="114"/>
      <c r="C1114" s="103"/>
      <c r="D1114" s="104"/>
      <c r="E1114" s="143"/>
      <c r="F1114" s="131"/>
    </row>
    <row r="1115" spans="1:6">
      <c r="A1115" s="79" t="s">
        <v>63</v>
      </c>
      <c r="B1115" s="80" t="s">
        <v>568</v>
      </c>
      <c r="C1115" s="81" t="s">
        <v>54</v>
      </c>
      <c r="D1115" s="82" t="s">
        <v>103</v>
      </c>
      <c r="E1115" s="143">
        <v>111.73</v>
      </c>
      <c r="F1115" s="131">
        <f>C1115*E1115</f>
        <v>335.19</v>
      </c>
    </row>
    <row r="1116" spans="1:6">
      <c r="A1116" s="102"/>
      <c r="B1116" s="114"/>
      <c r="C1116" s="103"/>
      <c r="D1116" s="104"/>
      <c r="E1116" s="143"/>
      <c r="F1116" s="131"/>
    </row>
    <row r="1117" spans="1:6">
      <c r="A1117" s="79" t="s">
        <v>66</v>
      </c>
      <c r="B1117" s="80" t="s">
        <v>569</v>
      </c>
      <c r="C1117" s="81" t="s">
        <v>355</v>
      </c>
      <c r="D1117" s="82" t="s">
        <v>103</v>
      </c>
      <c r="E1117" s="143">
        <v>102.01</v>
      </c>
      <c r="F1117" s="131">
        <f>C1117*E1117</f>
        <v>7854.77</v>
      </c>
    </row>
    <row r="1118" spans="1:6">
      <c r="A1118" s="102"/>
      <c r="B1118" s="114"/>
      <c r="C1118" s="103"/>
      <c r="D1118" s="104"/>
      <c r="E1118" s="143"/>
      <c r="F1118" s="131"/>
    </row>
    <row r="1119" spans="1:6">
      <c r="A1119" s="79" t="s">
        <v>70</v>
      </c>
      <c r="B1119" s="80" t="s">
        <v>570</v>
      </c>
      <c r="C1119" s="81" t="s">
        <v>451</v>
      </c>
      <c r="D1119" s="82" t="s">
        <v>103</v>
      </c>
      <c r="E1119" s="143">
        <v>111.73</v>
      </c>
      <c r="F1119" s="131">
        <f>C1119*E1119</f>
        <v>1117.3</v>
      </c>
    </row>
    <row r="1120" spans="1:6">
      <c r="A1120" s="102"/>
      <c r="B1120" s="114"/>
      <c r="C1120" s="103"/>
      <c r="D1120" s="104"/>
      <c r="E1120" s="143"/>
      <c r="F1120" s="131"/>
    </row>
    <row r="1121" spans="1:6">
      <c r="A1121" s="79" t="s">
        <v>199</v>
      </c>
      <c r="B1121" s="80" t="s">
        <v>571</v>
      </c>
      <c r="C1121" s="81" t="s">
        <v>444</v>
      </c>
      <c r="D1121" s="82" t="s">
        <v>103</v>
      </c>
      <c r="E1121" s="143">
        <v>116.59</v>
      </c>
      <c r="F1121" s="131">
        <f>C1121*E1121</f>
        <v>2798.16</v>
      </c>
    </row>
    <row r="1122" spans="1:6">
      <c r="A1122" s="102"/>
      <c r="B1122" s="114"/>
      <c r="C1122" s="103"/>
      <c r="D1122" s="104"/>
      <c r="E1122" s="143"/>
      <c r="F1122" s="131"/>
    </row>
    <row r="1123" spans="1:6">
      <c r="A1123" s="79" t="s">
        <v>226</v>
      </c>
      <c r="B1123" s="80" t="s">
        <v>572</v>
      </c>
      <c r="C1123" s="81" t="s">
        <v>330</v>
      </c>
      <c r="D1123" s="82" t="s">
        <v>103</v>
      </c>
      <c r="E1123" s="143">
        <v>116.59</v>
      </c>
      <c r="F1123" s="131">
        <f>C1123*E1123</f>
        <v>1865.44</v>
      </c>
    </row>
    <row r="1124" spans="1:6">
      <c r="A1124" s="102"/>
      <c r="B1124" s="114"/>
      <c r="C1124" s="103"/>
      <c r="D1124" s="104"/>
      <c r="E1124" s="143"/>
      <c r="F1124" s="131"/>
    </row>
    <row r="1125" spans="1:6">
      <c r="A1125" s="79" t="s">
        <v>228</v>
      </c>
      <c r="B1125" s="80" t="s">
        <v>573</v>
      </c>
      <c r="C1125" s="81" t="s">
        <v>357</v>
      </c>
      <c r="D1125" s="82" t="s">
        <v>103</v>
      </c>
      <c r="E1125" s="143">
        <v>121.44</v>
      </c>
      <c r="F1125" s="131">
        <f>C1125*E1125</f>
        <v>1821.6</v>
      </c>
    </row>
    <row r="1126" spans="1:6">
      <c r="A1126" s="102"/>
      <c r="B1126" s="114"/>
      <c r="C1126" s="103"/>
      <c r="D1126" s="104"/>
      <c r="E1126" s="143"/>
      <c r="F1126" s="131"/>
    </row>
    <row r="1127" spans="1:6">
      <c r="A1127" s="79" t="s">
        <v>231</v>
      </c>
      <c r="B1127" s="80" t="s">
        <v>574</v>
      </c>
      <c r="C1127" s="81" t="s">
        <v>225</v>
      </c>
      <c r="D1127" s="82" t="s">
        <v>103</v>
      </c>
      <c r="E1127" s="143">
        <v>126.31</v>
      </c>
      <c r="F1127" s="131">
        <f>C1127*E1127</f>
        <v>1642.03</v>
      </c>
    </row>
    <row r="1128" spans="1:6">
      <c r="A1128" s="102"/>
      <c r="B1128" s="114"/>
      <c r="C1128" s="103"/>
      <c r="D1128" s="104"/>
      <c r="E1128" s="143"/>
      <c r="F1128" s="131"/>
    </row>
    <row r="1129" spans="1:6">
      <c r="A1129" s="79" t="s">
        <v>283</v>
      </c>
      <c r="B1129" s="80" t="s">
        <v>575</v>
      </c>
      <c r="C1129" s="81" t="s">
        <v>280</v>
      </c>
      <c r="D1129" s="82" t="s">
        <v>103</v>
      </c>
      <c r="E1129" s="143">
        <v>121.44</v>
      </c>
      <c r="F1129" s="131">
        <f>C1129*E1129</f>
        <v>728.64</v>
      </c>
    </row>
    <row r="1130" spans="1:6">
      <c r="A1130" s="102"/>
      <c r="B1130" s="114"/>
      <c r="C1130" s="103"/>
      <c r="D1130" s="104"/>
      <c r="E1130" s="143"/>
      <c r="F1130" s="131"/>
    </row>
    <row r="1131" spans="1:6">
      <c r="A1131" s="79" t="s">
        <v>286</v>
      </c>
      <c r="B1131" s="80" t="s">
        <v>576</v>
      </c>
      <c r="C1131" s="81" t="s">
        <v>108</v>
      </c>
      <c r="D1131" s="82" t="s">
        <v>103</v>
      </c>
      <c r="E1131" s="143">
        <v>131.16</v>
      </c>
      <c r="F1131" s="131">
        <f>C1131*E1131</f>
        <v>3016.68</v>
      </c>
    </row>
    <row r="1132" spans="1:6">
      <c r="A1132" s="102"/>
      <c r="B1132" s="114"/>
      <c r="C1132" s="103"/>
      <c r="D1132" s="104"/>
      <c r="E1132" s="143"/>
      <c r="F1132" s="131"/>
    </row>
    <row r="1133" spans="1:6">
      <c r="A1133" s="79" t="s">
        <v>430</v>
      </c>
      <c r="B1133" s="80" t="s">
        <v>577</v>
      </c>
      <c r="C1133" s="81" t="s">
        <v>80</v>
      </c>
      <c r="D1133" s="82" t="s">
        <v>103</v>
      </c>
      <c r="E1133" s="143">
        <v>121.44</v>
      </c>
      <c r="F1133" s="131">
        <f>C1133*E1133</f>
        <v>971.52</v>
      </c>
    </row>
    <row r="1134" spans="1:6">
      <c r="A1134" s="102"/>
      <c r="B1134" s="114"/>
      <c r="C1134" s="103"/>
      <c r="D1134" s="104"/>
      <c r="E1134" s="143"/>
      <c r="F1134" s="131"/>
    </row>
    <row r="1135" spans="1:6">
      <c r="A1135" s="79" t="s">
        <v>432</v>
      </c>
      <c r="B1135" s="80" t="s">
        <v>578</v>
      </c>
      <c r="C1135" s="81" t="s">
        <v>296</v>
      </c>
      <c r="D1135" s="82" t="s">
        <v>103</v>
      </c>
      <c r="E1135" s="143">
        <v>136.02000000000001</v>
      </c>
      <c r="F1135" s="131">
        <f>C1135*E1135</f>
        <v>4760.7000000000007</v>
      </c>
    </row>
    <row r="1136" spans="1:6">
      <c r="A1136" s="102"/>
      <c r="B1136" s="114"/>
      <c r="C1136" s="103"/>
      <c r="D1136" s="104"/>
      <c r="E1136" s="143"/>
      <c r="F1136" s="131"/>
    </row>
    <row r="1137" spans="1:6">
      <c r="A1137" s="79" t="s">
        <v>479</v>
      </c>
      <c r="B1137" s="80" t="s">
        <v>579</v>
      </c>
      <c r="C1137" s="81" t="s">
        <v>178</v>
      </c>
      <c r="D1137" s="82" t="s">
        <v>103</v>
      </c>
      <c r="E1137" s="143">
        <v>150.59</v>
      </c>
      <c r="F1137" s="131">
        <f>C1137*E1137</f>
        <v>602.36</v>
      </c>
    </row>
    <row r="1138" spans="1:6">
      <c r="A1138" s="102"/>
      <c r="B1138" s="114"/>
      <c r="C1138" s="103"/>
      <c r="D1138" s="104"/>
      <c r="E1138" s="143"/>
      <c r="F1138" s="131"/>
    </row>
    <row r="1139" spans="1:6">
      <c r="A1139" s="102"/>
      <c r="B1139" s="114"/>
      <c r="C1139" s="103"/>
      <c r="D1139" s="104"/>
      <c r="E1139" s="143"/>
      <c r="F1139" s="131"/>
    </row>
    <row r="1140" spans="1:6">
      <c r="A1140" s="102"/>
      <c r="B1140" s="114"/>
      <c r="C1140" s="103"/>
      <c r="D1140" s="104"/>
      <c r="E1140" s="143"/>
      <c r="F1140" s="131"/>
    </row>
    <row r="1141" spans="1:6">
      <c r="A1141" s="85"/>
      <c r="B1141" s="86"/>
      <c r="C1141" s="87"/>
      <c r="D1141" s="88"/>
      <c r="E1141" s="145"/>
      <c r="F1141" s="133"/>
    </row>
    <row r="1142" spans="1:6">
      <c r="A1142" s="89"/>
      <c r="B1142" s="90"/>
      <c r="C1142" s="91" t="s">
        <v>35</v>
      </c>
      <c r="D1142" s="91"/>
      <c r="E1142" s="146" t="s">
        <v>8</v>
      </c>
      <c r="F1142" s="134">
        <f>SUM(F1095:F1139)</f>
        <v>43928.469999999987</v>
      </c>
    </row>
    <row r="1143" spans="1:6">
      <c r="A1143" s="89"/>
      <c r="B1143" s="90"/>
      <c r="C1143" s="92"/>
      <c r="D1143" s="93"/>
      <c r="E1143" s="147"/>
      <c r="F1143" s="135"/>
    </row>
    <row r="1144" spans="1:6">
      <c r="A1144" s="102"/>
      <c r="B1144" s="114"/>
      <c r="C1144" s="103"/>
      <c r="D1144" s="104"/>
      <c r="E1144" s="143"/>
      <c r="F1144" s="131"/>
    </row>
    <row r="1145" spans="1:6" ht="27.6">
      <c r="A1145" s="102"/>
      <c r="B1145" s="77" t="s">
        <v>175</v>
      </c>
      <c r="C1145" s="103"/>
      <c r="D1145" s="104"/>
      <c r="E1145" s="143"/>
      <c r="F1145" s="131"/>
    </row>
    <row r="1146" spans="1:6">
      <c r="A1146" s="102"/>
      <c r="B1146" s="114"/>
      <c r="C1146" s="103"/>
      <c r="D1146" s="104"/>
      <c r="E1146" s="143"/>
      <c r="F1146" s="131"/>
    </row>
    <row r="1147" spans="1:6">
      <c r="A1147" s="79" t="s">
        <v>16</v>
      </c>
      <c r="B1147" s="80" t="s">
        <v>580</v>
      </c>
      <c r="C1147" s="81" t="s">
        <v>127</v>
      </c>
      <c r="D1147" s="82" t="s">
        <v>103</v>
      </c>
      <c r="E1147" s="143">
        <v>150.59</v>
      </c>
      <c r="F1147" s="131">
        <f>C1147*E1147</f>
        <v>752.95</v>
      </c>
    </row>
    <row r="1148" spans="1:6">
      <c r="A1148" s="102"/>
      <c r="B1148" s="114"/>
      <c r="C1148" s="103"/>
      <c r="D1148" s="104"/>
      <c r="E1148" s="143"/>
      <c r="F1148" s="131"/>
    </row>
    <row r="1149" spans="1:6">
      <c r="A1149" s="79" t="s">
        <v>19</v>
      </c>
      <c r="B1149" s="80" t="s">
        <v>581</v>
      </c>
      <c r="C1149" s="81" t="s">
        <v>80</v>
      </c>
      <c r="D1149" s="82" t="s">
        <v>103</v>
      </c>
      <c r="E1149" s="143">
        <v>140.87</v>
      </c>
      <c r="F1149" s="131">
        <f>C1149*E1149</f>
        <v>1126.96</v>
      </c>
    </row>
    <row r="1150" spans="1:6">
      <c r="A1150" s="102"/>
      <c r="B1150" s="114"/>
      <c r="C1150" s="103"/>
      <c r="D1150" s="104"/>
      <c r="E1150" s="143"/>
      <c r="F1150" s="131"/>
    </row>
    <row r="1151" spans="1:6">
      <c r="A1151" s="79" t="s">
        <v>22</v>
      </c>
      <c r="B1151" s="80" t="s">
        <v>582</v>
      </c>
      <c r="C1151" s="81" t="s">
        <v>296</v>
      </c>
      <c r="D1151" s="82" t="s">
        <v>103</v>
      </c>
      <c r="E1151" s="143">
        <v>145.74</v>
      </c>
      <c r="F1151" s="131">
        <f>C1151*E1151</f>
        <v>5100.9000000000005</v>
      </c>
    </row>
    <row r="1152" spans="1:6">
      <c r="A1152" s="102"/>
      <c r="B1152" s="114"/>
      <c r="C1152" s="103"/>
      <c r="D1152" s="104"/>
      <c r="E1152" s="143"/>
      <c r="F1152" s="131"/>
    </row>
    <row r="1153" spans="1:6">
      <c r="A1153" s="79" t="s">
        <v>26</v>
      </c>
      <c r="B1153" s="80" t="s">
        <v>583</v>
      </c>
      <c r="C1153" s="81" t="s">
        <v>451</v>
      </c>
      <c r="D1153" s="82" t="s">
        <v>103</v>
      </c>
      <c r="E1153" s="143">
        <v>179.73</v>
      </c>
      <c r="F1153" s="131">
        <f>C1153*E1153</f>
        <v>1797.3</v>
      </c>
    </row>
    <row r="1154" spans="1:6">
      <c r="A1154" s="102"/>
      <c r="B1154" s="114"/>
      <c r="C1154" s="103"/>
      <c r="D1154" s="104"/>
      <c r="E1154" s="143"/>
      <c r="F1154" s="131"/>
    </row>
    <row r="1155" spans="1:6">
      <c r="A1155" s="79" t="s">
        <v>29</v>
      </c>
      <c r="B1155" s="80" t="s">
        <v>584</v>
      </c>
      <c r="C1155" s="81" t="s">
        <v>451</v>
      </c>
      <c r="D1155" s="82" t="s">
        <v>103</v>
      </c>
      <c r="E1155" s="143">
        <v>189.45</v>
      </c>
      <c r="F1155" s="131">
        <f>C1155*E1155</f>
        <v>1894.5</v>
      </c>
    </row>
    <row r="1156" spans="1:6">
      <c r="A1156" s="102"/>
      <c r="B1156" s="114"/>
      <c r="C1156" s="103"/>
      <c r="D1156" s="104"/>
      <c r="E1156" s="143"/>
      <c r="F1156" s="131"/>
    </row>
    <row r="1157" spans="1:6">
      <c r="A1157" s="79" t="s">
        <v>33</v>
      </c>
      <c r="B1157" s="80" t="s">
        <v>585</v>
      </c>
      <c r="C1157" s="81" t="s">
        <v>143</v>
      </c>
      <c r="D1157" s="82" t="s">
        <v>103</v>
      </c>
      <c r="E1157" s="143">
        <v>262.32</v>
      </c>
      <c r="F1157" s="131">
        <f>C1157*E1157</f>
        <v>4459.4399999999996</v>
      </c>
    </row>
    <row r="1158" spans="1:6">
      <c r="A1158" s="102"/>
      <c r="B1158" s="114"/>
      <c r="C1158" s="103"/>
      <c r="D1158" s="104"/>
      <c r="E1158" s="143"/>
      <c r="F1158" s="131"/>
    </row>
    <row r="1159" spans="1:6">
      <c r="A1159" s="79" t="s">
        <v>45</v>
      </c>
      <c r="B1159" s="80" t="s">
        <v>586</v>
      </c>
      <c r="C1159" s="81" t="s">
        <v>451</v>
      </c>
      <c r="D1159" s="82" t="s">
        <v>103</v>
      </c>
      <c r="E1159" s="143">
        <v>286.61</v>
      </c>
      <c r="F1159" s="131">
        <f>C1159*E1159</f>
        <v>2866.1000000000004</v>
      </c>
    </row>
    <row r="1160" spans="1:6">
      <c r="A1160" s="102"/>
      <c r="B1160" s="114"/>
      <c r="C1160" s="103"/>
      <c r="D1160" s="104"/>
      <c r="E1160" s="143"/>
      <c r="F1160" s="131"/>
    </row>
    <row r="1161" spans="1:6">
      <c r="A1161" s="79" t="s">
        <v>49</v>
      </c>
      <c r="B1161" s="80" t="s">
        <v>587</v>
      </c>
      <c r="C1161" s="81" t="s">
        <v>80</v>
      </c>
      <c r="D1161" s="82" t="s">
        <v>103</v>
      </c>
      <c r="E1161" s="143">
        <v>320.62</v>
      </c>
      <c r="F1161" s="131">
        <f>C1161*E1161</f>
        <v>2564.96</v>
      </c>
    </row>
    <row r="1162" spans="1:6">
      <c r="A1162" s="102"/>
      <c r="B1162" s="114"/>
      <c r="C1162" s="103"/>
      <c r="D1162" s="104"/>
      <c r="E1162" s="143"/>
      <c r="F1162" s="131"/>
    </row>
    <row r="1163" spans="1:6">
      <c r="A1163" s="79" t="s">
        <v>61</v>
      </c>
      <c r="B1163" s="80" t="s">
        <v>588</v>
      </c>
      <c r="C1163" s="81" t="s">
        <v>143</v>
      </c>
      <c r="D1163" s="82" t="s">
        <v>103</v>
      </c>
      <c r="E1163" s="143">
        <v>340.05</v>
      </c>
      <c r="F1163" s="131">
        <f>C1163*E1163</f>
        <v>5780.85</v>
      </c>
    </row>
    <row r="1164" spans="1:6">
      <c r="A1164" s="102"/>
      <c r="B1164" s="114"/>
      <c r="C1164" s="103"/>
      <c r="D1164" s="104"/>
      <c r="E1164" s="143"/>
      <c r="F1164" s="131"/>
    </row>
    <row r="1165" spans="1:6">
      <c r="A1165" s="79" t="s">
        <v>63</v>
      </c>
      <c r="B1165" s="80" t="s">
        <v>589</v>
      </c>
      <c r="C1165" s="81" t="s">
        <v>590</v>
      </c>
      <c r="D1165" s="82" t="s">
        <v>103</v>
      </c>
      <c r="E1165" s="143">
        <v>145.74</v>
      </c>
      <c r="F1165" s="131">
        <f>C1165*E1165</f>
        <v>346861.2</v>
      </c>
    </row>
    <row r="1166" spans="1:6">
      <c r="A1166" s="102"/>
      <c r="B1166" s="114"/>
      <c r="C1166" s="103"/>
      <c r="D1166" s="104"/>
      <c r="E1166" s="143"/>
      <c r="F1166" s="131"/>
    </row>
    <row r="1167" spans="1:6">
      <c r="A1167" s="79" t="s">
        <v>66</v>
      </c>
      <c r="B1167" s="80" t="s">
        <v>591</v>
      </c>
      <c r="C1167" s="81" t="s">
        <v>31</v>
      </c>
      <c r="D1167" s="82" t="s">
        <v>103</v>
      </c>
      <c r="E1167" s="143">
        <v>106.88</v>
      </c>
      <c r="F1167" s="131">
        <f>C1167*E1167</f>
        <v>106.88</v>
      </c>
    </row>
    <row r="1168" spans="1:6">
      <c r="A1168" s="102"/>
      <c r="B1168" s="114"/>
      <c r="C1168" s="103"/>
      <c r="D1168" s="104"/>
      <c r="E1168" s="143"/>
      <c r="F1168" s="131"/>
    </row>
    <row r="1169" spans="1:6">
      <c r="A1169" s="79" t="s">
        <v>70</v>
      </c>
      <c r="B1169" s="80" t="s">
        <v>592</v>
      </c>
      <c r="C1169" s="81" t="s">
        <v>357</v>
      </c>
      <c r="D1169" s="82" t="s">
        <v>103</v>
      </c>
      <c r="E1169" s="143">
        <v>116.59</v>
      </c>
      <c r="F1169" s="131">
        <f>C1169*E1169</f>
        <v>1748.8500000000001</v>
      </c>
    </row>
    <row r="1170" spans="1:6">
      <c r="A1170" s="102"/>
      <c r="B1170" s="114"/>
      <c r="C1170" s="103"/>
      <c r="D1170" s="104"/>
      <c r="E1170" s="143"/>
      <c r="F1170" s="131"/>
    </row>
    <row r="1171" spans="1:6">
      <c r="A1171" s="79" t="s">
        <v>199</v>
      </c>
      <c r="B1171" s="80" t="s">
        <v>593</v>
      </c>
      <c r="C1171" s="81" t="s">
        <v>31</v>
      </c>
      <c r="D1171" s="82" t="s">
        <v>103</v>
      </c>
      <c r="E1171" s="143">
        <v>111.73</v>
      </c>
      <c r="F1171" s="131">
        <f>C1171*E1171</f>
        <v>111.73</v>
      </c>
    </row>
    <row r="1172" spans="1:6">
      <c r="A1172" s="102"/>
      <c r="B1172" s="114"/>
      <c r="C1172" s="103"/>
      <c r="D1172" s="104"/>
      <c r="E1172" s="143"/>
      <c r="F1172" s="131"/>
    </row>
    <row r="1173" spans="1:6">
      <c r="A1173" s="79" t="s">
        <v>226</v>
      </c>
      <c r="B1173" s="80" t="s">
        <v>594</v>
      </c>
      <c r="C1173" s="81" t="s">
        <v>31</v>
      </c>
      <c r="D1173" s="82" t="s">
        <v>103</v>
      </c>
      <c r="E1173" s="143">
        <v>106.88</v>
      </c>
      <c r="F1173" s="131">
        <f>C1173*E1173</f>
        <v>106.88</v>
      </c>
    </row>
    <row r="1174" spans="1:6">
      <c r="A1174" s="102"/>
      <c r="B1174" s="114"/>
      <c r="C1174" s="103"/>
      <c r="D1174" s="104"/>
      <c r="E1174" s="143"/>
      <c r="F1174" s="131"/>
    </row>
    <row r="1175" spans="1:6">
      <c r="A1175" s="79" t="s">
        <v>228</v>
      </c>
      <c r="B1175" s="80" t="s">
        <v>595</v>
      </c>
      <c r="C1175" s="81" t="s">
        <v>31</v>
      </c>
      <c r="D1175" s="82" t="s">
        <v>103</v>
      </c>
      <c r="E1175" s="143">
        <v>111.73</v>
      </c>
      <c r="F1175" s="131">
        <f>C1175*E1175</f>
        <v>111.73</v>
      </c>
    </row>
    <row r="1176" spans="1:6">
      <c r="A1176" s="102"/>
      <c r="B1176" s="114"/>
      <c r="C1176" s="103"/>
      <c r="D1176" s="104"/>
      <c r="E1176" s="143"/>
      <c r="F1176" s="131"/>
    </row>
    <row r="1177" spans="1:6">
      <c r="A1177" s="79" t="s">
        <v>231</v>
      </c>
      <c r="B1177" s="80" t="s">
        <v>596</v>
      </c>
      <c r="C1177" s="81" t="s">
        <v>451</v>
      </c>
      <c r="D1177" s="82" t="s">
        <v>103</v>
      </c>
      <c r="E1177" s="143">
        <v>126.31</v>
      </c>
      <c r="F1177" s="131">
        <f>C1177*E1177</f>
        <v>1263.0999999999999</v>
      </c>
    </row>
    <row r="1178" spans="1:6">
      <c r="A1178" s="102"/>
      <c r="B1178" s="114"/>
      <c r="C1178" s="103"/>
      <c r="D1178" s="104"/>
      <c r="E1178" s="143"/>
      <c r="F1178" s="131"/>
    </row>
    <row r="1179" spans="1:6">
      <c r="A1179" s="79" t="s">
        <v>283</v>
      </c>
      <c r="B1179" s="80" t="s">
        <v>597</v>
      </c>
      <c r="C1179" s="81" t="s">
        <v>453</v>
      </c>
      <c r="D1179" s="82" t="s">
        <v>103</v>
      </c>
      <c r="E1179" s="143">
        <v>145.74</v>
      </c>
      <c r="F1179" s="131">
        <f>C1179*E1179</f>
        <v>2914.8</v>
      </c>
    </row>
    <row r="1180" spans="1:6">
      <c r="A1180" s="102"/>
      <c r="B1180" s="114"/>
      <c r="C1180" s="103"/>
      <c r="D1180" s="104"/>
      <c r="E1180" s="143"/>
      <c r="F1180" s="131"/>
    </row>
    <row r="1181" spans="1:6">
      <c r="A1181" s="79" t="s">
        <v>286</v>
      </c>
      <c r="B1181" s="80" t="s">
        <v>598</v>
      </c>
      <c r="C1181" s="81" t="s">
        <v>178</v>
      </c>
      <c r="D1181" s="82" t="s">
        <v>103</v>
      </c>
      <c r="E1181" s="143">
        <v>223.46</v>
      </c>
      <c r="F1181" s="131">
        <f>C1181*E1181</f>
        <v>893.84</v>
      </c>
    </row>
    <row r="1182" spans="1:6">
      <c r="A1182" s="102"/>
      <c r="B1182" s="114"/>
      <c r="C1182" s="103"/>
      <c r="D1182" s="104"/>
      <c r="E1182" s="143"/>
      <c r="F1182" s="131"/>
    </row>
    <row r="1183" spans="1:6">
      <c r="A1183" s="79" t="s">
        <v>430</v>
      </c>
      <c r="B1183" s="80" t="s">
        <v>599</v>
      </c>
      <c r="C1183" s="81" t="s">
        <v>600</v>
      </c>
      <c r="D1183" s="82" t="s">
        <v>103</v>
      </c>
      <c r="E1183" s="143">
        <v>165.17</v>
      </c>
      <c r="F1183" s="131">
        <f>C1183*E1183</f>
        <v>5120.2699999999995</v>
      </c>
    </row>
    <row r="1184" spans="1:6">
      <c r="A1184" s="102"/>
      <c r="B1184" s="114"/>
      <c r="C1184" s="103"/>
      <c r="D1184" s="104"/>
      <c r="E1184" s="143"/>
      <c r="F1184" s="131"/>
    </row>
    <row r="1185" spans="1:6">
      <c r="A1185" s="79" t="s">
        <v>432</v>
      </c>
      <c r="B1185" s="80" t="s">
        <v>601</v>
      </c>
      <c r="C1185" s="81" t="s">
        <v>212</v>
      </c>
      <c r="D1185" s="82" t="s">
        <v>103</v>
      </c>
      <c r="E1185" s="143">
        <v>170.02</v>
      </c>
      <c r="F1185" s="131">
        <f>C1185*E1185</f>
        <v>1530.18</v>
      </c>
    </row>
    <row r="1186" spans="1:6">
      <c r="A1186" s="102"/>
      <c r="B1186" s="114"/>
      <c r="C1186" s="103"/>
      <c r="D1186" s="104"/>
      <c r="E1186" s="143"/>
      <c r="F1186" s="131"/>
    </row>
    <row r="1187" spans="1:6">
      <c r="A1187" s="79" t="s">
        <v>479</v>
      </c>
      <c r="B1187" s="80" t="s">
        <v>602</v>
      </c>
      <c r="C1187" s="81" t="s">
        <v>603</v>
      </c>
      <c r="D1187" s="82" t="s">
        <v>103</v>
      </c>
      <c r="E1187" s="143">
        <v>242.89</v>
      </c>
      <c r="F1187" s="131">
        <f>C1187*E1187</f>
        <v>8258.26</v>
      </c>
    </row>
    <row r="1188" spans="1:6">
      <c r="A1188" s="102"/>
      <c r="B1188" s="114"/>
      <c r="C1188" s="103"/>
      <c r="D1188" s="104"/>
      <c r="E1188" s="143"/>
      <c r="F1188" s="131"/>
    </row>
    <row r="1189" spans="1:6">
      <c r="A1189" s="102"/>
      <c r="B1189" s="114"/>
      <c r="C1189" s="103"/>
      <c r="D1189" s="104"/>
      <c r="E1189" s="143"/>
      <c r="F1189" s="131"/>
    </row>
    <row r="1190" spans="1:6">
      <c r="A1190" s="102"/>
      <c r="B1190" s="114"/>
      <c r="C1190" s="103"/>
      <c r="D1190" s="104"/>
      <c r="E1190" s="143"/>
      <c r="F1190" s="131"/>
    </row>
    <row r="1191" spans="1:6">
      <c r="A1191" s="85"/>
      <c r="B1191" s="86"/>
      <c r="C1191" s="87"/>
      <c r="D1191" s="88"/>
      <c r="E1191" s="145"/>
      <c r="F1191" s="133"/>
    </row>
    <row r="1192" spans="1:6">
      <c r="A1192" s="89"/>
      <c r="B1192" s="90"/>
      <c r="C1192" s="91" t="s">
        <v>35</v>
      </c>
      <c r="D1192" s="91"/>
      <c r="E1192" s="146" t="s">
        <v>8</v>
      </c>
      <c r="F1192" s="134">
        <f>SUM(F1146:F1189)</f>
        <v>395371.68</v>
      </c>
    </row>
    <row r="1193" spans="1:6">
      <c r="A1193" s="89"/>
      <c r="B1193" s="90"/>
      <c r="C1193" s="92"/>
      <c r="D1193" s="93"/>
      <c r="E1193" s="147"/>
      <c r="F1193" s="135"/>
    </row>
    <row r="1194" spans="1:6">
      <c r="A1194" s="102"/>
      <c r="B1194" s="114"/>
      <c r="C1194" s="103"/>
      <c r="D1194" s="104"/>
      <c r="E1194" s="143"/>
      <c r="F1194" s="131"/>
    </row>
    <row r="1195" spans="1:6" ht="27.6">
      <c r="A1195" s="102"/>
      <c r="B1195" s="77" t="s">
        <v>175</v>
      </c>
      <c r="C1195" s="103"/>
      <c r="D1195" s="104"/>
      <c r="E1195" s="143"/>
      <c r="F1195" s="131"/>
    </row>
    <row r="1196" spans="1:6">
      <c r="A1196" s="102"/>
      <c r="B1196" s="114"/>
      <c r="C1196" s="103"/>
      <c r="D1196" s="104"/>
      <c r="E1196" s="143"/>
      <c r="F1196" s="131"/>
    </row>
    <row r="1197" spans="1:6">
      <c r="A1197" s="79" t="s">
        <v>16</v>
      </c>
      <c r="B1197" s="80" t="s">
        <v>604</v>
      </c>
      <c r="C1197" s="81" t="s">
        <v>54</v>
      </c>
      <c r="D1197" s="82" t="s">
        <v>103</v>
      </c>
      <c r="E1197" s="143">
        <v>257.47000000000003</v>
      </c>
      <c r="F1197" s="131">
        <f>C1197*E1197</f>
        <v>772.41000000000008</v>
      </c>
    </row>
    <row r="1198" spans="1:6">
      <c r="A1198" s="102"/>
      <c r="B1198" s="114"/>
      <c r="C1198" s="103"/>
      <c r="D1198" s="104"/>
      <c r="E1198" s="143"/>
      <c r="F1198" s="131"/>
    </row>
    <row r="1199" spans="1:6">
      <c r="A1199" s="79" t="s">
        <v>19</v>
      </c>
      <c r="B1199" s="80" t="s">
        <v>605</v>
      </c>
      <c r="C1199" s="81" t="s">
        <v>143</v>
      </c>
      <c r="D1199" s="82" t="s">
        <v>103</v>
      </c>
      <c r="E1199" s="143">
        <v>252.6</v>
      </c>
      <c r="F1199" s="131">
        <f>C1199*E1199</f>
        <v>4294.2</v>
      </c>
    </row>
    <row r="1200" spans="1:6">
      <c r="A1200" s="102"/>
      <c r="B1200" s="114"/>
      <c r="C1200" s="103"/>
      <c r="D1200" s="104"/>
      <c r="E1200" s="143"/>
      <c r="F1200" s="131"/>
    </row>
    <row r="1201" spans="1:6">
      <c r="A1201" s="79" t="s">
        <v>22</v>
      </c>
      <c r="B1201" s="80" t="s">
        <v>606</v>
      </c>
      <c r="C1201" s="81" t="s">
        <v>194</v>
      </c>
      <c r="D1201" s="82" t="s">
        <v>103</v>
      </c>
      <c r="E1201" s="143">
        <v>262.32</v>
      </c>
      <c r="F1201" s="131">
        <f>C1201*E1201</f>
        <v>13116</v>
      </c>
    </row>
    <row r="1202" spans="1:6">
      <c r="A1202" s="102"/>
      <c r="B1202" s="114"/>
      <c r="C1202" s="103"/>
      <c r="D1202" s="104"/>
      <c r="E1202" s="143"/>
      <c r="F1202" s="131"/>
    </row>
    <row r="1203" spans="1:6">
      <c r="A1203" s="79" t="s">
        <v>26</v>
      </c>
      <c r="B1203" s="80" t="s">
        <v>607</v>
      </c>
      <c r="C1203" s="81" t="s">
        <v>99</v>
      </c>
      <c r="D1203" s="82" t="s">
        <v>103</v>
      </c>
      <c r="E1203" s="143">
        <v>194.31</v>
      </c>
      <c r="F1203" s="131">
        <f>C1203*E1203</f>
        <v>77724</v>
      </c>
    </row>
    <row r="1204" spans="1:6">
      <c r="A1204" s="102"/>
      <c r="B1204" s="114"/>
      <c r="C1204" s="103"/>
      <c r="D1204" s="104"/>
      <c r="E1204" s="143"/>
      <c r="F1204" s="131"/>
    </row>
    <row r="1205" spans="1:6" ht="69">
      <c r="A1205" s="79"/>
      <c r="B1205" s="117" t="s">
        <v>608</v>
      </c>
      <c r="C1205" s="81"/>
      <c r="D1205" s="82"/>
      <c r="E1205" s="143"/>
      <c r="F1205" s="131"/>
    </row>
    <row r="1206" spans="1:6">
      <c r="A1206" s="102"/>
      <c r="B1206" s="114"/>
      <c r="C1206" s="103"/>
      <c r="D1206" s="104"/>
      <c r="E1206" s="143"/>
      <c r="F1206" s="131"/>
    </row>
    <row r="1207" spans="1:6">
      <c r="A1207" s="79" t="s">
        <v>29</v>
      </c>
      <c r="B1207" s="80" t="s">
        <v>609</v>
      </c>
      <c r="C1207" s="81" t="s">
        <v>269</v>
      </c>
      <c r="D1207" s="82" t="s">
        <v>103</v>
      </c>
      <c r="E1207" s="143">
        <v>13.76</v>
      </c>
      <c r="F1207" s="131">
        <f>C1207*E1207</f>
        <v>577.91999999999996</v>
      </c>
    </row>
    <row r="1208" spans="1:6">
      <c r="A1208" s="102"/>
      <c r="B1208" s="114"/>
      <c r="C1208" s="103"/>
      <c r="D1208" s="104"/>
      <c r="E1208" s="143"/>
      <c r="F1208" s="131"/>
    </row>
    <row r="1209" spans="1:6">
      <c r="A1209" s="79" t="s">
        <v>33</v>
      </c>
      <c r="B1209" s="80" t="s">
        <v>610</v>
      </c>
      <c r="C1209" s="81" t="s">
        <v>611</v>
      </c>
      <c r="D1209" s="82" t="s">
        <v>103</v>
      </c>
      <c r="E1209" s="143">
        <v>17.54</v>
      </c>
      <c r="F1209" s="131">
        <f>C1209*E1209</f>
        <v>1543.52</v>
      </c>
    </row>
    <row r="1210" spans="1:6">
      <c r="A1210" s="102"/>
      <c r="B1210" s="114"/>
      <c r="C1210" s="103"/>
      <c r="D1210" s="104"/>
      <c r="E1210" s="143"/>
      <c r="F1210" s="131"/>
    </row>
    <row r="1211" spans="1:6">
      <c r="A1211" s="79" t="s">
        <v>45</v>
      </c>
      <c r="B1211" s="80" t="s">
        <v>612</v>
      </c>
      <c r="C1211" s="81" t="s">
        <v>482</v>
      </c>
      <c r="D1211" s="82" t="s">
        <v>103</v>
      </c>
      <c r="E1211" s="143">
        <v>20.78</v>
      </c>
      <c r="F1211" s="131">
        <f>C1211*E1211</f>
        <v>664.96</v>
      </c>
    </row>
    <row r="1212" spans="1:6">
      <c r="A1212" s="102"/>
      <c r="B1212" s="114"/>
      <c r="C1212" s="103"/>
      <c r="D1212" s="104"/>
      <c r="E1212" s="143"/>
      <c r="F1212" s="131"/>
    </row>
    <row r="1213" spans="1:6">
      <c r="A1213" s="79" t="s">
        <v>49</v>
      </c>
      <c r="B1213" s="80" t="s">
        <v>613</v>
      </c>
      <c r="C1213" s="81" t="s">
        <v>149</v>
      </c>
      <c r="D1213" s="82" t="s">
        <v>103</v>
      </c>
      <c r="E1213" s="143">
        <v>20.78</v>
      </c>
      <c r="F1213" s="131">
        <f>C1213*E1213</f>
        <v>41.56</v>
      </c>
    </row>
    <row r="1214" spans="1:6">
      <c r="A1214" s="102"/>
      <c r="B1214" s="114"/>
      <c r="C1214" s="103"/>
      <c r="D1214" s="104"/>
      <c r="E1214" s="143"/>
      <c r="F1214" s="131"/>
    </row>
    <row r="1215" spans="1:6">
      <c r="A1215" s="79" t="s">
        <v>61</v>
      </c>
      <c r="B1215" s="80" t="s">
        <v>614</v>
      </c>
      <c r="C1215" s="81" t="s">
        <v>615</v>
      </c>
      <c r="D1215" s="82" t="s">
        <v>103</v>
      </c>
      <c r="E1215" s="143">
        <v>20.78</v>
      </c>
      <c r="F1215" s="131">
        <f>C1215*E1215</f>
        <v>4467.7</v>
      </c>
    </row>
    <row r="1216" spans="1:6">
      <c r="A1216" s="102"/>
      <c r="B1216" s="114"/>
      <c r="C1216" s="103"/>
      <c r="D1216" s="104"/>
      <c r="E1216" s="143"/>
      <c r="F1216" s="131"/>
    </row>
    <row r="1217" spans="1:6" ht="69">
      <c r="A1217" s="79"/>
      <c r="B1217" s="117" t="s">
        <v>616</v>
      </c>
      <c r="C1217" s="81"/>
      <c r="D1217" s="82"/>
      <c r="E1217" s="143"/>
      <c r="F1217" s="131"/>
    </row>
    <row r="1218" spans="1:6">
      <c r="A1218" s="102"/>
      <c r="B1218" s="114"/>
      <c r="C1218" s="103"/>
      <c r="D1218" s="104"/>
      <c r="E1218" s="143"/>
      <c r="F1218" s="131"/>
    </row>
    <row r="1219" spans="1:6">
      <c r="A1219" s="79" t="s">
        <v>63</v>
      </c>
      <c r="B1219" s="80" t="s">
        <v>617</v>
      </c>
      <c r="C1219" s="81" t="s">
        <v>280</v>
      </c>
      <c r="D1219" s="82" t="s">
        <v>44</v>
      </c>
      <c r="E1219" s="143">
        <v>16.2</v>
      </c>
      <c r="F1219" s="131">
        <f>C1219*E1219</f>
        <v>97.199999999999989</v>
      </c>
    </row>
    <row r="1220" spans="1:6">
      <c r="A1220" s="102"/>
      <c r="B1220" s="114"/>
      <c r="C1220" s="103"/>
      <c r="D1220" s="104"/>
      <c r="E1220" s="143"/>
      <c r="F1220" s="131"/>
    </row>
    <row r="1221" spans="1:6">
      <c r="A1221" s="79" t="s">
        <v>66</v>
      </c>
      <c r="B1221" s="80" t="s">
        <v>618</v>
      </c>
      <c r="C1221" s="81" t="s">
        <v>619</v>
      </c>
      <c r="D1221" s="82" t="s">
        <v>44</v>
      </c>
      <c r="E1221" s="143">
        <v>16.2</v>
      </c>
      <c r="F1221" s="131">
        <f>C1221*E1221</f>
        <v>2251.7999999999997</v>
      </c>
    </row>
    <row r="1222" spans="1:6">
      <c r="A1222" s="102"/>
      <c r="B1222" s="114"/>
      <c r="C1222" s="103"/>
      <c r="D1222" s="104"/>
      <c r="E1222" s="143"/>
      <c r="F1222" s="131"/>
    </row>
    <row r="1223" spans="1:6">
      <c r="A1223" s="79" t="s">
        <v>70</v>
      </c>
      <c r="B1223" s="80" t="s">
        <v>620</v>
      </c>
      <c r="C1223" s="81" t="s">
        <v>533</v>
      </c>
      <c r="D1223" s="82" t="s">
        <v>44</v>
      </c>
      <c r="E1223" s="143">
        <v>16.2</v>
      </c>
      <c r="F1223" s="131">
        <f>C1223*E1223</f>
        <v>356.4</v>
      </c>
    </row>
    <row r="1224" spans="1:6">
      <c r="A1224" s="102"/>
      <c r="B1224" s="114"/>
      <c r="C1224" s="103"/>
      <c r="D1224" s="104"/>
      <c r="E1224" s="143"/>
      <c r="F1224" s="131"/>
    </row>
    <row r="1225" spans="1:6">
      <c r="A1225" s="79" t="s">
        <v>199</v>
      </c>
      <c r="B1225" s="80" t="s">
        <v>621</v>
      </c>
      <c r="C1225" s="81" t="s">
        <v>280</v>
      </c>
      <c r="D1225" s="82" t="s">
        <v>44</v>
      </c>
      <c r="E1225" s="143">
        <v>16.2</v>
      </c>
      <c r="F1225" s="131">
        <f>C1225*E1225</f>
        <v>97.199999999999989</v>
      </c>
    </row>
    <row r="1226" spans="1:6">
      <c r="A1226" s="102"/>
      <c r="B1226" s="114"/>
      <c r="C1226" s="103"/>
      <c r="D1226" s="104"/>
      <c r="E1226" s="143"/>
      <c r="F1226" s="131"/>
    </row>
    <row r="1227" spans="1:6">
      <c r="A1227" s="79" t="s">
        <v>226</v>
      </c>
      <c r="B1227" s="80" t="s">
        <v>622</v>
      </c>
      <c r="C1227" s="81" t="s">
        <v>623</v>
      </c>
      <c r="D1227" s="82" t="s">
        <v>44</v>
      </c>
      <c r="E1227" s="143">
        <v>16.2</v>
      </c>
      <c r="F1227" s="131">
        <f>C1227*E1227</f>
        <v>7176.5999999999995</v>
      </c>
    </row>
    <row r="1228" spans="1:6">
      <c r="A1228" s="102"/>
      <c r="B1228" s="114"/>
      <c r="C1228" s="103"/>
      <c r="D1228" s="104"/>
      <c r="E1228" s="143"/>
      <c r="F1228" s="131"/>
    </row>
    <row r="1229" spans="1:6">
      <c r="A1229" s="102"/>
      <c r="B1229" s="114"/>
      <c r="C1229" s="103"/>
      <c r="D1229" s="104"/>
      <c r="E1229" s="143"/>
      <c r="F1229" s="131"/>
    </row>
    <row r="1230" spans="1:6">
      <c r="A1230" s="102"/>
      <c r="B1230" s="114"/>
      <c r="C1230" s="103"/>
      <c r="D1230" s="104"/>
      <c r="E1230" s="143"/>
      <c r="F1230" s="131"/>
    </row>
    <row r="1231" spans="1:6">
      <c r="A1231" s="102"/>
      <c r="B1231" s="114"/>
      <c r="C1231" s="103"/>
      <c r="D1231" s="104"/>
      <c r="E1231" s="143"/>
      <c r="F1231" s="131"/>
    </row>
    <row r="1232" spans="1:6">
      <c r="A1232" s="102"/>
      <c r="B1232" s="114"/>
      <c r="C1232" s="103"/>
      <c r="D1232" s="104"/>
      <c r="E1232" s="143"/>
      <c r="F1232" s="131"/>
    </row>
    <row r="1233" spans="1:6">
      <c r="A1233" s="85"/>
      <c r="B1233" s="86"/>
      <c r="C1233" s="87"/>
      <c r="D1233" s="88"/>
      <c r="E1233" s="145"/>
      <c r="F1233" s="133"/>
    </row>
    <row r="1234" spans="1:6">
      <c r="A1234" s="89"/>
      <c r="B1234" s="90"/>
      <c r="C1234" s="91" t="s">
        <v>35</v>
      </c>
      <c r="D1234" s="91"/>
      <c r="E1234" s="146" t="s">
        <v>8</v>
      </c>
      <c r="F1234" s="134">
        <f>SUM(F1196:F1229)</f>
        <v>113181.47</v>
      </c>
    </row>
    <row r="1235" spans="1:6">
      <c r="A1235" s="89"/>
      <c r="B1235" s="90"/>
      <c r="C1235" s="92"/>
      <c r="D1235" s="93"/>
      <c r="E1235" s="147"/>
      <c r="F1235" s="135"/>
    </row>
    <row r="1236" spans="1:6">
      <c r="A1236" s="102"/>
      <c r="B1236" s="114"/>
      <c r="C1236" s="103"/>
      <c r="D1236" s="104"/>
      <c r="E1236" s="143"/>
      <c r="F1236" s="131"/>
    </row>
    <row r="1237" spans="1:6" ht="27.6">
      <c r="A1237" s="102"/>
      <c r="B1237" s="77" t="s">
        <v>175</v>
      </c>
      <c r="C1237" s="103"/>
      <c r="D1237" s="104"/>
      <c r="E1237" s="143"/>
      <c r="F1237" s="131"/>
    </row>
    <row r="1238" spans="1:6">
      <c r="A1238" s="102"/>
      <c r="B1238" s="114"/>
      <c r="C1238" s="103"/>
      <c r="D1238" s="104"/>
      <c r="E1238" s="143"/>
      <c r="F1238" s="131"/>
    </row>
    <row r="1239" spans="1:6">
      <c r="A1239" s="79" t="s">
        <v>16</v>
      </c>
      <c r="B1239" s="80" t="s">
        <v>624</v>
      </c>
      <c r="C1239" s="81" t="s">
        <v>31</v>
      </c>
      <c r="D1239" s="82" t="s">
        <v>44</v>
      </c>
      <c r="E1239" s="143">
        <v>16.2</v>
      </c>
      <c r="F1239" s="131">
        <f>C1239*E1239</f>
        <v>16.2</v>
      </c>
    </row>
    <row r="1240" spans="1:6">
      <c r="A1240" s="102"/>
      <c r="B1240" s="114"/>
      <c r="C1240" s="103"/>
      <c r="D1240" s="104"/>
      <c r="E1240" s="143"/>
      <c r="F1240" s="131"/>
    </row>
    <row r="1241" spans="1:6">
      <c r="A1241" s="79" t="s">
        <v>19</v>
      </c>
      <c r="B1241" s="80" t="s">
        <v>625</v>
      </c>
      <c r="C1241" s="81" t="s">
        <v>289</v>
      </c>
      <c r="D1241" s="82" t="s">
        <v>44</v>
      </c>
      <c r="E1241" s="143">
        <v>21.59</v>
      </c>
      <c r="F1241" s="131">
        <f>C1241*E1241</f>
        <v>151.13</v>
      </c>
    </row>
    <row r="1242" spans="1:6">
      <c r="A1242" s="102"/>
      <c r="B1242" s="114"/>
      <c r="C1242" s="103"/>
      <c r="D1242" s="104"/>
      <c r="E1242" s="143"/>
      <c r="F1242" s="131"/>
    </row>
    <row r="1243" spans="1:6">
      <c r="A1243" s="79" t="s">
        <v>22</v>
      </c>
      <c r="B1243" s="80" t="s">
        <v>626</v>
      </c>
      <c r="C1243" s="81" t="s">
        <v>149</v>
      </c>
      <c r="D1243" s="82" t="s">
        <v>44</v>
      </c>
      <c r="E1243" s="143">
        <v>21.59</v>
      </c>
      <c r="F1243" s="131">
        <f>C1243*E1243</f>
        <v>43.18</v>
      </c>
    </row>
    <row r="1244" spans="1:6">
      <c r="A1244" s="102"/>
      <c r="B1244" s="114"/>
      <c r="C1244" s="103"/>
      <c r="D1244" s="104"/>
      <c r="E1244" s="143"/>
      <c r="F1244" s="131"/>
    </row>
    <row r="1245" spans="1:6">
      <c r="A1245" s="79" t="s">
        <v>26</v>
      </c>
      <c r="B1245" s="80" t="s">
        <v>627</v>
      </c>
      <c r="C1245" s="81" t="s">
        <v>31</v>
      </c>
      <c r="D1245" s="82" t="s">
        <v>44</v>
      </c>
      <c r="E1245" s="143">
        <v>21.59</v>
      </c>
      <c r="F1245" s="131">
        <f>C1245*E1245</f>
        <v>21.59</v>
      </c>
    </row>
    <row r="1246" spans="1:6">
      <c r="A1246" s="102"/>
      <c r="B1246" s="114"/>
      <c r="C1246" s="103"/>
      <c r="D1246" s="104"/>
      <c r="E1246" s="143"/>
      <c r="F1246" s="131"/>
    </row>
    <row r="1247" spans="1:6">
      <c r="A1247" s="79" t="s">
        <v>29</v>
      </c>
      <c r="B1247" s="80" t="s">
        <v>628</v>
      </c>
      <c r="C1247" s="81" t="s">
        <v>149</v>
      </c>
      <c r="D1247" s="82" t="s">
        <v>44</v>
      </c>
      <c r="E1247" s="143">
        <v>21.59</v>
      </c>
      <c r="F1247" s="131">
        <f>C1247*E1247</f>
        <v>43.18</v>
      </c>
    </row>
    <row r="1248" spans="1:6">
      <c r="A1248" s="102"/>
      <c r="B1248" s="114"/>
      <c r="C1248" s="103"/>
      <c r="D1248" s="104"/>
      <c r="E1248" s="143"/>
      <c r="F1248" s="131"/>
    </row>
    <row r="1249" spans="1:6">
      <c r="A1249" s="79" t="s">
        <v>33</v>
      </c>
      <c r="B1249" s="80" t="s">
        <v>629</v>
      </c>
      <c r="C1249" s="81" t="s">
        <v>280</v>
      </c>
      <c r="D1249" s="82" t="s">
        <v>44</v>
      </c>
      <c r="E1249" s="143">
        <v>21.59</v>
      </c>
      <c r="F1249" s="131">
        <f>C1249*E1249</f>
        <v>129.54</v>
      </c>
    </row>
    <row r="1250" spans="1:6">
      <c r="A1250" s="102"/>
      <c r="B1250" s="114"/>
      <c r="C1250" s="103"/>
      <c r="D1250" s="104"/>
      <c r="E1250" s="143"/>
      <c r="F1250" s="131"/>
    </row>
    <row r="1251" spans="1:6">
      <c r="A1251" s="79" t="s">
        <v>45</v>
      </c>
      <c r="B1251" s="80" t="s">
        <v>630</v>
      </c>
      <c r="C1251" s="81" t="s">
        <v>31</v>
      </c>
      <c r="D1251" s="82" t="s">
        <v>44</v>
      </c>
      <c r="E1251" s="143">
        <v>21.59</v>
      </c>
      <c r="F1251" s="131">
        <f>C1251*E1251</f>
        <v>21.59</v>
      </c>
    </row>
    <row r="1252" spans="1:6">
      <c r="A1252" s="102"/>
      <c r="B1252" s="114"/>
      <c r="C1252" s="103"/>
      <c r="D1252" s="104"/>
      <c r="E1252" s="143"/>
      <c r="F1252" s="131"/>
    </row>
    <row r="1253" spans="1:6">
      <c r="A1253" s="79" t="s">
        <v>49</v>
      </c>
      <c r="B1253" s="80" t="s">
        <v>631</v>
      </c>
      <c r="C1253" s="81" t="s">
        <v>54</v>
      </c>
      <c r="D1253" s="82" t="s">
        <v>44</v>
      </c>
      <c r="E1253" s="143">
        <v>21.59</v>
      </c>
      <c r="F1253" s="131">
        <f>C1253*E1253</f>
        <v>64.77</v>
      </c>
    </row>
    <row r="1254" spans="1:6">
      <c r="A1254" s="102"/>
      <c r="B1254" s="114"/>
      <c r="C1254" s="103"/>
      <c r="D1254" s="104"/>
      <c r="E1254" s="143"/>
      <c r="F1254" s="131"/>
    </row>
    <row r="1255" spans="1:6">
      <c r="A1255" s="79" t="s">
        <v>61</v>
      </c>
      <c r="B1255" s="80" t="s">
        <v>632</v>
      </c>
      <c r="C1255" s="81" t="s">
        <v>149</v>
      </c>
      <c r="D1255" s="82" t="s">
        <v>44</v>
      </c>
      <c r="E1255" s="143">
        <v>21.59</v>
      </c>
      <c r="F1255" s="131">
        <f>C1255*E1255</f>
        <v>43.18</v>
      </c>
    </row>
    <row r="1256" spans="1:6">
      <c r="A1256" s="102"/>
      <c r="B1256" s="114"/>
      <c r="C1256" s="103"/>
      <c r="D1256" s="104"/>
      <c r="E1256" s="143"/>
      <c r="F1256" s="131"/>
    </row>
    <row r="1257" spans="1:6">
      <c r="A1257" s="79" t="s">
        <v>63</v>
      </c>
      <c r="B1257" s="80" t="s">
        <v>633</v>
      </c>
      <c r="C1257" s="81" t="s">
        <v>31</v>
      </c>
      <c r="D1257" s="82" t="s">
        <v>44</v>
      </c>
      <c r="E1257" s="143">
        <v>21.59</v>
      </c>
      <c r="F1257" s="131">
        <f>C1257*E1257</f>
        <v>21.59</v>
      </c>
    </row>
    <row r="1258" spans="1:6">
      <c r="A1258" s="102"/>
      <c r="B1258" s="114"/>
      <c r="C1258" s="103"/>
      <c r="D1258" s="104"/>
      <c r="E1258" s="143"/>
      <c r="F1258" s="131"/>
    </row>
    <row r="1259" spans="1:6">
      <c r="A1259" s="79" t="s">
        <v>66</v>
      </c>
      <c r="B1259" s="80" t="s">
        <v>634</v>
      </c>
      <c r="C1259" s="81" t="s">
        <v>54</v>
      </c>
      <c r="D1259" s="82" t="s">
        <v>44</v>
      </c>
      <c r="E1259" s="143">
        <v>21.59</v>
      </c>
      <c r="F1259" s="131">
        <f>C1259*E1259</f>
        <v>64.77</v>
      </c>
    </row>
    <row r="1260" spans="1:6">
      <c r="A1260" s="102"/>
      <c r="B1260" s="114"/>
      <c r="C1260" s="103"/>
      <c r="D1260" s="104"/>
      <c r="E1260" s="143"/>
      <c r="F1260" s="131"/>
    </row>
    <row r="1261" spans="1:6">
      <c r="A1261" s="79" t="s">
        <v>70</v>
      </c>
      <c r="B1261" s="80" t="s">
        <v>635</v>
      </c>
      <c r="C1261" s="81" t="s">
        <v>149</v>
      </c>
      <c r="D1261" s="82" t="s">
        <v>44</v>
      </c>
      <c r="E1261" s="143">
        <v>26.99</v>
      </c>
      <c r="F1261" s="131">
        <f>C1261*E1261</f>
        <v>53.98</v>
      </c>
    </row>
    <row r="1262" spans="1:6">
      <c r="A1262" s="102"/>
      <c r="B1262" s="114"/>
      <c r="C1262" s="103"/>
      <c r="D1262" s="104"/>
      <c r="E1262" s="143"/>
      <c r="F1262" s="131"/>
    </row>
    <row r="1263" spans="1:6">
      <c r="A1263" s="79" t="s">
        <v>199</v>
      </c>
      <c r="B1263" s="80" t="s">
        <v>636</v>
      </c>
      <c r="C1263" s="81" t="s">
        <v>31</v>
      </c>
      <c r="D1263" s="82" t="s">
        <v>44</v>
      </c>
      <c r="E1263" s="143">
        <v>26.99</v>
      </c>
      <c r="F1263" s="131">
        <f>C1263*E1263</f>
        <v>26.99</v>
      </c>
    </row>
    <row r="1264" spans="1:6">
      <c r="A1264" s="102"/>
      <c r="B1264" s="114"/>
      <c r="C1264" s="103"/>
      <c r="D1264" s="104"/>
      <c r="E1264" s="143"/>
      <c r="F1264" s="131"/>
    </row>
    <row r="1265" spans="1:6">
      <c r="A1265" s="79" t="s">
        <v>226</v>
      </c>
      <c r="B1265" s="80" t="s">
        <v>637</v>
      </c>
      <c r="C1265" s="81" t="s">
        <v>149</v>
      </c>
      <c r="D1265" s="82" t="s">
        <v>44</v>
      </c>
      <c r="E1265" s="143">
        <v>26.99</v>
      </c>
      <c r="F1265" s="131">
        <f>C1265*E1265</f>
        <v>53.98</v>
      </c>
    </row>
    <row r="1266" spans="1:6">
      <c r="A1266" s="102"/>
      <c r="B1266" s="114"/>
      <c r="C1266" s="103"/>
      <c r="D1266" s="104"/>
      <c r="E1266" s="143"/>
      <c r="F1266" s="131"/>
    </row>
    <row r="1267" spans="1:6">
      <c r="A1267" s="79" t="s">
        <v>228</v>
      </c>
      <c r="B1267" s="80" t="s">
        <v>638</v>
      </c>
      <c r="C1267" s="81" t="s">
        <v>31</v>
      </c>
      <c r="D1267" s="82" t="s">
        <v>44</v>
      </c>
      <c r="E1267" s="143">
        <v>26.99</v>
      </c>
      <c r="F1267" s="131">
        <f>C1267*E1267</f>
        <v>26.99</v>
      </c>
    </row>
    <row r="1268" spans="1:6">
      <c r="A1268" s="102"/>
      <c r="B1268" s="114"/>
      <c r="C1268" s="103"/>
      <c r="D1268" s="104"/>
      <c r="E1268" s="143"/>
      <c r="F1268" s="131"/>
    </row>
    <row r="1269" spans="1:6">
      <c r="A1269" s="79" t="s">
        <v>231</v>
      </c>
      <c r="B1269" s="80" t="s">
        <v>639</v>
      </c>
      <c r="C1269" s="81" t="s">
        <v>31</v>
      </c>
      <c r="D1269" s="82" t="s">
        <v>44</v>
      </c>
      <c r="E1269" s="143">
        <v>26.99</v>
      </c>
      <c r="F1269" s="131">
        <f>C1269*E1269</f>
        <v>26.99</v>
      </c>
    </row>
    <row r="1270" spans="1:6">
      <c r="A1270" s="102"/>
      <c r="B1270" s="114"/>
      <c r="C1270" s="103"/>
      <c r="D1270" s="104"/>
      <c r="E1270" s="143"/>
      <c r="F1270" s="131"/>
    </row>
    <row r="1271" spans="1:6">
      <c r="A1271" s="79" t="s">
        <v>283</v>
      </c>
      <c r="B1271" s="80" t="s">
        <v>640</v>
      </c>
      <c r="C1271" s="81" t="s">
        <v>149</v>
      </c>
      <c r="D1271" s="82" t="s">
        <v>44</v>
      </c>
      <c r="E1271" s="143">
        <v>26.99</v>
      </c>
      <c r="F1271" s="131">
        <f>C1271*E1271</f>
        <v>53.98</v>
      </c>
    </row>
    <row r="1272" spans="1:6">
      <c r="A1272" s="102"/>
      <c r="B1272" s="114"/>
      <c r="C1272" s="103"/>
      <c r="D1272" s="104"/>
      <c r="E1272" s="143"/>
      <c r="F1272" s="131"/>
    </row>
    <row r="1273" spans="1:6">
      <c r="A1273" s="79" t="s">
        <v>286</v>
      </c>
      <c r="B1273" s="80" t="s">
        <v>641</v>
      </c>
      <c r="C1273" s="81" t="s">
        <v>80</v>
      </c>
      <c r="D1273" s="82" t="s">
        <v>44</v>
      </c>
      <c r="E1273" s="143">
        <v>26.99</v>
      </c>
      <c r="F1273" s="131">
        <f>C1273*E1273</f>
        <v>215.92</v>
      </c>
    </row>
    <row r="1274" spans="1:6">
      <c r="A1274" s="102"/>
      <c r="B1274" s="114"/>
      <c r="C1274" s="103"/>
      <c r="D1274" s="104"/>
      <c r="E1274" s="143"/>
      <c r="F1274" s="131"/>
    </row>
    <row r="1275" spans="1:6">
      <c r="A1275" s="79" t="s">
        <v>430</v>
      </c>
      <c r="B1275" s="80" t="s">
        <v>642</v>
      </c>
      <c r="C1275" s="81" t="s">
        <v>31</v>
      </c>
      <c r="D1275" s="82" t="s">
        <v>44</v>
      </c>
      <c r="E1275" s="143">
        <v>26.99</v>
      </c>
      <c r="F1275" s="131">
        <f>C1275*E1275</f>
        <v>26.99</v>
      </c>
    </row>
    <row r="1276" spans="1:6">
      <c r="A1276" s="102"/>
      <c r="B1276" s="114"/>
      <c r="C1276" s="103"/>
      <c r="D1276" s="104"/>
      <c r="E1276" s="143"/>
      <c r="F1276" s="131"/>
    </row>
    <row r="1277" spans="1:6">
      <c r="A1277" s="79" t="s">
        <v>432</v>
      </c>
      <c r="B1277" s="80" t="s">
        <v>643</v>
      </c>
      <c r="C1277" s="81" t="s">
        <v>31</v>
      </c>
      <c r="D1277" s="82" t="s">
        <v>44</v>
      </c>
      <c r="E1277" s="143">
        <v>26.99</v>
      </c>
      <c r="F1277" s="131">
        <f>C1277*E1277</f>
        <v>26.99</v>
      </c>
    </row>
    <row r="1278" spans="1:6">
      <c r="A1278" s="102"/>
      <c r="B1278" s="114"/>
      <c r="C1278" s="103"/>
      <c r="D1278" s="104"/>
      <c r="E1278" s="143"/>
      <c r="F1278" s="131"/>
    </row>
    <row r="1279" spans="1:6">
      <c r="A1279" s="79" t="s">
        <v>479</v>
      </c>
      <c r="B1279" s="80" t="s">
        <v>644</v>
      </c>
      <c r="C1279" s="81" t="s">
        <v>357</v>
      </c>
      <c r="D1279" s="82" t="s">
        <v>44</v>
      </c>
      <c r="E1279" s="143">
        <v>26.99</v>
      </c>
      <c r="F1279" s="131">
        <f>C1279*E1279</f>
        <v>404.84999999999997</v>
      </c>
    </row>
    <row r="1280" spans="1:6">
      <c r="A1280" s="102"/>
      <c r="B1280" s="114"/>
      <c r="C1280" s="103"/>
      <c r="D1280" s="104"/>
      <c r="E1280" s="143"/>
      <c r="F1280" s="131"/>
    </row>
    <row r="1281" spans="1:6">
      <c r="A1281" s="102"/>
      <c r="B1281" s="114"/>
      <c r="C1281" s="103"/>
      <c r="D1281" s="104"/>
      <c r="E1281" s="143"/>
      <c r="F1281" s="131"/>
    </row>
    <row r="1282" spans="1:6">
      <c r="A1282" s="102"/>
      <c r="B1282" s="114"/>
      <c r="C1282" s="103"/>
      <c r="D1282" s="104"/>
      <c r="E1282" s="143"/>
      <c r="F1282" s="131"/>
    </row>
    <row r="1283" spans="1:6">
      <c r="A1283" s="85"/>
      <c r="B1283" s="86"/>
      <c r="C1283" s="87"/>
      <c r="D1283" s="88"/>
      <c r="E1283" s="145"/>
      <c r="F1283" s="133"/>
    </row>
    <row r="1284" spans="1:6">
      <c r="A1284" s="89"/>
      <c r="B1284" s="90"/>
      <c r="C1284" s="91" t="s">
        <v>35</v>
      </c>
      <c r="D1284" s="91"/>
      <c r="E1284" s="146" t="s">
        <v>8</v>
      </c>
      <c r="F1284" s="134">
        <f>SUM(F1237:F1280)</f>
        <v>1538.3799999999999</v>
      </c>
    </row>
    <row r="1285" spans="1:6">
      <c r="A1285" s="89"/>
      <c r="B1285" s="90"/>
      <c r="C1285" s="92"/>
      <c r="D1285" s="93"/>
      <c r="E1285" s="147"/>
      <c r="F1285" s="135"/>
    </row>
    <row r="1286" spans="1:6">
      <c r="A1286" s="102"/>
      <c r="B1286" s="114"/>
      <c r="C1286" s="103"/>
      <c r="D1286" s="104"/>
      <c r="E1286" s="143"/>
      <c r="F1286" s="131"/>
    </row>
    <row r="1287" spans="1:6" ht="27.6">
      <c r="A1287" s="102"/>
      <c r="B1287" s="77" t="s">
        <v>175</v>
      </c>
      <c r="C1287" s="103"/>
      <c r="D1287" s="104"/>
      <c r="E1287" s="143"/>
      <c r="F1287" s="131"/>
    </row>
    <row r="1288" spans="1:6">
      <c r="A1288" s="102"/>
      <c r="B1288" s="114"/>
      <c r="C1288" s="103"/>
      <c r="D1288" s="104"/>
      <c r="E1288" s="143"/>
      <c r="F1288" s="131"/>
    </row>
    <row r="1289" spans="1:6">
      <c r="A1289" s="79" t="s">
        <v>16</v>
      </c>
      <c r="B1289" s="80" t="s">
        <v>645</v>
      </c>
      <c r="C1289" s="81" t="s">
        <v>31</v>
      </c>
      <c r="D1289" s="82" t="s">
        <v>44</v>
      </c>
      <c r="E1289" s="143">
        <v>32.380000000000003</v>
      </c>
      <c r="F1289" s="131">
        <f>C1289*E1289</f>
        <v>32.380000000000003</v>
      </c>
    </row>
    <row r="1290" spans="1:6">
      <c r="A1290" s="102"/>
      <c r="B1290" s="114"/>
      <c r="C1290" s="103"/>
      <c r="D1290" s="104"/>
      <c r="E1290" s="143"/>
      <c r="F1290" s="131"/>
    </row>
    <row r="1291" spans="1:6">
      <c r="A1291" s="79" t="s">
        <v>19</v>
      </c>
      <c r="B1291" s="80" t="s">
        <v>646</v>
      </c>
      <c r="C1291" s="81" t="s">
        <v>647</v>
      </c>
      <c r="D1291" s="82" t="s">
        <v>44</v>
      </c>
      <c r="E1291" s="143">
        <v>21.59</v>
      </c>
      <c r="F1291" s="131">
        <f>C1291*E1291</f>
        <v>19905.98</v>
      </c>
    </row>
    <row r="1292" spans="1:6">
      <c r="A1292" s="102"/>
      <c r="B1292" s="114"/>
      <c r="C1292" s="103"/>
      <c r="D1292" s="104"/>
      <c r="E1292" s="143"/>
      <c r="F1292" s="131"/>
    </row>
    <row r="1293" spans="1:6">
      <c r="A1293" s="79" t="s">
        <v>22</v>
      </c>
      <c r="B1293" s="80" t="s">
        <v>648</v>
      </c>
      <c r="C1293" s="81" t="s">
        <v>649</v>
      </c>
      <c r="D1293" s="82" t="s">
        <v>44</v>
      </c>
      <c r="E1293" s="143">
        <v>32.380000000000003</v>
      </c>
      <c r="F1293" s="131">
        <f>C1293*E1293</f>
        <v>12142.500000000002</v>
      </c>
    </row>
    <row r="1294" spans="1:6">
      <c r="A1294" s="102"/>
      <c r="B1294" s="114"/>
      <c r="C1294" s="103"/>
      <c r="D1294" s="104"/>
      <c r="E1294" s="143"/>
      <c r="F1294" s="131"/>
    </row>
    <row r="1295" spans="1:6">
      <c r="A1295" s="79" t="s">
        <v>26</v>
      </c>
      <c r="B1295" s="80" t="s">
        <v>650</v>
      </c>
      <c r="C1295" s="81" t="s">
        <v>31</v>
      </c>
      <c r="D1295" s="82" t="s">
        <v>44</v>
      </c>
      <c r="E1295" s="143">
        <v>32.380000000000003</v>
      </c>
      <c r="F1295" s="131">
        <f>C1295*E1295</f>
        <v>32.380000000000003</v>
      </c>
    </row>
    <row r="1296" spans="1:6">
      <c r="A1296" s="102"/>
      <c r="B1296" s="114"/>
      <c r="C1296" s="103"/>
      <c r="D1296" s="104"/>
      <c r="E1296" s="143"/>
      <c r="F1296" s="131"/>
    </row>
    <row r="1297" spans="1:6">
      <c r="A1297" s="79" t="s">
        <v>29</v>
      </c>
      <c r="B1297" s="80" t="s">
        <v>651</v>
      </c>
      <c r="C1297" s="81" t="s">
        <v>31</v>
      </c>
      <c r="D1297" s="82" t="s">
        <v>44</v>
      </c>
      <c r="E1297" s="143">
        <v>32.380000000000003</v>
      </c>
      <c r="F1297" s="131">
        <f>C1297*E1297</f>
        <v>32.380000000000003</v>
      </c>
    </row>
    <row r="1298" spans="1:6">
      <c r="A1298" s="102"/>
      <c r="B1298" s="114"/>
      <c r="C1298" s="103"/>
      <c r="D1298" s="104"/>
      <c r="E1298" s="143"/>
      <c r="F1298" s="131"/>
    </row>
    <row r="1299" spans="1:6">
      <c r="A1299" s="79" t="s">
        <v>33</v>
      </c>
      <c r="B1299" s="80" t="s">
        <v>652</v>
      </c>
      <c r="C1299" s="81" t="s">
        <v>149</v>
      </c>
      <c r="D1299" s="82" t="s">
        <v>44</v>
      </c>
      <c r="E1299" s="143">
        <v>32.380000000000003</v>
      </c>
      <c r="F1299" s="131">
        <f>C1299*E1299</f>
        <v>64.760000000000005</v>
      </c>
    </row>
    <row r="1300" spans="1:6">
      <c r="A1300" s="102"/>
      <c r="B1300" s="114"/>
      <c r="C1300" s="103"/>
      <c r="D1300" s="104"/>
      <c r="E1300" s="143"/>
      <c r="F1300" s="131"/>
    </row>
    <row r="1301" spans="1:6">
      <c r="A1301" s="79" t="s">
        <v>45</v>
      </c>
      <c r="B1301" s="80" t="s">
        <v>653</v>
      </c>
      <c r="C1301" s="81" t="s">
        <v>149</v>
      </c>
      <c r="D1301" s="82" t="s">
        <v>44</v>
      </c>
      <c r="E1301" s="143">
        <v>32.380000000000003</v>
      </c>
      <c r="F1301" s="131">
        <f>C1301*E1301</f>
        <v>64.760000000000005</v>
      </c>
    </row>
    <row r="1302" spans="1:6">
      <c r="A1302" s="102"/>
      <c r="B1302" s="114"/>
      <c r="C1302" s="103"/>
      <c r="D1302" s="104"/>
      <c r="E1302" s="143"/>
      <c r="F1302" s="131"/>
    </row>
    <row r="1303" spans="1:6">
      <c r="A1303" s="79" t="s">
        <v>49</v>
      </c>
      <c r="B1303" s="80" t="s">
        <v>654</v>
      </c>
      <c r="C1303" s="81" t="s">
        <v>31</v>
      </c>
      <c r="D1303" s="82" t="s">
        <v>44</v>
      </c>
      <c r="E1303" s="143">
        <v>32.380000000000003</v>
      </c>
      <c r="F1303" s="131">
        <f>C1303*E1303</f>
        <v>32.380000000000003</v>
      </c>
    </row>
    <row r="1304" spans="1:6">
      <c r="A1304" s="102"/>
      <c r="B1304" s="114"/>
      <c r="C1304" s="103"/>
      <c r="D1304" s="104"/>
      <c r="E1304" s="143"/>
      <c r="F1304" s="131"/>
    </row>
    <row r="1305" spans="1:6">
      <c r="A1305" s="79" t="s">
        <v>61</v>
      </c>
      <c r="B1305" s="80" t="s">
        <v>655</v>
      </c>
      <c r="C1305" s="81" t="s">
        <v>149</v>
      </c>
      <c r="D1305" s="82" t="s">
        <v>44</v>
      </c>
      <c r="E1305" s="143">
        <v>32.380000000000003</v>
      </c>
      <c r="F1305" s="131">
        <f>C1305*E1305</f>
        <v>64.760000000000005</v>
      </c>
    </row>
    <row r="1306" spans="1:6">
      <c r="A1306" s="102"/>
      <c r="B1306" s="114"/>
      <c r="C1306" s="103"/>
      <c r="D1306" s="104"/>
      <c r="E1306" s="143"/>
      <c r="F1306" s="131"/>
    </row>
    <row r="1307" spans="1:6">
      <c r="A1307" s="79" t="s">
        <v>63</v>
      </c>
      <c r="B1307" s="80" t="s">
        <v>656</v>
      </c>
      <c r="C1307" s="81" t="s">
        <v>31</v>
      </c>
      <c r="D1307" s="82" t="s">
        <v>44</v>
      </c>
      <c r="E1307" s="143">
        <v>37.79</v>
      </c>
      <c r="F1307" s="131">
        <f>C1307*E1307</f>
        <v>37.79</v>
      </c>
    </row>
    <row r="1308" spans="1:6">
      <c r="A1308" s="102"/>
      <c r="B1308" s="114"/>
      <c r="C1308" s="103"/>
      <c r="D1308" s="104"/>
      <c r="E1308" s="143"/>
      <c r="F1308" s="131"/>
    </row>
    <row r="1309" spans="1:6">
      <c r="A1309" s="79" t="s">
        <v>66</v>
      </c>
      <c r="B1309" s="80" t="s">
        <v>657</v>
      </c>
      <c r="C1309" s="81" t="s">
        <v>31</v>
      </c>
      <c r="D1309" s="82" t="s">
        <v>44</v>
      </c>
      <c r="E1309" s="143">
        <v>37.79</v>
      </c>
      <c r="F1309" s="131">
        <f>C1309*E1309</f>
        <v>37.79</v>
      </c>
    </row>
    <row r="1310" spans="1:6">
      <c r="A1310" s="102"/>
      <c r="B1310" s="114"/>
      <c r="C1310" s="103"/>
      <c r="D1310" s="104"/>
      <c r="E1310" s="143"/>
      <c r="F1310" s="131"/>
    </row>
    <row r="1311" spans="1:6">
      <c r="A1311" s="79" t="s">
        <v>70</v>
      </c>
      <c r="B1311" s="80" t="s">
        <v>658</v>
      </c>
      <c r="C1311" s="81" t="s">
        <v>149</v>
      </c>
      <c r="D1311" s="82" t="s">
        <v>44</v>
      </c>
      <c r="E1311" s="143">
        <v>37.79</v>
      </c>
      <c r="F1311" s="131">
        <f>C1311*E1311</f>
        <v>75.58</v>
      </c>
    </row>
    <row r="1312" spans="1:6">
      <c r="A1312" s="102"/>
      <c r="B1312" s="114"/>
      <c r="C1312" s="103"/>
      <c r="D1312" s="104"/>
      <c r="E1312" s="143"/>
      <c r="F1312" s="131"/>
    </row>
    <row r="1313" spans="1:6">
      <c r="A1313" s="79" t="s">
        <v>199</v>
      </c>
      <c r="B1313" s="80" t="s">
        <v>659</v>
      </c>
      <c r="C1313" s="81" t="s">
        <v>31</v>
      </c>
      <c r="D1313" s="82" t="s">
        <v>44</v>
      </c>
      <c r="E1313" s="143">
        <v>43.18</v>
      </c>
      <c r="F1313" s="131">
        <f>C1313*E1313</f>
        <v>43.18</v>
      </c>
    </row>
    <row r="1314" spans="1:6">
      <c r="A1314" s="102"/>
      <c r="B1314" s="114"/>
      <c r="C1314" s="103"/>
      <c r="D1314" s="104"/>
      <c r="E1314" s="143"/>
      <c r="F1314" s="131"/>
    </row>
    <row r="1315" spans="1:6">
      <c r="A1315" s="79" t="s">
        <v>226</v>
      </c>
      <c r="B1315" s="80" t="s">
        <v>660</v>
      </c>
      <c r="C1315" s="81" t="s">
        <v>31</v>
      </c>
      <c r="D1315" s="82" t="s">
        <v>44</v>
      </c>
      <c r="E1315" s="143">
        <v>43.18</v>
      </c>
      <c r="F1315" s="131">
        <f>C1315*E1315</f>
        <v>43.18</v>
      </c>
    </row>
    <row r="1316" spans="1:6">
      <c r="A1316" s="102"/>
      <c r="B1316" s="114"/>
      <c r="C1316" s="103"/>
      <c r="D1316" s="104"/>
      <c r="E1316" s="143"/>
      <c r="F1316" s="131"/>
    </row>
    <row r="1317" spans="1:6">
      <c r="A1317" s="79" t="s">
        <v>228</v>
      </c>
      <c r="B1317" s="80" t="s">
        <v>661</v>
      </c>
      <c r="C1317" s="81" t="s">
        <v>31</v>
      </c>
      <c r="D1317" s="82" t="s">
        <v>44</v>
      </c>
      <c r="E1317" s="143">
        <v>43.18</v>
      </c>
      <c r="F1317" s="131">
        <f>C1317*E1317</f>
        <v>43.18</v>
      </c>
    </row>
    <row r="1318" spans="1:6">
      <c r="A1318" s="102"/>
      <c r="B1318" s="114"/>
      <c r="C1318" s="103"/>
      <c r="D1318" s="104"/>
      <c r="E1318" s="143"/>
      <c r="F1318" s="131"/>
    </row>
    <row r="1319" spans="1:6">
      <c r="A1319" s="79" t="s">
        <v>231</v>
      </c>
      <c r="B1319" s="80" t="s">
        <v>662</v>
      </c>
      <c r="C1319" s="81" t="s">
        <v>31</v>
      </c>
      <c r="D1319" s="82" t="s">
        <v>44</v>
      </c>
      <c r="E1319" s="143">
        <v>53.97</v>
      </c>
      <c r="F1319" s="131">
        <f>C1319*E1319</f>
        <v>53.97</v>
      </c>
    </row>
    <row r="1320" spans="1:6">
      <c r="A1320" s="102"/>
      <c r="B1320" s="114"/>
      <c r="C1320" s="103"/>
      <c r="D1320" s="104"/>
      <c r="E1320" s="143"/>
      <c r="F1320" s="131"/>
    </row>
    <row r="1321" spans="1:6">
      <c r="A1321" s="79" t="s">
        <v>283</v>
      </c>
      <c r="B1321" s="80" t="s">
        <v>663</v>
      </c>
      <c r="C1321" s="81" t="s">
        <v>31</v>
      </c>
      <c r="D1321" s="82" t="s">
        <v>44</v>
      </c>
      <c r="E1321" s="143">
        <v>53.97</v>
      </c>
      <c r="F1321" s="131">
        <f>C1321*E1321</f>
        <v>53.97</v>
      </c>
    </row>
    <row r="1322" spans="1:6">
      <c r="A1322" s="102"/>
      <c r="B1322" s="114"/>
      <c r="C1322" s="103"/>
      <c r="D1322" s="104"/>
      <c r="E1322" s="143"/>
      <c r="F1322" s="131"/>
    </row>
    <row r="1323" spans="1:6">
      <c r="A1323" s="79" t="s">
        <v>286</v>
      </c>
      <c r="B1323" s="80" t="s">
        <v>664</v>
      </c>
      <c r="C1323" s="81" t="s">
        <v>31</v>
      </c>
      <c r="D1323" s="82" t="s">
        <v>44</v>
      </c>
      <c r="E1323" s="143">
        <v>53.97</v>
      </c>
      <c r="F1323" s="131">
        <f>C1323*E1323</f>
        <v>53.97</v>
      </c>
    </row>
    <row r="1324" spans="1:6">
      <c r="A1324" s="102"/>
      <c r="B1324" s="114"/>
      <c r="C1324" s="103"/>
      <c r="D1324" s="104"/>
      <c r="E1324" s="143"/>
      <c r="F1324" s="131"/>
    </row>
    <row r="1325" spans="1:6">
      <c r="A1325" s="79" t="s">
        <v>430</v>
      </c>
      <c r="B1325" s="80" t="s">
        <v>662</v>
      </c>
      <c r="C1325" s="81" t="s">
        <v>31</v>
      </c>
      <c r="D1325" s="82" t="s">
        <v>44</v>
      </c>
      <c r="E1325" s="143">
        <v>53.97</v>
      </c>
      <c r="F1325" s="131">
        <f>C1325*E1325</f>
        <v>53.97</v>
      </c>
    </row>
    <row r="1326" spans="1:6">
      <c r="A1326" s="102"/>
      <c r="B1326" s="114"/>
      <c r="C1326" s="103"/>
      <c r="D1326" s="104"/>
      <c r="E1326" s="143"/>
      <c r="F1326" s="131"/>
    </row>
    <row r="1327" spans="1:6">
      <c r="A1327" s="79" t="s">
        <v>432</v>
      </c>
      <c r="B1327" s="80" t="s">
        <v>665</v>
      </c>
      <c r="C1327" s="81" t="s">
        <v>31</v>
      </c>
      <c r="D1327" s="82" t="s">
        <v>44</v>
      </c>
      <c r="E1327" s="143">
        <v>94.46</v>
      </c>
      <c r="F1327" s="131">
        <f>C1327*E1327</f>
        <v>94.46</v>
      </c>
    </row>
    <row r="1328" spans="1:6">
      <c r="A1328" s="102"/>
      <c r="B1328" s="114"/>
      <c r="C1328" s="103"/>
      <c r="D1328" s="104"/>
      <c r="E1328" s="143"/>
      <c r="F1328" s="131"/>
    </row>
    <row r="1329" spans="1:6">
      <c r="A1329" s="79" t="s">
        <v>479</v>
      </c>
      <c r="B1329" s="80" t="s">
        <v>666</v>
      </c>
      <c r="C1329" s="81" t="s">
        <v>31</v>
      </c>
      <c r="D1329" s="82" t="s">
        <v>44</v>
      </c>
      <c r="E1329" s="143">
        <v>94.46</v>
      </c>
      <c r="F1329" s="131">
        <f>C1329*E1329</f>
        <v>94.46</v>
      </c>
    </row>
    <row r="1330" spans="1:6">
      <c r="A1330" s="102"/>
      <c r="B1330" s="114"/>
      <c r="C1330" s="103"/>
      <c r="D1330" s="104"/>
      <c r="E1330" s="143"/>
      <c r="F1330" s="131"/>
    </row>
    <row r="1331" spans="1:6">
      <c r="A1331" s="102"/>
      <c r="B1331" s="114"/>
      <c r="C1331" s="103"/>
      <c r="D1331" s="104"/>
      <c r="E1331" s="143"/>
      <c r="F1331" s="131"/>
    </row>
    <row r="1332" spans="1:6">
      <c r="A1332" s="102"/>
      <c r="B1332" s="114"/>
      <c r="C1332" s="103"/>
      <c r="D1332" s="104"/>
      <c r="E1332" s="143"/>
      <c r="F1332" s="131"/>
    </row>
    <row r="1333" spans="1:6">
      <c r="A1333" s="85"/>
      <c r="B1333" s="86"/>
      <c r="C1333" s="87"/>
      <c r="D1333" s="88"/>
      <c r="E1333" s="145"/>
      <c r="F1333" s="133"/>
    </row>
    <row r="1334" spans="1:6">
      <c r="A1334" s="89"/>
      <c r="B1334" s="90"/>
      <c r="C1334" s="91" t="s">
        <v>35</v>
      </c>
      <c r="D1334" s="91"/>
      <c r="E1334" s="146" t="s">
        <v>8</v>
      </c>
      <c r="F1334" s="134">
        <f>SUM(F1287:F1331)</f>
        <v>33057.780000000006</v>
      </c>
    </row>
    <row r="1335" spans="1:6">
      <c r="A1335" s="89"/>
      <c r="B1335" s="90"/>
      <c r="C1335" s="92"/>
      <c r="D1335" s="93"/>
      <c r="E1335" s="147"/>
      <c r="F1335" s="135"/>
    </row>
    <row r="1336" spans="1:6">
      <c r="A1336" s="102"/>
      <c r="B1336" s="114"/>
      <c r="C1336" s="103"/>
      <c r="D1336" s="104"/>
      <c r="E1336" s="143"/>
      <c r="F1336" s="131"/>
    </row>
    <row r="1337" spans="1:6" ht="27.6">
      <c r="A1337" s="102"/>
      <c r="B1337" s="77" t="s">
        <v>175</v>
      </c>
      <c r="C1337" s="103"/>
      <c r="D1337" s="104"/>
      <c r="E1337" s="143"/>
      <c r="F1337" s="131"/>
    </row>
    <row r="1338" spans="1:6">
      <c r="A1338" s="102"/>
      <c r="B1338" s="114"/>
      <c r="C1338" s="103"/>
      <c r="D1338" s="104"/>
      <c r="E1338" s="143"/>
      <c r="F1338" s="131"/>
    </row>
    <row r="1339" spans="1:6">
      <c r="A1339" s="79" t="s">
        <v>16</v>
      </c>
      <c r="B1339" s="80" t="s">
        <v>667</v>
      </c>
      <c r="C1339" s="81" t="s">
        <v>31</v>
      </c>
      <c r="D1339" s="82" t="s">
        <v>44</v>
      </c>
      <c r="E1339" s="143">
        <v>80.97</v>
      </c>
      <c r="F1339" s="131">
        <f>C1339*E1339</f>
        <v>80.97</v>
      </c>
    </row>
    <row r="1340" spans="1:6">
      <c r="A1340" s="102"/>
      <c r="B1340" s="114"/>
      <c r="C1340" s="103"/>
      <c r="D1340" s="104"/>
      <c r="E1340" s="143"/>
      <c r="F1340" s="131"/>
    </row>
    <row r="1341" spans="1:6">
      <c r="A1341" s="79" t="s">
        <v>19</v>
      </c>
      <c r="B1341" s="80" t="s">
        <v>668</v>
      </c>
      <c r="C1341" s="81" t="s">
        <v>31</v>
      </c>
      <c r="D1341" s="82" t="s">
        <v>44</v>
      </c>
      <c r="E1341" s="143">
        <v>202.41</v>
      </c>
      <c r="F1341" s="131">
        <f>C1341*E1341</f>
        <v>202.41</v>
      </c>
    </row>
    <row r="1342" spans="1:6">
      <c r="A1342" s="102"/>
      <c r="B1342" s="114"/>
      <c r="C1342" s="103"/>
      <c r="D1342" s="104"/>
      <c r="E1342" s="143"/>
      <c r="F1342" s="131"/>
    </row>
    <row r="1343" spans="1:6">
      <c r="A1343" s="79" t="s">
        <v>22</v>
      </c>
      <c r="B1343" s="80" t="s">
        <v>669</v>
      </c>
      <c r="C1343" s="81" t="s">
        <v>31</v>
      </c>
      <c r="D1343" s="82" t="s">
        <v>44</v>
      </c>
      <c r="E1343" s="143">
        <v>202.41</v>
      </c>
      <c r="F1343" s="131">
        <f>C1343*E1343</f>
        <v>202.41</v>
      </c>
    </row>
    <row r="1344" spans="1:6">
      <c r="A1344" s="102"/>
      <c r="B1344" s="114"/>
      <c r="C1344" s="103"/>
      <c r="D1344" s="104"/>
      <c r="E1344" s="143"/>
      <c r="F1344" s="131"/>
    </row>
    <row r="1345" spans="1:6">
      <c r="A1345" s="79" t="s">
        <v>26</v>
      </c>
      <c r="B1345" s="80" t="s">
        <v>670</v>
      </c>
      <c r="C1345" s="81" t="s">
        <v>31</v>
      </c>
      <c r="D1345" s="82" t="s">
        <v>44</v>
      </c>
      <c r="E1345" s="143">
        <v>229.39</v>
      </c>
      <c r="F1345" s="131">
        <f>C1345*E1345</f>
        <v>229.39</v>
      </c>
    </row>
    <row r="1346" spans="1:6">
      <c r="A1346" s="102"/>
      <c r="B1346" s="114"/>
      <c r="C1346" s="103"/>
      <c r="D1346" s="104"/>
      <c r="E1346" s="143"/>
      <c r="F1346" s="131"/>
    </row>
    <row r="1347" spans="1:6">
      <c r="A1347" s="79" t="s">
        <v>29</v>
      </c>
      <c r="B1347" s="80" t="s">
        <v>671</v>
      </c>
      <c r="C1347" s="81" t="s">
        <v>523</v>
      </c>
      <c r="D1347" s="82" t="s">
        <v>44</v>
      </c>
      <c r="E1347" s="143">
        <v>134.94</v>
      </c>
      <c r="F1347" s="131">
        <f>C1347*E1347</f>
        <v>1619.28</v>
      </c>
    </row>
    <row r="1348" spans="1:6">
      <c r="A1348" s="102"/>
      <c r="B1348" s="114"/>
      <c r="C1348" s="103"/>
      <c r="D1348" s="104"/>
      <c r="E1348" s="143"/>
      <c r="F1348" s="131"/>
    </row>
    <row r="1349" spans="1:6">
      <c r="A1349" s="79" t="s">
        <v>33</v>
      </c>
      <c r="B1349" s="80" t="s">
        <v>672</v>
      </c>
      <c r="C1349" s="81" t="s">
        <v>280</v>
      </c>
      <c r="D1349" s="82" t="s">
        <v>44</v>
      </c>
      <c r="E1349" s="143">
        <v>188.92</v>
      </c>
      <c r="F1349" s="131">
        <f>C1349*E1349</f>
        <v>1133.52</v>
      </c>
    </row>
    <row r="1350" spans="1:6">
      <c r="A1350" s="102"/>
      <c r="B1350" s="114"/>
      <c r="C1350" s="103"/>
      <c r="D1350" s="104"/>
      <c r="E1350" s="143"/>
      <c r="F1350" s="131"/>
    </row>
    <row r="1351" spans="1:6">
      <c r="A1351" s="79" t="s">
        <v>45</v>
      </c>
      <c r="B1351" s="80" t="s">
        <v>673</v>
      </c>
      <c r="C1351" s="81" t="s">
        <v>31</v>
      </c>
      <c r="D1351" s="82" t="s">
        <v>44</v>
      </c>
      <c r="E1351" s="143">
        <v>269.87</v>
      </c>
      <c r="F1351" s="131">
        <f>C1351*E1351</f>
        <v>269.87</v>
      </c>
    </row>
    <row r="1352" spans="1:6">
      <c r="A1352" s="102"/>
      <c r="B1352" s="114"/>
      <c r="C1352" s="103"/>
      <c r="D1352" s="104"/>
      <c r="E1352" s="143"/>
      <c r="F1352" s="131"/>
    </row>
    <row r="1353" spans="1:6">
      <c r="A1353" s="79" t="s">
        <v>49</v>
      </c>
      <c r="B1353" s="80" t="s">
        <v>674</v>
      </c>
      <c r="C1353" s="81" t="s">
        <v>31</v>
      </c>
      <c r="D1353" s="82" t="s">
        <v>44</v>
      </c>
      <c r="E1353" s="143">
        <v>404.82</v>
      </c>
      <c r="F1353" s="131">
        <f>C1353*E1353</f>
        <v>404.82</v>
      </c>
    </row>
    <row r="1354" spans="1:6">
      <c r="A1354" s="102"/>
      <c r="B1354" s="114"/>
      <c r="C1354" s="103"/>
      <c r="D1354" s="104"/>
      <c r="E1354" s="143"/>
      <c r="F1354" s="131"/>
    </row>
    <row r="1355" spans="1:6">
      <c r="A1355" s="79" t="s">
        <v>61</v>
      </c>
      <c r="B1355" s="80" t="s">
        <v>675</v>
      </c>
      <c r="C1355" s="81" t="s">
        <v>149</v>
      </c>
      <c r="D1355" s="82" t="s">
        <v>44</v>
      </c>
      <c r="E1355" s="143">
        <v>404.82</v>
      </c>
      <c r="F1355" s="131">
        <f>C1355*E1355</f>
        <v>809.64</v>
      </c>
    </row>
    <row r="1356" spans="1:6">
      <c r="A1356" s="102"/>
      <c r="B1356" s="114"/>
      <c r="C1356" s="103"/>
      <c r="D1356" s="104"/>
      <c r="E1356" s="143"/>
      <c r="F1356" s="131"/>
    </row>
    <row r="1357" spans="1:6">
      <c r="A1357" s="79" t="s">
        <v>63</v>
      </c>
      <c r="B1357" s="80" t="s">
        <v>676</v>
      </c>
      <c r="C1357" s="81" t="s">
        <v>149</v>
      </c>
      <c r="D1357" s="82" t="s">
        <v>44</v>
      </c>
      <c r="E1357" s="143">
        <v>134.94</v>
      </c>
      <c r="F1357" s="131">
        <f>C1357*E1357</f>
        <v>269.88</v>
      </c>
    </row>
    <row r="1358" spans="1:6">
      <c r="A1358" s="102"/>
      <c r="B1358" s="114"/>
      <c r="C1358" s="103"/>
      <c r="D1358" s="104"/>
      <c r="E1358" s="143"/>
      <c r="F1358" s="131"/>
    </row>
    <row r="1359" spans="1:6">
      <c r="A1359" s="79" t="s">
        <v>66</v>
      </c>
      <c r="B1359" s="80" t="s">
        <v>677</v>
      </c>
      <c r="C1359" s="81" t="s">
        <v>54</v>
      </c>
      <c r="D1359" s="82" t="s">
        <v>44</v>
      </c>
      <c r="E1359" s="143">
        <v>215.9</v>
      </c>
      <c r="F1359" s="131">
        <f>C1359*E1359</f>
        <v>647.70000000000005</v>
      </c>
    </row>
    <row r="1360" spans="1:6">
      <c r="A1360" s="102"/>
      <c r="B1360" s="114"/>
      <c r="C1360" s="103"/>
      <c r="D1360" s="104"/>
      <c r="E1360" s="143"/>
      <c r="F1360" s="131"/>
    </row>
    <row r="1361" spans="1:6" ht="82.9">
      <c r="A1361" s="79"/>
      <c r="B1361" s="117" t="s">
        <v>678</v>
      </c>
      <c r="C1361" s="81"/>
      <c r="D1361" s="82"/>
      <c r="E1361" s="143"/>
      <c r="F1361" s="131"/>
    </row>
    <row r="1362" spans="1:6">
      <c r="A1362" s="102"/>
      <c r="B1362" s="114"/>
      <c r="C1362" s="103"/>
      <c r="D1362" s="104"/>
      <c r="E1362" s="143"/>
      <c r="F1362" s="131"/>
    </row>
    <row r="1363" spans="1:6">
      <c r="A1363" s="79" t="s">
        <v>70</v>
      </c>
      <c r="B1363" s="80" t="s">
        <v>679</v>
      </c>
      <c r="C1363" s="81" t="s">
        <v>143</v>
      </c>
      <c r="D1363" s="82" t="s">
        <v>44</v>
      </c>
      <c r="E1363" s="143">
        <v>32.380000000000003</v>
      </c>
      <c r="F1363" s="131">
        <f>C1363*E1363</f>
        <v>550.46</v>
      </c>
    </row>
    <row r="1364" spans="1:6">
      <c r="A1364" s="102"/>
      <c r="B1364" s="114"/>
      <c r="C1364" s="103"/>
      <c r="D1364" s="104"/>
      <c r="E1364" s="143"/>
      <c r="F1364" s="131"/>
    </row>
    <row r="1365" spans="1:6">
      <c r="A1365" s="79" t="s">
        <v>199</v>
      </c>
      <c r="B1365" s="80" t="s">
        <v>680</v>
      </c>
      <c r="C1365" s="81" t="s">
        <v>80</v>
      </c>
      <c r="D1365" s="82" t="s">
        <v>44</v>
      </c>
      <c r="E1365" s="143">
        <v>32.380000000000003</v>
      </c>
      <c r="F1365" s="131">
        <f>C1365*E1365</f>
        <v>259.04000000000002</v>
      </c>
    </row>
    <row r="1366" spans="1:6">
      <c r="A1366" s="102"/>
      <c r="B1366" s="114"/>
      <c r="C1366" s="103"/>
      <c r="D1366" s="104"/>
      <c r="E1366" s="143"/>
      <c r="F1366" s="131"/>
    </row>
    <row r="1367" spans="1:6">
      <c r="A1367" s="79" t="s">
        <v>226</v>
      </c>
      <c r="B1367" s="80" t="s">
        <v>681</v>
      </c>
      <c r="C1367" s="81" t="s">
        <v>682</v>
      </c>
      <c r="D1367" s="82" t="s">
        <v>44</v>
      </c>
      <c r="E1367" s="143">
        <v>32.380000000000003</v>
      </c>
      <c r="F1367" s="131">
        <f>C1367*E1367</f>
        <v>1457.1000000000001</v>
      </c>
    </row>
    <row r="1368" spans="1:6">
      <c r="A1368" s="102"/>
      <c r="B1368" s="114"/>
      <c r="C1368" s="103"/>
      <c r="D1368" s="104"/>
      <c r="E1368" s="143"/>
      <c r="F1368" s="131"/>
    </row>
    <row r="1369" spans="1:6">
      <c r="A1369" s="79" t="s">
        <v>228</v>
      </c>
      <c r="B1369" s="80" t="s">
        <v>683</v>
      </c>
      <c r="C1369" s="81" t="s">
        <v>280</v>
      </c>
      <c r="D1369" s="82" t="s">
        <v>44</v>
      </c>
      <c r="E1369" s="143">
        <v>32.380000000000003</v>
      </c>
      <c r="F1369" s="131">
        <f>C1369*E1369</f>
        <v>194.28000000000003</v>
      </c>
    </row>
    <row r="1370" spans="1:6">
      <c r="A1370" s="102"/>
      <c r="B1370" s="114"/>
      <c r="C1370" s="103"/>
      <c r="D1370" s="104"/>
      <c r="E1370" s="143"/>
      <c r="F1370" s="131"/>
    </row>
    <row r="1371" spans="1:6">
      <c r="A1371" s="79" t="s">
        <v>231</v>
      </c>
      <c r="B1371" s="80" t="s">
        <v>684</v>
      </c>
      <c r="C1371" s="81" t="s">
        <v>544</v>
      </c>
      <c r="D1371" s="82" t="s">
        <v>44</v>
      </c>
      <c r="E1371" s="143">
        <v>32.380000000000003</v>
      </c>
      <c r="F1371" s="131">
        <f>C1371*E1371</f>
        <v>1586.6200000000001</v>
      </c>
    </row>
    <row r="1372" spans="1:6">
      <c r="A1372" s="102"/>
      <c r="B1372" s="114"/>
      <c r="C1372" s="103"/>
      <c r="D1372" s="104"/>
      <c r="E1372" s="143"/>
      <c r="F1372" s="131"/>
    </row>
    <row r="1373" spans="1:6">
      <c r="A1373" s="79" t="s">
        <v>283</v>
      </c>
      <c r="B1373" s="80" t="s">
        <v>685</v>
      </c>
      <c r="C1373" s="81" t="s">
        <v>80</v>
      </c>
      <c r="D1373" s="82" t="s">
        <v>44</v>
      </c>
      <c r="E1373" s="143">
        <v>32.380000000000003</v>
      </c>
      <c r="F1373" s="131">
        <f>C1373*E1373</f>
        <v>259.04000000000002</v>
      </c>
    </row>
    <row r="1374" spans="1:6">
      <c r="A1374" s="102"/>
      <c r="B1374" s="114"/>
      <c r="C1374" s="103"/>
      <c r="D1374" s="104"/>
      <c r="E1374" s="143"/>
      <c r="F1374" s="131"/>
    </row>
    <row r="1375" spans="1:6">
      <c r="A1375" s="79" t="s">
        <v>286</v>
      </c>
      <c r="B1375" s="80" t="s">
        <v>686</v>
      </c>
      <c r="C1375" s="81" t="s">
        <v>149</v>
      </c>
      <c r="D1375" s="82" t="s">
        <v>44</v>
      </c>
      <c r="E1375" s="143">
        <v>32.380000000000003</v>
      </c>
      <c r="F1375" s="131">
        <f>C1375*E1375</f>
        <v>64.760000000000005</v>
      </c>
    </row>
    <row r="1376" spans="1:6">
      <c r="A1376" s="102"/>
      <c r="B1376" s="114"/>
      <c r="C1376" s="103"/>
      <c r="D1376" s="104"/>
      <c r="E1376" s="143"/>
      <c r="F1376" s="131"/>
    </row>
    <row r="1377" spans="1:6">
      <c r="A1377" s="102"/>
      <c r="B1377" s="114"/>
      <c r="C1377" s="103"/>
      <c r="D1377" s="104"/>
      <c r="E1377" s="143"/>
      <c r="F1377" s="131"/>
    </row>
    <row r="1378" spans="1:6">
      <c r="A1378" s="85"/>
      <c r="B1378" s="86"/>
      <c r="C1378" s="87"/>
      <c r="D1378" s="88"/>
      <c r="E1378" s="145"/>
      <c r="F1378" s="133"/>
    </row>
    <row r="1379" spans="1:6">
      <c r="A1379" s="89"/>
      <c r="B1379" s="90"/>
      <c r="C1379" s="91" t="s">
        <v>35</v>
      </c>
      <c r="D1379" s="91"/>
      <c r="E1379" s="146" t="s">
        <v>8</v>
      </c>
      <c r="F1379" s="134">
        <f>SUM(F1337:F1376)</f>
        <v>10241.190000000002</v>
      </c>
    </row>
    <row r="1380" spans="1:6">
      <c r="A1380" s="89"/>
      <c r="B1380" s="90"/>
      <c r="C1380" s="92"/>
      <c r="D1380" s="93"/>
      <c r="E1380" s="147"/>
      <c r="F1380" s="135"/>
    </row>
    <row r="1381" spans="1:6">
      <c r="A1381" s="102"/>
      <c r="B1381" s="114"/>
      <c r="C1381" s="103"/>
      <c r="D1381" s="104"/>
      <c r="E1381" s="143"/>
      <c r="F1381" s="131"/>
    </row>
    <row r="1382" spans="1:6" ht="27.6">
      <c r="A1382" s="102"/>
      <c r="B1382" s="77" t="s">
        <v>175</v>
      </c>
      <c r="C1382" s="103"/>
      <c r="D1382" s="104"/>
      <c r="E1382" s="143"/>
      <c r="F1382" s="131"/>
    </row>
    <row r="1383" spans="1:6">
      <c r="A1383" s="102"/>
      <c r="B1383" s="114"/>
      <c r="C1383" s="103"/>
      <c r="D1383" s="104"/>
      <c r="E1383" s="143"/>
      <c r="F1383" s="131"/>
    </row>
    <row r="1384" spans="1:6">
      <c r="A1384" s="79" t="s">
        <v>16</v>
      </c>
      <c r="B1384" s="80" t="s">
        <v>687</v>
      </c>
      <c r="C1384" s="81" t="s">
        <v>688</v>
      </c>
      <c r="D1384" s="82" t="s">
        <v>44</v>
      </c>
      <c r="E1384" s="143">
        <v>32.380000000000003</v>
      </c>
      <c r="F1384" s="131">
        <f>C1384*E1384</f>
        <v>2266.6000000000004</v>
      </c>
    </row>
    <row r="1385" spans="1:6">
      <c r="A1385" s="102"/>
      <c r="B1385" s="114"/>
      <c r="C1385" s="103"/>
      <c r="D1385" s="104"/>
      <c r="E1385" s="143"/>
      <c r="F1385" s="131"/>
    </row>
    <row r="1386" spans="1:6">
      <c r="A1386" s="79" t="s">
        <v>19</v>
      </c>
      <c r="B1386" s="80" t="s">
        <v>689</v>
      </c>
      <c r="C1386" s="81" t="s">
        <v>289</v>
      </c>
      <c r="D1386" s="82" t="s">
        <v>44</v>
      </c>
      <c r="E1386" s="143">
        <v>32.380000000000003</v>
      </c>
      <c r="F1386" s="131">
        <f>C1386*E1386</f>
        <v>226.66000000000003</v>
      </c>
    </row>
    <row r="1387" spans="1:6">
      <c r="A1387" s="102"/>
      <c r="B1387" s="114"/>
      <c r="C1387" s="103"/>
      <c r="D1387" s="104"/>
      <c r="E1387" s="143"/>
      <c r="F1387" s="131"/>
    </row>
    <row r="1388" spans="1:6">
      <c r="A1388" s="79" t="s">
        <v>22</v>
      </c>
      <c r="B1388" s="80" t="s">
        <v>690</v>
      </c>
      <c r="C1388" s="81" t="s">
        <v>289</v>
      </c>
      <c r="D1388" s="82" t="s">
        <v>44</v>
      </c>
      <c r="E1388" s="143">
        <v>32.380000000000003</v>
      </c>
      <c r="F1388" s="131">
        <f>C1388*E1388</f>
        <v>226.66000000000003</v>
      </c>
    </row>
    <row r="1389" spans="1:6">
      <c r="A1389" s="102"/>
      <c r="B1389" s="114"/>
      <c r="C1389" s="103"/>
      <c r="D1389" s="104"/>
      <c r="E1389" s="143"/>
      <c r="F1389" s="131"/>
    </row>
    <row r="1390" spans="1:6">
      <c r="A1390" s="79" t="s">
        <v>26</v>
      </c>
      <c r="B1390" s="80" t="s">
        <v>691</v>
      </c>
      <c r="C1390" s="81" t="s">
        <v>692</v>
      </c>
      <c r="D1390" s="82" t="s">
        <v>44</v>
      </c>
      <c r="E1390" s="143">
        <v>48.58</v>
      </c>
      <c r="F1390" s="131">
        <f>C1390*E1390</f>
        <v>2817.64</v>
      </c>
    </row>
    <row r="1391" spans="1:6">
      <c r="A1391" s="102"/>
      <c r="B1391" s="114"/>
      <c r="C1391" s="103"/>
      <c r="D1391" s="104"/>
      <c r="E1391" s="143"/>
      <c r="F1391" s="131"/>
    </row>
    <row r="1392" spans="1:6">
      <c r="A1392" s="79" t="s">
        <v>29</v>
      </c>
      <c r="B1392" s="80" t="s">
        <v>693</v>
      </c>
      <c r="C1392" s="81" t="s">
        <v>407</v>
      </c>
      <c r="D1392" s="82" t="s">
        <v>44</v>
      </c>
      <c r="E1392" s="143">
        <v>40.479999999999997</v>
      </c>
      <c r="F1392" s="131">
        <f>C1392*E1392</f>
        <v>2469.2799999999997</v>
      </c>
    </row>
    <row r="1393" spans="1:6">
      <c r="A1393" s="102"/>
      <c r="B1393" s="114"/>
      <c r="C1393" s="103"/>
      <c r="D1393" s="104"/>
      <c r="E1393" s="143"/>
      <c r="F1393" s="131"/>
    </row>
    <row r="1394" spans="1:6">
      <c r="A1394" s="79" t="s">
        <v>33</v>
      </c>
      <c r="B1394" s="80" t="s">
        <v>694</v>
      </c>
      <c r="C1394" s="81" t="s">
        <v>237</v>
      </c>
      <c r="D1394" s="82" t="s">
        <v>44</v>
      </c>
      <c r="E1394" s="143">
        <v>40.479999999999997</v>
      </c>
      <c r="F1394" s="131">
        <f>C1394*E1394</f>
        <v>2712.16</v>
      </c>
    </row>
    <row r="1395" spans="1:6">
      <c r="A1395" s="102"/>
      <c r="B1395" s="114"/>
      <c r="C1395" s="103"/>
      <c r="D1395" s="104"/>
      <c r="E1395" s="143"/>
      <c r="F1395" s="131"/>
    </row>
    <row r="1396" spans="1:6">
      <c r="A1396" s="79" t="s">
        <v>45</v>
      </c>
      <c r="B1396" s="80" t="s">
        <v>695</v>
      </c>
      <c r="C1396" s="81" t="s">
        <v>611</v>
      </c>
      <c r="D1396" s="82" t="s">
        <v>44</v>
      </c>
      <c r="E1396" s="143">
        <v>43.18</v>
      </c>
      <c r="F1396" s="131">
        <f>C1396*E1396</f>
        <v>3799.84</v>
      </c>
    </row>
    <row r="1397" spans="1:6">
      <c r="A1397" s="102"/>
      <c r="B1397" s="114"/>
      <c r="C1397" s="103"/>
      <c r="D1397" s="104"/>
      <c r="E1397" s="143"/>
      <c r="F1397" s="131"/>
    </row>
    <row r="1398" spans="1:6">
      <c r="A1398" s="79" t="s">
        <v>49</v>
      </c>
      <c r="B1398" s="80" t="s">
        <v>696</v>
      </c>
      <c r="C1398" s="81" t="s">
        <v>80</v>
      </c>
      <c r="D1398" s="82" t="s">
        <v>44</v>
      </c>
      <c r="E1398" s="143">
        <v>43.18</v>
      </c>
      <c r="F1398" s="131">
        <f>C1398*E1398</f>
        <v>345.44</v>
      </c>
    </row>
    <row r="1399" spans="1:6">
      <c r="A1399" s="102"/>
      <c r="B1399" s="114"/>
      <c r="C1399" s="103"/>
      <c r="D1399" s="104"/>
      <c r="E1399" s="143"/>
      <c r="F1399" s="131"/>
    </row>
    <row r="1400" spans="1:6">
      <c r="A1400" s="79" t="s">
        <v>61</v>
      </c>
      <c r="B1400" s="80" t="s">
        <v>697</v>
      </c>
      <c r="C1400" s="81" t="s">
        <v>698</v>
      </c>
      <c r="D1400" s="82" t="s">
        <v>44</v>
      </c>
      <c r="E1400" s="143">
        <v>40.479999999999997</v>
      </c>
      <c r="F1400" s="131">
        <f>C1400*E1400</f>
        <v>10767.679999999998</v>
      </c>
    </row>
    <row r="1401" spans="1:6">
      <c r="A1401" s="102"/>
      <c r="B1401" s="114"/>
      <c r="C1401" s="103"/>
      <c r="D1401" s="104"/>
      <c r="E1401" s="143"/>
      <c r="F1401" s="131"/>
    </row>
    <row r="1402" spans="1:6">
      <c r="A1402" s="79" t="s">
        <v>63</v>
      </c>
      <c r="B1402" s="80" t="s">
        <v>699</v>
      </c>
      <c r="C1402" s="81" t="s">
        <v>700</v>
      </c>
      <c r="D1402" s="82" t="s">
        <v>44</v>
      </c>
      <c r="E1402" s="143">
        <v>48.58</v>
      </c>
      <c r="F1402" s="131">
        <f>C1402*E1402</f>
        <v>13310.92</v>
      </c>
    </row>
    <row r="1403" spans="1:6">
      <c r="A1403" s="102"/>
      <c r="B1403" s="114"/>
      <c r="C1403" s="103"/>
      <c r="D1403" s="104"/>
      <c r="E1403" s="143"/>
      <c r="F1403" s="131"/>
    </row>
    <row r="1404" spans="1:6">
      <c r="A1404" s="79" t="s">
        <v>66</v>
      </c>
      <c r="B1404" s="80" t="s">
        <v>701</v>
      </c>
      <c r="C1404" s="81" t="s">
        <v>124</v>
      </c>
      <c r="D1404" s="82" t="s">
        <v>44</v>
      </c>
      <c r="E1404" s="143">
        <v>40.479999999999997</v>
      </c>
      <c r="F1404" s="131">
        <f>C1404*E1404</f>
        <v>2064.48</v>
      </c>
    </row>
    <row r="1405" spans="1:6">
      <c r="A1405" s="102"/>
      <c r="B1405" s="114"/>
      <c r="C1405" s="103"/>
      <c r="D1405" s="104"/>
      <c r="E1405" s="143"/>
      <c r="F1405" s="131"/>
    </row>
    <row r="1406" spans="1:6">
      <c r="A1406" s="79" t="s">
        <v>70</v>
      </c>
      <c r="B1406" s="80" t="s">
        <v>702</v>
      </c>
      <c r="C1406" s="81" t="s">
        <v>222</v>
      </c>
      <c r="D1406" s="82" t="s">
        <v>44</v>
      </c>
      <c r="E1406" s="143">
        <v>60.72</v>
      </c>
      <c r="F1406" s="131">
        <f>C1406*E1406</f>
        <v>5039.76</v>
      </c>
    </row>
    <row r="1407" spans="1:6">
      <c r="A1407" s="102"/>
      <c r="B1407" s="114"/>
      <c r="C1407" s="103"/>
      <c r="D1407" s="104"/>
      <c r="E1407" s="143"/>
      <c r="F1407" s="131"/>
    </row>
    <row r="1408" spans="1:6">
      <c r="A1408" s="79" t="s">
        <v>199</v>
      </c>
      <c r="B1408" s="80" t="s">
        <v>703</v>
      </c>
      <c r="C1408" s="81" t="s">
        <v>533</v>
      </c>
      <c r="D1408" s="82" t="s">
        <v>44</v>
      </c>
      <c r="E1408" s="143">
        <v>40.479999999999997</v>
      </c>
      <c r="F1408" s="131">
        <f>C1408*E1408</f>
        <v>890.56</v>
      </c>
    </row>
    <row r="1409" spans="1:6">
      <c r="A1409" s="102"/>
      <c r="B1409" s="114"/>
      <c r="C1409" s="103"/>
      <c r="D1409" s="104"/>
      <c r="E1409" s="143"/>
      <c r="F1409" s="131"/>
    </row>
    <row r="1410" spans="1:6">
      <c r="A1410" s="79" t="s">
        <v>226</v>
      </c>
      <c r="B1410" s="80" t="s">
        <v>704</v>
      </c>
      <c r="C1410" s="81" t="s">
        <v>705</v>
      </c>
      <c r="D1410" s="82" t="s">
        <v>44</v>
      </c>
      <c r="E1410" s="143">
        <v>60.72</v>
      </c>
      <c r="F1410" s="131">
        <f>C1410*E1410</f>
        <v>5646.96</v>
      </c>
    </row>
    <row r="1411" spans="1:6">
      <c r="A1411" s="102"/>
      <c r="B1411" s="114"/>
      <c r="C1411" s="103"/>
      <c r="D1411" s="104"/>
      <c r="E1411" s="143"/>
      <c r="F1411" s="131"/>
    </row>
    <row r="1412" spans="1:6" ht="27.6">
      <c r="A1412" s="79" t="s">
        <v>228</v>
      </c>
      <c r="B1412" s="80" t="s">
        <v>706</v>
      </c>
      <c r="C1412" s="81" t="s">
        <v>198</v>
      </c>
      <c r="D1412" s="82" t="s">
        <v>44</v>
      </c>
      <c r="E1412" s="143">
        <v>48.58</v>
      </c>
      <c r="F1412" s="131">
        <f>C1412*E1412</f>
        <v>3109.12</v>
      </c>
    </row>
    <row r="1413" spans="1:6">
      <c r="A1413" s="102"/>
      <c r="B1413" s="114"/>
      <c r="C1413" s="103"/>
      <c r="D1413" s="104"/>
      <c r="E1413" s="143"/>
      <c r="F1413" s="131"/>
    </row>
    <row r="1414" spans="1:6" ht="27.6">
      <c r="A1414" s="79" t="s">
        <v>231</v>
      </c>
      <c r="B1414" s="80" t="s">
        <v>707</v>
      </c>
      <c r="C1414" s="81" t="s">
        <v>482</v>
      </c>
      <c r="D1414" s="82" t="s">
        <v>44</v>
      </c>
      <c r="E1414" s="143">
        <v>72.87</v>
      </c>
      <c r="F1414" s="131">
        <f>C1414*E1414</f>
        <v>2331.84</v>
      </c>
    </row>
    <row r="1415" spans="1:6">
      <c r="A1415" s="102"/>
      <c r="B1415" s="114"/>
      <c r="C1415" s="103"/>
      <c r="D1415" s="104"/>
      <c r="E1415" s="143"/>
      <c r="F1415" s="131"/>
    </row>
    <row r="1416" spans="1:6" ht="27.6">
      <c r="A1416" s="79" t="s">
        <v>283</v>
      </c>
      <c r="B1416" s="80" t="s">
        <v>708</v>
      </c>
      <c r="C1416" s="81" t="s">
        <v>269</v>
      </c>
      <c r="D1416" s="82" t="s">
        <v>44</v>
      </c>
      <c r="E1416" s="143">
        <v>72.87</v>
      </c>
      <c r="F1416" s="131">
        <f>C1416*E1416</f>
        <v>3060.54</v>
      </c>
    </row>
    <row r="1417" spans="1:6">
      <c r="A1417" s="102"/>
      <c r="B1417" s="114"/>
      <c r="C1417" s="103"/>
      <c r="D1417" s="104"/>
      <c r="E1417" s="143"/>
      <c r="F1417" s="131"/>
    </row>
    <row r="1418" spans="1:6" ht="27.6">
      <c r="A1418" s="79" t="s">
        <v>286</v>
      </c>
      <c r="B1418" s="80" t="s">
        <v>709</v>
      </c>
      <c r="C1418" s="81" t="s">
        <v>523</v>
      </c>
      <c r="D1418" s="82" t="s">
        <v>44</v>
      </c>
      <c r="E1418" s="143">
        <v>72.87</v>
      </c>
      <c r="F1418" s="131">
        <f>C1418*E1418</f>
        <v>874.44</v>
      </c>
    </row>
    <row r="1419" spans="1:6">
      <c r="A1419" s="102"/>
      <c r="B1419" s="114"/>
      <c r="C1419" s="103"/>
      <c r="D1419" s="104"/>
      <c r="E1419" s="143"/>
      <c r="F1419" s="131"/>
    </row>
    <row r="1420" spans="1:6" ht="27.6">
      <c r="A1420" s="79" t="s">
        <v>430</v>
      </c>
      <c r="B1420" s="80" t="s">
        <v>710</v>
      </c>
      <c r="C1420" s="81" t="s">
        <v>705</v>
      </c>
      <c r="D1420" s="82" t="s">
        <v>44</v>
      </c>
      <c r="E1420" s="143">
        <v>72.87</v>
      </c>
      <c r="F1420" s="131">
        <f>C1420*E1420</f>
        <v>6776.9100000000008</v>
      </c>
    </row>
    <row r="1421" spans="1:6">
      <c r="A1421" s="102"/>
      <c r="B1421" s="114"/>
      <c r="C1421" s="103"/>
      <c r="D1421" s="104"/>
      <c r="E1421" s="143"/>
      <c r="F1421" s="131"/>
    </row>
    <row r="1422" spans="1:6">
      <c r="A1422" s="102"/>
      <c r="B1422" s="114"/>
      <c r="C1422" s="103"/>
      <c r="D1422" s="104"/>
      <c r="E1422" s="143"/>
      <c r="F1422" s="131"/>
    </row>
    <row r="1423" spans="1:6">
      <c r="A1423" s="85"/>
      <c r="B1423" s="86"/>
      <c r="C1423" s="87"/>
      <c r="D1423" s="88"/>
      <c r="E1423" s="145"/>
      <c r="F1423" s="133"/>
    </row>
    <row r="1424" spans="1:6">
      <c r="A1424" s="89"/>
      <c r="B1424" s="90"/>
      <c r="C1424" s="91" t="s">
        <v>35</v>
      </c>
      <c r="D1424" s="91"/>
      <c r="E1424" s="146" t="s">
        <v>8</v>
      </c>
      <c r="F1424" s="134">
        <f>SUM(F1383:F1421)</f>
        <v>68737.490000000005</v>
      </c>
    </row>
    <row r="1425" spans="1:6">
      <c r="A1425" s="89"/>
      <c r="B1425" s="90"/>
      <c r="C1425" s="92"/>
      <c r="D1425" s="93"/>
      <c r="E1425" s="147"/>
      <c r="F1425" s="135"/>
    </row>
    <row r="1426" spans="1:6">
      <c r="A1426" s="102"/>
      <c r="B1426" s="114"/>
      <c r="C1426" s="103"/>
      <c r="D1426" s="104"/>
      <c r="E1426" s="143"/>
      <c r="F1426" s="131"/>
    </row>
    <row r="1427" spans="1:6" ht="27.6">
      <c r="A1427" s="102"/>
      <c r="B1427" s="77" t="s">
        <v>175</v>
      </c>
      <c r="C1427" s="103"/>
      <c r="D1427" s="104"/>
      <c r="E1427" s="143"/>
      <c r="F1427" s="131"/>
    </row>
    <row r="1428" spans="1:6">
      <c r="A1428" s="102"/>
      <c r="B1428" s="114"/>
      <c r="C1428" s="103"/>
      <c r="D1428" s="104"/>
      <c r="E1428" s="143"/>
      <c r="F1428" s="131"/>
    </row>
    <row r="1429" spans="1:6">
      <c r="A1429" s="79" t="s">
        <v>16</v>
      </c>
      <c r="B1429" s="80" t="s">
        <v>711</v>
      </c>
      <c r="C1429" s="81" t="s">
        <v>31</v>
      </c>
      <c r="D1429" s="82" t="s">
        <v>44</v>
      </c>
      <c r="E1429" s="143">
        <v>40.479999999999997</v>
      </c>
      <c r="F1429" s="131">
        <f>C1429*E1429</f>
        <v>40.479999999999997</v>
      </c>
    </row>
    <row r="1430" spans="1:6">
      <c r="A1430" s="102"/>
      <c r="B1430" s="114"/>
      <c r="C1430" s="103"/>
      <c r="D1430" s="104"/>
      <c r="E1430" s="143"/>
      <c r="F1430" s="131"/>
    </row>
    <row r="1431" spans="1:6">
      <c r="A1431" s="79" t="s">
        <v>19</v>
      </c>
      <c r="B1431" s="80" t="s">
        <v>712</v>
      </c>
      <c r="C1431" s="81" t="s">
        <v>31</v>
      </c>
      <c r="D1431" s="82" t="s">
        <v>44</v>
      </c>
      <c r="E1431" s="143">
        <v>40.479999999999997</v>
      </c>
      <c r="F1431" s="131">
        <f>C1431*E1431</f>
        <v>40.479999999999997</v>
      </c>
    </row>
    <row r="1432" spans="1:6">
      <c r="A1432" s="102"/>
      <c r="B1432" s="114"/>
      <c r="C1432" s="103"/>
      <c r="D1432" s="104"/>
      <c r="E1432" s="143"/>
      <c r="F1432" s="131"/>
    </row>
    <row r="1433" spans="1:6" ht="82.9">
      <c r="A1433" s="79"/>
      <c r="B1433" s="117" t="s">
        <v>713</v>
      </c>
      <c r="C1433" s="81"/>
      <c r="D1433" s="82"/>
      <c r="E1433" s="143"/>
      <c r="F1433" s="131"/>
    </row>
    <row r="1434" spans="1:6">
      <c r="A1434" s="102"/>
      <c r="B1434" s="114"/>
      <c r="C1434" s="103"/>
      <c r="D1434" s="104"/>
      <c r="E1434" s="143"/>
      <c r="F1434" s="131"/>
    </row>
    <row r="1435" spans="1:6">
      <c r="A1435" s="79"/>
      <c r="B1435" s="117" t="s">
        <v>714</v>
      </c>
      <c r="C1435" s="81"/>
      <c r="D1435" s="82"/>
      <c r="E1435" s="143"/>
      <c r="F1435" s="131"/>
    </row>
    <row r="1436" spans="1:6">
      <c r="A1436" s="102"/>
      <c r="B1436" s="114"/>
      <c r="C1436" s="103"/>
      <c r="D1436" s="104"/>
      <c r="E1436" s="143"/>
      <c r="F1436" s="131"/>
    </row>
    <row r="1437" spans="1:6">
      <c r="A1437" s="79" t="s">
        <v>22</v>
      </c>
      <c r="B1437" s="80" t="s">
        <v>715</v>
      </c>
      <c r="C1437" s="81" t="s">
        <v>54</v>
      </c>
      <c r="D1437" s="82" t="s">
        <v>44</v>
      </c>
      <c r="E1437" s="143">
        <v>809.63</v>
      </c>
      <c r="F1437" s="131">
        <f>C1437*E1437</f>
        <v>2428.89</v>
      </c>
    </row>
    <row r="1438" spans="1:6">
      <c r="A1438" s="102"/>
      <c r="B1438" s="114"/>
      <c r="C1438" s="103"/>
      <c r="D1438" s="104"/>
      <c r="E1438" s="143"/>
      <c r="F1438" s="131"/>
    </row>
    <row r="1439" spans="1:6">
      <c r="A1439" s="79"/>
      <c r="B1439" s="117" t="s">
        <v>716</v>
      </c>
      <c r="C1439" s="81"/>
      <c r="D1439" s="82"/>
      <c r="E1439" s="143"/>
      <c r="F1439" s="131"/>
    </row>
    <row r="1440" spans="1:6">
      <c r="A1440" s="102"/>
      <c r="B1440" s="114"/>
      <c r="C1440" s="103"/>
      <c r="D1440" s="104"/>
      <c r="E1440" s="143"/>
      <c r="F1440" s="131"/>
    </row>
    <row r="1441" spans="1:6">
      <c r="A1441" s="79" t="s">
        <v>26</v>
      </c>
      <c r="B1441" s="80" t="s">
        <v>717</v>
      </c>
      <c r="C1441" s="81" t="s">
        <v>31</v>
      </c>
      <c r="D1441" s="82" t="s">
        <v>44</v>
      </c>
      <c r="E1441" s="143">
        <v>2024.07</v>
      </c>
      <c r="F1441" s="131">
        <f>C1441*E1441</f>
        <v>2024.07</v>
      </c>
    </row>
    <row r="1442" spans="1:6">
      <c r="A1442" s="102"/>
      <c r="B1442" s="114"/>
      <c r="C1442" s="103"/>
      <c r="D1442" s="104"/>
      <c r="E1442" s="143"/>
      <c r="F1442" s="131"/>
    </row>
    <row r="1443" spans="1:6">
      <c r="A1443" s="79" t="s">
        <v>29</v>
      </c>
      <c r="B1443" s="80" t="s">
        <v>718</v>
      </c>
      <c r="C1443" s="81" t="s">
        <v>31</v>
      </c>
      <c r="D1443" s="82" t="s">
        <v>44</v>
      </c>
      <c r="E1443" s="143">
        <v>269.87</v>
      </c>
      <c r="F1443" s="131">
        <f>C1443*E1443</f>
        <v>269.87</v>
      </c>
    </row>
    <row r="1444" spans="1:6">
      <c r="A1444" s="102"/>
      <c r="B1444" s="114"/>
      <c r="C1444" s="103"/>
      <c r="D1444" s="104"/>
      <c r="E1444" s="143"/>
      <c r="F1444" s="131"/>
    </row>
    <row r="1445" spans="1:6">
      <c r="A1445" s="79" t="s">
        <v>33</v>
      </c>
      <c r="B1445" s="80" t="s">
        <v>719</v>
      </c>
      <c r="C1445" s="81" t="s">
        <v>31</v>
      </c>
      <c r="D1445" s="82" t="s">
        <v>44</v>
      </c>
      <c r="E1445" s="143">
        <v>269.87</v>
      </c>
      <c r="F1445" s="131">
        <f>C1445*E1445</f>
        <v>269.87</v>
      </c>
    </row>
    <row r="1446" spans="1:6">
      <c r="A1446" s="102"/>
      <c r="B1446" s="114"/>
      <c r="C1446" s="103"/>
      <c r="D1446" s="104"/>
      <c r="E1446" s="143"/>
      <c r="F1446" s="131"/>
    </row>
    <row r="1447" spans="1:6">
      <c r="A1447" s="79" t="s">
        <v>45</v>
      </c>
      <c r="B1447" s="80" t="s">
        <v>720</v>
      </c>
      <c r="C1447" s="81" t="s">
        <v>54</v>
      </c>
      <c r="D1447" s="82" t="s">
        <v>44</v>
      </c>
      <c r="E1447" s="143">
        <v>269.87</v>
      </c>
      <c r="F1447" s="131">
        <f>C1447*E1447</f>
        <v>809.61</v>
      </c>
    </row>
    <row r="1448" spans="1:6">
      <c r="A1448" s="102"/>
      <c r="B1448" s="114"/>
      <c r="C1448" s="103"/>
      <c r="D1448" s="104"/>
      <c r="E1448" s="143"/>
      <c r="F1448" s="131"/>
    </row>
    <row r="1449" spans="1:6">
      <c r="A1449" s="79" t="s">
        <v>49</v>
      </c>
      <c r="B1449" s="80" t="s">
        <v>721</v>
      </c>
      <c r="C1449" s="81" t="s">
        <v>389</v>
      </c>
      <c r="D1449" s="82" t="s">
        <v>44</v>
      </c>
      <c r="E1449" s="143">
        <v>269.87</v>
      </c>
      <c r="F1449" s="131">
        <f>C1449*E1449</f>
        <v>7826.2300000000005</v>
      </c>
    </row>
    <row r="1450" spans="1:6">
      <c r="A1450" s="102"/>
      <c r="B1450" s="114"/>
      <c r="C1450" s="103"/>
      <c r="D1450" s="104"/>
      <c r="E1450" s="143"/>
      <c r="F1450" s="131"/>
    </row>
    <row r="1451" spans="1:6">
      <c r="A1451" s="79" t="s">
        <v>61</v>
      </c>
      <c r="B1451" s="80" t="s">
        <v>722</v>
      </c>
      <c r="C1451" s="81" t="s">
        <v>127</v>
      </c>
      <c r="D1451" s="82" t="s">
        <v>44</v>
      </c>
      <c r="E1451" s="143">
        <v>269.87</v>
      </c>
      <c r="F1451" s="131">
        <f>C1451*E1451</f>
        <v>1349.35</v>
      </c>
    </row>
    <row r="1452" spans="1:6">
      <c r="A1452" s="102"/>
      <c r="B1452" s="114"/>
      <c r="C1452" s="103"/>
      <c r="D1452" s="104"/>
      <c r="E1452" s="143"/>
      <c r="F1452" s="131"/>
    </row>
    <row r="1453" spans="1:6">
      <c r="A1453" s="79" t="s">
        <v>63</v>
      </c>
      <c r="B1453" s="80" t="s">
        <v>723</v>
      </c>
      <c r="C1453" s="81" t="s">
        <v>280</v>
      </c>
      <c r="D1453" s="82" t="s">
        <v>44</v>
      </c>
      <c r="E1453" s="143">
        <v>269.87</v>
      </c>
      <c r="F1453" s="131">
        <f>C1453*E1453</f>
        <v>1619.22</v>
      </c>
    </row>
    <row r="1454" spans="1:6">
      <c r="A1454" s="102"/>
      <c r="B1454" s="114"/>
      <c r="C1454" s="103"/>
      <c r="D1454" s="104"/>
      <c r="E1454" s="143"/>
      <c r="F1454" s="131"/>
    </row>
    <row r="1455" spans="1:6">
      <c r="A1455" s="79" t="s">
        <v>66</v>
      </c>
      <c r="B1455" s="80" t="s">
        <v>724</v>
      </c>
      <c r="C1455" s="81" t="s">
        <v>149</v>
      </c>
      <c r="D1455" s="82" t="s">
        <v>44</v>
      </c>
      <c r="E1455" s="143">
        <v>269.87</v>
      </c>
      <c r="F1455" s="131">
        <f>C1455*E1455</f>
        <v>539.74</v>
      </c>
    </row>
    <row r="1456" spans="1:6">
      <c r="A1456" s="102"/>
      <c r="B1456" s="114"/>
      <c r="C1456" s="103"/>
      <c r="D1456" s="104"/>
      <c r="E1456" s="143"/>
      <c r="F1456" s="131"/>
    </row>
    <row r="1457" spans="1:6">
      <c r="A1457" s="79" t="s">
        <v>70</v>
      </c>
      <c r="B1457" s="80" t="s">
        <v>725</v>
      </c>
      <c r="C1457" s="81" t="s">
        <v>296</v>
      </c>
      <c r="D1457" s="82" t="s">
        <v>44</v>
      </c>
      <c r="E1457" s="143">
        <v>269.87</v>
      </c>
      <c r="F1457" s="131">
        <f>C1457*E1457</f>
        <v>9445.4500000000007</v>
      </c>
    </row>
    <row r="1458" spans="1:6">
      <c r="A1458" s="102"/>
      <c r="B1458" s="114"/>
      <c r="C1458" s="103"/>
      <c r="D1458" s="104"/>
      <c r="E1458" s="143"/>
      <c r="F1458" s="131"/>
    </row>
    <row r="1459" spans="1:6">
      <c r="A1459" s="79" t="s">
        <v>199</v>
      </c>
      <c r="B1459" s="80" t="s">
        <v>726</v>
      </c>
      <c r="C1459" s="81" t="s">
        <v>453</v>
      </c>
      <c r="D1459" s="82" t="s">
        <v>44</v>
      </c>
      <c r="E1459" s="143">
        <v>269.87</v>
      </c>
      <c r="F1459" s="131">
        <f>C1459*E1459</f>
        <v>5397.4</v>
      </c>
    </row>
    <row r="1460" spans="1:6">
      <c r="A1460" s="102"/>
      <c r="B1460" s="114"/>
      <c r="C1460" s="103"/>
      <c r="D1460" s="104"/>
      <c r="E1460" s="143"/>
      <c r="F1460" s="131"/>
    </row>
    <row r="1461" spans="1:6">
      <c r="A1461" s="79" t="s">
        <v>226</v>
      </c>
      <c r="B1461" s="80" t="s">
        <v>727</v>
      </c>
      <c r="C1461" s="81" t="s">
        <v>149</v>
      </c>
      <c r="D1461" s="82" t="s">
        <v>44</v>
      </c>
      <c r="E1461" s="143">
        <v>269.87</v>
      </c>
      <c r="F1461" s="131">
        <f>C1461*E1461</f>
        <v>539.74</v>
      </c>
    </row>
    <row r="1462" spans="1:6">
      <c r="A1462" s="102"/>
      <c r="B1462" s="114"/>
      <c r="C1462" s="103"/>
      <c r="D1462" s="104"/>
      <c r="E1462" s="143"/>
      <c r="F1462" s="131"/>
    </row>
    <row r="1463" spans="1:6">
      <c r="A1463" s="79" t="s">
        <v>228</v>
      </c>
      <c r="B1463" s="80" t="s">
        <v>728</v>
      </c>
      <c r="C1463" s="81" t="s">
        <v>212</v>
      </c>
      <c r="D1463" s="82" t="s">
        <v>44</v>
      </c>
      <c r="E1463" s="143">
        <v>269.87</v>
      </c>
      <c r="F1463" s="131">
        <f>C1463*E1463</f>
        <v>2428.83</v>
      </c>
    </row>
    <row r="1464" spans="1:6">
      <c r="A1464" s="79"/>
      <c r="B1464" s="115"/>
      <c r="C1464" s="81"/>
      <c r="D1464" s="82"/>
      <c r="E1464" s="143"/>
      <c r="F1464" s="131"/>
    </row>
    <row r="1465" spans="1:6">
      <c r="A1465" s="102"/>
      <c r="B1465" s="114"/>
      <c r="C1465" s="103"/>
      <c r="D1465" s="104"/>
      <c r="E1465" s="143"/>
      <c r="F1465" s="131"/>
    </row>
    <row r="1466" spans="1:6">
      <c r="A1466" s="102"/>
      <c r="B1466" s="114"/>
      <c r="C1466" s="103"/>
      <c r="D1466" s="104"/>
      <c r="E1466" s="143"/>
      <c r="F1466" s="131"/>
    </row>
    <row r="1467" spans="1:6">
      <c r="A1467" s="102"/>
      <c r="B1467" s="114"/>
      <c r="C1467" s="103"/>
      <c r="D1467" s="104"/>
      <c r="E1467" s="143"/>
      <c r="F1467" s="131"/>
    </row>
    <row r="1468" spans="1:6">
      <c r="A1468" s="85"/>
      <c r="B1468" s="86"/>
      <c r="C1468" s="87"/>
      <c r="D1468" s="88"/>
      <c r="E1468" s="145"/>
      <c r="F1468" s="133"/>
    </row>
    <row r="1469" spans="1:6">
      <c r="A1469" s="89"/>
      <c r="B1469" s="90"/>
      <c r="C1469" s="91" t="s">
        <v>35</v>
      </c>
      <c r="D1469" s="91"/>
      <c r="E1469" s="146" t="s">
        <v>8</v>
      </c>
      <c r="F1469" s="134">
        <f>SUM(F1427:F1466)</f>
        <v>35029.230000000003</v>
      </c>
    </row>
    <row r="1470" spans="1:6">
      <c r="A1470" s="89"/>
      <c r="B1470" s="90"/>
      <c r="C1470" s="92"/>
      <c r="D1470" s="93"/>
      <c r="E1470" s="147"/>
      <c r="F1470" s="135"/>
    </row>
    <row r="1471" spans="1:6">
      <c r="A1471" s="102"/>
      <c r="B1471" s="114"/>
      <c r="C1471" s="103"/>
      <c r="D1471" s="104"/>
      <c r="E1471" s="143"/>
      <c r="F1471" s="131"/>
    </row>
    <row r="1472" spans="1:6" ht="27.6">
      <c r="A1472" s="102"/>
      <c r="B1472" s="77" t="s">
        <v>175</v>
      </c>
      <c r="C1472" s="103"/>
      <c r="D1472" s="104"/>
      <c r="E1472" s="143"/>
      <c r="F1472" s="131"/>
    </row>
    <row r="1473" spans="1:6">
      <c r="A1473" s="102"/>
      <c r="B1473" s="114"/>
      <c r="C1473" s="103"/>
      <c r="D1473" s="104"/>
      <c r="E1473" s="143"/>
      <c r="F1473" s="131"/>
    </row>
    <row r="1474" spans="1:6">
      <c r="A1474" s="79" t="s">
        <v>16</v>
      </c>
      <c r="B1474" s="80" t="s">
        <v>729</v>
      </c>
      <c r="C1474" s="81" t="s">
        <v>31</v>
      </c>
      <c r="D1474" s="82" t="s">
        <v>44</v>
      </c>
      <c r="E1474" s="143">
        <v>674.69</v>
      </c>
      <c r="F1474" s="131">
        <f>C1474*E1474</f>
        <v>674.69</v>
      </c>
    </row>
    <row r="1475" spans="1:6">
      <c r="A1475" s="102"/>
      <c r="B1475" s="114"/>
      <c r="C1475" s="103"/>
      <c r="D1475" s="104"/>
      <c r="E1475" s="143"/>
      <c r="F1475" s="131"/>
    </row>
    <row r="1476" spans="1:6">
      <c r="A1476" s="79" t="s">
        <v>19</v>
      </c>
      <c r="B1476" s="80" t="s">
        <v>730</v>
      </c>
      <c r="C1476" s="81" t="s">
        <v>54</v>
      </c>
      <c r="D1476" s="82" t="s">
        <v>44</v>
      </c>
      <c r="E1476" s="143">
        <v>674.69</v>
      </c>
      <c r="F1476" s="131">
        <f>C1476*E1476</f>
        <v>2024.0700000000002</v>
      </c>
    </row>
    <row r="1477" spans="1:6">
      <c r="A1477" s="102"/>
      <c r="B1477" s="114"/>
      <c r="C1477" s="103"/>
      <c r="D1477" s="104"/>
      <c r="E1477" s="143"/>
      <c r="F1477" s="131"/>
    </row>
    <row r="1478" spans="1:6">
      <c r="A1478" s="102"/>
      <c r="B1478" s="114"/>
      <c r="C1478" s="103"/>
      <c r="D1478" s="104"/>
      <c r="E1478" s="143"/>
      <c r="F1478" s="131"/>
    </row>
    <row r="1479" spans="1:6">
      <c r="A1479" s="102"/>
      <c r="B1479" s="114"/>
      <c r="C1479" s="103"/>
      <c r="D1479" s="104"/>
      <c r="E1479" s="143"/>
      <c r="F1479" s="131"/>
    </row>
    <row r="1480" spans="1:6">
      <c r="A1480" s="102"/>
      <c r="B1480" s="114"/>
      <c r="C1480" s="103"/>
      <c r="D1480" s="104"/>
      <c r="E1480" s="143"/>
      <c r="F1480" s="131"/>
    </row>
    <row r="1481" spans="1:6">
      <c r="A1481" s="102"/>
      <c r="B1481" s="114"/>
      <c r="C1481" s="103"/>
      <c r="D1481" s="104"/>
      <c r="E1481" s="143"/>
      <c r="F1481" s="131"/>
    </row>
    <row r="1482" spans="1:6">
      <c r="A1482" s="102"/>
      <c r="B1482" s="114"/>
      <c r="C1482" s="103"/>
      <c r="D1482" s="104"/>
      <c r="E1482" s="143"/>
      <c r="F1482" s="131"/>
    </row>
    <row r="1483" spans="1:6">
      <c r="A1483" s="102"/>
      <c r="B1483" s="114"/>
      <c r="C1483" s="103"/>
      <c r="D1483" s="104"/>
      <c r="E1483" s="143"/>
      <c r="F1483" s="131"/>
    </row>
    <row r="1484" spans="1:6">
      <c r="A1484" s="102"/>
      <c r="B1484" s="114"/>
      <c r="C1484" s="103"/>
      <c r="D1484" s="104"/>
      <c r="E1484" s="143"/>
      <c r="F1484" s="131"/>
    </row>
    <row r="1485" spans="1:6">
      <c r="A1485" s="102"/>
      <c r="B1485" s="114"/>
      <c r="C1485" s="103"/>
      <c r="D1485" s="104"/>
      <c r="E1485" s="143"/>
      <c r="F1485" s="131"/>
    </row>
    <row r="1486" spans="1:6">
      <c r="A1486" s="102"/>
      <c r="B1486" s="114"/>
      <c r="C1486" s="103"/>
      <c r="D1486" s="104"/>
      <c r="E1486" s="143"/>
      <c r="F1486" s="131"/>
    </row>
    <row r="1487" spans="1:6">
      <c r="A1487" s="102"/>
      <c r="B1487" s="114"/>
      <c r="C1487" s="103"/>
      <c r="D1487" s="104"/>
      <c r="E1487" s="143"/>
      <c r="F1487" s="131"/>
    </row>
    <row r="1488" spans="1:6">
      <c r="A1488" s="102"/>
      <c r="B1488" s="114"/>
      <c r="C1488" s="103"/>
      <c r="D1488" s="104"/>
      <c r="E1488" s="143"/>
      <c r="F1488" s="131"/>
    </row>
    <row r="1489" spans="1:6">
      <c r="A1489" s="102"/>
      <c r="B1489" s="114"/>
      <c r="C1489" s="103"/>
      <c r="D1489" s="104"/>
      <c r="E1489" s="143"/>
      <c r="F1489" s="131"/>
    </row>
    <row r="1490" spans="1:6">
      <c r="A1490" s="102"/>
      <c r="B1490" s="114"/>
      <c r="C1490" s="103"/>
      <c r="D1490" s="104"/>
      <c r="E1490" s="143"/>
      <c r="F1490" s="131"/>
    </row>
    <row r="1491" spans="1:6">
      <c r="A1491" s="102"/>
      <c r="B1491" s="114"/>
      <c r="C1491" s="103"/>
      <c r="D1491" s="104"/>
      <c r="E1491" s="143"/>
      <c r="F1491" s="131"/>
    </row>
    <row r="1492" spans="1:6">
      <c r="A1492" s="102"/>
      <c r="B1492" s="114"/>
      <c r="C1492" s="103"/>
      <c r="D1492" s="104"/>
      <c r="E1492" s="143"/>
      <c r="F1492" s="131"/>
    </row>
    <row r="1493" spans="1:6">
      <c r="A1493" s="102"/>
      <c r="B1493" s="114"/>
      <c r="C1493" s="103"/>
      <c r="D1493" s="104"/>
      <c r="E1493" s="143"/>
      <c r="F1493" s="131"/>
    </row>
    <row r="1494" spans="1:6">
      <c r="A1494" s="102"/>
      <c r="B1494" s="114"/>
      <c r="C1494" s="103"/>
      <c r="D1494" s="104"/>
      <c r="E1494" s="143"/>
      <c r="F1494" s="131"/>
    </row>
    <row r="1495" spans="1:6">
      <c r="A1495" s="102"/>
      <c r="B1495" s="114"/>
      <c r="C1495" s="103"/>
      <c r="D1495" s="104"/>
      <c r="E1495" s="143"/>
      <c r="F1495" s="131"/>
    </row>
    <row r="1496" spans="1:6">
      <c r="A1496" s="102"/>
      <c r="B1496" s="114"/>
      <c r="C1496" s="103"/>
      <c r="D1496" s="104"/>
      <c r="E1496" s="143"/>
      <c r="F1496" s="131"/>
    </row>
    <row r="1497" spans="1:6">
      <c r="A1497" s="102"/>
      <c r="B1497" s="114"/>
      <c r="C1497" s="103"/>
      <c r="D1497" s="104"/>
      <c r="E1497" s="143"/>
      <c r="F1497" s="131"/>
    </row>
    <row r="1498" spans="1:6">
      <c r="A1498" s="102"/>
      <c r="B1498" s="114"/>
      <c r="C1498" s="103"/>
      <c r="D1498" s="104"/>
      <c r="E1498" s="143"/>
      <c r="F1498" s="131"/>
    </row>
    <row r="1499" spans="1:6">
      <c r="A1499" s="102"/>
      <c r="B1499" s="114"/>
      <c r="C1499" s="103"/>
      <c r="D1499" s="104"/>
      <c r="E1499" s="143"/>
      <c r="F1499" s="131"/>
    </row>
    <row r="1500" spans="1:6">
      <c r="A1500" s="102"/>
      <c r="B1500" s="114"/>
      <c r="C1500" s="103"/>
      <c r="D1500" s="104"/>
      <c r="E1500" s="143"/>
      <c r="F1500" s="131"/>
    </row>
    <row r="1501" spans="1:6">
      <c r="A1501" s="102"/>
      <c r="B1501" s="114"/>
      <c r="C1501" s="103"/>
      <c r="D1501" s="104"/>
      <c r="E1501" s="143"/>
      <c r="F1501" s="131"/>
    </row>
    <row r="1502" spans="1:6">
      <c r="A1502" s="102"/>
      <c r="B1502" s="114"/>
      <c r="C1502" s="103"/>
      <c r="D1502" s="104"/>
      <c r="E1502" s="143"/>
      <c r="F1502" s="131"/>
    </row>
    <row r="1503" spans="1:6">
      <c r="A1503" s="102"/>
      <c r="B1503" s="114"/>
      <c r="C1503" s="103"/>
      <c r="D1503" s="104"/>
      <c r="E1503" s="143"/>
      <c r="F1503" s="131"/>
    </row>
    <row r="1504" spans="1:6">
      <c r="A1504" s="102"/>
      <c r="B1504" s="114"/>
      <c r="C1504" s="103"/>
      <c r="D1504" s="104"/>
      <c r="E1504" s="143"/>
      <c r="F1504" s="131"/>
    </row>
    <row r="1505" spans="1:6">
      <c r="A1505" s="102"/>
      <c r="B1505" s="114"/>
      <c r="C1505" s="103"/>
      <c r="D1505" s="104"/>
      <c r="E1505" s="143"/>
      <c r="F1505" s="131"/>
    </row>
    <row r="1506" spans="1:6">
      <c r="A1506" s="102"/>
      <c r="B1506" s="114"/>
      <c r="C1506" s="103"/>
      <c r="D1506" s="104"/>
      <c r="E1506" s="143"/>
      <c r="F1506" s="131"/>
    </row>
    <row r="1507" spans="1:6">
      <c r="A1507" s="102"/>
      <c r="B1507" s="114"/>
      <c r="C1507" s="103"/>
      <c r="D1507" s="104"/>
      <c r="E1507" s="143"/>
      <c r="F1507" s="131"/>
    </row>
    <row r="1508" spans="1:6">
      <c r="A1508" s="102"/>
      <c r="B1508" s="114"/>
      <c r="C1508" s="103"/>
      <c r="D1508" s="104"/>
      <c r="E1508" s="143"/>
      <c r="F1508" s="131"/>
    </row>
    <row r="1509" spans="1:6">
      <c r="A1509" s="102"/>
      <c r="B1509" s="114"/>
      <c r="C1509" s="103"/>
      <c r="D1509" s="104"/>
      <c r="E1509" s="143"/>
      <c r="F1509" s="131"/>
    </row>
    <row r="1510" spans="1:6">
      <c r="A1510" s="102"/>
      <c r="B1510" s="114"/>
      <c r="C1510" s="103"/>
      <c r="D1510" s="104"/>
      <c r="E1510" s="143"/>
      <c r="F1510" s="131"/>
    </row>
    <row r="1511" spans="1:6">
      <c r="A1511" s="102"/>
      <c r="B1511" s="114"/>
      <c r="C1511" s="103"/>
      <c r="D1511" s="104"/>
      <c r="E1511" s="143"/>
      <c r="F1511" s="131"/>
    </row>
    <row r="1512" spans="1:6">
      <c r="A1512" s="102"/>
      <c r="B1512" s="114"/>
      <c r="C1512" s="103"/>
      <c r="D1512" s="104"/>
      <c r="E1512" s="143"/>
      <c r="F1512" s="131"/>
    </row>
    <row r="1513" spans="1:6">
      <c r="A1513" s="102"/>
      <c r="B1513" s="114"/>
      <c r="C1513" s="103"/>
      <c r="D1513" s="104"/>
      <c r="E1513" s="143"/>
      <c r="F1513" s="131"/>
    </row>
    <row r="1514" spans="1:6">
      <c r="A1514" s="102"/>
      <c r="B1514" s="114"/>
      <c r="C1514" s="103"/>
      <c r="D1514" s="104"/>
      <c r="E1514" s="143"/>
      <c r="F1514" s="131"/>
    </row>
    <row r="1515" spans="1:6">
      <c r="A1515" s="102"/>
      <c r="B1515" s="114"/>
      <c r="C1515" s="103"/>
      <c r="D1515" s="104"/>
      <c r="E1515" s="143"/>
      <c r="F1515" s="131"/>
    </row>
    <row r="1516" spans="1:6">
      <c r="A1516" s="102"/>
      <c r="B1516" s="114"/>
      <c r="C1516" s="103"/>
      <c r="D1516" s="104"/>
      <c r="E1516" s="143"/>
      <c r="F1516" s="131"/>
    </row>
    <row r="1517" spans="1:6">
      <c r="A1517" s="102"/>
      <c r="B1517" s="114"/>
      <c r="C1517" s="103"/>
      <c r="D1517" s="104"/>
      <c r="E1517" s="143"/>
      <c r="F1517" s="131"/>
    </row>
    <row r="1518" spans="1:6">
      <c r="A1518" s="85"/>
      <c r="B1518" s="86"/>
      <c r="C1518" s="87"/>
      <c r="D1518" s="88"/>
      <c r="E1518" s="145"/>
      <c r="F1518" s="133"/>
    </row>
    <row r="1519" spans="1:6">
      <c r="A1519" s="89"/>
      <c r="B1519" s="90"/>
      <c r="C1519" s="91" t="s">
        <v>35</v>
      </c>
      <c r="D1519" s="91"/>
      <c r="E1519" s="146" t="s">
        <v>8</v>
      </c>
      <c r="F1519" s="134">
        <f>SUM(F1472:F1492)</f>
        <v>2698.76</v>
      </c>
    </row>
    <row r="1520" spans="1:6">
      <c r="A1520" s="89"/>
      <c r="B1520" s="90"/>
      <c r="C1520" s="92"/>
      <c r="D1520" s="93"/>
      <c r="E1520" s="147"/>
      <c r="F1520" s="135"/>
    </row>
    <row r="1521" spans="1:6">
      <c r="A1521" s="102"/>
      <c r="B1521" s="114"/>
      <c r="C1521" s="103"/>
      <c r="D1521" s="104"/>
      <c r="E1521" s="143"/>
      <c r="F1521" s="131"/>
    </row>
    <row r="1522" spans="1:6" ht="27.6">
      <c r="A1522" s="102"/>
      <c r="B1522" s="77" t="s">
        <v>731</v>
      </c>
      <c r="C1522" s="103"/>
      <c r="D1522" s="104"/>
      <c r="E1522" s="143"/>
      <c r="F1522" s="131"/>
    </row>
    <row r="1523" spans="1:6">
      <c r="A1523" s="102"/>
      <c r="B1523" s="114"/>
      <c r="C1523" s="103"/>
      <c r="D1523" s="104"/>
      <c r="E1523" s="143"/>
      <c r="F1523" s="131"/>
    </row>
    <row r="1524" spans="1:6">
      <c r="A1524" s="79"/>
      <c r="B1524" s="115" t="s">
        <v>135</v>
      </c>
      <c r="C1524" s="81"/>
      <c r="D1524" s="82"/>
      <c r="E1524" s="143"/>
      <c r="F1524" s="131"/>
    </row>
    <row r="1525" spans="1:6">
      <c r="A1525" s="102"/>
      <c r="B1525" s="114"/>
      <c r="C1525" s="103"/>
      <c r="D1525" s="104"/>
      <c r="E1525" s="143"/>
      <c r="F1525" s="131"/>
    </row>
    <row r="1526" spans="1:6" ht="110.45">
      <c r="A1526" s="79"/>
      <c r="B1526" s="115" t="s">
        <v>165</v>
      </c>
      <c r="C1526" s="81"/>
      <c r="D1526" s="82"/>
      <c r="E1526" s="143"/>
      <c r="F1526" s="131"/>
    </row>
    <row r="1527" spans="1:6">
      <c r="A1527" s="102"/>
      <c r="B1527" s="114"/>
      <c r="C1527" s="103"/>
      <c r="D1527" s="104"/>
      <c r="E1527" s="143"/>
      <c r="F1527" s="131"/>
    </row>
    <row r="1528" spans="1:6" ht="69">
      <c r="A1528" s="79"/>
      <c r="B1528" s="115" t="s">
        <v>732</v>
      </c>
      <c r="C1528" s="81"/>
      <c r="D1528" s="82"/>
      <c r="E1528" s="143"/>
      <c r="F1528" s="131"/>
    </row>
    <row r="1529" spans="1:6">
      <c r="A1529" s="102"/>
      <c r="B1529" s="114"/>
      <c r="C1529" s="103"/>
      <c r="D1529" s="104"/>
      <c r="E1529" s="143"/>
      <c r="F1529" s="131"/>
    </row>
    <row r="1530" spans="1:6" ht="55.15">
      <c r="A1530" s="79"/>
      <c r="B1530" s="117" t="s">
        <v>733</v>
      </c>
      <c r="C1530" s="81"/>
      <c r="D1530" s="82"/>
      <c r="E1530" s="143"/>
      <c r="F1530" s="131"/>
    </row>
    <row r="1531" spans="1:6">
      <c r="A1531" s="102"/>
      <c r="B1531" s="114"/>
      <c r="C1531" s="103"/>
      <c r="D1531" s="104"/>
      <c r="E1531" s="143"/>
      <c r="F1531" s="131"/>
    </row>
    <row r="1532" spans="1:6">
      <c r="A1532" s="79"/>
      <c r="B1532" s="117" t="s">
        <v>734</v>
      </c>
      <c r="C1532" s="81"/>
      <c r="D1532" s="82"/>
      <c r="E1532" s="143"/>
      <c r="F1532" s="131"/>
    </row>
    <row r="1533" spans="1:6">
      <c r="A1533" s="102"/>
      <c r="B1533" s="114"/>
      <c r="C1533" s="103"/>
      <c r="D1533" s="104"/>
      <c r="E1533" s="143"/>
      <c r="F1533" s="131"/>
    </row>
    <row r="1534" spans="1:6">
      <c r="A1534" s="79"/>
      <c r="B1534" s="117" t="s">
        <v>735</v>
      </c>
      <c r="C1534" s="81"/>
      <c r="D1534" s="82"/>
      <c r="E1534" s="143"/>
      <c r="F1534" s="131"/>
    </row>
    <row r="1535" spans="1:6">
      <c r="A1535" s="102"/>
      <c r="B1535" s="114"/>
      <c r="C1535" s="103"/>
      <c r="D1535" s="104"/>
      <c r="E1535" s="143"/>
      <c r="F1535" s="131"/>
    </row>
    <row r="1536" spans="1:6" ht="27.6">
      <c r="A1536" s="79" t="s">
        <v>16</v>
      </c>
      <c r="B1536" s="80" t="s">
        <v>736</v>
      </c>
      <c r="C1536" s="81" t="s">
        <v>737</v>
      </c>
      <c r="D1536" s="82" t="s">
        <v>103</v>
      </c>
      <c r="E1536" s="143">
        <v>14.79</v>
      </c>
      <c r="F1536" s="131">
        <f>C1536*E1536</f>
        <v>10545.269999999999</v>
      </c>
    </row>
    <row r="1537" spans="1:6">
      <c r="A1537" s="102"/>
      <c r="B1537" s="114"/>
      <c r="C1537" s="103"/>
      <c r="D1537" s="104"/>
      <c r="E1537" s="143"/>
      <c r="F1537" s="131"/>
    </row>
    <row r="1538" spans="1:6" ht="27.6">
      <c r="A1538" s="79" t="s">
        <v>19</v>
      </c>
      <c r="B1538" s="80" t="s">
        <v>738</v>
      </c>
      <c r="C1538" s="81" t="s">
        <v>739</v>
      </c>
      <c r="D1538" s="82" t="s">
        <v>103</v>
      </c>
      <c r="E1538" s="143">
        <v>14.79</v>
      </c>
      <c r="F1538" s="131">
        <f>C1538*E1538</f>
        <v>44769.329999999994</v>
      </c>
    </row>
    <row r="1539" spans="1:6">
      <c r="A1539" s="102"/>
      <c r="B1539" s="114"/>
      <c r="C1539" s="103"/>
      <c r="D1539" s="104"/>
      <c r="E1539" s="143"/>
      <c r="F1539" s="131"/>
    </row>
    <row r="1540" spans="1:6" ht="27.6">
      <c r="A1540" s="79" t="s">
        <v>22</v>
      </c>
      <c r="B1540" s="80" t="s">
        <v>740</v>
      </c>
      <c r="C1540" s="81" t="s">
        <v>741</v>
      </c>
      <c r="D1540" s="82" t="s">
        <v>103</v>
      </c>
      <c r="E1540" s="143">
        <v>14.79</v>
      </c>
      <c r="F1540" s="131">
        <f>C1540*E1540</f>
        <v>20247.509999999998</v>
      </c>
    </row>
    <row r="1541" spans="1:6">
      <c r="A1541" s="102"/>
      <c r="B1541" s="114"/>
      <c r="C1541" s="103"/>
      <c r="D1541" s="104"/>
      <c r="E1541" s="143"/>
      <c r="F1541" s="131"/>
    </row>
    <row r="1542" spans="1:6" ht="27.6">
      <c r="A1542" s="79" t="s">
        <v>26</v>
      </c>
      <c r="B1542" s="80" t="s">
        <v>742</v>
      </c>
      <c r="C1542" s="81" t="s">
        <v>743</v>
      </c>
      <c r="D1542" s="82" t="s">
        <v>103</v>
      </c>
      <c r="E1542" s="143">
        <v>14.79</v>
      </c>
      <c r="F1542" s="131">
        <f>C1542*E1542</f>
        <v>7187.94</v>
      </c>
    </row>
    <row r="1543" spans="1:6">
      <c r="A1543" s="102"/>
      <c r="B1543" s="114"/>
      <c r="C1543" s="103"/>
      <c r="D1543" s="104"/>
      <c r="E1543" s="143"/>
      <c r="F1543" s="131"/>
    </row>
    <row r="1544" spans="1:6" ht="27.6">
      <c r="A1544" s="79" t="s">
        <v>29</v>
      </c>
      <c r="B1544" s="80" t="s">
        <v>744</v>
      </c>
      <c r="C1544" s="81" t="s">
        <v>745</v>
      </c>
      <c r="D1544" s="82" t="s">
        <v>103</v>
      </c>
      <c r="E1544" s="143">
        <v>14.79</v>
      </c>
      <c r="F1544" s="131">
        <f>C1544*E1544</f>
        <v>54649.049999999996</v>
      </c>
    </row>
    <row r="1545" spans="1:6">
      <c r="A1545" s="79"/>
      <c r="B1545" s="115"/>
      <c r="C1545" s="81"/>
      <c r="D1545" s="82"/>
      <c r="E1545" s="143"/>
      <c r="F1545" s="131"/>
    </row>
    <row r="1546" spans="1:6">
      <c r="A1546" s="79"/>
      <c r="B1546" s="115"/>
      <c r="C1546" s="81"/>
      <c r="D1546" s="82"/>
      <c r="E1546" s="143"/>
      <c r="F1546" s="131"/>
    </row>
    <row r="1547" spans="1:6">
      <c r="A1547" s="102"/>
      <c r="B1547" s="114"/>
      <c r="C1547" s="103"/>
      <c r="D1547" s="104"/>
      <c r="E1547" s="143"/>
      <c r="F1547" s="131"/>
    </row>
    <row r="1548" spans="1:6">
      <c r="A1548" s="102"/>
      <c r="B1548" s="114"/>
      <c r="C1548" s="103"/>
      <c r="D1548" s="104"/>
      <c r="E1548" s="143"/>
      <c r="F1548" s="131"/>
    </row>
    <row r="1549" spans="1:6">
      <c r="A1549" s="85"/>
      <c r="B1549" s="86"/>
      <c r="C1549" s="87"/>
      <c r="D1549" s="88"/>
      <c r="E1549" s="145"/>
      <c r="F1549" s="133"/>
    </row>
    <row r="1550" spans="1:6">
      <c r="A1550" s="89"/>
      <c r="B1550" s="90"/>
      <c r="C1550" s="91" t="s">
        <v>35</v>
      </c>
      <c r="D1550" s="91"/>
      <c r="E1550" s="146" t="s">
        <v>8</v>
      </c>
      <c r="F1550" s="134">
        <f>SUM(F1534:F1547)</f>
        <v>137399.09999999998</v>
      </c>
    </row>
    <row r="1551" spans="1:6">
      <c r="A1551" s="89"/>
      <c r="B1551" s="90"/>
      <c r="C1551" s="92"/>
      <c r="D1551" s="93"/>
      <c r="E1551" s="147"/>
      <c r="F1551" s="135"/>
    </row>
    <row r="1552" spans="1:6">
      <c r="A1552" s="102"/>
      <c r="B1552" s="114"/>
      <c r="C1552" s="103"/>
      <c r="D1552" s="104"/>
      <c r="E1552" s="143"/>
      <c r="F1552" s="131"/>
    </row>
    <row r="1553" spans="1:6" ht="27.6">
      <c r="A1553" s="102"/>
      <c r="B1553" s="77" t="s">
        <v>746</v>
      </c>
      <c r="C1553" s="103"/>
      <c r="D1553" s="104"/>
      <c r="E1553" s="143"/>
      <c r="F1553" s="131"/>
    </row>
    <row r="1554" spans="1:6">
      <c r="A1554" s="102"/>
      <c r="B1554" s="114"/>
      <c r="C1554" s="103"/>
      <c r="D1554" s="104"/>
      <c r="E1554" s="143"/>
      <c r="F1554" s="131"/>
    </row>
    <row r="1555" spans="1:6" ht="27.6">
      <c r="A1555" s="79" t="s">
        <v>16</v>
      </c>
      <c r="B1555" s="80" t="s">
        <v>747</v>
      </c>
      <c r="C1555" s="81" t="s">
        <v>748</v>
      </c>
      <c r="D1555" s="82" t="s">
        <v>103</v>
      </c>
      <c r="E1555" s="143">
        <v>14.79</v>
      </c>
      <c r="F1555" s="131">
        <f>C1555*E1555</f>
        <v>29254.62</v>
      </c>
    </row>
    <row r="1556" spans="1:6">
      <c r="A1556" s="102"/>
      <c r="B1556" s="114"/>
      <c r="C1556" s="103"/>
      <c r="D1556" s="104"/>
      <c r="E1556" s="143"/>
      <c r="F1556" s="131"/>
    </row>
    <row r="1557" spans="1:6" ht="27.6">
      <c r="A1557" s="79" t="s">
        <v>19</v>
      </c>
      <c r="B1557" s="80" t="s">
        <v>749</v>
      </c>
      <c r="C1557" s="81" t="s">
        <v>206</v>
      </c>
      <c r="D1557" s="82" t="s">
        <v>103</v>
      </c>
      <c r="E1557" s="143">
        <v>15.12</v>
      </c>
      <c r="F1557" s="131">
        <f>C1557*E1557</f>
        <v>6577.2</v>
      </c>
    </row>
    <row r="1558" spans="1:6">
      <c r="A1558" s="102"/>
      <c r="B1558" s="114"/>
      <c r="C1558" s="103"/>
      <c r="D1558" s="104"/>
      <c r="E1558" s="143"/>
      <c r="F1558" s="131"/>
    </row>
    <row r="1559" spans="1:6" ht="27.6">
      <c r="A1559" s="79" t="s">
        <v>22</v>
      </c>
      <c r="B1559" s="80" t="s">
        <v>750</v>
      </c>
      <c r="C1559" s="81" t="s">
        <v>751</v>
      </c>
      <c r="D1559" s="82" t="s">
        <v>103</v>
      </c>
      <c r="E1559" s="143">
        <v>15.12</v>
      </c>
      <c r="F1559" s="131">
        <f>C1559*E1559</f>
        <v>64229.759999999995</v>
      </c>
    </row>
    <row r="1560" spans="1:6">
      <c r="A1560" s="102"/>
      <c r="B1560" s="114"/>
      <c r="C1560" s="103"/>
      <c r="D1560" s="104"/>
      <c r="E1560" s="143"/>
      <c r="F1560" s="131"/>
    </row>
    <row r="1561" spans="1:6" ht="27.6">
      <c r="A1561" s="79" t="s">
        <v>26</v>
      </c>
      <c r="B1561" s="80" t="s">
        <v>750</v>
      </c>
      <c r="C1561" s="81" t="s">
        <v>525</v>
      </c>
      <c r="D1561" s="82" t="s">
        <v>103</v>
      </c>
      <c r="E1561" s="143">
        <v>15.12</v>
      </c>
      <c r="F1561" s="131">
        <f>C1561*E1561</f>
        <v>725.76</v>
      </c>
    </row>
    <row r="1562" spans="1:6">
      <c r="A1562" s="102"/>
      <c r="B1562" s="114"/>
      <c r="C1562" s="103"/>
      <c r="D1562" s="104"/>
      <c r="E1562" s="143"/>
      <c r="F1562" s="131"/>
    </row>
    <row r="1563" spans="1:6" ht="27.6">
      <c r="A1563" s="79" t="s">
        <v>29</v>
      </c>
      <c r="B1563" s="80" t="s">
        <v>752</v>
      </c>
      <c r="C1563" s="81" t="s">
        <v>753</v>
      </c>
      <c r="D1563" s="82" t="s">
        <v>103</v>
      </c>
      <c r="E1563" s="143">
        <v>15.12</v>
      </c>
      <c r="F1563" s="131">
        <f>C1563*E1563</f>
        <v>23587.199999999997</v>
      </c>
    </row>
    <row r="1564" spans="1:6">
      <c r="A1564" s="102"/>
      <c r="B1564" s="114"/>
      <c r="C1564" s="103"/>
      <c r="D1564" s="104"/>
      <c r="E1564" s="143"/>
      <c r="F1564" s="131"/>
    </row>
    <row r="1565" spans="1:6" ht="27.6">
      <c r="A1565" s="79" t="s">
        <v>33</v>
      </c>
      <c r="B1565" s="80" t="s">
        <v>754</v>
      </c>
      <c r="C1565" s="81" t="s">
        <v>755</v>
      </c>
      <c r="D1565" s="82" t="s">
        <v>103</v>
      </c>
      <c r="E1565" s="143">
        <v>15.51</v>
      </c>
      <c r="F1565" s="131">
        <f>C1565*E1565</f>
        <v>2093.85</v>
      </c>
    </row>
    <row r="1566" spans="1:6">
      <c r="A1566" s="102"/>
      <c r="B1566" s="114"/>
      <c r="C1566" s="103"/>
      <c r="D1566" s="104"/>
      <c r="E1566" s="143"/>
      <c r="F1566" s="131"/>
    </row>
    <row r="1567" spans="1:6" ht="27.6">
      <c r="A1567" s="79" t="s">
        <v>45</v>
      </c>
      <c r="B1567" s="80" t="s">
        <v>756</v>
      </c>
      <c r="C1567" s="81" t="s">
        <v>757</v>
      </c>
      <c r="D1567" s="82" t="s">
        <v>103</v>
      </c>
      <c r="E1567" s="143">
        <v>15.51</v>
      </c>
      <c r="F1567" s="131">
        <f>C1567*E1567</f>
        <v>2326.5</v>
      </c>
    </row>
    <row r="1568" spans="1:6">
      <c r="A1568" s="102"/>
      <c r="B1568" s="114"/>
      <c r="C1568" s="103"/>
      <c r="D1568" s="104"/>
      <c r="E1568" s="143"/>
      <c r="F1568" s="131"/>
    </row>
    <row r="1569" spans="1:6" ht="27.6">
      <c r="A1569" s="79" t="s">
        <v>49</v>
      </c>
      <c r="B1569" s="80" t="s">
        <v>758</v>
      </c>
      <c r="C1569" s="81" t="s">
        <v>759</v>
      </c>
      <c r="D1569" s="82" t="s">
        <v>103</v>
      </c>
      <c r="E1569" s="143">
        <v>15.51</v>
      </c>
      <c r="F1569" s="131">
        <f>C1569*E1569</f>
        <v>44808.39</v>
      </c>
    </row>
    <row r="1570" spans="1:6">
      <c r="A1570" s="102"/>
      <c r="B1570" s="114"/>
      <c r="C1570" s="103"/>
      <c r="D1570" s="104"/>
      <c r="E1570" s="143"/>
      <c r="F1570" s="131"/>
    </row>
    <row r="1571" spans="1:6" ht="27.6">
      <c r="A1571" s="79" t="s">
        <v>61</v>
      </c>
      <c r="B1571" s="80" t="s">
        <v>760</v>
      </c>
      <c r="C1571" s="81" t="s">
        <v>761</v>
      </c>
      <c r="D1571" s="82" t="s">
        <v>103</v>
      </c>
      <c r="E1571" s="143">
        <v>15.51</v>
      </c>
      <c r="F1571" s="131">
        <f>C1571*E1571</f>
        <v>25219.26</v>
      </c>
    </row>
    <row r="1572" spans="1:6">
      <c r="A1572" s="102"/>
      <c r="B1572" s="114"/>
      <c r="C1572" s="103"/>
      <c r="D1572" s="104"/>
      <c r="E1572" s="143"/>
      <c r="F1572" s="131"/>
    </row>
    <row r="1573" spans="1:6" ht="27.6">
      <c r="A1573" s="79" t="s">
        <v>63</v>
      </c>
      <c r="B1573" s="80" t="s">
        <v>762</v>
      </c>
      <c r="C1573" s="81" t="s">
        <v>492</v>
      </c>
      <c r="D1573" s="82" t="s">
        <v>103</v>
      </c>
      <c r="E1573" s="143">
        <v>16.739999999999998</v>
      </c>
      <c r="F1573" s="131">
        <f>C1573*E1573</f>
        <v>1506.6</v>
      </c>
    </row>
    <row r="1574" spans="1:6">
      <c r="A1574" s="102"/>
      <c r="B1574" s="114"/>
      <c r="C1574" s="103"/>
      <c r="D1574" s="104"/>
      <c r="E1574" s="143"/>
      <c r="F1574" s="131"/>
    </row>
    <row r="1575" spans="1:6" ht="27.6">
      <c r="A1575" s="79" t="s">
        <v>66</v>
      </c>
      <c r="B1575" s="80" t="s">
        <v>763</v>
      </c>
      <c r="C1575" s="81" t="s">
        <v>764</v>
      </c>
      <c r="D1575" s="82" t="s">
        <v>103</v>
      </c>
      <c r="E1575" s="143">
        <v>16.739999999999998</v>
      </c>
      <c r="F1575" s="131">
        <f>C1575*E1575</f>
        <v>13157.64</v>
      </c>
    </row>
    <row r="1576" spans="1:6">
      <c r="A1576" s="102"/>
      <c r="B1576" s="114"/>
      <c r="C1576" s="103"/>
      <c r="D1576" s="104"/>
      <c r="E1576" s="143"/>
      <c r="F1576" s="131"/>
    </row>
    <row r="1577" spans="1:6" ht="27.6">
      <c r="A1577" s="79" t="s">
        <v>70</v>
      </c>
      <c r="B1577" s="80" t="s">
        <v>765</v>
      </c>
      <c r="C1577" s="81" t="s">
        <v>766</v>
      </c>
      <c r="D1577" s="82" t="s">
        <v>103</v>
      </c>
      <c r="E1577" s="143">
        <v>16.739999999999998</v>
      </c>
      <c r="F1577" s="131">
        <f>C1577*E1577</f>
        <v>2276.64</v>
      </c>
    </row>
    <row r="1578" spans="1:6">
      <c r="A1578" s="102"/>
      <c r="B1578" s="114"/>
      <c r="C1578" s="103"/>
      <c r="D1578" s="104"/>
      <c r="E1578" s="143"/>
      <c r="F1578" s="131"/>
    </row>
    <row r="1579" spans="1:6" ht="27.6">
      <c r="A1579" s="79" t="s">
        <v>199</v>
      </c>
      <c r="B1579" s="80" t="s">
        <v>767</v>
      </c>
      <c r="C1579" s="81" t="s">
        <v>768</v>
      </c>
      <c r="D1579" s="82" t="s">
        <v>103</v>
      </c>
      <c r="E1579" s="143">
        <v>16.739999999999998</v>
      </c>
      <c r="F1579" s="131">
        <f>C1579*E1579</f>
        <v>13241.339999999998</v>
      </c>
    </row>
    <row r="1580" spans="1:6">
      <c r="A1580" s="102"/>
      <c r="B1580" s="114"/>
      <c r="C1580" s="103"/>
      <c r="D1580" s="104"/>
      <c r="E1580" s="143"/>
      <c r="F1580" s="131"/>
    </row>
    <row r="1581" spans="1:6" ht="27.6">
      <c r="A1581" s="79" t="s">
        <v>226</v>
      </c>
      <c r="B1581" s="80" t="s">
        <v>769</v>
      </c>
      <c r="C1581" s="81" t="s">
        <v>757</v>
      </c>
      <c r="D1581" s="82" t="s">
        <v>103</v>
      </c>
      <c r="E1581" s="143">
        <v>18.809999999999999</v>
      </c>
      <c r="F1581" s="131">
        <f>C1581*E1581</f>
        <v>2821.5</v>
      </c>
    </row>
    <row r="1582" spans="1:6">
      <c r="A1582" s="102"/>
      <c r="B1582" s="114"/>
      <c r="C1582" s="103"/>
      <c r="D1582" s="104"/>
      <c r="E1582" s="143"/>
      <c r="F1582" s="131"/>
    </row>
    <row r="1583" spans="1:6">
      <c r="A1583" s="102"/>
      <c r="B1583" s="114"/>
      <c r="C1583" s="103"/>
      <c r="D1583" s="104"/>
      <c r="E1583" s="143"/>
      <c r="F1583" s="131"/>
    </row>
    <row r="1584" spans="1:6">
      <c r="A1584" s="102"/>
      <c r="B1584" s="114"/>
      <c r="C1584" s="103"/>
      <c r="D1584" s="104"/>
      <c r="E1584" s="143"/>
      <c r="F1584" s="131"/>
    </row>
    <row r="1585" spans="1:6">
      <c r="A1585" s="85"/>
      <c r="B1585" s="86"/>
      <c r="C1585" s="87"/>
      <c r="D1585" s="88"/>
      <c r="E1585" s="145"/>
      <c r="F1585" s="133"/>
    </row>
    <row r="1586" spans="1:6">
      <c r="A1586" s="89"/>
      <c r="B1586" s="90"/>
      <c r="C1586" s="91" t="s">
        <v>35</v>
      </c>
      <c r="D1586" s="91"/>
      <c r="E1586" s="146" t="s">
        <v>8</v>
      </c>
      <c r="F1586" s="134">
        <f>SUM(F1554:F1583)</f>
        <v>231826.25999999998</v>
      </c>
    </row>
    <row r="1587" spans="1:6">
      <c r="A1587" s="89"/>
      <c r="B1587" s="90"/>
      <c r="C1587" s="92"/>
      <c r="D1587" s="93"/>
      <c r="E1587" s="147"/>
      <c r="F1587" s="135"/>
    </row>
    <row r="1588" spans="1:6">
      <c r="A1588" s="102"/>
      <c r="B1588" s="114"/>
      <c r="C1588" s="103"/>
      <c r="D1588" s="104"/>
      <c r="E1588" s="143"/>
      <c r="F1588" s="131"/>
    </row>
    <row r="1589" spans="1:6" ht="27.6">
      <c r="A1589" s="102"/>
      <c r="B1589" s="77" t="s">
        <v>746</v>
      </c>
      <c r="C1589" s="103"/>
      <c r="D1589" s="104"/>
      <c r="E1589" s="143"/>
      <c r="F1589" s="131"/>
    </row>
    <row r="1590" spans="1:6">
      <c r="A1590" s="102"/>
      <c r="B1590" s="114"/>
      <c r="C1590" s="103"/>
      <c r="D1590" s="104"/>
      <c r="E1590" s="143"/>
      <c r="F1590" s="131"/>
    </row>
    <row r="1591" spans="1:6" ht="27.6">
      <c r="A1591" s="79" t="s">
        <v>16</v>
      </c>
      <c r="B1591" s="80" t="s">
        <v>770</v>
      </c>
      <c r="C1591" s="81" t="s">
        <v>771</v>
      </c>
      <c r="D1591" s="82" t="s">
        <v>103</v>
      </c>
      <c r="E1591" s="143">
        <v>18.809999999999999</v>
      </c>
      <c r="F1591" s="131">
        <f>C1591*E1591</f>
        <v>17850.689999999999</v>
      </c>
    </row>
    <row r="1592" spans="1:6">
      <c r="A1592" s="102"/>
      <c r="B1592" s="114"/>
      <c r="C1592" s="103"/>
      <c r="D1592" s="104"/>
      <c r="E1592" s="143"/>
      <c r="F1592" s="131"/>
    </row>
    <row r="1593" spans="1:6" ht="27.6">
      <c r="A1593" s="79" t="s">
        <v>19</v>
      </c>
      <c r="B1593" s="80" t="s">
        <v>772</v>
      </c>
      <c r="C1593" s="81" t="s">
        <v>246</v>
      </c>
      <c r="D1593" s="82" t="s">
        <v>103</v>
      </c>
      <c r="E1593" s="143">
        <v>18.809999999999999</v>
      </c>
      <c r="F1593" s="131">
        <f>C1593*E1593</f>
        <v>1598.85</v>
      </c>
    </row>
    <row r="1594" spans="1:6">
      <c r="A1594" s="102"/>
      <c r="B1594" s="114"/>
      <c r="C1594" s="103"/>
      <c r="D1594" s="104"/>
      <c r="E1594" s="143"/>
      <c r="F1594" s="131"/>
    </row>
    <row r="1595" spans="1:6" ht="27.6">
      <c r="A1595" s="79" t="s">
        <v>22</v>
      </c>
      <c r="B1595" s="80" t="s">
        <v>773</v>
      </c>
      <c r="C1595" s="81" t="s">
        <v>774</v>
      </c>
      <c r="D1595" s="82" t="s">
        <v>103</v>
      </c>
      <c r="E1595" s="143">
        <v>18.809999999999999</v>
      </c>
      <c r="F1595" s="131">
        <f>C1595*E1595</f>
        <v>18226.89</v>
      </c>
    </row>
    <row r="1596" spans="1:6">
      <c r="A1596" s="102"/>
      <c r="B1596" s="114"/>
      <c r="C1596" s="103"/>
      <c r="D1596" s="104"/>
      <c r="E1596" s="143"/>
      <c r="F1596" s="131"/>
    </row>
    <row r="1597" spans="1:6" ht="27.6">
      <c r="A1597" s="79" t="s">
        <v>26</v>
      </c>
      <c r="B1597" s="80" t="s">
        <v>775</v>
      </c>
      <c r="C1597" s="81" t="s">
        <v>776</v>
      </c>
      <c r="D1597" s="82" t="s">
        <v>103</v>
      </c>
      <c r="E1597" s="143">
        <v>18.809999999999999</v>
      </c>
      <c r="F1597" s="131">
        <f>C1597*E1597</f>
        <v>2426.4899999999998</v>
      </c>
    </row>
    <row r="1598" spans="1:6">
      <c r="A1598" s="102"/>
      <c r="B1598" s="114"/>
      <c r="C1598" s="103"/>
      <c r="D1598" s="104"/>
      <c r="E1598" s="143"/>
      <c r="F1598" s="131"/>
    </row>
    <row r="1599" spans="1:6" ht="27.6">
      <c r="A1599" s="79" t="s">
        <v>29</v>
      </c>
      <c r="B1599" s="80" t="s">
        <v>777</v>
      </c>
      <c r="C1599" s="81" t="s">
        <v>778</v>
      </c>
      <c r="D1599" s="82" t="s">
        <v>103</v>
      </c>
      <c r="E1599" s="143">
        <v>18.809999999999999</v>
      </c>
      <c r="F1599" s="131">
        <f>C1599*E1599</f>
        <v>10006.92</v>
      </c>
    </row>
    <row r="1600" spans="1:6">
      <c r="A1600" s="102"/>
      <c r="B1600" s="114"/>
      <c r="C1600" s="103"/>
      <c r="D1600" s="104"/>
      <c r="E1600" s="143"/>
      <c r="F1600" s="131"/>
    </row>
    <row r="1601" spans="1:6" ht="27.6">
      <c r="A1601" s="79" t="s">
        <v>33</v>
      </c>
      <c r="B1601" s="80" t="s">
        <v>779</v>
      </c>
      <c r="C1601" s="81" t="s">
        <v>361</v>
      </c>
      <c r="D1601" s="82" t="s">
        <v>103</v>
      </c>
      <c r="E1601" s="143">
        <v>20.49</v>
      </c>
      <c r="F1601" s="131">
        <f>C1601*E1601</f>
        <v>2581.7399999999998</v>
      </c>
    </row>
    <row r="1602" spans="1:6">
      <c r="A1602" s="102"/>
      <c r="B1602" s="114"/>
      <c r="C1602" s="103"/>
      <c r="D1602" s="104"/>
      <c r="E1602" s="143"/>
      <c r="F1602" s="131"/>
    </row>
    <row r="1603" spans="1:6" ht="27.6">
      <c r="A1603" s="79" t="s">
        <v>45</v>
      </c>
      <c r="B1603" s="80" t="s">
        <v>780</v>
      </c>
      <c r="C1603" s="81" t="s">
        <v>781</v>
      </c>
      <c r="D1603" s="82" t="s">
        <v>103</v>
      </c>
      <c r="E1603" s="143">
        <v>20.49</v>
      </c>
      <c r="F1603" s="131">
        <f>C1603*E1603</f>
        <v>4384.8599999999997</v>
      </c>
    </row>
    <row r="1604" spans="1:6">
      <c r="A1604" s="102"/>
      <c r="B1604" s="114"/>
      <c r="C1604" s="103"/>
      <c r="D1604" s="104"/>
      <c r="E1604" s="143"/>
      <c r="F1604" s="131"/>
    </row>
    <row r="1605" spans="1:6" ht="27.6">
      <c r="A1605" s="79" t="s">
        <v>49</v>
      </c>
      <c r="B1605" s="80" t="s">
        <v>782</v>
      </c>
      <c r="C1605" s="81" t="s">
        <v>783</v>
      </c>
      <c r="D1605" s="82" t="s">
        <v>103</v>
      </c>
      <c r="E1605" s="143">
        <v>23.28</v>
      </c>
      <c r="F1605" s="131">
        <f>C1605*E1605</f>
        <v>3259.2000000000003</v>
      </c>
    </row>
    <row r="1606" spans="1:6">
      <c r="A1606" s="102"/>
      <c r="B1606" s="114"/>
      <c r="C1606" s="103"/>
      <c r="D1606" s="104"/>
      <c r="E1606" s="143"/>
      <c r="F1606" s="131"/>
    </row>
    <row r="1607" spans="1:6" ht="27.6">
      <c r="A1607" s="79" t="s">
        <v>61</v>
      </c>
      <c r="B1607" s="80" t="s">
        <v>784</v>
      </c>
      <c r="C1607" s="81" t="s">
        <v>785</v>
      </c>
      <c r="D1607" s="82" t="s">
        <v>103</v>
      </c>
      <c r="E1607" s="143">
        <v>23.28</v>
      </c>
      <c r="F1607" s="131">
        <f>C1607*E1607</f>
        <v>3957.6000000000004</v>
      </c>
    </row>
    <row r="1608" spans="1:6">
      <c r="A1608" s="102"/>
      <c r="B1608" s="114"/>
      <c r="C1608" s="103"/>
      <c r="D1608" s="104"/>
      <c r="E1608" s="143"/>
      <c r="F1608" s="131"/>
    </row>
    <row r="1609" spans="1:6" ht="27.6">
      <c r="A1609" s="79" t="s">
        <v>63</v>
      </c>
      <c r="B1609" s="80" t="s">
        <v>786</v>
      </c>
      <c r="C1609" s="81" t="s">
        <v>783</v>
      </c>
      <c r="D1609" s="82" t="s">
        <v>103</v>
      </c>
      <c r="E1609" s="143">
        <v>28.3</v>
      </c>
      <c r="F1609" s="131">
        <f>C1609*E1609</f>
        <v>3962</v>
      </c>
    </row>
    <row r="1610" spans="1:6">
      <c r="A1610" s="102"/>
      <c r="B1610" s="114"/>
      <c r="C1610" s="103"/>
      <c r="D1610" s="104"/>
      <c r="E1610" s="143"/>
      <c r="F1610" s="131"/>
    </row>
    <row r="1611" spans="1:6" ht="27.6">
      <c r="A1611" s="79" t="s">
        <v>66</v>
      </c>
      <c r="B1611" s="80" t="s">
        <v>787</v>
      </c>
      <c r="C1611" s="81" t="s">
        <v>788</v>
      </c>
      <c r="D1611" s="82" t="s">
        <v>103</v>
      </c>
      <c r="E1611" s="143">
        <v>28.3</v>
      </c>
      <c r="F1611" s="131">
        <f>C1611*E1611</f>
        <v>5801.5</v>
      </c>
    </row>
    <row r="1612" spans="1:6">
      <c r="A1612" s="102"/>
      <c r="B1612" s="114"/>
      <c r="C1612" s="103"/>
      <c r="D1612" s="104"/>
      <c r="E1612" s="143"/>
      <c r="F1612" s="131"/>
    </row>
    <row r="1613" spans="1:6" ht="27.6">
      <c r="A1613" s="79" t="s">
        <v>70</v>
      </c>
      <c r="B1613" s="80" t="s">
        <v>789</v>
      </c>
      <c r="C1613" s="81" t="s">
        <v>266</v>
      </c>
      <c r="D1613" s="82" t="s">
        <v>103</v>
      </c>
      <c r="E1613" s="143">
        <v>28.3</v>
      </c>
      <c r="F1613" s="131">
        <f>C1613*E1613</f>
        <v>2830</v>
      </c>
    </row>
    <row r="1614" spans="1:6">
      <c r="A1614" s="102"/>
      <c r="B1614" s="114"/>
      <c r="C1614" s="103"/>
      <c r="D1614" s="104"/>
      <c r="E1614" s="143"/>
      <c r="F1614" s="131"/>
    </row>
    <row r="1615" spans="1:6" ht="27.6">
      <c r="A1615" s="79" t="s">
        <v>199</v>
      </c>
      <c r="B1615" s="80" t="s">
        <v>790</v>
      </c>
      <c r="C1615" s="81" t="s">
        <v>791</v>
      </c>
      <c r="D1615" s="82" t="s">
        <v>103</v>
      </c>
      <c r="E1615" s="143">
        <v>32.6</v>
      </c>
      <c r="F1615" s="131">
        <f>C1615*E1615</f>
        <v>11801.2</v>
      </c>
    </row>
    <row r="1616" spans="1:6">
      <c r="A1616" s="102"/>
      <c r="B1616" s="114"/>
      <c r="C1616" s="103"/>
      <c r="D1616" s="104"/>
      <c r="E1616" s="143"/>
      <c r="F1616" s="131"/>
    </row>
    <row r="1617" spans="1:6" ht="27.6">
      <c r="A1617" s="79" t="s">
        <v>226</v>
      </c>
      <c r="B1617" s="80" t="s">
        <v>792</v>
      </c>
      <c r="C1617" s="81" t="s">
        <v>793</v>
      </c>
      <c r="D1617" s="82" t="s">
        <v>103</v>
      </c>
      <c r="E1617" s="143">
        <v>32.6</v>
      </c>
      <c r="F1617" s="131">
        <f>C1617*E1617</f>
        <v>9551.8000000000011</v>
      </c>
    </row>
    <row r="1618" spans="1:6">
      <c r="A1618" s="102"/>
      <c r="B1618" s="114"/>
      <c r="C1618" s="103"/>
      <c r="D1618" s="104"/>
      <c r="E1618" s="143"/>
      <c r="F1618" s="131"/>
    </row>
    <row r="1619" spans="1:6">
      <c r="A1619" s="102"/>
      <c r="B1619" s="114"/>
      <c r="C1619" s="103"/>
      <c r="D1619" s="104"/>
      <c r="E1619" s="143"/>
      <c r="F1619" s="131"/>
    </row>
    <row r="1620" spans="1:6">
      <c r="A1620" s="102"/>
      <c r="B1620" s="114"/>
      <c r="C1620" s="103"/>
      <c r="D1620" s="104"/>
      <c r="E1620" s="143"/>
      <c r="F1620" s="131"/>
    </row>
    <row r="1621" spans="1:6">
      <c r="A1621" s="85"/>
      <c r="B1621" s="86"/>
      <c r="C1621" s="87"/>
      <c r="D1621" s="88"/>
      <c r="E1621" s="145"/>
      <c r="F1621" s="133"/>
    </row>
    <row r="1622" spans="1:6">
      <c r="A1622" s="89"/>
      <c r="B1622" s="90"/>
      <c r="C1622" s="91" t="s">
        <v>35</v>
      </c>
      <c r="D1622" s="91"/>
      <c r="E1622" s="146" t="s">
        <v>8</v>
      </c>
      <c r="F1622" s="134">
        <f>SUM(F1590:F1618)</f>
        <v>98239.739999999991</v>
      </c>
    </row>
    <row r="1623" spans="1:6">
      <c r="A1623" s="89"/>
      <c r="B1623" s="90"/>
      <c r="C1623" s="92"/>
      <c r="D1623" s="93"/>
      <c r="E1623" s="147"/>
      <c r="F1623" s="135"/>
    </row>
    <row r="1624" spans="1:6">
      <c r="A1624" s="102"/>
      <c r="B1624" s="114"/>
      <c r="C1624" s="103"/>
      <c r="D1624" s="104"/>
      <c r="E1624" s="143"/>
      <c r="F1624" s="131"/>
    </row>
    <row r="1625" spans="1:6" ht="27.6">
      <c r="A1625" s="102"/>
      <c r="B1625" s="77" t="s">
        <v>746</v>
      </c>
      <c r="C1625" s="103"/>
      <c r="D1625" s="104"/>
      <c r="E1625" s="143"/>
      <c r="F1625" s="131"/>
    </row>
    <row r="1626" spans="1:6">
      <c r="A1626" s="102"/>
      <c r="B1626" s="118"/>
      <c r="C1626" s="103"/>
      <c r="D1626" s="104"/>
      <c r="E1626" s="143"/>
      <c r="F1626" s="131"/>
    </row>
    <row r="1627" spans="1:6" ht="27.6">
      <c r="A1627" s="79" t="s">
        <v>16</v>
      </c>
      <c r="B1627" s="80" t="s">
        <v>794</v>
      </c>
      <c r="C1627" s="81" t="s">
        <v>795</v>
      </c>
      <c r="D1627" s="82" t="s">
        <v>103</v>
      </c>
      <c r="E1627" s="143">
        <v>35.799999999999997</v>
      </c>
      <c r="F1627" s="131">
        <f>C1627*E1627</f>
        <v>5441.5999999999995</v>
      </c>
    </row>
    <row r="1628" spans="1:6">
      <c r="A1628" s="102"/>
      <c r="B1628" s="114"/>
      <c r="C1628" s="103"/>
      <c r="D1628" s="104"/>
      <c r="E1628" s="143"/>
      <c r="F1628" s="131"/>
    </row>
    <row r="1629" spans="1:6" ht="27.6">
      <c r="A1629" s="79" t="s">
        <v>19</v>
      </c>
      <c r="B1629" s="80" t="s">
        <v>796</v>
      </c>
      <c r="C1629" s="81" t="s">
        <v>797</v>
      </c>
      <c r="D1629" s="82" t="s">
        <v>103</v>
      </c>
      <c r="E1629" s="143">
        <v>36.119999999999997</v>
      </c>
      <c r="F1629" s="131">
        <f>C1629*E1629</f>
        <v>269382.95999999996</v>
      </c>
    </row>
    <row r="1630" spans="1:6">
      <c r="A1630" s="102"/>
      <c r="B1630" s="114"/>
      <c r="C1630" s="103"/>
      <c r="D1630" s="104"/>
      <c r="E1630" s="143"/>
      <c r="F1630" s="131"/>
    </row>
    <row r="1631" spans="1:6" ht="27.6">
      <c r="A1631" s="79" t="s">
        <v>22</v>
      </c>
      <c r="B1631" s="80" t="s">
        <v>798</v>
      </c>
      <c r="C1631" s="81" t="s">
        <v>799</v>
      </c>
      <c r="D1631" s="82" t="s">
        <v>103</v>
      </c>
      <c r="E1631" s="143">
        <v>36.119999999999997</v>
      </c>
      <c r="F1631" s="131">
        <f>C1631*E1631</f>
        <v>5779.2</v>
      </c>
    </row>
    <row r="1632" spans="1:6">
      <c r="A1632" s="102"/>
      <c r="B1632" s="114"/>
      <c r="C1632" s="103"/>
      <c r="D1632" s="104"/>
      <c r="E1632" s="143"/>
      <c r="F1632" s="131"/>
    </row>
    <row r="1633" spans="1:6" ht="27.6">
      <c r="A1633" s="79" t="s">
        <v>26</v>
      </c>
      <c r="B1633" s="80" t="s">
        <v>800</v>
      </c>
      <c r="C1633" s="81" t="s">
        <v>783</v>
      </c>
      <c r="D1633" s="82" t="s">
        <v>103</v>
      </c>
      <c r="E1633" s="143">
        <v>51.98</v>
      </c>
      <c r="F1633" s="131">
        <f>C1633*E1633</f>
        <v>7277.2</v>
      </c>
    </row>
    <row r="1634" spans="1:6">
      <c r="A1634" s="102"/>
      <c r="B1634" s="114"/>
      <c r="C1634" s="103"/>
      <c r="D1634" s="104"/>
      <c r="E1634" s="143"/>
      <c r="F1634" s="131"/>
    </row>
    <row r="1635" spans="1:6" ht="27.6">
      <c r="A1635" s="79" t="s">
        <v>29</v>
      </c>
      <c r="B1635" s="80" t="s">
        <v>801</v>
      </c>
      <c r="C1635" s="81" t="s">
        <v>802</v>
      </c>
      <c r="D1635" s="82" t="s">
        <v>103</v>
      </c>
      <c r="E1635" s="143">
        <v>51.98</v>
      </c>
      <c r="F1635" s="131">
        <f>C1635*E1635</f>
        <v>12267.279999999999</v>
      </c>
    </row>
    <row r="1636" spans="1:6">
      <c r="A1636" s="102"/>
      <c r="B1636" s="114"/>
      <c r="C1636" s="103"/>
      <c r="D1636" s="104"/>
      <c r="E1636" s="143"/>
      <c r="F1636" s="131"/>
    </row>
    <row r="1637" spans="1:6" ht="27.6">
      <c r="A1637" s="79" t="s">
        <v>33</v>
      </c>
      <c r="B1637" s="80" t="s">
        <v>803</v>
      </c>
      <c r="C1637" s="81" t="s">
        <v>39</v>
      </c>
      <c r="D1637" s="82" t="s">
        <v>103</v>
      </c>
      <c r="E1637" s="143">
        <v>105.46</v>
      </c>
      <c r="F1637" s="131">
        <f>C1637*E1637</f>
        <v>13709.8</v>
      </c>
    </row>
    <row r="1638" spans="1:6">
      <c r="A1638" s="102"/>
      <c r="B1638" s="114"/>
      <c r="C1638" s="103"/>
      <c r="D1638" s="104"/>
      <c r="E1638" s="143"/>
      <c r="F1638" s="131"/>
    </row>
    <row r="1639" spans="1:6" ht="27.6">
      <c r="A1639" s="79" t="s">
        <v>45</v>
      </c>
      <c r="B1639" s="80" t="s">
        <v>804</v>
      </c>
      <c r="C1639" s="81" t="s">
        <v>805</v>
      </c>
      <c r="D1639" s="82" t="s">
        <v>103</v>
      </c>
      <c r="E1639" s="143">
        <v>108.35</v>
      </c>
      <c r="F1639" s="131">
        <f>C1639*E1639</f>
        <v>30338</v>
      </c>
    </row>
    <row r="1640" spans="1:6">
      <c r="A1640" s="102"/>
      <c r="B1640" s="114"/>
      <c r="C1640" s="103"/>
      <c r="D1640" s="104"/>
      <c r="E1640" s="143"/>
      <c r="F1640" s="131"/>
    </row>
    <row r="1641" spans="1:6" ht="27.6">
      <c r="A1641" s="79" t="s">
        <v>49</v>
      </c>
      <c r="B1641" s="80" t="s">
        <v>806</v>
      </c>
      <c r="C1641" s="81" t="s">
        <v>77</v>
      </c>
      <c r="D1641" s="82" t="s">
        <v>103</v>
      </c>
      <c r="E1641" s="143">
        <v>159.66999999999999</v>
      </c>
      <c r="F1641" s="131">
        <f>C1641*E1641</f>
        <v>8781.8499999999985</v>
      </c>
    </row>
    <row r="1642" spans="1:6">
      <c r="A1642" s="102"/>
      <c r="B1642" s="114"/>
      <c r="C1642" s="103"/>
      <c r="D1642" s="104"/>
      <c r="E1642" s="143"/>
      <c r="F1642" s="131"/>
    </row>
    <row r="1643" spans="1:6" ht="27.6">
      <c r="A1643" s="79" t="s">
        <v>61</v>
      </c>
      <c r="B1643" s="80" t="s">
        <v>807</v>
      </c>
      <c r="C1643" s="81" t="s">
        <v>391</v>
      </c>
      <c r="D1643" s="82" t="s">
        <v>103</v>
      </c>
      <c r="E1643" s="143">
        <v>233.18</v>
      </c>
      <c r="F1643" s="131">
        <f>C1643*E1643</f>
        <v>46636</v>
      </c>
    </row>
    <row r="1644" spans="1:6">
      <c r="A1644" s="102"/>
      <c r="B1644" s="114"/>
      <c r="C1644" s="103"/>
      <c r="D1644" s="104"/>
      <c r="E1644" s="143"/>
      <c r="F1644" s="131"/>
    </row>
    <row r="1645" spans="1:6">
      <c r="A1645" s="79"/>
      <c r="B1645" s="117" t="s">
        <v>808</v>
      </c>
      <c r="C1645" s="81"/>
      <c r="D1645" s="82"/>
      <c r="E1645" s="143"/>
      <c r="F1645" s="131"/>
    </row>
    <row r="1646" spans="1:6">
      <c r="A1646" s="102"/>
      <c r="B1646" s="114"/>
      <c r="C1646" s="103"/>
      <c r="D1646" s="104"/>
      <c r="E1646" s="143"/>
      <c r="F1646" s="131"/>
    </row>
    <row r="1647" spans="1:6">
      <c r="A1647" s="79" t="s">
        <v>63</v>
      </c>
      <c r="B1647" s="80" t="s">
        <v>809</v>
      </c>
      <c r="C1647" s="81" t="s">
        <v>149</v>
      </c>
      <c r="D1647" s="82" t="s">
        <v>44</v>
      </c>
      <c r="E1647" s="143">
        <v>4016.13</v>
      </c>
      <c r="F1647" s="131">
        <f>C1647*E1647</f>
        <v>8032.26</v>
      </c>
    </row>
    <row r="1648" spans="1:6">
      <c r="A1648" s="102"/>
      <c r="B1648" s="114"/>
      <c r="C1648" s="103"/>
      <c r="D1648" s="104"/>
      <c r="E1648" s="143"/>
      <c r="F1648" s="131"/>
    </row>
    <row r="1649" spans="1:6">
      <c r="A1649" s="79" t="s">
        <v>66</v>
      </c>
      <c r="B1649" s="80" t="s">
        <v>810</v>
      </c>
      <c r="C1649" s="81" t="s">
        <v>246</v>
      </c>
      <c r="D1649" s="82" t="s">
        <v>44</v>
      </c>
      <c r="E1649" s="143">
        <v>1349.21</v>
      </c>
      <c r="F1649" s="131">
        <f>C1649*E1649</f>
        <v>114682.85</v>
      </c>
    </row>
    <row r="1650" spans="1:6">
      <c r="A1650" s="102"/>
      <c r="B1650" s="114"/>
      <c r="C1650" s="103"/>
      <c r="D1650" s="104"/>
      <c r="E1650" s="143"/>
      <c r="F1650" s="131"/>
    </row>
    <row r="1651" spans="1:6">
      <c r="A1651" s="79" t="s">
        <v>70</v>
      </c>
      <c r="B1651" s="80" t="s">
        <v>811</v>
      </c>
      <c r="C1651" s="81" t="s">
        <v>812</v>
      </c>
      <c r="D1651" s="82" t="s">
        <v>44</v>
      </c>
      <c r="E1651" s="143">
        <v>674.6</v>
      </c>
      <c r="F1651" s="131">
        <f>C1651*E1651</f>
        <v>148412</v>
      </c>
    </row>
    <row r="1652" spans="1:6">
      <c r="A1652" s="102"/>
      <c r="B1652" s="114"/>
      <c r="C1652" s="103"/>
      <c r="D1652" s="104"/>
      <c r="E1652" s="143"/>
      <c r="F1652" s="131"/>
    </row>
    <row r="1653" spans="1:6">
      <c r="A1653" s="79"/>
      <c r="B1653" s="117" t="s">
        <v>813</v>
      </c>
      <c r="C1653" s="81"/>
      <c r="D1653" s="82"/>
      <c r="E1653" s="143"/>
      <c r="F1653" s="131"/>
    </row>
    <row r="1654" spans="1:6">
      <c r="A1654" s="102"/>
      <c r="B1654" s="114"/>
      <c r="C1654" s="103"/>
      <c r="D1654" s="104"/>
      <c r="E1654" s="143"/>
      <c r="F1654" s="131"/>
    </row>
    <row r="1655" spans="1:6">
      <c r="A1655" s="79" t="s">
        <v>199</v>
      </c>
      <c r="B1655" s="80" t="s">
        <v>814</v>
      </c>
      <c r="C1655" s="81" t="s">
        <v>237</v>
      </c>
      <c r="D1655" s="82" t="s">
        <v>44</v>
      </c>
      <c r="E1655" s="143">
        <v>1349.21</v>
      </c>
      <c r="F1655" s="131">
        <f>C1655*E1655</f>
        <v>90397.07</v>
      </c>
    </row>
    <row r="1656" spans="1:6">
      <c r="A1656" s="102"/>
      <c r="B1656" s="114"/>
      <c r="C1656" s="103"/>
      <c r="D1656" s="104"/>
      <c r="E1656" s="143"/>
      <c r="F1656" s="131"/>
    </row>
    <row r="1657" spans="1:6">
      <c r="A1657" s="79" t="s">
        <v>226</v>
      </c>
      <c r="B1657" s="80" t="s">
        <v>815</v>
      </c>
      <c r="C1657" s="81" t="s">
        <v>816</v>
      </c>
      <c r="D1657" s="82" t="s">
        <v>44</v>
      </c>
      <c r="E1657" s="143">
        <v>188.89</v>
      </c>
      <c r="F1657" s="131">
        <f>C1657*E1657</f>
        <v>15866.759999999998</v>
      </c>
    </row>
    <row r="1658" spans="1:6">
      <c r="A1658" s="102"/>
      <c r="B1658" s="114"/>
      <c r="C1658" s="103"/>
      <c r="D1658" s="104"/>
      <c r="E1658" s="143"/>
      <c r="F1658" s="131"/>
    </row>
    <row r="1659" spans="1:6">
      <c r="A1659" s="79"/>
      <c r="B1659" s="117" t="s">
        <v>817</v>
      </c>
      <c r="C1659" s="81"/>
      <c r="D1659" s="82"/>
      <c r="E1659" s="143"/>
      <c r="F1659" s="131"/>
    </row>
    <row r="1660" spans="1:6">
      <c r="A1660" s="102"/>
      <c r="B1660" s="114"/>
      <c r="C1660" s="103"/>
      <c r="D1660" s="104"/>
      <c r="E1660" s="143"/>
      <c r="F1660" s="131"/>
    </row>
    <row r="1661" spans="1:6">
      <c r="A1661" s="102"/>
      <c r="B1661" s="114"/>
      <c r="C1661" s="103"/>
      <c r="D1661" s="104"/>
      <c r="E1661" s="143"/>
      <c r="F1661" s="131"/>
    </row>
    <row r="1662" spans="1:6">
      <c r="A1662" s="85"/>
      <c r="B1662" s="86"/>
      <c r="C1662" s="87"/>
      <c r="D1662" s="88"/>
      <c r="E1662" s="145"/>
      <c r="F1662" s="133"/>
    </row>
    <row r="1663" spans="1:6">
      <c r="A1663" s="89"/>
      <c r="B1663" s="90"/>
      <c r="C1663" s="91" t="s">
        <v>35</v>
      </c>
      <c r="D1663" s="91"/>
      <c r="E1663" s="146" t="s">
        <v>8</v>
      </c>
      <c r="F1663" s="134">
        <f>SUM(F1626:F1658)</f>
        <v>777004.83000000007</v>
      </c>
    </row>
    <row r="1664" spans="1:6">
      <c r="A1664" s="89"/>
      <c r="B1664" s="90"/>
      <c r="C1664" s="92"/>
      <c r="D1664" s="93"/>
      <c r="E1664" s="147"/>
      <c r="F1664" s="135"/>
    </row>
    <row r="1665" spans="1:6">
      <c r="A1665" s="102"/>
      <c r="B1665" s="114"/>
      <c r="C1665" s="103"/>
      <c r="D1665" s="104"/>
      <c r="E1665" s="143"/>
      <c r="F1665" s="131"/>
    </row>
    <row r="1666" spans="1:6" ht="27.6">
      <c r="A1666" s="102"/>
      <c r="B1666" s="77" t="s">
        <v>746</v>
      </c>
      <c r="C1666" s="103"/>
      <c r="D1666" s="104"/>
      <c r="E1666" s="143"/>
      <c r="F1666" s="131"/>
    </row>
    <row r="1667" spans="1:6">
      <c r="A1667" s="102"/>
      <c r="B1667" s="114"/>
      <c r="C1667" s="103"/>
      <c r="D1667" s="104"/>
      <c r="E1667" s="143"/>
      <c r="F1667" s="131"/>
    </row>
    <row r="1668" spans="1:6">
      <c r="A1668" s="79" t="s">
        <v>16</v>
      </c>
      <c r="B1668" s="80" t="s">
        <v>818</v>
      </c>
      <c r="C1668" s="81" t="s">
        <v>178</v>
      </c>
      <c r="D1668" s="82" t="s">
        <v>44</v>
      </c>
      <c r="E1668" s="143">
        <v>445.24</v>
      </c>
      <c r="F1668" s="131">
        <f>C1668*E1668</f>
        <v>1780.96</v>
      </c>
    </row>
    <row r="1669" spans="1:6">
      <c r="A1669" s="102"/>
      <c r="B1669" s="114"/>
      <c r="C1669" s="103"/>
      <c r="D1669" s="104"/>
      <c r="E1669" s="143"/>
      <c r="F1669" s="131"/>
    </row>
    <row r="1670" spans="1:6">
      <c r="A1670" s="79"/>
      <c r="B1670" s="117" t="s">
        <v>819</v>
      </c>
      <c r="C1670" s="81"/>
      <c r="D1670" s="82"/>
      <c r="E1670" s="143"/>
      <c r="F1670" s="131"/>
    </row>
    <row r="1671" spans="1:6">
      <c r="A1671" s="102"/>
      <c r="B1671" s="114"/>
      <c r="C1671" s="103"/>
      <c r="D1671" s="104"/>
      <c r="E1671" s="143"/>
      <c r="F1671" s="131"/>
    </row>
    <row r="1672" spans="1:6">
      <c r="A1672" s="79" t="s">
        <v>19</v>
      </c>
      <c r="B1672" s="80" t="s">
        <v>820</v>
      </c>
      <c r="C1672" s="81" t="s">
        <v>237</v>
      </c>
      <c r="D1672" s="82" t="s">
        <v>103</v>
      </c>
      <c r="E1672" s="143">
        <v>19.43</v>
      </c>
      <c r="F1672" s="131">
        <f>C1672*E1672</f>
        <v>1301.81</v>
      </c>
    </row>
    <row r="1673" spans="1:6">
      <c r="A1673" s="102"/>
      <c r="B1673" s="114"/>
      <c r="C1673" s="103"/>
      <c r="D1673" s="104"/>
      <c r="E1673" s="143"/>
      <c r="F1673" s="131"/>
    </row>
    <row r="1674" spans="1:6">
      <c r="A1674" s="79" t="s">
        <v>22</v>
      </c>
      <c r="B1674" s="80" t="s">
        <v>821</v>
      </c>
      <c r="C1674" s="81" t="s">
        <v>822</v>
      </c>
      <c r="D1674" s="82" t="s">
        <v>103</v>
      </c>
      <c r="E1674" s="143">
        <v>20.81</v>
      </c>
      <c r="F1674" s="131">
        <f>C1674*E1674</f>
        <v>4494.96</v>
      </c>
    </row>
    <row r="1675" spans="1:6">
      <c r="A1675" s="102"/>
      <c r="B1675" s="114"/>
      <c r="C1675" s="103"/>
      <c r="D1675" s="104"/>
      <c r="E1675" s="143"/>
      <c r="F1675" s="131"/>
    </row>
    <row r="1676" spans="1:6">
      <c r="A1676" s="79" t="s">
        <v>26</v>
      </c>
      <c r="B1676" s="80" t="s">
        <v>823</v>
      </c>
      <c r="C1676" s="81" t="s">
        <v>31</v>
      </c>
      <c r="D1676" s="82" t="s">
        <v>103</v>
      </c>
      <c r="E1676" s="143">
        <v>20.54</v>
      </c>
      <c r="F1676" s="131">
        <f>C1676*E1676</f>
        <v>20.54</v>
      </c>
    </row>
    <row r="1677" spans="1:6">
      <c r="A1677" s="102"/>
      <c r="B1677" s="114"/>
      <c r="C1677" s="103"/>
      <c r="D1677" s="104"/>
      <c r="E1677" s="143"/>
      <c r="F1677" s="131"/>
    </row>
    <row r="1678" spans="1:6">
      <c r="A1678" s="79" t="s">
        <v>29</v>
      </c>
      <c r="B1678" s="80" t="s">
        <v>824</v>
      </c>
      <c r="C1678" s="81" t="s">
        <v>39</v>
      </c>
      <c r="D1678" s="82" t="s">
        <v>103</v>
      </c>
      <c r="E1678" s="143">
        <v>23.48</v>
      </c>
      <c r="F1678" s="131">
        <f>C1678*E1678</f>
        <v>3052.4</v>
      </c>
    </row>
    <row r="1679" spans="1:6">
      <c r="A1679" s="102"/>
      <c r="B1679" s="114"/>
      <c r="C1679" s="103"/>
      <c r="D1679" s="104"/>
      <c r="E1679" s="143"/>
      <c r="F1679" s="131"/>
    </row>
    <row r="1680" spans="1:6">
      <c r="A1680" s="79" t="s">
        <v>33</v>
      </c>
      <c r="B1680" s="80" t="s">
        <v>825</v>
      </c>
      <c r="C1680" s="81" t="s">
        <v>385</v>
      </c>
      <c r="D1680" s="82" t="s">
        <v>103</v>
      </c>
      <c r="E1680" s="143">
        <v>28.36</v>
      </c>
      <c r="F1680" s="131">
        <f>C1680*E1680</f>
        <v>3545</v>
      </c>
    </row>
    <row r="1681" spans="1:6">
      <c r="A1681" s="102"/>
      <c r="B1681" s="114"/>
      <c r="C1681" s="103"/>
      <c r="D1681" s="104"/>
      <c r="E1681" s="143"/>
      <c r="F1681" s="131"/>
    </row>
    <row r="1682" spans="1:6">
      <c r="A1682" s="79" t="s">
        <v>45</v>
      </c>
      <c r="B1682" s="80" t="s">
        <v>826</v>
      </c>
      <c r="C1682" s="81" t="s">
        <v>827</v>
      </c>
      <c r="D1682" s="82" t="s">
        <v>103</v>
      </c>
      <c r="E1682" s="143">
        <v>31.47</v>
      </c>
      <c r="F1682" s="131">
        <f>C1682*E1682</f>
        <v>2895.24</v>
      </c>
    </row>
    <row r="1683" spans="1:6">
      <c r="A1683" s="102"/>
      <c r="B1683" s="114"/>
      <c r="C1683" s="103"/>
      <c r="D1683" s="104"/>
      <c r="E1683" s="143"/>
      <c r="F1683" s="131"/>
    </row>
    <row r="1684" spans="1:6">
      <c r="A1684" s="79" t="s">
        <v>49</v>
      </c>
      <c r="B1684" s="80" t="s">
        <v>828</v>
      </c>
      <c r="C1684" s="81" t="s">
        <v>149</v>
      </c>
      <c r="D1684" s="82" t="s">
        <v>103</v>
      </c>
      <c r="E1684" s="143">
        <v>31.47</v>
      </c>
      <c r="F1684" s="131">
        <f>C1684*E1684</f>
        <v>62.94</v>
      </c>
    </row>
    <row r="1685" spans="1:6">
      <c r="A1685" s="102"/>
      <c r="B1685" s="114"/>
      <c r="C1685" s="103"/>
      <c r="D1685" s="104"/>
      <c r="E1685" s="143"/>
      <c r="F1685" s="131"/>
    </row>
    <row r="1686" spans="1:6">
      <c r="A1686" s="79" t="s">
        <v>61</v>
      </c>
      <c r="B1686" s="80" t="s">
        <v>829</v>
      </c>
      <c r="C1686" s="81" t="s">
        <v>108</v>
      </c>
      <c r="D1686" s="82" t="s">
        <v>103</v>
      </c>
      <c r="E1686" s="143">
        <v>35.450000000000003</v>
      </c>
      <c r="F1686" s="131">
        <f>C1686*E1686</f>
        <v>815.35</v>
      </c>
    </row>
    <row r="1687" spans="1:6">
      <c r="A1687" s="102"/>
      <c r="B1687" s="114"/>
      <c r="C1687" s="103"/>
      <c r="D1687" s="104"/>
      <c r="E1687" s="143"/>
      <c r="F1687" s="131"/>
    </row>
    <row r="1688" spans="1:6">
      <c r="A1688" s="79" t="s">
        <v>63</v>
      </c>
      <c r="B1688" s="80" t="s">
        <v>830</v>
      </c>
      <c r="C1688" s="81" t="s">
        <v>831</v>
      </c>
      <c r="D1688" s="82" t="s">
        <v>103</v>
      </c>
      <c r="E1688" s="143">
        <v>40.42</v>
      </c>
      <c r="F1688" s="131">
        <f>C1688*E1688</f>
        <v>7194.76</v>
      </c>
    </row>
    <row r="1689" spans="1:6">
      <c r="A1689" s="102"/>
      <c r="B1689" s="114"/>
      <c r="C1689" s="103"/>
      <c r="D1689" s="104"/>
      <c r="E1689" s="143"/>
      <c r="F1689" s="131"/>
    </row>
    <row r="1690" spans="1:6">
      <c r="A1690" s="79" t="s">
        <v>66</v>
      </c>
      <c r="B1690" s="80" t="s">
        <v>832</v>
      </c>
      <c r="C1690" s="81" t="s">
        <v>682</v>
      </c>
      <c r="D1690" s="82" t="s">
        <v>103</v>
      </c>
      <c r="E1690" s="143">
        <v>24.18</v>
      </c>
      <c r="F1690" s="131">
        <f>C1690*E1690</f>
        <v>1088.0999999999999</v>
      </c>
    </row>
    <row r="1691" spans="1:6">
      <c r="A1691" s="102"/>
      <c r="B1691" s="114"/>
      <c r="C1691" s="103"/>
      <c r="D1691" s="104"/>
      <c r="E1691" s="143"/>
      <c r="F1691" s="131"/>
    </row>
    <row r="1692" spans="1:6">
      <c r="A1692" s="79" t="s">
        <v>70</v>
      </c>
      <c r="B1692" s="80" t="s">
        <v>833</v>
      </c>
      <c r="C1692" s="81" t="s">
        <v>834</v>
      </c>
      <c r="D1692" s="82" t="s">
        <v>103</v>
      </c>
      <c r="E1692" s="143">
        <v>41.12</v>
      </c>
      <c r="F1692" s="131">
        <f>C1692*E1692</f>
        <v>2179.3599999999997</v>
      </c>
    </row>
    <row r="1693" spans="1:6">
      <c r="A1693" s="102"/>
      <c r="B1693" s="114"/>
      <c r="C1693" s="103"/>
      <c r="D1693" s="104"/>
      <c r="E1693" s="143"/>
      <c r="F1693" s="131"/>
    </row>
    <row r="1694" spans="1:6">
      <c r="A1694" s="79"/>
      <c r="B1694" s="117" t="s">
        <v>835</v>
      </c>
      <c r="C1694" s="81"/>
      <c r="D1694" s="82"/>
      <c r="E1694" s="143"/>
      <c r="F1694" s="131"/>
    </row>
    <row r="1695" spans="1:6">
      <c r="A1695" s="102"/>
      <c r="B1695" s="114"/>
      <c r="C1695" s="103"/>
      <c r="D1695" s="104"/>
      <c r="E1695" s="143"/>
      <c r="F1695" s="131"/>
    </row>
    <row r="1696" spans="1:6" ht="55.15">
      <c r="A1696" s="79" t="s">
        <v>199</v>
      </c>
      <c r="B1696" s="80" t="s">
        <v>836</v>
      </c>
      <c r="C1696" s="81">
        <v>1</v>
      </c>
      <c r="D1696" s="82" t="s">
        <v>2</v>
      </c>
      <c r="E1696" s="143">
        <v>43152.92</v>
      </c>
      <c r="F1696" s="131">
        <f>C1696*E1696</f>
        <v>43152.92</v>
      </c>
    </row>
    <row r="1697" spans="1:6">
      <c r="A1697" s="102"/>
      <c r="B1697" s="114"/>
      <c r="C1697" s="103"/>
      <c r="D1697" s="104"/>
      <c r="E1697" s="143"/>
      <c r="F1697" s="131"/>
    </row>
    <row r="1698" spans="1:6" ht="55.15">
      <c r="A1698" s="79" t="s">
        <v>226</v>
      </c>
      <c r="B1698" s="80" t="s">
        <v>837</v>
      </c>
      <c r="C1698" s="81">
        <v>1</v>
      </c>
      <c r="D1698" s="82" t="s">
        <v>2</v>
      </c>
      <c r="E1698" s="143">
        <v>264591.09999999998</v>
      </c>
      <c r="F1698" s="131">
        <f>C1698*E1698</f>
        <v>264591.09999999998</v>
      </c>
    </row>
    <row r="1699" spans="1:6">
      <c r="A1699" s="102"/>
      <c r="B1699" s="114"/>
      <c r="C1699" s="103"/>
      <c r="D1699" s="104"/>
      <c r="E1699" s="143"/>
      <c r="F1699" s="131"/>
    </row>
    <row r="1700" spans="1:6">
      <c r="A1700" s="79"/>
      <c r="B1700" s="117" t="s">
        <v>838</v>
      </c>
      <c r="C1700" s="81"/>
      <c r="D1700" s="82"/>
      <c r="E1700" s="143"/>
      <c r="F1700" s="131"/>
    </row>
    <row r="1701" spans="1:6">
      <c r="A1701" s="102"/>
      <c r="B1701" s="114"/>
      <c r="C1701" s="103"/>
      <c r="D1701" s="104"/>
      <c r="E1701" s="143"/>
      <c r="F1701" s="131"/>
    </row>
    <row r="1702" spans="1:6">
      <c r="A1702" s="79"/>
      <c r="B1702" s="117" t="s">
        <v>839</v>
      </c>
      <c r="C1702" s="81"/>
      <c r="D1702" s="82"/>
      <c r="E1702" s="143"/>
      <c r="F1702" s="131"/>
    </row>
    <row r="1703" spans="1:6">
      <c r="A1703" s="102"/>
      <c r="B1703" s="114"/>
      <c r="C1703" s="103"/>
      <c r="D1703" s="104"/>
      <c r="E1703" s="143"/>
      <c r="F1703" s="131"/>
    </row>
    <row r="1704" spans="1:6">
      <c r="A1704" s="102"/>
      <c r="B1704" s="114"/>
      <c r="C1704" s="103"/>
      <c r="D1704" s="104"/>
      <c r="E1704" s="143"/>
      <c r="F1704" s="131"/>
    </row>
    <row r="1705" spans="1:6">
      <c r="A1705" s="102"/>
      <c r="B1705" s="114"/>
      <c r="C1705" s="103"/>
      <c r="D1705" s="104"/>
      <c r="E1705" s="143"/>
      <c r="F1705" s="131"/>
    </row>
    <row r="1706" spans="1:6">
      <c r="A1706" s="85"/>
      <c r="B1706" s="86"/>
      <c r="C1706" s="87"/>
      <c r="D1706" s="88"/>
      <c r="E1706" s="145"/>
      <c r="F1706" s="133"/>
    </row>
    <row r="1707" spans="1:6">
      <c r="A1707" s="89"/>
      <c r="B1707" s="90"/>
      <c r="C1707" s="91" t="s">
        <v>35</v>
      </c>
      <c r="D1707" s="91"/>
      <c r="E1707" s="146" t="s">
        <v>8</v>
      </c>
      <c r="F1707" s="134">
        <f>SUM(F1666:F1703)</f>
        <v>336175.43999999994</v>
      </c>
    </row>
    <row r="1708" spans="1:6">
      <c r="A1708" s="89"/>
      <c r="B1708" s="90"/>
      <c r="C1708" s="92"/>
      <c r="D1708" s="93"/>
      <c r="E1708" s="147"/>
      <c r="F1708" s="135"/>
    </row>
    <row r="1709" spans="1:6">
      <c r="A1709" s="102"/>
      <c r="B1709" s="114"/>
      <c r="C1709" s="103"/>
      <c r="D1709" s="104"/>
      <c r="E1709" s="143"/>
      <c r="F1709" s="131"/>
    </row>
    <row r="1710" spans="1:6" ht="27.6">
      <c r="A1710" s="102"/>
      <c r="B1710" s="77" t="s">
        <v>746</v>
      </c>
      <c r="C1710" s="103"/>
      <c r="D1710" s="104"/>
      <c r="E1710" s="143"/>
      <c r="F1710" s="131"/>
    </row>
    <row r="1711" spans="1:6">
      <c r="A1711" s="102"/>
      <c r="B1711" s="114"/>
      <c r="C1711" s="103"/>
      <c r="D1711" s="104"/>
      <c r="E1711" s="143"/>
      <c r="F1711" s="131"/>
    </row>
    <row r="1712" spans="1:6">
      <c r="A1712" s="79" t="s">
        <v>16</v>
      </c>
      <c r="B1712" s="80" t="s">
        <v>840</v>
      </c>
      <c r="C1712" s="81" t="s">
        <v>280</v>
      </c>
      <c r="D1712" s="82" t="s">
        <v>44</v>
      </c>
      <c r="E1712" s="143">
        <v>674.6</v>
      </c>
      <c r="F1712" s="131">
        <f>C1712*E1712</f>
        <v>4047.6000000000004</v>
      </c>
    </row>
    <row r="1713" spans="1:6">
      <c r="A1713" s="102"/>
      <c r="B1713" s="114"/>
      <c r="C1713" s="103"/>
      <c r="D1713" s="104"/>
      <c r="E1713" s="143"/>
      <c r="F1713" s="131"/>
    </row>
    <row r="1714" spans="1:6">
      <c r="A1714" s="79"/>
      <c r="B1714" s="117" t="s">
        <v>841</v>
      </c>
      <c r="C1714" s="81"/>
      <c r="D1714" s="82"/>
      <c r="E1714" s="143"/>
      <c r="F1714" s="131"/>
    </row>
    <row r="1715" spans="1:6">
      <c r="A1715" s="102"/>
      <c r="B1715" s="114"/>
      <c r="C1715" s="103"/>
      <c r="D1715" s="104"/>
      <c r="E1715" s="143"/>
      <c r="F1715" s="131"/>
    </row>
    <row r="1716" spans="1:6">
      <c r="A1716" s="79"/>
      <c r="B1716" s="117" t="s">
        <v>842</v>
      </c>
      <c r="C1716" s="81"/>
      <c r="D1716" s="82"/>
      <c r="E1716" s="143"/>
      <c r="F1716" s="131"/>
    </row>
    <row r="1717" spans="1:6">
      <c r="A1717" s="102"/>
      <c r="B1717" s="114"/>
      <c r="C1717" s="103"/>
      <c r="D1717" s="104"/>
      <c r="E1717" s="143"/>
      <c r="F1717" s="131"/>
    </row>
    <row r="1718" spans="1:6">
      <c r="A1718" s="79" t="s">
        <v>19</v>
      </c>
      <c r="B1718" s="80" t="s">
        <v>843</v>
      </c>
      <c r="C1718" s="81" t="s">
        <v>692</v>
      </c>
      <c r="D1718" s="82" t="s">
        <v>44</v>
      </c>
      <c r="E1718" s="143">
        <v>188.89</v>
      </c>
      <c r="F1718" s="131">
        <f>C1718*E1718</f>
        <v>10955.619999999999</v>
      </c>
    </row>
    <row r="1719" spans="1:6">
      <c r="A1719" s="102"/>
      <c r="B1719" s="114"/>
      <c r="C1719" s="103"/>
      <c r="D1719" s="104"/>
      <c r="E1719" s="143"/>
      <c r="F1719" s="131"/>
    </row>
    <row r="1720" spans="1:6">
      <c r="A1720" s="79"/>
      <c r="B1720" s="117" t="s">
        <v>844</v>
      </c>
      <c r="C1720" s="81"/>
      <c r="D1720" s="82"/>
      <c r="E1720" s="143"/>
      <c r="F1720" s="131"/>
    </row>
    <row r="1721" spans="1:6">
      <c r="A1721" s="102"/>
      <c r="B1721" s="114"/>
      <c r="C1721" s="103"/>
      <c r="D1721" s="104"/>
      <c r="E1721" s="143"/>
      <c r="F1721" s="131"/>
    </row>
    <row r="1722" spans="1:6">
      <c r="A1722" s="79" t="s">
        <v>22</v>
      </c>
      <c r="B1722" s="80" t="s">
        <v>845</v>
      </c>
      <c r="C1722" s="81" t="s">
        <v>692</v>
      </c>
      <c r="D1722" s="82" t="s">
        <v>44</v>
      </c>
      <c r="E1722" s="143">
        <v>53.97</v>
      </c>
      <c r="F1722" s="131">
        <f>C1722*E1722</f>
        <v>3130.2599999999998</v>
      </c>
    </row>
    <row r="1723" spans="1:6">
      <c r="A1723" s="102"/>
      <c r="B1723" s="114"/>
      <c r="C1723" s="103"/>
      <c r="D1723" s="104"/>
      <c r="E1723" s="143"/>
      <c r="F1723" s="131"/>
    </row>
    <row r="1724" spans="1:6" ht="41.45">
      <c r="A1724" s="79" t="s">
        <v>26</v>
      </c>
      <c r="B1724" s="80" t="s">
        <v>846</v>
      </c>
      <c r="C1724" s="81">
        <v>1</v>
      </c>
      <c r="D1724" s="82" t="s">
        <v>2</v>
      </c>
      <c r="E1724" s="143">
        <v>303496.34000000003</v>
      </c>
      <c r="F1724" s="131">
        <f>C1724*E1724</f>
        <v>303496.34000000003</v>
      </c>
    </row>
    <row r="1725" spans="1:6">
      <c r="A1725" s="102"/>
      <c r="B1725" s="114"/>
      <c r="C1725" s="103"/>
      <c r="D1725" s="104"/>
      <c r="E1725" s="143"/>
      <c r="F1725" s="131"/>
    </row>
    <row r="1726" spans="1:6" ht="41.45">
      <c r="A1726" s="79" t="s">
        <v>29</v>
      </c>
      <c r="B1726" s="80" t="s">
        <v>847</v>
      </c>
      <c r="C1726" s="81">
        <v>1</v>
      </c>
      <c r="D1726" s="82" t="s">
        <v>2</v>
      </c>
      <c r="E1726" s="143">
        <v>75874.080000000002</v>
      </c>
      <c r="F1726" s="131">
        <f>C1726*E1726</f>
        <v>75874.080000000002</v>
      </c>
    </row>
    <row r="1727" spans="1:6">
      <c r="A1727" s="102"/>
      <c r="B1727" s="114"/>
      <c r="C1727" s="103"/>
      <c r="D1727" s="104"/>
      <c r="E1727" s="143"/>
      <c r="F1727" s="131"/>
    </row>
    <row r="1728" spans="1:6">
      <c r="A1728" s="79"/>
      <c r="B1728" s="117" t="s">
        <v>848</v>
      </c>
      <c r="C1728" s="81"/>
      <c r="D1728" s="82"/>
      <c r="E1728" s="143"/>
      <c r="F1728" s="131"/>
    </row>
    <row r="1729" spans="1:6">
      <c r="A1729" s="102"/>
      <c r="B1729" s="114"/>
      <c r="C1729" s="103"/>
      <c r="D1729" s="104"/>
      <c r="E1729" s="143"/>
      <c r="F1729" s="131"/>
    </row>
    <row r="1730" spans="1:6">
      <c r="A1730" s="79"/>
      <c r="B1730" s="117" t="s">
        <v>842</v>
      </c>
      <c r="C1730" s="81"/>
      <c r="D1730" s="82"/>
      <c r="E1730" s="143"/>
      <c r="F1730" s="131"/>
    </row>
    <row r="1731" spans="1:6">
      <c r="A1731" s="102"/>
      <c r="B1731" s="114"/>
      <c r="C1731" s="103"/>
      <c r="D1731" s="104"/>
      <c r="E1731" s="143"/>
      <c r="F1731" s="131"/>
    </row>
    <row r="1732" spans="1:6">
      <c r="A1732" s="79" t="s">
        <v>33</v>
      </c>
      <c r="B1732" s="80" t="s">
        <v>849</v>
      </c>
      <c r="C1732" s="81" t="s">
        <v>453</v>
      </c>
      <c r="D1732" s="82" t="s">
        <v>44</v>
      </c>
      <c r="E1732" s="143">
        <v>593.66</v>
      </c>
      <c r="F1732" s="131">
        <f>C1732*E1732</f>
        <v>11873.199999999999</v>
      </c>
    </row>
    <row r="1733" spans="1:6">
      <c r="A1733" s="102"/>
      <c r="B1733" s="114"/>
      <c r="C1733" s="103"/>
      <c r="D1733" s="104"/>
      <c r="E1733" s="143"/>
      <c r="F1733" s="131"/>
    </row>
    <row r="1734" spans="1:6">
      <c r="A1734" s="79"/>
      <c r="B1734" s="117" t="s">
        <v>844</v>
      </c>
      <c r="C1734" s="81"/>
      <c r="D1734" s="82"/>
      <c r="E1734" s="143"/>
      <c r="F1734" s="131"/>
    </row>
    <row r="1735" spans="1:6">
      <c r="A1735" s="102"/>
      <c r="B1735" s="114"/>
      <c r="C1735" s="103"/>
      <c r="D1735" s="104"/>
      <c r="E1735" s="143"/>
      <c r="F1735" s="131"/>
    </row>
    <row r="1736" spans="1:6">
      <c r="A1736" s="79" t="s">
        <v>45</v>
      </c>
      <c r="B1736" s="80" t="s">
        <v>850</v>
      </c>
      <c r="C1736" s="81" t="s">
        <v>453</v>
      </c>
      <c r="D1736" s="82" t="s">
        <v>44</v>
      </c>
      <c r="E1736" s="143">
        <v>53.97</v>
      </c>
      <c r="F1736" s="131">
        <f>C1736*E1736</f>
        <v>1079.4000000000001</v>
      </c>
    </row>
    <row r="1737" spans="1:6">
      <c r="A1737" s="102"/>
      <c r="B1737" s="114"/>
      <c r="C1737" s="103"/>
      <c r="D1737" s="104"/>
      <c r="E1737" s="143"/>
      <c r="F1737" s="131"/>
    </row>
    <row r="1738" spans="1:6" ht="41.45">
      <c r="A1738" s="79" t="s">
        <v>49</v>
      </c>
      <c r="B1738" s="80" t="s">
        <v>851</v>
      </c>
      <c r="C1738" s="81">
        <v>1</v>
      </c>
      <c r="D1738" s="82" t="s">
        <v>2</v>
      </c>
      <c r="E1738" s="143">
        <v>5504.78</v>
      </c>
      <c r="F1738" s="131">
        <f>C1738*E1738</f>
        <v>5504.78</v>
      </c>
    </row>
    <row r="1739" spans="1:6">
      <c r="A1739" s="102"/>
      <c r="B1739" s="114"/>
      <c r="C1739" s="103"/>
      <c r="D1739" s="104"/>
      <c r="E1739" s="143"/>
      <c r="F1739" s="131"/>
    </row>
    <row r="1740" spans="1:6" ht="55.15">
      <c r="A1740" s="79" t="s">
        <v>61</v>
      </c>
      <c r="B1740" s="80" t="s">
        <v>852</v>
      </c>
      <c r="C1740" s="81">
        <v>1</v>
      </c>
      <c r="D1740" s="82" t="s">
        <v>2</v>
      </c>
      <c r="E1740" s="143"/>
      <c r="F1740" s="131" t="s">
        <v>853</v>
      </c>
    </row>
    <row r="1741" spans="1:6">
      <c r="A1741" s="102"/>
      <c r="B1741" s="114"/>
      <c r="C1741" s="103"/>
      <c r="D1741" s="104"/>
      <c r="E1741" s="143"/>
      <c r="F1741" s="131"/>
    </row>
    <row r="1742" spans="1:6">
      <c r="A1742" s="102"/>
      <c r="B1742" s="114"/>
      <c r="C1742" s="103"/>
      <c r="D1742" s="104"/>
      <c r="E1742" s="143"/>
      <c r="F1742" s="131"/>
    </row>
    <row r="1743" spans="1:6">
      <c r="A1743" s="102"/>
      <c r="B1743" s="114"/>
      <c r="C1743" s="103"/>
      <c r="D1743" s="104"/>
      <c r="E1743" s="143"/>
      <c r="F1743" s="131"/>
    </row>
    <row r="1744" spans="1:6">
      <c r="A1744" s="102"/>
      <c r="B1744" s="114"/>
      <c r="C1744" s="103"/>
      <c r="D1744" s="104"/>
      <c r="E1744" s="143"/>
      <c r="F1744" s="131"/>
    </row>
    <row r="1745" spans="1:6">
      <c r="A1745" s="102"/>
      <c r="B1745" s="114"/>
      <c r="C1745" s="103"/>
      <c r="D1745" s="104"/>
      <c r="E1745" s="143"/>
      <c r="F1745" s="131"/>
    </row>
    <row r="1746" spans="1:6">
      <c r="A1746" s="102"/>
      <c r="B1746" s="114"/>
      <c r="C1746" s="103"/>
      <c r="D1746" s="104"/>
      <c r="E1746" s="143"/>
      <c r="F1746" s="131"/>
    </row>
    <row r="1747" spans="1:6">
      <c r="A1747" s="85"/>
      <c r="B1747" s="86"/>
      <c r="C1747" s="87"/>
      <c r="D1747" s="88"/>
      <c r="E1747" s="145"/>
      <c r="F1747" s="133"/>
    </row>
    <row r="1748" spans="1:6">
      <c r="A1748" s="89"/>
      <c r="B1748" s="90"/>
      <c r="C1748" s="91" t="s">
        <v>35</v>
      </c>
      <c r="D1748" s="91"/>
      <c r="E1748" s="146" t="s">
        <v>8</v>
      </c>
      <c r="F1748" s="134">
        <f>SUM(F1710:F1743)</f>
        <v>415961.28000000009</v>
      </c>
    </row>
    <row r="1749" spans="1:6">
      <c r="A1749" s="89"/>
      <c r="B1749" s="90"/>
      <c r="C1749" s="92"/>
      <c r="D1749" s="93"/>
      <c r="E1749" s="147"/>
      <c r="F1749" s="135"/>
    </row>
    <row r="1750" spans="1:6">
      <c r="A1750" s="102"/>
      <c r="B1750" s="114"/>
      <c r="C1750" s="103"/>
      <c r="D1750" s="104"/>
      <c r="E1750" s="143"/>
      <c r="F1750" s="131"/>
    </row>
    <row r="1751" spans="1:6" ht="27.6">
      <c r="A1751" s="102"/>
      <c r="B1751" s="77" t="s">
        <v>746</v>
      </c>
      <c r="C1751" s="103"/>
      <c r="D1751" s="104"/>
      <c r="E1751" s="143"/>
      <c r="F1751" s="131"/>
    </row>
    <row r="1752" spans="1:6">
      <c r="A1752" s="102"/>
      <c r="B1752" s="114"/>
      <c r="C1752" s="103"/>
      <c r="D1752" s="104"/>
      <c r="E1752" s="143"/>
      <c r="F1752" s="131"/>
    </row>
    <row r="1753" spans="1:6" ht="55.15">
      <c r="A1753" s="79" t="s">
        <v>16</v>
      </c>
      <c r="B1753" s="80" t="s">
        <v>854</v>
      </c>
      <c r="C1753" s="81">
        <v>1</v>
      </c>
      <c r="D1753" s="82" t="s">
        <v>2</v>
      </c>
      <c r="E1753" s="143"/>
      <c r="F1753" s="131" t="s">
        <v>853</v>
      </c>
    </row>
    <row r="1754" spans="1:6">
      <c r="A1754" s="102"/>
      <c r="B1754" s="114"/>
      <c r="C1754" s="103"/>
      <c r="D1754" s="104"/>
      <c r="E1754" s="143"/>
      <c r="F1754" s="131"/>
    </row>
    <row r="1755" spans="1:6">
      <c r="A1755" s="79"/>
      <c r="B1755" s="117" t="s">
        <v>855</v>
      </c>
      <c r="C1755" s="81"/>
      <c r="D1755" s="82"/>
      <c r="E1755" s="143"/>
      <c r="F1755" s="131"/>
    </row>
    <row r="1756" spans="1:6">
      <c r="A1756" s="102"/>
      <c r="B1756" s="114"/>
      <c r="C1756" s="103"/>
      <c r="D1756" s="104"/>
      <c r="E1756" s="143"/>
      <c r="F1756" s="131"/>
    </row>
    <row r="1757" spans="1:6" ht="55.15">
      <c r="A1757" s="79" t="s">
        <v>19</v>
      </c>
      <c r="B1757" s="80" t="s">
        <v>856</v>
      </c>
      <c r="C1757" s="81">
        <v>1</v>
      </c>
      <c r="D1757" s="82" t="s">
        <v>2</v>
      </c>
      <c r="E1757" s="143">
        <v>115268.74</v>
      </c>
      <c r="F1757" s="131">
        <f>C1757*E1757</f>
        <v>115268.74</v>
      </c>
    </row>
    <row r="1758" spans="1:6">
      <c r="A1758" s="102"/>
      <c r="B1758" s="114"/>
      <c r="C1758" s="103"/>
      <c r="D1758" s="104"/>
      <c r="E1758" s="143"/>
      <c r="F1758" s="131"/>
    </row>
    <row r="1759" spans="1:6" ht="55.15">
      <c r="A1759" s="79" t="s">
        <v>22</v>
      </c>
      <c r="B1759" s="80" t="s">
        <v>857</v>
      </c>
      <c r="C1759" s="81">
        <v>1</v>
      </c>
      <c r="D1759" s="82" t="s">
        <v>2</v>
      </c>
      <c r="E1759" s="143">
        <v>252659.77</v>
      </c>
      <c r="F1759" s="131">
        <f>C1759*E1759</f>
        <v>252659.77</v>
      </c>
    </row>
    <row r="1760" spans="1:6">
      <c r="A1760" s="102"/>
      <c r="B1760" s="114"/>
      <c r="C1760" s="103"/>
      <c r="D1760" s="104"/>
      <c r="E1760" s="143"/>
      <c r="F1760" s="131"/>
    </row>
    <row r="1761" spans="1:6">
      <c r="A1761" s="79"/>
      <c r="B1761" s="117" t="s">
        <v>858</v>
      </c>
      <c r="C1761" s="81"/>
      <c r="D1761" s="82"/>
      <c r="E1761" s="143"/>
      <c r="F1761" s="131"/>
    </row>
    <row r="1762" spans="1:6">
      <c r="A1762" s="102"/>
      <c r="B1762" s="114"/>
      <c r="C1762" s="103"/>
      <c r="D1762" s="104"/>
      <c r="E1762" s="143"/>
      <c r="F1762" s="131"/>
    </row>
    <row r="1763" spans="1:6" ht="55.15">
      <c r="A1763" s="79" t="s">
        <v>26</v>
      </c>
      <c r="B1763" s="80" t="s">
        <v>859</v>
      </c>
      <c r="C1763" s="81">
        <v>1</v>
      </c>
      <c r="D1763" s="82" t="s">
        <v>2</v>
      </c>
      <c r="E1763" s="143">
        <v>20238.16</v>
      </c>
      <c r="F1763" s="131">
        <f>C1763*E1763</f>
        <v>20238.16</v>
      </c>
    </row>
    <row r="1764" spans="1:6">
      <c r="A1764" s="102"/>
      <c r="B1764" s="114"/>
      <c r="C1764" s="103"/>
      <c r="D1764" s="104"/>
      <c r="E1764" s="143"/>
      <c r="F1764" s="131"/>
    </row>
    <row r="1765" spans="1:6" ht="55.15">
      <c r="A1765" s="79" t="s">
        <v>29</v>
      </c>
      <c r="B1765" s="80" t="s">
        <v>860</v>
      </c>
      <c r="C1765" s="81">
        <v>1</v>
      </c>
      <c r="D1765" s="82" t="s">
        <v>2</v>
      </c>
      <c r="E1765" s="143">
        <v>20238.16</v>
      </c>
      <c r="F1765" s="131">
        <f>C1765*E1765</f>
        <v>20238.16</v>
      </c>
    </row>
    <row r="1766" spans="1:6">
      <c r="A1766" s="102"/>
      <c r="B1766" s="114"/>
      <c r="C1766" s="103"/>
      <c r="D1766" s="104"/>
      <c r="E1766" s="143"/>
      <c r="F1766" s="131"/>
    </row>
    <row r="1767" spans="1:6" ht="41.45">
      <c r="A1767" s="79" t="s">
        <v>33</v>
      </c>
      <c r="B1767" s="80" t="s">
        <v>861</v>
      </c>
      <c r="C1767" s="81">
        <v>1</v>
      </c>
      <c r="D1767" s="82" t="s">
        <v>2</v>
      </c>
      <c r="E1767" s="143">
        <v>5504.78</v>
      </c>
      <c r="F1767" s="131">
        <f>C1767*E1767</f>
        <v>5504.78</v>
      </c>
    </row>
    <row r="1768" spans="1:6">
      <c r="A1768" s="102"/>
      <c r="B1768" s="114"/>
      <c r="C1768" s="103"/>
      <c r="D1768" s="104"/>
      <c r="E1768" s="143"/>
      <c r="F1768" s="131"/>
    </row>
    <row r="1769" spans="1:6" ht="55.15">
      <c r="A1769" s="79" t="s">
        <v>45</v>
      </c>
      <c r="B1769" s="80" t="s">
        <v>862</v>
      </c>
      <c r="C1769" s="81">
        <v>1</v>
      </c>
      <c r="D1769" s="82" t="s">
        <v>2</v>
      </c>
      <c r="E1769" s="143">
        <v>24285.78</v>
      </c>
      <c r="F1769" s="131">
        <f>C1769*E1769</f>
        <v>24285.78</v>
      </c>
    </row>
    <row r="1770" spans="1:6">
      <c r="A1770" s="102"/>
      <c r="B1770" s="114"/>
      <c r="C1770" s="103"/>
      <c r="D1770" s="104"/>
      <c r="E1770" s="143"/>
      <c r="F1770" s="131"/>
    </row>
    <row r="1771" spans="1:6">
      <c r="A1771" s="102"/>
      <c r="B1771" s="114"/>
      <c r="C1771" s="103"/>
      <c r="D1771" s="104"/>
      <c r="E1771" s="143"/>
      <c r="F1771" s="131"/>
    </row>
    <row r="1772" spans="1:6">
      <c r="A1772" s="102"/>
      <c r="B1772" s="114"/>
      <c r="C1772" s="103"/>
      <c r="D1772" s="104"/>
      <c r="E1772" s="143"/>
      <c r="F1772" s="131"/>
    </row>
    <row r="1773" spans="1:6">
      <c r="A1773" s="102"/>
      <c r="B1773" s="114"/>
      <c r="C1773" s="103"/>
      <c r="D1773" s="104"/>
      <c r="E1773" s="143"/>
      <c r="F1773" s="131"/>
    </row>
    <row r="1774" spans="1:6">
      <c r="A1774" s="102"/>
      <c r="B1774" s="114"/>
      <c r="C1774" s="103"/>
      <c r="D1774" s="104"/>
      <c r="E1774" s="143"/>
      <c r="F1774" s="131"/>
    </row>
    <row r="1775" spans="1:6">
      <c r="A1775" s="102"/>
      <c r="B1775" s="114"/>
      <c r="C1775" s="103"/>
      <c r="D1775" s="104"/>
      <c r="E1775" s="143"/>
      <c r="F1775" s="131"/>
    </row>
    <row r="1776" spans="1:6">
      <c r="A1776" s="102"/>
      <c r="B1776" s="114"/>
      <c r="C1776" s="103"/>
      <c r="D1776" s="104"/>
      <c r="E1776" s="143"/>
      <c r="F1776" s="131"/>
    </row>
    <row r="1777" spans="1:6">
      <c r="A1777" s="85"/>
      <c r="B1777" s="86"/>
      <c r="C1777" s="87"/>
      <c r="D1777" s="88"/>
      <c r="E1777" s="145"/>
      <c r="F1777" s="133"/>
    </row>
    <row r="1778" spans="1:6">
      <c r="A1778" s="89"/>
      <c r="B1778" s="90"/>
      <c r="C1778" s="91" t="s">
        <v>35</v>
      </c>
      <c r="D1778" s="91"/>
      <c r="E1778" s="146" t="s">
        <v>8</v>
      </c>
      <c r="F1778" s="134">
        <f>SUM(F1753:F1772)</f>
        <v>438195.39</v>
      </c>
    </row>
    <row r="1779" spans="1:6">
      <c r="A1779" s="89"/>
      <c r="B1779" s="90"/>
      <c r="C1779" s="92"/>
      <c r="D1779" s="93"/>
      <c r="E1779" s="147"/>
      <c r="F1779" s="135"/>
    </row>
    <row r="1780" spans="1:6">
      <c r="A1780" s="102"/>
      <c r="B1780" s="114"/>
      <c r="C1780" s="103"/>
      <c r="D1780" s="104"/>
      <c r="E1780" s="143"/>
      <c r="F1780" s="131"/>
    </row>
    <row r="1781" spans="1:6" ht="27.6">
      <c r="A1781" s="102"/>
      <c r="B1781" s="77" t="s">
        <v>746</v>
      </c>
      <c r="C1781" s="103"/>
      <c r="D1781" s="104"/>
      <c r="E1781" s="143"/>
      <c r="F1781" s="131"/>
    </row>
    <row r="1782" spans="1:6">
      <c r="A1782" s="102"/>
      <c r="B1782" s="114"/>
      <c r="C1782" s="103"/>
      <c r="D1782" s="104"/>
      <c r="E1782" s="143"/>
      <c r="F1782" s="131"/>
    </row>
    <row r="1783" spans="1:6">
      <c r="A1783" s="79"/>
      <c r="B1783" s="117" t="s">
        <v>863</v>
      </c>
      <c r="C1783" s="81"/>
      <c r="D1783" s="82"/>
      <c r="E1783" s="143"/>
      <c r="F1783" s="131"/>
    </row>
    <row r="1784" spans="1:6">
      <c r="A1784" s="102"/>
      <c r="B1784" s="114"/>
      <c r="C1784" s="103"/>
      <c r="D1784" s="104"/>
      <c r="E1784" s="143"/>
      <c r="F1784" s="131"/>
    </row>
    <row r="1785" spans="1:6" ht="41.45">
      <c r="A1785" s="79" t="s">
        <v>16</v>
      </c>
      <c r="B1785" s="80" t="s">
        <v>864</v>
      </c>
      <c r="C1785" s="81">
        <v>1</v>
      </c>
      <c r="D1785" s="82" t="s">
        <v>2</v>
      </c>
      <c r="E1785" s="143">
        <v>5504.78</v>
      </c>
      <c r="F1785" s="131">
        <f>C1785*E1785</f>
        <v>5504.78</v>
      </c>
    </row>
    <row r="1786" spans="1:6">
      <c r="A1786" s="102"/>
      <c r="B1786" s="114"/>
      <c r="C1786" s="103"/>
      <c r="D1786" s="104"/>
      <c r="E1786" s="143"/>
      <c r="F1786" s="131"/>
    </row>
    <row r="1787" spans="1:6" ht="55.15">
      <c r="A1787" s="79" t="s">
        <v>19</v>
      </c>
      <c r="B1787" s="80" t="s">
        <v>865</v>
      </c>
      <c r="C1787" s="81">
        <v>1</v>
      </c>
      <c r="D1787" s="82" t="s">
        <v>2</v>
      </c>
      <c r="E1787" s="143"/>
      <c r="F1787" s="131" t="s">
        <v>853</v>
      </c>
    </row>
    <row r="1788" spans="1:6">
      <c r="A1788" s="102"/>
      <c r="B1788" s="114"/>
      <c r="C1788" s="103"/>
      <c r="D1788" s="104"/>
      <c r="E1788" s="143"/>
      <c r="F1788" s="131"/>
    </row>
    <row r="1789" spans="1:6" ht="55.15">
      <c r="A1789" s="79" t="s">
        <v>22</v>
      </c>
      <c r="B1789" s="80" t="s">
        <v>866</v>
      </c>
      <c r="C1789" s="81">
        <v>1</v>
      </c>
      <c r="D1789" s="82" t="s">
        <v>2</v>
      </c>
      <c r="E1789" s="143"/>
      <c r="F1789" s="131" t="s">
        <v>853</v>
      </c>
    </row>
    <row r="1790" spans="1:6">
      <c r="A1790" s="102"/>
      <c r="B1790" s="114"/>
      <c r="C1790" s="103"/>
      <c r="D1790" s="104"/>
      <c r="E1790" s="143"/>
      <c r="F1790" s="131"/>
    </row>
    <row r="1791" spans="1:6">
      <c r="A1791" s="102"/>
      <c r="B1791" s="114"/>
      <c r="C1791" s="103"/>
      <c r="D1791" s="104"/>
      <c r="E1791" s="143"/>
      <c r="F1791" s="131"/>
    </row>
    <row r="1792" spans="1:6">
      <c r="A1792" s="102"/>
      <c r="B1792" s="114"/>
      <c r="C1792" s="103"/>
      <c r="D1792" s="104"/>
      <c r="E1792" s="143"/>
      <c r="F1792" s="131"/>
    </row>
    <row r="1793" spans="1:6">
      <c r="A1793" s="102"/>
      <c r="B1793" s="114"/>
      <c r="C1793" s="103"/>
      <c r="D1793" s="104"/>
      <c r="E1793" s="143"/>
      <c r="F1793" s="131"/>
    </row>
    <row r="1794" spans="1:6">
      <c r="A1794" s="102"/>
      <c r="B1794" s="114"/>
      <c r="C1794" s="103"/>
      <c r="D1794" s="104"/>
      <c r="E1794" s="143"/>
      <c r="F1794" s="131"/>
    </row>
    <row r="1795" spans="1:6">
      <c r="A1795" s="102"/>
      <c r="B1795" s="114"/>
      <c r="C1795" s="103"/>
      <c r="D1795" s="104"/>
      <c r="E1795" s="143"/>
      <c r="F1795" s="131"/>
    </row>
    <row r="1796" spans="1:6">
      <c r="A1796" s="102"/>
      <c r="B1796" s="114"/>
      <c r="C1796" s="103"/>
      <c r="D1796" s="104"/>
      <c r="E1796" s="143"/>
      <c r="F1796" s="131"/>
    </row>
    <row r="1797" spans="1:6">
      <c r="A1797" s="102"/>
      <c r="B1797" s="114"/>
      <c r="C1797" s="103"/>
      <c r="D1797" s="104"/>
      <c r="E1797" s="143"/>
      <c r="F1797" s="131"/>
    </row>
    <row r="1798" spans="1:6">
      <c r="A1798" s="102"/>
      <c r="B1798" s="114"/>
      <c r="C1798" s="103"/>
      <c r="D1798" s="104"/>
      <c r="E1798" s="143"/>
      <c r="F1798" s="131"/>
    </row>
    <row r="1799" spans="1:6">
      <c r="A1799" s="102"/>
      <c r="B1799" s="114"/>
      <c r="C1799" s="103"/>
      <c r="D1799" s="104"/>
      <c r="E1799" s="143"/>
      <c r="F1799" s="131"/>
    </row>
    <row r="1800" spans="1:6">
      <c r="A1800" s="102"/>
      <c r="B1800" s="114"/>
      <c r="C1800" s="103"/>
      <c r="D1800" s="104"/>
      <c r="E1800" s="143"/>
      <c r="F1800" s="131"/>
    </row>
    <row r="1801" spans="1:6">
      <c r="A1801" s="102"/>
      <c r="B1801" s="114"/>
      <c r="C1801" s="103"/>
      <c r="D1801" s="104"/>
      <c r="E1801" s="143"/>
      <c r="F1801" s="131"/>
    </row>
    <row r="1802" spans="1:6">
      <c r="A1802" s="102"/>
      <c r="B1802" s="114"/>
      <c r="C1802" s="103"/>
      <c r="D1802" s="104"/>
      <c r="E1802" s="143"/>
      <c r="F1802" s="131"/>
    </row>
    <row r="1803" spans="1:6">
      <c r="A1803" s="102"/>
      <c r="B1803" s="114"/>
      <c r="C1803" s="103"/>
      <c r="D1803" s="104"/>
      <c r="E1803" s="143"/>
      <c r="F1803" s="131"/>
    </row>
    <row r="1804" spans="1:6">
      <c r="A1804" s="102"/>
      <c r="B1804" s="114"/>
      <c r="C1804" s="103"/>
      <c r="D1804" s="104"/>
      <c r="E1804" s="143"/>
      <c r="F1804" s="131"/>
    </row>
    <row r="1805" spans="1:6">
      <c r="A1805" s="102"/>
      <c r="B1805" s="114"/>
      <c r="C1805" s="103"/>
      <c r="D1805" s="104"/>
      <c r="E1805" s="143"/>
      <c r="F1805" s="131"/>
    </row>
    <row r="1806" spans="1:6">
      <c r="A1806" s="102"/>
      <c r="B1806" s="114"/>
      <c r="C1806" s="103"/>
      <c r="D1806" s="104"/>
      <c r="E1806" s="143"/>
      <c r="F1806" s="131"/>
    </row>
    <row r="1807" spans="1:6">
      <c r="A1807" s="102"/>
      <c r="B1807" s="114"/>
      <c r="C1807" s="103"/>
      <c r="D1807" s="104"/>
      <c r="E1807" s="143"/>
      <c r="F1807" s="131"/>
    </row>
    <row r="1808" spans="1:6">
      <c r="A1808" s="102"/>
      <c r="B1808" s="114"/>
      <c r="C1808" s="103"/>
      <c r="D1808" s="104"/>
      <c r="E1808" s="143"/>
      <c r="F1808" s="131"/>
    </row>
    <row r="1809" spans="1:6">
      <c r="A1809" s="102"/>
      <c r="B1809" s="114"/>
      <c r="C1809" s="103"/>
      <c r="D1809" s="104"/>
      <c r="E1809" s="143"/>
      <c r="F1809" s="131"/>
    </row>
    <row r="1810" spans="1:6">
      <c r="A1810" s="102"/>
      <c r="B1810" s="114"/>
      <c r="C1810" s="103"/>
      <c r="D1810" s="104"/>
      <c r="E1810" s="143"/>
      <c r="F1810" s="131"/>
    </row>
    <row r="1811" spans="1:6">
      <c r="A1811" s="102"/>
      <c r="B1811" s="114"/>
      <c r="C1811" s="103"/>
      <c r="D1811" s="104"/>
      <c r="E1811" s="143"/>
      <c r="F1811" s="131"/>
    </row>
    <row r="1812" spans="1:6">
      <c r="A1812" s="102"/>
      <c r="B1812" s="114"/>
      <c r="C1812" s="103"/>
      <c r="D1812" s="104"/>
      <c r="E1812" s="143"/>
      <c r="F1812" s="131"/>
    </row>
    <row r="1813" spans="1:6">
      <c r="A1813" s="102"/>
      <c r="B1813" s="114"/>
      <c r="C1813" s="103"/>
      <c r="D1813" s="104"/>
      <c r="E1813" s="143"/>
      <c r="F1813" s="131"/>
    </row>
    <row r="1814" spans="1:6">
      <c r="A1814" s="102"/>
      <c r="B1814" s="114"/>
      <c r="C1814" s="103"/>
      <c r="D1814" s="104"/>
      <c r="E1814" s="143"/>
      <c r="F1814" s="131"/>
    </row>
    <row r="1815" spans="1:6">
      <c r="A1815" s="102"/>
      <c r="B1815" s="114"/>
      <c r="C1815" s="103"/>
      <c r="D1815" s="104"/>
      <c r="E1815" s="143"/>
      <c r="F1815" s="131"/>
    </row>
    <row r="1816" spans="1:6">
      <c r="A1816" s="102"/>
      <c r="B1816" s="114"/>
      <c r="C1816" s="103"/>
      <c r="D1816" s="104"/>
      <c r="E1816" s="143"/>
      <c r="F1816" s="131"/>
    </row>
    <row r="1817" spans="1:6">
      <c r="A1817" s="102"/>
      <c r="B1817" s="114"/>
      <c r="C1817" s="103"/>
      <c r="D1817" s="104"/>
      <c r="E1817" s="143"/>
      <c r="F1817" s="131"/>
    </row>
    <row r="1818" spans="1:6">
      <c r="A1818" s="102"/>
      <c r="B1818" s="114"/>
      <c r="C1818" s="103"/>
      <c r="D1818" s="104"/>
      <c r="E1818" s="143"/>
      <c r="F1818" s="131"/>
    </row>
    <row r="1819" spans="1:6">
      <c r="A1819" s="85"/>
      <c r="B1819" s="86"/>
      <c r="C1819" s="87"/>
      <c r="D1819" s="88"/>
      <c r="E1819" s="145"/>
      <c r="F1819" s="133"/>
    </row>
    <row r="1820" spans="1:6">
      <c r="A1820" s="89"/>
      <c r="B1820" s="90"/>
      <c r="C1820" s="91" t="s">
        <v>35</v>
      </c>
      <c r="D1820" s="91"/>
      <c r="E1820" s="146" t="s">
        <v>8</v>
      </c>
      <c r="F1820" s="134">
        <f>SUM(F1785:F1797)</f>
        <v>5504.78</v>
      </c>
    </row>
    <row r="1821" spans="1:6">
      <c r="A1821" s="89"/>
      <c r="B1821" s="90"/>
      <c r="C1821" s="92"/>
      <c r="D1821" s="93"/>
      <c r="E1821" s="147"/>
      <c r="F1821" s="135"/>
    </row>
    <row r="1822" spans="1:6">
      <c r="A1822" s="102"/>
      <c r="B1822" s="114"/>
      <c r="C1822" s="103"/>
      <c r="D1822" s="104"/>
      <c r="E1822" s="143"/>
      <c r="F1822" s="131"/>
    </row>
    <row r="1823" spans="1:6">
      <c r="A1823" s="102"/>
      <c r="B1823" s="77" t="s">
        <v>867</v>
      </c>
      <c r="C1823" s="103"/>
      <c r="D1823" s="104"/>
      <c r="E1823" s="143"/>
      <c r="F1823" s="131"/>
    </row>
    <row r="1824" spans="1:6">
      <c r="A1824" s="102"/>
      <c r="B1824" s="114"/>
      <c r="C1824" s="103"/>
      <c r="D1824" s="104"/>
      <c r="E1824" s="143"/>
      <c r="F1824" s="131"/>
    </row>
    <row r="1825" spans="1:6" ht="55.15">
      <c r="A1825" s="79" t="s">
        <v>16</v>
      </c>
      <c r="B1825" s="80" t="s">
        <v>868</v>
      </c>
      <c r="C1825" s="81"/>
      <c r="D1825" s="82" t="s">
        <v>2</v>
      </c>
      <c r="E1825" s="143"/>
      <c r="F1825" s="131">
        <f>C1825*E1825</f>
        <v>0</v>
      </c>
    </row>
    <row r="1826" spans="1:6">
      <c r="A1826" s="39"/>
      <c r="B1826" s="119"/>
      <c r="C1826" s="40"/>
      <c r="D1826" s="41"/>
      <c r="E1826" s="143"/>
      <c r="F1826" s="131"/>
    </row>
    <row r="1827" spans="1:6">
      <c r="A1827" s="39"/>
      <c r="B1827" s="137" t="s">
        <v>869</v>
      </c>
      <c r="C1827" s="40"/>
      <c r="D1827" s="41"/>
      <c r="E1827" s="143"/>
      <c r="F1827" s="131"/>
    </row>
    <row r="1828" spans="1:6">
      <c r="A1828" s="39"/>
      <c r="B1828" s="119"/>
      <c r="C1828" s="40"/>
      <c r="D1828" s="41"/>
      <c r="E1828" s="143"/>
      <c r="F1828" s="131"/>
    </row>
    <row r="1829" spans="1:6">
      <c r="A1829" s="39" t="s">
        <v>19</v>
      </c>
      <c r="B1829" s="138" t="s">
        <v>870</v>
      </c>
      <c r="C1829" s="40">
        <v>31345</v>
      </c>
      <c r="D1829" s="41" t="s">
        <v>18</v>
      </c>
      <c r="E1829" s="143">
        <v>21.81</v>
      </c>
      <c r="F1829" s="131">
        <f>C1829*E1829</f>
        <v>683634.45</v>
      </c>
    </row>
    <row r="1830" spans="1:6">
      <c r="A1830" s="39"/>
      <c r="B1830" s="138"/>
      <c r="C1830" s="40"/>
      <c r="D1830" s="41"/>
      <c r="E1830" s="143"/>
      <c r="F1830" s="131"/>
    </row>
    <row r="1831" spans="1:6" ht="27.6">
      <c r="A1831" s="39" t="s">
        <v>22</v>
      </c>
      <c r="B1831" s="138" t="s">
        <v>871</v>
      </c>
      <c r="C1831" s="40">
        <v>1266</v>
      </c>
      <c r="D1831" s="41" t="s">
        <v>103</v>
      </c>
      <c r="E1831" s="143">
        <v>16.96</v>
      </c>
      <c r="F1831" s="131">
        <f>C1831*E1831</f>
        <v>21471.360000000001</v>
      </c>
    </row>
    <row r="1832" spans="1:6">
      <c r="A1832" s="39"/>
      <c r="B1832" s="139"/>
      <c r="C1832" s="40"/>
      <c r="D1832" s="41"/>
      <c r="E1832" s="143"/>
      <c r="F1832" s="131"/>
    </row>
    <row r="1833" spans="1:6">
      <c r="A1833" s="39"/>
      <c r="B1833" s="139"/>
      <c r="C1833" s="40"/>
      <c r="D1833" s="41"/>
      <c r="E1833" s="143"/>
      <c r="F1833" s="131"/>
    </row>
    <row r="1834" spans="1:6" ht="27.6">
      <c r="A1834" s="39" t="s">
        <v>872</v>
      </c>
      <c r="B1834" s="137" t="s">
        <v>873</v>
      </c>
      <c r="C1834" s="40"/>
      <c r="D1834" s="41"/>
      <c r="E1834" s="143"/>
      <c r="F1834" s="131"/>
    </row>
    <row r="1835" spans="1:6">
      <c r="A1835" s="39"/>
      <c r="B1835" s="139"/>
      <c r="C1835" s="40"/>
      <c r="D1835" s="41"/>
      <c r="E1835" s="143"/>
      <c r="F1835" s="131"/>
    </row>
    <row r="1836" spans="1:6" ht="41.45">
      <c r="A1836" s="39" t="s">
        <v>26</v>
      </c>
      <c r="B1836" s="138" t="s">
        <v>874</v>
      </c>
      <c r="C1836" s="40">
        <v>0</v>
      </c>
      <c r="D1836" s="41" t="s">
        <v>875</v>
      </c>
      <c r="E1836" s="143">
        <v>33.17</v>
      </c>
      <c r="F1836" s="131" t="s">
        <v>876</v>
      </c>
    </row>
    <row r="1837" spans="1:6">
      <c r="A1837" s="39"/>
      <c r="B1837" s="138"/>
      <c r="C1837" s="40"/>
      <c r="D1837" s="41"/>
      <c r="E1837" s="143"/>
      <c r="F1837" s="131"/>
    </row>
    <row r="1838" spans="1:6" ht="41.45">
      <c r="A1838" s="39" t="s">
        <v>29</v>
      </c>
      <c r="B1838" s="138" t="s">
        <v>877</v>
      </c>
      <c r="C1838" s="40">
        <v>0</v>
      </c>
      <c r="D1838" s="41" t="s">
        <v>875</v>
      </c>
      <c r="E1838" s="143">
        <v>33.17</v>
      </c>
      <c r="F1838" s="131" t="s">
        <v>876</v>
      </c>
    </row>
    <row r="1839" spans="1:6">
      <c r="A1839" s="39"/>
      <c r="B1839" s="138"/>
      <c r="C1839" s="40"/>
      <c r="D1839" s="41"/>
      <c r="E1839" s="143"/>
      <c r="F1839" s="131"/>
    </row>
    <row r="1840" spans="1:6" ht="27.6">
      <c r="A1840" s="39" t="s">
        <v>33</v>
      </c>
      <c r="B1840" s="138" t="s">
        <v>878</v>
      </c>
      <c r="C1840" s="40">
        <v>0</v>
      </c>
      <c r="D1840" s="41" t="s">
        <v>879</v>
      </c>
      <c r="E1840" s="143">
        <v>30.15</v>
      </c>
      <c r="F1840" s="131" t="s">
        <v>876</v>
      </c>
    </row>
    <row r="1841" spans="1:6">
      <c r="A1841" s="39"/>
      <c r="B1841" s="138"/>
      <c r="C1841" s="40"/>
      <c r="D1841" s="41"/>
      <c r="E1841" s="143"/>
      <c r="F1841" s="131"/>
    </row>
    <row r="1842" spans="1:6" ht="55.15">
      <c r="A1842" s="39" t="s">
        <v>45</v>
      </c>
      <c r="B1842" s="138" t="s">
        <v>880</v>
      </c>
      <c r="C1842" s="40">
        <v>0</v>
      </c>
      <c r="D1842" s="41" t="s">
        <v>875</v>
      </c>
      <c r="E1842" s="143">
        <v>35.54</v>
      </c>
      <c r="F1842" s="131" t="s">
        <v>876</v>
      </c>
    </row>
    <row r="1843" spans="1:6">
      <c r="A1843" s="39"/>
      <c r="B1843" s="138"/>
      <c r="C1843" s="40"/>
      <c r="D1843" s="41"/>
      <c r="E1843" s="143"/>
      <c r="F1843" s="131"/>
    </row>
    <row r="1844" spans="1:6" ht="27.6">
      <c r="A1844" s="39" t="s">
        <v>49</v>
      </c>
      <c r="B1844" s="138" t="s">
        <v>878</v>
      </c>
      <c r="C1844" s="40">
        <v>0</v>
      </c>
      <c r="D1844" s="41" t="s">
        <v>879</v>
      </c>
      <c r="E1844" s="143">
        <v>32.31</v>
      </c>
      <c r="F1844" s="131" t="s">
        <v>876</v>
      </c>
    </row>
    <row r="1845" spans="1:6">
      <c r="A1845" s="39"/>
      <c r="B1845" s="138"/>
      <c r="C1845" s="40"/>
      <c r="D1845" s="41"/>
      <c r="E1845" s="143"/>
      <c r="F1845" s="131"/>
    </row>
    <row r="1846" spans="1:6" ht="69">
      <c r="A1846" s="39" t="s">
        <v>61</v>
      </c>
      <c r="B1846" s="138" t="s">
        <v>881</v>
      </c>
      <c r="C1846" s="40">
        <v>0</v>
      </c>
      <c r="D1846" s="41" t="s">
        <v>875</v>
      </c>
      <c r="E1846" s="143">
        <v>33.17</v>
      </c>
      <c r="F1846" s="131" t="s">
        <v>876</v>
      </c>
    </row>
    <row r="1847" spans="1:6">
      <c r="A1847" s="39"/>
      <c r="B1847" s="138"/>
      <c r="C1847" s="40"/>
      <c r="D1847" s="41"/>
      <c r="E1847" s="143"/>
      <c r="F1847" s="131"/>
    </row>
    <row r="1848" spans="1:6" ht="27.6">
      <c r="A1848" s="39" t="s">
        <v>63</v>
      </c>
      <c r="B1848" s="138" t="s">
        <v>878</v>
      </c>
      <c r="C1848" s="40">
        <v>0</v>
      </c>
      <c r="D1848" s="41" t="s">
        <v>879</v>
      </c>
      <c r="E1848" s="143">
        <v>30.15</v>
      </c>
      <c r="F1848" s="131" t="s">
        <v>876</v>
      </c>
    </row>
    <row r="1849" spans="1:6">
      <c r="A1849" s="39"/>
      <c r="B1849" s="119"/>
      <c r="C1849" s="40"/>
      <c r="D1849" s="41"/>
      <c r="E1849" s="143"/>
      <c r="F1849" s="131"/>
    </row>
    <row r="1850" spans="1:6">
      <c r="A1850" s="39"/>
      <c r="B1850" s="119"/>
      <c r="C1850" s="40"/>
      <c r="D1850" s="41"/>
      <c r="E1850" s="143"/>
      <c r="F1850" s="131"/>
    </row>
    <row r="1851" spans="1:6">
      <c r="A1851" s="39"/>
      <c r="B1851" s="119"/>
      <c r="C1851" s="40"/>
      <c r="D1851" s="41"/>
      <c r="E1851" s="143"/>
      <c r="F1851" s="131"/>
    </row>
    <row r="1852" spans="1:6">
      <c r="A1852" s="102"/>
      <c r="B1852" s="114"/>
      <c r="C1852" s="103"/>
      <c r="D1852" s="104"/>
      <c r="E1852" s="143"/>
      <c r="F1852" s="131"/>
    </row>
    <row r="1853" spans="1:6">
      <c r="A1853" s="85"/>
      <c r="B1853" s="86"/>
      <c r="C1853" s="87"/>
      <c r="D1853" s="88"/>
      <c r="E1853" s="145"/>
      <c r="F1853" s="133"/>
    </row>
    <row r="1854" spans="1:6">
      <c r="A1854" s="89"/>
      <c r="B1854" s="90"/>
      <c r="C1854" s="91" t="s">
        <v>35</v>
      </c>
      <c r="D1854" s="91"/>
      <c r="E1854" s="146" t="s">
        <v>8</v>
      </c>
      <c r="F1854" s="134">
        <f>SUM(F1823:F1851)</f>
        <v>705105.80999999994</v>
      </c>
    </row>
    <row r="1855" spans="1:6">
      <c r="A1855" s="89"/>
      <c r="B1855" s="90"/>
      <c r="C1855" s="92"/>
      <c r="D1855" s="93"/>
      <c r="E1855" s="147"/>
      <c r="F1855" s="135"/>
    </row>
    <row r="1856" spans="1:6">
      <c r="A1856" s="102"/>
      <c r="B1856" s="114"/>
      <c r="C1856" s="103"/>
      <c r="D1856" s="104"/>
      <c r="E1856" s="143"/>
      <c r="F1856" s="131"/>
    </row>
    <row r="1857" spans="1:6">
      <c r="A1857" s="102"/>
      <c r="B1857" s="94" t="s">
        <v>882</v>
      </c>
      <c r="C1857" s="103"/>
      <c r="D1857" s="104"/>
      <c r="E1857" s="143"/>
      <c r="F1857" s="131"/>
    </row>
    <row r="1858" spans="1:6">
      <c r="A1858" s="102"/>
      <c r="B1858" s="114"/>
      <c r="C1858" s="103"/>
      <c r="D1858" s="104"/>
      <c r="E1858" s="143"/>
      <c r="F1858" s="131"/>
    </row>
    <row r="1859" spans="1:6">
      <c r="A1859" s="102"/>
      <c r="B1859" s="75" t="s">
        <v>883</v>
      </c>
      <c r="C1859" s="103"/>
      <c r="D1859" s="104"/>
      <c r="E1859" s="143"/>
      <c r="F1859" s="131">
        <f>F35</f>
        <v>180268.15999999997</v>
      </c>
    </row>
    <row r="1860" spans="1:6">
      <c r="A1860" s="102"/>
      <c r="B1860" s="105"/>
      <c r="C1860" s="103"/>
      <c r="D1860" s="104"/>
      <c r="E1860" s="143"/>
      <c r="F1860" s="131"/>
    </row>
    <row r="1861" spans="1:6">
      <c r="A1861" s="102"/>
      <c r="B1861" s="96" t="s">
        <v>884</v>
      </c>
      <c r="C1861" s="103"/>
      <c r="D1861" s="104"/>
      <c r="E1861" s="143"/>
      <c r="F1861" s="131">
        <f>F67</f>
        <v>497440.88</v>
      </c>
    </row>
    <row r="1862" spans="1:6">
      <c r="A1862" s="102"/>
      <c r="B1862" s="105"/>
      <c r="C1862" s="103"/>
      <c r="D1862" s="104"/>
      <c r="E1862" s="143"/>
      <c r="F1862" s="131"/>
    </row>
    <row r="1863" spans="1:6">
      <c r="A1863" s="102"/>
      <c r="B1863" s="75" t="s">
        <v>885</v>
      </c>
      <c r="C1863" s="103"/>
      <c r="D1863" s="104"/>
      <c r="E1863" s="143"/>
      <c r="F1863" s="131">
        <f>F102</f>
        <v>1834479.02</v>
      </c>
    </row>
    <row r="1864" spans="1:6">
      <c r="A1864" s="102"/>
      <c r="B1864" s="105"/>
      <c r="C1864" s="103"/>
      <c r="D1864" s="104"/>
      <c r="E1864" s="143"/>
      <c r="F1864" s="131"/>
    </row>
    <row r="1865" spans="1:6">
      <c r="A1865" s="102"/>
      <c r="B1865" s="96" t="s">
        <v>886</v>
      </c>
      <c r="C1865" s="103"/>
      <c r="D1865" s="104"/>
      <c r="E1865" s="143"/>
      <c r="F1865" s="131">
        <f>F138</f>
        <v>1601031.78</v>
      </c>
    </row>
    <row r="1866" spans="1:6">
      <c r="A1866" s="102"/>
      <c r="B1866" s="105"/>
      <c r="C1866" s="103"/>
      <c r="D1866" s="104"/>
      <c r="E1866" s="143"/>
      <c r="F1866" s="131"/>
    </row>
    <row r="1867" spans="1:6">
      <c r="A1867" s="102"/>
      <c r="B1867" s="75" t="s">
        <v>887</v>
      </c>
      <c r="C1867" s="103"/>
      <c r="D1867" s="104"/>
      <c r="E1867" s="143"/>
      <c r="F1867" s="131">
        <f>F171</f>
        <v>1105467.74</v>
      </c>
    </row>
    <row r="1868" spans="1:6">
      <c r="A1868" s="102"/>
      <c r="B1868" s="105"/>
      <c r="C1868" s="103"/>
      <c r="D1868" s="104"/>
      <c r="E1868" s="143"/>
      <c r="F1868" s="131"/>
    </row>
    <row r="1869" spans="1:6">
      <c r="A1869" s="102"/>
      <c r="B1869" s="96" t="s">
        <v>888</v>
      </c>
      <c r="C1869" s="103"/>
      <c r="D1869" s="104"/>
      <c r="E1869" s="143"/>
      <c r="F1869" s="131">
        <f>F204</f>
        <v>905908.0199999999</v>
      </c>
    </row>
    <row r="1870" spans="1:6">
      <c r="A1870" s="102"/>
      <c r="B1870" s="105"/>
      <c r="C1870" s="103"/>
      <c r="D1870" s="104"/>
      <c r="E1870" s="143"/>
      <c r="F1870" s="131"/>
    </row>
    <row r="1871" spans="1:6">
      <c r="A1871" s="102"/>
      <c r="B1871" s="75" t="s">
        <v>889</v>
      </c>
      <c r="C1871" s="103"/>
      <c r="D1871" s="104"/>
      <c r="E1871" s="143"/>
      <c r="F1871" s="131">
        <f>F253</f>
        <v>8952.5</v>
      </c>
    </row>
    <row r="1872" spans="1:6">
      <c r="A1872" s="102"/>
      <c r="B1872" s="105"/>
      <c r="C1872" s="103"/>
      <c r="D1872" s="104"/>
      <c r="E1872" s="143"/>
      <c r="F1872" s="131"/>
    </row>
    <row r="1873" spans="1:6">
      <c r="A1873" s="102"/>
      <c r="B1873" s="96" t="s">
        <v>890</v>
      </c>
      <c r="C1873" s="103"/>
      <c r="D1873" s="104"/>
      <c r="E1873" s="143"/>
      <c r="F1873" s="131">
        <f>F294</f>
        <v>230139.63</v>
      </c>
    </row>
    <row r="1874" spans="1:6">
      <c r="A1874" s="102"/>
      <c r="B1874" s="105"/>
      <c r="C1874" s="103"/>
      <c r="D1874" s="104"/>
      <c r="E1874" s="143"/>
      <c r="F1874" s="131"/>
    </row>
    <row r="1875" spans="1:6">
      <c r="A1875" s="102"/>
      <c r="B1875" s="75" t="s">
        <v>891</v>
      </c>
      <c r="C1875" s="103"/>
      <c r="D1875" s="104"/>
      <c r="E1875" s="143"/>
      <c r="F1875" s="131">
        <f>F332</f>
        <v>7814592.290000001</v>
      </c>
    </row>
    <row r="1876" spans="1:6">
      <c r="A1876" s="102"/>
      <c r="B1876" s="105"/>
      <c r="C1876" s="103"/>
      <c r="D1876" s="104"/>
      <c r="E1876" s="143"/>
      <c r="F1876" s="131"/>
    </row>
    <row r="1877" spans="1:6">
      <c r="A1877" s="102"/>
      <c r="B1877" s="96" t="s">
        <v>892</v>
      </c>
      <c r="C1877" s="103"/>
      <c r="D1877" s="104"/>
      <c r="E1877" s="143"/>
      <c r="F1877" s="131">
        <f>F371</f>
        <v>4804282.0500000007</v>
      </c>
    </row>
    <row r="1878" spans="1:6">
      <c r="A1878" s="102"/>
      <c r="B1878" s="105"/>
      <c r="C1878" s="103"/>
      <c r="D1878" s="104"/>
      <c r="E1878" s="143"/>
      <c r="F1878" s="131"/>
    </row>
    <row r="1879" spans="1:6">
      <c r="A1879" s="102"/>
      <c r="B1879" s="75" t="s">
        <v>893</v>
      </c>
      <c r="C1879" s="103"/>
      <c r="D1879" s="104"/>
      <c r="E1879" s="143"/>
      <c r="F1879" s="131">
        <f>F401</f>
        <v>64697.599999999999</v>
      </c>
    </row>
    <row r="1880" spans="1:6">
      <c r="A1880" s="102"/>
      <c r="B1880" s="105"/>
      <c r="C1880" s="103"/>
      <c r="D1880" s="104"/>
      <c r="E1880" s="143"/>
      <c r="F1880" s="131"/>
    </row>
    <row r="1881" spans="1:6">
      <c r="A1881" s="102"/>
      <c r="B1881" s="96" t="s">
        <v>894</v>
      </c>
      <c r="C1881" s="103"/>
      <c r="D1881" s="104"/>
      <c r="E1881" s="143"/>
      <c r="F1881" s="131">
        <f>F439</f>
        <v>453226.76</v>
      </c>
    </row>
    <row r="1882" spans="1:6">
      <c r="A1882" s="102"/>
      <c r="B1882" s="105"/>
      <c r="C1882" s="103"/>
      <c r="D1882" s="104"/>
      <c r="E1882" s="143"/>
      <c r="F1882" s="131"/>
    </row>
    <row r="1883" spans="1:6">
      <c r="A1883" s="102"/>
      <c r="B1883" s="75" t="s">
        <v>895</v>
      </c>
      <c r="C1883" s="103"/>
      <c r="D1883" s="104"/>
      <c r="E1883" s="143"/>
      <c r="F1883" s="131">
        <f>F485</f>
        <v>167665.00999999998</v>
      </c>
    </row>
    <row r="1884" spans="1:6">
      <c r="A1884" s="102"/>
      <c r="B1884" s="105"/>
      <c r="C1884" s="103"/>
      <c r="D1884" s="104"/>
      <c r="E1884" s="143"/>
      <c r="F1884" s="131"/>
    </row>
    <row r="1885" spans="1:6">
      <c r="A1885" s="102"/>
      <c r="B1885" s="96" t="s">
        <v>896</v>
      </c>
      <c r="C1885" s="103"/>
      <c r="D1885" s="104"/>
      <c r="E1885" s="143"/>
      <c r="F1885" s="131">
        <f>F520</f>
        <v>78278.84</v>
      </c>
    </row>
    <row r="1886" spans="1:6">
      <c r="A1886" s="102"/>
      <c r="B1886" s="105"/>
      <c r="C1886" s="103"/>
      <c r="D1886" s="104"/>
      <c r="E1886" s="143"/>
      <c r="F1886" s="131"/>
    </row>
    <row r="1887" spans="1:6">
      <c r="A1887" s="102"/>
      <c r="B1887" s="75" t="s">
        <v>897</v>
      </c>
      <c r="C1887" s="103"/>
      <c r="D1887" s="104"/>
      <c r="E1887" s="143"/>
      <c r="F1887" s="131">
        <f>F565</f>
        <v>214094.63</v>
      </c>
    </row>
    <row r="1888" spans="1:6">
      <c r="A1888" s="102"/>
      <c r="B1888" s="105"/>
      <c r="C1888" s="103"/>
      <c r="D1888" s="104"/>
      <c r="E1888" s="143"/>
      <c r="F1888" s="131"/>
    </row>
    <row r="1889" spans="1:6">
      <c r="A1889" s="102"/>
      <c r="B1889" s="96" t="s">
        <v>898</v>
      </c>
      <c r="C1889" s="103"/>
      <c r="D1889" s="104"/>
      <c r="E1889" s="143"/>
      <c r="F1889" s="131">
        <f>F608</f>
        <v>650972.86</v>
      </c>
    </row>
    <row r="1890" spans="1:6">
      <c r="A1890" s="102"/>
      <c r="B1890" s="105"/>
      <c r="C1890" s="103"/>
      <c r="D1890" s="104"/>
      <c r="E1890" s="143"/>
      <c r="F1890" s="131"/>
    </row>
    <row r="1891" spans="1:6">
      <c r="A1891" s="102"/>
      <c r="B1891" s="75" t="s">
        <v>899</v>
      </c>
      <c r="C1891" s="103"/>
      <c r="D1891" s="104"/>
      <c r="E1891" s="143"/>
      <c r="F1891" s="131">
        <f>F653</f>
        <v>113354.13000000002</v>
      </c>
    </row>
    <row r="1892" spans="1:6">
      <c r="A1892" s="102"/>
      <c r="B1892" s="105"/>
      <c r="C1892" s="103"/>
      <c r="D1892" s="104"/>
      <c r="E1892" s="143"/>
      <c r="F1892" s="131"/>
    </row>
    <row r="1893" spans="1:6">
      <c r="A1893" s="102"/>
      <c r="B1893" s="96" t="s">
        <v>900</v>
      </c>
      <c r="C1893" s="103"/>
      <c r="D1893" s="104"/>
      <c r="E1893" s="143"/>
      <c r="F1893" s="131">
        <f>F691</f>
        <v>33846.46</v>
      </c>
    </row>
    <row r="1894" spans="1:6">
      <c r="A1894" s="102"/>
      <c r="B1894" s="105"/>
      <c r="C1894" s="103"/>
      <c r="D1894" s="104"/>
      <c r="E1894" s="143"/>
      <c r="F1894" s="131"/>
    </row>
    <row r="1895" spans="1:6">
      <c r="A1895" s="102"/>
      <c r="B1895" s="75" t="s">
        <v>901</v>
      </c>
      <c r="C1895" s="103"/>
      <c r="D1895" s="104"/>
      <c r="E1895" s="143"/>
      <c r="F1895" s="131">
        <f>F725</f>
        <v>156784.22999999998</v>
      </c>
    </row>
    <row r="1896" spans="1:6">
      <c r="A1896" s="102"/>
      <c r="B1896" s="105"/>
      <c r="C1896" s="103"/>
      <c r="D1896" s="104"/>
      <c r="E1896" s="143"/>
      <c r="F1896" s="131"/>
    </row>
    <row r="1897" spans="1:6">
      <c r="A1897" s="102"/>
      <c r="B1897" s="96" t="s">
        <v>902</v>
      </c>
      <c r="C1897" s="103"/>
      <c r="D1897" s="104"/>
      <c r="E1897" s="143"/>
      <c r="F1897" s="131">
        <f>F765</f>
        <v>920460.09</v>
      </c>
    </row>
    <row r="1898" spans="1:6">
      <c r="A1898" s="102"/>
      <c r="B1898" s="105"/>
      <c r="C1898" s="103"/>
      <c r="D1898" s="104"/>
      <c r="E1898" s="143"/>
      <c r="F1898" s="131"/>
    </row>
    <row r="1899" spans="1:6">
      <c r="A1899" s="102"/>
      <c r="B1899" s="75" t="s">
        <v>903</v>
      </c>
      <c r="C1899" s="103"/>
      <c r="D1899" s="104"/>
      <c r="E1899" s="143"/>
      <c r="F1899" s="131">
        <f>F798</f>
        <v>59269.319999999992</v>
      </c>
    </row>
    <row r="1900" spans="1:6">
      <c r="A1900" s="102"/>
      <c r="B1900" s="105"/>
      <c r="C1900" s="103"/>
      <c r="D1900" s="104"/>
      <c r="E1900" s="143"/>
      <c r="F1900" s="131"/>
    </row>
    <row r="1901" spans="1:6">
      <c r="A1901" s="102"/>
      <c r="B1901" s="96" t="s">
        <v>904</v>
      </c>
      <c r="C1901" s="103"/>
      <c r="D1901" s="104"/>
      <c r="E1901" s="143"/>
      <c r="F1901" s="131">
        <f>F848</f>
        <v>16045.24</v>
      </c>
    </row>
    <row r="1902" spans="1:6">
      <c r="A1902" s="102"/>
      <c r="B1902" s="114"/>
      <c r="C1902" s="103"/>
      <c r="D1902" s="104"/>
      <c r="E1902" s="143"/>
      <c r="F1902" s="131"/>
    </row>
    <row r="1903" spans="1:6">
      <c r="A1903" s="102"/>
      <c r="B1903" s="114"/>
      <c r="C1903" s="103"/>
      <c r="D1903" s="104"/>
      <c r="E1903" s="143"/>
      <c r="F1903" s="131"/>
    </row>
    <row r="1904" spans="1:6">
      <c r="A1904" s="85"/>
      <c r="B1904" s="86"/>
      <c r="C1904" s="87"/>
      <c r="D1904" s="88"/>
      <c r="E1904" s="145"/>
      <c r="F1904" s="133"/>
    </row>
    <row r="1905" spans="1:6">
      <c r="A1905" s="89"/>
      <c r="B1905" s="90"/>
      <c r="C1905" s="91" t="s">
        <v>35</v>
      </c>
      <c r="D1905" s="91"/>
      <c r="E1905" s="146" t="s">
        <v>8</v>
      </c>
      <c r="F1905" s="134">
        <f>SUM(F1857:F1902)</f>
        <v>21911257.240000002</v>
      </c>
    </row>
    <row r="1906" spans="1:6">
      <c r="A1906" s="89"/>
      <c r="B1906" s="90"/>
      <c r="C1906" s="92"/>
      <c r="D1906" s="93"/>
      <c r="E1906" s="147"/>
      <c r="F1906" s="135"/>
    </row>
    <row r="1907" spans="1:6">
      <c r="A1907" s="102"/>
      <c r="B1907" s="114"/>
      <c r="C1907" s="103"/>
      <c r="D1907" s="104"/>
      <c r="E1907" s="143"/>
      <c r="F1907" s="131"/>
    </row>
    <row r="1908" spans="1:6">
      <c r="A1908" s="102"/>
      <c r="B1908" s="94" t="s">
        <v>882</v>
      </c>
      <c r="C1908" s="103"/>
      <c r="D1908" s="104"/>
      <c r="E1908" s="143"/>
      <c r="F1908" s="131"/>
    </row>
    <row r="1909" spans="1:6">
      <c r="A1909" s="102"/>
      <c r="B1909" s="105"/>
      <c r="C1909" s="103"/>
      <c r="D1909" s="104"/>
      <c r="E1909" s="143"/>
      <c r="F1909" s="131"/>
    </row>
    <row r="1910" spans="1:6">
      <c r="A1910" s="102"/>
      <c r="B1910" s="105" t="s">
        <v>905</v>
      </c>
      <c r="C1910" s="103"/>
      <c r="D1910" s="104"/>
      <c r="E1910" s="143"/>
      <c r="F1910" s="131"/>
    </row>
    <row r="1911" spans="1:6">
      <c r="A1911" s="102"/>
      <c r="B1911" s="105"/>
      <c r="C1911" s="103"/>
      <c r="D1911" s="104"/>
      <c r="E1911" s="143"/>
      <c r="F1911" s="131"/>
    </row>
    <row r="1912" spans="1:6">
      <c r="A1912" s="102"/>
      <c r="B1912" s="75" t="s">
        <v>906</v>
      </c>
      <c r="C1912" s="103"/>
      <c r="D1912" s="104"/>
      <c r="E1912" s="143"/>
      <c r="F1912" s="131">
        <f>F892</f>
        <v>58546.720000000001</v>
      </c>
    </row>
    <row r="1913" spans="1:6">
      <c r="A1913" s="102"/>
      <c r="B1913" s="105"/>
      <c r="C1913" s="103"/>
      <c r="D1913" s="104"/>
      <c r="E1913" s="143"/>
      <c r="F1913" s="131"/>
    </row>
    <row r="1914" spans="1:6">
      <c r="A1914" s="102"/>
      <c r="B1914" s="96" t="s">
        <v>907</v>
      </c>
      <c r="C1914" s="103"/>
      <c r="D1914" s="104"/>
      <c r="E1914" s="143"/>
      <c r="F1914" s="131">
        <f>F942</f>
        <v>41072.169999999991</v>
      </c>
    </row>
    <row r="1915" spans="1:6">
      <c r="A1915" s="102"/>
      <c r="B1915" s="105"/>
      <c r="C1915" s="103"/>
      <c r="D1915" s="104"/>
      <c r="E1915" s="143"/>
      <c r="F1915" s="131"/>
    </row>
    <row r="1916" spans="1:6">
      <c r="A1916" s="102"/>
      <c r="B1916" s="75" t="s">
        <v>908</v>
      </c>
      <c r="C1916" s="103"/>
      <c r="D1916" s="104"/>
      <c r="E1916" s="143"/>
      <c r="F1916" s="131">
        <f>F992</f>
        <v>225588.08</v>
      </c>
    </row>
    <row r="1917" spans="1:6">
      <c r="A1917" s="102"/>
      <c r="B1917" s="105"/>
      <c r="C1917" s="103"/>
      <c r="D1917" s="104"/>
      <c r="E1917" s="143"/>
      <c r="F1917" s="131"/>
    </row>
    <row r="1918" spans="1:6">
      <c r="A1918" s="102"/>
      <c r="B1918" s="96" t="s">
        <v>909</v>
      </c>
      <c r="C1918" s="103"/>
      <c r="D1918" s="104"/>
      <c r="E1918" s="143"/>
      <c r="F1918" s="131">
        <f>F1042</f>
        <v>268778.75</v>
      </c>
    </row>
    <row r="1919" spans="1:6">
      <c r="A1919" s="102"/>
      <c r="B1919" s="105"/>
      <c r="C1919" s="103"/>
      <c r="D1919" s="104"/>
      <c r="E1919" s="143"/>
      <c r="F1919" s="131"/>
    </row>
    <row r="1920" spans="1:6">
      <c r="A1920" s="102"/>
      <c r="B1920" s="75" t="s">
        <v>910</v>
      </c>
      <c r="C1920" s="103"/>
      <c r="D1920" s="104"/>
      <c r="E1920" s="143"/>
      <c r="F1920" s="131">
        <f>F1092</f>
        <v>43603.390000000007</v>
      </c>
    </row>
    <row r="1921" spans="1:6">
      <c r="A1921" s="102"/>
      <c r="B1921" s="105"/>
      <c r="C1921" s="103"/>
      <c r="D1921" s="104"/>
      <c r="E1921" s="143"/>
      <c r="F1921" s="131"/>
    </row>
    <row r="1922" spans="1:6">
      <c r="A1922" s="102"/>
      <c r="B1922" s="96" t="s">
        <v>911</v>
      </c>
      <c r="C1922" s="103"/>
      <c r="D1922" s="104"/>
      <c r="E1922" s="143"/>
      <c r="F1922" s="131">
        <f>F1142</f>
        <v>43928.469999999987</v>
      </c>
    </row>
    <row r="1923" spans="1:6">
      <c r="A1923" s="102"/>
      <c r="B1923" s="105"/>
      <c r="C1923" s="103"/>
      <c r="D1923" s="104"/>
      <c r="E1923" s="143"/>
      <c r="F1923" s="131"/>
    </row>
    <row r="1924" spans="1:6">
      <c r="A1924" s="102"/>
      <c r="B1924" s="75" t="s">
        <v>912</v>
      </c>
      <c r="C1924" s="103"/>
      <c r="D1924" s="104"/>
      <c r="E1924" s="143"/>
      <c r="F1924" s="131">
        <f>F1192</f>
        <v>395371.68</v>
      </c>
    </row>
    <row r="1925" spans="1:6">
      <c r="A1925" s="102"/>
      <c r="B1925" s="105"/>
      <c r="C1925" s="103"/>
      <c r="D1925" s="104"/>
      <c r="E1925" s="143"/>
      <c r="F1925" s="131"/>
    </row>
    <row r="1926" spans="1:6">
      <c r="A1926" s="102"/>
      <c r="B1926" s="96" t="s">
        <v>913</v>
      </c>
      <c r="C1926" s="103"/>
      <c r="D1926" s="104"/>
      <c r="E1926" s="143"/>
      <c r="F1926" s="131">
        <f>F1234</f>
        <v>113181.47</v>
      </c>
    </row>
    <row r="1927" spans="1:6">
      <c r="A1927" s="102"/>
      <c r="B1927" s="105"/>
      <c r="C1927" s="103"/>
      <c r="D1927" s="104"/>
      <c r="E1927" s="143"/>
      <c r="F1927" s="131"/>
    </row>
    <row r="1928" spans="1:6">
      <c r="A1928" s="102"/>
      <c r="B1928" s="75" t="s">
        <v>914</v>
      </c>
      <c r="C1928" s="103"/>
      <c r="D1928" s="104"/>
      <c r="E1928" s="143"/>
      <c r="F1928" s="131">
        <f>F1284</f>
        <v>1538.3799999999999</v>
      </c>
    </row>
    <row r="1929" spans="1:6">
      <c r="A1929" s="102"/>
      <c r="B1929" s="105"/>
      <c r="C1929" s="103"/>
      <c r="D1929" s="104"/>
      <c r="E1929" s="143"/>
      <c r="F1929" s="131"/>
    </row>
    <row r="1930" spans="1:6">
      <c r="A1930" s="102"/>
      <c r="B1930" s="96" t="s">
        <v>915</v>
      </c>
      <c r="C1930" s="103"/>
      <c r="D1930" s="104"/>
      <c r="E1930" s="143"/>
      <c r="F1930" s="131">
        <f>F1334</f>
        <v>33057.780000000006</v>
      </c>
    </row>
    <row r="1931" spans="1:6">
      <c r="A1931" s="102"/>
      <c r="B1931" s="105"/>
      <c r="C1931" s="103"/>
      <c r="D1931" s="104"/>
      <c r="E1931" s="143"/>
      <c r="F1931" s="131"/>
    </row>
    <row r="1932" spans="1:6">
      <c r="A1932" s="102"/>
      <c r="B1932" s="75" t="s">
        <v>916</v>
      </c>
      <c r="C1932" s="103"/>
      <c r="D1932" s="104"/>
      <c r="E1932" s="143"/>
      <c r="F1932" s="131">
        <f>F1379</f>
        <v>10241.190000000002</v>
      </c>
    </row>
    <row r="1933" spans="1:6">
      <c r="A1933" s="102"/>
      <c r="B1933" s="105"/>
      <c r="C1933" s="103"/>
      <c r="D1933" s="104"/>
      <c r="E1933" s="143"/>
      <c r="F1933" s="131"/>
    </row>
    <row r="1934" spans="1:6">
      <c r="A1934" s="102"/>
      <c r="B1934" s="96" t="s">
        <v>917</v>
      </c>
      <c r="C1934" s="103"/>
      <c r="D1934" s="104"/>
      <c r="E1934" s="143"/>
      <c r="F1934" s="131">
        <f>F1424</f>
        <v>68737.490000000005</v>
      </c>
    </row>
    <row r="1935" spans="1:6">
      <c r="A1935" s="102"/>
      <c r="B1935" s="105"/>
      <c r="C1935" s="103"/>
      <c r="D1935" s="104"/>
      <c r="E1935" s="143"/>
      <c r="F1935" s="131"/>
    </row>
    <row r="1936" spans="1:6">
      <c r="A1936" s="102"/>
      <c r="B1936" s="75" t="s">
        <v>918</v>
      </c>
      <c r="C1936" s="103"/>
      <c r="D1936" s="104"/>
      <c r="E1936" s="143"/>
      <c r="F1936" s="131">
        <f>F1469</f>
        <v>35029.230000000003</v>
      </c>
    </row>
    <row r="1937" spans="1:6">
      <c r="A1937" s="102"/>
      <c r="B1937" s="105"/>
      <c r="C1937" s="103"/>
      <c r="D1937" s="104"/>
      <c r="E1937" s="143"/>
      <c r="F1937" s="131"/>
    </row>
    <row r="1938" spans="1:6">
      <c r="A1938" s="102"/>
      <c r="B1938" s="96" t="s">
        <v>919</v>
      </c>
      <c r="C1938" s="103"/>
      <c r="D1938" s="104"/>
      <c r="E1938" s="143"/>
      <c r="F1938" s="131">
        <f>F1519</f>
        <v>2698.76</v>
      </c>
    </row>
    <row r="1939" spans="1:6">
      <c r="A1939" s="102"/>
      <c r="B1939" s="105"/>
      <c r="C1939" s="103"/>
      <c r="D1939" s="104"/>
      <c r="E1939" s="143"/>
      <c r="F1939" s="131"/>
    </row>
    <row r="1940" spans="1:6">
      <c r="A1940" s="102"/>
      <c r="B1940" s="75" t="s">
        <v>920</v>
      </c>
      <c r="C1940" s="103"/>
      <c r="D1940" s="104"/>
      <c r="E1940" s="143"/>
      <c r="F1940" s="131">
        <f>F1550</f>
        <v>137399.09999999998</v>
      </c>
    </row>
    <row r="1941" spans="1:6">
      <c r="A1941" s="102"/>
      <c r="B1941" s="105"/>
      <c r="C1941" s="103"/>
      <c r="D1941" s="104"/>
      <c r="E1941" s="143"/>
      <c r="F1941" s="131"/>
    </row>
    <row r="1942" spans="1:6">
      <c r="A1942" s="102"/>
      <c r="B1942" s="96" t="s">
        <v>921</v>
      </c>
      <c r="C1942" s="103"/>
      <c r="D1942" s="104"/>
      <c r="E1942" s="143"/>
      <c r="F1942" s="131">
        <f>F1586</f>
        <v>231826.25999999998</v>
      </c>
    </row>
    <row r="1943" spans="1:6">
      <c r="A1943" s="102"/>
      <c r="B1943" s="105"/>
      <c r="C1943" s="103"/>
      <c r="D1943" s="104"/>
      <c r="E1943" s="143"/>
      <c r="F1943" s="131"/>
    </row>
    <row r="1944" spans="1:6">
      <c r="A1944" s="102"/>
      <c r="B1944" s="75" t="s">
        <v>922</v>
      </c>
      <c r="C1944" s="103"/>
      <c r="D1944" s="104"/>
      <c r="E1944" s="143"/>
      <c r="F1944" s="131">
        <f>F1622</f>
        <v>98239.739999999991</v>
      </c>
    </row>
    <row r="1945" spans="1:6">
      <c r="A1945" s="102"/>
      <c r="B1945" s="105"/>
      <c r="C1945" s="103"/>
      <c r="D1945" s="104"/>
      <c r="E1945" s="143"/>
      <c r="F1945" s="131"/>
    </row>
    <row r="1946" spans="1:6">
      <c r="A1946" s="102"/>
      <c r="B1946" s="96" t="s">
        <v>923</v>
      </c>
      <c r="C1946" s="103"/>
      <c r="D1946" s="104"/>
      <c r="E1946" s="143"/>
      <c r="F1946" s="131">
        <f>F1663</f>
        <v>777004.83000000007</v>
      </c>
    </row>
    <row r="1947" spans="1:6">
      <c r="A1947" s="102"/>
      <c r="B1947" s="105"/>
      <c r="C1947" s="103"/>
      <c r="D1947" s="104"/>
      <c r="E1947" s="143"/>
      <c r="F1947" s="131"/>
    </row>
    <row r="1948" spans="1:6">
      <c r="A1948" s="102"/>
      <c r="B1948" s="75" t="s">
        <v>924</v>
      </c>
      <c r="C1948" s="103"/>
      <c r="D1948" s="104"/>
      <c r="E1948" s="143"/>
      <c r="F1948" s="131">
        <f>F1707</f>
        <v>336175.43999999994</v>
      </c>
    </row>
    <row r="1949" spans="1:6">
      <c r="A1949" s="102"/>
      <c r="B1949" s="105"/>
      <c r="C1949" s="103"/>
      <c r="D1949" s="104"/>
      <c r="E1949" s="143"/>
      <c r="F1949" s="131"/>
    </row>
    <row r="1950" spans="1:6">
      <c r="A1950" s="102"/>
      <c r="B1950" s="96" t="s">
        <v>925</v>
      </c>
      <c r="C1950" s="103"/>
      <c r="D1950" s="104"/>
      <c r="E1950" s="143"/>
      <c r="F1950" s="131">
        <f>F1748</f>
        <v>415961.28000000009</v>
      </c>
    </row>
    <row r="1951" spans="1:6">
      <c r="A1951" s="102"/>
      <c r="B1951" s="105"/>
      <c r="C1951" s="103"/>
      <c r="D1951" s="104"/>
      <c r="E1951" s="143"/>
      <c r="F1951" s="131"/>
    </row>
    <row r="1952" spans="1:6">
      <c r="A1952" s="102"/>
      <c r="B1952" s="75" t="s">
        <v>926</v>
      </c>
      <c r="C1952" s="103"/>
      <c r="D1952" s="104"/>
      <c r="E1952" s="143"/>
      <c r="F1952" s="131">
        <f>F1778</f>
        <v>438195.39</v>
      </c>
    </row>
    <row r="1953" spans="1:6">
      <c r="A1953" s="102"/>
      <c r="B1953" s="114"/>
      <c r="C1953" s="103"/>
      <c r="D1953" s="104"/>
      <c r="E1953" s="143"/>
      <c r="F1953" s="131"/>
    </row>
    <row r="1954" spans="1:6">
      <c r="A1954" s="102"/>
      <c r="B1954" s="121"/>
      <c r="C1954" s="103"/>
      <c r="D1954" s="104"/>
      <c r="E1954" s="143"/>
      <c r="F1954" s="131"/>
    </row>
    <row r="1955" spans="1:6">
      <c r="A1955" s="85"/>
      <c r="B1955" s="86"/>
      <c r="C1955" s="87"/>
      <c r="D1955" s="88"/>
      <c r="E1955" s="145"/>
      <c r="F1955" s="133"/>
    </row>
    <row r="1956" spans="1:6">
      <c r="A1956" s="89"/>
      <c r="B1956" s="90"/>
      <c r="C1956" s="91" t="s">
        <v>35</v>
      </c>
      <c r="D1956" s="91"/>
      <c r="E1956" s="146" t="s">
        <v>8</v>
      </c>
      <c r="F1956" s="134">
        <f>SUM(F1907:F1953)</f>
        <v>3776175.6</v>
      </c>
    </row>
    <row r="1957" spans="1:6">
      <c r="A1957" s="89"/>
      <c r="B1957" s="90"/>
      <c r="C1957" s="92"/>
      <c r="D1957" s="93"/>
      <c r="E1957" s="147"/>
      <c r="F1957" s="135"/>
    </row>
    <row r="1958" spans="1:6">
      <c r="A1958" s="102"/>
      <c r="B1958" s="121"/>
      <c r="C1958" s="103"/>
      <c r="D1958" s="104"/>
      <c r="E1958" s="143"/>
      <c r="F1958" s="131"/>
    </row>
    <row r="1959" spans="1:6">
      <c r="A1959" s="102"/>
      <c r="B1959" s="94" t="s">
        <v>882</v>
      </c>
      <c r="C1959" s="103"/>
      <c r="D1959" s="104"/>
      <c r="E1959" s="143"/>
      <c r="F1959" s="131"/>
    </row>
    <row r="1960" spans="1:6">
      <c r="A1960" s="102"/>
      <c r="B1960" s="114"/>
      <c r="C1960" s="103"/>
      <c r="D1960" s="104"/>
      <c r="E1960" s="143"/>
      <c r="F1960" s="131"/>
    </row>
    <row r="1961" spans="1:6">
      <c r="A1961" s="102"/>
      <c r="B1961" s="105" t="s">
        <v>905</v>
      </c>
      <c r="C1961" s="103"/>
      <c r="D1961" s="104"/>
      <c r="E1961" s="143"/>
      <c r="F1961" s="131"/>
    </row>
    <row r="1962" spans="1:6">
      <c r="A1962" s="102"/>
      <c r="B1962" s="121"/>
      <c r="C1962" s="103"/>
      <c r="D1962" s="104"/>
      <c r="E1962" s="143"/>
      <c r="F1962" s="131"/>
    </row>
    <row r="1963" spans="1:6">
      <c r="A1963" s="102"/>
      <c r="B1963" s="96" t="s">
        <v>927</v>
      </c>
      <c r="C1963" s="103"/>
      <c r="D1963" s="104"/>
      <c r="E1963" s="143"/>
      <c r="F1963" s="131">
        <f>F1820</f>
        <v>5504.78</v>
      </c>
    </row>
    <row r="1964" spans="1:6">
      <c r="A1964" s="102"/>
      <c r="B1964" s="105"/>
      <c r="C1964" s="103"/>
      <c r="D1964" s="104"/>
      <c r="E1964" s="143"/>
      <c r="F1964" s="131"/>
    </row>
    <row r="1965" spans="1:6">
      <c r="A1965" s="102"/>
      <c r="B1965" s="75" t="s">
        <v>928</v>
      </c>
      <c r="C1965" s="103"/>
      <c r="D1965" s="104"/>
      <c r="E1965" s="143"/>
      <c r="F1965" s="131">
        <f>F1854</f>
        <v>705105.80999999994</v>
      </c>
    </row>
    <row r="1966" spans="1:6">
      <c r="A1966" s="102"/>
      <c r="B1966" s="105"/>
      <c r="C1966" s="103"/>
      <c r="D1966" s="104"/>
      <c r="E1966" s="143"/>
      <c r="F1966" s="131"/>
    </row>
    <row r="1967" spans="1:6">
      <c r="A1967" s="102"/>
      <c r="B1967" s="96" t="s">
        <v>929</v>
      </c>
      <c r="C1967" s="103"/>
      <c r="D1967" s="104"/>
      <c r="E1967" s="143"/>
      <c r="F1967" s="131">
        <f>F1905</f>
        <v>21911257.240000002</v>
      </c>
    </row>
    <row r="1968" spans="1:6">
      <c r="A1968" s="102"/>
      <c r="B1968" s="105"/>
      <c r="C1968" s="103"/>
      <c r="D1968" s="104"/>
      <c r="E1968" s="143"/>
      <c r="F1968" s="131"/>
    </row>
    <row r="1969" spans="1:6">
      <c r="A1969" s="102"/>
      <c r="B1969" s="75" t="s">
        <v>930</v>
      </c>
      <c r="C1969" s="103"/>
      <c r="D1969" s="104"/>
      <c r="E1969" s="143"/>
      <c r="F1969" s="131">
        <f>F1956</f>
        <v>3776175.6</v>
      </c>
    </row>
    <row r="1970" spans="1:6">
      <c r="A1970" s="102"/>
      <c r="B1970" s="105"/>
      <c r="C1970" s="103"/>
      <c r="D1970" s="104"/>
      <c r="E1970" s="143"/>
      <c r="F1970" s="131"/>
    </row>
    <row r="1971" spans="1:6">
      <c r="A1971" s="102"/>
      <c r="B1971" s="96"/>
      <c r="C1971" s="103"/>
      <c r="D1971" s="104"/>
      <c r="E1971" s="143"/>
      <c r="F1971" s="131"/>
    </row>
    <row r="1972" spans="1:6">
      <c r="A1972" s="102"/>
      <c r="B1972" s="105"/>
      <c r="C1972" s="103"/>
      <c r="D1972" s="104"/>
      <c r="E1972" s="143"/>
      <c r="F1972" s="131"/>
    </row>
    <row r="1973" spans="1:6">
      <c r="A1973" s="102"/>
      <c r="B1973" s="75"/>
      <c r="C1973" s="103"/>
      <c r="D1973" s="104"/>
      <c r="E1973" s="143"/>
      <c r="F1973" s="131"/>
    </row>
    <row r="1974" spans="1:6">
      <c r="A1974" s="102"/>
      <c r="B1974" s="105"/>
      <c r="C1974" s="103"/>
      <c r="D1974" s="104"/>
      <c r="E1974" s="143"/>
      <c r="F1974" s="131"/>
    </row>
    <row r="1975" spans="1:6">
      <c r="A1975" s="102"/>
      <c r="B1975" s="96"/>
      <c r="C1975" s="103"/>
      <c r="D1975" s="104"/>
      <c r="E1975" s="143"/>
      <c r="F1975" s="131"/>
    </row>
    <row r="1976" spans="1:6">
      <c r="A1976" s="102"/>
      <c r="B1976" s="105"/>
      <c r="C1976" s="103"/>
      <c r="D1976" s="104"/>
      <c r="E1976" s="143"/>
      <c r="F1976" s="131"/>
    </row>
    <row r="1977" spans="1:6">
      <c r="A1977" s="102"/>
      <c r="B1977" s="75"/>
      <c r="C1977" s="103"/>
      <c r="D1977" s="104"/>
      <c r="E1977" s="143"/>
      <c r="F1977" s="131"/>
    </row>
    <row r="1978" spans="1:6">
      <c r="A1978" s="102"/>
      <c r="B1978" s="114"/>
      <c r="C1978" s="103"/>
      <c r="D1978" s="104"/>
      <c r="E1978" s="143"/>
      <c r="F1978" s="131"/>
    </row>
    <row r="1979" spans="1:6">
      <c r="A1979" s="102"/>
      <c r="B1979" s="94"/>
      <c r="C1979" s="103"/>
      <c r="D1979" s="104"/>
      <c r="E1979" s="143"/>
      <c r="F1979" s="131"/>
    </row>
    <row r="1980" spans="1:6">
      <c r="A1980" s="102"/>
      <c r="B1980" s="114"/>
      <c r="C1980" s="103"/>
      <c r="D1980" s="104"/>
      <c r="E1980" s="143"/>
      <c r="F1980" s="131"/>
    </row>
    <row r="1981" spans="1:6">
      <c r="A1981" s="102"/>
      <c r="B1981" s="120"/>
      <c r="C1981" s="103"/>
      <c r="D1981" s="104"/>
      <c r="E1981" s="143"/>
      <c r="F1981" s="131"/>
    </row>
    <row r="1982" spans="1:6">
      <c r="A1982" s="102"/>
      <c r="B1982" s="114"/>
      <c r="C1982" s="103"/>
      <c r="D1982" s="104"/>
      <c r="E1982" s="143"/>
      <c r="F1982" s="131"/>
    </row>
    <row r="1983" spans="1:6">
      <c r="A1983" s="102"/>
      <c r="B1983" s="94"/>
      <c r="C1983" s="103"/>
      <c r="D1983" s="104"/>
      <c r="E1983" s="143"/>
      <c r="F1983" s="131"/>
    </row>
    <row r="1984" spans="1:6">
      <c r="A1984" s="102"/>
      <c r="B1984" s="114"/>
      <c r="C1984" s="103"/>
      <c r="D1984" s="104"/>
      <c r="E1984" s="143"/>
      <c r="F1984" s="131"/>
    </row>
    <row r="1985" spans="1:6">
      <c r="A1985" s="102"/>
      <c r="B1985" s="120"/>
      <c r="C1985" s="103"/>
      <c r="D1985" s="104"/>
      <c r="E1985" s="143"/>
      <c r="F1985" s="131"/>
    </row>
    <row r="1986" spans="1:6">
      <c r="A1986" s="102"/>
      <c r="B1986" s="114"/>
      <c r="C1986" s="103"/>
      <c r="D1986" s="104"/>
      <c r="E1986" s="143"/>
      <c r="F1986" s="131"/>
    </row>
    <row r="1987" spans="1:6">
      <c r="A1987" s="102"/>
      <c r="B1987" s="94"/>
      <c r="C1987" s="103"/>
      <c r="D1987" s="104"/>
      <c r="E1987" s="143"/>
      <c r="F1987" s="131"/>
    </row>
    <row r="1988" spans="1:6">
      <c r="A1988" s="102"/>
      <c r="B1988" s="114"/>
      <c r="C1988" s="103"/>
      <c r="D1988" s="104"/>
      <c r="E1988" s="143"/>
      <c r="F1988" s="131"/>
    </row>
    <row r="1989" spans="1:6">
      <c r="A1989" s="102"/>
      <c r="B1989" s="120"/>
      <c r="C1989" s="103"/>
      <c r="D1989" s="104"/>
      <c r="E1989" s="143"/>
      <c r="F1989" s="131"/>
    </row>
    <row r="1990" spans="1:6">
      <c r="A1990" s="102"/>
      <c r="B1990" s="114"/>
      <c r="C1990" s="103"/>
      <c r="D1990" s="104"/>
      <c r="E1990" s="143"/>
      <c r="F1990" s="131"/>
    </row>
    <row r="1991" spans="1:6">
      <c r="A1991" s="102"/>
      <c r="B1991" s="94"/>
      <c r="C1991" s="103"/>
      <c r="D1991" s="104"/>
      <c r="E1991" s="143"/>
      <c r="F1991" s="131"/>
    </row>
    <row r="1992" spans="1:6">
      <c r="A1992" s="102"/>
      <c r="B1992" s="114"/>
      <c r="C1992" s="103"/>
      <c r="D1992" s="104"/>
      <c r="E1992" s="143"/>
      <c r="F1992" s="131"/>
    </row>
    <row r="1993" spans="1:6">
      <c r="A1993" s="102"/>
      <c r="B1993" s="120"/>
      <c r="C1993" s="103"/>
      <c r="D1993" s="104"/>
      <c r="E1993" s="143"/>
      <c r="F1993" s="131"/>
    </row>
    <row r="1994" spans="1:6">
      <c r="A1994" s="102"/>
      <c r="B1994" s="114"/>
      <c r="C1994" s="103"/>
      <c r="D1994" s="104"/>
      <c r="E1994" s="143"/>
      <c r="F1994" s="131"/>
    </row>
    <row r="1995" spans="1:6">
      <c r="A1995" s="102"/>
      <c r="B1995" s="94"/>
      <c r="C1995" s="103"/>
      <c r="D1995" s="104"/>
      <c r="E1995" s="143"/>
      <c r="F1995" s="131"/>
    </row>
    <row r="1996" spans="1:6">
      <c r="A1996" s="102"/>
      <c r="B1996" s="114"/>
      <c r="C1996" s="103"/>
      <c r="D1996" s="104"/>
      <c r="E1996" s="143"/>
      <c r="F1996" s="131"/>
    </row>
    <row r="1997" spans="1:6">
      <c r="A1997" s="102"/>
      <c r="B1997" s="114"/>
      <c r="C1997" s="103"/>
      <c r="D1997" s="104"/>
      <c r="E1997" s="143"/>
      <c r="F1997" s="131"/>
    </row>
    <row r="1998" spans="1:6">
      <c r="A1998" s="102"/>
      <c r="B1998" s="114"/>
      <c r="C1998" s="103"/>
      <c r="D1998" s="104"/>
      <c r="E1998" s="143"/>
      <c r="F1998" s="131"/>
    </row>
    <row r="1999" spans="1:6">
      <c r="A1999" s="102"/>
      <c r="B1999" s="114"/>
      <c r="C1999" s="103"/>
      <c r="D1999" s="104"/>
      <c r="E1999" s="143"/>
      <c r="F1999" s="131"/>
    </row>
    <row r="2000" spans="1:6">
      <c r="A2000" s="102"/>
      <c r="B2000" s="114"/>
      <c r="C2000" s="103"/>
      <c r="D2000" s="104"/>
      <c r="E2000" s="143"/>
      <c r="F2000" s="131"/>
    </row>
    <row r="2001" spans="1:6">
      <c r="A2001" s="102"/>
      <c r="B2001" s="114"/>
      <c r="C2001" s="103"/>
      <c r="D2001" s="104"/>
      <c r="E2001" s="143"/>
      <c r="F2001" s="131"/>
    </row>
    <row r="2002" spans="1:6">
      <c r="A2002" s="102"/>
      <c r="B2002" s="114"/>
      <c r="C2002" s="103"/>
      <c r="D2002" s="104"/>
      <c r="E2002" s="143"/>
      <c r="F2002" s="131"/>
    </row>
    <row r="2003" spans="1:6">
      <c r="A2003" s="102"/>
      <c r="B2003" s="114"/>
      <c r="C2003" s="103"/>
      <c r="D2003" s="104"/>
      <c r="E2003" s="143"/>
      <c r="F2003" s="131"/>
    </row>
    <row r="2004" spans="1:6">
      <c r="A2004" s="102"/>
      <c r="B2004" s="114"/>
      <c r="C2004" s="103"/>
      <c r="D2004" s="104"/>
      <c r="E2004" s="143"/>
      <c r="F2004" s="131"/>
    </row>
    <row r="2005" spans="1:6">
      <c r="A2005" s="102"/>
      <c r="B2005" s="114"/>
      <c r="C2005" s="103"/>
      <c r="D2005" s="104"/>
      <c r="E2005" s="143"/>
      <c r="F2005" s="131"/>
    </row>
    <row r="2006" spans="1:6">
      <c r="A2006" s="85"/>
      <c r="B2006" s="86"/>
      <c r="C2006" s="87"/>
      <c r="D2006" s="88"/>
      <c r="E2006" s="145"/>
      <c r="F2006" s="133"/>
    </row>
    <row r="2007" spans="1:6">
      <c r="A2007" s="89"/>
      <c r="B2007" s="90"/>
      <c r="C2007" s="91" t="s">
        <v>931</v>
      </c>
      <c r="D2007" s="91"/>
      <c r="E2007" s="146" t="s">
        <v>8</v>
      </c>
      <c r="F2007" s="134">
        <f>SUM(F1959:F1993)</f>
        <v>26398043.430000003</v>
      </c>
    </row>
    <row r="2008" spans="1:6">
      <c r="A2008" s="89"/>
      <c r="B2008" s="90"/>
      <c r="C2008" s="92"/>
      <c r="D2008" s="93"/>
      <c r="E2008" s="147"/>
      <c r="F2008" s="135"/>
    </row>
  </sheetData>
  <mergeCells count="4">
    <mergeCell ref="A1:A2"/>
    <mergeCell ref="B1:B2"/>
    <mergeCell ref="C1:C2"/>
    <mergeCell ref="D1:D2"/>
  </mergeCells>
  <phoneticPr fontId="19" type="noConversion"/>
  <printOptions horizontalCentered="1"/>
  <pageMargins left="0.6692913385826772" right="0.19685039370078741" top="0.82677165354330717" bottom="0.47244094488188981" header="0.19685039370078741" footer="0.23622047244094491"/>
  <pageSetup paperSize="9" scale="91" fitToHeight="0" orientation="portrait" useFirstPageNumber="1" r:id="rId1"/>
  <headerFooter>
    <oddHeader>&amp;R&amp;11
&amp;UBILL NO. 2 - DEMOLITIONS AND ALTERATIONS
DEMOLITIONS</oddHeader>
    <oddFooter>&amp;L&amp;8DMS 148704 BOQ - Nakheel Mall Al Khail&amp;C2/B5.1/&amp;P</oddFooter>
  </headerFooter>
  <rowBreaks count="47" manualBreakCount="47">
    <brk id="36" max="5" man="1"/>
    <brk id="68" max="5" man="1"/>
    <brk id="103" max="5" man="1"/>
    <brk id="139" max="5" man="1"/>
    <brk id="172" max="5" man="1"/>
    <brk id="205" max="5" man="1"/>
    <brk id="254" max="5" man="1"/>
    <brk id="295" max="5" man="1"/>
    <brk id="333" max="5" man="1"/>
    <brk id="372" max="5" man="1"/>
    <brk id="402" max="5" man="1"/>
    <brk id="440" max="5" man="1"/>
    <brk id="486" max="5" man="1"/>
    <brk id="521" max="5" man="1"/>
    <brk id="566" max="5" man="1"/>
    <brk id="609" max="5" man="1"/>
    <brk id="654" max="5" man="1"/>
    <brk id="692" max="5" man="1"/>
    <brk id="726" max="5" man="1"/>
    <brk id="766" max="5" man="1"/>
    <brk id="799" max="5" man="1"/>
    <brk id="849" max="5" man="1"/>
    <brk id="893" max="5" man="1"/>
    <brk id="943" max="5" man="1"/>
    <brk id="993" max="5" man="1"/>
    <brk id="1043" max="5" man="1"/>
    <brk id="1093" max="5" man="1"/>
    <brk id="1143" max="5" man="1"/>
    <brk id="1193" max="5" man="1"/>
    <brk id="1235" max="5" man="1"/>
    <brk id="1285" max="5" man="1"/>
    <brk id="1335" max="5" man="1"/>
    <brk id="1380" max="5" man="1"/>
    <brk id="1425" max="5" man="1"/>
    <brk id="1470" max="5" man="1"/>
    <brk id="1520" max="5" man="1"/>
    <brk id="1551" max="5" man="1"/>
    <brk id="1587" max="5" man="1"/>
    <brk id="1623" max="5" man="1"/>
    <brk id="1664" max="5" man="1"/>
    <brk id="1708" max="5" man="1"/>
    <brk id="1749" max="5" man="1"/>
    <brk id="1779" max="5" man="1"/>
    <brk id="1821" max="5" man="1"/>
    <brk id="1855" max="5" man="1"/>
    <brk id="1906" max="5" man="1"/>
    <brk id="1957" max="5"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693A5-5FC9-435F-BCDD-8EF96CC8B33C}">
  <sheetPr>
    <tabColor rgb="FF002060"/>
  </sheetPr>
  <dimension ref="A1:F192"/>
  <sheetViews>
    <sheetView view="pageBreakPreview" zoomScale="85" zoomScaleNormal="100" zoomScaleSheetLayoutView="85" zoomScalePageLayoutView="70" workbookViewId="0">
      <selection activeCell="E36" sqref="E36"/>
    </sheetView>
  </sheetViews>
  <sheetFormatPr defaultColWidth="9.28515625" defaultRowHeight="13.9"/>
  <cols>
    <col min="1" max="1" width="5.7109375" style="97" customWidth="1"/>
    <col min="2" max="2" width="46" style="122" customWidth="1"/>
    <col min="3" max="3" width="11.5703125" style="99" customWidth="1"/>
    <col min="4" max="4" width="6.7109375" style="100" customWidth="1"/>
    <col min="5" max="5" width="16.85546875" style="146" customWidth="1"/>
    <col min="6" max="6" width="15.7109375" style="136" customWidth="1"/>
    <col min="7" max="16384" width="9.28515625" style="76"/>
  </cols>
  <sheetData>
    <row r="1" spans="1:6" s="101" customFormat="1" ht="14.45">
      <c r="A1" s="193" t="s">
        <v>2</v>
      </c>
      <c r="B1" s="193" t="s">
        <v>3</v>
      </c>
      <c r="C1" s="195" t="s">
        <v>4</v>
      </c>
      <c r="D1" s="197" t="s">
        <v>5</v>
      </c>
      <c r="E1" s="140" t="s">
        <v>6</v>
      </c>
      <c r="F1" s="128" t="s">
        <v>7</v>
      </c>
    </row>
    <row r="2" spans="1:6" s="101" customFormat="1" ht="14.45">
      <c r="A2" s="194"/>
      <c r="B2" s="194"/>
      <c r="C2" s="196"/>
      <c r="D2" s="198"/>
      <c r="E2" s="141" t="s">
        <v>8</v>
      </c>
      <c r="F2" s="129" t="s">
        <v>8</v>
      </c>
    </row>
    <row r="3" spans="1:6" s="101" customFormat="1" ht="6.6" customHeight="1">
      <c r="A3" s="69"/>
      <c r="B3" s="111"/>
      <c r="C3" s="70"/>
      <c r="D3" s="71"/>
      <c r="E3" s="142"/>
      <c r="F3" s="130"/>
    </row>
    <row r="4" spans="1:6">
      <c r="A4" s="102"/>
      <c r="B4" s="112" t="s">
        <v>9</v>
      </c>
      <c r="C4" s="103"/>
      <c r="D4" s="104"/>
      <c r="E4" s="143"/>
      <c r="F4" s="131"/>
    </row>
    <row r="5" spans="1:6" ht="4.9000000000000004" customHeight="1">
      <c r="A5" s="102"/>
      <c r="B5" s="113"/>
      <c r="C5" s="103"/>
      <c r="D5" s="104"/>
      <c r="E5" s="143"/>
      <c r="F5" s="131"/>
    </row>
    <row r="6" spans="1:6">
      <c r="A6" s="102"/>
      <c r="B6" s="77" t="s">
        <v>10</v>
      </c>
      <c r="C6" s="103"/>
      <c r="D6" s="104"/>
      <c r="E6" s="143"/>
      <c r="F6" s="131"/>
    </row>
    <row r="7" spans="1:6" ht="8.4499999999999993" customHeight="1">
      <c r="A7" s="102"/>
      <c r="B7" s="114"/>
      <c r="C7" s="103"/>
      <c r="D7" s="104"/>
      <c r="E7" s="143"/>
      <c r="F7" s="131"/>
    </row>
    <row r="8" spans="1:6">
      <c r="A8" s="79"/>
      <c r="B8" s="115" t="s">
        <v>11</v>
      </c>
      <c r="C8" s="81"/>
      <c r="D8" s="82"/>
      <c r="E8" s="143"/>
      <c r="F8" s="131"/>
    </row>
    <row r="9" spans="1:6" ht="7.15" customHeight="1">
      <c r="A9" s="102"/>
      <c r="B9" s="114"/>
      <c r="C9" s="103"/>
      <c r="D9" s="104"/>
      <c r="E9" s="143"/>
      <c r="F9" s="131"/>
    </row>
    <row r="10" spans="1:6" s="109" customFormat="1">
      <c r="A10" s="106"/>
      <c r="B10" s="116" t="s">
        <v>12</v>
      </c>
      <c r="C10" s="107"/>
      <c r="D10" s="108"/>
      <c r="E10" s="144"/>
      <c r="F10" s="132"/>
    </row>
    <row r="11" spans="1:6" ht="4.9000000000000004" customHeight="1">
      <c r="A11" s="102"/>
      <c r="B11" s="114"/>
      <c r="C11" s="103"/>
      <c r="D11" s="104"/>
      <c r="E11" s="143"/>
      <c r="F11" s="131"/>
    </row>
    <row r="12" spans="1:6" ht="27.6">
      <c r="A12" s="79"/>
      <c r="B12" s="115" t="s">
        <v>13</v>
      </c>
      <c r="C12" s="81"/>
      <c r="D12" s="82"/>
      <c r="E12" s="143"/>
      <c r="F12" s="131"/>
    </row>
    <row r="13" spans="1:6" ht="7.15" customHeight="1">
      <c r="A13" s="102"/>
      <c r="B13" s="114"/>
      <c r="C13" s="103"/>
      <c r="D13" s="104"/>
      <c r="E13" s="143"/>
      <c r="F13" s="131"/>
    </row>
    <row r="14" spans="1:6" ht="69">
      <c r="A14" s="79"/>
      <c r="B14" s="117" t="s">
        <v>14</v>
      </c>
      <c r="C14" s="81"/>
      <c r="D14" s="82"/>
      <c r="E14" s="143"/>
      <c r="F14" s="131"/>
    </row>
    <row r="15" spans="1:6" ht="10.15" customHeight="1">
      <c r="A15" s="102"/>
      <c r="B15" s="114"/>
      <c r="C15" s="103"/>
      <c r="D15" s="104"/>
      <c r="E15" s="143"/>
      <c r="F15" s="131"/>
    </row>
    <row r="16" spans="1:6" ht="27.6">
      <c r="A16" s="79"/>
      <c r="B16" s="117" t="s">
        <v>15</v>
      </c>
      <c r="C16" s="81"/>
      <c r="D16" s="82"/>
      <c r="E16" s="143"/>
      <c r="F16" s="131"/>
    </row>
    <row r="17" spans="1:6" ht="7.15" customHeight="1">
      <c r="A17" s="102"/>
      <c r="B17" s="114"/>
      <c r="C17" s="103"/>
      <c r="D17" s="104"/>
      <c r="E17" s="143"/>
      <c r="F17" s="131"/>
    </row>
    <row r="18" spans="1:6" s="166" customFormat="1" ht="69">
      <c r="A18" s="160" t="s">
        <v>16</v>
      </c>
      <c r="B18" s="161" t="s">
        <v>932</v>
      </c>
      <c r="C18" s="162">
        <v>25.04</v>
      </c>
      <c r="D18" s="163" t="s">
        <v>18</v>
      </c>
      <c r="E18" s="164">
        <v>358.1</v>
      </c>
      <c r="F18" s="165">
        <f>C18*E18</f>
        <v>8966.8240000000005</v>
      </c>
    </row>
    <row r="19" spans="1:6" ht="9" customHeight="1">
      <c r="A19" s="102"/>
      <c r="B19" s="114"/>
      <c r="C19" s="103"/>
      <c r="D19" s="104"/>
      <c r="E19" s="143"/>
      <c r="F19" s="131"/>
    </row>
    <row r="20" spans="1:6" s="166" customFormat="1" ht="55.15">
      <c r="A20" s="160" t="s">
        <v>19</v>
      </c>
      <c r="B20" s="161" t="s">
        <v>933</v>
      </c>
      <c r="C20" s="162">
        <v>27.62</v>
      </c>
      <c r="D20" s="163" t="s">
        <v>18</v>
      </c>
      <c r="E20" s="164">
        <v>414.01</v>
      </c>
      <c r="F20" s="165">
        <f>C20*E20</f>
        <v>11434.956200000001</v>
      </c>
    </row>
    <row r="21" spans="1:6" ht="9" customHeight="1">
      <c r="A21" s="102"/>
      <c r="B21" s="114"/>
      <c r="C21" s="103"/>
      <c r="D21" s="104"/>
      <c r="E21" s="143"/>
      <c r="F21" s="131"/>
    </row>
    <row r="22" spans="1:6" ht="27.6">
      <c r="A22" s="79"/>
      <c r="B22" s="117" t="s">
        <v>25</v>
      </c>
      <c r="C22" s="81"/>
      <c r="D22" s="82"/>
      <c r="E22" s="143"/>
      <c r="F22" s="131"/>
    </row>
    <row r="23" spans="1:6" ht="7.15" customHeight="1">
      <c r="A23" s="102"/>
      <c r="B23" s="114"/>
      <c r="C23" s="103"/>
      <c r="D23" s="104"/>
      <c r="E23" s="143"/>
      <c r="F23" s="131"/>
    </row>
    <row r="24" spans="1:6" s="166" customFormat="1" ht="41.45">
      <c r="A24" s="160" t="s">
        <v>22</v>
      </c>
      <c r="B24" s="161" t="s">
        <v>934</v>
      </c>
      <c r="C24" s="162">
        <v>36.840000000000003</v>
      </c>
      <c r="D24" s="163" t="s">
        <v>18</v>
      </c>
      <c r="E24" s="164">
        <v>414.01</v>
      </c>
      <c r="F24" s="165">
        <f>C24*E24</f>
        <v>15252.128400000001</v>
      </c>
    </row>
    <row r="25" spans="1:6" s="166" customFormat="1">
      <c r="A25" s="160"/>
      <c r="B25" s="161"/>
      <c r="C25" s="162"/>
      <c r="D25" s="163"/>
      <c r="E25" s="164"/>
      <c r="F25" s="165"/>
    </row>
    <row r="26" spans="1:6" ht="27.6">
      <c r="A26" s="79"/>
      <c r="B26" s="117" t="s">
        <v>37</v>
      </c>
      <c r="C26" s="81"/>
      <c r="D26" s="82"/>
      <c r="E26" s="143"/>
      <c r="F26" s="131"/>
    </row>
    <row r="27" spans="1:6" ht="7.15" customHeight="1">
      <c r="A27" s="102"/>
      <c r="B27" s="114"/>
      <c r="C27" s="103"/>
      <c r="D27" s="104"/>
      <c r="E27" s="143"/>
      <c r="F27" s="131"/>
    </row>
    <row r="28" spans="1:6" s="166" customFormat="1" ht="69">
      <c r="A28" s="160" t="s">
        <v>26</v>
      </c>
      <c r="B28" s="161" t="s">
        <v>932</v>
      </c>
      <c r="C28" s="162">
        <v>5.5</v>
      </c>
      <c r="D28" s="163" t="s">
        <v>18</v>
      </c>
      <c r="E28" s="164">
        <v>358.1</v>
      </c>
      <c r="F28" s="165">
        <f>C28*E28</f>
        <v>1969.5500000000002</v>
      </c>
    </row>
    <row r="29" spans="1:6" ht="7.9" customHeight="1">
      <c r="A29" s="102"/>
      <c r="B29" s="114"/>
      <c r="C29" s="103"/>
      <c r="D29" s="104"/>
      <c r="E29" s="143"/>
      <c r="F29" s="131"/>
    </row>
    <row r="30" spans="1:6" s="166" customFormat="1" ht="41.45">
      <c r="A30" s="160" t="s">
        <v>29</v>
      </c>
      <c r="B30" s="161" t="s">
        <v>934</v>
      </c>
      <c r="C30" s="162">
        <v>2.68</v>
      </c>
      <c r="D30" s="163" t="s">
        <v>18</v>
      </c>
      <c r="E30" s="164">
        <v>414.01</v>
      </c>
      <c r="F30" s="165">
        <f>C30*E30</f>
        <v>1109.5468000000001</v>
      </c>
    </row>
    <row r="31" spans="1:6" ht="7.9" customHeight="1">
      <c r="A31" s="102"/>
      <c r="B31" s="114"/>
      <c r="C31" s="103"/>
      <c r="D31" s="104"/>
      <c r="E31" s="143"/>
      <c r="F31" s="131"/>
    </row>
    <row r="32" spans="1:6">
      <c r="A32" s="79"/>
      <c r="B32" s="117" t="s">
        <v>40</v>
      </c>
      <c r="C32" s="81"/>
      <c r="D32" s="82"/>
      <c r="E32" s="143"/>
      <c r="F32" s="131"/>
    </row>
    <row r="33" spans="1:6" ht="7.9" customHeight="1">
      <c r="A33" s="102"/>
      <c r="B33" s="114"/>
      <c r="C33" s="103"/>
      <c r="D33" s="104"/>
      <c r="E33" s="143"/>
      <c r="F33" s="131"/>
    </row>
    <row r="34" spans="1:6" s="166" customFormat="1" ht="69">
      <c r="A34" s="160" t="s">
        <v>33</v>
      </c>
      <c r="B34" s="161" t="s">
        <v>932</v>
      </c>
      <c r="C34" s="162">
        <v>0.8</v>
      </c>
      <c r="D34" s="163" t="s">
        <v>18</v>
      </c>
      <c r="E34" s="164">
        <v>358.1</v>
      </c>
      <c r="F34" s="165">
        <f>C34*E34</f>
        <v>286.48</v>
      </c>
    </row>
    <row r="35" spans="1:6" ht="7.15" customHeight="1">
      <c r="A35" s="102"/>
      <c r="B35" s="114"/>
      <c r="C35" s="103"/>
      <c r="D35" s="104"/>
      <c r="E35" s="143"/>
      <c r="F35" s="131"/>
    </row>
    <row r="36" spans="1:6" s="166" customFormat="1" ht="41.45">
      <c r="A36" s="160" t="s">
        <v>45</v>
      </c>
      <c r="B36" s="161" t="s">
        <v>935</v>
      </c>
      <c r="C36" s="162">
        <v>22.17</v>
      </c>
      <c r="D36" s="163" t="s">
        <v>18</v>
      </c>
      <c r="E36" s="164">
        <v>414.01</v>
      </c>
      <c r="F36" s="165">
        <f>C36*E36</f>
        <v>9178.6017000000011</v>
      </c>
    </row>
    <row r="37" spans="1:6">
      <c r="A37" s="105"/>
      <c r="B37" s="112"/>
      <c r="C37" s="105"/>
      <c r="D37" s="110"/>
      <c r="E37" s="143"/>
      <c r="F37" s="131"/>
    </row>
    <row r="38" spans="1:6">
      <c r="A38" s="85"/>
      <c r="B38" s="86"/>
      <c r="C38" s="87"/>
      <c r="D38" s="88"/>
      <c r="E38" s="145"/>
      <c r="F38" s="133"/>
    </row>
    <row r="39" spans="1:6">
      <c r="A39" s="89"/>
      <c r="B39" s="90"/>
      <c r="C39" s="91" t="s">
        <v>35</v>
      </c>
      <c r="D39" s="91"/>
      <c r="E39" s="146" t="s">
        <v>8</v>
      </c>
      <c r="F39" s="134">
        <f>SUM(F17:F37)</f>
        <v>48198.087100000012</v>
      </c>
    </row>
    <row r="40" spans="1:6">
      <c r="A40" s="89"/>
      <c r="B40" s="90"/>
      <c r="C40" s="92"/>
      <c r="D40" s="93"/>
      <c r="E40" s="147"/>
      <c r="F40" s="135"/>
    </row>
    <row r="41" spans="1:6" ht="7.9" customHeight="1">
      <c r="A41" s="105"/>
      <c r="B41" s="112"/>
      <c r="C41" s="105"/>
      <c r="D41" s="110"/>
      <c r="E41" s="143"/>
      <c r="F41" s="131"/>
    </row>
    <row r="42" spans="1:6" ht="27.6">
      <c r="A42" s="102"/>
      <c r="B42" s="77" t="s">
        <v>36</v>
      </c>
      <c r="C42" s="103"/>
      <c r="D42" s="104"/>
      <c r="E42" s="143"/>
      <c r="F42" s="131"/>
    </row>
    <row r="43" spans="1:6" ht="8.4499999999999993" customHeight="1">
      <c r="A43" s="102"/>
      <c r="B43" s="114"/>
      <c r="C43" s="103"/>
      <c r="D43" s="104"/>
      <c r="E43" s="143"/>
      <c r="F43" s="131"/>
    </row>
    <row r="44" spans="1:6" ht="27.6">
      <c r="A44" s="79"/>
      <c r="B44" s="117" t="s">
        <v>48</v>
      </c>
      <c r="C44" s="81"/>
      <c r="D44" s="82"/>
      <c r="E44" s="143"/>
      <c r="F44" s="131"/>
    </row>
    <row r="45" spans="1:6" ht="7.15" customHeight="1">
      <c r="A45" s="102"/>
      <c r="B45" s="114"/>
      <c r="C45" s="103"/>
      <c r="D45" s="104"/>
      <c r="E45" s="143"/>
      <c r="F45" s="131"/>
    </row>
    <row r="46" spans="1:6" s="166" customFormat="1" ht="41.45">
      <c r="A46" s="160" t="s">
        <v>16</v>
      </c>
      <c r="B46" s="161" t="s">
        <v>936</v>
      </c>
      <c r="C46" s="162">
        <v>1.26</v>
      </c>
      <c r="D46" s="163" t="s">
        <v>18</v>
      </c>
      <c r="E46" s="164">
        <v>358.1</v>
      </c>
      <c r="F46" s="165">
        <f>C46*E46</f>
        <v>451.20600000000002</v>
      </c>
    </row>
    <row r="47" spans="1:6">
      <c r="A47" s="102"/>
      <c r="B47" s="118"/>
      <c r="C47" s="103"/>
      <c r="D47" s="104"/>
      <c r="E47" s="143"/>
      <c r="F47" s="131"/>
    </row>
    <row r="48" spans="1:6" s="166" customFormat="1" ht="41.45">
      <c r="A48" s="160" t="s">
        <v>19</v>
      </c>
      <c r="B48" s="161" t="s">
        <v>937</v>
      </c>
      <c r="C48" s="162">
        <v>1.1000000000000001</v>
      </c>
      <c r="D48" s="163" t="s">
        <v>18</v>
      </c>
      <c r="E48" s="164">
        <v>358.1</v>
      </c>
      <c r="F48" s="165">
        <f>C48*E48</f>
        <v>393.91000000000008</v>
      </c>
    </row>
    <row r="49" spans="1:6">
      <c r="A49" s="102"/>
      <c r="B49" s="114"/>
      <c r="C49" s="103"/>
      <c r="D49" s="104"/>
      <c r="E49" s="143"/>
      <c r="F49" s="131"/>
    </row>
    <row r="50" spans="1:6">
      <c r="A50" s="79"/>
      <c r="B50" s="117" t="s">
        <v>84</v>
      </c>
      <c r="C50" s="81"/>
      <c r="D50" s="82"/>
      <c r="E50" s="143"/>
      <c r="F50" s="131"/>
    </row>
    <row r="51" spans="1:6">
      <c r="A51" s="102"/>
      <c r="B51" s="114"/>
      <c r="C51" s="103"/>
      <c r="D51" s="104"/>
      <c r="E51" s="143"/>
      <c r="F51" s="131"/>
    </row>
    <row r="52" spans="1:6" s="166" customFormat="1" ht="41.45">
      <c r="A52" s="160" t="s">
        <v>22</v>
      </c>
      <c r="B52" s="161" t="s">
        <v>938</v>
      </c>
      <c r="C52" s="162">
        <v>6.08</v>
      </c>
      <c r="D52" s="163" t="s">
        <v>18</v>
      </c>
      <c r="E52" s="164">
        <v>414.01</v>
      </c>
      <c r="F52" s="165">
        <f>C52*E52</f>
        <v>2517.1808000000001</v>
      </c>
    </row>
    <row r="53" spans="1:6" s="166" customFormat="1">
      <c r="A53" s="160"/>
      <c r="B53" s="161"/>
      <c r="C53" s="162"/>
      <c r="D53" s="163"/>
      <c r="E53" s="164"/>
      <c r="F53" s="165"/>
    </row>
    <row r="54" spans="1:6" ht="27.6">
      <c r="A54" s="79"/>
      <c r="B54" s="117" t="s">
        <v>91</v>
      </c>
      <c r="C54" s="81"/>
      <c r="D54" s="82"/>
      <c r="E54" s="143"/>
      <c r="F54" s="131"/>
    </row>
    <row r="55" spans="1:6">
      <c r="A55" s="102"/>
      <c r="B55" s="114"/>
      <c r="C55" s="103"/>
      <c r="D55" s="104"/>
      <c r="E55" s="143"/>
      <c r="F55" s="131"/>
    </row>
    <row r="56" spans="1:6" s="166" customFormat="1" ht="41.45">
      <c r="A56" s="160" t="s">
        <v>26</v>
      </c>
      <c r="B56" s="161" t="s">
        <v>939</v>
      </c>
      <c r="C56" s="162">
        <v>10.4</v>
      </c>
      <c r="D56" s="163" t="s">
        <v>18</v>
      </c>
      <c r="E56" s="164">
        <v>358.1</v>
      </c>
      <c r="F56" s="165">
        <f>C56*E56</f>
        <v>3724.2400000000002</v>
      </c>
    </row>
    <row r="57" spans="1:6">
      <c r="A57" s="102"/>
      <c r="B57" s="114"/>
      <c r="C57" s="103"/>
      <c r="D57" s="104"/>
      <c r="E57" s="143"/>
      <c r="F57" s="131"/>
    </row>
    <row r="58" spans="1:6" ht="27.6">
      <c r="A58" s="79"/>
      <c r="B58" s="117" t="s">
        <v>93</v>
      </c>
      <c r="C58" s="81"/>
      <c r="D58" s="82"/>
      <c r="E58" s="143"/>
      <c r="F58" s="131"/>
    </row>
    <row r="59" spans="1:6">
      <c r="A59" s="102"/>
      <c r="B59" s="114"/>
      <c r="C59" s="103"/>
      <c r="D59" s="104"/>
      <c r="E59" s="143"/>
      <c r="F59" s="131"/>
    </row>
    <row r="60" spans="1:6" s="166" customFormat="1" ht="41.45">
      <c r="A60" s="160" t="s">
        <v>29</v>
      </c>
      <c r="B60" s="161" t="s">
        <v>940</v>
      </c>
      <c r="C60" s="162">
        <v>10</v>
      </c>
      <c r="D60" s="163" t="s">
        <v>18</v>
      </c>
      <c r="E60" s="164">
        <v>358.1</v>
      </c>
      <c r="F60" s="165">
        <f>C60*E60</f>
        <v>3581</v>
      </c>
    </row>
    <row r="61" spans="1:6">
      <c r="A61" s="105"/>
      <c r="B61" s="112"/>
      <c r="C61" s="105"/>
      <c r="D61" s="110"/>
      <c r="E61" s="143"/>
      <c r="F61" s="131"/>
    </row>
    <row r="62" spans="1:6" s="166" customFormat="1" ht="55.15">
      <c r="A62" s="160" t="s">
        <v>33</v>
      </c>
      <c r="B62" s="161" t="s">
        <v>941</v>
      </c>
      <c r="C62" s="162">
        <v>11.2</v>
      </c>
      <c r="D62" s="163" t="s">
        <v>18</v>
      </c>
      <c r="E62" s="164">
        <v>332.08983385714282</v>
      </c>
      <c r="F62" s="165">
        <f>C62*E62</f>
        <v>3719.4061391999994</v>
      </c>
    </row>
    <row r="63" spans="1:6">
      <c r="A63" s="102"/>
      <c r="B63" s="114"/>
      <c r="C63" s="103"/>
      <c r="D63" s="104"/>
      <c r="E63" s="143"/>
      <c r="F63" s="131"/>
    </row>
    <row r="64" spans="1:6" ht="27.6">
      <c r="A64" s="79"/>
      <c r="B64" s="117" t="s">
        <v>101</v>
      </c>
      <c r="C64" s="81"/>
      <c r="D64" s="82"/>
      <c r="E64" s="143"/>
      <c r="F64" s="131"/>
    </row>
    <row r="65" spans="1:6">
      <c r="A65" s="102"/>
      <c r="B65" s="114"/>
      <c r="C65" s="103"/>
      <c r="D65" s="104"/>
      <c r="E65" s="143"/>
      <c r="F65" s="131"/>
    </row>
    <row r="66" spans="1:6" s="166" customFormat="1" ht="55.15">
      <c r="A66" s="160" t="s">
        <v>45</v>
      </c>
      <c r="B66" s="161" t="s">
        <v>942</v>
      </c>
      <c r="C66" s="162">
        <v>76</v>
      </c>
      <c r="D66" s="163" t="s">
        <v>103</v>
      </c>
      <c r="E66" s="164">
        <v>302.18</v>
      </c>
      <c r="F66" s="165">
        <f>C66*E66</f>
        <v>22965.68</v>
      </c>
    </row>
    <row r="67" spans="1:6">
      <c r="A67" s="102"/>
      <c r="B67" s="114"/>
      <c r="C67" s="103"/>
      <c r="D67" s="104"/>
      <c r="E67" s="143"/>
      <c r="F67" s="131"/>
    </row>
    <row r="68" spans="1:6">
      <c r="A68" s="105"/>
      <c r="B68" s="112"/>
      <c r="C68" s="105"/>
      <c r="D68" s="110"/>
      <c r="E68" s="143"/>
      <c r="F68" s="131"/>
    </row>
    <row r="69" spans="1:6">
      <c r="A69" s="102"/>
      <c r="B69" s="114"/>
      <c r="C69" s="103"/>
      <c r="D69" s="104"/>
      <c r="E69" s="143"/>
      <c r="F69" s="131"/>
    </row>
    <row r="70" spans="1:6">
      <c r="A70" s="102"/>
      <c r="B70" s="114"/>
      <c r="C70" s="103"/>
      <c r="D70" s="104"/>
      <c r="E70" s="143"/>
      <c r="F70" s="131"/>
    </row>
    <row r="71" spans="1:6" ht="7.9" customHeight="1">
      <c r="A71" s="105"/>
      <c r="B71" s="112"/>
      <c r="C71" s="105"/>
      <c r="D71" s="110"/>
      <c r="E71" s="143"/>
      <c r="F71" s="131"/>
    </row>
    <row r="72" spans="1:6" ht="7.15" customHeight="1">
      <c r="A72" s="85"/>
      <c r="B72" s="86"/>
      <c r="C72" s="87"/>
      <c r="D72" s="88"/>
      <c r="E72" s="145"/>
      <c r="F72" s="133"/>
    </row>
    <row r="73" spans="1:6">
      <c r="A73" s="89"/>
      <c r="B73" s="90"/>
      <c r="C73" s="91" t="s">
        <v>35</v>
      </c>
      <c r="D73" s="91"/>
      <c r="E73" s="146" t="s">
        <v>8</v>
      </c>
      <c r="F73" s="134">
        <f>SUM(F42:F71)</f>
        <v>37352.622939199995</v>
      </c>
    </row>
    <row r="74" spans="1:6" ht="8.4499999999999993" customHeight="1">
      <c r="A74" s="89"/>
      <c r="B74" s="90"/>
      <c r="C74" s="92"/>
      <c r="D74" s="93"/>
      <c r="E74" s="147"/>
      <c r="F74" s="135"/>
    </row>
    <row r="75" spans="1:6">
      <c r="A75" s="105"/>
      <c r="B75" s="112"/>
      <c r="C75" s="105"/>
      <c r="D75" s="110"/>
      <c r="E75" s="143"/>
      <c r="F75" s="131"/>
    </row>
    <row r="76" spans="1:6" ht="27.6">
      <c r="A76" s="102"/>
      <c r="B76" s="77" t="s">
        <v>36</v>
      </c>
      <c r="C76" s="103"/>
      <c r="D76" s="104"/>
      <c r="E76" s="143"/>
      <c r="F76" s="131"/>
    </row>
    <row r="77" spans="1:6">
      <c r="A77" s="102"/>
      <c r="B77" s="118"/>
      <c r="C77" s="103"/>
      <c r="D77" s="104"/>
      <c r="E77" s="143"/>
      <c r="F77" s="131"/>
    </row>
    <row r="78" spans="1:6">
      <c r="A78" s="79"/>
      <c r="B78" s="117" t="s">
        <v>121</v>
      </c>
      <c r="C78" s="81"/>
      <c r="D78" s="82"/>
      <c r="E78" s="143"/>
      <c r="F78" s="131"/>
    </row>
    <row r="79" spans="1:6">
      <c r="A79" s="105"/>
      <c r="B79" s="112"/>
      <c r="C79" s="105"/>
      <c r="D79" s="110"/>
      <c r="E79" s="143"/>
      <c r="F79" s="131"/>
    </row>
    <row r="80" spans="1:6" s="166" customFormat="1" ht="27.6">
      <c r="A80" s="167"/>
      <c r="B80" s="172" t="s">
        <v>943</v>
      </c>
      <c r="C80" s="167"/>
      <c r="D80" s="168"/>
      <c r="E80" s="164"/>
      <c r="F80" s="165"/>
    </row>
    <row r="81" spans="1:6" s="166" customFormat="1">
      <c r="A81" s="167"/>
      <c r="B81" s="161"/>
      <c r="C81" s="167"/>
      <c r="D81" s="168"/>
      <c r="E81" s="164"/>
      <c r="F81" s="165"/>
    </row>
    <row r="82" spans="1:6" s="166" customFormat="1">
      <c r="A82" s="167"/>
      <c r="B82" s="169" t="s">
        <v>944</v>
      </c>
      <c r="C82" s="167"/>
      <c r="D82" s="168"/>
      <c r="E82" s="164"/>
      <c r="F82" s="165"/>
    </row>
    <row r="83" spans="1:6" s="166" customFormat="1">
      <c r="A83" s="167"/>
      <c r="B83" s="169"/>
      <c r="C83" s="167"/>
      <c r="D83" s="168"/>
      <c r="E83" s="164"/>
      <c r="F83" s="165"/>
    </row>
    <row r="84" spans="1:6" s="166" customFormat="1" ht="41.45">
      <c r="A84" s="160" t="s">
        <v>16</v>
      </c>
      <c r="B84" s="161" t="s">
        <v>945</v>
      </c>
      <c r="C84" s="162">
        <v>40</v>
      </c>
      <c r="D84" s="163" t="s">
        <v>946</v>
      </c>
      <c r="E84" s="164">
        <v>2064.4939800000002</v>
      </c>
      <c r="F84" s="165">
        <f t="shared" ref="F84:F92" si="0">C84*E84</f>
        <v>82579.7592</v>
      </c>
    </row>
    <row r="85" spans="1:6" s="166" customFormat="1">
      <c r="A85" s="160"/>
      <c r="B85" s="161"/>
      <c r="C85" s="162"/>
      <c r="D85" s="163"/>
      <c r="E85" s="164"/>
      <c r="F85" s="165"/>
    </row>
    <row r="86" spans="1:6" s="166" customFormat="1" ht="41.45">
      <c r="A86" s="160" t="s">
        <v>19</v>
      </c>
      <c r="B86" s="161" t="s">
        <v>947</v>
      </c>
      <c r="C86" s="162">
        <v>18</v>
      </c>
      <c r="D86" s="163" t="s">
        <v>946</v>
      </c>
      <c r="E86" s="164">
        <v>3440.8233</v>
      </c>
      <c r="F86" s="165">
        <f t="shared" si="0"/>
        <v>61934.8194</v>
      </c>
    </row>
    <row r="87" spans="1:6" s="166" customFormat="1">
      <c r="A87" s="160"/>
      <c r="B87" s="161"/>
      <c r="C87" s="162"/>
      <c r="D87" s="163"/>
      <c r="E87" s="164"/>
      <c r="F87" s="165"/>
    </row>
    <row r="88" spans="1:6" s="166" customFormat="1">
      <c r="A88" s="160"/>
      <c r="B88" s="169" t="s">
        <v>948</v>
      </c>
      <c r="C88" s="162"/>
      <c r="D88" s="163"/>
      <c r="E88" s="164"/>
      <c r="F88" s="165"/>
    </row>
    <row r="89" spans="1:6" s="166" customFormat="1">
      <c r="A89" s="160"/>
      <c r="B89" s="169"/>
      <c r="C89" s="162"/>
      <c r="D89" s="163"/>
      <c r="E89" s="164"/>
      <c r="F89" s="165"/>
    </row>
    <row r="90" spans="1:6" s="166" customFormat="1">
      <c r="A90" s="160" t="s">
        <v>22</v>
      </c>
      <c r="B90" s="161" t="s">
        <v>949</v>
      </c>
      <c r="C90" s="162">
        <v>3.15</v>
      </c>
      <c r="D90" s="163" t="s">
        <v>875</v>
      </c>
      <c r="E90" s="164">
        <v>10230.93</v>
      </c>
      <c r="F90" s="165">
        <f t="shared" si="0"/>
        <v>32227.429499999998</v>
      </c>
    </row>
    <row r="91" spans="1:6" s="166" customFormat="1">
      <c r="A91" s="160"/>
      <c r="B91" s="161"/>
      <c r="C91" s="162"/>
      <c r="D91" s="163"/>
      <c r="E91" s="164"/>
      <c r="F91" s="165"/>
    </row>
    <row r="92" spans="1:6" s="166" customFormat="1">
      <c r="A92" s="160" t="s">
        <v>26</v>
      </c>
      <c r="B92" s="161" t="s">
        <v>950</v>
      </c>
      <c r="C92" s="162">
        <v>2.3624999999999998</v>
      </c>
      <c r="D92" s="163" t="s">
        <v>875</v>
      </c>
      <c r="E92" s="164">
        <v>10230.93</v>
      </c>
      <c r="F92" s="165">
        <f t="shared" si="0"/>
        <v>24170.572124999999</v>
      </c>
    </row>
    <row r="93" spans="1:6">
      <c r="A93" s="79"/>
      <c r="B93" s="112"/>
      <c r="C93" s="105"/>
      <c r="D93" s="110"/>
      <c r="E93" s="158"/>
      <c r="F93" s="131"/>
    </row>
    <row r="94" spans="1:6">
      <c r="A94" s="102"/>
      <c r="B94" s="114"/>
      <c r="C94" s="103"/>
      <c r="D94" s="104"/>
      <c r="E94" s="143"/>
      <c r="F94" s="131"/>
    </row>
    <row r="95" spans="1:6">
      <c r="A95" s="79"/>
      <c r="B95" s="117"/>
      <c r="C95" s="81"/>
      <c r="D95" s="82"/>
      <c r="E95" s="143"/>
      <c r="F95" s="131"/>
    </row>
    <row r="96" spans="1:6">
      <c r="A96" s="102"/>
      <c r="B96" s="114"/>
      <c r="C96" s="103"/>
      <c r="D96" s="104"/>
      <c r="E96" s="143"/>
      <c r="F96" s="131"/>
    </row>
    <row r="97" spans="1:6">
      <c r="A97" s="79"/>
      <c r="B97" s="80"/>
      <c r="C97" s="81"/>
      <c r="D97" s="82"/>
      <c r="E97" s="143"/>
      <c r="F97" s="131"/>
    </row>
    <row r="98" spans="1:6">
      <c r="A98" s="105"/>
      <c r="B98" s="112"/>
      <c r="C98" s="105"/>
      <c r="D98" s="110"/>
      <c r="E98" s="143"/>
      <c r="F98" s="131"/>
    </row>
    <row r="99" spans="1:6">
      <c r="A99" s="105"/>
      <c r="B99" s="112"/>
      <c r="C99" s="105"/>
      <c r="D99" s="110"/>
      <c r="E99" s="143"/>
      <c r="F99" s="131"/>
    </row>
    <row r="100" spans="1:6">
      <c r="A100" s="85"/>
      <c r="B100" s="86"/>
      <c r="C100" s="87"/>
      <c r="D100" s="88"/>
      <c r="E100" s="145"/>
      <c r="F100" s="133"/>
    </row>
    <row r="101" spans="1:6">
      <c r="A101" s="89"/>
      <c r="B101" s="90"/>
      <c r="C101" s="91" t="s">
        <v>35</v>
      </c>
      <c r="D101" s="91"/>
      <c r="E101" s="146" t="s">
        <v>8</v>
      </c>
      <c r="F101" s="134">
        <f>SUM(F76:F99)</f>
        <v>200912.58022500001</v>
      </c>
    </row>
    <row r="102" spans="1:6">
      <c r="A102" s="89"/>
      <c r="B102" s="90"/>
      <c r="C102" s="92"/>
      <c r="D102" s="93"/>
      <c r="E102" s="147"/>
      <c r="F102" s="135"/>
    </row>
    <row r="103" spans="1:6">
      <c r="A103" s="105"/>
      <c r="B103" s="112"/>
      <c r="C103" s="105"/>
      <c r="D103" s="110"/>
      <c r="E103" s="143"/>
      <c r="F103" s="131"/>
    </row>
    <row r="104" spans="1:6">
      <c r="A104" s="102"/>
      <c r="B104" s="77" t="s">
        <v>134</v>
      </c>
      <c r="C104" s="103"/>
      <c r="D104" s="104"/>
      <c r="E104" s="143"/>
      <c r="F104" s="131"/>
    </row>
    <row r="105" spans="1:6">
      <c r="A105" s="102"/>
      <c r="B105" s="114"/>
      <c r="C105" s="103"/>
      <c r="D105" s="104"/>
      <c r="E105" s="143"/>
      <c r="F105" s="131"/>
    </row>
    <row r="106" spans="1:6">
      <c r="A106" s="79"/>
      <c r="B106" s="115" t="s">
        <v>135</v>
      </c>
      <c r="C106" s="81"/>
      <c r="D106" s="82"/>
      <c r="E106" s="143"/>
      <c r="F106" s="131"/>
    </row>
    <row r="107" spans="1:6">
      <c r="A107" s="102"/>
      <c r="B107" s="114"/>
      <c r="C107" s="103"/>
      <c r="D107" s="104"/>
      <c r="E107" s="143"/>
      <c r="F107" s="131"/>
    </row>
    <row r="108" spans="1:6" ht="27.6">
      <c r="A108" s="79"/>
      <c r="B108" s="115" t="s">
        <v>136</v>
      </c>
      <c r="C108" s="81"/>
      <c r="D108" s="82"/>
      <c r="E108" s="143"/>
      <c r="F108" s="131"/>
    </row>
    <row r="109" spans="1:6">
      <c r="A109" s="102"/>
      <c r="B109" s="114"/>
      <c r="C109" s="103"/>
      <c r="D109" s="104"/>
      <c r="E109" s="143"/>
      <c r="F109" s="131"/>
    </row>
    <row r="110" spans="1:6" ht="55.15">
      <c r="A110" s="79"/>
      <c r="B110" s="117" t="s">
        <v>161</v>
      </c>
      <c r="C110" s="81"/>
      <c r="D110" s="82"/>
      <c r="E110" s="143"/>
      <c r="F110" s="131"/>
    </row>
    <row r="111" spans="1:6">
      <c r="A111" s="102"/>
      <c r="B111" s="114"/>
      <c r="C111" s="103"/>
      <c r="D111" s="104"/>
      <c r="E111" s="143"/>
      <c r="F111" s="131"/>
    </row>
    <row r="112" spans="1:6" s="166" customFormat="1" ht="41.45">
      <c r="A112" s="160" t="s">
        <v>16</v>
      </c>
      <c r="B112" s="161" t="s">
        <v>951</v>
      </c>
      <c r="C112" s="173">
        <v>129.34</v>
      </c>
      <c r="D112" s="163" t="s">
        <v>18</v>
      </c>
      <c r="E112" s="164">
        <v>95.81</v>
      </c>
      <c r="F112" s="165">
        <f>C112*E112</f>
        <v>12392.065400000001</v>
      </c>
    </row>
    <row r="113" spans="1:6" s="166" customFormat="1">
      <c r="A113" s="174"/>
      <c r="B113" s="175"/>
      <c r="C113" s="176"/>
      <c r="D113" s="177"/>
      <c r="E113" s="164"/>
      <c r="F113" s="165"/>
    </row>
    <row r="114" spans="1:6" s="166" customFormat="1" ht="41.45">
      <c r="A114" s="160" t="s">
        <v>19</v>
      </c>
      <c r="B114" s="161" t="s">
        <v>952</v>
      </c>
      <c r="C114" s="162">
        <v>76</v>
      </c>
      <c r="D114" s="163" t="s">
        <v>103</v>
      </c>
      <c r="E114" s="164">
        <v>302.18</v>
      </c>
      <c r="F114" s="165">
        <f>C114*E114</f>
        <v>22965.68</v>
      </c>
    </row>
    <row r="115" spans="1:6">
      <c r="A115" s="102"/>
      <c r="B115" s="114"/>
      <c r="C115" s="103"/>
      <c r="D115" s="104"/>
      <c r="E115" s="143"/>
      <c r="F115" s="131"/>
    </row>
    <row r="116" spans="1:6" ht="55.15">
      <c r="A116" s="79"/>
      <c r="B116" s="117" t="s">
        <v>161</v>
      </c>
      <c r="C116" s="81"/>
      <c r="D116" s="82"/>
      <c r="E116" s="143"/>
      <c r="F116" s="131"/>
    </row>
    <row r="117" spans="1:6">
      <c r="A117" s="102"/>
      <c r="B117" s="114"/>
      <c r="C117" s="103"/>
      <c r="D117" s="104"/>
      <c r="E117" s="143"/>
      <c r="F117" s="131"/>
    </row>
    <row r="118" spans="1:6" s="166" customFormat="1" ht="41.45">
      <c r="A118" s="160" t="s">
        <v>22</v>
      </c>
      <c r="B118" s="161" t="s">
        <v>953</v>
      </c>
      <c r="C118" s="162">
        <v>31.34</v>
      </c>
      <c r="D118" s="163" t="s">
        <v>18</v>
      </c>
      <c r="E118" s="164">
        <v>114.38</v>
      </c>
      <c r="F118" s="165">
        <f>C118*E118</f>
        <v>3584.6691999999998</v>
      </c>
    </row>
    <row r="119" spans="1:6" s="166" customFormat="1">
      <c r="A119" s="167"/>
      <c r="B119" s="170"/>
      <c r="C119" s="167"/>
      <c r="D119" s="168"/>
      <c r="E119" s="164"/>
      <c r="F119" s="165"/>
    </row>
    <row r="120" spans="1:6" s="166" customFormat="1">
      <c r="A120" s="167"/>
      <c r="B120" s="171" t="s">
        <v>954</v>
      </c>
      <c r="C120" s="167"/>
      <c r="D120" s="168"/>
      <c r="E120" s="164"/>
      <c r="F120" s="165"/>
    </row>
    <row r="121" spans="1:6" s="166" customFormat="1" ht="41.45">
      <c r="A121" s="160" t="s">
        <v>26</v>
      </c>
      <c r="B121" s="161" t="s">
        <v>955</v>
      </c>
      <c r="C121" s="162">
        <v>1</v>
      </c>
      <c r="D121" s="163" t="s">
        <v>956</v>
      </c>
      <c r="E121" s="164">
        <v>87345.299999999988</v>
      </c>
      <c r="F121" s="165">
        <f>C121*E121</f>
        <v>87345.299999999988</v>
      </c>
    </row>
    <row r="122" spans="1:6">
      <c r="A122" s="105"/>
      <c r="B122" s="112"/>
      <c r="C122" s="105"/>
      <c r="D122" s="110"/>
      <c r="E122" s="143"/>
      <c r="F122" s="131"/>
    </row>
    <row r="123" spans="1:6">
      <c r="A123" s="105"/>
      <c r="B123" s="112"/>
      <c r="C123" s="105"/>
      <c r="D123" s="110"/>
      <c r="E123" s="143"/>
      <c r="F123" s="131"/>
    </row>
    <row r="124" spans="1:6">
      <c r="A124" s="105"/>
      <c r="B124" s="112"/>
      <c r="C124" s="105"/>
      <c r="D124" s="110"/>
      <c r="E124" s="143"/>
      <c r="F124" s="131"/>
    </row>
    <row r="125" spans="1:6">
      <c r="A125" s="105"/>
      <c r="B125" s="112"/>
      <c r="C125" s="105"/>
      <c r="D125" s="110"/>
      <c r="E125" s="143"/>
      <c r="F125" s="131"/>
    </row>
    <row r="126" spans="1:6">
      <c r="A126" s="105"/>
      <c r="B126" s="112"/>
      <c r="C126" s="105"/>
      <c r="D126" s="110"/>
      <c r="E126" s="143"/>
      <c r="F126" s="131"/>
    </row>
    <row r="127" spans="1:6">
      <c r="A127" s="105"/>
      <c r="B127" s="112"/>
      <c r="C127" s="105"/>
      <c r="D127" s="110"/>
      <c r="E127" s="143"/>
      <c r="F127" s="131"/>
    </row>
    <row r="128" spans="1:6">
      <c r="A128" s="105"/>
      <c r="B128" s="112"/>
      <c r="C128" s="105"/>
      <c r="D128" s="110"/>
      <c r="E128" s="143"/>
      <c r="F128" s="131"/>
    </row>
    <row r="129" spans="1:6">
      <c r="A129" s="105"/>
      <c r="B129" s="112"/>
      <c r="C129" s="105"/>
      <c r="D129" s="110"/>
      <c r="E129" s="143"/>
      <c r="F129" s="131"/>
    </row>
    <row r="130" spans="1:6">
      <c r="A130" s="105"/>
      <c r="B130" s="112"/>
      <c r="C130" s="105"/>
      <c r="D130" s="110"/>
      <c r="E130" s="143"/>
      <c r="F130" s="131"/>
    </row>
    <row r="131" spans="1:6">
      <c r="A131" s="105"/>
      <c r="B131" s="112"/>
      <c r="C131" s="105"/>
      <c r="D131" s="110"/>
      <c r="E131" s="143"/>
      <c r="F131" s="131"/>
    </row>
    <row r="132" spans="1:6">
      <c r="A132" s="105"/>
      <c r="B132" s="112"/>
      <c r="C132" s="105"/>
      <c r="D132" s="110"/>
      <c r="E132" s="143"/>
      <c r="F132" s="131"/>
    </row>
    <row r="133" spans="1:6">
      <c r="A133" s="105"/>
      <c r="B133" s="112"/>
      <c r="C133" s="105"/>
      <c r="D133" s="110"/>
      <c r="E133" s="143"/>
      <c r="F133" s="131"/>
    </row>
    <row r="134" spans="1:6">
      <c r="A134" s="105"/>
      <c r="B134" s="112"/>
      <c r="C134" s="105"/>
      <c r="D134" s="110"/>
      <c r="E134" s="143"/>
      <c r="F134" s="131"/>
    </row>
    <row r="135" spans="1:6">
      <c r="A135" s="105"/>
      <c r="B135" s="112"/>
      <c r="C135" s="105"/>
      <c r="D135" s="110"/>
      <c r="E135" s="143"/>
      <c r="F135" s="131"/>
    </row>
    <row r="136" spans="1:6">
      <c r="A136" s="105"/>
      <c r="B136" s="112"/>
      <c r="C136" s="105"/>
      <c r="D136" s="110"/>
      <c r="E136" s="143"/>
      <c r="F136" s="131"/>
    </row>
    <row r="137" spans="1:6">
      <c r="A137" s="105"/>
      <c r="B137" s="112"/>
      <c r="C137" s="105"/>
      <c r="D137" s="110"/>
      <c r="E137" s="143"/>
      <c r="F137" s="131"/>
    </row>
    <row r="138" spans="1:6">
      <c r="A138" s="105"/>
      <c r="B138" s="112"/>
      <c r="C138" s="105"/>
      <c r="D138" s="110"/>
      <c r="E138" s="143"/>
      <c r="F138" s="131"/>
    </row>
    <row r="139" spans="1:6">
      <c r="A139" s="85"/>
      <c r="B139" s="86"/>
      <c r="C139" s="87"/>
      <c r="D139" s="88"/>
      <c r="E139" s="145"/>
      <c r="F139" s="133"/>
    </row>
    <row r="140" spans="1:6">
      <c r="A140" s="89"/>
      <c r="B140" s="90"/>
      <c r="C140" s="91" t="s">
        <v>35</v>
      </c>
      <c r="D140" s="91"/>
      <c r="E140" s="146" t="s">
        <v>8</v>
      </c>
      <c r="F140" s="134">
        <f>SUM(F105:F137)</f>
        <v>126287.71459999998</v>
      </c>
    </row>
    <row r="141" spans="1:6">
      <c r="A141" s="89"/>
      <c r="B141" s="90"/>
      <c r="C141" s="92"/>
      <c r="D141" s="93"/>
      <c r="E141" s="147"/>
      <c r="F141" s="135"/>
    </row>
    <row r="142" spans="1:6">
      <c r="A142" s="102"/>
      <c r="B142" s="114"/>
      <c r="C142" s="103"/>
      <c r="D142" s="104"/>
      <c r="E142" s="143"/>
      <c r="F142" s="131"/>
    </row>
    <row r="143" spans="1:6">
      <c r="A143" s="102"/>
      <c r="B143" s="94" t="s">
        <v>882</v>
      </c>
      <c r="C143" s="103"/>
      <c r="D143" s="104"/>
      <c r="E143" s="143"/>
      <c r="F143" s="131"/>
    </row>
    <row r="144" spans="1:6">
      <c r="A144" s="102"/>
      <c r="B144" s="114"/>
      <c r="C144" s="103"/>
      <c r="D144" s="104"/>
      <c r="E144" s="143"/>
      <c r="F144" s="131"/>
    </row>
    <row r="145" spans="1:6">
      <c r="A145" s="102"/>
      <c r="B145" s="75" t="s">
        <v>957</v>
      </c>
      <c r="C145" s="103"/>
      <c r="D145" s="104"/>
      <c r="E145" s="143"/>
      <c r="F145" s="131">
        <f>F39</f>
        <v>48198.087100000012</v>
      </c>
    </row>
    <row r="146" spans="1:6">
      <c r="A146" s="102"/>
      <c r="B146" s="105"/>
      <c r="C146" s="103"/>
      <c r="D146" s="104"/>
      <c r="E146" s="143"/>
      <c r="F146" s="131"/>
    </row>
    <row r="147" spans="1:6">
      <c r="A147" s="102"/>
      <c r="B147" s="96" t="s">
        <v>958</v>
      </c>
      <c r="C147" s="103"/>
      <c r="D147" s="104"/>
      <c r="E147" s="143"/>
      <c r="F147" s="131">
        <f>F73</f>
        <v>37352.622939199995</v>
      </c>
    </row>
    <row r="148" spans="1:6">
      <c r="A148" s="102"/>
      <c r="B148" s="105"/>
      <c r="C148" s="103"/>
      <c r="D148" s="104"/>
      <c r="E148" s="143"/>
      <c r="F148" s="131"/>
    </row>
    <row r="149" spans="1:6">
      <c r="A149" s="102"/>
      <c r="B149" s="75" t="s">
        <v>959</v>
      </c>
      <c r="C149" s="103"/>
      <c r="D149" s="104"/>
      <c r="E149" s="143"/>
      <c r="F149" s="131">
        <f>F101</f>
        <v>200912.58022500001</v>
      </c>
    </row>
    <row r="150" spans="1:6">
      <c r="A150" s="102"/>
      <c r="B150" s="75"/>
      <c r="C150" s="103"/>
      <c r="D150" s="104"/>
      <c r="E150" s="143"/>
      <c r="F150" s="131"/>
    </row>
    <row r="151" spans="1:6">
      <c r="A151" s="102"/>
      <c r="B151" s="75" t="s">
        <v>960</v>
      </c>
      <c r="C151" s="103"/>
      <c r="D151" s="104"/>
      <c r="E151" s="143"/>
      <c r="F151" s="131">
        <f>+F140</f>
        <v>126287.71459999998</v>
      </c>
    </row>
    <row r="152" spans="1:6">
      <c r="A152" s="102"/>
      <c r="B152" s="105"/>
      <c r="C152" s="103"/>
      <c r="D152" s="104"/>
      <c r="E152" s="143"/>
      <c r="F152" s="131"/>
    </row>
    <row r="153" spans="1:6">
      <c r="A153" s="102"/>
      <c r="B153" s="75"/>
      <c r="C153" s="103"/>
      <c r="D153" s="104"/>
      <c r="E153" s="143"/>
      <c r="F153" s="131"/>
    </row>
    <row r="154" spans="1:6">
      <c r="A154" s="102"/>
      <c r="B154" s="105"/>
      <c r="C154" s="103"/>
      <c r="D154" s="104"/>
      <c r="E154" s="143"/>
      <c r="F154" s="131"/>
    </row>
    <row r="155" spans="1:6">
      <c r="A155" s="102"/>
      <c r="B155" s="96"/>
      <c r="C155" s="103"/>
      <c r="D155" s="104"/>
      <c r="E155" s="143"/>
      <c r="F155" s="131"/>
    </row>
    <row r="156" spans="1:6">
      <c r="A156" s="102"/>
      <c r="B156" s="105"/>
      <c r="C156" s="103"/>
      <c r="D156" s="104"/>
      <c r="E156" s="143"/>
      <c r="F156" s="131"/>
    </row>
    <row r="157" spans="1:6">
      <c r="A157" s="102"/>
      <c r="B157" s="75"/>
      <c r="C157" s="103"/>
      <c r="D157" s="104"/>
      <c r="E157" s="143"/>
      <c r="F157" s="131"/>
    </row>
    <row r="158" spans="1:6">
      <c r="A158" s="102"/>
      <c r="B158" s="105"/>
      <c r="C158" s="103"/>
      <c r="D158" s="104"/>
      <c r="E158" s="143"/>
      <c r="F158" s="131"/>
    </row>
    <row r="159" spans="1:6">
      <c r="A159" s="102"/>
      <c r="B159" s="96"/>
      <c r="C159" s="103"/>
      <c r="D159" s="104"/>
      <c r="E159" s="143"/>
      <c r="F159" s="131"/>
    </row>
    <row r="160" spans="1:6">
      <c r="A160" s="102"/>
      <c r="B160" s="105"/>
      <c r="C160" s="103"/>
      <c r="D160" s="104"/>
      <c r="E160" s="143"/>
      <c r="F160" s="131"/>
    </row>
    <row r="161" spans="1:6">
      <c r="A161" s="102"/>
      <c r="B161" s="75"/>
      <c r="C161" s="103"/>
      <c r="D161" s="104"/>
      <c r="E161" s="143"/>
      <c r="F161" s="131"/>
    </row>
    <row r="162" spans="1:6">
      <c r="A162" s="102"/>
      <c r="B162" s="105"/>
      <c r="C162" s="103"/>
      <c r="D162" s="104"/>
      <c r="E162" s="143"/>
      <c r="F162" s="131"/>
    </row>
    <row r="163" spans="1:6">
      <c r="A163" s="102"/>
      <c r="B163" s="96"/>
      <c r="C163" s="103"/>
      <c r="D163" s="104"/>
      <c r="E163" s="143"/>
      <c r="F163" s="131"/>
    </row>
    <row r="164" spans="1:6">
      <c r="A164" s="102"/>
      <c r="B164" s="105"/>
      <c r="C164" s="103"/>
      <c r="D164" s="104"/>
      <c r="E164" s="143"/>
      <c r="F164" s="131"/>
    </row>
    <row r="165" spans="1:6">
      <c r="A165" s="102"/>
      <c r="B165" s="75"/>
      <c r="C165" s="103"/>
      <c r="D165" s="104"/>
      <c r="E165" s="143"/>
      <c r="F165" s="131"/>
    </row>
    <row r="166" spans="1:6">
      <c r="A166" s="102"/>
      <c r="B166" s="105"/>
      <c r="C166" s="103"/>
      <c r="D166" s="104"/>
      <c r="E166" s="143"/>
      <c r="F166" s="131"/>
    </row>
    <row r="167" spans="1:6">
      <c r="A167" s="102"/>
      <c r="B167" s="96"/>
      <c r="C167" s="103"/>
      <c r="D167" s="104"/>
      <c r="E167" s="143"/>
      <c r="F167" s="131"/>
    </row>
    <row r="168" spans="1:6">
      <c r="A168" s="102"/>
      <c r="B168" s="105"/>
      <c r="C168" s="103"/>
      <c r="D168" s="104"/>
      <c r="E168" s="143"/>
      <c r="F168" s="131"/>
    </row>
    <row r="169" spans="1:6">
      <c r="A169" s="102"/>
      <c r="B169" s="75"/>
      <c r="C169" s="103"/>
      <c r="D169" s="104"/>
      <c r="E169" s="143"/>
      <c r="F169" s="131"/>
    </row>
    <row r="170" spans="1:6">
      <c r="A170" s="102"/>
      <c r="B170" s="105"/>
      <c r="C170" s="103"/>
      <c r="D170" s="104"/>
      <c r="E170" s="143"/>
      <c r="F170" s="131"/>
    </row>
    <row r="171" spans="1:6">
      <c r="A171" s="102"/>
      <c r="B171" s="96"/>
      <c r="C171" s="103"/>
      <c r="D171" s="104"/>
      <c r="E171" s="143"/>
      <c r="F171" s="131"/>
    </row>
    <row r="172" spans="1:6">
      <c r="A172" s="102"/>
      <c r="B172" s="105"/>
      <c r="C172" s="103"/>
      <c r="D172" s="104"/>
      <c r="E172" s="143"/>
      <c r="F172" s="131"/>
    </row>
    <row r="173" spans="1:6">
      <c r="A173" s="102"/>
      <c r="B173" s="75"/>
      <c r="C173" s="103"/>
      <c r="D173" s="104"/>
      <c r="E173" s="143"/>
      <c r="F173" s="131"/>
    </row>
    <row r="174" spans="1:6">
      <c r="A174" s="102"/>
      <c r="B174" s="105"/>
      <c r="C174" s="103"/>
      <c r="D174" s="104"/>
      <c r="E174" s="143"/>
      <c r="F174" s="131"/>
    </row>
    <row r="175" spans="1:6">
      <c r="A175" s="102"/>
      <c r="B175" s="96"/>
      <c r="C175" s="103"/>
      <c r="D175" s="104"/>
      <c r="E175" s="143"/>
      <c r="F175" s="131"/>
    </row>
    <row r="176" spans="1:6">
      <c r="A176" s="102"/>
      <c r="B176" s="105"/>
      <c r="C176" s="103"/>
      <c r="D176" s="104"/>
      <c r="E176" s="143"/>
      <c r="F176" s="131"/>
    </row>
    <row r="177" spans="1:6">
      <c r="A177" s="102"/>
      <c r="B177" s="75"/>
      <c r="C177" s="103"/>
      <c r="D177" s="104"/>
      <c r="E177" s="143"/>
      <c r="F177" s="131"/>
    </row>
    <row r="178" spans="1:6">
      <c r="A178" s="102"/>
      <c r="B178" s="105"/>
      <c r="C178" s="103"/>
      <c r="D178" s="104"/>
      <c r="E178" s="143"/>
      <c r="F178" s="131"/>
    </row>
    <row r="179" spans="1:6">
      <c r="A179" s="102"/>
      <c r="B179" s="96"/>
      <c r="C179" s="103"/>
      <c r="D179" s="104"/>
      <c r="E179" s="143"/>
      <c r="F179" s="131"/>
    </row>
    <row r="180" spans="1:6">
      <c r="A180" s="102"/>
      <c r="B180" s="105"/>
      <c r="C180" s="103"/>
      <c r="D180" s="104"/>
      <c r="E180" s="143"/>
      <c r="F180" s="131"/>
    </row>
    <row r="181" spans="1:6">
      <c r="A181" s="102"/>
      <c r="B181" s="75"/>
      <c r="C181" s="103"/>
      <c r="D181" s="104"/>
      <c r="E181" s="143"/>
      <c r="F181" s="131"/>
    </row>
    <row r="182" spans="1:6">
      <c r="A182" s="102"/>
      <c r="B182" s="105"/>
      <c r="C182" s="103"/>
      <c r="D182" s="104"/>
      <c r="E182" s="143"/>
      <c r="F182" s="131"/>
    </row>
    <row r="183" spans="1:6">
      <c r="A183" s="102"/>
      <c r="B183" s="96"/>
      <c r="C183" s="103"/>
      <c r="D183" s="104"/>
      <c r="E183" s="143"/>
      <c r="F183" s="131"/>
    </row>
    <row r="184" spans="1:6">
      <c r="A184" s="102"/>
      <c r="B184" s="105"/>
      <c r="C184" s="103"/>
      <c r="D184" s="104"/>
      <c r="E184" s="143"/>
      <c r="F184" s="131"/>
    </row>
    <row r="185" spans="1:6">
      <c r="A185" s="102"/>
      <c r="B185" s="75"/>
      <c r="C185" s="103"/>
      <c r="D185" s="104"/>
      <c r="E185" s="143"/>
      <c r="F185" s="131"/>
    </row>
    <row r="186" spans="1:6">
      <c r="A186" s="102"/>
      <c r="B186" s="105"/>
      <c r="C186" s="103"/>
      <c r="D186" s="104"/>
      <c r="E186" s="143"/>
      <c r="F186" s="131"/>
    </row>
    <row r="187" spans="1:6">
      <c r="A187" s="102"/>
      <c r="B187" s="96"/>
      <c r="C187" s="103"/>
      <c r="D187" s="104"/>
      <c r="E187" s="143"/>
      <c r="F187" s="131"/>
    </row>
    <row r="188" spans="1:6">
      <c r="A188" s="102"/>
      <c r="B188" s="114"/>
      <c r="C188" s="103"/>
      <c r="D188" s="104"/>
      <c r="E188" s="143"/>
      <c r="F188" s="131"/>
    </row>
    <row r="189" spans="1:6">
      <c r="A189" s="102"/>
      <c r="B189" s="114"/>
      <c r="C189" s="103"/>
      <c r="D189" s="104"/>
      <c r="E189" s="143"/>
      <c r="F189" s="131"/>
    </row>
    <row r="190" spans="1:6">
      <c r="A190" s="85"/>
      <c r="B190" s="86"/>
      <c r="C190" s="87"/>
      <c r="D190" s="88"/>
      <c r="E190" s="145"/>
      <c r="F190" s="133"/>
    </row>
    <row r="191" spans="1:6">
      <c r="A191" s="89"/>
      <c r="B191" s="90"/>
      <c r="C191" s="91" t="s">
        <v>931</v>
      </c>
      <c r="D191" s="91"/>
      <c r="E191" s="146" t="s">
        <v>8</v>
      </c>
      <c r="F191" s="134">
        <f>SUM(F143:F188)</f>
        <v>412751.00486420002</v>
      </c>
    </row>
    <row r="192" spans="1:6">
      <c r="A192" s="89"/>
      <c r="B192" s="90"/>
      <c r="C192" s="92"/>
      <c r="D192" s="93"/>
      <c r="E192" s="147"/>
      <c r="F192" s="135"/>
    </row>
  </sheetData>
  <mergeCells count="4">
    <mergeCell ref="A1:A2"/>
    <mergeCell ref="B1:B2"/>
    <mergeCell ref="C1:C2"/>
    <mergeCell ref="D1:D2"/>
  </mergeCells>
  <phoneticPr fontId="27" type="noConversion"/>
  <printOptions horizontalCentered="1"/>
  <pageMargins left="0.6692913385826772" right="0.19685039370078741" top="0.82677165354330717" bottom="0.47244094488188981" header="0.19685039370078741" footer="0.23622047244094491"/>
  <pageSetup paperSize="9" scale="80" fitToHeight="0" orientation="portrait" useFirstPageNumber="1" r:id="rId1"/>
  <headerFooter>
    <oddHeader xml:space="preserve">&amp;R&amp;11
&amp;UBILL NO. 2 - DEMOLITIONS AND ALTERATIONS
EXTRAOVER TO COMPLY WITH DRAWINGS ISSUED FOR AUTHORITY APPROVAL </oddHeader>
    <oddFooter>&amp;L&amp;8DMS 148704 BOQ - Nakheel Mall Al Khail&amp;C2/B5.1/EO/&amp;P</oddFooter>
  </headerFooter>
  <rowBreaks count="4" manualBreakCount="4">
    <brk id="40" max="5" man="1"/>
    <brk id="74" max="5" man="1"/>
    <brk id="102" max="5" man="1"/>
    <brk id="141" max="5"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79DFB6-C4F4-41CC-A3C4-A1FF81746A49}">
  <dimension ref="A1:F538"/>
  <sheetViews>
    <sheetView view="pageBreakPreview" topLeftCell="A440" zoomScaleNormal="100" zoomScaleSheetLayoutView="100" zoomScalePageLayoutView="70" workbookViewId="0">
      <selection activeCell="F125" sqref="F125"/>
    </sheetView>
  </sheetViews>
  <sheetFormatPr defaultColWidth="9.28515625" defaultRowHeight="13.9"/>
  <cols>
    <col min="1" max="1" width="5.7109375" style="97" customWidth="1"/>
    <col min="2" max="2" width="46" style="98" customWidth="1"/>
    <col min="3" max="3" width="10.7109375" style="99" customWidth="1"/>
    <col min="4" max="4" width="6.7109375" style="100" customWidth="1"/>
    <col min="5" max="5" width="15.28515625" style="146" customWidth="1"/>
    <col min="6" max="6" width="15.7109375" style="136" customWidth="1"/>
    <col min="7" max="16384" width="9.28515625" style="76"/>
  </cols>
  <sheetData>
    <row r="1" spans="1:6" s="68" customFormat="1" ht="14.45">
      <c r="A1" s="193" t="s">
        <v>2</v>
      </c>
      <c r="B1" s="193" t="s">
        <v>3</v>
      </c>
      <c r="C1" s="195" t="s">
        <v>4</v>
      </c>
      <c r="D1" s="197" t="s">
        <v>5</v>
      </c>
      <c r="E1" s="140" t="s">
        <v>6</v>
      </c>
      <c r="F1" s="128" t="s">
        <v>7</v>
      </c>
    </row>
    <row r="2" spans="1:6" s="68" customFormat="1" ht="14.45">
      <c r="A2" s="194"/>
      <c r="B2" s="194"/>
      <c r="C2" s="196"/>
      <c r="D2" s="198"/>
      <c r="E2" s="141" t="s">
        <v>8</v>
      </c>
      <c r="F2" s="129" t="s">
        <v>8</v>
      </c>
    </row>
    <row r="3" spans="1:6" s="68" customFormat="1" ht="14.45">
      <c r="A3" s="69"/>
      <c r="B3" s="111"/>
      <c r="C3" s="70"/>
      <c r="D3" s="71"/>
      <c r="E3" s="142"/>
      <c r="F3" s="130"/>
    </row>
    <row r="4" spans="1:6">
      <c r="A4" s="72"/>
      <c r="B4" s="112" t="s">
        <v>961</v>
      </c>
      <c r="C4" s="73"/>
      <c r="D4" s="74"/>
      <c r="E4" s="143"/>
      <c r="F4" s="131"/>
    </row>
    <row r="5" spans="1:6">
      <c r="A5" s="72"/>
      <c r="B5" s="113"/>
      <c r="C5" s="73"/>
      <c r="D5" s="74"/>
      <c r="E5" s="143"/>
      <c r="F5" s="131"/>
    </row>
    <row r="6" spans="1:6">
      <c r="A6" s="72"/>
      <c r="B6" s="77" t="s">
        <v>962</v>
      </c>
      <c r="C6" s="73"/>
      <c r="D6" s="74"/>
      <c r="E6" s="143"/>
      <c r="F6" s="131"/>
    </row>
    <row r="7" spans="1:6">
      <c r="A7" s="72"/>
      <c r="B7" s="123"/>
      <c r="C7" s="73"/>
      <c r="D7" s="74"/>
      <c r="E7" s="143"/>
      <c r="F7" s="131"/>
    </row>
    <row r="8" spans="1:6">
      <c r="A8" s="79"/>
      <c r="B8" s="115" t="s">
        <v>11</v>
      </c>
      <c r="C8" s="81"/>
      <c r="D8" s="82"/>
      <c r="E8" s="143"/>
      <c r="F8" s="131"/>
    </row>
    <row r="9" spans="1:6">
      <c r="A9" s="72"/>
      <c r="B9" s="123"/>
      <c r="C9" s="73"/>
      <c r="D9" s="74"/>
      <c r="E9" s="143"/>
      <c r="F9" s="131"/>
    </row>
    <row r="10" spans="1:6">
      <c r="A10" s="79"/>
      <c r="B10" s="115" t="s">
        <v>12</v>
      </c>
      <c r="C10" s="81"/>
      <c r="D10" s="82"/>
      <c r="E10" s="143"/>
      <c r="F10" s="131"/>
    </row>
    <row r="11" spans="1:6">
      <c r="A11" s="72"/>
      <c r="B11" s="123"/>
      <c r="C11" s="73"/>
      <c r="D11" s="74"/>
      <c r="E11" s="143"/>
      <c r="F11" s="131"/>
    </row>
    <row r="12" spans="1:6" ht="27.6">
      <c r="A12" s="79"/>
      <c r="B12" s="115" t="s">
        <v>13</v>
      </c>
      <c r="C12" s="81"/>
      <c r="D12" s="82"/>
      <c r="E12" s="143"/>
      <c r="F12" s="131"/>
    </row>
    <row r="13" spans="1:6">
      <c r="A13" s="72"/>
      <c r="B13" s="123"/>
      <c r="C13" s="73"/>
      <c r="D13" s="74"/>
      <c r="E13" s="143"/>
      <c r="F13" s="131"/>
    </row>
    <row r="14" spans="1:6" ht="27.6">
      <c r="A14" s="79"/>
      <c r="B14" s="117" t="s">
        <v>963</v>
      </c>
      <c r="C14" s="81"/>
      <c r="D14" s="82"/>
      <c r="E14" s="143"/>
      <c r="F14" s="131"/>
    </row>
    <row r="15" spans="1:6">
      <c r="A15" s="72"/>
      <c r="B15" s="123"/>
      <c r="C15" s="73"/>
      <c r="D15" s="74"/>
      <c r="E15" s="143"/>
      <c r="F15" s="131"/>
    </row>
    <row r="16" spans="1:6" ht="27.6">
      <c r="A16" s="79" t="s">
        <v>16</v>
      </c>
      <c r="B16" s="80" t="s">
        <v>964</v>
      </c>
      <c r="C16" s="81" t="s">
        <v>280</v>
      </c>
      <c r="D16" s="82" t="s">
        <v>44</v>
      </c>
      <c r="E16" s="143"/>
      <c r="F16" s="131">
        <f>C16*E16</f>
        <v>0</v>
      </c>
    </row>
    <row r="17" spans="1:6">
      <c r="A17" s="72"/>
      <c r="B17" s="123"/>
      <c r="C17" s="73"/>
      <c r="D17" s="74"/>
      <c r="E17" s="143"/>
      <c r="F17" s="131"/>
    </row>
    <row r="18" spans="1:6" ht="27.6">
      <c r="A18" s="79" t="s">
        <v>19</v>
      </c>
      <c r="B18" s="80" t="s">
        <v>965</v>
      </c>
      <c r="C18" s="81" t="s">
        <v>54</v>
      </c>
      <c r="D18" s="82" t="s">
        <v>44</v>
      </c>
      <c r="E18" s="143"/>
      <c r="F18" s="131">
        <f>C18*E18</f>
        <v>0</v>
      </c>
    </row>
    <row r="19" spans="1:6">
      <c r="A19" s="72"/>
      <c r="B19" s="123"/>
      <c r="C19" s="73"/>
      <c r="D19" s="74"/>
      <c r="E19" s="143"/>
      <c r="F19" s="131"/>
    </row>
    <row r="20" spans="1:6" ht="27.6">
      <c r="A20" s="79" t="s">
        <v>22</v>
      </c>
      <c r="B20" s="80" t="s">
        <v>966</v>
      </c>
      <c r="C20" s="81" t="s">
        <v>967</v>
      </c>
      <c r="D20" s="82" t="s">
        <v>44</v>
      </c>
      <c r="E20" s="143"/>
      <c r="F20" s="131">
        <f>C20*E20</f>
        <v>0</v>
      </c>
    </row>
    <row r="21" spans="1:6">
      <c r="A21" s="72"/>
      <c r="B21" s="123"/>
      <c r="C21" s="73"/>
      <c r="D21" s="74"/>
      <c r="E21" s="143"/>
      <c r="F21" s="131"/>
    </row>
    <row r="22" spans="1:6" ht="27.6">
      <c r="A22" s="79" t="s">
        <v>26</v>
      </c>
      <c r="B22" s="80" t="s">
        <v>968</v>
      </c>
      <c r="C22" s="81" t="s">
        <v>31</v>
      </c>
      <c r="D22" s="82" t="s">
        <v>44</v>
      </c>
      <c r="E22" s="143"/>
      <c r="F22" s="131">
        <f>C22*E22</f>
        <v>0</v>
      </c>
    </row>
    <row r="23" spans="1:6">
      <c r="A23" s="72"/>
      <c r="B23" s="123"/>
      <c r="C23" s="73"/>
      <c r="D23" s="74"/>
      <c r="E23" s="143"/>
      <c r="F23" s="131"/>
    </row>
    <row r="24" spans="1:6" ht="27.6">
      <c r="A24" s="79" t="s">
        <v>29</v>
      </c>
      <c r="B24" s="80" t="s">
        <v>969</v>
      </c>
      <c r="C24" s="81" t="s">
        <v>280</v>
      </c>
      <c r="D24" s="82" t="s">
        <v>44</v>
      </c>
      <c r="E24" s="143"/>
      <c r="F24" s="131">
        <f>C24*E24</f>
        <v>0</v>
      </c>
    </row>
    <row r="25" spans="1:6">
      <c r="A25" s="72"/>
      <c r="B25" s="123"/>
      <c r="C25" s="73"/>
      <c r="D25" s="74"/>
      <c r="E25" s="143"/>
      <c r="F25" s="131"/>
    </row>
    <row r="26" spans="1:6" ht="69">
      <c r="A26" s="79" t="s">
        <v>33</v>
      </c>
      <c r="B26" s="80" t="s">
        <v>970</v>
      </c>
      <c r="C26" s="81" t="s">
        <v>54</v>
      </c>
      <c r="D26" s="82" t="s">
        <v>44</v>
      </c>
      <c r="E26" s="143"/>
      <c r="F26" s="184" t="s">
        <v>971</v>
      </c>
    </row>
    <row r="27" spans="1:6">
      <c r="A27" s="72"/>
      <c r="B27" s="123"/>
      <c r="C27" s="73"/>
      <c r="D27" s="74"/>
      <c r="E27" s="143"/>
      <c r="F27" s="131"/>
    </row>
    <row r="28" spans="1:6" ht="27.6">
      <c r="A28" s="79" t="s">
        <v>45</v>
      </c>
      <c r="B28" s="80" t="s">
        <v>972</v>
      </c>
      <c r="C28" s="81" t="s">
        <v>149</v>
      </c>
      <c r="D28" s="82" t="s">
        <v>44</v>
      </c>
      <c r="E28" s="143"/>
      <c r="F28" s="131">
        <f>C28*E28</f>
        <v>0</v>
      </c>
    </row>
    <row r="29" spans="1:6">
      <c r="A29" s="72"/>
      <c r="B29" s="123"/>
      <c r="C29" s="73"/>
      <c r="D29" s="74"/>
      <c r="E29" s="143"/>
      <c r="F29" s="131"/>
    </row>
    <row r="30" spans="1:6" ht="27.6">
      <c r="A30" s="79" t="s">
        <v>49</v>
      </c>
      <c r="B30" s="80" t="s">
        <v>973</v>
      </c>
      <c r="C30" s="81" t="s">
        <v>31</v>
      </c>
      <c r="D30" s="82" t="s">
        <v>44</v>
      </c>
      <c r="E30" s="143"/>
      <c r="F30" s="131">
        <f>C30*E30</f>
        <v>0</v>
      </c>
    </row>
    <row r="31" spans="1:6">
      <c r="A31" s="72"/>
      <c r="B31" s="123"/>
      <c r="C31" s="73"/>
      <c r="D31" s="74"/>
      <c r="E31" s="143"/>
      <c r="F31" s="131"/>
    </row>
    <row r="32" spans="1:6" ht="27.6">
      <c r="A32" s="79" t="s">
        <v>61</v>
      </c>
      <c r="B32" s="80" t="s">
        <v>974</v>
      </c>
      <c r="C32" s="81" t="s">
        <v>793</v>
      </c>
      <c r="D32" s="82" t="s">
        <v>44</v>
      </c>
      <c r="E32" s="143"/>
      <c r="F32" s="131">
        <f>C32*E32</f>
        <v>0</v>
      </c>
    </row>
    <row r="33" spans="1:6">
      <c r="A33" s="72"/>
      <c r="B33" s="123"/>
      <c r="C33" s="73"/>
      <c r="D33" s="74"/>
      <c r="E33" s="143"/>
      <c r="F33" s="131"/>
    </row>
    <row r="34" spans="1:6" ht="27.6">
      <c r="A34" s="79" t="s">
        <v>63</v>
      </c>
      <c r="B34" s="80" t="s">
        <v>975</v>
      </c>
      <c r="C34" s="81" t="s">
        <v>280</v>
      </c>
      <c r="D34" s="82" t="s">
        <v>44</v>
      </c>
      <c r="E34" s="143"/>
      <c r="F34" s="131">
        <f>C34*E34</f>
        <v>0</v>
      </c>
    </row>
    <row r="35" spans="1:6">
      <c r="A35" s="72"/>
      <c r="B35" s="123"/>
      <c r="C35" s="73"/>
      <c r="D35" s="74"/>
      <c r="E35" s="143"/>
      <c r="F35" s="131"/>
    </row>
    <row r="36" spans="1:6" ht="27.6">
      <c r="A36" s="79" t="s">
        <v>66</v>
      </c>
      <c r="B36" s="80" t="s">
        <v>976</v>
      </c>
      <c r="C36" s="81" t="s">
        <v>54</v>
      </c>
      <c r="D36" s="82" t="s">
        <v>44</v>
      </c>
      <c r="E36" s="143"/>
      <c r="F36" s="131">
        <f>C36*E36</f>
        <v>0</v>
      </c>
    </row>
    <row r="37" spans="1:6">
      <c r="A37" s="79"/>
      <c r="B37" s="115"/>
      <c r="C37" s="81"/>
      <c r="D37" s="82"/>
      <c r="E37" s="143"/>
      <c r="F37" s="131"/>
    </row>
    <row r="38" spans="1:6">
      <c r="A38" s="78"/>
      <c r="B38" s="112"/>
      <c r="C38" s="78"/>
      <c r="D38" s="84"/>
      <c r="E38" s="143"/>
      <c r="F38" s="131"/>
    </row>
    <row r="39" spans="1:6">
      <c r="A39" s="85"/>
      <c r="B39" s="86"/>
      <c r="C39" s="87"/>
      <c r="D39" s="88"/>
      <c r="E39" s="145"/>
      <c r="F39" s="133"/>
    </row>
    <row r="40" spans="1:6">
      <c r="A40" s="89"/>
      <c r="B40" s="90"/>
      <c r="C40" s="91" t="s">
        <v>35</v>
      </c>
      <c r="D40" s="91"/>
      <c r="E40" s="146" t="s">
        <v>8</v>
      </c>
      <c r="F40" s="134">
        <f>SUM(F14:F37)</f>
        <v>0</v>
      </c>
    </row>
    <row r="41" spans="1:6">
      <c r="A41" s="89"/>
      <c r="B41" s="90"/>
      <c r="C41" s="92"/>
      <c r="D41" s="93"/>
      <c r="E41" s="147"/>
      <c r="F41" s="135"/>
    </row>
    <row r="42" spans="1:6">
      <c r="A42" s="72"/>
      <c r="B42" s="123"/>
      <c r="C42" s="73"/>
      <c r="D42" s="74"/>
      <c r="E42" s="143"/>
      <c r="F42" s="131"/>
    </row>
    <row r="43" spans="1:6" ht="27.6">
      <c r="A43" s="72"/>
      <c r="B43" s="77" t="s">
        <v>977</v>
      </c>
      <c r="C43" s="73"/>
      <c r="D43" s="74"/>
      <c r="E43" s="143"/>
      <c r="F43" s="131"/>
    </row>
    <row r="44" spans="1:6">
      <c r="A44" s="72"/>
      <c r="B44" s="123"/>
      <c r="C44" s="73"/>
      <c r="D44" s="74"/>
      <c r="E44" s="143"/>
      <c r="F44" s="131"/>
    </row>
    <row r="45" spans="1:6" ht="27.6">
      <c r="A45" s="79" t="s">
        <v>16</v>
      </c>
      <c r="B45" s="80" t="s">
        <v>978</v>
      </c>
      <c r="C45" s="81" t="s">
        <v>149</v>
      </c>
      <c r="D45" s="82" t="s">
        <v>44</v>
      </c>
      <c r="E45" s="143"/>
      <c r="F45" s="131">
        <f>C45*E45</f>
        <v>0</v>
      </c>
    </row>
    <row r="46" spans="1:6">
      <c r="A46" s="72"/>
      <c r="B46" s="123"/>
      <c r="C46" s="73"/>
      <c r="D46" s="74"/>
      <c r="E46" s="143"/>
      <c r="F46" s="131"/>
    </row>
    <row r="47" spans="1:6" ht="27.6">
      <c r="A47" s="79" t="s">
        <v>19</v>
      </c>
      <c r="B47" s="80" t="s">
        <v>979</v>
      </c>
      <c r="C47" s="81" t="s">
        <v>31</v>
      </c>
      <c r="D47" s="82" t="s">
        <v>44</v>
      </c>
      <c r="E47" s="143"/>
      <c r="F47" s="131">
        <f>C47*E47</f>
        <v>0</v>
      </c>
    </row>
    <row r="48" spans="1:6">
      <c r="A48" s="72"/>
      <c r="B48" s="123"/>
      <c r="C48" s="73"/>
      <c r="D48" s="74"/>
      <c r="E48" s="143"/>
      <c r="F48" s="131"/>
    </row>
    <row r="49" spans="1:6" ht="27.6">
      <c r="A49" s="79" t="s">
        <v>22</v>
      </c>
      <c r="B49" s="80" t="s">
        <v>980</v>
      </c>
      <c r="C49" s="81" t="s">
        <v>350</v>
      </c>
      <c r="D49" s="82" t="s">
        <v>44</v>
      </c>
      <c r="E49" s="143"/>
      <c r="F49" s="131">
        <f>C49*E49</f>
        <v>0</v>
      </c>
    </row>
    <row r="50" spans="1:6">
      <c r="A50" s="72"/>
      <c r="B50" s="123"/>
      <c r="C50" s="73"/>
      <c r="D50" s="74"/>
      <c r="E50" s="143"/>
      <c r="F50" s="131"/>
    </row>
    <row r="51" spans="1:6" ht="27.6">
      <c r="A51" s="79" t="s">
        <v>26</v>
      </c>
      <c r="B51" s="80" t="s">
        <v>981</v>
      </c>
      <c r="C51" s="81" t="s">
        <v>280</v>
      </c>
      <c r="D51" s="82" t="s">
        <v>44</v>
      </c>
      <c r="E51" s="143"/>
      <c r="F51" s="131">
        <f>C51*E51</f>
        <v>0</v>
      </c>
    </row>
    <row r="52" spans="1:6">
      <c r="A52" s="72"/>
      <c r="B52" s="123"/>
      <c r="C52" s="73"/>
      <c r="D52" s="74"/>
      <c r="E52" s="143"/>
      <c r="F52" s="131"/>
    </row>
    <row r="53" spans="1:6" ht="27.6">
      <c r="A53" s="79" t="s">
        <v>29</v>
      </c>
      <c r="B53" s="80" t="s">
        <v>982</v>
      </c>
      <c r="C53" s="81" t="s">
        <v>54</v>
      </c>
      <c r="D53" s="82" t="s">
        <v>44</v>
      </c>
      <c r="E53" s="143"/>
      <c r="F53" s="131">
        <f>C53*E53</f>
        <v>0</v>
      </c>
    </row>
    <row r="54" spans="1:6">
      <c r="A54" s="72"/>
      <c r="B54" s="123"/>
      <c r="C54" s="73"/>
      <c r="D54" s="74"/>
      <c r="E54" s="143"/>
      <c r="F54" s="131"/>
    </row>
    <row r="55" spans="1:6" ht="27.6">
      <c r="A55" s="79" t="s">
        <v>33</v>
      </c>
      <c r="B55" s="80" t="s">
        <v>983</v>
      </c>
      <c r="C55" s="81" t="s">
        <v>149</v>
      </c>
      <c r="D55" s="82" t="s">
        <v>44</v>
      </c>
      <c r="E55" s="143"/>
      <c r="F55" s="131">
        <f>C55*E55</f>
        <v>0</v>
      </c>
    </row>
    <row r="56" spans="1:6">
      <c r="A56" s="72"/>
      <c r="B56" s="123"/>
      <c r="C56" s="73"/>
      <c r="D56" s="74"/>
      <c r="E56" s="143"/>
      <c r="F56" s="131"/>
    </row>
    <row r="57" spans="1:6" ht="27.6">
      <c r="A57" s="79" t="s">
        <v>45</v>
      </c>
      <c r="B57" s="80" t="s">
        <v>984</v>
      </c>
      <c r="C57" s="81" t="s">
        <v>31</v>
      </c>
      <c r="D57" s="82" t="s">
        <v>44</v>
      </c>
      <c r="E57" s="143"/>
      <c r="F57" s="131">
        <f>C57*E57</f>
        <v>0</v>
      </c>
    </row>
    <row r="58" spans="1:6" ht="69">
      <c r="A58" s="72"/>
      <c r="B58" s="123"/>
      <c r="C58" s="73"/>
      <c r="D58" s="74"/>
      <c r="E58" s="143"/>
      <c r="F58" s="184" t="s">
        <v>971</v>
      </c>
    </row>
    <row r="59" spans="1:6" ht="27.6">
      <c r="A59" s="79" t="s">
        <v>49</v>
      </c>
      <c r="B59" s="80" t="s">
        <v>985</v>
      </c>
      <c r="C59" s="81" t="s">
        <v>246</v>
      </c>
      <c r="D59" s="82" t="s">
        <v>44</v>
      </c>
      <c r="E59" s="143"/>
      <c r="F59" s="131">
        <f>C59*E59</f>
        <v>0</v>
      </c>
    </row>
    <row r="60" spans="1:6">
      <c r="A60" s="72"/>
      <c r="B60" s="123"/>
      <c r="C60" s="73"/>
      <c r="D60" s="74"/>
      <c r="E60" s="143"/>
      <c r="F60" s="131"/>
    </row>
    <row r="61" spans="1:6" ht="27.6">
      <c r="A61" s="79" t="s">
        <v>61</v>
      </c>
      <c r="B61" s="80" t="s">
        <v>986</v>
      </c>
      <c r="C61" s="81" t="s">
        <v>178</v>
      </c>
      <c r="D61" s="82" t="s">
        <v>44</v>
      </c>
      <c r="E61" s="143"/>
      <c r="F61" s="131">
        <f>C61*E61</f>
        <v>0</v>
      </c>
    </row>
    <row r="62" spans="1:6">
      <c r="A62" s="72"/>
      <c r="B62" s="123"/>
      <c r="C62" s="73"/>
      <c r="D62" s="74"/>
      <c r="E62" s="143"/>
      <c r="F62" s="131"/>
    </row>
    <row r="63" spans="1:6" ht="27.6">
      <c r="A63" s="79" t="s">
        <v>63</v>
      </c>
      <c r="B63" s="80" t="s">
        <v>987</v>
      </c>
      <c r="C63" s="81" t="s">
        <v>149</v>
      </c>
      <c r="D63" s="82" t="s">
        <v>44</v>
      </c>
      <c r="E63" s="143"/>
      <c r="F63" s="131">
        <f>C63*E63</f>
        <v>0</v>
      </c>
    </row>
    <row r="64" spans="1:6">
      <c r="A64" s="72"/>
      <c r="B64" s="123"/>
      <c r="C64" s="73"/>
      <c r="D64" s="74"/>
      <c r="E64" s="143"/>
      <c r="F64" s="131"/>
    </row>
    <row r="65" spans="1:6" ht="27.6">
      <c r="A65" s="79" t="s">
        <v>66</v>
      </c>
      <c r="B65" s="80" t="s">
        <v>988</v>
      </c>
      <c r="C65" s="81" t="s">
        <v>149</v>
      </c>
      <c r="D65" s="82" t="s">
        <v>44</v>
      </c>
      <c r="E65" s="143"/>
      <c r="F65" s="131">
        <f>C65*E65</f>
        <v>0</v>
      </c>
    </row>
    <row r="66" spans="1:6">
      <c r="A66" s="72"/>
      <c r="B66" s="123"/>
      <c r="C66" s="73"/>
      <c r="D66" s="74"/>
      <c r="E66" s="143"/>
      <c r="F66" s="131"/>
    </row>
    <row r="67" spans="1:6" ht="27.6">
      <c r="A67" s="79" t="s">
        <v>70</v>
      </c>
      <c r="B67" s="80" t="s">
        <v>989</v>
      </c>
      <c r="C67" s="81" t="s">
        <v>31</v>
      </c>
      <c r="D67" s="82" t="s">
        <v>44</v>
      </c>
      <c r="E67" s="143"/>
      <c r="F67" s="131">
        <f>C67*E67</f>
        <v>0</v>
      </c>
    </row>
    <row r="68" spans="1:6">
      <c r="A68" s="72"/>
      <c r="B68" s="123"/>
      <c r="C68" s="73"/>
      <c r="D68" s="74"/>
      <c r="E68" s="143"/>
      <c r="F68" s="131"/>
    </row>
    <row r="69" spans="1:6" ht="27.6">
      <c r="A69" s="79" t="s">
        <v>199</v>
      </c>
      <c r="B69" s="80" t="s">
        <v>990</v>
      </c>
      <c r="C69" s="81" t="s">
        <v>991</v>
      </c>
      <c r="D69" s="82" t="s">
        <v>44</v>
      </c>
      <c r="E69" s="143"/>
      <c r="F69" s="131">
        <f>C69*E69</f>
        <v>0</v>
      </c>
    </row>
    <row r="70" spans="1:6">
      <c r="A70" s="72"/>
      <c r="B70" s="123"/>
      <c r="C70" s="73"/>
      <c r="D70" s="74"/>
      <c r="E70" s="143"/>
      <c r="F70" s="131"/>
    </row>
    <row r="71" spans="1:6" ht="27.6">
      <c r="A71" s="79" t="s">
        <v>226</v>
      </c>
      <c r="B71" s="80" t="s">
        <v>992</v>
      </c>
      <c r="C71" s="81" t="s">
        <v>178</v>
      </c>
      <c r="D71" s="82" t="s">
        <v>44</v>
      </c>
      <c r="E71" s="143"/>
      <c r="F71" s="131">
        <f>C71*E71</f>
        <v>0</v>
      </c>
    </row>
    <row r="72" spans="1:6">
      <c r="A72" s="72"/>
      <c r="B72" s="77"/>
      <c r="C72" s="73"/>
      <c r="D72" s="74"/>
      <c r="E72" s="143"/>
      <c r="F72" s="131"/>
    </row>
    <row r="73" spans="1:6">
      <c r="A73" s="72"/>
      <c r="B73" s="77"/>
      <c r="C73" s="73"/>
      <c r="D73" s="74"/>
      <c r="E73" s="143"/>
      <c r="F73" s="131"/>
    </row>
    <row r="74" spans="1:6">
      <c r="A74" s="72"/>
      <c r="B74" s="124"/>
      <c r="C74" s="73"/>
      <c r="D74" s="74"/>
      <c r="E74" s="143"/>
      <c r="F74" s="131"/>
    </row>
    <row r="75" spans="1:6">
      <c r="A75" s="85"/>
      <c r="B75" s="86"/>
      <c r="C75" s="87"/>
      <c r="D75" s="88"/>
      <c r="E75" s="145"/>
      <c r="F75" s="133"/>
    </row>
    <row r="76" spans="1:6">
      <c r="A76" s="89"/>
      <c r="B76" s="90"/>
      <c r="C76" s="91" t="s">
        <v>35</v>
      </c>
      <c r="D76" s="91"/>
      <c r="E76" s="146" t="s">
        <v>8</v>
      </c>
      <c r="F76" s="134">
        <f>SUM(F44:F73)</f>
        <v>0</v>
      </c>
    </row>
    <row r="77" spans="1:6">
      <c r="A77" s="89"/>
      <c r="B77" s="90"/>
      <c r="C77" s="92"/>
      <c r="D77" s="93"/>
      <c r="E77" s="147"/>
      <c r="F77" s="135"/>
    </row>
    <row r="78" spans="1:6">
      <c r="A78" s="72"/>
      <c r="B78" s="123"/>
      <c r="C78" s="73"/>
      <c r="D78" s="74"/>
      <c r="E78" s="143"/>
      <c r="F78" s="131"/>
    </row>
    <row r="79" spans="1:6" ht="27.6">
      <c r="A79" s="72"/>
      <c r="B79" s="77" t="s">
        <v>977</v>
      </c>
      <c r="C79" s="73"/>
      <c r="D79" s="74"/>
      <c r="E79" s="143"/>
      <c r="F79" s="131"/>
    </row>
    <row r="80" spans="1:6">
      <c r="A80" s="72"/>
      <c r="B80" s="123"/>
      <c r="C80" s="73"/>
      <c r="D80" s="74"/>
      <c r="E80" s="143"/>
      <c r="F80" s="131"/>
    </row>
    <row r="81" spans="1:6" ht="27.6">
      <c r="A81" s="79" t="s">
        <v>16</v>
      </c>
      <c r="B81" s="80" t="s">
        <v>993</v>
      </c>
      <c r="C81" s="81" t="s">
        <v>149</v>
      </c>
      <c r="D81" s="82" t="s">
        <v>44</v>
      </c>
      <c r="E81" s="143"/>
      <c r="F81" s="131">
        <f>C81*E81</f>
        <v>0</v>
      </c>
    </row>
    <row r="82" spans="1:6">
      <c r="A82" s="72"/>
      <c r="B82" s="123"/>
      <c r="C82" s="73"/>
      <c r="D82" s="74"/>
      <c r="E82" s="143"/>
      <c r="F82" s="131"/>
    </row>
    <row r="83" spans="1:6" ht="27.6">
      <c r="A83" s="79" t="s">
        <v>19</v>
      </c>
      <c r="B83" s="80" t="s">
        <v>994</v>
      </c>
      <c r="C83" s="81" t="s">
        <v>149</v>
      </c>
      <c r="D83" s="82" t="s">
        <v>44</v>
      </c>
      <c r="E83" s="143"/>
      <c r="F83" s="131">
        <f>C83*E83</f>
        <v>0</v>
      </c>
    </row>
    <row r="84" spans="1:6">
      <c r="A84" s="72"/>
      <c r="B84" s="123"/>
      <c r="C84" s="73"/>
      <c r="D84" s="74"/>
      <c r="E84" s="143"/>
      <c r="F84" s="131"/>
    </row>
    <row r="85" spans="1:6" ht="27.6">
      <c r="A85" s="79" t="s">
        <v>22</v>
      </c>
      <c r="B85" s="80" t="s">
        <v>995</v>
      </c>
      <c r="C85" s="81" t="s">
        <v>31</v>
      </c>
      <c r="D85" s="82" t="s">
        <v>44</v>
      </c>
      <c r="E85" s="143"/>
      <c r="F85" s="131">
        <f>C85*E85</f>
        <v>0</v>
      </c>
    </row>
    <row r="86" spans="1:6">
      <c r="A86" s="72"/>
      <c r="B86" s="123"/>
      <c r="C86" s="73"/>
      <c r="D86" s="74"/>
      <c r="E86" s="143"/>
      <c r="F86" s="131"/>
    </row>
    <row r="87" spans="1:6" ht="27.6">
      <c r="A87" s="79" t="s">
        <v>26</v>
      </c>
      <c r="B87" s="80" t="s">
        <v>996</v>
      </c>
      <c r="C87" s="81" t="s">
        <v>688</v>
      </c>
      <c r="D87" s="82" t="s">
        <v>44</v>
      </c>
      <c r="E87" s="143"/>
      <c r="F87" s="131">
        <f>C87*E87</f>
        <v>0</v>
      </c>
    </row>
    <row r="88" spans="1:6">
      <c r="A88" s="72"/>
      <c r="B88" s="123"/>
      <c r="C88" s="73"/>
      <c r="D88" s="74"/>
      <c r="E88" s="143"/>
      <c r="F88" s="131"/>
    </row>
    <row r="89" spans="1:6" ht="27.6">
      <c r="A89" s="79" t="s">
        <v>29</v>
      </c>
      <c r="B89" s="80" t="s">
        <v>997</v>
      </c>
      <c r="C89" s="81" t="s">
        <v>178</v>
      </c>
      <c r="D89" s="82" t="s">
        <v>44</v>
      </c>
      <c r="E89" s="143"/>
      <c r="F89" s="131">
        <f>C89*E89</f>
        <v>0</v>
      </c>
    </row>
    <row r="90" spans="1:6">
      <c r="A90" s="72"/>
      <c r="B90" s="123"/>
      <c r="C90" s="73"/>
      <c r="D90" s="74"/>
      <c r="E90" s="143"/>
      <c r="F90" s="131"/>
    </row>
    <row r="91" spans="1:6" ht="27.6">
      <c r="A91" s="79" t="s">
        <v>33</v>
      </c>
      <c r="B91" s="80" t="s">
        <v>998</v>
      </c>
      <c r="C91" s="81" t="s">
        <v>149</v>
      </c>
      <c r="D91" s="82" t="s">
        <v>44</v>
      </c>
      <c r="E91" s="143"/>
      <c r="F91" s="131">
        <f>C91*E91</f>
        <v>0</v>
      </c>
    </row>
    <row r="92" spans="1:6">
      <c r="A92" s="72"/>
      <c r="B92" s="123"/>
      <c r="C92" s="73"/>
      <c r="D92" s="74"/>
      <c r="E92" s="143"/>
      <c r="F92" s="131"/>
    </row>
    <row r="93" spans="1:6" ht="69">
      <c r="A93" s="79" t="s">
        <v>45</v>
      </c>
      <c r="B93" s="80" t="s">
        <v>999</v>
      </c>
      <c r="C93" s="81" t="s">
        <v>149</v>
      </c>
      <c r="D93" s="82" t="s">
        <v>44</v>
      </c>
      <c r="E93" s="143"/>
      <c r="F93" s="184" t="s">
        <v>971</v>
      </c>
    </row>
    <row r="94" spans="1:6">
      <c r="A94" s="72"/>
      <c r="B94" s="123"/>
      <c r="C94" s="73"/>
      <c r="D94" s="74"/>
      <c r="E94" s="143"/>
      <c r="F94" s="131"/>
    </row>
    <row r="95" spans="1:6" ht="27.6">
      <c r="A95" s="79" t="s">
        <v>49</v>
      </c>
      <c r="B95" s="80" t="s">
        <v>1000</v>
      </c>
      <c r="C95" s="81" t="s">
        <v>31</v>
      </c>
      <c r="D95" s="82" t="s">
        <v>44</v>
      </c>
      <c r="E95" s="143"/>
      <c r="F95" s="131">
        <f>C95*E95</f>
        <v>0</v>
      </c>
    </row>
    <row r="96" spans="1:6">
      <c r="A96" s="72"/>
      <c r="B96" s="123"/>
      <c r="C96" s="73"/>
      <c r="D96" s="74"/>
      <c r="E96" s="143"/>
      <c r="F96" s="131"/>
    </row>
    <row r="97" spans="1:6" ht="27.6">
      <c r="A97" s="79" t="s">
        <v>61</v>
      </c>
      <c r="B97" s="80" t="s">
        <v>1001</v>
      </c>
      <c r="C97" s="81" t="s">
        <v>285</v>
      </c>
      <c r="D97" s="82" t="s">
        <v>44</v>
      </c>
      <c r="E97" s="143"/>
      <c r="F97" s="131">
        <f>C97*E97</f>
        <v>0</v>
      </c>
    </row>
    <row r="98" spans="1:6">
      <c r="A98" s="72"/>
      <c r="B98" s="123"/>
      <c r="C98" s="73"/>
      <c r="D98" s="74"/>
      <c r="E98" s="143"/>
      <c r="F98" s="131"/>
    </row>
    <row r="99" spans="1:6" ht="27.6">
      <c r="A99" s="79" t="s">
        <v>63</v>
      </c>
      <c r="B99" s="80" t="s">
        <v>1002</v>
      </c>
      <c r="C99" s="81" t="s">
        <v>178</v>
      </c>
      <c r="D99" s="82" t="s">
        <v>44</v>
      </c>
      <c r="E99" s="143"/>
      <c r="F99" s="131">
        <f>C99*E99</f>
        <v>0</v>
      </c>
    </row>
    <row r="100" spans="1:6">
      <c r="A100" s="72"/>
      <c r="B100" s="123"/>
      <c r="C100" s="73"/>
      <c r="D100" s="74"/>
      <c r="E100" s="143"/>
      <c r="F100" s="131"/>
    </row>
    <row r="101" spans="1:6" ht="27.6">
      <c r="A101" s="79" t="s">
        <v>66</v>
      </c>
      <c r="B101" s="80" t="s">
        <v>1003</v>
      </c>
      <c r="C101" s="81" t="s">
        <v>149</v>
      </c>
      <c r="D101" s="82" t="s">
        <v>44</v>
      </c>
      <c r="E101" s="143"/>
      <c r="F101" s="131">
        <f>C101*E101</f>
        <v>0</v>
      </c>
    </row>
    <row r="102" spans="1:6">
      <c r="A102" s="72"/>
      <c r="B102" s="123"/>
      <c r="C102" s="73"/>
      <c r="D102" s="74"/>
      <c r="E102" s="143"/>
      <c r="F102" s="131"/>
    </row>
    <row r="103" spans="1:6" ht="27.6">
      <c r="A103" s="79" t="s">
        <v>70</v>
      </c>
      <c r="B103" s="80" t="s">
        <v>1004</v>
      </c>
      <c r="C103" s="81" t="s">
        <v>149</v>
      </c>
      <c r="D103" s="82" t="s">
        <v>44</v>
      </c>
      <c r="E103" s="143"/>
      <c r="F103" s="131">
        <f>C103*E103</f>
        <v>0</v>
      </c>
    </row>
    <row r="104" spans="1:6">
      <c r="A104" s="72"/>
      <c r="B104" s="123"/>
      <c r="C104" s="73"/>
      <c r="D104" s="74"/>
      <c r="E104" s="143"/>
      <c r="F104" s="131"/>
    </row>
    <row r="105" spans="1:6" ht="27.6">
      <c r="A105" s="79" t="s">
        <v>199</v>
      </c>
      <c r="B105" s="80" t="s">
        <v>1005</v>
      </c>
      <c r="C105" s="81" t="s">
        <v>31</v>
      </c>
      <c r="D105" s="82" t="s">
        <v>44</v>
      </c>
      <c r="E105" s="143"/>
      <c r="F105" s="131">
        <f>C105*E105</f>
        <v>0</v>
      </c>
    </row>
    <row r="106" spans="1:6">
      <c r="A106" s="78"/>
      <c r="B106" s="112"/>
      <c r="C106" s="78"/>
      <c r="D106" s="84"/>
      <c r="E106" s="143"/>
      <c r="F106" s="131"/>
    </row>
    <row r="107" spans="1:6">
      <c r="A107" s="78"/>
      <c r="B107" s="112"/>
      <c r="C107" s="78"/>
      <c r="D107" s="84"/>
      <c r="E107" s="143"/>
      <c r="F107" s="131"/>
    </row>
    <row r="108" spans="1:6">
      <c r="A108" s="78"/>
      <c r="B108" s="112"/>
      <c r="C108" s="78"/>
      <c r="D108" s="84"/>
      <c r="E108" s="143"/>
      <c r="F108" s="131"/>
    </row>
    <row r="109" spans="1:6">
      <c r="A109" s="72"/>
      <c r="B109" s="77"/>
      <c r="C109" s="73"/>
      <c r="D109" s="74"/>
      <c r="E109" s="143"/>
      <c r="F109" s="131"/>
    </row>
    <row r="110" spans="1:6">
      <c r="A110" s="72"/>
      <c r="B110" s="123"/>
      <c r="C110" s="73"/>
      <c r="D110" s="74"/>
      <c r="E110" s="143"/>
      <c r="F110" s="131"/>
    </row>
    <row r="111" spans="1:6">
      <c r="A111" s="79"/>
      <c r="B111" s="117"/>
      <c r="C111" s="81"/>
      <c r="D111" s="82"/>
      <c r="E111" s="143"/>
      <c r="F111" s="131"/>
    </row>
    <row r="112" spans="1:6">
      <c r="A112" s="85"/>
      <c r="B112" s="86"/>
      <c r="C112" s="87"/>
      <c r="D112" s="88"/>
      <c r="E112" s="145"/>
      <c r="F112" s="133"/>
    </row>
    <row r="113" spans="1:6">
      <c r="A113" s="89"/>
      <c r="B113" s="90"/>
      <c r="C113" s="91" t="s">
        <v>35</v>
      </c>
      <c r="D113" s="91"/>
      <c r="E113" s="146" t="s">
        <v>8</v>
      </c>
      <c r="F113" s="134">
        <f>SUM(F80:F107)</f>
        <v>0</v>
      </c>
    </row>
    <row r="114" spans="1:6">
      <c r="A114" s="89"/>
      <c r="B114" s="90"/>
      <c r="C114" s="92"/>
      <c r="D114" s="93"/>
      <c r="E114" s="147"/>
      <c r="F114" s="135"/>
    </row>
    <row r="115" spans="1:6">
      <c r="A115" s="79"/>
      <c r="B115" s="115"/>
      <c r="C115" s="81"/>
      <c r="D115" s="82"/>
      <c r="E115" s="143"/>
      <c r="F115" s="131"/>
    </row>
    <row r="116" spans="1:6" ht="27.6">
      <c r="A116" s="72"/>
      <c r="B116" s="77" t="s">
        <v>977</v>
      </c>
      <c r="C116" s="73"/>
      <c r="D116" s="74"/>
      <c r="E116" s="143"/>
      <c r="F116" s="131"/>
    </row>
    <row r="117" spans="1:6">
      <c r="A117" s="72"/>
      <c r="B117" s="123"/>
      <c r="C117" s="73"/>
      <c r="D117" s="74"/>
      <c r="E117" s="143"/>
      <c r="F117" s="131"/>
    </row>
    <row r="118" spans="1:6" ht="27.6">
      <c r="A118" s="79" t="s">
        <v>16</v>
      </c>
      <c r="B118" s="80" t="s">
        <v>1006</v>
      </c>
      <c r="C118" s="81" t="s">
        <v>1007</v>
      </c>
      <c r="D118" s="82" t="s">
        <v>44</v>
      </c>
      <c r="E118" s="143"/>
      <c r="F118" s="131">
        <f>C118*E118</f>
        <v>0</v>
      </c>
    </row>
    <row r="119" spans="1:6">
      <c r="A119" s="72"/>
      <c r="B119" s="123"/>
      <c r="C119" s="73"/>
      <c r="D119" s="74"/>
      <c r="E119" s="143"/>
      <c r="F119" s="131"/>
    </row>
    <row r="120" spans="1:6" ht="27.6">
      <c r="A120" s="79" t="s">
        <v>19</v>
      </c>
      <c r="B120" s="80" t="s">
        <v>1008</v>
      </c>
      <c r="C120" s="81" t="s">
        <v>178</v>
      </c>
      <c r="D120" s="82" t="s">
        <v>44</v>
      </c>
      <c r="E120" s="143"/>
      <c r="F120" s="131">
        <f>C120*E120</f>
        <v>0</v>
      </c>
    </row>
    <row r="121" spans="1:6">
      <c r="A121" s="72"/>
      <c r="B121" s="123"/>
      <c r="C121" s="73"/>
      <c r="D121" s="74"/>
      <c r="E121" s="143"/>
      <c r="F121" s="131"/>
    </row>
    <row r="122" spans="1:6" ht="27.6">
      <c r="A122" s="79" t="s">
        <v>22</v>
      </c>
      <c r="B122" s="80" t="s">
        <v>1009</v>
      </c>
      <c r="C122" s="81" t="s">
        <v>149</v>
      </c>
      <c r="D122" s="82" t="s">
        <v>44</v>
      </c>
      <c r="E122" s="143"/>
      <c r="F122" s="131">
        <f>C122*E122</f>
        <v>0</v>
      </c>
    </row>
    <row r="123" spans="1:6">
      <c r="A123" s="72"/>
      <c r="B123" s="123"/>
      <c r="C123" s="73"/>
      <c r="D123" s="74"/>
      <c r="E123" s="143"/>
      <c r="F123" s="131"/>
    </row>
    <row r="124" spans="1:6" ht="27.6">
      <c r="A124" s="79" t="s">
        <v>26</v>
      </c>
      <c r="B124" s="80" t="s">
        <v>1010</v>
      </c>
      <c r="C124" s="81" t="s">
        <v>149</v>
      </c>
      <c r="D124" s="82" t="s">
        <v>44</v>
      </c>
      <c r="E124" s="143"/>
      <c r="F124" s="131">
        <f>C124*E124</f>
        <v>0</v>
      </c>
    </row>
    <row r="125" spans="1:6" ht="69">
      <c r="A125" s="72"/>
      <c r="B125" s="123"/>
      <c r="C125" s="73"/>
      <c r="D125" s="74"/>
      <c r="E125" s="143"/>
      <c r="F125" s="184" t="s">
        <v>971</v>
      </c>
    </row>
    <row r="126" spans="1:6" ht="27.6">
      <c r="A126" s="79" t="s">
        <v>29</v>
      </c>
      <c r="B126" s="80" t="s">
        <v>1011</v>
      </c>
      <c r="C126" s="81" t="s">
        <v>31</v>
      </c>
      <c r="D126" s="82" t="s">
        <v>44</v>
      </c>
      <c r="E126" s="143"/>
      <c r="F126" s="131">
        <f>C126*E126</f>
        <v>0</v>
      </c>
    </row>
    <row r="127" spans="1:6">
      <c r="A127" s="72"/>
      <c r="B127" s="123"/>
      <c r="C127" s="73"/>
      <c r="D127" s="74"/>
      <c r="E127" s="143"/>
      <c r="F127" s="131"/>
    </row>
    <row r="128" spans="1:6" ht="27.6">
      <c r="A128" s="79" t="s">
        <v>33</v>
      </c>
      <c r="B128" s="80" t="s">
        <v>1012</v>
      </c>
      <c r="C128" s="81" t="s">
        <v>407</v>
      </c>
      <c r="D128" s="82" t="s">
        <v>44</v>
      </c>
      <c r="E128" s="143"/>
      <c r="F128" s="131">
        <f>C128*E128</f>
        <v>0</v>
      </c>
    </row>
    <row r="129" spans="1:6">
      <c r="A129" s="72"/>
      <c r="B129" s="123"/>
      <c r="C129" s="73"/>
      <c r="D129" s="74"/>
      <c r="E129" s="143"/>
      <c r="F129" s="131"/>
    </row>
    <row r="130" spans="1:6">
      <c r="A130" s="79"/>
      <c r="B130" s="117" t="s">
        <v>1013</v>
      </c>
      <c r="C130" s="81"/>
      <c r="D130" s="82"/>
      <c r="E130" s="143"/>
      <c r="F130" s="131"/>
    </row>
    <row r="131" spans="1:6">
      <c r="A131" s="72"/>
      <c r="B131" s="123"/>
      <c r="C131" s="73"/>
      <c r="D131" s="74"/>
      <c r="E131" s="143"/>
      <c r="F131" s="131"/>
    </row>
    <row r="132" spans="1:6" ht="27.6">
      <c r="A132" s="79" t="s">
        <v>45</v>
      </c>
      <c r="B132" s="80" t="s">
        <v>1014</v>
      </c>
      <c r="C132" s="81" t="s">
        <v>1015</v>
      </c>
      <c r="D132" s="82" t="s">
        <v>1016</v>
      </c>
      <c r="E132" s="143"/>
      <c r="F132" s="131">
        <f>C132*E132</f>
        <v>0</v>
      </c>
    </row>
    <row r="133" spans="1:6">
      <c r="A133" s="72"/>
      <c r="B133" s="123"/>
      <c r="C133" s="73"/>
      <c r="D133" s="74"/>
      <c r="E133" s="143"/>
      <c r="F133" s="131"/>
    </row>
    <row r="134" spans="1:6">
      <c r="A134" s="79" t="s">
        <v>49</v>
      </c>
      <c r="B134" s="80" t="s">
        <v>1017</v>
      </c>
      <c r="C134" s="81" t="s">
        <v>1018</v>
      </c>
      <c r="D134" s="82" t="s">
        <v>32</v>
      </c>
      <c r="E134" s="143"/>
      <c r="F134" s="131">
        <f>C134*E134</f>
        <v>0</v>
      </c>
    </row>
    <row r="135" spans="1:6">
      <c r="A135" s="78"/>
      <c r="B135" s="112"/>
      <c r="C135" s="78"/>
      <c r="D135" s="84"/>
      <c r="E135" s="143"/>
      <c r="F135" s="131"/>
    </row>
    <row r="136" spans="1:6">
      <c r="A136" s="78"/>
      <c r="B136" s="112"/>
      <c r="C136" s="78"/>
      <c r="D136" s="84"/>
      <c r="E136" s="143"/>
      <c r="F136" s="131"/>
    </row>
    <row r="137" spans="1:6">
      <c r="A137" s="78"/>
      <c r="B137" s="112"/>
      <c r="C137" s="78"/>
      <c r="D137" s="84"/>
      <c r="E137" s="143"/>
      <c r="F137" s="131"/>
    </row>
    <row r="138" spans="1:6">
      <c r="A138" s="78"/>
      <c r="B138" s="112"/>
      <c r="C138" s="78"/>
      <c r="D138" s="84"/>
      <c r="E138" s="143"/>
      <c r="F138" s="131"/>
    </row>
    <row r="139" spans="1:6">
      <c r="A139" s="78"/>
      <c r="B139" s="112"/>
      <c r="C139" s="78"/>
      <c r="D139" s="84"/>
      <c r="E139" s="143"/>
      <c r="F139" s="131"/>
    </row>
    <row r="140" spans="1:6">
      <c r="A140" s="78"/>
      <c r="B140" s="112"/>
      <c r="C140" s="78"/>
      <c r="D140" s="84"/>
      <c r="E140" s="143"/>
      <c r="F140" s="131"/>
    </row>
    <row r="141" spans="1:6">
      <c r="A141" s="78"/>
      <c r="B141" s="112"/>
      <c r="C141" s="78"/>
      <c r="D141" s="84"/>
      <c r="E141" s="143"/>
      <c r="F141" s="131"/>
    </row>
    <row r="142" spans="1:6">
      <c r="A142" s="78"/>
      <c r="B142" s="112"/>
      <c r="C142" s="78"/>
      <c r="D142" s="84"/>
      <c r="E142" s="143"/>
      <c r="F142" s="131"/>
    </row>
    <row r="143" spans="1:6">
      <c r="A143" s="78"/>
      <c r="B143" s="112"/>
      <c r="C143" s="78"/>
      <c r="D143" s="84"/>
      <c r="E143" s="143"/>
      <c r="F143" s="131"/>
    </row>
    <row r="144" spans="1:6">
      <c r="A144" s="78"/>
      <c r="B144" s="112"/>
      <c r="C144" s="78"/>
      <c r="D144" s="84"/>
      <c r="E144" s="143"/>
      <c r="F144" s="131"/>
    </row>
    <row r="145" spans="1:6">
      <c r="A145" s="78"/>
      <c r="B145" s="112"/>
      <c r="C145" s="78"/>
      <c r="D145" s="84"/>
      <c r="E145" s="143"/>
      <c r="F145" s="131"/>
    </row>
    <row r="146" spans="1:6">
      <c r="A146" s="78"/>
      <c r="B146" s="112"/>
      <c r="C146" s="78"/>
      <c r="D146" s="84"/>
      <c r="E146" s="143"/>
      <c r="F146" s="131"/>
    </row>
    <row r="147" spans="1:6">
      <c r="A147" s="78"/>
      <c r="B147" s="112"/>
      <c r="C147" s="78"/>
      <c r="D147" s="84"/>
      <c r="E147" s="143"/>
      <c r="F147" s="131"/>
    </row>
    <row r="148" spans="1:6">
      <c r="A148" s="79"/>
      <c r="B148" s="115"/>
      <c r="C148" s="81"/>
      <c r="D148" s="82"/>
      <c r="E148" s="143"/>
      <c r="F148" s="131"/>
    </row>
    <row r="149" spans="1:6">
      <c r="A149" s="79"/>
      <c r="B149" s="115"/>
      <c r="C149" s="81"/>
      <c r="D149" s="82"/>
      <c r="E149" s="143"/>
      <c r="F149" s="131"/>
    </row>
    <row r="150" spans="1:6">
      <c r="A150" s="72"/>
      <c r="B150" s="123"/>
      <c r="C150" s="73"/>
      <c r="D150" s="74"/>
      <c r="E150" s="143"/>
      <c r="F150" s="131"/>
    </row>
    <row r="151" spans="1:6">
      <c r="A151" s="79"/>
      <c r="B151" s="117"/>
      <c r="C151" s="81"/>
      <c r="D151" s="82"/>
      <c r="E151" s="143"/>
      <c r="F151" s="131"/>
    </row>
    <row r="152" spans="1:6">
      <c r="A152" s="72"/>
      <c r="B152" s="123"/>
      <c r="C152" s="73"/>
      <c r="D152" s="74"/>
      <c r="E152" s="143"/>
      <c r="F152" s="131"/>
    </row>
    <row r="153" spans="1:6">
      <c r="A153" s="79"/>
      <c r="B153" s="115"/>
      <c r="C153" s="81"/>
      <c r="D153" s="82"/>
      <c r="E153" s="143"/>
      <c r="F153" s="131"/>
    </row>
    <row r="154" spans="1:6">
      <c r="A154" s="72"/>
      <c r="B154" s="123"/>
      <c r="C154" s="73"/>
      <c r="D154" s="74"/>
      <c r="E154" s="143"/>
      <c r="F154" s="131"/>
    </row>
    <row r="155" spans="1:6">
      <c r="A155" s="85"/>
      <c r="B155" s="86"/>
      <c r="C155" s="87"/>
      <c r="D155" s="88"/>
      <c r="E155" s="145"/>
      <c r="F155" s="133"/>
    </row>
    <row r="156" spans="1:6">
      <c r="A156" s="89"/>
      <c r="B156" s="90"/>
      <c r="C156" s="91" t="s">
        <v>35</v>
      </c>
      <c r="D156" s="91"/>
      <c r="E156" s="146" t="s">
        <v>8</v>
      </c>
      <c r="F156" s="134">
        <f>SUM(F118:F138)</f>
        <v>0</v>
      </c>
    </row>
    <row r="157" spans="1:6">
      <c r="A157" s="89"/>
      <c r="B157" s="90"/>
      <c r="C157" s="92"/>
      <c r="D157" s="93"/>
      <c r="E157" s="147"/>
      <c r="F157" s="135"/>
    </row>
    <row r="158" spans="1:6">
      <c r="A158" s="72"/>
      <c r="B158" s="123"/>
      <c r="C158" s="73"/>
      <c r="D158" s="74"/>
      <c r="E158" s="143"/>
      <c r="F158" s="131"/>
    </row>
    <row r="159" spans="1:6">
      <c r="A159" s="72"/>
      <c r="B159" s="77" t="s">
        <v>1019</v>
      </c>
      <c r="C159" s="73"/>
      <c r="D159" s="74"/>
      <c r="E159" s="143"/>
      <c r="F159" s="131"/>
    </row>
    <row r="160" spans="1:6">
      <c r="A160" s="72"/>
      <c r="B160" s="123"/>
      <c r="C160" s="73"/>
      <c r="D160" s="74"/>
      <c r="E160" s="143"/>
      <c r="F160" s="131"/>
    </row>
    <row r="161" spans="1:6">
      <c r="A161" s="79"/>
      <c r="B161" s="115" t="s">
        <v>135</v>
      </c>
      <c r="C161" s="81"/>
      <c r="D161" s="82"/>
      <c r="E161" s="143"/>
      <c r="F161" s="131"/>
    </row>
    <row r="162" spans="1:6">
      <c r="A162" s="72"/>
      <c r="B162" s="123"/>
      <c r="C162" s="73"/>
      <c r="D162" s="74"/>
      <c r="E162" s="143"/>
      <c r="F162" s="131"/>
    </row>
    <row r="163" spans="1:6" ht="110.45">
      <c r="A163" s="79"/>
      <c r="B163" s="115" t="s">
        <v>165</v>
      </c>
      <c r="C163" s="81"/>
      <c r="D163" s="82"/>
      <c r="E163" s="143"/>
      <c r="F163" s="131"/>
    </row>
    <row r="164" spans="1:6">
      <c r="A164" s="72"/>
      <c r="B164" s="123"/>
      <c r="C164" s="73"/>
      <c r="D164" s="74"/>
      <c r="E164" s="143"/>
      <c r="F164" s="131"/>
    </row>
    <row r="165" spans="1:6" ht="41.45">
      <c r="A165" s="79"/>
      <c r="B165" s="115" t="s">
        <v>1020</v>
      </c>
      <c r="C165" s="81"/>
      <c r="D165" s="82"/>
      <c r="E165" s="143"/>
      <c r="F165" s="131"/>
    </row>
    <row r="166" spans="1:6">
      <c r="A166" s="72"/>
      <c r="B166" s="123"/>
      <c r="C166" s="73"/>
      <c r="D166" s="74"/>
      <c r="E166" s="143"/>
      <c r="F166" s="131"/>
    </row>
    <row r="167" spans="1:6" ht="27.6">
      <c r="A167" s="79"/>
      <c r="B167" s="115" t="s">
        <v>1021</v>
      </c>
      <c r="C167" s="81"/>
      <c r="D167" s="82"/>
      <c r="E167" s="143"/>
      <c r="F167" s="131"/>
    </row>
    <row r="168" spans="1:6">
      <c r="A168" s="72"/>
      <c r="B168" s="123"/>
      <c r="C168" s="73"/>
      <c r="D168" s="74"/>
      <c r="E168" s="143"/>
      <c r="F168" s="131"/>
    </row>
    <row r="169" spans="1:6" ht="55.15">
      <c r="A169" s="79"/>
      <c r="B169" s="115" t="s">
        <v>1022</v>
      </c>
      <c r="C169" s="81"/>
      <c r="D169" s="82"/>
      <c r="E169" s="143"/>
      <c r="F169" s="131"/>
    </row>
    <row r="170" spans="1:6">
      <c r="A170" s="72"/>
      <c r="B170" s="123"/>
      <c r="C170" s="73"/>
      <c r="D170" s="74"/>
      <c r="E170" s="143"/>
      <c r="F170" s="131"/>
    </row>
    <row r="171" spans="1:6" ht="72.75" customHeight="1">
      <c r="A171" s="79"/>
      <c r="B171" s="117" t="s">
        <v>1023</v>
      </c>
      <c r="C171" s="81"/>
      <c r="D171" s="82"/>
      <c r="E171" s="143"/>
      <c r="F171" s="131"/>
    </row>
    <row r="172" spans="1:6">
      <c r="A172" s="72"/>
      <c r="B172" s="123"/>
      <c r="C172" s="73"/>
      <c r="D172" s="74"/>
      <c r="E172" s="143"/>
      <c r="F172" s="131"/>
    </row>
    <row r="173" spans="1:6" ht="69">
      <c r="A173" s="79" t="s">
        <v>16</v>
      </c>
      <c r="B173" s="80" t="s">
        <v>1024</v>
      </c>
      <c r="C173" s="81" t="s">
        <v>178</v>
      </c>
      <c r="D173" s="82" t="s">
        <v>44</v>
      </c>
      <c r="E173" s="143"/>
      <c r="F173" s="131" t="s">
        <v>853</v>
      </c>
    </row>
    <row r="174" spans="1:6">
      <c r="A174" s="72"/>
      <c r="B174" s="123"/>
      <c r="C174" s="73"/>
      <c r="D174" s="74"/>
      <c r="E174" s="143"/>
      <c r="F174" s="131"/>
    </row>
    <row r="175" spans="1:6" ht="69">
      <c r="A175" s="79" t="s">
        <v>19</v>
      </c>
      <c r="B175" s="80" t="s">
        <v>1025</v>
      </c>
      <c r="C175" s="81">
        <v>1</v>
      </c>
      <c r="D175" s="82" t="s">
        <v>2</v>
      </c>
      <c r="E175" s="143">
        <v>8096.3</v>
      </c>
      <c r="F175" s="131">
        <f>C175*E175</f>
        <v>8096.3</v>
      </c>
    </row>
    <row r="176" spans="1:6">
      <c r="A176" s="79"/>
      <c r="B176" s="115"/>
      <c r="C176" s="81"/>
      <c r="D176" s="82"/>
      <c r="E176" s="143"/>
      <c r="F176" s="131"/>
    </row>
    <row r="177" spans="1:6">
      <c r="A177" s="79"/>
      <c r="B177" s="115"/>
      <c r="C177" s="81"/>
      <c r="D177" s="82"/>
      <c r="E177" s="143"/>
      <c r="F177" s="131"/>
    </row>
    <row r="178" spans="1:6">
      <c r="A178" s="79"/>
      <c r="B178" s="115"/>
      <c r="C178" s="81"/>
      <c r="D178" s="82"/>
      <c r="E178" s="143"/>
      <c r="F178" s="131"/>
    </row>
    <row r="179" spans="1:6">
      <c r="A179" s="78"/>
      <c r="B179" s="112"/>
      <c r="C179" s="78"/>
      <c r="D179" s="84"/>
      <c r="E179" s="143"/>
      <c r="F179" s="131"/>
    </row>
    <row r="180" spans="1:6">
      <c r="A180" s="78"/>
      <c r="B180" s="112"/>
      <c r="C180" s="78"/>
      <c r="D180" s="84"/>
      <c r="E180" s="143"/>
      <c r="F180" s="131"/>
    </row>
    <row r="181" spans="1:6">
      <c r="A181" s="85"/>
      <c r="B181" s="86"/>
      <c r="C181" s="87"/>
      <c r="D181" s="88"/>
      <c r="E181" s="145"/>
      <c r="F181" s="133"/>
    </row>
    <row r="182" spans="1:6">
      <c r="A182" s="89"/>
      <c r="B182" s="90"/>
      <c r="C182" s="91" t="s">
        <v>35</v>
      </c>
      <c r="D182" s="91"/>
      <c r="E182" s="146" t="s">
        <v>8</v>
      </c>
      <c r="F182" s="134">
        <f>SUM(F173:F178)</f>
        <v>8096.3</v>
      </c>
    </row>
    <row r="183" spans="1:6">
      <c r="A183" s="89"/>
      <c r="B183" s="90"/>
      <c r="C183" s="92"/>
      <c r="D183" s="93"/>
      <c r="E183" s="147"/>
      <c r="F183" s="135"/>
    </row>
    <row r="184" spans="1:6">
      <c r="A184" s="72"/>
      <c r="B184" s="123"/>
      <c r="C184" s="73"/>
      <c r="D184" s="74"/>
      <c r="E184" s="143"/>
      <c r="F184" s="131"/>
    </row>
    <row r="185" spans="1:6" ht="27.6">
      <c r="A185" s="72"/>
      <c r="B185" s="77" t="s">
        <v>1026</v>
      </c>
      <c r="C185" s="73"/>
      <c r="D185" s="74"/>
      <c r="E185" s="143"/>
      <c r="F185" s="131"/>
    </row>
    <row r="186" spans="1:6">
      <c r="A186" s="72"/>
      <c r="B186" s="123"/>
      <c r="C186" s="73"/>
      <c r="D186" s="74"/>
      <c r="E186" s="143"/>
      <c r="F186" s="131"/>
    </row>
    <row r="187" spans="1:6" ht="55.15">
      <c r="A187" s="79"/>
      <c r="B187" s="117" t="s">
        <v>1027</v>
      </c>
      <c r="C187" s="81"/>
      <c r="D187" s="82"/>
      <c r="E187" s="143"/>
      <c r="F187" s="131"/>
    </row>
    <row r="188" spans="1:6">
      <c r="A188" s="72"/>
      <c r="B188" s="123"/>
      <c r="C188" s="73"/>
      <c r="D188" s="74"/>
      <c r="E188" s="143"/>
      <c r="F188" s="131"/>
    </row>
    <row r="189" spans="1:6">
      <c r="A189" s="79" t="s">
        <v>16</v>
      </c>
      <c r="B189" s="80" t="s">
        <v>514</v>
      </c>
      <c r="C189" s="81" t="s">
        <v>80</v>
      </c>
      <c r="D189" s="82" t="s">
        <v>103</v>
      </c>
      <c r="E189" s="143">
        <v>136.05000000000001</v>
      </c>
      <c r="F189" s="131">
        <f>C189*E189</f>
        <v>1088.4000000000001</v>
      </c>
    </row>
    <row r="190" spans="1:6">
      <c r="A190" s="72"/>
      <c r="B190" s="123"/>
      <c r="C190" s="73"/>
      <c r="D190" s="74"/>
      <c r="E190" s="143"/>
      <c r="F190" s="131"/>
    </row>
    <row r="191" spans="1:6">
      <c r="A191" s="79" t="s">
        <v>19</v>
      </c>
      <c r="B191" s="80" t="s">
        <v>536</v>
      </c>
      <c r="C191" s="81" t="s">
        <v>298</v>
      </c>
      <c r="D191" s="82" t="s">
        <v>103</v>
      </c>
      <c r="E191" s="143">
        <v>294.77</v>
      </c>
      <c r="F191" s="131">
        <f>C191*E191</f>
        <v>3242.47</v>
      </c>
    </row>
    <row r="192" spans="1:6">
      <c r="A192" s="72"/>
      <c r="B192" s="123"/>
      <c r="C192" s="73"/>
      <c r="D192" s="74"/>
      <c r="E192" s="143"/>
      <c r="F192" s="131"/>
    </row>
    <row r="193" spans="1:6">
      <c r="A193" s="79" t="s">
        <v>22</v>
      </c>
      <c r="B193" s="80" t="s">
        <v>539</v>
      </c>
      <c r="C193" s="81" t="s">
        <v>127</v>
      </c>
      <c r="D193" s="82" t="s">
        <v>103</v>
      </c>
      <c r="E193" s="143">
        <v>317.44</v>
      </c>
      <c r="F193" s="131">
        <f>C193*E193</f>
        <v>1587.2</v>
      </c>
    </row>
    <row r="194" spans="1:6">
      <c r="A194" s="72"/>
      <c r="B194" s="123"/>
      <c r="C194" s="73"/>
      <c r="D194" s="74"/>
      <c r="E194" s="143"/>
      <c r="F194" s="131"/>
    </row>
    <row r="195" spans="1:6">
      <c r="A195" s="79" t="s">
        <v>26</v>
      </c>
      <c r="B195" s="80" t="s">
        <v>1028</v>
      </c>
      <c r="C195" s="81" t="s">
        <v>149</v>
      </c>
      <c r="D195" s="82" t="s">
        <v>103</v>
      </c>
      <c r="E195" s="143">
        <v>362.79</v>
      </c>
      <c r="F195" s="131">
        <f>C195*E195</f>
        <v>725.58</v>
      </c>
    </row>
    <row r="196" spans="1:6">
      <c r="A196" s="72"/>
      <c r="B196" s="123"/>
      <c r="C196" s="73"/>
      <c r="D196" s="74"/>
      <c r="E196" s="143"/>
      <c r="F196" s="131"/>
    </row>
    <row r="197" spans="1:6">
      <c r="A197" s="79" t="s">
        <v>29</v>
      </c>
      <c r="B197" s="80" t="s">
        <v>1029</v>
      </c>
      <c r="C197" s="81" t="s">
        <v>212</v>
      </c>
      <c r="D197" s="82" t="s">
        <v>103</v>
      </c>
      <c r="E197" s="143">
        <v>385.47</v>
      </c>
      <c r="F197" s="131">
        <f>C197*E197</f>
        <v>3469.2300000000005</v>
      </c>
    </row>
    <row r="198" spans="1:6">
      <c r="A198" s="72"/>
      <c r="B198" s="123"/>
      <c r="C198" s="73"/>
      <c r="D198" s="74"/>
      <c r="E198" s="143"/>
      <c r="F198" s="131"/>
    </row>
    <row r="199" spans="1:6">
      <c r="A199" s="79" t="s">
        <v>33</v>
      </c>
      <c r="B199" s="80" t="s">
        <v>555</v>
      </c>
      <c r="C199" s="81" t="s">
        <v>178</v>
      </c>
      <c r="D199" s="82" t="s">
        <v>103</v>
      </c>
      <c r="E199" s="143">
        <v>408.14</v>
      </c>
      <c r="F199" s="131">
        <f>C199*E199</f>
        <v>1632.56</v>
      </c>
    </row>
    <row r="200" spans="1:6">
      <c r="A200" s="72"/>
      <c r="B200" s="123"/>
      <c r="C200" s="73"/>
      <c r="D200" s="74"/>
      <c r="E200" s="143"/>
      <c r="F200" s="131"/>
    </row>
    <row r="201" spans="1:6">
      <c r="A201" s="79" t="s">
        <v>45</v>
      </c>
      <c r="B201" s="80" t="s">
        <v>559</v>
      </c>
      <c r="C201" s="81" t="s">
        <v>149</v>
      </c>
      <c r="D201" s="82" t="s">
        <v>103</v>
      </c>
      <c r="E201" s="143">
        <v>430.82</v>
      </c>
      <c r="F201" s="131">
        <f>C201*E201</f>
        <v>861.64</v>
      </c>
    </row>
    <row r="202" spans="1:6">
      <c r="A202" s="72"/>
      <c r="B202" s="123"/>
      <c r="C202" s="73"/>
      <c r="D202" s="74"/>
      <c r="E202" s="143"/>
      <c r="F202" s="131"/>
    </row>
    <row r="203" spans="1:6">
      <c r="A203" s="79" t="s">
        <v>49</v>
      </c>
      <c r="B203" s="80" t="s">
        <v>1030</v>
      </c>
      <c r="C203" s="81" t="s">
        <v>444</v>
      </c>
      <c r="D203" s="82" t="s">
        <v>103</v>
      </c>
      <c r="E203" s="143">
        <v>521.52</v>
      </c>
      <c r="F203" s="131">
        <f>C203*E203</f>
        <v>12516.48</v>
      </c>
    </row>
    <row r="204" spans="1:6">
      <c r="A204" s="72"/>
      <c r="B204" s="123"/>
      <c r="C204" s="73"/>
      <c r="D204" s="74"/>
      <c r="E204" s="143"/>
      <c r="F204" s="131"/>
    </row>
    <row r="205" spans="1:6">
      <c r="A205" s="79" t="s">
        <v>61</v>
      </c>
      <c r="B205" s="80" t="s">
        <v>435</v>
      </c>
      <c r="C205" s="81" t="s">
        <v>24</v>
      </c>
      <c r="D205" s="82" t="s">
        <v>103</v>
      </c>
      <c r="E205" s="143">
        <v>136.05000000000001</v>
      </c>
      <c r="F205" s="131">
        <f>C205*E205</f>
        <v>2584.9500000000003</v>
      </c>
    </row>
    <row r="206" spans="1:6">
      <c r="A206" s="72"/>
      <c r="B206" s="123"/>
      <c r="C206" s="73"/>
      <c r="D206" s="74"/>
      <c r="E206" s="143"/>
      <c r="F206" s="131"/>
    </row>
    <row r="207" spans="1:6">
      <c r="A207" s="79" t="s">
        <v>63</v>
      </c>
      <c r="B207" s="80" t="s">
        <v>437</v>
      </c>
      <c r="C207" s="81" t="s">
        <v>546</v>
      </c>
      <c r="D207" s="82" t="s">
        <v>103</v>
      </c>
      <c r="E207" s="143">
        <v>226.74</v>
      </c>
      <c r="F207" s="131">
        <f>C207*E207</f>
        <v>18365.940000000002</v>
      </c>
    </row>
    <row r="208" spans="1:6">
      <c r="A208" s="72"/>
      <c r="B208" s="123"/>
      <c r="C208" s="73"/>
      <c r="D208" s="74"/>
      <c r="E208" s="143"/>
      <c r="F208" s="131"/>
    </row>
    <row r="209" spans="1:6">
      <c r="A209" s="79" t="s">
        <v>66</v>
      </c>
      <c r="B209" s="80" t="s">
        <v>440</v>
      </c>
      <c r="C209" s="81" t="s">
        <v>298</v>
      </c>
      <c r="D209" s="82" t="s">
        <v>103</v>
      </c>
      <c r="E209" s="143">
        <v>272.08999999999997</v>
      </c>
      <c r="F209" s="131">
        <f>C209*E209</f>
        <v>2992.99</v>
      </c>
    </row>
    <row r="210" spans="1:6">
      <c r="A210" s="72"/>
      <c r="B210" s="123"/>
      <c r="C210" s="73"/>
      <c r="D210" s="74"/>
      <c r="E210" s="143"/>
      <c r="F210" s="131"/>
    </row>
    <row r="211" spans="1:6">
      <c r="A211" s="79" t="s">
        <v>70</v>
      </c>
      <c r="B211" s="80" t="s">
        <v>442</v>
      </c>
      <c r="C211" s="81" t="s">
        <v>407</v>
      </c>
      <c r="D211" s="82" t="s">
        <v>103</v>
      </c>
      <c r="E211" s="143">
        <v>272.08999999999997</v>
      </c>
      <c r="F211" s="131">
        <f>C211*E211</f>
        <v>16597.489999999998</v>
      </c>
    </row>
    <row r="212" spans="1:6">
      <c r="A212" s="72"/>
      <c r="B212" s="123"/>
      <c r="C212" s="73"/>
      <c r="D212" s="74"/>
      <c r="E212" s="143"/>
      <c r="F212" s="131"/>
    </row>
    <row r="213" spans="1:6">
      <c r="A213" s="79" t="s">
        <v>199</v>
      </c>
      <c r="B213" s="80" t="s">
        <v>1031</v>
      </c>
      <c r="C213" s="81" t="s">
        <v>289</v>
      </c>
      <c r="D213" s="82" t="s">
        <v>103</v>
      </c>
      <c r="E213" s="143">
        <v>294.77</v>
      </c>
      <c r="F213" s="131">
        <f>C213*E213</f>
        <v>2063.39</v>
      </c>
    </row>
    <row r="214" spans="1:6">
      <c r="A214" s="72"/>
      <c r="B214" s="123"/>
      <c r="C214" s="73"/>
      <c r="D214" s="74"/>
      <c r="E214" s="143"/>
      <c r="F214" s="131"/>
    </row>
    <row r="215" spans="1:6">
      <c r="A215" s="79" t="s">
        <v>226</v>
      </c>
      <c r="B215" s="80" t="s">
        <v>447</v>
      </c>
      <c r="C215" s="81" t="s">
        <v>212</v>
      </c>
      <c r="D215" s="82" t="s">
        <v>103</v>
      </c>
      <c r="E215" s="143">
        <v>317.44</v>
      </c>
      <c r="F215" s="131">
        <f>C215*E215</f>
        <v>2856.96</v>
      </c>
    </row>
    <row r="216" spans="1:6">
      <c r="A216" s="72"/>
      <c r="B216" s="123"/>
      <c r="C216" s="73"/>
      <c r="D216" s="74"/>
      <c r="E216" s="143"/>
      <c r="F216" s="131"/>
    </row>
    <row r="217" spans="1:6">
      <c r="A217" s="79" t="s">
        <v>228</v>
      </c>
      <c r="B217" s="80" t="s">
        <v>1032</v>
      </c>
      <c r="C217" s="81" t="s">
        <v>212</v>
      </c>
      <c r="D217" s="82" t="s">
        <v>103</v>
      </c>
      <c r="E217" s="143">
        <v>317.44</v>
      </c>
      <c r="F217" s="131">
        <f>C217*E217</f>
        <v>2856.96</v>
      </c>
    </row>
    <row r="218" spans="1:6">
      <c r="A218" s="72"/>
      <c r="B218" s="123"/>
      <c r="C218" s="73"/>
      <c r="D218" s="74"/>
      <c r="E218" s="143"/>
      <c r="F218" s="131"/>
    </row>
    <row r="219" spans="1:6">
      <c r="A219" s="79" t="s">
        <v>231</v>
      </c>
      <c r="B219" s="80" t="s">
        <v>449</v>
      </c>
      <c r="C219" s="81" t="s">
        <v>357</v>
      </c>
      <c r="D219" s="82" t="s">
        <v>103</v>
      </c>
      <c r="E219" s="143">
        <v>340.12</v>
      </c>
      <c r="F219" s="131">
        <f>C219*E219</f>
        <v>5101.8</v>
      </c>
    </row>
    <row r="220" spans="1:6">
      <c r="A220" s="72"/>
      <c r="B220" s="123"/>
      <c r="C220" s="73"/>
      <c r="D220" s="74"/>
      <c r="E220" s="143"/>
      <c r="F220" s="131"/>
    </row>
    <row r="221" spans="1:6">
      <c r="A221" s="79" t="s">
        <v>283</v>
      </c>
      <c r="B221" s="80" t="s">
        <v>454</v>
      </c>
      <c r="C221" s="81" t="s">
        <v>149</v>
      </c>
      <c r="D221" s="82" t="s">
        <v>103</v>
      </c>
      <c r="E221" s="143">
        <v>362.79</v>
      </c>
      <c r="F221" s="131">
        <f>C221*E221</f>
        <v>725.58</v>
      </c>
    </row>
    <row r="222" spans="1:6">
      <c r="A222" s="72"/>
      <c r="B222" s="123"/>
      <c r="C222" s="73"/>
      <c r="D222" s="74"/>
      <c r="E222" s="143"/>
      <c r="F222" s="131"/>
    </row>
    <row r="223" spans="1:6">
      <c r="A223" s="79" t="s">
        <v>286</v>
      </c>
      <c r="B223" s="80" t="s">
        <v>457</v>
      </c>
      <c r="C223" s="81" t="s">
        <v>451</v>
      </c>
      <c r="D223" s="82" t="s">
        <v>103</v>
      </c>
      <c r="E223" s="143">
        <v>385.47</v>
      </c>
      <c r="F223" s="131">
        <f>C223*E223</f>
        <v>3854.7000000000003</v>
      </c>
    </row>
    <row r="224" spans="1:6">
      <c r="A224" s="72"/>
      <c r="B224" s="123"/>
      <c r="C224" s="73"/>
      <c r="D224" s="74"/>
      <c r="E224" s="143"/>
      <c r="F224" s="131"/>
    </row>
    <row r="225" spans="1:6">
      <c r="A225" s="79" t="s">
        <v>430</v>
      </c>
      <c r="B225" s="80" t="s">
        <v>1033</v>
      </c>
      <c r="C225" s="81" t="s">
        <v>330</v>
      </c>
      <c r="D225" s="82" t="s">
        <v>103</v>
      </c>
      <c r="E225" s="143">
        <v>385.47</v>
      </c>
      <c r="F225" s="131">
        <f>C225*E225</f>
        <v>6167.52</v>
      </c>
    </row>
    <row r="226" spans="1:6">
      <c r="A226" s="78"/>
      <c r="B226" s="112"/>
      <c r="C226" s="78"/>
      <c r="D226" s="84"/>
      <c r="E226" s="143"/>
      <c r="F226" s="131"/>
    </row>
    <row r="227" spans="1:6">
      <c r="A227" s="78"/>
      <c r="B227" s="112"/>
      <c r="C227" s="78"/>
      <c r="D227" s="84"/>
      <c r="E227" s="143"/>
      <c r="F227" s="131"/>
    </row>
    <row r="228" spans="1:6">
      <c r="A228" s="85"/>
      <c r="B228" s="86"/>
      <c r="C228" s="87"/>
      <c r="D228" s="88"/>
      <c r="E228" s="145"/>
      <c r="F228" s="133"/>
    </row>
    <row r="229" spans="1:6">
      <c r="A229" s="89"/>
      <c r="B229" s="90"/>
      <c r="C229" s="91" t="s">
        <v>35</v>
      </c>
      <c r="D229" s="91"/>
      <c r="E229" s="146" t="s">
        <v>8</v>
      </c>
      <c r="F229" s="134">
        <f>SUM(F187:F226)</f>
        <v>89291.840000000011</v>
      </c>
    </row>
    <row r="230" spans="1:6">
      <c r="A230" s="89"/>
      <c r="B230" s="90"/>
      <c r="C230" s="92"/>
      <c r="D230" s="93"/>
      <c r="E230" s="147"/>
      <c r="F230" s="135"/>
    </row>
    <row r="231" spans="1:6">
      <c r="A231" s="78"/>
      <c r="B231" s="112"/>
      <c r="C231" s="78"/>
      <c r="D231" s="84"/>
      <c r="E231" s="143"/>
      <c r="F231" s="131"/>
    </row>
    <row r="232" spans="1:6" ht="27.6">
      <c r="A232" s="72"/>
      <c r="B232" s="77" t="s">
        <v>1026</v>
      </c>
      <c r="C232" s="73"/>
      <c r="D232" s="74"/>
      <c r="E232" s="143"/>
      <c r="F232" s="131"/>
    </row>
    <row r="233" spans="1:6">
      <c r="A233" s="72"/>
      <c r="B233" s="123"/>
      <c r="C233" s="73"/>
      <c r="D233" s="74"/>
      <c r="E233" s="143"/>
      <c r="F233" s="131"/>
    </row>
    <row r="234" spans="1:6">
      <c r="A234" s="79" t="s">
        <v>16</v>
      </c>
      <c r="B234" s="80" t="s">
        <v>458</v>
      </c>
      <c r="C234" s="81" t="s">
        <v>24</v>
      </c>
      <c r="D234" s="82" t="s">
        <v>103</v>
      </c>
      <c r="E234" s="143">
        <v>408.14</v>
      </c>
      <c r="F234" s="131">
        <f>C234*E234</f>
        <v>7754.66</v>
      </c>
    </row>
    <row r="235" spans="1:6">
      <c r="A235" s="72"/>
      <c r="B235" s="123"/>
      <c r="C235" s="73"/>
      <c r="D235" s="74"/>
      <c r="E235" s="143"/>
      <c r="F235" s="131"/>
    </row>
    <row r="236" spans="1:6">
      <c r="A236" s="79" t="s">
        <v>19</v>
      </c>
      <c r="B236" s="80" t="s">
        <v>1034</v>
      </c>
      <c r="C236" s="81" t="s">
        <v>451</v>
      </c>
      <c r="D236" s="82" t="s">
        <v>103</v>
      </c>
      <c r="E236" s="143">
        <v>453.49</v>
      </c>
      <c r="F236" s="131">
        <f>C236*E236</f>
        <v>4534.8999999999996</v>
      </c>
    </row>
    <row r="237" spans="1:6">
      <c r="A237" s="72"/>
      <c r="B237" s="123"/>
      <c r="C237" s="73"/>
      <c r="D237" s="74"/>
      <c r="E237" s="143"/>
      <c r="F237" s="131"/>
    </row>
    <row r="238" spans="1:6">
      <c r="A238" s="79" t="s">
        <v>22</v>
      </c>
      <c r="B238" s="80" t="s">
        <v>461</v>
      </c>
      <c r="C238" s="81" t="s">
        <v>212</v>
      </c>
      <c r="D238" s="82" t="s">
        <v>103</v>
      </c>
      <c r="E238" s="143">
        <v>453.49</v>
      </c>
      <c r="F238" s="131">
        <f>C238*E238</f>
        <v>4081.41</v>
      </c>
    </row>
    <row r="239" spans="1:6">
      <c r="A239" s="72"/>
      <c r="B239" s="123"/>
      <c r="C239" s="73"/>
      <c r="D239" s="74"/>
      <c r="E239" s="143"/>
      <c r="F239" s="131"/>
    </row>
    <row r="240" spans="1:6">
      <c r="A240" s="79" t="s">
        <v>26</v>
      </c>
      <c r="B240" s="80" t="s">
        <v>466</v>
      </c>
      <c r="C240" s="81" t="s">
        <v>280</v>
      </c>
      <c r="D240" s="82" t="s">
        <v>103</v>
      </c>
      <c r="E240" s="143">
        <v>453.49</v>
      </c>
      <c r="F240" s="131">
        <f>C240*E240</f>
        <v>2720.94</v>
      </c>
    </row>
    <row r="241" spans="1:6">
      <c r="A241" s="72"/>
      <c r="B241" s="123"/>
      <c r="C241" s="73"/>
      <c r="D241" s="74"/>
      <c r="E241" s="143"/>
      <c r="F241" s="131"/>
    </row>
    <row r="242" spans="1:6">
      <c r="A242" s="79" t="s">
        <v>29</v>
      </c>
      <c r="B242" s="80" t="s">
        <v>467</v>
      </c>
      <c r="C242" s="81" t="s">
        <v>280</v>
      </c>
      <c r="D242" s="82" t="s">
        <v>103</v>
      </c>
      <c r="E242" s="143">
        <v>476.17</v>
      </c>
      <c r="F242" s="131">
        <f>C242*E242</f>
        <v>2857.02</v>
      </c>
    </row>
    <row r="243" spans="1:6">
      <c r="A243" s="72"/>
      <c r="B243" s="123"/>
      <c r="C243" s="73"/>
      <c r="D243" s="74"/>
      <c r="E243" s="143"/>
      <c r="F243" s="131"/>
    </row>
    <row r="244" spans="1:6">
      <c r="A244" s="79" t="s">
        <v>33</v>
      </c>
      <c r="B244" s="80" t="s">
        <v>1035</v>
      </c>
      <c r="C244" s="81" t="s">
        <v>149</v>
      </c>
      <c r="D244" s="82" t="s">
        <v>103</v>
      </c>
      <c r="E244" s="143">
        <v>521.52</v>
      </c>
      <c r="F244" s="131">
        <f>C244*E244</f>
        <v>1043.04</v>
      </c>
    </row>
    <row r="245" spans="1:6">
      <c r="A245" s="72"/>
      <c r="B245" s="123"/>
      <c r="C245" s="73"/>
      <c r="D245" s="74"/>
      <c r="E245" s="143"/>
      <c r="F245" s="131"/>
    </row>
    <row r="246" spans="1:6">
      <c r="A246" s="79" t="s">
        <v>45</v>
      </c>
      <c r="B246" s="80" t="s">
        <v>1036</v>
      </c>
      <c r="C246" s="81" t="s">
        <v>80</v>
      </c>
      <c r="D246" s="82" t="s">
        <v>103</v>
      </c>
      <c r="E246" s="143">
        <v>589.54</v>
      </c>
      <c r="F246" s="131">
        <f>C246*E246</f>
        <v>4716.32</v>
      </c>
    </row>
    <row r="247" spans="1:6">
      <c r="A247" s="72"/>
      <c r="B247" s="123"/>
      <c r="C247" s="73"/>
      <c r="D247" s="74"/>
      <c r="E247" s="143"/>
      <c r="F247" s="131"/>
    </row>
    <row r="248" spans="1:6">
      <c r="A248" s="79"/>
      <c r="B248" s="117" t="s">
        <v>1037</v>
      </c>
      <c r="C248" s="81"/>
      <c r="D248" s="82"/>
      <c r="E248" s="143"/>
      <c r="F248" s="131"/>
    </row>
    <row r="249" spans="1:6">
      <c r="A249" s="72"/>
      <c r="B249" s="123"/>
      <c r="C249" s="73"/>
      <c r="D249" s="74"/>
      <c r="E249" s="143"/>
      <c r="F249" s="131"/>
    </row>
    <row r="250" spans="1:6">
      <c r="A250" s="79" t="s">
        <v>49</v>
      </c>
      <c r="B250" s="80" t="s">
        <v>614</v>
      </c>
      <c r="C250" s="81" t="s">
        <v>289</v>
      </c>
      <c r="D250" s="82" t="s">
        <v>103</v>
      </c>
      <c r="E250" s="143">
        <v>50.83</v>
      </c>
      <c r="F250" s="131">
        <f>C250*E250</f>
        <v>355.81</v>
      </c>
    </row>
    <row r="251" spans="1:6">
      <c r="A251" s="72"/>
      <c r="B251" s="123"/>
      <c r="C251" s="73"/>
      <c r="D251" s="74"/>
      <c r="E251" s="143"/>
      <c r="F251" s="131"/>
    </row>
    <row r="252" spans="1:6">
      <c r="A252" s="79"/>
      <c r="B252" s="117" t="s">
        <v>1038</v>
      </c>
      <c r="C252" s="81"/>
      <c r="D252" s="82"/>
      <c r="E252" s="143"/>
      <c r="F252" s="131"/>
    </row>
    <row r="253" spans="1:6">
      <c r="A253" s="72"/>
      <c r="B253" s="123"/>
      <c r="C253" s="73"/>
      <c r="D253" s="74"/>
      <c r="E253" s="143"/>
      <c r="F253" s="131"/>
    </row>
    <row r="254" spans="1:6">
      <c r="A254" s="79" t="s">
        <v>61</v>
      </c>
      <c r="B254" s="80" t="s">
        <v>1039</v>
      </c>
      <c r="C254" s="81" t="s">
        <v>127</v>
      </c>
      <c r="D254" s="82" t="s">
        <v>44</v>
      </c>
      <c r="E254" s="143">
        <v>1278.44</v>
      </c>
      <c r="F254" s="131">
        <f>C254*E254</f>
        <v>6392.2000000000007</v>
      </c>
    </row>
    <row r="255" spans="1:6">
      <c r="A255" s="72"/>
      <c r="B255" s="123"/>
      <c r="C255" s="73"/>
      <c r="D255" s="74"/>
      <c r="E255" s="143"/>
      <c r="F255" s="131"/>
    </row>
    <row r="256" spans="1:6">
      <c r="A256" s="79" t="s">
        <v>63</v>
      </c>
      <c r="B256" s="80" t="s">
        <v>1040</v>
      </c>
      <c r="C256" s="81" t="s">
        <v>178</v>
      </c>
      <c r="D256" s="82" t="s">
        <v>44</v>
      </c>
      <c r="E256" s="143">
        <v>1467.16</v>
      </c>
      <c r="F256" s="131">
        <f>C256*E256</f>
        <v>5868.64</v>
      </c>
    </row>
    <row r="257" spans="1:6">
      <c r="A257" s="72"/>
      <c r="B257" s="123"/>
      <c r="C257" s="73"/>
      <c r="D257" s="74"/>
      <c r="E257" s="143"/>
      <c r="F257" s="131"/>
    </row>
    <row r="258" spans="1:6">
      <c r="A258" s="79" t="s">
        <v>66</v>
      </c>
      <c r="B258" s="80" t="s">
        <v>1041</v>
      </c>
      <c r="C258" s="81" t="s">
        <v>289</v>
      </c>
      <c r="D258" s="82" t="s">
        <v>44</v>
      </c>
      <c r="E258" s="143">
        <v>1540.03</v>
      </c>
      <c r="F258" s="131">
        <f>C258*E258</f>
        <v>10780.21</v>
      </c>
    </row>
    <row r="259" spans="1:6">
      <c r="A259" s="72"/>
      <c r="B259" s="123"/>
      <c r="C259" s="73"/>
      <c r="D259" s="74"/>
      <c r="E259" s="143"/>
      <c r="F259" s="131"/>
    </row>
    <row r="260" spans="1:6">
      <c r="A260" s="79" t="s">
        <v>70</v>
      </c>
      <c r="B260" s="80" t="s">
        <v>617</v>
      </c>
      <c r="C260" s="81" t="s">
        <v>149</v>
      </c>
      <c r="D260" s="82" t="s">
        <v>44</v>
      </c>
      <c r="E260" s="143">
        <v>90.22</v>
      </c>
      <c r="F260" s="131">
        <f>C260*E260</f>
        <v>180.44</v>
      </c>
    </row>
    <row r="261" spans="1:6">
      <c r="A261" s="72"/>
      <c r="B261" s="123"/>
      <c r="C261" s="73"/>
      <c r="D261" s="74"/>
      <c r="E261" s="143"/>
      <c r="F261" s="131"/>
    </row>
    <row r="262" spans="1:6">
      <c r="A262" s="79" t="s">
        <v>199</v>
      </c>
      <c r="B262" s="80" t="s">
        <v>622</v>
      </c>
      <c r="C262" s="81" t="s">
        <v>472</v>
      </c>
      <c r="D262" s="82" t="s">
        <v>44</v>
      </c>
      <c r="E262" s="143">
        <v>134.88</v>
      </c>
      <c r="F262" s="131">
        <f>C262*E262</f>
        <v>4451.04</v>
      </c>
    </row>
    <row r="263" spans="1:6">
      <c r="A263" s="72"/>
      <c r="B263" s="123"/>
      <c r="C263" s="73"/>
      <c r="D263" s="74"/>
      <c r="E263" s="143"/>
      <c r="F263" s="131"/>
    </row>
    <row r="264" spans="1:6">
      <c r="A264" s="79" t="s">
        <v>226</v>
      </c>
      <c r="B264" s="80" t="s">
        <v>1042</v>
      </c>
      <c r="C264" s="81" t="s">
        <v>149</v>
      </c>
      <c r="D264" s="82" t="s">
        <v>44</v>
      </c>
      <c r="E264" s="143">
        <v>172.1</v>
      </c>
      <c r="F264" s="131">
        <f>C264*E264</f>
        <v>344.2</v>
      </c>
    </row>
    <row r="265" spans="1:6">
      <c r="A265" s="72"/>
      <c r="B265" s="123"/>
      <c r="C265" s="73"/>
      <c r="D265" s="74"/>
      <c r="E265" s="143"/>
      <c r="F265" s="131"/>
    </row>
    <row r="266" spans="1:6">
      <c r="A266" s="79" t="s">
        <v>228</v>
      </c>
      <c r="B266" s="80" t="s">
        <v>1043</v>
      </c>
      <c r="C266" s="81" t="s">
        <v>149</v>
      </c>
      <c r="D266" s="82" t="s">
        <v>44</v>
      </c>
      <c r="E266" s="143">
        <v>181.71</v>
      </c>
      <c r="F266" s="131">
        <f>C266*E266</f>
        <v>363.42</v>
      </c>
    </row>
    <row r="267" spans="1:6">
      <c r="A267" s="72"/>
      <c r="B267" s="123"/>
      <c r="C267" s="73"/>
      <c r="D267" s="74"/>
      <c r="E267" s="143"/>
      <c r="F267" s="131"/>
    </row>
    <row r="268" spans="1:6">
      <c r="A268" s="79" t="s">
        <v>231</v>
      </c>
      <c r="B268" s="80" t="s">
        <v>1044</v>
      </c>
      <c r="C268" s="81" t="s">
        <v>31</v>
      </c>
      <c r="D268" s="82" t="s">
        <v>44</v>
      </c>
      <c r="E268" s="143">
        <v>236.75</v>
      </c>
      <c r="F268" s="131">
        <f>C268*E268</f>
        <v>236.75</v>
      </c>
    </row>
    <row r="269" spans="1:6">
      <c r="A269" s="72"/>
      <c r="B269" s="123"/>
      <c r="C269" s="73"/>
      <c r="D269" s="74"/>
      <c r="E269" s="143"/>
      <c r="F269" s="131"/>
    </row>
    <row r="270" spans="1:6">
      <c r="A270" s="79" t="s">
        <v>283</v>
      </c>
      <c r="B270" s="80" t="s">
        <v>1045</v>
      </c>
      <c r="C270" s="81" t="s">
        <v>31</v>
      </c>
      <c r="D270" s="82" t="s">
        <v>44</v>
      </c>
      <c r="E270" s="143">
        <v>250.16</v>
      </c>
      <c r="F270" s="131">
        <f>C270*E270</f>
        <v>250.16</v>
      </c>
    </row>
    <row r="271" spans="1:6">
      <c r="A271" s="72"/>
      <c r="B271" s="123"/>
      <c r="C271" s="73"/>
      <c r="D271" s="74"/>
      <c r="E271" s="143"/>
      <c r="F271" s="131"/>
    </row>
    <row r="272" spans="1:6">
      <c r="A272" s="79"/>
      <c r="B272" s="115"/>
      <c r="C272" s="81"/>
      <c r="D272" s="82"/>
      <c r="E272" s="143"/>
      <c r="F272" s="131"/>
    </row>
    <row r="273" spans="1:6">
      <c r="A273" s="72"/>
      <c r="B273" s="123"/>
      <c r="C273" s="73"/>
      <c r="D273" s="74"/>
      <c r="E273" s="143"/>
      <c r="F273" s="131"/>
    </row>
    <row r="274" spans="1:6">
      <c r="A274" s="79"/>
      <c r="B274" s="115"/>
      <c r="C274" s="81"/>
      <c r="D274" s="82"/>
      <c r="E274" s="143"/>
      <c r="F274" s="131"/>
    </row>
    <row r="275" spans="1:6">
      <c r="A275" s="72"/>
      <c r="B275" s="123"/>
      <c r="C275" s="73"/>
      <c r="D275" s="74"/>
      <c r="E275" s="143"/>
      <c r="F275" s="131"/>
    </row>
    <row r="276" spans="1:6">
      <c r="A276" s="79"/>
      <c r="B276" s="115"/>
      <c r="C276" s="81"/>
      <c r="D276" s="82"/>
      <c r="E276" s="143"/>
      <c r="F276" s="131"/>
    </row>
    <row r="277" spans="1:6">
      <c r="A277" s="72"/>
      <c r="B277" s="123"/>
      <c r="C277" s="73"/>
      <c r="D277" s="74"/>
      <c r="E277" s="143"/>
      <c r="F277" s="131"/>
    </row>
    <row r="278" spans="1:6">
      <c r="A278" s="85"/>
      <c r="B278" s="86"/>
      <c r="C278" s="87"/>
      <c r="D278" s="88"/>
      <c r="E278" s="145"/>
      <c r="F278" s="133"/>
    </row>
    <row r="279" spans="1:6">
      <c r="A279" s="89"/>
      <c r="B279" s="90"/>
      <c r="C279" s="91" t="s">
        <v>35</v>
      </c>
      <c r="D279" s="91"/>
      <c r="E279" s="146" t="s">
        <v>8</v>
      </c>
      <c r="F279" s="134">
        <f>SUM(F233:F273)</f>
        <v>56931.16</v>
      </c>
    </row>
    <row r="280" spans="1:6">
      <c r="A280" s="89"/>
      <c r="B280" s="90"/>
      <c r="C280" s="92"/>
      <c r="D280" s="93"/>
      <c r="E280" s="147"/>
      <c r="F280" s="135"/>
    </row>
    <row r="281" spans="1:6">
      <c r="A281" s="72"/>
      <c r="B281" s="123"/>
      <c r="C281" s="73"/>
      <c r="D281" s="74"/>
      <c r="E281" s="143"/>
      <c r="F281" s="131"/>
    </row>
    <row r="282" spans="1:6" ht="27.6">
      <c r="A282" s="72"/>
      <c r="B282" s="77" t="s">
        <v>1026</v>
      </c>
      <c r="C282" s="73"/>
      <c r="D282" s="74"/>
      <c r="E282" s="143"/>
      <c r="F282" s="131"/>
    </row>
    <row r="283" spans="1:6">
      <c r="A283" s="72"/>
      <c r="B283" s="123"/>
      <c r="C283" s="73"/>
      <c r="D283" s="74"/>
      <c r="E283" s="143"/>
      <c r="F283" s="131"/>
    </row>
    <row r="284" spans="1:6">
      <c r="A284" s="79"/>
      <c r="B284" s="117" t="s">
        <v>1046</v>
      </c>
      <c r="C284" s="81"/>
      <c r="D284" s="82"/>
      <c r="E284" s="143"/>
      <c r="F284" s="131"/>
    </row>
    <row r="285" spans="1:6">
      <c r="A285" s="72"/>
      <c r="B285" s="123"/>
      <c r="C285" s="73"/>
      <c r="D285" s="74"/>
      <c r="E285" s="143"/>
      <c r="F285" s="131"/>
    </row>
    <row r="286" spans="1:6">
      <c r="A286" s="79" t="s">
        <v>16</v>
      </c>
      <c r="B286" s="80" t="s">
        <v>1047</v>
      </c>
      <c r="C286" s="81" t="s">
        <v>239</v>
      </c>
      <c r="D286" s="82" t="s">
        <v>44</v>
      </c>
      <c r="E286" s="143">
        <v>239.77</v>
      </c>
      <c r="F286" s="131">
        <f>C286*E286</f>
        <v>5035.17</v>
      </c>
    </row>
    <row r="287" spans="1:6">
      <c r="A287" s="72"/>
      <c r="B287" s="123"/>
      <c r="C287" s="73"/>
      <c r="D287" s="74"/>
      <c r="E287" s="143"/>
      <c r="F287" s="131"/>
    </row>
    <row r="288" spans="1:6" ht="27.6">
      <c r="A288" s="79" t="s">
        <v>19</v>
      </c>
      <c r="B288" s="80" t="s">
        <v>1048</v>
      </c>
      <c r="C288" s="81" t="s">
        <v>353</v>
      </c>
      <c r="D288" s="82" t="s">
        <v>44</v>
      </c>
      <c r="E288" s="143">
        <v>653.16</v>
      </c>
      <c r="F288" s="131">
        <f>C288*E288</f>
        <v>11756.88</v>
      </c>
    </row>
    <row r="289" spans="1:6">
      <c r="A289" s="72"/>
      <c r="B289" s="123"/>
      <c r="C289" s="73"/>
      <c r="D289" s="74"/>
      <c r="E289" s="143"/>
      <c r="F289" s="131"/>
    </row>
    <row r="290" spans="1:6">
      <c r="A290" s="79" t="s">
        <v>22</v>
      </c>
      <c r="B290" s="80" t="s">
        <v>1049</v>
      </c>
      <c r="C290" s="81" t="s">
        <v>280</v>
      </c>
      <c r="D290" s="82" t="s">
        <v>44</v>
      </c>
      <c r="E290" s="143">
        <v>959.1</v>
      </c>
      <c r="F290" s="131">
        <f>C290*E290</f>
        <v>5754.6</v>
      </c>
    </row>
    <row r="291" spans="1:6">
      <c r="A291" s="72"/>
      <c r="B291" s="123"/>
      <c r="C291" s="73"/>
      <c r="D291" s="74"/>
      <c r="E291" s="143"/>
      <c r="F291" s="131"/>
    </row>
    <row r="292" spans="1:6">
      <c r="A292" s="79" t="s">
        <v>26</v>
      </c>
      <c r="B292" s="80" t="s">
        <v>1050</v>
      </c>
      <c r="C292" s="81" t="s">
        <v>280</v>
      </c>
      <c r="D292" s="82" t="s">
        <v>44</v>
      </c>
      <c r="E292" s="143">
        <v>359.66</v>
      </c>
      <c r="F292" s="131">
        <f>C292*E292</f>
        <v>2157.96</v>
      </c>
    </row>
    <row r="293" spans="1:6">
      <c r="A293" s="72"/>
      <c r="B293" s="123"/>
      <c r="C293" s="73"/>
      <c r="D293" s="74"/>
      <c r="E293" s="143"/>
      <c r="F293" s="131"/>
    </row>
    <row r="294" spans="1:6">
      <c r="A294" s="79" t="s">
        <v>29</v>
      </c>
      <c r="B294" s="80" t="s">
        <v>1051</v>
      </c>
      <c r="C294" s="81" t="s">
        <v>280</v>
      </c>
      <c r="D294" s="82" t="s">
        <v>44</v>
      </c>
      <c r="E294" s="143">
        <v>979.74</v>
      </c>
      <c r="F294" s="131">
        <f>C294*E294</f>
        <v>5878.4400000000005</v>
      </c>
    </row>
    <row r="295" spans="1:6">
      <c r="A295" s="72"/>
      <c r="B295" s="123"/>
      <c r="C295" s="73"/>
      <c r="D295" s="74"/>
      <c r="E295" s="143"/>
      <c r="F295" s="131"/>
    </row>
    <row r="296" spans="1:6">
      <c r="A296" s="79" t="s">
        <v>33</v>
      </c>
      <c r="B296" s="80" t="s">
        <v>699</v>
      </c>
      <c r="C296" s="81" t="s">
        <v>31</v>
      </c>
      <c r="D296" s="82" t="s">
        <v>44</v>
      </c>
      <c r="E296" s="143">
        <v>199.57</v>
      </c>
      <c r="F296" s="131">
        <f>C296*E296</f>
        <v>199.57</v>
      </c>
    </row>
    <row r="297" spans="1:6">
      <c r="A297" s="72"/>
      <c r="B297" s="123"/>
      <c r="C297" s="73"/>
      <c r="D297" s="74"/>
      <c r="E297" s="143"/>
      <c r="F297" s="131"/>
    </row>
    <row r="298" spans="1:6">
      <c r="A298" s="79" t="s">
        <v>45</v>
      </c>
      <c r="B298" s="80" t="s">
        <v>697</v>
      </c>
      <c r="C298" s="81" t="s">
        <v>31</v>
      </c>
      <c r="D298" s="82" t="s">
        <v>44</v>
      </c>
      <c r="E298" s="143">
        <v>230.96</v>
      </c>
      <c r="F298" s="131">
        <f>C298*E298</f>
        <v>230.96</v>
      </c>
    </row>
    <row r="299" spans="1:6">
      <c r="A299" s="72"/>
      <c r="B299" s="123"/>
      <c r="C299" s="73"/>
      <c r="D299" s="74"/>
      <c r="E299" s="143"/>
      <c r="F299" s="131"/>
    </row>
    <row r="300" spans="1:6" ht="55.15">
      <c r="A300" s="79"/>
      <c r="B300" s="117" t="s">
        <v>1052</v>
      </c>
      <c r="C300" s="81"/>
      <c r="D300" s="82"/>
      <c r="E300" s="143"/>
      <c r="F300" s="131"/>
    </row>
    <row r="301" spans="1:6">
      <c r="A301" s="72"/>
      <c r="B301" s="123"/>
      <c r="C301" s="73"/>
      <c r="D301" s="74"/>
      <c r="E301" s="143"/>
      <c r="F301" s="131"/>
    </row>
    <row r="302" spans="1:6">
      <c r="A302" s="79" t="s">
        <v>49</v>
      </c>
      <c r="B302" s="80" t="s">
        <v>328</v>
      </c>
      <c r="C302" s="81" t="s">
        <v>280</v>
      </c>
      <c r="D302" s="82" t="s">
        <v>44</v>
      </c>
      <c r="E302" s="143">
        <v>679.93</v>
      </c>
      <c r="F302" s="131">
        <f>C302*E302</f>
        <v>4079.58</v>
      </c>
    </row>
    <row r="303" spans="1:6">
      <c r="A303" s="72"/>
      <c r="B303" s="123"/>
      <c r="C303" s="73"/>
      <c r="D303" s="74"/>
      <c r="E303" s="143"/>
      <c r="F303" s="131"/>
    </row>
    <row r="304" spans="1:6">
      <c r="A304" s="79"/>
      <c r="B304" s="117" t="s">
        <v>1013</v>
      </c>
      <c r="C304" s="81"/>
      <c r="D304" s="82"/>
      <c r="E304" s="143"/>
      <c r="F304" s="131"/>
    </row>
    <row r="305" spans="1:6">
      <c r="A305" s="72"/>
      <c r="B305" s="123"/>
      <c r="C305" s="73"/>
      <c r="D305" s="74"/>
      <c r="E305" s="143"/>
      <c r="F305" s="131"/>
    </row>
    <row r="306" spans="1:6" ht="41.45">
      <c r="A306" s="79" t="s">
        <v>61</v>
      </c>
      <c r="B306" s="80" t="s">
        <v>1053</v>
      </c>
      <c r="C306" s="81">
        <v>1</v>
      </c>
      <c r="D306" s="82" t="s">
        <v>2</v>
      </c>
      <c r="E306" s="143">
        <v>20077.82</v>
      </c>
      <c r="F306" s="131">
        <f>C306*E306</f>
        <v>20077.82</v>
      </c>
    </row>
    <row r="307" spans="1:6">
      <c r="A307" s="72"/>
      <c r="B307" s="123"/>
      <c r="C307" s="73"/>
      <c r="D307" s="74"/>
      <c r="E307" s="143"/>
      <c r="F307" s="131"/>
    </row>
    <row r="308" spans="1:6" ht="27.6">
      <c r="A308" s="79" t="s">
        <v>63</v>
      </c>
      <c r="B308" s="80" t="s">
        <v>1054</v>
      </c>
      <c r="C308" s="81">
        <v>1</v>
      </c>
      <c r="D308" s="82" t="s">
        <v>2</v>
      </c>
      <c r="E308" s="143"/>
      <c r="F308" s="131" t="s">
        <v>1055</v>
      </c>
    </row>
    <row r="309" spans="1:6">
      <c r="A309" s="72"/>
      <c r="B309" s="123"/>
      <c r="C309" s="73"/>
      <c r="D309" s="74"/>
      <c r="E309" s="143"/>
      <c r="F309" s="131"/>
    </row>
    <row r="310" spans="1:6">
      <c r="A310" s="79" t="s">
        <v>66</v>
      </c>
      <c r="B310" s="80" t="s">
        <v>1056</v>
      </c>
      <c r="C310" s="81">
        <v>1</v>
      </c>
      <c r="D310" s="82" t="s">
        <v>2</v>
      </c>
      <c r="E310" s="143">
        <v>12900.87</v>
      </c>
      <c r="F310" s="131">
        <f>C310*E310</f>
        <v>12900.87</v>
      </c>
    </row>
    <row r="311" spans="1:6">
      <c r="A311" s="72"/>
      <c r="B311" s="123"/>
      <c r="C311" s="73"/>
      <c r="D311" s="74"/>
      <c r="E311" s="143"/>
      <c r="F311" s="131"/>
    </row>
    <row r="312" spans="1:6">
      <c r="A312" s="79" t="s">
        <v>70</v>
      </c>
      <c r="B312" s="80" t="s">
        <v>1057</v>
      </c>
      <c r="C312" s="81">
        <v>1</v>
      </c>
      <c r="D312" s="82" t="s">
        <v>2</v>
      </c>
      <c r="E312" s="143">
        <v>10454.15</v>
      </c>
      <c r="F312" s="131">
        <f>C312*E312</f>
        <v>10454.15</v>
      </c>
    </row>
    <row r="313" spans="1:6">
      <c r="A313" s="72"/>
      <c r="B313" s="123"/>
      <c r="C313" s="73"/>
      <c r="D313" s="74"/>
      <c r="E313" s="143"/>
      <c r="F313" s="131"/>
    </row>
    <row r="314" spans="1:6">
      <c r="A314" s="79"/>
      <c r="B314" s="117"/>
      <c r="C314" s="81"/>
      <c r="D314" s="82"/>
      <c r="E314" s="143"/>
      <c r="F314" s="131"/>
    </row>
    <row r="315" spans="1:6">
      <c r="A315" s="72"/>
      <c r="B315" s="123"/>
      <c r="C315" s="73"/>
      <c r="D315" s="74"/>
      <c r="E315" s="143"/>
      <c r="F315" s="131"/>
    </row>
    <row r="316" spans="1:6">
      <c r="A316" s="79"/>
      <c r="B316" s="115"/>
      <c r="C316" s="81"/>
      <c r="D316" s="82"/>
      <c r="E316" s="143"/>
      <c r="F316" s="131"/>
    </row>
    <row r="317" spans="1:6">
      <c r="A317" s="72"/>
      <c r="B317" s="123"/>
      <c r="C317" s="73"/>
      <c r="D317" s="74"/>
      <c r="E317" s="143"/>
      <c r="F317" s="131"/>
    </row>
    <row r="318" spans="1:6">
      <c r="A318" s="79"/>
      <c r="B318" s="115"/>
      <c r="C318" s="81"/>
      <c r="D318" s="82"/>
      <c r="E318" s="143"/>
      <c r="F318" s="131"/>
    </row>
    <row r="319" spans="1:6">
      <c r="A319" s="72"/>
      <c r="B319" s="123"/>
      <c r="C319" s="73"/>
      <c r="D319" s="74"/>
      <c r="E319" s="143"/>
      <c r="F319" s="131"/>
    </row>
    <row r="320" spans="1:6">
      <c r="A320" s="79"/>
      <c r="B320" s="115"/>
      <c r="C320" s="81"/>
      <c r="D320" s="82"/>
      <c r="E320" s="143"/>
      <c r="F320" s="131"/>
    </row>
    <row r="321" spans="1:6">
      <c r="A321" s="85"/>
      <c r="B321" s="86"/>
      <c r="C321" s="87"/>
      <c r="D321" s="88"/>
      <c r="E321" s="145"/>
      <c r="F321" s="133"/>
    </row>
    <row r="322" spans="1:6">
      <c r="A322" s="89"/>
      <c r="B322" s="90"/>
      <c r="C322" s="91" t="s">
        <v>35</v>
      </c>
      <c r="D322" s="91"/>
      <c r="E322" s="146" t="s">
        <v>8</v>
      </c>
      <c r="F322" s="134">
        <f>SUM(F284:F317)</f>
        <v>78526</v>
      </c>
    </row>
    <row r="323" spans="1:6">
      <c r="A323" s="89"/>
      <c r="B323" s="90"/>
      <c r="C323" s="92"/>
      <c r="D323" s="93"/>
      <c r="E323" s="147"/>
      <c r="F323" s="135"/>
    </row>
    <row r="324" spans="1:6">
      <c r="A324" s="79"/>
      <c r="B324" s="115"/>
      <c r="C324" s="81"/>
      <c r="D324" s="82"/>
      <c r="E324" s="143"/>
      <c r="F324" s="131"/>
    </row>
    <row r="325" spans="1:6">
      <c r="A325" s="72"/>
      <c r="B325" s="77" t="s">
        <v>1058</v>
      </c>
      <c r="C325" s="73"/>
      <c r="D325" s="74"/>
      <c r="E325" s="143"/>
      <c r="F325" s="131"/>
    </row>
    <row r="326" spans="1:6">
      <c r="A326" s="72"/>
      <c r="B326" s="124"/>
      <c r="C326" s="73"/>
      <c r="D326" s="74"/>
      <c r="E326" s="143"/>
      <c r="F326" s="131"/>
    </row>
    <row r="327" spans="1:6">
      <c r="A327" s="79"/>
      <c r="B327" s="115" t="s">
        <v>135</v>
      </c>
      <c r="C327" s="81"/>
      <c r="D327" s="82"/>
      <c r="E327" s="143"/>
      <c r="F327" s="131"/>
    </row>
    <row r="328" spans="1:6">
      <c r="A328" s="72"/>
      <c r="B328" s="123"/>
      <c r="C328" s="73"/>
      <c r="D328" s="74"/>
      <c r="E328" s="143"/>
      <c r="F328" s="131"/>
    </row>
    <row r="329" spans="1:6" ht="110.45">
      <c r="A329" s="79"/>
      <c r="B329" s="115" t="s">
        <v>165</v>
      </c>
      <c r="C329" s="81"/>
      <c r="D329" s="82"/>
      <c r="E329" s="143"/>
      <c r="F329" s="131"/>
    </row>
    <row r="330" spans="1:6">
      <c r="A330" s="72"/>
      <c r="B330" s="123"/>
      <c r="C330" s="73"/>
      <c r="D330" s="74"/>
      <c r="E330" s="143"/>
      <c r="F330" s="131"/>
    </row>
    <row r="331" spans="1:6" ht="69">
      <c r="A331" s="79"/>
      <c r="B331" s="115" t="s">
        <v>732</v>
      </c>
      <c r="C331" s="81"/>
      <c r="D331" s="82"/>
      <c r="E331" s="143"/>
      <c r="F331" s="131"/>
    </row>
    <row r="332" spans="1:6">
      <c r="A332" s="72"/>
      <c r="B332" s="123"/>
      <c r="C332" s="73"/>
      <c r="D332" s="74"/>
      <c r="E332" s="143"/>
      <c r="F332" s="131"/>
    </row>
    <row r="333" spans="1:6">
      <c r="A333" s="79"/>
      <c r="B333" s="117" t="s">
        <v>1059</v>
      </c>
      <c r="C333" s="81"/>
      <c r="D333" s="82"/>
      <c r="E333" s="143"/>
      <c r="F333" s="131"/>
    </row>
    <row r="334" spans="1:6">
      <c r="A334" s="72"/>
      <c r="B334" s="123"/>
      <c r="C334" s="73"/>
      <c r="D334" s="74"/>
      <c r="E334" s="143"/>
      <c r="F334" s="131"/>
    </row>
    <row r="335" spans="1:6" ht="44.25" customHeight="1">
      <c r="A335" s="79"/>
      <c r="B335" s="117" t="s">
        <v>1060</v>
      </c>
      <c r="C335" s="81"/>
      <c r="D335" s="82"/>
      <c r="E335" s="143"/>
      <c r="F335" s="131"/>
    </row>
    <row r="336" spans="1:6">
      <c r="A336" s="72"/>
      <c r="B336" s="123"/>
      <c r="C336" s="73"/>
      <c r="D336" s="74"/>
      <c r="E336" s="143"/>
      <c r="F336" s="131"/>
    </row>
    <row r="337" spans="1:6">
      <c r="A337" s="79" t="s">
        <v>16</v>
      </c>
      <c r="B337" s="80" t="s">
        <v>1061</v>
      </c>
      <c r="C337" s="81" t="s">
        <v>274</v>
      </c>
      <c r="D337" s="82" t="s">
        <v>103</v>
      </c>
      <c r="E337" s="143">
        <v>52.44</v>
      </c>
      <c r="F337" s="131">
        <f>C337*E337</f>
        <v>5401.32</v>
      </c>
    </row>
    <row r="338" spans="1:6">
      <c r="A338" s="72"/>
      <c r="B338" s="123"/>
      <c r="C338" s="73"/>
      <c r="D338" s="74"/>
      <c r="E338" s="143"/>
      <c r="F338" s="131"/>
    </row>
    <row r="339" spans="1:6">
      <c r="A339" s="79" t="s">
        <v>19</v>
      </c>
      <c r="B339" s="80" t="s">
        <v>1062</v>
      </c>
      <c r="C339" s="81" t="s">
        <v>187</v>
      </c>
      <c r="D339" s="82" t="s">
        <v>103</v>
      </c>
      <c r="E339" s="143">
        <v>53.11</v>
      </c>
      <c r="F339" s="131">
        <f>C339*E339</f>
        <v>5842.1</v>
      </c>
    </row>
    <row r="340" spans="1:6">
      <c r="A340" s="72"/>
      <c r="B340" s="123"/>
      <c r="C340" s="73"/>
      <c r="D340" s="74"/>
      <c r="E340" s="143"/>
      <c r="F340" s="131"/>
    </row>
    <row r="341" spans="1:6">
      <c r="A341" s="79" t="s">
        <v>22</v>
      </c>
      <c r="B341" s="80" t="s">
        <v>1063</v>
      </c>
      <c r="C341" s="81" t="s">
        <v>518</v>
      </c>
      <c r="D341" s="82" t="s">
        <v>103</v>
      </c>
      <c r="E341" s="143">
        <v>57.55</v>
      </c>
      <c r="F341" s="131">
        <f>C341*E341</f>
        <v>4719.0999999999995</v>
      </c>
    </row>
    <row r="342" spans="1:6">
      <c r="A342" s="72"/>
      <c r="B342" s="123"/>
      <c r="C342" s="73"/>
      <c r="D342" s="74"/>
      <c r="E342" s="143"/>
      <c r="F342" s="131"/>
    </row>
    <row r="343" spans="1:6">
      <c r="A343" s="79" t="s">
        <v>26</v>
      </c>
      <c r="B343" s="80" t="s">
        <v>1064</v>
      </c>
      <c r="C343" s="81" t="s">
        <v>189</v>
      </c>
      <c r="D343" s="82" t="s">
        <v>103</v>
      </c>
      <c r="E343" s="143">
        <v>82.57</v>
      </c>
      <c r="F343" s="131">
        <f>C343*E343</f>
        <v>2229.39</v>
      </c>
    </row>
    <row r="344" spans="1:6">
      <c r="A344" s="72"/>
      <c r="B344" s="123"/>
      <c r="C344" s="73"/>
      <c r="D344" s="74"/>
      <c r="E344" s="143"/>
      <c r="F344" s="131"/>
    </row>
    <row r="345" spans="1:6">
      <c r="A345" s="79" t="s">
        <v>29</v>
      </c>
      <c r="B345" s="80" t="s">
        <v>1065</v>
      </c>
      <c r="C345" s="81" t="s">
        <v>1066</v>
      </c>
      <c r="D345" s="82" t="s">
        <v>103</v>
      </c>
      <c r="E345" s="143">
        <v>90.96</v>
      </c>
      <c r="F345" s="131">
        <f>C345*E345</f>
        <v>29652.959999999999</v>
      </c>
    </row>
    <row r="346" spans="1:6">
      <c r="A346" s="72"/>
      <c r="B346" s="123"/>
      <c r="C346" s="73"/>
      <c r="D346" s="74"/>
      <c r="E346" s="143"/>
      <c r="F346" s="131"/>
    </row>
    <row r="347" spans="1:6" ht="41.45">
      <c r="A347" s="79"/>
      <c r="B347" s="117" t="s">
        <v>1067</v>
      </c>
      <c r="C347" s="81"/>
      <c r="D347" s="82"/>
      <c r="E347" s="143"/>
      <c r="F347" s="131"/>
    </row>
    <row r="348" spans="1:6">
      <c r="A348" s="72"/>
      <c r="B348" s="123"/>
      <c r="C348" s="73"/>
      <c r="D348" s="74"/>
      <c r="E348" s="143"/>
      <c r="F348" s="131"/>
    </row>
    <row r="349" spans="1:6">
      <c r="A349" s="79" t="s">
        <v>33</v>
      </c>
      <c r="B349" s="80" t="s">
        <v>820</v>
      </c>
      <c r="C349" s="81" t="s">
        <v>189</v>
      </c>
      <c r="D349" s="82" t="s">
        <v>103</v>
      </c>
      <c r="E349" s="143">
        <v>44.59</v>
      </c>
      <c r="F349" s="131">
        <f>C349*E349</f>
        <v>1203.93</v>
      </c>
    </row>
    <row r="350" spans="1:6">
      <c r="A350" s="72"/>
      <c r="B350" s="123"/>
      <c r="C350" s="73"/>
      <c r="D350" s="74"/>
      <c r="E350" s="143"/>
      <c r="F350" s="131"/>
    </row>
    <row r="351" spans="1:6">
      <c r="A351" s="79" t="s">
        <v>45</v>
      </c>
      <c r="B351" s="80" t="s">
        <v>821</v>
      </c>
      <c r="C351" s="81" t="s">
        <v>523</v>
      </c>
      <c r="D351" s="82" t="s">
        <v>103</v>
      </c>
      <c r="E351" s="143">
        <v>46.78</v>
      </c>
      <c r="F351" s="131">
        <f>C351*E351</f>
        <v>561.36</v>
      </c>
    </row>
    <row r="352" spans="1:6">
      <c r="A352" s="79"/>
      <c r="B352" s="115"/>
      <c r="C352" s="81"/>
      <c r="D352" s="82"/>
      <c r="E352" s="143"/>
      <c r="F352" s="131"/>
    </row>
    <row r="353" spans="1:6">
      <c r="A353" s="79"/>
      <c r="B353" s="115"/>
      <c r="C353" s="81"/>
      <c r="D353" s="82"/>
      <c r="E353" s="143"/>
      <c r="F353" s="131"/>
    </row>
    <row r="354" spans="1:6">
      <c r="A354" s="79"/>
      <c r="B354" s="115"/>
      <c r="C354" s="81"/>
      <c r="D354" s="82"/>
      <c r="E354" s="143"/>
      <c r="F354" s="131"/>
    </row>
    <row r="355" spans="1:6">
      <c r="A355" s="72"/>
      <c r="B355" s="123"/>
      <c r="C355" s="73"/>
      <c r="D355" s="74"/>
      <c r="E355" s="143"/>
      <c r="F355" s="131"/>
    </row>
    <row r="356" spans="1:6">
      <c r="A356" s="85"/>
      <c r="B356" s="86"/>
      <c r="C356" s="87"/>
      <c r="D356" s="88"/>
      <c r="E356" s="145"/>
      <c r="F356" s="133"/>
    </row>
    <row r="357" spans="1:6">
      <c r="A357" s="89"/>
      <c r="B357" s="90"/>
      <c r="C357" s="91" t="s">
        <v>35</v>
      </c>
      <c r="D357" s="91"/>
      <c r="E357" s="146" t="s">
        <v>8</v>
      </c>
      <c r="F357" s="134">
        <f>SUM(F335:F353)</f>
        <v>49610.159999999996</v>
      </c>
    </row>
    <row r="358" spans="1:6">
      <c r="A358" s="89"/>
      <c r="B358" s="90"/>
      <c r="C358" s="92"/>
      <c r="D358" s="93"/>
      <c r="E358" s="147"/>
      <c r="F358" s="135"/>
    </row>
    <row r="359" spans="1:6">
      <c r="A359" s="78"/>
      <c r="B359" s="112"/>
      <c r="C359" s="78"/>
      <c r="D359" s="84"/>
      <c r="E359" s="143"/>
      <c r="F359" s="131"/>
    </row>
    <row r="360" spans="1:6" ht="27.6">
      <c r="A360" s="72"/>
      <c r="B360" s="77" t="s">
        <v>1068</v>
      </c>
      <c r="C360" s="73"/>
      <c r="D360" s="74"/>
      <c r="E360" s="143"/>
      <c r="F360" s="131"/>
    </row>
    <row r="361" spans="1:6">
      <c r="A361" s="72"/>
      <c r="B361" s="123"/>
      <c r="C361" s="73"/>
      <c r="D361" s="74"/>
      <c r="E361" s="143"/>
      <c r="F361" s="131"/>
    </row>
    <row r="362" spans="1:6">
      <c r="A362" s="79" t="s">
        <v>16</v>
      </c>
      <c r="B362" s="80" t="s">
        <v>825</v>
      </c>
      <c r="C362" s="81" t="s">
        <v>239</v>
      </c>
      <c r="D362" s="82" t="s">
        <v>103</v>
      </c>
      <c r="E362" s="143">
        <v>59.83</v>
      </c>
      <c r="F362" s="131">
        <f>C362*E362</f>
        <v>1256.43</v>
      </c>
    </row>
    <row r="363" spans="1:6">
      <c r="A363" s="72"/>
      <c r="B363" s="123"/>
      <c r="C363" s="73"/>
      <c r="D363" s="74"/>
      <c r="E363" s="143"/>
      <c r="F363" s="131"/>
    </row>
    <row r="364" spans="1:6">
      <c r="A364" s="79" t="s">
        <v>19</v>
      </c>
      <c r="B364" s="80" t="s">
        <v>829</v>
      </c>
      <c r="C364" s="81" t="s">
        <v>1069</v>
      </c>
      <c r="D364" s="82" t="s">
        <v>103</v>
      </c>
      <c r="E364" s="143">
        <v>71.239999999999995</v>
      </c>
      <c r="F364" s="131">
        <f>C364*E364</f>
        <v>3277.04</v>
      </c>
    </row>
    <row r="365" spans="1:6">
      <c r="A365" s="72"/>
      <c r="B365" s="123"/>
      <c r="C365" s="73"/>
      <c r="D365" s="74"/>
      <c r="E365" s="143"/>
      <c r="F365" s="131"/>
    </row>
    <row r="366" spans="1:6">
      <c r="A366" s="79" t="s">
        <v>22</v>
      </c>
      <c r="B366" s="80" t="s">
        <v>830</v>
      </c>
      <c r="C366" s="81" t="s">
        <v>1070</v>
      </c>
      <c r="D366" s="82" t="s">
        <v>103</v>
      </c>
      <c r="E366" s="143">
        <v>77.47</v>
      </c>
      <c r="F366" s="131">
        <f>C366*E366</f>
        <v>10613.39</v>
      </c>
    </row>
    <row r="367" spans="1:6">
      <c r="A367" s="72"/>
      <c r="B367" s="123"/>
      <c r="C367" s="73"/>
      <c r="D367" s="74"/>
      <c r="E367" s="143"/>
      <c r="F367" s="131"/>
    </row>
    <row r="368" spans="1:6">
      <c r="A368" s="79"/>
      <c r="B368" s="117" t="s">
        <v>838</v>
      </c>
      <c r="C368" s="81"/>
      <c r="D368" s="82"/>
      <c r="E368" s="143"/>
      <c r="F368" s="131"/>
    </row>
    <row r="369" spans="1:6">
      <c r="A369" s="72"/>
      <c r="B369" s="123"/>
      <c r="C369" s="73"/>
      <c r="D369" s="74"/>
      <c r="E369" s="143"/>
      <c r="F369" s="131"/>
    </row>
    <row r="370" spans="1:6" ht="27.6">
      <c r="A370" s="79"/>
      <c r="B370" s="117" t="s">
        <v>1071</v>
      </c>
      <c r="C370" s="81"/>
      <c r="D370" s="82"/>
      <c r="E370" s="143"/>
      <c r="F370" s="131"/>
    </row>
    <row r="371" spans="1:6">
      <c r="A371" s="72"/>
      <c r="B371" s="123"/>
      <c r="C371" s="73"/>
      <c r="D371" s="74"/>
      <c r="E371" s="143"/>
      <c r="F371" s="131"/>
    </row>
    <row r="372" spans="1:6">
      <c r="A372" s="79" t="s">
        <v>26</v>
      </c>
      <c r="B372" s="80" t="s">
        <v>840</v>
      </c>
      <c r="C372" s="81" t="s">
        <v>280</v>
      </c>
      <c r="D372" s="82" t="s">
        <v>44</v>
      </c>
      <c r="E372" s="143">
        <v>3960.82</v>
      </c>
      <c r="F372" s="131">
        <f>C372*E372</f>
        <v>23764.920000000002</v>
      </c>
    </row>
    <row r="373" spans="1:6">
      <c r="A373" s="72"/>
      <c r="B373" s="123"/>
      <c r="C373" s="73"/>
      <c r="D373" s="74"/>
      <c r="E373" s="143"/>
      <c r="F373" s="131"/>
    </row>
    <row r="374" spans="1:6">
      <c r="A374" s="79"/>
      <c r="B374" s="117" t="s">
        <v>1072</v>
      </c>
      <c r="C374" s="81"/>
      <c r="D374" s="82"/>
      <c r="E374" s="143"/>
      <c r="F374" s="131"/>
    </row>
    <row r="375" spans="1:6">
      <c r="A375" s="72"/>
      <c r="B375" s="123"/>
      <c r="C375" s="73"/>
      <c r="D375" s="74"/>
      <c r="E375" s="143"/>
      <c r="F375" s="131"/>
    </row>
    <row r="376" spans="1:6" ht="41.45">
      <c r="A376" s="79" t="s">
        <v>29</v>
      </c>
      <c r="B376" s="80" t="s">
        <v>1073</v>
      </c>
      <c r="C376" s="81">
        <v>1</v>
      </c>
      <c r="D376" s="82" t="s">
        <v>2</v>
      </c>
      <c r="E376" s="143">
        <v>12142.89</v>
      </c>
      <c r="F376" s="131">
        <f>C376*E376</f>
        <v>12142.89</v>
      </c>
    </row>
    <row r="377" spans="1:6">
      <c r="A377" s="72"/>
      <c r="B377" s="123"/>
      <c r="C377" s="73"/>
      <c r="D377" s="74"/>
      <c r="E377" s="143"/>
      <c r="F377" s="131"/>
    </row>
    <row r="378" spans="1:6" ht="41.45">
      <c r="A378" s="79" t="s">
        <v>33</v>
      </c>
      <c r="B378" s="80" t="s">
        <v>1074</v>
      </c>
      <c r="C378" s="81">
        <v>1</v>
      </c>
      <c r="D378" s="82" t="s">
        <v>2</v>
      </c>
      <c r="E378" s="143">
        <v>12142.89</v>
      </c>
      <c r="F378" s="131">
        <f>C378*E378</f>
        <v>12142.89</v>
      </c>
    </row>
    <row r="379" spans="1:6">
      <c r="A379" s="72"/>
      <c r="B379" s="123"/>
      <c r="C379" s="73"/>
      <c r="D379" s="74"/>
      <c r="E379" s="143"/>
      <c r="F379" s="131"/>
    </row>
    <row r="380" spans="1:6" ht="41.45">
      <c r="A380" s="79" t="s">
        <v>45</v>
      </c>
      <c r="B380" s="80" t="s">
        <v>1075</v>
      </c>
      <c r="C380" s="81">
        <v>1</v>
      </c>
      <c r="D380" s="82" t="s">
        <v>2</v>
      </c>
      <c r="E380" s="143">
        <v>6071.44</v>
      </c>
      <c r="F380" s="131">
        <f>C380*E380</f>
        <v>6071.44</v>
      </c>
    </row>
    <row r="381" spans="1:6">
      <c r="A381" s="72"/>
      <c r="B381" s="123"/>
      <c r="C381" s="73"/>
      <c r="D381" s="74"/>
      <c r="E381" s="143"/>
      <c r="F381" s="131"/>
    </row>
    <row r="382" spans="1:6" ht="41.45">
      <c r="A382" s="79" t="s">
        <v>49</v>
      </c>
      <c r="B382" s="80" t="s">
        <v>1076</v>
      </c>
      <c r="C382" s="81">
        <v>1</v>
      </c>
      <c r="D382" s="82" t="s">
        <v>2</v>
      </c>
      <c r="E382" s="143">
        <v>6071.44</v>
      </c>
      <c r="F382" s="131">
        <f>C382*E382</f>
        <v>6071.44</v>
      </c>
    </row>
    <row r="383" spans="1:6">
      <c r="A383" s="72"/>
      <c r="B383" s="123"/>
      <c r="C383" s="73"/>
      <c r="D383" s="74"/>
      <c r="E383" s="143"/>
      <c r="F383" s="131"/>
    </row>
    <row r="384" spans="1:6" ht="55.15">
      <c r="A384" s="79" t="s">
        <v>61</v>
      </c>
      <c r="B384" s="80" t="s">
        <v>1077</v>
      </c>
      <c r="C384" s="81">
        <v>1</v>
      </c>
      <c r="D384" s="82" t="s">
        <v>2</v>
      </c>
      <c r="E384" s="143">
        <v>6071.44</v>
      </c>
      <c r="F384" s="131">
        <f>C384*E384</f>
        <v>6071.44</v>
      </c>
    </row>
    <row r="385" spans="1:6">
      <c r="A385" s="72"/>
      <c r="B385" s="123"/>
      <c r="C385" s="73"/>
      <c r="D385" s="74"/>
      <c r="E385" s="143"/>
      <c r="F385" s="131"/>
    </row>
    <row r="386" spans="1:6" ht="41.45">
      <c r="A386" s="79" t="s">
        <v>63</v>
      </c>
      <c r="B386" s="80" t="s">
        <v>1078</v>
      </c>
      <c r="C386" s="81">
        <v>1</v>
      </c>
      <c r="D386" s="82" t="s">
        <v>2</v>
      </c>
      <c r="E386" s="143">
        <v>6071.44</v>
      </c>
      <c r="F386" s="131">
        <f>C386*E386</f>
        <v>6071.44</v>
      </c>
    </row>
    <row r="387" spans="1:6">
      <c r="A387" s="79"/>
      <c r="B387" s="115"/>
      <c r="C387" s="81"/>
      <c r="D387" s="82"/>
      <c r="E387" s="143"/>
      <c r="F387" s="131"/>
    </row>
    <row r="388" spans="1:6">
      <c r="A388" s="79"/>
      <c r="B388" s="115"/>
      <c r="C388" s="81"/>
      <c r="D388" s="82"/>
      <c r="E388" s="143"/>
      <c r="F388" s="131"/>
    </row>
    <row r="389" spans="1:6">
      <c r="A389" s="79"/>
      <c r="B389" s="115"/>
      <c r="C389" s="81"/>
      <c r="D389" s="82"/>
      <c r="E389" s="143"/>
      <c r="F389" s="131"/>
    </row>
    <row r="390" spans="1:6">
      <c r="A390" s="79"/>
      <c r="B390" s="115"/>
      <c r="C390" s="81"/>
      <c r="D390" s="82"/>
      <c r="E390" s="143"/>
      <c r="F390" s="131"/>
    </row>
    <row r="391" spans="1:6">
      <c r="A391" s="72"/>
      <c r="B391" s="123"/>
      <c r="C391" s="73"/>
      <c r="D391" s="74"/>
      <c r="E391" s="143"/>
      <c r="F391" s="131"/>
    </row>
    <row r="392" spans="1:6">
      <c r="A392" s="79"/>
      <c r="B392" s="115"/>
      <c r="C392" s="81"/>
      <c r="D392" s="82"/>
      <c r="E392" s="143"/>
      <c r="F392" s="131"/>
    </row>
    <row r="393" spans="1:6">
      <c r="A393" s="85"/>
      <c r="B393" s="86"/>
      <c r="C393" s="87"/>
      <c r="D393" s="88"/>
      <c r="E393" s="145"/>
      <c r="F393" s="133"/>
    </row>
    <row r="394" spans="1:6">
      <c r="A394" s="89"/>
      <c r="B394" s="90"/>
      <c r="C394" s="91" t="s">
        <v>35</v>
      </c>
      <c r="D394" s="91"/>
      <c r="E394" s="146" t="s">
        <v>8</v>
      </c>
      <c r="F394" s="134">
        <f>SUM(F361:F388)</f>
        <v>87483.32</v>
      </c>
    </row>
    <row r="395" spans="1:6">
      <c r="A395" s="89"/>
      <c r="B395" s="90"/>
      <c r="C395" s="92"/>
      <c r="D395" s="93"/>
      <c r="E395" s="147"/>
      <c r="F395" s="135"/>
    </row>
    <row r="396" spans="1:6">
      <c r="A396" s="79"/>
      <c r="B396" s="115"/>
      <c r="C396" s="81"/>
      <c r="D396" s="82"/>
      <c r="E396" s="143"/>
      <c r="F396" s="131"/>
    </row>
    <row r="397" spans="1:6" ht="27.6">
      <c r="A397" s="72"/>
      <c r="B397" s="77" t="s">
        <v>1068</v>
      </c>
      <c r="C397" s="73"/>
      <c r="D397" s="74"/>
      <c r="E397" s="143"/>
      <c r="F397" s="131"/>
    </row>
    <row r="398" spans="1:6">
      <c r="A398" s="72"/>
      <c r="B398" s="123"/>
      <c r="C398" s="73"/>
      <c r="D398" s="74"/>
      <c r="E398" s="143"/>
      <c r="F398" s="131"/>
    </row>
    <row r="399" spans="1:6" ht="55.15">
      <c r="A399" s="79" t="s">
        <v>16</v>
      </c>
      <c r="B399" s="80" t="s">
        <v>1079</v>
      </c>
      <c r="C399" s="81">
        <v>1</v>
      </c>
      <c r="D399" s="82" t="s">
        <v>2</v>
      </c>
      <c r="E399" s="143">
        <v>13492.1</v>
      </c>
      <c r="F399" s="131">
        <f>C399*E399</f>
        <v>13492.1</v>
      </c>
    </row>
    <row r="400" spans="1:6">
      <c r="A400" s="72"/>
      <c r="B400" s="123"/>
      <c r="C400" s="73"/>
      <c r="D400" s="74"/>
      <c r="E400" s="143"/>
      <c r="F400" s="131"/>
    </row>
    <row r="401" spans="1:6" ht="55.15">
      <c r="A401" s="79" t="s">
        <v>19</v>
      </c>
      <c r="B401" s="80" t="s">
        <v>1080</v>
      </c>
      <c r="C401" s="81">
        <v>1</v>
      </c>
      <c r="D401" s="82" t="s">
        <v>2</v>
      </c>
      <c r="E401" s="143">
        <v>13492.1</v>
      </c>
      <c r="F401" s="131">
        <f>C401*E401</f>
        <v>13492.1</v>
      </c>
    </row>
    <row r="402" spans="1:6">
      <c r="A402" s="79"/>
      <c r="B402" s="117"/>
      <c r="C402" s="81"/>
      <c r="D402" s="82"/>
      <c r="E402" s="143"/>
      <c r="F402" s="131"/>
    </row>
    <row r="403" spans="1:6">
      <c r="A403" s="72"/>
      <c r="B403" s="123"/>
      <c r="C403" s="73"/>
      <c r="D403" s="74"/>
      <c r="E403" s="143"/>
      <c r="F403" s="131"/>
    </row>
    <row r="404" spans="1:6">
      <c r="A404" s="79"/>
      <c r="B404" s="115"/>
      <c r="C404" s="81"/>
      <c r="D404" s="82"/>
      <c r="E404" s="143"/>
      <c r="F404" s="131"/>
    </row>
    <row r="405" spans="1:6">
      <c r="A405" s="78"/>
      <c r="B405" s="112"/>
      <c r="C405" s="78"/>
      <c r="D405" s="84"/>
      <c r="E405" s="143"/>
      <c r="F405" s="131"/>
    </row>
    <row r="406" spans="1:6">
      <c r="A406" s="78"/>
      <c r="B406" s="112"/>
      <c r="C406" s="78"/>
      <c r="D406" s="84"/>
      <c r="E406" s="143"/>
      <c r="F406" s="131"/>
    </row>
    <row r="407" spans="1:6">
      <c r="A407" s="78"/>
      <c r="B407" s="112"/>
      <c r="C407" s="78"/>
      <c r="D407" s="84"/>
      <c r="E407" s="143"/>
      <c r="F407" s="131"/>
    </row>
    <row r="408" spans="1:6">
      <c r="A408" s="78"/>
      <c r="B408" s="112"/>
      <c r="C408" s="78"/>
      <c r="D408" s="84"/>
      <c r="E408" s="143"/>
      <c r="F408" s="131"/>
    </row>
    <row r="409" spans="1:6">
      <c r="A409" s="78"/>
      <c r="B409" s="112"/>
      <c r="C409" s="78"/>
      <c r="D409" s="84"/>
      <c r="E409" s="143"/>
      <c r="F409" s="131"/>
    </row>
    <row r="410" spans="1:6">
      <c r="A410" s="78"/>
      <c r="B410" s="112"/>
      <c r="C410" s="78"/>
      <c r="D410" s="84"/>
      <c r="E410" s="143"/>
      <c r="F410" s="131"/>
    </row>
    <row r="411" spans="1:6">
      <c r="A411" s="78"/>
      <c r="B411" s="112"/>
      <c r="C411" s="78"/>
      <c r="D411" s="84"/>
      <c r="E411" s="143"/>
      <c r="F411" s="131"/>
    </row>
    <row r="412" spans="1:6">
      <c r="A412" s="78"/>
      <c r="B412" s="112"/>
      <c r="C412" s="78"/>
      <c r="D412" s="84"/>
      <c r="E412" s="143"/>
      <c r="F412" s="131"/>
    </row>
    <row r="413" spans="1:6">
      <c r="A413" s="78"/>
      <c r="B413" s="112"/>
      <c r="C413" s="78"/>
      <c r="D413" s="84"/>
      <c r="E413" s="143"/>
      <c r="F413" s="131"/>
    </row>
    <row r="414" spans="1:6">
      <c r="A414" s="78"/>
      <c r="B414" s="112"/>
      <c r="C414" s="78"/>
      <c r="D414" s="84"/>
      <c r="E414" s="143"/>
      <c r="F414" s="131"/>
    </row>
    <row r="415" spans="1:6">
      <c r="A415" s="78"/>
      <c r="B415" s="112"/>
      <c r="C415" s="78"/>
      <c r="D415" s="84"/>
      <c r="E415" s="143"/>
      <c r="F415" s="131"/>
    </row>
    <row r="416" spans="1:6">
      <c r="A416" s="78"/>
      <c r="B416" s="112"/>
      <c r="C416" s="78"/>
      <c r="D416" s="84"/>
      <c r="E416" s="143"/>
      <c r="F416" s="131"/>
    </row>
    <row r="417" spans="1:6">
      <c r="A417" s="72"/>
      <c r="B417" s="77"/>
      <c r="C417" s="73"/>
      <c r="D417" s="74"/>
      <c r="E417" s="143"/>
      <c r="F417" s="131"/>
    </row>
    <row r="418" spans="1:6">
      <c r="A418" s="72"/>
      <c r="B418" s="123"/>
      <c r="C418" s="73"/>
      <c r="D418" s="74"/>
      <c r="E418" s="143"/>
      <c r="F418" s="131"/>
    </row>
    <row r="419" spans="1:6">
      <c r="A419" s="79"/>
      <c r="B419" s="117"/>
      <c r="C419" s="81"/>
      <c r="D419" s="82"/>
      <c r="E419" s="143"/>
      <c r="F419" s="131"/>
    </row>
    <row r="420" spans="1:6">
      <c r="A420" s="72"/>
      <c r="B420" s="123"/>
      <c r="C420" s="73"/>
      <c r="D420" s="74"/>
      <c r="E420" s="143"/>
      <c r="F420" s="131"/>
    </row>
    <row r="421" spans="1:6">
      <c r="A421" s="79"/>
      <c r="B421" s="115"/>
      <c r="C421" s="81"/>
      <c r="D421" s="82"/>
      <c r="E421" s="143"/>
      <c r="F421" s="131"/>
    </row>
    <row r="422" spans="1:6">
      <c r="A422" s="72"/>
      <c r="B422" s="123"/>
      <c r="C422" s="73"/>
      <c r="D422" s="74"/>
      <c r="E422" s="143"/>
      <c r="F422" s="131"/>
    </row>
    <row r="423" spans="1:6">
      <c r="A423" s="79"/>
      <c r="B423" s="117"/>
      <c r="C423" s="81"/>
      <c r="D423" s="82"/>
      <c r="E423" s="143"/>
      <c r="F423" s="131"/>
    </row>
    <row r="424" spans="1:6">
      <c r="A424" s="72"/>
      <c r="B424" s="123"/>
      <c r="C424" s="73"/>
      <c r="D424" s="74"/>
      <c r="E424" s="143"/>
      <c r="F424" s="131"/>
    </row>
    <row r="425" spans="1:6">
      <c r="A425" s="79"/>
      <c r="B425" s="115"/>
      <c r="C425" s="81"/>
      <c r="D425" s="82"/>
      <c r="E425" s="143"/>
      <c r="F425" s="131"/>
    </row>
    <row r="426" spans="1:6">
      <c r="A426" s="72"/>
      <c r="B426" s="123"/>
      <c r="C426" s="73"/>
      <c r="D426" s="74"/>
      <c r="E426" s="143"/>
      <c r="F426" s="131"/>
    </row>
    <row r="427" spans="1:6">
      <c r="A427" s="79"/>
      <c r="B427" s="115"/>
      <c r="C427" s="81"/>
      <c r="D427" s="82"/>
      <c r="E427" s="143"/>
      <c r="F427" s="131"/>
    </row>
    <row r="428" spans="1:6">
      <c r="A428" s="72"/>
      <c r="B428" s="123"/>
      <c r="C428" s="73"/>
      <c r="D428" s="74"/>
      <c r="E428" s="143"/>
      <c r="F428" s="131"/>
    </row>
    <row r="429" spans="1:6">
      <c r="A429" s="79"/>
      <c r="B429" s="115"/>
      <c r="C429" s="81"/>
      <c r="D429" s="82"/>
      <c r="E429" s="143"/>
      <c r="F429" s="131"/>
    </row>
    <row r="430" spans="1:6">
      <c r="A430" s="72"/>
      <c r="B430" s="123"/>
      <c r="C430" s="73"/>
      <c r="D430" s="74"/>
      <c r="E430" s="143"/>
      <c r="F430" s="131"/>
    </row>
    <row r="431" spans="1:6">
      <c r="A431" s="79"/>
      <c r="B431" s="115"/>
      <c r="C431" s="81"/>
      <c r="D431" s="82"/>
      <c r="E431" s="143"/>
      <c r="F431" s="131"/>
    </row>
    <row r="432" spans="1:6">
      <c r="A432" s="72"/>
      <c r="B432" s="123"/>
      <c r="C432" s="73"/>
      <c r="D432" s="74"/>
      <c r="E432" s="143"/>
      <c r="F432" s="131"/>
    </row>
    <row r="433" spans="1:6">
      <c r="A433" s="79"/>
      <c r="B433" s="115"/>
      <c r="C433" s="81"/>
      <c r="D433" s="82"/>
      <c r="E433" s="143"/>
      <c r="F433" s="131"/>
    </row>
    <row r="434" spans="1:6">
      <c r="A434" s="72"/>
      <c r="B434" s="123"/>
      <c r="C434" s="73"/>
      <c r="D434" s="74"/>
      <c r="E434" s="143"/>
      <c r="F434" s="131"/>
    </row>
    <row r="435" spans="1:6">
      <c r="A435" s="79"/>
      <c r="B435" s="115"/>
      <c r="C435" s="81"/>
      <c r="D435" s="82"/>
      <c r="E435" s="143"/>
      <c r="F435" s="131"/>
    </row>
    <row r="436" spans="1:6">
      <c r="A436" s="72"/>
      <c r="B436" s="123"/>
      <c r="C436" s="73"/>
      <c r="D436" s="74"/>
      <c r="E436" s="143"/>
      <c r="F436" s="131"/>
    </row>
    <row r="437" spans="1:6">
      <c r="A437" s="85"/>
      <c r="B437" s="86"/>
      <c r="C437" s="87"/>
      <c r="D437" s="88"/>
      <c r="E437" s="145"/>
      <c r="F437" s="133"/>
    </row>
    <row r="438" spans="1:6">
      <c r="A438" s="89"/>
      <c r="B438" s="90"/>
      <c r="C438" s="91" t="s">
        <v>35</v>
      </c>
      <c r="D438" s="91"/>
      <c r="E438" s="146" t="s">
        <v>8</v>
      </c>
      <c r="F438" s="134">
        <f>SUM(F398:F409)</f>
        <v>26984.2</v>
      </c>
    </row>
    <row r="439" spans="1:6">
      <c r="A439" s="89"/>
      <c r="B439" s="90"/>
      <c r="C439" s="92"/>
      <c r="D439" s="93"/>
      <c r="E439" s="147"/>
      <c r="F439" s="135"/>
    </row>
    <row r="440" spans="1:6">
      <c r="A440" s="72"/>
      <c r="B440" s="123"/>
      <c r="C440" s="73"/>
      <c r="D440" s="74"/>
      <c r="E440" s="143"/>
      <c r="F440" s="131"/>
    </row>
    <row r="441" spans="1:6">
      <c r="A441" s="72"/>
      <c r="B441" s="77" t="s">
        <v>867</v>
      </c>
      <c r="C441" s="73"/>
      <c r="D441" s="74"/>
      <c r="E441" s="143"/>
      <c r="F441" s="131"/>
    </row>
    <row r="442" spans="1:6">
      <c r="A442" s="72"/>
      <c r="B442" s="123"/>
      <c r="C442" s="73"/>
      <c r="D442" s="74"/>
      <c r="E442" s="143"/>
      <c r="F442" s="131"/>
    </row>
    <row r="443" spans="1:6" ht="55.15">
      <c r="A443" s="79" t="s">
        <v>16</v>
      </c>
      <c r="B443" s="80" t="s">
        <v>1081</v>
      </c>
      <c r="C443" s="81"/>
      <c r="D443" s="82"/>
      <c r="E443" s="143"/>
      <c r="F443" s="131"/>
    </row>
    <row r="444" spans="1:6">
      <c r="A444" s="42"/>
      <c r="B444" s="125"/>
      <c r="C444" s="43"/>
      <c r="D444" s="44"/>
      <c r="E444" s="143"/>
      <c r="F444" s="131"/>
    </row>
    <row r="445" spans="1:6">
      <c r="A445" s="42"/>
      <c r="B445" s="125" t="s">
        <v>1082</v>
      </c>
      <c r="C445" s="43"/>
      <c r="D445" s="44"/>
      <c r="E445" s="143"/>
      <c r="F445" s="131"/>
    </row>
    <row r="446" spans="1:6">
      <c r="A446" s="42"/>
      <c r="B446" s="125"/>
      <c r="C446" s="43"/>
      <c r="D446" s="44"/>
      <c r="E446" s="143"/>
      <c r="F446" s="131"/>
    </row>
    <row r="447" spans="1:6" ht="26.45">
      <c r="A447" s="151" t="s">
        <v>19</v>
      </c>
      <c r="B447" s="152" t="s">
        <v>1083</v>
      </c>
      <c r="C447" s="151">
        <v>1</v>
      </c>
      <c r="D447" s="153" t="s">
        <v>2</v>
      </c>
      <c r="E447" s="154">
        <v>179679.95</v>
      </c>
      <c r="F447" s="155">
        <f>+C447*E447</f>
        <v>179679.95</v>
      </c>
    </row>
    <row r="448" spans="1:6">
      <c r="A448" s="151"/>
      <c r="B448" s="152"/>
      <c r="C448" s="151"/>
      <c r="D448" s="153"/>
      <c r="E448" s="154"/>
      <c r="F448" s="155"/>
    </row>
    <row r="449" spans="1:6">
      <c r="A449" s="151" t="s">
        <v>22</v>
      </c>
      <c r="B449" s="152" t="s">
        <v>1084</v>
      </c>
      <c r="C449" s="151">
        <v>1</v>
      </c>
      <c r="D449" s="153" t="s">
        <v>2</v>
      </c>
      <c r="E449" s="154">
        <v>980652.48</v>
      </c>
      <c r="F449" s="155">
        <f>+C449*E449</f>
        <v>980652.48</v>
      </c>
    </row>
    <row r="450" spans="1:6">
      <c r="A450" s="42"/>
      <c r="B450" s="125"/>
      <c r="C450" s="43"/>
      <c r="D450" s="44"/>
      <c r="E450" s="143"/>
      <c r="F450" s="131"/>
    </row>
    <row r="451" spans="1:6">
      <c r="A451" s="42"/>
      <c r="B451" s="125"/>
      <c r="C451" s="43"/>
      <c r="D451" s="44"/>
      <c r="E451" s="143"/>
      <c r="F451" s="131"/>
    </row>
    <row r="452" spans="1:6">
      <c r="A452" s="42"/>
      <c r="B452" s="125"/>
      <c r="C452" s="43"/>
      <c r="D452" s="44"/>
      <c r="E452" s="143"/>
      <c r="F452" s="131"/>
    </row>
    <row r="453" spans="1:6">
      <c r="A453" s="42"/>
      <c r="B453" s="126"/>
      <c r="C453" s="43"/>
      <c r="D453" s="44"/>
      <c r="E453" s="143"/>
      <c r="F453" s="131"/>
    </row>
    <row r="454" spans="1:6">
      <c r="A454" s="42"/>
      <c r="B454" s="125"/>
      <c r="C454" s="43"/>
      <c r="D454" s="44"/>
      <c r="E454" s="143"/>
      <c r="F454" s="131"/>
    </row>
    <row r="455" spans="1:6">
      <c r="A455" s="46"/>
      <c r="B455" s="127"/>
      <c r="C455" s="47"/>
      <c r="D455" s="48"/>
      <c r="E455" s="143"/>
      <c r="F455" s="131"/>
    </row>
    <row r="456" spans="1:6">
      <c r="A456" s="42"/>
      <c r="B456" s="125"/>
      <c r="C456" s="43"/>
      <c r="D456" s="44"/>
      <c r="E456" s="143"/>
      <c r="F456" s="131"/>
    </row>
    <row r="457" spans="1:6">
      <c r="A457" s="46"/>
      <c r="B457" s="127"/>
      <c r="C457" s="47"/>
      <c r="D457" s="48"/>
      <c r="E457" s="143"/>
      <c r="F457" s="131"/>
    </row>
    <row r="458" spans="1:6">
      <c r="A458" s="42"/>
      <c r="B458" s="125"/>
      <c r="C458" s="43"/>
      <c r="D458" s="44"/>
      <c r="E458" s="143"/>
      <c r="F458" s="131"/>
    </row>
    <row r="459" spans="1:6">
      <c r="A459" s="46"/>
      <c r="B459" s="127"/>
      <c r="C459" s="47"/>
      <c r="D459" s="48"/>
      <c r="E459" s="143"/>
      <c r="F459" s="131"/>
    </row>
    <row r="460" spans="1:6">
      <c r="A460" s="42"/>
      <c r="B460" s="125"/>
      <c r="C460" s="43"/>
      <c r="D460" s="44"/>
      <c r="E460" s="143"/>
      <c r="F460" s="131"/>
    </row>
    <row r="461" spans="1:6">
      <c r="A461" s="46"/>
      <c r="B461" s="127"/>
      <c r="C461" s="47"/>
      <c r="D461" s="48"/>
      <c r="E461" s="143"/>
      <c r="F461" s="131"/>
    </row>
    <row r="462" spans="1:6">
      <c r="A462" s="42"/>
      <c r="B462" s="125"/>
      <c r="C462" s="43"/>
      <c r="D462" s="44"/>
      <c r="E462" s="143"/>
      <c r="F462" s="131"/>
    </row>
    <row r="463" spans="1:6">
      <c r="A463" s="46"/>
      <c r="B463" s="127"/>
      <c r="C463" s="47"/>
      <c r="D463" s="48"/>
      <c r="E463" s="143"/>
      <c r="F463" s="131"/>
    </row>
    <row r="464" spans="1:6">
      <c r="A464" s="42"/>
      <c r="B464" s="125"/>
      <c r="C464" s="43"/>
      <c r="D464" s="44"/>
      <c r="E464" s="143"/>
      <c r="F464" s="131"/>
    </row>
    <row r="465" spans="1:6">
      <c r="A465" s="46"/>
      <c r="B465" s="127"/>
      <c r="C465" s="47"/>
      <c r="D465" s="48"/>
      <c r="E465" s="143"/>
      <c r="F465" s="131"/>
    </row>
    <row r="466" spans="1:6">
      <c r="A466" s="42"/>
      <c r="B466" s="125"/>
      <c r="C466" s="43"/>
      <c r="D466" s="44"/>
      <c r="E466" s="143"/>
      <c r="F466" s="131"/>
    </row>
    <row r="467" spans="1:6">
      <c r="A467" s="46"/>
      <c r="B467" s="127"/>
      <c r="C467" s="47"/>
      <c r="D467" s="48"/>
      <c r="E467" s="143"/>
      <c r="F467" s="131"/>
    </row>
    <row r="468" spans="1:6">
      <c r="A468" s="42"/>
      <c r="B468" s="125"/>
      <c r="C468" s="43"/>
      <c r="D468" s="44"/>
      <c r="E468" s="143"/>
      <c r="F468" s="131"/>
    </row>
    <row r="469" spans="1:6">
      <c r="A469" s="46"/>
      <c r="B469" s="127"/>
      <c r="C469" s="47"/>
      <c r="D469" s="48"/>
      <c r="E469" s="143"/>
      <c r="F469" s="131"/>
    </row>
    <row r="470" spans="1:6">
      <c r="A470" s="42"/>
      <c r="B470" s="125"/>
      <c r="C470" s="43"/>
      <c r="D470" s="44"/>
      <c r="E470" s="143"/>
      <c r="F470" s="131"/>
    </row>
    <row r="471" spans="1:6">
      <c r="A471" s="46"/>
      <c r="B471" s="127"/>
      <c r="C471" s="47"/>
      <c r="D471" s="48"/>
      <c r="E471" s="143"/>
      <c r="F471" s="131"/>
    </row>
    <row r="472" spans="1:6">
      <c r="A472" s="42"/>
      <c r="B472" s="125"/>
      <c r="C472" s="43"/>
      <c r="D472" s="44"/>
      <c r="E472" s="143"/>
      <c r="F472" s="131"/>
    </row>
    <row r="473" spans="1:6">
      <c r="A473" s="46"/>
      <c r="B473" s="127"/>
      <c r="C473" s="47"/>
      <c r="D473" s="48"/>
      <c r="E473" s="143"/>
      <c r="F473" s="131"/>
    </row>
    <row r="474" spans="1:6">
      <c r="A474" s="42"/>
      <c r="B474" s="125"/>
      <c r="C474" s="43"/>
      <c r="D474" s="44"/>
      <c r="E474" s="143"/>
      <c r="F474" s="131"/>
    </row>
    <row r="475" spans="1:6">
      <c r="A475" s="46"/>
      <c r="B475" s="127"/>
      <c r="C475" s="47"/>
      <c r="D475" s="48"/>
      <c r="E475" s="143"/>
      <c r="F475" s="131"/>
    </row>
    <row r="476" spans="1:6">
      <c r="A476" s="42"/>
      <c r="B476" s="125"/>
      <c r="C476" s="43"/>
      <c r="D476" s="44"/>
      <c r="E476" s="143"/>
      <c r="F476" s="131"/>
    </row>
    <row r="477" spans="1:6">
      <c r="A477" s="46"/>
      <c r="B477" s="127"/>
      <c r="C477" s="47"/>
      <c r="D477" s="48"/>
      <c r="E477" s="143"/>
      <c r="F477" s="131"/>
    </row>
    <row r="478" spans="1:6">
      <c r="A478" s="42"/>
      <c r="B478" s="125"/>
      <c r="C478" s="43"/>
      <c r="D478" s="44"/>
      <c r="E478" s="143"/>
      <c r="F478" s="131"/>
    </row>
    <row r="479" spans="1:6">
      <c r="A479" s="42"/>
      <c r="B479" s="125"/>
      <c r="C479" s="43"/>
      <c r="D479" s="44"/>
      <c r="E479" s="143"/>
      <c r="F479" s="131"/>
    </row>
    <row r="480" spans="1:6">
      <c r="A480" s="42"/>
      <c r="B480" s="125"/>
      <c r="C480" s="43"/>
      <c r="D480" s="44"/>
      <c r="E480" s="143"/>
      <c r="F480" s="131"/>
    </row>
    <row r="481" spans="1:6">
      <c r="A481" s="46"/>
      <c r="B481" s="127"/>
      <c r="C481" s="47"/>
      <c r="D481" s="48"/>
      <c r="E481" s="143"/>
      <c r="F481" s="131"/>
    </row>
    <row r="482" spans="1:6">
      <c r="A482" s="42"/>
      <c r="B482" s="125"/>
      <c r="C482" s="43"/>
      <c r="D482" s="44"/>
      <c r="E482" s="143"/>
      <c r="F482" s="131"/>
    </row>
    <row r="483" spans="1:6">
      <c r="A483" s="42"/>
      <c r="B483" s="125"/>
      <c r="C483" s="43"/>
      <c r="D483" s="44"/>
      <c r="E483" s="143"/>
      <c r="F483" s="131"/>
    </row>
    <row r="484" spans="1:6">
      <c r="A484" s="42"/>
      <c r="B484" s="45"/>
      <c r="C484" s="43"/>
      <c r="D484" s="44"/>
      <c r="E484" s="143"/>
      <c r="F484" s="131"/>
    </row>
    <row r="485" spans="1:6">
      <c r="A485" s="85"/>
      <c r="B485" s="86"/>
      <c r="C485" s="87"/>
      <c r="D485" s="88"/>
      <c r="E485" s="145"/>
      <c r="F485" s="133"/>
    </row>
    <row r="486" spans="1:6">
      <c r="A486" s="89"/>
      <c r="B486" s="90"/>
      <c r="C486" s="91" t="s">
        <v>35</v>
      </c>
      <c r="D486" s="91"/>
      <c r="E486" s="146" t="s">
        <v>8</v>
      </c>
      <c r="F486" s="134">
        <f>SUM(F440:F455)</f>
        <v>1160332.43</v>
      </c>
    </row>
    <row r="487" spans="1:6">
      <c r="A487" s="89"/>
      <c r="B487" s="90"/>
      <c r="C487" s="92"/>
      <c r="D487" s="93"/>
      <c r="E487" s="147"/>
      <c r="F487" s="135"/>
    </row>
    <row r="488" spans="1:6">
      <c r="A488" s="72"/>
      <c r="B488" s="78"/>
      <c r="C488" s="73"/>
      <c r="D488" s="74"/>
      <c r="E488" s="143"/>
      <c r="F488" s="131"/>
    </row>
    <row r="489" spans="1:6">
      <c r="A489" s="72"/>
      <c r="B489" s="94" t="s">
        <v>882</v>
      </c>
      <c r="C489" s="73"/>
      <c r="D489" s="74"/>
      <c r="E489" s="143"/>
      <c r="F489" s="131"/>
    </row>
    <row r="490" spans="1:6">
      <c r="A490" s="72"/>
      <c r="B490" s="78"/>
      <c r="C490" s="73"/>
      <c r="D490" s="74"/>
      <c r="E490" s="143"/>
      <c r="F490" s="131"/>
    </row>
    <row r="491" spans="1:6">
      <c r="A491" s="72"/>
      <c r="B491" s="95" t="s">
        <v>1085</v>
      </c>
      <c r="C491" s="73"/>
      <c r="D491" s="74"/>
      <c r="E491" s="143"/>
      <c r="F491" s="131">
        <f>F40</f>
        <v>0</v>
      </c>
    </row>
    <row r="492" spans="1:6">
      <c r="A492" s="72"/>
      <c r="B492" s="78"/>
      <c r="C492" s="73"/>
      <c r="D492" s="74"/>
      <c r="E492" s="143"/>
      <c r="F492" s="131"/>
    </row>
    <row r="493" spans="1:6">
      <c r="A493" s="72"/>
      <c r="B493" s="96" t="s">
        <v>1086</v>
      </c>
      <c r="C493" s="73"/>
      <c r="D493" s="74"/>
      <c r="E493" s="143"/>
      <c r="F493" s="131">
        <f>F76</f>
        <v>0</v>
      </c>
    </row>
    <row r="494" spans="1:6">
      <c r="A494" s="72"/>
      <c r="B494" s="78"/>
      <c r="C494" s="73"/>
      <c r="D494" s="74"/>
      <c r="E494" s="143"/>
      <c r="F494" s="131"/>
    </row>
    <row r="495" spans="1:6">
      <c r="A495" s="72"/>
      <c r="B495" s="95" t="s">
        <v>1087</v>
      </c>
      <c r="C495" s="73"/>
      <c r="D495" s="74"/>
      <c r="E495" s="143"/>
      <c r="F495" s="131">
        <f>F113</f>
        <v>0</v>
      </c>
    </row>
    <row r="496" spans="1:6">
      <c r="A496" s="72"/>
      <c r="B496" s="78"/>
      <c r="C496" s="73"/>
      <c r="D496" s="74"/>
      <c r="E496" s="143"/>
      <c r="F496" s="131"/>
    </row>
    <row r="497" spans="1:6">
      <c r="A497" s="72"/>
      <c r="B497" s="96" t="s">
        <v>1088</v>
      </c>
      <c r="C497" s="73"/>
      <c r="D497" s="74"/>
      <c r="E497" s="143"/>
      <c r="F497" s="131">
        <f>F156</f>
        <v>0</v>
      </c>
    </row>
    <row r="498" spans="1:6">
      <c r="A498" s="72"/>
      <c r="B498" s="78"/>
      <c r="C498" s="73"/>
      <c r="D498" s="74"/>
      <c r="E498" s="143"/>
      <c r="F498" s="131"/>
    </row>
    <row r="499" spans="1:6">
      <c r="A499" s="72"/>
      <c r="B499" s="95" t="s">
        <v>1089</v>
      </c>
      <c r="C499" s="73"/>
      <c r="D499" s="74"/>
      <c r="E499" s="143"/>
      <c r="F499" s="131">
        <f>F182</f>
        <v>8096.3</v>
      </c>
    </row>
    <row r="500" spans="1:6">
      <c r="A500" s="79"/>
      <c r="B500" s="78"/>
      <c r="C500" s="81"/>
      <c r="D500" s="82"/>
      <c r="E500" s="143"/>
      <c r="F500" s="131"/>
    </row>
    <row r="501" spans="1:6">
      <c r="A501" s="72"/>
      <c r="B501" s="96" t="s">
        <v>1090</v>
      </c>
      <c r="C501" s="73"/>
      <c r="D501" s="74"/>
      <c r="E501" s="143"/>
      <c r="F501" s="131">
        <f>F229</f>
        <v>89291.840000000011</v>
      </c>
    </row>
    <row r="502" spans="1:6">
      <c r="A502" s="79"/>
      <c r="B502" s="78"/>
      <c r="C502" s="81"/>
      <c r="D502" s="82"/>
      <c r="E502" s="143"/>
      <c r="F502" s="131"/>
    </row>
    <row r="503" spans="1:6">
      <c r="A503" s="72"/>
      <c r="B503" s="95" t="s">
        <v>1091</v>
      </c>
      <c r="C503" s="73"/>
      <c r="D503" s="74"/>
      <c r="E503" s="143"/>
      <c r="F503" s="131">
        <f>F279</f>
        <v>56931.16</v>
      </c>
    </row>
    <row r="504" spans="1:6">
      <c r="A504" s="79"/>
      <c r="B504" s="78"/>
      <c r="C504" s="81"/>
      <c r="D504" s="82"/>
      <c r="E504" s="143"/>
      <c r="F504" s="131"/>
    </row>
    <row r="505" spans="1:6">
      <c r="A505" s="72"/>
      <c r="B505" s="96" t="s">
        <v>1092</v>
      </c>
      <c r="C505" s="73"/>
      <c r="D505" s="74"/>
      <c r="E505" s="143"/>
      <c r="F505" s="131">
        <f>F322</f>
        <v>78526</v>
      </c>
    </row>
    <row r="506" spans="1:6">
      <c r="A506" s="79"/>
      <c r="B506" s="78"/>
      <c r="C506" s="81"/>
      <c r="D506" s="82"/>
      <c r="E506" s="143"/>
      <c r="F506" s="131"/>
    </row>
    <row r="507" spans="1:6">
      <c r="A507" s="72"/>
      <c r="B507" s="95" t="s">
        <v>1093</v>
      </c>
      <c r="C507" s="73"/>
      <c r="D507" s="74"/>
      <c r="E507" s="143"/>
      <c r="F507" s="131">
        <f>F357</f>
        <v>49610.159999999996</v>
      </c>
    </row>
    <row r="508" spans="1:6">
      <c r="A508" s="79"/>
      <c r="B508" s="78"/>
      <c r="C508" s="81"/>
      <c r="D508" s="82"/>
      <c r="E508" s="143"/>
      <c r="F508" s="131"/>
    </row>
    <row r="509" spans="1:6">
      <c r="A509" s="72"/>
      <c r="B509" s="96" t="s">
        <v>1094</v>
      </c>
      <c r="C509" s="73"/>
      <c r="D509" s="74"/>
      <c r="E509" s="143"/>
      <c r="F509" s="131">
        <f>F394</f>
        <v>87483.32</v>
      </c>
    </row>
    <row r="510" spans="1:6">
      <c r="A510" s="79"/>
      <c r="B510" s="78"/>
      <c r="C510" s="81"/>
      <c r="D510" s="82"/>
      <c r="E510" s="143"/>
      <c r="F510" s="131"/>
    </row>
    <row r="511" spans="1:6">
      <c r="A511" s="72"/>
      <c r="B511" s="95" t="s">
        <v>1095</v>
      </c>
      <c r="C511" s="73"/>
      <c r="D511" s="74"/>
      <c r="E511" s="143"/>
      <c r="F511" s="131">
        <f>F438</f>
        <v>26984.2</v>
      </c>
    </row>
    <row r="512" spans="1:6">
      <c r="A512" s="79"/>
      <c r="B512" s="78"/>
      <c r="C512" s="81"/>
      <c r="D512" s="82"/>
      <c r="E512" s="143"/>
      <c r="F512" s="131"/>
    </row>
    <row r="513" spans="1:6">
      <c r="A513" s="72"/>
      <c r="B513" s="96" t="s">
        <v>1096</v>
      </c>
      <c r="C513" s="73"/>
      <c r="D513" s="74"/>
      <c r="E513" s="143"/>
      <c r="F513" s="131">
        <f>F486</f>
        <v>1160332.43</v>
      </c>
    </row>
    <row r="514" spans="1:6">
      <c r="A514" s="79"/>
      <c r="B514" s="80"/>
      <c r="C514" s="81"/>
      <c r="D514" s="82"/>
      <c r="E514" s="143"/>
      <c r="F514" s="131"/>
    </row>
    <row r="515" spans="1:6">
      <c r="A515" s="72"/>
      <c r="B515" s="78"/>
      <c r="C515" s="73"/>
      <c r="D515" s="74"/>
      <c r="E515" s="143"/>
      <c r="F515" s="131"/>
    </row>
    <row r="516" spans="1:6">
      <c r="A516" s="79"/>
      <c r="B516" s="80"/>
      <c r="C516" s="81"/>
      <c r="D516" s="82"/>
      <c r="E516" s="143"/>
      <c r="F516" s="131"/>
    </row>
    <row r="517" spans="1:6">
      <c r="A517" s="72"/>
      <c r="B517" s="78"/>
      <c r="C517" s="73"/>
      <c r="D517" s="74"/>
      <c r="E517" s="143"/>
      <c r="F517" s="131"/>
    </row>
    <row r="518" spans="1:6">
      <c r="A518" s="79"/>
      <c r="B518" s="80"/>
      <c r="C518" s="81"/>
      <c r="D518" s="82"/>
      <c r="E518" s="143"/>
      <c r="F518" s="131"/>
    </row>
    <row r="519" spans="1:6">
      <c r="A519" s="72"/>
      <c r="B519" s="78"/>
      <c r="C519" s="73"/>
      <c r="D519" s="74"/>
      <c r="E519" s="143"/>
      <c r="F519" s="131"/>
    </row>
    <row r="520" spans="1:6">
      <c r="A520" s="79"/>
      <c r="B520" s="83"/>
      <c r="C520" s="81"/>
      <c r="D520" s="82"/>
      <c r="E520" s="143"/>
      <c r="F520" s="131"/>
    </row>
    <row r="521" spans="1:6">
      <c r="A521" s="72"/>
      <c r="B521" s="78"/>
      <c r="C521" s="73"/>
      <c r="D521" s="74"/>
      <c r="E521" s="143"/>
      <c r="F521" s="131"/>
    </row>
    <row r="522" spans="1:6">
      <c r="A522" s="79"/>
      <c r="B522" s="80"/>
      <c r="C522" s="81"/>
      <c r="D522" s="82"/>
      <c r="E522" s="143"/>
      <c r="F522" s="131"/>
    </row>
    <row r="523" spans="1:6">
      <c r="A523" s="72"/>
      <c r="B523" s="78"/>
      <c r="C523" s="73"/>
      <c r="D523" s="74"/>
      <c r="E523" s="143"/>
      <c r="F523" s="131"/>
    </row>
    <row r="524" spans="1:6">
      <c r="A524" s="79"/>
      <c r="B524" s="80"/>
      <c r="C524" s="81"/>
      <c r="D524" s="82"/>
      <c r="E524" s="143"/>
      <c r="F524" s="131"/>
    </row>
    <row r="525" spans="1:6">
      <c r="A525" s="72"/>
      <c r="B525" s="78"/>
      <c r="C525" s="73"/>
      <c r="D525" s="74"/>
      <c r="E525" s="143"/>
      <c r="F525" s="131"/>
    </row>
    <row r="526" spans="1:6">
      <c r="A526" s="79"/>
      <c r="B526" s="80"/>
      <c r="C526" s="81"/>
      <c r="D526" s="82"/>
      <c r="E526" s="143"/>
      <c r="F526" s="131"/>
    </row>
    <row r="527" spans="1:6">
      <c r="A527" s="72"/>
      <c r="B527" s="78"/>
      <c r="C527" s="73"/>
      <c r="D527" s="74"/>
      <c r="E527" s="143"/>
      <c r="F527" s="131"/>
    </row>
    <row r="528" spans="1:6">
      <c r="A528" s="72"/>
      <c r="B528" s="78"/>
      <c r="C528" s="73"/>
      <c r="D528" s="74"/>
      <c r="E528" s="143"/>
      <c r="F528" s="131"/>
    </row>
    <row r="529" spans="1:6">
      <c r="A529" s="72"/>
      <c r="B529" s="78"/>
      <c r="C529" s="73"/>
      <c r="D529" s="74"/>
      <c r="E529" s="143"/>
      <c r="F529" s="131"/>
    </row>
    <row r="530" spans="1:6">
      <c r="A530" s="72"/>
      <c r="B530" s="78"/>
      <c r="C530" s="73"/>
      <c r="D530" s="74"/>
      <c r="E530" s="143"/>
      <c r="F530" s="131"/>
    </row>
    <row r="531" spans="1:6">
      <c r="A531" s="72"/>
      <c r="B531" s="78"/>
      <c r="C531" s="73"/>
      <c r="D531" s="74"/>
      <c r="E531" s="143"/>
      <c r="F531" s="131"/>
    </row>
    <row r="532" spans="1:6">
      <c r="A532" s="72"/>
      <c r="B532" s="77"/>
      <c r="C532" s="73"/>
      <c r="D532" s="74"/>
      <c r="E532" s="143"/>
      <c r="F532" s="131"/>
    </row>
    <row r="533" spans="1:6">
      <c r="A533" s="72"/>
      <c r="B533" s="78"/>
      <c r="C533" s="73"/>
      <c r="D533" s="74"/>
      <c r="E533" s="143"/>
      <c r="F533" s="131"/>
    </row>
    <row r="534" spans="1:6">
      <c r="A534" s="79"/>
      <c r="B534" s="80"/>
      <c r="C534" s="81"/>
      <c r="D534" s="82"/>
      <c r="E534" s="143"/>
      <c r="F534" s="131"/>
    </row>
    <row r="535" spans="1:6">
      <c r="A535" s="72"/>
      <c r="B535" s="78"/>
      <c r="C535" s="73"/>
      <c r="D535" s="74"/>
      <c r="E535" s="143"/>
      <c r="F535" s="131"/>
    </row>
    <row r="536" spans="1:6">
      <c r="A536" s="85"/>
      <c r="B536" s="86"/>
      <c r="C536" s="87"/>
      <c r="D536" s="88"/>
      <c r="E536" s="145"/>
      <c r="F536" s="133"/>
    </row>
    <row r="537" spans="1:6">
      <c r="A537" s="89"/>
      <c r="B537" s="90"/>
      <c r="C537" s="91" t="s">
        <v>931</v>
      </c>
      <c r="D537" s="91"/>
      <c r="E537" s="146" t="s">
        <v>8</v>
      </c>
      <c r="F537" s="134">
        <f>SUM(F489:F516)</f>
        <v>1557255.41</v>
      </c>
    </row>
    <row r="538" spans="1:6">
      <c r="A538" s="89"/>
      <c r="B538" s="90"/>
      <c r="C538" s="92"/>
      <c r="D538" s="93"/>
      <c r="E538" s="147"/>
      <c r="F538" s="135"/>
    </row>
  </sheetData>
  <mergeCells count="4">
    <mergeCell ref="A1:A2"/>
    <mergeCell ref="B1:B2"/>
    <mergeCell ref="C1:C2"/>
    <mergeCell ref="D1:D2"/>
  </mergeCells>
  <printOptions horizontalCentered="1"/>
  <pageMargins left="0.6692913385826772" right="0.19685039370078741" top="0.82677165354330717" bottom="0.47244094488188981" header="0.19685039370078741" footer="0.23622047244094491"/>
  <pageSetup paperSize="9" scale="91" fitToHeight="0" orientation="portrait" useFirstPageNumber="1" r:id="rId1"/>
  <headerFooter>
    <oddHeader>&amp;R&amp;11
&amp;UBILL NO. 2 - DEMOLITIONS AND ALTERATIONS
ALTERATIONS</oddHeader>
    <oddFooter>&amp;L&amp;8DMS 148704 BOQ - Nakheel Mall Al Khail&amp;C2/B5.2/&amp;P</oddFooter>
  </headerFooter>
  <rowBreaks count="12" manualBreakCount="12">
    <brk id="41" max="5" man="1"/>
    <brk id="77" max="5" man="1"/>
    <brk id="114" max="5" man="1"/>
    <brk id="157" max="5" man="1"/>
    <brk id="183" max="5" man="1"/>
    <brk id="230" max="5" man="1"/>
    <brk id="280" max="5" man="1"/>
    <brk id="323" max="5" man="1"/>
    <brk id="358" max="5" man="1"/>
    <brk id="395" max="5" man="1"/>
    <brk id="439" max="5" man="1"/>
    <brk id="487" max="5"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676B1-7FDB-477A-8EF5-F3279B6CE7B0}">
  <dimension ref="A1:L101"/>
  <sheetViews>
    <sheetView tabSelected="1" view="pageBreakPreview" topLeftCell="A23" zoomScale="85" zoomScaleNormal="90" zoomScaleSheetLayoutView="85" zoomScalePageLayoutView="90" workbookViewId="0">
      <selection activeCell="F51" sqref="F51"/>
    </sheetView>
  </sheetViews>
  <sheetFormatPr defaultColWidth="8.7109375" defaultRowHeight="13.9"/>
  <cols>
    <col min="1" max="1" width="5.7109375" style="22" customWidth="1"/>
    <col min="2" max="2" width="54.42578125" style="22" customWidth="1"/>
    <col min="3" max="3" width="19.7109375" style="35" customWidth="1"/>
    <col min="4" max="4" width="15.7109375" style="36" customWidth="1"/>
    <col min="5" max="5" width="27.42578125" style="21" customWidth="1"/>
    <col min="6" max="6" width="34.42578125" style="22" customWidth="1"/>
    <col min="7" max="16384" width="8.7109375" style="22"/>
  </cols>
  <sheetData>
    <row r="1" spans="1:5" s="13" customFormat="1" ht="18.75" customHeight="1">
      <c r="A1" s="186" t="s">
        <v>2</v>
      </c>
      <c r="B1" s="186" t="s">
        <v>3</v>
      </c>
      <c r="C1" s="188" t="s">
        <v>1097</v>
      </c>
      <c r="D1" s="190" t="s">
        <v>1098</v>
      </c>
      <c r="E1" s="12"/>
    </row>
    <row r="2" spans="1:5" s="14" customFormat="1" ht="18.75" customHeight="1">
      <c r="A2" s="187"/>
      <c r="B2" s="187"/>
      <c r="C2" s="189"/>
      <c r="D2" s="191"/>
      <c r="E2" s="12"/>
    </row>
    <row r="3" spans="1:5" s="17" customFormat="1" ht="14.25" customHeight="1">
      <c r="A3" s="49"/>
      <c r="B3" s="50"/>
      <c r="C3" s="51"/>
      <c r="D3" s="15"/>
      <c r="E3" s="16"/>
    </row>
    <row r="4" spans="1:5" s="17" customFormat="1" ht="14.25" customHeight="1">
      <c r="A4" s="52"/>
      <c r="B4" s="50"/>
      <c r="C4" s="53"/>
      <c r="D4" s="18"/>
      <c r="E4" s="16"/>
    </row>
    <row r="5" spans="1:5" s="17" customFormat="1" ht="14.25" customHeight="1">
      <c r="A5" s="52"/>
      <c r="B5" s="54" t="s">
        <v>1099</v>
      </c>
      <c r="C5" s="53"/>
      <c r="D5" s="19"/>
      <c r="E5" s="16"/>
    </row>
    <row r="6" spans="1:5" s="17" customFormat="1" ht="14.25" customHeight="1">
      <c r="A6" s="52"/>
      <c r="B6" s="55"/>
      <c r="C6" s="53"/>
      <c r="D6" s="19"/>
      <c r="E6" s="16"/>
    </row>
    <row r="7" spans="1:5" s="17" customFormat="1" ht="14.25" customHeight="1">
      <c r="A7" s="52"/>
      <c r="B7" s="55"/>
      <c r="C7" s="53"/>
      <c r="D7" s="19"/>
      <c r="E7" s="16"/>
    </row>
    <row r="8" spans="1:5" s="17" customFormat="1" ht="14.25" customHeight="1">
      <c r="A8" s="52"/>
      <c r="B8" s="55" t="s">
        <v>9</v>
      </c>
      <c r="C8" s="56" t="s">
        <v>1100</v>
      </c>
      <c r="D8" s="20">
        <f>'Bill 2 Demo'!F2007</f>
        <v>26398043.430000003</v>
      </c>
      <c r="E8" s="16"/>
    </row>
    <row r="9" spans="1:5" s="17" customFormat="1" ht="14.25" customHeight="1">
      <c r="A9" s="52"/>
      <c r="B9" s="55"/>
      <c r="C9" s="53"/>
      <c r="D9" s="20"/>
      <c r="E9" s="16"/>
    </row>
    <row r="10" spans="1:5" s="183" customFormat="1" ht="25.15" customHeight="1">
      <c r="A10" s="178"/>
      <c r="B10" s="179" t="s">
        <v>1101</v>
      </c>
      <c r="C10" s="180" t="s">
        <v>1102</v>
      </c>
      <c r="D10" s="181">
        <f>+'Bill 2 Demo EO'!F191</f>
        <v>412751.00486420002</v>
      </c>
      <c r="E10" s="182"/>
    </row>
    <row r="11" spans="1:5" s="17" customFormat="1" ht="14.25" customHeight="1">
      <c r="A11" s="52"/>
      <c r="B11" s="55"/>
      <c r="C11" s="53"/>
      <c r="D11" s="20"/>
      <c r="E11" s="16"/>
    </row>
    <row r="12" spans="1:5" s="17" customFormat="1" ht="14.25" customHeight="1">
      <c r="A12" s="52"/>
      <c r="B12" s="57" t="s">
        <v>961</v>
      </c>
      <c r="C12" s="56" t="s">
        <v>1103</v>
      </c>
      <c r="D12" s="20">
        <f>'Bill 2 Alteration'!F537</f>
        <v>1557255.41</v>
      </c>
      <c r="E12" s="16"/>
    </row>
    <row r="13" spans="1:5" s="17" customFormat="1" ht="14.25" customHeight="1">
      <c r="A13" s="52"/>
      <c r="B13" s="57"/>
      <c r="C13" s="56"/>
      <c r="D13" s="20"/>
      <c r="E13" s="16"/>
    </row>
    <row r="14" spans="1:5" s="17" customFormat="1" ht="14.25" customHeight="1">
      <c r="A14" s="52"/>
      <c r="B14" s="57"/>
      <c r="C14" s="56"/>
      <c r="D14" s="20"/>
      <c r="E14" s="16"/>
    </row>
    <row r="15" spans="1:5" s="17" customFormat="1" ht="14.25" customHeight="1">
      <c r="A15" s="52"/>
      <c r="B15" s="57"/>
      <c r="C15" s="56"/>
      <c r="D15" s="20"/>
      <c r="E15" s="16"/>
    </row>
    <row r="16" spans="1:5" s="17" customFormat="1" ht="14.25" customHeight="1">
      <c r="A16" s="52"/>
      <c r="B16" s="57"/>
      <c r="C16" s="56"/>
      <c r="D16" s="20"/>
      <c r="E16" s="16"/>
    </row>
    <row r="17" spans="1:5" s="17" customFormat="1" ht="14.25" customHeight="1">
      <c r="A17" s="52"/>
      <c r="B17" s="57"/>
      <c r="C17" s="56"/>
      <c r="D17" s="20"/>
      <c r="E17" s="16"/>
    </row>
    <row r="18" spans="1:5" s="17" customFormat="1" ht="14.25" customHeight="1">
      <c r="A18" s="52"/>
      <c r="B18" s="57"/>
      <c r="C18" s="56"/>
      <c r="D18" s="20"/>
      <c r="E18" s="16"/>
    </row>
    <row r="19" spans="1:5" ht="14.25" customHeight="1">
      <c r="A19" s="58"/>
      <c r="B19" s="57"/>
      <c r="C19" s="56"/>
      <c r="D19" s="20"/>
    </row>
    <row r="20" spans="1:5" ht="14.25" customHeight="1">
      <c r="A20" s="58"/>
      <c r="B20" s="57"/>
      <c r="C20" s="56"/>
      <c r="D20" s="20"/>
    </row>
    <row r="21" spans="1:5" s="17" customFormat="1" ht="14.25" customHeight="1">
      <c r="A21" s="52"/>
      <c r="B21" s="57"/>
      <c r="C21" s="56"/>
      <c r="D21" s="20"/>
      <c r="E21" s="16"/>
    </row>
    <row r="22" spans="1:5" ht="14.25" customHeight="1">
      <c r="A22" s="58"/>
      <c r="B22" s="57"/>
      <c r="C22" s="56"/>
      <c r="D22" s="20"/>
    </row>
    <row r="23" spans="1:5" ht="14.25" customHeight="1">
      <c r="A23" s="58"/>
      <c r="B23" s="57"/>
      <c r="C23" s="56"/>
      <c r="D23" s="20"/>
    </row>
    <row r="24" spans="1:5" ht="14.25" customHeight="1">
      <c r="A24" s="58"/>
      <c r="B24" s="57"/>
      <c r="C24" s="56"/>
      <c r="D24" s="20"/>
    </row>
    <row r="25" spans="1:5" ht="14.25" customHeight="1">
      <c r="A25" s="58"/>
      <c r="B25" s="57"/>
      <c r="C25" s="56"/>
      <c r="D25" s="20"/>
    </row>
    <row r="26" spans="1:5" ht="14.25" customHeight="1">
      <c r="A26" s="58"/>
      <c r="B26" s="57"/>
      <c r="C26" s="56"/>
      <c r="D26" s="20"/>
    </row>
    <row r="27" spans="1:5" ht="14.25" customHeight="1">
      <c r="A27" s="58"/>
      <c r="B27" s="57"/>
      <c r="C27" s="56"/>
      <c r="D27" s="20"/>
    </row>
    <row r="28" spans="1:5" ht="14.25" customHeight="1">
      <c r="A28" s="58"/>
      <c r="B28" s="57"/>
      <c r="C28" s="56"/>
      <c r="D28" s="20"/>
    </row>
    <row r="29" spans="1:5" ht="14.25" customHeight="1">
      <c r="A29" s="58"/>
      <c r="B29" s="57"/>
      <c r="C29" s="56"/>
      <c r="D29" s="20"/>
    </row>
    <row r="30" spans="1:5" ht="14.25" customHeight="1">
      <c r="A30" s="58"/>
      <c r="B30" s="57"/>
      <c r="C30" s="56"/>
      <c r="D30" s="20"/>
    </row>
    <row r="31" spans="1:5" ht="14.25" customHeight="1">
      <c r="A31" s="58"/>
      <c r="B31" s="57"/>
      <c r="C31" s="56"/>
      <c r="D31" s="20"/>
    </row>
    <row r="32" spans="1:5" s="21" customFormat="1" ht="14.25" customHeight="1">
      <c r="A32" s="58"/>
      <c r="B32" s="57"/>
      <c r="C32" s="56"/>
      <c r="D32" s="20"/>
    </row>
    <row r="33" spans="1:12" s="21" customFormat="1" ht="14.25" customHeight="1">
      <c r="A33" s="58"/>
      <c r="B33" s="57"/>
      <c r="C33" s="56"/>
      <c r="D33" s="20"/>
    </row>
    <row r="34" spans="1:12" s="21" customFormat="1" ht="14.25" customHeight="1">
      <c r="A34" s="58"/>
      <c r="B34" s="57"/>
      <c r="C34" s="56"/>
      <c r="D34" s="20"/>
    </row>
    <row r="35" spans="1:12" s="21" customFormat="1" ht="14.25" customHeight="1">
      <c r="A35" s="58"/>
      <c r="B35" s="57"/>
      <c r="C35" s="56"/>
      <c r="D35" s="20"/>
    </row>
    <row r="36" spans="1:12" s="21" customFormat="1" ht="14.25" customHeight="1">
      <c r="A36" s="58"/>
      <c r="B36" s="57"/>
      <c r="C36" s="56"/>
      <c r="D36" s="20"/>
    </row>
    <row r="37" spans="1:12" s="21" customFormat="1" ht="14.25" customHeight="1">
      <c r="A37" s="58"/>
      <c r="B37" s="57"/>
      <c r="C37" s="56"/>
      <c r="D37" s="20"/>
    </row>
    <row r="38" spans="1:12" s="21" customFormat="1" ht="14.25" customHeight="1">
      <c r="A38" s="58"/>
      <c r="B38" s="57"/>
      <c r="C38" s="56"/>
      <c r="D38" s="20"/>
    </row>
    <row r="39" spans="1:12" s="21" customFormat="1" ht="14.25" customHeight="1">
      <c r="A39" s="58"/>
      <c r="B39" s="57"/>
      <c r="C39" s="56"/>
      <c r="D39" s="20"/>
    </row>
    <row r="40" spans="1:12" s="21" customFormat="1" ht="14.25" customHeight="1">
      <c r="A40" s="58"/>
      <c r="B40" s="57"/>
      <c r="C40" s="56"/>
      <c r="D40" s="20"/>
    </row>
    <row r="41" spans="1:12" s="21" customFormat="1" ht="14.25" customHeight="1">
      <c r="A41" s="58"/>
      <c r="B41" s="57"/>
      <c r="C41" s="56"/>
      <c r="D41" s="20"/>
    </row>
    <row r="42" spans="1:12" s="21" customFormat="1" ht="14.25" customHeight="1">
      <c r="A42" s="58"/>
      <c r="B42" s="57"/>
      <c r="C42" s="56"/>
      <c r="D42" s="20"/>
    </row>
    <row r="43" spans="1:12" s="21" customFormat="1" ht="14.25" customHeight="1">
      <c r="A43" s="58"/>
      <c r="B43" s="57"/>
      <c r="C43" s="56"/>
      <c r="D43" s="20"/>
    </row>
    <row r="44" spans="1:12" s="37" customFormat="1" ht="14.45">
      <c r="A44" s="58"/>
      <c r="B44" s="57"/>
      <c r="C44" s="56"/>
      <c r="D44" s="20"/>
      <c r="F44" s="38"/>
      <c r="G44" s="38"/>
      <c r="H44" s="38"/>
      <c r="I44" s="38"/>
      <c r="J44" s="38"/>
      <c r="K44" s="38"/>
      <c r="L44" s="38"/>
    </row>
    <row r="45" spans="1:12" s="37" customFormat="1" ht="14.45">
      <c r="A45" s="58"/>
      <c r="B45" s="57"/>
      <c r="C45" s="56"/>
      <c r="D45" s="20"/>
      <c r="F45" s="38"/>
      <c r="G45" s="38"/>
      <c r="H45" s="38"/>
      <c r="I45" s="38"/>
      <c r="J45" s="38"/>
      <c r="K45" s="38"/>
      <c r="L45" s="38"/>
    </row>
    <row r="46" spans="1:12" s="37" customFormat="1" ht="14.45">
      <c r="A46" s="58"/>
      <c r="B46" s="57"/>
      <c r="C46" s="56"/>
      <c r="D46" s="20"/>
    </row>
    <row r="47" spans="1:12" s="21" customFormat="1" ht="14.25" customHeight="1">
      <c r="A47" s="58"/>
      <c r="B47" s="59"/>
      <c r="C47" s="56"/>
      <c r="D47" s="20"/>
    </row>
    <row r="48" spans="1:12" s="21" customFormat="1" ht="14.25" customHeight="1">
      <c r="A48" s="60"/>
      <c r="B48" s="61"/>
      <c r="C48" s="62"/>
      <c r="D48" s="23"/>
    </row>
    <row r="49" spans="1:6" s="21" customFormat="1" ht="27.6">
      <c r="A49" s="59"/>
      <c r="B49" s="63" t="s">
        <v>1104</v>
      </c>
      <c r="C49" s="64"/>
      <c r="D49" s="24"/>
    </row>
    <row r="50" spans="1:6">
      <c r="A50" s="65"/>
      <c r="B50" s="66" t="s">
        <v>1105</v>
      </c>
      <c r="C50" s="67" t="s">
        <v>8</v>
      </c>
      <c r="D50" s="24">
        <f>SUM(D6:D41)</f>
        <v>28368049.844864205</v>
      </c>
      <c r="F50" s="185">
        <f>+D50*0.05</f>
        <v>1418402.4922432103</v>
      </c>
    </row>
    <row r="51" spans="1:6" ht="14.25" customHeight="1">
      <c r="A51" s="21"/>
      <c r="B51" s="26"/>
      <c r="C51" s="25"/>
      <c r="D51" s="23"/>
    </row>
    <row r="53" spans="1:6" s="31" customFormat="1" ht="13.15">
      <c r="A53" s="27"/>
      <c r="B53" s="28"/>
      <c r="C53" s="29"/>
      <c r="D53" s="30"/>
    </row>
    <row r="54" spans="1:6" s="31" customFormat="1" ht="13.15">
      <c r="A54" s="32"/>
      <c r="B54" s="33"/>
      <c r="C54" s="29"/>
      <c r="D54" s="30"/>
    </row>
    <row r="55" spans="1:6" s="31" customFormat="1" ht="13.15">
      <c r="A55" s="32"/>
      <c r="B55" s="33"/>
      <c r="C55" s="29"/>
      <c r="D55" s="30"/>
    </row>
    <row r="56" spans="1:6" s="31" customFormat="1" ht="13.15">
      <c r="A56" s="32"/>
      <c r="B56" s="33"/>
      <c r="C56" s="29"/>
      <c r="D56" s="30"/>
    </row>
    <row r="57" spans="1:6" s="31" customFormat="1" ht="13.15">
      <c r="A57" s="32"/>
      <c r="B57" s="33"/>
      <c r="C57" s="29"/>
      <c r="D57" s="30"/>
    </row>
    <row r="58" spans="1:6" s="31" customFormat="1" ht="13.15">
      <c r="A58" s="32"/>
      <c r="B58" s="33"/>
      <c r="C58" s="29"/>
      <c r="D58" s="30"/>
    </row>
    <row r="59" spans="1:6" s="31" customFormat="1" ht="13.15">
      <c r="A59" s="32"/>
      <c r="B59" s="33"/>
      <c r="C59" s="29"/>
      <c r="D59" s="30"/>
    </row>
    <row r="60" spans="1:6" s="31" customFormat="1" ht="13.15">
      <c r="A60" s="32"/>
      <c r="B60" s="33"/>
      <c r="C60" s="29"/>
      <c r="D60" s="30"/>
    </row>
    <row r="61" spans="1:6" s="31" customFormat="1" ht="13.15">
      <c r="A61" s="32"/>
      <c r="B61" s="33"/>
      <c r="C61" s="29"/>
      <c r="D61" s="30"/>
    </row>
    <row r="62" spans="1:6" s="31" customFormat="1" ht="13.15">
      <c r="A62" s="32"/>
      <c r="B62" s="33"/>
      <c r="C62" s="29"/>
      <c r="D62" s="30"/>
    </row>
    <row r="63" spans="1:6" s="31" customFormat="1" ht="13.15">
      <c r="A63" s="32"/>
      <c r="B63" s="33"/>
      <c r="C63" s="29"/>
      <c r="D63" s="30"/>
    </row>
    <row r="64" spans="1:6" s="31" customFormat="1" ht="13.15">
      <c r="A64" s="32"/>
      <c r="B64" s="33"/>
      <c r="C64" s="29"/>
      <c r="D64" s="30"/>
    </row>
    <row r="65" spans="1:4" s="31" customFormat="1" ht="13.15">
      <c r="A65" s="32"/>
      <c r="B65" s="33"/>
      <c r="C65" s="29"/>
      <c r="D65" s="30"/>
    </row>
    <row r="66" spans="1:4" s="31" customFormat="1" ht="13.15">
      <c r="A66" s="32"/>
      <c r="B66" s="33"/>
      <c r="C66" s="29"/>
      <c r="D66" s="30"/>
    </row>
    <row r="67" spans="1:4" s="31" customFormat="1" ht="13.15">
      <c r="A67" s="32"/>
      <c r="B67" s="33"/>
      <c r="C67" s="29"/>
      <c r="D67" s="30"/>
    </row>
    <row r="68" spans="1:4" s="31" customFormat="1" ht="13.15">
      <c r="A68" s="32"/>
      <c r="B68" s="33"/>
      <c r="C68" s="29"/>
      <c r="D68" s="30"/>
    </row>
    <row r="69" spans="1:4" s="31" customFormat="1" ht="13.15">
      <c r="A69" s="32"/>
      <c r="B69" s="33"/>
      <c r="C69" s="29"/>
      <c r="D69" s="30"/>
    </row>
    <row r="70" spans="1:4" s="31" customFormat="1" ht="13.15">
      <c r="A70" s="32"/>
      <c r="B70" s="33"/>
      <c r="C70" s="29"/>
      <c r="D70" s="30"/>
    </row>
    <row r="71" spans="1:4" s="31" customFormat="1" ht="13.15">
      <c r="A71" s="32"/>
      <c r="B71" s="33"/>
      <c r="C71" s="29"/>
      <c r="D71" s="30"/>
    </row>
    <row r="72" spans="1:4" s="31" customFormat="1" ht="13.15">
      <c r="A72" s="32"/>
      <c r="B72" s="33"/>
      <c r="C72" s="29"/>
      <c r="D72" s="30"/>
    </row>
    <row r="73" spans="1:4" s="31" customFormat="1" ht="13.15">
      <c r="A73" s="32"/>
      <c r="B73" s="33"/>
      <c r="C73" s="29"/>
      <c r="D73" s="30"/>
    </row>
    <row r="74" spans="1:4" s="31" customFormat="1" ht="13.15">
      <c r="A74" s="32"/>
      <c r="B74" s="33"/>
      <c r="C74" s="29"/>
      <c r="D74" s="30"/>
    </row>
    <row r="75" spans="1:4" s="31" customFormat="1" ht="13.15">
      <c r="A75" s="32"/>
      <c r="B75" s="33"/>
      <c r="C75" s="29"/>
      <c r="D75" s="30"/>
    </row>
    <row r="76" spans="1:4" s="31" customFormat="1" ht="13.15">
      <c r="A76" s="34"/>
      <c r="B76" s="33"/>
      <c r="C76" s="29"/>
      <c r="D76" s="30"/>
    </row>
    <row r="77" spans="1:4" s="31" customFormat="1" ht="13.15">
      <c r="A77" s="34"/>
      <c r="B77" s="33"/>
      <c r="C77" s="29"/>
      <c r="D77" s="30"/>
    </row>
    <row r="78" spans="1:4" s="31" customFormat="1" ht="13.15">
      <c r="A78" s="34"/>
      <c r="B78" s="33"/>
      <c r="C78" s="29"/>
      <c r="D78" s="30"/>
    </row>
    <row r="79" spans="1:4" s="31" customFormat="1" ht="13.15">
      <c r="A79" s="34"/>
      <c r="B79" s="33"/>
      <c r="C79" s="29"/>
      <c r="D79" s="30"/>
    </row>
    <row r="80" spans="1:4" s="31" customFormat="1" ht="13.15">
      <c r="A80" s="34"/>
      <c r="B80" s="33"/>
      <c r="C80" s="29"/>
      <c r="D80" s="30"/>
    </row>
    <row r="81" spans="1:4" s="31" customFormat="1" ht="13.15">
      <c r="A81" s="32"/>
      <c r="B81" s="33"/>
      <c r="C81" s="29"/>
      <c r="D81" s="30"/>
    </row>
    <row r="82" spans="1:4" s="31" customFormat="1" ht="13.15">
      <c r="A82" s="32"/>
      <c r="B82" s="33"/>
      <c r="C82" s="29"/>
      <c r="D82" s="30"/>
    </row>
    <row r="83" spans="1:4" s="31" customFormat="1" ht="13.15">
      <c r="A83" s="32"/>
      <c r="B83" s="33"/>
      <c r="C83" s="29"/>
      <c r="D83" s="30"/>
    </row>
    <row r="84" spans="1:4" s="31" customFormat="1" ht="13.15">
      <c r="A84" s="32"/>
      <c r="B84" s="33"/>
      <c r="C84" s="29"/>
      <c r="D84" s="30"/>
    </row>
    <row r="85" spans="1:4" s="31" customFormat="1" ht="13.15">
      <c r="A85" s="32"/>
      <c r="B85" s="33"/>
      <c r="C85" s="29"/>
      <c r="D85" s="30"/>
    </row>
    <row r="86" spans="1:4" s="31" customFormat="1" ht="13.15">
      <c r="A86" s="32"/>
      <c r="B86" s="33"/>
      <c r="C86" s="29"/>
      <c r="D86" s="30"/>
    </row>
    <row r="87" spans="1:4" s="31" customFormat="1" ht="13.15">
      <c r="A87" s="32"/>
      <c r="B87" s="33"/>
      <c r="C87" s="29"/>
      <c r="D87" s="30"/>
    </row>
    <row r="88" spans="1:4" s="31" customFormat="1" ht="13.15">
      <c r="A88" s="32"/>
      <c r="B88" s="33"/>
      <c r="C88" s="29"/>
      <c r="D88" s="30"/>
    </row>
    <row r="89" spans="1:4" s="31" customFormat="1" ht="13.15">
      <c r="A89" s="32"/>
      <c r="B89" s="33"/>
      <c r="C89" s="29"/>
      <c r="D89" s="30"/>
    </row>
    <row r="90" spans="1:4" s="31" customFormat="1" ht="13.15">
      <c r="A90" s="32"/>
      <c r="B90" s="33"/>
      <c r="C90" s="29"/>
      <c r="D90" s="30"/>
    </row>
    <row r="91" spans="1:4" s="31" customFormat="1" ht="13.15">
      <c r="A91" s="32"/>
      <c r="B91" s="33"/>
      <c r="C91" s="29"/>
      <c r="D91" s="30"/>
    </row>
    <row r="92" spans="1:4" s="31" customFormat="1" ht="13.15">
      <c r="A92" s="32"/>
      <c r="B92" s="33"/>
      <c r="C92" s="29"/>
      <c r="D92" s="30"/>
    </row>
    <row r="93" spans="1:4" s="31" customFormat="1" ht="13.15">
      <c r="A93" s="32"/>
      <c r="B93" s="33"/>
      <c r="C93" s="29"/>
      <c r="D93" s="30"/>
    </row>
    <row r="94" spans="1:4" s="31" customFormat="1" ht="13.15">
      <c r="A94" s="32"/>
      <c r="B94" s="33"/>
      <c r="C94" s="29"/>
      <c r="D94" s="30"/>
    </row>
    <row r="95" spans="1:4" s="31" customFormat="1" ht="13.15">
      <c r="A95" s="32"/>
      <c r="B95" s="33"/>
      <c r="C95" s="29"/>
      <c r="D95" s="30"/>
    </row>
    <row r="96" spans="1:4" s="31" customFormat="1" ht="13.15">
      <c r="A96" s="32"/>
      <c r="B96" s="33"/>
      <c r="C96" s="29"/>
      <c r="D96" s="30"/>
    </row>
    <row r="97" spans="1:4" s="31" customFormat="1" ht="13.15">
      <c r="C97" s="29"/>
      <c r="D97" s="30"/>
    </row>
    <row r="101" spans="1:4" s="21" customFormat="1">
      <c r="A101" s="22"/>
      <c r="B101" s="22"/>
      <c r="C101" s="35"/>
      <c r="D101" s="36"/>
    </row>
  </sheetData>
  <mergeCells count="4">
    <mergeCell ref="A1:A2"/>
    <mergeCell ref="B1:B2"/>
    <mergeCell ref="C1:C2"/>
    <mergeCell ref="D1:D2"/>
  </mergeCells>
  <pageMargins left="0.66929133858267698" right="0.196850393700787" top="0.82677165354330695" bottom="0.47" header="0.196850393700787" footer="0.24"/>
  <pageSetup paperSize="9" orientation="portrait" r:id="rId1"/>
  <headerFooter>
    <oddHeader>&amp;R&amp;U
&amp;11BILL NO. 2 - DEMOLITIONS AND ALTERATIONS
AL KHAIL MALL REFURBISHMENT</oddHeader>
    <oddFooter>&amp;L&amp;8DMS 148704 BOQ - Nakheel Mall Al Khail&amp;CB/2</oddFooter>
  </headerFooter>
  <colBreaks count="1" manualBreakCount="1">
    <brk id="4" max="41" man="1"/>
  </col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D3EF1AB537AC9E47B3E67E62C11EDC34" ma:contentTypeVersion="6" ma:contentTypeDescription="Create a new document." ma:contentTypeScope="" ma:versionID="2393c6d2fbf1c3b1fcf0524f3ce13afe">
  <xsd:schema xmlns:xsd="http://www.w3.org/2001/XMLSchema" xmlns:xs="http://www.w3.org/2001/XMLSchema" xmlns:p="http://schemas.microsoft.com/office/2006/metadata/properties" xmlns:ns2="29343c2e-0cc4-4aa9-a004-66d03d634282" xmlns:ns3="303d1388-59d5-4b44-81d6-4cb28e15e614" targetNamespace="http://schemas.microsoft.com/office/2006/metadata/properties" ma:root="true" ma:fieldsID="42acea1767e65b62021b29439736a286" ns2:_="" ns3:_="">
    <xsd:import namespace="29343c2e-0cc4-4aa9-a004-66d03d634282"/>
    <xsd:import namespace="303d1388-59d5-4b44-81d6-4cb28e15e614"/>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9343c2e-0cc4-4aa9-a004-66d03d634282" elementFormDefault="qualified">
    <xsd:import namespace="http://schemas.microsoft.com/office/2006/documentManagement/types"/>
    <xsd:import namespace="http://schemas.microsoft.com/office/infopath/2007/PartnerControls"/>
    <xsd:element name="SharedWithUsers" ma:index="8"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description=""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03d1388-59d5-4b44-81d6-4cb28e15e614"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00FDB666-2D46-459E-84B0-19F0C9DD85E9}"/>
</file>

<file path=customXml/itemProps2.xml><?xml version="1.0" encoding="utf-8"?>
<ds:datastoreItem xmlns:ds="http://schemas.openxmlformats.org/officeDocument/2006/customXml" ds:itemID="{A39B66E5-EBEA-49A5-8499-ABB61A148941}"/>
</file>

<file path=customXml/itemProps3.xml><?xml version="1.0" encoding="utf-8"?>
<ds:datastoreItem xmlns:ds="http://schemas.openxmlformats.org/officeDocument/2006/customXml" ds:itemID="{C936EB45-9EF9-4E29-9A52-62CE257280E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Aaron Mendoza</dc:creator>
  <cp:keywords/>
  <dc:description/>
  <cp:lastModifiedBy>Taj - Innovaite</cp:lastModifiedBy>
  <cp:revision/>
  <dcterms:created xsi:type="dcterms:W3CDTF">2021-12-10T06:42:14Z</dcterms:created>
  <dcterms:modified xsi:type="dcterms:W3CDTF">2026-03-11T15:03:47Z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0x010100D3EF1AB537AC9E47B3E67E62C11EDC34</vt:lpwstr>
  </property>
</Properties>
</file>