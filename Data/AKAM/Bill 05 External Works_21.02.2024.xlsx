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522033AD-5DAF-4B97-90E9-4AB93BACBB81}" xr6:coauthVersionLast="47" xr6:coauthVersionMax="47" xr10:uidLastSave="{00000000-0000-0000-0000-000000000000}"/>
  <bookViews>
    <workbookView xWindow="-28920" yWindow="-1530" windowWidth="29040" windowHeight="15720" tabRatio="861" firstSheet="2" activeTab="9" xr2:uid="{00000000-000D-0000-FFFF-FFFF00000000}"/>
  </bookViews>
  <sheets>
    <sheet name="Fly-Bill 5" sheetId="20" r:id="rId1"/>
    <sheet name="Bill 5 Sitework" sheetId="35" r:id="rId2"/>
    <sheet name="Bill 5 Concrete Work" sheetId="26" r:id="rId3"/>
    <sheet name="Bill 5 Thermal and Moisture" sheetId="36" r:id="rId4"/>
    <sheet name="Bill 5 Finishes" sheetId="37" r:id="rId5"/>
    <sheet name="Bill 5 Accessories" sheetId="38" r:id="rId6"/>
    <sheet name="Bill 5 Furnishings" sheetId="39" r:id="rId7"/>
    <sheet name="Bill 5 - Mech" sheetId="24" r:id="rId8"/>
    <sheet name="Bill 5 - Elec" sheetId="40" r:id="rId9"/>
    <sheet name="Bill 5-Sum" sheetId="21" r:id="rId10"/>
  </sheets>
  <definedNames>
    <definedName name="_xlnm._FilterDatabase" localSheetId="8" hidden="1">'Bill 5 - Elec'!$A$4:$F$409</definedName>
    <definedName name="_xlnm._FilterDatabase" localSheetId="7" hidden="1">'Bill 5 - Mech'!$A$4:$F$320</definedName>
    <definedName name="_xlnm._FilterDatabase" localSheetId="5" hidden="1">'Bill 5 Accessories'!$A$4:$F$217</definedName>
    <definedName name="_xlnm._FilterDatabase" localSheetId="2" hidden="1">'Bill 5 Concrete Work'!$A$4:$F$145</definedName>
    <definedName name="_xlnm._FilterDatabase" localSheetId="4" hidden="1">'Bill 5 Finishes'!$A$4:$F$143</definedName>
    <definedName name="_xlnm._FilterDatabase" localSheetId="6" hidden="1">'Bill 5 Furnishings'!$A$4:$F$144</definedName>
    <definedName name="_xlnm._FilterDatabase" localSheetId="1" hidden="1">'Bill 5 Sitework'!$A$4:$F$619</definedName>
    <definedName name="_xlnm._FilterDatabase" localSheetId="3" hidden="1">'Bill 5 Thermal and Moisture'!$A$4:$F$140</definedName>
    <definedName name="_xlnm._FilterDatabase" localSheetId="9" hidden="1">'Bill 5-Sum'!$A$1:$E$52</definedName>
    <definedName name="_xlnm.Print_Area" localSheetId="8">'Bill 5 - Elec'!$A$1:$G$409</definedName>
    <definedName name="_xlnm.Print_Area" localSheetId="7">'Bill 5 - Mech'!$A$1:$F$320</definedName>
    <definedName name="_xlnm.Print_Area" localSheetId="5">'Bill 5 Accessories'!$A$1:$F$217</definedName>
    <definedName name="_xlnm.Print_Area" localSheetId="2">'Bill 5 Concrete Work'!$A$1:$F$145</definedName>
    <definedName name="_xlnm.Print_Area" localSheetId="4">'Bill 5 Finishes'!$A$1:$F$143</definedName>
    <definedName name="_xlnm.Print_Area" localSheetId="6">'Bill 5 Furnishings'!$A$1:$F$144</definedName>
    <definedName name="_xlnm.Print_Area" localSheetId="1">'Bill 5 Sitework'!$A$1:$G$619</definedName>
    <definedName name="_xlnm.Print_Area" localSheetId="3">'Bill 5 Thermal and Moisture'!$A$1:$F$140</definedName>
    <definedName name="_xlnm.Print_Area" localSheetId="9">'Bill 5-Sum'!$A$1:$D$52</definedName>
    <definedName name="_xlnm.Print_Area" localSheetId="0">'Fly-Bill 5'!$A$1:$J$50</definedName>
    <definedName name="_xlnm.Print_Titles" localSheetId="8">'Bill 5 - Elec'!$1:$3</definedName>
    <definedName name="_xlnm.Print_Titles" localSheetId="7">'Bill 5 - Mech'!$1:$3</definedName>
    <definedName name="_xlnm.Print_Titles" localSheetId="5">'Bill 5 Accessories'!$1:$3</definedName>
    <definedName name="_xlnm.Print_Titles" localSheetId="2">'Bill 5 Concrete Work'!$1:$3</definedName>
    <definedName name="_xlnm.Print_Titles" localSheetId="4">'Bill 5 Finishes'!$1:$3</definedName>
    <definedName name="_xlnm.Print_Titles" localSheetId="6">'Bill 5 Furnishings'!$1:$3</definedName>
    <definedName name="_xlnm.Print_Titles" localSheetId="1">'Bill 5 Sitework'!$1:$3</definedName>
    <definedName name="_xlnm.Print_Titles" localSheetId="3">'Bill 5 Thermal and Moisture'!$1:$3</definedName>
    <definedName name="_xlnm.Print_Titles" localSheetId="9">'Bill 5-Sum'!$1:$3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2" i="39" l="1"/>
  <c r="F321" i="40" l="1"/>
  <c r="F300" i="40"/>
  <c r="F250" i="24"/>
  <c r="F249" i="24"/>
  <c r="F248" i="24"/>
  <c r="F247" i="24"/>
  <c r="F246" i="24"/>
  <c r="F245" i="24"/>
  <c r="F244" i="24"/>
  <c r="F243" i="24"/>
  <c r="F242" i="24"/>
  <c r="F241" i="24"/>
  <c r="F240" i="24"/>
  <c r="F239" i="24"/>
  <c r="F310" i="40" l="1"/>
  <c r="F179" i="35"/>
  <c r="F376" i="40"/>
  <c r="F317" i="40"/>
  <c r="F252" i="40"/>
  <c r="F219" i="40"/>
  <c r="F183" i="40"/>
  <c r="F182" i="40"/>
  <c r="F181" i="40"/>
  <c r="F180" i="40"/>
  <c r="F179" i="40"/>
  <c r="F178" i="40"/>
  <c r="F177" i="40"/>
  <c r="F176" i="40"/>
  <c r="F175" i="40"/>
  <c r="F174" i="40"/>
  <c r="F173" i="40"/>
  <c r="F172" i="40"/>
  <c r="F171" i="40"/>
  <c r="F170" i="40"/>
  <c r="F169" i="40"/>
  <c r="F158" i="40"/>
  <c r="F157" i="40"/>
  <c r="F156" i="40"/>
  <c r="F155" i="40"/>
  <c r="F154" i="40"/>
  <c r="F153" i="40"/>
  <c r="F152" i="40"/>
  <c r="F151" i="40"/>
  <c r="F150" i="40"/>
  <c r="F149" i="40"/>
  <c r="F148" i="40"/>
  <c r="F147" i="40"/>
  <c r="F146" i="40"/>
  <c r="F145" i="40"/>
  <c r="F144" i="40"/>
  <c r="F119" i="40"/>
  <c r="F118" i="40"/>
  <c r="F117" i="40"/>
  <c r="F116" i="40"/>
  <c r="F115" i="40"/>
  <c r="F114" i="40"/>
  <c r="F113" i="40"/>
  <c r="F112" i="40"/>
  <c r="F111" i="40"/>
  <c r="F110" i="40"/>
  <c r="F109" i="40"/>
  <c r="F88" i="40"/>
  <c r="F89" i="40"/>
  <c r="F90" i="40"/>
  <c r="F91" i="40"/>
  <c r="F92" i="40"/>
  <c r="F93" i="40"/>
  <c r="F94" i="40"/>
  <c r="F95" i="40"/>
  <c r="F96" i="40"/>
  <c r="F97" i="40"/>
  <c r="F98" i="40"/>
  <c r="F99" i="40"/>
  <c r="F100" i="40"/>
  <c r="F101" i="40"/>
  <c r="F102" i="40"/>
  <c r="F103" i="40"/>
  <c r="F87" i="40"/>
  <c r="F73" i="40"/>
  <c r="F65" i="40"/>
  <c r="F64" i="40"/>
  <c r="F63" i="40"/>
  <c r="F59" i="40"/>
  <c r="F55" i="40"/>
  <c r="F54" i="40"/>
  <c r="F53" i="40"/>
  <c r="F52" i="40"/>
  <c r="F51" i="40"/>
  <c r="F47" i="40"/>
  <c r="F36" i="40"/>
  <c r="F34" i="40"/>
  <c r="F32" i="40"/>
  <c r="F30" i="40"/>
  <c r="F28" i="40"/>
  <c r="F26" i="40"/>
  <c r="F22" i="40"/>
  <c r="F18" i="40"/>
  <c r="F238" i="24"/>
  <c r="F237" i="24"/>
  <c r="F236" i="24"/>
  <c r="F235" i="24"/>
  <c r="F234" i="24"/>
  <c r="F233" i="24"/>
  <c r="F232" i="24"/>
  <c r="F199" i="24"/>
  <c r="F198" i="24"/>
  <c r="F197" i="24"/>
  <c r="F196" i="24"/>
  <c r="F195" i="24"/>
  <c r="F194" i="24"/>
  <c r="F193" i="24"/>
  <c r="F192" i="24"/>
  <c r="F191" i="24"/>
  <c r="F190" i="24"/>
  <c r="F189" i="24"/>
  <c r="F188" i="24"/>
  <c r="F187" i="24"/>
  <c r="F186" i="24"/>
  <c r="F185" i="24"/>
  <c r="F184" i="24"/>
  <c r="F175" i="24"/>
  <c r="F174" i="24"/>
  <c r="F173" i="24"/>
  <c r="F172" i="24"/>
  <c r="F171" i="24"/>
  <c r="F170" i="24"/>
  <c r="F169" i="24"/>
  <c r="F168" i="24"/>
  <c r="F167" i="24"/>
  <c r="F166" i="24"/>
  <c r="F165" i="24"/>
  <c r="F164" i="24"/>
  <c r="F163" i="24"/>
  <c r="F162" i="24"/>
  <c r="F161" i="24"/>
  <c r="F160" i="24"/>
  <c r="F159" i="24"/>
  <c r="F158" i="24"/>
  <c r="F157" i="24"/>
  <c r="F156" i="24"/>
  <c r="F155" i="24"/>
  <c r="F154" i="24"/>
  <c r="F153" i="24"/>
  <c r="F152" i="24"/>
  <c r="F151" i="24"/>
  <c r="F150" i="24"/>
  <c r="F149" i="24"/>
  <c r="F148" i="24"/>
  <c r="F147" i="24"/>
  <c r="F146" i="24"/>
  <c r="F145" i="24"/>
  <c r="F144" i="24"/>
  <c r="F143" i="24"/>
  <c r="F142" i="24"/>
  <c r="F141" i="24"/>
  <c r="F140" i="24"/>
  <c r="F139" i="24"/>
  <c r="F128" i="24"/>
  <c r="F127" i="24"/>
  <c r="F126" i="24"/>
  <c r="F125" i="24"/>
  <c r="F124" i="24"/>
  <c r="F123" i="24"/>
  <c r="F122" i="24"/>
  <c r="F121" i="24"/>
  <c r="F120" i="24"/>
  <c r="F119" i="24"/>
  <c r="F118" i="24"/>
  <c r="F117" i="24"/>
  <c r="F116" i="24"/>
  <c r="F115" i="24"/>
  <c r="F114" i="24"/>
  <c r="F113" i="24"/>
  <c r="F112" i="24"/>
  <c r="F111" i="24"/>
  <c r="F110" i="24"/>
  <c r="F109" i="24"/>
  <c r="F108" i="24"/>
  <c r="F107" i="24"/>
  <c r="F106" i="24"/>
  <c r="F105" i="24"/>
  <c r="F80" i="24"/>
  <c r="F79" i="24"/>
  <c r="F78" i="24"/>
  <c r="F77" i="24"/>
  <c r="F76" i="24"/>
  <c r="F75" i="24"/>
  <c r="F74" i="24"/>
  <c r="F73" i="24"/>
  <c r="F72" i="24"/>
  <c r="F71" i="24"/>
  <c r="F70" i="24"/>
  <c r="F69" i="24"/>
  <c r="F68" i="24"/>
  <c r="F67" i="24"/>
  <c r="F66" i="24"/>
  <c r="F65" i="24"/>
  <c r="F64" i="24"/>
  <c r="F63" i="24"/>
  <c r="F62" i="24"/>
  <c r="F61" i="24"/>
  <c r="F60" i="24"/>
  <c r="F59" i="24"/>
  <c r="F58" i="24"/>
  <c r="F57" i="24"/>
  <c r="F56" i="24"/>
  <c r="F55" i="24"/>
  <c r="F54" i="24"/>
  <c r="F53" i="24"/>
  <c r="F52"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10" i="24"/>
  <c r="F13" i="39"/>
  <c r="F14" i="39"/>
  <c r="F15" i="39"/>
  <c r="F16" i="39"/>
  <c r="F17" i="39"/>
  <c r="F18" i="39"/>
  <c r="F19" i="39"/>
  <c r="F20" i="39"/>
  <c r="F21" i="39"/>
  <c r="F22" i="39"/>
  <c r="F23" i="39"/>
  <c r="F24" i="39"/>
  <c r="F25" i="39"/>
  <c r="F26" i="39"/>
  <c r="F27" i="39"/>
  <c r="F28" i="39"/>
  <c r="F29" i="39"/>
  <c r="F30" i="39"/>
  <c r="F31" i="39"/>
  <c r="F32" i="39"/>
  <c r="F33" i="39"/>
  <c r="F34" i="39"/>
  <c r="F35" i="39"/>
  <c r="F36" i="39"/>
  <c r="F12" i="39"/>
  <c r="F277" i="40" l="1"/>
  <c r="F40" i="40"/>
  <c r="F357" i="40"/>
  <c r="F241" i="40"/>
  <c r="F206" i="40"/>
  <c r="F164" i="40"/>
  <c r="F129" i="40"/>
  <c r="F82" i="40"/>
  <c r="F269" i="24"/>
  <c r="F227" i="24"/>
  <c r="F132" i="24"/>
  <c r="F93" i="39"/>
  <c r="F50" i="39"/>
  <c r="F179" i="24"/>
  <c r="F89" i="24"/>
  <c r="F47" i="24"/>
  <c r="F127" i="38"/>
  <c r="F83" i="38"/>
  <c r="F49" i="38"/>
  <c r="F171" i="38" s="1"/>
  <c r="F68" i="38"/>
  <c r="F67" i="38"/>
  <c r="F66" i="38"/>
  <c r="F65" i="38"/>
  <c r="F64" i="38"/>
  <c r="F63" i="38"/>
  <c r="F62" i="38"/>
  <c r="F58" i="38"/>
  <c r="F56" i="38"/>
  <c r="F51" i="37"/>
  <c r="F20" i="37"/>
  <c r="F19" i="37"/>
  <c r="F18" i="37"/>
  <c r="F17" i="37"/>
  <c r="F16" i="37"/>
  <c r="F12" i="37"/>
  <c r="F10" i="37"/>
  <c r="F50" i="36"/>
  <c r="F26" i="36"/>
  <c r="F24" i="36"/>
  <c r="F20" i="36"/>
  <c r="F18" i="36"/>
  <c r="F14" i="36"/>
  <c r="F10" i="36"/>
  <c r="F40" i="26"/>
  <c r="F39" i="26"/>
  <c r="F38" i="26"/>
  <c r="F37" i="26"/>
  <c r="F36" i="26"/>
  <c r="F35" i="26"/>
  <c r="F34" i="26"/>
  <c r="F33" i="26"/>
  <c r="F32" i="26"/>
  <c r="F26" i="26"/>
  <c r="F22" i="26"/>
  <c r="F15" i="26"/>
  <c r="F16" i="26"/>
  <c r="F17" i="26"/>
  <c r="F18" i="26"/>
  <c r="F14" i="26"/>
  <c r="F526" i="35"/>
  <c r="F485" i="35"/>
  <c r="F486" i="35"/>
  <c r="F487" i="35"/>
  <c r="F484" i="35"/>
  <c r="F466" i="35"/>
  <c r="F449" i="35"/>
  <c r="F448" i="35"/>
  <c r="F447" i="35"/>
  <c r="F446" i="35"/>
  <c r="F445"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F410" i="35"/>
  <c r="F409" i="35"/>
  <c r="F408" i="35"/>
  <c r="F407" i="35"/>
  <c r="F406" i="35"/>
  <c r="F395" i="35"/>
  <c r="F394" i="35"/>
  <c r="F393" i="35"/>
  <c r="F392" i="35"/>
  <c r="F391" i="35"/>
  <c r="F390" i="35"/>
  <c r="F389" i="35"/>
  <c r="F388" i="35"/>
  <c r="F387" i="35"/>
  <c r="F386" i="35"/>
  <c r="F385" i="35"/>
  <c r="F384" i="35"/>
  <c r="F383" i="35"/>
  <c r="F382" i="35"/>
  <c r="F381" i="35"/>
  <c r="F380" i="35"/>
  <c r="F379" i="35"/>
  <c r="F378" i="35"/>
  <c r="F377" i="35"/>
  <c r="F376" i="35"/>
  <c r="F375" i="35"/>
  <c r="F374" i="35"/>
  <c r="F365" i="35"/>
  <c r="F364" i="35"/>
  <c r="F363" i="35"/>
  <c r="F362" i="35"/>
  <c r="F361" i="35"/>
  <c r="F360" i="35"/>
  <c r="F359" i="35"/>
  <c r="F358" i="35"/>
  <c r="F357" i="35"/>
  <c r="F356" i="35"/>
  <c r="F355" i="35"/>
  <c r="F354" i="35"/>
  <c r="F353" i="35"/>
  <c r="F352" i="35"/>
  <c r="F351" i="35"/>
  <c r="F350" i="35"/>
  <c r="F349" i="35"/>
  <c r="F348" i="35"/>
  <c r="F347" i="35"/>
  <c r="F346" i="35"/>
  <c r="F342" i="35"/>
  <c r="F341" i="35"/>
  <c r="F340" i="35"/>
  <c r="F328" i="35"/>
  <c r="F327" i="35"/>
  <c r="F326" i="35"/>
  <c r="F325" i="35"/>
  <c r="F324" i="35"/>
  <c r="F323" i="35"/>
  <c r="F322" i="35"/>
  <c r="F321" i="35"/>
  <c r="F320" i="35"/>
  <c r="F319" i="35"/>
  <c r="F318" i="35"/>
  <c r="F317" i="35"/>
  <c r="F316" i="35"/>
  <c r="F315" i="35"/>
  <c r="F314" i="35"/>
  <c r="F313" i="35"/>
  <c r="F312" i="35"/>
  <c r="F311" i="35"/>
  <c r="F310" i="35"/>
  <c r="F309" i="35"/>
  <c r="F308" i="35"/>
  <c r="F307" i="35"/>
  <c r="F306" i="35"/>
  <c r="F305" i="35"/>
  <c r="F304" i="35"/>
  <c r="F278" i="35"/>
  <c r="F277" i="35"/>
  <c r="F276" i="35"/>
  <c r="F275" i="35"/>
  <c r="F274" i="35"/>
  <c r="F273" i="35"/>
  <c r="F272" i="35"/>
  <c r="F270" i="35"/>
  <c r="F268" i="35"/>
  <c r="F264" i="35"/>
  <c r="F263" i="35"/>
  <c r="F262" i="35"/>
  <c r="F250" i="35"/>
  <c r="F249" i="35"/>
  <c r="F248" i="35"/>
  <c r="F247" i="35"/>
  <c r="F246" i="35"/>
  <c r="F245" i="35"/>
  <c r="F244" i="35"/>
  <c r="F243" i="35"/>
  <c r="F242" i="35"/>
  <c r="F234" i="35"/>
  <c r="F233" i="35"/>
  <c r="F232" i="35"/>
  <c r="F217" i="35"/>
  <c r="F216" i="35"/>
  <c r="F215" i="35"/>
  <c r="F214" i="35"/>
  <c r="F210" i="35"/>
  <c r="F201" i="35"/>
  <c r="F202" i="35"/>
  <c r="F203" i="35"/>
  <c r="F204" i="35"/>
  <c r="F205" i="35"/>
  <c r="F206" i="35"/>
  <c r="F200" i="35"/>
  <c r="F175" i="35"/>
  <c r="F171" i="35"/>
  <c r="F167" i="35"/>
  <c r="F149" i="35"/>
  <c r="F147" i="35"/>
  <c r="F145" i="35"/>
  <c r="F143" i="35"/>
  <c r="F141" i="35"/>
  <c r="F139" i="35"/>
  <c r="F137" i="35"/>
  <c r="F135" i="35"/>
  <c r="F124" i="35"/>
  <c r="F120" i="35"/>
  <c r="F118" i="35"/>
  <c r="F116" i="35"/>
  <c r="F112" i="35"/>
  <c r="F108" i="35"/>
  <c r="F106" i="35"/>
  <c r="F102" i="35"/>
  <c r="F100" i="35"/>
  <c r="F88" i="35"/>
  <c r="F86" i="35"/>
  <c r="F82" i="35"/>
  <c r="F80" i="35"/>
  <c r="F78" i="35"/>
  <c r="F74" i="35"/>
  <c r="F72" i="35"/>
  <c r="F68" i="35"/>
  <c r="F66" i="35"/>
  <c r="F28" i="35"/>
  <c r="F24" i="35"/>
  <c r="F22" i="35"/>
  <c r="F20" i="35"/>
  <c r="F18" i="35"/>
  <c r="F16" i="35"/>
  <c r="F166" i="38" l="1"/>
  <c r="F177" i="38" s="1"/>
  <c r="F120" i="38"/>
  <c r="F175" i="38" s="1"/>
  <c r="F89" i="36"/>
  <c r="F96" i="36" s="1"/>
  <c r="F362" i="40"/>
  <c r="F374" i="40"/>
  <c r="F378" i="40"/>
  <c r="F372" i="40"/>
  <c r="F370" i="40"/>
  <c r="F368" i="40"/>
  <c r="F366" i="40"/>
  <c r="F364" i="40"/>
  <c r="F284" i="24"/>
  <c r="F282" i="24"/>
  <c r="F280" i="24"/>
  <c r="F278" i="24"/>
  <c r="F276" i="24"/>
  <c r="F274" i="24"/>
  <c r="F100" i="39"/>
  <c r="F98" i="39"/>
  <c r="F76" i="38"/>
  <c r="F173" i="38" s="1"/>
  <c r="F91" i="37"/>
  <c r="F44" i="37"/>
  <c r="F43" i="36"/>
  <c r="F94" i="36" s="1"/>
  <c r="F47" i="26"/>
  <c r="F519" i="35"/>
  <c r="F598" i="35" s="1"/>
  <c r="F401" i="35"/>
  <c r="F567" i="35"/>
  <c r="F160" i="35"/>
  <c r="F471" i="35"/>
  <c r="F289" i="35"/>
  <c r="F438" i="35"/>
  <c r="F333" i="35"/>
  <c r="F369" i="35"/>
  <c r="F257" i="35"/>
  <c r="F227" i="35"/>
  <c r="F193" i="35"/>
  <c r="F130" i="35"/>
  <c r="F93" i="35"/>
  <c r="F49" i="35"/>
  <c r="F216" i="38" l="1"/>
  <c r="D20" i="21" s="1"/>
  <c r="F139" i="36"/>
  <c r="D14" i="21" s="1"/>
  <c r="F319" i="24"/>
  <c r="F408" i="40"/>
  <c r="F143" i="39"/>
  <c r="F98" i="37"/>
  <c r="F96" i="37"/>
  <c r="F98" i="26"/>
  <c r="F592" i="35"/>
  <c r="F594" i="35"/>
  <c r="F576" i="35"/>
  <c r="F586" i="35"/>
  <c r="F574" i="35"/>
  <c r="F596" i="35"/>
  <c r="F578" i="35"/>
  <c r="F588" i="35"/>
  <c r="F584" i="35"/>
  <c r="F572" i="35"/>
  <c r="F590" i="35"/>
  <c r="F600" i="35"/>
  <c r="F582" i="35"/>
  <c r="F580" i="35"/>
  <c r="D26" i="21" l="1"/>
  <c r="D29" i="21"/>
  <c r="D23" i="21"/>
  <c r="F142" i="37"/>
  <c r="F144" i="26"/>
  <c r="F618" i="35"/>
  <c r="D8" i="21" s="1"/>
  <c r="D17" i="21" l="1"/>
  <c r="D11" i="21"/>
  <c r="D51" i="21" l="1"/>
</calcChain>
</file>

<file path=xl/sharedStrings.xml><?xml version="1.0" encoding="utf-8"?>
<sst xmlns="http://schemas.openxmlformats.org/spreadsheetml/2006/main" count="1577" uniqueCount="590">
  <si>
    <t>BILL NO. 5</t>
  </si>
  <si>
    <t>Item</t>
  </si>
  <si>
    <t>Description</t>
  </si>
  <si>
    <t xml:space="preserve"> Quantity</t>
  </si>
  <si>
    <t>Unit</t>
  </si>
  <si>
    <t>Rate</t>
  </si>
  <si>
    <t>Amount</t>
  </si>
  <si>
    <t>AED</t>
  </si>
  <si>
    <t>SITE WORK</t>
  </si>
  <si>
    <t>Note: Refer to the following</t>
  </si>
  <si>
    <t>1. Landscape Report dated April 11, 2022</t>
  </si>
  <si>
    <t>2. Drawings listed on Reference Nr. V0195-TVS-ZZ-XX-DR-L-001, all inclusive</t>
  </si>
  <si>
    <t>A</t>
  </si>
  <si>
    <t>Excavation to reduced level; to planting areas</t>
  </si>
  <si>
    <t>6,833</t>
  </si>
  <si>
    <t>m³</t>
  </si>
  <si>
    <t>B</t>
  </si>
  <si>
    <t>Excavation to reduced level; to paving areas</t>
  </si>
  <si>
    <t>4,076</t>
  </si>
  <si>
    <t>C</t>
  </si>
  <si>
    <t>Excavation to reduced level; to paving areas outside plot</t>
  </si>
  <si>
    <t>3,166</t>
  </si>
  <si>
    <t>D</t>
  </si>
  <si>
    <t>Pit excavation; to tree pits</t>
  </si>
  <si>
    <t>3,401</t>
  </si>
  <si>
    <t>E</t>
  </si>
  <si>
    <t>Pit excavation; to tree pits; roads</t>
  </si>
  <si>
    <t>231</t>
  </si>
  <si>
    <t>F</t>
  </si>
  <si>
    <t>Removed off site including suitable trip</t>
  </si>
  <si>
    <t>17,707</t>
  </si>
  <si>
    <t>To Collection</t>
  </si>
  <si>
    <t>PAVING AND SURFACING</t>
  </si>
  <si>
    <t>Note: Refer to the following:</t>
  </si>
  <si>
    <t>1. V0195-100 DD Al Khail Avenue Specifications</t>
  </si>
  <si>
    <t>2. Hard landscape plan drawing Nr. V0195-TVS-ZZ-GF-DR-L-401 to 409</t>
  </si>
  <si>
    <t>3. Hard landscape schedule drawing Nr. V0195- TVS- ZZ- XX- DR- L- 003</t>
  </si>
  <si>
    <t>4. Landscape paving details drawing Nr. V0195-TVS-ZZ-XX-DR-L-901 to 906</t>
  </si>
  <si>
    <t>Mortar bed; including all ancillary works as necessary</t>
  </si>
  <si>
    <t>30mm thick; to paving areas</t>
  </si>
  <si>
    <t>m²</t>
  </si>
  <si>
    <t>30mm thick; to paving areas to outside plot</t>
  </si>
  <si>
    <t>Sand bed; including all ancillary works as necessary</t>
  </si>
  <si>
    <t>50mm thick; to paving areas</t>
  </si>
  <si>
    <t>50mm thick; to paving areas outside plot</t>
  </si>
  <si>
    <t>Concrete base; including all ancillary works a necessary</t>
  </si>
  <si>
    <t>100mm thick; to paving areas</t>
  </si>
  <si>
    <t>150mm thick; to paving areas outside plot</t>
  </si>
  <si>
    <t>G</t>
  </si>
  <si>
    <t>200mm thick; to paving type P5</t>
  </si>
  <si>
    <t>32</t>
  </si>
  <si>
    <t>Compacted subbase; including all ancillary works a necessary</t>
  </si>
  <si>
    <t>H</t>
  </si>
  <si>
    <t>150mm thick; to paving areas</t>
  </si>
  <si>
    <t>J</t>
  </si>
  <si>
    <t>PAVING AND SURFACING (Cont´d)</t>
  </si>
  <si>
    <t>Compacted aggregate road base coarse; including all ancillary works a necessary</t>
  </si>
  <si>
    <t>Compacted subgrade; including all ancillary works a necessary</t>
  </si>
  <si>
    <t>To paving areas</t>
  </si>
  <si>
    <t>To paving areas outside plot</t>
  </si>
  <si>
    <t>Gravel layer; loose laid, free draining; including all ancillary works as necessary</t>
  </si>
  <si>
    <t>100mm thick; to play area sand type A5 outside plot</t>
  </si>
  <si>
    <t>215</t>
  </si>
  <si>
    <t>Granite paving; including grout mortar, joint and edge treatment and all ancillary works as necessary</t>
  </si>
  <si>
    <t>Paving type EP1; size 600L x 300W x 30mm thick; grey colour; in honed finish</t>
  </si>
  <si>
    <t>Paving type EP1; size 600L x 300W x 30mm thick; grey colour; in honed finish; to outside plot</t>
  </si>
  <si>
    <t>Paving type EP2; size 600L x 300W x 60mm thick; grey colour; in honed finish</t>
  </si>
  <si>
    <t>Pre-cast concrete paving; including grout mortar, joint and edge treatment and all ancillary works as necessary</t>
  </si>
  <si>
    <t>Paving type EP6; size 100L x 100W x 60mm thick; light grey colour; in shotblast finish</t>
  </si>
  <si>
    <t>Paving type P1; size 600L x 150/600W x 60/80/100mm thick; colour to match ID north and south entrance paving type 1; in shotblast finish</t>
  </si>
  <si>
    <t>Paving type P1; size 600L x 150/600W x 60/80/100mm thick; colour to match ID north and south entrance paving type 1; in shotblast finish; to outside plot</t>
  </si>
  <si>
    <t>Paving type P2; size 600L x 150/600W x 60/80/100mm thick; colour to match ID north and south entrance paving type 2; in shotblast finish</t>
  </si>
  <si>
    <t>Paving type P2; size 600L x 150/600W x 60/80/100mm thick; colour to match ID north and south entrance paving type 2; in shotblast finish; to outside plot</t>
  </si>
  <si>
    <t>Paving type P3; size 600L x 150/600W x 60/80/100mm thick; colour to match ID north and south entrance paving type 3; in shotblast finish</t>
  </si>
  <si>
    <t>Paving type P3; size 600L x 150/600W x 60/80/100mm thick; colour to match ID north and south entrance paving type 3; in shotblast finish; to outside plot</t>
  </si>
  <si>
    <t>Paving type P4; size 100L x 100W x 100mm thick; medium grey colour; in shotblast finish</t>
  </si>
  <si>
    <t>Paving type P4; size 100L x 100W x 100mm thick; medium grey colour; in shotblast finish; to outside plot</t>
  </si>
  <si>
    <t>Timber deck; including wooden runners, fixings, accessories and all ancillary works as necessary</t>
  </si>
  <si>
    <t>Paving type P5; 50mm thick; dark brown colour; in natural finish</t>
  </si>
  <si>
    <t>Brushed concrete screed; laid on compacted subbase (measured elsewhere); including reinforcement mesh / bar and all ancillary works as necessary</t>
  </si>
  <si>
    <t>Paving type P6; 85mm thick; pigmented concrete colour; in smooth hand troweled finish; to outside plot</t>
  </si>
  <si>
    <t>143</t>
  </si>
  <si>
    <t>Acrylic coating paint finish; on and including 85mm thick concrete structure; including surface preparation, prime, finish coat and all ancillary works as necessary</t>
  </si>
  <si>
    <t>Type P7; shades of blue colour to match ID north and south paving pattern; to outdoor basketball court; to outside plot</t>
  </si>
  <si>
    <t>Grasscrete; seeded grass with fill medium in 80mm thick terram truckpave cellular system; laid on and including compacted, clean, coarse grit sand bedding layer; terram T1000 geotextile filter, free drainage compacted sub base, terram TX160 geogrid, terram T1000 geotextile and all ancillary works as necessary</t>
  </si>
  <si>
    <t>Paving type P8 (RATE ONLY)</t>
  </si>
  <si>
    <t>Granite banding; including grout mortar, joint and edge treatment and all ancillary works as necessary</t>
  </si>
  <si>
    <t>Banding type EP3; size 600L x 300W x 30mm thick; black colour; in polished finish</t>
  </si>
  <si>
    <t>Banding type EP3; size 600L x 300W x 30mm thick; black colour; in polished finish; to outside plot</t>
  </si>
  <si>
    <t>Banding type EP4; size 600L x 300W x 60mm thick; black colour; in polished finish</t>
  </si>
  <si>
    <t>Banding type EP5; size 500L x 500W x 60mm thick; black colour; in polished finish</t>
  </si>
  <si>
    <t>EPDM play surface; laid to CFH; including fixings, accessories and all ancillary works as necessary</t>
  </si>
  <si>
    <t>Play surface type P12; 20mm thick minimum; in beige / cream colour</t>
  </si>
  <si>
    <t>102</t>
  </si>
  <si>
    <t>Aggregates; including all ancillary works as necessary</t>
  </si>
  <si>
    <t>Aggregate type A2; limestone aggregates; size 25 - 50mm; grey colour; in natural finish; 100mm thick</t>
  </si>
  <si>
    <t>Aggregate type A2; limestone aggregates; size 25 - 50mm; grey colour; in natural finish; 100mm thick; to outside plot</t>
  </si>
  <si>
    <t>251</t>
  </si>
  <si>
    <t>Aggregate type A3; boulders; size 300 - 400mm; grey colour; in natural finish (RATE ONLY)</t>
  </si>
  <si>
    <t>Aggregate type A4; sand; beige / cream colour; in natural finish; 200mm thick</t>
  </si>
  <si>
    <t>16</t>
  </si>
  <si>
    <t>Aggregate type A5; play area sand; beige colour; in natural finish; 450mm thick; to outside plot</t>
  </si>
  <si>
    <t>Aggregate type A6; river washed pebbles; size 30 - 60mm; bidasar colour; in rounded finish; 100mm thick (RATE ONLY)</t>
  </si>
  <si>
    <t>Kerbs; straight; laid on and including concrete haunching, compacted subbase, mortar, formwork, earthworks, backfilling, disposal of surplus excavated material and all ancillary works as necessary</t>
  </si>
  <si>
    <t>Kerb type K2; pre-cast concrete upstand kerb; size 915L x 150W x 300mm thick; dark grey colour; in shotblast finish</t>
  </si>
  <si>
    <t>m</t>
  </si>
  <si>
    <t>Kerb type K2; pre-cast concrete upstand kerb; size 915L x 150W x 300mm thick; dark grey colour; in shotblast finish; to outside plot</t>
  </si>
  <si>
    <t>Kerb type K6; pre-cast concrete flush kerb; size 915L x 150W x 305mm thick; beige colour; in shotblast finish</t>
  </si>
  <si>
    <t>Kerb type K6; pre-cast concrete flush kerb; size 915L x 150W x 305mm thick; beige colour; in shotblast finish; to outside plot</t>
  </si>
  <si>
    <t>Kerb type K7; pre-cast concrete upstand kerb; size 915L x 150W x 305mm thick; beige colour; in shotblast finish</t>
  </si>
  <si>
    <t>11</t>
  </si>
  <si>
    <t>Kerb type K7; pre-cast concrete upstand kerb; size 915L x 150W x 305mm thick; beige colour; in shotblast finish; to outside plot</t>
  </si>
  <si>
    <t>Kerb type K8; pre-cast concrete wheel stop; size 915L x 150W x 305mm thick; beige colour; in honed finish; to outside plot</t>
  </si>
  <si>
    <t>79</t>
  </si>
  <si>
    <t>Kerbs; curved; laid on and including concrete haunching, compacted subbase, mortar, formwork, earthworks, backfilling, disposal of surplus excavated material and all ancillary works as necessary</t>
  </si>
  <si>
    <t>LANDSCAPING</t>
  </si>
  <si>
    <t>2. Soft landscape plan drawing Nr. V0195-TVS-ZZ-GF-DR-L-501 to 511</t>
  </si>
  <si>
    <t>3. Ground floor typical planting detail on ground drawing Nr. V0195- TVS- ZZ- XX- DR- L- 922</t>
  </si>
  <si>
    <t>Planting soil mix; including all ancillary works as necessary</t>
  </si>
  <si>
    <t>500mm depth; to shrubs, grass and groundcovers</t>
  </si>
  <si>
    <t>1500mm depth; to tree pits</t>
  </si>
  <si>
    <t>1,698</t>
  </si>
  <si>
    <t>1500mm depth; to tree pits; to roads</t>
  </si>
  <si>
    <t>64</t>
  </si>
  <si>
    <t>2000mm depth; to palm pits</t>
  </si>
  <si>
    <t>1,224</t>
  </si>
  <si>
    <t>2000mm depth; to palm pits; to roads</t>
  </si>
  <si>
    <t>136</t>
  </si>
  <si>
    <t>Compacted organic bark mulch; including all ancillary works as necessary</t>
  </si>
  <si>
    <t>75mm thick; to shrubs, succulents, climbers, grass and groundcovers</t>
  </si>
  <si>
    <t>75mm thick; to trees and palms</t>
  </si>
  <si>
    <t>1,744</t>
  </si>
  <si>
    <t>75mm thick; to trees and palms; to roads</t>
  </si>
  <si>
    <t>111</t>
  </si>
  <si>
    <t>Capillary break layer; 10-15mm diameter gravel wrapped in geotextile membrane; including all ancillary works as necessary</t>
  </si>
  <si>
    <t>200mm thick; to trees and palms</t>
  </si>
  <si>
    <t>K</t>
  </si>
  <si>
    <t>200mm thick; to trees and palms; to roads</t>
  </si>
  <si>
    <t>LANDSCAPING (Cont´d)</t>
  </si>
  <si>
    <t>Break up base; including all ancillary works as necessary</t>
  </si>
  <si>
    <t>200mm thick; to shrubs</t>
  </si>
  <si>
    <t>300mm thick; to groundcovers</t>
  </si>
  <si>
    <t>Palm trees; including additional earthworks, fertilizer all ancillary works as necessary</t>
  </si>
  <si>
    <t>WR; Washingtonia robusta; overall height of 8.0m, clear trunk 6.0m, spread 3.0m</t>
  </si>
  <si>
    <t>57</t>
  </si>
  <si>
    <t>Nr.</t>
  </si>
  <si>
    <t>WR; Washingtonia robusta; overall height of 8.0m, clear trunk 6.0m, spread 3.0m; to roads</t>
  </si>
  <si>
    <t>17</t>
  </si>
  <si>
    <t>YE; Yucca elephantipes; overall height of 4.0m, clear trunk 1.0-2.0m, spread 3.0m</t>
  </si>
  <si>
    <t>CY; Cyathea spinulosa; overall height of 4.0m, spread 3.0m</t>
  </si>
  <si>
    <t>DTS; Dypsis lutescens; overall height of 6.0m, clear trunk 5.0m single stem, spread 3.0m</t>
  </si>
  <si>
    <t>53</t>
  </si>
  <si>
    <t>DTM; Dypsis lutescens; overall height of 6.0m, clear trunk 5.0m multi stem with min. 3 breaks, spread 3.0m</t>
  </si>
  <si>
    <t>19</t>
  </si>
  <si>
    <t>Trees; including additional earthworks, fertilizer, support system, groundkeeper and all ancillary works as necessary</t>
  </si>
  <si>
    <t>AL; Albizia lebbeck; overall height of 3.5-4.0m, clear trunk 2.0m, spread 2.0-2.5m, girth 600mm</t>
  </si>
  <si>
    <t>4</t>
  </si>
  <si>
    <t>BC; bombax ceiba; overall height of 3.0-3.5m, clear trunk 1.5m, spread 1.5-2.0m, girth 100-150mm</t>
  </si>
  <si>
    <t>12</t>
  </si>
  <si>
    <t>L</t>
  </si>
  <si>
    <t>CF; cassia fistula; overall height of 2.0-2.5m, clear trunk 1.5m, spread 1.5-2.0m, girth 60-70mm</t>
  </si>
  <si>
    <t>15</t>
  </si>
  <si>
    <t>CS; cordia sebestena; overall height of 2.0-2.5m, clear trunk 1.5m, spread 1.5-2.0m, girth 100-150mm</t>
  </si>
  <si>
    <t>38</t>
  </si>
  <si>
    <t>FN; ficus nitida; overall height of 3.5-4.0m, clear trunk 2.0m, spread 2.0-2.5m, girth 600mm</t>
  </si>
  <si>
    <t>FR; ficus religiosa; overall height of 5.0m, clear trunk 2.0m, spread 3.0m, girth 600mm</t>
  </si>
  <si>
    <t>6</t>
  </si>
  <si>
    <t>MH; millingtonia hortensis; overall height of 5.0m, clear trunk 2.0m, spread 3.0m, girth 150mm</t>
  </si>
  <si>
    <t>51</t>
  </si>
  <si>
    <t>OE; Olea europea; overall height of 3.5-4.0m, clear trunk 1.5m, spread 2.0-2.5m, girth 800-1000mm</t>
  </si>
  <si>
    <t>2</t>
  </si>
  <si>
    <t>PA; Parkinsonia aculeata; overall height of 3.0-4.0m, clear trunk 1.0-2.0m, spread 3.0-4.0m, girth 90-100mm</t>
  </si>
  <si>
    <t>24</t>
  </si>
  <si>
    <t>PD; Pithecellobium dulce; overall height of 3.5-4.0m, clear trunk 2.0m, spread 2.0-2.5m, girth 90-100mm</t>
  </si>
  <si>
    <t>9</t>
  </si>
  <si>
    <t>PP; Peltophorum pterocarpum; overall height of 3.5-4.0m, clear trunk 1.8m, spread 2.0-2.5m, girth 90-100mm</t>
  </si>
  <si>
    <t>41</t>
  </si>
  <si>
    <t>PP; Peltophorum pterocarpum; overall height of 3.5-4.0m, clear trunk 1.8m, spread 2.0-2.5m, girth 90-100mm; to roads</t>
  </si>
  <si>
    <t>PO; Plumeria obtusa; overall height of 3.0m, clear trunk 0.5m, spread 2.5m, girth 120-140mm</t>
  </si>
  <si>
    <t>PO; Plumeria obtusa; overall height of 3.0m, clear trunk 0.5m, spread 2.5m, girth 120-140mm; to roads</t>
  </si>
  <si>
    <t>7</t>
  </si>
  <si>
    <t>PG; Pongamia glabra; overall height of 3.0m, clear trunk 1.5m, spread 2.5m, girth 100-120mm</t>
  </si>
  <si>
    <t>PC; Prosopis cineraria; overall height of 4.0-4.5m, clear trunk 2.0m, spread 3.0m, girth 700mm</t>
  </si>
  <si>
    <t>UP; Ulmus parvifolia; overall height of 3.0-3.5m, clear trunk 1.8m, spread 2.0-2.5m, girth 90-100mm</t>
  </si>
  <si>
    <t>TM; terminalia mantaly; overall height of 3.5-4.0m, clear trunk 2.0m, spread 2.5-3.0m, girth 200-250mm</t>
  </si>
  <si>
    <t>Shrubs; including additional earthworks, fertilizer and all ancillary works as necessary</t>
  </si>
  <si>
    <t>DOD vis; Dodonea viscosa; overall height of 0.3-0.4m, spread 0.5-0.6m, spacing 0.5m</t>
  </si>
  <si>
    <t>FIC mic; Ficus microcarpa; overall height of 0.5-0.6m, spread 0.5-0.6m, spacing 0.5m</t>
  </si>
  <si>
    <t>HYM lit; Hymenocallis littoralis; overall height of 0.5-0.6m, spread 0.3m, spacing 0.4m</t>
  </si>
  <si>
    <t>LEU can; Leucophyllum candidum; overall height of 0.5-0.6m, spread 0.5-0.6m, spacing 0.5m</t>
  </si>
  <si>
    <t>PAN vet; Pandanus veitchii; overall height of 0.5-0.6m, spread 0.5-0.6m, spacing 0.5m</t>
  </si>
  <si>
    <t>ZAM fur; Zamia furfuracea; overall height of 0.5m, spread 0.4m, spacing 0.4m</t>
  </si>
  <si>
    <t>Grass, groundcovers and climbers; including additional earthworks, fertilizer and all ancillary works as necessary</t>
  </si>
  <si>
    <t>PEN rub; Pennisetum rubrum; overall height of 0.5m, spread 0.4, spacing 0.4m</t>
  </si>
  <si>
    <t>PEN set; Pennisetum setaceum; overall height of 0.5m, spread 0.4, spacing 0.4m</t>
  </si>
  <si>
    <t>SES por; Sesuvium portulacastrum; overall height of 0.15m, spread 0.2, spacing 0.3m</t>
  </si>
  <si>
    <t>Cycas and succulents; including additional earthworks, fertilizer and all ancillary works as necessary</t>
  </si>
  <si>
    <t>AGA att; Agave attenuata; overall height of 0.4m, spread 0.5 (RATE ONLY)</t>
  </si>
  <si>
    <t>AGA red; Agave edge; overall height of 0.3-0.4m, spread 0.5-0.6m (RATE ONLY)</t>
  </si>
  <si>
    <t>CYC red; Cycas revoluta; overall height of 0.3-0.5m, spread 0.3-0.5m, spacig 0.35m (RATE ONLY)</t>
  </si>
  <si>
    <t>SAN tri; Sansevieria trifasciata; overall height of 0.3-0.5m, spread 0.2-0.3m, spacing 0.30m (RATE ONLY)</t>
  </si>
  <si>
    <t>YUC fil; Yucca filamentosa; overall height of 1.0m, spread 0.6-0.9m, spacing 0.8m (RATE ONLY)</t>
  </si>
  <si>
    <t>Sundries</t>
  </si>
  <si>
    <t>Proprietary platipus anchoring system; including all ancillary works as necessary</t>
  </si>
  <si>
    <t>To trees and palms</t>
  </si>
  <si>
    <t>656</t>
  </si>
  <si>
    <t>To trees and palms; to roads</t>
  </si>
  <si>
    <t>36</t>
  </si>
  <si>
    <t>GENERALLY</t>
  </si>
  <si>
    <t>Allow for any other works which are not included above and which are required to complete the Site Work in accordance with the Specification and the drawings (Tenderer to list below):</t>
  </si>
  <si>
    <t>COLLECTION</t>
  </si>
  <si>
    <t>Page 5/B/1</t>
  </si>
  <si>
    <t>Page 5/B/2</t>
  </si>
  <si>
    <t>Page 5/B/3</t>
  </si>
  <si>
    <t>Page 5/B/4</t>
  </si>
  <si>
    <t>Page 5/B/5</t>
  </si>
  <si>
    <t>Page 5/B/6</t>
  </si>
  <si>
    <t>Page 5/B/7</t>
  </si>
  <si>
    <t>Page 5/B/8</t>
  </si>
  <si>
    <t>Page 5/B/9</t>
  </si>
  <si>
    <t>Page 5/B/10</t>
  </si>
  <si>
    <t>Page 5/B/11</t>
  </si>
  <si>
    <t>Page 5/B/12</t>
  </si>
  <si>
    <t>Page 5/B/13</t>
  </si>
  <si>
    <t>Page 5/B/14</t>
  </si>
  <si>
    <t>Page 5/B/15</t>
  </si>
  <si>
    <t>Carried To Summary</t>
  </si>
  <si>
    <t>CONCRETE WORK</t>
  </si>
  <si>
    <t>REINFORCED CONCRETE</t>
  </si>
  <si>
    <t>1. Typical wall details drawing Nr. V0195- TVS- ZZ- XX- DR- L- 907 to 908</t>
  </si>
  <si>
    <t>Reinforced concrete; compressive strength 60 MPa with cement type CEM I+GGBS</t>
  </si>
  <si>
    <t>Walls</t>
  </si>
  <si>
    <t>Walls; to outside plot</t>
  </si>
  <si>
    <t>39</t>
  </si>
  <si>
    <t>Steps</t>
  </si>
  <si>
    <t>21</t>
  </si>
  <si>
    <t>Reinforcement; high yield deformed type 2; 460N/mm2; shall comply to ASTM 615 or BS4449</t>
  </si>
  <si>
    <t>Walls; various diameters</t>
  </si>
  <si>
    <t>Walls; various diameters (RATE ONLY)</t>
  </si>
  <si>
    <t>t</t>
  </si>
  <si>
    <t>Steps; various diameters</t>
  </si>
  <si>
    <t>Steps; various diameters (RATE ONLY)</t>
  </si>
  <si>
    <t>Shuttering; including supports, finish and all ancillary works as necessary</t>
  </si>
  <si>
    <t>Sides of walls; straight</t>
  </si>
  <si>
    <t>384</t>
  </si>
  <si>
    <t>Sides of  walls; straight; to outside plot</t>
  </si>
  <si>
    <t>110</t>
  </si>
  <si>
    <t>Sides of  walls; curved</t>
  </si>
  <si>
    <t>599</t>
  </si>
  <si>
    <t>Sides of  walls; curved; to outside plot</t>
  </si>
  <si>
    <t>406</t>
  </si>
  <si>
    <t>M</t>
  </si>
  <si>
    <t>Allow for any other works which are not included above and which are required to complete the Concrete Work in accordance with the Specification and the drawings (Tenderer to list below):</t>
  </si>
  <si>
    <t>Page 5/C/1</t>
  </si>
  <si>
    <t>Page 5/C/2</t>
  </si>
  <si>
    <t>THERMAL AND MOISTURE PROTECTION</t>
  </si>
  <si>
    <t>DAMP PROOFING</t>
  </si>
  <si>
    <t>Polythene separation layer; including all ancillary works as necessary</t>
  </si>
  <si>
    <t>Laid horizontally; to paving type 6 and 7 outside plot</t>
  </si>
  <si>
    <t>596</t>
  </si>
  <si>
    <t>Permeable geotextile membrane; including all ancillary works as necessary</t>
  </si>
  <si>
    <t>Laid horizontally; to play area sand type A5 outside plot</t>
  </si>
  <si>
    <t>Geotextile membrane; including all ancillary works as necessary</t>
  </si>
  <si>
    <t>Laid horizontally; to limestone aggregates type A2</t>
  </si>
  <si>
    <t>Laid horizontally; to limestone aggregates type A2 outside plot</t>
  </si>
  <si>
    <t>Non-woven geotextile membrane 160N; including all ancillary works as necessary</t>
  </si>
  <si>
    <t>6,975</t>
  </si>
  <si>
    <t>443</t>
  </si>
  <si>
    <t>Allow for any other works which are not included above and which are required to complete the Thermal and Moisture Protection in accordance with the Specification and the drawings (Tenderer to list below):</t>
  </si>
  <si>
    <t>Page 5/G/1</t>
  </si>
  <si>
    <t>Page 5/G/2</t>
  </si>
  <si>
    <t>FINISHES</t>
  </si>
  <si>
    <t>FINISHINGS</t>
  </si>
  <si>
    <t>Granite tiles; render on cement and sand plaster (measured separately); including surface preparation, prime, finish coat and all ancillary works as necessary</t>
  </si>
  <si>
    <t>Size 600L x 400W x 20mm thick; grey colour; in polished finish; to wall cladding</t>
  </si>
  <si>
    <t>169</t>
  </si>
  <si>
    <t>Size 400L x 200W x 30mm thick; grey colour; in polished finish; to coping</t>
  </si>
  <si>
    <t>106</t>
  </si>
  <si>
    <t>Reconstituted stone steps;  type S2; white colour; in honed finish; including fixings,  accessories and all ancillary works as necessary</t>
  </si>
  <si>
    <t>Threads; 300mm wide</t>
  </si>
  <si>
    <t>Threads 450mm wide</t>
  </si>
  <si>
    <t>Riser; 150mm high</t>
  </si>
  <si>
    <t>54</t>
  </si>
  <si>
    <t>Allow for any other works which are not included above and which are required to complete the Finishes in accordance with the Specification and the drawings (Tenderer to list below):</t>
  </si>
  <si>
    <t>Page 5/J/1</t>
  </si>
  <si>
    <t>Page 5/J/2</t>
  </si>
  <si>
    <t>ACCESSORIES</t>
  </si>
  <si>
    <t>PARKING ACCESSORIES</t>
  </si>
  <si>
    <t>Parking accessories; including all ancillary works as necessary</t>
  </si>
  <si>
    <t>Single parking space; 2800 x 5500mm</t>
  </si>
  <si>
    <t>44</t>
  </si>
  <si>
    <t>WALLS AND SEATINGS</t>
  </si>
  <si>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t>
  </si>
  <si>
    <t>Wall type W3; 200mm wide x 645 - 1095mm high; to planters; straight</t>
  </si>
  <si>
    <t>30</t>
  </si>
  <si>
    <t>Wall type W3; 200mm wide x 645 - 1095mm high; to planters; curved</t>
  </si>
  <si>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t>
  </si>
  <si>
    <t>Wall type W4; 200mm wide x 200mm high; straight</t>
  </si>
  <si>
    <t>Wall type W4; 200mm wide x 200mm high; curved</t>
  </si>
  <si>
    <t>Wall type W4; 200mm wide x 200mm high; straight outside plot</t>
  </si>
  <si>
    <t>Wall type W4; 200mm wide x 200mm high; curved outside plot</t>
  </si>
  <si>
    <t>WALLS AND SEATINGS (Cont´d)</t>
  </si>
  <si>
    <t>Bespoke modular radial reconstituted stone amphitheater steps; white colour; in honed finish; including finishes, concrete, strip light cove (measured elsewhere), SS316L anchoring pin with epoxy, fixings, waterproofing, accessories and all ancillary works as necessary</t>
  </si>
  <si>
    <t>Seating type S3</t>
  </si>
  <si>
    <t>Allow for any other works which are not included above and which are required to complete the Accessories in accordance with the Specification and the drawings (Tenderer to list below):</t>
  </si>
  <si>
    <t>Page 5/K/1</t>
  </si>
  <si>
    <t>Page 5/K/2</t>
  </si>
  <si>
    <t>Page 5/K/3</t>
  </si>
  <si>
    <t>Page 5/K/4</t>
  </si>
  <si>
    <t>FURNISHINGS</t>
  </si>
  <si>
    <t>SITE FURNITURE</t>
  </si>
  <si>
    <t>Site furniture; including all ancillary works as necessary</t>
  </si>
  <si>
    <t>External</t>
  </si>
  <si>
    <t>F1: Bollards</t>
  </si>
  <si>
    <t>199</t>
  </si>
  <si>
    <t>F2: Bollards (Removable)</t>
  </si>
  <si>
    <t>F3: Climbing play structure 1</t>
  </si>
  <si>
    <t>1</t>
  </si>
  <si>
    <t>F4: Climbing play structure 2</t>
  </si>
  <si>
    <t>F5: Cycle stand</t>
  </si>
  <si>
    <t>F6: Handrail; 900mm high</t>
  </si>
  <si>
    <t>62</t>
  </si>
  <si>
    <t>F7: Litter bins</t>
  </si>
  <si>
    <t>F8: Precast concrete pots</t>
  </si>
  <si>
    <t>20</t>
  </si>
  <si>
    <t>F9: Precast concrete timber clad seat; 650mm wide</t>
  </si>
  <si>
    <t>F10: Recycle bins</t>
  </si>
  <si>
    <t>F11: Sculptural planting feature</t>
  </si>
  <si>
    <t>3</t>
  </si>
  <si>
    <t>F12: Shade structure</t>
  </si>
  <si>
    <t>N</t>
  </si>
  <si>
    <t>F13: Safety gate</t>
  </si>
  <si>
    <t>Allow for any other works which are not included above and which are required to complete the Furnishings in accordance with the Specification and the drawings (Tenderer to list below):</t>
  </si>
  <si>
    <t>Page 5/M/1</t>
  </si>
  <si>
    <t>Page 5/M/2</t>
  </si>
  <si>
    <t>MECHANICAL ENGINEERING INSTALLATIONS</t>
  </si>
  <si>
    <t>IRRIGATION SYSTEM</t>
  </si>
  <si>
    <t>uPVC pipe irrigation duct; including excavation, backfilling, ropes, and all ancillary works as necessary</t>
  </si>
  <si>
    <t>Duct uPVC pipe - size 50mm diameter</t>
  </si>
  <si>
    <t>308</t>
  </si>
  <si>
    <t>Duct uPVC pipe - size 75mm diameter</t>
  </si>
  <si>
    <t>152</t>
  </si>
  <si>
    <t>Duct uPVC pipe - size 110mm diameter</t>
  </si>
  <si>
    <t>107</t>
  </si>
  <si>
    <t>Duct uPVC pipe - size 160mm diameter</t>
  </si>
  <si>
    <t>34</t>
  </si>
  <si>
    <t>Pipe specialties/accessories; including all related fixing materials and ancillary works as necessary</t>
  </si>
  <si>
    <t>Drip solenoid valve (DV1) - size 2" diameter</t>
  </si>
  <si>
    <t>Drip solenoid valve (DV1a) - size 2" diameter</t>
  </si>
  <si>
    <t>Drip solenoid valve (DV2) - size 2" diameter</t>
  </si>
  <si>
    <t>Drip solenoid valve (DV3) - size 2" diameter</t>
  </si>
  <si>
    <t>Drip solenoid valve (DV4) - size 2" diameter</t>
  </si>
  <si>
    <t>Drip solenoid valve (DV5) - size 2" diameter</t>
  </si>
  <si>
    <t>Drip solenoid valve (DV6) - size 2" diameter</t>
  </si>
  <si>
    <t>Drip solenoid valve (DV7) - size 1.5" diameter</t>
  </si>
  <si>
    <t>Drip solenoid valve (DV8) - size 2" diameter</t>
  </si>
  <si>
    <t>P</t>
  </si>
  <si>
    <t>Drip solenoid valve (DV9) - size 2" diameter</t>
  </si>
  <si>
    <t>Q</t>
  </si>
  <si>
    <t>Drip solenoid valve (DV10) - size 2" diameter</t>
  </si>
  <si>
    <t>R</t>
  </si>
  <si>
    <t>Drip solenoid valve (DV11) - size 2" diameter</t>
  </si>
  <si>
    <t>S</t>
  </si>
  <si>
    <t>Drip solenoid valve (DV12) - size 2" diameter</t>
  </si>
  <si>
    <t>IRRIGATION SYSTEM (Cont´d)</t>
  </si>
  <si>
    <t>Sprinkler solenoid valve (SV01) - size 2" diameter</t>
  </si>
  <si>
    <t>Sprinkler solenoid valve (SV02) - size 2" diameter</t>
  </si>
  <si>
    <t>Sprinkler solenoid valve (SV02) - size 1.5" diameter</t>
  </si>
  <si>
    <t>Quick coupling - size 2" diameter</t>
  </si>
  <si>
    <t>Air/vacuum valve</t>
  </si>
  <si>
    <t>Flush valve</t>
  </si>
  <si>
    <t>Drip irrigation accessories; including compression fittings, spike, and all related fixing materials as necessary</t>
  </si>
  <si>
    <t>Drip riser for palm</t>
  </si>
  <si>
    <t>91</t>
  </si>
  <si>
    <t>Drip riser for shrub and ground cover</t>
  </si>
  <si>
    <t>320</t>
  </si>
  <si>
    <t>Drip riser for trees</t>
  </si>
  <si>
    <t>MP rotator - full circle</t>
  </si>
  <si>
    <t>MP rotator - half circle</t>
  </si>
  <si>
    <t>Sprayer - full circle</t>
  </si>
  <si>
    <t>Pull box</t>
  </si>
  <si>
    <t>29</t>
  </si>
  <si>
    <t>Allow for connection to the nearest electrical power supply including cables, conduits, terminations and all ancillary works as necessary</t>
  </si>
  <si>
    <t>DRAINAGE INSTALLATION</t>
  </si>
  <si>
    <t>1) Drawing Nr. D-12200 to D-12259, D-13100 to D-13110 and 3D View Al-Khail R20 Plumb; all inclusive</t>
  </si>
  <si>
    <t>2) Drainage general notes, symbols and legends and Drainage equipment schedule Drawing Nr. D-09102 and D-00050</t>
  </si>
  <si>
    <t>3) Al Khail Avenue Mall Redevelopment - Mechanical Specification dated March 28, 2022</t>
  </si>
  <si>
    <t>uPVC pipework; including fittings, supports and ancillary work as necessary</t>
  </si>
  <si>
    <t>Rainwater pipework</t>
  </si>
  <si>
    <t>110mm diameter</t>
  </si>
  <si>
    <t>43</t>
  </si>
  <si>
    <t>150mm diameter</t>
  </si>
  <si>
    <t>66</t>
  </si>
  <si>
    <t>250mm diameter</t>
  </si>
  <si>
    <t>Waste pipework</t>
  </si>
  <si>
    <t>100mm diameter</t>
  </si>
  <si>
    <t>89</t>
  </si>
  <si>
    <t>81</t>
  </si>
  <si>
    <t>200mm diameter</t>
  </si>
  <si>
    <t>Soil pipework</t>
  </si>
  <si>
    <t>69</t>
  </si>
  <si>
    <t>23</t>
  </si>
  <si>
    <t>DRAINAGE INSTALLATION (Cont´d)</t>
  </si>
  <si>
    <t>Vent pipework</t>
  </si>
  <si>
    <t>80mm diameter</t>
  </si>
  <si>
    <t>18</t>
  </si>
  <si>
    <t>Excavating of trenches for drainage below ground complete including earthwork support, backfilling with selected material, disposal of surplus material and all necessary works</t>
  </si>
  <si>
    <t>Not exceeding 3000mm depth</t>
  </si>
  <si>
    <t>222</t>
  </si>
  <si>
    <t>113</t>
  </si>
  <si>
    <t>Beds and surround</t>
  </si>
  <si>
    <t>Manholes and gully trap; complete; including cover, reinforced concrete works, excavation and all ancillary works as necessary</t>
  </si>
  <si>
    <t>Gully trap 600 x 600mm</t>
  </si>
  <si>
    <t>Manhole 600 x 600mm</t>
  </si>
  <si>
    <t>Manhole 900 x 900mm</t>
  </si>
  <si>
    <t>Manhole 1000 x 1000mm</t>
  </si>
  <si>
    <t>5</t>
  </si>
  <si>
    <t>Circular manhole 160mm dia</t>
  </si>
  <si>
    <t>Allow for any other works which are not included above and which are required to complete the Irrigation system in accordance with the Specification and the Drawings (Tenderer to list below):</t>
  </si>
  <si>
    <t>Page 5/Q/1</t>
  </si>
  <si>
    <t>Page 5/Q/2</t>
  </si>
  <si>
    <t>Page 5/Q/3</t>
  </si>
  <si>
    <t>Page 5/Q/4</t>
  </si>
  <si>
    <t>Page 5/Q/5</t>
  </si>
  <si>
    <t>Page 5/Q/6</t>
  </si>
  <si>
    <t>ELECTRICAL ENGINEERING INSTALLATIONS</t>
  </si>
  <si>
    <t>POWER INSTALLATION</t>
  </si>
  <si>
    <t>1) Drawing Nr. E-00003 to 10200 and E-12556 to 12634; all inclusive</t>
  </si>
  <si>
    <t>2) Al Khail Avenue Mall Redevelopment Electrical Specifications dated March 28, 2022</t>
  </si>
  <si>
    <t>XLPE cables including earth connectivity conductor cables, terminations, lugs, supports and all ancillary work</t>
  </si>
  <si>
    <t>1 x 2C x 35mm² CU/XLPE/SWA/LSOH + 1 x 1C x 25mm² CU/LSOH ECC</t>
  </si>
  <si>
    <t>From SMDB-S-05-G01 to e01 signage isolator</t>
  </si>
  <si>
    <t>1 x 4C x 10mm² CU/XLPE/SWA/LSOH + 1 x 1C x 10mm² CU/LSOH ECC</t>
  </si>
  <si>
    <t>From SMDB-S-05-G01 to electric vehicle charger isolator</t>
  </si>
  <si>
    <t>1 x 4mm² CCT + 1 x 4mm² RCC</t>
  </si>
  <si>
    <t>From DB-S-01-G01 to 20A SP weatherproof isolator for signage</t>
  </si>
  <si>
    <t>From DB-S-04-G01 to 20A SP weatherproof isolator for signage</t>
  </si>
  <si>
    <t>From DB-S-04-G04 to 20A SP weatherproof isolator for signage</t>
  </si>
  <si>
    <t>Allow for cable from FP-07 to isolator for sump pump</t>
  </si>
  <si>
    <t>Allow for cable from SMDB-S-01-G01 to 63A SP isolator for signage</t>
  </si>
  <si>
    <t>Allow for cable from SMDB-S-01-G01 to isolator for electric vehicle charger</t>
  </si>
  <si>
    <t>POWER INSTALLATION (Cont´d)</t>
  </si>
  <si>
    <t>MV trench; including excavation, backfilling, fitting, formworks, supports, necessary accessories and all ancillary work as necessary</t>
  </si>
  <si>
    <t>MV trench with accessible cover</t>
  </si>
  <si>
    <t>Ducts; including trench excavation, backfilling, fitting, supports, necessary accessories and all ancillary work as necessary</t>
  </si>
  <si>
    <t>2 x 150mm diameter uPVC duct</t>
  </si>
  <si>
    <t>45</t>
  </si>
  <si>
    <t>150mm diameter uPVC duct</t>
  </si>
  <si>
    <t>100mm concrete encased duct</t>
  </si>
  <si>
    <t>Manholes; including excavation, backfilling, fitting, supports, necessary accessories and all ancillary work as necessary</t>
  </si>
  <si>
    <t>Size 600 x 600mm</t>
  </si>
  <si>
    <t>Road crossing cable protection and all ancillary works as necessary</t>
  </si>
  <si>
    <t>150mm 2 way road crossing encasement</t>
  </si>
  <si>
    <t>150mm 4 way road crossing encasement</t>
  </si>
  <si>
    <t>Allow for tie-in connection and all ancillary works as necessary</t>
  </si>
  <si>
    <t>Equipment; including supports and all ancillary work as necessary</t>
  </si>
  <si>
    <t>Feeder pillar</t>
  </si>
  <si>
    <t>FP-04; TCL = 25.84kW</t>
  </si>
  <si>
    <t>FP-05: TCL = 0.82kW</t>
  </si>
  <si>
    <t>FP-07; TCL = 1.56kW</t>
  </si>
  <si>
    <t>Isolating switch</t>
  </si>
  <si>
    <t>20A SP weather proof isolator</t>
  </si>
  <si>
    <t>63A SP weather proof isolator</t>
  </si>
  <si>
    <t>100A SP weatherproof isolator</t>
  </si>
  <si>
    <t>40A TP weatherproof isolator</t>
  </si>
  <si>
    <t>Sump pump isolator</t>
  </si>
  <si>
    <t>15kW electric vehicle charger isolator</t>
  </si>
  <si>
    <t>Small power</t>
  </si>
  <si>
    <t>Final sub-circuits and all ancillary installations complete; including cabling, containment and terminations as necessary (primary containment measured elsewhere)</t>
  </si>
  <si>
    <t>Connection unit points</t>
  </si>
  <si>
    <t>Vehicle charger points</t>
  </si>
  <si>
    <t>Accessories; including fixings, supports, hangers and all ancillary works as necessary</t>
  </si>
  <si>
    <t>Connection unit, weatherproof</t>
  </si>
  <si>
    <t>Connection unit, weatherproof floor mounted</t>
  </si>
  <si>
    <t>14</t>
  </si>
  <si>
    <t>Electric vehicle charger</t>
  </si>
  <si>
    <t>LIGHTING INSTALLATION</t>
  </si>
  <si>
    <t>1) Drawing Nr. E-00010, E-00300 and AKA-CDM-ZZ-LS-DR-LT-300 to ZH-LS-DR-LT-300H; all inclusive</t>
  </si>
  <si>
    <t>2) Lighting Fixture Schedule- Landscape dated September 16, 2021 and Lighting Fixture Control Schedule- Landscape dated March 30, 2022</t>
  </si>
  <si>
    <t>3) Lighting Fixture Schedule - Interior dated March 30, 2022 and Lighting Fixture Control Schedule- Interior dated April 1, 2022</t>
  </si>
  <si>
    <t>Final sub-circuits and auxiliary installations complete; including cabling, containment and terminations as necessary</t>
  </si>
  <si>
    <t>Landscape light points</t>
  </si>
  <si>
    <t>963</t>
  </si>
  <si>
    <t>Landscape linear light points</t>
  </si>
  <si>
    <t>2,504</t>
  </si>
  <si>
    <t>Light fittings; including fixings, supports, hangers and all ancillary works as necessary</t>
  </si>
  <si>
    <t>Type LL1; 14W adjustable outdoor rated spike light, 25 beam angle, 3000K, 862 lm, CRI 90, IP66 rating</t>
  </si>
  <si>
    <t>Type LL2; 14W adjustable outdoor rated spike light, 37 beam angle, 3000K, 862 lm, CRI 90, IP66 rating</t>
  </si>
  <si>
    <t>660</t>
  </si>
  <si>
    <t>Type LL3; 5Wuplights on bollards, 284 lm, IP68 rating</t>
  </si>
  <si>
    <t>Type LL4; 12W light bollard, 1032 lm, IP65 rating</t>
  </si>
  <si>
    <t>10</t>
  </si>
  <si>
    <t>Type LL5; 11.5W/m LED tapelight under the skirting and benches, 600 lm/m, IP67 rating</t>
  </si>
  <si>
    <t>LIGHTING INSTALLATION (Cont´d)</t>
  </si>
  <si>
    <t>Type LL6; 18W floor recessed uplights, 2301 lm, IP66 rating</t>
  </si>
  <si>
    <t>Type LL7; 7W spike light for shrubs, 374 lm, IP66 rating</t>
  </si>
  <si>
    <t>Type LL8; 49W pedestrian pole light, 7654 lm, IP65 rating</t>
  </si>
  <si>
    <t>83</t>
  </si>
  <si>
    <t>Type LL8A; 189W pedestrian pole light with 4 RGBW projectors, 14854 lm, IP65 rating</t>
  </si>
  <si>
    <t>Type LL9; 6W underwater uplights, 3000K, 450 lm, IP68 rating</t>
  </si>
  <si>
    <t>Type LL10; 96W 8m high pole 4x projectors, 1800 lm, IP67 rating</t>
  </si>
  <si>
    <t>Type LL11; 35W RGBW projectors, 1800 lm, IP66 rating</t>
  </si>
  <si>
    <t>Type  LL12; 10W surface mounted projector on car park structure, 3000K, 653 lm, IP54 rating</t>
  </si>
  <si>
    <t>SECURITY SYSTEM INSTALLATION</t>
  </si>
  <si>
    <t>1) Drawing Nr. E-00003 to 00012, E-12785 to 12844; all inclusive</t>
  </si>
  <si>
    <t>Camera points</t>
  </si>
  <si>
    <t>78</t>
  </si>
  <si>
    <t>Pole mounted ANPR camera, detection; Ref: T5 PD</t>
  </si>
  <si>
    <t>Wall mounted ANPR camera, detection; Ref: T5 WD</t>
  </si>
  <si>
    <t>Wall mounted outdoor dome camera, detection; Ref: T7 WD</t>
  </si>
  <si>
    <t>22</t>
  </si>
  <si>
    <t>Wall mounted outdoor dome camera, recognition; Ref: T7 WR</t>
  </si>
  <si>
    <t>SUNDRIES</t>
  </si>
  <si>
    <t>Allow for all connections to mains services</t>
  </si>
  <si>
    <t>Allow for all supports, fixings, anchors and insulating blocks where not included above or elsewhere</t>
  </si>
  <si>
    <t>Allow for all identification including painting, marking and labeling</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</si>
  <si>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</si>
  <si>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Allow for providing in suitable quantities all special tools, operating handles and keys or other equipment necessary for installation, maintenance or operation of the completed installation</t>
  </si>
  <si>
    <t>Allow for providing comprehensive equipment documentation including operating instructions and maintenance manuals, record documents, warranties, guarantees, drawings and the like</t>
  </si>
  <si>
    <t>WORK INCIDENTAL AND BWIC</t>
  </si>
  <si>
    <t>Work Incidental to Electrical Engineering Installations</t>
  </si>
  <si>
    <t>Allow for planning and coordinating with relevant statutory authorities and with all other trades</t>
  </si>
  <si>
    <t>Allow for liaison with obtaining approvals and attendance on DEWA, other statutory bodies and service providers as required</t>
  </si>
  <si>
    <t>Allow for marking the positions of and cutting or forming holes, mortices, chases or the like and all making good</t>
  </si>
  <si>
    <t>Allow for supplying and fixing all brackets, clamps and other fixing devices including building in or cutting and pinning and all making good</t>
  </si>
  <si>
    <t>Allow for all incidental work including factory finishing, fixing to all backgrounds by appropriate means and all making good</t>
  </si>
  <si>
    <t>Allow for training the Employer's Staff to operate and maintain the Electrical Engineering Installations</t>
  </si>
  <si>
    <t>Allow for all incidental work to the Electrical Engineering Installations where not included above or elsewhere</t>
  </si>
  <si>
    <t>Builders work in connection (BWIC) with Electrical Engineering Installations</t>
  </si>
  <si>
    <t>Allow for all BWIC with Electrical Engineering Installations where not included above or elsewhere</t>
  </si>
  <si>
    <t>Allow for any other works which are not included above and which are required to complete the Electrical Engineering Installations in accordance with the Specification and the drawings (Tenderer to list below):</t>
  </si>
  <si>
    <t>Page 5/R/1</t>
  </si>
  <si>
    <t>Page 5/R/2</t>
  </si>
  <si>
    <t>Page 5/R/3</t>
  </si>
  <si>
    <t>Page 5/R/4</t>
  </si>
  <si>
    <t>Page 5/R/5</t>
  </si>
  <si>
    <t>Page 5/R/6</t>
  </si>
  <si>
    <t>Page 5/R/7</t>
  </si>
  <si>
    <t>Page 5/R/8</t>
  </si>
  <si>
    <t>Page 5/R/9</t>
  </si>
  <si>
    <t>Page Nr.</t>
  </si>
  <si>
    <t>Amount 
AED</t>
  </si>
  <si>
    <t>SUMMARY</t>
  </si>
  <si>
    <t>5/B/1 - 5/B/15</t>
  </si>
  <si>
    <t>5/C/1 - 5/C/2</t>
  </si>
  <si>
    <t>5/G/1 - 5/G/2</t>
  </si>
  <si>
    <t>5/J/1 - 5/J/2</t>
  </si>
  <si>
    <t>5/K/1 - 5/K/4</t>
  </si>
  <si>
    <t>5/M/1 - 5/M/2</t>
  </si>
  <si>
    <t>5/Q1/1 - 5/Q1/6</t>
  </si>
  <si>
    <t>5/R/1 - 5/R/9</t>
  </si>
  <si>
    <t>TOTAL FOR BILL NO. 5 - EXTERNAL WORKS</t>
  </si>
  <si>
    <t>TO MAIN SUMMARY</t>
  </si>
  <si>
    <t>EXTERNAL WORKS</t>
  </si>
  <si>
    <t>Rate only</t>
  </si>
  <si>
    <t>Variance in quantity following in-house Quantity Take Off</t>
  </si>
  <si>
    <t>item</t>
  </si>
  <si>
    <t/>
  </si>
  <si>
    <t>Parking Shades</t>
  </si>
  <si>
    <t>Structural Steel frame to receive solar panels (by Others) including protective coating, concrete foundations etc.</t>
  </si>
  <si>
    <t>Included</t>
  </si>
  <si>
    <t>Removal of existing cable concrete trench</t>
  </si>
  <si>
    <t xml:space="preserve">EARTHWORKS
</t>
  </si>
  <si>
    <t>Paving type P8</t>
  </si>
  <si>
    <t>Not used as clarified</t>
  </si>
  <si>
    <t xml:space="preserve">Aggregate type A6; river washed pebbles; size 30 - 60mm; bidasar colour; in rounded finish; 100mm thick </t>
  </si>
  <si>
    <t>Part of Provisional Sum (Bill No.6) as clarified</t>
  </si>
  <si>
    <t>BWIC</t>
  </si>
  <si>
    <t>Builder's work in connection (BWIC) with Mechanical Engineering Installations</t>
  </si>
  <si>
    <t>Refer to Bill No. 6 - Provisional Sum</t>
  </si>
  <si>
    <t xml:space="preserve">Aggregate type A3; boulders; size 300 - 400mm; grey colour; in natural finish </t>
  </si>
  <si>
    <t>N/A - Refer to PTC-09 Item 38</t>
  </si>
  <si>
    <t xml:space="preserve">AGA att; Agave attenuata; overall height of 0.4m, spread 0.5 </t>
  </si>
  <si>
    <t xml:space="preserve">AGA red; Agave edge; overall height of 0.3-0.4m, spread 0.5-0.6m </t>
  </si>
  <si>
    <t xml:space="preserve">CYC red; Cycas revoluta; overall height of 0.3-0.5m, spread 0.3-0.5m, spacig 0.35m </t>
  </si>
  <si>
    <t xml:space="preserve">SAN tri; Sansevieria trifasciata; overall height of 0.3-0.5m, spread 0.2-0.3m, spacing 0.30m </t>
  </si>
  <si>
    <t xml:space="preserve">YUC fil; Yucca filamentosa; overall height of 1.0m, spread 0.6-0.9m, spacing 0.8m </t>
  </si>
  <si>
    <t>Deleted - Refer to PTC-18 Item 4</t>
  </si>
  <si>
    <t>Hard Landscaping</t>
  </si>
  <si>
    <t>Seating type S3; 100mm wide x 450mm high, curved</t>
  </si>
  <si>
    <t>PRELIMINARIES</t>
  </si>
  <si>
    <t>Preliminaries for MEP Works within Bill No. 5 Section Q</t>
  </si>
  <si>
    <t>VE Ref.</t>
  </si>
  <si>
    <t>** VE Reference "EM-" denotes items raised by Client in the VE Schedule</t>
  </si>
  <si>
    <t>EM-16</t>
  </si>
  <si>
    <t>EM-50</t>
  </si>
  <si>
    <t>Preliminaries for MEP Works within Bill No. 5 Section R</t>
  </si>
  <si>
    <t xml:space="preserve">Excavation; including earthwork support and all necessary works  
</t>
  </si>
  <si>
    <t xml:space="preserve">Disposal; to approved locations and all ancillary works as necessary 
</t>
  </si>
  <si>
    <t>EM-65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</si>
</sst>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u/>
      <sz val="11"/>
      <name val="Arial"/>
      <family val="2"/>
    </font>
    <font>
      <sz val="11"/>
      <color theme="1"/>
      <name val="Calibri"/>
      <family val="2"/>
      <scheme val="minor"/>
    </font>
    <font>
      <sz val="11"/>
      <color theme="1"/>
      <name val="Arial"/>
      <family val="2"/>
    </font>
    <font>
      <sz val="11"/>
      <color indexed="8"/>
      <name val="Arial"/>
      <family val="2"/>
    </font>
    <font>
      <u/>
      <sz val="11"/>
      <color indexed="8"/>
      <name val="Arial"/>
      <family val="2"/>
    </font>
    <font>
      <b/>
      <sz val="11"/>
      <name val="Arial"/>
      <family val="2"/>
    </font>
    <font>
      <sz val="11"/>
      <color rgb="FFFF0000"/>
      <name val="Arial"/>
      <family val="2"/>
    </font>
    <font>
      <sz val="10"/>
      <color theme="0"/>
      <name val="Arial"/>
      <family val="2"/>
    </font>
    <font>
      <b/>
      <sz val="9"/>
      <color theme="0"/>
      <name val="Arial"/>
      <family val="2"/>
    </font>
    <font>
      <sz val="9"/>
      <name val="Arial"/>
      <family val="2"/>
    </font>
    <font>
      <sz val="10"/>
      <color theme="1"/>
      <name val="Arial"/>
      <family val="2"/>
    </font>
    <font>
      <u/>
      <sz val="11"/>
      <color rgb="FF000000"/>
      <name val="Arial"/>
      <family val="2"/>
    </font>
    <font>
      <sz val="11"/>
      <color rgb="FF000000"/>
      <name val="Arial"/>
      <family val="2"/>
    </font>
    <font>
      <sz val="8"/>
      <name val="Arial"/>
      <family val="2"/>
    </font>
    <font>
      <sz val="10"/>
      <name val="Arial"/>
      <family val="2"/>
    </font>
    <font>
      <b/>
      <sz val="10"/>
      <color rgb="FFFF0000"/>
      <name val="Arial"/>
      <family val="2"/>
    </font>
    <font>
      <b/>
      <sz val="11"/>
      <color theme="1"/>
      <name val="Calibri"/>
      <family val="2"/>
      <scheme val="minor"/>
    </font>
    <font>
      <strike/>
      <sz val="11"/>
      <color rgb="FF000000"/>
      <name val="Arial"/>
      <family val="2"/>
    </font>
    <font>
      <strike/>
      <sz val="11"/>
      <name val="Arial"/>
      <family val="2"/>
    </font>
    <font>
      <i/>
      <sz val="10"/>
      <color rgb="FFFF0000"/>
      <name val="Arial"/>
      <family val="2"/>
    </font>
    <font>
      <i/>
      <sz val="11"/>
      <color rgb="FFFF0000"/>
      <name val="Arial"/>
      <family val="2"/>
    </font>
    <font>
      <strike/>
      <sz val="10"/>
      <name val="Arial"/>
      <family val="2"/>
    </font>
    <font>
      <strike/>
      <sz val="11"/>
      <color rgb="FFFF000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thin">
        <color auto="1"/>
      </left>
      <right/>
      <top/>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auto="1"/>
      </right>
      <top/>
      <bottom style="thin">
        <color auto="1"/>
      </bottom>
      <diagonal/>
    </border>
  </borders>
  <cellStyleXfs count="22">
    <xf numFmtId="0" fontId="0" fillId="0" borderId="0"/>
    <xf numFmtId="0" fontId="8" fillId="0" borderId="0"/>
    <xf numFmtId="164" fontId="5" fillId="0" borderId="0" applyFont="0" applyFill="0" applyBorder="0" applyAlignment="0" applyProtection="0"/>
    <xf numFmtId="164" fontId="8" fillId="0" borderId="0" applyFont="0" applyFill="0" applyBorder="0" applyAlignment="0" applyProtection="0"/>
    <xf numFmtId="0" fontId="4" fillId="0" borderId="0"/>
    <xf numFmtId="0" fontId="5" fillId="0" borderId="0"/>
    <xf numFmtId="43" fontId="4" fillId="0" borderId="0" applyFont="0" applyFill="0" applyBorder="0" applyAlignment="0" applyProtection="0"/>
    <xf numFmtId="0" fontId="5" fillId="0" borderId="0"/>
    <xf numFmtId="43" fontId="3" fillId="0" borderId="0" applyFont="0" applyFill="0" applyBorder="0" applyAlignment="0" applyProtection="0"/>
    <xf numFmtId="43" fontId="3" fillId="0" borderId="0" applyFont="0" applyFill="0" applyBorder="0" applyAlignment="0" applyProtection="0"/>
    <xf numFmtId="0" fontId="5" fillId="0" borderId="0"/>
    <xf numFmtId="0" fontId="5" fillId="0" borderId="0"/>
    <xf numFmtId="0" fontId="5" fillId="0" borderId="0"/>
    <xf numFmtId="0" fontId="18" fillId="2" borderId="0">
      <alignment horizontal="center" vertical="center"/>
    </xf>
    <xf numFmtId="0" fontId="18" fillId="2" borderId="0">
      <alignment horizontal="left" vertical="center"/>
    </xf>
    <xf numFmtId="0" fontId="19" fillId="2" borderId="0">
      <alignment horizontal="center" vertical="top"/>
    </xf>
    <xf numFmtId="0" fontId="19" fillId="2" borderId="0">
      <alignment horizontal="left" vertical="top"/>
    </xf>
    <xf numFmtId="0" fontId="19" fillId="2" borderId="0">
      <alignment horizontal="center"/>
    </xf>
    <xf numFmtId="0" fontId="18" fillId="2" borderId="0">
      <alignment horizontal="left" vertical="top"/>
    </xf>
    <xf numFmtId="0" fontId="19" fillId="2" borderId="0">
      <alignment horizontal="center" vertical="top"/>
    </xf>
    <xf numFmtId="0" fontId="19" fillId="2" borderId="0">
      <alignment horizontal="center"/>
    </xf>
    <xf numFmtId="164" fontId="21" fillId="0" borderId="0" applyFont="0" applyFill="0" applyBorder="0" applyAlignment="0" applyProtection="0"/>
  </cellStyleXfs>
  <cellXfs count="224">
    <xf numFmtId="0" fontId="0" fillId="0" borderId="0" xfId="0"/>
    <xf numFmtId="0" fontId="9" fillId="0" borderId="1" xfId="1" applyFont="1" applyBorder="1" applyAlignment="1" applyProtection="1">
      <alignment horizontal="center" wrapText="1"/>
      <protection locked="0"/>
    </xf>
    <xf numFmtId="164" fontId="6" fillId="0" borderId="13" xfId="2" applyFont="1" applyFill="1" applyBorder="1" applyAlignment="1" applyProtection="1">
      <alignment horizontal="center" wrapText="1"/>
      <protection locked="0"/>
    </xf>
    <xf numFmtId="164" fontId="6" fillId="0" borderId="4" xfId="2" applyFont="1" applyFill="1" applyBorder="1" applyAlignment="1" applyProtection="1">
      <alignment horizontal="center" wrapText="1"/>
      <protection locked="0"/>
    </xf>
    <xf numFmtId="164" fontId="6" fillId="0" borderId="1" xfId="2" applyFont="1" applyFill="1" applyBorder="1" applyAlignment="1" applyProtection="1">
      <alignment horizontal="center" wrapText="1"/>
      <protection locked="0"/>
    </xf>
    <xf numFmtId="164" fontId="6" fillId="0" borderId="11" xfId="2" applyFont="1" applyFill="1" applyBorder="1" applyAlignment="1" applyProtection="1">
      <alignment horizontal="center" wrapText="1"/>
      <protection locked="0"/>
    </xf>
    <xf numFmtId="164" fontId="6" fillId="0" borderId="7" xfId="2" applyFont="1" applyFill="1" applyBorder="1" applyAlignment="1" applyProtection="1">
      <alignment horizontal="center" wrapText="1"/>
      <protection locked="0"/>
    </xf>
    <xf numFmtId="0" fontId="11" fillId="0" borderId="0" xfId="4" applyFont="1" applyAlignment="1">
      <alignment vertical="top"/>
    </xf>
    <xf numFmtId="0" fontId="4" fillId="0" borderId="0" xfId="4"/>
    <xf numFmtId="0" fontId="11" fillId="0" borderId="0" xfId="4" applyFont="1" applyAlignment="1">
      <alignment horizontal="center" vertical="top"/>
    </xf>
    <xf numFmtId="0" fontId="11" fillId="0" borderId="0" xfId="4" applyFont="1" applyAlignment="1">
      <alignment vertical="top" wrapText="1"/>
    </xf>
    <xf numFmtId="4" fontId="11" fillId="0" borderId="0" xfId="4" applyNumberFormat="1" applyFont="1"/>
    <xf numFmtId="0" fontId="11" fillId="0" borderId="0" xfId="4" applyFont="1" applyAlignment="1">
      <alignment horizontal="center" vertical="top" wrapText="1"/>
    </xf>
    <xf numFmtId="0" fontId="10" fillId="0" borderId="0" xfId="4" applyFont="1" applyAlignment="1">
      <alignment horizontal="center" vertical="top"/>
    </xf>
    <xf numFmtId="0" fontId="10" fillId="0" borderId="0" xfId="4" applyFont="1" applyAlignment="1">
      <alignment vertical="top" wrapText="1"/>
    </xf>
    <xf numFmtId="3" fontId="10" fillId="0" borderId="0" xfId="4" applyNumberFormat="1" applyFont="1" applyAlignment="1">
      <alignment horizontal="right"/>
    </xf>
    <xf numFmtId="3" fontId="10" fillId="0" borderId="0" xfId="4" applyNumberFormat="1" applyFont="1" applyAlignment="1">
      <alignment horizontal="center"/>
    </xf>
    <xf numFmtId="4" fontId="10" fillId="0" borderId="0" xfId="4" applyNumberFormat="1" applyFont="1" applyAlignment="1">
      <alignment horizontal="right"/>
    </xf>
    <xf numFmtId="0" fontId="12" fillId="0" borderId="10" xfId="5" applyFont="1" applyBorder="1" applyAlignment="1" applyProtection="1">
      <alignment horizontal="center" vertical="center" wrapText="1"/>
      <protection locked="0"/>
    </xf>
    <xf numFmtId="0" fontId="12" fillId="0" borderId="0" xfId="5" applyFont="1" applyProtection="1">
      <protection locked="0"/>
    </xf>
    <xf numFmtId="0" fontId="12" fillId="0" borderId="0" xfId="5" applyFont="1" applyAlignment="1" applyProtection="1">
      <alignment vertical="center" wrapText="1"/>
      <protection locked="0"/>
    </xf>
    <xf numFmtId="43" fontId="13" fillId="0" borderId="4" xfId="6" applyFont="1" applyFill="1" applyBorder="1" applyAlignment="1" applyProtection="1">
      <alignment horizontal="center" vertical="top" wrapText="1"/>
      <protection locked="0"/>
    </xf>
    <xf numFmtId="0" fontId="12" fillId="0" borderId="0" xfId="5" applyFont="1" applyAlignment="1" applyProtection="1">
      <alignment horizontal="center" vertical="top" wrapText="1"/>
      <protection locked="0"/>
    </xf>
    <xf numFmtId="0" fontId="6" fillId="0" borderId="0" xfId="5" applyFont="1" applyAlignment="1" applyProtection="1">
      <alignment wrapText="1"/>
      <protection locked="0"/>
    </xf>
    <xf numFmtId="43" fontId="13" fillId="0" borderId="1" xfId="6" applyFont="1" applyFill="1" applyBorder="1" applyAlignment="1" applyProtection="1">
      <alignment horizontal="center" vertical="top" wrapText="1"/>
      <protection locked="0"/>
    </xf>
    <xf numFmtId="43" fontId="12" fillId="0" borderId="1" xfId="6" applyFont="1" applyFill="1" applyBorder="1" applyAlignment="1" applyProtection="1">
      <alignment horizontal="center" vertical="top" wrapText="1"/>
      <protection locked="0"/>
    </xf>
    <xf numFmtId="43" fontId="6" fillId="0" borderId="1" xfId="6" applyFont="1" applyFill="1" applyBorder="1" applyAlignment="1" applyProtection="1">
      <alignment horizontal="center" vertical="top" wrapText="1"/>
      <protection locked="0"/>
    </xf>
    <xf numFmtId="0" fontId="6" fillId="0" borderId="0" xfId="5" applyFont="1" applyAlignment="1" applyProtection="1">
      <alignment horizontal="center" vertical="top" wrapText="1"/>
      <protection locked="0"/>
    </xf>
    <xf numFmtId="0" fontId="6" fillId="0" borderId="0" xfId="5" applyFont="1" applyProtection="1">
      <protection locked="0"/>
    </xf>
    <xf numFmtId="0" fontId="6" fillId="0" borderId="1" xfId="5" applyFont="1" applyBorder="1" applyProtection="1">
      <protection locked="0"/>
    </xf>
    <xf numFmtId="49" fontId="6" fillId="0" borderId="1" xfId="5" applyNumberFormat="1" applyFont="1" applyBorder="1" applyAlignment="1" applyProtection="1">
      <alignment horizontal="center"/>
      <protection locked="0"/>
    </xf>
    <xf numFmtId="0" fontId="6" fillId="0" borderId="7" xfId="5" applyFont="1" applyBorder="1" applyProtection="1">
      <protection locked="0"/>
    </xf>
    <xf numFmtId="0" fontId="6" fillId="0" borderId="14" xfId="5" applyFont="1" applyBorder="1" applyProtection="1">
      <protection locked="0"/>
    </xf>
    <xf numFmtId="49" fontId="6" fillId="0" borderId="7" xfId="5" applyNumberFormat="1" applyFont="1" applyBorder="1" applyAlignment="1" applyProtection="1">
      <alignment horizontal="center" wrapText="1"/>
      <protection locked="0"/>
    </xf>
    <xf numFmtId="43" fontId="6" fillId="0" borderId="7" xfId="6" applyFont="1" applyFill="1" applyBorder="1" applyAlignment="1" applyProtection="1">
      <alignment horizontal="center" wrapText="1"/>
      <protection locked="0"/>
    </xf>
    <xf numFmtId="0" fontId="12" fillId="0" borderId="0" xfId="5" applyFont="1" applyAlignment="1" applyProtection="1">
      <alignment vertical="top" wrapText="1"/>
      <protection locked="0"/>
    </xf>
    <xf numFmtId="49" fontId="12" fillId="0" borderId="12" xfId="5" applyNumberFormat="1" applyFont="1" applyBorder="1" applyAlignment="1" applyProtection="1">
      <alignment horizontal="center" wrapText="1"/>
      <protection locked="0"/>
    </xf>
    <xf numFmtId="43" fontId="6" fillId="0" borderId="1" xfId="6" applyFont="1" applyFill="1" applyBorder="1" applyAlignment="1" applyProtection="1">
      <alignment horizontal="center" wrapText="1"/>
      <protection locked="0"/>
    </xf>
    <xf numFmtId="0" fontId="12" fillId="0" borderId="0" xfId="5" applyFont="1" applyAlignment="1" applyProtection="1">
      <alignment horizontal="right"/>
      <protection locked="0"/>
    </xf>
    <xf numFmtId="49" fontId="12" fillId="0" borderId="0" xfId="5" applyNumberFormat="1" applyFont="1" applyAlignment="1" applyProtection="1">
      <alignment horizontal="center" wrapText="1"/>
      <protection locked="0"/>
    </xf>
    <xf numFmtId="0" fontId="12" fillId="0" borderId="0" xfId="5" applyFont="1" applyAlignment="1" applyProtection="1">
      <alignment horizontal="left" vertical="top" wrapText="1"/>
      <protection locked="0"/>
    </xf>
    <xf numFmtId="0" fontId="14" fillId="0" borderId="0" xfId="7" applyFont="1" applyAlignment="1" applyProtection="1">
      <alignment vertical="center"/>
      <protection locked="0"/>
    </xf>
    <xf numFmtId="0" fontId="15" fillId="0" borderId="0" xfId="7" applyFont="1" applyAlignment="1" applyProtection="1">
      <alignment horizontal="left" vertical="top" wrapText="1"/>
      <protection locked="0"/>
    </xf>
    <xf numFmtId="1" fontId="5" fillId="0" borderId="0" xfId="5" applyNumberFormat="1" applyAlignment="1" applyProtection="1">
      <alignment horizontal="center" vertical="top"/>
      <protection locked="0"/>
    </xf>
    <xf numFmtId="43" fontId="5" fillId="0" borderId="0" xfId="6" applyFont="1" applyFill="1" applyAlignment="1" applyProtection="1">
      <alignment vertical="top"/>
      <protection locked="0"/>
    </xf>
    <xf numFmtId="0" fontId="5" fillId="0" borderId="0" xfId="5" applyAlignment="1" applyProtection="1">
      <alignment vertical="top"/>
      <protection locked="0"/>
    </xf>
    <xf numFmtId="0" fontId="16" fillId="0" borderId="0" xfId="7" applyFont="1" applyAlignment="1" applyProtection="1">
      <alignment horizontal="left" vertical="top"/>
      <protection locked="0"/>
    </xf>
    <xf numFmtId="0" fontId="16" fillId="0" borderId="0" xfId="7" applyFont="1" applyAlignment="1" applyProtection="1">
      <alignment vertical="top" wrapText="1"/>
      <protection locked="0"/>
    </xf>
    <xf numFmtId="2" fontId="16" fillId="0" borderId="0" xfId="7" applyNumberFormat="1" applyFont="1" applyAlignment="1" applyProtection="1">
      <alignment horizontal="left" vertical="top"/>
      <protection locked="0"/>
    </xf>
    <xf numFmtId="49" fontId="6" fillId="0" borderId="0" xfId="5" applyNumberFormat="1" applyFont="1" applyAlignment="1" applyProtection="1">
      <alignment horizontal="center"/>
      <protection locked="0"/>
    </xf>
    <xf numFmtId="43" fontId="6" fillId="0" borderId="0" xfId="6" applyFont="1" applyFill="1" applyAlignment="1" applyProtection="1">
      <alignment horizontal="center" vertical="top" wrapText="1"/>
      <protection locked="0"/>
    </xf>
    <xf numFmtId="0" fontId="4" fillId="0" borderId="0" xfId="4" applyProtection="1">
      <protection locked="0"/>
    </xf>
    <xf numFmtId="0" fontId="17" fillId="0" borderId="0" xfId="4" applyFont="1" applyProtection="1">
      <protection locked="0"/>
    </xf>
    <xf numFmtId="0" fontId="6" fillId="0" borderId="4" xfId="5" applyFont="1" applyBorder="1" applyAlignment="1" applyProtection="1">
      <alignment wrapText="1"/>
      <protection locked="0"/>
    </xf>
    <xf numFmtId="49" fontId="6" fillId="0" borderId="4" xfId="5" applyNumberFormat="1" applyFont="1" applyBorder="1" applyAlignment="1" applyProtection="1">
      <alignment horizontal="center" wrapText="1"/>
      <protection locked="0"/>
    </xf>
    <xf numFmtId="0" fontId="6" fillId="0" borderId="1" xfId="5" applyFont="1" applyBorder="1" applyAlignment="1" applyProtection="1">
      <alignment wrapText="1"/>
      <protection locked="0"/>
    </xf>
    <xf numFmtId="49" fontId="6" fillId="0" borderId="1" xfId="5" applyNumberFormat="1" applyFont="1" applyBorder="1" applyAlignment="1" applyProtection="1">
      <alignment horizontal="center" wrapText="1"/>
      <protection locked="0"/>
    </xf>
    <xf numFmtId="0" fontId="7" fillId="0" borderId="0" xfId="5" applyFont="1" applyAlignment="1" applyProtection="1">
      <alignment horizontal="center" wrapText="1"/>
      <protection locked="0"/>
    </xf>
    <xf numFmtId="0" fontId="6" fillId="0" borderId="0" xfId="5" applyFont="1" applyAlignment="1" applyProtection="1">
      <alignment horizontal="left" wrapText="1" indent="2"/>
      <protection locked="0"/>
    </xf>
    <xf numFmtId="0" fontId="6" fillId="0" borderId="0" xfId="5" applyFont="1" applyAlignment="1" applyProtection="1">
      <alignment horizontal="left" indent="2"/>
      <protection locked="0"/>
    </xf>
    <xf numFmtId="0" fontId="0" fillId="0" borderId="1" xfId="0" applyBorder="1" applyAlignment="1">
      <alignment wrapText="1"/>
    </xf>
    <xf numFmtId="0" fontId="18" fillId="0" borderId="1" xfId="13" applyFill="1" applyBorder="1" applyAlignment="1">
      <alignment horizontal="center" vertical="center" wrapText="1"/>
    </xf>
    <xf numFmtId="0" fontId="0" fillId="0" borderId="2" xfId="0" applyBorder="1" applyAlignment="1">
      <alignment wrapText="1"/>
    </xf>
    <xf numFmtId="0" fontId="19" fillId="0" borderId="1" xfId="15" applyFill="1" applyBorder="1" applyAlignment="1">
      <alignment horizontal="center" vertical="top" wrapText="1"/>
    </xf>
    <xf numFmtId="0" fontId="19" fillId="0" borderId="1" xfId="17" applyFill="1" applyBorder="1" applyAlignment="1">
      <alignment horizontal="center" wrapText="1"/>
    </xf>
    <xf numFmtId="0" fontId="19" fillId="0" borderId="2" xfId="17" applyFill="1" applyBorder="1" applyAlignment="1">
      <alignment horizontal="center" wrapText="1"/>
    </xf>
    <xf numFmtId="0" fontId="9" fillId="0" borderId="1" xfId="1" applyFont="1" applyBorder="1" applyAlignment="1">
      <alignment horizontal="center"/>
    </xf>
    <xf numFmtId="0" fontId="8" fillId="0" borderId="0" xfId="1" applyAlignment="1">
      <alignment vertical="center" wrapText="1"/>
    </xf>
    <xf numFmtId="0" fontId="9" fillId="0" borderId="1" xfId="1" applyFont="1" applyBorder="1" applyAlignment="1">
      <alignment horizontal="center" vertical="top" wrapText="1"/>
    </xf>
    <xf numFmtId="0" fontId="9" fillId="0" borderId="0" xfId="1" applyFont="1" applyAlignment="1">
      <alignment horizontal="left" vertical="top" wrapText="1"/>
    </xf>
    <xf numFmtId="0" fontId="9" fillId="0" borderId="2" xfId="1" applyFont="1" applyBorder="1" applyAlignment="1">
      <alignment horizontal="center" wrapText="1"/>
    </xf>
    <xf numFmtId="0" fontId="9" fillId="0" borderId="3" xfId="1" applyFont="1" applyBorder="1" applyAlignment="1" applyProtection="1">
      <alignment horizontal="center" wrapText="1"/>
      <protection locked="0"/>
    </xf>
    <xf numFmtId="0" fontId="8" fillId="0" borderId="0" xfId="1" applyAlignment="1" applyProtection="1">
      <alignment vertical="center" wrapText="1"/>
      <protection locked="0"/>
    </xf>
    <xf numFmtId="0" fontId="6" fillId="0" borderId="3" xfId="0" applyFont="1" applyBorder="1" applyAlignment="1" applyProtection="1">
      <alignment horizontal="center" wrapText="1"/>
      <protection locked="0"/>
    </xf>
    <xf numFmtId="0" fontId="6" fillId="0" borderId="1" xfId="0" applyFont="1" applyBorder="1" applyAlignment="1" applyProtection="1">
      <alignment horizontal="right" wrapText="1"/>
      <protection locked="0"/>
    </xf>
    <xf numFmtId="0" fontId="6" fillId="0" borderId="0" xfId="0" applyFont="1" applyAlignment="1" applyProtection="1">
      <alignment wrapText="1"/>
      <protection locked="0"/>
    </xf>
    <xf numFmtId="0" fontId="6" fillId="0" borderId="0" xfId="0" applyFont="1" applyAlignment="1" applyProtection="1">
      <alignment horizontal="center" wrapText="1"/>
      <protection locked="0"/>
    </xf>
    <xf numFmtId="0" fontId="6" fillId="0" borderId="0" xfId="0" applyFont="1" applyAlignment="1" applyProtection="1">
      <alignment horizontal="right" wrapText="1"/>
      <protection locked="0"/>
    </xf>
    <xf numFmtId="0" fontId="0" fillId="0" borderId="2" xfId="0" applyBorder="1" applyAlignment="1">
      <alignment horizontal="center" wrapText="1"/>
    </xf>
    <xf numFmtId="0" fontId="0" fillId="0" borderId="1" xfId="0" applyBorder="1" applyAlignment="1">
      <alignment horizontal="center" vertical="top" wrapText="1"/>
    </xf>
    <xf numFmtId="0" fontId="18" fillId="0" borderId="1" xfId="14" applyFill="1" applyBorder="1" applyAlignment="1">
      <alignment vertical="center" wrapText="1"/>
    </xf>
    <xf numFmtId="0" fontId="0" fillId="0" borderId="1" xfId="0" applyBorder="1" applyAlignment="1">
      <alignment horizontal="center" wrapText="1"/>
    </xf>
    <xf numFmtId="0" fontId="19" fillId="0" borderId="1" xfId="16" applyFill="1" applyBorder="1" applyAlignment="1">
      <alignment vertical="top" wrapText="1"/>
    </xf>
    <xf numFmtId="0" fontId="18" fillId="0" borderId="1" xfId="18" applyFill="1" applyBorder="1" applyAlignment="1">
      <alignment vertical="top" wrapText="1"/>
    </xf>
    <xf numFmtId="0" fontId="0" fillId="0" borderId="1" xfId="0" applyBorder="1" applyAlignment="1">
      <alignment vertical="center" wrapText="1"/>
    </xf>
    <xf numFmtId="0" fontId="19" fillId="0" borderId="1" xfId="19" applyFill="1" applyBorder="1" applyAlignment="1">
      <alignment horizontal="center" vertical="top" wrapText="1"/>
    </xf>
    <xf numFmtId="0" fontId="19" fillId="0" borderId="1" xfId="15" applyFill="1" applyBorder="1" applyAlignment="1">
      <alignment vertical="top" wrapText="1"/>
    </xf>
    <xf numFmtId="0" fontId="19" fillId="0" borderId="0" xfId="0" applyFont="1" applyAlignment="1">
      <alignment horizontal="right"/>
    </xf>
    <xf numFmtId="0" fontId="18" fillId="0" borderId="0" xfId="0" applyFont="1" applyAlignment="1">
      <alignment horizontal="right"/>
    </xf>
    <xf numFmtId="0" fontId="6" fillId="0" borderId="12" xfId="1" applyFont="1" applyBorder="1" applyAlignment="1">
      <alignment horizontal="center" vertical="top" wrapText="1"/>
    </xf>
    <xf numFmtId="0" fontId="7" fillId="0" borderId="12" xfId="1" applyFont="1" applyBorder="1" applyAlignment="1">
      <alignment horizontal="left" vertical="top" wrapText="1" indent="1"/>
    </xf>
    <xf numFmtId="37" fontId="6" fillId="0" borderId="12" xfId="1" applyNumberFormat="1" applyFont="1" applyBorder="1" applyAlignment="1">
      <alignment horizontal="center" wrapText="1"/>
    </xf>
    <xf numFmtId="0" fontId="6" fillId="0" borderId="12" xfId="1" applyFont="1" applyBorder="1" applyAlignment="1">
      <alignment horizontal="center" wrapText="1"/>
    </xf>
    <xf numFmtId="0" fontId="6" fillId="0" borderId="0" xfId="1" applyFont="1" applyAlignment="1">
      <alignment horizontal="center" vertical="top" wrapText="1"/>
    </xf>
    <xf numFmtId="0" fontId="7" fillId="0" borderId="0" xfId="1" applyFont="1" applyAlignment="1">
      <alignment horizontal="left" vertical="top" wrapText="1" indent="1"/>
    </xf>
    <xf numFmtId="0" fontId="6" fillId="0" borderId="0" xfId="1" applyFont="1" applyAlignment="1">
      <alignment horizontal="center"/>
    </xf>
    <xf numFmtId="49" fontId="6" fillId="0" borderId="0" xfId="1" applyNumberFormat="1" applyFont="1" applyAlignment="1" applyProtection="1">
      <alignment horizontal="center" wrapText="1"/>
      <protection locked="0"/>
    </xf>
    <xf numFmtId="37" fontId="6" fillId="0" borderId="0" xfId="1" applyNumberFormat="1" applyFont="1" applyAlignment="1">
      <alignment horizontal="center" wrapText="1"/>
    </xf>
    <xf numFmtId="0" fontId="6" fillId="0" borderId="0" xfId="1" applyFont="1" applyAlignment="1">
      <alignment horizontal="center" wrapText="1"/>
    </xf>
    <xf numFmtId="0" fontId="19" fillId="0" borderId="1" xfId="17" applyFill="1" applyBorder="1" applyAlignment="1">
      <alignment vertical="center" wrapText="1"/>
    </xf>
    <xf numFmtId="0" fontId="19" fillId="0" borderId="1" xfId="20" applyFill="1" applyBorder="1" applyAlignment="1">
      <alignment horizontal="center" wrapText="1"/>
    </xf>
    <xf numFmtId="0" fontId="19" fillId="0" borderId="2" xfId="20" applyFill="1" applyBorder="1" applyAlignment="1">
      <alignment horizontal="center" wrapText="1"/>
    </xf>
    <xf numFmtId="0" fontId="18" fillId="0" borderId="1" xfId="14" applyFill="1" applyBorder="1" applyAlignment="1">
      <alignment horizontal="center" vertical="center" wrapText="1"/>
    </xf>
    <xf numFmtId="0" fontId="6" fillId="0" borderId="0" xfId="0" applyFont="1" applyAlignment="1">
      <alignment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horizontal="center"/>
    </xf>
    <xf numFmtId="0" fontId="6" fillId="0" borderId="0" xfId="0" applyFont="1" applyAlignment="1">
      <alignment horizontal="center" wrapText="1"/>
    </xf>
    <xf numFmtId="0" fontId="9" fillId="0" borderId="6" xfId="1" applyFont="1" applyBorder="1" applyAlignment="1" applyProtection="1">
      <alignment horizontal="center" vertical="center" wrapText="1"/>
      <protection locked="0"/>
    </xf>
    <xf numFmtId="0" fontId="9" fillId="0" borderId="4" xfId="1" applyFont="1" applyBorder="1" applyAlignment="1" applyProtection="1">
      <alignment horizontal="center" vertical="center" wrapText="1"/>
      <protection locked="0"/>
    </xf>
    <xf numFmtId="0" fontId="9" fillId="0" borderId="9" xfId="1" applyFont="1" applyBorder="1" applyAlignment="1" applyProtection="1">
      <alignment horizontal="center" vertical="center" wrapText="1"/>
      <protection locked="0"/>
    </xf>
    <xf numFmtId="0" fontId="9" fillId="0" borderId="7" xfId="1" applyFont="1" applyBorder="1" applyAlignment="1" applyProtection="1">
      <alignment horizontal="center" vertical="center" wrapText="1"/>
      <protection locked="0"/>
    </xf>
    <xf numFmtId="0" fontId="19" fillId="0" borderId="1" xfId="19" applyFill="1" applyBorder="1" applyAlignment="1" applyProtection="1">
      <alignment horizontal="center" vertical="top" wrapText="1"/>
      <protection locked="0"/>
    </xf>
    <xf numFmtId="0" fontId="19" fillId="0" borderId="1" xfId="15" applyFill="1" applyBorder="1" applyAlignment="1" applyProtection="1">
      <alignment vertical="top" wrapText="1"/>
      <protection locked="0"/>
    </xf>
    <xf numFmtId="0" fontId="19" fillId="0" borderId="1" xfId="17" applyFill="1" applyBorder="1" applyAlignment="1" applyProtection="1">
      <alignment horizontal="center" wrapText="1"/>
      <protection locked="0"/>
    </xf>
    <xf numFmtId="0" fontId="19" fillId="0" borderId="2" xfId="17" applyFill="1" applyBorder="1" applyAlignment="1" applyProtection="1">
      <alignment horizontal="center"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wrapText="1"/>
      <protection locked="0"/>
    </xf>
    <xf numFmtId="0" fontId="0" fillId="0" borderId="1" xfId="0" applyBorder="1" applyAlignment="1" applyProtection="1">
      <alignment horizontal="center" wrapText="1"/>
      <protection locked="0"/>
    </xf>
    <xf numFmtId="0" fontId="0" fillId="0" borderId="2" xfId="0" applyBorder="1" applyAlignment="1" applyProtection="1">
      <alignment horizontal="center" wrapText="1"/>
      <protection locked="0"/>
    </xf>
    <xf numFmtId="0" fontId="19" fillId="0" borderId="1" xfId="16" applyFill="1" applyBorder="1" applyAlignment="1" applyProtection="1">
      <alignment vertical="top" wrapText="1"/>
      <protection locked="0"/>
    </xf>
    <xf numFmtId="0" fontId="18" fillId="0" borderId="1" xfId="13" applyFill="1" applyBorder="1" applyAlignment="1" applyProtection="1">
      <alignment horizontal="center" vertical="center" wrapText="1"/>
      <protection locked="0"/>
    </xf>
    <xf numFmtId="0" fontId="0" fillId="0" borderId="2" xfId="0" applyBorder="1" applyAlignment="1" applyProtection="1">
      <alignment wrapText="1"/>
      <protection locked="0"/>
    </xf>
    <xf numFmtId="0" fontId="18" fillId="0" borderId="1" xfId="14" applyFill="1" applyBorder="1" applyAlignment="1" applyProtection="1">
      <alignment vertical="center" wrapText="1"/>
      <protection locked="0"/>
    </xf>
    <xf numFmtId="0" fontId="0" fillId="0" borderId="1" xfId="0" applyBorder="1" applyAlignment="1" applyProtection="1">
      <alignment vertical="center" wrapText="1"/>
      <protection locked="0"/>
    </xf>
    <xf numFmtId="164" fontId="9" fillId="0" borderId="4" xfId="21" applyFont="1" applyBorder="1" applyAlignment="1">
      <alignment horizontal="center" vertical="center" wrapText="1"/>
    </xf>
    <xf numFmtId="164" fontId="9" fillId="0" borderId="7" xfId="21" applyFont="1" applyBorder="1" applyAlignment="1">
      <alignment horizontal="center" vertical="center" wrapText="1"/>
    </xf>
    <xf numFmtId="164" fontId="9" fillId="0" borderId="1" xfId="21" applyFont="1" applyBorder="1" applyAlignment="1" applyProtection="1">
      <alignment horizontal="center" wrapText="1"/>
      <protection locked="0"/>
    </xf>
    <xf numFmtId="164" fontId="6" fillId="0" borderId="1" xfId="21" applyFont="1" applyBorder="1" applyAlignment="1" applyProtection="1">
      <alignment horizontal="right" wrapText="1"/>
      <protection locked="0"/>
    </xf>
    <xf numFmtId="164" fontId="6" fillId="0" borderId="4" xfId="21" applyFont="1" applyFill="1" applyBorder="1" applyAlignment="1" applyProtection="1">
      <alignment horizontal="center" wrapText="1"/>
      <protection locked="0"/>
    </xf>
    <xf numFmtId="164" fontId="6" fillId="0" borderId="1" xfId="21" applyFont="1" applyFill="1" applyBorder="1" applyAlignment="1" applyProtection="1">
      <alignment horizontal="center" wrapText="1"/>
      <protection locked="0"/>
    </xf>
    <xf numFmtId="164" fontId="6" fillId="0" borderId="7" xfId="21" applyFont="1" applyFill="1" applyBorder="1" applyAlignment="1" applyProtection="1">
      <alignment horizontal="center" wrapText="1"/>
      <protection locked="0"/>
    </xf>
    <xf numFmtId="164" fontId="6" fillId="0" borderId="0" xfId="21" applyFont="1" applyAlignment="1" applyProtection="1">
      <alignment horizontal="right" wrapText="1"/>
      <protection locked="0"/>
    </xf>
    <xf numFmtId="164" fontId="9" fillId="0" borderId="3" xfId="21" applyFont="1" applyBorder="1" applyAlignment="1" applyProtection="1">
      <alignment horizontal="center" wrapText="1"/>
      <protection locked="0"/>
    </xf>
    <xf numFmtId="164" fontId="6" fillId="0" borderId="3" xfId="21" applyFont="1" applyBorder="1" applyAlignment="1" applyProtection="1">
      <alignment horizontal="center" wrapText="1"/>
      <protection locked="0"/>
    </xf>
    <xf numFmtId="164" fontId="6" fillId="0" borderId="13" xfId="21" applyFont="1" applyFill="1" applyBorder="1" applyAlignment="1" applyProtection="1">
      <alignment horizontal="center" wrapText="1"/>
      <protection locked="0"/>
    </xf>
    <xf numFmtId="164" fontId="6" fillId="0" borderId="0" xfId="21" applyFont="1" applyAlignment="1" applyProtection="1">
      <alignment horizontal="center" wrapText="1"/>
      <protection locked="0"/>
    </xf>
    <xf numFmtId="164" fontId="6" fillId="0" borderId="11" xfId="21" applyFont="1" applyFill="1" applyBorder="1" applyAlignment="1" applyProtection="1">
      <alignment horizontal="center" wrapText="1"/>
      <protection locked="0"/>
    </xf>
    <xf numFmtId="164" fontId="6" fillId="0" borderId="1" xfId="0" applyNumberFormat="1" applyFont="1" applyBorder="1" applyAlignment="1" applyProtection="1">
      <alignment horizontal="right" wrapText="1"/>
      <protection locked="0"/>
    </xf>
    <xf numFmtId="164" fontId="9" fillId="0" borderId="4" xfId="21" applyFont="1" applyBorder="1" applyAlignment="1" applyProtection="1">
      <alignment horizontal="center" vertical="center" wrapText="1"/>
      <protection locked="0"/>
    </xf>
    <xf numFmtId="164" fontId="9" fillId="0" borderId="7" xfId="21" applyFont="1" applyBorder="1" applyAlignment="1" applyProtection="1">
      <alignment horizontal="center" vertical="center" wrapText="1"/>
      <protection locked="0"/>
    </xf>
    <xf numFmtId="164" fontId="9" fillId="0" borderId="6" xfId="21" applyFont="1" applyBorder="1" applyAlignment="1" applyProtection="1">
      <alignment horizontal="center" vertical="center" wrapText="1"/>
      <protection locked="0"/>
    </xf>
    <xf numFmtId="164" fontId="9" fillId="0" borderId="9" xfId="21" applyFont="1" applyBorder="1" applyAlignment="1" applyProtection="1">
      <alignment horizontal="center" vertical="center" wrapText="1"/>
      <protection locked="0"/>
    </xf>
    <xf numFmtId="0" fontId="13" fillId="0" borderId="1" xfId="15" applyFont="1" applyFill="1" applyBorder="1" applyAlignment="1">
      <alignment horizontal="center" vertical="top" wrapText="1"/>
    </xf>
    <xf numFmtId="0" fontId="13" fillId="0" borderId="0" xfId="0" applyFont="1" applyAlignment="1" applyProtection="1">
      <alignment wrapText="1"/>
      <protection locked="0"/>
    </xf>
    <xf numFmtId="0" fontId="22" fillId="0" borderId="1" xfId="0" applyFont="1" applyBorder="1" applyAlignment="1">
      <alignment wrapText="1"/>
    </xf>
    <xf numFmtId="164" fontId="8" fillId="0" borderId="0" xfId="21" applyFont="1" applyAlignment="1">
      <alignment vertical="center" wrapText="1"/>
    </xf>
    <xf numFmtId="0" fontId="6" fillId="0" borderId="1" xfId="15" applyFont="1" applyFill="1" applyBorder="1" applyAlignment="1">
      <alignment horizontal="center" vertical="top" wrapText="1"/>
    </xf>
    <xf numFmtId="0" fontId="6" fillId="0" borderId="1" xfId="16" applyFont="1" applyFill="1" applyBorder="1" applyAlignment="1">
      <alignment vertical="top" wrapText="1"/>
    </xf>
    <xf numFmtId="0" fontId="6" fillId="0" borderId="1" xfId="20" applyFont="1" applyFill="1" applyBorder="1" applyAlignment="1">
      <alignment horizontal="center" wrapText="1"/>
    </xf>
    <xf numFmtId="0" fontId="6" fillId="0" borderId="2" xfId="20" applyFont="1" applyFill="1" applyBorder="1" applyAlignment="1">
      <alignment horizontal="center" wrapText="1"/>
    </xf>
    <xf numFmtId="164" fontId="6" fillId="0" borderId="0" xfId="21" applyFont="1" applyAlignment="1">
      <alignment wrapText="1"/>
    </xf>
    <xf numFmtId="43" fontId="6" fillId="0" borderId="0" xfId="0" applyNumberFormat="1" applyFont="1" applyAlignment="1">
      <alignment wrapText="1"/>
    </xf>
    <xf numFmtId="0" fontId="5" fillId="0" borderId="0" xfId="0" applyFont="1" applyAlignment="1">
      <alignment vertical="top" wrapText="1"/>
    </xf>
    <xf numFmtId="0" fontId="19" fillId="0" borderId="1" xfId="13" applyFont="1" applyFill="1" applyBorder="1" applyAlignment="1" applyProtection="1">
      <alignment horizontal="left" vertical="center" wrapText="1"/>
      <protection locked="0"/>
    </xf>
    <xf numFmtId="0" fontId="23" fillId="0" borderId="0" xfId="0" applyFont="1" applyAlignment="1">
      <alignment vertical="top" wrapText="1"/>
    </xf>
    <xf numFmtId="0" fontId="2" fillId="0" borderId="0" xfId="0" applyFont="1" applyAlignment="1">
      <alignment vertical="top" wrapText="1"/>
    </xf>
    <xf numFmtId="0" fontId="6" fillId="0" borderId="1" xfId="0" applyFont="1" applyBorder="1" applyAlignment="1" applyProtection="1">
      <alignment horizontal="right" vertical="top" wrapText="1"/>
      <protection locked="0"/>
    </xf>
    <xf numFmtId="164" fontId="13" fillId="0" borderId="1" xfId="21" applyFont="1" applyBorder="1" applyAlignment="1" applyProtection="1">
      <alignment horizontal="right" wrapText="1"/>
      <protection locked="0"/>
    </xf>
    <xf numFmtId="0" fontId="6" fillId="0" borderId="1" xfId="19" applyFont="1" applyFill="1" applyBorder="1" applyAlignment="1">
      <alignment horizontal="center" vertical="top" wrapText="1"/>
    </xf>
    <xf numFmtId="0" fontId="6" fillId="0" borderId="1" xfId="15" applyFont="1" applyFill="1" applyBorder="1" applyAlignment="1">
      <alignment vertical="top" wrapText="1"/>
    </xf>
    <xf numFmtId="0" fontId="6" fillId="0" borderId="1" xfId="17" applyFont="1" applyFill="1" applyBorder="1" applyAlignment="1">
      <alignment horizontal="center" wrapText="1"/>
    </xf>
    <xf numFmtId="0" fontId="6" fillId="0" borderId="2" xfId="17" applyFont="1" applyFill="1" applyBorder="1" applyAlignment="1">
      <alignment horizontal="center" wrapText="1"/>
    </xf>
    <xf numFmtId="0" fontId="24" fillId="0" borderId="1" xfId="19" applyFont="1" applyFill="1" applyBorder="1" applyAlignment="1" applyProtection="1">
      <alignment horizontal="center" vertical="top" wrapText="1"/>
      <protection locked="0"/>
    </xf>
    <xf numFmtId="0" fontId="24" fillId="0" borderId="1" xfId="16" applyFont="1" applyFill="1" applyBorder="1" applyAlignment="1" applyProtection="1">
      <alignment vertical="top" wrapText="1"/>
      <protection locked="0"/>
    </xf>
    <xf numFmtId="0" fontId="24" fillId="0" borderId="1" xfId="17" applyFont="1" applyFill="1" applyBorder="1" applyAlignment="1" applyProtection="1">
      <alignment horizontal="center" wrapText="1"/>
      <protection locked="0"/>
    </xf>
    <xf numFmtId="0" fontId="24" fillId="0" borderId="2" xfId="17" applyFont="1" applyFill="1" applyBorder="1" applyAlignment="1" applyProtection="1">
      <alignment horizontal="center" wrapText="1"/>
      <protection locked="0"/>
    </xf>
    <xf numFmtId="164" fontId="25" fillId="0" borderId="3" xfId="21" applyFont="1" applyBorder="1" applyAlignment="1" applyProtection="1">
      <alignment horizontal="center" wrapText="1"/>
      <protection locked="0"/>
    </xf>
    <xf numFmtId="0" fontId="18" fillId="0" borderId="1" xfId="15" applyFont="1" applyFill="1" applyBorder="1" applyAlignment="1" applyProtection="1">
      <alignment vertical="top" wrapText="1"/>
      <protection locked="0"/>
    </xf>
    <xf numFmtId="0" fontId="1" fillId="0" borderId="0" xfId="0" applyFont="1" applyAlignment="1">
      <alignment vertical="top" wrapText="1"/>
    </xf>
    <xf numFmtId="0" fontId="26" fillId="0" borderId="1" xfId="0" applyFont="1" applyBorder="1" applyAlignment="1">
      <alignment horizontal="left" vertical="top"/>
    </xf>
    <xf numFmtId="0" fontId="5" fillId="0" borderId="0" xfId="0" applyFont="1" applyAlignment="1">
      <alignment vertical="top"/>
    </xf>
    <xf numFmtId="164" fontId="13" fillId="0" borderId="1" xfId="21" applyFont="1" applyBorder="1" applyAlignment="1" applyProtection="1">
      <alignment horizontal="center" wrapText="1"/>
      <protection locked="0"/>
    </xf>
    <xf numFmtId="164" fontId="13" fillId="0" borderId="4" xfId="21" applyFont="1" applyFill="1" applyBorder="1" applyAlignment="1" applyProtection="1">
      <alignment horizontal="center" wrapText="1"/>
      <protection locked="0"/>
    </xf>
    <xf numFmtId="164" fontId="13" fillId="0" borderId="1" xfId="21" applyFont="1" applyFill="1" applyBorder="1" applyAlignment="1" applyProtection="1">
      <alignment horizontal="center" wrapText="1"/>
      <protection locked="0"/>
    </xf>
    <xf numFmtId="164" fontId="13" fillId="0" borderId="7" xfId="21" applyFont="1" applyFill="1" applyBorder="1" applyAlignment="1" applyProtection="1">
      <alignment horizontal="center" wrapText="1"/>
      <protection locked="0"/>
    </xf>
    <xf numFmtId="164" fontId="13" fillId="0" borderId="0" xfId="21" applyFont="1" applyAlignment="1" applyProtection="1">
      <alignment horizontal="right" wrapText="1"/>
      <protection locked="0"/>
    </xf>
    <xf numFmtId="0" fontId="27" fillId="0" borderId="1" xfId="16" applyFont="1" applyFill="1" applyBorder="1" applyAlignment="1">
      <alignment vertical="top" wrapText="1"/>
    </xf>
    <xf numFmtId="164" fontId="13" fillId="0" borderId="1" xfId="0" applyNumberFormat="1" applyFont="1" applyBorder="1" applyAlignment="1" applyProtection="1">
      <alignment horizontal="right" wrapText="1"/>
      <protection locked="0"/>
    </xf>
    <xf numFmtId="0" fontId="24" fillId="0" borderId="2" xfId="20" applyFont="1" applyFill="1" applyBorder="1" applyAlignment="1">
      <alignment horizontal="center" wrapText="1"/>
    </xf>
    <xf numFmtId="164" fontId="25" fillId="0" borderId="1" xfId="21" applyFont="1" applyBorder="1" applyAlignment="1" applyProtection="1">
      <alignment horizontal="right" wrapText="1"/>
      <protection locked="0"/>
    </xf>
    <xf numFmtId="164" fontId="29" fillId="0" borderId="1" xfId="21" applyFont="1" applyBorder="1" applyAlignment="1" applyProtection="1">
      <alignment horizontal="right" wrapText="1"/>
      <protection locked="0"/>
    </xf>
    <xf numFmtId="0" fontId="28" fillId="0" borderId="1" xfId="0" applyFont="1" applyBorder="1" applyAlignment="1" applyProtection="1">
      <alignment horizontal="center" wrapText="1"/>
      <protection locked="0"/>
    </xf>
    <xf numFmtId="0" fontId="28" fillId="0" borderId="1" xfId="0" applyFont="1" applyBorder="1" applyAlignment="1" applyProtection="1">
      <alignment wrapText="1"/>
      <protection locked="0"/>
    </xf>
    <xf numFmtId="0" fontId="28" fillId="0" borderId="1" xfId="0" applyFont="1" applyBorder="1" applyAlignment="1" applyProtection="1">
      <alignment horizontal="center" vertical="top" wrapText="1"/>
      <protection locked="0"/>
    </xf>
    <xf numFmtId="164" fontId="9" fillId="0" borderId="6" xfId="21" applyFont="1" applyFill="1" applyBorder="1" applyAlignment="1">
      <alignment horizontal="center" vertical="center" wrapText="1"/>
    </xf>
    <xf numFmtId="164" fontId="9" fillId="0" borderId="9" xfId="21" applyFont="1" applyFill="1" applyBorder="1" applyAlignment="1">
      <alignment horizontal="center" vertical="center" wrapText="1"/>
    </xf>
    <xf numFmtId="164" fontId="9" fillId="0" borderId="3" xfId="21" applyFont="1" applyFill="1" applyBorder="1" applyAlignment="1" applyProtection="1">
      <alignment horizontal="center" wrapText="1"/>
      <protection locked="0"/>
    </xf>
    <xf numFmtId="164" fontId="6" fillId="0" borderId="3" xfId="21" applyFont="1" applyFill="1" applyBorder="1" applyAlignment="1" applyProtection="1">
      <alignment horizontal="center" wrapText="1"/>
      <protection locked="0"/>
    </xf>
    <xf numFmtId="164" fontId="6" fillId="0" borderId="0" xfId="21" applyFont="1" applyFill="1" applyAlignment="1" applyProtection="1">
      <alignment horizontal="center" wrapText="1"/>
      <protection locked="0"/>
    </xf>
    <xf numFmtId="0" fontId="26" fillId="0" borderId="1" xfId="0" applyFont="1" applyBorder="1" applyAlignment="1">
      <alignment wrapText="1"/>
    </xf>
    <xf numFmtId="164" fontId="13" fillId="0" borderId="3" xfId="21" applyFont="1" applyFill="1" applyBorder="1" applyAlignment="1" applyProtection="1">
      <alignment horizontal="center" wrapText="1"/>
      <protection locked="0"/>
    </xf>
    <xf numFmtId="0" fontId="5" fillId="0" borderId="1" xfId="0" applyFont="1" applyBorder="1" applyAlignment="1">
      <alignment horizontal="center" vertical="top" wrapText="1"/>
    </xf>
    <xf numFmtId="0" fontId="5" fillId="0" borderId="1" xfId="0" applyFont="1" applyBorder="1" applyAlignment="1">
      <alignment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28" fillId="0" borderId="1" xfId="0" applyFont="1" applyBorder="1" applyAlignment="1">
      <alignment horizontal="center" vertical="top" wrapText="1"/>
    </xf>
    <xf numFmtId="0" fontId="28" fillId="0" borderId="1" xfId="0" applyFont="1" applyBorder="1" applyAlignment="1">
      <alignment vertical="center" wrapText="1"/>
    </xf>
    <xf numFmtId="0" fontId="28" fillId="0" borderId="1" xfId="0" applyFont="1" applyBorder="1" applyAlignment="1">
      <alignment horizontal="center" wrapText="1"/>
    </xf>
    <xf numFmtId="164" fontId="25" fillId="0" borderId="3" xfId="21" applyFont="1" applyFill="1" applyBorder="1" applyAlignment="1" applyProtection="1">
      <alignment horizontal="center" wrapText="1"/>
      <protection locked="0"/>
    </xf>
    <xf numFmtId="0" fontId="6" fillId="0" borderId="0" xfId="0" applyFont="1" applyAlignment="1" applyProtection="1">
      <alignment horizontal="center" vertical="top" wrapText="1"/>
      <protection locked="0"/>
    </xf>
    <xf numFmtId="0" fontId="6" fillId="0" borderId="0" xfId="0" applyFont="1" applyAlignment="1" applyProtection="1">
      <alignment vertical="top" wrapText="1"/>
      <protection locked="0"/>
    </xf>
    <xf numFmtId="0" fontId="6" fillId="0" borderId="0" xfId="0" applyFont="1" applyAlignment="1" applyProtection="1">
      <alignment horizontal="center"/>
      <protection locked="0"/>
    </xf>
    <xf numFmtId="0" fontId="28" fillId="0" borderId="2" xfId="0" applyFont="1" applyBorder="1" applyAlignment="1" applyProtection="1">
      <alignment horizontal="center" wrapText="1"/>
      <protection locked="0"/>
    </xf>
    <xf numFmtId="0" fontId="25" fillId="0" borderId="3" xfId="0" applyFont="1" applyBorder="1" applyAlignment="1" applyProtection="1">
      <alignment horizontal="center" wrapText="1"/>
      <protection locked="0"/>
    </xf>
    <xf numFmtId="164" fontId="9" fillId="0" borderId="6" xfId="21" applyFont="1" applyFill="1" applyBorder="1" applyAlignment="1" applyProtection="1">
      <alignment horizontal="center" vertical="center" wrapText="1"/>
      <protection locked="0"/>
    </xf>
    <xf numFmtId="164" fontId="9" fillId="0" borderId="9" xfId="21" applyFont="1" applyFill="1" applyBorder="1" applyAlignment="1" applyProtection="1">
      <alignment horizontal="center" vertical="center" wrapText="1"/>
      <protection locked="0"/>
    </xf>
    <xf numFmtId="0" fontId="11" fillId="0" borderId="0" xfId="4" applyFont="1" applyAlignment="1">
      <alignment horizontal="center" vertical="top" wrapText="1"/>
    </xf>
    <xf numFmtId="0" fontId="9" fillId="0" borderId="4" xfId="1" applyFont="1" applyBorder="1" applyAlignment="1">
      <alignment horizontal="center" vertical="center" wrapText="1"/>
    </xf>
    <xf numFmtId="0" fontId="9" fillId="0" borderId="7" xfId="1" applyFont="1" applyBorder="1" applyAlignment="1">
      <alignment horizontal="center" vertical="center" wrapText="1"/>
    </xf>
    <xf numFmtId="0" fontId="9" fillId="0" borderId="4" xfId="1" applyFont="1" applyBorder="1" applyAlignment="1">
      <alignment horizontal="center" vertical="center"/>
    </xf>
    <xf numFmtId="0" fontId="9" fillId="0" borderId="7" xfId="1" applyFont="1" applyBorder="1" applyAlignment="1">
      <alignment horizontal="center" vertical="center"/>
    </xf>
    <xf numFmtId="0" fontId="9" fillId="0" borderId="5" xfId="1" applyFont="1" applyBorder="1" applyAlignment="1">
      <alignment horizontal="center" vertical="center" wrapText="1"/>
    </xf>
    <xf numFmtId="0" fontId="9" fillId="0" borderId="8" xfId="1" applyFont="1" applyBorder="1" applyAlignment="1">
      <alignment horizontal="center" vertical="center" wrapText="1"/>
    </xf>
    <xf numFmtId="164" fontId="22" fillId="0" borderId="4" xfId="21" applyFont="1" applyFill="1" applyBorder="1" applyAlignment="1" applyProtection="1">
      <alignment horizontal="center" vertical="center" wrapText="1"/>
      <protection locked="0"/>
    </xf>
    <xf numFmtId="164" fontId="22" fillId="0" borderId="7" xfId="21" applyFont="1" applyFill="1" applyBorder="1" applyAlignment="1" applyProtection="1">
      <alignment horizontal="center" vertical="center" wrapText="1"/>
      <protection locked="0"/>
    </xf>
    <xf numFmtId="164" fontId="22" fillId="0" borderId="4" xfId="2" applyFont="1" applyFill="1" applyBorder="1" applyAlignment="1" applyProtection="1">
      <alignment horizontal="center" vertical="center" wrapText="1"/>
      <protection locked="0"/>
    </xf>
    <xf numFmtId="164" fontId="22" fillId="0" borderId="7" xfId="2" applyFont="1" applyFill="1" applyBorder="1" applyAlignment="1" applyProtection="1">
      <alignment horizontal="center" vertical="center" wrapText="1"/>
      <protection locked="0"/>
    </xf>
    <xf numFmtId="0" fontId="6" fillId="0" borderId="4" xfId="5" applyFont="1" applyBorder="1" applyAlignment="1" applyProtection="1">
      <alignment horizontal="center" vertical="center" wrapText="1"/>
      <protection locked="0"/>
    </xf>
    <xf numFmtId="0" fontId="6" fillId="0" borderId="7" xfId="5" applyFont="1" applyBorder="1" applyAlignment="1" applyProtection="1">
      <alignment horizontal="center" vertical="center" wrapText="1"/>
      <protection locked="0"/>
    </xf>
    <xf numFmtId="49" fontId="6" fillId="0" borderId="4" xfId="5" applyNumberFormat="1" applyFont="1" applyBorder="1" applyAlignment="1" applyProtection="1">
      <alignment horizontal="center" vertical="center" wrapText="1"/>
      <protection locked="0"/>
    </xf>
    <xf numFmtId="49" fontId="6" fillId="0" borderId="7" xfId="5" applyNumberFormat="1" applyFont="1" applyBorder="1" applyAlignment="1" applyProtection="1">
      <alignment horizontal="center" vertical="center" wrapText="1"/>
      <protection locked="0"/>
    </xf>
    <xf numFmtId="43" fontId="6" fillId="0" borderId="4" xfId="6" applyFont="1" applyFill="1" applyBorder="1" applyAlignment="1" applyProtection="1">
      <alignment horizontal="center" vertical="center" wrapText="1"/>
      <protection locked="0"/>
    </xf>
    <xf numFmtId="43" fontId="6" fillId="0" borderId="7" xfId="6" applyFont="1" applyFill="1" applyBorder="1" applyAlignment="1" applyProtection="1">
      <alignment horizontal="center" vertical="center" wrapText="1"/>
      <protection locked="0"/>
    </xf>
  </cellXfs>
  <cellStyles count="22">
    <cellStyle name="Comma" xfId="21" builtinId="3"/>
    <cellStyle name="Comma 2" xfId="3" xr:uid="{9C1CE4B5-736F-488E-9190-69946E416BEF}"/>
    <cellStyle name="Comma 3" xfId="6" xr:uid="{0964C275-693B-45D9-930D-B0B6CA6D2227}"/>
    <cellStyle name="Comma 3 4 2" xfId="8" xr:uid="{EEE54344-5F7C-4C31-B00E-AFCF8061C0D2}"/>
    <cellStyle name="Comma 4" xfId="2" xr:uid="{9767EF44-2F48-4FFF-8187-AB1A10C1DEDF}"/>
    <cellStyle name="Comma 8" xfId="9" xr:uid="{B5E891AB-A4C0-4CF1-A16A-A2AB7676F69F}"/>
    <cellStyle name="Normal" xfId="0" builtinId="0"/>
    <cellStyle name="Normal 10" xfId="11" xr:uid="{4C5E2F10-25A3-4CD8-AF92-8B72B5701FFD}"/>
    <cellStyle name="Normal 2" xfId="1" xr:uid="{38CC561F-389E-47C8-84CF-FD57F51E001A}"/>
    <cellStyle name="Normal 3" xfId="4" xr:uid="{5DC4DB59-0803-40AF-B6C2-ECA63432D50A}"/>
    <cellStyle name="Normal 3 2 2" xfId="12" xr:uid="{95ED1FB5-89F2-4657-9A54-9CC08F10E0A1}"/>
    <cellStyle name="Normal 3 3" xfId="5" xr:uid="{19CC8511-B21C-49DD-B4C1-F12F3F42A50C}"/>
    <cellStyle name="Normal 4" xfId="10" xr:uid="{097AA3C1-C4A0-4E49-A0DE-48AE16728481}"/>
    <cellStyle name="Normal_INT-CERT 2_1" xfId="7" xr:uid="{D5FEA537-7DB2-42CF-81A4-D8F84C6C27C0}"/>
    <cellStyle name="S10" xfId="19" xr:uid="{3E54056C-0E93-420B-B98A-84B25FC9045C}"/>
    <cellStyle name="S11" xfId="15" xr:uid="{60CD8397-E6DC-4928-A7DF-D3FE894E07EC}"/>
    <cellStyle name="S12" xfId="16" xr:uid="{EFFE06F0-1A6F-4FE5-9F3C-ACDAF554F326}"/>
    <cellStyle name="S13" xfId="18" xr:uid="{A1A56BCE-3BEA-40E5-ACA2-C6FFB02D573F}"/>
    <cellStyle name="S6" xfId="13" xr:uid="{0C165EBF-857B-4D3E-A83C-87ACA73EC9E7}"/>
    <cellStyle name="S7" xfId="14" xr:uid="{1006E85D-DCA0-48FA-914C-A12AB3D04815}"/>
    <cellStyle name="S8" xfId="17" xr:uid="{2111EA60-EDA4-4B0F-9B54-FFB02EBE932F}"/>
    <cellStyle name="S9" xfId="20" xr:uid="{D15C826D-A85A-46EC-BA24-880AD23DBE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812-0458-4DB3-8754-2173B795A728}">
  <dimension ref="A1:J50"/>
  <sheetViews>
    <sheetView view="pageBreakPreview" zoomScaleNormal="100" zoomScaleSheetLayoutView="100" workbookViewId="0">
      <selection activeCell="Q33" sqref="Q33"/>
    </sheetView>
  </sheetViews>
  <sheetFormatPr defaultColWidth="8.6640625" defaultRowHeight="14.4" x14ac:dyDescent="0.3"/>
  <cols>
    <col min="1" max="16384" width="8.6640625" style="8"/>
  </cols>
  <sheetData>
    <row r="1" spans="1:10" x14ac:dyDescent="0.3">
      <c r="A1" s="7"/>
      <c r="B1" s="7"/>
      <c r="C1" s="7"/>
      <c r="D1" s="7"/>
      <c r="E1" s="7"/>
      <c r="F1" s="7"/>
      <c r="G1" s="7"/>
      <c r="H1" s="7"/>
      <c r="I1" s="7"/>
      <c r="J1" s="7"/>
    </row>
    <row r="2" spans="1:10" x14ac:dyDescent="0.3">
      <c r="A2" s="7"/>
      <c r="B2" s="7"/>
      <c r="C2" s="7"/>
      <c r="D2" s="7"/>
      <c r="E2" s="7"/>
      <c r="F2" s="7"/>
      <c r="G2" s="7"/>
      <c r="H2" s="7"/>
      <c r="I2" s="7"/>
      <c r="J2" s="7"/>
    </row>
    <row r="3" spans="1:10" x14ac:dyDescent="0.3">
      <c r="A3" s="7"/>
      <c r="B3" s="7"/>
      <c r="C3" s="7"/>
      <c r="D3" s="7"/>
      <c r="E3" s="7"/>
      <c r="F3" s="7"/>
      <c r="G3" s="7"/>
      <c r="H3" s="7"/>
      <c r="I3" s="7"/>
      <c r="J3" s="7"/>
    </row>
    <row r="4" spans="1:10" x14ac:dyDescent="0.3">
      <c r="A4" s="7"/>
      <c r="B4" s="7"/>
      <c r="C4" s="7"/>
      <c r="D4" s="7"/>
      <c r="E4" s="7"/>
      <c r="F4" s="7"/>
      <c r="G4" s="7"/>
      <c r="H4" s="7"/>
      <c r="I4" s="7"/>
      <c r="J4" s="7"/>
    </row>
    <row r="5" spans="1:10" x14ac:dyDescent="0.3">
      <c r="A5" s="7"/>
      <c r="B5" s="7"/>
      <c r="C5" s="7"/>
      <c r="D5" s="7"/>
      <c r="E5" s="7"/>
      <c r="F5" s="7"/>
      <c r="G5" s="7"/>
      <c r="H5" s="7"/>
      <c r="I5" s="7"/>
      <c r="J5" s="7"/>
    </row>
    <row r="6" spans="1:10" x14ac:dyDescent="0.3">
      <c r="A6" s="7"/>
      <c r="B6" s="7"/>
      <c r="C6" s="7"/>
      <c r="D6" s="7"/>
      <c r="E6" s="7"/>
      <c r="F6" s="7"/>
      <c r="G6" s="7"/>
      <c r="H6" s="7"/>
      <c r="I6" s="7"/>
      <c r="J6" s="7"/>
    </row>
    <row r="7" spans="1:10" x14ac:dyDescent="0.3">
      <c r="A7" s="7"/>
      <c r="B7" s="7"/>
      <c r="C7" s="7"/>
      <c r="D7" s="7"/>
      <c r="E7" s="7"/>
      <c r="F7" s="7"/>
      <c r="G7" s="7"/>
      <c r="H7" s="7"/>
      <c r="I7" s="7"/>
      <c r="J7" s="7"/>
    </row>
    <row r="8" spans="1:10" x14ac:dyDescent="0.3">
      <c r="A8" s="7"/>
      <c r="B8" s="7"/>
      <c r="C8" s="7"/>
      <c r="D8" s="7"/>
      <c r="E8" s="7"/>
      <c r="F8" s="7"/>
      <c r="G8" s="7"/>
      <c r="H8" s="7"/>
      <c r="I8" s="7"/>
      <c r="J8" s="7"/>
    </row>
    <row r="9" spans="1:10" x14ac:dyDescent="0.3">
      <c r="A9" s="7"/>
      <c r="B9" s="7"/>
      <c r="C9" s="7"/>
      <c r="D9" s="7"/>
      <c r="E9" s="7"/>
      <c r="F9" s="7"/>
      <c r="G9" s="7"/>
      <c r="H9" s="7"/>
      <c r="I9" s="7"/>
      <c r="J9" s="7"/>
    </row>
    <row r="10" spans="1:10" x14ac:dyDescent="0.3">
      <c r="A10" s="7"/>
      <c r="B10" s="7"/>
      <c r="C10" s="7"/>
      <c r="D10" s="7"/>
      <c r="E10" s="7"/>
      <c r="F10" s="7"/>
      <c r="G10" s="7"/>
      <c r="H10" s="7"/>
      <c r="I10" s="7"/>
      <c r="J10" s="7"/>
    </row>
    <row r="11" spans="1:10" x14ac:dyDescent="0.3">
      <c r="A11" s="7"/>
      <c r="B11" s="7"/>
      <c r="C11" s="7"/>
      <c r="D11" s="7"/>
      <c r="E11" s="7"/>
      <c r="F11" s="7"/>
      <c r="G11" s="7"/>
      <c r="H11" s="7"/>
      <c r="I11" s="7"/>
      <c r="J11" s="7"/>
    </row>
    <row r="12" spans="1:10" x14ac:dyDescent="0.3">
      <c r="A12" s="7"/>
      <c r="B12" s="7"/>
      <c r="C12" s="7"/>
      <c r="D12" s="7"/>
      <c r="E12" s="7"/>
      <c r="F12" s="7"/>
      <c r="G12" s="7"/>
      <c r="H12" s="7"/>
      <c r="I12" s="7"/>
      <c r="J12" s="7"/>
    </row>
    <row r="13" spans="1:10" x14ac:dyDescent="0.3">
      <c r="A13" s="7"/>
      <c r="B13" s="7"/>
      <c r="C13" s="7"/>
      <c r="D13" s="7"/>
      <c r="E13" s="7"/>
      <c r="F13" s="7"/>
      <c r="G13" s="7"/>
      <c r="H13" s="7"/>
      <c r="I13" s="7"/>
      <c r="J13" s="7"/>
    </row>
    <row r="14" spans="1:10" x14ac:dyDescent="0.3">
      <c r="A14" s="9"/>
      <c r="B14" s="9"/>
      <c r="C14" s="9"/>
      <c r="D14" s="9"/>
      <c r="E14" s="9"/>
      <c r="F14" s="9"/>
      <c r="G14" s="9"/>
      <c r="H14" s="9"/>
      <c r="I14" s="9"/>
      <c r="J14" s="9"/>
    </row>
    <row r="15" spans="1:10" x14ac:dyDescent="0.3">
      <c r="A15" s="9"/>
      <c r="B15" s="9"/>
      <c r="C15" s="9"/>
      <c r="D15" s="9"/>
      <c r="E15" s="9"/>
      <c r="F15" s="9"/>
      <c r="G15" s="9"/>
      <c r="H15" s="9"/>
      <c r="I15" s="9"/>
      <c r="J15" s="9"/>
    </row>
    <row r="16" spans="1:10" x14ac:dyDescent="0.3">
      <c r="A16" s="7"/>
      <c r="B16" s="7"/>
      <c r="C16" s="7"/>
      <c r="D16" s="7"/>
      <c r="E16" s="7"/>
      <c r="F16" s="7"/>
      <c r="G16" s="7"/>
      <c r="H16" s="7"/>
      <c r="I16" s="7"/>
      <c r="J16" s="7"/>
    </row>
    <row r="17" spans="1:10" x14ac:dyDescent="0.3">
      <c r="A17" s="7"/>
      <c r="B17" s="7"/>
      <c r="C17" s="7"/>
      <c r="D17" s="7"/>
      <c r="E17" s="7"/>
      <c r="F17" s="7"/>
      <c r="G17" s="7"/>
      <c r="H17" s="7"/>
      <c r="I17" s="7"/>
      <c r="J17" s="7"/>
    </row>
    <row r="18" spans="1:10" x14ac:dyDescent="0.3">
      <c r="A18" s="7"/>
      <c r="B18" s="7"/>
      <c r="C18" s="7"/>
      <c r="D18" s="7"/>
      <c r="E18" s="7"/>
      <c r="F18" s="7"/>
      <c r="G18" s="7"/>
      <c r="H18" s="7"/>
      <c r="I18" s="7"/>
      <c r="J18" s="7"/>
    </row>
    <row r="19" spans="1:10" x14ac:dyDescent="0.3">
      <c r="A19" s="7"/>
      <c r="B19" s="7"/>
      <c r="C19" s="7"/>
      <c r="D19" s="7"/>
      <c r="E19" s="7"/>
      <c r="F19" s="7"/>
      <c r="G19" s="7"/>
      <c r="H19" s="7"/>
      <c r="I19" s="7"/>
      <c r="J19" s="7"/>
    </row>
    <row r="20" spans="1:10" x14ac:dyDescent="0.3">
      <c r="A20" s="7"/>
      <c r="B20" s="7"/>
      <c r="C20" s="7"/>
      <c r="D20" s="7"/>
      <c r="E20" s="7"/>
      <c r="F20" s="7"/>
      <c r="G20" s="7"/>
      <c r="H20" s="7"/>
      <c r="I20" s="7"/>
      <c r="J20" s="7"/>
    </row>
    <row r="21" spans="1:10" x14ac:dyDescent="0.3">
      <c r="A21" s="7"/>
      <c r="B21" s="7"/>
      <c r="C21" s="7"/>
      <c r="D21" s="7"/>
      <c r="E21" s="7"/>
      <c r="F21" s="7"/>
      <c r="G21" s="7"/>
      <c r="H21" s="7"/>
      <c r="I21" s="7"/>
      <c r="J21" s="7"/>
    </row>
    <row r="22" spans="1:10" x14ac:dyDescent="0.3">
      <c r="A22" s="207" t="s">
        <v>0</v>
      </c>
      <c r="B22" s="207"/>
      <c r="C22" s="207"/>
      <c r="D22" s="207"/>
      <c r="E22" s="207"/>
      <c r="F22" s="207"/>
      <c r="G22" s="207"/>
      <c r="H22" s="207"/>
      <c r="I22" s="207"/>
      <c r="J22" s="207"/>
    </row>
    <row r="23" spans="1:10" x14ac:dyDescent="0.3">
      <c r="A23" s="10"/>
      <c r="B23" s="10"/>
      <c r="C23" s="10"/>
      <c r="D23" s="10"/>
      <c r="E23" s="10"/>
      <c r="F23" s="10"/>
      <c r="G23" s="10"/>
      <c r="H23" s="10"/>
      <c r="I23" s="10"/>
      <c r="J23" s="10"/>
    </row>
    <row r="24" spans="1:10" ht="15" customHeight="1" x14ac:dyDescent="0.3">
      <c r="A24" s="207" t="s">
        <v>553</v>
      </c>
      <c r="B24" s="207"/>
      <c r="C24" s="207"/>
      <c r="D24" s="207"/>
      <c r="E24" s="207"/>
      <c r="F24" s="207"/>
      <c r="G24" s="207"/>
      <c r="H24" s="207"/>
      <c r="I24" s="207"/>
      <c r="J24" s="207"/>
    </row>
    <row r="25" spans="1:10" x14ac:dyDescent="0.3">
      <c r="A25" s="10"/>
      <c r="B25" s="10"/>
      <c r="C25" s="10"/>
      <c r="D25" s="10"/>
      <c r="E25" s="10"/>
      <c r="F25" s="10"/>
      <c r="G25" s="10"/>
      <c r="H25" s="10"/>
      <c r="I25" s="10"/>
      <c r="J25" s="10"/>
    </row>
    <row r="26" spans="1:10" x14ac:dyDescent="0.3">
      <c r="A26" s="10"/>
      <c r="B26" s="10"/>
      <c r="C26" s="10"/>
      <c r="D26" s="10"/>
      <c r="E26" s="10"/>
      <c r="F26" s="10"/>
      <c r="G26" s="10"/>
      <c r="H26" s="10"/>
      <c r="I26" s="10"/>
      <c r="J26" s="10"/>
    </row>
    <row r="27" spans="1:10" x14ac:dyDescent="0.3">
      <c r="A27" s="11"/>
      <c r="B27" s="11"/>
      <c r="C27" s="11"/>
      <c r="D27" s="11"/>
      <c r="E27" s="11"/>
      <c r="F27" s="11"/>
      <c r="G27" s="11"/>
      <c r="H27" s="11"/>
      <c r="I27" s="11"/>
      <c r="J27" s="11"/>
    </row>
    <row r="28" spans="1:10" x14ac:dyDescent="0.3">
      <c r="A28" s="10"/>
      <c r="B28" s="10"/>
      <c r="C28" s="10"/>
      <c r="D28" s="10"/>
      <c r="E28" s="10"/>
      <c r="F28" s="10"/>
      <c r="G28" s="10"/>
      <c r="H28" s="10"/>
      <c r="I28" s="10"/>
      <c r="J28" s="10"/>
    </row>
    <row r="29" spans="1:10" x14ac:dyDescent="0.3">
      <c r="A29" s="10"/>
      <c r="B29" s="10"/>
      <c r="C29" s="10"/>
      <c r="D29" s="10"/>
      <c r="E29" s="10"/>
      <c r="F29" s="10"/>
      <c r="G29" s="10"/>
      <c r="H29" s="10"/>
      <c r="I29" s="10"/>
      <c r="J29" s="10"/>
    </row>
    <row r="30" spans="1:10" x14ac:dyDescent="0.3">
      <c r="A30" s="10"/>
      <c r="B30" s="10"/>
      <c r="C30" s="10"/>
      <c r="D30" s="10"/>
      <c r="E30" s="10"/>
      <c r="F30" s="10"/>
      <c r="G30" s="10"/>
      <c r="H30" s="10"/>
      <c r="I30" s="10"/>
      <c r="J30" s="10"/>
    </row>
    <row r="31" spans="1:10" x14ac:dyDescent="0.3">
      <c r="A31" s="12"/>
      <c r="B31" s="12"/>
      <c r="C31" s="12"/>
      <c r="D31" s="12"/>
      <c r="E31" s="12"/>
      <c r="F31" s="12"/>
      <c r="G31" s="12"/>
      <c r="H31" s="12"/>
      <c r="I31" s="12"/>
      <c r="J31" s="12"/>
    </row>
    <row r="32" spans="1:10" x14ac:dyDescent="0.3">
      <c r="A32" s="12"/>
      <c r="B32" s="12"/>
      <c r="C32" s="12"/>
      <c r="D32" s="12"/>
      <c r="E32" s="12"/>
      <c r="F32" s="12"/>
      <c r="G32" s="12"/>
      <c r="H32" s="12"/>
      <c r="I32" s="12"/>
      <c r="J32" s="12"/>
    </row>
    <row r="33" spans="1:10" x14ac:dyDescent="0.3">
      <c r="A33" s="10"/>
      <c r="B33" s="10"/>
      <c r="C33" s="10"/>
      <c r="D33" s="10"/>
      <c r="E33" s="10"/>
      <c r="F33" s="10"/>
      <c r="G33" s="10"/>
      <c r="H33" s="10"/>
      <c r="I33" s="10"/>
      <c r="J33" s="10"/>
    </row>
    <row r="34" spans="1:10" x14ac:dyDescent="0.3">
      <c r="A34" s="10"/>
      <c r="B34" s="10"/>
      <c r="C34" s="10"/>
      <c r="D34" s="10"/>
      <c r="E34" s="10"/>
      <c r="F34" s="10"/>
      <c r="G34" s="10"/>
      <c r="H34" s="10"/>
      <c r="I34" s="10"/>
      <c r="J34" s="10"/>
    </row>
    <row r="35" spans="1:10" x14ac:dyDescent="0.3">
      <c r="A35" s="10"/>
      <c r="B35" s="10"/>
      <c r="C35" s="10"/>
      <c r="D35" s="10"/>
      <c r="E35" s="10"/>
      <c r="F35" s="10"/>
      <c r="G35" s="10"/>
      <c r="H35" s="10"/>
      <c r="I35" s="10"/>
      <c r="J35" s="10"/>
    </row>
    <row r="36" spans="1:10" x14ac:dyDescent="0.3">
      <c r="A36" s="10"/>
      <c r="B36" s="10"/>
      <c r="C36" s="10"/>
      <c r="D36" s="10"/>
      <c r="E36" s="10"/>
      <c r="F36" s="10"/>
      <c r="G36" s="10"/>
      <c r="H36" s="10"/>
      <c r="I36" s="10"/>
      <c r="J36" s="10"/>
    </row>
    <row r="37" spans="1:10" x14ac:dyDescent="0.3">
      <c r="A37" s="10"/>
      <c r="B37" s="10"/>
      <c r="C37" s="10"/>
      <c r="D37" s="10"/>
      <c r="E37" s="10"/>
      <c r="F37" s="10"/>
      <c r="G37" s="10"/>
      <c r="H37" s="10"/>
      <c r="I37" s="10"/>
      <c r="J37" s="10"/>
    </row>
    <row r="38" spans="1:10" x14ac:dyDescent="0.3">
      <c r="A38" s="10"/>
      <c r="B38" s="10"/>
      <c r="C38" s="10"/>
      <c r="D38" s="10"/>
      <c r="E38" s="10"/>
      <c r="F38" s="10"/>
      <c r="G38" s="10"/>
      <c r="H38" s="10"/>
      <c r="I38" s="10"/>
      <c r="J38" s="10"/>
    </row>
    <row r="39" spans="1:10" x14ac:dyDescent="0.3">
      <c r="A39" s="10"/>
      <c r="B39" s="10"/>
      <c r="C39" s="10"/>
      <c r="D39" s="10"/>
      <c r="E39" s="10"/>
      <c r="F39" s="10"/>
      <c r="G39" s="10"/>
      <c r="H39" s="10"/>
      <c r="I39" s="10"/>
      <c r="J39" s="10"/>
    </row>
    <row r="40" spans="1:10" x14ac:dyDescent="0.3">
      <c r="A40" s="10"/>
      <c r="B40" s="10"/>
      <c r="C40" s="10"/>
      <c r="D40" s="10"/>
      <c r="E40" s="10"/>
      <c r="F40" s="10"/>
      <c r="G40" s="10"/>
      <c r="H40" s="10"/>
      <c r="I40" s="10"/>
      <c r="J40" s="10"/>
    </row>
    <row r="41" spans="1:10" x14ac:dyDescent="0.3">
      <c r="A41" s="10"/>
      <c r="B41" s="10"/>
      <c r="C41" s="10"/>
      <c r="D41" s="10"/>
      <c r="E41" s="10"/>
      <c r="F41" s="10"/>
      <c r="G41" s="10"/>
      <c r="H41" s="10"/>
      <c r="I41" s="10"/>
      <c r="J41" s="10"/>
    </row>
    <row r="42" spans="1:10" x14ac:dyDescent="0.3">
      <c r="A42" s="13"/>
      <c r="B42" s="14"/>
      <c r="C42" s="15"/>
      <c r="D42" s="16"/>
      <c r="E42" s="17"/>
      <c r="F42" s="17"/>
    </row>
    <row r="43" spans="1:10" x14ac:dyDescent="0.3">
      <c r="A43" s="13"/>
      <c r="B43" s="14"/>
      <c r="C43" s="15"/>
      <c r="D43" s="16"/>
      <c r="E43" s="17"/>
      <c r="F43" s="17"/>
    </row>
    <row r="44" spans="1:10" x14ac:dyDescent="0.3">
      <c r="A44" s="13"/>
      <c r="B44" s="14"/>
      <c r="C44" s="15"/>
      <c r="D44" s="16"/>
      <c r="E44" s="17"/>
      <c r="F44" s="17"/>
    </row>
    <row r="45" spans="1:10" x14ac:dyDescent="0.3">
      <c r="A45" s="13"/>
      <c r="B45" s="14"/>
      <c r="C45" s="15"/>
      <c r="D45" s="16"/>
      <c r="E45" s="17"/>
      <c r="F45" s="17"/>
    </row>
    <row r="46" spans="1:10" x14ac:dyDescent="0.3">
      <c r="A46" s="13"/>
      <c r="B46" s="14"/>
      <c r="C46" s="15"/>
      <c r="D46" s="16"/>
      <c r="E46" s="17"/>
      <c r="F46" s="17"/>
    </row>
    <row r="47" spans="1:10" x14ac:dyDescent="0.3">
      <c r="A47" s="13"/>
      <c r="B47" s="14"/>
      <c r="C47" s="15"/>
      <c r="D47" s="16"/>
      <c r="E47" s="17"/>
      <c r="F47" s="17"/>
    </row>
    <row r="48" spans="1:10" x14ac:dyDescent="0.3">
      <c r="A48" s="13"/>
      <c r="B48" s="14"/>
      <c r="C48" s="15"/>
      <c r="D48" s="16"/>
      <c r="E48" s="17"/>
      <c r="F48" s="17"/>
    </row>
    <row r="49" spans="1:6" x14ac:dyDescent="0.3">
      <c r="A49" s="13"/>
      <c r="B49" s="14"/>
      <c r="C49" s="15"/>
      <c r="D49" s="16"/>
      <c r="E49" s="17"/>
      <c r="F49" s="17"/>
    </row>
    <row r="50" spans="1:6" x14ac:dyDescent="0.3">
      <c r="A50" s="13"/>
      <c r="B50" s="14"/>
      <c r="C50" s="15"/>
      <c r="D50" s="16"/>
      <c r="E50" s="17"/>
      <c r="F50" s="17"/>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E800-2C75-468A-B9E9-F32D69257876}">
  <dimension ref="A1:G619"/>
  <sheetViews>
    <sheetView view="pageBreakPreview" zoomScale="85" zoomScaleNormal="100" zoomScaleSheetLayoutView="85" zoomScalePageLayoutView="70" workbookViewId="0">
      <pane ySplit="2" topLeftCell="A3" activePane="bottomLeft" state="frozen"/>
      <selection activeCell="Q33" sqref="Q33"/>
      <selection pane="bottomLeft" activeCell="J14" sqref="J14"/>
    </sheetView>
  </sheetViews>
  <sheetFormatPr defaultColWidth="9.33203125" defaultRowHeight="13.8" x14ac:dyDescent="0.25"/>
  <cols>
    <col min="1" max="1" width="5.6640625" style="200" customWidth="1"/>
    <col min="2" max="2" width="44.33203125" style="201" customWidth="1"/>
    <col min="3" max="3" width="10.6640625" style="202" customWidth="1"/>
    <col min="4" max="4" width="6.6640625" style="76" customWidth="1"/>
    <col min="5" max="5" width="12.44140625" style="189" customWidth="1"/>
    <col min="6" max="6" width="15.6640625" style="132" customWidth="1"/>
    <col min="7" max="7" width="9.5546875" style="176" customWidth="1"/>
    <col min="8" max="16384" width="9.33203125" style="75"/>
  </cols>
  <sheetData>
    <row r="1" spans="1:7" s="67" customFormat="1" ht="14.4" x14ac:dyDescent="0.25">
      <c r="A1" s="208" t="s">
        <v>1</v>
      </c>
      <c r="B1" s="208" t="s">
        <v>2</v>
      </c>
      <c r="C1" s="210" t="s">
        <v>3</v>
      </c>
      <c r="D1" s="212" t="s">
        <v>4</v>
      </c>
      <c r="E1" s="185" t="s">
        <v>5</v>
      </c>
      <c r="F1" s="125" t="s">
        <v>6</v>
      </c>
      <c r="G1" s="214" t="s">
        <v>582</v>
      </c>
    </row>
    <row r="2" spans="1:7" s="67" customFormat="1" ht="14.4" x14ac:dyDescent="0.25">
      <c r="A2" s="209"/>
      <c r="B2" s="209"/>
      <c r="C2" s="211"/>
      <c r="D2" s="213"/>
      <c r="E2" s="186" t="s">
        <v>7</v>
      </c>
      <c r="F2" s="126" t="s">
        <v>7</v>
      </c>
      <c r="G2" s="215"/>
    </row>
    <row r="3" spans="1:7" s="72" customFormat="1" ht="14.4" x14ac:dyDescent="0.25">
      <c r="A3" s="68"/>
      <c r="B3" s="69"/>
      <c r="C3" s="66"/>
      <c r="D3" s="70"/>
      <c r="E3" s="187"/>
      <c r="F3" s="127"/>
      <c r="G3" s="172"/>
    </row>
    <row r="4" spans="1:7" x14ac:dyDescent="0.25">
      <c r="A4" s="79"/>
      <c r="B4" s="102" t="s">
        <v>8</v>
      </c>
      <c r="C4" s="81"/>
      <c r="D4" s="78"/>
      <c r="E4" s="188"/>
      <c r="F4" s="128"/>
      <c r="G4" s="158"/>
    </row>
    <row r="5" spans="1:7" x14ac:dyDescent="0.25">
      <c r="A5" s="79"/>
      <c r="B5" s="80"/>
      <c r="C5" s="81"/>
      <c r="D5" s="78"/>
      <c r="E5" s="188"/>
      <c r="F5" s="128"/>
      <c r="G5" s="158"/>
    </row>
    <row r="6" spans="1:7" ht="27.6" customHeight="1" x14ac:dyDescent="0.25">
      <c r="A6" s="79"/>
      <c r="B6" s="99" t="s">
        <v>562</v>
      </c>
      <c r="C6" s="81"/>
      <c r="D6" s="78"/>
      <c r="E6" s="188"/>
      <c r="F6" s="128"/>
      <c r="G6" s="158"/>
    </row>
    <row r="7" spans="1:7" x14ac:dyDescent="0.25">
      <c r="A7" s="79"/>
      <c r="B7" s="60"/>
      <c r="C7" s="81"/>
      <c r="D7" s="78"/>
      <c r="E7" s="188"/>
      <c r="F7" s="128"/>
      <c r="G7" s="158"/>
    </row>
    <row r="8" spans="1:7" x14ac:dyDescent="0.25">
      <c r="A8" s="63"/>
      <c r="B8" s="82" t="s">
        <v>9</v>
      </c>
      <c r="C8" s="100"/>
      <c r="D8" s="101"/>
      <c r="E8" s="188"/>
      <c r="F8" s="128"/>
      <c r="G8" s="158"/>
    </row>
    <row r="9" spans="1:7" x14ac:dyDescent="0.25">
      <c r="A9" s="79"/>
      <c r="B9" s="60"/>
      <c r="C9" s="81"/>
      <c r="D9" s="78"/>
      <c r="E9" s="188"/>
      <c r="F9" s="128"/>
      <c r="G9" s="158"/>
    </row>
    <row r="10" spans="1:7" x14ac:dyDescent="0.25">
      <c r="A10" s="63"/>
      <c r="B10" s="82" t="s">
        <v>10</v>
      </c>
      <c r="C10" s="100"/>
      <c r="D10" s="101"/>
      <c r="E10" s="188"/>
      <c r="F10" s="128"/>
      <c r="G10" s="158"/>
    </row>
    <row r="11" spans="1:7" x14ac:dyDescent="0.25">
      <c r="A11" s="79"/>
      <c r="B11" s="60"/>
      <c r="C11" s="81"/>
      <c r="D11" s="78"/>
      <c r="E11" s="188"/>
      <c r="F11" s="128"/>
      <c r="G11" s="158"/>
    </row>
    <row r="12" spans="1:7" ht="27.6" x14ac:dyDescent="0.25">
      <c r="A12" s="63"/>
      <c r="B12" s="82" t="s">
        <v>11</v>
      </c>
      <c r="C12" s="100"/>
      <c r="D12" s="101"/>
      <c r="E12" s="188"/>
      <c r="F12" s="128"/>
      <c r="G12" s="158"/>
    </row>
    <row r="13" spans="1:7" x14ac:dyDescent="0.25">
      <c r="A13" s="79"/>
      <c r="B13" s="60"/>
      <c r="C13" s="81"/>
      <c r="D13" s="78"/>
      <c r="E13" s="188"/>
      <c r="F13" s="128"/>
      <c r="G13" s="158"/>
    </row>
    <row r="14" spans="1:7" ht="51" customHeight="1" x14ac:dyDescent="0.25">
      <c r="A14" s="63"/>
      <c r="B14" s="83" t="s">
        <v>587</v>
      </c>
      <c r="C14" s="100"/>
      <c r="D14" s="101"/>
      <c r="E14" s="188"/>
      <c r="F14" s="128"/>
      <c r="G14" s="158"/>
    </row>
    <row r="15" spans="1:7" x14ac:dyDescent="0.25">
      <c r="A15" s="79"/>
      <c r="B15" s="60"/>
      <c r="C15" s="81"/>
      <c r="D15" s="78"/>
      <c r="E15" s="188"/>
      <c r="F15" s="128"/>
      <c r="G15" s="158"/>
    </row>
    <row r="16" spans="1:7" x14ac:dyDescent="0.25">
      <c r="A16" s="63" t="s">
        <v>12</v>
      </c>
      <c r="B16" s="82" t="s">
        <v>13</v>
      </c>
      <c r="C16" s="100" t="s">
        <v>14</v>
      </c>
      <c r="D16" s="101" t="s">
        <v>15</v>
      </c>
      <c r="E16" s="188">
        <v>21.34</v>
      </c>
      <c r="F16" s="128">
        <f>E16*C16</f>
        <v>145816.22</v>
      </c>
      <c r="G16" s="158"/>
    </row>
    <row r="17" spans="1:7" x14ac:dyDescent="0.25">
      <c r="A17" s="79"/>
      <c r="B17" s="60"/>
      <c r="C17" s="81"/>
      <c r="D17" s="78"/>
      <c r="E17" s="188"/>
      <c r="F17" s="128"/>
      <c r="G17" s="158"/>
    </row>
    <row r="18" spans="1:7" x14ac:dyDescent="0.25">
      <c r="A18" s="63" t="s">
        <v>16</v>
      </c>
      <c r="B18" s="82" t="s">
        <v>17</v>
      </c>
      <c r="C18" s="100" t="s">
        <v>18</v>
      </c>
      <c r="D18" s="101" t="s">
        <v>15</v>
      </c>
      <c r="E18" s="188">
        <v>21.34</v>
      </c>
      <c r="F18" s="128">
        <f>E18*C18</f>
        <v>86981.84</v>
      </c>
      <c r="G18" s="158"/>
    </row>
    <row r="19" spans="1:7" x14ac:dyDescent="0.25">
      <c r="A19" s="79"/>
      <c r="B19" s="60"/>
      <c r="C19" s="81"/>
      <c r="D19" s="78"/>
      <c r="E19" s="188"/>
      <c r="F19" s="128"/>
      <c r="G19" s="158"/>
    </row>
    <row r="20" spans="1:7" ht="27.6" x14ac:dyDescent="0.25">
      <c r="A20" s="63" t="s">
        <v>19</v>
      </c>
      <c r="B20" s="82" t="s">
        <v>20</v>
      </c>
      <c r="C20" s="100" t="s">
        <v>21</v>
      </c>
      <c r="D20" s="101" t="s">
        <v>15</v>
      </c>
      <c r="E20" s="188">
        <v>21.34</v>
      </c>
      <c r="F20" s="128">
        <f>E20*C20</f>
        <v>67562.44</v>
      </c>
      <c r="G20" s="158"/>
    </row>
    <row r="21" spans="1:7" x14ac:dyDescent="0.25">
      <c r="A21" s="79"/>
      <c r="B21" s="60"/>
      <c r="C21" s="81"/>
      <c r="D21" s="78"/>
      <c r="E21" s="188"/>
      <c r="F21" s="128"/>
      <c r="G21" s="158"/>
    </row>
    <row r="22" spans="1:7" x14ac:dyDescent="0.25">
      <c r="A22" s="63" t="s">
        <v>22</v>
      </c>
      <c r="B22" s="82" t="s">
        <v>23</v>
      </c>
      <c r="C22" s="100" t="s">
        <v>24</v>
      </c>
      <c r="D22" s="101" t="s">
        <v>15</v>
      </c>
      <c r="E22" s="188">
        <v>34.69</v>
      </c>
      <c r="F22" s="128">
        <f>E22*C22</f>
        <v>117980.68999999999</v>
      </c>
      <c r="G22" s="158"/>
    </row>
    <row r="23" spans="1:7" x14ac:dyDescent="0.25">
      <c r="A23" s="79"/>
      <c r="B23" s="60"/>
      <c r="C23" s="81"/>
      <c r="D23" s="78"/>
      <c r="E23" s="188"/>
      <c r="F23" s="128"/>
      <c r="G23" s="158"/>
    </row>
    <row r="24" spans="1:7" x14ac:dyDescent="0.25">
      <c r="A24" s="63" t="s">
        <v>25</v>
      </c>
      <c r="B24" s="82" t="s">
        <v>26</v>
      </c>
      <c r="C24" s="100" t="s">
        <v>27</v>
      </c>
      <c r="D24" s="101" t="s">
        <v>15</v>
      </c>
      <c r="E24" s="188">
        <v>34.69</v>
      </c>
      <c r="F24" s="128">
        <f>E24*C24</f>
        <v>8013.3899999999994</v>
      </c>
      <c r="G24" s="158"/>
    </row>
    <row r="25" spans="1:7" x14ac:dyDescent="0.25">
      <c r="A25" s="79"/>
      <c r="B25" s="60"/>
      <c r="C25" s="81"/>
      <c r="D25" s="78"/>
      <c r="E25" s="188"/>
      <c r="F25" s="128"/>
      <c r="G25" s="158"/>
    </row>
    <row r="26" spans="1:7" ht="41.4" x14ac:dyDescent="0.25">
      <c r="A26" s="63"/>
      <c r="B26" s="83" t="s">
        <v>588</v>
      </c>
      <c r="C26" s="100"/>
      <c r="D26" s="101"/>
      <c r="E26" s="188"/>
      <c r="F26" s="128"/>
      <c r="G26" s="158"/>
    </row>
    <row r="27" spans="1:7" x14ac:dyDescent="0.25">
      <c r="A27" s="79"/>
      <c r="B27" s="60"/>
      <c r="C27" s="81"/>
      <c r="D27" s="78"/>
      <c r="E27" s="188"/>
      <c r="F27" s="128"/>
      <c r="G27" s="158"/>
    </row>
    <row r="28" spans="1:7" x14ac:dyDescent="0.25">
      <c r="A28" s="63" t="s">
        <v>28</v>
      </c>
      <c r="B28" s="82" t="s">
        <v>29</v>
      </c>
      <c r="C28" s="100" t="s">
        <v>30</v>
      </c>
      <c r="D28" s="101" t="s">
        <v>15</v>
      </c>
      <c r="E28" s="188">
        <v>70.42</v>
      </c>
      <c r="F28" s="128">
        <f>E28*C28</f>
        <v>1246926.94</v>
      </c>
      <c r="G28" s="158"/>
    </row>
    <row r="29" spans="1:7" x14ac:dyDescent="0.25">
      <c r="A29" s="79"/>
      <c r="B29" s="60"/>
      <c r="C29" s="81"/>
      <c r="D29" s="78"/>
      <c r="E29" s="188"/>
      <c r="F29" s="128"/>
      <c r="G29" s="158"/>
    </row>
    <row r="30" spans="1:7" x14ac:dyDescent="0.25">
      <c r="A30" s="85"/>
      <c r="B30" s="86"/>
      <c r="C30" s="64"/>
      <c r="D30" s="65"/>
      <c r="E30" s="188"/>
      <c r="F30" s="128"/>
      <c r="G30" s="158"/>
    </row>
    <row r="31" spans="1:7" x14ac:dyDescent="0.25">
      <c r="A31" s="79"/>
      <c r="B31" s="60"/>
      <c r="C31" s="81"/>
      <c r="D31" s="78"/>
      <c r="E31" s="188"/>
      <c r="F31" s="128"/>
      <c r="G31" s="158"/>
    </row>
    <row r="32" spans="1:7" x14ac:dyDescent="0.25">
      <c r="A32" s="85"/>
      <c r="B32" s="86"/>
      <c r="C32" s="64"/>
      <c r="D32" s="65"/>
      <c r="E32" s="188"/>
      <c r="F32" s="128"/>
      <c r="G32" s="158"/>
    </row>
    <row r="33" spans="1:7" x14ac:dyDescent="0.25">
      <c r="A33" s="79"/>
      <c r="B33" s="60"/>
      <c r="C33" s="81"/>
      <c r="D33" s="78"/>
      <c r="E33" s="188"/>
      <c r="F33" s="128"/>
      <c r="G33" s="158"/>
    </row>
    <row r="34" spans="1:7" x14ac:dyDescent="0.25">
      <c r="A34" s="85"/>
      <c r="B34" s="86"/>
      <c r="C34" s="64"/>
      <c r="D34" s="65"/>
      <c r="E34" s="188"/>
      <c r="F34" s="128"/>
      <c r="G34" s="158"/>
    </row>
    <row r="35" spans="1:7" x14ac:dyDescent="0.25">
      <c r="A35" s="79"/>
      <c r="B35" s="60"/>
      <c r="C35" s="81"/>
      <c r="D35" s="78"/>
      <c r="E35" s="188"/>
      <c r="F35" s="128"/>
      <c r="G35" s="158"/>
    </row>
    <row r="36" spans="1:7" x14ac:dyDescent="0.25">
      <c r="A36" s="85"/>
      <c r="B36" s="86"/>
      <c r="C36" s="64"/>
      <c r="D36" s="65"/>
      <c r="E36" s="188"/>
      <c r="F36" s="128"/>
      <c r="G36" s="158"/>
    </row>
    <row r="37" spans="1:7" x14ac:dyDescent="0.25">
      <c r="A37" s="60"/>
      <c r="B37" s="61"/>
      <c r="C37" s="60"/>
      <c r="D37" s="62"/>
      <c r="E37" s="188"/>
      <c r="F37" s="128"/>
      <c r="G37" s="158"/>
    </row>
    <row r="38" spans="1:7" x14ac:dyDescent="0.25">
      <c r="A38" s="60"/>
      <c r="B38" s="61"/>
      <c r="C38" s="60"/>
      <c r="D38" s="62"/>
      <c r="E38" s="188"/>
      <c r="F38" s="128"/>
      <c r="G38" s="158"/>
    </row>
    <row r="39" spans="1:7" x14ac:dyDescent="0.25">
      <c r="A39" s="60"/>
      <c r="B39" s="61"/>
      <c r="C39" s="60"/>
      <c r="D39" s="62"/>
      <c r="E39" s="188"/>
      <c r="F39" s="128"/>
      <c r="G39" s="158"/>
    </row>
    <row r="40" spans="1:7" x14ac:dyDescent="0.25">
      <c r="A40" s="79"/>
      <c r="B40" s="80"/>
      <c r="C40" s="81"/>
      <c r="D40" s="78"/>
      <c r="E40" s="188"/>
      <c r="F40" s="128"/>
      <c r="G40" s="158"/>
    </row>
    <row r="41" spans="1:7" x14ac:dyDescent="0.25">
      <c r="A41" s="79"/>
      <c r="B41" s="60"/>
      <c r="C41" s="81"/>
      <c r="D41" s="78"/>
      <c r="E41" s="188"/>
      <c r="F41" s="128"/>
      <c r="G41" s="158"/>
    </row>
    <row r="42" spans="1:7" x14ac:dyDescent="0.25">
      <c r="A42" s="85"/>
      <c r="B42" s="86"/>
      <c r="C42" s="64"/>
      <c r="D42" s="65"/>
      <c r="E42" s="188"/>
      <c r="F42" s="128"/>
      <c r="G42" s="158"/>
    </row>
    <row r="43" spans="1:7" x14ac:dyDescent="0.25">
      <c r="A43" s="79"/>
      <c r="B43" s="60"/>
      <c r="C43" s="81"/>
      <c r="D43" s="78"/>
      <c r="E43" s="188"/>
      <c r="F43" s="128"/>
      <c r="G43" s="158"/>
    </row>
    <row r="44" spans="1:7" x14ac:dyDescent="0.25">
      <c r="A44" s="85"/>
      <c r="B44" s="86"/>
      <c r="C44" s="64"/>
      <c r="D44" s="65"/>
      <c r="E44" s="188"/>
      <c r="F44" s="128"/>
      <c r="G44" s="158"/>
    </row>
    <row r="45" spans="1:7" x14ac:dyDescent="0.25">
      <c r="A45" s="79"/>
      <c r="B45" s="60"/>
      <c r="C45" s="81"/>
      <c r="D45" s="78"/>
      <c r="E45" s="188"/>
      <c r="F45" s="128"/>
      <c r="G45" s="158"/>
    </row>
    <row r="46" spans="1:7" x14ac:dyDescent="0.25">
      <c r="A46" s="85"/>
      <c r="B46" s="82"/>
      <c r="C46" s="64"/>
      <c r="D46" s="65"/>
      <c r="E46" s="188"/>
      <c r="F46" s="128"/>
      <c r="G46" s="158"/>
    </row>
    <row r="47" spans="1:7" x14ac:dyDescent="0.25">
      <c r="A47" s="79"/>
      <c r="B47" s="60"/>
      <c r="C47" s="81"/>
      <c r="D47" s="78"/>
      <c r="E47" s="188"/>
      <c r="F47" s="128"/>
      <c r="G47" s="158"/>
    </row>
    <row r="48" spans="1:7" x14ac:dyDescent="0.25">
      <c r="A48" s="89"/>
      <c r="B48" s="90"/>
      <c r="C48" s="91"/>
      <c r="D48" s="92"/>
      <c r="E48" s="135"/>
      <c r="F48" s="129"/>
      <c r="G48" s="173"/>
    </row>
    <row r="49" spans="1:7" x14ac:dyDescent="0.25">
      <c r="A49" s="93"/>
      <c r="B49" s="94"/>
      <c r="C49" s="95" t="s">
        <v>31</v>
      </c>
      <c r="D49" s="95"/>
      <c r="E49" s="189" t="s">
        <v>7</v>
      </c>
      <c r="F49" s="130">
        <f>SUM(F3:F47)</f>
        <v>1673281.52</v>
      </c>
      <c r="G49" s="174"/>
    </row>
    <row r="50" spans="1:7" x14ac:dyDescent="0.25">
      <c r="A50" s="93"/>
      <c r="B50" s="94"/>
      <c r="C50" s="97"/>
      <c r="D50" s="98"/>
      <c r="E50" s="137"/>
      <c r="F50" s="131"/>
      <c r="G50" s="175"/>
    </row>
    <row r="51" spans="1:7" x14ac:dyDescent="0.25">
      <c r="A51" s="79"/>
      <c r="B51" s="60"/>
      <c r="C51" s="81"/>
      <c r="D51" s="78"/>
      <c r="E51" s="188"/>
      <c r="F51" s="128"/>
      <c r="G51" s="158"/>
    </row>
    <row r="52" spans="1:7" x14ac:dyDescent="0.25">
      <c r="A52" s="79"/>
      <c r="B52" s="99" t="s">
        <v>32</v>
      </c>
      <c r="C52" s="81"/>
      <c r="D52" s="78"/>
      <c r="E52" s="188"/>
      <c r="F52" s="128"/>
      <c r="G52" s="158"/>
    </row>
    <row r="53" spans="1:7" x14ac:dyDescent="0.25">
      <c r="A53" s="79"/>
      <c r="B53" s="60"/>
      <c r="C53" s="81"/>
      <c r="D53" s="78"/>
      <c r="E53" s="188"/>
      <c r="F53" s="128"/>
      <c r="G53" s="158"/>
    </row>
    <row r="54" spans="1:7" x14ac:dyDescent="0.25">
      <c r="A54" s="63"/>
      <c r="B54" s="82" t="s">
        <v>33</v>
      </c>
      <c r="C54" s="100"/>
      <c r="D54" s="101"/>
      <c r="E54" s="188"/>
      <c r="F54" s="128"/>
      <c r="G54" s="158"/>
    </row>
    <row r="55" spans="1:7" x14ac:dyDescent="0.25">
      <c r="A55" s="79"/>
      <c r="B55" s="60"/>
      <c r="C55" s="81"/>
      <c r="D55" s="78"/>
      <c r="E55" s="188"/>
      <c r="F55" s="128"/>
      <c r="G55" s="158"/>
    </row>
    <row r="56" spans="1:7" ht="27.6" x14ac:dyDescent="0.25">
      <c r="A56" s="63"/>
      <c r="B56" s="82" t="s">
        <v>34</v>
      </c>
      <c r="C56" s="100"/>
      <c r="D56" s="101"/>
      <c r="E56" s="188"/>
      <c r="F56" s="128"/>
      <c r="G56" s="158"/>
    </row>
    <row r="57" spans="1:7" x14ac:dyDescent="0.25">
      <c r="A57" s="79"/>
      <c r="B57" s="60"/>
      <c r="C57" s="81"/>
      <c r="D57" s="78"/>
      <c r="E57" s="188"/>
      <c r="F57" s="128"/>
      <c r="G57" s="158"/>
    </row>
    <row r="58" spans="1:7" ht="27.6" x14ac:dyDescent="0.25">
      <c r="A58" s="63"/>
      <c r="B58" s="82" t="s">
        <v>35</v>
      </c>
      <c r="C58" s="100"/>
      <c r="D58" s="101"/>
      <c r="E58" s="188"/>
      <c r="F58" s="128"/>
      <c r="G58" s="158"/>
    </row>
    <row r="59" spans="1:7" x14ac:dyDescent="0.25">
      <c r="A59" s="79"/>
      <c r="B59" s="60"/>
      <c r="C59" s="81"/>
      <c r="D59" s="78"/>
      <c r="E59" s="188"/>
      <c r="F59" s="128"/>
      <c r="G59" s="158"/>
    </row>
    <row r="60" spans="1:7" ht="27.6" x14ac:dyDescent="0.25">
      <c r="A60" s="63"/>
      <c r="B60" s="82" t="s">
        <v>36</v>
      </c>
      <c r="C60" s="100"/>
      <c r="D60" s="101"/>
      <c r="E60" s="188"/>
      <c r="F60" s="128"/>
      <c r="G60" s="158"/>
    </row>
    <row r="61" spans="1:7" x14ac:dyDescent="0.25">
      <c r="A61" s="79"/>
      <c r="B61" s="60"/>
      <c r="C61" s="81"/>
      <c r="D61" s="78"/>
      <c r="E61" s="188"/>
      <c r="F61" s="128"/>
      <c r="G61" s="158"/>
    </row>
    <row r="62" spans="1:7" ht="27.6" x14ac:dyDescent="0.25">
      <c r="A62" s="63"/>
      <c r="B62" s="82" t="s">
        <v>37</v>
      </c>
      <c r="C62" s="100"/>
      <c r="D62" s="101"/>
      <c r="E62" s="188"/>
      <c r="F62" s="128"/>
      <c r="G62" s="158"/>
    </row>
    <row r="63" spans="1:7" x14ac:dyDescent="0.25">
      <c r="A63" s="79"/>
      <c r="B63" s="60"/>
      <c r="C63" s="81"/>
      <c r="D63" s="78"/>
      <c r="E63" s="188"/>
      <c r="F63" s="128"/>
      <c r="G63" s="158"/>
    </row>
    <row r="64" spans="1:7" ht="27.6" x14ac:dyDescent="0.25">
      <c r="A64" s="63"/>
      <c r="B64" s="83" t="s">
        <v>38</v>
      </c>
      <c r="C64" s="100"/>
      <c r="D64" s="101"/>
      <c r="E64" s="188"/>
      <c r="F64" s="128"/>
      <c r="G64" s="158"/>
    </row>
    <row r="65" spans="1:7" x14ac:dyDescent="0.25">
      <c r="A65" s="79"/>
      <c r="B65" s="60"/>
      <c r="C65" s="81"/>
      <c r="D65" s="78"/>
      <c r="E65" s="188"/>
      <c r="F65" s="128"/>
      <c r="G65" s="158"/>
    </row>
    <row r="66" spans="1:7" x14ac:dyDescent="0.25">
      <c r="A66" s="63" t="s">
        <v>12</v>
      </c>
      <c r="B66" s="82" t="s">
        <v>39</v>
      </c>
      <c r="C66" s="100">
        <v>2266</v>
      </c>
      <c r="D66" s="101" t="s">
        <v>40</v>
      </c>
      <c r="E66" s="188">
        <v>102.25</v>
      </c>
      <c r="F66" s="128">
        <f>E66*C66</f>
        <v>231698.5</v>
      </c>
      <c r="G66" s="158"/>
    </row>
    <row r="67" spans="1:7" x14ac:dyDescent="0.25">
      <c r="A67" s="79"/>
      <c r="B67" s="60"/>
      <c r="C67" s="81"/>
      <c r="D67" s="78"/>
      <c r="E67" s="188"/>
      <c r="F67" s="128"/>
      <c r="G67" s="158"/>
    </row>
    <row r="68" spans="1:7" x14ac:dyDescent="0.25">
      <c r="A68" s="63" t="s">
        <v>16</v>
      </c>
      <c r="B68" s="82" t="s">
        <v>41</v>
      </c>
      <c r="C68" s="100">
        <v>769</v>
      </c>
      <c r="D68" s="101" t="s">
        <v>40</v>
      </c>
      <c r="E68" s="188">
        <v>102.25</v>
      </c>
      <c r="F68" s="128">
        <f>E68*C68</f>
        <v>78630.25</v>
      </c>
      <c r="G68" s="158"/>
    </row>
    <row r="69" spans="1:7" x14ac:dyDescent="0.25">
      <c r="A69" s="79"/>
      <c r="B69" s="60"/>
      <c r="C69" s="81"/>
      <c r="D69" s="78"/>
      <c r="E69" s="188"/>
      <c r="F69" s="128"/>
      <c r="G69" s="158"/>
    </row>
    <row r="70" spans="1:7" ht="27.6" x14ac:dyDescent="0.25">
      <c r="A70" s="63"/>
      <c r="B70" s="83" t="s">
        <v>42</v>
      </c>
      <c r="C70" s="100"/>
      <c r="D70" s="101"/>
      <c r="E70" s="188"/>
      <c r="F70" s="128"/>
      <c r="G70" s="158"/>
    </row>
    <row r="71" spans="1:7" x14ac:dyDescent="0.25">
      <c r="A71" s="79"/>
      <c r="B71" s="60"/>
      <c r="C71" s="81"/>
      <c r="D71" s="78"/>
      <c r="E71" s="188"/>
      <c r="F71" s="128"/>
      <c r="G71" s="158"/>
    </row>
    <row r="72" spans="1:7" x14ac:dyDescent="0.25">
      <c r="A72" s="63" t="s">
        <v>19</v>
      </c>
      <c r="B72" s="82" t="s">
        <v>43</v>
      </c>
      <c r="C72" s="100">
        <v>8176</v>
      </c>
      <c r="D72" s="101" t="s">
        <v>40</v>
      </c>
      <c r="E72" s="188">
        <v>15.19</v>
      </c>
      <c r="F72" s="128">
        <f>E72*C72</f>
        <v>124193.44</v>
      </c>
      <c r="G72" s="158"/>
    </row>
    <row r="73" spans="1:7" x14ac:dyDescent="0.25">
      <c r="A73" s="79"/>
      <c r="B73" s="60"/>
      <c r="C73" s="81"/>
      <c r="D73" s="78"/>
      <c r="E73" s="188"/>
      <c r="F73" s="128"/>
      <c r="G73" s="158"/>
    </row>
    <row r="74" spans="1:7" x14ac:dyDescent="0.25">
      <c r="A74" s="63" t="s">
        <v>22</v>
      </c>
      <c r="B74" s="82" t="s">
        <v>44</v>
      </c>
      <c r="C74" s="100">
        <v>6247</v>
      </c>
      <c r="D74" s="101" t="s">
        <v>40</v>
      </c>
      <c r="E74" s="188">
        <v>15.19</v>
      </c>
      <c r="F74" s="128">
        <f>E74*C74</f>
        <v>94891.93</v>
      </c>
      <c r="G74" s="158"/>
    </row>
    <row r="75" spans="1:7" x14ac:dyDescent="0.25">
      <c r="A75" s="79"/>
      <c r="B75" s="60"/>
      <c r="C75" s="81"/>
      <c r="D75" s="78"/>
      <c r="E75" s="188"/>
      <c r="F75" s="128"/>
      <c r="G75" s="158"/>
    </row>
    <row r="76" spans="1:7" ht="27.6" x14ac:dyDescent="0.25">
      <c r="A76" s="63"/>
      <c r="B76" s="83" t="s">
        <v>45</v>
      </c>
      <c r="C76" s="100"/>
      <c r="D76" s="101"/>
      <c r="E76" s="188"/>
      <c r="F76" s="128"/>
      <c r="G76" s="158"/>
    </row>
    <row r="77" spans="1:7" x14ac:dyDescent="0.25">
      <c r="A77" s="79"/>
      <c r="B77" s="60"/>
      <c r="C77" s="81"/>
      <c r="D77" s="78"/>
      <c r="E77" s="188"/>
      <c r="F77" s="128"/>
      <c r="G77" s="158"/>
    </row>
    <row r="78" spans="1:7" x14ac:dyDescent="0.25">
      <c r="A78" s="63" t="s">
        <v>25</v>
      </c>
      <c r="B78" s="82" t="s">
        <v>46</v>
      </c>
      <c r="C78" s="100">
        <v>2368</v>
      </c>
      <c r="D78" s="101" t="s">
        <v>40</v>
      </c>
      <c r="E78" s="188">
        <v>60</v>
      </c>
      <c r="F78" s="128">
        <f>E78*C78</f>
        <v>142080</v>
      </c>
      <c r="G78" s="158"/>
    </row>
    <row r="79" spans="1:7" x14ac:dyDescent="0.25">
      <c r="A79" s="79"/>
      <c r="B79" s="60"/>
      <c r="C79" s="81"/>
      <c r="D79" s="78"/>
      <c r="E79" s="188"/>
      <c r="F79" s="128"/>
      <c r="G79" s="158"/>
    </row>
    <row r="80" spans="1:7" x14ac:dyDescent="0.25">
      <c r="A80" s="63" t="s">
        <v>28</v>
      </c>
      <c r="B80" s="82" t="s">
        <v>47</v>
      </c>
      <c r="C80" s="100">
        <v>769</v>
      </c>
      <c r="D80" s="101" t="s">
        <v>40</v>
      </c>
      <c r="E80" s="188">
        <v>85.61</v>
      </c>
      <c r="F80" s="128">
        <f>E80*C80</f>
        <v>65834.09</v>
      </c>
      <c r="G80" s="158"/>
    </row>
    <row r="81" spans="1:7" x14ac:dyDescent="0.25">
      <c r="A81" s="79"/>
      <c r="B81" s="60"/>
      <c r="C81" s="81"/>
      <c r="D81" s="78"/>
      <c r="E81" s="188"/>
      <c r="F81" s="128"/>
      <c r="G81" s="158"/>
    </row>
    <row r="82" spans="1:7" x14ac:dyDescent="0.25">
      <c r="A82" s="63" t="s">
        <v>48</v>
      </c>
      <c r="B82" s="82" t="s">
        <v>49</v>
      </c>
      <c r="C82" s="100" t="s">
        <v>50</v>
      </c>
      <c r="D82" s="101" t="s">
        <v>40</v>
      </c>
      <c r="E82" s="188">
        <v>104.99</v>
      </c>
      <c r="F82" s="128">
        <f>E82*C82</f>
        <v>3359.68</v>
      </c>
      <c r="G82" s="158"/>
    </row>
    <row r="83" spans="1:7" x14ac:dyDescent="0.25">
      <c r="A83" s="79"/>
      <c r="B83" s="60"/>
      <c r="C83" s="81"/>
      <c r="D83" s="78"/>
      <c r="E83" s="188"/>
      <c r="F83" s="128"/>
      <c r="G83" s="158"/>
    </row>
    <row r="84" spans="1:7" ht="27.6" x14ac:dyDescent="0.25">
      <c r="A84" s="63"/>
      <c r="B84" s="83" t="s">
        <v>51</v>
      </c>
      <c r="C84" s="100"/>
      <c r="D84" s="101"/>
      <c r="E84" s="188"/>
      <c r="F84" s="128"/>
      <c r="G84" s="158"/>
    </row>
    <row r="85" spans="1:7" x14ac:dyDescent="0.25">
      <c r="A85" s="79"/>
      <c r="B85" s="60"/>
      <c r="C85" s="81"/>
      <c r="D85" s="78"/>
      <c r="E85" s="188"/>
      <c r="F85" s="128"/>
      <c r="G85" s="158"/>
    </row>
    <row r="86" spans="1:7" x14ac:dyDescent="0.25">
      <c r="A86" s="63" t="s">
        <v>52</v>
      </c>
      <c r="B86" s="82" t="s">
        <v>53</v>
      </c>
      <c r="C86" s="100">
        <v>10479</v>
      </c>
      <c r="D86" s="101" t="s">
        <v>40</v>
      </c>
      <c r="E86" s="188">
        <v>29.28</v>
      </c>
      <c r="F86" s="128">
        <f>E86*C86</f>
        <v>306825.12</v>
      </c>
      <c r="G86" s="158"/>
    </row>
    <row r="87" spans="1:7" x14ac:dyDescent="0.25">
      <c r="A87" s="79"/>
      <c r="B87" s="60"/>
      <c r="C87" s="81"/>
      <c r="D87" s="78"/>
      <c r="E87" s="188"/>
      <c r="F87" s="128"/>
      <c r="G87" s="158"/>
    </row>
    <row r="88" spans="1:7" x14ac:dyDescent="0.25">
      <c r="A88" s="63" t="s">
        <v>54</v>
      </c>
      <c r="B88" s="82" t="s">
        <v>47</v>
      </c>
      <c r="C88" s="100">
        <v>7695</v>
      </c>
      <c r="D88" s="101" t="s">
        <v>40</v>
      </c>
      <c r="E88" s="188">
        <v>29.28</v>
      </c>
      <c r="F88" s="128">
        <f>E88*C88</f>
        <v>225309.6</v>
      </c>
      <c r="G88" s="158"/>
    </row>
    <row r="89" spans="1:7" x14ac:dyDescent="0.25">
      <c r="A89" s="85"/>
      <c r="B89" s="86"/>
      <c r="C89" s="64"/>
      <c r="D89" s="65"/>
      <c r="E89" s="188"/>
      <c r="F89" s="128"/>
      <c r="G89" s="158"/>
    </row>
    <row r="90" spans="1:7" x14ac:dyDescent="0.25">
      <c r="A90" s="79"/>
      <c r="B90" s="60"/>
      <c r="C90" s="81"/>
      <c r="D90" s="78"/>
      <c r="E90" s="188"/>
      <c r="F90" s="128"/>
      <c r="G90" s="158"/>
    </row>
    <row r="91" spans="1:7" x14ac:dyDescent="0.25">
      <c r="A91" s="85"/>
      <c r="B91" s="86"/>
      <c r="C91" s="64"/>
      <c r="D91" s="65"/>
      <c r="E91" s="188"/>
      <c r="F91" s="128"/>
      <c r="G91" s="158"/>
    </row>
    <row r="92" spans="1:7" x14ac:dyDescent="0.25">
      <c r="A92" s="89"/>
      <c r="B92" s="90"/>
      <c r="C92" s="91"/>
      <c r="D92" s="92"/>
      <c r="E92" s="135"/>
      <c r="F92" s="129"/>
      <c r="G92" s="173"/>
    </row>
    <row r="93" spans="1:7" x14ac:dyDescent="0.25">
      <c r="A93" s="93"/>
      <c r="B93" s="94"/>
      <c r="C93" s="95" t="s">
        <v>31</v>
      </c>
      <c r="D93" s="95"/>
      <c r="E93" s="189" t="s">
        <v>7</v>
      </c>
      <c r="F93" s="130">
        <f>SUM(F51:F91)</f>
        <v>1272822.6100000001</v>
      </c>
      <c r="G93" s="174"/>
    </row>
    <row r="94" spans="1:7" x14ac:dyDescent="0.25">
      <c r="A94" s="93"/>
      <c r="B94" s="94"/>
      <c r="C94" s="97"/>
      <c r="D94" s="98"/>
      <c r="E94" s="137"/>
      <c r="F94" s="131"/>
      <c r="G94" s="175"/>
    </row>
    <row r="95" spans="1:7" x14ac:dyDescent="0.25">
      <c r="A95" s="85"/>
      <c r="B95" s="86"/>
      <c r="C95" s="64"/>
      <c r="D95" s="65"/>
      <c r="E95" s="188"/>
      <c r="F95" s="128"/>
      <c r="G95" s="158"/>
    </row>
    <row r="96" spans="1:7" x14ac:dyDescent="0.25">
      <c r="A96" s="79"/>
      <c r="B96" s="99" t="s">
        <v>55</v>
      </c>
      <c r="C96" s="81"/>
      <c r="D96" s="78"/>
      <c r="E96" s="188"/>
      <c r="F96" s="128"/>
      <c r="G96" s="158"/>
    </row>
    <row r="97" spans="1:7" x14ac:dyDescent="0.25">
      <c r="A97" s="79"/>
      <c r="B97" s="84"/>
      <c r="C97" s="81"/>
      <c r="D97" s="78"/>
      <c r="E97" s="188"/>
      <c r="F97" s="128"/>
      <c r="G97" s="158"/>
    </row>
    <row r="98" spans="1:7" ht="27.6" x14ac:dyDescent="0.25">
      <c r="A98" s="63"/>
      <c r="B98" s="83" t="s">
        <v>56</v>
      </c>
      <c r="C98" s="100"/>
      <c r="D98" s="101"/>
      <c r="E98" s="188"/>
      <c r="F98" s="128"/>
      <c r="G98" s="158"/>
    </row>
    <row r="99" spans="1:7" x14ac:dyDescent="0.25">
      <c r="A99" s="79"/>
      <c r="B99" s="60"/>
      <c r="C99" s="81"/>
      <c r="D99" s="78"/>
      <c r="E99" s="188"/>
      <c r="F99" s="128"/>
      <c r="G99" s="158"/>
    </row>
    <row r="100" spans="1:7" x14ac:dyDescent="0.25">
      <c r="A100" s="63" t="s">
        <v>12</v>
      </c>
      <c r="B100" s="82" t="s">
        <v>53</v>
      </c>
      <c r="C100" s="100">
        <v>8176</v>
      </c>
      <c r="D100" s="101" t="s">
        <v>40</v>
      </c>
      <c r="E100" s="188">
        <v>29.28</v>
      </c>
      <c r="F100" s="128">
        <f>E100*C100</f>
        <v>239393.28</v>
      </c>
      <c r="G100" s="158"/>
    </row>
    <row r="101" spans="1:7" x14ac:dyDescent="0.25">
      <c r="A101" s="79"/>
      <c r="B101" s="60"/>
      <c r="C101" s="81"/>
      <c r="D101" s="78"/>
      <c r="E101" s="188"/>
      <c r="F101" s="128"/>
      <c r="G101" s="158"/>
    </row>
    <row r="102" spans="1:7" x14ac:dyDescent="0.25">
      <c r="A102" s="63" t="s">
        <v>16</v>
      </c>
      <c r="B102" s="82" t="s">
        <v>47</v>
      </c>
      <c r="C102" s="100">
        <v>6247</v>
      </c>
      <c r="D102" s="101" t="s">
        <v>40</v>
      </c>
      <c r="E102" s="188">
        <v>29.28</v>
      </c>
      <c r="F102" s="128">
        <f>E102*C102</f>
        <v>182912.16</v>
      </c>
      <c r="G102" s="158"/>
    </row>
    <row r="103" spans="1:7" x14ac:dyDescent="0.25">
      <c r="A103" s="79"/>
      <c r="B103" s="60"/>
      <c r="C103" s="81"/>
      <c r="D103" s="78"/>
      <c r="E103" s="188"/>
      <c r="F103" s="128"/>
      <c r="G103" s="158"/>
    </row>
    <row r="104" spans="1:7" ht="27.6" x14ac:dyDescent="0.25">
      <c r="A104" s="63"/>
      <c r="B104" s="83" t="s">
        <v>57</v>
      </c>
      <c r="C104" s="100"/>
      <c r="D104" s="101"/>
      <c r="E104" s="188"/>
      <c r="F104" s="128"/>
      <c r="G104" s="158"/>
    </row>
    <row r="105" spans="1:7" x14ac:dyDescent="0.25">
      <c r="A105" s="79"/>
      <c r="B105" s="60"/>
      <c r="C105" s="81"/>
      <c r="D105" s="78"/>
      <c r="E105" s="188"/>
      <c r="F105" s="128"/>
      <c r="G105" s="158"/>
    </row>
    <row r="106" spans="1:7" x14ac:dyDescent="0.25">
      <c r="A106" s="63" t="s">
        <v>19</v>
      </c>
      <c r="B106" s="82" t="s">
        <v>58</v>
      </c>
      <c r="C106" s="100">
        <v>10479</v>
      </c>
      <c r="D106" s="101" t="s">
        <v>40</v>
      </c>
      <c r="E106" s="188">
        <v>8.7899999999999991</v>
      </c>
      <c r="F106" s="128">
        <f>E106*C106</f>
        <v>92110.409999999989</v>
      </c>
      <c r="G106" s="158"/>
    </row>
    <row r="107" spans="1:7" x14ac:dyDescent="0.25">
      <c r="A107" s="79"/>
      <c r="B107" s="60"/>
      <c r="C107" s="81"/>
      <c r="D107" s="78"/>
      <c r="E107" s="188"/>
      <c r="F107" s="128"/>
      <c r="G107" s="158"/>
    </row>
    <row r="108" spans="1:7" x14ac:dyDescent="0.25">
      <c r="A108" s="63" t="s">
        <v>22</v>
      </c>
      <c r="B108" s="82" t="s">
        <v>59</v>
      </c>
      <c r="C108" s="100">
        <v>7695</v>
      </c>
      <c r="D108" s="101" t="s">
        <v>40</v>
      </c>
      <c r="E108" s="188">
        <v>8.7899999999999991</v>
      </c>
      <c r="F108" s="128">
        <f>E108*C108</f>
        <v>67639.049999999988</v>
      </c>
      <c r="G108" s="158"/>
    </row>
    <row r="109" spans="1:7" x14ac:dyDescent="0.25">
      <c r="A109" s="79"/>
      <c r="B109" s="60"/>
      <c r="C109" s="81"/>
      <c r="D109" s="78"/>
      <c r="E109" s="188"/>
      <c r="F109" s="128"/>
      <c r="G109" s="158"/>
    </row>
    <row r="110" spans="1:7" ht="27.6" x14ac:dyDescent="0.25">
      <c r="A110" s="63"/>
      <c r="B110" s="83" t="s">
        <v>60</v>
      </c>
      <c r="C110" s="100"/>
      <c r="D110" s="101"/>
      <c r="E110" s="188"/>
      <c r="F110" s="128"/>
      <c r="G110" s="158"/>
    </row>
    <row r="111" spans="1:7" x14ac:dyDescent="0.25">
      <c r="A111" s="79"/>
      <c r="B111" s="60"/>
      <c r="C111" s="81"/>
      <c r="D111" s="78"/>
      <c r="E111" s="188"/>
      <c r="F111" s="128"/>
      <c r="G111" s="158"/>
    </row>
    <row r="112" spans="1:7" ht="27.6" x14ac:dyDescent="0.25">
      <c r="A112" s="63" t="s">
        <v>25</v>
      </c>
      <c r="B112" s="82" t="s">
        <v>61</v>
      </c>
      <c r="C112" s="100" t="s">
        <v>62</v>
      </c>
      <c r="D112" s="101" t="s">
        <v>40</v>
      </c>
      <c r="E112" s="188">
        <v>30.56</v>
      </c>
      <c r="F112" s="128">
        <f>E112*C112</f>
        <v>6570.4</v>
      </c>
      <c r="G112" s="158"/>
    </row>
    <row r="113" spans="1:7" x14ac:dyDescent="0.25">
      <c r="A113" s="79"/>
      <c r="B113" s="60"/>
      <c r="C113" s="81"/>
      <c r="D113" s="78"/>
      <c r="E113" s="188"/>
      <c r="F113" s="128"/>
      <c r="G113" s="158"/>
    </row>
    <row r="114" spans="1:7" ht="41.4" x14ac:dyDescent="0.25">
      <c r="A114" s="63"/>
      <c r="B114" s="83" t="s">
        <v>63</v>
      </c>
      <c r="C114" s="100"/>
      <c r="D114" s="101"/>
      <c r="E114" s="188"/>
      <c r="F114" s="128"/>
      <c r="G114" s="158"/>
    </row>
    <row r="115" spans="1:7" x14ac:dyDescent="0.25">
      <c r="A115" s="79"/>
      <c r="B115" s="60"/>
      <c r="C115" s="81"/>
      <c r="D115" s="78"/>
      <c r="E115" s="188"/>
      <c r="F115" s="128"/>
      <c r="G115" s="158"/>
    </row>
    <row r="116" spans="1:7" ht="27.6" x14ac:dyDescent="0.25">
      <c r="A116" s="63" t="s">
        <v>28</v>
      </c>
      <c r="B116" s="82" t="s">
        <v>64</v>
      </c>
      <c r="C116" s="100">
        <v>0</v>
      </c>
      <c r="D116" s="101" t="s">
        <v>40</v>
      </c>
      <c r="E116" s="188">
        <v>323.87</v>
      </c>
      <c r="F116" s="128">
        <f>E116*C116</f>
        <v>0</v>
      </c>
      <c r="G116" s="158" t="s">
        <v>584</v>
      </c>
    </row>
    <row r="117" spans="1:7" x14ac:dyDescent="0.25">
      <c r="A117" s="79"/>
      <c r="B117" s="60"/>
      <c r="C117" s="81"/>
      <c r="D117" s="78"/>
      <c r="E117" s="188"/>
      <c r="F117" s="128"/>
      <c r="G117" s="158"/>
    </row>
    <row r="118" spans="1:7" ht="41.4" x14ac:dyDescent="0.25">
      <c r="A118" s="63" t="s">
        <v>48</v>
      </c>
      <c r="B118" s="82" t="s">
        <v>65</v>
      </c>
      <c r="C118" s="100">
        <v>1550</v>
      </c>
      <c r="D118" s="101" t="s">
        <v>40</v>
      </c>
      <c r="E118" s="188">
        <v>323.87</v>
      </c>
      <c r="F118" s="128">
        <f>E118*C118</f>
        <v>501998.5</v>
      </c>
      <c r="G118" s="158" t="s">
        <v>584</v>
      </c>
    </row>
    <row r="119" spans="1:7" x14ac:dyDescent="0.25">
      <c r="A119" s="79"/>
      <c r="B119" s="60"/>
      <c r="C119" s="81"/>
      <c r="D119" s="78"/>
      <c r="E119" s="188"/>
      <c r="F119" s="128"/>
      <c r="G119" s="158"/>
    </row>
    <row r="120" spans="1:7" ht="27.6" x14ac:dyDescent="0.25">
      <c r="A120" s="63" t="s">
        <v>52</v>
      </c>
      <c r="B120" s="82" t="s">
        <v>66</v>
      </c>
      <c r="C120" s="100">
        <v>0</v>
      </c>
      <c r="D120" s="101" t="s">
        <v>40</v>
      </c>
      <c r="E120" s="188">
        <v>352.17</v>
      </c>
      <c r="F120" s="128">
        <f>E120*C120</f>
        <v>0</v>
      </c>
      <c r="G120" s="158" t="s">
        <v>584</v>
      </c>
    </row>
    <row r="121" spans="1:7" x14ac:dyDescent="0.25">
      <c r="A121" s="79"/>
      <c r="B121" s="60"/>
      <c r="C121" s="81"/>
      <c r="D121" s="78"/>
      <c r="E121" s="188"/>
      <c r="F121" s="128"/>
      <c r="G121" s="158"/>
    </row>
    <row r="122" spans="1:7" ht="41.4" x14ac:dyDescent="0.25">
      <c r="A122" s="63"/>
      <c r="B122" s="83" t="s">
        <v>67</v>
      </c>
      <c r="C122" s="100"/>
      <c r="D122" s="101"/>
      <c r="E122" s="188"/>
      <c r="F122" s="128"/>
      <c r="G122" s="158"/>
    </row>
    <row r="123" spans="1:7" x14ac:dyDescent="0.25">
      <c r="A123" s="79"/>
      <c r="B123" s="60"/>
      <c r="C123" s="81"/>
      <c r="D123" s="78"/>
      <c r="E123" s="188"/>
      <c r="F123" s="128"/>
      <c r="G123" s="158"/>
    </row>
    <row r="124" spans="1:7" ht="27.6" x14ac:dyDescent="0.25">
      <c r="A124" s="63" t="s">
        <v>54</v>
      </c>
      <c r="B124" s="82" t="s">
        <v>68</v>
      </c>
      <c r="C124" s="100">
        <v>2610</v>
      </c>
      <c r="D124" s="101" t="s">
        <v>40</v>
      </c>
      <c r="E124" s="188">
        <v>116.34</v>
      </c>
      <c r="F124" s="128">
        <f>E124*C124</f>
        <v>303647.40000000002</v>
      </c>
      <c r="G124" s="158"/>
    </row>
    <row r="125" spans="1:7" x14ac:dyDescent="0.25">
      <c r="A125" s="79"/>
      <c r="B125" s="60"/>
      <c r="C125" s="81"/>
      <c r="D125" s="78"/>
      <c r="E125" s="188"/>
      <c r="F125" s="128"/>
      <c r="G125" s="158"/>
    </row>
    <row r="126" spans="1:7" x14ac:dyDescent="0.25">
      <c r="A126" s="85"/>
      <c r="B126" s="82"/>
      <c r="C126" s="64"/>
      <c r="D126" s="65"/>
      <c r="E126" s="188"/>
      <c r="F126" s="128"/>
      <c r="G126" s="158"/>
    </row>
    <row r="127" spans="1:7" ht="26.4" x14ac:dyDescent="0.25">
      <c r="A127" s="79"/>
      <c r="B127" s="190" t="s">
        <v>583</v>
      </c>
      <c r="C127" s="81"/>
      <c r="D127" s="78"/>
      <c r="E127" s="188"/>
      <c r="F127" s="128"/>
      <c r="G127" s="158"/>
    </row>
    <row r="128" spans="1:7" x14ac:dyDescent="0.25">
      <c r="A128" s="79"/>
      <c r="B128" s="60"/>
      <c r="C128" s="81"/>
      <c r="D128" s="78"/>
      <c r="E128" s="188"/>
      <c r="F128" s="128"/>
      <c r="G128" s="158"/>
    </row>
    <row r="129" spans="1:7" x14ac:dyDescent="0.25">
      <c r="A129" s="89"/>
      <c r="B129" s="90"/>
      <c r="C129" s="91"/>
      <c r="D129" s="92"/>
      <c r="E129" s="135"/>
      <c r="F129" s="129"/>
      <c r="G129" s="173"/>
    </row>
    <row r="130" spans="1:7" x14ac:dyDescent="0.25">
      <c r="A130" s="93"/>
      <c r="B130" s="94"/>
      <c r="C130" s="95" t="s">
        <v>31</v>
      </c>
      <c r="D130" s="95"/>
      <c r="E130" s="189" t="s">
        <v>7</v>
      </c>
      <c r="F130" s="130">
        <f>SUM(F95:F127)</f>
        <v>1394271.1999999997</v>
      </c>
      <c r="G130" s="174"/>
    </row>
    <row r="131" spans="1:7" x14ac:dyDescent="0.25">
      <c r="A131" s="93"/>
      <c r="B131" s="94"/>
      <c r="C131" s="97"/>
      <c r="D131" s="98"/>
      <c r="E131" s="137"/>
      <c r="F131" s="131"/>
      <c r="G131" s="175"/>
    </row>
    <row r="132" spans="1:7" x14ac:dyDescent="0.25">
      <c r="A132" s="60"/>
      <c r="B132" s="61"/>
      <c r="C132" s="60"/>
      <c r="D132" s="62"/>
      <c r="E132" s="188"/>
      <c r="F132" s="128"/>
      <c r="G132" s="158"/>
    </row>
    <row r="133" spans="1:7" x14ac:dyDescent="0.25">
      <c r="A133" s="79"/>
      <c r="B133" s="99" t="s">
        <v>55</v>
      </c>
      <c r="C133" s="81"/>
      <c r="D133" s="78"/>
      <c r="E133" s="188"/>
      <c r="F133" s="128"/>
      <c r="G133" s="158"/>
    </row>
    <row r="134" spans="1:7" x14ac:dyDescent="0.25">
      <c r="A134" s="79"/>
      <c r="B134" s="60"/>
      <c r="C134" s="81"/>
      <c r="D134" s="78"/>
      <c r="E134" s="188"/>
      <c r="F134" s="128"/>
      <c r="G134" s="158"/>
    </row>
    <row r="135" spans="1:7" ht="55.2" x14ac:dyDescent="0.25">
      <c r="A135" s="63" t="s">
        <v>12</v>
      </c>
      <c r="B135" s="82" t="s">
        <v>69</v>
      </c>
      <c r="C135" s="100">
        <v>2757</v>
      </c>
      <c r="D135" s="101" t="s">
        <v>40</v>
      </c>
      <c r="E135" s="188">
        <v>120.18</v>
      </c>
      <c r="F135" s="128">
        <f>E135*C135</f>
        <v>331336.26</v>
      </c>
      <c r="G135" s="158"/>
    </row>
    <row r="136" spans="1:7" x14ac:dyDescent="0.25">
      <c r="A136" s="79"/>
      <c r="B136" s="60"/>
      <c r="C136" s="81"/>
      <c r="D136" s="78"/>
      <c r="E136" s="188"/>
      <c r="F136" s="128"/>
      <c r="G136" s="158"/>
    </row>
    <row r="137" spans="1:7" ht="55.2" x14ac:dyDescent="0.25">
      <c r="A137" s="63" t="s">
        <v>16</v>
      </c>
      <c r="B137" s="82" t="s">
        <v>70</v>
      </c>
      <c r="C137" s="100">
        <v>1789</v>
      </c>
      <c r="D137" s="101" t="s">
        <v>40</v>
      </c>
      <c r="E137" s="188">
        <v>120.18</v>
      </c>
      <c r="F137" s="128">
        <f>E137*C137</f>
        <v>215002.02000000002</v>
      </c>
      <c r="G137" s="158"/>
    </row>
    <row r="138" spans="1:7" x14ac:dyDescent="0.25">
      <c r="A138" s="79"/>
      <c r="B138" s="60"/>
      <c r="C138" s="81"/>
      <c r="D138" s="78"/>
      <c r="E138" s="188"/>
      <c r="F138" s="128"/>
      <c r="G138" s="158"/>
    </row>
    <row r="139" spans="1:7" ht="55.2" x14ac:dyDescent="0.25">
      <c r="A139" s="63" t="s">
        <v>19</v>
      </c>
      <c r="B139" s="82" t="s">
        <v>71</v>
      </c>
      <c r="C139" s="100">
        <v>2184</v>
      </c>
      <c r="D139" s="101" t="s">
        <v>40</v>
      </c>
      <c r="E139" s="188">
        <v>120.18</v>
      </c>
      <c r="F139" s="128">
        <f>E139*C139</f>
        <v>262473.12</v>
      </c>
      <c r="G139" s="158"/>
    </row>
    <row r="140" spans="1:7" x14ac:dyDescent="0.25">
      <c r="A140" s="79"/>
      <c r="B140" s="60"/>
      <c r="C140" s="81"/>
      <c r="D140" s="78"/>
      <c r="E140" s="188"/>
      <c r="F140" s="128"/>
      <c r="G140" s="158"/>
    </row>
    <row r="141" spans="1:7" ht="55.2" x14ac:dyDescent="0.25">
      <c r="A141" s="63" t="s">
        <v>22</v>
      </c>
      <c r="B141" s="82" t="s">
        <v>72</v>
      </c>
      <c r="C141" s="100">
        <v>1625</v>
      </c>
      <c r="D141" s="101" t="s">
        <v>40</v>
      </c>
      <c r="E141" s="188">
        <v>120.18</v>
      </c>
      <c r="F141" s="128">
        <f>E141*C141</f>
        <v>195292.5</v>
      </c>
      <c r="G141" s="158"/>
    </row>
    <row r="142" spans="1:7" x14ac:dyDescent="0.25">
      <c r="A142" s="79"/>
      <c r="B142" s="60"/>
      <c r="C142" s="81"/>
      <c r="D142" s="78"/>
      <c r="E142" s="188"/>
      <c r="F142" s="128"/>
      <c r="G142" s="158"/>
    </row>
    <row r="143" spans="1:7" ht="55.2" x14ac:dyDescent="0.25">
      <c r="A143" s="63" t="s">
        <v>25</v>
      </c>
      <c r="B143" s="82" t="s">
        <v>73</v>
      </c>
      <c r="C143" s="100">
        <v>2661</v>
      </c>
      <c r="D143" s="101" t="s">
        <v>40</v>
      </c>
      <c r="E143" s="188">
        <v>120.18</v>
      </c>
      <c r="F143" s="128">
        <f>E143*C143</f>
        <v>319798.98000000004</v>
      </c>
      <c r="G143" s="158"/>
    </row>
    <row r="144" spans="1:7" x14ac:dyDescent="0.25">
      <c r="A144" s="79"/>
      <c r="B144" s="60"/>
      <c r="C144" s="81"/>
      <c r="D144" s="78"/>
      <c r="E144" s="188"/>
      <c r="F144" s="128"/>
      <c r="G144" s="158"/>
    </row>
    <row r="145" spans="1:7" ht="55.2" x14ac:dyDescent="0.25">
      <c r="A145" s="63" t="s">
        <v>28</v>
      </c>
      <c r="B145" s="82" t="s">
        <v>74</v>
      </c>
      <c r="C145" s="100">
        <v>2019</v>
      </c>
      <c r="D145" s="101" t="s">
        <v>40</v>
      </c>
      <c r="E145" s="188">
        <v>120.18</v>
      </c>
      <c r="F145" s="128">
        <f>E145*C145</f>
        <v>242643.42</v>
      </c>
      <c r="G145" s="158"/>
    </row>
    <row r="146" spans="1:7" x14ac:dyDescent="0.25">
      <c r="A146" s="79"/>
      <c r="B146" s="60"/>
      <c r="C146" s="81"/>
      <c r="D146" s="78"/>
      <c r="E146" s="188"/>
      <c r="F146" s="128"/>
      <c r="G146" s="158"/>
    </row>
    <row r="147" spans="1:7" ht="27.6" x14ac:dyDescent="0.25">
      <c r="A147" s="63" t="s">
        <v>48</v>
      </c>
      <c r="B147" s="82" t="s">
        <v>75</v>
      </c>
      <c r="C147" s="100">
        <v>361</v>
      </c>
      <c r="D147" s="101" t="s">
        <v>40</v>
      </c>
      <c r="E147" s="188">
        <v>158.59</v>
      </c>
      <c r="F147" s="128">
        <f>E147*C147</f>
        <v>57250.99</v>
      </c>
      <c r="G147" s="158"/>
    </row>
    <row r="148" spans="1:7" x14ac:dyDescent="0.25">
      <c r="A148" s="79"/>
      <c r="B148" s="60"/>
      <c r="C148" s="81"/>
      <c r="D148" s="78"/>
      <c r="E148" s="188"/>
      <c r="F148" s="128"/>
      <c r="G148" s="158"/>
    </row>
    <row r="149" spans="1:7" ht="41.4" x14ac:dyDescent="0.25">
      <c r="A149" s="63" t="s">
        <v>52</v>
      </c>
      <c r="B149" s="82" t="s">
        <v>76</v>
      </c>
      <c r="C149" s="100">
        <v>1424</v>
      </c>
      <c r="D149" s="101" t="s">
        <v>40</v>
      </c>
      <c r="E149" s="188">
        <v>158.59</v>
      </c>
      <c r="F149" s="128">
        <f>E149*C149</f>
        <v>225832.16</v>
      </c>
      <c r="G149" s="158"/>
    </row>
    <row r="150" spans="1:7" x14ac:dyDescent="0.25">
      <c r="A150" s="79"/>
      <c r="B150" s="60"/>
      <c r="C150" s="81"/>
      <c r="D150" s="78"/>
      <c r="E150" s="188"/>
      <c r="F150" s="128"/>
      <c r="G150" s="158"/>
    </row>
    <row r="151" spans="1:7" x14ac:dyDescent="0.25">
      <c r="A151" s="85"/>
      <c r="B151" s="82"/>
      <c r="C151" s="64"/>
      <c r="D151" s="65"/>
      <c r="E151" s="188"/>
      <c r="F151" s="128"/>
      <c r="G151" s="158"/>
    </row>
    <row r="152" spans="1:7" x14ac:dyDescent="0.25">
      <c r="A152" s="79"/>
      <c r="B152" s="60"/>
      <c r="C152" s="81"/>
      <c r="D152" s="78"/>
      <c r="E152" s="188"/>
      <c r="F152" s="128"/>
      <c r="G152" s="158"/>
    </row>
    <row r="153" spans="1:7" x14ac:dyDescent="0.25">
      <c r="A153" s="85"/>
      <c r="B153" s="86"/>
      <c r="C153" s="64"/>
      <c r="D153" s="65"/>
      <c r="E153" s="188"/>
      <c r="F153" s="128"/>
      <c r="G153" s="158"/>
    </row>
    <row r="154" spans="1:7" x14ac:dyDescent="0.25">
      <c r="A154" s="79"/>
      <c r="B154" s="60"/>
      <c r="C154" s="81"/>
      <c r="D154" s="78"/>
      <c r="E154" s="188"/>
      <c r="F154" s="128"/>
      <c r="G154" s="158"/>
    </row>
    <row r="155" spans="1:7" ht="26.4" x14ac:dyDescent="0.25">
      <c r="A155" s="85"/>
      <c r="B155" s="190" t="s">
        <v>583</v>
      </c>
      <c r="C155" s="64"/>
      <c r="D155" s="65"/>
      <c r="E155" s="188"/>
      <c r="F155" s="128"/>
      <c r="G155" s="158"/>
    </row>
    <row r="156" spans="1:7" x14ac:dyDescent="0.25">
      <c r="A156" s="79"/>
      <c r="B156" s="60"/>
      <c r="C156" s="81"/>
      <c r="D156" s="78"/>
      <c r="E156" s="188"/>
      <c r="F156" s="128"/>
      <c r="G156" s="158"/>
    </row>
    <row r="157" spans="1:7" x14ac:dyDescent="0.25">
      <c r="A157" s="85"/>
      <c r="B157" s="86"/>
      <c r="C157" s="64"/>
      <c r="D157" s="65"/>
      <c r="E157" s="188"/>
      <c r="F157" s="128"/>
      <c r="G157" s="158"/>
    </row>
    <row r="158" spans="1:7" x14ac:dyDescent="0.25">
      <c r="A158" s="79"/>
      <c r="B158" s="60"/>
      <c r="C158" s="81"/>
      <c r="D158" s="78"/>
      <c r="E158" s="188"/>
      <c r="F158" s="128"/>
      <c r="G158" s="158"/>
    </row>
    <row r="159" spans="1:7" x14ac:dyDescent="0.25">
      <c r="A159" s="89"/>
      <c r="B159" s="90"/>
      <c r="C159" s="91"/>
      <c r="D159" s="92"/>
      <c r="E159" s="135"/>
      <c r="F159" s="129"/>
      <c r="G159" s="173"/>
    </row>
    <row r="160" spans="1:7" x14ac:dyDescent="0.25">
      <c r="A160" s="93"/>
      <c r="B160" s="94"/>
      <c r="C160" s="95" t="s">
        <v>31</v>
      </c>
      <c r="D160" s="95"/>
      <c r="E160" s="189" t="s">
        <v>7</v>
      </c>
      <c r="F160" s="130">
        <f>SUM(F133:F158)</f>
        <v>1849629.45</v>
      </c>
      <c r="G160" s="174"/>
    </row>
    <row r="161" spans="1:7" x14ac:dyDescent="0.25">
      <c r="A161" s="93"/>
      <c r="B161" s="94"/>
      <c r="C161" s="97"/>
      <c r="D161" s="98"/>
      <c r="E161" s="137"/>
      <c r="F161" s="131"/>
      <c r="G161" s="175"/>
    </row>
    <row r="162" spans="1:7" x14ac:dyDescent="0.25">
      <c r="A162" s="60"/>
      <c r="B162" s="61"/>
      <c r="C162" s="60"/>
      <c r="D162" s="62"/>
      <c r="E162" s="188"/>
      <c r="F162" s="128"/>
      <c r="G162" s="158"/>
    </row>
    <row r="163" spans="1:7" x14ac:dyDescent="0.25">
      <c r="A163" s="79"/>
      <c r="B163" s="99" t="s">
        <v>55</v>
      </c>
      <c r="C163" s="81"/>
      <c r="D163" s="78"/>
      <c r="E163" s="188"/>
      <c r="F163" s="128"/>
      <c r="G163" s="158"/>
    </row>
    <row r="164" spans="1:7" x14ac:dyDescent="0.25">
      <c r="A164" s="79"/>
      <c r="B164" s="60"/>
      <c r="C164" s="81"/>
      <c r="D164" s="78"/>
      <c r="E164" s="188"/>
      <c r="F164" s="128"/>
      <c r="G164" s="158"/>
    </row>
    <row r="165" spans="1:7" ht="41.4" x14ac:dyDescent="0.25">
      <c r="A165" s="63"/>
      <c r="B165" s="83" t="s">
        <v>77</v>
      </c>
      <c r="C165" s="100"/>
      <c r="D165" s="101"/>
      <c r="E165" s="188"/>
      <c r="F165" s="128"/>
      <c r="G165" s="158"/>
    </row>
    <row r="166" spans="1:7" x14ac:dyDescent="0.25">
      <c r="A166" s="79"/>
      <c r="B166" s="60"/>
      <c r="C166" s="81"/>
      <c r="D166" s="78"/>
      <c r="E166" s="188"/>
      <c r="F166" s="128"/>
      <c r="G166" s="158"/>
    </row>
    <row r="167" spans="1:7" ht="27.6" x14ac:dyDescent="0.25">
      <c r="A167" s="63" t="s">
        <v>12</v>
      </c>
      <c r="B167" s="82" t="s">
        <v>78</v>
      </c>
      <c r="C167" s="100" t="s">
        <v>50</v>
      </c>
      <c r="D167" s="101" t="s">
        <v>40</v>
      </c>
      <c r="E167" s="188">
        <v>1081.7</v>
      </c>
      <c r="F167" s="128">
        <f>E167*C167</f>
        <v>34614.400000000001</v>
      </c>
      <c r="G167" s="158"/>
    </row>
    <row r="168" spans="1:7" x14ac:dyDescent="0.25">
      <c r="A168" s="79"/>
      <c r="B168" s="60"/>
      <c r="C168" s="81"/>
      <c r="D168" s="78"/>
      <c r="E168" s="188"/>
      <c r="F168" s="128"/>
      <c r="G168" s="158"/>
    </row>
    <row r="169" spans="1:7" ht="55.2" x14ac:dyDescent="0.25">
      <c r="A169" s="63"/>
      <c r="B169" s="83" t="s">
        <v>79</v>
      </c>
      <c r="C169" s="100"/>
      <c r="D169" s="101"/>
      <c r="E169" s="188"/>
      <c r="F169" s="128"/>
      <c r="G169" s="158"/>
    </row>
    <row r="170" spans="1:7" x14ac:dyDescent="0.25">
      <c r="A170" s="79"/>
      <c r="B170" s="60"/>
      <c r="C170" s="81"/>
      <c r="D170" s="78"/>
      <c r="E170" s="188"/>
      <c r="F170" s="128"/>
      <c r="G170" s="158"/>
    </row>
    <row r="171" spans="1:7" ht="41.4" x14ac:dyDescent="0.25">
      <c r="A171" s="63" t="s">
        <v>16</v>
      </c>
      <c r="B171" s="82" t="s">
        <v>80</v>
      </c>
      <c r="C171" s="100" t="s">
        <v>81</v>
      </c>
      <c r="D171" s="101" t="s">
        <v>40</v>
      </c>
      <c r="E171" s="188">
        <v>111.22</v>
      </c>
      <c r="F171" s="128">
        <f>E171*C171</f>
        <v>15904.46</v>
      </c>
      <c r="G171" s="158"/>
    </row>
    <row r="172" spans="1:7" x14ac:dyDescent="0.25">
      <c r="A172" s="79"/>
      <c r="B172" s="60"/>
      <c r="C172" s="81"/>
      <c r="D172" s="78"/>
      <c r="E172" s="188"/>
      <c r="F172" s="128"/>
      <c r="G172" s="158"/>
    </row>
    <row r="173" spans="1:7" ht="55.2" x14ac:dyDescent="0.25">
      <c r="A173" s="63"/>
      <c r="B173" s="83" t="s">
        <v>82</v>
      </c>
      <c r="C173" s="100"/>
      <c r="D173" s="101"/>
      <c r="E173" s="188"/>
      <c r="F173" s="128"/>
      <c r="G173" s="158"/>
    </row>
    <row r="174" spans="1:7" x14ac:dyDescent="0.25">
      <c r="A174" s="79"/>
      <c r="B174" s="60"/>
      <c r="C174" s="81"/>
      <c r="D174" s="78"/>
      <c r="E174" s="188"/>
      <c r="F174" s="128"/>
      <c r="G174" s="158"/>
    </row>
    <row r="175" spans="1:7" ht="41.4" x14ac:dyDescent="0.25">
      <c r="A175" s="63" t="s">
        <v>19</v>
      </c>
      <c r="B175" s="82" t="s">
        <v>83</v>
      </c>
      <c r="C175" s="100">
        <v>460</v>
      </c>
      <c r="D175" s="101" t="s">
        <v>40</v>
      </c>
      <c r="E175" s="188">
        <v>139.38</v>
      </c>
      <c r="F175" s="128">
        <f>E175*C175</f>
        <v>64114.799999999996</v>
      </c>
      <c r="G175" s="158"/>
    </row>
    <row r="176" spans="1:7" x14ac:dyDescent="0.25">
      <c r="A176" s="79"/>
      <c r="B176" s="60"/>
      <c r="C176" s="81"/>
      <c r="D176" s="78"/>
      <c r="E176" s="188"/>
      <c r="F176" s="128"/>
      <c r="G176" s="158"/>
    </row>
    <row r="177" spans="1:7" ht="96.6" x14ac:dyDescent="0.25">
      <c r="A177" s="63"/>
      <c r="B177" s="83" t="s">
        <v>84</v>
      </c>
      <c r="C177" s="100"/>
      <c r="D177" s="101"/>
      <c r="E177" s="188"/>
      <c r="F177" s="128"/>
      <c r="G177" s="158"/>
    </row>
    <row r="178" spans="1:7" x14ac:dyDescent="0.25">
      <c r="A178" s="79"/>
      <c r="B178" s="60"/>
      <c r="C178" s="81"/>
      <c r="D178" s="78"/>
      <c r="E178" s="188"/>
      <c r="F178" s="128"/>
      <c r="G178" s="158"/>
    </row>
    <row r="179" spans="1:7" x14ac:dyDescent="0.25">
      <c r="A179" s="147" t="s">
        <v>22</v>
      </c>
      <c r="B179" s="148" t="s">
        <v>563</v>
      </c>
      <c r="C179" s="149">
        <v>1</v>
      </c>
      <c r="D179" s="150" t="s">
        <v>1</v>
      </c>
      <c r="E179" s="188">
        <v>264571.2</v>
      </c>
      <c r="F179" s="128">
        <f>+C179*E179</f>
        <v>264571.2</v>
      </c>
      <c r="G179" s="158"/>
    </row>
    <row r="180" spans="1:7" x14ac:dyDescent="0.25">
      <c r="A180" s="79"/>
      <c r="B180" s="60"/>
      <c r="C180" s="81"/>
      <c r="D180" s="78"/>
      <c r="E180" s="188"/>
      <c r="F180" s="128"/>
      <c r="G180" s="158"/>
    </row>
    <row r="181" spans="1:7" x14ac:dyDescent="0.25">
      <c r="A181" s="63" t="s">
        <v>25</v>
      </c>
      <c r="B181" s="82" t="s">
        <v>85</v>
      </c>
      <c r="C181" s="100"/>
      <c r="D181" s="101" t="s">
        <v>40</v>
      </c>
      <c r="E181" s="188">
        <v>209.97</v>
      </c>
      <c r="F181" s="128" t="s">
        <v>554</v>
      </c>
      <c r="G181" s="158"/>
    </row>
    <row r="182" spans="1:7" x14ac:dyDescent="0.25">
      <c r="A182" s="85"/>
      <c r="B182" s="82"/>
      <c r="C182" s="64"/>
      <c r="D182" s="65"/>
      <c r="E182" s="188"/>
      <c r="F182" s="128"/>
      <c r="G182" s="158"/>
    </row>
    <row r="183" spans="1:7" x14ac:dyDescent="0.25">
      <c r="A183" s="79"/>
      <c r="B183" s="60"/>
      <c r="C183" s="81"/>
      <c r="D183" s="78"/>
      <c r="E183" s="188"/>
      <c r="F183" s="128"/>
      <c r="G183" s="158"/>
    </row>
    <row r="184" spans="1:7" x14ac:dyDescent="0.25">
      <c r="A184" s="85"/>
      <c r="B184" s="86"/>
      <c r="C184" s="64"/>
      <c r="D184" s="65"/>
      <c r="E184" s="188"/>
      <c r="F184" s="128"/>
      <c r="G184" s="158"/>
    </row>
    <row r="185" spans="1:7" x14ac:dyDescent="0.25">
      <c r="A185" s="85"/>
      <c r="B185" s="82"/>
      <c r="C185" s="64"/>
      <c r="D185" s="65"/>
      <c r="E185" s="188"/>
      <c r="F185" s="128"/>
      <c r="G185" s="158"/>
    </row>
    <row r="186" spans="1:7" x14ac:dyDescent="0.25">
      <c r="A186" s="85"/>
      <c r="B186" s="86"/>
      <c r="C186" s="64"/>
      <c r="D186" s="65"/>
      <c r="E186" s="188"/>
      <c r="F186" s="128"/>
      <c r="G186" s="158"/>
    </row>
    <row r="187" spans="1:7" x14ac:dyDescent="0.25">
      <c r="A187" s="85"/>
      <c r="B187" s="86"/>
      <c r="C187" s="64"/>
      <c r="D187" s="65"/>
      <c r="E187" s="188"/>
      <c r="F187" s="128"/>
      <c r="G187" s="158"/>
    </row>
    <row r="188" spans="1:7" x14ac:dyDescent="0.25">
      <c r="A188" s="79"/>
      <c r="B188" s="60"/>
      <c r="C188" s="81"/>
      <c r="D188" s="78"/>
      <c r="E188" s="188"/>
      <c r="F188" s="128"/>
      <c r="G188" s="158"/>
    </row>
    <row r="189" spans="1:7" x14ac:dyDescent="0.25">
      <c r="A189" s="85"/>
      <c r="B189" s="82"/>
      <c r="C189" s="64"/>
      <c r="D189" s="65"/>
      <c r="E189" s="188"/>
      <c r="F189" s="128"/>
      <c r="G189" s="158"/>
    </row>
    <row r="190" spans="1:7" x14ac:dyDescent="0.25">
      <c r="A190" s="79"/>
      <c r="B190" s="60"/>
      <c r="C190" s="81"/>
      <c r="D190" s="78"/>
      <c r="E190" s="188"/>
      <c r="F190" s="128"/>
      <c r="G190" s="158"/>
    </row>
    <row r="191" spans="1:7" x14ac:dyDescent="0.25">
      <c r="A191" s="85"/>
      <c r="B191" s="86"/>
      <c r="C191" s="64"/>
      <c r="D191" s="65"/>
      <c r="E191" s="188"/>
      <c r="F191" s="128"/>
      <c r="G191" s="158"/>
    </row>
    <row r="192" spans="1:7" x14ac:dyDescent="0.25">
      <c r="A192" s="89"/>
      <c r="B192" s="90"/>
      <c r="C192" s="91"/>
      <c r="D192" s="92"/>
      <c r="E192" s="135"/>
      <c r="F192" s="129"/>
      <c r="G192" s="173"/>
    </row>
    <row r="193" spans="1:7" x14ac:dyDescent="0.25">
      <c r="A193" s="93"/>
      <c r="B193" s="94"/>
      <c r="C193" s="95" t="s">
        <v>31</v>
      </c>
      <c r="D193" s="95"/>
      <c r="E193" s="189" t="s">
        <v>7</v>
      </c>
      <c r="F193" s="130">
        <f>SUM(F164:F191)</f>
        <v>379204.86</v>
      </c>
      <c r="G193" s="174"/>
    </row>
    <row r="194" spans="1:7" x14ac:dyDescent="0.25">
      <c r="A194" s="93"/>
      <c r="B194" s="94"/>
      <c r="C194" s="97"/>
      <c r="D194" s="98"/>
      <c r="E194" s="137"/>
      <c r="F194" s="131"/>
      <c r="G194" s="175"/>
    </row>
    <row r="195" spans="1:7" x14ac:dyDescent="0.25">
      <c r="A195" s="85"/>
      <c r="B195" s="86"/>
      <c r="C195" s="64"/>
      <c r="D195" s="65"/>
      <c r="E195" s="188"/>
      <c r="F195" s="128"/>
      <c r="G195" s="158"/>
    </row>
    <row r="196" spans="1:7" x14ac:dyDescent="0.25">
      <c r="A196" s="79"/>
      <c r="B196" s="99" t="s">
        <v>55</v>
      </c>
      <c r="C196" s="81"/>
      <c r="D196" s="78"/>
      <c r="E196" s="188"/>
      <c r="F196" s="128"/>
      <c r="G196" s="158"/>
    </row>
    <row r="197" spans="1:7" x14ac:dyDescent="0.25">
      <c r="A197" s="79"/>
      <c r="B197" s="84"/>
      <c r="C197" s="81"/>
      <c r="D197" s="78"/>
      <c r="E197" s="188"/>
      <c r="F197" s="128"/>
      <c r="G197" s="158"/>
    </row>
    <row r="198" spans="1:7" ht="41.4" x14ac:dyDescent="0.25">
      <c r="A198" s="63"/>
      <c r="B198" s="83" t="s">
        <v>86</v>
      </c>
      <c r="C198" s="100"/>
      <c r="D198" s="101"/>
      <c r="E198" s="188"/>
      <c r="F198" s="128"/>
      <c r="G198" s="158"/>
    </row>
    <row r="199" spans="1:7" x14ac:dyDescent="0.25">
      <c r="A199" s="79"/>
      <c r="B199" s="60"/>
      <c r="C199" s="81"/>
      <c r="D199" s="78"/>
      <c r="E199" s="188"/>
      <c r="F199" s="128"/>
      <c r="G199" s="158"/>
    </row>
    <row r="200" spans="1:7" ht="27.6" x14ac:dyDescent="0.25">
      <c r="A200" s="63" t="s">
        <v>12</v>
      </c>
      <c r="B200" s="82" t="s">
        <v>87</v>
      </c>
      <c r="C200" s="100">
        <v>33</v>
      </c>
      <c r="D200" s="101" t="s">
        <v>40</v>
      </c>
      <c r="E200" s="188">
        <v>323.87</v>
      </c>
      <c r="F200" s="128">
        <f>E200*C200</f>
        <v>10687.710000000001</v>
      </c>
      <c r="G200" s="158" t="s">
        <v>584</v>
      </c>
    </row>
    <row r="201" spans="1:7" x14ac:dyDescent="0.25">
      <c r="A201" s="79"/>
      <c r="B201" s="60"/>
      <c r="C201" s="81"/>
      <c r="D201" s="78"/>
      <c r="E201" s="188"/>
      <c r="F201" s="128">
        <f t="shared" ref="F201:F206" si="0">E201*C201</f>
        <v>0</v>
      </c>
      <c r="G201" s="158"/>
    </row>
    <row r="202" spans="1:7" ht="41.4" x14ac:dyDescent="0.25">
      <c r="A202" s="63" t="s">
        <v>16</v>
      </c>
      <c r="B202" s="82" t="s">
        <v>88</v>
      </c>
      <c r="C202" s="100">
        <v>46</v>
      </c>
      <c r="D202" s="101" t="s">
        <v>40</v>
      </c>
      <c r="E202" s="188">
        <v>323.87</v>
      </c>
      <c r="F202" s="128">
        <f t="shared" si="0"/>
        <v>14898.02</v>
      </c>
      <c r="G202" s="158" t="s">
        <v>584</v>
      </c>
    </row>
    <row r="203" spans="1:7" x14ac:dyDescent="0.25">
      <c r="A203" s="79"/>
      <c r="B203" s="60"/>
      <c r="C203" s="81"/>
      <c r="D203" s="78"/>
      <c r="E203" s="188"/>
      <c r="F203" s="128">
        <f t="shared" si="0"/>
        <v>0</v>
      </c>
      <c r="G203" s="158"/>
    </row>
    <row r="204" spans="1:7" ht="27.6" x14ac:dyDescent="0.25">
      <c r="A204" s="63" t="s">
        <v>19</v>
      </c>
      <c r="B204" s="82" t="s">
        <v>89</v>
      </c>
      <c r="C204" s="100">
        <v>110</v>
      </c>
      <c r="D204" s="101" t="s">
        <v>40</v>
      </c>
      <c r="E204" s="188">
        <v>352.94</v>
      </c>
      <c r="F204" s="128">
        <f t="shared" si="0"/>
        <v>38823.4</v>
      </c>
      <c r="G204" s="158" t="s">
        <v>584</v>
      </c>
    </row>
    <row r="205" spans="1:7" x14ac:dyDescent="0.25">
      <c r="A205" s="79"/>
      <c r="B205" s="60"/>
      <c r="C205" s="81"/>
      <c r="D205" s="78"/>
      <c r="E205" s="188"/>
      <c r="F205" s="128">
        <f t="shared" si="0"/>
        <v>0</v>
      </c>
      <c r="G205" s="158"/>
    </row>
    <row r="206" spans="1:7" ht="27.6" x14ac:dyDescent="0.25">
      <c r="A206" s="63" t="s">
        <v>22</v>
      </c>
      <c r="B206" s="82" t="s">
        <v>90</v>
      </c>
      <c r="C206" s="100">
        <v>0</v>
      </c>
      <c r="D206" s="101" t="s">
        <v>40</v>
      </c>
      <c r="E206" s="188">
        <v>355.29</v>
      </c>
      <c r="F206" s="128">
        <f t="shared" si="0"/>
        <v>0</v>
      </c>
      <c r="G206" s="158" t="s">
        <v>584</v>
      </c>
    </row>
    <row r="207" spans="1:7" x14ac:dyDescent="0.25">
      <c r="A207" s="79"/>
      <c r="B207" s="60"/>
      <c r="C207" s="81"/>
      <c r="D207" s="78"/>
      <c r="E207" s="188"/>
      <c r="F207" s="128"/>
      <c r="G207" s="158"/>
    </row>
    <row r="208" spans="1:7" ht="41.4" x14ac:dyDescent="0.25">
      <c r="A208" s="63"/>
      <c r="B208" s="83" t="s">
        <v>91</v>
      </c>
      <c r="C208" s="100"/>
      <c r="D208" s="101"/>
      <c r="E208" s="188"/>
      <c r="F208" s="128"/>
      <c r="G208" s="158"/>
    </row>
    <row r="209" spans="1:7" x14ac:dyDescent="0.25">
      <c r="A209" s="79"/>
      <c r="B209" s="60"/>
      <c r="C209" s="81"/>
      <c r="D209" s="78"/>
      <c r="E209" s="188"/>
      <c r="F209" s="128"/>
      <c r="G209" s="158"/>
    </row>
    <row r="210" spans="1:7" ht="27.6" x14ac:dyDescent="0.25">
      <c r="A210" s="63" t="s">
        <v>25</v>
      </c>
      <c r="B210" s="82" t="s">
        <v>92</v>
      </c>
      <c r="C210" s="100" t="s">
        <v>93</v>
      </c>
      <c r="D210" s="101" t="s">
        <v>40</v>
      </c>
      <c r="E210" s="188">
        <v>506.84</v>
      </c>
      <c r="F210" s="128">
        <f t="shared" ref="F210" si="1">E210*C210</f>
        <v>51697.68</v>
      </c>
      <c r="G210" s="158"/>
    </row>
    <row r="211" spans="1:7" x14ac:dyDescent="0.25">
      <c r="A211" s="79"/>
      <c r="B211" s="60"/>
      <c r="C211" s="81"/>
      <c r="D211" s="78"/>
      <c r="E211" s="188"/>
      <c r="F211" s="128"/>
      <c r="G211" s="158"/>
    </row>
    <row r="212" spans="1:7" ht="27.6" x14ac:dyDescent="0.25">
      <c r="A212" s="63"/>
      <c r="B212" s="83" t="s">
        <v>94</v>
      </c>
      <c r="C212" s="100"/>
      <c r="D212" s="101"/>
      <c r="E212" s="188"/>
      <c r="F212" s="128"/>
      <c r="G212" s="158"/>
    </row>
    <row r="213" spans="1:7" x14ac:dyDescent="0.25">
      <c r="A213" s="79"/>
      <c r="B213" s="60"/>
      <c r="C213" s="81"/>
      <c r="D213" s="78"/>
      <c r="E213" s="188"/>
      <c r="F213" s="128"/>
      <c r="G213" s="158"/>
    </row>
    <row r="214" spans="1:7" ht="41.4" x14ac:dyDescent="0.25">
      <c r="A214" s="63" t="s">
        <v>28</v>
      </c>
      <c r="B214" s="82" t="s">
        <v>95</v>
      </c>
      <c r="C214" s="100">
        <v>178</v>
      </c>
      <c r="D214" s="101" t="s">
        <v>40</v>
      </c>
      <c r="E214" s="188">
        <v>79.209999999999994</v>
      </c>
      <c r="F214" s="128">
        <f t="shared" ref="F214:F217" si="2">E214*C214</f>
        <v>14099.38</v>
      </c>
      <c r="G214" s="158"/>
    </row>
    <row r="215" spans="1:7" x14ac:dyDescent="0.25">
      <c r="A215" s="79"/>
      <c r="B215" s="60"/>
      <c r="C215" s="81"/>
      <c r="D215" s="78"/>
      <c r="E215" s="188"/>
      <c r="F215" s="128">
        <f t="shared" si="2"/>
        <v>0</v>
      </c>
      <c r="G215" s="158"/>
    </row>
    <row r="216" spans="1:7" ht="41.4" x14ac:dyDescent="0.25">
      <c r="A216" s="63" t="s">
        <v>48</v>
      </c>
      <c r="B216" s="82" t="s">
        <v>96</v>
      </c>
      <c r="C216" s="100" t="s">
        <v>97</v>
      </c>
      <c r="D216" s="101" t="s">
        <v>40</v>
      </c>
      <c r="E216" s="188">
        <v>79.209999999999994</v>
      </c>
      <c r="F216" s="128">
        <f t="shared" si="2"/>
        <v>19881.71</v>
      </c>
      <c r="G216" s="158"/>
    </row>
    <row r="217" spans="1:7" x14ac:dyDescent="0.25">
      <c r="A217" s="79"/>
      <c r="B217" s="60"/>
      <c r="C217" s="81"/>
      <c r="D217" s="78"/>
      <c r="E217" s="188"/>
      <c r="F217" s="128">
        <f t="shared" si="2"/>
        <v>0</v>
      </c>
      <c r="G217" s="158"/>
    </row>
    <row r="218" spans="1:7" ht="41.4" x14ac:dyDescent="0.25">
      <c r="A218" s="63" t="s">
        <v>52</v>
      </c>
      <c r="B218" s="82" t="s">
        <v>570</v>
      </c>
      <c r="C218" s="100">
        <v>1</v>
      </c>
      <c r="D218" s="101" t="s">
        <v>1</v>
      </c>
      <c r="E218" s="188"/>
      <c r="F218" s="128" t="s">
        <v>569</v>
      </c>
      <c r="G218" s="158"/>
    </row>
    <row r="219" spans="1:7" x14ac:dyDescent="0.25">
      <c r="A219" s="79"/>
      <c r="B219" s="60"/>
      <c r="C219" s="81"/>
      <c r="D219" s="78"/>
      <c r="E219" s="188"/>
      <c r="F219" s="128"/>
      <c r="G219" s="158"/>
    </row>
    <row r="220" spans="1:7" ht="27.6" x14ac:dyDescent="0.25">
      <c r="A220" s="63" t="s">
        <v>54</v>
      </c>
      <c r="B220" s="82" t="s">
        <v>98</v>
      </c>
      <c r="C220" s="100"/>
      <c r="D220" s="101" t="s">
        <v>40</v>
      </c>
      <c r="E220" s="188">
        <v>1060.1099999999999</v>
      </c>
      <c r="F220" s="128" t="s">
        <v>554</v>
      </c>
      <c r="G220" s="158"/>
    </row>
    <row r="221" spans="1:7" x14ac:dyDescent="0.25">
      <c r="A221" s="60"/>
      <c r="B221" s="61"/>
      <c r="C221" s="60"/>
      <c r="D221" s="62"/>
      <c r="E221" s="188"/>
      <c r="F221" s="128"/>
      <c r="G221" s="158"/>
    </row>
    <row r="222" spans="1:7" x14ac:dyDescent="0.25">
      <c r="A222" s="60"/>
      <c r="B222" s="61"/>
      <c r="C222" s="60"/>
      <c r="D222" s="62"/>
      <c r="E222" s="188"/>
      <c r="F222" s="128"/>
      <c r="G222" s="158"/>
    </row>
    <row r="223" spans="1:7" x14ac:dyDescent="0.25">
      <c r="A223" s="60"/>
      <c r="B223" s="61"/>
      <c r="C223" s="60"/>
      <c r="D223" s="62"/>
      <c r="E223" s="188"/>
      <c r="F223" s="128"/>
      <c r="G223" s="158"/>
    </row>
    <row r="224" spans="1:7" x14ac:dyDescent="0.25">
      <c r="A224" s="60"/>
      <c r="B224" s="61"/>
      <c r="C224" s="60"/>
      <c r="D224" s="62"/>
      <c r="E224" s="188"/>
      <c r="F224" s="128"/>
      <c r="G224" s="158"/>
    </row>
    <row r="225" spans="1:7" x14ac:dyDescent="0.25">
      <c r="A225" s="60"/>
      <c r="B225" s="61"/>
      <c r="C225" s="60"/>
      <c r="D225" s="62"/>
      <c r="E225" s="188"/>
      <c r="F225" s="128"/>
      <c r="G225" s="158"/>
    </row>
    <row r="226" spans="1:7" x14ac:dyDescent="0.25">
      <c r="A226" s="89"/>
      <c r="B226" s="90"/>
      <c r="C226" s="91"/>
      <c r="D226" s="92"/>
      <c r="E226" s="135"/>
      <c r="F226" s="129"/>
      <c r="G226" s="173"/>
    </row>
    <row r="227" spans="1:7" x14ac:dyDescent="0.25">
      <c r="A227" s="93"/>
      <c r="B227" s="94"/>
      <c r="C227" s="95" t="s">
        <v>31</v>
      </c>
      <c r="D227" s="95"/>
      <c r="E227" s="189" t="s">
        <v>7</v>
      </c>
      <c r="F227" s="130">
        <f>SUM(F195:F224)</f>
        <v>150087.9</v>
      </c>
      <c r="G227" s="174"/>
    </row>
    <row r="228" spans="1:7" x14ac:dyDescent="0.25">
      <c r="A228" s="93"/>
      <c r="B228" s="94"/>
      <c r="C228" s="97"/>
      <c r="D228" s="98"/>
      <c r="E228" s="137"/>
      <c r="F228" s="131"/>
      <c r="G228" s="175"/>
    </row>
    <row r="229" spans="1:7" x14ac:dyDescent="0.25">
      <c r="A229" s="60"/>
      <c r="B229" s="61"/>
      <c r="C229" s="60"/>
      <c r="D229" s="62"/>
      <c r="E229" s="188"/>
      <c r="F229" s="128"/>
      <c r="G229" s="158"/>
    </row>
    <row r="230" spans="1:7" x14ac:dyDescent="0.25">
      <c r="A230" s="79"/>
      <c r="B230" s="99" t="s">
        <v>55</v>
      </c>
      <c r="C230" s="81"/>
      <c r="D230" s="78"/>
      <c r="E230" s="188"/>
      <c r="F230" s="128"/>
      <c r="G230" s="158"/>
    </row>
    <row r="231" spans="1:7" x14ac:dyDescent="0.25">
      <c r="A231" s="79"/>
      <c r="B231" s="60"/>
      <c r="C231" s="81"/>
      <c r="D231" s="78"/>
      <c r="E231" s="188"/>
      <c r="F231" s="128"/>
      <c r="G231" s="158"/>
    </row>
    <row r="232" spans="1:7" ht="27.6" x14ac:dyDescent="0.25">
      <c r="A232" s="63" t="s">
        <v>12</v>
      </c>
      <c r="B232" s="82" t="s">
        <v>99</v>
      </c>
      <c r="C232" s="100" t="s">
        <v>100</v>
      </c>
      <c r="D232" s="101" t="s">
        <v>40</v>
      </c>
      <c r="E232" s="188">
        <v>88.17</v>
      </c>
      <c r="F232" s="128">
        <f t="shared" ref="F232:F234" si="3">E232*C232</f>
        <v>1410.72</v>
      </c>
      <c r="G232" s="158"/>
    </row>
    <row r="233" spans="1:7" x14ac:dyDescent="0.25">
      <c r="A233" s="79"/>
      <c r="B233" s="60"/>
      <c r="C233" s="81"/>
      <c r="D233" s="78"/>
      <c r="E233" s="188"/>
      <c r="F233" s="128">
        <f t="shared" si="3"/>
        <v>0</v>
      </c>
      <c r="G233" s="158"/>
    </row>
    <row r="234" spans="1:7" ht="41.4" x14ac:dyDescent="0.25">
      <c r="A234" s="63" t="s">
        <v>16</v>
      </c>
      <c r="B234" s="82" t="s">
        <v>101</v>
      </c>
      <c r="C234" s="100">
        <v>200</v>
      </c>
      <c r="D234" s="101" t="s">
        <v>40</v>
      </c>
      <c r="E234" s="188">
        <v>122.74</v>
      </c>
      <c r="F234" s="128">
        <f t="shared" si="3"/>
        <v>24548</v>
      </c>
      <c r="G234" s="158"/>
    </row>
    <row r="235" spans="1:7" x14ac:dyDescent="0.25">
      <c r="A235" s="79"/>
      <c r="B235" s="60"/>
      <c r="C235" s="81"/>
      <c r="D235" s="78"/>
      <c r="E235" s="188"/>
      <c r="F235" s="128"/>
      <c r="G235" s="158"/>
    </row>
    <row r="236" spans="1:7" s="144" customFormat="1" ht="41.4" x14ac:dyDescent="0.25">
      <c r="A236" s="143" t="s">
        <v>19</v>
      </c>
      <c r="B236" s="148" t="s">
        <v>565</v>
      </c>
      <c r="C236" s="149">
        <v>1</v>
      </c>
      <c r="D236" s="150" t="s">
        <v>1</v>
      </c>
      <c r="E236" s="188"/>
      <c r="F236" s="128" t="s">
        <v>564</v>
      </c>
      <c r="G236" s="158"/>
    </row>
    <row r="237" spans="1:7" x14ac:dyDescent="0.25">
      <c r="A237" s="79"/>
      <c r="B237" s="60"/>
      <c r="C237" s="81"/>
      <c r="D237" s="78"/>
      <c r="E237" s="188"/>
      <c r="F237" s="128"/>
      <c r="G237" s="158"/>
    </row>
    <row r="238" spans="1:7" ht="41.4" x14ac:dyDescent="0.25">
      <c r="A238" s="63" t="s">
        <v>22</v>
      </c>
      <c r="B238" s="82" t="s">
        <v>102</v>
      </c>
      <c r="C238" s="100"/>
      <c r="D238" s="101" t="s">
        <v>40</v>
      </c>
      <c r="E238" s="188">
        <v>126.58</v>
      </c>
      <c r="F238" s="128" t="s">
        <v>554</v>
      </c>
      <c r="G238" s="158"/>
    </row>
    <row r="239" spans="1:7" x14ac:dyDescent="0.25">
      <c r="A239" s="79"/>
      <c r="B239" s="60"/>
      <c r="C239" s="81"/>
      <c r="D239" s="78"/>
      <c r="E239" s="188"/>
      <c r="F239" s="128"/>
      <c r="G239" s="158"/>
    </row>
    <row r="240" spans="1:7" ht="69" x14ac:dyDescent="0.25">
      <c r="A240" s="63"/>
      <c r="B240" s="83" t="s">
        <v>103</v>
      </c>
      <c r="C240" s="100"/>
      <c r="D240" s="101"/>
      <c r="E240" s="188"/>
      <c r="F240" s="128"/>
      <c r="G240" s="158"/>
    </row>
    <row r="241" spans="1:7" x14ac:dyDescent="0.25">
      <c r="A241" s="79"/>
      <c r="B241" s="60"/>
      <c r="C241" s="81"/>
      <c r="D241" s="78"/>
      <c r="E241" s="188"/>
      <c r="F241" s="128"/>
      <c r="G241" s="158"/>
    </row>
    <row r="242" spans="1:7" ht="41.4" x14ac:dyDescent="0.25">
      <c r="A242" s="63" t="s">
        <v>25</v>
      </c>
      <c r="B242" s="82" t="s">
        <v>104</v>
      </c>
      <c r="C242" s="100">
        <v>326</v>
      </c>
      <c r="D242" s="101" t="s">
        <v>105</v>
      </c>
      <c r="E242" s="188">
        <v>191.88</v>
      </c>
      <c r="F242" s="128">
        <f t="shared" ref="F242:F250" si="4">E242*C242</f>
        <v>62552.88</v>
      </c>
      <c r="G242" s="158"/>
    </row>
    <row r="243" spans="1:7" x14ac:dyDescent="0.25">
      <c r="A243" s="79"/>
      <c r="B243" s="60"/>
      <c r="C243" s="81"/>
      <c r="D243" s="78"/>
      <c r="E243" s="188"/>
      <c r="F243" s="128">
        <f t="shared" si="4"/>
        <v>0</v>
      </c>
      <c r="G243" s="158"/>
    </row>
    <row r="244" spans="1:7" ht="41.4" x14ac:dyDescent="0.25">
      <c r="A244" s="63" t="s">
        <v>28</v>
      </c>
      <c r="B244" s="82" t="s">
        <v>106</v>
      </c>
      <c r="C244" s="100">
        <v>162</v>
      </c>
      <c r="D244" s="101" t="s">
        <v>105</v>
      </c>
      <c r="E244" s="188">
        <v>191.88</v>
      </c>
      <c r="F244" s="128">
        <f t="shared" si="4"/>
        <v>31084.559999999998</v>
      </c>
      <c r="G244" s="158"/>
    </row>
    <row r="245" spans="1:7" x14ac:dyDescent="0.25">
      <c r="A245" s="79"/>
      <c r="B245" s="60"/>
      <c r="C245" s="81"/>
      <c r="D245" s="78"/>
      <c r="E245" s="188"/>
      <c r="F245" s="128">
        <f t="shared" si="4"/>
        <v>0</v>
      </c>
      <c r="G245" s="158"/>
    </row>
    <row r="246" spans="1:7" ht="41.4" x14ac:dyDescent="0.25">
      <c r="A246" s="63" t="s">
        <v>48</v>
      </c>
      <c r="B246" s="82" t="s">
        <v>107</v>
      </c>
      <c r="C246" s="100">
        <v>96</v>
      </c>
      <c r="D246" s="101" t="s">
        <v>105</v>
      </c>
      <c r="E246" s="188">
        <v>191.88</v>
      </c>
      <c r="F246" s="128">
        <f t="shared" si="4"/>
        <v>18420.48</v>
      </c>
      <c r="G246" s="158"/>
    </row>
    <row r="247" spans="1:7" x14ac:dyDescent="0.25">
      <c r="A247" s="79"/>
      <c r="B247" s="60"/>
      <c r="C247" s="81"/>
      <c r="D247" s="78"/>
      <c r="E247" s="188"/>
      <c r="F247" s="128">
        <f t="shared" si="4"/>
        <v>0</v>
      </c>
      <c r="G247" s="158"/>
    </row>
    <row r="248" spans="1:7" ht="41.4" x14ac:dyDescent="0.25">
      <c r="A248" s="63" t="s">
        <v>52</v>
      </c>
      <c r="B248" s="82" t="s">
        <v>108</v>
      </c>
      <c r="C248" s="100">
        <v>114</v>
      </c>
      <c r="D248" s="101" t="s">
        <v>105</v>
      </c>
      <c r="E248" s="188">
        <v>191.88</v>
      </c>
      <c r="F248" s="128">
        <f t="shared" si="4"/>
        <v>21874.32</v>
      </c>
      <c r="G248" s="158"/>
    </row>
    <row r="249" spans="1:7" x14ac:dyDescent="0.25">
      <c r="A249" s="79"/>
      <c r="B249" s="60"/>
      <c r="C249" s="81"/>
      <c r="D249" s="78"/>
      <c r="E249" s="188"/>
      <c r="F249" s="128">
        <f t="shared" si="4"/>
        <v>0</v>
      </c>
      <c r="G249" s="158"/>
    </row>
    <row r="250" spans="1:7" ht="41.4" x14ac:dyDescent="0.25">
      <c r="A250" s="63" t="s">
        <v>54</v>
      </c>
      <c r="B250" s="82" t="s">
        <v>109</v>
      </c>
      <c r="C250" s="100">
        <v>10</v>
      </c>
      <c r="D250" s="101" t="s">
        <v>105</v>
      </c>
      <c r="E250" s="188">
        <v>191.88</v>
      </c>
      <c r="F250" s="128">
        <f t="shared" si="4"/>
        <v>1918.8</v>
      </c>
      <c r="G250" s="158"/>
    </row>
    <row r="251" spans="1:7" x14ac:dyDescent="0.25">
      <c r="A251" s="60"/>
      <c r="B251" s="61"/>
      <c r="C251" s="60"/>
      <c r="D251" s="62"/>
      <c r="E251" s="188"/>
      <c r="F251" s="128"/>
      <c r="G251" s="158"/>
    </row>
    <row r="252" spans="1:7" x14ac:dyDescent="0.25">
      <c r="A252" s="60"/>
      <c r="B252" s="61"/>
      <c r="C252" s="60"/>
      <c r="D252" s="62"/>
      <c r="E252" s="188"/>
      <c r="F252" s="128"/>
      <c r="G252" s="158"/>
    </row>
    <row r="253" spans="1:7" x14ac:dyDescent="0.25">
      <c r="A253" s="60"/>
      <c r="B253" s="61"/>
      <c r="C253" s="60"/>
      <c r="D253" s="62"/>
      <c r="E253" s="188"/>
      <c r="F253" s="128"/>
      <c r="G253" s="158"/>
    </row>
    <row r="254" spans="1:7" x14ac:dyDescent="0.25">
      <c r="A254" s="60"/>
      <c r="B254" s="61"/>
      <c r="C254" s="60"/>
      <c r="D254" s="62"/>
      <c r="E254" s="188"/>
      <c r="F254" s="128"/>
      <c r="G254" s="158"/>
    </row>
    <row r="255" spans="1:7" x14ac:dyDescent="0.25">
      <c r="A255" s="60"/>
      <c r="B255" s="61"/>
      <c r="C255" s="60"/>
      <c r="D255" s="62"/>
      <c r="E255" s="188"/>
      <c r="F255" s="128"/>
      <c r="G255" s="158"/>
    </row>
    <row r="256" spans="1:7" x14ac:dyDescent="0.25">
      <c r="A256" s="89"/>
      <c r="B256" s="90"/>
      <c r="C256" s="91"/>
      <c r="D256" s="92"/>
      <c r="E256" s="135"/>
      <c r="F256" s="129"/>
      <c r="G256" s="173"/>
    </row>
    <row r="257" spans="1:7" x14ac:dyDescent="0.25">
      <c r="A257" s="93"/>
      <c r="B257" s="94"/>
      <c r="C257" s="95" t="s">
        <v>31</v>
      </c>
      <c r="D257" s="95"/>
      <c r="E257" s="189" t="s">
        <v>7</v>
      </c>
      <c r="F257" s="130">
        <f>SUM(F230:F255)</f>
        <v>161809.76</v>
      </c>
      <c r="G257" s="174"/>
    </row>
    <row r="258" spans="1:7" x14ac:dyDescent="0.25">
      <c r="A258" s="93"/>
      <c r="B258" s="94"/>
      <c r="C258" s="97"/>
      <c r="D258" s="98"/>
      <c r="E258" s="137"/>
      <c r="F258" s="131"/>
      <c r="G258" s="175"/>
    </row>
    <row r="259" spans="1:7" x14ac:dyDescent="0.25">
      <c r="A259" s="79"/>
      <c r="B259" s="80"/>
      <c r="C259" s="81"/>
      <c r="D259" s="78"/>
      <c r="E259" s="188"/>
      <c r="F259" s="128"/>
      <c r="G259" s="158"/>
    </row>
    <row r="260" spans="1:7" x14ac:dyDescent="0.25">
      <c r="A260" s="79"/>
      <c r="B260" s="99" t="s">
        <v>55</v>
      </c>
      <c r="C260" s="81"/>
      <c r="D260" s="78"/>
      <c r="E260" s="188"/>
      <c r="F260" s="128"/>
      <c r="G260" s="158"/>
    </row>
    <row r="261" spans="1:7" x14ac:dyDescent="0.25">
      <c r="A261" s="79"/>
      <c r="B261" s="60"/>
      <c r="C261" s="81"/>
      <c r="D261" s="78"/>
      <c r="E261" s="188"/>
      <c r="F261" s="128"/>
      <c r="G261" s="158"/>
    </row>
    <row r="262" spans="1:7" ht="41.4" x14ac:dyDescent="0.25">
      <c r="A262" s="63" t="s">
        <v>12</v>
      </c>
      <c r="B262" s="82" t="s">
        <v>111</v>
      </c>
      <c r="C262" s="100">
        <v>573</v>
      </c>
      <c r="D262" s="101" t="s">
        <v>105</v>
      </c>
      <c r="E262" s="188">
        <v>191.88</v>
      </c>
      <c r="F262" s="128">
        <f t="shared" ref="F262:F264" si="5">E262*C262</f>
        <v>109947.23999999999</v>
      </c>
      <c r="G262" s="158"/>
    </row>
    <row r="263" spans="1:7" x14ac:dyDescent="0.25">
      <c r="A263" s="79"/>
      <c r="B263" s="60"/>
      <c r="C263" s="81"/>
      <c r="D263" s="78"/>
      <c r="E263" s="188"/>
      <c r="F263" s="128">
        <f t="shared" si="5"/>
        <v>0</v>
      </c>
      <c r="G263" s="158"/>
    </row>
    <row r="264" spans="1:7" ht="41.4" x14ac:dyDescent="0.25">
      <c r="A264" s="63" t="s">
        <v>16</v>
      </c>
      <c r="B264" s="82" t="s">
        <v>112</v>
      </c>
      <c r="C264" s="100">
        <v>85</v>
      </c>
      <c r="D264" s="101" t="s">
        <v>105</v>
      </c>
      <c r="E264" s="188">
        <v>191.88</v>
      </c>
      <c r="F264" s="128">
        <f t="shared" si="5"/>
        <v>16309.8</v>
      </c>
      <c r="G264" s="158"/>
    </row>
    <row r="265" spans="1:7" x14ac:dyDescent="0.25">
      <c r="A265" s="79"/>
      <c r="B265" s="60"/>
      <c r="C265" s="81"/>
      <c r="D265" s="78"/>
      <c r="E265" s="188"/>
      <c r="F265" s="128"/>
      <c r="G265" s="158"/>
    </row>
    <row r="266" spans="1:7" ht="69" x14ac:dyDescent="0.25">
      <c r="A266" s="63"/>
      <c r="B266" s="83" t="s">
        <v>114</v>
      </c>
      <c r="C266" s="100"/>
      <c r="D266" s="101"/>
      <c r="E266" s="188"/>
      <c r="F266" s="128"/>
      <c r="G266" s="158"/>
    </row>
    <row r="267" spans="1:7" x14ac:dyDescent="0.25">
      <c r="A267" s="79"/>
      <c r="B267" s="60"/>
      <c r="C267" s="81"/>
      <c r="D267" s="78"/>
      <c r="E267" s="188"/>
      <c r="F267" s="128"/>
      <c r="G267" s="158"/>
    </row>
    <row r="268" spans="1:7" ht="41.4" x14ac:dyDescent="0.25">
      <c r="A268" s="63" t="s">
        <v>19</v>
      </c>
      <c r="B268" s="82" t="s">
        <v>104</v>
      </c>
      <c r="C268" s="100">
        <v>111</v>
      </c>
      <c r="D268" s="101" t="s">
        <v>105</v>
      </c>
      <c r="E268" s="188">
        <v>191.88</v>
      </c>
      <c r="F268" s="128">
        <f t="shared" ref="F268" si="6">E268*C268</f>
        <v>21298.68</v>
      </c>
      <c r="G268" s="158"/>
    </row>
    <row r="269" spans="1:7" x14ac:dyDescent="0.25">
      <c r="A269" s="79"/>
      <c r="B269" s="60"/>
      <c r="C269" s="81"/>
      <c r="D269" s="78"/>
      <c r="E269" s="188"/>
      <c r="F269" s="128"/>
      <c r="G269" s="158"/>
    </row>
    <row r="270" spans="1:7" ht="41.4" x14ac:dyDescent="0.25">
      <c r="A270" s="63" t="s">
        <v>22</v>
      </c>
      <c r="B270" s="82" t="s">
        <v>106</v>
      </c>
      <c r="C270" s="100">
        <v>121</v>
      </c>
      <c r="D270" s="101" t="s">
        <v>105</v>
      </c>
      <c r="E270" s="188">
        <v>191.88</v>
      </c>
      <c r="F270" s="128">
        <f t="shared" ref="F270" si="7">E270*C270</f>
        <v>23217.48</v>
      </c>
      <c r="G270" s="158"/>
    </row>
    <row r="271" spans="1:7" x14ac:dyDescent="0.25">
      <c r="A271" s="79"/>
      <c r="B271" s="60"/>
      <c r="C271" s="81"/>
      <c r="D271" s="78"/>
      <c r="E271" s="188"/>
      <c r="F271" s="128"/>
      <c r="G271" s="158"/>
    </row>
    <row r="272" spans="1:7" ht="41.4" x14ac:dyDescent="0.25">
      <c r="A272" s="63" t="s">
        <v>25</v>
      </c>
      <c r="B272" s="82" t="s">
        <v>107</v>
      </c>
      <c r="C272" s="100">
        <v>26</v>
      </c>
      <c r="D272" s="101" t="s">
        <v>105</v>
      </c>
      <c r="E272" s="188">
        <v>191.88</v>
      </c>
      <c r="F272" s="128">
        <f t="shared" ref="F272:F278" si="8">E272*C272</f>
        <v>4988.88</v>
      </c>
      <c r="G272" s="158"/>
    </row>
    <row r="273" spans="1:7" x14ac:dyDescent="0.25">
      <c r="A273" s="79"/>
      <c r="B273" s="60"/>
      <c r="C273" s="81"/>
      <c r="D273" s="78"/>
      <c r="E273" s="188"/>
      <c r="F273" s="128">
        <f t="shared" si="8"/>
        <v>0</v>
      </c>
      <c r="G273" s="158"/>
    </row>
    <row r="274" spans="1:7" ht="41.4" x14ac:dyDescent="0.25">
      <c r="A274" s="63" t="s">
        <v>28</v>
      </c>
      <c r="B274" s="82" t="s">
        <v>109</v>
      </c>
      <c r="C274" s="100">
        <v>40</v>
      </c>
      <c r="D274" s="101" t="s">
        <v>105</v>
      </c>
      <c r="E274" s="188">
        <v>191.88</v>
      </c>
      <c r="F274" s="128">
        <f t="shared" si="8"/>
        <v>7675.2</v>
      </c>
      <c r="G274" s="158"/>
    </row>
    <row r="275" spans="1:7" x14ac:dyDescent="0.25">
      <c r="A275" s="79"/>
      <c r="B275" s="60"/>
      <c r="C275" s="81"/>
      <c r="D275" s="78"/>
      <c r="E275" s="188"/>
      <c r="F275" s="128">
        <f t="shared" si="8"/>
        <v>0</v>
      </c>
      <c r="G275" s="158"/>
    </row>
    <row r="276" spans="1:7" ht="41.4" x14ac:dyDescent="0.25">
      <c r="A276" s="63" t="s">
        <v>48</v>
      </c>
      <c r="B276" s="82" t="s">
        <v>111</v>
      </c>
      <c r="C276" s="100">
        <v>204</v>
      </c>
      <c r="D276" s="101" t="s">
        <v>105</v>
      </c>
      <c r="E276" s="188">
        <v>191.88</v>
      </c>
      <c r="F276" s="128">
        <f t="shared" si="8"/>
        <v>39143.519999999997</v>
      </c>
      <c r="G276" s="158"/>
    </row>
    <row r="277" spans="1:7" x14ac:dyDescent="0.25">
      <c r="A277" s="85"/>
      <c r="B277" s="86"/>
      <c r="C277" s="64"/>
      <c r="D277" s="65"/>
      <c r="E277" s="188"/>
      <c r="F277" s="128">
        <f t="shared" si="8"/>
        <v>0</v>
      </c>
      <c r="G277" s="158"/>
    </row>
    <row r="278" spans="1:7" x14ac:dyDescent="0.25">
      <c r="A278" s="60"/>
      <c r="B278" s="61"/>
      <c r="C278" s="60"/>
      <c r="D278" s="62"/>
      <c r="E278" s="188"/>
      <c r="F278" s="128">
        <f t="shared" si="8"/>
        <v>0</v>
      </c>
      <c r="G278" s="158"/>
    </row>
    <row r="279" spans="1:7" x14ac:dyDescent="0.25">
      <c r="A279" s="60"/>
      <c r="B279" s="61"/>
      <c r="C279" s="60"/>
      <c r="D279" s="62"/>
      <c r="E279" s="188"/>
      <c r="F279" s="128"/>
      <c r="G279" s="158"/>
    </row>
    <row r="280" spans="1:7" x14ac:dyDescent="0.25">
      <c r="A280" s="60"/>
      <c r="B280" s="61"/>
      <c r="C280" s="60"/>
      <c r="D280" s="62"/>
      <c r="E280" s="188"/>
      <c r="F280" s="128"/>
      <c r="G280" s="158"/>
    </row>
    <row r="281" spans="1:7" x14ac:dyDescent="0.25">
      <c r="A281" s="60"/>
      <c r="B281" s="61"/>
      <c r="C281" s="60"/>
      <c r="D281" s="62"/>
      <c r="E281" s="188"/>
      <c r="F281" s="128"/>
      <c r="G281" s="158"/>
    </row>
    <row r="282" spans="1:7" x14ac:dyDescent="0.25">
      <c r="A282" s="60"/>
      <c r="B282" s="61"/>
      <c r="C282" s="60"/>
      <c r="D282" s="62"/>
      <c r="E282" s="188"/>
      <c r="F282" s="128"/>
      <c r="G282" s="158"/>
    </row>
    <row r="283" spans="1:7" x14ac:dyDescent="0.25">
      <c r="A283" s="60"/>
      <c r="B283" s="61"/>
      <c r="C283" s="60"/>
      <c r="D283" s="62"/>
      <c r="E283" s="188"/>
      <c r="F283" s="128"/>
      <c r="G283" s="158"/>
    </row>
    <row r="284" spans="1:7" x14ac:dyDescent="0.25">
      <c r="A284" s="60"/>
      <c r="B284" s="61"/>
      <c r="C284" s="60"/>
      <c r="D284" s="62"/>
      <c r="E284" s="188"/>
      <c r="F284" s="128"/>
      <c r="G284" s="158"/>
    </row>
    <row r="285" spans="1:7" x14ac:dyDescent="0.25">
      <c r="A285" s="60"/>
      <c r="B285" s="61"/>
      <c r="C285" s="60"/>
      <c r="D285" s="62"/>
      <c r="E285" s="188"/>
      <c r="F285" s="128"/>
      <c r="G285" s="158"/>
    </row>
    <row r="286" spans="1:7" x14ac:dyDescent="0.25">
      <c r="A286" s="60"/>
      <c r="B286" s="61"/>
      <c r="C286" s="60"/>
      <c r="D286" s="62"/>
      <c r="E286" s="188"/>
      <c r="F286" s="128"/>
      <c r="G286" s="158"/>
    </row>
    <row r="287" spans="1:7" x14ac:dyDescent="0.25">
      <c r="A287" s="60"/>
      <c r="B287" s="61"/>
      <c r="C287" s="60"/>
      <c r="D287" s="62"/>
      <c r="E287" s="188"/>
      <c r="F287" s="128"/>
      <c r="G287" s="158"/>
    </row>
    <row r="288" spans="1:7" x14ac:dyDescent="0.25">
      <c r="A288" s="89"/>
      <c r="B288" s="90"/>
      <c r="C288" s="91"/>
      <c r="D288" s="92"/>
      <c r="E288" s="135"/>
      <c r="F288" s="129"/>
      <c r="G288" s="173"/>
    </row>
    <row r="289" spans="1:7" x14ac:dyDescent="0.25">
      <c r="A289" s="93"/>
      <c r="B289" s="94"/>
      <c r="C289" s="95" t="s">
        <v>31</v>
      </c>
      <c r="D289" s="95"/>
      <c r="E289" s="189" t="s">
        <v>7</v>
      </c>
      <c r="F289" s="130">
        <f>SUM(F259:F287)</f>
        <v>222580.80000000002</v>
      </c>
      <c r="G289" s="174"/>
    </row>
    <row r="290" spans="1:7" x14ac:dyDescent="0.25">
      <c r="A290" s="93"/>
      <c r="B290" s="94"/>
      <c r="C290" s="97"/>
      <c r="D290" s="98"/>
      <c r="E290" s="137"/>
      <c r="F290" s="131"/>
      <c r="G290" s="175"/>
    </row>
    <row r="291" spans="1:7" x14ac:dyDescent="0.25">
      <c r="A291" s="60"/>
      <c r="B291" s="61"/>
      <c r="C291" s="60"/>
      <c r="D291" s="62"/>
      <c r="E291" s="188"/>
      <c r="F291" s="128"/>
      <c r="G291" s="158"/>
    </row>
    <row r="292" spans="1:7" x14ac:dyDescent="0.25">
      <c r="A292" s="79"/>
      <c r="B292" s="99" t="s">
        <v>115</v>
      </c>
      <c r="C292" s="81"/>
      <c r="D292" s="78"/>
      <c r="E292" s="188"/>
      <c r="F292" s="128"/>
      <c r="G292" s="158"/>
    </row>
    <row r="293" spans="1:7" x14ac:dyDescent="0.25">
      <c r="A293" s="79"/>
      <c r="B293" s="84"/>
      <c r="C293" s="81"/>
      <c r="D293" s="78"/>
      <c r="E293" s="188"/>
      <c r="F293" s="128"/>
      <c r="G293" s="158"/>
    </row>
    <row r="294" spans="1:7" x14ac:dyDescent="0.25">
      <c r="A294" s="63"/>
      <c r="B294" s="82" t="s">
        <v>33</v>
      </c>
      <c r="C294" s="100"/>
      <c r="D294" s="101"/>
      <c r="E294" s="188"/>
      <c r="F294" s="128"/>
      <c r="G294" s="158"/>
    </row>
    <row r="295" spans="1:7" x14ac:dyDescent="0.25">
      <c r="A295" s="79"/>
      <c r="B295" s="60"/>
      <c r="C295" s="81"/>
      <c r="D295" s="78"/>
      <c r="E295" s="188"/>
      <c r="F295" s="128"/>
      <c r="G295" s="158"/>
    </row>
    <row r="296" spans="1:7" ht="27.6" x14ac:dyDescent="0.25">
      <c r="A296" s="63"/>
      <c r="B296" s="82" t="s">
        <v>34</v>
      </c>
      <c r="C296" s="100"/>
      <c r="D296" s="101"/>
      <c r="E296" s="188"/>
      <c r="F296" s="128"/>
      <c r="G296" s="158"/>
    </row>
    <row r="297" spans="1:7" x14ac:dyDescent="0.25">
      <c r="A297" s="79"/>
      <c r="B297" s="60"/>
      <c r="C297" s="81"/>
      <c r="D297" s="78"/>
      <c r="E297" s="188"/>
      <c r="F297" s="128"/>
      <c r="G297" s="158"/>
    </row>
    <row r="298" spans="1:7" ht="27.6" x14ac:dyDescent="0.25">
      <c r="A298" s="63"/>
      <c r="B298" s="82" t="s">
        <v>116</v>
      </c>
      <c r="C298" s="100"/>
      <c r="D298" s="101"/>
      <c r="E298" s="188"/>
      <c r="F298" s="128"/>
      <c r="G298" s="158"/>
    </row>
    <row r="299" spans="1:7" x14ac:dyDescent="0.25">
      <c r="A299" s="79"/>
      <c r="B299" s="60"/>
      <c r="C299" s="81"/>
      <c r="D299" s="78"/>
      <c r="E299" s="188"/>
      <c r="F299" s="128"/>
      <c r="G299" s="158"/>
    </row>
    <row r="300" spans="1:7" ht="27.6" x14ac:dyDescent="0.25">
      <c r="A300" s="63"/>
      <c r="B300" s="82" t="s">
        <v>117</v>
      </c>
      <c r="C300" s="100"/>
      <c r="D300" s="101"/>
      <c r="E300" s="188"/>
      <c r="F300" s="128"/>
      <c r="G300" s="158"/>
    </row>
    <row r="301" spans="1:7" x14ac:dyDescent="0.25">
      <c r="A301" s="79"/>
      <c r="B301" s="60"/>
      <c r="C301" s="81"/>
      <c r="D301" s="78"/>
      <c r="E301" s="188"/>
      <c r="F301" s="128"/>
      <c r="G301" s="158"/>
    </row>
    <row r="302" spans="1:7" ht="27.6" x14ac:dyDescent="0.25">
      <c r="A302" s="63"/>
      <c r="B302" s="83" t="s">
        <v>118</v>
      </c>
      <c r="C302" s="100"/>
      <c r="D302" s="101"/>
      <c r="E302" s="188"/>
      <c r="F302" s="128"/>
      <c r="G302" s="158"/>
    </row>
    <row r="303" spans="1:7" x14ac:dyDescent="0.25">
      <c r="A303" s="79"/>
      <c r="B303" s="60"/>
      <c r="C303" s="81"/>
      <c r="D303" s="78"/>
      <c r="E303" s="188"/>
      <c r="F303" s="128"/>
      <c r="G303" s="158"/>
    </row>
    <row r="304" spans="1:7" ht="27.6" x14ac:dyDescent="0.25">
      <c r="A304" s="63" t="s">
        <v>12</v>
      </c>
      <c r="B304" s="82" t="s">
        <v>119</v>
      </c>
      <c r="C304" s="100">
        <v>4758</v>
      </c>
      <c r="D304" s="101" t="s">
        <v>15</v>
      </c>
      <c r="E304" s="188">
        <v>149.63</v>
      </c>
      <c r="F304" s="128">
        <f t="shared" ref="F304:F328" si="9">E304*C304</f>
        <v>711939.53999999992</v>
      </c>
      <c r="G304" s="158"/>
    </row>
    <row r="305" spans="1:7" x14ac:dyDescent="0.25">
      <c r="A305" s="79"/>
      <c r="B305" s="60"/>
      <c r="C305" s="81"/>
      <c r="D305" s="78"/>
      <c r="E305" s="188"/>
      <c r="F305" s="128">
        <f t="shared" si="9"/>
        <v>0</v>
      </c>
      <c r="G305" s="158"/>
    </row>
    <row r="306" spans="1:7" x14ac:dyDescent="0.25">
      <c r="A306" s="63" t="s">
        <v>16</v>
      </c>
      <c r="B306" s="82" t="s">
        <v>120</v>
      </c>
      <c r="C306" s="100" t="s">
        <v>121</v>
      </c>
      <c r="D306" s="101" t="s">
        <v>15</v>
      </c>
      <c r="E306" s="188">
        <v>149.63</v>
      </c>
      <c r="F306" s="128">
        <f t="shared" si="9"/>
        <v>254071.74</v>
      </c>
      <c r="G306" s="158"/>
    </row>
    <row r="307" spans="1:7" x14ac:dyDescent="0.25">
      <c r="A307" s="79"/>
      <c r="B307" s="60"/>
      <c r="C307" s="81"/>
      <c r="D307" s="78"/>
      <c r="E307" s="188"/>
      <c r="F307" s="128">
        <f t="shared" si="9"/>
        <v>0</v>
      </c>
      <c r="G307" s="158"/>
    </row>
    <row r="308" spans="1:7" x14ac:dyDescent="0.25">
      <c r="A308" s="63" t="s">
        <v>19</v>
      </c>
      <c r="B308" s="82" t="s">
        <v>122</v>
      </c>
      <c r="C308" s="100" t="s">
        <v>123</v>
      </c>
      <c r="D308" s="101" t="s">
        <v>15</v>
      </c>
      <c r="E308" s="188">
        <v>149.63</v>
      </c>
      <c r="F308" s="128">
        <f t="shared" si="9"/>
        <v>9576.32</v>
      </c>
      <c r="G308" s="158"/>
    </row>
    <row r="309" spans="1:7" x14ac:dyDescent="0.25">
      <c r="A309" s="79"/>
      <c r="B309" s="60"/>
      <c r="C309" s="81"/>
      <c r="D309" s="78"/>
      <c r="E309" s="188"/>
      <c r="F309" s="128">
        <f t="shared" si="9"/>
        <v>0</v>
      </c>
      <c r="G309" s="158"/>
    </row>
    <row r="310" spans="1:7" x14ac:dyDescent="0.25">
      <c r="A310" s="63" t="s">
        <v>22</v>
      </c>
      <c r="B310" s="82" t="s">
        <v>124</v>
      </c>
      <c r="C310" s="100" t="s">
        <v>125</v>
      </c>
      <c r="D310" s="101" t="s">
        <v>15</v>
      </c>
      <c r="E310" s="188">
        <v>149.63</v>
      </c>
      <c r="F310" s="128">
        <f t="shared" si="9"/>
        <v>183147.12</v>
      </c>
      <c r="G310" s="158"/>
    </row>
    <row r="311" spans="1:7" x14ac:dyDescent="0.25">
      <c r="A311" s="79"/>
      <c r="B311" s="60"/>
      <c r="C311" s="81"/>
      <c r="D311" s="78"/>
      <c r="E311" s="188"/>
      <c r="F311" s="128">
        <f t="shared" si="9"/>
        <v>0</v>
      </c>
      <c r="G311" s="158"/>
    </row>
    <row r="312" spans="1:7" x14ac:dyDescent="0.25">
      <c r="A312" s="63" t="s">
        <v>25</v>
      </c>
      <c r="B312" s="82" t="s">
        <v>126</v>
      </c>
      <c r="C312" s="100" t="s">
        <v>127</v>
      </c>
      <c r="D312" s="101" t="s">
        <v>15</v>
      </c>
      <c r="E312" s="188">
        <v>149.63</v>
      </c>
      <c r="F312" s="128">
        <f t="shared" si="9"/>
        <v>20349.68</v>
      </c>
      <c r="G312" s="158"/>
    </row>
    <row r="313" spans="1:7" x14ac:dyDescent="0.25">
      <c r="A313" s="79"/>
      <c r="B313" s="60"/>
      <c r="C313" s="81"/>
      <c r="D313" s="78"/>
      <c r="E313" s="188"/>
      <c r="F313" s="128">
        <f t="shared" si="9"/>
        <v>0</v>
      </c>
      <c r="G313" s="158"/>
    </row>
    <row r="314" spans="1:7" ht="27.6" x14ac:dyDescent="0.25">
      <c r="A314" s="63"/>
      <c r="B314" s="83" t="s">
        <v>128</v>
      </c>
      <c r="C314" s="100"/>
      <c r="D314" s="101"/>
      <c r="E314" s="188"/>
      <c r="F314" s="128">
        <f t="shared" si="9"/>
        <v>0</v>
      </c>
      <c r="G314" s="158"/>
    </row>
    <row r="315" spans="1:7" x14ac:dyDescent="0.25">
      <c r="A315" s="79"/>
      <c r="B315" s="60"/>
      <c r="C315" s="81"/>
      <c r="D315" s="78"/>
      <c r="E315" s="188"/>
      <c r="F315" s="128">
        <f t="shared" si="9"/>
        <v>0</v>
      </c>
      <c r="G315" s="158"/>
    </row>
    <row r="316" spans="1:7" ht="27.6" x14ac:dyDescent="0.25">
      <c r="A316" s="63" t="s">
        <v>28</v>
      </c>
      <c r="B316" s="82" t="s">
        <v>129</v>
      </c>
      <c r="C316" s="100">
        <v>9516</v>
      </c>
      <c r="D316" s="101" t="s">
        <v>40</v>
      </c>
      <c r="E316" s="188">
        <v>63.84</v>
      </c>
      <c r="F316" s="128">
        <f t="shared" si="9"/>
        <v>607501.44000000006</v>
      </c>
      <c r="G316" s="158"/>
    </row>
    <row r="317" spans="1:7" x14ac:dyDescent="0.25">
      <c r="A317" s="79"/>
      <c r="B317" s="60"/>
      <c r="C317" s="81"/>
      <c r="D317" s="78"/>
      <c r="E317" s="188"/>
      <c r="F317" s="128">
        <f t="shared" si="9"/>
        <v>0</v>
      </c>
      <c r="G317" s="158"/>
    </row>
    <row r="318" spans="1:7" x14ac:dyDescent="0.25">
      <c r="A318" s="63" t="s">
        <v>48</v>
      </c>
      <c r="B318" s="82" t="s">
        <v>130</v>
      </c>
      <c r="C318" s="100" t="s">
        <v>131</v>
      </c>
      <c r="D318" s="101" t="s">
        <v>40</v>
      </c>
      <c r="E318" s="188">
        <v>63.84</v>
      </c>
      <c r="F318" s="128">
        <f t="shared" si="9"/>
        <v>111336.96000000001</v>
      </c>
      <c r="G318" s="158"/>
    </row>
    <row r="319" spans="1:7" x14ac:dyDescent="0.25">
      <c r="A319" s="79"/>
      <c r="B319" s="60"/>
      <c r="C319" s="81"/>
      <c r="D319" s="78"/>
      <c r="E319" s="188"/>
      <c r="F319" s="128">
        <f t="shared" si="9"/>
        <v>0</v>
      </c>
      <c r="G319" s="158"/>
    </row>
    <row r="320" spans="1:7" x14ac:dyDescent="0.25">
      <c r="A320" s="63" t="s">
        <v>52</v>
      </c>
      <c r="B320" s="82" t="s">
        <v>132</v>
      </c>
      <c r="C320" s="100" t="s">
        <v>133</v>
      </c>
      <c r="D320" s="101" t="s">
        <v>40</v>
      </c>
      <c r="E320" s="188">
        <v>63.84</v>
      </c>
      <c r="F320" s="128">
        <f t="shared" si="9"/>
        <v>7086.2400000000007</v>
      </c>
      <c r="G320" s="158"/>
    </row>
    <row r="321" spans="1:7" x14ac:dyDescent="0.25">
      <c r="A321" s="79"/>
      <c r="B321" s="60"/>
      <c r="C321" s="81"/>
      <c r="D321" s="78"/>
      <c r="E321" s="188"/>
      <c r="F321" s="128">
        <f t="shared" si="9"/>
        <v>0</v>
      </c>
      <c r="G321" s="158"/>
    </row>
    <row r="322" spans="1:7" ht="41.4" x14ac:dyDescent="0.25">
      <c r="A322" s="63"/>
      <c r="B322" s="83" t="s">
        <v>134</v>
      </c>
      <c r="C322" s="100"/>
      <c r="D322" s="101"/>
      <c r="E322" s="188"/>
      <c r="F322" s="128">
        <f t="shared" si="9"/>
        <v>0</v>
      </c>
      <c r="G322" s="158"/>
    </row>
    <row r="323" spans="1:7" x14ac:dyDescent="0.25">
      <c r="A323" s="79"/>
      <c r="B323" s="60"/>
      <c r="C323" s="81"/>
      <c r="D323" s="78"/>
      <c r="E323" s="188"/>
      <c r="F323" s="128">
        <f t="shared" si="9"/>
        <v>0</v>
      </c>
      <c r="G323" s="158"/>
    </row>
    <row r="324" spans="1:7" x14ac:dyDescent="0.25">
      <c r="A324" s="63" t="s">
        <v>54</v>
      </c>
      <c r="B324" s="82" t="s">
        <v>135</v>
      </c>
      <c r="C324" s="100" t="s">
        <v>131</v>
      </c>
      <c r="D324" s="101" t="s">
        <v>40</v>
      </c>
      <c r="E324" s="188">
        <v>42.08</v>
      </c>
      <c r="F324" s="128">
        <f t="shared" si="9"/>
        <v>73387.520000000004</v>
      </c>
      <c r="G324" s="158"/>
    </row>
    <row r="325" spans="1:7" x14ac:dyDescent="0.25">
      <c r="A325" s="79"/>
      <c r="B325" s="60"/>
      <c r="C325" s="81"/>
      <c r="D325" s="78"/>
      <c r="E325" s="188"/>
      <c r="F325" s="128">
        <f t="shared" si="9"/>
        <v>0</v>
      </c>
      <c r="G325" s="158"/>
    </row>
    <row r="326" spans="1:7" x14ac:dyDescent="0.25">
      <c r="A326" s="63" t="s">
        <v>136</v>
      </c>
      <c r="B326" s="82" t="s">
        <v>137</v>
      </c>
      <c r="C326" s="100" t="s">
        <v>133</v>
      </c>
      <c r="D326" s="101" t="s">
        <v>40</v>
      </c>
      <c r="E326" s="188">
        <v>42.08</v>
      </c>
      <c r="F326" s="128">
        <f t="shared" si="9"/>
        <v>4670.88</v>
      </c>
      <c r="G326" s="158"/>
    </row>
    <row r="327" spans="1:7" x14ac:dyDescent="0.25">
      <c r="A327" s="85"/>
      <c r="B327" s="86"/>
      <c r="C327" s="64"/>
      <c r="D327" s="65"/>
      <c r="E327" s="188"/>
      <c r="F327" s="128">
        <f t="shared" si="9"/>
        <v>0</v>
      </c>
      <c r="G327" s="158"/>
    </row>
    <row r="328" spans="1:7" x14ac:dyDescent="0.25">
      <c r="A328" s="60"/>
      <c r="B328" s="61"/>
      <c r="C328" s="60"/>
      <c r="D328" s="62"/>
      <c r="E328" s="188"/>
      <c r="F328" s="128">
        <f t="shared" si="9"/>
        <v>0</v>
      </c>
      <c r="G328" s="158"/>
    </row>
    <row r="329" spans="1:7" x14ac:dyDescent="0.25">
      <c r="A329" s="60"/>
      <c r="B329" s="61"/>
      <c r="C329" s="60"/>
      <c r="D329" s="62"/>
      <c r="E329" s="188"/>
      <c r="F329" s="128"/>
      <c r="G329" s="158"/>
    </row>
    <row r="330" spans="1:7" x14ac:dyDescent="0.25">
      <c r="A330" s="60"/>
      <c r="B330" s="61"/>
      <c r="C330" s="60"/>
      <c r="D330" s="62"/>
      <c r="E330" s="188"/>
      <c r="F330" s="128"/>
      <c r="G330" s="158"/>
    </row>
    <row r="331" spans="1:7" x14ac:dyDescent="0.25">
      <c r="A331" s="60"/>
      <c r="B331" s="61"/>
      <c r="C331" s="60"/>
      <c r="D331" s="62"/>
      <c r="E331" s="188"/>
      <c r="F331" s="128"/>
      <c r="G331" s="158"/>
    </row>
    <row r="332" spans="1:7" x14ac:dyDescent="0.25">
      <c r="A332" s="89"/>
      <c r="B332" s="90"/>
      <c r="C332" s="91"/>
      <c r="D332" s="92"/>
      <c r="E332" s="135"/>
      <c r="F332" s="129"/>
      <c r="G332" s="173"/>
    </row>
    <row r="333" spans="1:7" x14ac:dyDescent="0.25">
      <c r="A333" s="93"/>
      <c r="B333" s="94"/>
      <c r="C333" s="95" t="s">
        <v>31</v>
      </c>
      <c r="D333" s="95"/>
      <c r="E333" s="189" t="s">
        <v>7</v>
      </c>
      <c r="F333" s="130">
        <f>SUM(F292:F330)</f>
        <v>1983067.4399999997</v>
      </c>
      <c r="G333" s="174"/>
    </row>
    <row r="334" spans="1:7" x14ac:dyDescent="0.25">
      <c r="A334" s="93"/>
      <c r="B334" s="94"/>
      <c r="C334" s="97"/>
      <c r="D334" s="98"/>
      <c r="E334" s="137"/>
      <c r="F334" s="131"/>
      <c r="G334" s="175"/>
    </row>
    <row r="335" spans="1:7" x14ac:dyDescent="0.25">
      <c r="A335" s="79"/>
      <c r="B335" s="80"/>
      <c r="C335" s="81"/>
      <c r="D335" s="78"/>
      <c r="E335" s="188"/>
      <c r="F335" s="128"/>
      <c r="G335" s="158"/>
    </row>
    <row r="336" spans="1:7" x14ac:dyDescent="0.25">
      <c r="A336" s="79"/>
      <c r="B336" s="99" t="s">
        <v>138</v>
      </c>
      <c r="C336" s="81"/>
      <c r="D336" s="78"/>
      <c r="E336" s="188"/>
      <c r="F336" s="128"/>
      <c r="G336" s="158"/>
    </row>
    <row r="337" spans="1:7" x14ac:dyDescent="0.25">
      <c r="A337" s="79"/>
      <c r="B337" s="60"/>
      <c r="C337" s="81"/>
      <c r="D337" s="78"/>
      <c r="E337" s="188"/>
      <c r="F337" s="128"/>
      <c r="G337" s="158"/>
    </row>
    <row r="338" spans="1:7" ht="27.6" x14ac:dyDescent="0.25">
      <c r="A338" s="63"/>
      <c r="B338" s="83" t="s">
        <v>139</v>
      </c>
      <c r="C338" s="100"/>
      <c r="D338" s="101"/>
      <c r="E338" s="188"/>
      <c r="F338" s="128"/>
      <c r="G338" s="158"/>
    </row>
    <row r="339" spans="1:7" x14ac:dyDescent="0.25">
      <c r="A339" s="79"/>
      <c r="B339" s="60"/>
      <c r="C339" s="81"/>
      <c r="D339" s="78"/>
      <c r="E339" s="188"/>
      <c r="F339" s="128"/>
      <c r="G339" s="158"/>
    </row>
    <row r="340" spans="1:7" x14ac:dyDescent="0.25">
      <c r="A340" s="63" t="s">
        <v>12</v>
      </c>
      <c r="B340" s="82" t="s">
        <v>140</v>
      </c>
      <c r="C340" s="100">
        <v>6002</v>
      </c>
      <c r="D340" s="101" t="s">
        <v>40</v>
      </c>
      <c r="E340" s="188">
        <v>42.08</v>
      </c>
      <c r="F340" s="128">
        <f t="shared" ref="F340:F342" si="10">E340*C340</f>
        <v>252564.16</v>
      </c>
      <c r="G340" s="158"/>
    </row>
    <row r="341" spans="1:7" x14ac:dyDescent="0.25">
      <c r="A341" s="79"/>
      <c r="B341" s="60"/>
      <c r="C341" s="81"/>
      <c r="D341" s="78"/>
      <c r="E341" s="188"/>
      <c r="F341" s="128">
        <f t="shared" si="10"/>
        <v>0</v>
      </c>
      <c r="G341" s="158"/>
    </row>
    <row r="342" spans="1:7" x14ac:dyDescent="0.25">
      <c r="A342" s="63" t="s">
        <v>16</v>
      </c>
      <c r="B342" s="82" t="s">
        <v>141</v>
      </c>
      <c r="C342" s="100">
        <v>3514</v>
      </c>
      <c r="D342" s="101" t="s">
        <v>40</v>
      </c>
      <c r="E342" s="188">
        <v>42.08</v>
      </c>
      <c r="F342" s="128">
        <f t="shared" si="10"/>
        <v>147869.12</v>
      </c>
      <c r="G342" s="158"/>
    </row>
    <row r="343" spans="1:7" x14ac:dyDescent="0.25">
      <c r="A343" s="79"/>
      <c r="B343" s="60"/>
      <c r="C343" s="81"/>
      <c r="D343" s="78"/>
      <c r="E343" s="188"/>
      <c r="F343" s="128"/>
      <c r="G343" s="158"/>
    </row>
    <row r="344" spans="1:7" ht="27.6" x14ac:dyDescent="0.25">
      <c r="A344" s="63"/>
      <c r="B344" s="83" t="s">
        <v>142</v>
      </c>
      <c r="C344" s="100"/>
      <c r="D344" s="101"/>
      <c r="E344" s="188"/>
      <c r="F344" s="128"/>
      <c r="G344" s="158"/>
    </row>
    <row r="345" spans="1:7" x14ac:dyDescent="0.25">
      <c r="A345" s="79"/>
      <c r="B345" s="60"/>
      <c r="C345" s="81"/>
      <c r="D345" s="78"/>
      <c r="E345" s="188"/>
      <c r="F345" s="128"/>
      <c r="G345" s="158"/>
    </row>
    <row r="346" spans="1:7" ht="27.6" x14ac:dyDescent="0.25">
      <c r="A346" s="63" t="s">
        <v>19</v>
      </c>
      <c r="B346" s="82" t="s">
        <v>143</v>
      </c>
      <c r="C346" s="100">
        <v>79</v>
      </c>
      <c r="D346" s="101" t="s">
        <v>145</v>
      </c>
      <c r="E346" s="188">
        <v>4576.99</v>
      </c>
      <c r="F346" s="128">
        <f t="shared" ref="F346:F365" si="11">E346*C346</f>
        <v>361582.20999999996</v>
      </c>
      <c r="G346" s="158"/>
    </row>
    <row r="347" spans="1:7" x14ac:dyDescent="0.25">
      <c r="A347" s="79"/>
      <c r="B347" s="60"/>
      <c r="C347" s="81"/>
      <c r="D347" s="78"/>
      <c r="E347" s="188"/>
      <c r="F347" s="128">
        <f t="shared" si="11"/>
        <v>0</v>
      </c>
      <c r="G347" s="158"/>
    </row>
    <row r="348" spans="1:7" ht="27.6" x14ac:dyDescent="0.25">
      <c r="A348" s="63" t="s">
        <v>22</v>
      </c>
      <c r="B348" s="82" t="s">
        <v>146</v>
      </c>
      <c r="C348" s="100">
        <v>18</v>
      </c>
      <c r="D348" s="101" t="s">
        <v>145</v>
      </c>
      <c r="E348" s="188">
        <v>4576.99</v>
      </c>
      <c r="F348" s="128">
        <f t="shared" si="11"/>
        <v>82385.819999999992</v>
      </c>
      <c r="G348" s="158"/>
    </row>
    <row r="349" spans="1:7" x14ac:dyDescent="0.25">
      <c r="A349" s="79"/>
      <c r="B349" s="60"/>
      <c r="C349" s="81"/>
      <c r="D349" s="78"/>
      <c r="E349" s="188"/>
      <c r="F349" s="128">
        <f t="shared" si="11"/>
        <v>0</v>
      </c>
      <c r="G349" s="158"/>
    </row>
    <row r="350" spans="1:7" ht="27.6" x14ac:dyDescent="0.25">
      <c r="A350" s="63" t="s">
        <v>25</v>
      </c>
      <c r="B350" s="82" t="s">
        <v>148</v>
      </c>
      <c r="C350" s="100">
        <v>15</v>
      </c>
      <c r="D350" s="101" t="s">
        <v>145</v>
      </c>
      <c r="E350" s="188">
        <v>4039.25</v>
      </c>
      <c r="F350" s="128">
        <f t="shared" si="11"/>
        <v>60588.75</v>
      </c>
      <c r="G350" s="158"/>
    </row>
    <row r="351" spans="1:7" x14ac:dyDescent="0.25">
      <c r="A351" s="79"/>
      <c r="B351" s="60"/>
      <c r="C351" s="81"/>
      <c r="D351" s="78"/>
      <c r="E351" s="188"/>
      <c r="F351" s="128">
        <f t="shared" si="11"/>
        <v>0</v>
      </c>
      <c r="G351" s="158"/>
    </row>
    <row r="352" spans="1:7" ht="27.6" x14ac:dyDescent="0.25">
      <c r="A352" s="63" t="s">
        <v>28</v>
      </c>
      <c r="B352" s="82" t="s">
        <v>149</v>
      </c>
      <c r="C352" s="100" t="s">
        <v>110</v>
      </c>
      <c r="D352" s="101" t="s">
        <v>145</v>
      </c>
      <c r="E352" s="188">
        <v>989.52</v>
      </c>
      <c r="F352" s="128">
        <f t="shared" si="11"/>
        <v>10884.72</v>
      </c>
      <c r="G352" s="158"/>
    </row>
    <row r="353" spans="1:7" x14ac:dyDescent="0.25">
      <c r="A353" s="79"/>
      <c r="B353" s="60"/>
      <c r="C353" s="81"/>
      <c r="D353" s="78"/>
      <c r="E353" s="188"/>
      <c r="F353" s="128">
        <f t="shared" si="11"/>
        <v>0</v>
      </c>
      <c r="G353" s="158"/>
    </row>
    <row r="354" spans="1:7" ht="27.6" x14ac:dyDescent="0.25">
      <c r="A354" s="63" t="s">
        <v>48</v>
      </c>
      <c r="B354" s="82" t="s">
        <v>150</v>
      </c>
      <c r="C354" s="100" t="s">
        <v>151</v>
      </c>
      <c r="D354" s="101" t="s">
        <v>145</v>
      </c>
      <c r="E354" s="188">
        <v>846.12</v>
      </c>
      <c r="F354" s="128">
        <f t="shared" si="11"/>
        <v>44844.36</v>
      </c>
      <c r="G354" s="158"/>
    </row>
    <row r="355" spans="1:7" x14ac:dyDescent="0.25">
      <c r="A355" s="79"/>
      <c r="B355" s="60"/>
      <c r="C355" s="81"/>
      <c r="D355" s="78"/>
      <c r="E355" s="188"/>
      <c r="F355" s="128">
        <f t="shared" si="11"/>
        <v>0</v>
      </c>
      <c r="G355" s="158"/>
    </row>
    <row r="356" spans="1:7" ht="41.4" x14ac:dyDescent="0.25">
      <c r="A356" s="63" t="s">
        <v>52</v>
      </c>
      <c r="B356" s="82" t="s">
        <v>152</v>
      </c>
      <c r="C356" s="100" t="s">
        <v>153</v>
      </c>
      <c r="D356" s="101" t="s">
        <v>145</v>
      </c>
      <c r="E356" s="188">
        <v>846.12</v>
      </c>
      <c r="F356" s="128">
        <f t="shared" si="11"/>
        <v>16076.28</v>
      </c>
      <c r="G356" s="158"/>
    </row>
    <row r="357" spans="1:7" x14ac:dyDescent="0.25">
      <c r="A357" s="79"/>
      <c r="B357" s="60"/>
      <c r="C357" s="81"/>
      <c r="D357" s="78"/>
      <c r="E357" s="188"/>
      <c r="F357" s="128">
        <f t="shared" si="11"/>
        <v>0</v>
      </c>
      <c r="G357" s="158"/>
    </row>
    <row r="358" spans="1:7" ht="41.4" x14ac:dyDescent="0.25">
      <c r="A358" s="63"/>
      <c r="B358" s="83" t="s">
        <v>154</v>
      </c>
      <c r="C358" s="100"/>
      <c r="D358" s="101"/>
      <c r="E358" s="188"/>
      <c r="F358" s="128">
        <f t="shared" si="11"/>
        <v>0</v>
      </c>
      <c r="G358" s="158"/>
    </row>
    <row r="359" spans="1:7" x14ac:dyDescent="0.25">
      <c r="A359" s="79"/>
      <c r="B359" s="60"/>
      <c r="C359" s="81"/>
      <c r="D359" s="78"/>
      <c r="E359" s="188"/>
      <c r="F359" s="128">
        <f t="shared" si="11"/>
        <v>0</v>
      </c>
      <c r="G359" s="158"/>
    </row>
    <row r="360" spans="1:7" ht="27.6" x14ac:dyDescent="0.25">
      <c r="A360" s="63" t="s">
        <v>54</v>
      </c>
      <c r="B360" s="82" t="s">
        <v>155</v>
      </c>
      <c r="C360" s="100" t="s">
        <v>156</v>
      </c>
      <c r="D360" s="101" t="s">
        <v>145</v>
      </c>
      <c r="E360" s="188">
        <v>674.56</v>
      </c>
      <c r="F360" s="128">
        <f t="shared" si="11"/>
        <v>2698.24</v>
      </c>
      <c r="G360" s="158"/>
    </row>
    <row r="361" spans="1:7" x14ac:dyDescent="0.25">
      <c r="A361" s="79"/>
      <c r="B361" s="60"/>
      <c r="C361" s="81"/>
      <c r="D361" s="78"/>
      <c r="E361" s="188"/>
      <c r="F361" s="128">
        <f t="shared" si="11"/>
        <v>0</v>
      </c>
      <c r="G361" s="158"/>
    </row>
    <row r="362" spans="1:7" ht="41.4" x14ac:dyDescent="0.25">
      <c r="A362" s="63" t="s">
        <v>136</v>
      </c>
      <c r="B362" s="82" t="s">
        <v>157</v>
      </c>
      <c r="C362" s="100" t="s">
        <v>158</v>
      </c>
      <c r="D362" s="101" t="s">
        <v>145</v>
      </c>
      <c r="E362" s="188">
        <v>1417.15</v>
      </c>
      <c r="F362" s="128">
        <f t="shared" si="11"/>
        <v>17005.800000000003</v>
      </c>
      <c r="G362" s="158"/>
    </row>
    <row r="363" spans="1:7" x14ac:dyDescent="0.25">
      <c r="A363" s="79"/>
      <c r="B363" s="60"/>
      <c r="C363" s="81"/>
      <c r="D363" s="78"/>
      <c r="E363" s="188"/>
      <c r="F363" s="128">
        <f t="shared" si="11"/>
        <v>0</v>
      </c>
      <c r="G363" s="158"/>
    </row>
    <row r="364" spans="1:7" ht="41.4" x14ac:dyDescent="0.25">
      <c r="A364" s="63" t="s">
        <v>159</v>
      </c>
      <c r="B364" s="82" t="s">
        <v>160</v>
      </c>
      <c r="C364" s="100" t="s">
        <v>161</v>
      </c>
      <c r="D364" s="101" t="s">
        <v>145</v>
      </c>
      <c r="E364" s="188">
        <v>674.56</v>
      </c>
      <c r="F364" s="128">
        <f t="shared" si="11"/>
        <v>10118.4</v>
      </c>
      <c r="G364" s="158"/>
    </row>
    <row r="365" spans="1:7" x14ac:dyDescent="0.25">
      <c r="A365" s="60"/>
      <c r="B365" s="61"/>
      <c r="C365" s="60"/>
      <c r="D365" s="62"/>
      <c r="E365" s="188"/>
      <c r="F365" s="128">
        <f t="shared" si="11"/>
        <v>0</v>
      </c>
      <c r="G365" s="158"/>
    </row>
    <row r="366" spans="1:7" x14ac:dyDescent="0.25">
      <c r="A366" s="60"/>
      <c r="B366" s="61"/>
      <c r="C366" s="60"/>
      <c r="D366" s="62"/>
      <c r="E366" s="188"/>
      <c r="F366" s="128"/>
      <c r="G366" s="158"/>
    </row>
    <row r="367" spans="1:7" x14ac:dyDescent="0.25">
      <c r="A367" s="60"/>
      <c r="B367" s="61"/>
      <c r="C367" s="60"/>
      <c r="D367" s="62"/>
      <c r="E367" s="188"/>
      <c r="F367" s="128"/>
      <c r="G367" s="158"/>
    </row>
    <row r="368" spans="1:7" x14ac:dyDescent="0.25">
      <c r="A368" s="89"/>
      <c r="B368" s="90"/>
      <c r="C368" s="91"/>
      <c r="D368" s="92"/>
      <c r="E368" s="135"/>
      <c r="F368" s="129"/>
      <c r="G368" s="173"/>
    </row>
    <row r="369" spans="1:7" x14ac:dyDescent="0.25">
      <c r="A369" s="93"/>
      <c r="B369" s="94"/>
      <c r="C369" s="95" t="s">
        <v>31</v>
      </c>
      <c r="D369" s="95"/>
      <c r="E369" s="189" t="s">
        <v>7</v>
      </c>
      <c r="F369" s="130">
        <f>SUM(F335:F366)</f>
        <v>1006617.86</v>
      </c>
      <c r="G369" s="174"/>
    </row>
    <row r="370" spans="1:7" x14ac:dyDescent="0.25">
      <c r="A370" s="93"/>
      <c r="B370" s="94"/>
      <c r="C370" s="97"/>
      <c r="D370" s="98"/>
      <c r="E370" s="137"/>
      <c r="F370" s="131"/>
      <c r="G370" s="175"/>
    </row>
    <row r="371" spans="1:7" x14ac:dyDescent="0.25">
      <c r="A371" s="60"/>
      <c r="B371" s="61"/>
      <c r="C371" s="60"/>
      <c r="D371" s="62"/>
      <c r="E371" s="188"/>
      <c r="F371" s="128"/>
      <c r="G371" s="158"/>
    </row>
    <row r="372" spans="1:7" x14ac:dyDescent="0.25">
      <c r="A372" s="79"/>
      <c r="B372" s="99" t="s">
        <v>138</v>
      </c>
      <c r="C372" s="81"/>
      <c r="D372" s="78"/>
      <c r="E372" s="188"/>
      <c r="F372" s="128"/>
      <c r="G372" s="158"/>
    </row>
    <row r="373" spans="1:7" x14ac:dyDescent="0.25">
      <c r="A373" s="79"/>
      <c r="B373" s="60"/>
      <c r="C373" s="81"/>
      <c r="D373" s="78"/>
      <c r="E373" s="188"/>
      <c r="F373" s="128"/>
      <c r="G373" s="158"/>
    </row>
    <row r="374" spans="1:7" ht="41.4" x14ac:dyDescent="0.25">
      <c r="A374" s="63" t="s">
        <v>12</v>
      </c>
      <c r="B374" s="82" t="s">
        <v>162</v>
      </c>
      <c r="C374" s="100">
        <v>39</v>
      </c>
      <c r="D374" s="101" t="s">
        <v>145</v>
      </c>
      <c r="E374" s="188">
        <v>556.77</v>
      </c>
      <c r="F374" s="128">
        <f t="shared" ref="F374:F395" si="12">E374*C374</f>
        <v>21714.03</v>
      </c>
      <c r="G374" s="158"/>
    </row>
    <row r="375" spans="1:7" x14ac:dyDescent="0.25">
      <c r="A375" s="79"/>
      <c r="B375" s="60"/>
      <c r="C375" s="81"/>
      <c r="D375" s="78"/>
      <c r="E375" s="188"/>
      <c r="F375" s="128">
        <f t="shared" si="12"/>
        <v>0</v>
      </c>
      <c r="G375" s="158"/>
    </row>
    <row r="376" spans="1:7" ht="27.6" x14ac:dyDescent="0.25">
      <c r="A376" s="63" t="s">
        <v>16</v>
      </c>
      <c r="B376" s="82" t="s">
        <v>164</v>
      </c>
      <c r="C376" s="100" t="s">
        <v>158</v>
      </c>
      <c r="D376" s="101" t="s">
        <v>145</v>
      </c>
      <c r="E376" s="188">
        <v>2651.38</v>
      </c>
      <c r="F376" s="128">
        <f t="shared" si="12"/>
        <v>31816.560000000001</v>
      </c>
      <c r="G376" s="158"/>
    </row>
    <row r="377" spans="1:7" x14ac:dyDescent="0.25">
      <c r="A377" s="79"/>
      <c r="B377" s="60"/>
      <c r="C377" s="81"/>
      <c r="D377" s="78"/>
      <c r="E377" s="188"/>
      <c r="F377" s="128">
        <f t="shared" si="12"/>
        <v>0</v>
      </c>
      <c r="G377" s="158"/>
    </row>
    <row r="378" spans="1:7" ht="27.6" x14ac:dyDescent="0.25">
      <c r="A378" s="63" t="s">
        <v>19</v>
      </c>
      <c r="B378" s="82" t="s">
        <v>165</v>
      </c>
      <c r="C378" s="100">
        <v>11</v>
      </c>
      <c r="D378" s="101" t="s">
        <v>145</v>
      </c>
      <c r="E378" s="188">
        <v>5937.97</v>
      </c>
      <c r="F378" s="128">
        <f t="shared" si="12"/>
        <v>65317.670000000006</v>
      </c>
      <c r="G378" s="158"/>
    </row>
    <row r="379" spans="1:7" x14ac:dyDescent="0.25">
      <c r="A379" s="79"/>
      <c r="B379" s="60"/>
      <c r="C379" s="81"/>
      <c r="D379" s="78"/>
      <c r="E379" s="188"/>
      <c r="F379" s="128">
        <f t="shared" si="12"/>
        <v>0</v>
      </c>
      <c r="G379" s="158"/>
    </row>
    <row r="380" spans="1:7" ht="41.4" x14ac:dyDescent="0.25">
      <c r="A380" s="63" t="s">
        <v>22</v>
      </c>
      <c r="B380" s="82" t="s">
        <v>167</v>
      </c>
      <c r="C380" s="100">
        <v>53</v>
      </c>
      <c r="D380" s="101" t="s">
        <v>145</v>
      </c>
      <c r="E380" s="188">
        <v>811.55</v>
      </c>
      <c r="F380" s="128">
        <f t="shared" si="12"/>
        <v>43012.149999999994</v>
      </c>
      <c r="G380" s="158"/>
    </row>
    <row r="381" spans="1:7" x14ac:dyDescent="0.25">
      <c r="A381" s="79"/>
      <c r="B381" s="60"/>
      <c r="C381" s="81"/>
      <c r="D381" s="78"/>
      <c r="E381" s="188"/>
      <c r="F381" s="128">
        <f t="shared" si="12"/>
        <v>0</v>
      </c>
      <c r="G381" s="158"/>
    </row>
    <row r="382" spans="1:7" ht="41.4" x14ac:dyDescent="0.25">
      <c r="A382" s="63" t="s">
        <v>25</v>
      </c>
      <c r="B382" s="82" t="s">
        <v>169</v>
      </c>
      <c r="C382" s="100">
        <v>3</v>
      </c>
      <c r="D382" s="101" t="s">
        <v>145</v>
      </c>
      <c r="E382" s="188">
        <v>33207.599999999999</v>
      </c>
      <c r="F382" s="128">
        <f t="shared" si="12"/>
        <v>99622.799999999988</v>
      </c>
      <c r="G382" s="158"/>
    </row>
    <row r="383" spans="1:7" x14ac:dyDescent="0.25">
      <c r="A383" s="79"/>
      <c r="B383" s="60"/>
      <c r="C383" s="81"/>
      <c r="D383" s="78"/>
      <c r="E383" s="188"/>
      <c r="F383" s="128">
        <f t="shared" si="12"/>
        <v>0</v>
      </c>
      <c r="G383" s="158"/>
    </row>
    <row r="384" spans="1:7" ht="41.4" x14ac:dyDescent="0.25">
      <c r="A384" s="63" t="s">
        <v>28</v>
      </c>
      <c r="B384" s="82" t="s">
        <v>171</v>
      </c>
      <c r="C384" s="100" t="s">
        <v>172</v>
      </c>
      <c r="D384" s="101" t="s">
        <v>145</v>
      </c>
      <c r="E384" s="188">
        <v>538.84</v>
      </c>
      <c r="F384" s="128">
        <f t="shared" si="12"/>
        <v>12932.16</v>
      </c>
      <c r="G384" s="158"/>
    </row>
    <row r="385" spans="1:7" x14ac:dyDescent="0.25">
      <c r="A385" s="79"/>
      <c r="B385" s="60"/>
      <c r="C385" s="81"/>
      <c r="D385" s="78"/>
      <c r="E385" s="188"/>
      <c r="F385" s="128">
        <f t="shared" si="12"/>
        <v>0</v>
      </c>
      <c r="G385" s="158"/>
    </row>
    <row r="386" spans="1:7" ht="41.4" x14ac:dyDescent="0.25">
      <c r="A386" s="63" t="s">
        <v>48</v>
      </c>
      <c r="B386" s="82" t="s">
        <v>173</v>
      </c>
      <c r="C386" s="100" t="s">
        <v>174</v>
      </c>
      <c r="D386" s="101" t="s">
        <v>145</v>
      </c>
      <c r="E386" s="188">
        <v>538.84</v>
      </c>
      <c r="F386" s="128">
        <f t="shared" si="12"/>
        <v>4849.5600000000004</v>
      </c>
      <c r="G386" s="158"/>
    </row>
    <row r="387" spans="1:7" x14ac:dyDescent="0.25">
      <c r="A387" s="79"/>
      <c r="B387" s="60"/>
      <c r="C387" s="81"/>
      <c r="D387" s="78"/>
      <c r="E387" s="188"/>
      <c r="F387" s="128">
        <f t="shared" si="12"/>
        <v>0</v>
      </c>
      <c r="G387" s="158"/>
    </row>
    <row r="388" spans="1:7" ht="41.4" x14ac:dyDescent="0.25">
      <c r="A388" s="63" t="s">
        <v>52</v>
      </c>
      <c r="B388" s="82" t="s">
        <v>175</v>
      </c>
      <c r="C388" s="100" t="s">
        <v>176</v>
      </c>
      <c r="D388" s="101" t="s">
        <v>145</v>
      </c>
      <c r="E388" s="188">
        <v>674.56</v>
      </c>
      <c r="F388" s="128">
        <f t="shared" si="12"/>
        <v>27656.959999999999</v>
      </c>
      <c r="G388" s="158"/>
    </row>
    <row r="389" spans="1:7" x14ac:dyDescent="0.25">
      <c r="A389" s="79"/>
      <c r="B389" s="60"/>
      <c r="C389" s="81"/>
      <c r="D389" s="78"/>
      <c r="E389" s="188"/>
      <c r="F389" s="128">
        <f t="shared" si="12"/>
        <v>0</v>
      </c>
      <c r="G389" s="158"/>
    </row>
    <row r="390" spans="1:7" ht="41.4" x14ac:dyDescent="0.25">
      <c r="A390" s="63" t="s">
        <v>54</v>
      </c>
      <c r="B390" s="82" t="s">
        <v>177</v>
      </c>
      <c r="C390" s="100" t="s">
        <v>158</v>
      </c>
      <c r="D390" s="101" t="s">
        <v>145</v>
      </c>
      <c r="E390" s="188">
        <v>674.56</v>
      </c>
      <c r="F390" s="128">
        <f t="shared" si="12"/>
        <v>8094.7199999999993</v>
      </c>
      <c r="G390" s="158"/>
    </row>
    <row r="391" spans="1:7" x14ac:dyDescent="0.25">
      <c r="A391" s="79"/>
      <c r="B391" s="60"/>
      <c r="C391" s="81"/>
      <c r="D391" s="78"/>
      <c r="E391" s="188"/>
      <c r="F391" s="128">
        <f t="shared" si="12"/>
        <v>0</v>
      </c>
      <c r="G391" s="158"/>
    </row>
    <row r="392" spans="1:7" ht="27.6" x14ac:dyDescent="0.25">
      <c r="A392" s="63" t="s">
        <v>136</v>
      </c>
      <c r="B392" s="82" t="s">
        <v>178</v>
      </c>
      <c r="C392" s="100">
        <v>102</v>
      </c>
      <c r="D392" s="101" t="s">
        <v>145</v>
      </c>
      <c r="E392" s="188">
        <v>2780.69</v>
      </c>
      <c r="F392" s="128">
        <f t="shared" si="12"/>
        <v>283630.38</v>
      </c>
      <c r="G392" s="158"/>
    </row>
    <row r="393" spans="1:7" x14ac:dyDescent="0.25">
      <c r="A393" s="79"/>
      <c r="B393" s="60"/>
      <c r="C393" s="81"/>
      <c r="D393" s="78"/>
      <c r="E393" s="188"/>
      <c r="F393" s="128">
        <f t="shared" si="12"/>
        <v>0</v>
      </c>
      <c r="G393" s="158"/>
    </row>
    <row r="394" spans="1:7" ht="41.4" x14ac:dyDescent="0.25">
      <c r="A394" s="63" t="s">
        <v>159</v>
      </c>
      <c r="B394" s="82" t="s">
        <v>179</v>
      </c>
      <c r="C394" s="100" t="s">
        <v>180</v>
      </c>
      <c r="D394" s="101" t="s">
        <v>145</v>
      </c>
      <c r="E394" s="188">
        <v>2780.69</v>
      </c>
      <c r="F394" s="128">
        <f t="shared" si="12"/>
        <v>19464.830000000002</v>
      </c>
      <c r="G394" s="158"/>
    </row>
    <row r="395" spans="1:7" x14ac:dyDescent="0.25">
      <c r="A395" s="85"/>
      <c r="B395" s="86"/>
      <c r="C395" s="64"/>
      <c r="D395" s="65"/>
      <c r="E395" s="188"/>
      <c r="F395" s="128">
        <f t="shared" si="12"/>
        <v>0</v>
      </c>
      <c r="G395" s="158"/>
    </row>
    <row r="396" spans="1:7" x14ac:dyDescent="0.25">
      <c r="A396" s="79"/>
      <c r="B396" s="60"/>
      <c r="C396" s="81"/>
      <c r="D396" s="78"/>
      <c r="E396" s="188"/>
      <c r="F396" s="128"/>
      <c r="G396" s="158"/>
    </row>
    <row r="397" spans="1:7" x14ac:dyDescent="0.25">
      <c r="A397" s="60"/>
      <c r="B397" s="61"/>
      <c r="C397" s="60"/>
      <c r="D397" s="62"/>
      <c r="E397" s="188"/>
      <c r="F397" s="128"/>
      <c r="G397" s="158"/>
    </row>
    <row r="398" spans="1:7" x14ac:dyDescent="0.25">
      <c r="A398" s="60"/>
      <c r="B398" s="61"/>
      <c r="C398" s="60"/>
      <c r="D398" s="62"/>
      <c r="E398" s="188"/>
      <c r="F398" s="128"/>
      <c r="G398" s="158"/>
    </row>
    <row r="399" spans="1:7" x14ac:dyDescent="0.25">
      <c r="A399" s="60"/>
      <c r="B399" s="61"/>
      <c r="C399" s="60"/>
      <c r="D399" s="62"/>
      <c r="E399" s="188"/>
      <c r="F399" s="128"/>
      <c r="G399" s="158"/>
    </row>
    <row r="400" spans="1:7" x14ac:dyDescent="0.25">
      <c r="A400" s="89"/>
      <c r="B400" s="90"/>
      <c r="C400" s="91"/>
      <c r="D400" s="92"/>
      <c r="E400" s="135"/>
      <c r="F400" s="129"/>
      <c r="G400" s="173"/>
    </row>
    <row r="401" spans="1:7" x14ac:dyDescent="0.25">
      <c r="A401" s="93"/>
      <c r="B401" s="94"/>
      <c r="C401" s="95" t="s">
        <v>31</v>
      </c>
      <c r="D401" s="95"/>
      <c r="E401" s="189" t="s">
        <v>7</v>
      </c>
      <c r="F401" s="130">
        <f>SUM(F374:F400)</f>
        <v>618111.81999999995</v>
      </c>
      <c r="G401" s="174"/>
    </row>
    <row r="402" spans="1:7" x14ac:dyDescent="0.25">
      <c r="A402" s="93"/>
      <c r="B402" s="94"/>
      <c r="C402" s="97"/>
      <c r="D402" s="98"/>
      <c r="E402" s="137"/>
      <c r="F402" s="131"/>
      <c r="G402" s="175"/>
    </row>
    <row r="403" spans="1:7" x14ac:dyDescent="0.25">
      <c r="A403" s="60"/>
      <c r="B403" s="61"/>
      <c r="C403" s="60"/>
      <c r="D403" s="62"/>
      <c r="E403" s="188"/>
      <c r="F403" s="128"/>
      <c r="G403" s="158"/>
    </row>
    <row r="404" spans="1:7" x14ac:dyDescent="0.25">
      <c r="A404" s="79"/>
      <c r="B404" s="99" t="s">
        <v>138</v>
      </c>
      <c r="C404" s="81"/>
      <c r="D404" s="78"/>
      <c r="E404" s="188"/>
      <c r="F404" s="128"/>
      <c r="G404" s="158"/>
    </row>
    <row r="405" spans="1:7" x14ac:dyDescent="0.25">
      <c r="A405" s="79"/>
      <c r="B405" s="84"/>
      <c r="C405" s="81"/>
      <c r="D405" s="78"/>
      <c r="E405" s="188"/>
      <c r="F405" s="128"/>
      <c r="G405" s="158"/>
    </row>
    <row r="406" spans="1:7" ht="27.6" x14ac:dyDescent="0.25">
      <c r="A406" s="63" t="s">
        <v>12</v>
      </c>
      <c r="B406" s="82" t="s">
        <v>181</v>
      </c>
      <c r="C406" s="100">
        <v>87</v>
      </c>
      <c r="D406" s="101" t="s">
        <v>145</v>
      </c>
      <c r="E406" s="188">
        <v>1084.26</v>
      </c>
      <c r="F406" s="128">
        <f t="shared" ref="F406:F433" si="13">E406*C406</f>
        <v>94330.62</v>
      </c>
      <c r="G406" s="158"/>
    </row>
    <row r="407" spans="1:7" x14ac:dyDescent="0.25">
      <c r="A407" s="79"/>
      <c r="B407" s="60"/>
      <c r="C407" s="81"/>
      <c r="D407" s="78"/>
      <c r="E407" s="188"/>
      <c r="F407" s="128">
        <f t="shared" si="13"/>
        <v>0</v>
      </c>
      <c r="G407" s="158"/>
    </row>
    <row r="408" spans="1:7" ht="41.4" x14ac:dyDescent="0.25">
      <c r="A408" s="63" t="s">
        <v>16</v>
      </c>
      <c r="B408" s="82" t="s">
        <v>182</v>
      </c>
      <c r="C408" s="100">
        <v>30</v>
      </c>
      <c r="D408" s="101" t="s">
        <v>145</v>
      </c>
      <c r="E408" s="188">
        <v>1084.26</v>
      </c>
      <c r="F408" s="128">
        <f t="shared" si="13"/>
        <v>32527.8</v>
      </c>
      <c r="G408" s="158"/>
    </row>
    <row r="409" spans="1:7" x14ac:dyDescent="0.25">
      <c r="A409" s="79"/>
      <c r="B409" s="60"/>
      <c r="C409" s="81"/>
      <c r="D409" s="78"/>
      <c r="E409" s="188"/>
      <c r="F409" s="128">
        <f t="shared" si="13"/>
        <v>0</v>
      </c>
      <c r="G409" s="158"/>
    </row>
    <row r="410" spans="1:7" ht="41.4" x14ac:dyDescent="0.25">
      <c r="A410" s="63" t="s">
        <v>19</v>
      </c>
      <c r="B410" s="82" t="s">
        <v>183</v>
      </c>
      <c r="C410" s="100" t="s">
        <v>166</v>
      </c>
      <c r="D410" s="101" t="s">
        <v>145</v>
      </c>
      <c r="E410" s="188">
        <v>843.56</v>
      </c>
      <c r="F410" s="128">
        <f t="shared" si="13"/>
        <v>5061.3599999999997</v>
      </c>
      <c r="G410" s="158"/>
    </row>
    <row r="411" spans="1:7" x14ac:dyDescent="0.25">
      <c r="A411" s="79"/>
      <c r="B411" s="60"/>
      <c r="C411" s="81"/>
      <c r="D411" s="78"/>
      <c r="E411" s="188"/>
      <c r="F411" s="128">
        <f t="shared" si="13"/>
        <v>0</v>
      </c>
      <c r="G411" s="158"/>
    </row>
    <row r="412" spans="1:7" ht="41.4" x14ac:dyDescent="0.25">
      <c r="A412" s="63" t="s">
        <v>22</v>
      </c>
      <c r="B412" s="82" t="s">
        <v>184</v>
      </c>
      <c r="C412" s="100">
        <v>81</v>
      </c>
      <c r="D412" s="101" t="s">
        <v>145</v>
      </c>
      <c r="E412" s="188">
        <v>986.96</v>
      </c>
      <c r="F412" s="128">
        <f t="shared" si="13"/>
        <v>79943.760000000009</v>
      </c>
      <c r="G412" s="158"/>
    </row>
    <row r="413" spans="1:7" x14ac:dyDescent="0.25">
      <c r="A413" s="79"/>
      <c r="B413" s="60"/>
      <c r="C413" s="81"/>
      <c r="D413" s="78"/>
      <c r="E413" s="188"/>
      <c r="F413" s="128">
        <f t="shared" si="13"/>
        <v>0</v>
      </c>
      <c r="G413" s="158"/>
    </row>
    <row r="414" spans="1:7" ht="27.6" x14ac:dyDescent="0.25">
      <c r="A414" s="63"/>
      <c r="B414" s="83" t="s">
        <v>185</v>
      </c>
      <c r="C414" s="100"/>
      <c r="D414" s="101"/>
      <c r="E414" s="188"/>
      <c r="F414" s="128">
        <f t="shared" si="13"/>
        <v>0</v>
      </c>
      <c r="G414" s="158"/>
    </row>
    <row r="415" spans="1:7" x14ac:dyDescent="0.25">
      <c r="A415" s="79"/>
      <c r="B415" s="60"/>
      <c r="C415" s="81"/>
      <c r="D415" s="78"/>
      <c r="E415" s="188"/>
      <c r="F415" s="128">
        <f t="shared" si="13"/>
        <v>0</v>
      </c>
      <c r="G415" s="158"/>
    </row>
    <row r="416" spans="1:7" ht="27.6" x14ac:dyDescent="0.25">
      <c r="A416" s="63" t="s">
        <v>25</v>
      </c>
      <c r="B416" s="82" t="s">
        <v>186</v>
      </c>
      <c r="C416" s="100">
        <v>7105</v>
      </c>
      <c r="D416" s="101" t="s">
        <v>145</v>
      </c>
      <c r="E416" s="188">
        <v>17.75</v>
      </c>
      <c r="F416" s="128">
        <f t="shared" si="13"/>
        <v>126113.75</v>
      </c>
      <c r="G416" s="158"/>
    </row>
    <row r="417" spans="1:7" x14ac:dyDescent="0.25">
      <c r="A417" s="79"/>
      <c r="B417" s="60"/>
      <c r="C417" s="81"/>
      <c r="D417" s="78"/>
      <c r="E417" s="188"/>
      <c r="F417" s="128">
        <f t="shared" si="13"/>
        <v>0</v>
      </c>
      <c r="G417" s="158"/>
    </row>
    <row r="418" spans="1:7" ht="27.6" x14ac:dyDescent="0.25">
      <c r="A418" s="63" t="s">
        <v>28</v>
      </c>
      <c r="B418" s="82" t="s">
        <v>187</v>
      </c>
      <c r="C418" s="100">
        <v>6655</v>
      </c>
      <c r="D418" s="101" t="s">
        <v>145</v>
      </c>
      <c r="E418" s="188">
        <v>20.309999999999999</v>
      </c>
      <c r="F418" s="128">
        <f t="shared" si="13"/>
        <v>135163.04999999999</v>
      </c>
      <c r="G418" s="158"/>
    </row>
    <row r="419" spans="1:7" x14ac:dyDescent="0.25">
      <c r="A419" s="79"/>
      <c r="B419" s="60"/>
      <c r="C419" s="81"/>
      <c r="D419" s="78"/>
      <c r="E419" s="188"/>
      <c r="F419" s="128">
        <f t="shared" si="13"/>
        <v>0</v>
      </c>
      <c r="G419" s="158"/>
    </row>
    <row r="420" spans="1:7" ht="27.6" x14ac:dyDescent="0.25">
      <c r="A420" s="63" t="s">
        <v>48</v>
      </c>
      <c r="B420" s="82" t="s">
        <v>188</v>
      </c>
      <c r="C420" s="100">
        <v>6750</v>
      </c>
      <c r="D420" s="101" t="s">
        <v>145</v>
      </c>
      <c r="E420" s="188">
        <v>19.03</v>
      </c>
      <c r="F420" s="128">
        <f t="shared" si="13"/>
        <v>128452.50000000001</v>
      </c>
      <c r="G420" s="158"/>
    </row>
    <row r="421" spans="1:7" x14ac:dyDescent="0.25">
      <c r="A421" s="79"/>
      <c r="B421" s="60"/>
      <c r="C421" s="81"/>
      <c r="D421" s="78"/>
      <c r="E421" s="188"/>
      <c r="F421" s="128">
        <f t="shared" si="13"/>
        <v>0</v>
      </c>
      <c r="G421" s="158"/>
    </row>
    <row r="422" spans="1:7" ht="41.4" x14ac:dyDescent="0.25">
      <c r="A422" s="63" t="s">
        <v>52</v>
      </c>
      <c r="B422" s="82" t="s">
        <v>189</v>
      </c>
      <c r="C422" s="100">
        <v>1834</v>
      </c>
      <c r="D422" s="101" t="s">
        <v>145</v>
      </c>
      <c r="E422" s="188">
        <v>22.87</v>
      </c>
      <c r="F422" s="128">
        <f t="shared" si="13"/>
        <v>41943.58</v>
      </c>
      <c r="G422" s="158"/>
    </row>
    <row r="423" spans="1:7" x14ac:dyDescent="0.25">
      <c r="A423" s="79"/>
      <c r="B423" s="60"/>
      <c r="C423" s="81"/>
      <c r="D423" s="78"/>
      <c r="E423" s="188"/>
      <c r="F423" s="128">
        <f t="shared" si="13"/>
        <v>0</v>
      </c>
      <c r="G423" s="158"/>
    </row>
    <row r="424" spans="1:7" ht="27.6" x14ac:dyDescent="0.25">
      <c r="A424" s="63" t="s">
        <v>54</v>
      </c>
      <c r="B424" s="82" t="s">
        <v>190</v>
      </c>
      <c r="C424" s="100">
        <v>9870</v>
      </c>
      <c r="D424" s="101" t="s">
        <v>145</v>
      </c>
      <c r="E424" s="188">
        <v>34.4</v>
      </c>
      <c r="F424" s="128">
        <f t="shared" si="13"/>
        <v>339528</v>
      </c>
      <c r="G424" s="158"/>
    </row>
    <row r="425" spans="1:7" x14ac:dyDescent="0.25">
      <c r="A425" s="79"/>
      <c r="B425" s="60"/>
      <c r="C425" s="81"/>
      <c r="D425" s="78"/>
      <c r="E425" s="188"/>
      <c r="F425" s="128">
        <f t="shared" si="13"/>
        <v>0</v>
      </c>
      <c r="G425" s="158"/>
    </row>
    <row r="426" spans="1:7" ht="27.6" x14ac:dyDescent="0.25">
      <c r="A426" s="63" t="s">
        <v>136</v>
      </c>
      <c r="B426" s="82" t="s">
        <v>191</v>
      </c>
      <c r="C426" s="100">
        <v>7955</v>
      </c>
      <c r="D426" s="101" t="s">
        <v>145</v>
      </c>
      <c r="E426" s="188">
        <v>108.66</v>
      </c>
      <c r="F426" s="128">
        <f t="shared" si="13"/>
        <v>864390.29999999993</v>
      </c>
      <c r="G426" s="158"/>
    </row>
    <row r="427" spans="1:7" x14ac:dyDescent="0.25">
      <c r="A427" s="79"/>
      <c r="B427" s="60"/>
      <c r="C427" s="81"/>
      <c r="D427" s="78"/>
      <c r="E427" s="188"/>
      <c r="F427" s="128">
        <f t="shared" si="13"/>
        <v>0</v>
      </c>
      <c r="G427" s="158"/>
    </row>
    <row r="428" spans="1:7" x14ac:dyDescent="0.25">
      <c r="A428" s="85"/>
      <c r="B428" s="86"/>
      <c r="C428" s="64"/>
      <c r="D428" s="65"/>
      <c r="E428" s="188"/>
      <c r="F428" s="128">
        <f t="shared" si="13"/>
        <v>0</v>
      </c>
      <c r="G428" s="158"/>
    </row>
    <row r="429" spans="1:7" x14ac:dyDescent="0.25">
      <c r="A429" s="79"/>
      <c r="B429" s="60"/>
      <c r="C429" s="81"/>
      <c r="D429" s="78"/>
      <c r="E429" s="188"/>
      <c r="F429" s="128">
        <f t="shared" si="13"/>
        <v>0</v>
      </c>
      <c r="G429" s="158"/>
    </row>
    <row r="430" spans="1:7" x14ac:dyDescent="0.25">
      <c r="A430" s="85"/>
      <c r="B430" s="86"/>
      <c r="C430" s="64"/>
      <c r="D430" s="65"/>
      <c r="E430" s="188"/>
      <c r="F430" s="128">
        <f t="shared" si="13"/>
        <v>0</v>
      </c>
      <c r="G430" s="158"/>
    </row>
    <row r="431" spans="1:7" x14ac:dyDescent="0.25">
      <c r="A431" s="79"/>
      <c r="B431" s="60"/>
      <c r="C431" s="81"/>
      <c r="D431" s="78"/>
      <c r="E431" s="188"/>
      <c r="F431" s="128">
        <f t="shared" si="13"/>
        <v>0</v>
      </c>
      <c r="G431" s="158"/>
    </row>
    <row r="432" spans="1:7" x14ac:dyDescent="0.25">
      <c r="A432" s="85"/>
      <c r="B432" s="86"/>
      <c r="C432" s="64"/>
      <c r="D432" s="65"/>
      <c r="E432" s="188"/>
      <c r="F432" s="128">
        <f t="shared" si="13"/>
        <v>0</v>
      </c>
      <c r="G432" s="158"/>
    </row>
    <row r="433" spans="1:7" x14ac:dyDescent="0.25">
      <c r="A433" s="79"/>
      <c r="B433" s="60"/>
      <c r="C433" s="81"/>
      <c r="D433" s="78"/>
      <c r="E433" s="188"/>
      <c r="F433" s="128">
        <f t="shared" si="13"/>
        <v>0</v>
      </c>
      <c r="G433" s="158"/>
    </row>
    <row r="434" spans="1:7" x14ac:dyDescent="0.25">
      <c r="A434" s="79"/>
      <c r="B434" s="60"/>
      <c r="C434" s="81"/>
      <c r="D434" s="78"/>
      <c r="E434" s="188"/>
      <c r="F434" s="128"/>
      <c r="G434" s="158"/>
    </row>
    <row r="435" spans="1:7" x14ac:dyDescent="0.25">
      <c r="A435" s="85"/>
      <c r="B435" s="86"/>
      <c r="C435" s="64"/>
      <c r="D435" s="65"/>
      <c r="E435" s="188"/>
      <c r="F435" s="128"/>
      <c r="G435" s="158"/>
    </row>
    <row r="436" spans="1:7" x14ac:dyDescent="0.25">
      <c r="A436" s="79"/>
      <c r="B436" s="60"/>
      <c r="C436" s="81"/>
      <c r="D436" s="78"/>
      <c r="E436" s="188"/>
      <c r="F436" s="128"/>
      <c r="G436" s="158"/>
    </row>
    <row r="437" spans="1:7" x14ac:dyDescent="0.25">
      <c r="A437" s="89"/>
      <c r="B437" s="90"/>
      <c r="C437" s="91"/>
      <c r="D437" s="92"/>
      <c r="E437" s="135"/>
      <c r="F437" s="129"/>
      <c r="G437" s="173"/>
    </row>
    <row r="438" spans="1:7" x14ac:dyDescent="0.25">
      <c r="A438" s="93"/>
      <c r="B438" s="94"/>
      <c r="C438" s="95" t="s">
        <v>31</v>
      </c>
      <c r="D438" s="95"/>
      <c r="E438" s="189" t="s">
        <v>7</v>
      </c>
      <c r="F438" s="130">
        <f>SUM(F406:F437)</f>
        <v>1847454.72</v>
      </c>
      <c r="G438" s="174"/>
    </row>
    <row r="439" spans="1:7" x14ac:dyDescent="0.25">
      <c r="A439" s="93"/>
      <c r="B439" s="94"/>
      <c r="C439" s="97"/>
      <c r="D439" s="98"/>
      <c r="E439" s="137"/>
      <c r="F439" s="131"/>
      <c r="G439" s="175"/>
    </row>
    <row r="440" spans="1:7" x14ac:dyDescent="0.25">
      <c r="A440" s="79"/>
      <c r="B440" s="60"/>
      <c r="C440" s="81"/>
      <c r="D440" s="78"/>
      <c r="E440" s="188"/>
      <c r="F440" s="128"/>
      <c r="G440" s="158"/>
    </row>
    <row r="441" spans="1:7" x14ac:dyDescent="0.25">
      <c r="A441" s="79"/>
      <c r="B441" s="99" t="s">
        <v>138</v>
      </c>
      <c r="C441" s="81"/>
      <c r="D441" s="78"/>
      <c r="E441" s="188"/>
      <c r="F441" s="128"/>
      <c r="G441" s="158"/>
    </row>
    <row r="442" spans="1:7" x14ac:dyDescent="0.25">
      <c r="A442" s="79"/>
      <c r="B442" s="60"/>
      <c r="C442" s="81"/>
      <c r="D442" s="78"/>
      <c r="E442" s="188"/>
      <c r="F442" s="128"/>
      <c r="G442" s="158"/>
    </row>
    <row r="443" spans="1:7" ht="41.4" x14ac:dyDescent="0.25">
      <c r="A443" s="63"/>
      <c r="B443" s="83" t="s">
        <v>192</v>
      </c>
      <c r="C443" s="100"/>
      <c r="D443" s="101"/>
      <c r="E443" s="188"/>
      <c r="F443" s="128"/>
      <c r="G443" s="158"/>
    </row>
    <row r="444" spans="1:7" x14ac:dyDescent="0.25">
      <c r="A444" s="79"/>
      <c r="B444" s="60"/>
      <c r="C444" s="81"/>
      <c r="D444" s="78"/>
      <c r="E444" s="188"/>
      <c r="F444" s="128"/>
      <c r="G444" s="158"/>
    </row>
    <row r="445" spans="1:7" ht="27.6" x14ac:dyDescent="0.25">
      <c r="A445" s="63" t="s">
        <v>12</v>
      </c>
      <c r="B445" s="82" t="s">
        <v>193</v>
      </c>
      <c r="C445" s="100">
        <v>14703</v>
      </c>
      <c r="D445" s="101" t="s">
        <v>145</v>
      </c>
      <c r="E445" s="188">
        <v>12.63</v>
      </c>
      <c r="F445" s="128">
        <f t="shared" ref="F445:F449" si="14">E445*C445</f>
        <v>185698.89</v>
      </c>
      <c r="G445" s="158"/>
    </row>
    <row r="446" spans="1:7" x14ac:dyDescent="0.25">
      <c r="A446" s="79"/>
      <c r="B446" s="60"/>
      <c r="C446" s="81"/>
      <c r="D446" s="78"/>
      <c r="E446" s="188"/>
      <c r="F446" s="128">
        <f t="shared" si="14"/>
        <v>0</v>
      </c>
      <c r="G446" s="158"/>
    </row>
    <row r="447" spans="1:7" ht="27.6" x14ac:dyDescent="0.25">
      <c r="A447" s="63" t="s">
        <v>16</v>
      </c>
      <c r="B447" s="82" t="s">
        <v>194</v>
      </c>
      <c r="C447" s="100">
        <v>7654</v>
      </c>
      <c r="D447" s="101" t="s">
        <v>145</v>
      </c>
      <c r="E447" s="188">
        <v>12.63</v>
      </c>
      <c r="F447" s="128">
        <f t="shared" si="14"/>
        <v>96670.02</v>
      </c>
      <c r="G447" s="158"/>
    </row>
    <row r="448" spans="1:7" x14ac:dyDescent="0.25">
      <c r="A448" s="79"/>
      <c r="B448" s="60"/>
      <c r="C448" s="81"/>
      <c r="D448" s="78"/>
      <c r="E448" s="188"/>
      <c r="F448" s="128">
        <f t="shared" si="14"/>
        <v>0</v>
      </c>
      <c r="G448" s="158"/>
    </row>
    <row r="449" spans="1:7" ht="27.6" x14ac:dyDescent="0.25">
      <c r="A449" s="63" t="s">
        <v>19</v>
      </c>
      <c r="B449" s="82" t="s">
        <v>195</v>
      </c>
      <c r="C449" s="100">
        <v>7196</v>
      </c>
      <c r="D449" s="101" t="s">
        <v>145</v>
      </c>
      <c r="E449" s="188">
        <v>11.35</v>
      </c>
      <c r="F449" s="128">
        <f t="shared" si="14"/>
        <v>81674.599999999991</v>
      </c>
      <c r="G449" s="158"/>
    </row>
    <row r="450" spans="1:7" x14ac:dyDescent="0.25">
      <c r="A450" s="79"/>
      <c r="B450" s="60"/>
      <c r="C450" s="81"/>
      <c r="D450" s="78"/>
      <c r="E450" s="188"/>
      <c r="F450" s="128"/>
      <c r="G450" s="158"/>
    </row>
    <row r="451" spans="1:7" ht="41.4" x14ac:dyDescent="0.25">
      <c r="A451" s="63"/>
      <c r="B451" s="83" t="s">
        <v>196</v>
      </c>
      <c r="C451" s="100"/>
      <c r="D451" s="101"/>
      <c r="E451" s="188"/>
      <c r="F451" s="128"/>
      <c r="G451" s="158"/>
    </row>
    <row r="452" spans="1:7" x14ac:dyDescent="0.25">
      <c r="A452" s="79"/>
      <c r="B452" s="60"/>
      <c r="C452" s="81"/>
      <c r="D452" s="78"/>
      <c r="E452" s="188"/>
      <c r="F452" s="128"/>
      <c r="G452" s="158"/>
    </row>
    <row r="453" spans="1:7" s="144" customFormat="1" ht="27.6" x14ac:dyDescent="0.25">
      <c r="A453" s="147" t="s">
        <v>22</v>
      </c>
      <c r="B453" s="148" t="s">
        <v>572</v>
      </c>
      <c r="C453" s="149">
        <v>1</v>
      </c>
      <c r="D453" s="150" t="s">
        <v>1</v>
      </c>
      <c r="E453" s="191"/>
      <c r="F453" s="158" t="s">
        <v>571</v>
      </c>
      <c r="G453" s="158"/>
    </row>
    <row r="454" spans="1:7" x14ac:dyDescent="0.25">
      <c r="A454" s="192"/>
      <c r="B454" s="193"/>
      <c r="C454" s="194"/>
      <c r="D454" s="195"/>
      <c r="E454" s="188"/>
      <c r="F454" s="128">
        <v>0</v>
      </c>
      <c r="G454" s="158"/>
    </row>
    <row r="455" spans="1:7" ht="27.6" x14ac:dyDescent="0.25">
      <c r="A455" s="147" t="s">
        <v>25</v>
      </c>
      <c r="B455" s="148" t="s">
        <v>197</v>
      </c>
      <c r="C455" s="149"/>
      <c r="D455" s="150" t="s">
        <v>145</v>
      </c>
      <c r="E455" s="188"/>
      <c r="F455" s="158" t="s">
        <v>571</v>
      </c>
      <c r="G455" s="158"/>
    </row>
    <row r="456" spans="1:7" x14ac:dyDescent="0.25">
      <c r="A456" s="192"/>
      <c r="B456" s="193"/>
      <c r="C456" s="194"/>
      <c r="D456" s="195"/>
      <c r="E456" s="188"/>
      <c r="F456" s="128">
        <v>0</v>
      </c>
      <c r="G456" s="158"/>
    </row>
    <row r="457" spans="1:7" s="144" customFormat="1" ht="27.6" x14ac:dyDescent="0.25">
      <c r="A457" s="147" t="s">
        <v>28</v>
      </c>
      <c r="B457" s="148" t="s">
        <v>573</v>
      </c>
      <c r="C457" s="149">
        <v>1</v>
      </c>
      <c r="D457" s="150" t="s">
        <v>1</v>
      </c>
      <c r="E457" s="191"/>
      <c r="F457" s="158" t="s">
        <v>571</v>
      </c>
      <c r="G457" s="158"/>
    </row>
    <row r="458" spans="1:7" x14ac:dyDescent="0.25">
      <c r="A458" s="192"/>
      <c r="B458" s="193"/>
      <c r="C458" s="194"/>
      <c r="D458" s="195"/>
      <c r="E458" s="188"/>
      <c r="F458" s="128">
        <v>0</v>
      </c>
      <c r="G458" s="158"/>
    </row>
    <row r="459" spans="1:7" ht="27.6" x14ac:dyDescent="0.25">
      <c r="A459" s="147" t="s">
        <v>48</v>
      </c>
      <c r="B459" s="148" t="s">
        <v>198</v>
      </c>
      <c r="C459" s="149"/>
      <c r="D459" s="150" t="s">
        <v>145</v>
      </c>
      <c r="E459" s="188"/>
      <c r="F459" s="158" t="s">
        <v>571</v>
      </c>
      <c r="G459" s="158"/>
    </row>
    <row r="460" spans="1:7" x14ac:dyDescent="0.25">
      <c r="A460" s="192"/>
      <c r="B460" s="193"/>
      <c r="C460" s="194"/>
      <c r="D460" s="195"/>
      <c r="E460" s="188"/>
      <c r="F460" s="128">
        <v>0</v>
      </c>
      <c r="G460" s="158"/>
    </row>
    <row r="461" spans="1:7" s="144" customFormat="1" ht="27.6" x14ac:dyDescent="0.25">
      <c r="A461" s="147" t="s">
        <v>52</v>
      </c>
      <c r="B461" s="148" t="s">
        <v>574</v>
      </c>
      <c r="C461" s="149">
        <v>1</v>
      </c>
      <c r="D461" s="150" t="s">
        <v>1</v>
      </c>
      <c r="E461" s="191"/>
      <c r="F461" s="158" t="s">
        <v>571</v>
      </c>
      <c r="G461" s="158"/>
    </row>
    <row r="462" spans="1:7" x14ac:dyDescent="0.25">
      <c r="A462" s="192"/>
      <c r="B462" s="193"/>
      <c r="C462" s="194"/>
      <c r="D462" s="195"/>
      <c r="E462" s="188"/>
      <c r="F462" s="128">
        <v>0</v>
      </c>
      <c r="G462" s="158"/>
    </row>
    <row r="463" spans="1:7" ht="41.4" x14ac:dyDescent="0.25">
      <c r="A463" s="147" t="s">
        <v>54</v>
      </c>
      <c r="B463" s="148" t="s">
        <v>199</v>
      </c>
      <c r="C463" s="149"/>
      <c r="D463" s="150" t="s">
        <v>145</v>
      </c>
      <c r="E463" s="188"/>
      <c r="F463" s="158" t="s">
        <v>571</v>
      </c>
      <c r="G463" s="158"/>
    </row>
    <row r="464" spans="1:7" x14ac:dyDescent="0.25">
      <c r="A464" s="192"/>
      <c r="B464" s="193"/>
      <c r="C464" s="194"/>
      <c r="D464" s="195"/>
      <c r="E464" s="188"/>
      <c r="F464" s="128">
        <v>0</v>
      </c>
      <c r="G464" s="158"/>
    </row>
    <row r="465" spans="1:7" s="144" customFormat="1" ht="27.6" x14ac:dyDescent="0.25">
      <c r="A465" s="147" t="s">
        <v>136</v>
      </c>
      <c r="B465" s="148" t="s">
        <v>575</v>
      </c>
      <c r="C465" s="149">
        <v>1</v>
      </c>
      <c r="D465" s="150" t="s">
        <v>1</v>
      </c>
      <c r="E465" s="191"/>
      <c r="F465" s="158" t="s">
        <v>571</v>
      </c>
      <c r="G465" s="158"/>
    </row>
    <row r="466" spans="1:7" x14ac:dyDescent="0.25">
      <c r="A466" s="192"/>
      <c r="B466" s="193"/>
      <c r="C466" s="194"/>
      <c r="D466" s="195"/>
      <c r="E466" s="188"/>
      <c r="F466" s="128">
        <f t="shared" ref="F466" si="15">E466*C466</f>
        <v>0</v>
      </c>
      <c r="G466" s="158"/>
    </row>
    <row r="467" spans="1:7" ht="41.4" x14ac:dyDescent="0.25">
      <c r="A467" s="147" t="s">
        <v>159</v>
      </c>
      <c r="B467" s="148" t="s">
        <v>200</v>
      </c>
      <c r="C467" s="149"/>
      <c r="D467" s="150" t="s">
        <v>145</v>
      </c>
      <c r="E467" s="188"/>
      <c r="F467" s="158" t="s">
        <v>571</v>
      </c>
      <c r="G467" s="158"/>
    </row>
    <row r="468" spans="1:7" x14ac:dyDescent="0.25">
      <c r="A468" s="159"/>
      <c r="B468" s="160"/>
      <c r="C468" s="161"/>
      <c r="D468" s="162"/>
      <c r="E468" s="188"/>
      <c r="F468" s="128"/>
      <c r="G468" s="158"/>
    </row>
    <row r="469" spans="1:7" x14ac:dyDescent="0.25">
      <c r="A469" s="85"/>
      <c r="B469" s="86"/>
      <c r="C469" s="64"/>
      <c r="D469" s="65"/>
      <c r="E469" s="188"/>
      <c r="F469" s="128"/>
      <c r="G469" s="158"/>
    </row>
    <row r="470" spans="1:7" x14ac:dyDescent="0.25">
      <c r="A470" s="89"/>
      <c r="B470" s="90"/>
      <c r="C470" s="91"/>
      <c r="D470" s="92"/>
      <c r="E470" s="135"/>
      <c r="F470" s="129"/>
      <c r="G470" s="173"/>
    </row>
    <row r="471" spans="1:7" x14ac:dyDescent="0.25">
      <c r="A471" s="93"/>
      <c r="B471" s="94"/>
      <c r="C471" s="95" t="s">
        <v>31</v>
      </c>
      <c r="D471" s="95"/>
      <c r="E471" s="189" t="s">
        <v>7</v>
      </c>
      <c r="F471" s="130">
        <f>SUM(F442:F469)</f>
        <v>364043.51</v>
      </c>
      <c r="G471" s="174"/>
    </row>
    <row r="472" spans="1:7" x14ac:dyDescent="0.25">
      <c r="A472" s="93"/>
      <c r="B472" s="94"/>
      <c r="C472" s="97"/>
      <c r="D472" s="98"/>
      <c r="E472" s="137"/>
      <c r="F472" s="131"/>
      <c r="G472" s="175"/>
    </row>
    <row r="473" spans="1:7" x14ac:dyDescent="0.25">
      <c r="A473" s="85"/>
      <c r="B473" s="86"/>
      <c r="C473" s="64"/>
      <c r="D473" s="65"/>
      <c r="E473" s="188"/>
      <c r="F473" s="128"/>
      <c r="G473" s="158"/>
    </row>
    <row r="474" spans="1:7" x14ac:dyDescent="0.25">
      <c r="A474" s="79"/>
      <c r="B474" s="99" t="s">
        <v>138</v>
      </c>
      <c r="C474" s="81"/>
      <c r="D474" s="78"/>
      <c r="E474" s="188"/>
      <c r="F474" s="128"/>
      <c r="G474" s="158"/>
    </row>
    <row r="475" spans="1:7" x14ac:dyDescent="0.25">
      <c r="A475" s="79"/>
      <c r="B475" s="60"/>
      <c r="C475" s="81"/>
      <c r="D475" s="78"/>
      <c r="E475" s="188"/>
      <c r="F475" s="128"/>
      <c r="G475" s="158"/>
    </row>
    <row r="476" spans="1:7" s="144" customFormat="1" ht="27.6" x14ac:dyDescent="0.25">
      <c r="A476" s="147" t="s">
        <v>12</v>
      </c>
      <c r="B476" s="148" t="s">
        <v>576</v>
      </c>
      <c r="C476" s="149">
        <v>1</v>
      </c>
      <c r="D476" s="150" t="s">
        <v>1</v>
      </c>
      <c r="E476" s="191"/>
      <c r="F476" s="158" t="s">
        <v>571</v>
      </c>
      <c r="G476" s="158"/>
    </row>
    <row r="477" spans="1:7" x14ac:dyDescent="0.25">
      <c r="A477" s="79"/>
      <c r="B477" s="60"/>
      <c r="C477" s="81"/>
      <c r="D477" s="78"/>
      <c r="E477" s="188"/>
      <c r="F477" s="128"/>
      <c r="G477" s="158"/>
    </row>
    <row r="478" spans="1:7" ht="41.4" x14ac:dyDescent="0.25">
      <c r="A478" s="63" t="s">
        <v>16</v>
      </c>
      <c r="B478" s="82" t="s">
        <v>201</v>
      </c>
      <c r="C478" s="100"/>
      <c r="D478" s="101" t="s">
        <v>145</v>
      </c>
      <c r="E478" s="188"/>
      <c r="F478" s="158" t="s">
        <v>571</v>
      </c>
      <c r="G478" s="158"/>
    </row>
    <row r="479" spans="1:7" x14ac:dyDescent="0.25">
      <c r="A479" s="79"/>
      <c r="B479" s="60"/>
      <c r="C479" s="81"/>
      <c r="D479" s="78"/>
      <c r="E479" s="188"/>
      <c r="F479" s="128"/>
      <c r="G479" s="158"/>
    </row>
    <row r="480" spans="1:7" x14ac:dyDescent="0.25">
      <c r="A480" s="63"/>
      <c r="B480" s="83" t="s">
        <v>202</v>
      </c>
      <c r="C480" s="100"/>
      <c r="D480" s="101"/>
      <c r="E480" s="188"/>
      <c r="F480" s="128"/>
      <c r="G480" s="158"/>
    </row>
    <row r="481" spans="1:7" x14ac:dyDescent="0.25">
      <c r="A481" s="79"/>
      <c r="B481" s="60"/>
      <c r="C481" s="81"/>
      <c r="D481" s="78"/>
      <c r="E481" s="188"/>
      <c r="F481" s="128"/>
      <c r="G481" s="158"/>
    </row>
    <row r="482" spans="1:7" ht="27.6" x14ac:dyDescent="0.25">
      <c r="A482" s="63"/>
      <c r="B482" s="83" t="s">
        <v>203</v>
      </c>
      <c r="C482" s="100"/>
      <c r="D482" s="101"/>
      <c r="E482" s="188"/>
      <c r="F482" s="128"/>
      <c r="G482" s="158"/>
    </row>
    <row r="483" spans="1:7" x14ac:dyDescent="0.25">
      <c r="A483" s="79"/>
      <c r="B483" s="60"/>
      <c r="C483" s="81"/>
      <c r="D483" s="78"/>
      <c r="E483" s="188"/>
      <c r="F483" s="128"/>
      <c r="G483" s="158"/>
    </row>
    <row r="484" spans="1:7" x14ac:dyDescent="0.25">
      <c r="A484" s="63" t="s">
        <v>19</v>
      </c>
      <c r="B484" s="82" t="s">
        <v>204</v>
      </c>
      <c r="C484" s="100">
        <v>548</v>
      </c>
      <c r="D484" s="101" t="s">
        <v>145</v>
      </c>
      <c r="E484" s="188">
        <v>478.67</v>
      </c>
      <c r="F484" s="128">
        <f>E484*C484</f>
        <v>262311.16000000003</v>
      </c>
      <c r="G484" s="158"/>
    </row>
    <row r="485" spans="1:7" x14ac:dyDescent="0.25">
      <c r="A485" s="79"/>
      <c r="B485" s="60"/>
      <c r="C485" s="81"/>
      <c r="D485" s="78"/>
      <c r="E485" s="188"/>
      <c r="F485" s="128">
        <f t="shared" ref="F485:F487" si="16">E485*C485</f>
        <v>0</v>
      </c>
      <c r="G485" s="158"/>
    </row>
    <row r="486" spans="1:7" x14ac:dyDescent="0.25">
      <c r="A486" s="63" t="s">
        <v>22</v>
      </c>
      <c r="B486" s="82" t="s">
        <v>206</v>
      </c>
      <c r="C486" s="100" t="s">
        <v>207</v>
      </c>
      <c r="D486" s="101" t="s">
        <v>145</v>
      </c>
      <c r="E486" s="188">
        <v>478.67</v>
      </c>
      <c r="F486" s="128">
        <f t="shared" si="16"/>
        <v>17232.12</v>
      </c>
      <c r="G486" s="158"/>
    </row>
    <row r="487" spans="1:7" x14ac:dyDescent="0.25">
      <c r="A487" s="79"/>
      <c r="B487" s="60"/>
      <c r="C487" s="81"/>
      <c r="D487" s="78"/>
      <c r="E487" s="188"/>
      <c r="F487" s="128">
        <f t="shared" si="16"/>
        <v>0</v>
      </c>
      <c r="G487" s="158"/>
    </row>
    <row r="488" spans="1:7" x14ac:dyDescent="0.25">
      <c r="A488" s="79"/>
      <c r="B488" s="60"/>
      <c r="C488" s="81"/>
      <c r="D488" s="78"/>
      <c r="E488" s="188"/>
      <c r="F488" s="128"/>
      <c r="G488" s="158"/>
    </row>
    <row r="489" spans="1:7" x14ac:dyDescent="0.25">
      <c r="A489" s="79"/>
      <c r="B489" s="60"/>
      <c r="C489" s="81"/>
      <c r="D489" s="78"/>
      <c r="E489" s="188"/>
      <c r="F489" s="128"/>
      <c r="G489" s="158"/>
    </row>
    <row r="490" spans="1:7" x14ac:dyDescent="0.25">
      <c r="A490" s="79"/>
      <c r="B490" s="80"/>
      <c r="C490" s="81"/>
      <c r="D490" s="78"/>
      <c r="E490" s="188"/>
      <c r="F490" s="128"/>
      <c r="G490" s="158"/>
    </row>
    <row r="491" spans="1:7" x14ac:dyDescent="0.25">
      <c r="A491" s="79"/>
      <c r="B491" s="60"/>
      <c r="C491" s="81"/>
      <c r="D491" s="78"/>
      <c r="E491" s="188"/>
      <c r="F491" s="128"/>
      <c r="G491" s="158"/>
    </row>
    <row r="492" spans="1:7" x14ac:dyDescent="0.25">
      <c r="A492" s="85"/>
      <c r="B492" s="82"/>
      <c r="C492" s="64"/>
      <c r="D492" s="65"/>
      <c r="E492" s="188"/>
      <c r="F492" s="128"/>
      <c r="G492" s="158"/>
    </row>
    <row r="493" spans="1:7" x14ac:dyDescent="0.25">
      <c r="A493" s="79"/>
      <c r="B493" s="60"/>
      <c r="C493" s="81"/>
      <c r="D493" s="78"/>
      <c r="E493" s="188"/>
      <c r="F493" s="128"/>
      <c r="G493" s="158"/>
    </row>
    <row r="494" spans="1:7" x14ac:dyDescent="0.25">
      <c r="A494" s="85"/>
      <c r="B494" s="86"/>
      <c r="C494" s="64"/>
      <c r="D494" s="65"/>
      <c r="E494" s="188"/>
      <c r="F494" s="128"/>
      <c r="G494" s="158"/>
    </row>
    <row r="495" spans="1:7" x14ac:dyDescent="0.25">
      <c r="A495" s="79"/>
      <c r="B495" s="60"/>
      <c r="C495" s="81"/>
      <c r="D495" s="78"/>
      <c r="E495" s="188"/>
      <c r="F495" s="128"/>
      <c r="G495" s="158"/>
    </row>
    <row r="496" spans="1:7" x14ac:dyDescent="0.25">
      <c r="A496" s="85"/>
      <c r="B496" s="86"/>
      <c r="C496" s="64"/>
      <c r="D496" s="65"/>
      <c r="E496" s="188"/>
      <c r="F496" s="128"/>
      <c r="G496" s="158"/>
    </row>
    <row r="497" spans="1:7" x14ac:dyDescent="0.25">
      <c r="A497" s="79"/>
      <c r="B497" s="60"/>
      <c r="C497" s="81"/>
      <c r="D497" s="78"/>
      <c r="E497" s="188"/>
      <c r="F497" s="128"/>
      <c r="G497" s="158"/>
    </row>
    <row r="498" spans="1:7" x14ac:dyDescent="0.25">
      <c r="A498" s="85"/>
      <c r="B498" s="86"/>
      <c r="C498" s="64"/>
      <c r="D498" s="65"/>
      <c r="E498" s="188"/>
      <c r="F498" s="128"/>
      <c r="G498" s="158"/>
    </row>
    <row r="499" spans="1:7" x14ac:dyDescent="0.25">
      <c r="A499" s="79"/>
      <c r="B499" s="60"/>
      <c r="C499" s="81"/>
      <c r="D499" s="78"/>
      <c r="E499" s="188"/>
      <c r="F499" s="128"/>
      <c r="G499" s="158"/>
    </row>
    <row r="500" spans="1:7" x14ac:dyDescent="0.25">
      <c r="A500" s="85"/>
      <c r="B500" s="86"/>
      <c r="C500" s="64"/>
      <c r="D500" s="65"/>
      <c r="E500" s="188"/>
      <c r="F500" s="128"/>
      <c r="G500" s="158"/>
    </row>
    <row r="501" spans="1:7" x14ac:dyDescent="0.25">
      <c r="A501" s="79"/>
      <c r="B501" s="60"/>
      <c r="C501" s="81"/>
      <c r="D501" s="78"/>
      <c r="E501" s="188"/>
      <c r="F501" s="128"/>
      <c r="G501" s="158"/>
    </row>
    <row r="502" spans="1:7" x14ac:dyDescent="0.25">
      <c r="A502" s="85"/>
      <c r="B502" s="86"/>
      <c r="C502" s="64"/>
      <c r="D502" s="65"/>
      <c r="E502" s="188"/>
      <c r="F502" s="128"/>
      <c r="G502" s="158"/>
    </row>
    <row r="503" spans="1:7" x14ac:dyDescent="0.25">
      <c r="A503" s="79"/>
      <c r="B503" s="60"/>
      <c r="C503" s="81"/>
      <c r="D503" s="78"/>
      <c r="E503" s="188"/>
      <c r="F503" s="128"/>
      <c r="G503" s="158"/>
    </row>
    <row r="504" spans="1:7" x14ac:dyDescent="0.25">
      <c r="A504" s="85"/>
      <c r="B504" s="86"/>
      <c r="C504" s="64"/>
      <c r="D504" s="65"/>
      <c r="E504" s="188"/>
      <c r="F504" s="128"/>
      <c r="G504" s="158"/>
    </row>
    <row r="505" spans="1:7" x14ac:dyDescent="0.25">
      <c r="A505" s="79"/>
      <c r="B505" s="60"/>
      <c r="C505" s="81"/>
      <c r="D505" s="78"/>
      <c r="E505" s="188"/>
      <c r="F505" s="128"/>
      <c r="G505" s="158"/>
    </row>
    <row r="506" spans="1:7" x14ac:dyDescent="0.25">
      <c r="A506" s="85"/>
      <c r="B506" s="86"/>
      <c r="C506" s="64"/>
      <c r="D506" s="65"/>
      <c r="E506" s="188"/>
      <c r="F506" s="128"/>
      <c r="G506" s="158"/>
    </row>
    <row r="507" spans="1:7" x14ac:dyDescent="0.25">
      <c r="A507" s="79"/>
      <c r="B507" s="60"/>
      <c r="C507" s="81"/>
      <c r="D507" s="78"/>
      <c r="E507" s="188"/>
      <c r="F507" s="128"/>
      <c r="G507" s="158"/>
    </row>
    <row r="508" spans="1:7" x14ac:dyDescent="0.25">
      <c r="A508" s="85"/>
      <c r="B508" s="86"/>
      <c r="C508" s="64"/>
      <c r="D508" s="65"/>
      <c r="E508" s="188"/>
      <c r="F508" s="128"/>
      <c r="G508" s="158"/>
    </row>
    <row r="509" spans="1:7" x14ac:dyDescent="0.25">
      <c r="A509" s="85"/>
      <c r="B509" s="86"/>
      <c r="C509" s="64"/>
      <c r="D509" s="65"/>
      <c r="E509" s="188"/>
      <c r="F509" s="128"/>
      <c r="G509" s="158"/>
    </row>
    <row r="510" spans="1:7" x14ac:dyDescent="0.25">
      <c r="A510" s="79"/>
      <c r="B510" s="60"/>
      <c r="C510" s="81"/>
      <c r="D510" s="78"/>
      <c r="E510" s="188"/>
      <c r="F510" s="128"/>
      <c r="G510" s="158"/>
    </row>
    <row r="511" spans="1:7" x14ac:dyDescent="0.25">
      <c r="A511" s="79"/>
      <c r="B511" s="60"/>
      <c r="C511" s="81"/>
      <c r="D511" s="78"/>
      <c r="E511" s="188"/>
      <c r="F511" s="128"/>
      <c r="G511" s="158"/>
    </row>
    <row r="512" spans="1:7" x14ac:dyDescent="0.25">
      <c r="A512" s="79"/>
      <c r="B512" s="60"/>
      <c r="C512" s="81"/>
      <c r="D512" s="78"/>
      <c r="E512" s="188"/>
      <c r="F512" s="128"/>
      <c r="G512" s="158"/>
    </row>
    <row r="513" spans="1:7" x14ac:dyDescent="0.25">
      <c r="A513" s="85"/>
      <c r="B513" s="86"/>
      <c r="C513" s="64"/>
      <c r="D513" s="65"/>
      <c r="E513" s="188"/>
      <c r="F513" s="128"/>
      <c r="G513" s="158"/>
    </row>
    <row r="514" spans="1:7" x14ac:dyDescent="0.25">
      <c r="A514" s="79"/>
      <c r="B514" s="60"/>
      <c r="C514" s="81"/>
      <c r="D514" s="78"/>
      <c r="E514" s="188"/>
      <c r="F514" s="128"/>
      <c r="G514" s="158"/>
    </row>
    <row r="515" spans="1:7" x14ac:dyDescent="0.25">
      <c r="A515" s="85"/>
      <c r="B515" s="86"/>
      <c r="C515" s="64"/>
      <c r="D515" s="65"/>
      <c r="E515" s="188"/>
      <c r="F515" s="128"/>
      <c r="G515" s="158"/>
    </row>
    <row r="516" spans="1:7" x14ac:dyDescent="0.25">
      <c r="A516" s="79"/>
      <c r="B516" s="60"/>
      <c r="C516" s="81"/>
      <c r="D516" s="78"/>
      <c r="E516" s="188"/>
      <c r="F516" s="128"/>
      <c r="G516" s="158"/>
    </row>
    <row r="517" spans="1:7" x14ac:dyDescent="0.25">
      <c r="A517" s="79"/>
      <c r="B517" s="60"/>
      <c r="C517" s="81"/>
      <c r="D517" s="78"/>
      <c r="E517" s="188"/>
      <c r="F517" s="128"/>
      <c r="G517" s="158"/>
    </row>
    <row r="518" spans="1:7" x14ac:dyDescent="0.25">
      <c r="A518" s="89"/>
      <c r="B518" s="90"/>
      <c r="C518" s="91"/>
      <c r="D518" s="92"/>
      <c r="E518" s="135"/>
      <c r="F518" s="129"/>
      <c r="G518" s="173"/>
    </row>
    <row r="519" spans="1:7" x14ac:dyDescent="0.25">
      <c r="A519" s="93"/>
      <c r="B519" s="94"/>
      <c r="C519" s="95" t="s">
        <v>31</v>
      </c>
      <c r="D519" s="95"/>
      <c r="E519" s="189" t="s">
        <v>7</v>
      </c>
      <c r="F519" s="130">
        <f>SUM(F473:F517)</f>
        <v>279543.28000000003</v>
      </c>
      <c r="G519" s="174"/>
    </row>
    <row r="520" spans="1:7" x14ac:dyDescent="0.25">
      <c r="A520" s="93"/>
      <c r="B520" s="94"/>
      <c r="C520" s="97"/>
      <c r="D520" s="98"/>
      <c r="E520" s="137"/>
      <c r="F520" s="131"/>
      <c r="G520" s="175"/>
    </row>
    <row r="521" spans="1:7" x14ac:dyDescent="0.25">
      <c r="A521" s="79"/>
      <c r="B521" s="60"/>
      <c r="C521" s="81"/>
      <c r="D521" s="78"/>
      <c r="E521" s="188"/>
      <c r="F521" s="128"/>
      <c r="G521" s="158"/>
    </row>
    <row r="522" spans="1:7" x14ac:dyDescent="0.25">
      <c r="A522" s="79"/>
      <c r="B522" s="99" t="s">
        <v>208</v>
      </c>
      <c r="C522" s="81"/>
      <c r="D522" s="78"/>
      <c r="E522" s="188"/>
      <c r="F522" s="128"/>
      <c r="G522" s="158"/>
    </row>
    <row r="523" spans="1:7" x14ac:dyDescent="0.25">
      <c r="A523" s="79"/>
      <c r="B523" s="60"/>
      <c r="C523" s="81"/>
      <c r="D523" s="78"/>
      <c r="E523" s="188"/>
      <c r="F523" s="128"/>
      <c r="G523" s="158"/>
    </row>
    <row r="524" spans="1:7" ht="69" x14ac:dyDescent="0.25">
      <c r="A524" s="63"/>
      <c r="B524" s="82" t="s">
        <v>209</v>
      </c>
      <c r="C524" s="100"/>
      <c r="D524" s="101" t="s">
        <v>1</v>
      </c>
      <c r="E524" s="188"/>
      <c r="F524" s="128"/>
      <c r="G524" s="158"/>
    </row>
    <row r="525" spans="1:7" x14ac:dyDescent="0.25">
      <c r="A525" s="79"/>
      <c r="B525" s="80"/>
      <c r="C525" s="81"/>
      <c r="D525" s="78"/>
      <c r="E525" s="188"/>
      <c r="F525" s="128"/>
      <c r="G525" s="158"/>
    </row>
    <row r="526" spans="1:7" ht="26.4" x14ac:dyDescent="0.25">
      <c r="A526" s="196" t="s">
        <v>12</v>
      </c>
      <c r="B526" s="197" t="s">
        <v>555</v>
      </c>
      <c r="C526" s="198">
        <v>1</v>
      </c>
      <c r="D526" s="179" t="s">
        <v>1</v>
      </c>
      <c r="E526" s="199"/>
      <c r="F526" s="180">
        <f>E526*C526</f>
        <v>0</v>
      </c>
      <c r="G526" s="181"/>
    </row>
    <row r="527" spans="1:7" x14ac:dyDescent="0.25">
      <c r="A527" s="85"/>
      <c r="B527" s="86"/>
      <c r="C527" s="64"/>
      <c r="D527" s="65"/>
      <c r="E527" s="188"/>
      <c r="F527" s="128"/>
      <c r="G527" s="158"/>
    </row>
    <row r="528" spans="1:7" x14ac:dyDescent="0.25">
      <c r="A528" s="79"/>
      <c r="B528" s="60"/>
      <c r="C528" s="81"/>
      <c r="D528" s="78"/>
      <c r="E528" s="188"/>
      <c r="F528" s="128"/>
      <c r="G528" s="158"/>
    </row>
    <row r="529" spans="1:7" x14ac:dyDescent="0.25">
      <c r="A529" s="85"/>
      <c r="B529" s="86"/>
      <c r="C529" s="64"/>
      <c r="D529" s="65"/>
      <c r="E529" s="188"/>
      <c r="F529" s="128"/>
      <c r="G529" s="158"/>
    </row>
    <row r="530" spans="1:7" x14ac:dyDescent="0.25">
      <c r="A530" s="79"/>
      <c r="B530" s="60"/>
      <c r="C530" s="81"/>
      <c r="D530" s="78"/>
      <c r="E530" s="188"/>
      <c r="F530" s="128"/>
      <c r="G530" s="158"/>
    </row>
    <row r="531" spans="1:7" x14ac:dyDescent="0.25">
      <c r="A531" s="85"/>
      <c r="B531" s="86"/>
      <c r="C531" s="64"/>
      <c r="D531" s="65"/>
      <c r="E531" s="188"/>
      <c r="F531" s="128"/>
      <c r="G531" s="158"/>
    </row>
    <row r="532" spans="1:7" x14ac:dyDescent="0.25">
      <c r="A532" s="79"/>
      <c r="B532" s="60"/>
      <c r="C532" s="81"/>
      <c r="D532" s="78"/>
      <c r="E532" s="188"/>
      <c r="F532" s="128"/>
      <c r="G532" s="158"/>
    </row>
    <row r="533" spans="1:7" x14ac:dyDescent="0.25">
      <c r="A533" s="85"/>
      <c r="B533" s="86"/>
      <c r="C533" s="64"/>
      <c r="D533" s="65"/>
      <c r="E533" s="188"/>
      <c r="F533" s="128"/>
      <c r="G533" s="158"/>
    </row>
    <row r="534" spans="1:7" x14ac:dyDescent="0.25">
      <c r="A534" s="79"/>
      <c r="B534" s="60"/>
      <c r="C534" s="81"/>
      <c r="D534" s="78"/>
      <c r="E534" s="188"/>
      <c r="F534" s="128"/>
      <c r="G534" s="158"/>
    </row>
    <row r="535" spans="1:7" x14ac:dyDescent="0.25">
      <c r="A535" s="85"/>
      <c r="B535" s="86"/>
      <c r="C535" s="64"/>
      <c r="D535" s="65"/>
      <c r="E535" s="188"/>
      <c r="F535" s="128"/>
      <c r="G535" s="158"/>
    </row>
    <row r="536" spans="1:7" x14ac:dyDescent="0.25">
      <c r="A536" s="79"/>
      <c r="B536" s="60"/>
      <c r="C536" s="81"/>
      <c r="D536" s="78"/>
      <c r="E536" s="188"/>
      <c r="F536" s="128"/>
      <c r="G536" s="158"/>
    </row>
    <row r="537" spans="1:7" x14ac:dyDescent="0.25">
      <c r="A537" s="85"/>
      <c r="B537" s="86"/>
      <c r="C537" s="64"/>
      <c r="D537" s="65"/>
      <c r="E537" s="188"/>
      <c r="F537" s="128"/>
      <c r="G537" s="158"/>
    </row>
    <row r="538" spans="1:7" x14ac:dyDescent="0.25">
      <c r="A538" s="79"/>
      <c r="B538" s="60"/>
      <c r="C538" s="81"/>
      <c r="D538" s="78"/>
      <c r="E538" s="188"/>
      <c r="F538" s="128"/>
      <c r="G538" s="158"/>
    </row>
    <row r="539" spans="1:7" x14ac:dyDescent="0.25">
      <c r="A539" s="85"/>
      <c r="B539" s="86"/>
      <c r="C539" s="64"/>
      <c r="D539" s="65"/>
      <c r="E539" s="188"/>
      <c r="F539" s="128"/>
      <c r="G539" s="158"/>
    </row>
    <row r="540" spans="1:7" x14ac:dyDescent="0.25">
      <c r="A540" s="79"/>
      <c r="B540" s="60"/>
      <c r="C540" s="81"/>
      <c r="D540" s="78"/>
      <c r="E540" s="188"/>
      <c r="F540" s="128"/>
      <c r="G540" s="158"/>
    </row>
    <row r="541" spans="1:7" x14ac:dyDescent="0.25">
      <c r="A541" s="85"/>
      <c r="B541" s="82"/>
      <c r="C541" s="64"/>
      <c r="D541" s="65"/>
      <c r="E541" s="188"/>
      <c r="F541" s="128"/>
      <c r="G541" s="158"/>
    </row>
    <row r="542" spans="1:7" x14ac:dyDescent="0.25">
      <c r="A542" s="79"/>
      <c r="B542" s="60"/>
      <c r="C542" s="81"/>
      <c r="D542" s="78"/>
      <c r="E542" s="188"/>
      <c r="F542" s="128"/>
      <c r="G542" s="158"/>
    </row>
    <row r="543" spans="1:7" x14ac:dyDescent="0.25">
      <c r="A543" s="85"/>
      <c r="B543" s="86"/>
      <c r="C543" s="64"/>
      <c r="D543" s="65"/>
      <c r="E543" s="188"/>
      <c r="F543" s="128"/>
      <c r="G543" s="158"/>
    </row>
    <row r="544" spans="1:7" x14ac:dyDescent="0.25">
      <c r="A544" s="79"/>
      <c r="B544" s="60"/>
      <c r="C544" s="81"/>
      <c r="D544" s="78"/>
      <c r="E544" s="188"/>
      <c r="F544" s="128"/>
      <c r="G544" s="158"/>
    </row>
    <row r="545" spans="1:7" x14ac:dyDescent="0.25">
      <c r="A545" s="85"/>
      <c r="B545" s="86"/>
      <c r="C545" s="64"/>
      <c r="D545" s="65"/>
      <c r="E545" s="188"/>
      <c r="F545" s="128"/>
      <c r="G545" s="158"/>
    </row>
    <row r="546" spans="1:7" x14ac:dyDescent="0.25">
      <c r="A546" s="79"/>
      <c r="B546" s="60"/>
      <c r="C546" s="81"/>
      <c r="D546" s="78"/>
      <c r="E546" s="188"/>
      <c r="F546" s="128"/>
      <c r="G546" s="158"/>
    </row>
    <row r="547" spans="1:7" x14ac:dyDescent="0.25">
      <c r="A547" s="85"/>
      <c r="B547" s="86"/>
      <c r="C547" s="64"/>
      <c r="D547" s="65"/>
      <c r="E547" s="188"/>
      <c r="F547" s="128"/>
      <c r="G547" s="158"/>
    </row>
    <row r="548" spans="1:7" x14ac:dyDescent="0.25">
      <c r="A548" s="79"/>
      <c r="B548" s="60"/>
      <c r="C548" s="81"/>
      <c r="D548" s="78"/>
      <c r="E548" s="188"/>
      <c r="F548" s="128"/>
      <c r="G548" s="158"/>
    </row>
    <row r="549" spans="1:7" x14ac:dyDescent="0.25">
      <c r="A549" s="85"/>
      <c r="B549" s="86"/>
      <c r="C549" s="64"/>
      <c r="D549" s="65"/>
      <c r="E549" s="188"/>
      <c r="F549" s="128"/>
      <c r="G549" s="158"/>
    </row>
    <row r="550" spans="1:7" x14ac:dyDescent="0.25">
      <c r="A550" s="79"/>
      <c r="B550" s="60"/>
      <c r="C550" s="81"/>
      <c r="D550" s="78"/>
      <c r="E550" s="188"/>
      <c r="F550" s="128"/>
      <c r="G550" s="158"/>
    </row>
    <row r="551" spans="1:7" x14ac:dyDescent="0.25">
      <c r="A551" s="85"/>
      <c r="B551" s="86"/>
      <c r="C551" s="64"/>
      <c r="D551" s="65"/>
      <c r="E551" s="188"/>
      <c r="F551" s="128"/>
      <c r="G551" s="158"/>
    </row>
    <row r="552" spans="1:7" x14ac:dyDescent="0.25">
      <c r="A552" s="79"/>
      <c r="B552" s="60"/>
      <c r="C552" s="81"/>
      <c r="D552" s="78"/>
      <c r="E552" s="188"/>
      <c r="F552" s="128"/>
      <c r="G552" s="158"/>
    </row>
    <row r="553" spans="1:7" x14ac:dyDescent="0.25">
      <c r="A553" s="85"/>
      <c r="B553" s="86"/>
      <c r="C553" s="64"/>
      <c r="D553" s="65"/>
      <c r="E553" s="188"/>
      <c r="F553" s="128"/>
      <c r="G553" s="158"/>
    </row>
    <row r="554" spans="1:7" x14ac:dyDescent="0.25">
      <c r="A554" s="79"/>
      <c r="B554" s="60"/>
      <c r="C554" s="81"/>
      <c r="D554" s="78"/>
      <c r="E554" s="188"/>
      <c r="F554" s="128"/>
      <c r="G554" s="158"/>
    </row>
    <row r="555" spans="1:7" x14ac:dyDescent="0.25">
      <c r="A555" s="85"/>
      <c r="B555" s="86"/>
      <c r="C555" s="64"/>
      <c r="D555" s="65"/>
      <c r="E555" s="188"/>
      <c r="F555" s="128"/>
      <c r="G555" s="158"/>
    </row>
    <row r="556" spans="1:7" x14ac:dyDescent="0.25">
      <c r="A556" s="79"/>
      <c r="B556" s="60"/>
      <c r="C556" s="81"/>
      <c r="D556" s="78"/>
      <c r="E556" s="188"/>
      <c r="F556" s="128"/>
      <c r="G556" s="158"/>
    </row>
    <row r="557" spans="1:7" x14ac:dyDescent="0.25">
      <c r="A557" s="85"/>
      <c r="B557" s="86"/>
      <c r="C557" s="64"/>
      <c r="D557" s="65"/>
      <c r="E557" s="188"/>
      <c r="F557" s="128"/>
      <c r="G557" s="158"/>
    </row>
    <row r="558" spans="1:7" x14ac:dyDescent="0.25">
      <c r="A558" s="85"/>
      <c r="B558" s="86"/>
      <c r="C558" s="64"/>
      <c r="D558" s="65"/>
      <c r="E558" s="188"/>
      <c r="F558" s="128"/>
      <c r="G558" s="158"/>
    </row>
    <row r="559" spans="1:7" x14ac:dyDescent="0.25">
      <c r="A559" s="85"/>
      <c r="B559" s="86"/>
      <c r="C559" s="64"/>
      <c r="D559" s="65"/>
      <c r="E559" s="188"/>
      <c r="F559" s="128"/>
      <c r="G559" s="158"/>
    </row>
    <row r="560" spans="1:7" x14ac:dyDescent="0.25">
      <c r="A560" s="79"/>
      <c r="B560" s="60"/>
      <c r="C560" s="81"/>
      <c r="D560" s="78"/>
      <c r="E560" s="188"/>
      <c r="F560" s="128"/>
      <c r="G560" s="158"/>
    </row>
    <row r="561" spans="1:7" x14ac:dyDescent="0.25">
      <c r="A561" s="79"/>
      <c r="B561" s="60"/>
      <c r="C561" s="81"/>
      <c r="D561" s="78"/>
      <c r="E561" s="188"/>
      <c r="F561" s="128"/>
      <c r="G561" s="158"/>
    </row>
    <row r="562" spans="1:7" x14ac:dyDescent="0.25">
      <c r="A562" s="79"/>
      <c r="B562" s="60"/>
      <c r="C562" s="81"/>
      <c r="D562" s="78"/>
      <c r="E562" s="188"/>
      <c r="F562" s="128"/>
      <c r="G562" s="158"/>
    </row>
    <row r="563" spans="1:7" x14ac:dyDescent="0.25">
      <c r="A563" s="79"/>
      <c r="B563" s="60"/>
      <c r="C563" s="81"/>
      <c r="D563" s="78"/>
      <c r="E563" s="188"/>
      <c r="F563" s="128"/>
      <c r="G563" s="158"/>
    </row>
    <row r="564" spans="1:7" x14ac:dyDescent="0.25">
      <c r="A564" s="79"/>
      <c r="B564" s="60"/>
      <c r="C564" s="81"/>
      <c r="D564" s="78"/>
      <c r="E564" s="188"/>
      <c r="F564" s="128"/>
      <c r="G564" s="158"/>
    </row>
    <row r="565" spans="1:7" x14ac:dyDescent="0.25">
      <c r="A565" s="79"/>
      <c r="B565" s="60"/>
      <c r="C565" s="81"/>
      <c r="D565" s="78"/>
      <c r="E565" s="188"/>
      <c r="F565" s="128"/>
      <c r="G565" s="158"/>
    </row>
    <row r="566" spans="1:7" x14ac:dyDescent="0.25">
      <c r="A566" s="89"/>
      <c r="B566" s="90"/>
      <c r="C566" s="91"/>
      <c r="D566" s="92"/>
      <c r="E566" s="135"/>
      <c r="F566" s="129"/>
      <c r="G566" s="173"/>
    </row>
    <row r="567" spans="1:7" x14ac:dyDescent="0.25">
      <c r="A567" s="93"/>
      <c r="B567" s="94"/>
      <c r="C567" s="95" t="s">
        <v>31</v>
      </c>
      <c r="D567" s="95"/>
      <c r="E567" s="189" t="s">
        <v>7</v>
      </c>
      <c r="F567" s="130">
        <f>SUM(F522:F564)</f>
        <v>0</v>
      </c>
      <c r="G567" s="174"/>
    </row>
    <row r="568" spans="1:7" x14ac:dyDescent="0.25">
      <c r="A568" s="93"/>
      <c r="B568" s="94"/>
      <c r="C568" s="97"/>
      <c r="D568" s="98"/>
      <c r="E568" s="137"/>
      <c r="F568" s="131"/>
      <c r="G568" s="175"/>
    </row>
    <row r="569" spans="1:7" x14ac:dyDescent="0.25">
      <c r="A569" s="79"/>
      <c r="B569" s="60"/>
      <c r="C569" s="81"/>
      <c r="D569" s="78"/>
      <c r="E569" s="188"/>
      <c r="F569" s="128"/>
      <c r="G569" s="158"/>
    </row>
    <row r="570" spans="1:7" x14ac:dyDescent="0.25">
      <c r="A570" s="79"/>
      <c r="B570" s="88" t="s">
        <v>210</v>
      </c>
      <c r="C570" s="81"/>
      <c r="D570" s="78"/>
      <c r="E570" s="188"/>
      <c r="F570" s="128"/>
      <c r="G570" s="158"/>
    </row>
    <row r="571" spans="1:7" x14ac:dyDescent="0.25">
      <c r="A571" s="79"/>
      <c r="B571" s="86"/>
      <c r="C571" s="81"/>
      <c r="D571" s="78"/>
      <c r="E571" s="188"/>
      <c r="F571" s="128"/>
      <c r="G571" s="158"/>
    </row>
    <row r="572" spans="1:7" x14ac:dyDescent="0.25">
      <c r="A572" s="85"/>
      <c r="B572" s="87" t="s">
        <v>211</v>
      </c>
      <c r="C572" s="64"/>
      <c r="D572" s="65"/>
      <c r="E572" s="188"/>
      <c r="F572" s="128">
        <f>F49</f>
        <v>1673281.52</v>
      </c>
      <c r="G572" s="158"/>
    </row>
    <row r="573" spans="1:7" x14ac:dyDescent="0.25">
      <c r="A573" s="79"/>
      <c r="B573" s="86"/>
      <c r="C573" s="81"/>
      <c r="D573" s="78"/>
      <c r="E573" s="188"/>
      <c r="F573" s="128"/>
      <c r="G573" s="158"/>
    </row>
    <row r="574" spans="1:7" x14ac:dyDescent="0.25">
      <c r="A574" s="85"/>
      <c r="B574" s="87" t="s">
        <v>212</v>
      </c>
      <c r="C574" s="64"/>
      <c r="D574" s="65"/>
      <c r="E574" s="188"/>
      <c r="F574" s="128">
        <f>F93</f>
        <v>1272822.6100000001</v>
      </c>
      <c r="G574" s="158"/>
    </row>
    <row r="575" spans="1:7" x14ac:dyDescent="0.25">
      <c r="A575" s="79"/>
      <c r="B575" s="61"/>
      <c r="C575" s="81"/>
      <c r="D575" s="78"/>
      <c r="E575" s="188"/>
      <c r="F575" s="128"/>
      <c r="G575" s="158"/>
    </row>
    <row r="576" spans="1:7" x14ac:dyDescent="0.25">
      <c r="A576" s="85"/>
      <c r="B576" s="87" t="s">
        <v>213</v>
      </c>
      <c r="C576" s="64"/>
      <c r="D576" s="65"/>
      <c r="E576" s="188"/>
      <c r="F576" s="128">
        <f>F130</f>
        <v>1394271.1999999997</v>
      </c>
      <c r="G576" s="158"/>
    </row>
    <row r="577" spans="1:7" x14ac:dyDescent="0.25">
      <c r="A577" s="79"/>
      <c r="B577" s="86"/>
      <c r="C577" s="81"/>
      <c r="D577" s="78"/>
      <c r="E577" s="188"/>
      <c r="F577" s="128"/>
      <c r="G577" s="158"/>
    </row>
    <row r="578" spans="1:7" x14ac:dyDescent="0.25">
      <c r="A578" s="85"/>
      <c r="B578" s="87" t="s">
        <v>214</v>
      </c>
      <c r="C578" s="64"/>
      <c r="D578" s="65"/>
      <c r="E578" s="188"/>
      <c r="F578" s="128">
        <f>F160</f>
        <v>1849629.45</v>
      </c>
      <c r="G578" s="158"/>
    </row>
    <row r="579" spans="1:7" x14ac:dyDescent="0.25">
      <c r="A579" s="79"/>
      <c r="B579" s="61"/>
      <c r="C579" s="81"/>
      <c r="D579" s="78"/>
      <c r="E579" s="188"/>
      <c r="F579" s="128"/>
      <c r="G579" s="158"/>
    </row>
    <row r="580" spans="1:7" x14ac:dyDescent="0.25">
      <c r="A580" s="85"/>
      <c r="B580" s="87" t="s">
        <v>215</v>
      </c>
      <c r="C580" s="64"/>
      <c r="D580" s="65"/>
      <c r="E580" s="188"/>
      <c r="F580" s="128">
        <f>F193</f>
        <v>379204.86</v>
      </c>
      <c r="G580" s="158"/>
    </row>
    <row r="581" spans="1:7" x14ac:dyDescent="0.25">
      <c r="A581" s="79"/>
      <c r="B581" s="86"/>
      <c r="C581" s="81"/>
      <c r="D581" s="78"/>
      <c r="E581" s="188"/>
      <c r="F581" s="128"/>
      <c r="G581" s="158"/>
    </row>
    <row r="582" spans="1:7" x14ac:dyDescent="0.25">
      <c r="A582" s="85"/>
      <c r="B582" s="87" t="s">
        <v>216</v>
      </c>
      <c r="C582" s="64"/>
      <c r="D582" s="65"/>
      <c r="E582" s="188"/>
      <c r="F582" s="128">
        <f>F227</f>
        <v>150087.9</v>
      </c>
      <c r="G582" s="158"/>
    </row>
    <row r="583" spans="1:7" x14ac:dyDescent="0.25">
      <c r="A583" s="79"/>
      <c r="B583" s="61"/>
      <c r="C583" s="81"/>
      <c r="D583" s="78"/>
      <c r="E583" s="188"/>
      <c r="F583" s="128"/>
      <c r="G583" s="158"/>
    </row>
    <row r="584" spans="1:7" x14ac:dyDescent="0.25">
      <c r="A584" s="85"/>
      <c r="B584" s="87" t="s">
        <v>217</v>
      </c>
      <c r="C584" s="64"/>
      <c r="D584" s="65"/>
      <c r="E584" s="188"/>
      <c r="F584" s="128">
        <f>F257</f>
        <v>161809.76</v>
      </c>
      <c r="G584" s="158"/>
    </row>
    <row r="585" spans="1:7" x14ac:dyDescent="0.25">
      <c r="A585" s="79"/>
      <c r="B585" s="86"/>
      <c r="C585" s="81"/>
      <c r="D585" s="78"/>
      <c r="E585" s="188"/>
      <c r="F585" s="128"/>
      <c r="G585" s="158"/>
    </row>
    <row r="586" spans="1:7" x14ac:dyDescent="0.25">
      <c r="A586" s="85"/>
      <c r="B586" s="87" t="s">
        <v>218</v>
      </c>
      <c r="C586" s="64"/>
      <c r="D586" s="65"/>
      <c r="E586" s="188"/>
      <c r="F586" s="128">
        <f>F289</f>
        <v>222580.80000000002</v>
      </c>
      <c r="G586" s="158"/>
    </row>
    <row r="587" spans="1:7" x14ac:dyDescent="0.25">
      <c r="A587" s="79"/>
      <c r="B587" s="61"/>
      <c r="C587" s="81"/>
      <c r="D587" s="78"/>
      <c r="E587" s="188"/>
      <c r="F587" s="128"/>
      <c r="G587" s="158"/>
    </row>
    <row r="588" spans="1:7" x14ac:dyDescent="0.25">
      <c r="A588" s="85"/>
      <c r="B588" s="87" t="s">
        <v>219</v>
      </c>
      <c r="C588" s="64"/>
      <c r="D588" s="65"/>
      <c r="E588" s="188"/>
      <c r="F588" s="128">
        <f>F333</f>
        <v>1983067.4399999997</v>
      </c>
      <c r="G588" s="158"/>
    </row>
    <row r="589" spans="1:7" x14ac:dyDescent="0.25">
      <c r="A589" s="79"/>
      <c r="B589" s="86"/>
      <c r="C589" s="81"/>
      <c r="D589" s="78"/>
      <c r="E589" s="188"/>
      <c r="F589" s="128"/>
      <c r="G589" s="158"/>
    </row>
    <row r="590" spans="1:7" x14ac:dyDescent="0.25">
      <c r="A590" s="85"/>
      <c r="B590" s="87" t="s">
        <v>220</v>
      </c>
      <c r="C590" s="64"/>
      <c r="D590" s="65"/>
      <c r="E590" s="188"/>
      <c r="F590" s="128">
        <f>F369</f>
        <v>1006617.86</v>
      </c>
      <c r="G590" s="158"/>
    </row>
    <row r="591" spans="1:7" x14ac:dyDescent="0.25">
      <c r="A591" s="79"/>
      <c r="B591" s="61"/>
      <c r="C591" s="81"/>
      <c r="D591" s="78"/>
      <c r="E591" s="188"/>
      <c r="F591" s="128"/>
      <c r="G591" s="158"/>
    </row>
    <row r="592" spans="1:7" x14ac:dyDescent="0.25">
      <c r="A592" s="85"/>
      <c r="B592" s="87" t="s">
        <v>221</v>
      </c>
      <c r="C592" s="64"/>
      <c r="D592" s="65"/>
      <c r="E592" s="188"/>
      <c r="F592" s="128">
        <f>F401</f>
        <v>618111.81999999995</v>
      </c>
      <c r="G592" s="158"/>
    </row>
    <row r="593" spans="1:7" x14ac:dyDescent="0.25">
      <c r="A593" s="79"/>
      <c r="B593" s="86"/>
      <c r="C593" s="81"/>
      <c r="D593" s="78"/>
      <c r="E593" s="188"/>
      <c r="F593" s="128"/>
      <c r="G593" s="158"/>
    </row>
    <row r="594" spans="1:7" x14ac:dyDescent="0.25">
      <c r="A594" s="85"/>
      <c r="B594" s="87" t="s">
        <v>222</v>
      </c>
      <c r="C594" s="64"/>
      <c r="D594" s="65"/>
      <c r="E594" s="188"/>
      <c r="F594" s="128">
        <f>+F438</f>
        <v>1847454.72</v>
      </c>
      <c r="G594" s="158"/>
    </row>
    <row r="595" spans="1:7" x14ac:dyDescent="0.25">
      <c r="A595" s="79"/>
      <c r="B595" s="61"/>
      <c r="C595" s="81"/>
      <c r="D595" s="78"/>
      <c r="E595" s="188"/>
      <c r="F595" s="128"/>
      <c r="G595" s="158"/>
    </row>
    <row r="596" spans="1:7" x14ac:dyDescent="0.25">
      <c r="A596" s="85"/>
      <c r="B596" s="87" t="s">
        <v>223</v>
      </c>
      <c r="C596" s="64"/>
      <c r="D596" s="65"/>
      <c r="E596" s="188"/>
      <c r="F596" s="128">
        <f>F471</f>
        <v>364043.51</v>
      </c>
      <c r="G596" s="158"/>
    </row>
    <row r="597" spans="1:7" x14ac:dyDescent="0.25">
      <c r="A597" s="79"/>
      <c r="B597" s="86"/>
      <c r="C597" s="81"/>
      <c r="D597" s="78"/>
      <c r="E597" s="188"/>
      <c r="F597" s="128"/>
      <c r="G597" s="158"/>
    </row>
    <row r="598" spans="1:7" x14ac:dyDescent="0.25">
      <c r="A598" s="85"/>
      <c r="B598" s="87" t="s">
        <v>224</v>
      </c>
      <c r="C598" s="64"/>
      <c r="D598" s="65"/>
      <c r="E598" s="188"/>
      <c r="F598" s="128">
        <f>F519</f>
        <v>279543.28000000003</v>
      </c>
      <c r="G598" s="158"/>
    </row>
    <row r="599" spans="1:7" x14ac:dyDescent="0.25">
      <c r="A599" s="79"/>
      <c r="B599" s="61"/>
      <c r="C599" s="81"/>
      <c r="D599" s="78"/>
      <c r="E599" s="188"/>
      <c r="F599" s="128"/>
      <c r="G599" s="158"/>
    </row>
    <row r="600" spans="1:7" x14ac:dyDescent="0.25">
      <c r="A600" s="85"/>
      <c r="B600" s="87" t="s">
        <v>225</v>
      </c>
      <c r="C600" s="64"/>
      <c r="D600" s="65"/>
      <c r="E600" s="188"/>
      <c r="F600" s="128">
        <f>+F567</f>
        <v>0</v>
      </c>
      <c r="G600" s="158"/>
    </row>
    <row r="601" spans="1:7" x14ac:dyDescent="0.25">
      <c r="A601" s="79"/>
      <c r="B601" s="60"/>
      <c r="C601" s="81"/>
      <c r="D601" s="78"/>
      <c r="E601" s="188"/>
      <c r="F601" s="128"/>
      <c r="G601" s="158"/>
    </row>
    <row r="602" spans="1:7" x14ac:dyDescent="0.25">
      <c r="A602" s="85"/>
      <c r="B602" s="86"/>
      <c r="C602" s="64"/>
      <c r="D602" s="65"/>
      <c r="E602" s="188"/>
      <c r="F602" s="128"/>
      <c r="G602" s="158"/>
    </row>
    <row r="603" spans="1:7" x14ac:dyDescent="0.25">
      <c r="A603" s="79"/>
      <c r="B603" s="60"/>
      <c r="C603" s="81"/>
      <c r="D603" s="78"/>
      <c r="E603" s="188"/>
      <c r="F603" s="128"/>
      <c r="G603" s="158"/>
    </row>
    <row r="604" spans="1:7" x14ac:dyDescent="0.25">
      <c r="A604" s="85"/>
      <c r="B604" s="86"/>
      <c r="C604" s="64"/>
      <c r="D604" s="65"/>
      <c r="E604" s="188"/>
      <c r="F604" s="128"/>
      <c r="G604" s="158"/>
    </row>
    <row r="605" spans="1:7" x14ac:dyDescent="0.25">
      <c r="A605" s="79"/>
      <c r="B605" s="60"/>
      <c r="C605" s="81"/>
      <c r="D605" s="78"/>
      <c r="E605" s="188"/>
      <c r="F605" s="128"/>
      <c r="G605" s="158"/>
    </row>
    <row r="606" spans="1:7" x14ac:dyDescent="0.25">
      <c r="A606" s="79"/>
      <c r="B606" s="60"/>
      <c r="C606" s="81"/>
      <c r="D606" s="78"/>
      <c r="E606" s="188"/>
      <c r="F606" s="128"/>
      <c r="G606" s="158"/>
    </row>
    <row r="607" spans="1:7" x14ac:dyDescent="0.25">
      <c r="A607" s="79"/>
      <c r="B607" s="60"/>
      <c r="C607" s="81"/>
      <c r="D607" s="78"/>
      <c r="E607" s="188"/>
      <c r="F607" s="128"/>
      <c r="G607" s="158"/>
    </row>
    <row r="608" spans="1:7" x14ac:dyDescent="0.25">
      <c r="A608" s="79"/>
      <c r="B608" s="60"/>
      <c r="C608" s="81"/>
      <c r="D608" s="78"/>
      <c r="E608" s="188"/>
      <c r="F608" s="128"/>
      <c r="G608" s="158"/>
    </row>
    <row r="609" spans="1:7" x14ac:dyDescent="0.25">
      <c r="A609" s="79"/>
      <c r="B609" s="60"/>
      <c r="C609" s="81"/>
      <c r="D609" s="78"/>
      <c r="E609" s="188"/>
      <c r="F609" s="128"/>
      <c r="G609" s="158"/>
    </row>
    <row r="610" spans="1:7" x14ac:dyDescent="0.25">
      <c r="A610" s="79"/>
      <c r="B610" s="60"/>
      <c r="C610" s="81"/>
      <c r="D610" s="78"/>
      <c r="E610" s="188"/>
      <c r="F610" s="128"/>
      <c r="G610" s="158"/>
    </row>
    <row r="611" spans="1:7" x14ac:dyDescent="0.25">
      <c r="A611" s="79"/>
      <c r="B611" s="60"/>
      <c r="C611" s="81"/>
      <c r="D611" s="78"/>
      <c r="E611" s="188"/>
      <c r="F611" s="128"/>
      <c r="G611" s="158"/>
    </row>
    <row r="612" spans="1:7" x14ac:dyDescent="0.25">
      <c r="A612" s="79"/>
      <c r="B612" s="80"/>
      <c r="C612" s="81"/>
      <c r="D612" s="78"/>
      <c r="E612" s="188"/>
      <c r="F612" s="128"/>
      <c r="G612" s="158"/>
    </row>
    <row r="613" spans="1:7" x14ac:dyDescent="0.25">
      <c r="A613" s="79"/>
      <c r="B613" s="60"/>
      <c r="C613" s="81"/>
      <c r="D613" s="78"/>
      <c r="E613" s="188"/>
      <c r="F613" s="128"/>
      <c r="G613" s="158"/>
    </row>
    <row r="614" spans="1:7" x14ac:dyDescent="0.25">
      <c r="A614" s="85"/>
      <c r="B614" s="86"/>
      <c r="C614" s="64"/>
      <c r="D614" s="65"/>
      <c r="E614" s="188"/>
      <c r="F614" s="128"/>
      <c r="G614" s="158"/>
    </row>
    <row r="615" spans="1:7" x14ac:dyDescent="0.25">
      <c r="A615" s="79"/>
      <c r="B615" s="60"/>
      <c r="C615" s="81"/>
      <c r="D615" s="78"/>
      <c r="E615" s="188"/>
      <c r="F615" s="128"/>
      <c r="G615" s="158"/>
    </row>
    <row r="616" spans="1:7" x14ac:dyDescent="0.25">
      <c r="A616" s="85"/>
      <c r="B616" s="86"/>
      <c r="C616" s="64"/>
      <c r="D616" s="65"/>
      <c r="E616" s="188"/>
      <c r="F616" s="128"/>
      <c r="G616" s="158"/>
    </row>
    <row r="617" spans="1:7" x14ac:dyDescent="0.25">
      <c r="A617" s="89"/>
      <c r="B617" s="90"/>
      <c r="C617" s="91"/>
      <c r="D617" s="92"/>
      <c r="E617" s="135"/>
      <c r="F617" s="129"/>
      <c r="G617" s="173"/>
    </row>
    <row r="618" spans="1:7" x14ac:dyDescent="0.25">
      <c r="A618" s="93"/>
      <c r="B618" s="94"/>
      <c r="C618" s="95" t="s">
        <v>226</v>
      </c>
      <c r="D618" s="95"/>
      <c r="E618" s="189" t="s">
        <v>7</v>
      </c>
      <c r="F618" s="130">
        <f>SUM(F569:F616)</f>
        <v>13202526.73</v>
      </c>
      <c r="G618" s="174"/>
    </row>
    <row r="619" spans="1:7" x14ac:dyDescent="0.25">
      <c r="A619" s="93"/>
      <c r="B619" s="94"/>
      <c r="C619" s="97"/>
      <c r="D619" s="98"/>
      <c r="E619" s="137"/>
      <c r="F619" s="131"/>
      <c r="G619" s="175"/>
    </row>
  </sheetData>
  <mergeCells count="5">
    <mergeCell ref="A1:A2"/>
    <mergeCell ref="B1:B2"/>
    <mergeCell ref="C1:C2"/>
    <mergeCell ref="D1:D2"/>
    <mergeCell ref="G1:G2"/>
  </mergeCells>
  <phoneticPr fontId="20" type="noConversion"/>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&amp;R&amp;11&amp;U
BILL NO. 5 - EXTERNAL WORKS
SITE WORK</oddHeader>
    <oddFooter>&amp;L&amp;8DMS 148704 BOQ - Nakheel Mall Al Khail&amp;C5/B/&amp;P</oddFooter>
  </headerFooter>
  <rowBreaks count="15" manualBreakCount="15">
    <brk id="50" max="6" man="1"/>
    <brk id="94" max="6" man="1"/>
    <brk id="131" max="6" man="1"/>
    <brk id="161" max="6" man="1"/>
    <brk id="194" max="6" man="1"/>
    <brk id="228" max="6" man="1"/>
    <brk id="258" max="6" man="1"/>
    <brk id="290" max="6" man="1"/>
    <brk id="334" max="6" man="1"/>
    <brk id="370" max="6" man="1"/>
    <brk id="402" max="6" man="1"/>
    <brk id="439" max="6" man="1"/>
    <brk id="472" max="6" man="1"/>
    <brk id="520" max="6" man="1"/>
    <brk id="568"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F58B-3DA6-41D8-BAD5-30916BAB8A1E}">
  <dimension ref="A1:H145"/>
  <sheetViews>
    <sheetView view="pageBreakPreview" zoomScale="80" zoomScaleNormal="100" zoomScaleSheetLayoutView="80" zoomScalePageLayoutView="70" workbookViewId="0">
      <selection activeCell="C1" sqref="C1:E1048576"/>
    </sheetView>
  </sheetViews>
  <sheetFormatPr defaultColWidth="9.33203125" defaultRowHeight="13.8" x14ac:dyDescent="0.25"/>
  <cols>
    <col min="1" max="1" width="5.6640625" style="104" customWidth="1"/>
    <col min="2" max="2" width="46" style="105" customWidth="1"/>
    <col min="3" max="3" width="10.6640625" style="106" customWidth="1"/>
    <col min="4" max="4" width="6.6640625" style="107" customWidth="1"/>
    <col min="5" max="5" width="10.6640625" style="76" customWidth="1"/>
    <col min="6" max="6" width="15.6640625" style="77" customWidth="1"/>
    <col min="7" max="7" width="13.88671875" style="151" customWidth="1"/>
    <col min="8" max="8" width="16.6640625" style="103" customWidth="1"/>
    <col min="9" max="16384" width="9.33203125" style="103"/>
  </cols>
  <sheetData>
    <row r="1" spans="1:8" s="67" customFormat="1" ht="14.4" x14ac:dyDescent="0.25">
      <c r="A1" s="208" t="s">
        <v>1</v>
      </c>
      <c r="B1" s="208" t="s">
        <v>2</v>
      </c>
      <c r="C1" s="210" t="s">
        <v>3</v>
      </c>
      <c r="D1" s="212" t="s">
        <v>4</v>
      </c>
      <c r="E1" s="108" t="s">
        <v>5</v>
      </c>
      <c r="F1" s="109" t="s">
        <v>6</v>
      </c>
      <c r="G1" s="146"/>
    </row>
    <row r="2" spans="1:8" s="67" customFormat="1" ht="14.4" x14ac:dyDescent="0.25">
      <c r="A2" s="209"/>
      <c r="B2" s="209"/>
      <c r="C2" s="211"/>
      <c r="D2" s="213"/>
      <c r="E2" s="110" t="s">
        <v>7</v>
      </c>
      <c r="F2" s="111" t="s">
        <v>7</v>
      </c>
      <c r="G2" s="146"/>
    </row>
    <row r="3" spans="1:8" s="67" customFormat="1" ht="14.4" x14ac:dyDescent="0.25">
      <c r="A3" s="68"/>
      <c r="B3" s="69"/>
      <c r="C3" s="66"/>
      <c r="D3" s="70"/>
      <c r="E3" s="71"/>
      <c r="F3" s="1"/>
      <c r="G3" s="146"/>
    </row>
    <row r="4" spans="1:8" x14ac:dyDescent="0.25">
      <c r="A4" s="79"/>
      <c r="B4" s="102" t="s">
        <v>227</v>
      </c>
      <c r="C4" s="81"/>
      <c r="D4" s="78"/>
      <c r="E4" s="73"/>
      <c r="F4" s="74"/>
    </row>
    <row r="5" spans="1:8" x14ac:dyDescent="0.25">
      <c r="A5" s="79"/>
      <c r="B5" s="80"/>
      <c r="C5" s="81"/>
      <c r="D5" s="78"/>
      <c r="E5" s="73"/>
      <c r="F5" s="74"/>
    </row>
    <row r="6" spans="1:8" x14ac:dyDescent="0.25">
      <c r="A6" s="79"/>
      <c r="B6" s="99" t="s">
        <v>228</v>
      </c>
      <c r="C6" s="81"/>
      <c r="D6" s="78"/>
      <c r="E6" s="73"/>
      <c r="F6" s="74"/>
    </row>
    <row r="7" spans="1:8" x14ac:dyDescent="0.25">
      <c r="A7" s="79"/>
      <c r="B7" s="145"/>
      <c r="C7" s="81"/>
      <c r="D7" s="78"/>
      <c r="E7" s="73"/>
      <c r="F7" s="74"/>
    </row>
    <row r="8" spans="1:8" x14ac:dyDescent="0.25">
      <c r="A8" s="63"/>
      <c r="B8" s="82" t="s">
        <v>33</v>
      </c>
      <c r="C8" s="100"/>
      <c r="D8" s="101"/>
      <c r="E8" s="73"/>
      <c r="F8" s="74"/>
    </row>
    <row r="9" spans="1:8" x14ac:dyDescent="0.25">
      <c r="A9" s="79"/>
      <c r="B9" s="60"/>
      <c r="C9" s="81"/>
      <c r="D9" s="78"/>
      <c r="E9" s="73"/>
      <c r="F9" s="74"/>
    </row>
    <row r="10" spans="1:8" ht="27.6" x14ac:dyDescent="0.25">
      <c r="A10" s="63"/>
      <c r="B10" s="82" t="s">
        <v>229</v>
      </c>
      <c r="C10" s="100"/>
      <c r="D10" s="101"/>
      <c r="E10" s="73"/>
      <c r="F10" s="74"/>
    </row>
    <row r="11" spans="1:8" x14ac:dyDescent="0.25">
      <c r="A11" s="79"/>
      <c r="B11" s="60"/>
      <c r="C11" s="81"/>
      <c r="D11" s="78"/>
      <c r="E11" s="73"/>
      <c r="F11" s="74"/>
    </row>
    <row r="12" spans="1:8" ht="27.6" x14ac:dyDescent="0.25">
      <c r="A12" s="63"/>
      <c r="B12" s="83" t="s">
        <v>230</v>
      </c>
      <c r="C12" s="100"/>
      <c r="D12" s="101"/>
      <c r="E12" s="73"/>
      <c r="F12" s="74"/>
    </row>
    <row r="13" spans="1:8" x14ac:dyDescent="0.25">
      <c r="A13" s="79"/>
      <c r="B13" s="60"/>
      <c r="C13" s="81"/>
      <c r="D13" s="78"/>
      <c r="E13" s="73"/>
      <c r="F13" s="74"/>
    </row>
    <row r="14" spans="1:8" x14ac:dyDescent="0.25">
      <c r="A14" s="63" t="s">
        <v>12</v>
      </c>
      <c r="B14" s="82" t="s">
        <v>231</v>
      </c>
      <c r="C14" s="100" t="s">
        <v>113</v>
      </c>
      <c r="D14" s="101" t="s">
        <v>15</v>
      </c>
      <c r="E14" s="73">
        <v>411.46</v>
      </c>
      <c r="F14" s="128">
        <f>E14*C14</f>
        <v>32505.34</v>
      </c>
      <c r="H14" s="152"/>
    </row>
    <row r="15" spans="1:8" x14ac:dyDescent="0.25">
      <c r="A15" s="79"/>
      <c r="B15" s="60"/>
      <c r="C15" s="81"/>
      <c r="D15" s="78"/>
      <c r="E15" s="73"/>
      <c r="F15" s="128">
        <f t="shared" ref="F15:F18" si="0">E15*C15</f>
        <v>0</v>
      </c>
      <c r="H15" s="152"/>
    </row>
    <row r="16" spans="1:8" x14ac:dyDescent="0.25">
      <c r="A16" s="63" t="s">
        <v>16</v>
      </c>
      <c r="B16" s="82" t="s">
        <v>232</v>
      </c>
      <c r="C16" s="100" t="s">
        <v>233</v>
      </c>
      <c r="D16" s="101" t="s">
        <v>15</v>
      </c>
      <c r="E16" s="73">
        <v>411.46</v>
      </c>
      <c r="F16" s="128">
        <f t="shared" si="0"/>
        <v>16046.939999999999</v>
      </c>
      <c r="H16" s="152"/>
    </row>
    <row r="17" spans="1:8" x14ac:dyDescent="0.25">
      <c r="A17" s="79"/>
      <c r="B17" s="60"/>
      <c r="C17" s="81"/>
      <c r="D17" s="78"/>
      <c r="E17" s="73"/>
      <c r="F17" s="128">
        <f t="shared" si="0"/>
        <v>0</v>
      </c>
      <c r="H17" s="152"/>
    </row>
    <row r="18" spans="1:8" x14ac:dyDescent="0.25">
      <c r="A18" s="63" t="s">
        <v>19</v>
      </c>
      <c r="B18" s="82" t="s">
        <v>234</v>
      </c>
      <c r="C18" s="100" t="s">
        <v>235</v>
      </c>
      <c r="D18" s="101" t="s">
        <v>15</v>
      </c>
      <c r="E18" s="73">
        <v>408.53</v>
      </c>
      <c r="F18" s="128">
        <f t="shared" si="0"/>
        <v>8579.1299999999992</v>
      </c>
      <c r="H18" s="152"/>
    </row>
    <row r="19" spans="1:8" x14ac:dyDescent="0.25">
      <c r="A19" s="79"/>
      <c r="B19" s="60"/>
      <c r="C19" s="81"/>
      <c r="D19" s="78"/>
      <c r="E19" s="73"/>
      <c r="F19" s="74"/>
      <c r="H19" s="152"/>
    </row>
    <row r="20" spans="1:8" ht="41.4" x14ac:dyDescent="0.25">
      <c r="A20" s="63"/>
      <c r="B20" s="83" t="s">
        <v>236</v>
      </c>
      <c r="C20" s="100"/>
      <c r="D20" s="101"/>
      <c r="E20" s="73"/>
      <c r="F20" s="74"/>
      <c r="H20" s="152"/>
    </row>
    <row r="21" spans="1:8" x14ac:dyDescent="0.25">
      <c r="A21" s="79"/>
      <c r="B21" s="145"/>
      <c r="C21" s="81"/>
      <c r="D21" s="78"/>
      <c r="E21" s="73"/>
      <c r="F21" s="74"/>
      <c r="H21" s="152"/>
    </row>
    <row r="22" spans="1:8" x14ac:dyDescent="0.25">
      <c r="A22" s="63" t="s">
        <v>22</v>
      </c>
      <c r="B22" s="82" t="s">
        <v>237</v>
      </c>
      <c r="C22" s="100">
        <v>1</v>
      </c>
      <c r="D22" s="101" t="s">
        <v>1</v>
      </c>
      <c r="E22" s="73">
        <v>52296.51</v>
      </c>
      <c r="F22" s="128">
        <f t="shared" ref="F22" si="1">E22*C22</f>
        <v>52296.51</v>
      </c>
      <c r="H22" s="152"/>
    </row>
    <row r="23" spans="1:8" x14ac:dyDescent="0.25">
      <c r="A23" s="79"/>
      <c r="B23" s="60"/>
      <c r="C23" s="81"/>
      <c r="D23" s="78"/>
      <c r="E23" s="73"/>
      <c r="F23" s="74"/>
      <c r="H23" s="152"/>
    </row>
    <row r="24" spans="1:8" x14ac:dyDescent="0.25">
      <c r="A24" s="63" t="s">
        <v>25</v>
      </c>
      <c r="B24" s="82" t="s">
        <v>238</v>
      </c>
      <c r="C24" s="100"/>
      <c r="D24" s="101" t="s">
        <v>239</v>
      </c>
      <c r="E24" s="73">
        <v>4431.91</v>
      </c>
      <c r="F24" s="74" t="s">
        <v>554</v>
      </c>
      <c r="H24" s="152"/>
    </row>
    <row r="25" spans="1:8" x14ac:dyDescent="0.25">
      <c r="A25" s="79"/>
      <c r="B25" s="60"/>
      <c r="C25" s="81"/>
      <c r="D25" s="78"/>
      <c r="E25" s="73"/>
      <c r="F25" s="74"/>
      <c r="H25" s="152"/>
    </row>
    <row r="26" spans="1:8" x14ac:dyDescent="0.25">
      <c r="A26" s="63" t="s">
        <v>28</v>
      </c>
      <c r="B26" s="82" t="s">
        <v>240</v>
      </c>
      <c r="C26" s="100">
        <v>1</v>
      </c>
      <c r="D26" s="101" t="s">
        <v>1</v>
      </c>
      <c r="E26" s="73">
        <v>13960.51</v>
      </c>
      <c r="F26" s="128">
        <f t="shared" ref="F26" si="2">E26*C26</f>
        <v>13960.51</v>
      </c>
      <c r="H26" s="152"/>
    </row>
    <row r="27" spans="1:8" x14ac:dyDescent="0.25">
      <c r="A27" s="79"/>
      <c r="B27" s="60"/>
      <c r="C27" s="81"/>
      <c r="D27" s="78"/>
      <c r="E27" s="73"/>
      <c r="F27" s="74"/>
      <c r="H27" s="152"/>
    </row>
    <row r="28" spans="1:8" x14ac:dyDescent="0.25">
      <c r="A28" s="63" t="s">
        <v>48</v>
      </c>
      <c r="B28" s="82" t="s">
        <v>241</v>
      </c>
      <c r="C28" s="100"/>
      <c r="D28" s="101" t="s">
        <v>239</v>
      </c>
      <c r="E28" s="73">
        <v>4431.91</v>
      </c>
      <c r="F28" s="74" t="s">
        <v>554</v>
      </c>
      <c r="H28" s="152"/>
    </row>
    <row r="29" spans="1:8" x14ac:dyDescent="0.25">
      <c r="A29" s="79"/>
      <c r="B29" s="60"/>
      <c r="C29" s="81"/>
      <c r="D29" s="78"/>
      <c r="E29" s="73"/>
      <c r="F29" s="74"/>
      <c r="H29" s="152"/>
    </row>
    <row r="30" spans="1:8" ht="27.6" x14ac:dyDescent="0.25">
      <c r="A30" s="63"/>
      <c r="B30" s="83" t="s">
        <v>242</v>
      </c>
      <c r="C30" s="100"/>
      <c r="D30" s="101"/>
      <c r="E30" s="73"/>
      <c r="F30" s="74"/>
      <c r="H30" s="152"/>
    </row>
    <row r="31" spans="1:8" x14ac:dyDescent="0.25">
      <c r="A31" s="79"/>
      <c r="B31" s="60"/>
      <c r="C31" s="81"/>
      <c r="D31" s="78"/>
      <c r="E31" s="73"/>
      <c r="F31" s="74"/>
      <c r="H31" s="152"/>
    </row>
    <row r="32" spans="1:8" x14ac:dyDescent="0.25">
      <c r="A32" s="63" t="s">
        <v>52</v>
      </c>
      <c r="B32" s="82" t="s">
        <v>243</v>
      </c>
      <c r="C32" s="100" t="s">
        <v>244</v>
      </c>
      <c r="D32" s="101" t="s">
        <v>40</v>
      </c>
      <c r="E32" s="73">
        <v>153.13</v>
      </c>
      <c r="F32" s="128">
        <f t="shared" ref="F32:F40" si="3">E32*C32</f>
        <v>58801.919999999998</v>
      </c>
      <c r="H32" s="152"/>
    </row>
    <row r="33" spans="1:8" x14ac:dyDescent="0.25">
      <c r="A33" s="79"/>
      <c r="B33" s="60"/>
      <c r="C33" s="81"/>
      <c r="D33" s="78"/>
      <c r="E33" s="73"/>
      <c r="F33" s="128">
        <f t="shared" si="3"/>
        <v>0</v>
      </c>
      <c r="H33" s="152"/>
    </row>
    <row r="34" spans="1:8" x14ac:dyDescent="0.25">
      <c r="A34" s="63" t="s">
        <v>54</v>
      </c>
      <c r="B34" s="82" t="s">
        <v>245</v>
      </c>
      <c r="C34" s="100" t="s">
        <v>246</v>
      </c>
      <c r="D34" s="101" t="s">
        <v>40</v>
      </c>
      <c r="E34" s="73">
        <v>153.13</v>
      </c>
      <c r="F34" s="128">
        <f t="shared" si="3"/>
        <v>16844.3</v>
      </c>
      <c r="H34" s="152"/>
    </row>
    <row r="35" spans="1:8" x14ac:dyDescent="0.25">
      <c r="A35" s="79"/>
      <c r="B35" s="60"/>
      <c r="C35" s="81"/>
      <c r="D35" s="78"/>
      <c r="E35" s="73"/>
      <c r="F35" s="128">
        <f t="shared" si="3"/>
        <v>0</v>
      </c>
      <c r="H35" s="152"/>
    </row>
    <row r="36" spans="1:8" x14ac:dyDescent="0.25">
      <c r="A36" s="63" t="s">
        <v>136</v>
      </c>
      <c r="B36" s="82" t="s">
        <v>247</v>
      </c>
      <c r="C36" s="100" t="s">
        <v>248</v>
      </c>
      <c r="D36" s="101" t="s">
        <v>40</v>
      </c>
      <c r="E36" s="73">
        <v>153.13</v>
      </c>
      <c r="F36" s="128">
        <f t="shared" si="3"/>
        <v>91724.87</v>
      </c>
      <c r="H36" s="152"/>
    </row>
    <row r="37" spans="1:8" x14ac:dyDescent="0.25">
      <c r="A37" s="79"/>
      <c r="B37" s="60"/>
      <c r="C37" s="81"/>
      <c r="D37" s="78"/>
      <c r="E37" s="73"/>
      <c r="F37" s="128">
        <f t="shared" si="3"/>
        <v>0</v>
      </c>
      <c r="H37" s="152"/>
    </row>
    <row r="38" spans="1:8" x14ac:dyDescent="0.25">
      <c r="A38" s="63" t="s">
        <v>159</v>
      </c>
      <c r="B38" s="82" t="s">
        <v>249</v>
      </c>
      <c r="C38" s="100" t="s">
        <v>250</v>
      </c>
      <c r="D38" s="101" t="s">
        <v>40</v>
      </c>
      <c r="E38" s="73">
        <v>153.13</v>
      </c>
      <c r="F38" s="128">
        <f t="shared" si="3"/>
        <v>62170.78</v>
      </c>
      <c r="H38" s="152"/>
    </row>
    <row r="39" spans="1:8" x14ac:dyDescent="0.25">
      <c r="A39" s="79"/>
      <c r="B39" s="60"/>
      <c r="C39" s="81"/>
      <c r="D39" s="78"/>
      <c r="E39" s="73"/>
      <c r="F39" s="128">
        <f t="shared" si="3"/>
        <v>0</v>
      </c>
      <c r="H39" s="152"/>
    </row>
    <row r="40" spans="1:8" x14ac:dyDescent="0.25">
      <c r="A40" s="63" t="s">
        <v>251</v>
      </c>
      <c r="B40" s="82" t="s">
        <v>234</v>
      </c>
      <c r="C40" s="100" t="s">
        <v>174</v>
      </c>
      <c r="D40" s="101" t="s">
        <v>40</v>
      </c>
      <c r="E40" s="73">
        <v>123.25</v>
      </c>
      <c r="F40" s="128">
        <f t="shared" si="3"/>
        <v>1109.25</v>
      </c>
      <c r="H40" s="152"/>
    </row>
    <row r="41" spans="1:8" x14ac:dyDescent="0.25">
      <c r="A41" s="60"/>
      <c r="B41" s="61"/>
      <c r="C41" s="60"/>
      <c r="D41" s="62"/>
      <c r="E41" s="73"/>
      <c r="F41" s="74"/>
      <c r="H41" s="152"/>
    </row>
    <row r="42" spans="1:8" x14ac:dyDescent="0.25">
      <c r="A42" s="79"/>
      <c r="B42" s="80"/>
      <c r="C42" s="81"/>
      <c r="D42" s="78"/>
      <c r="E42" s="73"/>
      <c r="F42" s="74"/>
      <c r="H42" s="152"/>
    </row>
    <row r="43" spans="1:8" x14ac:dyDescent="0.25">
      <c r="A43" s="79"/>
      <c r="B43" s="60"/>
      <c r="C43" s="81"/>
      <c r="D43" s="78"/>
      <c r="E43" s="73"/>
      <c r="F43" s="74"/>
      <c r="H43" s="152"/>
    </row>
    <row r="44" spans="1:8" x14ac:dyDescent="0.25">
      <c r="A44" s="79"/>
      <c r="B44" s="60"/>
      <c r="C44" s="81"/>
      <c r="D44" s="78"/>
      <c r="E44" s="73"/>
      <c r="F44" s="74"/>
      <c r="H44" s="152"/>
    </row>
    <row r="45" spans="1:8" x14ac:dyDescent="0.25">
      <c r="A45" s="85"/>
      <c r="B45" s="82"/>
      <c r="C45" s="64"/>
      <c r="D45" s="65"/>
      <c r="E45" s="73"/>
      <c r="F45" s="74"/>
      <c r="H45" s="152"/>
    </row>
    <row r="46" spans="1:8" x14ac:dyDescent="0.25">
      <c r="A46" s="89"/>
      <c r="B46" s="90"/>
      <c r="C46" s="91"/>
      <c r="D46" s="92"/>
      <c r="E46" s="2"/>
      <c r="F46" s="3"/>
      <c r="H46" s="152"/>
    </row>
    <row r="47" spans="1:8" x14ac:dyDescent="0.25">
      <c r="A47" s="93"/>
      <c r="B47" s="94"/>
      <c r="C47" s="95" t="s">
        <v>31</v>
      </c>
      <c r="D47" s="95"/>
      <c r="E47" s="96" t="s">
        <v>7</v>
      </c>
      <c r="F47" s="4">
        <f>SUM(F3:F45)</f>
        <v>354039.54999999993</v>
      </c>
      <c r="H47" s="152"/>
    </row>
    <row r="48" spans="1:8" x14ac:dyDescent="0.25">
      <c r="A48" s="93"/>
      <c r="B48" s="94"/>
      <c r="C48" s="97"/>
      <c r="D48" s="98"/>
      <c r="E48" s="5"/>
      <c r="F48" s="6"/>
      <c r="H48" s="152"/>
    </row>
    <row r="49" spans="1:8" x14ac:dyDescent="0.25">
      <c r="A49" s="85"/>
      <c r="B49" s="82"/>
      <c r="C49" s="64"/>
      <c r="D49" s="65"/>
      <c r="E49" s="73"/>
      <c r="F49" s="74"/>
      <c r="H49" s="152"/>
    </row>
    <row r="50" spans="1:8" x14ac:dyDescent="0.25">
      <c r="A50" s="79"/>
      <c r="B50" s="99" t="s">
        <v>208</v>
      </c>
      <c r="C50" s="81"/>
      <c r="D50" s="78"/>
      <c r="E50" s="73"/>
      <c r="F50" s="74"/>
      <c r="H50" s="152"/>
    </row>
    <row r="51" spans="1:8" x14ac:dyDescent="0.25">
      <c r="A51" s="79"/>
      <c r="B51" s="60"/>
      <c r="C51" s="81"/>
      <c r="D51" s="78"/>
      <c r="E51" s="73"/>
      <c r="F51" s="74"/>
      <c r="H51" s="152"/>
    </row>
    <row r="52" spans="1:8" ht="69" x14ac:dyDescent="0.25">
      <c r="A52" s="63" t="s">
        <v>12</v>
      </c>
      <c r="B52" s="82" t="s">
        <v>252</v>
      </c>
      <c r="C52" s="100"/>
      <c r="D52" s="101" t="s">
        <v>1</v>
      </c>
      <c r="E52" s="73"/>
      <c r="F52" s="74"/>
      <c r="H52" s="152"/>
    </row>
    <row r="53" spans="1:8" x14ac:dyDescent="0.25">
      <c r="A53" s="112"/>
      <c r="B53" s="113"/>
      <c r="C53" s="114"/>
      <c r="D53" s="115"/>
      <c r="E53" s="73"/>
      <c r="F53" s="74"/>
      <c r="H53" s="152"/>
    </row>
    <row r="54" spans="1:8" x14ac:dyDescent="0.25">
      <c r="A54" s="116"/>
      <c r="B54" s="117"/>
      <c r="C54" s="118"/>
      <c r="D54" s="119"/>
      <c r="E54" s="73"/>
      <c r="F54" s="74"/>
      <c r="H54" s="152"/>
    </row>
    <row r="55" spans="1:8" x14ac:dyDescent="0.25">
      <c r="A55" s="112"/>
      <c r="B55" s="120"/>
      <c r="C55" s="114"/>
      <c r="D55" s="115"/>
      <c r="E55" s="73"/>
      <c r="F55" s="74"/>
      <c r="H55" s="152"/>
    </row>
    <row r="56" spans="1:8" x14ac:dyDescent="0.25">
      <c r="A56" s="116"/>
      <c r="B56" s="117"/>
      <c r="C56" s="118"/>
      <c r="D56" s="119"/>
      <c r="E56" s="73"/>
      <c r="F56" s="74"/>
      <c r="H56" s="152"/>
    </row>
    <row r="57" spans="1:8" x14ac:dyDescent="0.25">
      <c r="A57" s="112"/>
      <c r="B57" s="113"/>
      <c r="C57" s="114"/>
      <c r="D57" s="115"/>
      <c r="E57" s="73"/>
      <c r="F57" s="74"/>
      <c r="H57" s="152"/>
    </row>
    <row r="58" spans="1:8" x14ac:dyDescent="0.25">
      <c r="A58" s="116"/>
      <c r="B58" s="117"/>
      <c r="C58" s="118"/>
      <c r="D58" s="119"/>
      <c r="E58" s="73"/>
      <c r="F58" s="74"/>
      <c r="H58" s="152"/>
    </row>
    <row r="59" spans="1:8" x14ac:dyDescent="0.25">
      <c r="A59" s="112"/>
      <c r="B59" s="113"/>
      <c r="C59" s="114"/>
      <c r="D59" s="115"/>
      <c r="E59" s="73"/>
      <c r="F59" s="74"/>
      <c r="H59" s="152"/>
    </row>
    <row r="60" spans="1:8" x14ac:dyDescent="0.25">
      <c r="A60" s="116"/>
      <c r="B60" s="117"/>
      <c r="C60" s="118"/>
      <c r="D60" s="119"/>
      <c r="E60" s="73"/>
      <c r="F60" s="74"/>
      <c r="H60" s="152"/>
    </row>
    <row r="61" spans="1:8" x14ac:dyDescent="0.25">
      <c r="A61" s="112"/>
      <c r="B61" s="120"/>
      <c r="C61" s="114"/>
      <c r="D61" s="115"/>
      <c r="E61" s="73"/>
      <c r="F61" s="74"/>
      <c r="H61" s="152"/>
    </row>
    <row r="62" spans="1:8" x14ac:dyDescent="0.25">
      <c r="A62" s="116"/>
      <c r="B62" s="117"/>
      <c r="C62" s="118"/>
      <c r="D62" s="119"/>
      <c r="E62" s="73"/>
      <c r="F62" s="74"/>
      <c r="H62" s="152"/>
    </row>
    <row r="63" spans="1:8" x14ac:dyDescent="0.25">
      <c r="A63" s="112"/>
      <c r="B63" s="113"/>
      <c r="C63" s="114"/>
      <c r="D63" s="115"/>
      <c r="E63" s="73"/>
      <c r="F63" s="74"/>
      <c r="H63" s="152"/>
    </row>
    <row r="64" spans="1:8" x14ac:dyDescent="0.25">
      <c r="A64" s="117"/>
      <c r="B64" s="121"/>
      <c r="C64" s="117"/>
      <c r="D64" s="122"/>
      <c r="E64" s="73"/>
      <c r="F64" s="74"/>
      <c r="H64" s="152"/>
    </row>
    <row r="65" spans="1:8" x14ac:dyDescent="0.25">
      <c r="A65" s="117"/>
      <c r="B65" s="121"/>
      <c r="C65" s="117"/>
      <c r="D65" s="122"/>
      <c r="E65" s="73"/>
      <c r="F65" s="74"/>
      <c r="H65" s="152"/>
    </row>
    <row r="66" spans="1:8" x14ac:dyDescent="0.25">
      <c r="A66" s="117"/>
      <c r="B66" s="121"/>
      <c r="C66" s="117"/>
      <c r="D66" s="122"/>
      <c r="E66" s="73"/>
      <c r="F66" s="74"/>
      <c r="H66" s="152"/>
    </row>
    <row r="67" spans="1:8" x14ac:dyDescent="0.25">
      <c r="A67" s="117"/>
      <c r="B67" s="121"/>
      <c r="C67" s="117"/>
      <c r="D67" s="122"/>
      <c r="E67" s="73"/>
      <c r="F67" s="74"/>
      <c r="H67" s="152"/>
    </row>
    <row r="68" spans="1:8" x14ac:dyDescent="0.25">
      <c r="A68" s="117"/>
      <c r="B68" s="121"/>
      <c r="C68" s="117"/>
      <c r="D68" s="122"/>
      <c r="E68" s="73"/>
      <c r="F68" s="74"/>
      <c r="H68" s="152"/>
    </row>
    <row r="69" spans="1:8" x14ac:dyDescent="0.25">
      <c r="A69" s="117"/>
      <c r="B69" s="121"/>
      <c r="C69" s="117"/>
      <c r="D69" s="122"/>
      <c r="E69" s="73"/>
      <c r="F69" s="74"/>
      <c r="H69" s="152"/>
    </row>
    <row r="70" spans="1:8" x14ac:dyDescent="0.25">
      <c r="A70" s="117"/>
      <c r="B70" s="121"/>
      <c r="C70" s="117"/>
      <c r="D70" s="122"/>
      <c r="E70" s="73"/>
      <c r="F70" s="74"/>
      <c r="H70" s="152"/>
    </row>
    <row r="71" spans="1:8" x14ac:dyDescent="0.25">
      <c r="A71" s="117"/>
      <c r="B71" s="121"/>
      <c r="C71" s="117"/>
      <c r="D71" s="122"/>
      <c r="E71" s="73"/>
      <c r="F71" s="74"/>
      <c r="H71" s="152"/>
    </row>
    <row r="72" spans="1:8" x14ac:dyDescent="0.25">
      <c r="A72" s="117"/>
      <c r="B72" s="121"/>
      <c r="C72" s="117"/>
      <c r="D72" s="122"/>
      <c r="E72" s="73"/>
      <c r="F72" s="74"/>
      <c r="H72" s="152"/>
    </row>
    <row r="73" spans="1:8" x14ac:dyDescent="0.25">
      <c r="A73" s="117"/>
      <c r="B73" s="121"/>
      <c r="C73" s="117"/>
      <c r="D73" s="122"/>
      <c r="E73" s="73"/>
      <c r="F73" s="74"/>
      <c r="H73" s="152"/>
    </row>
    <row r="74" spans="1:8" x14ac:dyDescent="0.25">
      <c r="A74" s="116"/>
      <c r="B74" s="123"/>
      <c r="C74" s="118"/>
      <c r="D74" s="119"/>
      <c r="E74" s="73"/>
      <c r="F74" s="74"/>
      <c r="H74" s="152"/>
    </row>
    <row r="75" spans="1:8" x14ac:dyDescent="0.25">
      <c r="A75" s="116"/>
      <c r="B75" s="124"/>
      <c r="C75" s="118"/>
      <c r="D75" s="119"/>
      <c r="E75" s="73"/>
      <c r="F75" s="74"/>
      <c r="H75" s="152"/>
    </row>
    <row r="76" spans="1:8" x14ac:dyDescent="0.25">
      <c r="A76" s="112"/>
      <c r="B76" s="113"/>
      <c r="C76" s="114"/>
      <c r="D76" s="115"/>
      <c r="E76" s="73"/>
      <c r="F76" s="74"/>
      <c r="H76" s="152"/>
    </row>
    <row r="77" spans="1:8" x14ac:dyDescent="0.25">
      <c r="A77" s="116"/>
      <c r="B77" s="117"/>
      <c r="C77" s="118"/>
      <c r="D77" s="119"/>
      <c r="E77" s="73"/>
      <c r="F77" s="74"/>
      <c r="H77" s="152"/>
    </row>
    <row r="78" spans="1:8" x14ac:dyDescent="0.25">
      <c r="A78" s="112"/>
      <c r="B78" s="120"/>
      <c r="C78" s="114"/>
      <c r="D78" s="115"/>
      <c r="E78" s="73"/>
      <c r="F78" s="74"/>
      <c r="H78" s="152"/>
    </row>
    <row r="79" spans="1:8" x14ac:dyDescent="0.25">
      <c r="A79" s="116"/>
      <c r="B79" s="117"/>
      <c r="C79" s="118"/>
      <c r="D79" s="119"/>
      <c r="E79" s="73"/>
      <c r="F79" s="74"/>
      <c r="H79" s="152"/>
    </row>
    <row r="80" spans="1:8" x14ac:dyDescent="0.25">
      <c r="A80" s="112"/>
      <c r="B80" s="113"/>
      <c r="C80" s="114"/>
      <c r="D80" s="115"/>
      <c r="E80" s="73"/>
      <c r="F80" s="74"/>
      <c r="H80" s="152"/>
    </row>
    <row r="81" spans="1:8" x14ac:dyDescent="0.25">
      <c r="A81" s="116"/>
      <c r="B81" s="117"/>
      <c r="C81" s="118"/>
      <c r="D81" s="119"/>
      <c r="E81" s="73"/>
      <c r="F81" s="74"/>
      <c r="H81" s="152"/>
    </row>
    <row r="82" spans="1:8" x14ac:dyDescent="0.25">
      <c r="A82" s="112"/>
      <c r="B82" s="113"/>
      <c r="C82" s="114"/>
      <c r="D82" s="115"/>
      <c r="E82" s="73"/>
      <c r="F82" s="74"/>
      <c r="H82" s="152"/>
    </row>
    <row r="83" spans="1:8" x14ac:dyDescent="0.25">
      <c r="A83" s="116"/>
      <c r="B83" s="117"/>
      <c r="C83" s="118"/>
      <c r="D83" s="119"/>
      <c r="E83" s="73"/>
      <c r="F83" s="74"/>
      <c r="H83" s="152"/>
    </row>
    <row r="84" spans="1:8" x14ac:dyDescent="0.25">
      <c r="A84" s="112"/>
      <c r="B84" s="113"/>
      <c r="C84" s="114"/>
      <c r="D84" s="115"/>
      <c r="E84" s="73"/>
      <c r="F84" s="74"/>
      <c r="H84" s="152"/>
    </row>
    <row r="85" spans="1:8" x14ac:dyDescent="0.25">
      <c r="A85" s="116"/>
      <c r="B85" s="117"/>
      <c r="C85" s="118"/>
      <c r="D85" s="119"/>
      <c r="E85" s="73"/>
      <c r="F85" s="74"/>
      <c r="H85" s="152"/>
    </row>
    <row r="86" spans="1:8" x14ac:dyDescent="0.25">
      <c r="A86" s="116"/>
      <c r="B86" s="117"/>
      <c r="C86" s="118"/>
      <c r="D86" s="119"/>
      <c r="E86" s="73"/>
      <c r="F86" s="74"/>
      <c r="H86" s="152"/>
    </row>
    <row r="87" spans="1:8" x14ac:dyDescent="0.25">
      <c r="A87" s="116"/>
      <c r="B87" s="117"/>
      <c r="C87" s="118"/>
      <c r="D87" s="119"/>
      <c r="E87" s="73"/>
      <c r="F87" s="74"/>
      <c r="H87" s="152"/>
    </row>
    <row r="88" spans="1:8" x14ac:dyDescent="0.25">
      <c r="A88" s="112"/>
      <c r="B88" s="113"/>
      <c r="C88" s="114"/>
      <c r="D88" s="115"/>
      <c r="E88" s="73"/>
      <c r="F88" s="74"/>
      <c r="H88" s="152"/>
    </row>
    <row r="89" spans="1:8" x14ac:dyDescent="0.25">
      <c r="A89" s="116"/>
      <c r="B89" s="117"/>
      <c r="C89" s="118"/>
      <c r="D89" s="119"/>
      <c r="E89" s="73"/>
      <c r="F89" s="74"/>
      <c r="H89" s="152"/>
    </row>
    <row r="90" spans="1:8" x14ac:dyDescent="0.25">
      <c r="A90" s="116"/>
      <c r="B90" s="117"/>
      <c r="C90" s="118"/>
      <c r="D90" s="119"/>
      <c r="E90" s="73"/>
      <c r="F90" s="74"/>
      <c r="H90" s="152"/>
    </row>
    <row r="91" spans="1:8" x14ac:dyDescent="0.25">
      <c r="A91" s="85"/>
      <c r="B91" s="86"/>
      <c r="C91" s="64"/>
      <c r="D91" s="65"/>
      <c r="E91" s="73"/>
      <c r="F91" s="74"/>
      <c r="H91" s="152"/>
    </row>
    <row r="92" spans="1:8" x14ac:dyDescent="0.25">
      <c r="A92" s="89"/>
      <c r="B92" s="90"/>
      <c r="C92" s="91"/>
      <c r="D92" s="92"/>
      <c r="E92" s="2"/>
      <c r="F92" s="3"/>
      <c r="H92" s="152"/>
    </row>
    <row r="93" spans="1:8" x14ac:dyDescent="0.25">
      <c r="A93" s="93"/>
      <c r="B93" s="94"/>
      <c r="C93" s="95" t="s">
        <v>31</v>
      </c>
      <c r="D93" s="95"/>
      <c r="E93" s="96" t="s">
        <v>7</v>
      </c>
      <c r="F93" s="4"/>
      <c r="H93" s="152"/>
    </row>
    <row r="94" spans="1:8" x14ac:dyDescent="0.25">
      <c r="A94" s="93"/>
      <c r="B94" s="94"/>
      <c r="C94" s="97"/>
      <c r="D94" s="98"/>
      <c r="E94" s="5"/>
      <c r="F94" s="6"/>
      <c r="H94" s="152"/>
    </row>
    <row r="95" spans="1:8" x14ac:dyDescent="0.25">
      <c r="A95" s="85"/>
      <c r="B95" s="82"/>
      <c r="C95" s="64"/>
      <c r="D95" s="65"/>
      <c r="E95" s="73"/>
      <c r="F95" s="74"/>
      <c r="H95" s="152"/>
    </row>
    <row r="96" spans="1:8" x14ac:dyDescent="0.25">
      <c r="A96" s="79"/>
      <c r="B96" s="88" t="s">
        <v>210</v>
      </c>
      <c r="C96" s="81"/>
      <c r="D96" s="78"/>
      <c r="E96" s="73"/>
      <c r="F96" s="74"/>
      <c r="H96" s="152"/>
    </row>
    <row r="97" spans="1:8" x14ac:dyDescent="0.25">
      <c r="A97" s="85"/>
      <c r="B97" s="86"/>
      <c r="C97" s="64"/>
      <c r="D97" s="65"/>
      <c r="E97" s="73"/>
      <c r="F97" s="74"/>
      <c r="H97" s="152"/>
    </row>
    <row r="98" spans="1:8" x14ac:dyDescent="0.25">
      <c r="A98" s="60"/>
      <c r="B98" s="87" t="s">
        <v>253</v>
      </c>
      <c r="C98" s="60"/>
      <c r="D98" s="62"/>
      <c r="E98" s="73"/>
      <c r="F98" s="138">
        <f>F47</f>
        <v>354039.54999999993</v>
      </c>
      <c r="H98" s="152"/>
    </row>
    <row r="99" spans="1:8" x14ac:dyDescent="0.25">
      <c r="A99" s="60"/>
      <c r="B99" s="86"/>
      <c r="C99" s="60"/>
      <c r="D99" s="62"/>
      <c r="E99" s="73"/>
      <c r="F99" s="74"/>
      <c r="H99" s="152"/>
    </row>
    <row r="100" spans="1:8" x14ac:dyDescent="0.25">
      <c r="A100" s="60"/>
      <c r="B100" s="87" t="s">
        <v>254</v>
      </c>
      <c r="C100" s="60"/>
      <c r="D100" s="62"/>
      <c r="E100" s="73"/>
      <c r="F100" s="74"/>
      <c r="H100" s="152"/>
    </row>
    <row r="101" spans="1:8" x14ac:dyDescent="0.25">
      <c r="A101" s="60"/>
      <c r="B101" s="61"/>
      <c r="C101" s="60"/>
      <c r="D101" s="62"/>
      <c r="E101" s="73"/>
      <c r="F101" s="74"/>
      <c r="H101" s="152"/>
    </row>
    <row r="102" spans="1:8" x14ac:dyDescent="0.25">
      <c r="A102" s="60"/>
      <c r="B102" s="61"/>
      <c r="C102" s="60"/>
      <c r="D102" s="62"/>
      <c r="E102" s="73"/>
      <c r="F102" s="74"/>
      <c r="H102" s="152"/>
    </row>
    <row r="103" spans="1:8" x14ac:dyDescent="0.25">
      <c r="A103" s="60"/>
      <c r="B103" s="61"/>
      <c r="C103" s="60"/>
      <c r="D103" s="62"/>
      <c r="E103" s="73"/>
      <c r="F103" s="74"/>
      <c r="H103" s="152"/>
    </row>
    <row r="104" spans="1:8" x14ac:dyDescent="0.25">
      <c r="A104" s="60"/>
      <c r="B104" s="61"/>
      <c r="C104" s="60"/>
      <c r="D104" s="62"/>
      <c r="E104" s="73"/>
      <c r="F104" s="74"/>
      <c r="H104" s="152"/>
    </row>
    <row r="105" spans="1:8" x14ac:dyDescent="0.25">
      <c r="A105" s="60"/>
      <c r="B105" s="61"/>
      <c r="C105" s="60"/>
      <c r="D105" s="62"/>
      <c r="E105" s="73"/>
      <c r="F105" s="74"/>
      <c r="H105" s="152"/>
    </row>
    <row r="106" spans="1:8" x14ac:dyDescent="0.25">
      <c r="A106" s="60"/>
      <c r="B106" s="61"/>
      <c r="C106" s="60"/>
      <c r="D106" s="62"/>
      <c r="E106" s="73"/>
      <c r="F106" s="74"/>
      <c r="H106" s="152"/>
    </row>
    <row r="107" spans="1:8" x14ac:dyDescent="0.25">
      <c r="A107" s="60"/>
      <c r="B107" s="61"/>
      <c r="C107" s="60"/>
      <c r="D107" s="62"/>
      <c r="E107" s="73"/>
      <c r="F107" s="74"/>
      <c r="H107" s="152"/>
    </row>
    <row r="108" spans="1:8" x14ac:dyDescent="0.25">
      <c r="A108" s="79"/>
      <c r="B108" s="80"/>
      <c r="C108" s="81"/>
      <c r="D108" s="78"/>
      <c r="E108" s="73"/>
      <c r="F108" s="74"/>
      <c r="H108" s="152"/>
    </row>
    <row r="109" spans="1:8" x14ac:dyDescent="0.25">
      <c r="A109" s="79"/>
      <c r="B109" s="60"/>
      <c r="C109" s="81"/>
      <c r="D109" s="78"/>
      <c r="E109" s="73"/>
      <c r="F109" s="74"/>
      <c r="H109" s="152"/>
    </row>
    <row r="110" spans="1:8" x14ac:dyDescent="0.25">
      <c r="A110" s="85"/>
      <c r="B110" s="82"/>
      <c r="C110" s="64"/>
      <c r="D110" s="65"/>
      <c r="E110" s="73"/>
      <c r="F110" s="74"/>
      <c r="H110" s="152"/>
    </row>
    <row r="111" spans="1:8" x14ac:dyDescent="0.25">
      <c r="A111" s="79"/>
      <c r="B111" s="60"/>
      <c r="C111" s="81"/>
      <c r="D111" s="78"/>
      <c r="E111" s="73"/>
      <c r="F111" s="74"/>
      <c r="H111" s="152"/>
    </row>
    <row r="112" spans="1:8" x14ac:dyDescent="0.25">
      <c r="A112" s="85"/>
      <c r="B112" s="86"/>
      <c r="C112" s="64"/>
      <c r="D112" s="65"/>
      <c r="E112" s="73"/>
      <c r="F112" s="74"/>
      <c r="H112" s="152"/>
    </row>
    <row r="113" spans="1:8" x14ac:dyDescent="0.25">
      <c r="A113" s="79"/>
      <c r="B113" s="60"/>
      <c r="C113" s="81"/>
      <c r="D113" s="78"/>
      <c r="E113" s="73"/>
      <c r="F113" s="74"/>
      <c r="H113" s="152"/>
    </row>
    <row r="114" spans="1:8" x14ac:dyDescent="0.25">
      <c r="A114" s="85"/>
      <c r="B114" s="86"/>
      <c r="C114" s="64"/>
      <c r="D114" s="65"/>
      <c r="E114" s="73"/>
      <c r="F114" s="74"/>
      <c r="H114" s="152"/>
    </row>
    <row r="115" spans="1:8" x14ac:dyDescent="0.25">
      <c r="A115" s="79"/>
      <c r="B115" s="60"/>
      <c r="C115" s="81"/>
      <c r="D115" s="78"/>
      <c r="E115" s="73"/>
      <c r="F115" s="74"/>
      <c r="H115" s="152"/>
    </row>
    <row r="116" spans="1:8" x14ac:dyDescent="0.25">
      <c r="A116" s="85"/>
      <c r="B116" s="82"/>
      <c r="C116" s="64"/>
      <c r="D116" s="65"/>
      <c r="E116" s="73"/>
      <c r="F116" s="74"/>
      <c r="H116" s="152"/>
    </row>
    <row r="117" spans="1:8" x14ac:dyDescent="0.25">
      <c r="A117" s="79"/>
      <c r="B117" s="60"/>
      <c r="C117" s="81"/>
      <c r="D117" s="78"/>
      <c r="E117" s="73"/>
      <c r="F117" s="74"/>
      <c r="H117" s="152"/>
    </row>
    <row r="118" spans="1:8" x14ac:dyDescent="0.25">
      <c r="A118" s="85"/>
      <c r="B118" s="86"/>
      <c r="C118" s="64"/>
      <c r="D118" s="65"/>
      <c r="E118" s="73"/>
      <c r="F118" s="74"/>
      <c r="H118" s="152"/>
    </row>
    <row r="119" spans="1:8" x14ac:dyDescent="0.25">
      <c r="A119" s="79"/>
      <c r="B119" s="60"/>
      <c r="C119" s="81"/>
      <c r="D119" s="78"/>
      <c r="E119" s="73"/>
      <c r="F119" s="74"/>
      <c r="H119" s="152"/>
    </row>
    <row r="120" spans="1:8" x14ac:dyDescent="0.25">
      <c r="A120" s="85"/>
      <c r="B120" s="86"/>
      <c r="C120" s="64"/>
      <c r="D120" s="65"/>
      <c r="E120" s="73"/>
      <c r="F120" s="74"/>
      <c r="H120" s="152"/>
    </row>
    <row r="121" spans="1:8" x14ac:dyDescent="0.25">
      <c r="A121" s="79"/>
      <c r="B121" s="60"/>
      <c r="C121" s="81"/>
      <c r="D121" s="78"/>
      <c r="E121" s="73"/>
      <c r="F121" s="74"/>
      <c r="H121" s="152"/>
    </row>
    <row r="122" spans="1:8" x14ac:dyDescent="0.25">
      <c r="A122" s="85"/>
      <c r="B122" s="86"/>
      <c r="C122" s="64"/>
      <c r="D122" s="65"/>
      <c r="E122" s="73"/>
      <c r="F122" s="74"/>
      <c r="H122" s="152"/>
    </row>
    <row r="123" spans="1:8" x14ac:dyDescent="0.25">
      <c r="A123" s="79"/>
      <c r="B123" s="60"/>
      <c r="C123" s="81"/>
      <c r="D123" s="78"/>
      <c r="E123" s="73"/>
      <c r="F123" s="74"/>
      <c r="H123" s="152"/>
    </row>
    <row r="124" spans="1:8" x14ac:dyDescent="0.25">
      <c r="A124" s="85"/>
      <c r="B124" s="82"/>
      <c r="C124" s="64"/>
      <c r="D124" s="65"/>
      <c r="E124" s="73"/>
      <c r="F124" s="74"/>
      <c r="H124" s="152"/>
    </row>
    <row r="125" spans="1:8" x14ac:dyDescent="0.25">
      <c r="A125" s="79"/>
      <c r="B125" s="60"/>
      <c r="C125" s="81"/>
      <c r="D125" s="78"/>
      <c r="E125" s="73"/>
      <c r="F125" s="74"/>
      <c r="H125" s="152"/>
    </row>
    <row r="126" spans="1:8" x14ac:dyDescent="0.25">
      <c r="A126" s="85"/>
      <c r="B126" s="86"/>
      <c r="C126" s="64"/>
      <c r="D126" s="65"/>
      <c r="E126" s="73"/>
      <c r="F126" s="74"/>
      <c r="H126" s="152"/>
    </row>
    <row r="127" spans="1:8" x14ac:dyDescent="0.25">
      <c r="A127" s="79"/>
      <c r="B127" s="60"/>
      <c r="C127" s="81"/>
      <c r="D127" s="78"/>
      <c r="E127" s="73"/>
      <c r="F127" s="74"/>
      <c r="H127" s="152"/>
    </row>
    <row r="128" spans="1:8" x14ac:dyDescent="0.25">
      <c r="A128" s="85"/>
      <c r="B128" s="86"/>
      <c r="C128" s="64"/>
      <c r="D128" s="65"/>
      <c r="E128" s="73"/>
      <c r="F128" s="74"/>
      <c r="H128" s="152"/>
    </row>
    <row r="129" spans="1:8" x14ac:dyDescent="0.25">
      <c r="A129" s="79"/>
      <c r="B129" s="60"/>
      <c r="C129" s="81"/>
      <c r="D129" s="78"/>
      <c r="E129" s="73"/>
      <c r="F129" s="74"/>
      <c r="H129" s="152"/>
    </row>
    <row r="130" spans="1:8" x14ac:dyDescent="0.25">
      <c r="A130" s="85"/>
      <c r="B130" s="82"/>
      <c r="C130" s="64"/>
      <c r="D130" s="65"/>
      <c r="E130" s="73"/>
      <c r="F130" s="74"/>
      <c r="H130" s="152"/>
    </row>
    <row r="131" spans="1:8" x14ac:dyDescent="0.25">
      <c r="A131" s="79"/>
      <c r="B131" s="60"/>
      <c r="C131" s="81"/>
      <c r="D131" s="78"/>
      <c r="E131" s="73"/>
      <c r="F131" s="74"/>
      <c r="H131" s="152"/>
    </row>
    <row r="132" spans="1:8" x14ac:dyDescent="0.25">
      <c r="A132" s="85"/>
      <c r="B132" s="86"/>
      <c r="C132" s="64"/>
      <c r="D132" s="65"/>
      <c r="E132" s="73"/>
      <c r="F132" s="74"/>
      <c r="H132" s="152"/>
    </row>
    <row r="133" spans="1:8" x14ac:dyDescent="0.25">
      <c r="A133" s="60"/>
      <c r="B133" s="61"/>
      <c r="C133" s="60"/>
      <c r="D133" s="62"/>
      <c r="E133" s="73"/>
      <c r="F133" s="74"/>
      <c r="H133" s="152"/>
    </row>
    <row r="134" spans="1:8" x14ac:dyDescent="0.25">
      <c r="A134" s="60"/>
      <c r="B134" s="61"/>
      <c r="C134" s="60"/>
      <c r="D134" s="62"/>
      <c r="E134" s="73"/>
      <c r="F134" s="74"/>
      <c r="H134" s="152"/>
    </row>
    <row r="135" spans="1:8" x14ac:dyDescent="0.25">
      <c r="A135" s="60"/>
      <c r="B135" s="61"/>
      <c r="C135" s="60"/>
      <c r="D135" s="62"/>
      <c r="E135" s="73"/>
      <c r="F135" s="74"/>
      <c r="H135" s="152"/>
    </row>
    <row r="136" spans="1:8" x14ac:dyDescent="0.25">
      <c r="A136" s="60"/>
      <c r="B136" s="61"/>
      <c r="C136" s="60"/>
      <c r="D136" s="62"/>
      <c r="E136" s="73"/>
      <c r="F136" s="74"/>
      <c r="H136" s="152"/>
    </row>
    <row r="137" spans="1:8" x14ac:dyDescent="0.25">
      <c r="A137" s="60"/>
      <c r="B137" s="61"/>
      <c r="C137" s="60"/>
      <c r="D137" s="62"/>
      <c r="E137" s="73"/>
      <c r="F137" s="74"/>
      <c r="H137" s="152"/>
    </row>
    <row r="138" spans="1:8" x14ac:dyDescent="0.25">
      <c r="A138" s="60"/>
      <c r="B138" s="61"/>
      <c r="C138" s="60"/>
      <c r="D138" s="62"/>
      <c r="E138" s="73"/>
      <c r="F138" s="74"/>
      <c r="H138" s="152"/>
    </row>
    <row r="139" spans="1:8" x14ac:dyDescent="0.25">
      <c r="A139" s="60"/>
      <c r="B139" s="61"/>
      <c r="C139" s="60"/>
      <c r="D139" s="62"/>
      <c r="E139" s="73"/>
      <c r="F139" s="74"/>
      <c r="H139" s="152"/>
    </row>
    <row r="140" spans="1:8" ht="6.75" customHeight="1" x14ac:dyDescent="0.25">
      <c r="A140" s="60"/>
      <c r="B140" s="61"/>
      <c r="C140" s="60"/>
      <c r="D140" s="62"/>
      <c r="E140" s="73"/>
      <c r="F140" s="74"/>
      <c r="H140" s="152"/>
    </row>
    <row r="141" spans="1:8" hidden="1" x14ac:dyDescent="0.25">
      <c r="A141" s="60"/>
      <c r="B141" s="61"/>
      <c r="C141" s="60"/>
      <c r="D141" s="62"/>
      <c r="E141" s="73"/>
      <c r="F141" s="74"/>
      <c r="H141" s="152"/>
    </row>
    <row r="142" spans="1:8" hidden="1" x14ac:dyDescent="0.25">
      <c r="A142" s="60"/>
      <c r="B142" s="61"/>
      <c r="C142" s="60"/>
      <c r="D142" s="62"/>
      <c r="E142" s="73"/>
      <c r="F142" s="74"/>
      <c r="H142" s="152"/>
    </row>
    <row r="143" spans="1:8" x14ac:dyDescent="0.25">
      <c r="A143" s="89"/>
      <c r="B143" s="90"/>
      <c r="C143" s="91"/>
      <c r="D143" s="92"/>
      <c r="E143" s="2"/>
      <c r="F143" s="3"/>
      <c r="H143" s="152"/>
    </row>
    <row r="144" spans="1:8" x14ac:dyDescent="0.25">
      <c r="A144" s="93"/>
      <c r="B144" s="94"/>
      <c r="C144" s="95" t="s">
        <v>226</v>
      </c>
      <c r="D144" s="95"/>
      <c r="E144" s="96" t="s">
        <v>7</v>
      </c>
      <c r="F144" s="4">
        <f>SUM(F95:F142)</f>
        <v>354039.54999999993</v>
      </c>
      <c r="H144" s="152"/>
    </row>
    <row r="145" spans="1:6" x14ac:dyDescent="0.25">
      <c r="A145" s="93"/>
      <c r="B145" s="94"/>
      <c r="C145" s="97"/>
      <c r="D145" s="98"/>
      <c r="E145" s="5"/>
      <c r="F145" s="6"/>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5 - EXTERNAL WORKS
CONCRETE WORK</oddHeader>
    <oddFooter>&amp;L&amp;8DMS 148704 BOQ - Nakheel Mall Al Khail&amp;C5/C/&amp;P</oddFooter>
  </headerFooter>
  <rowBreaks count="2" manualBreakCount="2">
    <brk id="48" max="5" man="1"/>
    <brk id="94"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C8D7-37B2-4BA0-8F22-1B949FBC05C9}">
  <dimension ref="A1:F140"/>
  <sheetViews>
    <sheetView view="pageBreakPreview" topLeftCell="A14" zoomScaleNormal="100" zoomScaleSheetLayoutView="100" zoomScalePageLayoutView="70" workbookViewId="0">
      <selection activeCell="C14" sqref="C1:E1048576"/>
    </sheetView>
  </sheetViews>
  <sheetFormatPr defaultColWidth="9.33203125" defaultRowHeight="13.8" x14ac:dyDescent="0.25"/>
  <cols>
    <col min="1" max="1" width="5.6640625" style="104" customWidth="1"/>
    <col min="2" max="2" width="46" style="105" customWidth="1"/>
    <col min="3" max="3" width="10.6640625" style="106" customWidth="1"/>
    <col min="4" max="4" width="6.6640625" style="107" customWidth="1"/>
    <col min="5" max="5" width="10.6640625" style="76" customWidth="1"/>
    <col min="6" max="6" width="15.6640625" style="132" customWidth="1"/>
    <col min="7" max="16384" width="9.33203125" style="103"/>
  </cols>
  <sheetData>
    <row r="1" spans="1:6" s="67" customFormat="1" ht="14.4" x14ac:dyDescent="0.25">
      <c r="A1" s="208" t="s">
        <v>1</v>
      </c>
      <c r="B1" s="208" t="s">
        <v>2</v>
      </c>
      <c r="C1" s="210" t="s">
        <v>3</v>
      </c>
      <c r="D1" s="212" t="s">
        <v>4</v>
      </c>
      <c r="E1" s="108" t="s">
        <v>5</v>
      </c>
      <c r="F1" s="139" t="s">
        <v>6</v>
      </c>
    </row>
    <row r="2" spans="1:6" s="67" customFormat="1" ht="14.4" x14ac:dyDescent="0.25">
      <c r="A2" s="209"/>
      <c r="B2" s="209"/>
      <c r="C2" s="211"/>
      <c r="D2" s="213"/>
      <c r="E2" s="110" t="s">
        <v>7</v>
      </c>
      <c r="F2" s="140" t="s">
        <v>7</v>
      </c>
    </row>
    <row r="3" spans="1:6" s="67" customFormat="1" ht="14.4" x14ac:dyDescent="0.25">
      <c r="A3" s="68"/>
      <c r="B3" s="69"/>
      <c r="C3" s="66"/>
      <c r="D3" s="70"/>
      <c r="E3" s="71"/>
      <c r="F3" s="127"/>
    </row>
    <row r="4" spans="1:6" x14ac:dyDescent="0.25">
      <c r="A4" s="79"/>
      <c r="B4" s="102" t="s">
        <v>255</v>
      </c>
      <c r="C4" s="81"/>
      <c r="D4" s="78"/>
      <c r="E4" s="73"/>
      <c r="F4" s="128"/>
    </row>
    <row r="5" spans="1:6" x14ac:dyDescent="0.25">
      <c r="A5" s="79"/>
      <c r="B5" s="102"/>
      <c r="C5" s="81"/>
      <c r="D5" s="78"/>
      <c r="E5" s="73"/>
      <c r="F5" s="128"/>
    </row>
    <row r="6" spans="1:6" x14ac:dyDescent="0.25">
      <c r="A6" s="79"/>
      <c r="B6" s="99" t="s">
        <v>256</v>
      </c>
      <c r="C6" s="81"/>
      <c r="D6" s="78"/>
      <c r="E6" s="73"/>
      <c r="F6" s="128"/>
    </row>
    <row r="7" spans="1:6" x14ac:dyDescent="0.25">
      <c r="A7" s="79"/>
      <c r="B7" s="84"/>
      <c r="C7" s="81"/>
      <c r="D7" s="78"/>
      <c r="E7" s="73"/>
      <c r="F7" s="128"/>
    </row>
    <row r="8" spans="1:6" ht="27.6" x14ac:dyDescent="0.25">
      <c r="A8" s="63"/>
      <c r="B8" s="83" t="s">
        <v>257</v>
      </c>
      <c r="C8" s="100"/>
      <c r="D8" s="101"/>
      <c r="E8" s="73"/>
      <c r="F8" s="128"/>
    </row>
    <row r="9" spans="1:6" x14ac:dyDescent="0.25">
      <c r="A9" s="79"/>
      <c r="B9" s="60"/>
      <c r="C9" s="81"/>
      <c r="D9" s="78"/>
      <c r="E9" s="73"/>
      <c r="F9" s="128"/>
    </row>
    <row r="10" spans="1:6" ht="27.6" x14ac:dyDescent="0.25">
      <c r="A10" s="63" t="s">
        <v>12</v>
      </c>
      <c r="B10" s="82" t="s">
        <v>258</v>
      </c>
      <c r="C10" s="100" t="s">
        <v>259</v>
      </c>
      <c r="D10" s="101" t="s">
        <v>40</v>
      </c>
      <c r="E10" s="188">
        <v>7.79</v>
      </c>
      <c r="F10" s="128">
        <f>E10*C10</f>
        <v>4642.84</v>
      </c>
    </row>
    <row r="11" spans="1:6" x14ac:dyDescent="0.25">
      <c r="A11" s="79"/>
      <c r="B11" s="60"/>
      <c r="C11" s="81"/>
      <c r="D11" s="78"/>
      <c r="E11" s="188"/>
      <c r="F11" s="128"/>
    </row>
    <row r="12" spans="1:6" ht="27.6" x14ac:dyDescent="0.25">
      <c r="A12" s="63"/>
      <c r="B12" s="83" t="s">
        <v>260</v>
      </c>
      <c r="C12" s="100"/>
      <c r="D12" s="101"/>
      <c r="E12" s="188"/>
      <c r="F12" s="128"/>
    </row>
    <row r="13" spans="1:6" x14ac:dyDescent="0.25">
      <c r="A13" s="79"/>
      <c r="B13" s="60"/>
      <c r="C13" s="81"/>
      <c r="D13" s="78"/>
      <c r="E13" s="188"/>
      <c r="F13" s="128"/>
    </row>
    <row r="14" spans="1:6" ht="27.6" x14ac:dyDescent="0.25">
      <c r="A14" s="63" t="s">
        <v>16</v>
      </c>
      <c r="B14" s="82" t="s">
        <v>261</v>
      </c>
      <c r="C14" s="100" t="s">
        <v>62</v>
      </c>
      <c r="D14" s="101" t="s">
        <v>40</v>
      </c>
      <c r="E14" s="188">
        <v>3.23</v>
      </c>
      <c r="F14" s="128">
        <f>E14*C14</f>
        <v>694.45</v>
      </c>
    </row>
    <row r="15" spans="1:6" x14ac:dyDescent="0.25">
      <c r="A15" s="79"/>
      <c r="B15" s="60"/>
      <c r="C15" s="81"/>
      <c r="D15" s="78"/>
      <c r="E15" s="188"/>
      <c r="F15" s="128"/>
    </row>
    <row r="16" spans="1:6" ht="27.6" x14ac:dyDescent="0.25">
      <c r="A16" s="63"/>
      <c r="B16" s="83" t="s">
        <v>262</v>
      </c>
      <c r="C16" s="100"/>
      <c r="D16" s="101"/>
      <c r="E16" s="188"/>
      <c r="F16" s="128"/>
    </row>
    <row r="17" spans="1:6" x14ac:dyDescent="0.25">
      <c r="A17" s="79"/>
      <c r="B17" s="60"/>
      <c r="C17" s="81"/>
      <c r="D17" s="78"/>
      <c r="E17" s="188"/>
      <c r="F17" s="128"/>
    </row>
    <row r="18" spans="1:6" ht="27.6" x14ac:dyDescent="0.25">
      <c r="A18" s="63" t="s">
        <v>19</v>
      </c>
      <c r="B18" s="82" t="s">
        <v>263</v>
      </c>
      <c r="C18" s="100">
        <v>178</v>
      </c>
      <c r="D18" s="101" t="s">
        <v>40</v>
      </c>
      <c r="E18" s="188">
        <v>3.23</v>
      </c>
      <c r="F18" s="128">
        <f>E18*C18</f>
        <v>574.93999999999994</v>
      </c>
    </row>
    <row r="19" spans="1:6" x14ac:dyDescent="0.25">
      <c r="A19" s="79"/>
      <c r="B19" s="60"/>
      <c r="C19" s="81"/>
      <c r="D19" s="78"/>
      <c r="E19" s="188"/>
      <c r="F19" s="128"/>
    </row>
    <row r="20" spans="1:6" ht="27.6" x14ac:dyDescent="0.25">
      <c r="A20" s="63" t="s">
        <v>22</v>
      </c>
      <c r="B20" s="82" t="s">
        <v>264</v>
      </c>
      <c r="C20" s="100" t="s">
        <v>97</v>
      </c>
      <c r="D20" s="101" t="s">
        <v>40</v>
      </c>
      <c r="E20" s="188">
        <v>3.23</v>
      </c>
      <c r="F20" s="128">
        <f>E20*C20</f>
        <v>810.73</v>
      </c>
    </row>
    <row r="21" spans="1:6" x14ac:dyDescent="0.25">
      <c r="A21" s="79"/>
      <c r="B21" s="60"/>
      <c r="C21" s="81"/>
      <c r="D21" s="78"/>
      <c r="E21" s="188"/>
      <c r="F21" s="128"/>
    </row>
    <row r="22" spans="1:6" ht="27.6" x14ac:dyDescent="0.25">
      <c r="A22" s="63"/>
      <c r="B22" s="83" t="s">
        <v>265</v>
      </c>
      <c r="C22" s="100"/>
      <c r="D22" s="101"/>
      <c r="E22" s="188"/>
      <c r="F22" s="128"/>
    </row>
    <row r="23" spans="1:6" x14ac:dyDescent="0.25">
      <c r="A23" s="79"/>
      <c r="B23" s="145"/>
      <c r="C23" s="81"/>
      <c r="D23" s="78"/>
      <c r="E23" s="188"/>
      <c r="F23" s="128"/>
    </row>
    <row r="24" spans="1:6" x14ac:dyDescent="0.25">
      <c r="A24" s="63" t="s">
        <v>25</v>
      </c>
      <c r="B24" s="82" t="s">
        <v>204</v>
      </c>
      <c r="C24" s="100" t="s">
        <v>266</v>
      </c>
      <c r="D24" s="101" t="s">
        <v>40</v>
      </c>
      <c r="E24" s="188">
        <v>3.23</v>
      </c>
      <c r="F24" s="128">
        <f>E24*C24</f>
        <v>22529.25</v>
      </c>
    </row>
    <row r="25" spans="1:6" x14ac:dyDescent="0.25">
      <c r="A25" s="79"/>
      <c r="B25" s="60"/>
      <c r="C25" s="81"/>
      <c r="D25" s="78"/>
      <c r="E25" s="188"/>
      <c r="F25" s="128"/>
    </row>
    <row r="26" spans="1:6" x14ac:dyDescent="0.25">
      <c r="A26" s="63" t="s">
        <v>28</v>
      </c>
      <c r="B26" s="82" t="s">
        <v>206</v>
      </c>
      <c r="C26" s="100" t="s">
        <v>267</v>
      </c>
      <c r="D26" s="101" t="s">
        <v>40</v>
      </c>
      <c r="E26" s="188">
        <v>3.23</v>
      </c>
      <c r="F26" s="128">
        <f>E26*C26</f>
        <v>1430.89</v>
      </c>
    </row>
    <row r="27" spans="1:6" x14ac:dyDescent="0.25">
      <c r="A27" s="79"/>
      <c r="B27" s="60"/>
      <c r="C27" s="81"/>
      <c r="D27" s="78"/>
      <c r="E27" s="188"/>
      <c r="F27" s="128"/>
    </row>
    <row r="28" spans="1:6" x14ac:dyDescent="0.25">
      <c r="A28" s="63" t="s">
        <v>48</v>
      </c>
      <c r="B28" s="82" t="s">
        <v>241</v>
      </c>
      <c r="C28" s="100"/>
      <c r="D28" s="101" t="s">
        <v>239</v>
      </c>
      <c r="E28" s="188">
        <v>4431.91</v>
      </c>
      <c r="F28" s="128" t="s">
        <v>554</v>
      </c>
    </row>
    <row r="29" spans="1:6" x14ac:dyDescent="0.25">
      <c r="A29" s="79"/>
      <c r="B29" s="60"/>
      <c r="C29" s="81"/>
      <c r="D29" s="78"/>
      <c r="E29" s="188"/>
      <c r="F29" s="128"/>
    </row>
    <row r="30" spans="1:6" ht="27.6" x14ac:dyDescent="0.25">
      <c r="A30" s="63"/>
      <c r="B30" s="83" t="s">
        <v>242</v>
      </c>
      <c r="C30" s="100"/>
      <c r="D30" s="101"/>
      <c r="E30" s="188"/>
      <c r="F30" s="128"/>
    </row>
    <row r="31" spans="1:6" x14ac:dyDescent="0.25">
      <c r="A31" s="79"/>
      <c r="B31" s="145"/>
      <c r="C31" s="81"/>
      <c r="D31" s="78"/>
      <c r="E31" s="188"/>
      <c r="F31" s="128"/>
    </row>
    <row r="32" spans="1:6" x14ac:dyDescent="0.25">
      <c r="A32" s="63" t="s">
        <v>52</v>
      </c>
      <c r="B32" s="82" t="s">
        <v>243</v>
      </c>
      <c r="C32" s="100" t="s">
        <v>244</v>
      </c>
      <c r="D32" s="101" t="s">
        <v>40</v>
      </c>
      <c r="E32" s="73"/>
      <c r="F32" s="128" t="s">
        <v>560</v>
      </c>
    </row>
    <row r="33" spans="1:6" x14ac:dyDescent="0.25">
      <c r="A33" s="79"/>
      <c r="B33" s="60"/>
      <c r="C33" s="81"/>
      <c r="D33" s="78"/>
      <c r="E33" s="73"/>
      <c r="F33" s="128"/>
    </row>
    <row r="34" spans="1:6" x14ac:dyDescent="0.25">
      <c r="A34" s="63" t="s">
        <v>54</v>
      </c>
      <c r="B34" s="82" t="s">
        <v>245</v>
      </c>
      <c r="C34" s="100" t="s">
        <v>246</v>
      </c>
      <c r="D34" s="101" t="s">
        <v>40</v>
      </c>
      <c r="E34" s="73"/>
      <c r="F34" s="128" t="s">
        <v>560</v>
      </c>
    </row>
    <row r="35" spans="1:6" x14ac:dyDescent="0.25">
      <c r="A35" s="79"/>
      <c r="B35" s="60"/>
      <c r="C35" s="81"/>
      <c r="D35" s="78"/>
      <c r="E35" s="73"/>
      <c r="F35" s="128"/>
    </row>
    <row r="36" spans="1:6" x14ac:dyDescent="0.25">
      <c r="A36" s="63" t="s">
        <v>136</v>
      </c>
      <c r="B36" s="82" t="s">
        <v>247</v>
      </c>
      <c r="C36" s="100" t="s">
        <v>248</v>
      </c>
      <c r="D36" s="101" t="s">
        <v>40</v>
      </c>
      <c r="E36" s="73"/>
      <c r="F36" s="128" t="s">
        <v>560</v>
      </c>
    </row>
    <row r="37" spans="1:6" x14ac:dyDescent="0.25">
      <c r="A37" s="79"/>
      <c r="B37" s="60"/>
      <c r="C37" s="81"/>
      <c r="D37" s="78"/>
      <c r="E37" s="73"/>
      <c r="F37" s="128"/>
    </row>
    <row r="38" spans="1:6" x14ac:dyDescent="0.25">
      <c r="A38" s="63" t="s">
        <v>159</v>
      </c>
      <c r="B38" s="82" t="s">
        <v>249</v>
      </c>
      <c r="C38" s="100" t="s">
        <v>250</v>
      </c>
      <c r="D38" s="101" t="s">
        <v>40</v>
      </c>
      <c r="E38" s="73"/>
      <c r="F38" s="128" t="s">
        <v>560</v>
      </c>
    </row>
    <row r="39" spans="1:6" x14ac:dyDescent="0.25">
      <c r="A39" s="79"/>
      <c r="B39" s="60"/>
      <c r="C39" s="81"/>
      <c r="D39" s="78"/>
      <c r="E39" s="73"/>
      <c r="F39" s="128"/>
    </row>
    <row r="40" spans="1:6" x14ac:dyDescent="0.25">
      <c r="A40" s="63" t="s">
        <v>251</v>
      </c>
      <c r="B40" s="82" t="s">
        <v>234</v>
      </c>
      <c r="C40" s="100" t="s">
        <v>174</v>
      </c>
      <c r="D40" s="101" t="s">
        <v>40</v>
      </c>
      <c r="E40" s="73"/>
      <c r="F40" s="128" t="s">
        <v>560</v>
      </c>
    </row>
    <row r="41" spans="1:6" x14ac:dyDescent="0.25">
      <c r="A41" s="60"/>
      <c r="B41" s="61"/>
      <c r="C41" s="60"/>
      <c r="D41" s="62"/>
      <c r="E41" s="73"/>
      <c r="F41" s="128"/>
    </row>
    <row r="42" spans="1:6" x14ac:dyDescent="0.25">
      <c r="A42" s="89"/>
      <c r="B42" s="90"/>
      <c r="C42" s="91"/>
      <c r="D42" s="92"/>
      <c r="E42" s="2"/>
      <c r="F42" s="129"/>
    </row>
    <row r="43" spans="1:6" x14ac:dyDescent="0.25">
      <c r="A43" s="93"/>
      <c r="B43" s="94"/>
      <c r="C43" s="95" t="s">
        <v>31</v>
      </c>
      <c r="D43" s="95"/>
      <c r="E43" s="96" t="s">
        <v>7</v>
      </c>
      <c r="F43" s="130">
        <f>SUM(F3:F41)</f>
        <v>30683.1</v>
      </c>
    </row>
    <row r="44" spans="1:6" x14ac:dyDescent="0.25">
      <c r="A44" s="93"/>
      <c r="B44" s="94"/>
      <c r="C44" s="97"/>
      <c r="D44" s="98"/>
      <c r="E44" s="5"/>
      <c r="F44" s="131"/>
    </row>
    <row r="45" spans="1:6" x14ac:dyDescent="0.25">
      <c r="A45" s="85"/>
      <c r="B45" s="82"/>
      <c r="C45" s="64"/>
      <c r="D45" s="65"/>
      <c r="E45" s="73"/>
      <c r="F45" s="128"/>
    </row>
    <row r="46" spans="1:6" x14ac:dyDescent="0.25">
      <c r="A46" s="79"/>
      <c r="B46" s="99" t="s">
        <v>208</v>
      </c>
      <c r="C46" s="81"/>
      <c r="D46" s="78"/>
      <c r="E46" s="73"/>
      <c r="F46" s="128"/>
    </row>
    <row r="47" spans="1:6" x14ac:dyDescent="0.25">
      <c r="A47" s="79"/>
      <c r="B47" s="60"/>
      <c r="C47" s="81"/>
      <c r="D47" s="78"/>
      <c r="E47" s="73"/>
      <c r="F47" s="128"/>
    </row>
    <row r="48" spans="1:6" ht="69" x14ac:dyDescent="0.25">
      <c r="A48" s="63" t="s">
        <v>12</v>
      </c>
      <c r="B48" s="82" t="s">
        <v>268</v>
      </c>
      <c r="C48" s="100"/>
      <c r="D48" s="101" t="s">
        <v>1</v>
      </c>
      <c r="E48" s="73"/>
      <c r="F48" s="128"/>
    </row>
    <row r="49" spans="1:6" x14ac:dyDescent="0.25">
      <c r="A49" s="112"/>
      <c r="B49" s="113"/>
      <c r="C49" s="114"/>
      <c r="D49" s="115"/>
      <c r="E49" s="73"/>
      <c r="F49" s="128"/>
    </row>
    <row r="50" spans="1:6" ht="26.4" x14ac:dyDescent="0.25">
      <c r="A50" s="182" t="s">
        <v>16</v>
      </c>
      <c r="B50" s="183" t="s">
        <v>555</v>
      </c>
      <c r="C50" s="182">
        <v>1</v>
      </c>
      <c r="D50" s="203" t="s">
        <v>556</v>
      </c>
      <c r="E50" s="204"/>
      <c r="F50" s="180">
        <f t="shared" ref="F50" si="0">E50*C50</f>
        <v>0</v>
      </c>
    </row>
    <row r="51" spans="1:6" x14ac:dyDescent="0.25">
      <c r="A51" s="112"/>
      <c r="B51" s="120"/>
      <c r="C51" s="114"/>
      <c r="D51" s="115"/>
      <c r="E51" s="73"/>
      <c r="F51" s="128"/>
    </row>
    <row r="52" spans="1:6" x14ac:dyDescent="0.25">
      <c r="A52" s="116"/>
      <c r="B52" s="117"/>
      <c r="C52" s="118"/>
      <c r="D52" s="119"/>
      <c r="E52" s="73"/>
      <c r="F52" s="128"/>
    </row>
    <row r="53" spans="1:6" x14ac:dyDescent="0.25">
      <c r="A53" s="112"/>
      <c r="B53" s="113"/>
      <c r="C53" s="114"/>
      <c r="D53" s="115"/>
      <c r="E53" s="73"/>
      <c r="F53" s="128"/>
    </row>
    <row r="54" spans="1:6" x14ac:dyDescent="0.25">
      <c r="A54" s="116"/>
      <c r="B54" s="117"/>
      <c r="C54" s="118"/>
      <c r="D54" s="119"/>
      <c r="E54" s="73"/>
      <c r="F54" s="128"/>
    </row>
    <row r="55" spans="1:6" x14ac:dyDescent="0.25">
      <c r="A55" s="112"/>
      <c r="B55" s="113"/>
      <c r="C55" s="114"/>
      <c r="D55" s="115"/>
      <c r="E55" s="73"/>
      <c r="F55" s="128"/>
    </row>
    <row r="56" spans="1:6" x14ac:dyDescent="0.25">
      <c r="A56" s="116"/>
      <c r="B56" s="117"/>
      <c r="C56" s="118"/>
      <c r="D56" s="119"/>
      <c r="E56" s="73"/>
      <c r="F56" s="128"/>
    </row>
    <row r="57" spans="1:6" x14ac:dyDescent="0.25">
      <c r="A57" s="112"/>
      <c r="B57" s="120"/>
      <c r="C57" s="114"/>
      <c r="D57" s="115"/>
      <c r="E57" s="73"/>
      <c r="F57" s="128"/>
    </row>
    <row r="58" spans="1:6" x14ac:dyDescent="0.25">
      <c r="A58" s="116"/>
      <c r="B58" s="117"/>
      <c r="C58" s="118"/>
      <c r="D58" s="119"/>
      <c r="E58" s="73"/>
      <c r="F58" s="128"/>
    </row>
    <row r="59" spans="1:6" x14ac:dyDescent="0.25">
      <c r="A59" s="112"/>
      <c r="B59" s="113"/>
      <c r="C59" s="114"/>
      <c r="D59" s="115"/>
      <c r="E59" s="73"/>
      <c r="F59" s="128"/>
    </row>
    <row r="60" spans="1:6" x14ac:dyDescent="0.25">
      <c r="A60" s="117"/>
      <c r="B60" s="121"/>
      <c r="C60" s="117"/>
      <c r="D60" s="122"/>
      <c r="E60" s="73"/>
      <c r="F60" s="128"/>
    </row>
    <row r="61" spans="1:6" x14ac:dyDescent="0.25">
      <c r="A61" s="117"/>
      <c r="B61" s="121"/>
      <c r="C61" s="117"/>
      <c r="D61" s="122"/>
      <c r="E61" s="73"/>
      <c r="F61" s="128"/>
    </row>
    <row r="62" spans="1:6" x14ac:dyDescent="0.25">
      <c r="A62" s="117"/>
      <c r="B62" s="121"/>
      <c r="C62" s="117"/>
      <c r="D62" s="122"/>
      <c r="E62" s="73"/>
      <c r="F62" s="128"/>
    </row>
    <row r="63" spans="1:6" x14ac:dyDescent="0.25">
      <c r="A63" s="117"/>
      <c r="B63" s="121"/>
      <c r="C63" s="117"/>
      <c r="D63" s="122"/>
      <c r="E63" s="73"/>
      <c r="F63" s="128"/>
    </row>
    <row r="64" spans="1:6" x14ac:dyDescent="0.25">
      <c r="A64" s="117"/>
      <c r="B64" s="121"/>
      <c r="C64" s="117"/>
      <c r="D64" s="122"/>
      <c r="E64" s="73"/>
      <c r="F64" s="128"/>
    </row>
    <row r="65" spans="1:6" x14ac:dyDescent="0.25">
      <c r="A65" s="117"/>
      <c r="B65" s="121"/>
      <c r="C65" s="117"/>
      <c r="D65" s="122"/>
      <c r="E65" s="73"/>
      <c r="F65" s="128"/>
    </row>
    <row r="66" spans="1:6" x14ac:dyDescent="0.25">
      <c r="A66" s="117"/>
      <c r="B66" s="121"/>
      <c r="C66" s="117"/>
      <c r="D66" s="122"/>
      <c r="E66" s="73"/>
      <c r="F66" s="128"/>
    </row>
    <row r="67" spans="1:6" x14ac:dyDescent="0.25">
      <c r="A67" s="117"/>
      <c r="B67" s="121"/>
      <c r="C67" s="117"/>
      <c r="D67" s="122"/>
      <c r="E67" s="73"/>
      <c r="F67" s="128"/>
    </row>
    <row r="68" spans="1:6" x14ac:dyDescent="0.25">
      <c r="A68" s="117"/>
      <c r="B68" s="121"/>
      <c r="C68" s="117"/>
      <c r="D68" s="122"/>
      <c r="E68" s="73"/>
      <c r="F68" s="128"/>
    </row>
    <row r="69" spans="1:6" x14ac:dyDescent="0.25">
      <c r="A69" s="117"/>
      <c r="B69" s="121"/>
      <c r="C69" s="117"/>
      <c r="D69" s="122"/>
      <c r="E69" s="73"/>
      <c r="F69" s="128"/>
    </row>
    <row r="70" spans="1:6" x14ac:dyDescent="0.25">
      <c r="A70" s="116"/>
      <c r="B70" s="123"/>
      <c r="C70" s="118"/>
      <c r="D70" s="119"/>
      <c r="E70" s="73"/>
      <c r="F70" s="128"/>
    </row>
    <row r="71" spans="1:6" x14ac:dyDescent="0.25">
      <c r="A71" s="116"/>
      <c r="B71" s="124"/>
      <c r="C71" s="118"/>
      <c r="D71" s="119"/>
      <c r="E71" s="73"/>
      <c r="F71" s="128"/>
    </row>
    <row r="72" spans="1:6" x14ac:dyDescent="0.25">
      <c r="A72" s="112"/>
      <c r="B72" s="113"/>
      <c r="C72" s="114"/>
      <c r="D72" s="115"/>
      <c r="E72" s="73"/>
      <c r="F72" s="128"/>
    </row>
    <row r="73" spans="1:6" x14ac:dyDescent="0.25">
      <c r="A73" s="116"/>
      <c r="B73" s="117"/>
      <c r="C73" s="118"/>
      <c r="D73" s="119"/>
      <c r="E73" s="73"/>
      <c r="F73" s="128"/>
    </row>
    <row r="74" spans="1:6" x14ac:dyDescent="0.25">
      <c r="A74" s="112"/>
      <c r="B74" s="120"/>
      <c r="C74" s="114"/>
      <c r="D74" s="115"/>
      <c r="E74" s="73"/>
      <c r="F74" s="128"/>
    </row>
    <row r="75" spans="1:6" x14ac:dyDescent="0.25">
      <c r="A75" s="116"/>
      <c r="B75" s="117"/>
      <c r="C75" s="118"/>
      <c r="D75" s="119"/>
      <c r="E75" s="73"/>
      <c r="F75" s="128"/>
    </row>
    <row r="76" spans="1:6" x14ac:dyDescent="0.25">
      <c r="A76" s="112"/>
      <c r="B76" s="113"/>
      <c r="C76" s="114"/>
      <c r="D76" s="115"/>
      <c r="E76" s="73"/>
      <c r="F76" s="128"/>
    </row>
    <row r="77" spans="1:6" x14ac:dyDescent="0.25">
      <c r="A77" s="116"/>
      <c r="B77" s="117"/>
      <c r="C77" s="118"/>
      <c r="D77" s="119"/>
      <c r="E77" s="73"/>
      <c r="F77" s="128"/>
    </row>
    <row r="78" spans="1:6" x14ac:dyDescent="0.25">
      <c r="A78" s="112"/>
      <c r="B78" s="113"/>
      <c r="C78" s="114"/>
      <c r="D78" s="115"/>
      <c r="E78" s="73"/>
      <c r="F78" s="128"/>
    </row>
    <row r="79" spans="1:6" x14ac:dyDescent="0.25">
      <c r="A79" s="116"/>
      <c r="B79" s="117"/>
      <c r="C79" s="118"/>
      <c r="D79" s="119"/>
      <c r="E79" s="73"/>
      <c r="F79" s="128"/>
    </row>
    <row r="80" spans="1:6" x14ac:dyDescent="0.25">
      <c r="A80" s="112"/>
      <c r="B80" s="113"/>
      <c r="C80" s="114"/>
      <c r="D80" s="115"/>
      <c r="E80" s="73"/>
      <c r="F80" s="128"/>
    </row>
    <row r="81" spans="1:6" x14ac:dyDescent="0.25">
      <c r="A81" s="116"/>
      <c r="B81" s="117"/>
      <c r="C81" s="118"/>
      <c r="D81" s="119"/>
      <c r="E81" s="73"/>
      <c r="F81" s="128"/>
    </row>
    <row r="82" spans="1:6" x14ac:dyDescent="0.25">
      <c r="A82" s="116"/>
      <c r="B82" s="117"/>
      <c r="C82" s="118"/>
      <c r="D82" s="119"/>
      <c r="E82" s="73"/>
      <c r="F82" s="128"/>
    </row>
    <row r="83" spans="1:6" x14ac:dyDescent="0.25">
      <c r="A83" s="116"/>
      <c r="B83" s="117"/>
      <c r="C83" s="118"/>
      <c r="D83" s="119"/>
      <c r="E83" s="73"/>
      <c r="F83" s="128"/>
    </row>
    <row r="84" spans="1:6" x14ac:dyDescent="0.25">
      <c r="A84" s="116"/>
      <c r="B84" s="117"/>
      <c r="C84" s="118"/>
      <c r="D84" s="119"/>
      <c r="E84" s="73"/>
      <c r="F84" s="128"/>
    </row>
    <row r="85" spans="1:6" x14ac:dyDescent="0.25">
      <c r="A85" s="116"/>
      <c r="B85" s="117"/>
      <c r="C85" s="118"/>
      <c r="D85" s="119"/>
      <c r="E85" s="73"/>
      <c r="F85" s="128"/>
    </row>
    <row r="86" spans="1:6" x14ac:dyDescent="0.25">
      <c r="A86" s="112"/>
      <c r="B86" s="113"/>
      <c r="C86" s="114"/>
      <c r="D86" s="115"/>
      <c r="E86" s="73"/>
      <c r="F86" s="128"/>
    </row>
    <row r="87" spans="1:6" x14ac:dyDescent="0.25">
      <c r="A87" s="116"/>
      <c r="B87" s="117"/>
      <c r="C87" s="118"/>
      <c r="D87" s="119"/>
      <c r="E87" s="73"/>
      <c r="F87" s="128"/>
    </row>
    <row r="88" spans="1:6" x14ac:dyDescent="0.25">
      <c r="A88" s="89"/>
      <c r="B88" s="90"/>
      <c r="C88" s="91"/>
      <c r="D88" s="92"/>
      <c r="E88" s="2"/>
      <c r="F88" s="129"/>
    </row>
    <row r="89" spans="1:6" x14ac:dyDescent="0.25">
      <c r="A89" s="93"/>
      <c r="B89" s="94"/>
      <c r="C89" s="95" t="s">
        <v>31</v>
      </c>
      <c r="D89" s="95"/>
      <c r="E89" s="96" t="s">
        <v>7</v>
      </c>
      <c r="F89" s="130">
        <f>SUM(F45:F87)</f>
        <v>0</v>
      </c>
    </row>
    <row r="90" spans="1:6" x14ac:dyDescent="0.25">
      <c r="A90" s="93"/>
      <c r="B90" s="94"/>
      <c r="C90" s="97"/>
      <c r="D90" s="98"/>
      <c r="E90" s="5"/>
      <c r="F90" s="131"/>
    </row>
    <row r="91" spans="1:6" x14ac:dyDescent="0.25">
      <c r="A91" s="85"/>
      <c r="B91" s="82"/>
      <c r="C91" s="64"/>
      <c r="D91" s="65"/>
      <c r="E91" s="73"/>
      <c r="F91" s="128"/>
    </row>
    <row r="92" spans="1:6" x14ac:dyDescent="0.25">
      <c r="A92" s="79"/>
      <c r="B92" s="88" t="s">
        <v>210</v>
      </c>
      <c r="C92" s="81"/>
      <c r="D92" s="78"/>
      <c r="E92" s="73"/>
      <c r="F92" s="128"/>
    </row>
    <row r="93" spans="1:6" x14ac:dyDescent="0.25">
      <c r="A93" s="85"/>
      <c r="B93" s="86"/>
      <c r="C93" s="64"/>
      <c r="D93" s="65"/>
      <c r="E93" s="73"/>
      <c r="F93" s="128"/>
    </row>
    <row r="94" spans="1:6" x14ac:dyDescent="0.25">
      <c r="A94" s="60"/>
      <c r="B94" s="87" t="s">
        <v>269</v>
      </c>
      <c r="C94" s="60"/>
      <c r="D94" s="62"/>
      <c r="E94" s="73"/>
      <c r="F94" s="128">
        <f>+F43</f>
        <v>30683.1</v>
      </c>
    </row>
    <row r="95" spans="1:6" x14ac:dyDescent="0.25">
      <c r="A95" s="60"/>
      <c r="B95" s="86"/>
      <c r="C95" s="60"/>
      <c r="D95" s="62"/>
      <c r="E95" s="73"/>
      <c r="F95" s="128"/>
    </row>
    <row r="96" spans="1:6" x14ac:dyDescent="0.25">
      <c r="A96" s="60"/>
      <c r="B96" s="87" t="s">
        <v>270</v>
      </c>
      <c r="C96" s="60"/>
      <c r="D96" s="62"/>
      <c r="E96" s="73"/>
      <c r="F96" s="128">
        <f>+F89</f>
        <v>0</v>
      </c>
    </row>
    <row r="97" spans="1:6" x14ac:dyDescent="0.25">
      <c r="A97" s="60"/>
      <c r="B97" s="61"/>
      <c r="C97" s="60"/>
      <c r="D97" s="62"/>
      <c r="E97" s="73"/>
      <c r="F97" s="128"/>
    </row>
    <row r="98" spans="1:6" x14ac:dyDescent="0.25">
      <c r="A98" s="60"/>
      <c r="B98" s="61"/>
      <c r="C98" s="60"/>
      <c r="D98" s="62"/>
      <c r="E98" s="73"/>
      <c r="F98" s="128"/>
    </row>
    <row r="99" spans="1:6" x14ac:dyDescent="0.25">
      <c r="A99" s="60"/>
      <c r="B99" s="61"/>
      <c r="C99" s="60"/>
      <c r="D99" s="62"/>
      <c r="E99" s="73"/>
      <c r="F99" s="128"/>
    </row>
    <row r="100" spans="1:6" x14ac:dyDescent="0.25">
      <c r="A100" s="60"/>
      <c r="B100" s="61"/>
      <c r="C100" s="60"/>
      <c r="D100" s="62"/>
      <c r="E100" s="73"/>
      <c r="F100" s="128"/>
    </row>
    <row r="101" spans="1:6" x14ac:dyDescent="0.25">
      <c r="A101" s="60"/>
      <c r="B101" s="61"/>
      <c r="C101" s="60"/>
      <c r="D101" s="62"/>
      <c r="E101" s="73"/>
      <c r="F101" s="128"/>
    </row>
    <row r="102" spans="1:6" x14ac:dyDescent="0.25">
      <c r="A102" s="60"/>
      <c r="B102" s="61"/>
      <c r="C102" s="60"/>
      <c r="D102" s="62"/>
      <c r="E102" s="73"/>
      <c r="F102" s="128"/>
    </row>
    <row r="103" spans="1:6" x14ac:dyDescent="0.25">
      <c r="A103" s="60"/>
      <c r="B103" s="61"/>
      <c r="C103" s="60"/>
      <c r="D103" s="62"/>
      <c r="E103" s="73"/>
      <c r="F103" s="128"/>
    </row>
    <row r="104" spans="1:6" x14ac:dyDescent="0.25">
      <c r="A104" s="79"/>
      <c r="B104" s="80"/>
      <c r="C104" s="81"/>
      <c r="D104" s="78"/>
      <c r="E104" s="73"/>
      <c r="F104" s="128"/>
    </row>
    <row r="105" spans="1:6" x14ac:dyDescent="0.25">
      <c r="A105" s="79"/>
      <c r="B105" s="60"/>
      <c r="C105" s="81"/>
      <c r="D105" s="78"/>
      <c r="E105" s="73"/>
      <c r="F105" s="128"/>
    </row>
    <row r="106" spans="1:6" x14ac:dyDescent="0.25">
      <c r="A106" s="85"/>
      <c r="B106" s="82"/>
      <c r="C106" s="64"/>
      <c r="D106" s="65"/>
      <c r="E106" s="73"/>
      <c r="F106" s="128"/>
    </row>
    <row r="107" spans="1:6" x14ac:dyDescent="0.25">
      <c r="A107" s="79"/>
      <c r="B107" s="60"/>
      <c r="C107" s="81"/>
      <c r="D107" s="78"/>
      <c r="E107" s="73"/>
      <c r="F107" s="128"/>
    </row>
    <row r="108" spans="1:6" x14ac:dyDescent="0.25">
      <c r="A108" s="85"/>
      <c r="B108" s="86"/>
      <c r="C108" s="64"/>
      <c r="D108" s="65"/>
      <c r="E108" s="73"/>
      <c r="F108" s="128"/>
    </row>
    <row r="109" spans="1:6" x14ac:dyDescent="0.25">
      <c r="A109" s="79"/>
      <c r="B109" s="60"/>
      <c r="C109" s="81"/>
      <c r="D109" s="78"/>
      <c r="E109" s="73"/>
      <c r="F109" s="128"/>
    </row>
    <row r="110" spans="1:6" x14ac:dyDescent="0.25">
      <c r="A110" s="85"/>
      <c r="B110" s="86"/>
      <c r="C110" s="64"/>
      <c r="D110" s="65"/>
      <c r="E110" s="73"/>
      <c r="F110" s="128"/>
    </row>
    <row r="111" spans="1:6" x14ac:dyDescent="0.25">
      <c r="A111" s="79"/>
      <c r="B111" s="60"/>
      <c r="C111" s="81"/>
      <c r="D111" s="78"/>
      <c r="E111" s="73"/>
      <c r="F111" s="128"/>
    </row>
    <row r="112" spans="1:6" x14ac:dyDescent="0.25">
      <c r="A112" s="85"/>
      <c r="B112" s="82"/>
      <c r="C112" s="64"/>
      <c r="D112" s="65"/>
      <c r="E112" s="73"/>
      <c r="F112" s="128"/>
    </row>
    <row r="113" spans="1:6" x14ac:dyDescent="0.25">
      <c r="A113" s="79"/>
      <c r="B113" s="60"/>
      <c r="C113" s="81"/>
      <c r="D113" s="78"/>
      <c r="E113" s="73"/>
      <c r="F113" s="128"/>
    </row>
    <row r="114" spans="1:6" x14ac:dyDescent="0.25">
      <c r="A114" s="85"/>
      <c r="B114" s="86"/>
      <c r="C114" s="64"/>
      <c r="D114" s="65"/>
      <c r="E114" s="73"/>
      <c r="F114" s="128"/>
    </row>
    <row r="115" spans="1:6" x14ac:dyDescent="0.25">
      <c r="A115" s="79"/>
      <c r="B115" s="60"/>
      <c r="C115" s="81"/>
      <c r="D115" s="78"/>
      <c r="E115" s="73"/>
      <c r="F115" s="128"/>
    </row>
    <row r="116" spans="1:6" x14ac:dyDescent="0.25">
      <c r="A116" s="85"/>
      <c r="B116" s="86"/>
      <c r="C116" s="64"/>
      <c r="D116" s="65"/>
      <c r="E116" s="73"/>
      <c r="F116" s="128"/>
    </row>
    <row r="117" spans="1:6" x14ac:dyDescent="0.25">
      <c r="A117" s="79"/>
      <c r="B117" s="60"/>
      <c r="C117" s="81"/>
      <c r="D117" s="78"/>
      <c r="E117" s="73"/>
      <c r="F117" s="128"/>
    </row>
    <row r="118" spans="1:6" x14ac:dyDescent="0.25">
      <c r="A118" s="85"/>
      <c r="B118" s="86"/>
      <c r="C118" s="64"/>
      <c r="D118" s="65"/>
      <c r="E118" s="73"/>
      <c r="F118" s="128"/>
    </row>
    <row r="119" spans="1:6" x14ac:dyDescent="0.25">
      <c r="A119" s="79"/>
      <c r="B119" s="60"/>
      <c r="C119" s="81"/>
      <c r="D119" s="78"/>
      <c r="E119" s="73"/>
      <c r="F119" s="128"/>
    </row>
    <row r="120" spans="1:6" x14ac:dyDescent="0.25">
      <c r="A120" s="85"/>
      <c r="B120" s="82"/>
      <c r="C120" s="64"/>
      <c r="D120" s="65"/>
      <c r="E120" s="73"/>
      <c r="F120" s="128"/>
    </row>
    <row r="121" spans="1:6" x14ac:dyDescent="0.25">
      <c r="A121" s="79"/>
      <c r="B121" s="60"/>
      <c r="C121" s="81"/>
      <c r="D121" s="78"/>
      <c r="E121" s="73"/>
      <c r="F121" s="128"/>
    </row>
    <row r="122" spans="1:6" x14ac:dyDescent="0.25">
      <c r="A122" s="85"/>
      <c r="B122" s="86"/>
      <c r="C122" s="64"/>
      <c r="D122" s="65"/>
      <c r="E122" s="73"/>
      <c r="F122" s="128"/>
    </row>
    <row r="123" spans="1:6" x14ac:dyDescent="0.25">
      <c r="A123" s="79"/>
      <c r="B123" s="60"/>
      <c r="C123" s="81"/>
      <c r="D123" s="78"/>
      <c r="E123" s="73"/>
      <c r="F123" s="128"/>
    </row>
    <row r="124" spans="1:6" x14ac:dyDescent="0.25">
      <c r="A124" s="85"/>
      <c r="B124" s="86"/>
      <c r="C124" s="64"/>
      <c r="D124" s="65"/>
      <c r="E124" s="73"/>
      <c r="F124" s="128"/>
    </row>
    <row r="125" spans="1:6" x14ac:dyDescent="0.25">
      <c r="A125" s="79"/>
      <c r="B125" s="60"/>
      <c r="C125" s="81"/>
      <c r="D125" s="78"/>
      <c r="E125" s="73"/>
      <c r="F125" s="128"/>
    </row>
    <row r="126" spans="1:6" x14ac:dyDescent="0.25">
      <c r="A126" s="85"/>
      <c r="B126" s="82"/>
      <c r="C126" s="64"/>
      <c r="D126" s="65"/>
      <c r="E126" s="73"/>
      <c r="F126" s="128"/>
    </row>
    <row r="127" spans="1:6" x14ac:dyDescent="0.25">
      <c r="A127" s="79"/>
      <c r="B127" s="60"/>
      <c r="C127" s="81"/>
      <c r="D127" s="78"/>
      <c r="E127" s="73"/>
      <c r="F127" s="128"/>
    </row>
    <row r="128" spans="1:6" x14ac:dyDescent="0.25">
      <c r="A128" s="85"/>
      <c r="B128" s="86"/>
      <c r="C128" s="64"/>
      <c r="D128" s="65"/>
      <c r="E128" s="73"/>
      <c r="F128" s="128"/>
    </row>
    <row r="129" spans="1:6" x14ac:dyDescent="0.25">
      <c r="A129" s="60"/>
      <c r="B129" s="61"/>
      <c r="C129" s="60"/>
      <c r="D129" s="62"/>
      <c r="E129" s="73"/>
      <c r="F129" s="128"/>
    </row>
    <row r="130" spans="1:6" x14ac:dyDescent="0.25">
      <c r="A130" s="60"/>
      <c r="B130" s="61"/>
      <c r="C130" s="60"/>
      <c r="D130" s="62"/>
      <c r="E130" s="73"/>
      <c r="F130" s="128"/>
    </row>
    <row r="131" spans="1:6" x14ac:dyDescent="0.25">
      <c r="A131" s="60"/>
      <c r="B131" s="61"/>
      <c r="C131" s="60"/>
      <c r="D131" s="62"/>
      <c r="E131" s="73"/>
      <c r="F131" s="128"/>
    </row>
    <row r="132" spans="1:6" x14ac:dyDescent="0.25">
      <c r="A132" s="60"/>
      <c r="B132" s="61"/>
      <c r="C132" s="60"/>
      <c r="D132" s="62"/>
      <c r="E132" s="73"/>
      <c r="F132" s="128"/>
    </row>
    <row r="133" spans="1:6" x14ac:dyDescent="0.25">
      <c r="A133" s="60"/>
      <c r="B133" s="61"/>
      <c r="C133" s="60"/>
      <c r="D133" s="62"/>
      <c r="E133" s="73"/>
      <c r="F133" s="128"/>
    </row>
    <row r="134" spans="1:6" x14ac:dyDescent="0.25">
      <c r="A134" s="60"/>
      <c r="B134" s="61"/>
      <c r="C134" s="60"/>
      <c r="D134" s="62"/>
      <c r="E134" s="73"/>
      <c r="F134" s="128"/>
    </row>
    <row r="135" spans="1:6" x14ac:dyDescent="0.25">
      <c r="A135" s="60"/>
      <c r="B135" s="61"/>
      <c r="C135" s="60"/>
      <c r="D135" s="62"/>
      <c r="E135" s="73"/>
      <c r="F135" s="128"/>
    </row>
    <row r="136" spans="1:6" x14ac:dyDescent="0.25">
      <c r="A136" s="60"/>
      <c r="B136" s="61"/>
      <c r="C136" s="60"/>
      <c r="D136" s="62"/>
      <c r="E136" s="73"/>
      <c r="F136" s="128"/>
    </row>
    <row r="137" spans="1:6" x14ac:dyDescent="0.25">
      <c r="A137" s="60"/>
      <c r="B137" s="61"/>
      <c r="C137" s="60"/>
      <c r="D137" s="62"/>
      <c r="E137" s="73"/>
      <c r="F137" s="128"/>
    </row>
    <row r="138" spans="1:6" x14ac:dyDescent="0.25">
      <c r="A138" s="89"/>
      <c r="B138" s="90"/>
      <c r="C138" s="91"/>
      <c r="D138" s="92"/>
      <c r="E138" s="2"/>
      <c r="F138" s="129"/>
    </row>
    <row r="139" spans="1:6" x14ac:dyDescent="0.25">
      <c r="A139" s="93"/>
      <c r="B139" s="94"/>
      <c r="C139" s="95" t="s">
        <v>226</v>
      </c>
      <c r="D139" s="95"/>
      <c r="E139" s="96" t="s">
        <v>7</v>
      </c>
      <c r="F139" s="130">
        <f>SUM(F91:F137)</f>
        <v>30683.1</v>
      </c>
    </row>
    <row r="140" spans="1:6" x14ac:dyDescent="0.25">
      <c r="A140" s="93"/>
      <c r="B140" s="94"/>
      <c r="C140" s="97"/>
      <c r="D140" s="98"/>
      <c r="E140" s="5"/>
      <c r="F140" s="131"/>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5 - EXTERNAL WORKS
THERMAL AND MOISTURE PROTECTION</oddHeader>
    <oddFooter>&amp;L&amp;8DMS 148704 BOQ - Nakheel Mall Al Khail&amp;C5/G/&amp;P</oddFooter>
  </headerFooter>
  <rowBreaks count="2" manualBreakCount="2">
    <brk id="44" max="5" man="1"/>
    <brk id="90"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B733-CE6A-4006-99CF-2AA0915943E3}">
  <dimension ref="A1:F143"/>
  <sheetViews>
    <sheetView view="pageBreakPreview" zoomScaleNormal="100" zoomScaleSheetLayoutView="100" zoomScalePageLayoutView="70" workbookViewId="0">
      <selection sqref="A1:E1048576"/>
    </sheetView>
  </sheetViews>
  <sheetFormatPr defaultColWidth="9.33203125" defaultRowHeight="13.8" x14ac:dyDescent="0.25"/>
  <cols>
    <col min="1" max="1" width="5.6640625" style="104" customWidth="1"/>
    <col min="2" max="2" width="46" style="105" customWidth="1"/>
    <col min="3" max="3" width="10.6640625" style="106" customWidth="1"/>
    <col min="4" max="4" width="6.6640625" style="107" customWidth="1"/>
    <col min="5" max="5" width="13.6640625" style="189" customWidth="1"/>
    <col min="6" max="6" width="15.6640625" style="77" customWidth="1"/>
    <col min="7" max="16384" width="9.33203125" style="103"/>
  </cols>
  <sheetData>
    <row r="1" spans="1:6" s="67" customFormat="1" ht="14.4" x14ac:dyDescent="0.25">
      <c r="A1" s="208" t="s">
        <v>1</v>
      </c>
      <c r="B1" s="208" t="s">
        <v>2</v>
      </c>
      <c r="C1" s="210" t="s">
        <v>3</v>
      </c>
      <c r="D1" s="212" t="s">
        <v>4</v>
      </c>
      <c r="E1" s="205" t="s">
        <v>5</v>
      </c>
      <c r="F1" s="109" t="s">
        <v>6</v>
      </c>
    </row>
    <row r="2" spans="1:6" s="67" customFormat="1" ht="14.4" x14ac:dyDescent="0.25">
      <c r="A2" s="209"/>
      <c r="B2" s="209"/>
      <c r="C2" s="211"/>
      <c r="D2" s="213"/>
      <c r="E2" s="206" t="s">
        <v>7</v>
      </c>
      <c r="F2" s="111" t="s">
        <v>7</v>
      </c>
    </row>
    <row r="3" spans="1:6" s="67" customFormat="1" ht="14.4" x14ac:dyDescent="0.25">
      <c r="A3" s="68"/>
      <c r="B3" s="69"/>
      <c r="C3" s="66"/>
      <c r="D3" s="70"/>
      <c r="E3" s="187"/>
      <c r="F3" s="1"/>
    </row>
    <row r="4" spans="1:6" x14ac:dyDescent="0.25">
      <c r="A4" s="79"/>
      <c r="B4" s="102" t="s">
        <v>271</v>
      </c>
      <c r="C4" s="81"/>
      <c r="D4" s="78"/>
      <c r="E4" s="188"/>
      <c r="F4" s="74"/>
    </row>
    <row r="5" spans="1:6" x14ac:dyDescent="0.25">
      <c r="A5" s="79"/>
      <c r="B5" s="80"/>
      <c r="C5" s="81"/>
      <c r="D5" s="78"/>
      <c r="E5" s="188"/>
      <c r="F5" s="74"/>
    </row>
    <row r="6" spans="1:6" x14ac:dyDescent="0.25">
      <c r="A6" s="79"/>
      <c r="B6" s="99" t="s">
        <v>272</v>
      </c>
      <c r="C6" s="81"/>
      <c r="D6" s="78"/>
      <c r="E6" s="188"/>
      <c r="F6" s="74"/>
    </row>
    <row r="7" spans="1:6" x14ac:dyDescent="0.25">
      <c r="A7" s="79"/>
      <c r="B7" s="60"/>
      <c r="C7" s="81"/>
      <c r="D7" s="78"/>
      <c r="E7" s="188"/>
      <c r="F7" s="74"/>
    </row>
    <row r="8" spans="1:6" ht="55.2" x14ac:dyDescent="0.25">
      <c r="A8" s="63"/>
      <c r="B8" s="83" t="s">
        <v>273</v>
      </c>
      <c r="C8" s="100"/>
      <c r="D8" s="101"/>
      <c r="E8" s="188"/>
      <c r="F8" s="74"/>
    </row>
    <row r="9" spans="1:6" x14ac:dyDescent="0.25">
      <c r="A9" s="79"/>
      <c r="B9" s="145"/>
      <c r="C9" s="81"/>
      <c r="D9" s="78"/>
      <c r="E9" s="188"/>
      <c r="F9" s="74"/>
    </row>
    <row r="10" spans="1:6" ht="27.6" x14ac:dyDescent="0.25">
      <c r="A10" s="63" t="s">
        <v>12</v>
      </c>
      <c r="B10" s="82" t="s">
        <v>274</v>
      </c>
      <c r="C10" s="100" t="s">
        <v>275</v>
      </c>
      <c r="D10" s="101" t="s">
        <v>40</v>
      </c>
      <c r="E10" s="188">
        <v>378.8</v>
      </c>
      <c r="F10" s="128">
        <f t="shared" ref="F10" si="0">E10*C10</f>
        <v>64017.200000000004</v>
      </c>
    </row>
    <row r="11" spans="1:6" x14ac:dyDescent="0.25">
      <c r="A11" s="79"/>
      <c r="B11" s="60"/>
      <c r="C11" s="81"/>
      <c r="D11" s="78"/>
      <c r="E11" s="188"/>
      <c r="F11" s="74"/>
    </row>
    <row r="12" spans="1:6" ht="27.6" x14ac:dyDescent="0.25">
      <c r="A12" s="63" t="s">
        <v>16</v>
      </c>
      <c r="B12" s="82" t="s">
        <v>276</v>
      </c>
      <c r="C12" s="100" t="s">
        <v>277</v>
      </c>
      <c r="D12" s="101" t="s">
        <v>105</v>
      </c>
      <c r="E12" s="188">
        <v>140.66</v>
      </c>
      <c r="F12" s="128">
        <f t="shared" ref="F12" si="1">E12*C12</f>
        <v>14909.96</v>
      </c>
    </row>
    <row r="13" spans="1:6" x14ac:dyDescent="0.25">
      <c r="A13" s="79"/>
      <c r="B13" s="60"/>
      <c r="C13" s="81"/>
      <c r="D13" s="78"/>
      <c r="E13" s="188"/>
      <c r="F13" s="74"/>
    </row>
    <row r="14" spans="1:6" ht="41.4" x14ac:dyDescent="0.25">
      <c r="A14" s="63"/>
      <c r="B14" s="83" t="s">
        <v>278</v>
      </c>
      <c r="C14" s="100"/>
      <c r="D14" s="101"/>
      <c r="E14" s="188"/>
      <c r="F14" s="74"/>
    </row>
    <row r="15" spans="1:6" x14ac:dyDescent="0.25">
      <c r="A15" s="79"/>
      <c r="B15" s="60"/>
      <c r="C15" s="81"/>
      <c r="D15" s="78"/>
      <c r="E15" s="188"/>
      <c r="F15" s="74"/>
    </row>
    <row r="16" spans="1:6" x14ac:dyDescent="0.25">
      <c r="A16" s="63" t="s">
        <v>19</v>
      </c>
      <c r="B16" s="82" t="s">
        <v>279</v>
      </c>
      <c r="C16" s="100">
        <v>42</v>
      </c>
      <c r="D16" s="101" t="s">
        <v>105</v>
      </c>
      <c r="E16" s="188">
        <v>1860.14</v>
      </c>
      <c r="F16" s="128">
        <f t="shared" ref="F16:F20" si="2">E16*C16</f>
        <v>78125.88</v>
      </c>
    </row>
    <row r="17" spans="1:6" x14ac:dyDescent="0.25">
      <c r="A17" s="79"/>
      <c r="B17" s="60"/>
      <c r="C17" s="81"/>
      <c r="D17" s="78"/>
      <c r="E17" s="188"/>
      <c r="F17" s="128">
        <f t="shared" si="2"/>
        <v>0</v>
      </c>
    </row>
    <row r="18" spans="1:6" x14ac:dyDescent="0.25">
      <c r="A18" s="63" t="s">
        <v>22</v>
      </c>
      <c r="B18" s="82" t="s">
        <v>280</v>
      </c>
      <c r="C18" s="100">
        <v>30</v>
      </c>
      <c r="D18" s="101" t="s">
        <v>105</v>
      </c>
      <c r="E18" s="188">
        <v>2454.21</v>
      </c>
      <c r="F18" s="128">
        <f t="shared" si="2"/>
        <v>73626.3</v>
      </c>
    </row>
    <row r="19" spans="1:6" x14ac:dyDescent="0.25">
      <c r="A19" s="79"/>
      <c r="B19" s="60"/>
      <c r="C19" s="81"/>
      <c r="D19" s="78"/>
      <c r="E19" s="188"/>
      <c r="F19" s="128">
        <f t="shared" si="2"/>
        <v>0</v>
      </c>
    </row>
    <row r="20" spans="1:6" x14ac:dyDescent="0.25">
      <c r="A20" s="63" t="s">
        <v>25</v>
      </c>
      <c r="B20" s="82" t="s">
        <v>281</v>
      </c>
      <c r="C20" s="100">
        <v>72</v>
      </c>
      <c r="D20" s="101" t="s">
        <v>105</v>
      </c>
      <c r="E20" s="188">
        <v>1181.57</v>
      </c>
      <c r="F20" s="128">
        <f t="shared" si="2"/>
        <v>85073.04</v>
      </c>
    </row>
    <row r="21" spans="1:6" x14ac:dyDescent="0.25">
      <c r="A21" s="79"/>
      <c r="B21" s="60"/>
      <c r="C21" s="81"/>
      <c r="D21" s="78"/>
      <c r="E21" s="188"/>
      <c r="F21" s="74"/>
    </row>
    <row r="22" spans="1:6" x14ac:dyDescent="0.25">
      <c r="A22" s="63"/>
      <c r="B22" s="83"/>
      <c r="C22" s="100"/>
      <c r="D22" s="101"/>
      <c r="E22" s="188"/>
      <c r="F22" s="74"/>
    </row>
    <row r="23" spans="1:6" x14ac:dyDescent="0.25">
      <c r="A23" s="79"/>
      <c r="B23" s="60"/>
      <c r="C23" s="81"/>
      <c r="D23" s="78"/>
      <c r="E23" s="188"/>
      <c r="F23" s="74"/>
    </row>
    <row r="24" spans="1:6" x14ac:dyDescent="0.25">
      <c r="A24" s="63"/>
      <c r="B24" s="82"/>
      <c r="C24" s="100"/>
      <c r="D24" s="101"/>
      <c r="E24" s="188"/>
      <c r="F24" s="74"/>
    </row>
    <row r="25" spans="1:6" x14ac:dyDescent="0.25">
      <c r="A25" s="79"/>
      <c r="B25" s="60"/>
      <c r="C25" s="81"/>
      <c r="D25" s="78"/>
      <c r="E25" s="188"/>
      <c r="F25" s="74"/>
    </row>
    <row r="26" spans="1:6" x14ac:dyDescent="0.25">
      <c r="A26" s="63"/>
      <c r="B26" s="82"/>
      <c r="C26" s="100"/>
      <c r="D26" s="101"/>
      <c r="E26" s="188"/>
      <c r="F26" s="74"/>
    </row>
    <row r="27" spans="1:6" x14ac:dyDescent="0.25">
      <c r="A27" s="79"/>
      <c r="B27" s="60"/>
      <c r="C27" s="81"/>
      <c r="D27" s="78"/>
      <c r="E27" s="188"/>
      <c r="F27" s="74"/>
    </row>
    <row r="28" spans="1:6" x14ac:dyDescent="0.25">
      <c r="A28" s="63"/>
      <c r="B28" s="82"/>
      <c r="C28" s="100"/>
      <c r="D28" s="101"/>
      <c r="E28" s="188"/>
      <c r="F28" s="74"/>
    </row>
    <row r="29" spans="1:6" x14ac:dyDescent="0.25">
      <c r="A29" s="79"/>
      <c r="B29" s="60"/>
      <c r="C29" s="81"/>
      <c r="D29" s="78"/>
      <c r="E29" s="188"/>
      <c r="F29" s="74"/>
    </row>
    <row r="30" spans="1:6" x14ac:dyDescent="0.25">
      <c r="A30" s="63"/>
      <c r="B30" s="83"/>
      <c r="C30" s="100"/>
      <c r="D30" s="101"/>
      <c r="E30" s="188"/>
      <c r="F30" s="74"/>
    </row>
    <row r="31" spans="1:6" x14ac:dyDescent="0.25">
      <c r="A31" s="79"/>
      <c r="B31" s="60"/>
      <c r="C31" s="81"/>
      <c r="D31" s="78"/>
      <c r="E31" s="188"/>
      <c r="F31" s="74"/>
    </row>
    <row r="32" spans="1:6" x14ac:dyDescent="0.25">
      <c r="A32" s="63"/>
      <c r="B32" s="82"/>
      <c r="C32" s="100"/>
      <c r="D32" s="101"/>
      <c r="E32" s="188"/>
      <c r="F32" s="74"/>
    </row>
    <row r="33" spans="1:6" x14ac:dyDescent="0.25">
      <c r="A33" s="79"/>
      <c r="B33" s="60"/>
      <c r="C33" s="81"/>
      <c r="D33" s="78"/>
      <c r="E33" s="188"/>
      <c r="F33" s="74"/>
    </row>
    <row r="34" spans="1:6" x14ac:dyDescent="0.25">
      <c r="A34" s="63"/>
      <c r="B34" s="82"/>
      <c r="C34" s="100"/>
      <c r="D34" s="101"/>
      <c r="E34" s="188"/>
      <c r="F34" s="74"/>
    </row>
    <row r="35" spans="1:6" x14ac:dyDescent="0.25">
      <c r="A35" s="79"/>
      <c r="B35" s="60"/>
      <c r="C35" s="81"/>
      <c r="D35" s="78"/>
      <c r="E35" s="188"/>
      <c r="F35" s="74"/>
    </row>
    <row r="36" spans="1:6" x14ac:dyDescent="0.25">
      <c r="A36" s="63"/>
      <c r="B36" s="82"/>
      <c r="C36" s="100"/>
      <c r="D36" s="101"/>
      <c r="E36" s="188"/>
      <c r="F36" s="74"/>
    </row>
    <row r="37" spans="1:6" x14ac:dyDescent="0.25">
      <c r="A37" s="79"/>
      <c r="B37" s="60"/>
      <c r="C37" s="81"/>
      <c r="D37" s="78"/>
      <c r="E37" s="188"/>
      <c r="F37" s="74"/>
    </row>
    <row r="38" spans="1:6" x14ac:dyDescent="0.25">
      <c r="A38" s="79"/>
      <c r="B38" s="60"/>
      <c r="C38" s="81"/>
      <c r="D38" s="78"/>
      <c r="E38" s="188"/>
      <c r="F38" s="74"/>
    </row>
    <row r="39" spans="1:6" x14ac:dyDescent="0.25">
      <c r="A39" s="63"/>
      <c r="B39" s="82"/>
      <c r="C39" s="100"/>
      <c r="D39" s="101"/>
      <c r="E39" s="188"/>
      <c r="F39" s="74"/>
    </row>
    <row r="40" spans="1:6" x14ac:dyDescent="0.25">
      <c r="A40" s="60"/>
      <c r="B40" s="61"/>
      <c r="C40" s="60"/>
      <c r="D40" s="62"/>
      <c r="E40" s="188"/>
      <c r="F40" s="74"/>
    </row>
    <row r="41" spans="1:6" x14ac:dyDescent="0.25">
      <c r="A41" s="79"/>
      <c r="B41" s="60"/>
      <c r="C41" s="81"/>
      <c r="D41" s="78"/>
      <c r="E41" s="188"/>
      <c r="F41" s="74"/>
    </row>
    <row r="42" spans="1:6" x14ac:dyDescent="0.25">
      <c r="A42" s="85"/>
      <c r="B42" s="82"/>
      <c r="C42" s="64"/>
      <c r="D42" s="65"/>
      <c r="E42" s="188"/>
      <c r="F42" s="74"/>
    </row>
    <row r="43" spans="1:6" x14ac:dyDescent="0.25">
      <c r="A43" s="89"/>
      <c r="B43" s="90"/>
      <c r="C43" s="91"/>
      <c r="D43" s="92"/>
      <c r="E43" s="135"/>
      <c r="F43" s="3"/>
    </row>
    <row r="44" spans="1:6" x14ac:dyDescent="0.25">
      <c r="A44" s="93"/>
      <c r="B44" s="94"/>
      <c r="C44" s="95" t="s">
        <v>31</v>
      </c>
      <c r="D44" s="95"/>
      <c r="E44" s="189" t="s">
        <v>7</v>
      </c>
      <c r="F44" s="4">
        <f>SUM(F3:F42)</f>
        <v>315752.38</v>
      </c>
    </row>
    <row r="45" spans="1:6" x14ac:dyDescent="0.25">
      <c r="A45" s="93"/>
      <c r="B45" s="94"/>
      <c r="C45" s="97"/>
      <c r="D45" s="98"/>
      <c r="E45" s="137"/>
      <c r="F45" s="6"/>
    </row>
    <row r="46" spans="1:6" x14ac:dyDescent="0.25">
      <c r="A46" s="85"/>
      <c r="B46" s="82"/>
      <c r="C46" s="64"/>
      <c r="D46" s="65"/>
      <c r="E46" s="188"/>
      <c r="F46" s="74"/>
    </row>
    <row r="47" spans="1:6" x14ac:dyDescent="0.25">
      <c r="A47" s="79"/>
      <c r="B47" s="99" t="s">
        <v>208</v>
      </c>
      <c r="C47" s="81"/>
      <c r="D47" s="78"/>
      <c r="E47" s="188"/>
      <c r="F47" s="74"/>
    </row>
    <row r="48" spans="1:6" x14ac:dyDescent="0.25">
      <c r="A48" s="79"/>
      <c r="B48" s="60"/>
      <c r="C48" s="81"/>
      <c r="D48" s="78"/>
      <c r="E48" s="188"/>
      <c r="F48" s="74"/>
    </row>
    <row r="49" spans="1:6" ht="55.2" x14ac:dyDescent="0.25">
      <c r="A49" s="63"/>
      <c r="B49" s="82" t="s">
        <v>283</v>
      </c>
      <c r="C49" s="100"/>
      <c r="D49" s="101" t="s">
        <v>1</v>
      </c>
      <c r="E49" s="188"/>
      <c r="F49" s="74"/>
    </row>
    <row r="50" spans="1:6" x14ac:dyDescent="0.25">
      <c r="A50" s="112"/>
      <c r="B50" s="113"/>
      <c r="C50" s="114"/>
      <c r="D50" s="115"/>
      <c r="E50" s="188"/>
      <c r="F50" s="74"/>
    </row>
    <row r="51" spans="1:6" ht="26.4" x14ac:dyDescent="0.25">
      <c r="A51" s="182" t="s">
        <v>12</v>
      </c>
      <c r="B51" s="183" t="s">
        <v>555</v>
      </c>
      <c r="C51" s="182">
        <v>1</v>
      </c>
      <c r="D51" s="203" t="s">
        <v>556</v>
      </c>
      <c r="E51" s="199"/>
      <c r="F51" s="180">
        <f>E51</f>
        <v>0</v>
      </c>
    </row>
    <row r="52" spans="1:6" x14ac:dyDescent="0.25">
      <c r="A52" s="112"/>
      <c r="B52" s="120"/>
      <c r="C52" s="114"/>
      <c r="D52" s="115"/>
      <c r="E52" s="188"/>
      <c r="F52" s="74"/>
    </row>
    <row r="53" spans="1:6" x14ac:dyDescent="0.25">
      <c r="A53" s="116"/>
      <c r="B53" s="117"/>
      <c r="C53" s="118"/>
      <c r="D53" s="119"/>
      <c r="E53" s="188"/>
      <c r="F53" s="74"/>
    </row>
    <row r="54" spans="1:6" x14ac:dyDescent="0.25">
      <c r="A54" s="112"/>
      <c r="B54" s="113"/>
      <c r="C54" s="114"/>
      <c r="D54" s="115"/>
      <c r="E54" s="188"/>
      <c r="F54" s="74"/>
    </row>
    <row r="55" spans="1:6" x14ac:dyDescent="0.25">
      <c r="A55" s="116"/>
      <c r="B55" s="117"/>
      <c r="C55" s="118"/>
      <c r="D55" s="119"/>
      <c r="E55" s="188"/>
      <c r="F55" s="74"/>
    </row>
    <row r="56" spans="1:6" x14ac:dyDescent="0.25">
      <c r="A56" s="112"/>
      <c r="B56" s="113"/>
      <c r="C56" s="114"/>
      <c r="D56" s="115"/>
      <c r="E56" s="188"/>
      <c r="F56" s="74"/>
    </row>
    <row r="57" spans="1:6" x14ac:dyDescent="0.25">
      <c r="A57" s="116"/>
      <c r="B57" s="117"/>
      <c r="C57" s="118"/>
      <c r="D57" s="119"/>
      <c r="E57" s="188"/>
      <c r="F57" s="74"/>
    </row>
    <row r="58" spans="1:6" x14ac:dyDescent="0.25">
      <c r="A58" s="112"/>
      <c r="B58" s="120"/>
      <c r="C58" s="114"/>
      <c r="D58" s="115"/>
      <c r="E58" s="188"/>
      <c r="F58" s="74"/>
    </row>
    <row r="59" spans="1:6" x14ac:dyDescent="0.25">
      <c r="A59" s="116"/>
      <c r="B59" s="117"/>
      <c r="C59" s="118"/>
      <c r="D59" s="119"/>
      <c r="E59" s="188"/>
      <c r="F59" s="74"/>
    </row>
    <row r="60" spans="1:6" x14ac:dyDescent="0.25">
      <c r="A60" s="112"/>
      <c r="B60" s="113"/>
      <c r="C60" s="114"/>
      <c r="D60" s="115"/>
      <c r="E60" s="188"/>
      <c r="F60" s="74"/>
    </row>
    <row r="61" spans="1:6" x14ac:dyDescent="0.25">
      <c r="A61" s="117"/>
      <c r="B61" s="121"/>
      <c r="C61" s="117"/>
      <c r="D61" s="122"/>
      <c r="E61" s="188"/>
      <c r="F61" s="74"/>
    </row>
    <row r="62" spans="1:6" x14ac:dyDescent="0.25">
      <c r="A62" s="117"/>
      <c r="B62" s="121"/>
      <c r="C62" s="117"/>
      <c r="D62" s="122"/>
      <c r="E62" s="188"/>
      <c r="F62" s="74"/>
    </row>
    <row r="63" spans="1:6" x14ac:dyDescent="0.25">
      <c r="A63" s="117"/>
      <c r="B63" s="121"/>
      <c r="C63" s="117"/>
      <c r="D63" s="122"/>
      <c r="E63" s="188"/>
      <c r="F63" s="74"/>
    </row>
    <row r="64" spans="1:6" x14ac:dyDescent="0.25">
      <c r="A64" s="117"/>
      <c r="B64" s="121"/>
      <c r="C64" s="117"/>
      <c r="D64" s="122"/>
      <c r="E64" s="188"/>
      <c r="F64" s="74"/>
    </row>
    <row r="65" spans="1:6" x14ac:dyDescent="0.25">
      <c r="A65" s="117"/>
      <c r="B65" s="121"/>
      <c r="C65" s="117"/>
      <c r="D65" s="122"/>
      <c r="E65" s="188"/>
      <c r="F65" s="74"/>
    </row>
    <row r="66" spans="1:6" x14ac:dyDescent="0.25">
      <c r="A66" s="117"/>
      <c r="B66" s="121"/>
      <c r="C66" s="117"/>
      <c r="D66" s="122"/>
      <c r="E66" s="188"/>
      <c r="F66" s="74"/>
    </row>
    <row r="67" spans="1:6" x14ac:dyDescent="0.25">
      <c r="A67" s="117"/>
      <c r="B67" s="121"/>
      <c r="C67" s="117"/>
      <c r="D67" s="122"/>
      <c r="E67" s="188"/>
      <c r="F67" s="74"/>
    </row>
    <row r="68" spans="1:6" x14ac:dyDescent="0.25">
      <c r="A68" s="117"/>
      <c r="B68" s="121"/>
      <c r="C68" s="117"/>
      <c r="D68" s="122"/>
      <c r="E68" s="188"/>
      <c r="F68" s="74"/>
    </row>
    <row r="69" spans="1:6" x14ac:dyDescent="0.25">
      <c r="A69" s="117"/>
      <c r="B69" s="121"/>
      <c r="C69" s="117"/>
      <c r="D69" s="122"/>
      <c r="E69" s="188"/>
      <c r="F69" s="74"/>
    </row>
    <row r="70" spans="1:6" x14ac:dyDescent="0.25">
      <c r="A70" s="117"/>
      <c r="B70" s="121"/>
      <c r="C70" s="117"/>
      <c r="D70" s="122"/>
      <c r="E70" s="188"/>
      <c r="F70" s="74"/>
    </row>
    <row r="71" spans="1:6" x14ac:dyDescent="0.25">
      <c r="A71" s="116"/>
      <c r="B71" s="123"/>
      <c r="C71" s="118"/>
      <c r="D71" s="119"/>
      <c r="E71" s="188"/>
      <c r="F71" s="74"/>
    </row>
    <row r="72" spans="1:6" x14ac:dyDescent="0.25">
      <c r="A72" s="116"/>
      <c r="B72" s="124"/>
      <c r="C72" s="118"/>
      <c r="D72" s="119"/>
      <c r="E72" s="188"/>
      <c r="F72" s="74"/>
    </row>
    <row r="73" spans="1:6" x14ac:dyDescent="0.25">
      <c r="A73" s="112"/>
      <c r="B73" s="113"/>
      <c r="C73" s="114"/>
      <c r="D73" s="115"/>
      <c r="E73" s="188"/>
      <c r="F73" s="74"/>
    </row>
    <row r="74" spans="1:6" x14ac:dyDescent="0.25">
      <c r="A74" s="116"/>
      <c r="B74" s="117"/>
      <c r="C74" s="118"/>
      <c r="D74" s="119"/>
      <c r="E74" s="188"/>
      <c r="F74" s="74"/>
    </row>
    <row r="75" spans="1:6" x14ac:dyDescent="0.25">
      <c r="A75" s="112"/>
      <c r="B75" s="120"/>
      <c r="C75" s="114"/>
      <c r="D75" s="115"/>
      <c r="E75" s="188"/>
      <c r="F75" s="74"/>
    </row>
    <row r="76" spans="1:6" x14ac:dyDescent="0.25">
      <c r="A76" s="116"/>
      <c r="B76" s="117"/>
      <c r="C76" s="118"/>
      <c r="D76" s="119"/>
      <c r="E76" s="188"/>
      <c r="F76" s="74"/>
    </row>
    <row r="77" spans="1:6" x14ac:dyDescent="0.25">
      <c r="A77" s="112"/>
      <c r="B77" s="113"/>
      <c r="C77" s="114"/>
      <c r="D77" s="115"/>
      <c r="E77" s="188"/>
      <c r="F77" s="74"/>
    </row>
    <row r="78" spans="1:6" x14ac:dyDescent="0.25">
      <c r="A78" s="116"/>
      <c r="B78" s="117"/>
      <c r="C78" s="118"/>
      <c r="D78" s="119"/>
      <c r="E78" s="188"/>
      <c r="F78" s="74"/>
    </row>
    <row r="79" spans="1:6" x14ac:dyDescent="0.25">
      <c r="A79" s="112"/>
      <c r="B79" s="113"/>
      <c r="C79" s="114"/>
      <c r="D79" s="115"/>
      <c r="E79" s="188"/>
      <c r="F79" s="74"/>
    </row>
    <row r="80" spans="1:6" x14ac:dyDescent="0.25">
      <c r="A80" s="116"/>
      <c r="B80" s="117"/>
      <c r="C80" s="118"/>
      <c r="D80" s="119"/>
      <c r="E80" s="188"/>
      <c r="F80" s="74"/>
    </row>
    <row r="81" spans="1:6" x14ac:dyDescent="0.25">
      <c r="A81" s="112"/>
      <c r="B81" s="113"/>
      <c r="C81" s="114"/>
      <c r="D81" s="115"/>
      <c r="E81" s="188"/>
      <c r="F81" s="74"/>
    </row>
    <row r="82" spans="1:6" x14ac:dyDescent="0.25">
      <c r="A82" s="116"/>
      <c r="B82" s="117"/>
      <c r="C82" s="118"/>
      <c r="D82" s="119"/>
      <c r="E82" s="188"/>
      <c r="F82" s="74"/>
    </row>
    <row r="83" spans="1:6" x14ac:dyDescent="0.25">
      <c r="A83" s="112"/>
      <c r="B83" s="113"/>
      <c r="C83" s="114"/>
      <c r="D83" s="115"/>
      <c r="E83" s="188"/>
      <c r="F83" s="74"/>
    </row>
    <row r="84" spans="1:6" x14ac:dyDescent="0.25">
      <c r="A84" s="112"/>
      <c r="B84" s="113"/>
      <c r="C84" s="114"/>
      <c r="D84" s="115"/>
      <c r="E84" s="188"/>
      <c r="F84" s="74"/>
    </row>
    <row r="85" spans="1:6" x14ac:dyDescent="0.25">
      <c r="A85" s="112"/>
      <c r="B85" s="113"/>
      <c r="C85" s="114"/>
      <c r="D85" s="115"/>
      <c r="E85" s="188"/>
      <c r="F85" s="74"/>
    </row>
    <row r="86" spans="1:6" x14ac:dyDescent="0.25">
      <c r="A86" s="116"/>
      <c r="B86" s="117"/>
      <c r="C86" s="118"/>
      <c r="D86" s="119"/>
      <c r="E86" s="188"/>
      <c r="F86" s="74"/>
    </row>
    <row r="87" spans="1:6" x14ac:dyDescent="0.25">
      <c r="A87" s="112"/>
      <c r="B87" s="113"/>
      <c r="C87" s="114"/>
      <c r="D87" s="115"/>
      <c r="E87" s="188"/>
      <c r="F87" s="74"/>
    </row>
    <row r="88" spans="1:6" x14ac:dyDescent="0.25">
      <c r="A88" s="116"/>
      <c r="B88" s="117"/>
      <c r="C88" s="118"/>
      <c r="D88" s="119"/>
      <c r="E88" s="188"/>
      <c r="F88" s="74"/>
    </row>
    <row r="89" spans="1:6" x14ac:dyDescent="0.25">
      <c r="A89" s="85"/>
      <c r="B89" s="86"/>
      <c r="C89" s="64"/>
      <c r="D89" s="65"/>
      <c r="E89" s="188"/>
      <c r="F89" s="74"/>
    </row>
    <row r="90" spans="1:6" x14ac:dyDescent="0.25">
      <c r="A90" s="89"/>
      <c r="B90" s="90"/>
      <c r="C90" s="91"/>
      <c r="D90" s="92"/>
      <c r="E90" s="135"/>
      <c r="F90" s="3"/>
    </row>
    <row r="91" spans="1:6" x14ac:dyDescent="0.25">
      <c r="A91" s="93"/>
      <c r="B91" s="94"/>
      <c r="C91" s="95" t="s">
        <v>31</v>
      </c>
      <c r="D91" s="95"/>
      <c r="E91" s="189" t="s">
        <v>7</v>
      </c>
      <c r="F91" s="4">
        <f>SUM(F48:F89)</f>
        <v>0</v>
      </c>
    </row>
    <row r="92" spans="1:6" x14ac:dyDescent="0.25">
      <c r="A92" s="93"/>
      <c r="B92" s="94"/>
      <c r="C92" s="97"/>
      <c r="D92" s="98"/>
      <c r="E92" s="137"/>
      <c r="F92" s="6"/>
    </row>
    <row r="93" spans="1:6" x14ac:dyDescent="0.25">
      <c r="A93" s="85"/>
      <c r="B93" s="82"/>
      <c r="C93" s="64"/>
      <c r="D93" s="65"/>
      <c r="E93" s="188"/>
      <c r="F93" s="74"/>
    </row>
    <row r="94" spans="1:6" x14ac:dyDescent="0.25">
      <c r="A94" s="79"/>
      <c r="B94" s="88" t="s">
        <v>210</v>
      </c>
      <c r="C94" s="81"/>
      <c r="D94" s="78"/>
      <c r="E94" s="188"/>
      <c r="F94" s="74"/>
    </row>
    <row r="95" spans="1:6" x14ac:dyDescent="0.25">
      <c r="A95" s="85"/>
      <c r="B95" s="86"/>
      <c r="C95" s="64"/>
      <c r="D95" s="65"/>
      <c r="E95" s="188"/>
      <c r="F95" s="74"/>
    </row>
    <row r="96" spans="1:6" x14ac:dyDescent="0.25">
      <c r="A96" s="60"/>
      <c r="B96" s="87" t="s">
        <v>284</v>
      </c>
      <c r="C96" s="60"/>
      <c r="D96" s="62"/>
      <c r="E96" s="188"/>
      <c r="F96" s="138">
        <f>+F44</f>
        <v>315752.38</v>
      </c>
    </row>
    <row r="97" spans="1:6" x14ac:dyDescent="0.25">
      <c r="A97" s="60"/>
      <c r="B97" s="86"/>
      <c r="C97" s="60"/>
      <c r="D97" s="62"/>
      <c r="E97" s="188"/>
      <c r="F97" s="74"/>
    </row>
    <row r="98" spans="1:6" x14ac:dyDescent="0.25">
      <c r="A98" s="60"/>
      <c r="B98" s="87" t="s">
        <v>285</v>
      </c>
      <c r="C98" s="60"/>
      <c r="D98" s="62"/>
      <c r="E98" s="188"/>
      <c r="F98" s="138">
        <f>+F91</f>
        <v>0</v>
      </c>
    </row>
    <row r="99" spans="1:6" x14ac:dyDescent="0.25">
      <c r="A99" s="60"/>
      <c r="B99" s="61"/>
      <c r="C99" s="60"/>
      <c r="D99" s="62"/>
      <c r="E99" s="188"/>
      <c r="F99" s="74"/>
    </row>
    <row r="100" spans="1:6" x14ac:dyDescent="0.25">
      <c r="A100" s="60"/>
      <c r="B100" s="61"/>
      <c r="C100" s="60"/>
      <c r="D100" s="62"/>
      <c r="E100" s="188"/>
      <c r="F100" s="74"/>
    </row>
    <row r="101" spans="1:6" x14ac:dyDescent="0.25">
      <c r="A101" s="60"/>
      <c r="B101" s="61"/>
      <c r="C101" s="60"/>
      <c r="D101" s="62"/>
      <c r="E101" s="188"/>
      <c r="F101" s="74"/>
    </row>
    <row r="102" spans="1:6" x14ac:dyDescent="0.25">
      <c r="A102" s="60"/>
      <c r="B102" s="61"/>
      <c r="C102" s="60"/>
      <c r="D102" s="62"/>
      <c r="E102" s="188"/>
      <c r="F102" s="74"/>
    </row>
    <row r="103" spans="1:6" x14ac:dyDescent="0.25">
      <c r="A103" s="60"/>
      <c r="B103" s="61"/>
      <c r="C103" s="60"/>
      <c r="D103" s="62"/>
      <c r="E103" s="188"/>
      <c r="F103" s="74"/>
    </row>
    <row r="104" spans="1:6" x14ac:dyDescent="0.25">
      <c r="A104" s="60"/>
      <c r="B104" s="61"/>
      <c r="C104" s="60"/>
      <c r="D104" s="62"/>
      <c r="E104" s="188"/>
      <c r="F104" s="74"/>
    </row>
    <row r="105" spans="1:6" x14ac:dyDescent="0.25">
      <c r="A105" s="60"/>
      <c r="B105" s="61"/>
      <c r="C105" s="60"/>
      <c r="D105" s="62"/>
      <c r="E105" s="188"/>
      <c r="F105" s="74"/>
    </row>
    <row r="106" spans="1:6" x14ac:dyDescent="0.25">
      <c r="A106" s="79"/>
      <c r="B106" s="80"/>
      <c r="C106" s="81"/>
      <c r="D106" s="78"/>
      <c r="E106" s="188"/>
      <c r="F106" s="74"/>
    </row>
    <row r="107" spans="1:6" x14ac:dyDescent="0.25">
      <c r="A107" s="79"/>
      <c r="B107" s="60"/>
      <c r="C107" s="81"/>
      <c r="D107" s="78"/>
      <c r="E107" s="188"/>
      <c r="F107" s="74"/>
    </row>
    <row r="108" spans="1:6" x14ac:dyDescent="0.25">
      <c r="A108" s="85"/>
      <c r="B108" s="82"/>
      <c r="C108" s="64"/>
      <c r="D108" s="65"/>
      <c r="E108" s="188"/>
      <c r="F108" s="74"/>
    </row>
    <row r="109" spans="1:6" x14ac:dyDescent="0.25">
      <c r="A109" s="79"/>
      <c r="B109" s="60"/>
      <c r="C109" s="81"/>
      <c r="D109" s="78"/>
      <c r="E109" s="188"/>
      <c r="F109" s="74"/>
    </row>
    <row r="110" spans="1:6" x14ac:dyDescent="0.25">
      <c r="A110" s="85"/>
      <c r="B110" s="86"/>
      <c r="C110" s="64"/>
      <c r="D110" s="65"/>
      <c r="E110" s="188"/>
      <c r="F110" s="74"/>
    </row>
    <row r="111" spans="1:6" x14ac:dyDescent="0.25">
      <c r="A111" s="79"/>
      <c r="B111" s="60"/>
      <c r="C111" s="81"/>
      <c r="D111" s="78"/>
      <c r="E111" s="188"/>
      <c r="F111" s="74"/>
    </row>
    <row r="112" spans="1:6" x14ac:dyDescent="0.25">
      <c r="A112" s="85"/>
      <c r="B112" s="86"/>
      <c r="C112" s="64"/>
      <c r="D112" s="65"/>
      <c r="E112" s="188"/>
      <c r="F112" s="74"/>
    </row>
    <row r="113" spans="1:6" x14ac:dyDescent="0.25">
      <c r="A113" s="79"/>
      <c r="B113" s="60"/>
      <c r="C113" s="81"/>
      <c r="D113" s="78"/>
      <c r="E113" s="188"/>
      <c r="F113" s="74"/>
    </row>
    <row r="114" spans="1:6" x14ac:dyDescent="0.25">
      <c r="A114" s="85"/>
      <c r="B114" s="82"/>
      <c r="C114" s="64"/>
      <c r="D114" s="65"/>
      <c r="E114" s="188"/>
      <c r="F114" s="74"/>
    </row>
    <row r="115" spans="1:6" x14ac:dyDescent="0.25">
      <c r="A115" s="79"/>
      <c r="B115" s="60"/>
      <c r="C115" s="81"/>
      <c r="D115" s="78"/>
      <c r="E115" s="188"/>
      <c r="F115" s="74"/>
    </row>
    <row r="116" spans="1:6" x14ac:dyDescent="0.25">
      <c r="A116" s="85"/>
      <c r="B116" s="86"/>
      <c r="C116" s="64"/>
      <c r="D116" s="65"/>
      <c r="E116" s="188"/>
      <c r="F116" s="74"/>
    </row>
    <row r="117" spans="1:6" x14ac:dyDescent="0.25">
      <c r="A117" s="79"/>
      <c r="B117" s="60"/>
      <c r="C117" s="81"/>
      <c r="D117" s="78"/>
      <c r="E117" s="188"/>
      <c r="F117" s="74"/>
    </row>
    <row r="118" spans="1:6" x14ac:dyDescent="0.25">
      <c r="A118" s="85"/>
      <c r="B118" s="86"/>
      <c r="C118" s="64"/>
      <c r="D118" s="65"/>
      <c r="E118" s="188"/>
      <c r="F118" s="74"/>
    </row>
    <row r="119" spans="1:6" x14ac:dyDescent="0.25">
      <c r="A119" s="79"/>
      <c r="B119" s="60"/>
      <c r="C119" s="81"/>
      <c r="D119" s="78"/>
      <c r="E119" s="188"/>
      <c r="F119" s="74"/>
    </row>
    <row r="120" spans="1:6" x14ac:dyDescent="0.25">
      <c r="A120" s="85"/>
      <c r="B120" s="86"/>
      <c r="C120" s="64"/>
      <c r="D120" s="65"/>
      <c r="E120" s="188"/>
      <c r="F120" s="74"/>
    </row>
    <row r="121" spans="1:6" x14ac:dyDescent="0.25">
      <c r="A121" s="79"/>
      <c r="B121" s="60"/>
      <c r="C121" s="81"/>
      <c r="D121" s="78"/>
      <c r="E121" s="188"/>
      <c r="F121" s="74"/>
    </row>
    <row r="122" spans="1:6" x14ac:dyDescent="0.25">
      <c r="A122" s="85"/>
      <c r="B122" s="82"/>
      <c r="C122" s="64"/>
      <c r="D122" s="65"/>
      <c r="E122" s="188"/>
      <c r="F122" s="74"/>
    </row>
    <row r="123" spans="1:6" x14ac:dyDescent="0.25">
      <c r="A123" s="79"/>
      <c r="B123" s="60"/>
      <c r="C123" s="81"/>
      <c r="D123" s="78"/>
      <c r="E123" s="188"/>
      <c r="F123" s="74"/>
    </row>
    <row r="124" spans="1:6" x14ac:dyDescent="0.25">
      <c r="A124" s="85"/>
      <c r="B124" s="86"/>
      <c r="C124" s="64"/>
      <c r="D124" s="65"/>
      <c r="E124" s="188"/>
      <c r="F124" s="74"/>
    </row>
    <row r="125" spans="1:6" x14ac:dyDescent="0.25">
      <c r="A125" s="79"/>
      <c r="B125" s="60"/>
      <c r="C125" s="81"/>
      <c r="D125" s="78"/>
      <c r="E125" s="188"/>
      <c r="F125" s="74"/>
    </row>
    <row r="126" spans="1:6" x14ac:dyDescent="0.25">
      <c r="A126" s="85"/>
      <c r="B126" s="86"/>
      <c r="C126" s="64"/>
      <c r="D126" s="65"/>
      <c r="E126" s="188"/>
      <c r="F126" s="74"/>
    </row>
    <row r="127" spans="1:6" x14ac:dyDescent="0.25">
      <c r="A127" s="79"/>
      <c r="B127" s="60"/>
      <c r="C127" s="81"/>
      <c r="D127" s="78"/>
      <c r="E127" s="188"/>
      <c r="F127" s="74"/>
    </row>
    <row r="128" spans="1:6" x14ac:dyDescent="0.25">
      <c r="A128" s="85"/>
      <c r="B128" s="82"/>
      <c r="C128" s="64"/>
      <c r="D128" s="65"/>
      <c r="E128" s="188"/>
      <c r="F128" s="74"/>
    </row>
    <row r="129" spans="1:6" x14ac:dyDescent="0.25">
      <c r="A129" s="79"/>
      <c r="B129" s="60"/>
      <c r="C129" s="81"/>
      <c r="D129" s="78"/>
      <c r="E129" s="188"/>
      <c r="F129" s="74"/>
    </row>
    <row r="130" spans="1:6" x14ac:dyDescent="0.25">
      <c r="A130" s="85"/>
      <c r="B130" s="86"/>
      <c r="C130" s="64"/>
      <c r="D130" s="65"/>
      <c r="E130" s="188"/>
      <c r="F130" s="74"/>
    </row>
    <row r="131" spans="1:6" x14ac:dyDescent="0.25">
      <c r="A131" s="60"/>
      <c r="B131" s="61"/>
      <c r="C131" s="60"/>
      <c r="D131" s="62"/>
      <c r="E131" s="188"/>
      <c r="F131" s="74"/>
    </row>
    <row r="132" spans="1:6" x14ac:dyDescent="0.25">
      <c r="A132" s="60"/>
      <c r="B132" s="61"/>
      <c r="C132" s="60"/>
      <c r="D132" s="62"/>
      <c r="E132" s="188"/>
      <c r="F132" s="74"/>
    </row>
    <row r="133" spans="1:6" x14ac:dyDescent="0.25">
      <c r="A133" s="60"/>
      <c r="B133" s="61"/>
      <c r="C133" s="60"/>
      <c r="D133" s="62"/>
      <c r="E133" s="188"/>
      <c r="F133" s="74"/>
    </row>
    <row r="134" spans="1:6" x14ac:dyDescent="0.25">
      <c r="A134" s="60"/>
      <c r="B134" s="61"/>
      <c r="C134" s="60"/>
      <c r="D134" s="62"/>
      <c r="E134" s="188"/>
      <c r="F134" s="74"/>
    </row>
    <row r="135" spans="1:6" x14ac:dyDescent="0.25">
      <c r="A135" s="60"/>
      <c r="B135" s="61"/>
      <c r="C135" s="60"/>
      <c r="D135" s="62"/>
      <c r="E135" s="188"/>
      <c r="F135" s="74"/>
    </row>
    <row r="136" spans="1:6" x14ac:dyDescent="0.25">
      <c r="A136" s="60"/>
      <c r="B136" s="61"/>
      <c r="C136" s="60"/>
      <c r="D136" s="62"/>
      <c r="E136" s="188"/>
      <c r="F136" s="74"/>
    </row>
    <row r="137" spans="1:6" x14ac:dyDescent="0.25">
      <c r="A137" s="60"/>
      <c r="B137" s="61"/>
      <c r="C137" s="60"/>
      <c r="D137" s="62"/>
      <c r="E137" s="188"/>
      <c r="F137" s="74"/>
    </row>
    <row r="138" spans="1:6" x14ac:dyDescent="0.25">
      <c r="A138" s="60"/>
      <c r="B138" s="61"/>
      <c r="C138" s="60"/>
      <c r="D138" s="62"/>
      <c r="E138" s="188"/>
      <c r="F138" s="74"/>
    </row>
    <row r="139" spans="1:6" x14ac:dyDescent="0.25">
      <c r="A139" s="60"/>
      <c r="B139" s="61"/>
      <c r="C139" s="60"/>
      <c r="D139" s="62"/>
      <c r="E139" s="188"/>
      <c r="F139" s="74"/>
    </row>
    <row r="140" spans="1:6" x14ac:dyDescent="0.25">
      <c r="A140" s="60"/>
      <c r="B140" s="61"/>
      <c r="C140" s="60"/>
      <c r="D140" s="62"/>
      <c r="E140" s="188"/>
      <c r="F140" s="74"/>
    </row>
    <row r="141" spans="1:6" x14ac:dyDescent="0.25">
      <c r="A141" s="89"/>
      <c r="B141" s="90"/>
      <c r="C141" s="91"/>
      <c r="D141" s="92"/>
      <c r="E141" s="135"/>
      <c r="F141" s="3"/>
    </row>
    <row r="142" spans="1:6" x14ac:dyDescent="0.25">
      <c r="A142" s="93"/>
      <c r="B142" s="94"/>
      <c r="C142" s="95" t="s">
        <v>226</v>
      </c>
      <c r="D142" s="95"/>
      <c r="E142" s="189" t="s">
        <v>7</v>
      </c>
      <c r="F142" s="4">
        <f>SUM(F93:F140)</f>
        <v>315752.38</v>
      </c>
    </row>
    <row r="143" spans="1:6" x14ac:dyDescent="0.25">
      <c r="A143" s="93"/>
      <c r="B143" s="94"/>
      <c r="C143" s="97"/>
      <c r="D143" s="98"/>
      <c r="E143" s="137"/>
      <c r="F143" s="6"/>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7" fitToHeight="0" orientation="portrait" useFirstPageNumber="1" r:id="rId1"/>
  <headerFooter>
    <oddHeader>&amp;R&amp;11&amp;U
BILL NO. 5 - EXTERNAL WORKS
FINISHES</oddHeader>
    <oddFooter>&amp;L&amp;8DMS 148704 BOQ - Nakheel Mall Al Khail&amp;C5/J/&amp;P</oddFooter>
  </headerFooter>
  <rowBreaks count="2" manualBreakCount="2">
    <brk id="45" max="5" man="1"/>
    <brk id="92"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DF76-F2DD-4D1F-8E58-7FE04190F3CB}">
  <dimension ref="A1:F217"/>
  <sheetViews>
    <sheetView view="pageBreakPreview" topLeftCell="A81" zoomScale="85" zoomScaleNormal="100" zoomScaleSheetLayoutView="85" zoomScalePageLayoutView="70" workbookViewId="0">
      <selection activeCell="J62" sqref="J62"/>
    </sheetView>
  </sheetViews>
  <sheetFormatPr defaultColWidth="9.33203125" defaultRowHeight="13.8" x14ac:dyDescent="0.25"/>
  <cols>
    <col min="1" max="1" width="5.6640625" style="104" customWidth="1"/>
    <col min="2" max="2" width="45" style="105" customWidth="1"/>
    <col min="3" max="3" width="10.6640625" style="106" customWidth="1"/>
    <col min="4" max="4" width="6.6640625" style="107" customWidth="1"/>
    <col min="5" max="5" width="13.109375" style="189" customWidth="1"/>
    <col min="6" max="6" width="14.33203125" style="77" customWidth="1"/>
    <col min="7" max="16384" width="9.33203125" style="103"/>
  </cols>
  <sheetData>
    <row r="1" spans="1:6" s="67" customFormat="1" ht="14.4" x14ac:dyDescent="0.25">
      <c r="A1" s="208" t="s">
        <v>1</v>
      </c>
      <c r="B1" s="208" t="s">
        <v>2</v>
      </c>
      <c r="C1" s="210" t="s">
        <v>3</v>
      </c>
      <c r="D1" s="212" t="s">
        <v>4</v>
      </c>
      <c r="E1" s="205" t="s">
        <v>5</v>
      </c>
      <c r="F1" s="109" t="s">
        <v>6</v>
      </c>
    </row>
    <row r="2" spans="1:6" s="67" customFormat="1" ht="14.4" x14ac:dyDescent="0.25">
      <c r="A2" s="209"/>
      <c r="B2" s="209"/>
      <c r="C2" s="211"/>
      <c r="D2" s="213"/>
      <c r="E2" s="206" t="s">
        <v>7</v>
      </c>
      <c r="F2" s="111" t="s">
        <v>7</v>
      </c>
    </row>
    <row r="3" spans="1:6" s="67" customFormat="1" ht="14.4" x14ac:dyDescent="0.25">
      <c r="A3" s="68"/>
      <c r="B3" s="69"/>
      <c r="C3" s="66"/>
      <c r="D3" s="70"/>
      <c r="E3" s="187"/>
      <c r="F3" s="1"/>
    </row>
    <row r="4" spans="1:6" x14ac:dyDescent="0.25">
      <c r="A4" s="79"/>
      <c r="B4" s="102" t="s">
        <v>286</v>
      </c>
      <c r="C4" s="81"/>
      <c r="D4" s="78"/>
      <c r="E4" s="188"/>
      <c r="F4" s="74"/>
    </row>
    <row r="5" spans="1:6" x14ac:dyDescent="0.25">
      <c r="A5" s="79"/>
      <c r="B5" s="80"/>
      <c r="C5" s="81"/>
      <c r="D5" s="78"/>
      <c r="E5" s="188"/>
      <c r="F5" s="74"/>
    </row>
    <row r="6" spans="1:6" x14ac:dyDescent="0.25">
      <c r="A6" s="79"/>
      <c r="B6" s="99" t="s">
        <v>287</v>
      </c>
      <c r="C6" s="81"/>
      <c r="D6" s="78"/>
      <c r="E6" s="188"/>
      <c r="F6" s="74"/>
    </row>
    <row r="7" spans="1:6" x14ac:dyDescent="0.25">
      <c r="A7" s="79"/>
      <c r="B7" s="60"/>
      <c r="C7" s="81"/>
      <c r="D7" s="78"/>
      <c r="E7" s="188"/>
      <c r="F7" s="74"/>
    </row>
    <row r="8" spans="1:6" ht="27.6" x14ac:dyDescent="0.25">
      <c r="A8" s="63"/>
      <c r="B8" s="83" t="s">
        <v>288</v>
      </c>
      <c r="C8" s="100"/>
      <c r="D8" s="101"/>
      <c r="E8" s="188"/>
      <c r="F8" s="74"/>
    </row>
    <row r="9" spans="1:6" x14ac:dyDescent="0.25">
      <c r="A9" s="79"/>
      <c r="B9" s="60"/>
      <c r="C9" s="81"/>
      <c r="D9" s="78"/>
      <c r="E9" s="188"/>
      <c r="F9" s="74"/>
    </row>
    <row r="10" spans="1:6" ht="52.8" x14ac:dyDescent="0.25">
      <c r="A10" s="63" t="s">
        <v>12</v>
      </c>
      <c r="B10" s="82" t="s">
        <v>289</v>
      </c>
      <c r="C10" s="100" t="s">
        <v>290</v>
      </c>
      <c r="D10" s="101" t="s">
        <v>145</v>
      </c>
      <c r="E10" s="188"/>
      <c r="F10" s="153" t="s">
        <v>566</v>
      </c>
    </row>
    <row r="11" spans="1:6" x14ac:dyDescent="0.25">
      <c r="A11" s="79"/>
      <c r="B11" s="60"/>
      <c r="C11" s="81"/>
      <c r="D11" s="78"/>
      <c r="E11" s="188"/>
      <c r="F11" s="74"/>
    </row>
    <row r="12" spans="1:6" x14ac:dyDescent="0.25">
      <c r="A12" s="63"/>
      <c r="B12" s="82"/>
      <c r="C12" s="100"/>
      <c r="D12" s="101"/>
      <c r="E12" s="188"/>
      <c r="F12" s="74"/>
    </row>
    <row r="13" spans="1:6" x14ac:dyDescent="0.25">
      <c r="A13" s="79"/>
      <c r="B13" s="60"/>
      <c r="C13" s="81"/>
      <c r="D13" s="78"/>
      <c r="E13" s="188"/>
      <c r="F13" s="74"/>
    </row>
    <row r="14" spans="1:6" x14ac:dyDescent="0.25">
      <c r="A14" s="63"/>
      <c r="B14" s="83"/>
      <c r="C14" s="100"/>
      <c r="D14" s="101"/>
      <c r="E14" s="188"/>
      <c r="F14" s="74"/>
    </row>
    <row r="15" spans="1:6" x14ac:dyDescent="0.25">
      <c r="A15" s="79"/>
      <c r="B15" s="60"/>
      <c r="C15" s="81"/>
      <c r="D15" s="78"/>
      <c r="E15" s="188"/>
      <c r="F15" s="74"/>
    </row>
    <row r="16" spans="1:6" x14ac:dyDescent="0.25">
      <c r="A16" s="63"/>
      <c r="B16" s="82"/>
      <c r="C16" s="100"/>
      <c r="D16" s="101"/>
      <c r="E16" s="188"/>
      <c r="F16" s="74"/>
    </row>
    <row r="17" spans="1:6" x14ac:dyDescent="0.25">
      <c r="A17" s="79"/>
      <c r="B17" s="60"/>
      <c r="C17" s="81"/>
      <c r="D17" s="78"/>
      <c r="E17" s="188"/>
      <c r="F17" s="74"/>
    </row>
    <row r="18" spans="1:6" x14ac:dyDescent="0.25">
      <c r="A18" s="63"/>
      <c r="B18" s="82"/>
      <c r="C18" s="100"/>
      <c r="D18" s="101"/>
      <c r="E18" s="188"/>
      <c r="F18" s="74"/>
    </row>
    <row r="19" spans="1:6" x14ac:dyDescent="0.25">
      <c r="A19" s="79"/>
      <c r="B19" s="60"/>
      <c r="C19" s="81"/>
      <c r="D19" s="78"/>
      <c r="E19" s="188"/>
      <c r="F19" s="74"/>
    </row>
    <row r="20" spans="1:6" x14ac:dyDescent="0.25">
      <c r="A20" s="63"/>
      <c r="B20" s="82"/>
      <c r="C20" s="100"/>
      <c r="D20" s="101"/>
      <c r="E20" s="188"/>
      <c r="F20" s="74"/>
    </row>
    <row r="21" spans="1:6" x14ac:dyDescent="0.25">
      <c r="A21" s="79"/>
      <c r="B21" s="60"/>
      <c r="C21" s="81"/>
      <c r="D21" s="78"/>
      <c r="E21" s="188"/>
      <c r="F21" s="74"/>
    </row>
    <row r="22" spans="1:6" x14ac:dyDescent="0.25">
      <c r="A22" s="63"/>
      <c r="B22" s="83"/>
      <c r="C22" s="100"/>
      <c r="D22" s="101"/>
      <c r="E22" s="188"/>
      <c r="F22" s="74"/>
    </row>
    <row r="23" spans="1:6" x14ac:dyDescent="0.25">
      <c r="A23" s="79"/>
      <c r="B23" s="60"/>
      <c r="C23" s="81"/>
      <c r="D23" s="78"/>
      <c r="E23" s="188"/>
      <c r="F23" s="74"/>
    </row>
    <row r="24" spans="1:6" x14ac:dyDescent="0.25">
      <c r="A24" s="63"/>
      <c r="B24" s="82"/>
      <c r="C24" s="100"/>
      <c r="D24" s="101"/>
      <c r="E24" s="188"/>
      <c r="F24" s="74"/>
    </row>
    <row r="25" spans="1:6" x14ac:dyDescent="0.25">
      <c r="A25" s="79"/>
      <c r="B25" s="60"/>
      <c r="C25" s="81"/>
      <c r="D25" s="78"/>
      <c r="E25" s="188"/>
      <c r="F25" s="74"/>
    </row>
    <row r="26" spans="1:6" x14ac:dyDescent="0.25">
      <c r="A26" s="63"/>
      <c r="B26" s="82"/>
      <c r="C26" s="100"/>
      <c r="D26" s="101"/>
      <c r="E26" s="188"/>
      <c r="F26" s="74"/>
    </row>
    <row r="27" spans="1:6" x14ac:dyDescent="0.25">
      <c r="A27" s="79"/>
      <c r="B27" s="60"/>
      <c r="C27" s="81"/>
      <c r="D27" s="78"/>
      <c r="E27" s="188"/>
      <c r="F27" s="74"/>
    </row>
    <row r="28" spans="1:6" x14ac:dyDescent="0.25">
      <c r="A28" s="63"/>
      <c r="B28" s="82"/>
      <c r="C28" s="100"/>
      <c r="D28" s="101"/>
      <c r="E28" s="188"/>
      <c r="F28" s="74"/>
    </row>
    <row r="29" spans="1:6" x14ac:dyDescent="0.25">
      <c r="A29" s="79"/>
      <c r="B29" s="60"/>
      <c r="C29" s="81"/>
      <c r="D29" s="78"/>
      <c r="E29" s="188"/>
      <c r="F29" s="74"/>
    </row>
    <row r="30" spans="1:6" x14ac:dyDescent="0.25">
      <c r="A30" s="63"/>
      <c r="B30" s="83"/>
      <c r="C30" s="100"/>
      <c r="D30" s="101"/>
      <c r="E30" s="188"/>
      <c r="F30" s="74"/>
    </row>
    <row r="31" spans="1:6" x14ac:dyDescent="0.25">
      <c r="A31" s="79"/>
      <c r="B31" s="60"/>
      <c r="C31" s="81"/>
      <c r="D31" s="78"/>
      <c r="E31" s="188"/>
      <c r="F31" s="74"/>
    </row>
    <row r="32" spans="1:6" x14ac:dyDescent="0.25">
      <c r="A32" s="63"/>
      <c r="B32" s="82"/>
      <c r="C32" s="100"/>
      <c r="D32" s="101"/>
      <c r="E32" s="188"/>
      <c r="F32" s="74"/>
    </row>
    <row r="33" spans="1:6" x14ac:dyDescent="0.25">
      <c r="A33" s="79"/>
      <c r="B33" s="60"/>
      <c r="C33" s="81"/>
      <c r="D33" s="78"/>
      <c r="E33" s="188"/>
      <c r="F33" s="74"/>
    </row>
    <row r="34" spans="1:6" x14ac:dyDescent="0.25">
      <c r="A34" s="63"/>
      <c r="B34" s="82"/>
      <c r="C34" s="100"/>
      <c r="D34" s="101"/>
      <c r="E34" s="188"/>
      <c r="F34" s="74"/>
    </row>
    <row r="35" spans="1:6" x14ac:dyDescent="0.25">
      <c r="A35" s="79"/>
      <c r="B35" s="60"/>
      <c r="C35" s="81"/>
      <c r="D35" s="78"/>
      <c r="E35" s="188"/>
      <c r="F35" s="74"/>
    </row>
    <row r="36" spans="1:6" x14ac:dyDescent="0.25">
      <c r="A36" s="63"/>
      <c r="B36" s="82"/>
      <c r="C36" s="100"/>
      <c r="D36" s="101"/>
      <c r="E36" s="188"/>
      <c r="F36" s="74"/>
    </row>
    <row r="37" spans="1:6" x14ac:dyDescent="0.25">
      <c r="A37" s="79"/>
      <c r="B37" s="60"/>
      <c r="C37" s="81"/>
      <c r="D37" s="78"/>
      <c r="E37" s="188"/>
      <c r="F37" s="74"/>
    </row>
    <row r="38" spans="1:6" x14ac:dyDescent="0.25">
      <c r="A38" s="63"/>
      <c r="B38" s="82"/>
      <c r="C38" s="100"/>
      <c r="D38" s="101"/>
      <c r="E38" s="188"/>
      <c r="F38" s="74"/>
    </row>
    <row r="39" spans="1:6" x14ac:dyDescent="0.25">
      <c r="A39" s="79"/>
      <c r="B39" s="60"/>
      <c r="C39" s="81"/>
      <c r="D39" s="78"/>
      <c r="E39" s="188"/>
      <c r="F39" s="74"/>
    </row>
    <row r="40" spans="1:6" x14ac:dyDescent="0.25">
      <c r="A40" s="79"/>
      <c r="B40" s="60"/>
      <c r="C40" s="81"/>
      <c r="D40" s="78"/>
      <c r="E40" s="188"/>
      <c r="F40" s="74"/>
    </row>
    <row r="41" spans="1:6" x14ac:dyDescent="0.25">
      <c r="A41" s="79"/>
      <c r="B41" s="60"/>
      <c r="C41" s="81"/>
      <c r="D41" s="78"/>
      <c r="E41" s="188"/>
      <c r="F41" s="74"/>
    </row>
    <row r="42" spans="1:6" x14ac:dyDescent="0.25">
      <c r="A42" s="79"/>
      <c r="B42" s="60"/>
      <c r="C42" s="81"/>
      <c r="D42" s="78"/>
      <c r="E42" s="188"/>
      <c r="F42" s="74"/>
    </row>
    <row r="43" spans="1:6" x14ac:dyDescent="0.25">
      <c r="A43" s="63"/>
      <c r="B43" s="82"/>
      <c r="C43" s="100"/>
      <c r="D43" s="101"/>
      <c r="E43" s="188"/>
      <c r="F43" s="74"/>
    </row>
    <row r="44" spans="1:6" x14ac:dyDescent="0.25">
      <c r="A44" s="79"/>
      <c r="B44" s="80"/>
      <c r="C44" s="81"/>
      <c r="D44" s="78"/>
      <c r="E44" s="188"/>
      <c r="F44" s="74"/>
    </row>
    <row r="45" spans="1:6" x14ac:dyDescent="0.25">
      <c r="A45" s="79"/>
      <c r="B45" s="80"/>
      <c r="C45" s="81"/>
      <c r="D45" s="78"/>
      <c r="E45" s="188"/>
      <c r="F45" s="74"/>
    </row>
    <row r="46" spans="1:6" x14ac:dyDescent="0.25">
      <c r="A46" s="79"/>
      <c r="B46" s="60"/>
      <c r="C46" s="81"/>
      <c r="D46" s="78"/>
      <c r="E46" s="188"/>
      <c r="F46" s="74"/>
    </row>
    <row r="47" spans="1:6" x14ac:dyDescent="0.25">
      <c r="A47" s="85"/>
      <c r="B47" s="82"/>
      <c r="C47" s="64"/>
      <c r="D47" s="65"/>
      <c r="E47" s="188"/>
      <c r="F47" s="74"/>
    </row>
    <row r="48" spans="1:6" x14ac:dyDescent="0.25">
      <c r="A48" s="89"/>
      <c r="B48" s="90"/>
      <c r="C48" s="91"/>
      <c r="D48" s="92"/>
      <c r="E48" s="135"/>
      <c r="F48" s="3"/>
    </row>
    <row r="49" spans="1:6" x14ac:dyDescent="0.25">
      <c r="A49" s="93"/>
      <c r="B49" s="94"/>
      <c r="C49" s="95" t="s">
        <v>31</v>
      </c>
      <c r="D49" s="95"/>
      <c r="E49" s="189" t="s">
        <v>7</v>
      </c>
      <c r="F49" s="4">
        <f>SUM(F4:F47)</f>
        <v>0</v>
      </c>
    </row>
    <row r="50" spans="1:6" x14ac:dyDescent="0.25">
      <c r="A50" s="93"/>
      <c r="B50" s="94"/>
      <c r="C50" s="97"/>
      <c r="D50" s="98"/>
      <c r="E50" s="137"/>
      <c r="F50" s="6"/>
    </row>
    <row r="51" spans="1:6" x14ac:dyDescent="0.25">
      <c r="A51" s="85"/>
      <c r="B51" s="82"/>
      <c r="C51" s="64"/>
      <c r="D51" s="65"/>
      <c r="E51" s="188"/>
      <c r="F51" s="74"/>
    </row>
    <row r="52" spans="1:6" x14ac:dyDescent="0.25">
      <c r="A52" s="79"/>
      <c r="B52" s="99" t="s">
        <v>291</v>
      </c>
      <c r="C52" s="81"/>
      <c r="D52" s="78"/>
      <c r="E52" s="188"/>
      <c r="F52" s="74"/>
    </row>
    <row r="53" spans="1:6" x14ac:dyDescent="0.25">
      <c r="A53" s="79"/>
      <c r="B53" s="60"/>
      <c r="C53" s="81"/>
      <c r="D53" s="78"/>
      <c r="E53" s="188"/>
      <c r="F53" s="74"/>
    </row>
    <row r="54" spans="1:6" ht="110.4" x14ac:dyDescent="0.25">
      <c r="A54" s="63"/>
      <c r="B54" s="83" t="s">
        <v>292</v>
      </c>
      <c r="C54" s="100"/>
      <c r="D54" s="101"/>
      <c r="E54" s="188"/>
      <c r="F54" s="74"/>
    </row>
    <row r="55" spans="1:6" x14ac:dyDescent="0.25">
      <c r="A55" s="79"/>
      <c r="B55" s="60"/>
      <c r="C55" s="81"/>
      <c r="D55" s="78"/>
      <c r="E55" s="188"/>
      <c r="F55" s="74"/>
    </row>
    <row r="56" spans="1:6" ht="27.6" x14ac:dyDescent="0.25">
      <c r="A56" s="63" t="s">
        <v>12</v>
      </c>
      <c r="B56" s="82" t="s">
        <v>293</v>
      </c>
      <c r="C56" s="100">
        <v>86</v>
      </c>
      <c r="D56" s="101" t="s">
        <v>105</v>
      </c>
      <c r="E56" s="188">
        <v>2300.5700000000002</v>
      </c>
      <c r="F56" s="128">
        <f>E56*C56</f>
        <v>197849.02000000002</v>
      </c>
    </row>
    <row r="57" spans="1:6" x14ac:dyDescent="0.25">
      <c r="A57" s="79"/>
      <c r="B57" s="60"/>
      <c r="C57" s="81"/>
      <c r="D57" s="78"/>
      <c r="E57" s="188"/>
      <c r="F57" s="128"/>
    </row>
    <row r="58" spans="1:6" ht="27.6" x14ac:dyDescent="0.25">
      <c r="A58" s="63" t="s">
        <v>16</v>
      </c>
      <c r="B58" s="82" t="s">
        <v>295</v>
      </c>
      <c r="C58" s="100">
        <v>116</v>
      </c>
      <c r="D58" s="101" t="s">
        <v>105</v>
      </c>
      <c r="E58" s="188">
        <v>2714.12</v>
      </c>
      <c r="F58" s="128">
        <f>E58*C58</f>
        <v>314837.92</v>
      </c>
    </row>
    <row r="59" spans="1:6" x14ac:dyDescent="0.25">
      <c r="A59" s="79"/>
      <c r="B59" s="60"/>
      <c r="C59" s="81"/>
      <c r="D59" s="78"/>
      <c r="E59" s="188"/>
      <c r="F59" s="74"/>
    </row>
    <row r="60" spans="1:6" ht="124.2" x14ac:dyDescent="0.25">
      <c r="A60" s="63"/>
      <c r="B60" s="83" t="s">
        <v>296</v>
      </c>
      <c r="C60" s="100"/>
      <c r="D60" s="101"/>
      <c r="E60" s="188"/>
      <c r="F60" s="74"/>
    </row>
    <row r="61" spans="1:6" x14ac:dyDescent="0.25">
      <c r="A61" s="79"/>
      <c r="B61" s="60"/>
      <c r="C61" s="81"/>
      <c r="D61" s="78"/>
      <c r="E61" s="188"/>
      <c r="F61" s="74"/>
    </row>
    <row r="62" spans="1:6" ht="27.6" x14ac:dyDescent="0.25">
      <c r="A62" s="63" t="s">
        <v>19</v>
      </c>
      <c r="B62" s="82" t="s">
        <v>297</v>
      </c>
      <c r="C62" s="100">
        <v>223</v>
      </c>
      <c r="D62" s="101" t="s">
        <v>105</v>
      </c>
      <c r="E62" s="188">
        <v>1089.3800000000001</v>
      </c>
      <c r="F62" s="128">
        <f t="shared" ref="F62:F68" si="0">E62*C62</f>
        <v>242931.74000000002</v>
      </c>
    </row>
    <row r="63" spans="1:6" x14ac:dyDescent="0.25">
      <c r="A63" s="79"/>
      <c r="B63" s="60"/>
      <c r="C63" s="81"/>
      <c r="D63" s="78"/>
      <c r="E63" s="188"/>
      <c r="F63" s="128">
        <f t="shared" si="0"/>
        <v>0</v>
      </c>
    </row>
    <row r="64" spans="1:6" ht="27.6" x14ac:dyDescent="0.25">
      <c r="A64" s="63" t="s">
        <v>22</v>
      </c>
      <c r="B64" s="82" t="s">
        <v>298</v>
      </c>
      <c r="C64" s="100">
        <v>750</v>
      </c>
      <c r="D64" s="101" t="s">
        <v>105</v>
      </c>
      <c r="E64" s="188">
        <v>1161.08</v>
      </c>
      <c r="F64" s="128">
        <f t="shared" si="0"/>
        <v>870810</v>
      </c>
    </row>
    <row r="65" spans="1:6" x14ac:dyDescent="0.25">
      <c r="A65" s="79"/>
      <c r="B65" s="60"/>
      <c r="C65" s="81"/>
      <c r="D65" s="78"/>
      <c r="E65" s="188"/>
      <c r="F65" s="128">
        <f t="shared" si="0"/>
        <v>0</v>
      </c>
    </row>
    <row r="66" spans="1:6" ht="27.6" x14ac:dyDescent="0.25">
      <c r="A66" s="63" t="s">
        <v>25</v>
      </c>
      <c r="B66" s="82" t="s">
        <v>299</v>
      </c>
      <c r="C66" s="100">
        <v>228</v>
      </c>
      <c r="D66" s="101" t="s">
        <v>105</v>
      </c>
      <c r="E66" s="188">
        <v>1089.3800000000001</v>
      </c>
      <c r="F66" s="128">
        <f t="shared" si="0"/>
        <v>248378.64</v>
      </c>
    </row>
    <row r="67" spans="1:6" x14ac:dyDescent="0.25">
      <c r="A67" s="79"/>
      <c r="B67" s="60"/>
      <c r="C67" s="81"/>
      <c r="D67" s="78"/>
      <c r="E67" s="188"/>
      <c r="F67" s="128">
        <f t="shared" si="0"/>
        <v>0</v>
      </c>
    </row>
    <row r="68" spans="1:6" ht="27.6" x14ac:dyDescent="0.25">
      <c r="A68" s="63" t="s">
        <v>28</v>
      </c>
      <c r="B68" s="82" t="s">
        <v>300</v>
      </c>
      <c r="C68" s="100">
        <v>842</v>
      </c>
      <c r="D68" s="101" t="s">
        <v>105</v>
      </c>
      <c r="E68" s="188">
        <v>1161.08</v>
      </c>
      <c r="F68" s="128">
        <f t="shared" si="0"/>
        <v>977629.36</v>
      </c>
    </row>
    <row r="69" spans="1:6" x14ac:dyDescent="0.25">
      <c r="A69" s="60"/>
      <c r="B69" s="61"/>
      <c r="C69" s="60"/>
      <c r="D69" s="62"/>
      <c r="E69" s="188"/>
      <c r="F69" s="74"/>
    </row>
    <row r="70" spans="1:6" x14ac:dyDescent="0.25">
      <c r="A70" s="60"/>
      <c r="B70" s="61"/>
      <c r="C70" s="60"/>
      <c r="D70" s="62"/>
      <c r="E70" s="188"/>
      <c r="F70" s="74"/>
    </row>
    <row r="71" spans="1:6" x14ac:dyDescent="0.25">
      <c r="A71" s="79"/>
      <c r="B71" s="80"/>
      <c r="C71" s="81"/>
      <c r="D71" s="78"/>
      <c r="E71" s="188"/>
      <c r="F71" s="74"/>
    </row>
    <row r="72" spans="1:6" x14ac:dyDescent="0.25">
      <c r="A72" s="85"/>
      <c r="B72" s="86"/>
      <c r="C72" s="64"/>
      <c r="D72" s="65"/>
      <c r="E72" s="188"/>
      <c r="F72" s="74"/>
    </row>
    <row r="73" spans="1:6" x14ac:dyDescent="0.25">
      <c r="A73" s="79"/>
      <c r="B73" s="60"/>
      <c r="C73" s="81"/>
      <c r="D73" s="78"/>
      <c r="E73" s="188"/>
      <c r="F73" s="74"/>
    </row>
    <row r="74" spans="1:6" x14ac:dyDescent="0.25">
      <c r="A74" s="85"/>
      <c r="B74" s="82"/>
      <c r="C74" s="64"/>
      <c r="D74" s="65"/>
      <c r="E74" s="188"/>
      <c r="F74" s="74"/>
    </row>
    <row r="75" spans="1:6" x14ac:dyDescent="0.25">
      <c r="A75" s="89"/>
      <c r="B75" s="90"/>
      <c r="C75" s="91"/>
      <c r="D75" s="92"/>
      <c r="E75" s="135"/>
      <c r="F75" s="3"/>
    </row>
    <row r="76" spans="1:6" x14ac:dyDescent="0.25">
      <c r="A76" s="93"/>
      <c r="B76" s="94"/>
      <c r="C76" s="95" t="s">
        <v>31</v>
      </c>
      <c r="D76" s="95"/>
      <c r="E76" s="189" t="s">
        <v>7</v>
      </c>
      <c r="F76" s="4">
        <f>SUM(F51:F74)</f>
        <v>2852436.68</v>
      </c>
    </row>
    <row r="77" spans="1:6" x14ac:dyDescent="0.25">
      <c r="A77" s="93"/>
      <c r="B77" s="94"/>
      <c r="C77" s="97"/>
      <c r="D77" s="98"/>
      <c r="E77" s="137"/>
      <c r="F77" s="6"/>
    </row>
    <row r="78" spans="1:6" x14ac:dyDescent="0.25">
      <c r="A78" s="85"/>
      <c r="B78" s="82"/>
      <c r="C78" s="64"/>
      <c r="D78" s="65"/>
      <c r="E78" s="188"/>
      <c r="F78" s="74"/>
    </row>
    <row r="79" spans="1:6" x14ac:dyDescent="0.25">
      <c r="A79" s="79"/>
      <c r="B79" s="99" t="s">
        <v>301</v>
      </c>
      <c r="C79" s="81"/>
      <c r="D79" s="78"/>
      <c r="E79" s="188"/>
      <c r="F79" s="74"/>
    </row>
    <row r="80" spans="1:6" x14ac:dyDescent="0.25">
      <c r="A80" s="79"/>
      <c r="B80" s="60"/>
      <c r="C80" s="81"/>
      <c r="D80" s="78"/>
      <c r="E80" s="188"/>
      <c r="F80" s="74"/>
    </row>
    <row r="81" spans="1:6" ht="96.6" x14ac:dyDescent="0.25">
      <c r="A81" s="63"/>
      <c r="B81" s="83" t="s">
        <v>302</v>
      </c>
      <c r="C81" s="100"/>
      <c r="D81" s="101"/>
      <c r="E81" s="188"/>
      <c r="F81" s="74"/>
    </row>
    <row r="82" spans="1:6" x14ac:dyDescent="0.25">
      <c r="A82" s="79"/>
      <c r="B82" s="60"/>
      <c r="C82" s="81"/>
      <c r="D82" s="78"/>
      <c r="E82" s="188"/>
      <c r="F82" s="74"/>
    </row>
    <row r="83" spans="1:6" x14ac:dyDescent="0.25">
      <c r="A83" s="63" t="s">
        <v>12</v>
      </c>
      <c r="B83" s="82" t="s">
        <v>303</v>
      </c>
      <c r="C83" s="100">
        <v>51</v>
      </c>
      <c r="D83" s="101" t="s">
        <v>105</v>
      </c>
      <c r="E83" s="188">
        <v>1807.65</v>
      </c>
      <c r="F83" s="128">
        <f t="shared" ref="F83" si="1">E83*C83</f>
        <v>92190.150000000009</v>
      </c>
    </row>
    <row r="84" spans="1:6" x14ac:dyDescent="0.25">
      <c r="A84" s="85"/>
      <c r="B84" s="82"/>
      <c r="C84" s="64"/>
      <c r="D84" s="65"/>
      <c r="E84" s="188"/>
      <c r="F84" s="74"/>
    </row>
    <row r="85" spans="1:6" x14ac:dyDescent="0.25">
      <c r="A85" s="79"/>
      <c r="B85" s="60"/>
      <c r="C85" s="81"/>
      <c r="D85" s="78"/>
      <c r="E85" s="188"/>
      <c r="F85" s="74"/>
    </row>
    <row r="86" spans="1:6" x14ac:dyDescent="0.25">
      <c r="A86" s="85"/>
      <c r="B86" s="86"/>
      <c r="C86" s="64"/>
      <c r="D86" s="65"/>
      <c r="E86" s="188"/>
      <c r="F86" s="74"/>
    </row>
    <row r="87" spans="1:6" x14ac:dyDescent="0.25">
      <c r="A87" s="79"/>
      <c r="B87" s="60"/>
      <c r="C87" s="81"/>
      <c r="D87" s="78"/>
      <c r="E87" s="188"/>
      <c r="F87" s="74"/>
    </row>
    <row r="88" spans="1:6" x14ac:dyDescent="0.25">
      <c r="A88" s="85"/>
      <c r="B88" s="86"/>
      <c r="C88" s="64"/>
      <c r="D88" s="65"/>
      <c r="E88" s="188"/>
      <c r="F88" s="74"/>
    </row>
    <row r="89" spans="1:6" x14ac:dyDescent="0.25">
      <c r="A89" s="79"/>
      <c r="B89" s="60"/>
      <c r="C89" s="81"/>
      <c r="D89" s="78"/>
      <c r="E89" s="188"/>
      <c r="F89" s="74"/>
    </row>
    <row r="90" spans="1:6" x14ac:dyDescent="0.25">
      <c r="A90" s="85"/>
      <c r="B90" s="82"/>
      <c r="C90" s="64"/>
      <c r="D90" s="65"/>
      <c r="E90" s="188"/>
      <c r="F90" s="74"/>
    </row>
    <row r="91" spans="1:6" x14ac:dyDescent="0.25">
      <c r="A91" s="79"/>
      <c r="B91" s="60"/>
      <c r="C91" s="81"/>
      <c r="D91" s="78"/>
      <c r="E91" s="188"/>
      <c r="F91" s="74"/>
    </row>
    <row r="92" spans="1:6" x14ac:dyDescent="0.25">
      <c r="A92" s="85"/>
      <c r="B92" s="86"/>
      <c r="C92" s="64"/>
      <c r="D92" s="65"/>
      <c r="E92" s="188"/>
      <c r="F92" s="74"/>
    </row>
    <row r="93" spans="1:6" x14ac:dyDescent="0.25">
      <c r="A93" s="60"/>
      <c r="B93" s="61"/>
      <c r="C93" s="60"/>
      <c r="D93" s="62"/>
      <c r="E93" s="188"/>
      <c r="F93" s="74"/>
    </row>
    <row r="94" spans="1:6" x14ac:dyDescent="0.25">
      <c r="A94" s="60"/>
      <c r="B94" s="61"/>
      <c r="C94" s="60"/>
      <c r="D94" s="62"/>
      <c r="E94" s="188"/>
      <c r="F94" s="74"/>
    </row>
    <row r="95" spans="1:6" x14ac:dyDescent="0.25">
      <c r="A95" s="60"/>
      <c r="B95" s="61"/>
      <c r="C95" s="60"/>
      <c r="D95" s="62"/>
      <c r="E95" s="188"/>
      <c r="F95" s="74"/>
    </row>
    <row r="96" spans="1:6" x14ac:dyDescent="0.25">
      <c r="A96" s="60"/>
      <c r="B96" s="61"/>
      <c r="C96" s="60"/>
      <c r="D96" s="62"/>
      <c r="E96" s="188"/>
      <c r="F96" s="74"/>
    </row>
    <row r="97" spans="1:6" x14ac:dyDescent="0.25">
      <c r="A97" s="60"/>
      <c r="B97" s="61"/>
      <c r="C97" s="60"/>
      <c r="D97" s="62"/>
      <c r="E97" s="188"/>
      <c r="F97" s="74"/>
    </row>
    <row r="98" spans="1:6" x14ac:dyDescent="0.25">
      <c r="A98" s="60"/>
      <c r="B98" s="61"/>
      <c r="C98" s="60"/>
      <c r="D98" s="62"/>
      <c r="E98" s="188"/>
      <c r="F98" s="74"/>
    </row>
    <row r="99" spans="1:6" x14ac:dyDescent="0.25">
      <c r="A99" s="60"/>
      <c r="B99" s="61"/>
      <c r="C99" s="60"/>
      <c r="D99" s="62"/>
      <c r="E99" s="188"/>
      <c r="F99" s="74"/>
    </row>
    <row r="100" spans="1:6" x14ac:dyDescent="0.25">
      <c r="A100" s="60"/>
      <c r="B100" s="61"/>
      <c r="C100" s="60"/>
      <c r="D100" s="62"/>
      <c r="E100" s="188"/>
      <c r="F100" s="74"/>
    </row>
    <row r="101" spans="1:6" x14ac:dyDescent="0.25">
      <c r="A101" s="60"/>
      <c r="B101" s="61"/>
      <c r="C101" s="60"/>
      <c r="D101" s="62"/>
      <c r="E101" s="188"/>
      <c r="F101" s="74"/>
    </row>
    <row r="102" spans="1:6" x14ac:dyDescent="0.25">
      <c r="A102" s="60"/>
      <c r="B102" s="61"/>
      <c r="C102" s="60"/>
      <c r="D102" s="62"/>
      <c r="E102" s="188"/>
      <c r="F102" s="74"/>
    </row>
    <row r="103" spans="1:6" x14ac:dyDescent="0.25">
      <c r="A103" s="79"/>
      <c r="B103" s="80"/>
      <c r="C103" s="81"/>
      <c r="D103" s="78"/>
      <c r="E103" s="188"/>
      <c r="F103" s="74"/>
    </row>
    <row r="104" spans="1:6" x14ac:dyDescent="0.25">
      <c r="A104" s="79"/>
      <c r="B104" s="84"/>
      <c r="C104" s="81"/>
      <c r="D104" s="78"/>
      <c r="E104" s="188"/>
      <c r="F104" s="74"/>
    </row>
    <row r="105" spans="1:6" x14ac:dyDescent="0.25">
      <c r="A105" s="85"/>
      <c r="B105" s="86"/>
      <c r="C105" s="64"/>
      <c r="D105" s="65"/>
      <c r="E105" s="188"/>
      <c r="F105" s="74"/>
    </row>
    <row r="106" spans="1:6" x14ac:dyDescent="0.25">
      <c r="A106" s="79"/>
      <c r="B106" s="60"/>
      <c r="C106" s="81"/>
      <c r="D106" s="78"/>
      <c r="E106" s="188"/>
      <c r="F106" s="74"/>
    </row>
    <row r="107" spans="1:6" x14ac:dyDescent="0.25">
      <c r="A107" s="85"/>
      <c r="B107" s="82"/>
      <c r="C107" s="64"/>
      <c r="D107" s="65"/>
      <c r="E107" s="188"/>
      <c r="F107" s="74"/>
    </row>
    <row r="108" spans="1:6" x14ac:dyDescent="0.25">
      <c r="A108" s="79"/>
      <c r="B108" s="60"/>
      <c r="C108" s="81"/>
      <c r="D108" s="78"/>
      <c r="E108" s="188"/>
      <c r="F108" s="74"/>
    </row>
    <row r="109" spans="1:6" x14ac:dyDescent="0.25">
      <c r="A109" s="85"/>
      <c r="B109" s="86"/>
      <c r="C109" s="64"/>
      <c r="D109" s="65"/>
      <c r="E109" s="188"/>
      <c r="F109" s="74"/>
    </row>
    <row r="110" spans="1:6" x14ac:dyDescent="0.25">
      <c r="A110" s="85"/>
      <c r="B110" s="86"/>
      <c r="C110" s="64"/>
      <c r="D110" s="65"/>
      <c r="E110" s="188"/>
      <c r="F110" s="74"/>
    </row>
    <row r="111" spans="1:6" x14ac:dyDescent="0.25">
      <c r="A111" s="79"/>
      <c r="B111" s="60"/>
      <c r="C111" s="81"/>
      <c r="D111" s="78"/>
      <c r="E111" s="188"/>
      <c r="F111" s="74"/>
    </row>
    <row r="112" spans="1:6" x14ac:dyDescent="0.25">
      <c r="A112" s="79"/>
      <c r="B112" s="60"/>
      <c r="C112" s="81"/>
      <c r="D112" s="78"/>
      <c r="E112" s="188"/>
      <c r="F112" s="74"/>
    </row>
    <row r="113" spans="1:6" x14ac:dyDescent="0.25">
      <c r="A113" s="85"/>
      <c r="B113" s="86"/>
      <c r="C113" s="64"/>
      <c r="D113" s="65"/>
      <c r="E113" s="188"/>
      <c r="F113" s="74"/>
    </row>
    <row r="114" spans="1:6" x14ac:dyDescent="0.25">
      <c r="A114" s="85"/>
      <c r="B114" s="86"/>
      <c r="C114" s="64"/>
      <c r="D114" s="65"/>
      <c r="E114" s="188"/>
      <c r="F114" s="74"/>
    </row>
    <row r="115" spans="1:6" x14ac:dyDescent="0.25">
      <c r="A115" s="79"/>
      <c r="B115" s="60"/>
      <c r="C115" s="81"/>
      <c r="D115" s="78"/>
      <c r="E115" s="188"/>
      <c r="F115" s="74"/>
    </row>
    <row r="116" spans="1:6" x14ac:dyDescent="0.25">
      <c r="A116" s="85"/>
      <c r="B116" s="86"/>
      <c r="C116" s="64"/>
      <c r="D116" s="65"/>
      <c r="E116" s="188"/>
      <c r="F116" s="74"/>
    </row>
    <row r="117" spans="1:6" x14ac:dyDescent="0.25">
      <c r="A117" s="79"/>
      <c r="B117" s="60"/>
      <c r="C117" s="81"/>
      <c r="D117" s="78"/>
      <c r="E117" s="188"/>
      <c r="F117" s="74"/>
    </row>
    <row r="118" spans="1:6" x14ac:dyDescent="0.25">
      <c r="A118" s="85"/>
      <c r="B118" s="86"/>
      <c r="C118" s="64"/>
      <c r="D118" s="65"/>
      <c r="E118" s="188"/>
      <c r="F118" s="74"/>
    </row>
    <row r="119" spans="1:6" x14ac:dyDescent="0.25">
      <c r="A119" s="89"/>
      <c r="B119" s="90"/>
      <c r="C119" s="91"/>
      <c r="D119" s="92"/>
      <c r="E119" s="135"/>
      <c r="F119" s="3"/>
    </row>
    <row r="120" spans="1:6" x14ac:dyDescent="0.25">
      <c r="A120" s="93"/>
      <c r="B120" s="94"/>
      <c r="C120" s="95" t="s">
        <v>31</v>
      </c>
      <c r="D120" s="95"/>
      <c r="E120" s="189" t="s">
        <v>7</v>
      </c>
      <c r="F120" s="4">
        <f>SUM(F79:F118)</f>
        <v>92190.150000000009</v>
      </c>
    </row>
    <row r="121" spans="1:6" x14ac:dyDescent="0.25">
      <c r="A121" s="93"/>
      <c r="B121" s="94"/>
      <c r="C121" s="97"/>
      <c r="D121" s="98"/>
      <c r="E121" s="137"/>
      <c r="F121" s="6"/>
    </row>
    <row r="122" spans="1:6" x14ac:dyDescent="0.25">
      <c r="A122" s="85"/>
      <c r="B122" s="82"/>
      <c r="C122" s="64"/>
      <c r="D122" s="65"/>
      <c r="E122" s="188"/>
      <c r="F122" s="74"/>
    </row>
    <row r="123" spans="1:6" x14ac:dyDescent="0.25">
      <c r="A123" s="79"/>
      <c r="B123" s="99" t="s">
        <v>208</v>
      </c>
      <c r="C123" s="81"/>
      <c r="D123" s="78"/>
      <c r="E123" s="188"/>
      <c r="F123" s="74"/>
    </row>
    <row r="124" spans="1:6" x14ac:dyDescent="0.25">
      <c r="A124" s="79"/>
      <c r="B124" s="60"/>
      <c r="C124" s="81"/>
      <c r="D124" s="78"/>
      <c r="E124" s="188"/>
      <c r="F124" s="74"/>
    </row>
    <row r="125" spans="1:6" ht="55.2" x14ac:dyDescent="0.25">
      <c r="A125" s="63"/>
      <c r="B125" s="82" t="s">
        <v>304</v>
      </c>
      <c r="C125" s="100"/>
      <c r="D125" s="101" t="s">
        <v>1</v>
      </c>
      <c r="E125" s="188"/>
      <c r="F125" s="74"/>
    </row>
    <row r="126" spans="1:6" x14ac:dyDescent="0.25">
      <c r="A126" s="85"/>
      <c r="B126" s="86"/>
      <c r="C126" s="64"/>
      <c r="D126" s="65"/>
      <c r="E126" s="188"/>
      <c r="F126" s="74"/>
    </row>
    <row r="127" spans="1:6" ht="26.4" x14ac:dyDescent="0.25">
      <c r="A127" s="184" t="s">
        <v>12</v>
      </c>
      <c r="B127" s="183" t="s">
        <v>555</v>
      </c>
      <c r="C127" s="182">
        <v>1</v>
      </c>
      <c r="D127" s="203" t="s">
        <v>556</v>
      </c>
      <c r="E127" s="199"/>
      <c r="F127" s="180">
        <f>+E127*C127</f>
        <v>0</v>
      </c>
    </row>
    <row r="128" spans="1:6" x14ac:dyDescent="0.25">
      <c r="A128" s="112"/>
      <c r="B128" s="120"/>
      <c r="C128" s="114"/>
      <c r="D128" s="115"/>
      <c r="E128" s="188"/>
      <c r="F128" s="74"/>
    </row>
    <row r="129" spans="1:6" x14ac:dyDescent="0.25">
      <c r="A129" s="116"/>
      <c r="B129" s="117"/>
      <c r="C129" s="118"/>
      <c r="D129" s="119"/>
      <c r="E129" s="188"/>
      <c r="F129" s="74"/>
    </row>
    <row r="130" spans="1:6" x14ac:dyDescent="0.25">
      <c r="A130" s="112"/>
      <c r="B130" s="113"/>
      <c r="C130" s="114"/>
      <c r="D130" s="115"/>
      <c r="E130" s="188"/>
      <c r="F130" s="74"/>
    </row>
    <row r="131" spans="1:6" x14ac:dyDescent="0.25">
      <c r="A131" s="116"/>
      <c r="B131" s="117"/>
      <c r="C131" s="118"/>
      <c r="D131" s="119"/>
      <c r="E131" s="188"/>
      <c r="F131" s="74"/>
    </row>
    <row r="132" spans="1:6" x14ac:dyDescent="0.25">
      <c r="A132" s="112"/>
      <c r="B132" s="113"/>
      <c r="C132" s="114"/>
      <c r="D132" s="115"/>
      <c r="E132" s="188"/>
      <c r="F132" s="74"/>
    </row>
    <row r="133" spans="1:6" x14ac:dyDescent="0.25">
      <c r="A133" s="116"/>
      <c r="B133" s="117"/>
      <c r="C133" s="118"/>
      <c r="D133" s="119"/>
      <c r="E133" s="188"/>
      <c r="F133" s="74"/>
    </row>
    <row r="134" spans="1:6" x14ac:dyDescent="0.25">
      <c r="A134" s="112"/>
      <c r="B134" s="120"/>
      <c r="C134" s="114"/>
      <c r="D134" s="115"/>
      <c r="E134" s="188"/>
      <c r="F134" s="74"/>
    </row>
    <row r="135" spans="1:6" x14ac:dyDescent="0.25">
      <c r="A135" s="116"/>
      <c r="B135" s="117"/>
      <c r="C135" s="118"/>
      <c r="D135" s="119"/>
      <c r="E135" s="188"/>
      <c r="F135" s="74"/>
    </row>
    <row r="136" spans="1:6" x14ac:dyDescent="0.25">
      <c r="A136" s="112"/>
      <c r="B136" s="113"/>
      <c r="C136" s="114"/>
      <c r="D136" s="115"/>
      <c r="E136" s="188"/>
      <c r="F136" s="74"/>
    </row>
    <row r="137" spans="1:6" x14ac:dyDescent="0.25">
      <c r="A137" s="117"/>
      <c r="B137" s="121"/>
      <c r="C137" s="117"/>
      <c r="D137" s="122"/>
      <c r="E137" s="188"/>
      <c r="F137" s="74"/>
    </row>
    <row r="138" spans="1:6" x14ac:dyDescent="0.25">
      <c r="A138" s="117"/>
      <c r="B138" s="121"/>
      <c r="C138" s="117"/>
      <c r="D138" s="122"/>
      <c r="E138" s="188"/>
      <c r="F138" s="74"/>
    </row>
    <row r="139" spans="1:6" x14ac:dyDescent="0.25">
      <c r="A139" s="117"/>
      <c r="B139" s="121"/>
      <c r="C139" s="117"/>
      <c r="D139" s="122"/>
      <c r="E139" s="188"/>
      <c r="F139" s="74"/>
    </row>
    <row r="140" spans="1:6" x14ac:dyDescent="0.25">
      <c r="A140" s="117"/>
      <c r="B140" s="121"/>
      <c r="C140" s="117"/>
      <c r="D140" s="122"/>
      <c r="E140" s="188"/>
      <c r="F140" s="74"/>
    </row>
    <row r="141" spans="1:6" x14ac:dyDescent="0.25">
      <c r="A141" s="117"/>
      <c r="B141" s="121"/>
      <c r="C141" s="117"/>
      <c r="D141" s="122"/>
      <c r="E141" s="188"/>
      <c r="F141" s="74"/>
    </row>
    <row r="142" spans="1:6" x14ac:dyDescent="0.25">
      <c r="A142" s="117"/>
      <c r="B142" s="121"/>
      <c r="C142" s="117"/>
      <c r="D142" s="122"/>
      <c r="E142" s="188"/>
      <c r="F142" s="74"/>
    </row>
    <row r="143" spans="1:6" x14ac:dyDescent="0.25">
      <c r="A143" s="117"/>
      <c r="B143" s="121"/>
      <c r="C143" s="117"/>
      <c r="D143" s="122"/>
      <c r="E143" s="188"/>
      <c r="F143" s="74"/>
    </row>
    <row r="144" spans="1:6" x14ac:dyDescent="0.25">
      <c r="A144" s="117"/>
      <c r="B144" s="121"/>
      <c r="C144" s="117"/>
      <c r="D144" s="122"/>
      <c r="E144" s="188"/>
      <c r="F144" s="74"/>
    </row>
    <row r="145" spans="1:6" x14ac:dyDescent="0.25">
      <c r="A145" s="117"/>
      <c r="B145" s="121"/>
      <c r="C145" s="117"/>
      <c r="D145" s="122"/>
      <c r="E145" s="188"/>
      <c r="F145" s="74"/>
    </row>
    <row r="146" spans="1:6" x14ac:dyDescent="0.25">
      <c r="A146" s="117"/>
      <c r="B146" s="121"/>
      <c r="C146" s="117"/>
      <c r="D146" s="122"/>
      <c r="E146" s="188"/>
      <c r="F146" s="74"/>
    </row>
    <row r="147" spans="1:6" x14ac:dyDescent="0.25">
      <c r="A147" s="116"/>
      <c r="B147" s="123"/>
      <c r="C147" s="118"/>
      <c r="D147" s="119"/>
      <c r="E147" s="188"/>
      <c r="F147" s="74"/>
    </row>
    <row r="148" spans="1:6" x14ac:dyDescent="0.25">
      <c r="A148" s="116"/>
      <c r="B148" s="124"/>
      <c r="C148" s="118"/>
      <c r="D148" s="119"/>
      <c r="E148" s="188"/>
      <c r="F148" s="74"/>
    </row>
    <row r="149" spans="1:6" x14ac:dyDescent="0.25">
      <c r="A149" s="112"/>
      <c r="B149" s="113"/>
      <c r="C149" s="114"/>
      <c r="D149" s="115"/>
      <c r="E149" s="188"/>
      <c r="F149" s="74"/>
    </row>
    <row r="150" spans="1:6" x14ac:dyDescent="0.25">
      <c r="A150" s="116"/>
      <c r="B150" s="117"/>
      <c r="C150" s="118"/>
      <c r="D150" s="119"/>
      <c r="E150" s="188"/>
      <c r="F150" s="74"/>
    </row>
    <row r="151" spans="1:6" x14ac:dyDescent="0.25">
      <c r="A151" s="112"/>
      <c r="B151" s="120"/>
      <c r="C151" s="114"/>
      <c r="D151" s="115"/>
      <c r="E151" s="188"/>
      <c r="F151" s="74"/>
    </row>
    <row r="152" spans="1:6" x14ac:dyDescent="0.25">
      <c r="A152" s="116"/>
      <c r="B152" s="117"/>
      <c r="C152" s="118"/>
      <c r="D152" s="119"/>
      <c r="E152" s="188"/>
      <c r="F152" s="74"/>
    </row>
    <row r="153" spans="1:6" x14ac:dyDescent="0.25">
      <c r="A153" s="112"/>
      <c r="B153" s="113"/>
      <c r="C153" s="114"/>
      <c r="D153" s="115"/>
      <c r="E153" s="188"/>
      <c r="F153" s="74"/>
    </row>
    <row r="154" spans="1:6" x14ac:dyDescent="0.25">
      <c r="A154" s="116"/>
      <c r="B154" s="117"/>
      <c r="C154" s="118"/>
      <c r="D154" s="119"/>
      <c r="E154" s="188"/>
      <c r="F154" s="74"/>
    </row>
    <row r="155" spans="1:6" x14ac:dyDescent="0.25">
      <c r="A155" s="112"/>
      <c r="B155" s="113"/>
      <c r="C155" s="114"/>
      <c r="D155" s="115"/>
      <c r="E155" s="188"/>
      <c r="F155" s="74"/>
    </row>
    <row r="156" spans="1:6" x14ac:dyDescent="0.25">
      <c r="A156" s="112"/>
      <c r="B156" s="113"/>
      <c r="C156" s="114"/>
      <c r="D156" s="115"/>
      <c r="E156" s="188"/>
      <c r="F156" s="74"/>
    </row>
    <row r="157" spans="1:6" x14ac:dyDescent="0.25">
      <c r="A157" s="112"/>
      <c r="B157" s="113"/>
      <c r="C157" s="114"/>
      <c r="D157" s="115"/>
      <c r="E157" s="188"/>
      <c r="F157" s="74"/>
    </row>
    <row r="158" spans="1:6" x14ac:dyDescent="0.25">
      <c r="A158" s="116"/>
      <c r="B158" s="117"/>
      <c r="C158" s="118"/>
      <c r="D158" s="119"/>
      <c r="E158" s="188"/>
      <c r="F158" s="74"/>
    </row>
    <row r="159" spans="1:6" x14ac:dyDescent="0.25">
      <c r="A159" s="116"/>
      <c r="B159" s="117"/>
      <c r="C159" s="118"/>
      <c r="D159" s="119"/>
      <c r="E159" s="188"/>
      <c r="F159" s="74"/>
    </row>
    <row r="160" spans="1:6" x14ac:dyDescent="0.25">
      <c r="A160" s="112"/>
      <c r="B160" s="113"/>
      <c r="C160" s="114"/>
      <c r="D160" s="115"/>
      <c r="E160" s="188"/>
      <c r="F160" s="74"/>
    </row>
    <row r="161" spans="1:6" x14ac:dyDescent="0.25">
      <c r="A161" s="116"/>
      <c r="B161" s="117"/>
      <c r="C161" s="118"/>
      <c r="D161" s="119"/>
      <c r="E161" s="188"/>
      <c r="F161" s="74"/>
    </row>
    <row r="162" spans="1:6" x14ac:dyDescent="0.25">
      <c r="A162" s="112"/>
      <c r="B162" s="113"/>
      <c r="C162" s="114"/>
      <c r="D162" s="115"/>
      <c r="E162" s="188"/>
      <c r="F162" s="74"/>
    </row>
    <row r="163" spans="1:6" x14ac:dyDescent="0.25">
      <c r="A163" s="116"/>
      <c r="B163" s="117"/>
      <c r="C163" s="118"/>
      <c r="D163" s="119"/>
      <c r="E163" s="188"/>
      <c r="F163" s="74"/>
    </row>
    <row r="164" spans="1:6" x14ac:dyDescent="0.25">
      <c r="A164" s="85"/>
      <c r="B164" s="86"/>
      <c r="C164" s="64"/>
      <c r="D164" s="65"/>
      <c r="E164" s="188"/>
      <c r="F164" s="74"/>
    </row>
    <row r="165" spans="1:6" x14ac:dyDescent="0.25">
      <c r="A165" s="89"/>
      <c r="B165" s="90"/>
      <c r="C165" s="91"/>
      <c r="D165" s="92"/>
      <c r="E165" s="135"/>
      <c r="F165" s="3"/>
    </row>
    <row r="166" spans="1:6" x14ac:dyDescent="0.25">
      <c r="A166" s="93"/>
      <c r="B166" s="94"/>
      <c r="C166" s="95" t="s">
        <v>31</v>
      </c>
      <c r="D166" s="95"/>
      <c r="E166" s="189" t="s">
        <v>7</v>
      </c>
      <c r="F166" s="4">
        <f>SUM(F125:F163)</f>
        <v>0</v>
      </c>
    </row>
    <row r="167" spans="1:6" x14ac:dyDescent="0.25">
      <c r="A167" s="93"/>
      <c r="B167" s="94"/>
      <c r="C167" s="97"/>
      <c r="D167" s="98"/>
      <c r="E167" s="137"/>
      <c r="F167" s="6"/>
    </row>
    <row r="168" spans="1:6" x14ac:dyDescent="0.25">
      <c r="A168" s="85"/>
      <c r="B168" s="82"/>
      <c r="C168" s="64"/>
      <c r="D168" s="65"/>
      <c r="E168" s="188"/>
      <c r="F168" s="74"/>
    </row>
    <row r="169" spans="1:6" x14ac:dyDescent="0.25">
      <c r="A169" s="79"/>
      <c r="B169" s="88" t="s">
        <v>210</v>
      </c>
      <c r="C169" s="81"/>
      <c r="D169" s="78"/>
      <c r="E169" s="188"/>
      <c r="F169" s="74"/>
    </row>
    <row r="170" spans="1:6" x14ac:dyDescent="0.25">
      <c r="A170" s="85"/>
      <c r="B170" s="86"/>
      <c r="C170" s="64"/>
      <c r="D170" s="65"/>
      <c r="E170" s="188"/>
      <c r="F170" s="74"/>
    </row>
    <row r="171" spans="1:6" x14ac:dyDescent="0.25">
      <c r="A171" s="60"/>
      <c r="B171" s="87" t="s">
        <v>305</v>
      </c>
      <c r="C171" s="60"/>
      <c r="D171" s="62"/>
      <c r="E171" s="188"/>
      <c r="F171" s="138">
        <f>+F49</f>
        <v>0</v>
      </c>
    </row>
    <row r="172" spans="1:6" x14ac:dyDescent="0.25">
      <c r="A172" s="60"/>
      <c r="B172" s="86"/>
      <c r="C172" s="60"/>
      <c r="D172" s="62"/>
      <c r="E172" s="188"/>
      <c r="F172" s="74"/>
    </row>
    <row r="173" spans="1:6" x14ac:dyDescent="0.25">
      <c r="A173" s="60"/>
      <c r="B173" s="87" t="s">
        <v>306</v>
      </c>
      <c r="C173" s="60"/>
      <c r="D173" s="62"/>
      <c r="E173" s="188"/>
      <c r="F173" s="138">
        <f>+F76</f>
        <v>2852436.68</v>
      </c>
    </row>
    <row r="174" spans="1:6" x14ac:dyDescent="0.25">
      <c r="A174" s="60"/>
      <c r="B174" s="61"/>
      <c r="C174" s="60"/>
      <c r="D174" s="62"/>
      <c r="E174" s="188"/>
      <c r="F174" s="74"/>
    </row>
    <row r="175" spans="1:6" x14ac:dyDescent="0.25">
      <c r="A175" s="60"/>
      <c r="B175" s="87" t="s">
        <v>307</v>
      </c>
      <c r="C175" s="60"/>
      <c r="D175" s="62"/>
      <c r="E175" s="188"/>
      <c r="F175" s="138">
        <f>+F120</f>
        <v>92190.150000000009</v>
      </c>
    </row>
    <row r="176" spans="1:6" x14ac:dyDescent="0.25">
      <c r="A176" s="60"/>
      <c r="B176" s="86"/>
      <c r="C176" s="60"/>
      <c r="D176" s="62"/>
      <c r="E176" s="188"/>
      <c r="F176" s="74"/>
    </row>
    <row r="177" spans="1:6" x14ac:dyDescent="0.25">
      <c r="A177" s="60"/>
      <c r="B177" s="87" t="s">
        <v>308</v>
      </c>
      <c r="C177" s="60"/>
      <c r="D177" s="62"/>
      <c r="E177" s="188"/>
      <c r="F177" s="138">
        <f>+F166</f>
        <v>0</v>
      </c>
    </row>
    <row r="178" spans="1:6" x14ac:dyDescent="0.25">
      <c r="A178" s="60"/>
      <c r="B178" s="61"/>
      <c r="C178" s="60"/>
      <c r="D178" s="62"/>
      <c r="E178" s="188"/>
      <c r="F178" s="74"/>
    </row>
    <row r="179" spans="1:6" x14ac:dyDescent="0.25">
      <c r="A179" s="60"/>
      <c r="B179" s="87"/>
      <c r="C179" s="60"/>
      <c r="D179" s="62"/>
      <c r="E179" s="188"/>
      <c r="F179" s="74"/>
    </row>
    <row r="180" spans="1:6" x14ac:dyDescent="0.25">
      <c r="A180" s="60"/>
      <c r="B180" s="86"/>
      <c r="C180" s="60"/>
      <c r="D180" s="62"/>
      <c r="E180" s="188"/>
      <c r="F180" s="74"/>
    </row>
    <row r="181" spans="1:6" x14ac:dyDescent="0.25">
      <c r="A181" s="79"/>
      <c r="B181" s="87"/>
      <c r="C181" s="81"/>
      <c r="D181" s="78"/>
      <c r="E181" s="188"/>
      <c r="F181" s="74"/>
    </row>
    <row r="182" spans="1:6" x14ac:dyDescent="0.25">
      <c r="A182" s="79"/>
      <c r="B182" s="60"/>
      <c r="C182" s="81"/>
      <c r="D182" s="78"/>
      <c r="E182" s="188"/>
      <c r="F182" s="74"/>
    </row>
    <row r="183" spans="1:6" x14ac:dyDescent="0.25">
      <c r="A183" s="85"/>
      <c r="B183" s="82"/>
      <c r="C183" s="64"/>
      <c r="D183" s="65"/>
      <c r="E183" s="188"/>
      <c r="F183" s="74"/>
    </row>
    <row r="184" spans="1:6" x14ac:dyDescent="0.25">
      <c r="A184" s="79"/>
      <c r="B184" s="60"/>
      <c r="C184" s="81"/>
      <c r="D184" s="78"/>
      <c r="E184" s="188"/>
      <c r="F184" s="74"/>
    </row>
    <row r="185" spans="1:6" x14ac:dyDescent="0.25">
      <c r="A185" s="85"/>
      <c r="B185" s="86"/>
      <c r="C185" s="64"/>
      <c r="D185" s="65"/>
      <c r="E185" s="188"/>
      <c r="F185" s="74"/>
    </row>
    <row r="186" spans="1:6" x14ac:dyDescent="0.25">
      <c r="A186" s="79"/>
      <c r="B186" s="60"/>
      <c r="C186" s="81"/>
      <c r="D186" s="78"/>
      <c r="E186" s="188"/>
      <c r="F186" s="74"/>
    </row>
    <row r="187" spans="1:6" x14ac:dyDescent="0.25">
      <c r="A187" s="85"/>
      <c r="B187" s="86"/>
      <c r="C187" s="64"/>
      <c r="D187" s="65"/>
      <c r="E187" s="188"/>
      <c r="F187" s="74"/>
    </row>
    <row r="188" spans="1:6" x14ac:dyDescent="0.25">
      <c r="A188" s="79"/>
      <c r="B188" s="60"/>
      <c r="C188" s="81"/>
      <c r="D188" s="78"/>
      <c r="E188" s="188"/>
      <c r="F188" s="74"/>
    </row>
    <row r="189" spans="1:6" x14ac:dyDescent="0.25">
      <c r="A189" s="85"/>
      <c r="B189" s="82"/>
      <c r="C189" s="64"/>
      <c r="D189" s="65"/>
      <c r="E189" s="188"/>
      <c r="F189" s="74"/>
    </row>
    <row r="190" spans="1:6" x14ac:dyDescent="0.25">
      <c r="A190" s="79"/>
      <c r="B190" s="60"/>
      <c r="C190" s="81"/>
      <c r="D190" s="78"/>
      <c r="E190" s="188"/>
      <c r="F190" s="74"/>
    </row>
    <row r="191" spans="1:6" x14ac:dyDescent="0.25">
      <c r="A191" s="85"/>
      <c r="B191" s="86"/>
      <c r="C191" s="64"/>
      <c r="D191" s="65"/>
      <c r="E191" s="188"/>
      <c r="F191" s="74"/>
    </row>
    <row r="192" spans="1:6" x14ac:dyDescent="0.25">
      <c r="A192" s="79"/>
      <c r="B192" s="60"/>
      <c r="C192" s="81"/>
      <c r="D192" s="78"/>
      <c r="E192" s="188"/>
      <c r="F192" s="74"/>
    </row>
    <row r="193" spans="1:6" x14ac:dyDescent="0.25">
      <c r="A193" s="85"/>
      <c r="B193" s="86"/>
      <c r="C193" s="64"/>
      <c r="D193" s="65"/>
      <c r="E193" s="188"/>
      <c r="F193" s="74"/>
    </row>
    <row r="194" spans="1:6" x14ac:dyDescent="0.25">
      <c r="A194" s="79"/>
      <c r="B194" s="60"/>
      <c r="C194" s="81"/>
      <c r="D194" s="78"/>
      <c r="E194" s="188"/>
      <c r="F194" s="74"/>
    </row>
    <row r="195" spans="1:6" x14ac:dyDescent="0.25">
      <c r="A195" s="85"/>
      <c r="B195" s="86"/>
      <c r="C195" s="64"/>
      <c r="D195" s="65"/>
      <c r="E195" s="188"/>
      <c r="F195" s="74"/>
    </row>
    <row r="196" spans="1:6" x14ac:dyDescent="0.25">
      <c r="A196" s="79"/>
      <c r="B196" s="60"/>
      <c r="C196" s="81"/>
      <c r="D196" s="78"/>
      <c r="E196" s="188"/>
      <c r="F196" s="74"/>
    </row>
    <row r="197" spans="1:6" x14ac:dyDescent="0.25">
      <c r="A197" s="85"/>
      <c r="B197" s="82"/>
      <c r="C197" s="64"/>
      <c r="D197" s="65"/>
      <c r="E197" s="188"/>
      <c r="F197" s="74"/>
    </row>
    <row r="198" spans="1:6" x14ac:dyDescent="0.25">
      <c r="A198" s="79"/>
      <c r="B198" s="60"/>
      <c r="C198" s="81"/>
      <c r="D198" s="78"/>
      <c r="E198" s="188"/>
      <c r="F198" s="74"/>
    </row>
    <row r="199" spans="1:6" x14ac:dyDescent="0.25">
      <c r="A199" s="85"/>
      <c r="B199" s="86"/>
      <c r="C199" s="64"/>
      <c r="D199" s="65"/>
      <c r="E199" s="188"/>
      <c r="F199" s="74"/>
    </row>
    <row r="200" spans="1:6" x14ac:dyDescent="0.25">
      <c r="A200" s="79"/>
      <c r="B200" s="60"/>
      <c r="C200" s="81"/>
      <c r="D200" s="78"/>
      <c r="E200" s="188"/>
      <c r="F200" s="74"/>
    </row>
    <row r="201" spans="1:6" x14ac:dyDescent="0.25">
      <c r="A201" s="85"/>
      <c r="B201" s="86"/>
      <c r="C201" s="64"/>
      <c r="D201" s="65"/>
      <c r="E201" s="188"/>
      <c r="F201" s="74"/>
    </row>
    <row r="202" spans="1:6" x14ac:dyDescent="0.25">
      <c r="A202" s="79"/>
      <c r="B202" s="60"/>
      <c r="C202" s="81"/>
      <c r="D202" s="78"/>
      <c r="E202" s="188"/>
      <c r="F202" s="74"/>
    </row>
    <row r="203" spans="1:6" x14ac:dyDescent="0.25">
      <c r="A203" s="85"/>
      <c r="B203" s="82"/>
      <c r="C203" s="64"/>
      <c r="D203" s="65"/>
      <c r="E203" s="188"/>
      <c r="F203" s="74"/>
    </row>
    <row r="204" spans="1:6" x14ac:dyDescent="0.25">
      <c r="A204" s="79"/>
      <c r="B204" s="60"/>
      <c r="C204" s="81"/>
      <c r="D204" s="78"/>
      <c r="E204" s="188"/>
      <c r="F204" s="74"/>
    </row>
    <row r="205" spans="1:6" x14ac:dyDescent="0.25">
      <c r="A205" s="85"/>
      <c r="B205" s="86"/>
      <c r="C205" s="64"/>
      <c r="D205" s="65"/>
      <c r="E205" s="188"/>
      <c r="F205" s="74"/>
    </row>
    <row r="206" spans="1:6" x14ac:dyDescent="0.25">
      <c r="A206" s="60"/>
      <c r="B206" s="61"/>
      <c r="C206" s="60"/>
      <c r="D206" s="62"/>
      <c r="E206" s="188"/>
      <c r="F206" s="74"/>
    </row>
    <row r="207" spans="1:6" x14ac:dyDescent="0.25">
      <c r="A207" s="60"/>
      <c r="B207" s="61"/>
      <c r="C207" s="60"/>
      <c r="D207" s="62"/>
      <c r="E207" s="188"/>
      <c r="F207" s="74"/>
    </row>
    <row r="208" spans="1:6" x14ac:dyDescent="0.25">
      <c r="A208" s="60"/>
      <c r="B208" s="61"/>
      <c r="C208" s="60"/>
      <c r="D208" s="62"/>
      <c r="E208" s="188"/>
      <c r="F208" s="74"/>
    </row>
    <row r="209" spans="1:6" x14ac:dyDescent="0.25">
      <c r="A209" s="60"/>
      <c r="B209" s="61"/>
      <c r="C209" s="60"/>
      <c r="D209" s="62"/>
      <c r="E209" s="188"/>
      <c r="F209" s="74"/>
    </row>
    <row r="210" spans="1:6" x14ac:dyDescent="0.25">
      <c r="A210" s="60"/>
      <c r="B210" s="61"/>
      <c r="C210" s="60"/>
      <c r="D210" s="62"/>
      <c r="E210" s="188"/>
      <c r="F210" s="74"/>
    </row>
    <row r="211" spans="1:6" x14ac:dyDescent="0.25">
      <c r="A211" s="60"/>
      <c r="B211" s="61"/>
      <c r="C211" s="60"/>
      <c r="D211" s="62"/>
      <c r="E211" s="188"/>
      <c r="F211" s="74"/>
    </row>
    <row r="212" spans="1:6" x14ac:dyDescent="0.25">
      <c r="A212" s="60"/>
      <c r="B212" s="61"/>
      <c r="C212" s="60"/>
      <c r="D212" s="62"/>
      <c r="E212" s="188"/>
      <c r="F212" s="74"/>
    </row>
    <row r="213" spans="1:6" x14ac:dyDescent="0.25">
      <c r="A213" s="60"/>
      <c r="B213" s="61"/>
      <c r="C213" s="60"/>
      <c r="D213" s="62"/>
      <c r="E213" s="188"/>
      <c r="F213" s="74"/>
    </row>
    <row r="214" spans="1:6" x14ac:dyDescent="0.25">
      <c r="A214" s="60"/>
      <c r="B214" s="61"/>
      <c r="C214" s="60"/>
      <c r="D214" s="62"/>
      <c r="E214" s="188"/>
      <c r="F214" s="74"/>
    </row>
    <row r="215" spans="1:6" x14ac:dyDescent="0.25">
      <c r="A215" s="89"/>
      <c r="B215" s="90"/>
      <c r="C215" s="91"/>
      <c r="D215" s="92"/>
      <c r="E215" s="135"/>
      <c r="F215" s="3"/>
    </row>
    <row r="216" spans="1:6" x14ac:dyDescent="0.25">
      <c r="A216" s="93"/>
      <c r="B216" s="94"/>
      <c r="C216" s="95" t="s">
        <v>226</v>
      </c>
      <c r="D216" s="95"/>
      <c r="E216" s="189" t="s">
        <v>7</v>
      </c>
      <c r="F216" s="4">
        <f>SUM(F168:F214)</f>
        <v>2944626.83</v>
      </c>
    </row>
    <row r="217" spans="1:6" x14ac:dyDescent="0.25">
      <c r="A217" s="93"/>
      <c r="B217" s="94"/>
      <c r="C217" s="97"/>
      <c r="D217" s="98"/>
      <c r="E217" s="137"/>
      <c r="F217" s="6"/>
    </row>
  </sheetData>
  <mergeCells count="4">
    <mergeCell ref="A1:A2"/>
    <mergeCell ref="B1:B2"/>
    <mergeCell ref="C1:C2"/>
    <mergeCell ref="D1:D2"/>
  </mergeCells>
  <phoneticPr fontId="20" type="noConversion"/>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5 - EXTERNAL WORKS
ACCESSORIES</oddHeader>
    <oddFooter>&amp;L&amp;8DMS 148704 BOQ - Nakheel Mall Al Khail&amp;C5/K/&amp;P</oddFooter>
  </headerFooter>
  <rowBreaks count="4" manualBreakCount="4">
    <brk id="50" max="5" man="1"/>
    <brk id="77" max="5" man="1"/>
    <brk id="121" max="5" man="1"/>
    <brk id="167"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8B78-21FD-4FD8-9745-C718E76476D6}">
  <dimension ref="A1:H144"/>
  <sheetViews>
    <sheetView view="pageBreakPreview" zoomScaleNormal="100" zoomScaleSheetLayoutView="100" zoomScalePageLayoutView="70" workbookViewId="0">
      <selection activeCell="C1" sqref="C1:E1048576"/>
    </sheetView>
  </sheetViews>
  <sheetFormatPr defaultColWidth="9.33203125" defaultRowHeight="13.8" x14ac:dyDescent="0.25"/>
  <cols>
    <col min="1" max="1" width="5.6640625" style="104" customWidth="1"/>
    <col min="2" max="2" width="45" style="105" customWidth="1"/>
    <col min="3" max="3" width="10" style="106" customWidth="1"/>
    <col min="4" max="4" width="6.6640625" style="107" customWidth="1"/>
    <col min="5" max="5" width="12.6640625" style="136" customWidth="1"/>
    <col min="6" max="6" width="15.6640625" style="132" customWidth="1"/>
    <col min="7" max="7" width="13.88671875" style="151" bestFit="1" customWidth="1"/>
    <col min="8" max="8" width="17.88671875" style="103" customWidth="1"/>
    <col min="9" max="16384" width="9.33203125" style="103"/>
  </cols>
  <sheetData>
    <row r="1" spans="1:8" s="67" customFormat="1" ht="14.4" x14ac:dyDescent="0.25">
      <c r="A1" s="208" t="s">
        <v>1</v>
      </c>
      <c r="B1" s="208" t="s">
        <v>2</v>
      </c>
      <c r="C1" s="210" t="s">
        <v>3</v>
      </c>
      <c r="D1" s="212" t="s">
        <v>4</v>
      </c>
      <c r="E1" s="141" t="s">
        <v>5</v>
      </c>
      <c r="F1" s="139" t="s">
        <v>6</v>
      </c>
      <c r="G1" s="146"/>
    </row>
    <row r="2" spans="1:8" s="67" customFormat="1" ht="14.4" x14ac:dyDescent="0.25">
      <c r="A2" s="209"/>
      <c r="B2" s="209"/>
      <c r="C2" s="211"/>
      <c r="D2" s="213"/>
      <c r="E2" s="142" t="s">
        <v>7</v>
      </c>
      <c r="F2" s="140" t="s">
        <v>7</v>
      </c>
      <c r="G2" s="146"/>
    </row>
    <row r="3" spans="1:8" s="67" customFormat="1" ht="14.4" x14ac:dyDescent="0.25">
      <c r="A3" s="68"/>
      <c r="B3" s="69"/>
      <c r="C3" s="66"/>
      <c r="D3" s="70"/>
      <c r="E3" s="133"/>
      <c r="F3" s="127"/>
      <c r="G3" s="146"/>
    </row>
    <row r="4" spans="1:8" x14ac:dyDescent="0.25">
      <c r="A4" s="79"/>
      <c r="B4" s="102" t="s">
        <v>309</v>
      </c>
      <c r="C4" s="81"/>
      <c r="D4" s="78"/>
      <c r="E4" s="134"/>
      <c r="F4" s="128"/>
    </row>
    <row r="5" spans="1:8" x14ac:dyDescent="0.25">
      <c r="A5" s="79"/>
      <c r="B5" s="80"/>
      <c r="C5" s="81"/>
      <c r="D5" s="78"/>
      <c r="E5" s="134"/>
      <c r="F5" s="128"/>
    </row>
    <row r="6" spans="1:8" x14ac:dyDescent="0.25">
      <c r="A6" s="79"/>
      <c r="B6" s="99" t="s">
        <v>310</v>
      </c>
      <c r="C6" s="81"/>
      <c r="D6" s="78"/>
      <c r="E6" s="134"/>
      <c r="F6" s="128"/>
    </row>
    <row r="7" spans="1:8" x14ac:dyDescent="0.25">
      <c r="A7" s="79"/>
      <c r="B7" s="60"/>
      <c r="C7" s="81"/>
      <c r="D7" s="78"/>
      <c r="E7" s="134"/>
      <c r="F7" s="128"/>
    </row>
    <row r="8" spans="1:8" ht="27.6" x14ac:dyDescent="0.25">
      <c r="A8" s="63"/>
      <c r="B8" s="83" t="s">
        <v>311</v>
      </c>
      <c r="C8" s="100"/>
      <c r="D8" s="101"/>
      <c r="E8" s="134"/>
      <c r="F8" s="128"/>
    </row>
    <row r="9" spans="1:8" x14ac:dyDescent="0.25">
      <c r="A9" s="79"/>
      <c r="B9" s="60"/>
      <c r="C9" s="81"/>
      <c r="D9" s="78"/>
      <c r="E9" s="134"/>
      <c r="F9" s="128"/>
    </row>
    <row r="10" spans="1:8" x14ac:dyDescent="0.25">
      <c r="A10" s="63"/>
      <c r="B10" s="83" t="s">
        <v>312</v>
      </c>
      <c r="C10" s="100"/>
      <c r="D10" s="101"/>
      <c r="E10" s="134"/>
      <c r="F10" s="128"/>
    </row>
    <row r="11" spans="1:8" x14ac:dyDescent="0.25">
      <c r="A11" s="79"/>
      <c r="B11" s="60"/>
      <c r="C11" s="81"/>
      <c r="D11" s="78"/>
      <c r="E11" s="134"/>
      <c r="F11" s="128"/>
    </row>
    <row r="12" spans="1:8" x14ac:dyDescent="0.25">
      <c r="A12" s="63" t="s">
        <v>12</v>
      </c>
      <c r="B12" s="82" t="s">
        <v>313</v>
      </c>
      <c r="C12" s="100" t="s">
        <v>314</v>
      </c>
      <c r="D12" s="101" t="s">
        <v>145</v>
      </c>
      <c r="E12" s="134">
        <v>1979.21</v>
      </c>
      <c r="F12" s="128">
        <f>E12*C12</f>
        <v>393862.79</v>
      </c>
      <c r="H12" s="152"/>
    </row>
    <row r="13" spans="1:8" x14ac:dyDescent="0.25">
      <c r="A13" s="79"/>
      <c r="B13" s="60"/>
      <c r="C13" s="81"/>
      <c r="D13" s="78"/>
      <c r="E13" s="134"/>
      <c r="F13" s="128">
        <f t="shared" ref="F13:F36" si="0">E13*C13</f>
        <v>0</v>
      </c>
      <c r="H13" s="152"/>
    </row>
    <row r="14" spans="1:8" x14ac:dyDescent="0.25">
      <c r="A14" s="63" t="s">
        <v>16</v>
      </c>
      <c r="B14" s="82" t="s">
        <v>315</v>
      </c>
      <c r="C14" s="100" t="s">
        <v>153</v>
      </c>
      <c r="D14" s="101" t="s">
        <v>145</v>
      </c>
      <c r="E14" s="134">
        <v>4135.28</v>
      </c>
      <c r="F14" s="128">
        <f t="shared" si="0"/>
        <v>78570.319999999992</v>
      </c>
      <c r="H14" s="152"/>
    </row>
    <row r="15" spans="1:8" x14ac:dyDescent="0.25">
      <c r="A15" s="79"/>
      <c r="B15" s="60"/>
      <c r="C15" s="81"/>
      <c r="D15" s="78"/>
      <c r="E15" s="134"/>
      <c r="F15" s="128">
        <f t="shared" si="0"/>
        <v>0</v>
      </c>
      <c r="H15" s="152"/>
    </row>
    <row r="16" spans="1:8" x14ac:dyDescent="0.25">
      <c r="A16" s="63" t="s">
        <v>19</v>
      </c>
      <c r="B16" s="82" t="s">
        <v>316</v>
      </c>
      <c r="C16" s="100" t="s">
        <v>317</v>
      </c>
      <c r="D16" s="101" t="s">
        <v>145</v>
      </c>
      <c r="E16" s="134">
        <v>114258.55</v>
      </c>
      <c r="F16" s="128">
        <f t="shared" si="0"/>
        <v>114258.55</v>
      </c>
      <c r="H16" s="152"/>
    </row>
    <row r="17" spans="1:8" x14ac:dyDescent="0.25">
      <c r="A17" s="79"/>
      <c r="B17" s="60"/>
      <c r="C17" s="81"/>
      <c r="D17" s="78"/>
      <c r="E17" s="134"/>
      <c r="F17" s="128">
        <f t="shared" si="0"/>
        <v>0</v>
      </c>
      <c r="H17" s="152"/>
    </row>
    <row r="18" spans="1:8" x14ac:dyDescent="0.25">
      <c r="A18" s="63" t="s">
        <v>22</v>
      </c>
      <c r="B18" s="82" t="s">
        <v>318</v>
      </c>
      <c r="C18" s="100" t="s">
        <v>317</v>
      </c>
      <c r="D18" s="101" t="s">
        <v>145</v>
      </c>
      <c r="E18" s="134">
        <v>18905.099999999999</v>
      </c>
      <c r="F18" s="128">
        <f t="shared" si="0"/>
        <v>18905.099999999999</v>
      </c>
      <c r="H18" s="152"/>
    </row>
    <row r="19" spans="1:8" x14ac:dyDescent="0.25">
      <c r="A19" s="79"/>
      <c r="B19" s="60"/>
      <c r="C19" s="81"/>
      <c r="D19" s="78"/>
      <c r="E19" s="134"/>
      <c r="F19" s="128">
        <f t="shared" si="0"/>
        <v>0</v>
      </c>
      <c r="H19" s="152"/>
    </row>
    <row r="20" spans="1:8" x14ac:dyDescent="0.25">
      <c r="A20" s="63" t="s">
        <v>25</v>
      </c>
      <c r="B20" s="82" t="s">
        <v>319</v>
      </c>
      <c r="C20" s="100" t="s">
        <v>174</v>
      </c>
      <c r="D20" s="101" t="s">
        <v>145</v>
      </c>
      <c r="E20" s="134">
        <v>1916.47</v>
      </c>
      <c r="F20" s="128">
        <f t="shared" si="0"/>
        <v>17248.23</v>
      </c>
      <c r="H20" s="152"/>
    </row>
    <row r="21" spans="1:8" x14ac:dyDescent="0.25">
      <c r="A21" s="79"/>
      <c r="B21" s="60"/>
      <c r="C21" s="81"/>
      <c r="D21" s="78"/>
      <c r="E21" s="134"/>
      <c r="F21" s="128">
        <f t="shared" si="0"/>
        <v>0</v>
      </c>
      <c r="H21" s="152"/>
    </row>
    <row r="22" spans="1:8" x14ac:dyDescent="0.25">
      <c r="A22" s="63" t="s">
        <v>28</v>
      </c>
      <c r="B22" s="82" t="s">
        <v>320</v>
      </c>
      <c r="C22" s="100" t="s">
        <v>321</v>
      </c>
      <c r="D22" s="101" t="s">
        <v>105</v>
      </c>
      <c r="E22" s="134">
        <v>2013.78</v>
      </c>
      <c r="F22" s="128">
        <f t="shared" si="0"/>
        <v>124854.36</v>
      </c>
      <c r="H22" s="152"/>
    </row>
    <row r="23" spans="1:8" x14ac:dyDescent="0.25">
      <c r="A23" s="79"/>
      <c r="B23" s="60"/>
      <c r="C23" s="81"/>
      <c r="D23" s="78"/>
      <c r="E23" s="134"/>
      <c r="F23" s="128">
        <f t="shared" si="0"/>
        <v>0</v>
      </c>
      <c r="H23" s="152"/>
    </row>
    <row r="24" spans="1:8" x14ac:dyDescent="0.25">
      <c r="A24" s="63" t="s">
        <v>48</v>
      </c>
      <c r="B24" s="82" t="s">
        <v>322</v>
      </c>
      <c r="C24" s="100" t="s">
        <v>110</v>
      </c>
      <c r="D24" s="101" t="s">
        <v>145</v>
      </c>
      <c r="E24" s="134">
        <v>3441.34</v>
      </c>
      <c r="F24" s="128">
        <f t="shared" si="0"/>
        <v>37854.740000000005</v>
      </c>
      <c r="H24" s="152"/>
    </row>
    <row r="25" spans="1:8" x14ac:dyDescent="0.25">
      <c r="A25" s="79"/>
      <c r="B25" s="60"/>
      <c r="C25" s="81"/>
      <c r="D25" s="78"/>
      <c r="E25" s="134"/>
      <c r="F25" s="128">
        <f t="shared" si="0"/>
        <v>0</v>
      </c>
      <c r="H25" s="152"/>
    </row>
    <row r="26" spans="1:8" x14ac:dyDescent="0.25">
      <c r="A26" s="63" t="s">
        <v>52</v>
      </c>
      <c r="B26" s="82" t="s">
        <v>323</v>
      </c>
      <c r="C26" s="100" t="s">
        <v>324</v>
      </c>
      <c r="D26" s="101" t="s">
        <v>145</v>
      </c>
      <c r="E26" s="134">
        <v>4958.5200000000004</v>
      </c>
      <c r="F26" s="128">
        <f t="shared" si="0"/>
        <v>99170.400000000009</v>
      </c>
      <c r="H26" s="152"/>
    </row>
    <row r="27" spans="1:8" x14ac:dyDescent="0.25">
      <c r="A27" s="79"/>
      <c r="B27" s="60"/>
      <c r="C27" s="81"/>
      <c r="D27" s="78"/>
      <c r="E27" s="134"/>
      <c r="F27" s="128">
        <f t="shared" si="0"/>
        <v>0</v>
      </c>
      <c r="H27" s="152"/>
    </row>
    <row r="28" spans="1:8" ht="27.6" x14ac:dyDescent="0.25">
      <c r="A28" s="63" t="s">
        <v>54</v>
      </c>
      <c r="B28" s="82" t="s">
        <v>325</v>
      </c>
      <c r="C28" s="100" t="s">
        <v>277</v>
      </c>
      <c r="D28" s="101" t="s">
        <v>105</v>
      </c>
      <c r="E28" s="134">
        <v>2333.86</v>
      </c>
      <c r="F28" s="128">
        <f t="shared" si="0"/>
        <v>247389.16</v>
      </c>
      <c r="H28" s="152"/>
    </row>
    <row r="29" spans="1:8" x14ac:dyDescent="0.25">
      <c r="A29" s="79"/>
      <c r="B29" s="60"/>
      <c r="C29" s="81"/>
      <c r="D29" s="78"/>
      <c r="E29" s="134"/>
      <c r="F29" s="128">
        <f t="shared" si="0"/>
        <v>0</v>
      </c>
      <c r="H29" s="152"/>
    </row>
    <row r="30" spans="1:8" x14ac:dyDescent="0.25">
      <c r="A30" s="63" t="s">
        <v>136</v>
      </c>
      <c r="B30" s="82" t="s">
        <v>326</v>
      </c>
      <c r="C30" s="100" t="s">
        <v>166</v>
      </c>
      <c r="D30" s="101" t="s">
        <v>145</v>
      </c>
      <c r="E30" s="134">
        <v>6336.15</v>
      </c>
      <c r="F30" s="128">
        <f t="shared" si="0"/>
        <v>38016.899999999994</v>
      </c>
      <c r="H30" s="152"/>
    </row>
    <row r="31" spans="1:8" x14ac:dyDescent="0.25">
      <c r="A31" s="79"/>
      <c r="B31" s="60"/>
      <c r="C31" s="81"/>
      <c r="D31" s="78"/>
      <c r="E31" s="134"/>
      <c r="F31" s="128">
        <f t="shared" si="0"/>
        <v>0</v>
      </c>
      <c r="H31" s="152"/>
    </row>
    <row r="32" spans="1:8" x14ac:dyDescent="0.25">
      <c r="A32" s="63" t="s">
        <v>159</v>
      </c>
      <c r="B32" s="82" t="s">
        <v>327</v>
      </c>
      <c r="C32" s="100" t="s">
        <v>328</v>
      </c>
      <c r="D32" s="101" t="s">
        <v>145</v>
      </c>
      <c r="E32" s="134">
        <v>6406.57</v>
      </c>
      <c r="F32" s="128">
        <f t="shared" si="0"/>
        <v>19219.71</v>
      </c>
      <c r="H32" s="152"/>
    </row>
    <row r="33" spans="1:8" x14ac:dyDescent="0.25">
      <c r="A33" s="79"/>
      <c r="B33" s="60"/>
      <c r="C33" s="81"/>
      <c r="D33" s="78"/>
      <c r="E33" s="134"/>
      <c r="F33" s="128">
        <f t="shared" si="0"/>
        <v>0</v>
      </c>
      <c r="H33" s="152"/>
    </row>
    <row r="34" spans="1:8" x14ac:dyDescent="0.25">
      <c r="A34" s="63" t="s">
        <v>251</v>
      </c>
      <c r="B34" s="82" t="s">
        <v>329</v>
      </c>
      <c r="C34" s="100" t="s">
        <v>317</v>
      </c>
      <c r="D34" s="101" t="s">
        <v>145</v>
      </c>
      <c r="E34" s="134">
        <v>148745.37</v>
      </c>
      <c r="F34" s="128">
        <f t="shared" si="0"/>
        <v>148745.37</v>
      </c>
      <c r="H34" s="152"/>
    </row>
    <row r="35" spans="1:8" x14ac:dyDescent="0.25">
      <c r="A35" s="79"/>
      <c r="B35" s="60"/>
      <c r="C35" s="81"/>
      <c r="D35" s="78"/>
      <c r="E35" s="134"/>
      <c r="F35" s="128">
        <f t="shared" si="0"/>
        <v>0</v>
      </c>
      <c r="H35" s="152"/>
    </row>
    <row r="36" spans="1:8" x14ac:dyDescent="0.25">
      <c r="A36" s="63" t="s">
        <v>330</v>
      </c>
      <c r="B36" s="82" t="s">
        <v>331</v>
      </c>
      <c r="C36" s="100" t="s">
        <v>156</v>
      </c>
      <c r="D36" s="101" t="s">
        <v>145</v>
      </c>
      <c r="E36" s="134">
        <v>18889.740000000002</v>
      </c>
      <c r="F36" s="128">
        <f t="shared" si="0"/>
        <v>75558.960000000006</v>
      </c>
      <c r="H36" s="152"/>
    </row>
    <row r="37" spans="1:8" x14ac:dyDescent="0.25">
      <c r="A37" s="79"/>
      <c r="B37" s="60"/>
      <c r="C37" s="81"/>
      <c r="D37" s="78"/>
      <c r="E37" s="134"/>
      <c r="F37" s="128"/>
      <c r="H37" s="152"/>
    </row>
    <row r="38" spans="1:8" x14ac:dyDescent="0.25">
      <c r="A38" s="63"/>
      <c r="B38" s="82"/>
      <c r="C38" s="100"/>
      <c r="D38" s="101"/>
      <c r="E38" s="134"/>
      <c r="F38" s="128"/>
      <c r="H38" s="152"/>
    </row>
    <row r="39" spans="1:8" x14ac:dyDescent="0.25">
      <c r="A39" s="79"/>
      <c r="B39" s="60"/>
      <c r="C39" s="81"/>
      <c r="D39" s="78"/>
      <c r="E39" s="134"/>
      <c r="F39" s="128"/>
      <c r="H39" s="152"/>
    </row>
    <row r="40" spans="1:8" x14ac:dyDescent="0.25">
      <c r="A40" s="79"/>
      <c r="B40" s="60"/>
      <c r="C40" s="81"/>
      <c r="D40" s="78"/>
      <c r="E40" s="134"/>
      <c r="F40" s="128"/>
      <c r="H40" s="152"/>
    </row>
    <row r="41" spans="1:8" x14ac:dyDescent="0.25">
      <c r="A41" s="63"/>
      <c r="B41" s="82"/>
      <c r="C41" s="100"/>
      <c r="D41" s="101"/>
      <c r="E41" s="134"/>
      <c r="F41" s="128"/>
      <c r="H41" s="152"/>
    </row>
    <row r="42" spans="1:8" x14ac:dyDescent="0.25">
      <c r="A42" s="79"/>
      <c r="B42" s="80"/>
      <c r="C42" s="81"/>
      <c r="D42" s="78"/>
      <c r="E42" s="134"/>
      <c r="F42" s="128"/>
      <c r="H42" s="152"/>
    </row>
    <row r="43" spans="1:8" x14ac:dyDescent="0.25">
      <c r="A43" s="79"/>
      <c r="B43" s="80"/>
      <c r="C43" s="81"/>
      <c r="D43" s="78"/>
      <c r="E43" s="134"/>
      <c r="F43" s="128"/>
      <c r="H43" s="152"/>
    </row>
    <row r="44" spans="1:8" x14ac:dyDescent="0.25">
      <c r="A44" s="79"/>
      <c r="B44" s="80"/>
      <c r="C44" s="81"/>
      <c r="D44" s="78"/>
      <c r="E44" s="134"/>
      <c r="F44" s="128"/>
      <c r="H44" s="152"/>
    </row>
    <row r="45" spans="1:8" x14ac:dyDescent="0.25">
      <c r="A45" s="79"/>
      <c r="B45" s="80"/>
      <c r="C45" s="81"/>
      <c r="D45" s="78"/>
      <c r="E45" s="134"/>
      <c r="F45" s="128"/>
      <c r="H45" s="152"/>
    </row>
    <row r="46" spans="1:8" x14ac:dyDescent="0.25">
      <c r="A46" s="79"/>
      <c r="B46" s="80"/>
      <c r="C46" s="81"/>
      <c r="D46" s="78"/>
      <c r="E46" s="134"/>
      <c r="F46" s="128"/>
      <c r="H46" s="152"/>
    </row>
    <row r="47" spans="1:8" x14ac:dyDescent="0.25">
      <c r="A47" s="79"/>
      <c r="B47" s="60"/>
      <c r="C47" s="81"/>
      <c r="D47" s="78"/>
      <c r="E47" s="134"/>
      <c r="F47" s="128"/>
      <c r="H47" s="152"/>
    </row>
    <row r="48" spans="1:8" x14ac:dyDescent="0.25">
      <c r="A48" s="85"/>
      <c r="B48" s="82"/>
      <c r="C48" s="64"/>
      <c r="D48" s="65"/>
      <c r="E48" s="134"/>
      <c r="F48" s="128"/>
      <c r="H48" s="152"/>
    </row>
    <row r="49" spans="1:8" x14ac:dyDescent="0.25">
      <c r="A49" s="89"/>
      <c r="B49" s="90"/>
      <c r="C49" s="91"/>
      <c r="D49" s="92"/>
      <c r="E49" s="135"/>
      <c r="F49" s="129"/>
      <c r="H49" s="152"/>
    </row>
    <row r="50" spans="1:8" x14ac:dyDescent="0.25">
      <c r="A50" s="93"/>
      <c r="B50" s="94"/>
      <c r="C50" s="95" t="s">
        <v>31</v>
      </c>
      <c r="D50" s="95"/>
      <c r="E50" s="136" t="s">
        <v>7</v>
      </c>
      <c r="F50" s="130">
        <f>SUM(F4:F48)</f>
        <v>1413654.5899999999</v>
      </c>
      <c r="H50" s="152"/>
    </row>
    <row r="51" spans="1:8" x14ac:dyDescent="0.25">
      <c r="A51" s="93"/>
      <c r="B51" s="94"/>
      <c r="C51" s="97"/>
      <c r="D51" s="98"/>
      <c r="E51" s="137"/>
      <c r="F51" s="131"/>
      <c r="H51" s="152"/>
    </row>
    <row r="52" spans="1:8" x14ac:dyDescent="0.25">
      <c r="A52" s="85"/>
      <c r="B52" s="82"/>
      <c r="C52" s="64"/>
      <c r="D52" s="65"/>
      <c r="E52" s="134"/>
      <c r="F52" s="128"/>
      <c r="H52" s="152"/>
    </row>
    <row r="53" spans="1:8" x14ac:dyDescent="0.25">
      <c r="A53" s="79"/>
      <c r="B53" s="99" t="s">
        <v>208</v>
      </c>
      <c r="C53" s="81"/>
      <c r="D53" s="78"/>
      <c r="E53" s="134"/>
      <c r="F53" s="128"/>
      <c r="H53" s="152"/>
    </row>
    <row r="54" spans="1:8" x14ac:dyDescent="0.25">
      <c r="A54" s="79"/>
      <c r="B54" s="60"/>
      <c r="C54" s="81"/>
      <c r="D54" s="78"/>
      <c r="E54" s="134"/>
      <c r="F54" s="128"/>
      <c r="H54" s="152"/>
    </row>
    <row r="55" spans="1:8" ht="55.2" x14ac:dyDescent="0.25">
      <c r="A55" s="63" t="s">
        <v>12</v>
      </c>
      <c r="B55" s="82" t="s">
        <v>332</v>
      </c>
      <c r="C55" s="100"/>
      <c r="D55" s="101" t="s">
        <v>1</v>
      </c>
      <c r="E55" s="134"/>
      <c r="F55" s="128"/>
      <c r="H55" s="152"/>
    </row>
    <row r="56" spans="1:8" x14ac:dyDescent="0.25">
      <c r="A56" s="104" t="s">
        <v>557</v>
      </c>
      <c r="B56" s="86" t="s">
        <v>558</v>
      </c>
      <c r="C56" s="64"/>
      <c r="D56" s="65"/>
      <c r="E56" s="134"/>
      <c r="F56" s="128"/>
      <c r="H56" s="152"/>
    </row>
    <row r="57" spans="1:8" x14ac:dyDescent="0.25">
      <c r="A57" s="85"/>
      <c r="B57" s="117"/>
      <c r="C57" s="118"/>
      <c r="D57" s="119"/>
      <c r="E57" s="134"/>
      <c r="F57" s="128"/>
      <c r="H57" s="152"/>
    </row>
    <row r="58" spans="1:8" ht="41.4" x14ac:dyDescent="0.25">
      <c r="A58" s="163" t="s">
        <v>12</v>
      </c>
      <c r="B58" s="164" t="s">
        <v>559</v>
      </c>
      <c r="C58" s="165">
        <v>19</v>
      </c>
      <c r="D58" s="166" t="s">
        <v>239</v>
      </c>
      <c r="E58" s="167"/>
      <c r="F58" s="158" t="s">
        <v>577</v>
      </c>
      <c r="H58" s="152"/>
    </row>
    <row r="59" spans="1:8" x14ac:dyDescent="0.25">
      <c r="A59" s="116"/>
      <c r="B59" s="117"/>
      <c r="C59" s="118"/>
      <c r="D59" s="119"/>
      <c r="E59" s="134"/>
      <c r="F59" s="128"/>
      <c r="H59" s="152"/>
    </row>
    <row r="60" spans="1:8" x14ac:dyDescent="0.25">
      <c r="A60" s="112"/>
      <c r="B60" s="168" t="s">
        <v>578</v>
      </c>
      <c r="C60" s="114"/>
      <c r="D60" s="115"/>
      <c r="E60" s="134"/>
      <c r="F60" s="128"/>
      <c r="H60" s="152"/>
    </row>
    <row r="61" spans="1:8" x14ac:dyDescent="0.25">
      <c r="A61" s="116"/>
      <c r="B61" s="117"/>
      <c r="C61" s="118"/>
      <c r="D61" s="119"/>
      <c r="E61" s="134"/>
      <c r="F61" s="128"/>
      <c r="H61" s="152"/>
    </row>
    <row r="62" spans="1:8" ht="27.6" x14ac:dyDescent="0.25">
      <c r="A62" s="112" t="s">
        <v>16</v>
      </c>
      <c r="B62" s="113" t="s">
        <v>579</v>
      </c>
      <c r="C62" s="114">
        <v>128</v>
      </c>
      <c r="D62" s="115" t="s">
        <v>105</v>
      </c>
      <c r="E62" s="134">
        <v>3746.06</v>
      </c>
      <c r="F62" s="128">
        <f t="shared" ref="F62" si="1">E62*C62</f>
        <v>479495.67999999999</v>
      </c>
      <c r="H62" s="152"/>
    </row>
    <row r="63" spans="1:8" x14ac:dyDescent="0.25">
      <c r="A63" s="116"/>
      <c r="B63" s="117"/>
      <c r="C63" s="118"/>
      <c r="D63" s="119"/>
      <c r="E63" s="134"/>
      <c r="F63" s="128"/>
      <c r="H63" s="152"/>
    </row>
    <row r="64" spans="1:8" x14ac:dyDescent="0.25">
      <c r="A64" s="112"/>
      <c r="B64" s="120"/>
      <c r="C64" s="114"/>
      <c r="D64" s="115"/>
      <c r="E64" s="134"/>
      <c r="F64" s="128"/>
      <c r="H64" s="152"/>
    </row>
    <row r="65" spans="1:8" x14ac:dyDescent="0.25">
      <c r="A65" s="116"/>
      <c r="B65" s="117"/>
      <c r="C65" s="118"/>
      <c r="D65" s="119"/>
      <c r="E65" s="134"/>
      <c r="F65" s="128"/>
      <c r="H65" s="152"/>
    </row>
    <row r="66" spans="1:8" x14ac:dyDescent="0.25">
      <c r="A66" s="112"/>
      <c r="B66" s="113"/>
      <c r="C66" s="114"/>
      <c r="D66" s="115"/>
      <c r="E66" s="134"/>
      <c r="F66" s="128"/>
      <c r="H66" s="152"/>
    </row>
    <row r="67" spans="1:8" x14ac:dyDescent="0.25">
      <c r="A67" s="117"/>
      <c r="B67" s="121"/>
      <c r="C67" s="117"/>
      <c r="D67" s="122"/>
      <c r="E67" s="134"/>
      <c r="F67" s="128"/>
      <c r="H67" s="152"/>
    </row>
    <row r="68" spans="1:8" x14ac:dyDescent="0.25">
      <c r="A68" s="117"/>
      <c r="B68" s="121"/>
      <c r="C68" s="117"/>
      <c r="D68" s="122"/>
      <c r="E68" s="134"/>
      <c r="F68" s="128"/>
      <c r="H68" s="152"/>
    </row>
    <row r="69" spans="1:8" x14ac:dyDescent="0.25">
      <c r="A69" s="117"/>
      <c r="B69" s="121"/>
      <c r="C69" s="117"/>
      <c r="D69" s="122"/>
      <c r="E69" s="134"/>
      <c r="F69" s="128"/>
      <c r="H69" s="152"/>
    </row>
    <row r="70" spans="1:8" x14ac:dyDescent="0.25">
      <c r="A70" s="117"/>
      <c r="B70" s="121"/>
      <c r="C70" s="117"/>
      <c r="D70" s="122"/>
      <c r="E70" s="134"/>
      <c r="F70" s="128"/>
      <c r="H70" s="152"/>
    </row>
    <row r="71" spans="1:8" x14ac:dyDescent="0.25">
      <c r="A71" s="117"/>
      <c r="B71" s="121"/>
      <c r="C71" s="117"/>
      <c r="D71" s="122"/>
      <c r="E71" s="134"/>
      <c r="F71" s="128"/>
      <c r="H71" s="152"/>
    </row>
    <row r="72" spans="1:8" x14ac:dyDescent="0.25">
      <c r="A72" s="117"/>
      <c r="B72" s="121"/>
      <c r="C72" s="117"/>
      <c r="D72" s="122"/>
      <c r="E72" s="134"/>
      <c r="F72" s="128"/>
      <c r="H72" s="152"/>
    </row>
    <row r="73" spans="1:8" x14ac:dyDescent="0.25">
      <c r="A73" s="117"/>
      <c r="B73" s="121"/>
      <c r="C73" s="117"/>
      <c r="D73" s="122"/>
      <c r="E73" s="134"/>
      <c r="F73" s="128"/>
      <c r="H73" s="152"/>
    </row>
    <row r="74" spans="1:8" x14ac:dyDescent="0.25">
      <c r="A74" s="117"/>
      <c r="B74" s="121"/>
      <c r="C74" s="117"/>
      <c r="D74" s="122"/>
      <c r="E74" s="134"/>
      <c r="F74" s="128"/>
      <c r="H74" s="152"/>
    </row>
    <row r="75" spans="1:8" x14ac:dyDescent="0.25">
      <c r="A75" s="117"/>
      <c r="B75" s="121"/>
      <c r="C75" s="117"/>
      <c r="D75" s="122"/>
      <c r="E75" s="134"/>
      <c r="F75" s="128"/>
      <c r="H75" s="152"/>
    </row>
    <row r="76" spans="1:8" x14ac:dyDescent="0.25">
      <c r="A76" s="117"/>
      <c r="B76" s="121"/>
      <c r="C76" s="117"/>
      <c r="D76" s="122"/>
      <c r="E76" s="134"/>
      <c r="F76" s="128"/>
      <c r="H76" s="152"/>
    </row>
    <row r="77" spans="1:8" x14ac:dyDescent="0.25">
      <c r="A77" s="116"/>
      <c r="B77" s="123"/>
      <c r="C77" s="118"/>
      <c r="D77" s="119"/>
      <c r="E77" s="134"/>
      <c r="F77" s="128"/>
      <c r="H77" s="152"/>
    </row>
    <row r="78" spans="1:8" x14ac:dyDescent="0.25">
      <c r="A78" s="116"/>
      <c r="B78" s="124"/>
      <c r="C78" s="118"/>
      <c r="D78" s="119"/>
      <c r="E78" s="134"/>
      <c r="F78" s="128"/>
      <c r="H78" s="152"/>
    </row>
    <row r="79" spans="1:8" x14ac:dyDescent="0.25">
      <c r="A79" s="112"/>
      <c r="B79" s="113"/>
      <c r="C79" s="114"/>
      <c r="D79" s="115"/>
      <c r="E79" s="134"/>
      <c r="F79" s="128"/>
      <c r="H79" s="152"/>
    </row>
    <row r="80" spans="1:8" x14ac:dyDescent="0.25">
      <c r="A80" s="116"/>
      <c r="B80" s="117"/>
      <c r="C80" s="118"/>
      <c r="D80" s="119"/>
      <c r="E80" s="134"/>
      <c r="F80" s="128"/>
      <c r="H80" s="152"/>
    </row>
    <row r="81" spans="1:8" x14ac:dyDescent="0.25">
      <c r="A81" s="112"/>
      <c r="B81" s="120"/>
      <c r="C81" s="114"/>
      <c r="D81" s="115"/>
      <c r="E81" s="134"/>
      <c r="F81" s="128"/>
      <c r="H81" s="152"/>
    </row>
    <row r="82" spans="1:8" x14ac:dyDescent="0.25">
      <c r="A82" s="116"/>
      <c r="B82" s="117"/>
      <c r="C82" s="118"/>
      <c r="D82" s="119"/>
      <c r="E82" s="134"/>
      <c r="F82" s="128"/>
      <c r="H82" s="152"/>
    </row>
    <row r="83" spans="1:8" x14ac:dyDescent="0.25">
      <c r="A83" s="112"/>
      <c r="B83" s="113"/>
      <c r="C83" s="114"/>
      <c r="D83" s="115"/>
      <c r="E83" s="134"/>
      <c r="F83" s="128"/>
      <c r="H83" s="152"/>
    </row>
    <row r="84" spans="1:8" x14ac:dyDescent="0.25">
      <c r="A84" s="116"/>
      <c r="B84" s="117"/>
      <c r="C84" s="118"/>
      <c r="D84" s="119"/>
      <c r="E84" s="134"/>
      <c r="F84" s="128"/>
      <c r="H84" s="152"/>
    </row>
    <row r="85" spans="1:8" x14ac:dyDescent="0.25">
      <c r="A85" s="112"/>
      <c r="B85" s="113"/>
      <c r="C85" s="114"/>
      <c r="D85" s="115"/>
      <c r="E85" s="134"/>
      <c r="F85" s="128"/>
      <c r="H85" s="152"/>
    </row>
    <row r="86" spans="1:8" x14ac:dyDescent="0.25">
      <c r="A86" s="116"/>
      <c r="B86" s="117"/>
      <c r="C86" s="118"/>
      <c r="D86" s="119"/>
      <c r="E86" s="134"/>
      <c r="F86" s="128"/>
      <c r="H86" s="152"/>
    </row>
    <row r="87" spans="1:8" x14ac:dyDescent="0.25">
      <c r="A87" s="112"/>
      <c r="B87" s="113"/>
      <c r="C87" s="114"/>
      <c r="D87" s="115"/>
      <c r="E87" s="134"/>
      <c r="F87" s="128"/>
      <c r="H87" s="152"/>
    </row>
    <row r="88" spans="1:8" x14ac:dyDescent="0.25">
      <c r="A88" s="112"/>
      <c r="B88" s="113"/>
      <c r="C88" s="114"/>
      <c r="D88" s="115"/>
      <c r="E88" s="134"/>
      <c r="F88" s="128"/>
      <c r="H88" s="152"/>
    </row>
    <row r="89" spans="1:8" x14ac:dyDescent="0.25">
      <c r="A89" s="112"/>
      <c r="B89" s="113"/>
      <c r="C89" s="114"/>
      <c r="D89" s="115"/>
      <c r="E89" s="134"/>
      <c r="F89" s="128"/>
      <c r="H89" s="152"/>
    </row>
    <row r="90" spans="1:8" x14ac:dyDescent="0.25">
      <c r="A90" s="116"/>
      <c r="B90" s="117"/>
      <c r="C90" s="118"/>
      <c r="D90" s="119"/>
      <c r="E90" s="134"/>
      <c r="F90" s="128"/>
      <c r="H90" s="152"/>
    </row>
    <row r="91" spans="1:8" x14ac:dyDescent="0.25">
      <c r="A91" s="112"/>
      <c r="B91" s="113"/>
      <c r="C91" s="114"/>
      <c r="D91" s="115"/>
      <c r="E91" s="134"/>
      <c r="F91" s="128"/>
      <c r="H91" s="152"/>
    </row>
    <row r="92" spans="1:8" x14ac:dyDescent="0.25">
      <c r="A92" s="89"/>
      <c r="B92" s="90"/>
      <c r="C92" s="91"/>
      <c r="D92" s="92"/>
      <c r="E92" s="135"/>
      <c r="F92" s="129"/>
      <c r="H92" s="152"/>
    </row>
    <row r="93" spans="1:8" x14ac:dyDescent="0.25">
      <c r="A93" s="93"/>
      <c r="B93" s="94"/>
      <c r="C93" s="95" t="s">
        <v>31</v>
      </c>
      <c r="D93" s="95"/>
      <c r="E93" s="136" t="s">
        <v>7</v>
      </c>
      <c r="F93" s="130">
        <f>SUM(F52:F91)</f>
        <v>479495.67999999999</v>
      </c>
      <c r="H93" s="152"/>
    </row>
    <row r="94" spans="1:8" x14ac:dyDescent="0.25">
      <c r="A94" s="93"/>
      <c r="B94" s="94"/>
      <c r="C94" s="97"/>
      <c r="D94" s="98"/>
      <c r="E94" s="137"/>
      <c r="F94" s="131"/>
      <c r="H94" s="152"/>
    </row>
    <row r="95" spans="1:8" x14ac:dyDescent="0.25">
      <c r="A95" s="85"/>
      <c r="B95" s="82"/>
      <c r="C95" s="64"/>
      <c r="D95" s="65"/>
      <c r="E95" s="134"/>
      <c r="F95" s="128"/>
      <c r="H95" s="152"/>
    </row>
    <row r="96" spans="1:8" x14ac:dyDescent="0.25">
      <c r="A96" s="79"/>
      <c r="B96" s="88" t="s">
        <v>210</v>
      </c>
      <c r="C96" s="81"/>
      <c r="D96" s="78"/>
      <c r="E96" s="134"/>
      <c r="F96" s="128"/>
      <c r="H96" s="152"/>
    </row>
    <row r="97" spans="1:8" x14ac:dyDescent="0.25">
      <c r="A97" s="85"/>
      <c r="B97" s="86"/>
      <c r="C97" s="64"/>
      <c r="D97" s="65"/>
      <c r="E97" s="134"/>
      <c r="F97" s="128"/>
      <c r="H97" s="152"/>
    </row>
    <row r="98" spans="1:8" x14ac:dyDescent="0.25">
      <c r="A98" s="60"/>
      <c r="B98" s="87" t="s">
        <v>333</v>
      </c>
      <c r="C98" s="60"/>
      <c r="D98" s="62"/>
      <c r="E98" s="134"/>
      <c r="F98" s="128">
        <f>F50</f>
        <v>1413654.5899999999</v>
      </c>
      <c r="H98" s="152"/>
    </row>
    <row r="99" spans="1:8" x14ac:dyDescent="0.25">
      <c r="A99" s="60"/>
      <c r="B99" s="86"/>
      <c r="C99" s="60"/>
      <c r="D99" s="62"/>
      <c r="E99" s="134"/>
      <c r="F99" s="128"/>
      <c r="H99" s="152"/>
    </row>
    <row r="100" spans="1:8" x14ac:dyDescent="0.25">
      <c r="A100" s="60"/>
      <c r="B100" s="87" t="s">
        <v>334</v>
      </c>
      <c r="C100" s="60"/>
      <c r="D100" s="62"/>
      <c r="E100" s="134"/>
      <c r="F100" s="128">
        <f>F93</f>
        <v>479495.67999999999</v>
      </c>
      <c r="H100" s="152"/>
    </row>
    <row r="101" spans="1:8" x14ac:dyDescent="0.25">
      <c r="A101" s="60"/>
      <c r="B101" s="61"/>
      <c r="C101" s="60"/>
      <c r="D101" s="62"/>
      <c r="E101" s="134"/>
      <c r="F101" s="128"/>
      <c r="H101" s="152"/>
    </row>
    <row r="102" spans="1:8" x14ac:dyDescent="0.25">
      <c r="A102" s="60"/>
      <c r="B102" s="61"/>
      <c r="C102" s="60"/>
      <c r="D102" s="62"/>
      <c r="E102" s="134"/>
      <c r="F102" s="128"/>
      <c r="H102" s="152"/>
    </row>
    <row r="103" spans="1:8" x14ac:dyDescent="0.25">
      <c r="A103" s="60"/>
      <c r="B103" s="61"/>
      <c r="C103" s="60"/>
      <c r="D103" s="62"/>
      <c r="E103" s="134"/>
      <c r="F103" s="128"/>
      <c r="H103" s="152"/>
    </row>
    <row r="104" spans="1:8" x14ac:dyDescent="0.25">
      <c r="A104" s="60"/>
      <c r="B104" s="61"/>
      <c r="C104" s="60"/>
      <c r="D104" s="62"/>
      <c r="E104" s="134"/>
      <c r="F104" s="128"/>
      <c r="H104" s="152"/>
    </row>
    <row r="105" spans="1:8" x14ac:dyDescent="0.25">
      <c r="A105" s="60"/>
      <c r="B105" s="61"/>
      <c r="C105" s="60"/>
      <c r="D105" s="62"/>
      <c r="E105" s="134"/>
      <c r="F105" s="128"/>
      <c r="H105" s="152"/>
    </row>
    <row r="106" spans="1:8" x14ac:dyDescent="0.25">
      <c r="A106" s="60"/>
      <c r="B106" s="61"/>
      <c r="C106" s="60"/>
      <c r="D106" s="62"/>
      <c r="E106" s="134"/>
      <c r="F106" s="128"/>
      <c r="H106" s="152"/>
    </row>
    <row r="107" spans="1:8" x14ac:dyDescent="0.25">
      <c r="A107" s="60"/>
      <c r="B107" s="61"/>
      <c r="C107" s="60"/>
      <c r="D107" s="62"/>
      <c r="E107" s="134"/>
      <c r="F107" s="128"/>
      <c r="H107" s="152"/>
    </row>
    <row r="108" spans="1:8" x14ac:dyDescent="0.25">
      <c r="A108" s="79"/>
      <c r="B108" s="80"/>
      <c r="C108" s="81"/>
      <c r="D108" s="78"/>
      <c r="E108" s="134"/>
      <c r="F108" s="128"/>
      <c r="H108" s="152"/>
    </row>
    <row r="109" spans="1:8" x14ac:dyDescent="0.25">
      <c r="A109" s="79"/>
      <c r="B109" s="60"/>
      <c r="C109" s="81"/>
      <c r="D109" s="78"/>
      <c r="E109" s="134"/>
      <c r="F109" s="128"/>
      <c r="H109" s="152"/>
    </row>
    <row r="110" spans="1:8" x14ac:dyDescent="0.25">
      <c r="A110" s="85"/>
      <c r="B110" s="82"/>
      <c r="C110" s="64"/>
      <c r="D110" s="65"/>
      <c r="E110" s="134"/>
      <c r="F110" s="128"/>
      <c r="H110" s="152"/>
    </row>
    <row r="111" spans="1:8" x14ac:dyDescent="0.25">
      <c r="A111" s="79"/>
      <c r="B111" s="60"/>
      <c r="C111" s="81"/>
      <c r="D111" s="78"/>
      <c r="E111" s="134"/>
      <c r="F111" s="128"/>
      <c r="H111" s="152"/>
    </row>
    <row r="112" spans="1:8" x14ac:dyDescent="0.25">
      <c r="A112" s="85"/>
      <c r="B112" s="86"/>
      <c r="C112" s="64"/>
      <c r="D112" s="65"/>
      <c r="E112" s="134"/>
      <c r="F112" s="128"/>
      <c r="H112" s="152"/>
    </row>
    <row r="113" spans="1:8" x14ac:dyDescent="0.25">
      <c r="A113" s="79"/>
      <c r="B113" s="60"/>
      <c r="C113" s="81"/>
      <c r="D113" s="78"/>
      <c r="E113" s="134"/>
      <c r="F113" s="128"/>
      <c r="H113" s="152"/>
    </row>
    <row r="114" spans="1:8" x14ac:dyDescent="0.25">
      <c r="A114" s="85"/>
      <c r="B114" s="86"/>
      <c r="C114" s="64"/>
      <c r="D114" s="65"/>
      <c r="E114" s="134"/>
      <c r="F114" s="128"/>
      <c r="H114" s="152"/>
    </row>
    <row r="115" spans="1:8" x14ac:dyDescent="0.25">
      <c r="A115" s="79"/>
      <c r="B115" s="60"/>
      <c r="C115" s="81"/>
      <c r="D115" s="78"/>
      <c r="E115" s="134"/>
      <c r="F115" s="128"/>
      <c r="H115" s="152"/>
    </row>
    <row r="116" spans="1:8" x14ac:dyDescent="0.25">
      <c r="A116" s="85"/>
      <c r="B116" s="82"/>
      <c r="C116" s="64"/>
      <c r="D116" s="65"/>
      <c r="E116" s="134"/>
      <c r="F116" s="128"/>
      <c r="H116" s="152"/>
    </row>
    <row r="117" spans="1:8" x14ac:dyDescent="0.25">
      <c r="A117" s="79"/>
      <c r="B117" s="60"/>
      <c r="C117" s="81"/>
      <c r="D117" s="78"/>
      <c r="E117" s="134"/>
      <c r="F117" s="128"/>
      <c r="H117" s="152"/>
    </row>
    <row r="118" spans="1:8" x14ac:dyDescent="0.25">
      <c r="A118" s="85"/>
      <c r="B118" s="86"/>
      <c r="C118" s="64"/>
      <c r="D118" s="65"/>
      <c r="E118" s="134"/>
      <c r="F118" s="128"/>
      <c r="H118" s="152"/>
    </row>
    <row r="119" spans="1:8" x14ac:dyDescent="0.25">
      <c r="A119" s="79"/>
      <c r="B119" s="60"/>
      <c r="C119" s="81"/>
      <c r="D119" s="78"/>
      <c r="E119" s="134"/>
      <c r="F119" s="128"/>
      <c r="H119" s="152"/>
    </row>
    <row r="120" spans="1:8" x14ac:dyDescent="0.25">
      <c r="A120" s="85"/>
      <c r="B120" s="86"/>
      <c r="C120" s="64"/>
      <c r="D120" s="65"/>
      <c r="E120" s="134"/>
      <c r="F120" s="128"/>
      <c r="H120" s="152"/>
    </row>
    <row r="121" spans="1:8" x14ac:dyDescent="0.25">
      <c r="A121" s="79"/>
      <c r="B121" s="60"/>
      <c r="C121" s="81"/>
      <c r="D121" s="78"/>
      <c r="E121" s="134"/>
      <c r="F121" s="128"/>
      <c r="H121" s="152"/>
    </row>
    <row r="122" spans="1:8" x14ac:dyDescent="0.25">
      <c r="A122" s="85"/>
      <c r="B122" s="86"/>
      <c r="C122" s="64"/>
      <c r="D122" s="65"/>
      <c r="E122" s="134"/>
      <c r="F122" s="128"/>
      <c r="H122" s="152"/>
    </row>
    <row r="123" spans="1:8" x14ac:dyDescent="0.25">
      <c r="A123" s="79"/>
      <c r="B123" s="60"/>
      <c r="C123" s="81"/>
      <c r="D123" s="78"/>
      <c r="E123" s="134"/>
      <c r="F123" s="128"/>
      <c r="H123" s="152"/>
    </row>
    <row r="124" spans="1:8" x14ac:dyDescent="0.25">
      <c r="A124" s="85"/>
      <c r="B124" s="82"/>
      <c r="C124" s="64"/>
      <c r="D124" s="65"/>
      <c r="E124" s="134"/>
      <c r="F124" s="128"/>
      <c r="H124" s="152"/>
    </row>
    <row r="125" spans="1:8" x14ac:dyDescent="0.25">
      <c r="A125" s="79"/>
      <c r="B125" s="60"/>
      <c r="C125" s="81"/>
      <c r="D125" s="78"/>
      <c r="E125" s="134"/>
      <c r="F125" s="128"/>
      <c r="H125" s="152"/>
    </row>
    <row r="126" spans="1:8" x14ac:dyDescent="0.25">
      <c r="A126" s="85"/>
      <c r="B126" s="86"/>
      <c r="C126" s="64"/>
      <c r="D126" s="65"/>
      <c r="E126" s="134"/>
      <c r="F126" s="128"/>
      <c r="H126" s="152"/>
    </row>
    <row r="127" spans="1:8" x14ac:dyDescent="0.25">
      <c r="A127" s="79"/>
      <c r="B127" s="60"/>
      <c r="C127" s="81"/>
      <c r="D127" s="78"/>
      <c r="E127" s="134"/>
      <c r="F127" s="128"/>
      <c r="H127" s="152"/>
    </row>
    <row r="128" spans="1:8" x14ac:dyDescent="0.25">
      <c r="A128" s="85"/>
      <c r="B128" s="86"/>
      <c r="C128" s="64"/>
      <c r="D128" s="65"/>
      <c r="E128" s="134"/>
      <c r="F128" s="128"/>
      <c r="H128" s="152"/>
    </row>
    <row r="129" spans="1:8" x14ac:dyDescent="0.25">
      <c r="A129" s="79"/>
      <c r="B129" s="60"/>
      <c r="C129" s="81"/>
      <c r="D129" s="78"/>
      <c r="E129" s="134"/>
      <c r="F129" s="128"/>
      <c r="H129" s="152"/>
    </row>
    <row r="130" spans="1:8" x14ac:dyDescent="0.25">
      <c r="A130" s="85"/>
      <c r="B130" s="82"/>
      <c r="C130" s="64"/>
      <c r="D130" s="65"/>
      <c r="E130" s="134"/>
      <c r="F130" s="128"/>
      <c r="H130" s="152"/>
    </row>
    <row r="131" spans="1:8" x14ac:dyDescent="0.25">
      <c r="A131" s="79"/>
      <c r="B131" s="60"/>
      <c r="C131" s="81"/>
      <c r="D131" s="78"/>
      <c r="E131" s="134"/>
      <c r="F131" s="128"/>
      <c r="H131" s="152"/>
    </row>
    <row r="132" spans="1:8" x14ac:dyDescent="0.25">
      <c r="A132" s="85"/>
      <c r="B132" s="86"/>
      <c r="C132" s="64"/>
      <c r="D132" s="65"/>
      <c r="E132" s="134"/>
      <c r="F132" s="128"/>
      <c r="H132" s="152"/>
    </row>
    <row r="133" spans="1:8" x14ac:dyDescent="0.25">
      <c r="A133" s="60"/>
      <c r="B133" s="61"/>
      <c r="C133" s="60"/>
      <c r="D133" s="62"/>
      <c r="E133" s="134"/>
      <c r="F133" s="128"/>
      <c r="H133" s="152"/>
    </row>
    <row r="134" spans="1:8" x14ac:dyDescent="0.25">
      <c r="A134" s="60"/>
      <c r="B134" s="61"/>
      <c r="C134" s="60"/>
      <c r="D134" s="62"/>
      <c r="E134" s="134"/>
      <c r="F134" s="128"/>
      <c r="H134" s="152"/>
    </row>
    <row r="135" spans="1:8" x14ac:dyDescent="0.25">
      <c r="A135" s="60"/>
      <c r="B135" s="61"/>
      <c r="C135" s="60"/>
      <c r="D135" s="62"/>
      <c r="E135" s="134"/>
      <c r="F135" s="128"/>
      <c r="H135" s="152"/>
    </row>
    <row r="136" spans="1:8" x14ac:dyDescent="0.25">
      <c r="A136" s="60"/>
      <c r="B136" s="61"/>
      <c r="C136" s="60"/>
      <c r="D136" s="62"/>
      <c r="E136" s="134"/>
      <c r="F136" s="128"/>
      <c r="H136" s="152"/>
    </row>
    <row r="137" spans="1:8" x14ac:dyDescent="0.25">
      <c r="A137" s="60"/>
      <c r="B137" s="61"/>
      <c r="C137" s="60"/>
      <c r="D137" s="62"/>
      <c r="E137" s="134"/>
      <c r="F137" s="128"/>
      <c r="H137" s="152"/>
    </row>
    <row r="138" spans="1:8" x14ac:dyDescent="0.25">
      <c r="A138" s="60"/>
      <c r="B138" s="61"/>
      <c r="C138" s="60"/>
      <c r="D138" s="62"/>
      <c r="E138" s="134"/>
      <c r="F138" s="128"/>
      <c r="H138" s="152"/>
    </row>
    <row r="139" spans="1:8" x14ac:dyDescent="0.25">
      <c r="A139" s="60"/>
      <c r="B139" s="61"/>
      <c r="C139" s="60"/>
      <c r="D139" s="62"/>
      <c r="E139" s="134"/>
      <c r="F139" s="128"/>
      <c r="H139" s="152"/>
    </row>
    <row r="140" spans="1:8" x14ac:dyDescent="0.25">
      <c r="A140" s="60"/>
      <c r="B140" s="61"/>
      <c r="C140" s="60"/>
      <c r="D140" s="62"/>
      <c r="E140" s="134"/>
      <c r="F140" s="128"/>
      <c r="H140" s="152"/>
    </row>
    <row r="141" spans="1:8" x14ac:dyDescent="0.25">
      <c r="A141" s="60"/>
      <c r="B141" s="61"/>
      <c r="C141" s="60"/>
      <c r="D141" s="62"/>
      <c r="E141" s="134"/>
      <c r="F141" s="128"/>
      <c r="H141" s="152"/>
    </row>
    <row r="142" spans="1:8" x14ac:dyDescent="0.25">
      <c r="A142" s="89"/>
      <c r="B142" s="90"/>
      <c r="C142" s="91"/>
      <c r="D142" s="92"/>
      <c r="E142" s="135"/>
      <c r="F142" s="129"/>
      <c r="H142" s="152"/>
    </row>
    <row r="143" spans="1:8" x14ac:dyDescent="0.25">
      <c r="A143" s="93"/>
      <c r="B143" s="94"/>
      <c r="C143" s="95" t="s">
        <v>226</v>
      </c>
      <c r="D143" s="95"/>
      <c r="E143" s="136" t="s">
        <v>7</v>
      </c>
      <c r="F143" s="130">
        <f>SUM(F95:F141)</f>
        <v>1893150.2699999998</v>
      </c>
      <c r="H143" s="152"/>
    </row>
    <row r="144" spans="1:8" x14ac:dyDescent="0.25">
      <c r="A144" s="93"/>
      <c r="B144" s="94"/>
      <c r="C144" s="97"/>
      <c r="D144" s="98"/>
      <c r="E144" s="137"/>
      <c r="F144" s="131"/>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5 - EXTERNAL WORKS
FURNISHINGS</oddHeader>
    <oddFooter>&amp;L&amp;8DMS 148704 BOQ - Nakheel Mall Al Khail&amp;C5/M/&amp;P</oddFooter>
  </headerFooter>
  <rowBreaks count="2" manualBreakCount="2">
    <brk id="51" max="5" man="1"/>
    <brk id="94"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6069-4775-4CCF-9DB3-1DB381565F1F}">
  <dimension ref="A1:H320"/>
  <sheetViews>
    <sheetView view="pageBreakPreview" zoomScale="85" zoomScaleNormal="100" zoomScaleSheetLayoutView="85" zoomScalePageLayoutView="70" workbookViewId="0">
      <selection activeCell="C116" sqref="C1:E1048576"/>
    </sheetView>
  </sheetViews>
  <sheetFormatPr defaultColWidth="9.33203125" defaultRowHeight="13.8" x14ac:dyDescent="0.25"/>
  <cols>
    <col min="1" max="1" width="5.6640625" style="104" customWidth="1"/>
    <col min="2" max="2" width="46" style="105" customWidth="1"/>
    <col min="3" max="3" width="9" style="106" customWidth="1"/>
    <col min="4" max="4" width="6.6640625" style="107" customWidth="1"/>
    <col min="5" max="5" width="12.44140625" style="136" customWidth="1"/>
    <col min="6" max="6" width="15.6640625" style="132" customWidth="1"/>
    <col min="7" max="7" width="18.6640625" style="151" customWidth="1"/>
    <col min="8" max="8" width="19.88671875" style="103" customWidth="1"/>
    <col min="9" max="16384" width="9.33203125" style="103"/>
  </cols>
  <sheetData>
    <row r="1" spans="1:8" s="67" customFormat="1" ht="14.4" x14ac:dyDescent="0.25">
      <c r="A1" s="208" t="s">
        <v>1</v>
      </c>
      <c r="B1" s="208" t="s">
        <v>2</v>
      </c>
      <c r="C1" s="210" t="s">
        <v>3</v>
      </c>
      <c r="D1" s="212" t="s">
        <v>4</v>
      </c>
      <c r="E1" s="141" t="s">
        <v>5</v>
      </c>
      <c r="F1" s="139" t="s">
        <v>6</v>
      </c>
      <c r="G1" s="146"/>
    </row>
    <row r="2" spans="1:8" s="67" customFormat="1" ht="14.4" x14ac:dyDescent="0.25">
      <c r="A2" s="209"/>
      <c r="B2" s="209"/>
      <c r="C2" s="211"/>
      <c r="D2" s="213"/>
      <c r="E2" s="142" t="s">
        <v>7</v>
      </c>
      <c r="F2" s="140" t="s">
        <v>7</v>
      </c>
      <c r="G2" s="146"/>
    </row>
    <row r="3" spans="1:8" s="67" customFormat="1" ht="14.4" x14ac:dyDescent="0.25">
      <c r="A3" s="68"/>
      <c r="B3" s="69"/>
      <c r="C3" s="66"/>
      <c r="D3" s="70"/>
      <c r="E3" s="133"/>
      <c r="F3" s="127"/>
      <c r="G3" s="146"/>
    </row>
    <row r="4" spans="1:8" x14ac:dyDescent="0.25">
      <c r="A4" s="79"/>
      <c r="B4" s="80" t="s">
        <v>335</v>
      </c>
      <c r="C4" s="81"/>
      <c r="D4" s="78"/>
      <c r="E4" s="134"/>
      <c r="F4" s="128"/>
    </row>
    <row r="5" spans="1:8" x14ac:dyDescent="0.25">
      <c r="A5" s="79"/>
      <c r="B5" s="80"/>
      <c r="C5" s="81"/>
      <c r="D5" s="78"/>
      <c r="E5" s="134"/>
      <c r="F5" s="128"/>
    </row>
    <row r="6" spans="1:8" x14ac:dyDescent="0.25">
      <c r="A6" s="79"/>
      <c r="B6" s="99" t="s">
        <v>336</v>
      </c>
      <c r="C6" s="81"/>
      <c r="D6" s="78"/>
      <c r="E6" s="134"/>
      <c r="F6" s="128"/>
    </row>
    <row r="7" spans="1:8" x14ac:dyDescent="0.25">
      <c r="A7" s="79"/>
      <c r="B7" s="60"/>
      <c r="C7" s="81"/>
      <c r="D7" s="78"/>
      <c r="E7" s="134"/>
      <c r="F7" s="128"/>
    </row>
    <row r="8" spans="1:8" ht="41.4" x14ac:dyDescent="0.25">
      <c r="A8" s="63"/>
      <c r="B8" s="83" t="s">
        <v>337</v>
      </c>
      <c r="C8" s="100"/>
      <c r="D8" s="101"/>
      <c r="E8" s="134"/>
      <c r="F8" s="128"/>
    </row>
    <row r="9" spans="1:8" x14ac:dyDescent="0.25">
      <c r="A9" s="79"/>
      <c r="B9" s="60"/>
      <c r="C9" s="81"/>
      <c r="D9" s="78"/>
      <c r="E9" s="134"/>
      <c r="F9" s="128"/>
    </row>
    <row r="10" spans="1:8" x14ac:dyDescent="0.25">
      <c r="A10" s="63" t="s">
        <v>12</v>
      </c>
      <c r="B10" s="82" t="s">
        <v>338</v>
      </c>
      <c r="C10" s="100" t="s">
        <v>339</v>
      </c>
      <c r="D10" s="101" t="s">
        <v>105</v>
      </c>
      <c r="E10" s="134">
        <v>21.59</v>
      </c>
      <c r="F10" s="128">
        <f>E10*C10</f>
        <v>6649.72</v>
      </c>
      <c r="H10" s="152"/>
    </row>
    <row r="11" spans="1:8" x14ac:dyDescent="0.25">
      <c r="A11" s="79"/>
      <c r="B11" s="60"/>
      <c r="C11" s="81"/>
      <c r="D11" s="78"/>
      <c r="E11" s="134"/>
      <c r="F11" s="128">
        <f t="shared" ref="F11:F45" si="0">E11*C11</f>
        <v>0</v>
      </c>
      <c r="H11" s="152"/>
    </row>
    <row r="12" spans="1:8" x14ac:dyDescent="0.25">
      <c r="A12" s="63" t="s">
        <v>16</v>
      </c>
      <c r="B12" s="82" t="s">
        <v>340</v>
      </c>
      <c r="C12" s="100" t="s">
        <v>341</v>
      </c>
      <c r="D12" s="101" t="s">
        <v>105</v>
      </c>
      <c r="E12" s="134">
        <v>31.84</v>
      </c>
      <c r="F12" s="128">
        <f t="shared" si="0"/>
        <v>4839.68</v>
      </c>
      <c r="H12" s="152"/>
    </row>
    <row r="13" spans="1:8" x14ac:dyDescent="0.25">
      <c r="A13" s="79"/>
      <c r="B13" s="60"/>
      <c r="C13" s="81"/>
      <c r="D13" s="78"/>
      <c r="E13" s="134"/>
      <c r="F13" s="128">
        <f t="shared" si="0"/>
        <v>0</v>
      </c>
      <c r="H13" s="152"/>
    </row>
    <row r="14" spans="1:8" x14ac:dyDescent="0.25">
      <c r="A14" s="63" t="s">
        <v>19</v>
      </c>
      <c r="B14" s="82" t="s">
        <v>342</v>
      </c>
      <c r="C14" s="100" t="s">
        <v>343</v>
      </c>
      <c r="D14" s="101" t="s">
        <v>105</v>
      </c>
      <c r="E14" s="134">
        <v>51.04</v>
      </c>
      <c r="F14" s="128">
        <f t="shared" si="0"/>
        <v>5461.28</v>
      </c>
      <c r="H14" s="152"/>
    </row>
    <row r="15" spans="1:8" x14ac:dyDescent="0.25">
      <c r="A15" s="79"/>
      <c r="B15" s="60"/>
      <c r="C15" s="81"/>
      <c r="D15" s="78"/>
      <c r="E15" s="134"/>
      <c r="F15" s="128">
        <f t="shared" si="0"/>
        <v>0</v>
      </c>
      <c r="H15" s="152"/>
    </row>
    <row r="16" spans="1:8" x14ac:dyDescent="0.25">
      <c r="A16" s="63" t="s">
        <v>22</v>
      </c>
      <c r="B16" s="82" t="s">
        <v>344</v>
      </c>
      <c r="C16" s="100" t="s">
        <v>345</v>
      </c>
      <c r="D16" s="101" t="s">
        <v>105</v>
      </c>
      <c r="E16" s="134">
        <v>121.46</v>
      </c>
      <c r="F16" s="128">
        <f t="shared" si="0"/>
        <v>4129.6399999999994</v>
      </c>
      <c r="H16" s="152"/>
    </row>
    <row r="17" spans="1:8" x14ac:dyDescent="0.25">
      <c r="A17" s="79"/>
      <c r="B17" s="60"/>
      <c r="C17" s="81"/>
      <c r="D17" s="78"/>
      <c r="E17" s="134"/>
      <c r="F17" s="128">
        <f t="shared" si="0"/>
        <v>0</v>
      </c>
      <c r="H17" s="152"/>
    </row>
    <row r="18" spans="1:8" ht="27.6" x14ac:dyDescent="0.25">
      <c r="A18" s="63"/>
      <c r="B18" s="83" t="s">
        <v>346</v>
      </c>
      <c r="C18" s="100"/>
      <c r="D18" s="101"/>
      <c r="E18" s="134"/>
      <c r="F18" s="128">
        <f t="shared" si="0"/>
        <v>0</v>
      </c>
      <c r="H18" s="152"/>
    </row>
    <row r="19" spans="1:8" x14ac:dyDescent="0.25">
      <c r="A19" s="79"/>
      <c r="B19" s="60"/>
      <c r="C19" s="81"/>
      <c r="D19" s="78"/>
      <c r="E19" s="134"/>
      <c r="F19" s="128">
        <f t="shared" si="0"/>
        <v>0</v>
      </c>
      <c r="H19" s="152"/>
    </row>
    <row r="20" spans="1:8" x14ac:dyDescent="0.25">
      <c r="A20" s="63" t="s">
        <v>25</v>
      </c>
      <c r="B20" s="82" t="s">
        <v>347</v>
      </c>
      <c r="C20" s="100" t="s">
        <v>317</v>
      </c>
      <c r="D20" s="101" t="s">
        <v>145</v>
      </c>
      <c r="E20" s="134">
        <v>2787.09</v>
      </c>
      <c r="F20" s="128">
        <f t="shared" si="0"/>
        <v>2787.09</v>
      </c>
      <c r="H20" s="152"/>
    </row>
    <row r="21" spans="1:8" x14ac:dyDescent="0.25">
      <c r="A21" s="79"/>
      <c r="B21" s="60"/>
      <c r="C21" s="81"/>
      <c r="D21" s="78"/>
      <c r="E21" s="134"/>
      <c r="F21" s="128">
        <f t="shared" si="0"/>
        <v>0</v>
      </c>
      <c r="H21" s="152"/>
    </row>
    <row r="22" spans="1:8" x14ac:dyDescent="0.25">
      <c r="A22" s="63" t="s">
        <v>28</v>
      </c>
      <c r="B22" s="82" t="s">
        <v>348</v>
      </c>
      <c r="C22" s="100" t="s">
        <v>317</v>
      </c>
      <c r="D22" s="101" t="s">
        <v>145</v>
      </c>
      <c r="E22" s="134">
        <v>2787.09</v>
      </c>
      <c r="F22" s="128">
        <f t="shared" si="0"/>
        <v>2787.09</v>
      </c>
      <c r="H22" s="152"/>
    </row>
    <row r="23" spans="1:8" x14ac:dyDescent="0.25">
      <c r="A23" s="79"/>
      <c r="B23" s="60"/>
      <c r="C23" s="81"/>
      <c r="D23" s="78"/>
      <c r="E23" s="134"/>
      <c r="F23" s="128">
        <f t="shared" si="0"/>
        <v>0</v>
      </c>
      <c r="H23" s="152"/>
    </row>
    <row r="24" spans="1:8" x14ac:dyDescent="0.25">
      <c r="A24" s="63" t="s">
        <v>48</v>
      </c>
      <c r="B24" s="82" t="s">
        <v>349</v>
      </c>
      <c r="C24" s="100" t="s">
        <v>317</v>
      </c>
      <c r="D24" s="101" t="s">
        <v>145</v>
      </c>
      <c r="E24" s="134">
        <v>2787.09</v>
      </c>
      <c r="F24" s="128">
        <f t="shared" si="0"/>
        <v>2787.09</v>
      </c>
      <c r="H24" s="152"/>
    </row>
    <row r="25" spans="1:8" x14ac:dyDescent="0.25">
      <c r="A25" s="79"/>
      <c r="B25" s="60"/>
      <c r="C25" s="81"/>
      <c r="D25" s="78"/>
      <c r="E25" s="134"/>
      <c r="F25" s="128">
        <f t="shared" si="0"/>
        <v>0</v>
      </c>
      <c r="H25" s="152"/>
    </row>
    <row r="26" spans="1:8" x14ac:dyDescent="0.25">
      <c r="A26" s="63" t="s">
        <v>52</v>
      </c>
      <c r="B26" s="82" t="s">
        <v>350</v>
      </c>
      <c r="C26" s="100" t="s">
        <v>317</v>
      </c>
      <c r="D26" s="101" t="s">
        <v>145</v>
      </c>
      <c r="E26" s="134">
        <v>2787.09</v>
      </c>
      <c r="F26" s="128">
        <f t="shared" si="0"/>
        <v>2787.09</v>
      </c>
      <c r="H26" s="152"/>
    </row>
    <row r="27" spans="1:8" x14ac:dyDescent="0.25">
      <c r="A27" s="79"/>
      <c r="B27" s="60"/>
      <c r="C27" s="81"/>
      <c r="D27" s="78"/>
      <c r="E27" s="134"/>
      <c r="F27" s="128">
        <f t="shared" si="0"/>
        <v>0</v>
      </c>
      <c r="H27" s="152"/>
    </row>
    <row r="28" spans="1:8" x14ac:dyDescent="0.25">
      <c r="A28" s="63" t="s">
        <v>54</v>
      </c>
      <c r="B28" s="82" t="s">
        <v>351</v>
      </c>
      <c r="C28" s="100" t="s">
        <v>317</v>
      </c>
      <c r="D28" s="101" t="s">
        <v>145</v>
      </c>
      <c r="E28" s="134">
        <v>2787.09</v>
      </c>
      <c r="F28" s="128">
        <f t="shared" si="0"/>
        <v>2787.09</v>
      </c>
      <c r="H28" s="152"/>
    </row>
    <row r="29" spans="1:8" x14ac:dyDescent="0.25">
      <c r="A29" s="79"/>
      <c r="B29" s="60"/>
      <c r="C29" s="81"/>
      <c r="D29" s="78"/>
      <c r="E29" s="134"/>
      <c r="F29" s="128">
        <f t="shared" si="0"/>
        <v>0</v>
      </c>
      <c r="H29" s="152"/>
    </row>
    <row r="30" spans="1:8" x14ac:dyDescent="0.25">
      <c r="A30" s="63" t="s">
        <v>136</v>
      </c>
      <c r="B30" s="82" t="s">
        <v>352</v>
      </c>
      <c r="C30" s="100" t="s">
        <v>317</v>
      </c>
      <c r="D30" s="101" t="s">
        <v>145</v>
      </c>
      <c r="E30" s="134">
        <v>2787.09</v>
      </c>
      <c r="F30" s="128">
        <f t="shared" si="0"/>
        <v>2787.09</v>
      </c>
      <c r="H30" s="152"/>
    </row>
    <row r="31" spans="1:8" x14ac:dyDescent="0.25">
      <c r="A31" s="79"/>
      <c r="B31" s="60"/>
      <c r="C31" s="81"/>
      <c r="D31" s="78"/>
      <c r="E31" s="134"/>
      <c r="F31" s="128">
        <f t="shared" si="0"/>
        <v>0</v>
      </c>
      <c r="H31" s="152"/>
    </row>
    <row r="32" spans="1:8" x14ac:dyDescent="0.25">
      <c r="A32" s="63" t="s">
        <v>159</v>
      </c>
      <c r="B32" s="82" t="s">
        <v>353</v>
      </c>
      <c r="C32" s="100" t="s">
        <v>317</v>
      </c>
      <c r="D32" s="101" t="s">
        <v>145</v>
      </c>
      <c r="E32" s="134">
        <v>2787.09</v>
      </c>
      <c r="F32" s="128">
        <f t="shared" si="0"/>
        <v>2787.09</v>
      </c>
      <c r="H32" s="152"/>
    </row>
    <row r="33" spans="1:8" x14ac:dyDescent="0.25">
      <c r="A33" s="79"/>
      <c r="B33" s="60"/>
      <c r="C33" s="81"/>
      <c r="D33" s="78"/>
      <c r="E33" s="134"/>
      <c r="F33" s="128">
        <f t="shared" si="0"/>
        <v>0</v>
      </c>
      <c r="H33" s="152"/>
    </row>
    <row r="34" spans="1:8" x14ac:dyDescent="0.25">
      <c r="A34" s="63" t="s">
        <v>251</v>
      </c>
      <c r="B34" s="82" t="s">
        <v>354</v>
      </c>
      <c r="C34" s="100" t="s">
        <v>317</v>
      </c>
      <c r="D34" s="101" t="s">
        <v>145</v>
      </c>
      <c r="E34" s="134">
        <v>2538.71</v>
      </c>
      <c r="F34" s="128">
        <f t="shared" si="0"/>
        <v>2538.71</v>
      </c>
      <c r="H34" s="152"/>
    </row>
    <row r="35" spans="1:8" x14ac:dyDescent="0.25">
      <c r="A35" s="79"/>
      <c r="B35" s="60"/>
      <c r="C35" s="81"/>
      <c r="D35" s="78"/>
      <c r="E35" s="134"/>
      <c r="F35" s="128">
        <f t="shared" si="0"/>
        <v>0</v>
      </c>
      <c r="H35" s="152"/>
    </row>
    <row r="36" spans="1:8" x14ac:dyDescent="0.25">
      <c r="A36" s="63" t="s">
        <v>330</v>
      </c>
      <c r="B36" s="82" t="s">
        <v>355</v>
      </c>
      <c r="C36" s="100" t="s">
        <v>317</v>
      </c>
      <c r="D36" s="101" t="s">
        <v>145</v>
      </c>
      <c r="E36" s="134">
        <v>2787.09</v>
      </c>
      <c r="F36" s="128">
        <f t="shared" si="0"/>
        <v>2787.09</v>
      </c>
      <c r="H36" s="152"/>
    </row>
    <row r="37" spans="1:8" x14ac:dyDescent="0.25">
      <c r="A37" s="79"/>
      <c r="B37" s="60"/>
      <c r="C37" s="81"/>
      <c r="D37" s="78"/>
      <c r="E37" s="134"/>
      <c r="F37" s="128">
        <f t="shared" si="0"/>
        <v>0</v>
      </c>
      <c r="H37" s="152"/>
    </row>
    <row r="38" spans="1:8" x14ac:dyDescent="0.25">
      <c r="A38" s="63" t="s">
        <v>356</v>
      </c>
      <c r="B38" s="82" t="s">
        <v>357</v>
      </c>
      <c r="C38" s="100" t="s">
        <v>317</v>
      </c>
      <c r="D38" s="101" t="s">
        <v>145</v>
      </c>
      <c r="E38" s="134">
        <v>2787.09</v>
      </c>
      <c r="F38" s="128">
        <f t="shared" si="0"/>
        <v>2787.09</v>
      </c>
      <c r="H38" s="152"/>
    </row>
    <row r="39" spans="1:8" x14ac:dyDescent="0.25">
      <c r="A39" s="79"/>
      <c r="B39" s="60"/>
      <c r="C39" s="81"/>
      <c r="D39" s="78"/>
      <c r="E39" s="134"/>
      <c r="F39" s="128">
        <f t="shared" si="0"/>
        <v>0</v>
      </c>
      <c r="H39" s="152"/>
    </row>
    <row r="40" spans="1:8" x14ac:dyDescent="0.25">
      <c r="A40" s="63" t="s">
        <v>358</v>
      </c>
      <c r="B40" s="82" t="s">
        <v>359</v>
      </c>
      <c r="C40" s="100" t="s">
        <v>317</v>
      </c>
      <c r="D40" s="101" t="s">
        <v>145</v>
      </c>
      <c r="E40" s="134">
        <v>2787.09</v>
      </c>
      <c r="F40" s="128">
        <f t="shared" si="0"/>
        <v>2787.09</v>
      </c>
      <c r="H40" s="152"/>
    </row>
    <row r="41" spans="1:8" x14ac:dyDescent="0.25">
      <c r="A41" s="79"/>
      <c r="B41" s="60"/>
      <c r="C41" s="81"/>
      <c r="D41" s="78"/>
      <c r="E41" s="134"/>
      <c r="F41" s="128">
        <f t="shared" si="0"/>
        <v>0</v>
      </c>
      <c r="H41" s="152"/>
    </row>
    <row r="42" spans="1:8" x14ac:dyDescent="0.25">
      <c r="A42" s="63" t="s">
        <v>360</v>
      </c>
      <c r="B42" s="82" t="s">
        <v>361</v>
      </c>
      <c r="C42" s="100" t="s">
        <v>317</v>
      </c>
      <c r="D42" s="101" t="s">
        <v>145</v>
      </c>
      <c r="E42" s="134">
        <v>2787.09</v>
      </c>
      <c r="F42" s="128">
        <f t="shared" si="0"/>
        <v>2787.09</v>
      </c>
      <c r="H42" s="152"/>
    </row>
    <row r="43" spans="1:8" x14ac:dyDescent="0.25">
      <c r="A43" s="79"/>
      <c r="B43" s="60"/>
      <c r="C43" s="81"/>
      <c r="D43" s="78"/>
      <c r="E43" s="134"/>
      <c r="F43" s="128">
        <f t="shared" si="0"/>
        <v>0</v>
      </c>
      <c r="H43" s="152"/>
    </row>
    <row r="44" spans="1:8" x14ac:dyDescent="0.25">
      <c r="A44" s="63" t="s">
        <v>362</v>
      </c>
      <c r="B44" s="82" t="s">
        <v>363</v>
      </c>
      <c r="C44" s="100" t="s">
        <v>317</v>
      </c>
      <c r="D44" s="101" t="s">
        <v>145</v>
      </c>
      <c r="E44" s="134">
        <v>2787.09</v>
      </c>
      <c r="F44" s="128">
        <f t="shared" si="0"/>
        <v>2787.09</v>
      </c>
      <c r="H44" s="152"/>
    </row>
    <row r="45" spans="1:8" x14ac:dyDescent="0.25">
      <c r="A45" s="79"/>
      <c r="B45" s="60"/>
      <c r="C45" s="81"/>
      <c r="D45" s="78"/>
      <c r="E45" s="134"/>
      <c r="F45" s="128">
        <f t="shared" si="0"/>
        <v>0</v>
      </c>
      <c r="H45" s="152"/>
    </row>
    <row r="46" spans="1:8" x14ac:dyDescent="0.25">
      <c r="A46" s="89"/>
      <c r="B46" s="90"/>
      <c r="C46" s="91"/>
      <c r="D46" s="92"/>
      <c r="E46" s="135"/>
      <c r="F46" s="129"/>
      <c r="H46" s="152"/>
    </row>
    <row r="47" spans="1:8" x14ac:dyDescent="0.25">
      <c r="A47" s="93"/>
      <c r="B47" s="94"/>
      <c r="C47" s="95" t="s">
        <v>31</v>
      </c>
      <c r="D47" s="95"/>
      <c r="E47" s="136" t="s">
        <v>7</v>
      </c>
      <c r="F47" s="130">
        <f>SUM(F7:F46)</f>
        <v>57064.109999999986</v>
      </c>
      <c r="H47" s="152"/>
    </row>
    <row r="48" spans="1:8" x14ac:dyDescent="0.25">
      <c r="A48" s="93"/>
      <c r="B48" s="94"/>
      <c r="C48" s="97"/>
      <c r="D48" s="98"/>
      <c r="E48" s="137"/>
      <c r="F48" s="131"/>
      <c r="H48" s="152"/>
    </row>
    <row r="49" spans="1:8" x14ac:dyDescent="0.25">
      <c r="A49" s="85"/>
      <c r="B49" s="86"/>
      <c r="C49" s="64"/>
      <c r="D49" s="65"/>
      <c r="E49" s="134"/>
      <c r="F49" s="128"/>
      <c r="H49" s="152"/>
    </row>
    <row r="50" spans="1:8" x14ac:dyDescent="0.25">
      <c r="A50" s="79"/>
      <c r="B50" s="99" t="s">
        <v>364</v>
      </c>
      <c r="C50" s="81"/>
      <c r="D50" s="78"/>
      <c r="E50" s="134"/>
      <c r="F50" s="128"/>
      <c r="H50" s="152"/>
    </row>
    <row r="51" spans="1:8" x14ac:dyDescent="0.25">
      <c r="A51" s="79"/>
      <c r="B51" s="60"/>
      <c r="C51" s="81"/>
      <c r="D51" s="78"/>
      <c r="E51" s="134"/>
      <c r="F51" s="128"/>
      <c r="H51" s="152"/>
    </row>
    <row r="52" spans="1:8" x14ac:dyDescent="0.25">
      <c r="A52" s="63" t="s">
        <v>12</v>
      </c>
      <c r="B52" s="82" t="s">
        <v>365</v>
      </c>
      <c r="C52" s="100" t="s">
        <v>317</v>
      </c>
      <c r="D52" s="101" t="s">
        <v>145</v>
      </c>
      <c r="E52" s="134">
        <v>2787.09</v>
      </c>
      <c r="F52" s="128">
        <f t="shared" ref="F52:F80" si="1">E52*C52</f>
        <v>2787.09</v>
      </c>
      <c r="H52" s="152"/>
    </row>
    <row r="53" spans="1:8" x14ac:dyDescent="0.25">
      <c r="A53" s="79"/>
      <c r="B53" s="60"/>
      <c r="C53" s="81"/>
      <c r="D53" s="78"/>
      <c r="E53" s="134"/>
      <c r="F53" s="128">
        <f t="shared" si="1"/>
        <v>0</v>
      </c>
      <c r="H53" s="152"/>
    </row>
    <row r="54" spans="1:8" x14ac:dyDescent="0.25">
      <c r="A54" s="63" t="s">
        <v>16</v>
      </c>
      <c r="B54" s="82" t="s">
        <v>366</v>
      </c>
      <c r="C54" s="100" t="s">
        <v>317</v>
      </c>
      <c r="D54" s="101" t="s">
        <v>145</v>
      </c>
      <c r="E54" s="134">
        <v>2787.09</v>
      </c>
      <c r="F54" s="128">
        <f t="shared" si="1"/>
        <v>2787.09</v>
      </c>
      <c r="H54" s="152"/>
    </row>
    <row r="55" spans="1:8" x14ac:dyDescent="0.25">
      <c r="A55" s="79"/>
      <c r="B55" s="60"/>
      <c r="C55" s="81"/>
      <c r="D55" s="78"/>
      <c r="E55" s="134"/>
      <c r="F55" s="128">
        <f t="shared" si="1"/>
        <v>0</v>
      </c>
      <c r="H55" s="152"/>
    </row>
    <row r="56" spans="1:8" ht="27.6" x14ac:dyDescent="0.25">
      <c r="A56" s="63" t="s">
        <v>19</v>
      </c>
      <c r="B56" s="82" t="s">
        <v>367</v>
      </c>
      <c r="C56" s="100" t="s">
        <v>317</v>
      </c>
      <c r="D56" s="101" t="s">
        <v>145</v>
      </c>
      <c r="E56" s="134">
        <v>2538.71</v>
      </c>
      <c r="F56" s="128">
        <f t="shared" si="1"/>
        <v>2538.71</v>
      </c>
      <c r="H56" s="152"/>
    </row>
    <row r="57" spans="1:8" x14ac:dyDescent="0.25">
      <c r="A57" s="79"/>
      <c r="B57" s="60"/>
      <c r="C57" s="81"/>
      <c r="D57" s="78"/>
      <c r="E57" s="134"/>
      <c r="F57" s="128">
        <f t="shared" si="1"/>
        <v>0</v>
      </c>
      <c r="H57" s="152"/>
    </row>
    <row r="58" spans="1:8" x14ac:dyDescent="0.25">
      <c r="A58" s="63" t="s">
        <v>22</v>
      </c>
      <c r="B58" s="82" t="s">
        <v>368</v>
      </c>
      <c r="C58" s="100" t="s">
        <v>180</v>
      </c>
      <c r="D58" s="101" t="s">
        <v>145</v>
      </c>
      <c r="E58" s="134">
        <v>1517.01</v>
      </c>
      <c r="F58" s="128">
        <f t="shared" si="1"/>
        <v>10619.07</v>
      </c>
      <c r="H58" s="152"/>
    </row>
    <row r="59" spans="1:8" x14ac:dyDescent="0.25">
      <c r="A59" s="79"/>
      <c r="B59" s="60"/>
      <c r="C59" s="81"/>
      <c r="D59" s="78"/>
      <c r="E59" s="134"/>
      <c r="F59" s="128">
        <f t="shared" si="1"/>
        <v>0</v>
      </c>
      <c r="H59" s="152"/>
    </row>
    <row r="60" spans="1:8" x14ac:dyDescent="0.25">
      <c r="A60" s="63" t="s">
        <v>25</v>
      </c>
      <c r="B60" s="82" t="s">
        <v>369</v>
      </c>
      <c r="C60" s="100" t="s">
        <v>317</v>
      </c>
      <c r="D60" s="101" t="s">
        <v>145</v>
      </c>
      <c r="E60" s="134">
        <v>7036.49</v>
      </c>
      <c r="F60" s="128">
        <f t="shared" si="1"/>
        <v>7036.49</v>
      </c>
      <c r="H60" s="152"/>
    </row>
    <row r="61" spans="1:8" x14ac:dyDescent="0.25">
      <c r="A61" s="79"/>
      <c r="B61" s="60"/>
      <c r="C61" s="81"/>
      <c r="D61" s="78"/>
      <c r="E61" s="134"/>
      <c r="F61" s="128">
        <f t="shared" si="1"/>
        <v>0</v>
      </c>
      <c r="H61" s="152"/>
    </row>
    <row r="62" spans="1:8" x14ac:dyDescent="0.25">
      <c r="A62" s="63" t="s">
        <v>28</v>
      </c>
      <c r="B62" s="82" t="s">
        <v>370</v>
      </c>
      <c r="C62" s="100" t="s">
        <v>317</v>
      </c>
      <c r="D62" s="101" t="s">
        <v>145</v>
      </c>
      <c r="E62" s="134">
        <v>1141.8800000000001</v>
      </c>
      <c r="F62" s="128">
        <f t="shared" si="1"/>
        <v>1141.8800000000001</v>
      </c>
      <c r="H62" s="152"/>
    </row>
    <row r="63" spans="1:8" x14ac:dyDescent="0.25">
      <c r="A63" s="79"/>
      <c r="B63" s="60"/>
      <c r="C63" s="81"/>
      <c r="D63" s="78"/>
      <c r="E63" s="134"/>
      <c r="F63" s="128">
        <f t="shared" si="1"/>
        <v>0</v>
      </c>
      <c r="H63" s="152"/>
    </row>
    <row r="64" spans="1:8" ht="41.4" x14ac:dyDescent="0.25">
      <c r="A64" s="63"/>
      <c r="B64" s="83" t="s">
        <v>371</v>
      </c>
      <c r="C64" s="100"/>
      <c r="D64" s="101"/>
      <c r="E64" s="134"/>
      <c r="F64" s="128">
        <f t="shared" si="1"/>
        <v>0</v>
      </c>
      <c r="H64" s="152"/>
    </row>
    <row r="65" spans="1:8" x14ac:dyDescent="0.25">
      <c r="A65" s="79"/>
      <c r="B65" s="60"/>
      <c r="C65" s="81"/>
      <c r="D65" s="78"/>
      <c r="E65" s="134"/>
      <c r="F65" s="128">
        <f t="shared" si="1"/>
        <v>0</v>
      </c>
      <c r="H65" s="152"/>
    </row>
    <row r="66" spans="1:8" x14ac:dyDescent="0.25">
      <c r="A66" s="63" t="s">
        <v>48</v>
      </c>
      <c r="B66" s="82" t="s">
        <v>372</v>
      </c>
      <c r="C66" s="100" t="s">
        <v>373</v>
      </c>
      <c r="D66" s="101" t="s">
        <v>145</v>
      </c>
      <c r="E66" s="134">
        <v>56.16</v>
      </c>
      <c r="F66" s="128">
        <f t="shared" si="1"/>
        <v>5110.5599999999995</v>
      </c>
      <c r="H66" s="152"/>
    </row>
    <row r="67" spans="1:8" x14ac:dyDescent="0.25">
      <c r="A67" s="79"/>
      <c r="B67" s="60"/>
      <c r="C67" s="81"/>
      <c r="D67" s="78"/>
      <c r="E67" s="134"/>
      <c r="F67" s="128">
        <f t="shared" si="1"/>
        <v>0</v>
      </c>
      <c r="H67" s="152"/>
    </row>
    <row r="68" spans="1:8" x14ac:dyDescent="0.25">
      <c r="A68" s="63" t="s">
        <v>52</v>
      </c>
      <c r="B68" s="82" t="s">
        <v>374</v>
      </c>
      <c r="C68" s="100" t="s">
        <v>375</v>
      </c>
      <c r="D68" s="101" t="s">
        <v>145</v>
      </c>
      <c r="E68" s="134">
        <v>56.16</v>
      </c>
      <c r="F68" s="128">
        <f t="shared" si="1"/>
        <v>17971.199999999997</v>
      </c>
      <c r="H68" s="152"/>
    </row>
    <row r="69" spans="1:8" x14ac:dyDescent="0.25">
      <c r="A69" s="79"/>
      <c r="B69" s="60"/>
      <c r="C69" s="81"/>
      <c r="D69" s="78"/>
      <c r="E69" s="134"/>
      <c r="F69" s="128">
        <f t="shared" si="1"/>
        <v>0</v>
      </c>
      <c r="H69" s="152"/>
    </row>
    <row r="70" spans="1:8" x14ac:dyDescent="0.25">
      <c r="A70" s="63" t="s">
        <v>54</v>
      </c>
      <c r="B70" s="82" t="s">
        <v>376</v>
      </c>
      <c r="C70" s="100" t="s">
        <v>205</v>
      </c>
      <c r="D70" s="101" t="s">
        <v>145</v>
      </c>
      <c r="E70" s="134">
        <v>56.16</v>
      </c>
      <c r="F70" s="128">
        <f t="shared" si="1"/>
        <v>36840.959999999999</v>
      </c>
      <c r="H70" s="152"/>
    </row>
    <row r="71" spans="1:8" x14ac:dyDescent="0.25">
      <c r="A71" s="79"/>
      <c r="B71" s="60"/>
      <c r="C71" s="81"/>
      <c r="D71" s="78"/>
      <c r="E71" s="134"/>
      <c r="F71" s="128">
        <f t="shared" si="1"/>
        <v>0</v>
      </c>
      <c r="H71" s="152"/>
    </row>
    <row r="72" spans="1:8" x14ac:dyDescent="0.25">
      <c r="A72" s="63" t="s">
        <v>136</v>
      </c>
      <c r="B72" s="82" t="s">
        <v>377</v>
      </c>
      <c r="C72" s="100" t="s">
        <v>161</v>
      </c>
      <c r="D72" s="101" t="s">
        <v>145</v>
      </c>
      <c r="E72" s="134">
        <v>77.930000000000007</v>
      </c>
      <c r="F72" s="128">
        <f t="shared" si="1"/>
        <v>1168.95</v>
      </c>
      <c r="H72" s="152"/>
    </row>
    <row r="73" spans="1:8" x14ac:dyDescent="0.25">
      <c r="A73" s="79"/>
      <c r="B73" s="60"/>
      <c r="C73" s="81"/>
      <c r="D73" s="78"/>
      <c r="E73" s="134"/>
      <c r="F73" s="128">
        <f t="shared" si="1"/>
        <v>0</v>
      </c>
      <c r="H73" s="152"/>
    </row>
    <row r="74" spans="1:8" x14ac:dyDescent="0.25">
      <c r="A74" s="63" t="s">
        <v>159</v>
      </c>
      <c r="B74" s="82" t="s">
        <v>378</v>
      </c>
      <c r="C74" s="100" t="s">
        <v>324</v>
      </c>
      <c r="D74" s="101" t="s">
        <v>145</v>
      </c>
      <c r="E74" s="134">
        <v>77.930000000000007</v>
      </c>
      <c r="F74" s="128">
        <f t="shared" si="1"/>
        <v>1558.6000000000001</v>
      </c>
      <c r="H74" s="152"/>
    </row>
    <row r="75" spans="1:8" x14ac:dyDescent="0.25">
      <c r="A75" s="79"/>
      <c r="B75" s="60"/>
      <c r="C75" s="81"/>
      <c r="D75" s="78"/>
      <c r="E75" s="134"/>
      <c r="F75" s="128">
        <f t="shared" si="1"/>
        <v>0</v>
      </c>
      <c r="H75" s="152"/>
    </row>
    <row r="76" spans="1:8" x14ac:dyDescent="0.25">
      <c r="A76" s="63" t="s">
        <v>251</v>
      </c>
      <c r="B76" s="82" t="s">
        <v>379</v>
      </c>
      <c r="C76" s="100" t="s">
        <v>282</v>
      </c>
      <c r="D76" s="101" t="s">
        <v>145</v>
      </c>
      <c r="E76" s="134">
        <v>77.930000000000007</v>
      </c>
      <c r="F76" s="128">
        <f t="shared" si="1"/>
        <v>4208.22</v>
      </c>
      <c r="H76" s="152"/>
    </row>
    <row r="77" spans="1:8" x14ac:dyDescent="0.25">
      <c r="A77" s="79"/>
      <c r="B77" s="60"/>
      <c r="C77" s="81"/>
      <c r="D77" s="78"/>
      <c r="E77" s="134"/>
      <c r="F77" s="128">
        <f t="shared" si="1"/>
        <v>0</v>
      </c>
      <c r="H77" s="152"/>
    </row>
    <row r="78" spans="1:8" x14ac:dyDescent="0.25">
      <c r="A78" s="63" t="s">
        <v>330</v>
      </c>
      <c r="B78" s="82" t="s">
        <v>380</v>
      </c>
      <c r="C78" s="100" t="s">
        <v>381</v>
      </c>
      <c r="D78" s="101" t="s">
        <v>145</v>
      </c>
      <c r="E78" s="134">
        <v>458.18</v>
      </c>
      <c r="F78" s="128">
        <f t="shared" si="1"/>
        <v>13287.22</v>
      </c>
      <c r="H78" s="152"/>
    </row>
    <row r="79" spans="1:8" x14ac:dyDescent="0.25">
      <c r="A79" s="79"/>
      <c r="B79" s="60"/>
      <c r="C79" s="81"/>
      <c r="D79" s="78"/>
      <c r="E79" s="134"/>
      <c r="F79" s="128">
        <f t="shared" si="1"/>
        <v>0</v>
      </c>
      <c r="H79" s="152"/>
    </row>
    <row r="80" spans="1:8" ht="41.4" x14ac:dyDescent="0.25">
      <c r="A80" s="63" t="s">
        <v>356</v>
      </c>
      <c r="B80" s="82" t="s">
        <v>382</v>
      </c>
      <c r="C80" s="100">
        <v>1</v>
      </c>
      <c r="D80" s="101" t="s">
        <v>1</v>
      </c>
      <c r="E80" s="134">
        <v>18134.34</v>
      </c>
      <c r="F80" s="128">
        <f t="shared" si="1"/>
        <v>18134.34</v>
      </c>
      <c r="H80" s="152"/>
    </row>
    <row r="81" spans="1:8" x14ac:dyDescent="0.25">
      <c r="A81" s="79"/>
      <c r="B81" s="60"/>
      <c r="C81" s="81"/>
      <c r="D81" s="78"/>
      <c r="E81" s="134"/>
      <c r="F81" s="128"/>
      <c r="H81" s="152"/>
    </row>
    <row r="82" spans="1:8" x14ac:dyDescent="0.25">
      <c r="A82" s="85"/>
      <c r="B82" s="86"/>
      <c r="C82" s="64"/>
      <c r="D82" s="65"/>
      <c r="E82" s="134"/>
      <c r="F82" s="128"/>
      <c r="H82" s="152"/>
    </row>
    <row r="83" spans="1:8" x14ac:dyDescent="0.25">
      <c r="A83" s="79"/>
      <c r="B83" s="60"/>
      <c r="C83" s="81"/>
      <c r="D83" s="78"/>
      <c r="E83" s="134"/>
      <c r="F83" s="128"/>
      <c r="H83" s="152"/>
    </row>
    <row r="84" spans="1:8" x14ac:dyDescent="0.25">
      <c r="A84" s="79"/>
      <c r="B84" s="60"/>
      <c r="C84" s="81"/>
      <c r="D84" s="78"/>
      <c r="E84" s="134"/>
      <c r="F84" s="128"/>
      <c r="H84" s="152"/>
    </row>
    <row r="85" spans="1:8" x14ac:dyDescent="0.25">
      <c r="A85" s="79"/>
      <c r="B85" s="60"/>
      <c r="C85" s="81"/>
      <c r="D85" s="78"/>
      <c r="E85" s="134"/>
      <c r="F85" s="128"/>
      <c r="H85" s="152"/>
    </row>
    <row r="86" spans="1:8" x14ac:dyDescent="0.25">
      <c r="A86" s="85"/>
      <c r="B86" s="86"/>
      <c r="C86" s="64"/>
      <c r="D86" s="65"/>
      <c r="E86" s="134"/>
      <c r="F86" s="128"/>
      <c r="H86" s="152"/>
    </row>
    <row r="87" spans="1:8" x14ac:dyDescent="0.25">
      <c r="A87" s="79"/>
      <c r="B87" s="60"/>
      <c r="C87" s="81"/>
      <c r="D87" s="78"/>
      <c r="E87" s="134"/>
      <c r="F87" s="128"/>
      <c r="H87" s="152"/>
    </row>
    <row r="88" spans="1:8" x14ac:dyDescent="0.25">
      <c r="A88" s="89"/>
      <c r="B88" s="90"/>
      <c r="C88" s="91"/>
      <c r="D88" s="92"/>
      <c r="E88" s="135"/>
      <c r="F88" s="129"/>
      <c r="H88" s="152"/>
    </row>
    <row r="89" spans="1:8" x14ac:dyDescent="0.25">
      <c r="A89" s="93"/>
      <c r="B89" s="94"/>
      <c r="C89" s="95" t="s">
        <v>31</v>
      </c>
      <c r="D89" s="95"/>
      <c r="E89" s="136" t="s">
        <v>7</v>
      </c>
      <c r="F89" s="130">
        <f>SUM(F52:F88)</f>
        <v>125190.37999999999</v>
      </c>
      <c r="H89" s="152"/>
    </row>
    <row r="90" spans="1:8" x14ac:dyDescent="0.25">
      <c r="A90" s="93"/>
      <c r="B90" s="94"/>
      <c r="C90" s="97"/>
      <c r="D90" s="98"/>
      <c r="E90" s="137"/>
      <c r="F90" s="131"/>
      <c r="H90" s="152"/>
    </row>
    <row r="91" spans="1:8" x14ac:dyDescent="0.25">
      <c r="A91" s="79"/>
      <c r="B91" s="60"/>
      <c r="C91" s="81"/>
      <c r="D91" s="78"/>
      <c r="E91" s="134"/>
      <c r="F91" s="128"/>
      <c r="H91" s="152"/>
    </row>
    <row r="92" spans="1:8" x14ac:dyDescent="0.25">
      <c r="A92" s="79"/>
      <c r="B92" s="99" t="s">
        <v>383</v>
      </c>
      <c r="C92" s="81"/>
      <c r="D92" s="78"/>
      <c r="E92" s="134"/>
      <c r="F92" s="128"/>
      <c r="H92" s="152"/>
    </row>
    <row r="93" spans="1:8" x14ac:dyDescent="0.25">
      <c r="A93" s="79"/>
      <c r="B93" s="60"/>
      <c r="C93" s="81"/>
      <c r="D93" s="78"/>
      <c r="E93" s="134"/>
      <c r="F93" s="128"/>
      <c r="H93" s="152"/>
    </row>
    <row r="94" spans="1:8" x14ac:dyDescent="0.25">
      <c r="A94" s="63"/>
      <c r="B94" s="82" t="s">
        <v>33</v>
      </c>
      <c r="C94" s="100"/>
      <c r="D94" s="101"/>
      <c r="E94" s="134"/>
      <c r="F94" s="128"/>
      <c r="H94" s="152"/>
    </row>
    <row r="95" spans="1:8" x14ac:dyDescent="0.25">
      <c r="A95" s="79"/>
      <c r="B95" s="60"/>
      <c r="C95" s="81"/>
      <c r="D95" s="78"/>
      <c r="E95" s="134"/>
      <c r="F95" s="128"/>
      <c r="H95" s="152"/>
    </row>
    <row r="96" spans="1:8" ht="41.4" x14ac:dyDescent="0.25">
      <c r="A96" s="63"/>
      <c r="B96" s="82" t="s">
        <v>384</v>
      </c>
      <c r="C96" s="100"/>
      <c r="D96" s="101"/>
      <c r="E96" s="134"/>
      <c r="F96" s="128"/>
      <c r="H96" s="152"/>
    </row>
    <row r="97" spans="1:8" x14ac:dyDescent="0.25">
      <c r="A97" s="79"/>
      <c r="B97" s="60"/>
      <c r="C97" s="81"/>
      <c r="D97" s="78"/>
      <c r="E97" s="134"/>
      <c r="F97" s="128"/>
      <c r="H97" s="152"/>
    </row>
    <row r="98" spans="1:8" ht="41.4" x14ac:dyDescent="0.25">
      <c r="A98" s="63"/>
      <c r="B98" s="82" t="s">
        <v>385</v>
      </c>
      <c r="C98" s="100"/>
      <c r="D98" s="101"/>
      <c r="E98" s="134"/>
      <c r="F98" s="128"/>
      <c r="H98" s="152"/>
    </row>
    <row r="99" spans="1:8" x14ac:dyDescent="0.25">
      <c r="A99" s="79"/>
      <c r="B99" s="60"/>
      <c r="C99" s="81"/>
      <c r="D99" s="78"/>
      <c r="E99" s="134"/>
      <c r="F99" s="128"/>
      <c r="H99" s="152"/>
    </row>
    <row r="100" spans="1:8" ht="27.6" x14ac:dyDescent="0.25">
      <c r="A100" s="63"/>
      <c r="B100" s="82" t="s">
        <v>386</v>
      </c>
      <c r="C100" s="100"/>
      <c r="D100" s="101"/>
      <c r="E100" s="134"/>
      <c r="F100" s="128"/>
      <c r="H100" s="152"/>
    </row>
    <row r="101" spans="1:8" x14ac:dyDescent="0.25">
      <c r="A101" s="79"/>
      <c r="B101" s="60"/>
      <c r="C101" s="81"/>
      <c r="D101" s="78"/>
      <c r="E101" s="134"/>
      <c r="F101" s="128"/>
      <c r="H101" s="152"/>
    </row>
    <row r="102" spans="1:8" ht="27.6" x14ac:dyDescent="0.25">
      <c r="A102" s="63"/>
      <c r="B102" s="83" t="s">
        <v>387</v>
      </c>
      <c r="C102" s="100"/>
      <c r="D102" s="101"/>
      <c r="E102" s="134"/>
      <c r="F102" s="128"/>
      <c r="H102" s="152"/>
    </row>
    <row r="103" spans="1:8" x14ac:dyDescent="0.25">
      <c r="A103" s="79"/>
      <c r="B103" s="60"/>
      <c r="C103" s="81"/>
      <c r="D103" s="78"/>
      <c r="E103" s="134"/>
      <c r="F103" s="128"/>
      <c r="H103" s="152"/>
    </row>
    <row r="104" spans="1:8" x14ac:dyDescent="0.25">
      <c r="A104" s="63"/>
      <c r="B104" s="83" t="s">
        <v>388</v>
      </c>
      <c r="C104" s="100"/>
      <c r="D104" s="101"/>
      <c r="E104" s="134"/>
      <c r="F104" s="128"/>
      <c r="H104" s="152"/>
    </row>
    <row r="105" spans="1:8" x14ac:dyDescent="0.25">
      <c r="A105" s="79"/>
      <c r="B105" s="60"/>
      <c r="C105" s="81"/>
      <c r="D105" s="78"/>
      <c r="E105" s="134"/>
      <c r="F105" s="128">
        <f t="shared" ref="F105:F128" si="2">E105*C105</f>
        <v>0</v>
      </c>
      <c r="H105" s="152"/>
    </row>
    <row r="106" spans="1:8" x14ac:dyDescent="0.25">
      <c r="A106" s="63" t="s">
        <v>12</v>
      </c>
      <c r="B106" s="82" t="s">
        <v>389</v>
      </c>
      <c r="C106" s="100" t="s">
        <v>390</v>
      </c>
      <c r="D106" s="101" t="s">
        <v>105</v>
      </c>
      <c r="E106" s="134">
        <v>130.82</v>
      </c>
      <c r="F106" s="128">
        <f t="shared" si="2"/>
        <v>5625.2599999999993</v>
      </c>
      <c r="H106" s="152"/>
    </row>
    <row r="107" spans="1:8" x14ac:dyDescent="0.25">
      <c r="A107" s="79"/>
      <c r="B107" s="60"/>
      <c r="C107" s="81"/>
      <c r="D107" s="78"/>
      <c r="E107" s="134"/>
      <c r="F107" s="128">
        <f t="shared" si="2"/>
        <v>0</v>
      </c>
      <c r="H107" s="152"/>
    </row>
    <row r="108" spans="1:8" x14ac:dyDescent="0.25">
      <c r="A108" s="63" t="s">
        <v>16</v>
      </c>
      <c r="B108" s="82" t="s">
        <v>391</v>
      </c>
      <c r="C108" s="100" t="s">
        <v>392</v>
      </c>
      <c r="D108" s="101" t="s">
        <v>105</v>
      </c>
      <c r="E108" s="134">
        <v>183.55</v>
      </c>
      <c r="F108" s="128">
        <f t="shared" si="2"/>
        <v>12114.300000000001</v>
      </c>
      <c r="H108" s="152"/>
    </row>
    <row r="109" spans="1:8" x14ac:dyDescent="0.25">
      <c r="A109" s="79"/>
      <c r="B109" s="60"/>
      <c r="C109" s="81"/>
      <c r="D109" s="78"/>
      <c r="E109" s="134"/>
      <c r="F109" s="128">
        <f t="shared" si="2"/>
        <v>0</v>
      </c>
      <c r="H109" s="152"/>
    </row>
    <row r="110" spans="1:8" x14ac:dyDescent="0.25">
      <c r="A110" s="63" t="s">
        <v>19</v>
      </c>
      <c r="B110" s="82" t="s">
        <v>393</v>
      </c>
      <c r="C110" s="100" t="s">
        <v>294</v>
      </c>
      <c r="D110" s="101" t="s">
        <v>105</v>
      </c>
      <c r="E110" s="134">
        <v>110.97</v>
      </c>
      <c r="F110" s="128">
        <f t="shared" si="2"/>
        <v>3329.1</v>
      </c>
      <c r="H110" s="152"/>
    </row>
    <row r="111" spans="1:8" x14ac:dyDescent="0.25">
      <c r="A111" s="79"/>
      <c r="B111" s="60"/>
      <c r="C111" s="81"/>
      <c r="D111" s="78"/>
      <c r="E111" s="134"/>
      <c r="F111" s="128">
        <f t="shared" si="2"/>
        <v>0</v>
      </c>
      <c r="H111" s="152"/>
    </row>
    <row r="112" spans="1:8" x14ac:dyDescent="0.25">
      <c r="A112" s="63"/>
      <c r="B112" s="83" t="s">
        <v>394</v>
      </c>
      <c r="C112" s="100"/>
      <c r="D112" s="101"/>
      <c r="E112" s="134"/>
      <c r="F112" s="128">
        <f t="shared" si="2"/>
        <v>0</v>
      </c>
      <c r="H112" s="152"/>
    </row>
    <row r="113" spans="1:8" x14ac:dyDescent="0.25">
      <c r="A113" s="79"/>
      <c r="B113" s="60"/>
      <c r="C113" s="81"/>
      <c r="D113" s="78"/>
      <c r="E113" s="134"/>
      <c r="F113" s="128">
        <f t="shared" si="2"/>
        <v>0</v>
      </c>
      <c r="H113" s="152"/>
    </row>
    <row r="114" spans="1:8" x14ac:dyDescent="0.25">
      <c r="A114" s="63" t="s">
        <v>22</v>
      </c>
      <c r="B114" s="82" t="s">
        <v>395</v>
      </c>
      <c r="C114" s="100" t="s">
        <v>396</v>
      </c>
      <c r="D114" s="101" t="s">
        <v>105</v>
      </c>
      <c r="E114" s="134">
        <v>130.82</v>
      </c>
      <c r="F114" s="128">
        <f t="shared" si="2"/>
        <v>11642.98</v>
      </c>
      <c r="H114" s="152"/>
    </row>
    <row r="115" spans="1:8" x14ac:dyDescent="0.25">
      <c r="A115" s="79"/>
      <c r="B115" s="60"/>
      <c r="C115" s="81"/>
      <c r="D115" s="78"/>
      <c r="E115" s="134"/>
      <c r="F115" s="128">
        <f t="shared" si="2"/>
        <v>0</v>
      </c>
      <c r="H115" s="152"/>
    </row>
    <row r="116" spans="1:8" x14ac:dyDescent="0.25">
      <c r="A116" s="63" t="s">
        <v>25</v>
      </c>
      <c r="B116" s="82" t="s">
        <v>391</v>
      </c>
      <c r="C116" s="100" t="s">
        <v>397</v>
      </c>
      <c r="D116" s="101" t="s">
        <v>105</v>
      </c>
      <c r="E116" s="134">
        <v>183.55</v>
      </c>
      <c r="F116" s="128">
        <f t="shared" si="2"/>
        <v>14867.550000000001</v>
      </c>
      <c r="H116" s="152"/>
    </row>
    <row r="117" spans="1:8" x14ac:dyDescent="0.25">
      <c r="A117" s="79"/>
      <c r="B117" s="60"/>
      <c r="C117" s="81"/>
      <c r="D117" s="78"/>
      <c r="E117" s="134"/>
      <c r="F117" s="128">
        <f t="shared" si="2"/>
        <v>0</v>
      </c>
      <c r="H117" s="152"/>
    </row>
    <row r="118" spans="1:8" x14ac:dyDescent="0.25">
      <c r="A118" s="63" t="s">
        <v>28</v>
      </c>
      <c r="B118" s="82" t="s">
        <v>398</v>
      </c>
      <c r="C118" s="100" t="s">
        <v>290</v>
      </c>
      <c r="D118" s="101" t="s">
        <v>105</v>
      </c>
      <c r="E118" s="134">
        <v>159.77000000000001</v>
      </c>
      <c r="F118" s="128">
        <f t="shared" si="2"/>
        <v>7029.88</v>
      </c>
      <c r="H118" s="152"/>
    </row>
    <row r="119" spans="1:8" x14ac:dyDescent="0.25">
      <c r="A119" s="79"/>
      <c r="B119" s="60"/>
      <c r="C119" s="81"/>
      <c r="D119" s="78"/>
      <c r="E119" s="134"/>
      <c r="F119" s="128">
        <f t="shared" si="2"/>
        <v>0</v>
      </c>
      <c r="H119" s="152"/>
    </row>
    <row r="120" spans="1:8" x14ac:dyDescent="0.25">
      <c r="A120" s="63"/>
      <c r="B120" s="83" t="s">
        <v>399</v>
      </c>
      <c r="C120" s="100"/>
      <c r="D120" s="101"/>
      <c r="E120" s="134"/>
      <c r="F120" s="128">
        <f t="shared" si="2"/>
        <v>0</v>
      </c>
      <c r="H120" s="152"/>
    </row>
    <row r="121" spans="1:8" x14ac:dyDescent="0.25">
      <c r="A121" s="79"/>
      <c r="B121" s="60"/>
      <c r="C121" s="81"/>
      <c r="D121" s="78"/>
      <c r="E121" s="134"/>
      <c r="F121" s="128">
        <f t="shared" si="2"/>
        <v>0</v>
      </c>
      <c r="H121" s="152"/>
    </row>
    <row r="122" spans="1:8" x14ac:dyDescent="0.25">
      <c r="A122" s="63" t="s">
        <v>48</v>
      </c>
      <c r="B122" s="82" t="s">
        <v>391</v>
      </c>
      <c r="C122" s="100" t="s">
        <v>144</v>
      </c>
      <c r="D122" s="101" t="s">
        <v>105</v>
      </c>
      <c r="E122" s="134">
        <v>183.55</v>
      </c>
      <c r="F122" s="128">
        <f t="shared" si="2"/>
        <v>10462.35</v>
      </c>
      <c r="H122" s="152"/>
    </row>
    <row r="123" spans="1:8" x14ac:dyDescent="0.25">
      <c r="A123" s="79"/>
      <c r="B123" s="60"/>
      <c r="C123" s="81"/>
      <c r="D123" s="78"/>
      <c r="E123" s="134"/>
      <c r="F123" s="128">
        <f t="shared" si="2"/>
        <v>0</v>
      </c>
      <c r="H123" s="152"/>
    </row>
    <row r="124" spans="1:8" x14ac:dyDescent="0.25">
      <c r="A124" s="63" t="s">
        <v>52</v>
      </c>
      <c r="B124" s="82" t="s">
        <v>398</v>
      </c>
      <c r="C124" s="100" t="s">
        <v>400</v>
      </c>
      <c r="D124" s="101" t="s">
        <v>105</v>
      </c>
      <c r="E124" s="134">
        <v>159.77000000000001</v>
      </c>
      <c r="F124" s="128">
        <f t="shared" si="2"/>
        <v>11024.130000000001</v>
      </c>
      <c r="H124" s="152"/>
    </row>
    <row r="125" spans="1:8" x14ac:dyDescent="0.25">
      <c r="A125" s="79"/>
      <c r="B125" s="60"/>
      <c r="C125" s="81"/>
      <c r="D125" s="78"/>
      <c r="E125" s="134"/>
      <c r="F125" s="128">
        <f t="shared" si="2"/>
        <v>0</v>
      </c>
      <c r="H125" s="152"/>
    </row>
    <row r="126" spans="1:8" x14ac:dyDescent="0.25">
      <c r="A126" s="63" t="s">
        <v>54</v>
      </c>
      <c r="B126" s="82" t="s">
        <v>393</v>
      </c>
      <c r="C126" s="100" t="s">
        <v>401</v>
      </c>
      <c r="D126" s="101" t="s">
        <v>105</v>
      </c>
      <c r="E126" s="134">
        <v>110.97</v>
      </c>
      <c r="F126" s="128">
        <f t="shared" si="2"/>
        <v>2552.31</v>
      </c>
      <c r="H126" s="152"/>
    </row>
    <row r="127" spans="1:8" x14ac:dyDescent="0.25">
      <c r="A127" s="85"/>
      <c r="B127" s="86"/>
      <c r="C127" s="64"/>
      <c r="D127" s="65"/>
      <c r="E127" s="134"/>
      <c r="F127" s="128">
        <f t="shared" si="2"/>
        <v>0</v>
      </c>
      <c r="H127" s="152"/>
    </row>
    <row r="128" spans="1:8" x14ac:dyDescent="0.25">
      <c r="A128" s="60"/>
      <c r="B128" s="61"/>
      <c r="C128" s="60"/>
      <c r="D128" s="62"/>
      <c r="E128" s="134"/>
      <c r="F128" s="128">
        <f t="shared" si="2"/>
        <v>0</v>
      </c>
      <c r="H128" s="152"/>
    </row>
    <row r="129" spans="1:8" x14ac:dyDescent="0.25">
      <c r="A129" s="60"/>
      <c r="B129" s="61"/>
      <c r="C129" s="60"/>
      <c r="D129" s="62"/>
      <c r="E129" s="134"/>
      <c r="F129" s="128"/>
      <c r="H129" s="152"/>
    </row>
    <row r="130" spans="1:8" x14ac:dyDescent="0.25">
      <c r="A130" s="60"/>
      <c r="B130" s="61"/>
      <c r="C130" s="60"/>
      <c r="D130" s="62"/>
      <c r="E130" s="134"/>
      <c r="F130" s="128"/>
      <c r="H130" s="152"/>
    </row>
    <row r="131" spans="1:8" x14ac:dyDescent="0.25">
      <c r="A131" s="89"/>
      <c r="B131" s="90"/>
      <c r="C131" s="91"/>
      <c r="D131" s="92"/>
      <c r="E131" s="135"/>
      <c r="F131" s="129"/>
      <c r="H131" s="152"/>
    </row>
    <row r="132" spans="1:8" x14ac:dyDescent="0.25">
      <c r="A132" s="93"/>
      <c r="B132" s="94"/>
      <c r="C132" s="95" t="s">
        <v>31</v>
      </c>
      <c r="D132" s="95"/>
      <c r="E132" s="136" t="s">
        <v>7</v>
      </c>
      <c r="F132" s="130">
        <f>SUM(F92:F131)</f>
        <v>78647.86</v>
      </c>
      <c r="H132" s="152"/>
    </row>
    <row r="133" spans="1:8" x14ac:dyDescent="0.25">
      <c r="A133" s="93"/>
      <c r="B133" s="94"/>
      <c r="C133" s="97"/>
      <c r="D133" s="98"/>
      <c r="E133" s="137"/>
      <c r="F133" s="131"/>
      <c r="H133" s="152"/>
    </row>
    <row r="134" spans="1:8" x14ac:dyDescent="0.25">
      <c r="A134" s="60"/>
      <c r="B134" s="61"/>
      <c r="C134" s="60"/>
      <c r="D134" s="62"/>
      <c r="E134" s="134"/>
      <c r="F134" s="128"/>
      <c r="H134" s="152"/>
    </row>
    <row r="135" spans="1:8" x14ac:dyDescent="0.25">
      <c r="A135" s="79"/>
      <c r="B135" s="99" t="s">
        <v>402</v>
      </c>
      <c r="C135" s="81"/>
      <c r="D135" s="78"/>
      <c r="E135" s="134"/>
      <c r="F135" s="128"/>
      <c r="H135" s="152"/>
    </row>
    <row r="136" spans="1:8" x14ac:dyDescent="0.25">
      <c r="A136" s="79"/>
      <c r="B136" s="60"/>
      <c r="C136" s="81"/>
      <c r="D136" s="78"/>
      <c r="E136" s="134"/>
      <c r="F136" s="128"/>
      <c r="H136" s="152"/>
    </row>
    <row r="137" spans="1:8" x14ac:dyDescent="0.25">
      <c r="A137" s="63"/>
      <c r="B137" s="83" t="s">
        <v>403</v>
      </c>
      <c r="C137" s="100"/>
      <c r="D137" s="101"/>
      <c r="E137" s="134"/>
      <c r="F137" s="128"/>
      <c r="H137" s="152"/>
    </row>
    <row r="138" spans="1:8" x14ac:dyDescent="0.25">
      <c r="A138" s="79"/>
      <c r="B138" s="60"/>
      <c r="C138" s="81"/>
      <c r="D138" s="78"/>
      <c r="E138" s="134"/>
      <c r="F138" s="128"/>
      <c r="H138" s="152"/>
    </row>
    <row r="139" spans="1:8" x14ac:dyDescent="0.25">
      <c r="A139" s="63" t="s">
        <v>12</v>
      </c>
      <c r="B139" s="82" t="s">
        <v>404</v>
      </c>
      <c r="C139" s="100" t="s">
        <v>401</v>
      </c>
      <c r="D139" s="101" t="s">
        <v>105</v>
      </c>
      <c r="E139" s="134">
        <v>119.7</v>
      </c>
      <c r="F139" s="128">
        <f t="shared" ref="F139:F175" si="3">E139*C139</f>
        <v>2753.1</v>
      </c>
      <c r="H139" s="152"/>
    </row>
    <row r="140" spans="1:8" x14ac:dyDescent="0.25">
      <c r="A140" s="79"/>
      <c r="B140" s="60"/>
      <c r="C140" s="81"/>
      <c r="D140" s="78"/>
      <c r="E140" s="134"/>
      <c r="F140" s="128">
        <f t="shared" si="3"/>
        <v>0</v>
      </c>
      <c r="H140" s="152"/>
    </row>
    <row r="141" spans="1:8" x14ac:dyDescent="0.25">
      <c r="A141" s="63" t="s">
        <v>16</v>
      </c>
      <c r="B141" s="82" t="s">
        <v>395</v>
      </c>
      <c r="C141" s="100" t="s">
        <v>147</v>
      </c>
      <c r="D141" s="101" t="s">
        <v>105</v>
      </c>
      <c r="E141" s="134">
        <v>130.82</v>
      </c>
      <c r="F141" s="128">
        <f t="shared" si="3"/>
        <v>2223.94</v>
      </c>
      <c r="H141" s="152"/>
    </row>
    <row r="142" spans="1:8" x14ac:dyDescent="0.25">
      <c r="A142" s="79"/>
      <c r="B142" s="60"/>
      <c r="C142" s="81"/>
      <c r="D142" s="78"/>
      <c r="E142" s="134"/>
      <c r="F142" s="128">
        <f t="shared" si="3"/>
        <v>0</v>
      </c>
      <c r="H142" s="152"/>
    </row>
    <row r="143" spans="1:8" x14ac:dyDescent="0.25">
      <c r="A143" s="63" t="s">
        <v>19</v>
      </c>
      <c r="B143" s="82" t="s">
        <v>391</v>
      </c>
      <c r="C143" s="100" t="s">
        <v>405</v>
      </c>
      <c r="D143" s="101" t="s">
        <v>105</v>
      </c>
      <c r="E143" s="134">
        <v>183.55</v>
      </c>
      <c r="F143" s="128">
        <f t="shared" si="3"/>
        <v>3303.9</v>
      </c>
      <c r="H143" s="152"/>
    </row>
    <row r="144" spans="1:8" x14ac:dyDescent="0.25">
      <c r="A144" s="79"/>
      <c r="B144" s="60"/>
      <c r="C144" s="81"/>
      <c r="D144" s="78"/>
      <c r="E144" s="134"/>
      <c r="F144" s="128">
        <f t="shared" si="3"/>
        <v>0</v>
      </c>
      <c r="H144" s="152"/>
    </row>
    <row r="145" spans="1:8" ht="55.2" x14ac:dyDescent="0.25">
      <c r="A145" s="63"/>
      <c r="B145" s="83" t="s">
        <v>406</v>
      </c>
      <c r="C145" s="100"/>
      <c r="D145" s="101"/>
      <c r="E145" s="134"/>
      <c r="F145" s="128">
        <f t="shared" si="3"/>
        <v>0</v>
      </c>
      <c r="H145" s="152"/>
    </row>
    <row r="146" spans="1:8" x14ac:dyDescent="0.25">
      <c r="A146" s="79"/>
      <c r="B146" s="60"/>
      <c r="C146" s="81"/>
      <c r="D146" s="78"/>
      <c r="E146" s="134"/>
      <c r="F146" s="128">
        <f t="shared" si="3"/>
        <v>0</v>
      </c>
      <c r="H146" s="152"/>
    </row>
    <row r="147" spans="1:8" x14ac:dyDescent="0.25">
      <c r="A147" s="63"/>
      <c r="B147" s="83" t="s">
        <v>407</v>
      </c>
      <c r="C147" s="100"/>
      <c r="D147" s="101"/>
      <c r="E147" s="134"/>
      <c r="F147" s="128">
        <f t="shared" si="3"/>
        <v>0</v>
      </c>
      <c r="H147" s="152"/>
    </row>
    <row r="148" spans="1:8" x14ac:dyDescent="0.25">
      <c r="A148" s="79"/>
      <c r="B148" s="60"/>
      <c r="C148" s="81"/>
      <c r="D148" s="78"/>
      <c r="E148" s="134"/>
      <c r="F148" s="128">
        <f t="shared" si="3"/>
        <v>0</v>
      </c>
      <c r="H148" s="152"/>
    </row>
    <row r="149" spans="1:8" x14ac:dyDescent="0.25">
      <c r="A149" s="63" t="s">
        <v>22</v>
      </c>
      <c r="B149" s="82" t="s">
        <v>404</v>
      </c>
      <c r="C149" s="100" t="s">
        <v>401</v>
      </c>
      <c r="D149" s="101" t="s">
        <v>105</v>
      </c>
      <c r="E149" s="134">
        <v>88.15</v>
      </c>
      <c r="F149" s="128">
        <f t="shared" si="3"/>
        <v>2027.45</v>
      </c>
      <c r="H149" s="152"/>
    </row>
    <row r="150" spans="1:8" x14ac:dyDescent="0.25">
      <c r="A150" s="79"/>
      <c r="B150" s="60"/>
      <c r="C150" s="81"/>
      <c r="D150" s="78"/>
      <c r="E150" s="134"/>
      <c r="F150" s="128">
        <f t="shared" si="3"/>
        <v>0</v>
      </c>
      <c r="H150" s="152"/>
    </row>
    <row r="151" spans="1:8" x14ac:dyDescent="0.25">
      <c r="A151" s="63" t="s">
        <v>25</v>
      </c>
      <c r="B151" s="82" t="s">
        <v>395</v>
      </c>
      <c r="C151" s="100" t="s">
        <v>277</v>
      </c>
      <c r="D151" s="101" t="s">
        <v>105</v>
      </c>
      <c r="E151" s="134">
        <v>91.19</v>
      </c>
      <c r="F151" s="128">
        <f t="shared" si="3"/>
        <v>9666.14</v>
      </c>
      <c r="H151" s="152"/>
    </row>
    <row r="152" spans="1:8" x14ac:dyDescent="0.25">
      <c r="A152" s="79"/>
      <c r="B152" s="60"/>
      <c r="C152" s="81"/>
      <c r="D152" s="78"/>
      <c r="E152" s="134"/>
      <c r="F152" s="128">
        <f t="shared" si="3"/>
        <v>0</v>
      </c>
      <c r="H152" s="152"/>
    </row>
    <row r="153" spans="1:8" x14ac:dyDescent="0.25">
      <c r="A153" s="63" t="s">
        <v>28</v>
      </c>
      <c r="B153" s="82" t="s">
        <v>389</v>
      </c>
      <c r="C153" s="100" t="s">
        <v>390</v>
      </c>
      <c r="D153" s="101" t="s">
        <v>105</v>
      </c>
      <c r="E153" s="134">
        <v>92.74</v>
      </c>
      <c r="F153" s="128">
        <f t="shared" si="3"/>
        <v>3987.8199999999997</v>
      </c>
      <c r="H153" s="152"/>
    </row>
    <row r="154" spans="1:8" x14ac:dyDescent="0.25">
      <c r="A154" s="79"/>
      <c r="B154" s="60"/>
      <c r="C154" s="81"/>
      <c r="D154" s="78"/>
      <c r="E154" s="134"/>
      <c r="F154" s="128">
        <f t="shared" si="3"/>
        <v>0</v>
      </c>
      <c r="H154" s="152"/>
    </row>
    <row r="155" spans="1:8" x14ac:dyDescent="0.25">
      <c r="A155" s="63" t="s">
        <v>48</v>
      </c>
      <c r="B155" s="82" t="s">
        <v>391</v>
      </c>
      <c r="C155" s="100" t="s">
        <v>408</v>
      </c>
      <c r="D155" s="101" t="s">
        <v>105</v>
      </c>
      <c r="E155" s="134">
        <v>99.06</v>
      </c>
      <c r="F155" s="128">
        <f t="shared" si="3"/>
        <v>21991.32</v>
      </c>
      <c r="H155" s="152"/>
    </row>
    <row r="156" spans="1:8" x14ac:dyDescent="0.25">
      <c r="A156" s="79"/>
      <c r="B156" s="60"/>
      <c r="C156" s="81"/>
      <c r="D156" s="78"/>
      <c r="E156" s="134"/>
      <c r="F156" s="128">
        <f t="shared" si="3"/>
        <v>0</v>
      </c>
      <c r="H156" s="152"/>
    </row>
    <row r="157" spans="1:8" x14ac:dyDescent="0.25">
      <c r="A157" s="63" t="s">
        <v>52</v>
      </c>
      <c r="B157" s="82" t="s">
        <v>398</v>
      </c>
      <c r="C157" s="100" t="s">
        <v>409</v>
      </c>
      <c r="D157" s="101" t="s">
        <v>105</v>
      </c>
      <c r="E157" s="134">
        <v>107.28</v>
      </c>
      <c r="F157" s="128">
        <f t="shared" si="3"/>
        <v>12122.64</v>
      </c>
      <c r="H157" s="152"/>
    </row>
    <row r="158" spans="1:8" x14ac:dyDescent="0.25">
      <c r="A158" s="79"/>
      <c r="B158" s="60"/>
      <c r="C158" s="81"/>
      <c r="D158" s="78"/>
      <c r="E158" s="134"/>
      <c r="F158" s="128">
        <f t="shared" si="3"/>
        <v>0</v>
      </c>
      <c r="H158" s="152"/>
    </row>
    <row r="159" spans="1:8" x14ac:dyDescent="0.25">
      <c r="A159" s="63" t="s">
        <v>54</v>
      </c>
      <c r="B159" s="82" t="s">
        <v>393</v>
      </c>
      <c r="C159" s="100" t="s">
        <v>151</v>
      </c>
      <c r="D159" s="101" t="s">
        <v>105</v>
      </c>
      <c r="E159" s="134">
        <v>115.87</v>
      </c>
      <c r="F159" s="128">
        <f t="shared" si="3"/>
        <v>6141.1100000000006</v>
      </c>
      <c r="H159" s="152"/>
    </row>
    <row r="160" spans="1:8" x14ac:dyDescent="0.25">
      <c r="A160" s="79"/>
      <c r="B160" s="60"/>
      <c r="C160" s="81"/>
      <c r="D160" s="78"/>
      <c r="E160" s="134"/>
      <c r="F160" s="128">
        <f t="shared" si="3"/>
        <v>0</v>
      </c>
      <c r="H160" s="152"/>
    </row>
    <row r="161" spans="1:8" x14ac:dyDescent="0.25">
      <c r="A161" s="63"/>
      <c r="B161" s="83" t="s">
        <v>410</v>
      </c>
      <c r="C161" s="100"/>
      <c r="D161" s="101"/>
      <c r="E161" s="134"/>
      <c r="F161" s="128">
        <f t="shared" si="3"/>
        <v>0</v>
      </c>
      <c r="H161" s="152"/>
    </row>
    <row r="162" spans="1:8" x14ac:dyDescent="0.25">
      <c r="A162" s="79"/>
      <c r="B162" s="60"/>
      <c r="C162" s="81"/>
      <c r="D162" s="78"/>
      <c r="E162" s="134"/>
      <c r="F162" s="128">
        <f t="shared" si="3"/>
        <v>0</v>
      </c>
      <c r="H162" s="152"/>
    </row>
    <row r="163" spans="1:8" x14ac:dyDescent="0.25">
      <c r="A163" s="63" t="s">
        <v>136</v>
      </c>
      <c r="B163" s="82" t="s">
        <v>404</v>
      </c>
      <c r="C163" s="100" t="s">
        <v>401</v>
      </c>
      <c r="D163" s="101" t="s">
        <v>105</v>
      </c>
      <c r="E163" s="134">
        <v>45.07</v>
      </c>
      <c r="F163" s="128">
        <f t="shared" si="3"/>
        <v>1036.6099999999999</v>
      </c>
      <c r="H163" s="152"/>
    </row>
    <row r="164" spans="1:8" x14ac:dyDescent="0.25">
      <c r="A164" s="79"/>
      <c r="B164" s="60"/>
      <c r="C164" s="81"/>
      <c r="D164" s="78"/>
      <c r="E164" s="134"/>
      <c r="F164" s="128">
        <f t="shared" si="3"/>
        <v>0</v>
      </c>
      <c r="H164" s="152"/>
    </row>
    <row r="165" spans="1:8" x14ac:dyDescent="0.25">
      <c r="A165" s="63" t="s">
        <v>159</v>
      </c>
      <c r="B165" s="82" t="s">
        <v>395</v>
      </c>
      <c r="C165" s="100" t="s">
        <v>277</v>
      </c>
      <c r="D165" s="101" t="s">
        <v>105</v>
      </c>
      <c r="E165" s="134">
        <v>48.05</v>
      </c>
      <c r="F165" s="128">
        <f t="shared" si="3"/>
        <v>5093.2999999999993</v>
      </c>
      <c r="H165" s="152"/>
    </row>
    <row r="166" spans="1:8" x14ac:dyDescent="0.25">
      <c r="A166" s="79"/>
      <c r="B166" s="60"/>
      <c r="C166" s="81"/>
      <c r="D166" s="78"/>
      <c r="E166" s="134"/>
      <c r="F166" s="128">
        <f t="shared" si="3"/>
        <v>0</v>
      </c>
      <c r="H166" s="152"/>
    </row>
    <row r="167" spans="1:8" x14ac:dyDescent="0.25">
      <c r="A167" s="63" t="s">
        <v>251</v>
      </c>
      <c r="B167" s="82" t="s">
        <v>389</v>
      </c>
      <c r="C167" s="100" t="s">
        <v>390</v>
      </c>
      <c r="D167" s="101" t="s">
        <v>105</v>
      </c>
      <c r="E167" s="134">
        <v>49.56</v>
      </c>
      <c r="F167" s="128">
        <f t="shared" si="3"/>
        <v>2131.08</v>
      </c>
      <c r="H167" s="152"/>
    </row>
    <row r="168" spans="1:8" x14ac:dyDescent="0.25">
      <c r="A168" s="79"/>
      <c r="B168" s="60"/>
      <c r="C168" s="81"/>
      <c r="D168" s="78"/>
      <c r="E168" s="134"/>
      <c r="F168" s="128">
        <f t="shared" si="3"/>
        <v>0</v>
      </c>
      <c r="H168" s="152"/>
    </row>
    <row r="169" spans="1:8" x14ac:dyDescent="0.25">
      <c r="A169" s="63" t="s">
        <v>330</v>
      </c>
      <c r="B169" s="82" t="s">
        <v>391</v>
      </c>
      <c r="C169" s="100" t="s">
        <v>408</v>
      </c>
      <c r="D169" s="101" t="s">
        <v>105</v>
      </c>
      <c r="E169" s="134">
        <v>55.75</v>
      </c>
      <c r="F169" s="128">
        <f t="shared" si="3"/>
        <v>12376.5</v>
      </c>
      <c r="H169" s="152"/>
    </row>
    <row r="170" spans="1:8" x14ac:dyDescent="0.25">
      <c r="A170" s="79"/>
      <c r="B170" s="60"/>
      <c r="C170" s="81"/>
      <c r="D170" s="78"/>
      <c r="E170" s="134"/>
      <c r="F170" s="128">
        <f t="shared" si="3"/>
        <v>0</v>
      </c>
      <c r="H170" s="152"/>
    </row>
    <row r="171" spans="1:8" x14ac:dyDescent="0.25">
      <c r="A171" s="63" t="s">
        <v>356</v>
      </c>
      <c r="B171" s="82" t="s">
        <v>398</v>
      </c>
      <c r="C171" s="100" t="s">
        <v>409</v>
      </c>
      <c r="D171" s="101" t="s">
        <v>105</v>
      </c>
      <c r="E171" s="134">
        <v>63.79</v>
      </c>
      <c r="F171" s="128">
        <f t="shared" si="3"/>
        <v>7208.2699999999995</v>
      </c>
      <c r="H171" s="152"/>
    </row>
    <row r="172" spans="1:8" x14ac:dyDescent="0.25">
      <c r="A172" s="79"/>
      <c r="B172" s="60"/>
      <c r="C172" s="81"/>
      <c r="D172" s="78"/>
      <c r="E172" s="134"/>
      <c r="F172" s="128">
        <f t="shared" si="3"/>
        <v>0</v>
      </c>
      <c r="H172" s="152"/>
    </row>
    <row r="173" spans="1:8" x14ac:dyDescent="0.25">
      <c r="A173" s="63" t="s">
        <v>358</v>
      </c>
      <c r="B173" s="82" t="s">
        <v>393</v>
      </c>
      <c r="C173" s="100" t="s">
        <v>151</v>
      </c>
      <c r="D173" s="101" t="s">
        <v>105</v>
      </c>
      <c r="E173" s="134">
        <v>72.180000000000007</v>
      </c>
      <c r="F173" s="128">
        <f t="shared" si="3"/>
        <v>3825.5400000000004</v>
      </c>
      <c r="H173" s="152"/>
    </row>
    <row r="174" spans="1:8" x14ac:dyDescent="0.25">
      <c r="A174" s="60"/>
      <c r="B174" s="61"/>
      <c r="C174" s="60"/>
      <c r="D174" s="62"/>
      <c r="E174" s="134"/>
      <c r="F174" s="128">
        <f t="shared" si="3"/>
        <v>0</v>
      </c>
      <c r="H174" s="152"/>
    </row>
    <row r="175" spans="1:8" x14ac:dyDescent="0.25">
      <c r="A175" s="60"/>
      <c r="B175" s="61"/>
      <c r="C175" s="60"/>
      <c r="D175" s="62"/>
      <c r="E175" s="134"/>
      <c r="F175" s="128">
        <f t="shared" si="3"/>
        <v>0</v>
      </c>
      <c r="H175" s="152"/>
    </row>
    <row r="176" spans="1:8" x14ac:dyDescent="0.25">
      <c r="A176" s="79"/>
      <c r="B176" s="60"/>
      <c r="C176" s="81"/>
      <c r="D176" s="78"/>
      <c r="E176" s="134"/>
      <c r="F176" s="128"/>
      <c r="H176" s="152"/>
    </row>
    <row r="177" spans="1:8" x14ac:dyDescent="0.25">
      <c r="A177" s="85"/>
      <c r="B177" s="86"/>
      <c r="C177" s="64"/>
      <c r="D177" s="65"/>
      <c r="E177" s="134"/>
      <c r="F177" s="128"/>
      <c r="H177" s="152"/>
    </row>
    <row r="178" spans="1:8" x14ac:dyDescent="0.25">
      <c r="A178" s="89"/>
      <c r="B178" s="90"/>
      <c r="C178" s="91"/>
      <c r="D178" s="92"/>
      <c r="E178" s="135"/>
      <c r="F178" s="129"/>
      <c r="H178" s="152"/>
    </row>
    <row r="179" spans="1:8" x14ac:dyDescent="0.25">
      <c r="A179" s="93"/>
      <c r="B179" s="94"/>
      <c r="C179" s="95" t="s">
        <v>31</v>
      </c>
      <c r="D179" s="95"/>
      <c r="E179" s="136" t="s">
        <v>7</v>
      </c>
      <c r="F179" s="130">
        <f>SUM(F134:F178)</f>
        <v>95888.72</v>
      </c>
      <c r="H179" s="152"/>
    </row>
    <row r="180" spans="1:8" x14ac:dyDescent="0.25">
      <c r="A180" s="93"/>
      <c r="B180" s="94"/>
      <c r="C180" s="97"/>
      <c r="D180" s="98"/>
      <c r="E180" s="137"/>
      <c r="F180" s="131"/>
      <c r="H180" s="152"/>
    </row>
    <row r="181" spans="1:8" x14ac:dyDescent="0.25">
      <c r="A181" s="85"/>
      <c r="B181" s="86"/>
      <c r="C181" s="64"/>
      <c r="D181" s="65"/>
      <c r="E181" s="134"/>
      <c r="F181" s="128"/>
      <c r="H181" s="152"/>
    </row>
    <row r="182" spans="1:8" x14ac:dyDescent="0.25">
      <c r="A182" s="79"/>
      <c r="B182" s="99" t="s">
        <v>402</v>
      </c>
      <c r="C182" s="81"/>
      <c r="D182" s="78"/>
      <c r="E182" s="134"/>
      <c r="F182" s="128"/>
      <c r="H182" s="152"/>
    </row>
    <row r="183" spans="1:8" x14ac:dyDescent="0.25">
      <c r="A183" s="79"/>
      <c r="B183" s="84"/>
      <c r="C183" s="81"/>
      <c r="D183" s="78"/>
      <c r="E183" s="134"/>
      <c r="F183" s="128"/>
      <c r="H183" s="152"/>
    </row>
    <row r="184" spans="1:8" ht="41.4" x14ac:dyDescent="0.25">
      <c r="A184" s="63"/>
      <c r="B184" s="83" t="s">
        <v>411</v>
      </c>
      <c r="C184" s="100"/>
      <c r="D184" s="101"/>
      <c r="E184" s="134"/>
      <c r="F184" s="128">
        <f t="shared" ref="F184:F199" si="4">E184*C184</f>
        <v>0</v>
      </c>
      <c r="H184" s="152"/>
    </row>
    <row r="185" spans="1:8" x14ac:dyDescent="0.25">
      <c r="A185" s="79"/>
      <c r="B185" s="60"/>
      <c r="C185" s="81"/>
      <c r="D185" s="78"/>
      <c r="E185" s="134"/>
      <c r="F185" s="128">
        <f t="shared" si="4"/>
        <v>0</v>
      </c>
      <c r="H185" s="152"/>
    </row>
    <row r="186" spans="1:8" x14ac:dyDescent="0.25">
      <c r="A186" s="63" t="s">
        <v>12</v>
      </c>
      <c r="B186" s="82" t="s">
        <v>412</v>
      </c>
      <c r="C186" s="100" t="s">
        <v>180</v>
      </c>
      <c r="D186" s="101" t="s">
        <v>145</v>
      </c>
      <c r="E186" s="134">
        <v>2378.25</v>
      </c>
      <c r="F186" s="128">
        <f t="shared" si="4"/>
        <v>16647.75</v>
      </c>
      <c r="H186" s="152"/>
    </row>
    <row r="187" spans="1:8" x14ac:dyDescent="0.25">
      <c r="A187" s="79"/>
      <c r="B187" s="60"/>
      <c r="C187" s="81"/>
      <c r="D187" s="78"/>
      <c r="E187" s="134"/>
      <c r="F187" s="128">
        <f t="shared" si="4"/>
        <v>0</v>
      </c>
      <c r="H187" s="152"/>
    </row>
    <row r="188" spans="1:8" x14ac:dyDescent="0.25">
      <c r="A188" s="63" t="s">
        <v>16</v>
      </c>
      <c r="B188" s="82" t="s">
        <v>413</v>
      </c>
      <c r="C188" s="100" t="s">
        <v>170</v>
      </c>
      <c r="D188" s="101" t="s">
        <v>145</v>
      </c>
      <c r="E188" s="134">
        <v>10344.83</v>
      </c>
      <c r="F188" s="128">
        <f t="shared" si="4"/>
        <v>20689.66</v>
      </c>
      <c r="H188" s="152"/>
    </row>
    <row r="189" spans="1:8" x14ac:dyDescent="0.25">
      <c r="A189" s="79"/>
      <c r="B189" s="60"/>
      <c r="C189" s="81"/>
      <c r="D189" s="78"/>
      <c r="E189" s="134"/>
      <c r="F189" s="128">
        <f t="shared" si="4"/>
        <v>0</v>
      </c>
      <c r="H189" s="152"/>
    </row>
    <row r="190" spans="1:8" x14ac:dyDescent="0.25">
      <c r="A190" s="63" t="s">
        <v>19</v>
      </c>
      <c r="B190" s="82" t="s">
        <v>414</v>
      </c>
      <c r="C190" s="100" t="s">
        <v>170</v>
      </c>
      <c r="D190" s="101" t="s">
        <v>145</v>
      </c>
      <c r="E190" s="134">
        <v>14595.71</v>
      </c>
      <c r="F190" s="128">
        <f t="shared" si="4"/>
        <v>29191.42</v>
      </c>
      <c r="H190" s="152"/>
    </row>
    <row r="191" spans="1:8" x14ac:dyDescent="0.25">
      <c r="A191" s="79"/>
      <c r="B191" s="60"/>
      <c r="C191" s="81"/>
      <c r="D191" s="78"/>
      <c r="E191" s="134"/>
      <c r="F191" s="128">
        <f t="shared" si="4"/>
        <v>0</v>
      </c>
      <c r="H191" s="152"/>
    </row>
    <row r="192" spans="1:8" x14ac:dyDescent="0.25">
      <c r="A192" s="63" t="s">
        <v>22</v>
      </c>
      <c r="B192" s="82" t="s">
        <v>415</v>
      </c>
      <c r="C192" s="100" t="s">
        <v>416</v>
      </c>
      <c r="D192" s="101" t="s">
        <v>145</v>
      </c>
      <c r="E192" s="134">
        <v>17721.2</v>
      </c>
      <c r="F192" s="128">
        <f t="shared" si="4"/>
        <v>88606</v>
      </c>
      <c r="H192" s="152"/>
    </row>
    <row r="193" spans="1:8" x14ac:dyDescent="0.25">
      <c r="A193" s="79"/>
      <c r="B193" s="60"/>
      <c r="C193" s="81"/>
      <c r="D193" s="78"/>
      <c r="E193" s="134"/>
      <c r="F193" s="128">
        <f t="shared" si="4"/>
        <v>0</v>
      </c>
      <c r="H193" s="152"/>
    </row>
    <row r="194" spans="1:8" x14ac:dyDescent="0.25">
      <c r="A194" s="63" t="s">
        <v>25</v>
      </c>
      <c r="B194" s="82" t="s">
        <v>417</v>
      </c>
      <c r="C194" s="100" t="s">
        <v>158</v>
      </c>
      <c r="D194" s="101" t="s">
        <v>145</v>
      </c>
      <c r="E194" s="134">
        <v>24120.3</v>
      </c>
      <c r="F194" s="128">
        <f t="shared" si="4"/>
        <v>289443.59999999998</v>
      </c>
      <c r="H194" s="152"/>
    </row>
    <row r="195" spans="1:8" x14ac:dyDescent="0.25">
      <c r="A195" s="85"/>
      <c r="B195" s="86"/>
      <c r="C195" s="64"/>
      <c r="D195" s="65"/>
      <c r="E195" s="134"/>
      <c r="F195" s="128">
        <f t="shared" si="4"/>
        <v>0</v>
      </c>
      <c r="H195" s="152"/>
    </row>
    <row r="196" spans="1:8" x14ac:dyDescent="0.25">
      <c r="A196" s="79"/>
      <c r="B196" s="60"/>
      <c r="C196" s="81"/>
      <c r="D196" s="78"/>
      <c r="E196" s="134"/>
      <c r="F196" s="128">
        <f t="shared" si="4"/>
        <v>0</v>
      </c>
      <c r="H196" s="152"/>
    </row>
    <row r="197" spans="1:8" x14ac:dyDescent="0.25">
      <c r="A197" s="85"/>
      <c r="B197" s="82"/>
      <c r="C197" s="64"/>
      <c r="D197" s="65"/>
      <c r="E197" s="134"/>
      <c r="F197" s="128">
        <f t="shared" si="4"/>
        <v>0</v>
      </c>
      <c r="H197" s="152"/>
    </row>
    <row r="198" spans="1:8" x14ac:dyDescent="0.25">
      <c r="A198" s="60"/>
      <c r="B198" s="61"/>
      <c r="C198" s="60"/>
      <c r="D198" s="62"/>
      <c r="E198" s="134"/>
      <c r="F198" s="128">
        <f t="shared" si="4"/>
        <v>0</v>
      </c>
      <c r="H198" s="152"/>
    </row>
    <row r="199" spans="1:8" x14ac:dyDescent="0.25">
      <c r="A199" s="60"/>
      <c r="B199" s="61"/>
      <c r="C199" s="60"/>
      <c r="D199" s="62"/>
      <c r="E199" s="134"/>
      <c r="F199" s="128">
        <f t="shared" si="4"/>
        <v>0</v>
      </c>
      <c r="H199" s="152"/>
    </row>
    <row r="200" spans="1:8" x14ac:dyDescent="0.25">
      <c r="A200" s="60"/>
      <c r="B200" s="61"/>
      <c r="C200" s="60"/>
      <c r="D200" s="62"/>
      <c r="E200" s="134"/>
      <c r="F200" s="128"/>
      <c r="H200" s="152"/>
    </row>
    <row r="201" spans="1:8" x14ac:dyDescent="0.25">
      <c r="A201" s="60"/>
      <c r="B201" s="61"/>
      <c r="C201" s="60"/>
      <c r="D201" s="62"/>
      <c r="E201" s="134"/>
      <c r="F201" s="128"/>
      <c r="H201" s="152"/>
    </row>
    <row r="202" spans="1:8" x14ac:dyDescent="0.25">
      <c r="A202" s="60"/>
      <c r="B202" s="61"/>
      <c r="C202" s="60"/>
      <c r="D202" s="62"/>
      <c r="E202" s="134"/>
      <c r="F202" s="128"/>
      <c r="H202" s="152"/>
    </row>
    <row r="203" spans="1:8" x14ac:dyDescent="0.25">
      <c r="A203" s="60"/>
      <c r="B203" s="61"/>
      <c r="C203" s="60"/>
      <c r="D203" s="62"/>
      <c r="E203" s="134"/>
      <c r="F203" s="128"/>
      <c r="H203" s="152"/>
    </row>
    <row r="204" spans="1:8" x14ac:dyDescent="0.25">
      <c r="A204" s="60"/>
      <c r="B204" s="61"/>
      <c r="C204" s="60"/>
      <c r="D204" s="62"/>
      <c r="E204" s="134"/>
      <c r="F204" s="128"/>
      <c r="H204" s="152"/>
    </row>
    <row r="205" spans="1:8" x14ac:dyDescent="0.25">
      <c r="A205" s="60"/>
      <c r="B205" s="61"/>
      <c r="C205" s="60"/>
      <c r="D205" s="62"/>
      <c r="E205" s="134"/>
      <c r="F205" s="128"/>
      <c r="H205" s="152"/>
    </row>
    <row r="206" spans="1:8" x14ac:dyDescent="0.25">
      <c r="A206" s="60"/>
      <c r="B206" s="61"/>
      <c r="C206" s="60"/>
      <c r="D206" s="62"/>
      <c r="E206" s="134"/>
      <c r="F206" s="128"/>
      <c r="H206" s="152"/>
    </row>
    <row r="207" spans="1:8" x14ac:dyDescent="0.25">
      <c r="A207" s="60"/>
      <c r="B207" s="61"/>
      <c r="C207" s="60"/>
      <c r="D207" s="62"/>
      <c r="E207" s="134"/>
      <c r="F207" s="128"/>
      <c r="H207" s="152"/>
    </row>
    <row r="208" spans="1:8" x14ac:dyDescent="0.25">
      <c r="A208" s="60"/>
      <c r="B208" s="61"/>
      <c r="C208" s="60"/>
      <c r="D208" s="62"/>
      <c r="E208" s="134"/>
      <c r="F208" s="128"/>
      <c r="H208" s="152"/>
    </row>
    <row r="209" spans="1:8" x14ac:dyDescent="0.25">
      <c r="A209" s="79"/>
      <c r="B209" s="80"/>
      <c r="C209" s="81"/>
      <c r="D209" s="78"/>
      <c r="E209" s="134"/>
      <c r="F209" s="128"/>
      <c r="H209" s="152"/>
    </row>
    <row r="210" spans="1:8" x14ac:dyDescent="0.25">
      <c r="A210" s="79"/>
      <c r="B210" s="60"/>
      <c r="C210" s="81"/>
      <c r="D210" s="78"/>
      <c r="E210" s="134"/>
      <c r="F210" s="128"/>
      <c r="H210" s="152"/>
    </row>
    <row r="211" spans="1:8" x14ac:dyDescent="0.25">
      <c r="A211" s="85"/>
      <c r="B211" s="86"/>
      <c r="C211" s="64"/>
      <c r="D211" s="65"/>
      <c r="E211" s="134"/>
      <c r="F211" s="128"/>
      <c r="H211" s="152"/>
    </row>
    <row r="212" spans="1:8" x14ac:dyDescent="0.25">
      <c r="A212" s="60"/>
      <c r="B212" s="61"/>
      <c r="C212" s="60"/>
      <c r="D212" s="62"/>
      <c r="E212" s="134"/>
      <c r="F212" s="128"/>
      <c r="H212" s="152"/>
    </row>
    <row r="213" spans="1:8" x14ac:dyDescent="0.25">
      <c r="A213" s="60"/>
      <c r="B213" s="61"/>
      <c r="C213" s="60"/>
      <c r="D213" s="62"/>
      <c r="E213" s="134"/>
      <c r="F213" s="128"/>
      <c r="H213" s="152"/>
    </row>
    <row r="214" spans="1:8" x14ac:dyDescent="0.25">
      <c r="A214" s="60"/>
      <c r="B214" s="61"/>
      <c r="C214" s="60"/>
      <c r="D214" s="62"/>
      <c r="E214" s="134"/>
      <c r="F214" s="128"/>
      <c r="H214" s="152"/>
    </row>
    <row r="215" spans="1:8" x14ac:dyDescent="0.25">
      <c r="A215" s="60"/>
      <c r="B215" s="61"/>
      <c r="C215" s="60"/>
      <c r="D215" s="62"/>
      <c r="E215" s="134"/>
      <c r="F215" s="128"/>
      <c r="H215" s="152"/>
    </row>
    <row r="216" spans="1:8" x14ac:dyDescent="0.25">
      <c r="A216" s="60"/>
      <c r="B216" s="61"/>
      <c r="C216" s="60"/>
      <c r="D216" s="62"/>
      <c r="E216" s="134"/>
      <c r="F216" s="128"/>
      <c r="H216" s="152"/>
    </row>
    <row r="217" spans="1:8" x14ac:dyDescent="0.25">
      <c r="A217" s="60"/>
      <c r="B217" s="61"/>
      <c r="C217" s="60"/>
      <c r="D217" s="62"/>
      <c r="E217" s="134"/>
      <c r="F217" s="128"/>
      <c r="H217" s="152"/>
    </row>
    <row r="218" spans="1:8" x14ac:dyDescent="0.25">
      <c r="A218" s="60"/>
      <c r="B218" s="61"/>
      <c r="C218" s="60"/>
      <c r="D218" s="62"/>
      <c r="E218" s="134"/>
      <c r="F218" s="128"/>
      <c r="H218" s="152"/>
    </row>
    <row r="219" spans="1:8" x14ac:dyDescent="0.25">
      <c r="A219" s="60"/>
      <c r="B219" s="61"/>
      <c r="C219" s="60"/>
      <c r="D219" s="62"/>
      <c r="E219" s="134"/>
      <c r="F219" s="128"/>
      <c r="H219" s="152"/>
    </row>
    <row r="220" spans="1:8" x14ac:dyDescent="0.25">
      <c r="A220" s="60"/>
      <c r="B220" s="61"/>
      <c r="C220" s="60"/>
      <c r="D220" s="62"/>
      <c r="E220" s="134"/>
      <c r="F220" s="128"/>
      <c r="H220" s="152"/>
    </row>
    <row r="221" spans="1:8" x14ac:dyDescent="0.25">
      <c r="A221" s="60"/>
      <c r="B221" s="61"/>
      <c r="C221" s="60"/>
      <c r="D221" s="62"/>
      <c r="E221" s="134"/>
      <c r="F221" s="128"/>
      <c r="H221" s="152"/>
    </row>
    <row r="222" spans="1:8" x14ac:dyDescent="0.25">
      <c r="A222" s="60"/>
      <c r="B222" s="61"/>
      <c r="C222" s="60"/>
      <c r="D222" s="62"/>
      <c r="E222" s="134"/>
      <c r="F222" s="128"/>
      <c r="H222" s="152"/>
    </row>
    <row r="223" spans="1:8" x14ac:dyDescent="0.25">
      <c r="A223" s="60"/>
      <c r="B223" s="61"/>
      <c r="C223" s="60"/>
      <c r="D223" s="62"/>
      <c r="E223" s="134"/>
      <c r="F223" s="128"/>
      <c r="H223" s="152"/>
    </row>
    <row r="224" spans="1:8" x14ac:dyDescent="0.25">
      <c r="A224" s="60"/>
      <c r="B224" s="61"/>
      <c r="C224" s="60"/>
      <c r="D224" s="62"/>
      <c r="E224" s="134"/>
      <c r="F224" s="128"/>
      <c r="H224" s="152"/>
    </row>
    <row r="225" spans="1:8" x14ac:dyDescent="0.25">
      <c r="A225" s="60"/>
      <c r="B225" s="61"/>
      <c r="C225" s="60"/>
      <c r="D225" s="62"/>
      <c r="E225" s="134"/>
      <c r="F225" s="128"/>
      <c r="H225" s="152"/>
    </row>
    <row r="226" spans="1:8" x14ac:dyDescent="0.25">
      <c r="A226" s="89"/>
      <c r="B226" s="90"/>
      <c r="C226" s="91"/>
      <c r="D226" s="92"/>
      <c r="E226" s="135"/>
      <c r="F226" s="129"/>
      <c r="H226" s="152"/>
    </row>
    <row r="227" spans="1:8" x14ac:dyDescent="0.25">
      <c r="A227" s="93"/>
      <c r="B227" s="94"/>
      <c r="C227" s="95" t="s">
        <v>31</v>
      </c>
      <c r="D227" s="95"/>
      <c r="E227" s="136" t="s">
        <v>7</v>
      </c>
      <c r="F227" s="130">
        <f>SUM(F181:F225)</f>
        <v>444578.43</v>
      </c>
      <c r="H227" s="152"/>
    </row>
    <row r="228" spans="1:8" x14ac:dyDescent="0.25">
      <c r="A228" s="93"/>
      <c r="B228" s="94"/>
      <c r="C228" s="97"/>
      <c r="D228" s="98"/>
      <c r="E228" s="137"/>
      <c r="F228" s="131"/>
      <c r="H228" s="152"/>
    </row>
    <row r="229" spans="1:8" x14ac:dyDescent="0.25">
      <c r="A229" s="60"/>
      <c r="B229" s="61"/>
      <c r="C229" s="60"/>
      <c r="D229" s="62"/>
      <c r="E229" s="134"/>
      <c r="F229" s="128"/>
      <c r="H229" s="152"/>
    </row>
    <row r="230" spans="1:8" x14ac:dyDescent="0.25">
      <c r="A230" s="79"/>
      <c r="B230" s="99" t="s">
        <v>208</v>
      </c>
      <c r="C230" s="81"/>
      <c r="D230" s="78"/>
      <c r="E230" s="134"/>
      <c r="F230" s="128"/>
      <c r="H230" s="152"/>
    </row>
    <row r="231" spans="1:8" x14ac:dyDescent="0.25">
      <c r="A231" s="79"/>
      <c r="B231" s="60"/>
      <c r="C231" s="81"/>
      <c r="D231" s="78"/>
      <c r="E231" s="134"/>
      <c r="F231" s="128"/>
      <c r="H231" s="152"/>
    </row>
    <row r="232" spans="1:8" ht="69" x14ac:dyDescent="0.25">
      <c r="A232" s="63" t="s">
        <v>12</v>
      </c>
      <c r="B232" s="82" t="s">
        <v>418</v>
      </c>
      <c r="C232" s="100"/>
      <c r="D232" s="101" t="s">
        <v>1</v>
      </c>
      <c r="E232" s="134"/>
      <c r="F232" s="128">
        <f t="shared" ref="F232:F250" si="5">E232*C232</f>
        <v>0</v>
      </c>
      <c r="H232" s="152"/>
    </row>
    <row r="233" spans="1:8" x14ac:dyDescent="0.25">
      <c r="A233" s="117"/>
      <c r="B233" s="121"/>
      <c r="C233" s="117"/>
      <c r="D233" s="122"/>
      <c r="E233" s="134"/>
      <c r="F233" s="128">
        <f t="shared" si="5"/>
        <v>0</v>
      </c>
      <c r="H233" s="152"/>
    </row>
    <row r="234" spans="1:8" ht="41.4" x14ac:dyDescent="0.25">
      <c r="A234" s="117"/>
      <c r="B234" s="154" t="s">
        <v>444</v>
      </c>
      <c r="C234" s="117"/>
      <c r="D234" s="122"/>
      <c r="E234" s="134"/>
      <c r="F234" s="128">
        <f t="shared" si="5"/>
        <v>0</v>
      </c>
      <c r="H234" s="152"/>
    </row>
    <row r="235" spans="1:8" x14ac:dyDescent="0.25">
      <c r="A235" s="117"/>
      <c r="B235" s="121"/>
      <c r="C235" s="117"/>
      <c r="D235" s="122"/>
      <c r="E235" s="134"/>
      <c r="F235" s="128">
        <f t="shared" si="5"/>
        <v>0</v>
      </c>
      <c r="H235" s="152"/>
    </row>
    <row r="236" spans="1:8" x14ac:dyDescent="0.25">
      <c r="A236" s="63" t="s">
        <v>12</v>
      </c>
      <c r="B236" s="154" t="s">
        <v>445</v>
      </c>
      <c r="C236" s="117">
        <v>45</v>
      </c>
      <c r="D236" s="122" t="s">
        <v>105</v>
      </c>
      <c r="E236" s="134">
        <v>132.04</v>
      </c>
      <c r="F236" s="128">
        <f t="shared" si="5"/>
        <v>5941.7999999999993</v>
      </c>
      <c r="H236" s="152"/>
    </row>
    <row r="237" spans="1:8" x14ac:dyDescent="0.25">
      <c r="A237" s="63"/>
      <c r="B237" s="154"/>
      <c r="C237" s="117"/>
      <c r="D237" s="122"/>
      <c r="E237" s="134"/>
      <c r="F237" s="128">
        <f t="shared" si="5"/>
        <v>0</v>
      </c>
      <c r="H237" s="152"/>
    </row>
    <row r="238" spans="1:8" x14ac:dyDescent="0.25">
      <c r="A238" s="63" t="s">
        <v>16</v>
      </c>
      <c r="B238" s="154" t="s">
        <v>447</v>
      </c>
      <c r="C238" s="117">
        <v>136</v>
      </c>
      <c r="D238" s="122" t="s">
        <v>105</v>
      </c>
      <c r="E238" s="134">
        <v>66.02</v>
      </c>
      <c r="F238" s="128">
        <f t="shared" si="5"/>
        <v>8978.7199999999993</v>
      </c>
      <c r="H238" s="152"/>
    </row>
    <row r="239" spans="1:8" x14ac:dyDescent="0.25">
      <c r="A239" s="63"/>
      <c r="B239" s="121"/>
      <c r="C239" s="117"/>
      <c r="D239" s="122"/>
      <c r="E239" s="134"/>
      <c r="F239" s="128">
        <f t="shared" si="5"/>
        <v>0</v>
      </c>
      <c r="H239" s="152"/>
    </row>
    <row r="240" spans="1:8" ht="14.4" x14ac:dyDescent="0.25">
      <c r="A240" s="63"/>
      <c r="B240" s="156" t="s">
        <v>567</v>
      </c>
      <c r="C240" s="117"/>
      <c r="D240" s="122"/>
      <c r="E240" s="134"/>
      <c r="F240" s="128">
        <f t="shared" si="5"/>
        <v>0</v>
      </c>
      <c r="H240" s="152"/>
    </row>
    <row r="241" spans="1:8" x14ac:dyDescent="0.25">
      <c r="A241" s="63"/>
      <c r="B241" s="121"/>
      <c r="C241" s="117"/>
      <c r="D241" s="122"/>
      <c r="E241" s="134"/>
      <c r="F241" s="128">
        <f t="shared" si="5"/>
        <v>0</v>
      </c>
      <c r="H241" s="152"/>
    </row>
    <row r="242" spans="1:8" ht="27.6" x14ac:dyDescent="0.25">
      <c r="A242" s="63" t="s">
        <v>19</v>
      </c>
      <c r="B242" s="154" t="s">
        <v>568</v>
      </c>
      <c r="C242" s="117">
        <v>1</v>
      </c>
      <c r="D242" s="122" t="s">
        <v>1</v>
      </c>
      <c r="E242" s="134">
        <v>2735.91</v>
      </c>
      <c r="F242" s="128">
        <f t="shared" si="5"/>
        <v>2735.91</v>
      </c>
      <c r="H242" s="152"/>
    </row>
    <row r="243" spans="1:8" x14ac:dyDescent="0.25">
      <c r="A243" s="63"/>
      <c r="B243" s="121"/>
      <c r="C243" s="117"/>
      <c r="D243" s="122"/>
      <c r="E243" s="134"/>
      <c r="F243" s="128">
        <f t="shared" si="5"/>
        <v>0</v>
      </c>
      <c r="H243" s="152"/>
    </row>
    <row r="244" spans="1:8" ht="14.4" x14ac:dyDescent="0.25">
      <c r="A244" s="63"/>
      <c r="B244" s="169" t="s">
        <v>580</v>
      </c>
      <c r="C244" s="117"/>
      <c r="D244" s="122"/>
      <c r="E244" s="134"/>
      <c r="F244" s="128">
        <f t="shared" si="5"/>
        <v>0</v>
      </c>
      <c r="H244" s="152"/>
    </row>
    <row r="245" spans="1:8" x14ac:dyDescent="0.25">
      <c r="A245" s="63"/>
      <c r="B245" s="121"/>
      <c r="C245" s="117"/>
      <c r="D245" s="122"/>
      <c r="E245" s="134"/>
      <c r="F245" s="128">
        <f t="shared" si="5"/>
        <v>0</v>
      </c>
      <c r="H245" s="152"/>
    </row>
    <row r="246" spans="1:8" ht="27.6" x14ac:dyDescent="0.25">
      <c r="A246" s="63" t="s">
        <v>22</v>
      </c>
      <c r="B246" s="154" t="s">
        <v>581</v>
      </c>
      <c r="C246" s="117">
        <v>1</v>
      </c>
      <c r="D246" s="122" t="s">
        <v>1</v>
      </c>
      <c r="E246" s="134">
        <v>17128.509999999998</v>
      </c>
      <c r="F246" s="128">
        <f t="shared" si="5"/>
        <v>17128.509999999998</v>
      </c>
      <c r="H246" s="152"/>
    </row>
    <row r="247" spans="1:8" x14ac:dyDescent="0.25">
      <c r="A247" s="63"/>
      <c r="B247" s="121"/>
      <c r="C247" s="117"/>
      <c r="D247" s="122"/>
      <c r="E247" s="134"/>
      <c r="F247" s="128">
        <f t="shared" si="5"/>
        <v>0</v>
      </c>
      <c r="H247" s="152"/>
    </row>
    <row r="248" spans="1:8" x14ac:dyDescent="0.25">
      <c r="A248" s="63"/>
      <c r="B248" s="121"/>
      <c r="C248" s="117"/>
      <c r="D248" s="122"/>
      <c r="E248" s="134"/>
      <c r="F248" s="128">
        <f t="shared" si="5"/>
        <v>0</v>
      </c>
      <c r="H248" s="152"/>
    </row>
    <row r="249" spans="1:8" x14ac:dyDescent="0.25">
      <c r="A249" s="63"/>
      <c r="B249" s="121"/>
      <c r="C249" s="117"/>
      <c r="D249" s="122"/>
      <c r="E249" s="134"/>
      <c r="F249" s="128">
        <f t="shared" si="5"/>
        <v>0</v>
      </c>
      <c r="H249" s="152"/>
    </row>
    <row r="250" spans="1:8" x14ac:dyDescent="0.25">
      <c r="A250" s="117"/>
      <c r="B250" s="121"/>
      <c r="C250" s="117"/>
      <c r="D250" s="122"/>
      <c r="E250" s="134"/>
      <c r="F250" s="128">
        <f t="shared" si="5"/>
        <v>0</v>
      </c>
      <c r="H250" s="152"/>
    </row>
    <row r="251" spans="1:8" x14ac:dyDescent="0.25">
      <c r="A251" s="117"/>
      <c r="B251" s="121"/>
      <c r="C251" s="117"/>
      <c r="D251" s="122"/>
      <c r="E251" s="134"/>
      <c r="F251" s="128"/>
      <c r="H251" s="152"/>
    </row>
    <row r="252" spans="1:8" x14ac:dyDescent="0.25">
      <c r="A252" s="117"/>
      <c r="B252" s="121"/>
      <c r="C252" s="117"/>
      <c r="D252" s="122"/>
      <c r="E252" s="134"/>
      <c r="F252" s="128"/>
      <c r="H252" s="152"/>
    </row>
    <row r="253" spans="1:8" x14ac:dyDescent="0.25">
      <c r="A253" s="117"/>
      <c r="B253" s="121"/>
      <c r="C253" s="117"/>
      <c r="D253" s="122"/>
      <c r="E253" s="134"/>
      <c r="F253" s="128"/>
      <c r="H253" s="152"/>
    </row>
    <row r="254" spans="1:8" x14ac:dyDescent="0.25">
      <c r="A254" s="117"/>
      <c r="B254" s="121"/>
      <c r="C254" s="117"/>
      <c r="D254" s="122"/>
      <c r="E254" s="134"/>
      <c r="F254" s="128"/>
      <c r="H254" s="152"/>
    </row>
    <row r="255" spans="1:8" x14ac:dyDescent="0.25">
      <c r="A255" s="117"/>
      <c r="B255" s="121"/>
      <c r="C255" s="117"/>
      <c r="D255" s="122"/>
      <c r="E255" s="134"/>
      <c r="F255" s="128"/>
      <c r="H255" s="152"/>
    </row>
    <row r="256" spans="1:8" x14ac:dyDescent="0.25">
      <c r="A256" s="117"/>
      <c r="B256" s="121"/>
      <c r="C256" s="117"/>
      <c r="D256" s="122"/>
      <c r="E256" s="134"/>
      <c r="F256" s="128"/>
      <c r="H256" s="152"/>
    </row>
    <row r="257" spans="1:8" x14ac:dyDescent="0.25">
      <c r="A257" s="116"/>
      <c r="B257" s="123"/>
      <c r="C257" s="118"/>
      <c r="D257" s="119"/>
      <c r="E257" s="134"/>
      <c r="F257" s="128"/>
      <c r="H257" s="152"/>
    </row>
    <row r="258" spans="1:8" x14ac:dyDescent="0.25">
      <c r="A258" s="116"/>
      <c r="B258" s="117"/>
      <c r="C258" s="118"/>
      <c r="D258" s="119"/>
      <c r="E258" s="134"/>
      <c r="F258" s="128"/>
      <c r="H258" s="152"/>
    </row>
    <row r="259" spans="1:8" x14ac:dyDescent="0.25">
      <c r="A259" s="112"/>
      <c r="B259" s="113"/>
      <c r="C259" s="114"/>
      <c r="D259" s="115"/>
      <c r="E259" s="134"/>
      <c r="F259" s="128"/>
      <c r="H259" s="152"/>
    </row>
    <row r="260" spans="1:8" x14ac:dyDescent="0.25">
      <c r="A260" s="116"/>
      <c r="B260" s="117"/>
      <c r="C260" s="118"/>
      <c r="D260" s="119"/>
      <c r="E260" s="134"/>
      <c r="F260" s="128"/>
      <c r="H260" s="152"/>
    </row>
    <row r="261" spans="1:8" x14ac:dyDescent="0.25">
      <c r="A261" s="116"/>
      <c r="B261" s="117"/>
      <c r="C261" s="118"/>
      <c r="D261" s="119"/>
      <c r="E261" s="134"/>
      <c r="F261" s="128"/>
      <c r="H261" s="152"/>
    </row>
    <row r="262" spans="1:8" x14ac:dyDescent="0.25">
      <c r="A262" s="116"/>
      <c r="B262" s="117"/>
      <c r="C262" s="118"/>
      <c r="D262" s="119"/>
      <c r="E262" s="134"/>
      <c r="F262" s="128"/>
      <c r="H262" s="152"/>
    </row>
    <row r="263" spans="1:8" x14ac:dyDescent="0.25">
      <c r="A263" s="112"/>
      <c r="B263" s="113"/>
      <c r="C263" s="114"/>
      <c r="D263" s="115"/>
      <c r="E263" s="134"/>
      <c r="F263" s="128"/>
      <c r="H263" s="152"/>
    </row>
    <row r="264" spans="1:8" x14ac:dyDescent="0.25">
      <c r="A264" s="116"/>
      <c r="B264" s="117"/>
      <c r="C264" s="118"/>
      <c r="D264" s="119"/>
      <c r="E264" s="134"/>
      <c r="F264" s="128"/>
      <c r="H264" s="152"/>
    </row>
    <row r="265" spans="1:8" x14ac:dyDescent="0.25">
      <c r="A265" s="116"/>
      <c r="B265" s="117"/>
      <c r="C265" s="118"/>
      <c r="D265" s="119"/>
      <c r="E265" s="134"/>
      <c r="F265" s="128"/>
      <c r="H265" s="152"/>
    </row>
    <row r="266" spans="1:8" x14ac:dyDescent="0.25">
      <c r="A266" s="112"/>
      <c r="B266" s="113"/>
      <c r="C266" s="114"/>
      <c r="D266" s="115"/>
      <c r="E266" s="134"/>
      <c r="F266" s="128"/>
      <c r="H266" s="152"/>
    </row>
    <row r="267" spans="1:8" x14ac:dyDescent="0.25">
      <c r="A267" s="117"/>
      <c r="B267" s="121"/>
      <c r="C267" s="117"/>
      <c r="D267" s="122"/>
      <c r="E267" s="134"/>
      <c r="F267" s="128"/>
      <c r="H267" s="152"/>
    </row>
    <row r="268" spans="1:8" x14ac:dyDescent="0.25">
      <c r="A268" s="89"/>
      <c r="B268" s="90"/>
      <c r="C268" s="91"/>
      <c r="D268" s="92"/>
      <c r="E268" s="135"/>
      <c r="F268" s="129"/>
      <c r="H268" s="152"/>
    </row>
    <row r="269" spans="1:8" x14ac:dyDescent="0.25">
      <c r="A269" s="93"/>
      <c r="B269" s="94"/>
      <c r="C269" s="95" t="s">
        <v>31</v>
      </c>
      <c r="D269" s="95"/>
      <c r="E269" s="136" t="s">
        <v>7</v>
      </c>
      <c r="F269" s="130">
        <f>SUM(F229:F267)</f>
        <v>34784.94</v>
      </c>
      <c r="H269" s="152"/>
    </row>
    <row r="270" spans="1:8" x14ac:dyDescent="0.25">
      <c r="A270" s="93"/>
      <c r="B270" s="94"/>
      <c r="C270" s="97"/>
      <c r="D270" s="98"/>
      <c r="E270" s="137"/>
      <c r="F270" s="131"/>
      <c r="H270" s="152"/>
    </row>
    <row r="271" spans="1:8" x14ac:dyDescent="0.25">
      <c r="A271" s="60"/>
      <c r="B271" s="61"/>
      <c r="C271" s="60"/>
      <c r="D271" s="62"/>
      <c r="E271" s="134"/>
      <c r="F271" s="128"/>
      <c r="H271" s="152"/>
    </row>
    <row r="272" spans="1:8" x14ac:dyDescent="0.25">
      <c r="A272" s="60"/>
      <c r="B272" s="88" t="s">
        <v>210</v>
      </c>
      <c r="C272" s="60"/>
      <c r="D272" s="62"/>
      <c r="E272" s="134"/>
      <c r="F272" s="128"/>
      <c r="H272" s="152"/>
    </row>
    <row r="273" spans="1:8" x14ac:dyDescent="0.25">
      <c r="A273" s="60"/>
      <c r="B273" s="86"/>
      <c r="C273" s="60"/>
      <c r="D273" s="62"/>
      <c r="E273" s="134"/>
      <c r="F273" s="128"/>
      <c r="H273" s="152"/>
    </row>
    <row r="274" spans="1:8" x14ac:dyDescent="0.25">
      <c r="A274" s="60"/>
      <c r="B274" s="87" t="s">
        <v>419</v>
      </c>
      <c r="C274" s="60"/>
      <c r="D274" s="62"/>
      <c r="E274" s="134"/>
      <c r="F274" s="128">
        <f>F47</f>
        <v>57064.109999999986</v>
      </c>
      <c r="H274" s="152"/>
    </row>
    <row r="275" spans="1:8" x14ac:dyDescent="0.25">
      <c r="A275" s="60"/>
      <c r="B275" s="86"/>
      <c r="C275" s="60"/>
      <c r="D275" s="62"/>
      <c r="E275" s="134"/>
      <c r="F275" s="128"/>
      <c r="H275" s="152"/>
    </row>
    <row r="276" spans="1:8" x14ac:dyDescent="0.25">
      <c r="A276" s="60"/>
      <c r="B276" s="87" t="s">
        <v>420</v>
      </c>
      <c r="C276" s="60"/>
      <c r="D276" s="62"/>
      <c r="E276" s="134"/>
      <c r="F276" s="128">
        <f>F89</f>
        <v>125190.37999999999</v>
      </c>
      <c r="H276" s="152"/>
    </row>
    <row r="277" spans="1:8" x14ac:dyDescent="0.25">
      <c r="A277" s="60"/>
      <c r="B277" s="61"/>
      <c r="C277" s="60"/>
      <c r="D277" s="62"/>
      <c r="E277" s="134"/>
      <c r="F277" s="128"/>
      <c r="H277" s="152"/>
    </row>
    <row r="278" spans="1:8" x14ac:dyDescent="0.25">
      <c r="A278" s="60"/>
      <c r="B278" s="87" t="s">
        <v>421</v>
      </c>
      <c r="C278" s="60"/>
      <c r="D278" s="62"/>
      <c r="E278" s="134"/>
      <c r="F278" s="128">
        <f>F132</f>
        <v>78647.86</v>
      </c>
      <c r="H278" s="152"/>
    </row>
    <row r="279" spans="1:8" x14ac:dyDescent="0.25">
      <c r="A279" s="60"/>
      <c r="B279" s="86"/>
      <c r="C279" s="60"/>
      <c r="D279" s="62"/>
      <c r="E279" s="134"/>
      <c r="F279" s="128"/>
      <c r="H279" s="152"/>
    </row>
    <row r="280" spans="1:8" x14ac:dyDescent="0.25">
      <c r="A280" s="60"/>
      <c r="B280" s="87" t="s">
        <v>422</v>
      </c>
      <c r="C280" s="60"/>
      <c r="D280" s="62"/>
      <c r="E280" s="134"/>
      <c r="F280" s="128">
        <f>F179</f>
        <v>95888.72</v>
      </c>
      <c r="H280" s="152"/>
    </row>
    <row r="281" spans="1:8" x14ac:dyDescent="0.25">
      <c r="A281" s="60"/>
      <c r="B281" s="61"/>
      <c r="C281" s="60"/>
      <c r="D281" s="62"/>
      <c r="E281" s="134"/>
      <c r="F281" s="128"/>
      <c r="H281" s="152"/>
    </row>
    <row r="282" spans="1:8" x14ac:dyDescent="0.25">
      <c r="A282" s="60"/>
      <c r="B282" s="87" t="s">
        <v>423</v>
      </c>
      <c r="C282" s="60"/>
      <c r="D282" s="62"/>
      <c r="E282" s="134"/>
      <c r="F282" s="128">
        <f>F227</f>
        <v>444578.43</v>
      </c>
      <c r="H282" s="152"/>
    </row>
    <row r="283" spans="1:8" x14ac:dyDescent="0.25">
      <c r="A283" s="60"/>
      <c r="B283" s="86"/>
      <c r="C283" s="60"/>
      <c r="D283" s="62"/>
      <c r="E283" s="134"/>
      <c r="F283" s="128"/>
      <c r="H283" s="152"/>
    </row>
    <row r="284" spans="1:8" x14ac:dyDescent="0.25">
      <c r="A284" s="60"/>
      <c r="B284" s="87" t="s">
        <v>424</v>
      </c>
      <c r="C284" s="60"/>
      <c r="D284" s="62"/>
      <c r="E284" s="134"/>
      <c r="F284" s="128">
        <f>F269</f>
        <v>34784.94</v>
      </c>
      <c r="H284" s="152"/>
    </row>
    <row r="285" spans="1:8" x14ac:dyDescent="0.25">
      <c r="A285" s="60"/>
      <c r="B285" s="61"/>
      <c r="C285" s="60"/>
      <c r="D285" s="62"/>
      <c r="E285" s="134"/>
      <c r="F285" s="128"/>
      <c r="H285" s="152"/>
    </row>
    <row r="286" spans="1:8" x14ac:dyDescent="0.25">
      <c r="A286" s="60"/>
      <c r="B286" s="87"/>
      <c r="C286" s="60"/>
      <c r="D286" s="62"/>
      <c r="E286" s="134"/>
      <c r="F286" s="128"/>
      <c r="H286" s="152"/>
    </row>
    <row r="287" spans="1:8" x14ac:dyDescent="0.25">
      <c r="A287" s="60"/>
      <c r="B287" s="86"/>
      <c r="C287" s="60"/>
      <c r="D287" s="62"/>
      <c r="E287" s="134"/>
      <c r="F287" s="128"/>
      <c r="H287" s="152"/>
    </row>
    <row r="288" spans="1:8" x14ac:dyDescent="0.25">
      <c r="A288" s="60"/>
      <c r="B288" s="87"/>
      <c r="C288" s="60"/>
      <c r="D288" s="62"/>
      <c r="E288" s="134"/>
      <c r="F288" s="128"/>
      <c r="H288" s="152"/>
    </row>
    <row r="289" spans="1:8" x14ac:dyDescent="0.25">
      <c r="A289" s="60"/>
      <c r="B289" s="61"/>
      <c r="C289" s="60"/>
      <c r="D289" s="62"/>
      <c r="E289" s="134"/>
      <c r="F289" s="128"/>
      <c r="H289" s="152"/>
    </row>
    <row r="290" spans="1:8" x14ac:dyDescent="0.25">
      <c r="A290" s="60"/>
      <c r="B290" s="87"/>
      <c r="C290" s="60"/>
      <c r="D290" s="62"/>
      <c r="E290" s="134"/>
      <c r="F290" s="128"/>
      <c r="H290" s="152"/>
    </row>
    <row r="291" spans="1:8" x14ac:dyDescent="0.25">
      <c r="A291" s="60"/>
      <c r="B291" s="61"/>
      <c r="C291" s="60"/>
      <c r="D291" s="62"/>
      <c r="E291" s="134"/>
      <c r="F291" s="128"/>
      <c r="H291" s="152"/>
    </row>
    <row r="292" spans="1:8" x14ac:dyDescent="0.25">
      <c r="A292" s="79"/>
      <c r="B292" s="80"/>
      <c r="C292" s="81"/>
      <c r="D292" s="78"/>
      <c r="E292" s="134"/>
      <c r="F292" s="128"/>
      <c r="H292" s="152"/>
    </row>
    <row r="293" spans="1:8" x14ac:dyDescent="0.25">
      <c r="A293" s="79"/>
      <c r="B293" s="60"/>
      <c r="C293" s="81"/>
      <c r="D293" s="78"/>
      <c r="E293" s="134"/>
      <c r="F293" s="128"/>
      <c r="H293" s="152"/>
    </row>
    <row r="294" spans="1:8" x14ac:dyDescent="0.25">
      <c r="A294" s="85"/>
      <c r="B294" s="86"/>
      <c r="C294" s="64"/>
      <c r="D294" s="65"/>
      <c r="E294" s="134"/>
      <c r="F294" s="128"/>
      <c r="H294" s="152"/>
    </row>
    <row r="295" spans="1:8" x14ac:dyDescent="0.25">
      <c r="A295" s="79"/>
      <c r="B295" s="60"/>
      <c r="C295" s="81"/>
      <c r="D295" s="78"/>
      <c r="E295" s="134"/>
      <c r="F295" s="128"/>
      <c r="H295" s="152"/>
    </row>
    <row r="296" spans="1:8" x14ac:dyDescent="0.25">
      <c r="A296" s="85"/>
      <c r="B296" s="86"/>
      <c r="C296" s="64"/>
      <c r="D296" s="65"/>
      <c r="E296" s="134"/>
      <c r="F296" s="128"/>
      <c r="H296" s="152"/>
    </row>
    <row r="297" spans="1:8" x14ac:dyDescent="0.25">
      <c r="A297" s="79"/>
      <c r="B297" s="60"/>
      <c r="C297" s="81"/>
      <c r="D297" s="78"/>
      <c r="E297" s="134"/>
      <c r="F297" s="128"/>
      <c r="H297" s="152"/>
    </row>
    <row r="298" spans="1:8" x14ac:dyDescent="0.25">
      <c r="A298" s="85"/>
      <c r="B298" s="82"/>
      <c r="C298" s="64"/>
      <c r="D298" s="65"/>
      <c r="E298" s="134"/>
      <c r="F298" s="128"/>
      <c r="H298" s="152"/>
    </row>
    <row r="299" spans="1:8" x14ac:dyDescent="0.25">
      <c r="A299" s="79"/>
      <c r="B299" s="60"/>
      <c r="C299" s="81"/>
      <c r="D299" s="78"/>
      <c r="E299" s="134"/>
      <c r="F299" s="128"/>
      <c r="H299" s="152"/>
    </row>
    <row r="300" spans="1:8" x14ac:dyDescent="0.25">
      <c r="A300" s="85"/>
      <c r="B300" s="86"/>
      <c r="C300" s="64"/>
      <c r="D300" s="65"/>
      <c r="E300" s="134"/>
      <c r="F300" s="128"/>
      <c r="H300" s="152"/>
    </row>
    <row r="301" spans="1:8" x14ac:dyDescent="0.25">
      <c r="A301" s="79"/>
      <c r="B301" s="60"/>
      <c r="C301" s="81"/>
      <c r="D301" s="78"/>
      <c r="E301" s="134"/>
      <c r="F301" s="128"/>
      <c r="H301" s="152"/>
    </row>
    <row r="302" spans="1:8" x14ac:dyDescent="0.25">
      <c r="A302" s="85"/>
      <c r="B302" s="86"/>
      <c r="C302" s="64"/>
      <c r="D302" s="65"/>
      <c r="E302" s="134"/>
      <c r="F302" s="128"/>
      <c r="H302" s="152"/>
    </row>
    <row r="303" spans="1:8" x14ac:dyDescent="0.25">
      <c r="A303" s="79"/>
      <c r="B303" s="60"/>
      <c r="C303" s="81"/>
      <c r="D303" s="78"/>
      <c r="E303" s="134"/>
      <c r="F303" s="128"/>
      <c r="H303" s="152"/>
    </row>
    <row r="304" spans="1:8" x14ac:dyDescent="0.25">
      <c r="A304" s="85"/>
      <c r="B304" s="86"/>
      <c r="C304" s="64"/>
      <c r="D304" s="65"/>
      <c r="E304" s="134"/>
      <c r="F304" s="128"/>
      <c r="H304" s="152"/>
    </row>
    <row r="305" spans="1:8" x14ac:dyDescent="0.25">
      <c r="A305" s="79"/>
      <c r="B305" s="60"/>
      <c r="C305" s="81"/>
      <c r="D305" s="78"/>
      <c r="E305" s="134"/>
      <c r="F305" s="128"/>
      <c r="H305" s="152"/>
    </row>
    <row r="306" spans="1:8" x14ac:dyDescent="0.25">
      <c r="A306" s="85"/>
      <c r="B306" s="86"/>
      <c r="C306" s="64"/>
      <c r="D306" s="65"/>
      <c r="E306" s="134"/>
      <c r="F306" s="128"/>
      <c r="H306" s="152"/>
    </row>
    <row r="307" spans="1:8" x14ac:dyDescent="0.25">
      <c r="A307" s="79"/>
      <c r="B307" s="60"/>
      <c r="C307" s="81"/>
      <c r="D307" s="78"/>
      <c r="E307" s="134"/>
      <c r="F307" s="128"/>
      <c r="H307" s="152"/>
    </row>
    <row r="308" spans="1:8" x14ac:dyDescent="0.25">
      <c r="A308" s="85"/>
      <c r="B308" s="86"/>
      <c r="C308" s="64"/>
      <c r="D308" s="65"/>
      <c r="E308" s="134"/>
      <c r="F308" s="128"/>
      <c r="H308" s="152"/>
    </row>
    <row r="309" spans="1:8" x14ac:dyDescent="0.25">
      <c r="A309" s="79"/>
      <c r="B309" s="60"/>
      <c r="C309" s="81"/>
      <c r="D309" s="78"/>
      <c r="E309" s="134"/>
      <c r="F309" s="128"/>
      <c r="H309" s="152"/>
    </row>
    <row r="310" spans="1:8" x14ac:dyDescent="0.25">
      <c r="A310" s="85"/>
      <c r="B310" s="86"/>
      <c r="C310" s="64"/>
      <c r="D310" s="65"/>
      <c r="E310" s="134"/>
      <c r="F310" s="128"/>
      <c r="H310" s="152"/>
    </row>
    <row r="311" spans="1:8" x14ac:dyDescent="0.25">
      <c r="A311" s="79"/>
      <c r="B311" s="60"/>
      <c r="C311" s="81"/>
      <c r="D311" s="78"/>
      <c r="E311" s="134"/>
      <c r="F311" s="128"/>
      <c r="H311" s="152"/>
    </row>
    <row r="312" spans="1:8" x14ac:dyDescent="0.25">
      <c r="A312" s="79"/>
      <c r="B312" s="60"/>
      <c r="C312" s="81"/>
      <c r="D312" s="78"/>
      <c r="E312" s="134"/>
      <c r="F312" s="128"/>
      <c r="H312" s="152"/>
    </row>
    <row r="313" spans="1:8" x14ac:dyDescent="0.25">
      <c r="A313" s="85"/>
      <c r="B313" s="82"/>
      <c r="C313" s="64"/>
      <c r="D313" s="65"/>
      <c r="E313" s="134"/>
      <c r="F313" s="128"/>
      <c r="H313" s="152"/>
    </row>
    <row r="314" spans="1:8" x14ac:dyDescent="0.25">
      <c r="A314" s="85"/>
      <c r="B314" s="86"/>
      <c r="C314" s="64"/>
      <c r="D314" s="65"/>
      <c r="E314" s="134"/>
      <c r="F314" s="128"/>
      <c r="H314" s="152"/>
    </row>
    <row r="315" spans="1:8" x14ac:dyDescent="0.25">
      <c r="A315" s="79"/>
      <c r="B315" s="60"/>
      <c r="C315" s="81"/>
      <c r="D315" s="78"/>
      <c r="E315" s="134"/>
      <c r="F315" s="128"/>
      <c r="H315" s="152"/>
    </row>
    <row r="316" spans="1:8" x14ac:dyDescent="0.25">
      <c r="A316" s="85"/>
      <c r="B316" s="86"/>
      <c r="C316" s="64"/>
      <c r="D316" s="65"/>
      <c r="E316" s="134"/>
      <c r="F316" s="128"/>
      <c r="H316" s="152"/>
    </row>
    <row r="317" spans="1:8" x14ac:dyDescent="0.25">
      <c r="A317" s="60"/>
      <c r="B317" s="61"/>
      <c r="C317" s="60"/>
      <c r="D317" s="62"/>
      <c r="E317" s="134"/>
      <c r="F317" s="128"/>
      <c r="H317" s="152"/>
    </row>
    <row r="318" spans="1:8" x14ac:dyDescent="0.25">
      <c r="A318" s="89"/>
      <c r="B318" s="90"/>
      <c r="C318" s="91"/>
      <c r="D318" s="92"/>
      <c r="E318" s="135"/>
      <c r="F318" s="129"/>
      <c r="H318" s="152"/>
    </row>
    <row r="319" spans="1:8" x14ac:dyDescent="0.25">
      <c r="A319" s="93"/>
      <c r="B319" s="94"/>
      <c r="C319" s="95" t="s">
        <v>226</v>
      </c>
      <c r="D319" s="95"/>
      <c r="E319" s="136" t="s">
        <v>7</v>
      </c>
      <c r="F319" s="130">
        <f>SUM(F271:F315)</f>
        <v>836154.44</v>
      </c>
      <c r="H319" s="152"/>
    </row>
    <row r="320" spans="1:8" x14ac:dyDescent="0.25">
      <c r="A320" s="93"/>
      <c r="B320" s="94"/>
      <c r="C320" s="97"/>
      <c r="D320" s="98"/>
      <c r="E320" s="137"/>
      <c r="F320" s="131"/>
      <c r="H320" s="152"/>
    </row>
  </sheetData>
  <mergeCells count="4">
    <mergeCell ref="A1:A2"/>
    <mergeCell ref="B1:B2"/>
    <mergeCell ref="C1:C2"/>
    <mergeCell ref="D1:D2"/>
  </mergeCells>
  <phoneticPr fontId="20" type="noConversion"/>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5 - EXTERNAL WORKS
MECHANICAL ENGINEERING INSTALLATIONS</oddHeader>
    <oddFooter>&amp;L&amp;8DMS 148704 BOQ - Nakheel Mall Al Khail&amp;C5/Q/&amp;P</oddFooter>
  </headerFooter>
  <rowBreaks count="6" manualBreakCount="6">
    <brk id="48" max="5" man="1"/>
    <brk id="90" max="5" man="1"/>
    <brk id="133" max="5" man="1"/>
    <brk id="180" max="5" man="1"/>
    <brk id="228" max="5" man="1"/>
    <brk id="270"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34CB-6948-459D-BB1C-305C1BB45C8B}">
  <dimension ref="A1:I409"/>
  <sheetViews>
    <sheetView view="pageBreakPreview" zoomScale="85" zoomScaleNormal="100" zoomScaleSheetLayoutView="85" zoomScalePageLayoutView="70" workbookViewId="0">
      <pane ySplit="2" topLeftCell="A208" activePane="bottomLeft" state="frozen"/>
      <selection activeCell="Q33" sqref="Q33"/>
      <selection pane="bottomLeft" activeCell="C1" sqref="C1:E1048576"/>
    </sheetView>
  </sheetViews>
  <sheetFormatPr defaultColWidth="9.33203125" defaultRowHeight="13.8" x14ac:dyDescent="0.25"/>
  <cols>
    <col min="1" max="1" width="5.6640625" style="104" customWidth="1"/>
    <col min="2" max="2" width="44.77734375" style="105" customWidth="1"/>
    <col min="3" max="3" width="8" style="106" customWidth="1"/>
    <col min="4" max="4" width="6.6640625" style="107" customWidth="1"/>
    <col min="5" max="5" width="15.88671875" style="136" customWidth="1"/>
    <col min="6" max="6" width="15.6640625" style="77" customWidth="1"/>
    <col min="7" max="7" width="7.88671875" style="77" customWidth="1"/>
    <col min="8" max="8" width="13.88671875" style="151" bestFit="1" customWidth="1"/>
    <col min="9" max="9" width="14.33203125" style="103" customWidth="1"/>
    <col min="10" max="16384" width="9.33203125" style="103"/>
  </cols>
  <sheetData>
    <row r="1" spans="1:8" s="67" customFormat="1" ht="14.4" x14ac:dyDescent="0.25">
      <c r="A1" s="208" t="s">
        <v>1</v>
      </c>
      <c r="B1" s="208" t="s">
        <v>2</v>
      </c>
      <c r="C1" s="210" t="s">
        <v>3</v>
      </c>
      <c r="D1" s="212" t="s">
        <v>4</v>
      </c>
      <c r="E1" s="141" t="s">
        <v>5</v>
      </c>
      <c r="F1" s="109" t="s">
        <v>6</v>
      </c>
      <c r="G1" s="216" t="s">
        <v>582</v>
      </c>
      <c r="H1" s="170"/>
    </row>
    <row r="2" spans="1:8" s="67" customFormat="1" ht="14.4" x14ac:dyDescent="0.25">
      <c r="A2" s="209"/>
      <c r="B2" s="209"/>
      <c r="C2" s="211"/>
      <c r="D2" s="213"/>
      <c r="E2" s="142" t="s">
        <v>7</v>
      </c>
      <c r="F2" s="111" t="s">
        <v>7</v>
      </c>
      <c r="G2" s="217"/>
      <c r="H2" s="171"/>
    </row>
    <row r="3" spans="1:8" s="67" customFormat="1" ht="14.4" x14ac:dyDescent="0.25">
      <c r="A3" s="68"/>
      <c r="B3" s="69"/>
      <c r="C3" s="66"/>
      <c r="D3" s="70"/>
      <c r="E3" s="133"/>
      <c r="F3" s="1"/>
      <c r="G3" s="1"/>
      <c r="H3" s="146"/>
    </row>
    <row r="4" spans="1:8" ht="27.6" x14ac:dyDescent="0.25">
      <c r="A4" s="79"/>
      <c r="B4" s="80" t="s">
        <v>425</v>
      </c>
      <c r="C4" s="81"/>
      <c r="D4" s="78"/>
      <c r="E4" s="134"/>
      <c r="F4" s="74"/>
      <c r="G4" s="74"/>
    </row>
    <row r="5" spans="1:8" x14ac:dyDescent="0.25">
      <c r="A5" s="79"/>
      <c r="B5" s="80"/>
      <c r="C5" s="81"/>
      <c r="D5" s="78"/>
      <c r="E5" s="134"/>
      <c r="F5" s="74"/>
      <c r="G5" s="74"/>
    </row>
    <row r="6" spans="1:8" x14ac:dyDescent="0.25">
      <c r="A6" s="79"/>
      <c r="B6" s="99" t="s">
        <v>426</v>
      </c>
      <c r="C6" s="81"/>
      <c r="D6" s="78"/>
      <c r="E6" s="134"/>
      <c r="F6" s="74"/>
      <c r="G6" s="74"/>
    </row>
    <row r="7" spans="1:8" x14ac:dyDescent="0.25">
      <c r="A7" s="79"/>
      <c r="B7" s="60"/>
      <c r="C7" s="81"/>
      <c r="D7" s="78"/>
      <c r="E7" s="134"/>
      <c r="F7" s="74"/>
      <c r="G7" s="74"/>
    </row>
    <row r="8" spans="1:8" x14ac:dyDescent="0.25">
      <c r="A8" s="63"/>
      <c r="B8" s="82" t="s">
        <v>33</v>
      </c>
      <c r="C8" s="100"/>
      <c r="D8" s="101"/>
      <c r="E8" s="134"/>
      <c r="F8" s="74"/>
      <c r="G8" s="74"/>
    </row>
    <row r="9" spans="1:8" x14ac:dyDescent="0.25">
      <c r="A9" s="79"/>
      <c r="B9" s="60"/>
      <c r="C9" s="81"/>
      <c r="D9" s="78"/>
      <c r="E9" s="134"/>
      <c r="F9" s="74"/>
      <c r="G9" s="74"/>
    </row>
    <row r="10" spans="1:8" ht="27.6" x14ac:dyDescent="0.25">
      <c r="A10" s="63"/>
      <c r="B10" s="82" t="s">
        <v>427</v>
      </c>
      <c r="C10" s="100"/>
      <c r="D10" s="101"/>
      <c r="E10" s="134"/>
      <c r="F10" s="74"/>
      <c r="G10" s="74"/>
    </row>
    <row r="11" spans="1:8" x14ac:dyDescent="0.25">
      <c r="A11" s="79"/>
      <c r="B11" s="60"/>
      <c r="C11" s="81"/>
      <c r="D11" s="78"/>
      <c r="E11" s="134"/>
      <c r="F11" s="74"/>
      <c r="G11" s="74"/>
    </row>
    <row r="12" spans="1:8" ht="27.6" x14ac:dyDescent="0.25">
      <c r="A12" s="63"/>
      <c r="B12" s="82" t="s">
        <v>428</v>
      </c>
      <c r="C12" s="100"/>
      <c r="D12" s="101"/>
      <c r="E12" s="134"/>
      <c r="F12" s="74"/>
      <c r="G12" s="74"/>
    </row>
    <row r="13" spans="1:8" x14ac:dyDescent="0.25">
      <c r="A13" s="79"/>
      <c r="B13" s="60"/>
      <c r="C13" s="81"/>
      <c r="D13" s="78"/>
      <c r="E13" s="134"/>
      <c r="F13" s="74"/>
      <c r="G13" s="74"/>
    </row>
    <row r="14" spans="1:8" ht="41.4" x14ac:dyDescent="0.25">
      <c r="A14" s="63"/>
      <c r="B14" s="83" t="s">
        <v>429</v>
      </c>
      <c r="C14" s="100"/>
      <c r="D14" s="101"/>
      <c r="E14" s="134"/>
      <c r="F14" s="74"/>
      <c r="G14" s="74"/>
    </row>
    <row r="15" spans="1:8" x14ac:dyDescent="0.25">
      <c r="A15" s="79"/>
      <c r="B15" s="60"/>
      <c r="C15" s="81"/>
      <c r="D15" s="78"/>
      <c r="E15" s="134"/>
      <c r="F15" s="74"/>
      <c r="G15" s="74"/>
    </row>
    <row r="16" spans="1:8" ht="27.6" x14ac:dyDescent="0.25">
      <c r="A16" s="63"/>
      <c r="B16" s="83" t="s">
        <v>430</v>
      </c>
      <c r="C16" s="100"/>
      <c r="D16" s="101"/>
      <c r="E16" s="134"/>
      <c r="F16" s="74"/>
      <c r="G16" s="74"/>
    </row>
    <row r="17" spans="1:9" x14ac:dyDescent="0.25">
      <c r="A17" s="79"/>
      <c r="B17" s="60"/>
      <c r="C17" s="81"/>
      <c r="D17" s="78"/>
      <c r="E17" s="134"/>
      <c r="F17" s="74"/>
      <c r="G17" s="74"/>
    </row>
    <row r="18" spans="1:9" x14ac:dyDescent="0.25">
      <c r="A18" s="63" t="s">
        <v>12</v>
      </c>
      <c r="B18" s="82" t="s">
        <v>431</v>
      </c>
      <c r="C18" s="100">
        <v>1</v>
      </c>
      <c r="D18" s="101" t="s">
        <v>1</v>
      </c>
      <c r="E18" s="134">
        <v>10138.73</v>
      </c>
      <c r="F18" s="138">
        <f>E18*C18</f>
        <v>10138.73</v>
      </c>
      <c r="G18" s="138"/>
      <c r="I18" s="152"/>
    </row>
    <row r="19" spans="1:9" x14ac:dyDescent="0.25">
      <c r="A19" s="79"/>
      <c r="B19" s="60"/>
      <c r="C19" s="81"/>
      <c r="D19" s="78"/>
      <c r="E19" s="134"/>
      <c r="F19" s="74"/>
      <c r="G19" s="74"/>
      <c r="I19" s="152"/>
    </row>
    <row r="20" spans="1:9" ht="27.6" x14ac:dyDescent="0.25">
      <c r="A20" s="63"/>
      <c r="B20" s="83" t="s">
        <v>432</v>
      </c>
      <c r="C20" s="100"/>
      <c r="D20" s="101"/>
      <c r="E20" s="134"/>
      <c r="F20" s="74"/>
      <c r="G20" s="74"/>
      <c r="I20" s="152"/>
    </row>
    <row r="21" spans="1:9" x14ac:dyDescent="0.25">
      <c r="A21" s="79"/>
      <c r="B21" s="60"/>
      <c r="C21" s="81"/>
      <c r="D21" s="78"/>
      <c r="E21" s="134"/>
      <c r="F21" s="74"/>
      <c r="G21" s="74"/>
      <c r="I21" s="152"/>
    </row>
    <row r="22" spans="1:9" ht="27.6" x14ac:dyDescent="0.25">
      <c r="A22" s="63" t="s">
        <v>16</v>
      </c>
      <c r="B22" s="82" t="s">
        <v>433</v>
      </c>
      <c r="C22" s="100">
        <v>1</v>
      </c>
      <c r="D22" s="101" t="s">
        <v>1</v>
      </c>
      <c r="E22" s="134">
        <v>9170.31</v>
      </c>
      <c r="F22" s="138">
        <f>E22*C22</f>
        <v>9170.31</v>
      </c>
      <c r="G22" s="138"/>
      <c r="I22" s="152"/>
    </row>
    <row r="23" spans="1:9" x14ac:dyDescent="0.25">
      <c r="A23" s="79"/>
      <c r="B23" s="60"/>
      <c r="C23" s="81"/>
      <c r="D23" s="78"/>
      <c r="E23" s="134"/>
      <c r="F23" s="74"/>
      <c r="G23" s="74"/>
      <c r="I23" s="152"/>
    </row>
    <row r="24" spans="1:9" x14ac:dyDescent="0.25">
      <c r="A24" s="63"/>
      <c r="B24" s="83" t="s">
        <v>434</v>
      </c>
      <c r="C24" s="100"/>
      <c r="D24" s="101"/>
      <c r="E24" s="134"/>
      <c r="F24" s="74"/>
      <c r="G24" s="74"/>
      <c r="I24" s="152"/>
    </row>
    <row r="25" spans="1:9" x14ac:dyDescent="0.25">
      <c r="A25" s="79"/>
      <c r="B25" s="60"/>
      <c r="C25" s="81"/>
      <c r="D25" s="78"/>
      <c r="E25" s="134"/>
      <c r="F25" s="74"/>
      <c r="G25" s="74"/>
      <c r="I25" s="152"/>
    </row>
    <row r="26" spans="1:9" ht="27.6" x14ac:dyDescent="0.25">
      <c r="A26" s="63" t="s">
        <v>19</v>
      </c>
      <c r="B26" s="82" t="s">
        <v>435</v>
      </c>
      <c r="C26" s="100">
        <v>1</v>
      </c>
      <c r="D26" s="101" t="s">
        <v>1</v>
      </c>
      <c r="E26" s="134">
        <v>3673.77</v>
      </c>
      <c r="F26" s="138">
        <f>E26*C26</f>
        <v>3673.77</v>
      </c>
      <c r="G26" s="138"/>
      <c r="I26" s="152"/>
    </row>
    <row r="27" spans="1:9" x14ac:dyDescent="0.25">
      <c r="A27" s="79"/>
      <c r="B27" s="60"/>
      <c r="C27" s="81"/>
      <c r="D27" s="78"/>
      <c r="E27" s="134"/>
      <c r="F27" s="74"/>
      <c r="G27" s="74"/>
      <c r="I27" s="152"/>
    </row>
    <row r="28" spans="1:9" ht="27.6" x14ac:dyDescent="0.25">
      <c r="A28" s="63" t="s">
        <v>22</v>
      </c>
      <c r="B28" s="82" t="s">
        <v>436</v>
      </c>
      <c r="C28" s="100">
        <v>1</v>
      </c>
      <c r="D28" s="101" t="s">
        <v>1</v>
      </c>
      <c r="E28" s="134">
        <v>3673.77</v>
      </c>
      <c r="F28" s="138">
        <f>E28*C28</f>
        <v>3673.77</v>
      </c>
      <c r="G28" s="138"/>
      <c r="I28" s="152"/>
    </row>
    <row r="29" spans="1:9" x14ac:dyDescent="0.25">
      <c r="A29" s="79"/>
      <c r="B29" s="60"/>
      <c r="C29" s="81"/>
      <c r="D29" s="78"/>
      <c r="E29" s="134"/>
      <c r="F29" s="74"/>
      <c r="G29" s="74"/>
      <c r="I29" s="152"/>
    </row>
    <row r="30" spans="1:9" ht="27.6" x14ac:dyDescent="0.25">
      <c r="A30" s="63" t="s">
        <v>25</v>
      </c>
      <c r="B30" s="82" t="s">
        <v>437</v>
      </c>
      <c r="C30" s="100">
        <v>1</v>
      </c>
      <c r="D30" s="101" t="s">
        <v>1</v>
      </c>
      <c r="E30" s="134">
        <v>3673.77</v>
      </c>
      <c r="F30" s="138">
        <f>E30*C30</f>
        <v>3673.77</v>
      </c>
      <c r="G30" s="138"/>
      <c r="I30" s="152"/>
    </row>
    <row r="31" spans="1:9" x14ac:dyDescent="0.25">
      <c r="A31" s="79"/>
      <c r="B31" s="60"/>
      <c r="C31" s="81"/>
      <c r="D31" s="78"/>
      <c r="E31" s="134"/>
      <c r="F31" s="74"/>
      <c r="G31" s="74"/>
      <c r="I31" s="152"/>
    </row>
    <row r="32" spans="1:9" ht="27.6" x14ac:dyDescent="0.25">
      <c r="A32" s="63" t="s">
        <v>28</v>
      </c>
      <c r="B32" s="82" t="s">
        <v>438</v>
      </c>
      <c r="C32" s="100">
        <v>1</v>
      </c>
      <c r="D32" s="101" t="s">
        <v>1</v>
      </c>
      <c r="E32" s="134">
        <v>9170.31</v>
      </c>
      <c r="F32" s="138">
        <f>E32*C32</f>
        <v>9170.31</v>
      </c>
      <c r="G32" s="138"/>
      <c r="I32" s="152"/>
    </row>
    <row r="33" spans="1:9" x14ac:dyDescent="0.25">
      <c r="A33" s="79"/>
      <c r="B33" s="60"/>
      <c r="C33" s="81"/>
      <c r="D33" s="78"/>
      <c r="E33" s="134"/>
      <c r="F33" s="74"/>
      <c r="G33" s="74"/>
      <c r="I33" s="152"/>
    </row>
    <row r="34" spans="1:9" ht="27.6" x14ac:dyDescent="0.25">
      <c r="A34" s="63" t="s">
        <v>48</v>
      </c>
      <c r="B34" s="82" t="s">
        <v>439</v>
      </c>
      <c r="C34" s="100">
        <v>1</v>
      </c>
      <c r="D34" s="101" t="s">
        <v>1</v>
      </c>
      <c r="E34" s="134">
        <v>11044.47</v>
      </c>
      <c r="F34" s="138">
        <f>E34*C34</f>
        <v>11044.47</v>
      </c>
      <c r="G34" s="138"/>
      <c r="I34" s="152"/>
    </row>
    <row r="35" spans="1:9" x14ac:dyDescent="0.25">
      <c r="A35" s="79"/>
      <c r="B35" s="60"/>
      <c r="C35" s="81"/>
      <c r="D35" s="78"/>
      <c r="E35" s="134"/>
      <c r="F35" s="74"/>
      <c r="G35" s="74"/>
      <c r="I35" s="152"/>
    </row>
    <row r="36" spans="1:9" ht="27.6" x14ac:dyDescent="0.25">
      <c r="A36" s="63" t="s">
        <v>52</v>
      </c>
      <c r="B36" s="82" t="s">
        <v>440</v>
      </c>
      <c r="C36" s="100">
        <v>1</v>
      </c>
      <c r="D36" s="101" t="s">
        <v>1</v>
      </c>
      <c r="E36" s="134">
        <v>11044.47</v>
      </c>
      <c r="F36" s="138">
        <f>E36*C36</f>
        <v>11044.47</v>
      </c>
      <c r="G36" s="138"/>
      <c r="I36" s="152"/>
    </row>
    <row r="37" spans="1:9" x14ac:dyDescent="0.25">
      <c r="A37" s="79"/>
      <c r="B37" s="60"/>
      <c r="C37" s="81"/>
      <c r="D37" s="78"/>
      <c r="E37" s="134"/>
      <c r="F37" s="74"/>
      <c r="G37" s="74"/>
      <c r="I37" s="152"/>
    </row>
    <row r="38" spans="1:9" x14ac:dyDescent="0.25">
      <c r="A38" s="79"/>
      <c r="B38" s="60"/>
      <c r="C38" s="81"/>
      <c r="D38" s="78"/>
      <c r="E38" s="134"/>
      <c r="F38" s="74"/>
      <c r="G38" s="74"/>
      <c r="I38" s="152"/>
    </row>
    <row r="39" spans="1:9" x14ac:dyDescent="0.25">
      <c r="A39" s="89"/>
      <c r="B39" s="90"/>
      <c r="C39" s="91"/>
      <c r="D39" s="92"/>
      <c r="E39" s="135"/>
      <c r="F39" s="3"/>
      <c r="G39" s="3"/>
      <c r="I39" s="152"/>
    </row>
    <row r="40" spans="1:9" x14ac:dyDescent="0.25">
      <c r="A40" s="93"/>
      <c r="B40" s="94"/>
      <c r="C40" s="95" t="s">
        <v>31</v>
      </c>
      <c r="D40" s="95"/>
      <c r="E40" s="136" t="s">
        <v>7</v>
      </c>
      <c r="F40" s="4">
        <f>SUM(F13:F37)</f>
        <v>61589.600000000006</v>
      </c>
      <c r="G40" s="4"/>
      <c r="I40" s="152"/>
    </row>
    <row r="41" spans="1:9" x14ac:dyDescent="0.25">
      <c r="A41" s="93"/>
      <c r="B41" s="94"/>
      <c r="C41" s="97"/>
      <c r="D41" s="98"/>
      <c r="E41" s="137"/>
      <c r="F41" s="6"/>
      <c r="G41" s="6"/>
      <c r="I41" s="152"/>
    </row>
    <row r="42" spans="1:9" x14ac:dyDescent="0.25">
      <c r="A42" s="79"/>
      <c r="B42" s="60"/>
      <c r="C42" s="81"/>
      <c r="D42" s="78"/>
      <c r="E42" s="134"/>
      <c r="F42" s="74"/>
      <c r="G42" s="74"/>
      <c r="I42" s="152"/>
    </row>
    <row r="43" spans="1:9" x14ac:dyDescent="0.25">
      <c r="A43" s="79"/>
      <c r="B43" s="99" t="s">
        <v>441</v>
      </c>
      <c r="C43" s="81"/>
      <c r="D43" s="78"/>
      <c r="E43" s="134"/>
      <c r="F43" s="74"/>
      <c r="G43" s="74"/>
      <c r="I43" s="152"/>
    </row>
    <row r="44" spans="1:9" x14ac:dyDescent="0.25">
      <c r="A44" s="79"/>
      <c r="B44" s="60"/>
      <c r="C44" s="81"/>
      <c r="D44" s="78"/>
      <c r="E44" s="134"/>
      <c r="F44" s="74"/>
      <c r="G44" s="74"/>
      <c r="I44" s="152"/>
    </row>
    <row r="45" spans="1:9" ht="41.4" x14ac:dyDescent="0.25">
      <c r="A45" s="63"/>
      <c r="B45" s="83" t="s">
        <v>442</v>
      </c>
      <c r="C45" s="100"/>
      <c r="D45" s="101"/>
      <c r="E45" s="134"/>
      <c r="F45" s="74"/>
      <c r="G45" s="74"/>
      <c r="I45" s="152"/>
    </row>
    <row r="46" spans="1:9" x14ac:dyDescent="0.25">
      <c r="A46" s="79"/>
      <c r="B46" s="60"/>
      <c r="C46" s="81"/>
      <c r="D46" s="78"/>
      <c r="E46" s="134"/>
      <c r="F46" s="74"/>
      <c r="G46" s="74"/>
      <c r="I46" s="152"/>
    </row>
    <row r="47" spans="1:9" x14ac:dyDescent="0.25">
      <c r="A47" s="63" t="s">
        <v>12</v>
      </c>
      <c r="B47" s="82" t="s">
        <v>443</v>
      </c>
      <c r="C47" s="100" t="s">
        <v>397</v>
      </c>
      <c r="D47" s="101" t="s">
        <v>105</v>
      </c>
      <c r="E47" s="134">
        <v>1745.72</v>
      </c>
      <c r="F47" s="138">
        <f>E47*C47</f>
        <v>141403.32</v>
      </c>
      <c r="G47" s="138"/>
      <c r="I47" s="152"/>
    </row>
    <row r="48" spans="1:9" x14ac:dyDescent="0.25">
      <c r="A48" s="79"/>
      <c r="B48" s="60"/>
      <c r="C48" s="81"/>
      <c r="D48" s="78"/>
      <c r="E48" s="134"/>
      <c r="F48" s="74"/>
      <c r="G48" s="74"/>
      <c r="I48" s="152"/>
    </row>
    <row r="49" spans="1:9" ht="41.4" x14ac:dyDescent="0.25">
      <c r="A49" s="63"/>
      <c r="B49" s="83" t="s">
        <v>444</v>
      </c>
      <c r="C49" s="100"/>
      <c r="D49" s="101"/>
      <c r="E49" s="134"/>
      <c r="F49" s="74"/>
      <c r="G49" s="74"/>
      <c r="I49" s="152"/>
    </row>
    <row r="50" spans="1:9" x14ac:dyDescent="0.25">
      <c r="A50" s="79"/>
      <c r="B50" s="60"/>
      <c r="C50" s="81"/>
      <c r="D50" s="78"/>
      <c r="E50" s="134"/>
      <c r="F50" s="74"/>
      <c r="G50" s="74"/>
      <c r="I50" s="152"/>
    </row>
    <row r="51" spans="1:9" x14ac:dyDescent="0.25">
      <c r="A51" s="63" t="s">
        <v>16</v>
      </c>
      <c r="B51" s="82" t="s">
        <v>445</v>
      </c>
      <c r="C51" s="100" t="s">
        <v>446</v>
      </c>
      <c r="D51" s="101" t="s">
        <v>105</v>
      </c>
      <c r="E51" s="134">
        <v>138.28</v>
      </c>
      <c r="F51" s="138">
        <f t="shared" ref="F51:F55" si="0">E51*C51</f>
        <v>6222.6</v>
      </c>
      <c r="G51" s="138"/>
      <c r="I51" s="152"/>
    </row>
    <row r="52" spans="1:9" x14ac:dyDescent="0.25">
      <c r="A52" s="79"/>
      <c r="B52" s="60"/>
      <c r="C52" s="81"/>
      <c r="D52" s="78"/>
      <c r="E52" s="134"/>
      <c r="F52" s="138">
        <f t="shared" si="0"/>
        <v>0</v>
      </c>
      <c r="G52" s="138"/>
      <c r="I52" s="152"/>
    </row>
    <row r="53" spans="1:9" x14ac:dyDescent="0.25">
      <c r="A53" s="63" t="s">
        <v>19</v>
      </c>
      <c r="B53" s="82" t="s">
        <v>447</v>
      </c>
      <c r="C53" s="100" t="s">
        <v>127</v>
      </c>
      <c r="D53" s="101" t="s">
        <v>105</v>
      </c>
      <c r="E53" s="134">
        <v>81.31</v>
      </c>
      <c r="F53" s="138">
        <f t="shared" si="0"/>
        <v>11058.16</v>
      </c>
      <c r="G53" s="138"/>
      <c r="I53" s="152"/>
    </row>
    <row r="54" spans="1:9" x14ac:dyDescent="0.25">
      <c r="A54" s="79"/>
      <c r="B54" s="60"/>
      <c r="C54" s="81"/>
      <c r="D54" s="78"/>
      <c r="E54" s="134"/>
      <c r="F54" s="138">
        <f t="shared" si="0"/>
        <v>0</v>
      </c>
      <c r="G54" s="138"/>
      <c r="I54" s="152"/>
    </row>
    <row r="55" spans="1:9" x14ac:dyDescent="0.25">
      <c r="A55" s="63" t="s">
        <v>22</v>
      </c>
      <c r="B55" s="82" t="s">
        <v>448</v>
      </c>
      <c r="C55" s="100" t="s">
        <v>161</v>
      </c>
      <c r="D55" s="101" t="s">
        <v>105</v>
      </c>
      <c r="E55" s="134">
        <v>394.15</v>
      </c>
      <c r="F55" s="138">
        <f t="shared" si="0"/>
        <v>5912.25</v>
      </c>
      <c r="G55" s="138"/>
      <c r="I55" s="152"/>
    </row>
    <row r="56" spans="1:9" x14ac:dyDescent="0.25">
      <c r="A56" s="79"/>
      <c r="B56" s="60"/>
      <c r="C56" s="81"/>
      <c r="D56" s="78"/>
      <c r="E56" s="134"/>
      <c r="F56" s="74"/>
      <c r="G56" s="74"/>
      <c r="I56" s="152"/>
    </row>
    <row r="57" spans="1:9" ht="41.4" x14ac:dyDescent="0.25">
      <c r="A57" s="63"/>
      <c r="B57" s="83" t="s">
        <v>449</v>
      </c>
      <c r="C57" s="100"/>
      <c r="D57" s="101"/>
      <c r="E57" s="134"/>
      <c r="F57" s="74"/>
      <c r="G57" s="74"/>
      <c r="I57" s="152"/>
    </row>
    <row r="58" spans="1:9" x14ac:dyDescent="0.25">
      <c r="A58" s="79"/>
      <c r="B58" s="60"/>
      <c r="C58" s="81"/>
      <c r="D58" s="78"/>
      <c r="E58" s="134"/>
      <c r="F58" s="74"/>
      <c r="G58" s="74"/>
      <c r="I58" s="152"/>
    </row>
    <row r="59" spans="1:9" x14ac:dyDescent="0.25">
      <c r="A59" s="63" t="s">
        <v>25</v>
      </c>
      <c r="B59" s="82" t="s">
        <v>450</v>
      </c>
      <c r="C59" s="100" t="s">
        <v>174</v>
      </c>
      <c r="D59" s="101" t="s">
        <v>145</v>
      </c>
      <c r="E59" s="134">
        <v>10344.83</v>
      </c>
      <c r="F59" s="138">
        <f t="shared" ref="F59" si="1">E59*C59</f>
        <v>93103.47</v>
      </c>
      <c r="G59" s="138"/>
      <c r="I59" s="152"/>
    </row>
    <row r="60" spans="1:9" x14ac:dyDescent="0.25">
      <c r="A60" s="79"/>
      <c r="B60" s="60"/>
      <c r="C60" s="81"/>
      <c r="D60" s="78"/>
      <c r="E60" s="134"/>
      <c r="F60" s="74"/>
      <c r="G60" s="74"/>
      <c r="I60" s="152"/>
    </row>
    <row r="61" spans="1:9" ht="27.6" x14ac:dyDescent="0.25">
      <c r="A61" s="63"/>
      <c r="B61" s="83" t="s">
        <v>451</v>
      </c>
      <c r="C61" s="100"/>
      <c r="D61" s="101"/>
      <c r="E61" s="134"/>
      <c r="F61" s="74"/>
      <c r="G61" s="74"/>
      <c r="I61" s="152"/>
    </row>
    <row r="62" spans="1:9" x14ac:dyDescent="0.25">
      <c r="A62" s="79"/>
      <c r="B62" s="60"/>
      <c r="C62" s="81"/>
      <c r="D62" s="78"/>
      <c r="E62" s="134"/>
      <c r="F62" s="74"/>
      <c r="G62" s="74"/>
      <c r="I62" s="152"/>
    </row>
    <row r="63" spans="1:9" x14ac:dyDescent="0.25">
      <c r="A63" s="63" t="s">
        <v>28</v>
      </c>
      <c r="B63" s="82" t="s">
        <v>452</v>
      </c>
      <c r="C63" s="100" t="s">
        <v>168</v>
      </c>
      <c r="D63" s="101" t="s">
        <v>105</v>
      </c>
      <c r="E63" s="134">
        <v>528.91999999999996</v>
      </c>
      <c r="F63" s="138">
        <f t="shared" ref="F63:F65" si="2">E63*C63</f>
        <v>26974.92</v>
      </c>
      <c r="G63" s="138"/>
      <c r="I63" s="152"/>
    </row>
    <row r="64" spans="1:9" x14ac:dyDescent="0.25">
      <c r="A64" s="79"/>
      <c r="B64" s="60"/>
      <c r="C64" s="81"/>
      <c r="D64" s="78"/>
      <c r="E64" s="134"/>
      <c r="F64" s="138">
        <f t="shared" si="2"/>
        <v>0</v>
      </c>
      <c r="G64" s="138"/>
      <c r="I64" s="152"/>
    </row>
    <row r="65" spans="1:9" x14ac:dyDescent="0.25">
      <c r="A65" s="63" t="s">
        <v>48</v>
      </c>
      <c r="B65" s="82" t="s">
        <v>453</v>
      </c>
      <c r="C65" s="100" t="s">
        <v>416</v>
      </c>
      <c r="D65" s="101" t="s">
        <v>105</v>
      </c>
      <c r="E65" s="134">
        <v>790.24</v>
      </c>
      <c r="F65" s="138">
        <f t="shared" si="2"/>
        <v>3951.2</v>
      </c>
      <c r="G65" s="138"/>
      <c r="I65" s="152"/>
    </row>
    <row r="66" spans="1:9" x14ac:dyDescent="0.25">
      <c r="A66" s="79"/>
      <c r="B66" s="60"/>
      <c r="C66" s="81"/>
      <c r="D66" s="78"/>
      <c r="E66" s="134"/>
      <c r="F66" s="74"/>
      <c r="G66" s="74"/>
      <c r="I66" s="152"/>
    </row>
    <row r="67" spans="1:9" ht="27.6" x14ac:dyDescent="0.25">
      <c r="A67" s="63" t="s">
        <v>52</v>
      </c>
      <c r="B67" s="82" t="s">
        <v>454</v>
      </c>
      <c r="C67" s="100"/>
      <c r="D67" s="101" t="s">
        <v>1</v>
      </c>
      <c r="E67" s="134"/>
      <c r="F67" s="74" t="s">
        <v>560</v>
      </c>
      <c r="G67" s="74"/>
      <c r="I67" s="152"/>
    </row>
    <row r="68" spans="1:9" x14ac:dyDescent="0.25">
      <c r="A68" s="79"/>
      <c r="B68" s="60"/>
      <c r="C68" s="81"/>
      <c r="D68" s="78"/>
      <c r="E68" s="134"/>
      <c r="F68" s="74"/>
      <c r="G68" s="74"/>
      <c r="I68" s="152"/>
    </row>
    <row r="69" spans="1:9" ht="27.6" x14ac:dyDescent="0.25">
      <c r="A69" s="63"/>
      <c r="B69" s="83" t="s">
        <v>455</v>
      </c>
      <c r="C69" s="100"/>
      <c r="D69" s="101"/>
      <c r="E69" s="134"/>
      <c r="F69" s="74"/>
      <c r="G69" s="74"/>
      <c r="I69" s="152"/>
    </row>
    <row r="70" spans="1:9" x14ac:dyDescent="0.25">
      <c r="A70" s="79"/>
      <c r="B70" s="60"/>
      <c r="C70" s="81"/>
      <c r="D70" s="78"/>
      <c r="E70" s="134"/>
      <c r="F70" s="74"/>
      <c r="G70" s="74"/>
      <c r="I70" s="152"/>
    </row>
    <row r="71" spans="1:9" x14ac:dyDescent="0.25">
      <c r="A71" s="63"/>
      <c r="B71" s="83" t="s">
        <v>456</v>
      </c>
      <c r="C71" s="100"/>
      <c r="D71" s="101"/>
      <c r="E71" s="134"/>
      <c r="F71" s="74"/>
      <c r="G71" s="74"/>
      <c r="I71" s="152"/>
    </row>
    <row r="72" spans="1:9" x14ac:dyDescent="0.25">
      <c r="A72" s="79"/>
      <c r="B72" s="60"/>
      <c r="C72" s="81"/>
      <c r="D72" s="78"/>
      <c r="E72" s="134"/>
      <c r="F72" s="74"/>
      <c r="G72" s="74"/>
      <c r="I72" s="152"/>
    </row>
    <row r="73" spans="1:9" x14ac:dyDescent="0.25">
      <c r="A73" s="63" t="s">
        <v>54</v>
      </c>
      <c r="B73" s="82" t="s">
        <v>457</v>
      </c>
      <c r="C73" s="100" t="s">
        <v>317</v>
      </c>
      <c r="D73" s="101" t="s">
        <v>145</v>
      </c>
      <c r="E73" s="134">
        <v>5534.39</v>
      </c>
      <c r="F73" s="138">
        <f t="shared" ref="F73" si="3">E73*C73</f>
        <v>5534.39</v>
      </c>
      <c r="G73" s="138"/>
      <c r="I73" s="152"/>
    </row>
    <row r="74" spans="1:9" x14ac:dyDescent="0.25">
      <c r="A74" s="63"/>
      <c r="B74" s="82"/>
      <c r="C74" s="100"/>
      <c r="D74" s="101"/>
      <c r="E74" s="134"/>
      <c r="F74" s="74"/>
      <c r="G74" s="74"/>
      <c r="I74" s="152"/>
    </row>
    <row r="75" spans="1:9" x14ac:dyDescent="0.25">
      <c r="A75" s="79"/>
      <c r="B75" s="60"/>
      <c r="C75" s="81"/>
      <c r="D75" s="78"/>
      <c r="E75" s="134"/>
      <c r="F75" s="74"/>
      <c r="G75" s="74"/>
      <c r="I75" s="152"/>
    </row>
    <row r="76" spans="1:9" x14ac:dyDescent="0.25">
      <c r="A76" s="63"/>
      <c r="B76" s="82"/>
      <c r="C76" s="100"/>
      <c r="D76" s="101"/>
      <c r="E76" s="134"/>
      <c r="F76" s="74"/>
      <c r="G76" s="74"/>
      <c r="I76" s="152"/>
    </row>
    <row r="77" spans="1:9" x14ac:dyDescent="0.25">
      <c r="A77" s="63"/>
      <c r="B77" s="82"/>
      <c r="C77" s="100"/>
      <c r="D77" s="101"/>
      <c r="E77" s="134"/>
      <c r="F77" s="74"/>
      <c r="G77" s="74"/>
      <c r="I77" s="152"/>
    </row>
    <row r="78" spans="1:9" x14ac:dyDescent="0.25">
      <c r="A78" s="79"/>
      <c r="B78" s="60"/>
      <c r="C78" s="81"/>
      <c r="D78" s="78"/>
      <c r="E78" s="134"/>
      <c r="F78" s="74"/>
      <c r="G78" s="74"/>
      <c r="I78" s="152"/>
    </row>
    <row r="79" spans="1:9" x14ac:dyDescent="0.25">
      <c r="A79" s="63"/>
      <c r="B79" s="82"/>
      <c r="C79" s="100"/>
      <c r="D79" s="101"/>
      <c r="E79" s="134"/>
      <c r="F79" s="74"/>
      <c r="G79" s="74"/>
      <c r="I79" s="152"/>
    </row>
    <row r="80" spans="1:9" x14ac:dyDescent="0.25">
      <c r="A80" s="79"/>
      <c r="B80" s="60"/>
      <c r="C80" s="81"/>
      <c r="D80" s="78"/>
      <c r="E80" s="134"/>
      <c r="F80" s="74"/>
      <c r="G80" s="74"/>
      <c r="I80" s="152"/>
    </row>
    <row r="81" spans="1:9" x14ac:dyDescent="0.25">
      <c r="A81" s="89"/>
      <c r="B81" s="90"/>
      <c r="C81" s="91"/>
      <c r="D81" s="92"/>
      <c r="E81" s="135"/>
      <c r="F81" s="3"/>
      <c r="G81" s="3"/>
      <c r="I81" s="152"/>
    </row>
    <row r="82" spans="1:9" x14ac:dyDescent="0.25">
      <c r="A82" s="93"/>
      <c r="B82" s="94"/>
      <c r="C82" s="95" t="s">
        <v>31</v>
      </c>
      <c r="D82" s="95"/>
      <c r="E82" s="136" t="s">
        <v>7</v>
      </c>
      <c r="F82" s="4">
        <f>SUM(F43:F80)</f>
        <v>294160.31000000006</v>
      </c>
      <c r="G82" s="4"/>
      <c r="I82" s="152"/>
    </row>
    <row r="83" spans="1:9" x14ac:dyDescent="0.25">
      <c r="A83" s="93"/>
      <c r="B83" s="94"/>
      <c r="C83" s="97"/>
      <c r="D83" s="98"/>
      <c r="E83" s="137"/>
      <c r="F83" s="6"/>
      <c r="G83" s="6"/>
      <c r="I83" s="152"/>
    </row>
    <row r="84" spans="1:9" x14ac:dyDescent="0.25">
      <c r="A84" s="79"/>
      <c r="B84" s="60"/>
      <c r="C84" s="81"/>
      <c r="D84" s="78"/>
      <c r="E84" s="134"/>
      <c r="F84" s="74"/>
      <c r="G84" s="74"/>
      <c r="I84" s="152"/>
    </row>
    <row r="85" spans="1:9" x14ac:dyDescent="0.25">
      <c r="A85" s="79"/>
      <c r="B85" s="99" t="s">
        <v>441</v>
      </c>
      <c r="C85" s="81"/>
      <c r="D85" s="78"/>
      <c r="E85" s="134"/>
      <c r="F85" s="74"/>
      <c r="G85" s="74"/>
      <c r="I85" s="152"/>
    </row>
    <row r="86" spans="1:9" x14ac:dyDescent="0.25">
      <c r="A86" s="79"/>
      <c r="B86" s="60"/>
      <c r="C86" s="81"/>
      <c r="D86" s="78"/>
      <c r="E86" s="134"/>
      <c r="F86" s="74"/>
      <c r="G86" s="74"/>
      <c r="I86" s="152"/>
    </row>
    <row r="87" spans="1:9" x14ac:dyDescent="0.25">
      <c r="A87" s="63" t="s">
        <v>12</v>
      </c>
      <c r="B87" s="82" t="s">
        <v>458</v>
      </c>
      <c r="C87" s="100" t="s">
        <v>317</v>
      </c>
      <c r="D87" s="101" t="s">
        <v>145</v>
      </c>
      <c r="E87" s="134">
        <v>7831.38</v>
      </c>
      <c r="F87" s="128">
        <f>E87*C87</f>
        <v>7831.38</v>
      </c>
      <c r="G87" s="128"/>
      <c r="I87" s="152"/>
    </row>
    <row r="88" spans="1:9" x14ac:dyDescent="0.25">
      <c r="A88" s="79"/>
      <c r="B88" s="60"/>
      <c r="C88" s="81"/>
      <c r="D88" s="78"/>
      <c r="E88" s="134"/>
      <c r="F88" s="128">
        <f t="shared" ref="F88:F103" si="4">E88*C88</f>
        <v>0</v>
      </c>
      <c r="G88" s="128"/>
      <c r="I88" s="152"/>
    </row>
    <row r="89" spans="1:9" x14ac:dyDescent="0.25">
      <c r="A89" s="63" t="s">
        <v>16</v>
      </c>
      <c r="B89" s="82" t="s">
        <v>459</v>
      </c>
      <c r="C89" s="100" t="s">
        <v>317</v>
      </c>
      <c r="D89" s="101" t="s">
        <v>145</v>
      </c>
      <c r="E89" s="134">
        <v>7831.38</v>
      </c>
      <c r="F89" s="128">
        <f t="shared" si="4"/>
        <v>7831.38</v>
      </c>
      <c r="G89" s="128"/>
      <c r="I89" s="152"/>
    </row>
    <row r="90" spans="1:9" x14ac:dyDescent="0.25">
      <c r="A90" s="79"/>
      <c r="B90" s="60"/>
      <c r="C90" s="81"/>
      <c r="D90" s="78"/>
      <c r="E90" s="134"/>
      <c r="F90" s="128">
        <f t="shared" si="4"/>
        <v>0</v>
      </c>
      <c r="G90" s="128"/>
      <c r="I90" s="152"/>
    </row>
    <row r="91" spans="1:9" x14ac:dyDescent="0.25">
      <c r="A91" s="63"/>
      <c r="B91" s="83" t="s">
        <v>460</v>
      </c>
      <c r="C91" s="100"/>
      <c r="D91" s="101"/>
      <c r="E91" s="134"/>
      <c r="F91" s="128">
        <f t="shared" si="4"/>
        <v>0</v>
      </c>
      <c r="G91" s="128"/>
      <c r="I91" s="152"/>
    </row>
    <row r="92" spans="1:9" x14ac:dyDescent="0.25">
      <c r="A92" s="79"/>
      <c r="B92" s="60"/>
      <c r="C92" s="81"/>
      <c r="D92" s="78"/>
      <c r="E92" s="134"/>
      <c r="F92" s="128">
        <f t="shared" si="4"/>
        <v>0</v>
      </c>
      <c r="G92" s="128"/>
      <c r="I92" s="152"/>
    </row>
    <row r="93" spans="1:9" x14ac:dyDescent="0.25">
      <c r="A93" s="63" t="s">
        <v>19</v>
      </c>
      <c r="B93" s="82" t="s">
        <v>461</v>
      </c>
      <c r="C93" s="100" t="s">
        <v>328</v>
      </c>
      <c r="D93" s="101" t="s">
        <v>145</v>
      </c>
      <c r="E93" s="134">
        <v>416.22</v>
      </c>
      <c r="F93" s="128">
        <f t="shared" si="4"/>
        <v>1248.6600000000001</v>
      </c>
      <c r="G93" s="128"/>
      <c r="I93" s="152"/>
    </row>
    <row r="94" spans="1:9" x14ac:dyDescent="0.25">
      <c r="A94" s="79"/>
      <c r="B94" s="60"/>
      <c r="C94" s="81"/>
      <c r="D94" s="78"/>
      <c r="E94" s="134"/>
      <c r="F94" s="128">
        <f t="shared" si="4"/>
        <v>0</v>
      </c>
      <c r="G94" s="128"/>
      <c r="I94" s="152"/>
    </row>
    <row r="95" spans="1:9" x14ac:dyDescent="0.25">
      <c r="A95" s="63" t="s">
        <v>22</v>
      </c>
      <c r="B95" s="82" t="s">
        <v>462</v>
      </c>
      <c r="C95" s="100" t="s">
        <v>317</v>
      </c>
      <c r="D95" s="101" t="s">
        <v>145</v>
      </c>
      <c r="E95" s="134">
        <v>1282.44</v>
      </c>
      <c r="F95" s="128">
        <f t="shared" si="4"/>
        <v>1282.44</v>
      </c>
      <c r="G95" s="128"/>
      <c r="I95" s="152"/>
    </row>
    <row r="96" spans="1:9" x14ac:dyDescent="0.25">
      <c r="A96" s="79"/>
      <c r="B96" s="60"/>
      <c r="C96" s="81"/>
      <c r="D96" s="78"/>
      <c r="E96" s="134"/>
      <c r="F96" s="128">
        <f t="shared" si="4"/>
        <v>0</v>
      </c>
      <c r="G96" s="128"/>
      <c r="I96" s="152"/>
    </row>
    <row r="97" spans="1:9" x14ac:dyDescent="0.25">
      <c r="A97" s="63" t="s">
        <v>25</v>
      </c>
      <c r="B97" s="82" t="s">
        <v>463</v>
      </c>
      <c r="C97" s="100" t="s">
        <v>317</v>
      </c>
      <c r="D97" s="101" t="s">
        <v>145</v>
      </c>
      <c r="E97" s="134">
        <v>1392.22</v>
      </c>
      <c r="F97" s="128">
        <f t="shared" si="4"/>
        <v>1392.22</v>
      </c>
      <c r="G97" s="128"/>
      <c r="I97" s="152"/>
    </row>
    <row r="98" spans="1:9" x14ac:dyDescent="0.25">
      <c r="A98" s="79"/>
      <c r="B98" s="60"/>
      <c r="C98" s="81"/>
      <c r="D98" s="78"/>
      <c r="E98" s="134"/>
      <c r="F98" s="128">
        <f t="shared" si="4"/>
        <v>0</v>
      </c>
      <c r="G98" s="128"/>
      <c r="I98" s="152"/>
    </row>
    <row r="99" spans="1:9" x14ac:dyDescent="0.25">
      <c r="A99" s="63" t="s">
        <v>28</v>
      </c>
      <c r="B99" s="82" t="s">
        <v>464</v>
      </c>
      <c r="C99" s="100" t="s">
        <v>317</v>
      </c>
      <c r="D99" s="101" t="s">
        <v>145</v>
      </c>
      <c r="E99" s="134">
        <v>1360.56</v>
      </c>
      <c r="F99" s="128">
        <f t="shared" si="4"/>
        <v>1360.56</v>
      </c>
      <c r="G99" s="128"/>
      <c r="I99" s="152"/>
    </row>
    <row r="100" spans="1:9" x14ac:dyDescent="0.25">
      <c r="A100" s="79"/>
      <c r="B100" s="60"/>
      <c r="C100" s="81"/>
      <c r="D100" s="78"/>
      <c r="E100" s="134"/>
      <c r="F100" s="128">
        <f t="shared" si="4"/>
        <v>0</v>
      </c>
      <c r="G100" s="128"/>
      <c r="I100" s="152"/>
    </row>
    <row r="101" spans="1:9" x14ac:dyDescent="0.25">
      <c r="A101" s="63" t="s">
        <v>48</v>
      </c>
      <c r="B101" s="82" t="s">
        <v>465</v>
      </c>
      <c r="C101" s="100" t="s">
        <v>317</v>
      </c>
      <c r="D101" s="101" t="s">
        <v>145</v>
      </c>
      <c r="E101" s="134">
        <v>968.23</v>
      </c>
      <c r="F101" s="128">
        <f t="shared" si="4"/>
        <v>968.23</v>
      </c>
      <c r="G101" s="128"/>
      <c r="I101" s="152"/>
    </row>
    <row r="102" spans="1:9" x14ac:dyDescent="0.25">
      <c r="A102" s="79"/>
      <c r="B102" s="60"/>
      <c r="C102" s="81"/>
      <c r="D102" s="78"/>
      <c r="E102" s="134"/>
      <c r="F102" s="128">
        <f t="shared" si="4"/>
        <v>0</v>
      </c>
      <c r="G102" s="128"/>
      <c r="I102" s="152"/>
    </row>
    <row r="103" spans="1:9" x14ac:dyDescent="0.25">
      <c r="A103" s="63" t="s">
        <v>52</v>
      </c>
      <c r="B103" s="82" t="s">
        <v>466</v>
      </c>
      <c r="C103" s="100" t="s">
        <v>317</v>
      </c>
      <c r="D103" s="101" t="s">
        <v>145</v>
      </c>
      <c r="E103" s="134">
        <v>1300.1099999999999</v>
      </c>
      <c r="F103" s="128">
        <f t="shared" si="4"/>
        <v>1300.1099999999999</v>
      </c>
      <c r="G103" s="128"/>
      <c r="I103" s="152"/>
    </row>
    <row r="104" spans="1:9" x14ac:dyDescent="0.25">
      <c r="A104" s="79"/>
      <c r="B104" s="60"/>
      <c r="C104" s="81"/>
      <c r="D104" s="78"/>
      <c r="E104" s="134"/>
      <c r="F104" s="74"/>
      <c r="G104" s="74"/>
      <c r="I104" s="152"/>
    </row>
    <row r="105" spans="1:9" x14ac:dyDescent="0.25">
      <c r="A105" s="63"/>
      <c r="B105" s="83" t="s">
        <v>467</v>
      </c>
      <c r="C105" s="100"/>
      <c r="D105" s="101"/>
      <c r="E105" s="134"/>
      <c r="F105" s="74"/>
      <c r="G105" s="74"/>
      <c r="I105" s="152"/>
    </row>
    <row r="106" spans="1:9" x14ac:dyDescent="0.25">
      <c r="A106" s="79"/>
      <c r="B106" s="60"/>
      <c r="C106" s="81"/>
      <c r="D106" s="78"/>
      <c r="E106" s="134"/>
      <c r="F106" s="74"/>
      <c r="G106" s="74"/>
      <c r="I106" s="152"/>
    </row>
    <row r="107" spans="1:9" ht="55.2" x14ac:dyDescent="0.25">
      <c r="A107" s="63"/>
      <c r="B107" s="83" t="s">
        <v>468</v>
      </c>
      <c r="C107" s="100"/>
      <c r="D107" s="101"/>
      <c r="E107" s="134"/>
      <c r="F107" s="74"/>
      <c r="G107" s="74"/>
      <c r="I107" s="152"/>
    </row>
    <row r="108" spans="1:9" x14ac:dyDescent="0.25">
      <c r="A108" s="79"/>
      <c r="B108" s="60"/>
      <c r="C108" s="81"/>
      <c r="D108" s="78"/>
      <c r="E108" s="134"/>
      <c r="F108" s="74"/>
      <c r="G108" s="74"/>
      <c r="I108" s="152"/>
    </row>
    <row r="109" spans="1:9" x14ac:dyDescent="0.25">
      <c r="A109" s="63" t="s">
        <v>54</v>
      </c>
      <c r="B109" s="82" t="s">
        <v>469</v>
      </c>
      <c r="C109" s="100" t="s">
        <v>153</v>
      </c>
      <c r="D109" s="101" t="s">
        <v>145</v>
      </c>
      <c r="E109" s="134">
        <v>962.02</v>
      </c>
      <c r="F109" s="128">
        <f t="shared" ref="F109:F119" si="5">E109*C109</f>
        <v>18278.38</v>
      </c>
      <c r="G109" s="128"/>
      <c r="I109" s="152"/>
    </row>
    <row r="110" spans="1:9" x14ac:dyDescent="0.25">
      <c r="A110" s="79"/>
      <c r="B110" s="60"/>
      <c r="C110" s="81"/>
      <c r="D110" s="78"/>
      <c r="E110" s="134"/>
      <c r="F110" s="128">
        <f t="shared" si="5"/>
        <v>0</v>
      </c>
      <c r="G110" s="128"/>
      <c r="I110" s="152"/>
    </row>
    <row r="111" spans="1:9" x14ac:dyDescent="0.25">
      <c r="A111" s="63" t="s">
        <v>136</v>
      </c>
      <c r="B111" s="82" t="s">
        <v>470</v>
      </c>
      <c r="C111" s="100" t="s">
        <v>170</v>
      </c>
      <c r="D111" s="101" t="s">
        <v>145</v>
      </c>
      <c r="E111" s="134">
        <v>190.68</v>
      </c>
      <c r="F111" s="128">
        <f t="shared" si="5"/>
        <v>381.36</v>
      </c>
      <c r="G111" s="128"/>
      <c r="I111" s="152"/>
    </row>
    <row r="112" spans="1:9" x14ac:dyDescent="0.25">
      <c r="A112" s="79"/>
      <c r="B112" s="60"/>
      <c r="C112" s="81"/>
      <c r="D112" s="78"/>
      <c r="E112" s="134"/>
      <c r="F112" s="128">
        <f t="shared" si="5"/>
        <v>0</v>
      </c>
      <c r="G112" s="128"/>
      <c r="I112" s="152"/>
    </row>
    <row r="113" spans="1:9" ht="27.6" x14ac:dyDescent="0.25">
      <c r="A113" s="63"/>
      <c r="B113" s="83" t="s">
        <v>471</v>
      </c>
      <c r="C113" s="100"/>
      <c r="D113" s="101"/>
      <c r="E113" s="134"/>
      <c r="F113" s="128">
        <f t="shared" si="5"/>
        <v>0</v>
      </c>
      <c r="G113" s="128"/>
      <c r="I113" s="152"/>
    </row>
    <row r="114" spans="1:9" x14ac:dyDescent="0.25">
      <c r="A114" s="79"/>
      <c r="B114" s="60"/>
      <c r="C114" s="81"/>
      <c r="D114" s="78"/>
      <c r="E114" s="134"/>
      <c r="F114" s="128">
        <f t="shared" si="5"/>
        <v>0</v>
      </c>
      <c r="G114" s="128"/>
      <c r="I114" s="152"/>
    </row>
    <row r="115" spans="1:9" x14ac:dyDescent="0.25">
      <c r="A115" s="63" t="s">
        <v>159</v>
      </c>
      <c r="B115" s="82" t="s">
        <v>472</v>
      </c>
      <c r="C115" s="100" t="s">
        <v>416</v>
      </c>
      <c r="D115" s="101" t="s">
        <v>145</v>
      </c>
      <c r="E115" s="134">
        <v>324.02</v>
      </c>
      <c r="F115" s="128">
        <f t="shared" si="5"/>
        <v>1620.1</v>
      </c>
      <c r="G115" s="128"/>
      <c r="I115" s="152"/>
    </row>
    <row r="116" spans="1:9" x14ac:dyDescent="0.25">
      <c r="A116" s="79"/>
      <c r="B116" s="60"/>
      <c r="C116" s="81"/>
      <c r="D116" s="78"/>
      <c r="E116" s="134"/>
      <c r="F116" s="128">
        <f t="shared" si="5"/>
        <v>0</v>
      </c>
      <c r="G116" s="128"/>
      <c r="I116" s="152"/>
    </row>
    <row r="117" spans="1:9" x14ac:dyDescent="0.25">
      <c r="A117" s="63" t="s">
        <v>251</v>
      </c>
      <c r="B117" s="82" t="s">
        <v>473</v>
      </c>
      <c r="C117" s="100" t="s">
        <v>474</v>
      </c>
      <c r="D117" s="101" t="s">
        <v>145</v>
      </c>
      <c r="E117" s="134">
        <v>324.02</v>
      </c>
      <c r="F117" s="128">
        <f t="shared" si="5"/>
        <v>4536.28</v>
      </c>
      <c r="G117" s="128"/>
      <c r="I117" s="152"/>
    </row>
    <row r="118" spans="1:9" x14ac:dyDescent="0.25">
      <c r="A118" s="79"/>
      <c r="B118" s="60"/>
      <c r="C118" s="81"/>
      <c r="D118" s="78"/>
      <c r="E118" s="134"/>
      <c r="F118" s="128">
        <f t="shared" si="5"/>
        <v>0</v>
      </c>
      <c r="G118" s="128"/>
      <c r="I118" s="152"/>
    </row>
    <row r="119" spans="1:9" x14ac:dyDescent="0.25">
      <c r="A119" s="63" t="s">
        <v>330</v>
      </c>
      <c r="B119" s="82" t="s">
        <v>475</v>
      </c>
      <c r="C119" s="100" t="s">
        <v>170</v>
      </c>
      <c r="D119" s="101" t="s">
        <v>145</v>
      </c>
      <c r="E119" s="134">
        <v>19294.57</v>
      </c>
      <c r="F119" s="128">
        <f t="shared" si="5"/>
        <v>38589.14</v>
      </c>
      <c r="G119" s="128"/>
      <c r="I119" s="152"/>
    </row>
    <row r="120" spans="1:9" x14ac:dyDescent="0.25">
      <c r="A120" s="79"/>
      <c r="B120" s="60"/>
      <c r="C120" s="81"/>
      <c r="D120" s="78"/>
      <c r="E120" s="134"/>
      <c r="F120" s="74"/>
      <c r="G120" s="74"/>
      <c r="I120" s="152"/>
    </row>
    <row r="121" spans="1:9" x14ac:dyDescent="0.25">
      <c r="A121" s="63"/>
      <c r="B121" s="83"/>
      <c r="C121" s="100"/>
      <c r="D121" s="101"/>
      <c r="E121" s="134"/>
      <c r="F121" s="74"/>
      <c r="G121" s="74"/>
      <c r="I121" s="152"/>
    </row>
    <row r="122" spans="1:9" x14ac:dyDescent="0.25">
      <c r="A122" s="63"/>
      <c r="B122" s="82"/>
      <c r="C122" s="100"/>
      <c r="D122" s="101"/>
      <c r="E122" s="134"/>
      <c r="F122" s="74"/>
      <c r="G122" s="74"/>
      <c r="I122" s="152"/>
    </row>
    <row r="123" spans="1:9" x14ac:dyDescent="0.25">
      <c r="A123" s="63"/>
      <c r="B123" s="82"/>
      <c r="C123" s="100"/>
      <c r="D123" s="101"/>
      <c r="E123" s="134"/>
      <c r="F123" s="74"/>
      <c r="G123" s="74"/>
      <c r="I123" s="152"/>
    </row>
    <row r="124" spans="1:9" x14ac:dyDescent="0.25">
      <c r="A124" s="79"/>
      <c r="B124" s="60"/>
      <c r="C124" s="81"/>
      <c r="D124" s="78"/>
      <c r="E124" s="134"/>
      <c r="F124" s="74"/>
      <c r="G124" s="74"/>
      <c r="I124" s="152"/>
    </row>
    <row r="125" spans="1:9" x14ac:dyDescent="0.25">
      <c r="A125" s="63"/>
      <c r="B125" s="83"/>
      <c r="C125" s="100"/>
      <c r="D125" s="101"/>
      <c r="E125" s="134"/>
      <c r="F125" s="74"/>
      <c r="G125" s="74"/>
      <c r="I125" s="152"/>
    </row>
    <row r="126" spans="1:9" x14ac:dyDescent="0.25">
      <c r="A126" s="79"/>
      <c r="B126" s="60"/>
      <c r="C126" s="81"/>
      <c r="D126" s="78"/>
      <c r="E126" s="134"/>
      <c r="F126" s="74"/>
      <c r="G126" s="74"/>
      <c r="I126" s="152"/>
    </row>
    <row r="127" spans="1:9" x14ac:dyDescent="0.25">
      <c r="A127" s="63"/>
      <c r="B127" s="82"/>
      <c r="C127" s="100"/>
      <c r="D127" s="101"/>
      <c r="E127" s="134"/>
      <c r="F127" s="74"/>
      <c r="G127" s="74"/>
      <c r="I127" s="152"/>
    </row>
    <row r="128" spans="1:9" x14ac:dyDescent="0.25">
      <c r="A128" s="89"/>
      <c r="B128" s="90"/>
      <c r="C128" s="91"/>
      <c r="D128" s="92"/>
      <c r="E128" s="135"/>
      <c r="F128" s="3"/>
      <c r="G128" s="3"/>
      <c r="I128" s="152"/>
    </row>
    <row r="129" spans="1:9" x14ac:dyDescent="0.25">
      <c r="A129" s="93"/>
      <c r="B129" s="94"/>
      <c r="C129" s="95" t="s">
        <v>31</v>
      </c>
      <c r="D129" s="95"/>
      <c r="E129" s="136" t="s">
        <v>7</v>
      </c>
      <c r="F129" s="4">
        <f>SUM(F85:F127)</f>
        <v>86620.239999999991</v>
      </c>
      <c r="G129" s="4"/>
      <c r="I129" s="152"/>
    </row>
    <row r="130" spans="1:9" x14ac:dyDescent="0.25">
      <c r="A130" s="93"/>
      <c r="B130" s="94"/>
      <c r="C130" s="97"/>
      <c r="D130" s="98"/>
      <c r="E130" s="137"/>
      <c r="F130" s="6"/>
      <c r="G130" s="6"/>
      <c r="I130" s="152"/>
    </row>
    <row r="131" spans="1:9" x14ac:dyDescent="0.25">
      <c r="A131" s="63"/>
      <c r="B131" s="82"/>
      <c r="C131" s="100"/>
      <c r="D131" s="101"/>
      <c r="E131" s="134"/>
      <c r="F131" s="74"/>
      <c r="G131" s="74"/>
      <c r="I131" s="152"/>
    </row>
    <row r="132" spans="1:9" x14ac:dyDescent="0.25">
      <c r="A132" s="79"/>
      <c r="B132" s="99" t="s">
        <v>476</v>
      </c>
      <c r="C132" s="81"/>
      <c r="D132" s="78"/>
      <c r="E132" s="134"/>
      <c r="F132" s="74"/>
      <c r="G132" s="74"/>
      <c r="I132" s="152"/>
    </row>
    <row r="133" spans="1:9" x14ac:dyDescent="0.25">
      <c r="A133" s="79"/>
      <c r="B133" s="60"/>
      <c r="C133" s="81"/>
      <c r="D133" s="78"/>
      <c r="E133" s="134"/>
      <c r="F133" s="74"/>
      <c r="G133" s="74"/>
      <c r="I133" s="152"/>
    </row>
    <row r="134" spans="1:9" x14ac:dyDescent="0.25">
      <c r="A134" s="63"/>
      <c r="B134" s="82" t="s">
        <v>33</v>
      </c>
      <c r="C134" s="100"/>
      <c r="D134" s="101"/>
      <c r="E134" s="134"/>
      <c r="F134" s="74"/>
      <c r="G134" s="74"/>
      <c r="I134" s="152"/>
    </row>
    <row r="135" spans="1:9" x14ac:dyDescent="0.25">
      <c r="A135" s="79"/>
      <c r="B135" s="60"/>
      <c r="C135" s="81"/>
      <c r="D135" s="78"/>
      <c r="E135" s="134"/>
      <c r="F135" s="74"/>
      <c r="G135" s="74"/>
      <c r="I135" s="152"/>
    </row>
    <row r="136" spans="1:9" ht="41.4" x14ac:dyDescent="0.25">
      <c r="A136" s="63"/>
      <c r="B136" s="82" t="s">
        <v>477</v>
      </c>
      <c r="C136" s="100"/>
      <c r="D136" s="101"/>
      <c r="E136" s="134"/>
      <c r="F136" s="74"/>
      <c r="G136" s="74"/>
      <c r="I136" s="152"/>
    </row>
    <row r="137" spans="1:9" x14ac:dyDescent="0.25">
      <c r="A137" s="79"/>
      <c r="B137" s="60"/>
      <c r="C137" s="81"/>
      <c r="D137" s="78"/>
      <c r="E137" s="134"/>
      <c r="F137" s="74"/>
      <c r="G137" s="74"/>
      <c r="I137" s="152"/>
    </row>
    <row r="138" spans="1:9" ht="55.2" x14ac:dyDescent="0.25">
      <c r="A138" s="63"/>
      <c r="B138" s="82" t="s">
        <v>478</v>
      </c>
      <c r="C138" s="100"/>
      <c r="D138" s="101"/>
      <c r="E138" s="134"/>
      <c r="F138" s="74"/>
      <c r="G138" s="74"/>
      <c r="I138" s="152"/>
    </row>
    <row r="139" spans="1:9" x14ac:dyDescent="0.25">
      <c r="A139" s="79"/>
      <c r="B139" s="60"/>
      <c r="C139" s="81"/>
      <c r="D139" s="78"/>
      <c r="E139" s="134"/>
      <c r="F139" s="74"/>
      <c r="G139" s="74"/>
      <c r="I139" s="152"/>
    </row>
    <row r="140" spans="1:9" ht="41.4" x14ac:dyDescent="0.25">
      <c r="A140" s="63"/>
      <c r="B140" s="82" t="s">
        <v>479</v>
      </c>
      <c r="C140" s="100"/>
      <c r="D140" s="101"/>
      <c r="E140" s="134"/>
      <c r="F140" s="74"/>
      <c r="G140" s="74"/>
      <c r="I140" s="152"/>
    </row>
    <row r="141" spans="1:9" x14ac:dyDescent="0.25">
      <c r="A141" s="79"/>
      <c r="B141" s="60"/>
      <c r="C141" s="81"/>
      <c r="D141" s="78"/>
      <c r="E141" s="134"/>
      <c r="F141" s="74"/>
      <c r="G141" s="74"/>
      <c r="I141" s="152"/>
    </row>
    <row r="142" spans="1:9" ht="41.4" x14ac:dyDescent="0.25">
      <c r="A142" s="63"/>
      <c r="B142" s="83" t="s">
        <v>480</v>
      </c>
      <c r="C142" s="100"/>
      <c r="D142" s="101"/>
      <c r="E142" s="134"/>
      <c r="F142" s="74"/>
      <c r="G142" s="74"/>
      <c r="I142" s="152"/>
    </row>
    <row r="143" spans="1:9" x14ac:dyDescent="0.25">
      <c r="A143" s="79"/>
      <c r="B143" s="60"/>
      <c r="C143" s="81"/>
      <c r="D143" s="78"/>
      <c r="E143" s="134"/>
      <c r="F143" s="74"/>
      <c r="G143" s="74"/>
      <c r="I143" s="152"/>
    </row>
    <row r="144" spans="1:9" x14ac:dyDescent="0.25">
      <c r="A144" s="63" t="s">
        <v>12</v>
      </c>
      <c r="B144" s="82" t="s">
        <v>481</v>
      </c>
      <c r="C144" s="100" t="s">
        <v>482</v>
      </c>
      <c r="D144" s="101" t="s">
        <v>145</v>
      </c>
      <c r="E144" s="134">
        <v>1738.06</v>
      </c>
      <c r="F144" s="128">
        <f t="shared" ref="F144:F158" si="6">E144*C144</f>
        <v>1673751.78</v>
      </c>
      <c r="G144" s="128"/>
      <c r="I144" s="152"/>
    </row>
    <row r="145" spans="1:9" x14ac:dyDescent="0.25">
      <c r="A145" s="79"/>
      <c r="B145" s="60"/>
      <c r="C145" s="81"/>
      <c r="D145" s="78"/>
      <c r="E145" s="134"/>
      <c r="F145" s="128">
        <f t="shared" si="6"/>
        <v>0</v>
      </c>
      <c r="G145" s="128"/>
      <c r="I145" s="152"/>
    </row>
    <row r="146" spans="1:9" x14ac:dyDescent="0.25">
      <c r="A146" s="63" t="s">
        <v>16</v>
      </c>
      <c r="B146" s="82" t="s">
        <v>483</v>
      </c>
      <c r="C146" s="100" t="s">
        <v>484</v>
      </c>
      <c r="D146" s="101" t="s">
        <v>105</v>
      </c>
      <c r="E146" s="134">
        <v>579.35</v>
      </c>
      <c r="F146" s="128">
        <f t="shared" si="6"/>
        <v>1450692.4000000001</v>
      </c>
      <c r="G146" s="128"/>
      <c r="I146" s="152"/>
    </row>
    <row r="147" spans="1:9" x14ac:dyDescent="0.25">
      <c r="A147" s="79"/>
      <c r="B147" s="60"/>
      <c r="C147" s="81"/>
      <c r="D147" s="78"/>
      <c r="E147" s="134"/>
      <c r="F147" s="128">
        <f t="shared" si="6"/>
        <v>0</v>
      </c>
      <c r="G147" s="128"/>
      <c r="I147" s="152"/>
    </row>
    <row r="148" spans="1:9" ht="27.6" x14ac:dyDescent="0.25">
      <c r="A148" s="63"/>
      <c r="B148" s="83" t="s">
        <v>485</v>
      </c>
      <c r="C148" s="100"/>
      <c r="D148" s="101"/>
      <c r="E148" s="134"/>
      <c r="F148" s="128">
        <f t="shared" si="6"/>
        <v>0</v>
      </c>
      <c r="G148" s="128"/>
      <c r="I148" s="152"/>
    </row>
    <row r="149" spans="1:9" x14ac:dyDescent="0.25">
      <c r="A149" s="79"/>
      <c r="B149" s="60"/>
      <c r="C149" s="81"/>
      <c r="D149" s="78"/>
      <c r="E149" s="134"/>
      <c r="F149" s="128">
        <f t="shared" si="6"/>
        <v>0</v>
      </c>
      <c r="G149" s="128"/>
      <c r="I149" s="152"/>
    </row>
    <row r="150" spans="1:9" ht="41.4" x14ac:dyDescent="0.25">
      <c r="A150" s="63" t="s">
        <v>19</v>
      </c>
      <c r="B150" s="82" t="s">
        <v>486</v>
      </c>
      <c r="C150" s="100" t="s">
        <v>93</v>
      </c>
      <c r="D150" s="101" t="s">
        <v>145</v>
      </c>
      <c r="E150" s="134">
        <v>1056.3599999999999</v>
      </c>
      <c r="F150" s="128">
        <f t="shared" si="6"/>
        <v>107748.71999999999</v>
      </c>
      <c r="G150" s="158" t="s">
        <v>585</v>
      </c>
      <c r="I150" s="152"/>
    </row>
    <row r="151" spans="1:9" x14ac:dyDescent="0.25">
      <c r="A151" s="79"/>
      <c r="B151" s="60"/>
      <c r="C151" s="81"/>
      <c r="D151" s="78"/>
      <c r="E151" s="134"/>
      <c r="F151" s="128">
        <f t="shared" si="6"/>
        <v>0</v>
      </c>
      <c r="G151" s="128"/>
      <c r="I151" s="152"/>
    </row>
    <row r="152" spans="1:9" ht="41.4" x14ac:dyDescent="0.25">
      <c r="A152" s="63" t="s">
        <v>22</v>
      </c>
      <c r="B152" s="82" t="s">
        <v>487</v>
      </c>
      <c r="C152" s="100" t="s">
        <v>488</v>
      </c>
      <c r="D152" s="101" t="s">
        <v>145</v>
      </c>
      <c r="E152" s="134">
        <v>1056.3599999999999</v>
      </c>
      <c r="F152" s="128">
        <f t="shared" si="6"/>
        <v>697197.6</v>
      </c>
      <c r="G152" s="158" t="s">
        <v>585</v>
      </c>
      <c r="I152" s="152"/>
    </row>
    <row r="153" spans="1:9" x14ac:dyDescent="0.25">
      <c r="A153" s="79"/>
      <c r="B153" s="60"/>
      <c r="C153" s="81"/>
      <c r="D153" s="78"/>
      <c r="E153" s="134"/>
      <c r="F153" s="128">
        <f t="shared" si="6"/>
        <v>0</v>
      </c>
      <c r="G153" s="128"/>
      <c r="I153" s="152"/>
    </row>
    <row r="154" spans="1:9" ht="27.6" x14ac:dyDescent="0.25">
      <c r="A154" s="63" t="s">
        <v>25</v>
      </c>
      <c r="B154" s="82" t="s">
        <v>489</v>
      </c>
      <c r="C154" s="100" t="s">
        <v>166</v>
      </c>
      <c r="D154" s="101" t="s">
        <v>145</v>
      </c>
      <c r="E154" s="134">
        <v>1178.6600000000001</v>
      </c>
      <c r="F154" s="128">
        <f t="shared" si="6"/>
        <v>7071.9600000000009</v>
      </c>
      <c r="G154" s="158" t="s">
        <v>585</v>
      </c>
      <c r="I154" s="152"/>
    </row>
    <row r="155" spans="1:9" x14ac:dyDescent="0.25">
      <c r="A155" s="79"/>
      <c r="B155" s="60"/>
      <c r="C155" s="81"/>
      <c r="D155" s="78"/>
      <c r="E155" s="134"/>
      <c r="F155" s="128">
        <f t="shared" si="6"/>
        <v>0</v>
      </c>
      <c r="G155" s="128"/>
      <c r="I155" s="152"/>
    </row>
    <row r="156" spans="1:9" ht="27.6" x14ac:dyDescent="0.25">
      <c r="A156" s="63" t="s">
        <v>28</v>
      </c>
      <c r="B156" s="82" t="s">
        <v>490</v>
      </c>
      <c r="C156" s="100" t="s">
        <v>491</v>
      </c>
      <c r="D156" s="101" t="s">
        <v>145</v>
      </c>
      <c r="E156" s="134">
        <v>1361.76</v>
      </c>
      <c r="F156" s="128">
        <f t="shared" si="6"/>
        <v>13617.6</v>
      </c>
      <c r="G156" s="158" t="s">
        <v>585</v>
      </c>
      <c r="I156" s="152"/>
    </row>
    <row r="157" spans="1:9" x14ac:dyDescent="0.25">
      <c r="A157" s="79"/>
      <c r="B157" s="60"/>
      <c r="C157" s="81"/>
      <c r="D157" s="78"/>
      <c r="E157" s="134"/>
      <c r="F157" s="128">
        <f t="shared" si="6"/>
        <v>0</v>
      </c>
      <c r="G157" s="128"/>
      <c r="I157" s="152"/>
    </row>
    <row r="158" spans="1:9" ht="27.6" x14ac:dyDescent="0.25">
      <c r="A158" s="63" t="s">
        <v>48</v>
      </c>
      <c r="B158" s="82" t="s">
        <v>492</v>
      </c>
      <c r="C158" s="100" t="s">
        <v>484</v>
      </c>
      <c r="D158" s="101" t="s">
        <v>105</v>
      </c>
      <c r="E158" s="134">
        <v>142.6</v>
      </c>
      <c r="F158" s="128">
        <f t="shared" si="6"/>
        <v>357070.39999999997</v>
      </c>
      <c r="G158" s="158" t="s">
        <v>585</v>
      </c>
      <c r="I158" s="152"/>
    </row>
    <row r="159" spans="1:9" x14ac:dyDescent="0.25">
      <c r="A159" s="79"/>
      <c r="B159" s="60"/>
      <c r="C159" s="81"/>
      <c r="D159" s="78"/>
      <c r="E159" s="134"/>
      <c r="F159" s="74"/>
      <c r="G159" s="74"/>
      <c r="I159" s="152"/>
    </row>
    <row r="160" spans="1:9" x14ac:dyDescent="0.25">
      <c r="A160" s="63"/>
      <c r="B160" s="82"/>
      <c r="C160" s="100"/>
      <c r="D160" s="101"/>
      <c r="E160" s="134"/>
      <c r="F160" s="74"/>
      <c r="G160" s="74"/>
      <c r="I160" s="152"/>
    </row>
    <row r="161" spans="1:9" x14ac:dyDescent="0.25">
      <c r="A161" s="63"/>
      <c r="B161" s="82"/>
      <c r="C161" s="100"/>
      <c r="D161" s="101"/>
      <c r="E161" s="134"/>
      <c r="F161" s="74"/>
      <c r="G161" s="74"/>
      <c r="I161" s="152"/>
    </row>
    <row r="162" spans="1:9" ht="28.8" x14ac:dyDescent="0.25">
      <c r="A162" s="63"/>
      <c r="B162" s="177" t="s">
        <v>583</v>
      </c>
      <c r="C162" s="100"/>
      <c r="D162" s="101"/>
      <c r="E162" s="134"/>
      <c r="F162" s="74"/>
      <c r="G162" s="74"/>
      <c r="I162" s="152"/>
    </row>
    <row r="163" spans="1:9" x14ac:dyDescent="0.25">
      <c r="A163" s="89"/>
      <c r="B163" s="90"/>
      <c r="C163" s="91"/>
      <c r="D163" s="92"/>
      <c r="E163" s="135"/>
      <c r="F163" s="3"/>
      <c r="G163" s="3"/>
      <c r="I163" s="152"/>
    </row>
    <row r="164" spans="1:9" x14ac:dyDescent="0.25">
      <c r="A164" s="93"/>
      <c r="B164" s="94"/>
      <c r="C164" s="95" t="s">
        <v>31</v>
      </c>
      <c r="D164" s="95"/>
      <c r="E164" s="136" t="s">
        <v>7</v>
      </c>
      <c r="F164" s="4">
        <f>SUM(F137:F163)</f>
        <v>4307150.4600000009</v>
      </c>
      <c r="G164" s="4"/>
      <c r="I164" s="152"/>
    </row>
    <row r="165" spans="1:9" x14ac:dyDescent="0.25">
      <c r="A165" s="93"/>
      <c r="B165" s="94"/>
      <c r="C165" s="97"/>
      <c r="D165" s="98"/>
      <c r="E165" s="137"/>
      <c r="F165" s="6"/>
      <c r="G165" s="6"/>
      <c r="I165" s="152"/>
    </row>
    <row r="166" spans="1:9" x14ac:dyDescent="0.25">
      <c r="A166" s="63"/>
      <c r="B166" s="82"/>
      <c r="C166" s="100"/>
      <c r="D166" s="101"/>
      <c r="E166" s="134"/>
      <c r="F166" s="74"/>
      <c r="G166" s="74"/>
      <c r="I166" s="152"/>
    </row>
    <row r="167" spans="1:9" x14ac:dyDescent="0.25">
      <c r="A167" s="79"/>
      <c r="B167" s="99" t="s">
        <v>493</v>
      </c>
      <c r="C167" s="81"/>
      <c r="D167" s="78"/>
      <c r="E167" s="134"/>
      <c r="F167" s="74"/>
      <c r="G167" s="74"/>
      <c r="I167" s="152"/>
    </row>
    <row r="168" spans="1:9" x14ac:dyDescent="0.25">
      <c r="A168" s="79"/>
      <c r="B168" s="60"/>
      <c r="C168" s="81"/>
      <c r="D168" s="78"/>
      <c r="E168" s="134"/>
      <c r="F168" s="74"/>
      <c r="G168" s="74"/>
      <c r="I168" s="152"/>
    </row>
    <row r="169" spans="1:9" ht="27.6" x14ac:dyDescent="0.25">
      <c r="A169" s="63" t="s">
        <v>12</v>
      </c>
      <c r="B169" s="82" t="s">
        <v>494</v>
      </c>
      <c r="C169" s="100" t="s">
        <v>324</v>
      </c>
      <c r="D169" s="101" t="s">
        <v>145</v>
      </c>
      <c r="E169" s="134">
        <v>1289.95</v>
      </c>
      <c r="F169" s="128">
        <f t="shared" ref="F169:F183" si="7">E169*C169</f>
        <v>25799</v>
      </c>
      <c r="G169" s="158" t="s">
        <v>585</v>
      </c>
      <c r="I169" s="152"/>
    </row>
    <row r="170" spans="1:9" x14ac:dyDescent="0.25">
      <c r="A170" s="79"/>
      <c r="B170" s="60"/>
      <c r="C170" s="81"/>
      <c r="D170" s="78"/>
      <c r="E170" s="134"/>
      <c r="F170" s="128">
        <f t="shared" si="7"/>
        <v>0</v>
      </c>
      <c r="G170" s="128"/>
      <c r="I170" s="152"/>
    </row>
    <row r="171" spans="1:9" ht="27.6" x14ac:dyDescent="0.25">
      <c r="A171" s="63" t="s">
        <v>16</v>
      </c>
      <c r="B171" s="82" t="s">
        <v>495</v>
      </c>
      <c r="C171" s="100" t="s">
        <v>180</v>
      </c>
      <c r="D171" s="101" t="s">
        <v>145</v>
      </c>
      <c r="E171" s="134">
        <v>871.25</v>
      </c>
      <c r="F171" s="128">
        <f t="shared" si="7"/>
        <v>6098.75</v>
      </c>
      <c r="G171" s="158" t="s">
        <v>585</v>
      </c>
      <c r="I171" s="152"/>
    </row>
    <row r="172" spans="1:9" x14ac:dyDescent="0.25">
      <c r="A172" s="79"/>
      <c r="B172" s="60"/>
      <c r="C172" s="81"/>
      <c r="D172" s="78"/>
      <c r="E172" s="134"/>
      <c r="F172" s="128">
        <f t="shared" si="7"/>
        <v>0</v>
      </c>
      <c r="G172" s="128"/>
      <c r="I172" s="152"/>
    </row>
    <row r="173" spans="1:9" ht="27.6" x14ac:dyDescent="0.25">
      <c r="A173" s="63" t="s">
        <v>19</v>
      </c>
      <c r="B173" s="82" t="s">
        <v>496</v>
      </c>
      <c r="C173" s="100" t="s">
        <v>497</v>
      </c>
      <c r="D173" s="101" t="s">
        <v>145</v>
      </c>
      <c r="E173" s="134">
        <v>8728.7900000000009</v>
      </c>
      <c r="F173" s="128">
        <f t="shared" si="7"/>
        <v>724489.57000000007</v>
      </c>
      <c r="G173" s="158" t="s">
        <v>585</v>
      </c>
      <c r="I173" s="152"/>
    </row>
    <row r="174" spans="1:9" x14ac:dyDescent="0.25">
      <c r="A174" s="79"/>
      <c r="B174" s="60"/>
      <c r="C174" s="81"/>
      <c r="D174" s="78"/>
      <c r="E174" s="134"/>
      <c r="F174" s="128">
        <f t="shared" si="7"/>
        <v>0</v>
      </c>
      <c r="G174" s="128"/>
      <c r="I174" s="152"/>
    </row>
    <row r="175" spans="1:9" ht="27.6" x14ac:dyDescent="0.25">
      <c r="A175" s="63" t="s">
        <v>22</v>
      </c>
      <c r="B175" s="82" t="s">
        <v>498</v>
      </c>
      <c r="C175" s="100" t="s">
        <v>491</v>
      </c>
      <c r="D175" s="101" t="s">
        <v>145</v>
      </c>
      <c r="E175" s="134">
        <v>12154.97</v>
      </c>
      <c r="F175" s="128">
        <f t="shared" si="7"/>
        <v>121549.7</v>
      </c>
      <c r="G175" s="158" t="s">
        <v>585</v>
      </c>
      <c r="I175" s="152"/>
    </row>
    <row r="176" spans="1:9" x14ac:dyDescent="0.25">
      <c r="A176" s="79"/>
      <c r="B176" s="60"/>
      <c r="C176" s="81"/>
      <c r="D176" s="78"/>
      <c r="E176" s="134"/>
      <c r="F176" s="128">
        <f t="shared" si="7"/>
        <v>0</v>
      </c>
      <c r="G176" s="128"/>
      <c r="I176" s="152"/>
    </row>
    <row r="177" spans="1:9" ht="27.6" x14ac:dyDescent="0.25">
      <c r="A177" s="63" t="s">
        <v>25</v>
      </c>
      <c r="B177" s="82" t="s">
        <v>499</v>
      </c>
      <c r="C177" s="100" t="s">
        <v>166</v>
      </c>
      <c r="D177" s="101" t="s">
        <v>145</v>
      </c>
      <c r="E177" s="134">
        <v>848.12</v>
      </c>
      <c r="F177" s="128">
        <f t="shared" si="7"/>
        <v>5088.72</v>
      </c>
      <c r="G177" s="158" t="s">
        <v>585</v>
      </c>
      <c r="I177" s="152"/>
    </row>
    <row r="178" spans="1:9" x14ac:dyDescent="0.25">
      <c r="A178" s="79"/>
      <c r="B178" s="60"/>
      <c r="C178" s="81"/>
      <c r="D178" s="78"/>
      <c r="E178" s="134"/>
      <c r="F178" s="128">
        <f t="shared" si="7"/>
        <v>0</v>
      </c>
      <c r="G178" s="128"/>
      <c r="I178" s="152"/>
    </row>
    <row r="179" spans="1:9" ht="27.6" x14ac:dyDescent="0.25">
      <c r="A179" s="63" t="s">
        <v>28</v>
      </c>
      <c r="B179" s="82" t="s">
        <v>500</v>
      </c>
      <c r="C179" s="100" t="s">
        <v>110</v>
      </c>
      <c r="D179" s="101" t="s">
        <v>145</v>
      </c>
      <c r="E179" s="134">
        <v>4925.79</v>
      </c>
      <c r="F179" s="128">
        <f t="shared" si="7"/>
        <v>54183.69</v>
      </c>
      <c r="G179" s="158" t="s">
        <v>585</v>
      </c>
      <c r="I179" s="152"/>
    </row>
    <row r="180" spans="1:9" x14ac:dyDescent="0.25">
      <c r="A180" s="79"/>
      <c r="B180" s="60"/>
      <c r="C180" s="81"/>
      <c r="D180" s="78"/>
      <c r="E180" s="134"/>
      <c r="F180" s="128">
        <f t="shared" si="7"/>
        <v>0</v>
      </c>
      <c r="G180" s="128"/>
      <c r="I180" s="152"/>
    </row>
    <row r="181" spans="1:9" ht="27.6" x14ac:dyDescent="0.25">
      <c r="A181" s="63" t="s">
        <v>48</v>
      </c>
      <c r="B181" s="82" t="s">
        <v>501</v>
      </c>
      <c r="C181" s="100" t="s">
        <v>491</v>
      </c>
      <c r="D181" s="101" t="s">
        <v>145</v>
      </c>
      <c r="E181" s="134">
        <v>1081.81</v>
      </c>
      <c r="F181" s="128">
        <f t="shared" si="7"/>
        <v>10818.099999999999</v>
      </c>
      <c r="G181" s="158" t="s">
        <v>585</v>
      </c>
      <c r="I181" s="152"/>
    </row>
    <row r="182" spans="1:9" x14ac:dyDescent="0.25">
      <c r="A182" s="79"/>
      <c r="B182" s="60"/>
      <c r="C182" s="81"/>
      <c r="D182" s="78"/>
      <c r="E182" s="134"/>
      <c r="F182" s="128">
        <f t="shared" si="7"/>
        <v>0</v>
      </c>
      <c r="G182" s="128"/>
      <c r="I182" s="152"/>
    </row>
    <row r="183" spans="1:9" ht="27.6" x14ac:dyDescent="0.25">
      <c r="A183" s="63" t="s">
        <v>52</v>
      </c>
      <c r="B183" s="82" t="s">
        <v>502</v>
      </c>
      <c r="C183" s="100" t="s">
        <v>163</v>
      </c>
      <c r="D183" s="101" t="s">
        <v>145</v>
      </c>
      <c r="E183" s="134">
        <v>2388.65</v>
      </c>
      <c r="F183" s="128">
        <f t="shared" si="7"/>
        <v>90768.7</v>
      </c>
      <c r="G183" s="158" t="s">
        <v>585</v>
      </c>
      <c r="I183" s="152"/>
    </row>
    <row r="184" spans="1:9" x14ac:dyDescent="0.25">
      <c r="A184" s="60"/>
      <c r="B184" s="61"/>
      <c r="C184" s="60"/>
      <c r="D184" s="62"/>
      <c r="E184" s="134"/>
      <c r="F184" s="74"/>
      <c r="G184" s="74"/>
      <c r="I184" s="152"/>
    </row>
    <row r="185" spans="1:9" x14ac:dyDescent="0.25">
      <c r="A185" s="79"/>
      <c r="B185" s="80"/>
      <c r="C185" s="81"/>
      <c r="D185" s="78"/>
      <c r="E185" s="134"/>
      <c r="F185" s="74"/>
      <c r="G185" s="74"/>
      <c r="I185" s="152"/>
    </row>
    <row r="186" spans="1:9" x14ac:dyDescent="0.25">
      <c r="A186" s="79"/>
      <c r="B186" s="60"/>
      <c r="C186" s="81"/>
      <c r="D186" s="78"/>
      <c r="E186" s="134"/>
      <c r="F186" s="74"/>
      <c r="G186" s="74"/>
      <c r="I186" s="152"/>
    </row>
    <row r="187" spans="1:9" x14ac:dyDescent="0.25">
      <c r="A187" s="85"/>
      <c r="B187" s="82"/>
      <c r="C187" s="64"/>
      <c r="D187" s="65"/>
      <c r="E187" s="134"/>
      <c r="F187" s="74"/>
      <c r="G187" s="74"/>
      <c r="I187" s="152"/>
    </row>
    <row r="188" spans="1:9" x14ac:dyDescent="0.25">
      <c r="A188" s="79"/>
      <c r="B188" s="60"/>
      <c r="C188" s="81"/>
      <c r="D188" s="78"/>
      <c r="E188" s="134"/>
      <c r="F188" s="74"/>
      <c r="G188" s="74"/>
      <c r="I188" s="152"/>
    </row>
    <row r="189" spans="1:9" x14ac:dyDescent="0.25">
      <c r="A189" s="85"/>
      <c r="B189" s="86"/>
      <c r="C189" s="64"/>
      <c r="D189" s="65"/>
      <c r="E189" s="134"/>
      <c r="F189" s="74"/>
      <c r="G189" s="74"/>
      <c r="I189" s="152"/>
    </row>
    <row r="190" spans="1:9" x14ac:dyDescent="0.25">
      <c r="A190" s="79"/>
      <c r="B190" s="60"/>
      <c r="C190" s="81"/>
      <c r="D190" s="78"/>
      <c r="E190" s="134"/>
      <c r="F190" s="74"/>
      <c r="G190" s="74"/>
      <c r="I190" s="152"/>
    </row>
    <row r="191" spans="1:9" x14ac:dyDescent="0.25">
      <c r="A191" s="85"/>
      <c r="B191" s="82"/>
      <c r="C191" s="64"/>
      <c r="D191" s="65"/>
      <c r="E191" s="134"/>
      <c r="F191" s="74"/>
      <c r="G191" s="74"/>
      <c r="I191" s="152"/>
    </row>
    <row r="192" spans="1:9" x14ac:dyDescent="0.25">
      <c r="A192" s="79"/>
      <c r="B192" s="60"/>
      <c r="C192" s="81"/>
      <c r="D192" s="78"/>
      <c r="E192" s="134"/>
      <c r="F192" s="74"/>
      <c r="G192" s="74"/>
      <c r="I192" s="152"/>
    </row>
    <row r="193" spans="1:9" x14ac:dyDescent="0.25">
      <c r="A193" s="85"/>
      <c r="B193" s="86"/>
      <c r="C193" s="64"/>
      <c r="D193" s="65"/>
      <c r="E193" s="134"/>
      <c r="F193" s="74"/>
      <c r="G193" s="74"/>
      <c r="I193" s="152"/>
    </row>
    <row r="194" spans="1:9" x14ac:dyDescent="0.25">
      <c r="A194" s="79"/>
      <c r="B194" s="99"/>
      <c r="C194" s="81"/>
      <c r="D194" s="78"/>
      <c r="E194" s="134"/>
      <c r="F194" s="74"/>
      <c r="G194" s="74"/>
      <c r="I194" s="152"/>
    </row>
    <row r="195" spans="1:9" x14ac:dyDescent="0.25">
      <c r="A195" s="79"/>
      <c r="B195" s="84"/>
      <c r="C195" s="81"/>
      <c r="D195" s="78"/>
      <c r="E195" s="134"/>
      <c r="F195" s="74"/>
      <c r="G195" s="74"/>
      <c r="I195" s="152"/>
    </row>
    <row r="196" spans="1:9" x14ac:dyDescent="0.25">
      <c r="A196" s="63"/>
      <c r="B196" s="83"/>
      <c r="C196" s="100"/>
      <c r="D196" s="101"/>
      <c r="E196" s="134"/>
      <c r="F196" s="74"/>
      <c r="G196" s="74"/>
      <c r="I196" s="152"/>
    </row>
    <row r="197" spans="1:9" x14ac:dyDescent="0.25">
      <c r="A197" s="79"/>
      <c r="B197" s="60"/>
      <c r="C197" s="81"/>
      <c r="D197" s="78"/>
      <c r="E197" s="134"/>
      <c r="F197" s="74"/>
      <c r="G197" s="74"/>
      <c r="I197" s="152"/>
    </row>
    <row r="198" spans="1:9" x14ac:dyDescent="0.25">
      <c r="A198" s="63"/>
      <c r="B198" s="82"/>
      <c r="C198" s="100"/>
      <c r="D198" s="101"/>
      <c r="E198" s="134"/>
      <c r="F198" s="74"/>
      <c r="G198" s="74"/>
      <c r="I198" s="152"/>
    </row>
    <row r="199" spans="1:9" x14ac:dyDescent="0.25">
      <c r="A199" s="79"/>
      <c r="B199" s="60"/>
      <c r="C199" s="81"/>
      <c r="D199" s="78"/>
      <c r="E199" s="134"/>
      <c r="F199" s="74"/>
      <c r="G199" s="74"/>
      <c r="I199" s="152"/>
    </row>
    <row r="200" spans="1:9" x14ac:dyDescent="0.25">
      <c r="A200" s="63"/>
      <c r="B200" s="82"/>
      <c r="C200" s="100"/>
      <c r="D200" s="101"/>
      <c r="E200" s="134"/>
      <c r="F200" s="74"/>
      <c r="G200" s="74"/>
      <c r="I200" s="152"/>
    </row>
    <row r="201" spans="1:9" x14ac:dyDescent="0.25">
      <c r="A201" s="79"/>
      <c r="B201" s="60"/>
      <c r="C201" s="81"/>
      <c r="D201" s="78"/>
      <c r="E201" s="134"/>
      <c r="F201" s="74"/>
      <c r="G201" s="74"/>
      <c r="I201" s="152"/>
    </row>
    <row r="202" spans="1:9" x14ac:dyDescent="0.25">
      <c r="A202" s="63"/>
      <c r="B202" s="82"/>
      <c r="C202" s="100"/>
      <c r="D202" s="101"/>
      <c r="E202" s="134"/>
      <c r="F202" s="74"/>
      <c r="G202" s="74"/>
      <c r="I202" s="152"/>
    </row>
    <row r="203" spans="1:9" x14ac:dyDescent="0.25">
      <c r="A203" s="85"/>
      <c r="B203" s="86"/>
      <c r="C203" s="64"/>
      <c r="D203" s="65"/>
      <c r="E203" s="134"/>
      <c r="F203" s="74"/>
      <c r="G203" s="74"/>
      <c r="I203" s="152"/>
    </row>
    <row r="204" spans="1:9" ht="28.8" x14ac:dyDescent="0.25">
      <c r="A204" s="85"/>
      <c r="B204" s="177" t="s">
        <v>583</v>
      </c>
      <c r="C204" s="64"/>
      <c r="D204" s="65"/>
      <c r="E204" s="134"/>
      <c r="F204" s="74"/>
      <c r="G204" s="74"/>
      <c r="I204" s="152"/>
    </row>
    <row r="205" spans="1:9" x14ac:dyDescent="0.25">
      <c r="A205" s="89"/>
      <c r="B205" s="90"/>
      <c r="C205" s="91"/>
      <c r="D205" s="92"/>
      <c r="E205" s="135"/>
      <c r="F205" s="3"/>
      <c r="G205" s="3"/>
      <c r="I205" s="152"/>
    </row>
    <row r="206" spans="1:9" x14ac:dyDescent="0.25">
      <c r="A206" s="93"/>
      <c r="B206" s="94"/>
      <c r="C206" s="95" t="s">
        <v>31</v>
      </c>
      <c r="D206" s="95"/>
      <c r="E206" s="136" t="s">
        <v>7</v>
      </c>
      <c r="F206" s="4">
        <f>SUM(F169:F205)</f>
        <v>1038796.2299999999</v>
      </c>
      <c r="G206" s="4"/>
      <c r="I206" s="152"/>
    </row>
    <row r="207" spans="1:9" x14ac:dyDescent="0.25">
      <c r="A207" s="93"/>
      <c r="B207" s="94"/>
      <c r="C207" s="97"/>
      <c r="D207" s="98"/>
      <c r="E207" s="137"/>
      <c r="F207" s="6"/>
      <c r="G207" s="6"/>
      <c r="I207" s="152"/>
    </row>
    <row r="208" spans="1:9" x14ac:dyDescent="0.25">
      <c r="A208" s="60"/>
      <c r="B208" s="61"/>
      <c r="C208" s="60"/>
      <c r="D208" s="62"/>
      <c r="E208" s="134"/>
      <c r="F208" s="74"/>
      <c r="G208" s="74"/>
      <c r="I208" s="152"/>
    </row>
    <row r="209" spans="1:9" x14ac:dyDescent="0.25">
      <c r="A209" s="79"/>
      <c r="B209" s="99" t="s">
        <v>503</v>
      </c>
      <c r="C209" s="81"/>
      <c r="D209" s="78"/>
      <c r="E209" s="134"/>
      <c r="F209" s="74"/>
      <c r="G209" s="74"/>
      <c r="I209" s="152"/>
    </row>
    <row r="210" spans="1:9" x14ac:dyDescent="0.25">
      <c r="A210" s="79"/>
      <c r="B210" s="60"/>
      <c r="C210" s="81"/>
      <c r="D210" s="78"/>
      <c r="E210" s="134"/>
      <c r="F210" s="74"/>
      <c r="G210" s="74"/>
      <c r="I210" s="152"/>
    </row>
    <row r="211" spans="1:9" x14ac:dyDescent="0.25">
      <c r="A211" s="63"/>
      <c r="B211" s="82" t="s">
        <v>33</v>
      </c>
      <c r="C211" s="100"/>
      <c r="D211" s="101"/>
      <c r="E211" s="134"/>
      <c r="F211" s="74"/>
      <c r="G211" s="74"/>
      <c r="I211" s="152"/>
    </row>
    <row r="212" spans="1:9" x14ac:dyDescent="0.25">
      <c r="A212" s="79"/>
      <c r="B212" s="60"/>
      <c r="C212" s="81"/>
      <c r="D212" s="78"/>
      <c r="E212" s="134"/>
      <c r="F212" s="74"/>
      <c r="G212" s="74"/>
      <c r="I212" s="152"/>
    </row>
    <row r="213" spans="1:9" ht="27.6" x14ac:dyDescent="0.25">
      <c r="A213" s="63"/>
      <c r="B213" s="82" t="s">
        <v>504</v>
      </c>
      <c r="C213" s="100"/>
      <c r="D213" s="101"/>
      <c r="E213" s="134"/>
      <c r="F213" s="74"/>
      <c r="G213" s="74"/>
      <c r="I213" s="152"/>
    </row>
    <row r="214" spans="1:9" x14ac:dyDescent="0.25">
      <c r="A214" s="79"/>
      <c r="B214" s="60"/>
      <c r="C214" s="81"/>
      <c r="D214" s="78"/>
      <c r="E214" s="134"/>
      <c r="F214" s="74"/>
      <c r="G214" s="74"/>
      <c r="I214" s="152"/>
    </row>
    <row r="215" spans="1:9" ht="27.6" x14ac:dyDescent="0.25">
      <c r="A215" s="63"/>
      <c r="B215" s="82" t="s">
        <v>428</v>
      </c>
      <c r="C215" s="100"/>
      <c r="D215" s="101"/>
      <c r="E215" s="134"/>
      <c r="F215" s="74"/>
      <c r="G215" s="74"/>
      <c r="I215" s="152"/>
    </row>
    <row r="216" spans="1:9" x14ac:dyDescent="0.25">
      <c r="A216" s="79"/>
      <c r="B216" s="60"/>
      <c r="C216" s="81"/>
      <c r="D216" s="78"/>
      <c r="E216" s="134"/>
      <c r="F216" s="74"/>
      <c r="G216" s="74"/>
      <c r="I216" s="152"/>
    </row>
    <row r="217" spans="1:9" ht="41.4" x14ac:dyDescent="0.25">
      <c r="A217" s="63"/>
      <c r="B217" s="83" t="s">
        <v>480</v>
      </c>
      <c r="C217" s="100"/>
      <c r="D217" s="101"/>
      <c r="E217" s="134"/>
      <c r="F217" s="74"/>
      <c r="G217" s="74"/>
      <c r="I217" s="152"/>
    </row>
    <row r="218" spans="1:9" x14ac:dyDescent="0.25">
      <c r="A218" s="79"/>
      <c r="B218" s="60"/>
      <c r="C218" s="81"/>
      <c r="D218" s="78"/>
      <c r="E218" s="134"/>
      <c r="F218" s="74"/>
      <c r="G218" s="74"/>
      <c r="I218" s="152"/>
    </row>
    <row r="219" spans="1:9" x14ac:dyDescent="0.25">
      <c r="A219" s="63" t="s">
        <v>12</v>
      </c>
      <c r="B219" s="82" t="s">
        <v>505</v>
      </c>
      <c r="C219" s="100" t="s">
        <v>506</v>
      </c>
      <c r="D219" s="101" t="s">
        <v>145</v>
      </c>
      <c r="E219" s="134">
        <v>5908.66</v>
      </c>
      <c r="F219" s="138">
        <f>E219*C219</f>
        <v>460875.48</v>
      </c>
      <c r="G219" s="178" t="s">
        <v>589</v>
      </c>
      <c r="I219" s="152"/>
    </row>
    <row r="220" spans="1:9" x14ac:dyDescent="0.25">
      <c r="A220" s="79"/>
      <c r="B220" s="60"/>
      <c r="C220" s="81"/>
      <c r="D220" s="78"/>
      <c r="E220" s="134"/>
      <c r="F220" s="74"/>
      <c r="G220" s="74"/>
      <c r="I220" s="152"/>
    </row>
    <row r="221" spans="1:9" ht="27.6" x14ac:dyDescent="0.25">
      <c r="A221" s="63"/>
      <c r="B221" s="83" t="s">
        <v>471</v>
      </c>
      <c r="C221" s="100"/>
      <c r="D221" s="101"/>
      <c r="E221" s="134"/>
      <c r="F221" s="74"/>
      <c r="G221" s="74"/>
      <c r="I221" s="152"/>
    </row>
    <row r="222" spans="1:9" x14ac:dyDescent="0.25">
      <c r="A222" s="79"/>
      <c r="B222" s="60"/>
      <c r="C222" s="81"/>
      <c r="D222" s="78"/>
      <c r="E222" s="134"/>
      <c r="F222" s="74"/>
      <c r="G222" s="74"/>
      <c r="I222" s="152"/>
    </row>
    <row r="223" spans="1:9" ht="45" customHeight="1" x14ac:dyDescent="0.25">
      <c r="A223" s="63" t="s">
        <v>16</v>
      </c>
      <c r="B223" s="82" t="s">
        <v>507</v>
      </c>
      <c r="C223" s="100" t="s">
        <v>290</v>
      </c>
      <c r="D223" s="101" t="s">
        <v>145</v>
      </c>
      <c r="E223" s="134"/>
      <c r="F223" s="157" t="s">
        <v>560</v>
      </c>
      <c r="G223" s="157"/>
      <c r="I223" s="152"/>
    </row>
    <row r="224" spans="1:9" x14ac:dyDescent="0.25">
      <c r="A224" s="79"/>
      <c r="B224" s="60"/>
      <c r="C224" s="81"/>
      <c r="D224" s="78"/>
      <c r="E224" s="134"/>
      <c r="F224" s="74"/>
      <c r="G224" s="74"/>
      <c r="I224" s="152"/>
    </row>
    <row r="225" spans="1:9" ht="27.6" x14ac:dyDescent="0.25">
      <c r="A225" s="63" t="s">
        <v>19</v>
      </c>
      <c r="B225" s="82" t="s">
        <v>508</v>
      </c>
      <c r="C225" s="100" t="s">
        <v>170</v>
      </c>
      <c r="D225" s="101" t="s">
        <v>145</v>
      </c>
      <c r="E225" s="134"/>
      <c r="F225" s="157" t="s">
        <v>560</v>
      </c>
      <c r="G225" s="157"/>
      <c r="I225" s="152"/>
    </row>
    <row r="226" spans="1:9" x14ac:dyDescent="0.25">
      <c r="A226" s="79"/>
      <c r="B226" s="60"/>
      <c r="C226" s="81"/>
      <c r="D226" s="78"/>
      <c r="E226" s="134"/>
      <c r="F226" s="74"/>
      <c r="G226" s="74"/>
      <c r="I226" s="152"/>
    </row>
    <row r="227" spans="1:9" ht="27.6" x14ac:dyDescent="0.25">
      <c r="A227" s="63" t="s">
        <v>22</v>
      </c>
      <c r="B227" s="82" t="s">
        <v>509</v>
      </c>
      <c r="C227" s="100" t="s">
        <v>510</v>
      </c>
      <c r="D227" s="101" t="s">
        <v>145</v>
      </c>
      <c r="E227" s="134"/>
      <c r="F227" s="157" t="s">
        <v>560</v>
      </c>
      <c r="G227" s="157"/>
      <c r="I227" s="152"/>
    </row>
    <row r="228" spans="1:9" x14ac:dyDescent="0.25">
      <c r="A228" s="79"/>
      <c r="B228" s="60"/>
      <c r="C228" s="81"/>
      <c r="D228" s="78"/>
      <c r="E228" s="134"/>
      <c r="F228" s="74"/>
      <c r="G228" s="74"/>
      <c r="I228" s="152"/>
    </row>
    <row r="229" spans="1:9" ht="27.6" x14ac:dyDescent="0.25">
      <c r="A229" s="63" t="s">
        <v>25</v>
      </c>
      <c r="B229" s="82" t="s">
        <v>511</v>
      </c>
      <c r="C229" s="100" t="s">
        <v>491</v>
      </c>
      <c r="D229" s="101" t="s">
        <v>145</v>
      </c>
      <c r="E229" s="134"/>
      <c r="F229" s="157" t="s">
        <v>560</v>
      </c>
      <c r="G229" s="157"/>
      <c r="I229" s="152"/>
    </row>
    <row r="230" spans="1:9" x14ac:dyDescent="0.25">
      <c r="A230" s="60"/>
      <c r="B230" s="61"/>
      <c r="C230" s="60"/>
      <c r="D230" s="62"/>
      <c r="E230" s="134"/>
      <c r="F230" s="74"/>
      <c r="G230" s="74"/>
      <c r="I230" s="152"/>
    </row>
    <row r="231" spans="1:9" x14ac:dyDescent="0.25">
      <c r="A231" s="60"/>
      <c r="B231" s="61"/>
      <c r="C231" s="60"/>
      <c r="D231" s="62"/>
      <c r="E231" s="134"/>
      <c r="F231" s="74"/>
      <c r="G231" s="74"/>
      <c r="I231" s="152"/>
    </row>
    <row r="232" spans="1:9" x14ac:dyDescent="0.25">
      <c r="A232" s="60"/>
      <c r="B232" s="61"/>
      <c r="C232" s="60"/>
      <c r="D232" s="62"/>
      <c r="E232" s="134"/>
      <c r="F232" s="74"/>
      <c r="G232" s="74"/>
      <c r="I232" s="152"/>
    </row>
    <row r="233" spans="1:9" x14ac:dyDescent="0.25">
      <c r="A233" s="60"/>
      <c r="B233" s="61"/>
      <c r="C233" s="60"/>
      <c r="D233" s="62"/>
      <c r="E233" s="134"/>
      <c r="F233" s="74"/>
      <c r="G233" s="74"/>
      <c r="I233" s="152"/>
    </row>
    <row r="234" spans="1:9" x14ac:dyDescent="0.25">
      <c r="A234" s="79"/>
      <c r="B234" s="60"/>
      <c r="C234" s="81"/>
      <c r="D234" s="78"/>
      <c r="E234" s="134"/>
      <c r="F234" s="74"/>
      <c r="G234" s="74"/>
      <c r="I234" s="152"/>
    </row>
    <row r="235" spans="1:9" x14ac:dyDescent="0.25">
      <c r="A235" s="60"/>
      <c r="B235" s="61"/>
      <c r="C235" s="60"/>
      <c r="D235" s="62"/>
      <c r="E235" s="134"/>
      <c r="F235" s="74"/>
      <c r="G235" s="74"/>
      <c r="I235" s="152"/>
    </row>
    <row r="236" spans="1:9" x14ac:dyDescent="0.25">
      <c r="A236" s="60"/>
      <c r="B236" s="61"/>
      <c r="C236" s="60"/>
      <c r="D236" s="62"/>
      <c r="E236" s="134"/>
      <c r="F236" s="74"/>
      <c r="G236" s="74"/>
      <c r="I236" s="152"/>
    </row>
    <row r="237" spans="1:9" x14ac:dyDescent="0.25">
      <c r="A237" s="60"/>
      <c r="B237" s="61"/>
      <c r="C237" s="60"/>
      <c r="D237" s="62"/>
      <c r="E237" s="134"/>
      <c r="F237" s="74"/>
      <c r="G237" s="74"/>
      <c r="I237" s="152"/>
    </row>
    <row r="238" spans="1:9" x14ac:dyDescent="0.25">
      <c r="A238" s="60"/>
      <c r="B238" s="61"/>
      <c r="C238" s="60"/>
      <c r="D238" s="62"/>
      <c r="E238" s="134"/>
      <c r="F238" s="74"/>
      <c r="G238" s="74"/>
      <c r="I238" s="152"/>
    </row>
    <row r="239" spans="1:9" x14ac:dyDescent="0.25">
      <c r="A239" s="60"/>
      <c r="B239" s="61"/>
      <c r="C239" s="60"/>
      <c r="D239" s="62"/>
      <c r="E239" s="134"/>
      <c r="F239" s="74"/>
      <c r="G239" s="74"/>
      <c r="I239" s="152"/>
    </row>
    <row r="240" spans="1:9" x14ac:dyDescent="0.25">
      <c r="A240" s="89"/>
      <c r="B240" s="90"/>
      <c r="C240" s="91"/>
      <c r="D240" s="92"/>
      <c r="E240" s="135"/>
      <c r="F240" s="3"/>
      <c r="G240" s="3"/>
      <c r="I240" s="152"/>
    </row>
    <row r="241" spans="1:9" x14ac:dyDescent="0.25">
      <c r="A241" s="93"/>
      <c r="B241" s="94"/>
      <c r="C241" s="95" t="s">
        <v>31</v>
      </c>
      <c r="D241" s="95"/>
      <c r="E241" s="136" t="s">
        <v>7</v>
      </c>
      <c r="F241" s="4">
        <f>SUM(F208:F238)</f>
        <v>460875.48</v>
      </c>
      <c r="G241" s="4"/>
      <c r="I241" s="152"/>
    </row>
    <row r="242" spans="1:9" x14ac:dyDescent="0.25">
      <c r="A242" s="93"/>
      <c r="B242" s="94"/>
      <c r="C242" s="97"/>
      <c r="D242" s="98"/>
      <c r="E242" s="137"/>
      <c r="F242" s="6"/>
      <c r="G242" s="6"/>
      <c r="I242" s="152"/>
    </row>
    <row r="243" spans="1:9" x14ac:dyDescent="0.25">
      <c r="A243" s="60"/>
      <c r="B243" s="61"/>
      <c r="C243" s="60"/>
      <c r="D243" s="62"/>
      <c r="E243" s="134"/>
      <c r="F243" s="74"/>
      <c r="G243" s="74"/>
      <c r="I243" s="152"/>
    </row>
    <row r="244" spans="1:9" x14ac:dyDescent="0.25">
      <c r="A244" s="79"/>
      <c r="B244" s="99" t="s">
        <v>512</v>
      </c>
      <c r="C244" s="81"/>
      <c r="D244" s="78"/>
      <c r="E244" s="134"/>
      <c r="F244" s="74"/>
      <c r="G244" s="74"/>
      <c r="I244" s="152"/>
    </row>
    <row r="245" spans="1:9" x14ac:dyDescent="0.25">
      <c r="A245" s="79"/>
      <c r="B245" s="60"/>
      <c r="C245" s="81"/>
      <c r="D245" s="78"/>
      <c r="E245" s="134"/>
      <c r="F245" s="74"/>
      <c r="G245" s="74"/>
      <c r="I245" s="152"/>
    </row>
    <row r="246" spans="1:9" x14ac:dyDescent="0.25">
      <c r="A246" s="63" t="s">
        <v>12</v>
      </c>
      <c r="B246" s="82" t="s">
        <v>513</v>
      </c>
      <c r="C246" s="100"/>
      <c r="D246" s="101" t="s">
        <v>1</v>
      </c>
      <c r="E246" s="134"/>
      <c r="F246" s="74" t="s">
        <v>560</v>
      </c>
      <c r="G246" s="74"/>
      <c r="I246" s="152"/>
    </row>
    <row r="247" spans="1:9" x14ac:dyDescent="0.25">
      <c r="A247" s="79"/>
      <c r="B247" s="60"/>
      <c r="C247" s="81"/>
      <c r="D247" s="78"/>
      <c r="E247" s="134"/>
      <c r="F247" s="74"/>
      <c r="G247" s="74"/>
      <c r="I247" s="152"/>
    </row>
    <row r="248" spans="1:9" ht="41.4" x14ac:dyDescent="0.25">
      <c r="A248" s="63" t="s">
        <v>16</v>
      </c>
      <c r="B248" s="82" t="s">
        <v>514</v>
      </c>
      <c r="C248" s="100"/>
      <c r="D248" s="101" t="s">
        <v>1</v>
      </c>
      <c r="E248" s="134"/>
      <c r="F248" s="74" t="s">
        <v>560</v>
      </c>
      <c r="G248" s="74"/>
      <c r="I248" s="152"/>
    </row>
    <row r="249" spans="1:9" x14ac:dyDescent="0.25">
      <c r="A249" s="79"/>
      <c r="B249" s="60"/>
      <c r="C249" s="81"/>
      <c r="D249" s="78"/>
      <c r="E249" s="134"/>
      <c r="F249" s="74"/>
      <c r="G249" s="74"/>
      <c r="I249" s="152"/>
    </row>
    <row r="250" spans="1:9" ht="27.6" x14ac:dyDescent="0.25">
      <c r="A250" s="63" t="s">
        <v>19</v>
      </c>
      <c r="B250" s="82" t="s">
        <v>515</v>
      </c>
      <c r="C250" s="100"/>
      <c r="D250" s="101" t="s">
        <v>1</v>
      </c>
      <c r="E250" s="134"/>
      <c r="F250" s="74" t="s">
        <v>560</v>
      </c>
      <c r="G250" s="74"/>
      <c r="I250" s="152"/>
    </row>
    <row r="251" spans="1:9" x14ac:dyDescent="0.25">
      <c r="A251" s="79"/>
      <c r="B251" s="60"/>
      <c r="C251" s="81"/>
      <c r="D251" s="78"/>
      <c r="E251" s="134"/>
      <c r="F251" s="74"/>
      <c r="G251" s="74"/>
      <c r="I251" s="152"/>
    </row>
    <row r="252" spans="1:9" ht="96.6" x14ac:dyDescent="0.25">
      <c r="A252" s="63" t="s">
        <v>22</v>
      </c>
      <c r="B252" s="82" t="s">
        <v>516</v>
      </c>
      <c r="C252" s="100">
        <v>1</v>
      </c>
      <c r="D252" s="101" t="s">
        <v>1</v>
      </c>
      <c r="E252" s="134">
        <v>446479.7</v>
      </c>
      <c r="F252" s="138">
        <f>E252*C252</f>
        <v>446479.7</v>
      </c>
      <c r="G252" s="138"/>
      <c r="I252" s="152"/>
    </row>
    <row r="253" spans="1:9" x14ac:dyDescent="0.25">
      <c r="A253" s="79"/>
      <c r="B253" s="60"/>
      <c r="C253" s="81"/>
      <c r="D253" s="78"/>
      <c r="E253" s="134"/>
      <c r="F253" s="74"/>
      <c r="G253" s="74"/>
      <c r="I253" s="152"/>
    </row>
    <row r="254" spans="1:9" ht="69" x14ac:dyDescent="0.25">
      <c r="A254" s="63" t="s">
        <v>25</v>
      </c>
      <c r="B254" s="82" t="s">
        <v>517</v>
      </c>
      <c r="C254" s="100"/>
      <c r="D254" s="101" t="s">
        <v>1</v>
      </c>
      <c r="E254" s="134"/>
      <c r="F254" s="74" t="s">
        <v>560</v>
      </c>
      <c r="G254" s="74"/>
      <c r="I254" s="152"/>
    </row>
    <row r="255" spans="1:9" x14ac:dyDescent="0.25">
      <c r="A255" s="79"/>
      <c r="B255" s="60"/>
      <c r="C255" s="81"/>
      <c r="D255" s="78"/>
      <c r="E255" s="134"/>
      <c r="F255" s="74"/>
      <c r="G255" s="74"/>
      <c r="I255" s="152"/>
    </row>
    <row r="256" spans="1:9" ht="55.2" x14ac:dyDescent="0.25">
      <c r="A256" s="63" t="s">
        <v>28</v>
      </c>
      <c r="B256" s="82" t="s">
        <v>518</v>
      </c>
      <c r="C256" s="100"/>
      <c r="D256" s="101" t="s">
        <v>1</v>
      </c>
      <c r="E256" s="134"/>
      <c r="F256" s="74" t="s">
        <v>560</v>
      </c>
      <c r="G256" s="74"/>
      <c r="I256" s="152"/>
    </row>
    <row r="257" spans="1:9" x14ac:dyDescent="0.25">
      <c r="A257" s="60"/>
      <c r="B257" s="61"/>
      <c r="C257" s="60"/>
      <c r="D257" s="62"/>
      <c r="E257" s="134"/>
      <c r="F257" s="74"/>
      <c r="G257" s="74"/>
      <c r="I257" s="152"/>
    </row>
    <row r="258" spans="1:9" x14ac:dyDescent="0.25">
      <c r="A258" s="60"/>
      <c r="B258" s="61"/>
      <c r="C258" s="60"/>
      <c r="D258" s="62"/>
      <c r="E258" s="134"/>
      <c r="F258" s="74"/>
      <c r="G258" s="74"/>
      <c r="I258" s="152"/>
    </row>
    <row r="259" spans="1:9" x14ac:dyDescent="0.25">
      <c r="A259" s="79"/>
      <c r="B259" s="80"/>
      <c r="C259" s="81"/>
      <c r="D259" s="78"/>
      <c r="E259" s="134"/>
      <c r="F259" s="74"/>
      <c r="G259" s="74"/>
      <c r="I259" s="152"/>
    </row>
    <row r="260" spans="1:9" x14ac:dyDescent="0.25">
      <c r="A260" s="79"/>
      <c r="B260" s="84"/>
      <c r="C260" s="81"/>
      <c r="D260" s="78"/>
      <c r="E260" s="134"/>
      <c r="F260" s="74"/>
      <c r="G260" s="74"/>
      <c r="I260" s="152"/>
    </row>
    <row r="261" spans="1:9" x14ac:dyDescent="0.25">
      <c r="A261" s="85"/>
      <c r="B261" s="82"/>
      <c r="C261" s="64"/>
      <c r="D261" s="65"/>
      <c r="E261" s="134"/>
      <c r="F261" s="74"/>
      <c r="G261" s="74"/>
      <c r="I261" s="152"/>
    </row>
    <row r="262" spans="1:9" x14ac:dyDescent="0.25">
      <c r="A262" s="79"/>
      <c r="B262" s="60"/>
      <c r="C262" s="81"/>
      <c r="D262" s="78"/>
      <c r="E262" s="134"/>
      <c r="F262" s="74"/>
      <c r="G262" s="74"/>
      <c r="I262" s="152"/>
    </row>
    <row r="263" spans="1:9" x14ac:dyDescent="0.25">
      <c r="A263" s="85"/>
      <c r="B263" s="86"/>
      <c r="C263" s="64"/>
      <c r="D263" s="65"/>
      <c r="E263" s="134"/>
      <c r="F263" s="74"/>
      <c r="G263" s="74"/>
      <c r="I263" s="152"/>
    </row>
    <row r="264" spans="1:9" x14ac:dyDescent="0.25">
      <c r="A264" s="79"/>
      <c r="B264" s="60"/>
      <c r="C264" s="81"/>
      <c r="D264" s="78"/>
      <c r="E264" s="134"/>
      <c r="F264" s="74"/>
      <c r="G264" s="74"/>
      <c r="I264" s="152"/>
    </row>
    <row r="265" spans="1:9" x14ac:dyDescent="0.25">
      <c r="A265" s="85"/>
      <c r="B265" s="86"/>
      <c r="C265" s="64"/>
      <c r="D265" s="65"/>
      <c r="E265" s="134"/>
      <c r="F265" s="74"/>
      <c r="G265" s="74"/>
      <c r="I265" s="152"/>
    </row>
    <row r="266" spans="1:9" x14ac:dyDescent="0.25">
      <c r="A266" s="79"/>
      <c r="B266" s="60"/>
      <c r="C266" s="81"/>
      <c r="D266" s="78"/>
      <c r="E266" s="134"/>
      <c r="F266" s="74"/>
      <c r="G266" s="74"/>
      <c r="I266" s="152"/>
    </row>
    <row r="267" spans="1:9" x14ac:dyDescent="0.25">
      <c r="A267" s="85"/>
      <c r="B267" s="86"/>
      <c r="C267" s="64"/>
      <c r="D267" s="65"/>
      <c r="E267" s="134"/>
      <c r="F267" s="74"/>
      <c r="G267" s="74"/>
      <c r="I267" s="152"/>
    </row>
    <row r="268" spans="1:9" x14ac:dyDescent="0.25">
      <c r="A268" s="79"/>
      <c r="B268" s="60"/>
      <c r="C268" s="81"/>
      <c r="D268" s="78"/>
      <c r="E268" s="134"/>
      <c r="F268" s="74"/>
      <c r="G268" s="74"/>
      <c r="I268" s="152"/>
    </row>
    <row r="269" spans="1:9" x14ac:dyDescent="0.25">
      <c r="A269" s="85"/>
      <c r="B269" s="86"/>
      <c r="C269" s="64"/>
      <c r="D269" s="65"/>
      <c r="E269" s="134"/>
      <c r="F269" s="74"/>
      <c r="G269" s="74"/>
      <c r="I269" s="152"/>
    </row>
    <row r="270" spans="1:9" x14ac:dyDescent="0.25">
      <c r="A270" s="79"/>
      <c r="B270" s="60"/>
      <c r="C270" s="81"/>
      <c r="D270" s="78"/>
      <c r="E270" s="134"/>
      <c r="F270" s="74"/>
      <c r="G270" s="74"/>
      <c r="I270" s="152"/>
    </row>
    <row r="271" spans="1:9" x14ac:dyDescent="0.25">
      <c r="A271" s="79"/>
      <c r="B271" s="60"/>
      <c r="C271" s="81"/>
      <c r="D271" s="78"/>
      <c r="E271" s="134"/>
      <c r="F271" s="74"/>
      <c r="G271" s="74"/>
      <c r="I271" s="152"/>
    </row>
    <row r="272" spans="1:9" x14ac:dyDescent="0.25">
      <c r="A272" s="85"/>
      <c r="B272" s="86"/>
      <c r="C272" s="64"/>
      <c r="D272" s="65"/>
      <c r="E272" s="134"/>
      <c r="F272" s="74"/>
      <c r="G272" s="74"/>
      <c r="I272" s="152"/>
    </row>
    <row r="273" spans="1:9" x14ac:dyDescent="0.25">
      <c r="A273" s="85"/>
      <c r="B273" s="86"/>
      <c r="C273" s="64"/>
      <c r="D273" s="65"/>
      <c r="E273" s="134"/>
      <c r="F273" s="74"/>
      <c r="G273" s="74"/>
      <c r="I273" s="152"/>
    </row>
    <row r="274" spans="1:9" x14ac:dyDescent="0.25">
      <c r="A274" s="79"/>
      <c r="B274" s="60"/>
      <c r="C274" s="81"/>
      <c r="D274" s="78"/>
      <c r="E274" s="134"/>
      <c r="F274" s="74"/>
      <c r="G274" s="74"/>
      <c r="I274" s="152"/>
    </row>
    <row r="275" spans="1:9" x14ac:dyDescent="0.25">
      <c r="A275" s="85"/>
      <c r="B275" s="86"/>
      <c r="C275" s="64"/>
      <c r="D275" s="65"/>
      <c r="E275" s="134"/>
      <c r="F275" s="74"/>
      <c r="G275" s="74"/>
      <c r="I275" s="152"/>
    </row>
    <row r="276" spans="1:9" x14ac:dyDescent="0.25">
      <c r="A276" s="89"/>
      <c r="B276" s="90"/>
      <c r="C276" s="91"/>
      <c r="D276" s="92"/>
      <c r="E276" s="135"/>
      <c r="F276" s="3"/>
      <c r="G276" s="3"/>
      <c r="I276" s="152"/>
    </row>
    <row r="277" spans="1:9" x14ac:dyDescent="0.25">
      <c r="A277" s="93"/>
      <c r="B277" s="94"/>
      <c r="C277" s="95" t="s">
        <v>31</v>
      </c>
      <c r="D277" s="95"/>
      <c r="E277" s="136" t="s">
        <v>7</v>
      </c>
      <c r="F277" s="4">
        <f>SUM(F243:F275)</f>
        <v>446479.7</v>
      </c>
      <c r="G277" s="4"/>
      <c r="I277" s="152"/>
    </row>
    <row r="278" spans="1:9" x14ac:dyDescent="0.25">
      <c r="A278" s="93"/>
      <c r="B278" s="94"/>
      <c r="C278" s="97"/>
      <c r="D278" s="98"/>
      <c r="E278" s="137"/>
      <c r="F278" s="6"/>
      <c r="G278" s="6"/>
      <c r="I278" s="152"/>
    </row>
    <row r="279" spans="1:9" x14ac:dyDescent="0.25">
      <c r="A279" s="60"/>
      <c r="B279" s="61"/>
      <c r="C279" s="60"/>
      <c r="D279" s="62"/>
      <c r="E279" s="134"/>
      <c r="F279" s="74"/>
      <c r="G279" s="74"/>
      <c r="I279" s="152"/>
    </row>
    <row r="280" spans="1:9" x14ac:dyDescent="0.25">
      <c r="A280" s="79"/>
      <c r="B280" s="99" t="s">
        <v>519</v>
      </c>
      <c r="C280" s="81"/>
      <c r="D280" s="78"/>
      <c r="E280" s="134"/>
      <c r="F280" s="74"/>
      <c r="G280" s="74"/>
      <c r="I280" s="152"/>
    </row>
    <row r="281" spans="1:9" x14ac:dyDescent="0.25">
      <c r="A281" s="79"/>
      <c r="B281" s="60"/>
      <c r="C281" s="81"/>
      <c r="D281" s="78"/>
      <c r="E281" s="134"/>
      <c r="F281" s="74"/>
      <c r="G281" s="74"/>
      <c r="I281" s="152"/>
    </row>
    <row r="282" spans="1:9" ht="27.6" x14ac:dyDescent="0.25">
      <c r="A282" s="63"/>
      <c r="B282" s="83" t="s">
        <v>520</v>
      </c>
      <c r="C282" s="100"/>
      <c r="D282" s="101"/>
      <c r="E282" s="134"/>
      <c r="F282" s="74"/>
      <c r="G282" s="74"/>
      <c r="I282" s="152"/>
    </row>
    <row r="283" spans="1:9" x14ac:dyDescent="0.25">
      <c r="A283" s="79"/>
      <c r="B283" s="60"/>
      <c r="C283" s="81"/>
      <c r="D283" s="78"/>
      <c r="E283" s="134"/>
      <c r="F283" s="74"/>
      <c r="G283" s="74"/>
      <c r="I283" s="152"/>
    </row>
    <row r="284" spans="1:9" ht="41.4" x14ac:dyDescent="0.25">
      <c r="A284" s="63" t="s">
        <v>12</v>
      </c>
      <c r="B284" s="82" t="s">
        <v>521</v>
      </c>
      <c r="C284" s="100"/>
      <c r="D284" s="101" t="s">
        <v>1</v>
      </c>
      <c r="E284" s="134"/>
      <c r="F284" s="74" t="s">
        <v>560</v>
      </c>
      <c r="G284" s="74"/>
      <c r="I284" s="152"/>
    </row>
    <row r="285" spans="1:9" x14ac:dyDescent="0.25">
      <c r="A285" s="79"/>
      <c r="B285" s="60"/>
      <c r="C285" s="81"/>
      <c r="D285" s="78"/>
      <c r="E285" s="134"/>
      <c r="F285" s="74"/>
      <c r="G285" s="74"/>
      <c r="I285" s="152"/>
    </row>
    <row r="286" spans="1:9" ht="41.4" x14ac:dyDescent="0.25">
      <c r="A286" s="63" t="s">
        <v>16</v>
      </c>
      <c r="B286" s="82" t="s">
        <v>522</v>
      </c>
      <c r="C286" s="100"/>
      <c r="D286" s="101" t="s">
        <v>1</v>
      </c>
      <c r="E286" s="134"/>
      <c r="F286" s="74" t="s">
        <v>560</v>
      </c>
      <c r="G286" s="74"/>
      <c r="I286" s="152"/>
    </row>
    <row r="287" spans="1:9" x14ac:dyDescent="0.25">
      <c r="A287" s="79"/>
      <c r="B287" s="60"/>
      <c r="C287" s="81"/>
      <c r="D287" s="78"/>
      <c r="E287" s="134"/>
      <c r="F287" s="74"/>
      <c r="G287" s="74"/>
      <c r="I287" s="152"/>
    </row>
    <row r="288" spans="1:9" ht="41.4" x14ac:dyDescent="0.25">
      <c r="A288" s="63" t="s">
        <v>19</v>
      </c>
      <c r="B288" s="82" t="s">
        <v>523</v>
      </c>
      <c r="C288" s="100"/>
      <c r="D288" s="101" t="s">
        <v>1</v>
      </c>
      <c r="E288" s="134"/>
      <c r="F288" s="74" t="s">
        <v>560</v>
      </c>
      <c r="G288" s="74"/>
      <c r="I288" s="152"/>
    </row>
    <row r="289" spans="1:9" x14ac:dyDescent="0.25">
      <c r="A289" s="79"/>
      <c r="B289" s="60"/>
      <c r="C289" s="81"/>
      <c r="D289" s="78"/>
      <c r="E289" s="134"/>
      <c r="F289" s="74"/>
      <c r="G289" s="74"/>
      <c r="I289" s="152"/>
    </row>
    <row r="290" spans="1:9" ht="55.2" x14ac:dyDescent="0.25">
      <c r="A290" s="63" t="s">
        <v>22</v>
      </c>
      <c r="B290" s="82" t="s">
        <v>524</v>
      </c>
      <c r="C290" s="100"/>
      <c r="D290" s="101" t="s">
        <v>1</v>
      </c>
      <c r="E290" s="134"/>
      <c r="F290" s="74" t="s">
        <v>560</v>
      </c>
      <c r="G290" s="74"/>
      <c r="I290" s="152"/>
    </row>
    <row r="291" spans="1:9" x14ac:dyDescent="0.25">
      <c r="A291" s="79"/>
      <c r="B291" s="60"/>
      <c r="C291" s="81"/>
      <c r="D291" s="78"/>
      <c r="E291" s="134"/>
      <c r="F291" s="74"/>
      <c r="G291" s="74"/>
      <c r="I291" s="152"/>
    </row>
    <row r="292" spans="1:9" ht="41.4" x14ac:dyDescent="0.25">
      <c r="A292" s="63" t="s">
        <v>25</v>
      </c>
      <c r="B292" s="82" t="s">
        <v>525</v>
      </c>
      <c r="C292" s="100"/>
      <c r="D292" s="101" t="s">
        <v>1</v>
      </c>
      <c r="E292" s="134"/>
      <c r="F292" s="74" t="s">
        <v>560</v>
      </c>
      <c r="G292" s="74"/>
      <c r="I292" s="152"/>
    </row>
    <row r="293" spans="1:9" x14ac:dyDescent="0.25">
      <c r="A293" s="79"/>
      <c r="B293" s="60"/>
      <c r="C293" s="81"/>
      <c r="D293" s="78"/>
      <c r="E293" s="134"/>
      <c r="F293" s="74"/>
      <c r="G293" s="74"/>
      <c r="I293" s="152"/>
    </row>
    <row r="294" spans="1:9" ht="41.4" x14ac:dyDescent="0.25">
      <c r="A294" s="63" t="s">
        <v>28</v>
      </c>
      <c r="B294" s="82" t="s">
        <v>526</v>
      </c>
      <c r="C294" s="100"/>
      <c r="D294" s="101" t="s">
        <v>1</v>
      </c>
      <c r="E294" s="134"/>
      <c r="F294" s="74" t="s">
        <v>560</v>
      </c>
      <c r="G294" s="74"/>
      <c r="I294" s="152"/>
    </row>
    <row r="295" spans="1:9" x14ac:dyDescent="0.25">
      <c r="A295" s="79"/>
      <c r="B295" s="60"/>
      <c r="C295" s="81"/>
      <c r="D295" s="78"/>
      <c r="E295" s="134"/>
      <c r="F295" s="74"/>
      <c r="G295" s="74"/>
      <c r="I295" s="152"/>
    </row>
    <row r="296" spans="1:9" ht="41.4" x14ac:dyDescent="0.25">
      <c r="A296" s="63" t="s">
        <v>48</v>
      </c>
      <c r="B296" s="82" t="s">
        <v>527</v>
      </c>
      <c r="C296" s="100"/>
      <c r="D296" s="101" t="s">
        <v>1</v>
      </c>
      <c r="E296" s="134"/>
      <c r="F296" s="74" t="s">
        <v>560</v>
      </c>
      <c r="G296" s="74"/>
      <c r="I296" s="152"/>
    </row>
    <row r="297" spans="1:9" x14ac:dyDescent="0.25">
      <c r="A297" s="79"/>
      <c r="B297" s="60"/>
      <c r="C297" s="81"/>
      <c r="D297" s="78"/>
      <c r="E297" s="134"/>
      <c r="F297" s="74"/>
      <c r="G297" s="74"/>
      <c r="I297" s="152"/>
    </row>
    <row r="298" spans="1:9" ht="27.6" x14ac:dyDescent="0.25">
      <c r="A298" s="63"/>
      <c r="B298" s="83" t="s">
        <v>528</v>
      </c>
      <c r="C298" s="100"/>
      <c r="D298" s="101"/>
      <c r="E298" s="134"/>
      <c r="F298" s="74"/>
      <c r="G298" s="74"/>
      <c r="I298" s="152"/>
    </row>
    <row r="299" spans="1:9" x14ac:dyDescent="0.25">
      <c r="A299" s="79"/>
      <c r="B299" s="60"/>
      <c r="C299" s="81"/>
      <c r="D299" s="78"/>
      <c r="E299" s="134"/>
      <c r="F299" s="74"/>
      <c r="G299" s="74"/>
      <c r="I299" s="152"/>
    </row>
    <row r="300" spans="1:9" ht="41.4" x14ac:dyDescent="0.25">
      <c r="A300" s="63" t="s">
        <v>52</v>
      </c>
      <c r="B300" s="82" t="s">
        <v>529</v>
      </c>
      <c r="C300" s="100"/>
      <c r="D300" s="101" t="s">
        <v>1</v>
      </c>
      <c r="E300" s="134">
        <v>172108.98</v>
      </c>
      <c r="F300" s="138">
        <f>+E300</f>
        <v>172108.98</v>
      </c>
      <c r="G300" s="138"/>
      <c r="I300" s="152"/>
    </row>
    <row r="301" spans="1:9" x14ac:dyDescent="0.25">
      <c r="A301" s="79"/>
      <c r="B301" s="80"/>
      <c r="C301" s="81"/>
      <c r="D301" s="78"/>
      <c r="E301" s="134"/>
      <c r="F301" s="74"/>
      <c r="G301" s="74"/>
      <c r="I301" s="152"/>
    </row>
    <row r="302" spans="1:9" x14ac:dyDescent="0.25">
      <c r="A302" s="79"/>
      <c r="B302" s="60"/>
      <c r="C302" s="81"/>
      <c r="D302" s="78"/>
      <c r="E302" s="134"/>
      <c r="F302" s="74"/>
      <c r="G302" s="74"/>
      <c r="I302" s="152"/>
    </row>
    <row r="303" spans="1:9" x14ac:dyDescent="0.25">
      <c r="A303" s="85"/>
      <c r="B303" s="86"/>
      <c r="C303" s="64"/>
      <c r="D303" s="65"/>
      <c r="E303" s="134"/>
      <c r="F303" s="74"/>
      <c r="G303" s="74"/>
      <c r="I303" s="152"/>
    </row>
    <row r="304" spans="1:9" x14ac:dyDescent="0.25">
      <c r="A304" s="79"/>
      <c r="B304" s="60"/>
      <c r="C304" s="81"/>
      <c r="D304" s="78"/>
      <c r="E304" s="134"/>
      <c r="F304" s="74"/>
      <c r="G304" s="74"/>
      <c r="I304" s="152"/>
    </row>
    <row r="305" spans="1:9" x14ac:dyDescent="0.25">
      <c r="A305" s="85"/>
      <c r="B305" s="86"/>
      <c r="C305" s="64"/>
      <c r="D305" s="65"/>
      <c r="E305" s="134"/>
      <c r="F305" s="74"/>
      <c r="G305" s="74"/>
      <c r="I305" s="152"/>
    </row>
    <row r="306" spans="1:9" x14ac:dyDescent="0.25">
      <c r="A306" s="79"/>
      <c r="B306" s="60"/>
      <c r="C306" s="81"/>
      <c r="D306" s="78"/>
      <c r="E306" s="134"/>
      <c r="F306" s="74"/>
      <c r="G306" s="74"/>
      <c r="I306" s="152"/>
    </row>
    <row r="307" spans="1:9" x14ac:dyDescent="0.25">
      <c r="A307" s="85"/>
      <c r="B307" s="86"/>
      <c r="C307" s="64"/>
      <c r="D307" s="65"/>
      <c r="E307" s="134"/>
      <c r="F307" s="74"/>
      <c r="G307" s="74"/>
      <c r="I307" s="152"/>
    </row>
    <row r="308" spans="1:9" x14ac:dyDescent="0.25">
      <c r="A308" s="79"/>
      <c r="B308" s="60"/>
      <c r="C308" s="81"/>
      <c r="D308" s="78"/>
      <c r="E308" s="134"/>
      <c r="F308" s="74"/>
      <c r="G308" s="74"/>
      <c r="I308" s="152"/>
    </row>
    <row r="309" spans="1:9" x14ac:dyDescent="0.25">
      <c r="A309" s="89"/>
      <c r="B309" s="90"/>
      <c r="C309" s="91"/>
      <c r="D309" s="92"/>
      <c r="E309" s="135"/>
      <c r="F309" s="3"/>
      <c r="G309" s="3"/>
      <c r="I309" s="152"/>
    </row>
    <row r="310" spans="1:9" x14ac:dyDescent="0.25">
      <c r="A310" s="93"/>
      <c r="B310" s="94"/>
      <c r="C310" s="95" t="s">
        <v>31</v>
      </c>
      <c r="D310" s="95"/>
      <c r="E310" s="136" t="s">
        <v>7</v>
      </c>
      <c r="F310" s="4">
        <f>SUM(F280:F304)</f>
        <v>172108.98</v>
      </c>
      <c r="G310" s="4"/>
      <c r="I310" s="152"/>
    </row>
    <row r="311" spans="1:9" x14ac:dyDescent="0.25">
      <c r="A311" s="93"/>
      <c r="B311" s="94"/>
      <c r="C311" s="97"/>
      <c r="D311" s="98"/>
      <c r="E311" s="137"/>
      <c r="F311" s="6"/>
      <c r="G311" s="6"/>
      <c r="I311" s="152"/>
    </row>
    <row r="312" spans="1:9" x14ac:dyDescent="0.25">
      <c r="A312" s="79"/>
      <c r="B312" s="60"/>
      <c r="C312" s="81"/>
      <c r="D312" s="78"/>
      <c r="E312" s="134"/>
      <c r="F312" s="74"/>
      <c r="G312" s="74"/>
      <c r="I312" s="152"/>
    </row>
    <row r="313" spans="1:9" x14ac:dyDescent="0.25">
      <c r="A313" s="79"/>
      <c r="B313" s="99" t="s">
        <v>208</v>
      </c>
      <c r="C313" s="81"/>
      <c r="D313" s="78"/>
      <c r="E313" s="134"/>
      <c r="F313" s="74"/>
      <c r="G313" s="74"/>
      <c r="I313" s="152"/>
    </row>
    <row r="314" spans="1:9" x14ac:dyDescent="0.25">
      <c r="A314" s="79"/>
      <c r="B314" s="60"/>
      <c r="C314" s="81"/>
      <c r="D314" s="78"/>
      <c r="E314" s="134"/>
      <c r="F314" s="74"/>
      <c r="G314" s="74"/>
      <c r="I314" s="152"/>
    </row>
    <row r="315" spans="1:9" ht="69" x14ac:dyDescent="0.25">
      <c r="A315" s="63"/>
      <c r="B315" s="82" t="s">
        <v>530</v>
      </c>
      <c r="C315" s="100"/>
      <c r="D315" s="101" t="s">
        <v>1</v>
      </c>
      <c r="E315" s="134"/>
      <c r="F315" s="74"/>
      <c r="G315" s="74"/>
      <c r="I315" s="152"/>
    </row>
    <row r="316" spans="1:9" x14ac:dyDescent="0.25">
      <c r="A316" s="79"/>
      <c r="B316" s="60"/>
      <c r="C316" s="81"/>
      <c r="D316" s="78"/>
      <c r="E316" s="134"/>
      <c r="F316" s="74"/>
      <c r="G316" s="74"/>
      <c r="I316" s="152"/>
    </row>
    <row r="317" spans="1:9" x14ac:dyDescent="0.25">
      <c r="A317" s="112" t="s">
        <v>12</v>
      </c>
      <c r="B317" s="113" t="s">
        <v>561</v>
      </c>
      <c r="C317" s="114">
        <v>1</v>
      </c>
      <c r="D317" s="115" t="s">
        <v>556</v>
      </c>
      <c r="E317" s="134">
        <v>53513.440000000002</v>
      </c>
      <c r="F317" s="138">
        <f>E317*C317</f>
        <v>53513.440000000002</v>
      </c>
      <c r="G317" s="138"/>
      <c r="I317" s="152"/>
    </row>
    <row r="318" spans="1:9" x14ac:dyDescent="0.25">
      <c r="A318" s="116"/>
      <c r="B318" s="117"/>
      <c r="C318" s="118"/>
      <c r="D318" s="119"/>
      <c r="E318" s="134"/>
      <c r="F318" s="74"/>
      <c r="G318" s="74"/>
      <c r="I318" s="152"/>
    </row>
    <row r="319" spans="1:9" ht="14.4" x14ac:dyDescent="0.25">
      <c r="A319" s="112"/>
      <c r="B319" s="155" t="s">
        <v>580</v>
      </c>
      <c r="C319" s="114"/>
      <c r="D319" s="115"/>
      <c r="E319" s="134"/>
      <c r="F319" s="74"/>
      <c r="G319" s="74"/>
      <c r="I319" s="152"/>
    </row>
    <row r="320" spans="1:9" x14ac:dyDescent="0.25">
      <c r="A320" s="112"/>
      <c r="B320" s="120"/>
      <c r="C320" s="114"/>
      <c r="D320" s="115"/>
      <c r="E320" s="134"/>
      <c r="F320" s="74"/>
      <c r="G320" s="74"/>
      <c r="I320" s="152"/>
    </row>
    <row r="321" spans="1:9" ht="27.6" x14ac:dyDescent="0.25">
      <c r="A321" s="112" t="s">
        <v>16</v>
      </c>
      <c r="B321" s="120" t="s">
        <v>586</v>
      </c>
      <c r="C321" s="114">
        <v>1</v>
      </c>
      <c r="D321" s="115" t="s">
        <v>1</v>
      </c>
      <c r="E321" s="134">
        <v>1077510.83</v>
      </c>
      <c r="F321" s="138">
        <f>E321*C321</f>
        <v>1077510.83</v>
      </c>
      <c r="G321" s="138"/>
      <c r="I321" s="152"/>
    </row>
    <row r="322" spans="1:9" x14ac:dyDescent="0.25">
      <c r="A322" s="112"/>
      <c r="B322" s="120"/>
      <c r="C322" s="114"/>
      <c r="D322" s="115"/>
      <c r="E322" s="134"/>
      <c r="F322" s="74"/>
      <c r="G322" s="74"/>
      <c r="I322" s="152"/>
    </row>
    <row r="323" spans="1:9" x14ac:dyDescent="0.25">
      <c r="A323" s="112"/>
      <c r="B323" s="120"/>
      <c r="C323" s="114"/>
      <c r="D323" s="115"/>
      <c r="E323" s="134"/>
      <c r="F323" s="74"/>
      <c r="G323" s="74"/>
      <c r="I323" s="152"/>
    </row>
    <row r="324" spans="1:9" x14ac:dyDescent="0.25">
      <c r="A324" s="112"/>
      <c r="B324" s="120"/>
      <c r="C324" s="114"/>
      <c r="D324" s="115"/>
      <c r="E324" s="134"/>
      <c r="F324" s="74"/>
      <c r="G324" s="74"/>
      <c r="I324" s="152"/>
    </row>
    <row r="325" spans="1:9" x14ac:dyDescent="0.25">
      <c r="A325" s="112"/>
      <c r="B325" s="120"/>
      <c r="C325" s="114"/>
      <c r="D325" s="115"/>
      <c r="E325" s="134"/>
      <c r="F325" s="74"/>
      <c r="G325" s="74"/>
      <c r="I325" s="152"/>
    </row>
    <row r="326" spans="1:9" x14ac:dyDescent="0.25">
      <c r="A326" s="112"/>
      <c r="B326" s="120"/>
      <c r="C326" s="114"/>
      <c r="D326" s="115"/>
      <c r="E326" s="134"/>
      <c r="F326" s="74"/>
      <c r="G326" s="74"/>
      <c r="I326" s="152"/>
    </row>
    <row r="327" spans="1:9" x14ac:dyDescent="0.25">
      <c r="A327" s="112"/>
      <c r="B327" s="120"/>
      <c r="C327" s="114"/>
      <c r="D327" s="115"/>
      <c r="E327" s="134"/>
      <c r="F327" s="74"/>
      <c r="G327" s="74"/>
      <c r="I327" s="152"/>
    </row>
    <row r="328" spans="1:9" x14ac:dyDescent="0.25">
      <c r="A328" s="112"/>
      <c r="B328" s="120"/>
      <c r="C328" s="114"/>
      <c r="D328" s="115"/>
      <c r="E328" s="134"/>
      <c r="F328" s="74"/>
      <c r="G328" s="74"/>
      <c r="I328" s="152"/>
    </row>
    <row r="329" spans="1:9" x14ac:dyDescent="0.25">
      <c r="A329" s="112"/>
      <c r="B329" s="120"/>
      <c r="C329" s="114"/>
      <c r="D329" s="115"/>
      <c r="E329" s="134"/>
      <c r="F329" s="74"/>
      <c r="G329" s="74"/>
      <c r="I329" s="152"/>
    </row>
    <row r="330" spans="1:9" x14ac:dyDescent="0.25">
      <c r="A330" s="112"/>
      <c r="B330" s="120"/>
      <c r="C330" s="114"/>
      <c r="D330" s="115"/>
      <c r="E330" s="134"/>
      <c r="F330" s="74"/>
      <c r="G330" s="74"/>
      <c r="I330" s="152"/>
    </row>
    <row r="331" spans="1:9" x14ac:dyDescent="0.25">
      <c r="A331" s="112"/>
      <c r="B331" s="120"/>
      <c r="C331" s="114"/>
      <c r="D331" s="115"/>
      <c r="E331" s="134"/>
      <c r="F331" s="74"/>
      <c r="G331" s="74"/>
      <c r="I331" s="152"/>
    </row>
    <row r="332" spans="1:9" x14ac:dyDescent="0.25">
      <c r="A332" s="112"/>
      <c r="B332" s="120"/>
      <c r="C332" s="114"/>
      <c r="D332" s="115"/>
      <c r="E332" s="134"/>
      <c r="F332" s="74"/>
      <c r="G332" s="74"/>
      <c r="I332" s="152"/>
    </row>
    <row r="333" spans="1:9" x14ac:dyDescent="0.25">
      <c r="A333" s="112"/>
      <c r="B333" s="120"/>
      <c r="C333" s="114"/>
      <c r="D333" s="115"/>
      <c r="E333" s="134"/>
      <c r="F333" s="74"/>
      <c r="G333" s="74"/>
      <c r="I333" s="152"/>
    </row>
    <row r="334" spans="1:9" x14ac:dyDescent="0.25">
      <c r="A334" s="112"/>
      <c r="B334" s="120"/>
      <c r="C334" s="114"/>
      <c r="D334" s="115"/>
      <c r="E334" s="134"/>
      <c r="F334" s="74"/>
      <c r="G334" s="74"/>
      <c r="I334" s="152"/>
    </row>
    <row r="335" spans="1:9" x14ac:dyDescent="0.25">
      <c r="A335" s="112"/>
      <c r="B335" s="120"/>
      <c r="C335" s="114"/>
      <c r="D335" s="115"/>
      <c r="E335" s="134"/>
      <c r="F335" s="74"/>
      <c r="G335" s="74"/>
      <c r="I335" s="152"/>
    </row>
    <row r="336" spans="1:9" x14ac:dyDescent="0.25">
      <c r="A336" s="112"/>
      <c r="B336" s="120"/>
      <c r="C336" s="114"/>
      <c r="D336" s="115"/>
      <c r="E336" s="134"/>
      <c r="F336" s="74"/>
      <c r="G336" s="74"/>
      <c r="I336" s="152"/>
    </row>
    <row r="337" spans="1:9" x14ac:dyDescent="0.25">
      <c r="A337" s="112"/>
      <c r="B337" s="120"/>
      <c r="C337" s="114"/>
      <c r="D337" s="115"/>
      <c r="E337" s="134"/>
      <c r="F337" s="74"/>
      <c r="G337" s="74"/>
      <c r="I337" s="152"/>
    </row>
    <row r="338" spans="1:9" x14ac:dyDescent="0.25">
      <c r="A338" s="112"/>
      <c r="B338" s="120"/>
      <c r="C338" s="114"/>
      <c r="D338" s="115"/>
      <c r="E338" s="134"/>
      <c r="F338" s="74"/>
      <c r="G338" s="74"/>
      <c r="I338" s="152"/>
    </row>
    <row r="339" spans="1:9" x14ac:dyDescent="0.25">
      <c r="A339" s="112"/>
      <c r="B339" s="120"/>
      <c r="C339" s="114"/>
      <c r="D339" s="115"/>
      <c r="E339" s="134"/>
      <c r="F339" s="74"/>
      <c r="G339" s="74"/>
      <c r="I339" s="152"/>
    </row>
    <row r="340" spans="1:9" x14ac:dyDescent="0.25">
      <c r="A340" s="112"/>
      <c r="B340" s="120"/>
      <c r="C340" s="114"/>
      <c r="D340" s="115"/>
      <c r="E340" s="134"/>
      <c r="F340" s="74"/>
      <c r="G340" s="74"/>
      <c r="I340" s="152"/>
    </row>
    <row r="341" spans="1:9" x14ac:dyDescent="0.25">
      <c r="A341" s="112"/>
      <c r="B341" s="120"/>
      <c r="C341" s="114"/>
      <c r="D341" s="115"/>
      <c r="E341" s="134"/>
      <c r="F341" s="74"/>
      <c r="G341" s="74"/>
      <c r="I341" s="152"/>
    </row>
    <row r="342" spans="1:9" x14ac:dyDescent="0.25">
      <c r="A342" s="112"/>
      <c r="B342" s="120"/>
      <c r="C342" s="114"/>
      <c r="D342" s="115"/>
      <c r="E342" s="134"/>
      <c r="F342" s="74"/>
      <c r="G342" s="74"/>
      <c r="I342" s="152"/>
    </row>
    <row r="343" spans="1:9" x14ac:dyDescent="0.25">
      <c r="A343" s="112"/>
      <c r="B343" s="120"/>
      <c r="C343" s="114"/>
      <c r="D343" s="115"/>
      <c r="E343" s="134"/>
      <c r="F343" s="74"/>
      <c r="G343" s="74"/>
      <c r="I343" s="152"/>
    </row>
    <row r="344" spans="1:9" x14ac:dyDescent="0.25">
      <c r="A344" s="112"/>
      <c r="B344" s="120"/>
      <c r="C344" s="114"/>
      <c r="D344" s="115"/>
      <c r="E344" s="134"/>
      <c r="F344" s="74"/>
      <c r="G344" s="74"/>
      <c r="I344" s="152"/>
    </row>
    <row r="345" spans="1:9" x14ac:dyDescent="0.25">
      <c r="A345" s="112"/>
      <c r="B345" s="120"/>
      <c r="C345" s="114"/>
      <c r="D345" s="115"/>
      <c r="E345" s="134"/>
      <c r="F345" s="74"/>
      <c r="G345" s="74"/>
      <c r="I345" s="152"/>
    </row>
    <row r="346" spans="1:9" x14ac:dyDescent="0.25">
      <c r="A346" s="112"/>
      <c r="B346" s="120"/>
      <c r="C346" s="114"/>
      <c r="D346" s="115"/>
      <c r="E346" s="134"/>
      <c r="F346" s="74"/>
      <c r="G346" s="74"/>
      <c r="I346" s="152"/>
    </row>
    <row r="347" spans="1:9" x14ac:dyDescent="0.25">
      <c r="A347" s="112"/>
      <c r="B347" s="120"/>
      <c r="C347" s="114"/>
      <c r="D347" s="115"/>
      <c r="E347" s="134"/>
      <c r="F347" s="74"/>
      <c r="G347" s="74"/>
      <c r="I347" s="152"/>
    </row>
    <row r="348" spans="1:9" x14ac:dyDescent="0.25">
      <c r="A348" s="112"/>
      <c r="B348" s="120"/>
      <c r="C348" s="114"/>
      <c r="D348" s="115"/>
      <c r="E348" s="134"/>
      <c r="F348" s="74"/>
      <c r="G348" s="74"/>
      <c r="I348" s="152"/>
    </row>
    <row r="349" spans="1:9" x14ac:dyDescent="0.25">
      <c r="A349" s="112"/>
      <c r="B349" s="120"/>
      <c r="C349" s="114"/>
      <c r="D349" s="115"/>
      <c r="E349" s="134"/>
      <c r="F349" s="74"/>
      <c r="G349" s="74"/>
      <c r="I349" s="152"/>
    </row>
    <row r="350" spans="1:9" x14ac:dyDescent="0.25">
      <c r="A350" s="112"/>
      <c r="B350" s="120"/>
      <c r="C350" s="114"/>
      <c r="D350" s="115"/>
      <c r="E350" s="134"/>
      <c r="F350" s="74"/>
      <c r="G350" s="74"/>
      <c r="I350" s="152"/>
    </row>
    <row r="351" spans="1:9" x14ac:dyDescent="0.25">
      <c r="A351" s="112"/>
      <c r="B351" s="120"/>
      <c r="C351" s="114"/>
      <c r="D351" s="115"/>
      <c r="E351" s="134"/>
      <c r="F351" s="74"/>
      <c r="G351" s="74"/>
      <c r="I351" s="152"/>
    </row>
    <row r="352" spans="1:9" x14ac:dyDescent="0.25">
      <c r="A352" s="112"/>
      <c r="B352" s="120"/>
      <c r="C352" s="114"/>
      <c r="D352" s="115"/>
      <c r="E352" s="134"/>
      <c r="F352" s="74"/>
      <c r="G352" s="74"/>
      <c r="I352" s="152"/>
    </row>
    <row r="353" spans="1:9" x14ac:dyDescent="0.25">
      <c r="A353" s="112"/>
      <c r="B353" s="120"/>
      <c r="C353" s="114"/>
      <c r="D353" s="115"/>
      <c r="E353" s="134"/>
      <c r="F353" s="74"/>
      <c r="G353" s="74"/>
      <c r="I353" s="152"/>
    </row>
    <row r="354" spans="1:9" x14ac:dyDescent="0.25">
      <c r="A354" s="112"/>
      <c r="B354" s="120"/>
      <c r="C354" s="114"/>
      <c r="D354" s="115"/>
      <c r="E354" s="134"/>
      <c r="F354" s="74"/>
      <c r="G354" s="74"/>
      <c r="I354" s="152"/>
    </row>
    <row r="355" spans="1:9" x14ac:dyDescent="0.25">
      <c r="A355" s="112"/>
      <c r="B355" s="120"/>
      <c r="C355" s="114"/>
      <c r="D355" s="115"/>
      <c r="E355" s="134"/>
      <c r="F355" s="74"/>
      <c r="G355" s="74"/>
      <c r="I355" s="152"/>
    </row>
    <row r="356" spans="1:9" x14ac:dyDescent="0.25">
      <c r="A356" s="89"/>
      <c r="B356" s="90"/>
      <c r="C356" s="91"/>
      <c r="D356" s="92"/>
      <c r="E356" s="135"/>
      <c r="F356" s="3"/>
      <c r="G356" s="3"/>
      <c r="I356" s="152"/>
    </row>
    <row r="357" spans="1:9" x14ac:dyDescent="0.25">
      <c r="A357" s="93"/>
      <c r="B357" s="94"/>
      <c r="C357" s="95" t="s">
        <v>31</v>
      </c>
      <c r="D357" s="95"/>
      <c r="E357" s="136" t="s">
        <v>7</v>
      </c>
      <c r="F357" s="4">
        <f>SUM(F312:F355)</f>
        <v>1131024.27</v>
      </c>
      <c r="G357" s="4"/>
      <c r="I357" s="152"/>
    </row>
    <row r="358" spans="1:9" x14ac:dyDescent="0.25">
      <c r="A358" s="93"/>
      <c r="B358" s="94"/>
      <c r="C358" s="97"/>
      <c r="D358" s="98"/>
      <c r="E358" s="137"/>
      <c r="F358" s="6"/>
      <c r="G358" s="6"/>
      <c r="I358" s="152"/>
    </row>
    <row r="359" spans="1:9" x14ac:dyDescent="0.25">
      <c r="A359" s="85"/>
      <c r="B359" s="82"/>
      <c r="C359" s="64"/>
      <c r="D359" s="65"/>
      <c r="E359" s="134"/>
      <c r="F359" s="74"/>
      <c r="G359" s="74"/>
      <c r="I359" s="152"/>
    </row>
    <row r="360" spans="1:9" x14ac:dyDescent="0.25">
      <c r="A360" s="85"/>
      <c r="B360" s="88" t="s">
        <v>210</v>
      </c>
      <c r="C360" s="64"/>
      <c r="D360" s="65"/>
      <c r="E360" s="134"/>
      <c r="F360" s="74"/>
      <c r="G360" s="74"/>
      <c r="I360" s="152"/>
    </row>
    <row r="361" spans="1:9" x14ac:dyDescent="0.25">
      <c r="A361" s="85"/>
      <c r="B361" s="86"/>
      <c r="C361" s="64"/>
      <c r="D361" s="65"/>
      <c r="E361" s="134"/>
      <c r="F361" s="74"/>
      <c r="G361" s="74"/>
      <c r="I361" s="152"/>
    </row>
    <row r="362" spans="1:9" x14ac:dyDescent="0.25">
      <c r="A362" s="85"/>
      <c r="B362" s="87" t="s">
        <v>531</v>
      </c>
      <c r="C362" s="64"/>
      <c r="D362" s="65"/>
      <c r="E362" s="134"/>
      <c r="F362" s="138">
        <f>F40</f>
        <v>61589.600000000006</v>
      </c>
      <c r="G362" s="138"/>
      <c r="I362" s="152"/>
    </row>
    <row r="363" spans="1:9" x14ac:dyDescent="0.25">
      <c r="A363" s="85"/>
      <c r="B363" s="86"/>
      <c r="C363" s="64"/>
      <c r="D363" s="65"/>
      <c r="E363" s="134"/>
      <c r="F363" s="74"/>
      <c r="G363" s="74"/>
      <c r="I363" s="152"/>
    </row>
    <row r="364" spans="1:9" x14ac:dyDescent="0.25">
      <c r="A364" s="85"/>
      <c r="B364" s="87" t="s">
        <v>532</v>
      </c>
      <c r="C364" s="64"/>
      <c r="D364" s="65"/>
      <c r="E364" s="134"/>
      <c r="F364" s="138">
        <f>F82</f>
        <v>294160.31000000006</v>
      </c>
      <c r="G364" s="138"/>
      <c r="I364" s="152"/>
    </row>
    <row r="365" spans="1:9" x14ac:dyDescent="0.25">
      <c r="A365" s="85"/>
      <c r="B365" s="61"/>
      <c r="C365" s="64"/>
      <c r="D365" s="65"/>
      <c r="E365" s="134"/>
      <c r="F365" s="74"/>
      <c r="G365" s="74"/>
      <c r="I365" s="152"/>
    </row>
    <row r="366" spans="1:9" x14ac:dyDescent="0.25">
      <c r="A366" s="85"/>
      <c r="B366" s="87" t="s">
        <v>533</v>
      </c>
      <c r="C366" s="64"/>
      <c r="D366" s="65"/>
      <c r="E366" s="134"/>
      <c r="F366" s="138">
        <f>F129</f>
        <v>86620.239999999991</v>
      </c>
      <c r="G366" s="138"/>
      <c r="I366" s="152"/>
    </row>
    <row r="367" spans="1:9" x14ac:dyDescent="0.25">
      <c r="A367" s="85"/>
      <c r="B367" s="86"/>
      <c r="C367" s="64"/>
      <c r="D367" s="65"/>
      <c r="E367" s="134"/>
      <c r="F367" s="74"/>
      <c r="G367" s="74"/>
      <c r="I367" s="152"/>
    </row>
    <row r="368" spans="1:9" x14ac:dyDescent="0.25">
      <c r="A368" s="85"/>
      <c r="B368" s="87" t="s">
        <v>534</v>
      </c>
      <c r="C368" s="64"/>
      <c r="D368" s="65"/>
      <c r="E368" s="134"/>
      <c r="F368" s="138">
        <f>F164</f>
        <v>4307150.4600000009</v>
      </c>
      <c r="G368" s="138"/>
      <c r="I368" s="152"/>
    </row>
    <row r="369" spans="1:9" x14ac:dyDescent="0.25">
      <c r="A369" s="85"/>
      <c r="B369" s="61"/>
      <c r="C369" s="64"/>
      <c r="D369" s="65"/>
      <c r="E369" s="134"/>
      <c r="F369" s="74"/>
      <c r="G369" s="74"/>
      <c r="I369" s="152"/>
    </row>
    <row r="370" spans="1:9" x14ac:dyDescent="0.25">
      <c r="A370" s="85"/>
      <c r="B370" s="87" t="s">
        <v>535</v>
      </c>
      <c r="C370" s="64"/>
      <c r="D370" s="65"/>
      <c r="E370" s="134"/>
      <c r="F370" s="138">
        <f>F206</f>
        <v>1038796.2299999999</v>
      </c>
      <c r="G370" s="138"/>
      <c r="I370" s="152"/>
    </row>
    <row r="371" spans="1:9" x14ac:dyDescent="0.25">
      <c r="A371" s="85"/>
      <c r="B371" s="86"/>
      <c r="C371" s="64"/>
      <c r="D371" s="65"/>
      <c r="E371" s="134"/>
      <c r="F371" s="74"/>
      <c r="G371" s="74"/>
      <c r="I371" s="152"/>
    </row>
    <row r="372" spans="1:9" x14ac:dyDescent="0.25">
      <c r="A372" s="85"/>
      <c r="B372" s="87" t="s">
        <v>536</v>
      </c>
      <c r="C372" s="64"/>
      <c r="D372" s="65"/>
      <c r="E372" s="134"/>
      <c r="F372" s="138">
        <f>F241</f>
        <v>460875.48</v>
      </c>
      <c r="G372" s="138"/>
      <c r="I372" s="152"/>
    </row>
    <row r="373" spans="1:9" x14ac:dyDescent="0.25">
      <c r="A373" s="85"/>
      <c r="B373" s="61"/>
      <c r="C373" s="64"/>
      <c r="D373" s="65"/>
      <c r="E373" s="134"/>
      <c r="F373" s="74"/>
      <c r="G373" s="74"/>
      <c r="I373" s="152"/>
    </row>
    <row r="374" spans="1:9" x14ac:dyDescent="0.25">
      <c r="A374" s="85"/>
      <c r="B374" s="87" t="s">
        <v>537</v>
      </c>
      <c r="C374" s="64"/>
      <c r="D374" s="65"/>
      <c r="E374" s="134"/>
      <c r="F374" s="138">
        <f>F277</f>
        <v>446479.7</v>
      </c>
      <c r="G374" s="138"/>
      <c r="I374" s="152"/>
    </row>
    <row r="375" spans="1:9" x14ac:dyDescent="0.25">
      <c r="A375" s="85"/>
      <c r="B375" s="86"/>
      <c r="C375" s="64"/>
      <c r="D375" s="65"/>
      <c r="E375" s="134"/>
      <c r="F375" s="74"/>
      <c r="G375" s="74"/>
      <c r="I375" s="152"/>
    </row>
    <row r="376" spans="1:9" x14ac:dyDescent="0.25">
      <c r="A376" s="85"/>
      <c r="B376" s="87" t="s">
        <v>538</v>
      </c>
      <c r="C376" s="64"/>
      <c r="D376" s="65"/>
      <c r="E376" s="134"/>
      <c r="F376" s="138">
        <f>F310</f>
        <v>172108.98</v>
      </c>
      <c r="G376" s="138"/>
      <c r="I376" s="152"/>
    </row>
    <row r="377" spans="1:9" x14ac:dyDescent="0.25">
      <c r="A377" s="85"/>
      <c r="B377" s="61"/>
      <c r="C377" s="64"/>
      <c r="D377" s="65"/>
      <c r="E377" s="134"/>
      <c r="F377" s="74"/>
      <c r="G377" s="74"/>
      <c r="I377" s="152"/>
    </row>
    <row r="378" spans="1:9" x14ac:dyDescent="0.25">
      <c r="A378" s="85"/>
      <c r="B378" s="87" t="s">
        <v>539</v>
      </c>
      <c r="C378" s="64"/>
      <c r="D378" s="65"/>
      <c r="E378" s="134"/>
      <c r="F378" s="138">
        <f>F357</f>
        <v>1131024.27</v>
      </c>
      <c r="G378" s="138"/>
      <c r="I378" s="152"/>
    </row>
    <row r="379" spans="1:9" x14ac:dyDescent="0.25">
      <c r="A379" s="85"/>
      <c r="B379" s="86"/>
      <c r="C379" s="64"/>
      <c r="D379" s="65"/>
      <c r="E379" s="134"/>
      <c r="F379" s="74"/>
      <c r="G379" s="74"/>
      <c r="I379" s="152"/>
    </row>
    <row r="380" spans="1:9" x14ac:dyDescent="0.25">
      <c r="A380" s="85"/>
      <c r="B380" s="87"/>
      <c r="C380" s="64"/>
      <c r="D380" s="65"/>
      <c r="E380" s="134"/>
      <c r="F380" s="74"/>
      <c r="G380" s="74"/>
      <c r="I380" s="152"/>
    </row>
    <row r="381" spans="1:9" x14ac:dyDescent="0.25">
      <c r="A381" s="85"/>
      <c r="B381" s="61"/>
      <c r="C381" s="64"/>
      <c r="D381" s="65"/>
      <c r="E381" s="134"/>
      <c r="F381" s="74"/>
      <c r="G381" s="74"/>
      <c r="I381" s="152"/>
    </row>
    <row r="382" spans="1:9" x14ac:dyDescent="0.25">
      <c r="A382" s="85"/>
      <c r="B382" s="87"/>
      <c r="C382" s="64"/>
      <c r="D382" s="65"/>
      <c r="E382" s="134"/>
      <c r="F382" s="74"/>
      <c r="G382" s="74"/>
      <c r="I382" s="152"/>
    </row>
    <row r="383" spans="1:9" x14ac:dyDescent="0.25">
      <c r="A383" s="85"/>
      <c r="B383" s="82"/>
      <c r="C383" s="64"/>
      <c r="D383" s="65"/>
      <c r="E383" s="134"/>
      <c r="F383" s="74"/>
      <c r="G383" s="74"/>
      <c r="I383" s="152"/>
    </row>
    <row r="384" spans="1:9" x14ac:dyDescent="0.25">
      <c r="A384" s="85"/>
      <c r="B384" s="82"/>
      <c r="C384" s="64"/>
      <c r="D384" s="65"/>
      <c r="E384" s="134"/>
      <c r="F384" s="74"/>
      <c r="G384" s="74"/>
      <c r="I384" s="152"/>
    </row>
    <row r="385" spans="1:9" x14ac:dyDescent="0.25">
      <c r="A385" s="85"/>
      <c r="B385" s="82"/>
      <c r="C385" s="64"/>
      <c r="D385" s="65"/>
      <c r="E385" s="134"/>
      <c r="F385" s="74"/>
      <c r="G385" s="74"/>
      <c r="I385" s="152"/>
    </row>
    <row r="386" spans="1:9" x14ac:dyDescent="0.25">
      <c r="A386" s="85"/>
      <c r="B386" s="82"/>
      <c r="C386" s="64"/>
      <c r="D386" s="65"/>
      <c r="E386" s="134"/>
      <c r="F386" s="74"/>
      <c r="G386" s="74"/>
      <c r="I386" s="152"/>
    </row>
    <row r="387" spans="1:9" x14ac:dyDescent="0.25">
      <c r="A387" s="85"/>
      <c r="B387" s="82"/>
      <c r="C387" s="64"/>
      <c r="D387" s="65"/>
      <c r="E387" s="134"/>
      <c r="F387" s="74"/>
      <c r="G387" s="74"/>
      <c r="I387" s="152"/>
    </row>
    <row r="388" spans="1:9" x14ac:dyDescent="0.25">
      <c r="A388" s="85"/>
      <c r="B388" s="82"/>
      <c r="C388" s="64"/>
      <c r="D388" s="65"/>
      <c r="E388" s="134"/>
      <c r="F388" s="74"/>
      <c r="G388" s="74"/>
      <c r="I388" s="152"/>
    </row>
    <row r="389" spans="1:9" x14ac:dyDescent="0.25">
      <c r="A389" s="85"/>
      <c r="B389" s="82"/>
      <c r="C389" s="64"/>
      <c r="D389" s="65"/>
      <c r="E389" s="134"/>
      <c r="F389" s="74"/>
      <c r="G389" s="74"/>
      <c r="I389" s="152"/>
    </row>
    <row r="390" spans="1:9" x14ac:dyDescent="0.25">
      <c r="A390" s="85"/>
      <c r="B390" s="82"/>
      <c r="C390" s="64"/>
      <c r="D390" s="65"/>
      <c r="E390" s="134"/>
      <c r="F390" s="74"/>
      <c r="G390" s="74"/>
      <c r="I390" s="152"/>
    </row>
    <row r="391" spans="1:9" x14ac:dyDescent="0.25">
      <c r="A391" s="85"/>
      <c r="B391" s="82"/>
      <c r="C391" s="64"/>
      <c r="D391" s="65"/>
      <c r="E391" s="134"/>
      <c r="F391" s="74"/>
      <c r="G391" s="74"/>
      <c r="I391" s="152"/>
    </row>
    <row r="392" spans="1:9" x14ac:dyDescent="0.25">
      <c r="A392" s="85"/>
      <c r="B392" s="82"/>
      <c r="C392" s="64"/>
      <c r="D392" s="65"/>
      <c r="E392" s="134"/>
      <c r="F392" s="74"/>
      <c r="G392" s="74"/>
      <c r="I392" s="152"/>
    </row>
    <row r="393" spans="1:9" x14ac:dyDescent="0.25">
      <c r="A393" s="85"/>
      <c r="B393" s="82"/>
      <c r="C393" s="64"/>
      <c r="D393" s="65"/>
      <c r="E393" s="134"/>
      <c r="F393" s="74"/>
      <c r="G393" s="74"/>
      <c r="I393" s="152"/>
    </row>
    <row r="394" spans="1:9" x14ac:dyDescent="0.25">
      <c r="A394" s="85"/>
      <c r="B394" s="82"/>
      <c r="C394" s="64"/>
      <c r="D394" s="65"/>
      <c r="E394" s="134"/>
      <c r="F394" s="74"/>
      <c r="G394" s="74"/>
      <c r="I394" s="152"/>
    </row>
    <row r="395" spans="1:9" x14ac:dyDescent="0.25">
      <c r="A395" s="85"/>
      <c r="B395" s="82"/>
      <c r="C395" s="64"/>
      <c r="D395" s="65"/>
      <c r="E395" s="134"/>
      <c r="F395" s="74"/>
      <c r="G395" s="74"/>
      <c r="I395" s="152"/>
    </row>
    <row r="396" spans="1:9" x14ac:dyDescent="0.25">
      <c r="A396" s="85"/>
      <c r="B396" s="82"/>
      <c r="C396" s="64"/>
      <c r="D396" s="65"/>
      <c r="E396" s="134"/>
      <c r="F396" s="74"/>
      <c r="G396" s="74"/>
      <c r="I396" s="152"/>
    </row>
    <row r="397" spans="1:9" x14ac:dyDescent="0.25">
      <c r="A397" s="85"/>
      <c r="B397" s="82"/>
      <c r="C397" s="64"/>
      <c r="D397" s="65"/>
      <c r="E397" s="134"/>
      <c r="F397" s="74"/>
      <c r="G397" s="74"/>
      <c r="I397" s="152"/>
    </row>
    <row r="398" spans="1:9" x14ac:dyDescent="0.25">
      <c r="A398" s="85"/>
      <c r="B398" s="82"/>
      <c r="C398" s="64"/>
      <c r="D398" s="65"/>
      <c r="E398" s="134"/>
      <c r="F398" s="74"/>
      <c r="G398" s="74"/>
      <c r="I398" s="152"/>
    </row>
    <row r="399" spans="1:9" x14ac:dyDescent="0.25">
      <c r="A399" s="85"/>
      <c r="B399" s="82"/>
      <c r="C399" s="64"/>
      <c r="D399" s="65"/>
      <c r="E399" s="134"/>
      <c r="F399" s="74"/>
      <c r="G399" s="74"/>
      <c r="I399" s="152"/>
    </row>
    <row r="400" spans="1:9" x14ac:dyDescent="0.25">
      <c r="A400" s="85"/>
      <c r="B400" s="82"/>
      <c r="C400" s="64"/>
      <c r="D400" s="65"/>
      <c r="E400" s="134"/>
      <c r="F400" s="74"/>
      <c r="G400" s="74"/>
      <c r="I400" s="152"/>
    </row>
    <row r="401" spans="1:9" x14ac:dyDescent="0.25">
      <c r="A401" s="85"/>
      <c r="B401" s="82"/>
      <c r="C401" s="64"/>
      <c r="D401" s="65"/>
      <c r="E401" s="134"/>
      <c r="F401" s="74"/>
      <c r="G401" s="74"/>
      <c r="I401" s="152"/>
    </row>
    <row r="402" spans="1:9" x14ac:dyDescent="0.25">
      <c r="A402" s="85"/>
      <c r="B402" s="82"/>
      <c r="C402" s="64"/>
      <c r="D402" s="65"/>
      <c r="E402" s="134"/>
      <c r="F402" s="74"/>
      <c r="G402" s="74"/>
      <c r="I402" s="152"/>
    </row>
    <row r="403" spans="1:9" x14ac:dyDescent="0.25">
      <c r="A403" s="85"/>
      <c r="B403" s="82"/>
      <c r="C403" s="64"/>
      <c r="D403" s="65"/>
      <c r="E403" s="134"/>
      <c r="F403" s="74"/>
      <c r="G403" s="74"/>
      <c r="I403" s="152"/>
    </row>
    <row r="404" spans="1:9" x14ac:dyDescent="0.25">
      <c r="A404" s="79"/>
      <c r="B404" s="60"/>
      <c r="C404" s="81"/>
      <c r="D404" s="78"/>
      <c r="E404" s="134"/>
      <c r="F404" s="74"/>
      <c r="G404" s="74"/>
      <c r="I404" s="152"/>
    </row>
    <row r="405" spans="1:9" x14ac:dyDescent="0.25">
      <c r="A405" s="85"/>
      <c r="B405" s="86"/>
      <c r="C405" s="64"/>
      <c r="D405" s="65"/>
      <c r="E405" s="134"/>
      <c r="F405" s="74"/>
      <c r="G405" s="74"/>
      <c r="I405" s="152"/>
    </row>
    <row r="406" spans="1:9" x14ac:dyDescent="0.25">
      <c r="A406" s="79"/>
      <c r="B406" s="60"/>
      <c r="C406" s="81"/>
      <c r="D406" s="78"/>
      <c r="E406" s="134"/>
      <c r="F406" s="74"/>
      <c r="G406" s="74"/>
      <c r="I406" s="152"/>
    </row>
    <row r="407" spans="1:9" x14ac:dyDescent="0.25">
      <c r="A407" s="89"/>
      <c r="B407" s="90"/>
      <c r="C407" s="91"/>
      <c r="D407" s="92"/>
      <c r="E407" s="135"/>
      <c r="F407" s="3"/>
      <c r="G407" s="3"/>
      <c r="I407" s="152"/>
    </row>
    <row r="408" spans="1:9" x14ac:dyDescent="0.25">
      <c r="A408" s="93"/>
      <c r="B408" s="94"/>
      <c r="C408" s="95" t="s">
        <v>226</v>
      </c>
      <c r="D408" s="95"/>
      <c r="E408" s="136" t="s">
        <v>7</v>
      </c>
      <c r="F408" s="4">
        <f>SUM(F360:F406)</f>
        <v>7998805.2700000014</v>
      </c>
      <c r="G408" s="4"/>
      <c r="I408" s="152"/>
    </row>
    <row r="409" spans="1:9" x14ac:dyDescent="0.25">
      <c r="A409" s="93"/>
      <c r="B409" s="94"/>
      <c r="C409" s="97"/>
      <c r="D409" s="98"/>
      <c r="E409" s="137"/>
      <c r="F409" s="6"/>
      <c r="G409" s="6"/>
    </row>
  </sheetData>
  <mergeCells count="5">
    <mergeCell ref="A1:A2"/>
    <mergeCell ref="B1:B2"/>
    <mergeCell ref="C1:C2"/>
    <mergeCell ref="D1:D2"/>
    <mergeCell ref="G1:G2"/>
  </mergeCells>
  <phoneticPr fontId="20" type="noConversion"/>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&amp;R&amp;11&amp;U
BILL NO. 5 - EXTERNAL WORKS
ELECTRICAL ENGINEERING INSTALLATIONS</oddHeader>
    <oddFooter>&amp;L&amp;8DMS 148704 BOQ - Nakheel Mall Al Khail&amp;C5/R/&amp;P</oddFooter>
  </headerFooter>
  <rowBreaks count="9" manualBreakCount="9">
    <brk id="41" max="6" man="1"/>
    <brk id="83" max="6" man="1"/>
    <brk id="130" max="6" man="1"/>
    <brk id="165" max="6" man="1"/>
    <brk id="207" max="6" man="1"/>
    <brk id="242" max="6" man="1"/>
    <brk id="278" max="6" man="1"/>
    <brk id="311" max="6" man="1"/>
    <brk id="358"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76B1-7FDB-477A-8EF5-F3279B6CE7B0}">
  <dimension ref="A1:L102"/>
  <sheetViews>
    <sheetView tabSelected="1" view="pageBreakPreview" zoomScale="90" zoomScaleNormal="90" zoomScaleSheetLayoutView="90" zoomScalePageLayoutView="85" workbookViewId="0">
      <selection activeCell="D51" sqref="D51"/>
    </sheetView>
  </sheetViews>
  <sheetFormatPr defaultColWidth="8.6640625" defaultRowHeight="13.8" x14ac:dyDescent="0.25"/>
  <cols>
    <col min="1" max="1" width="5.6640625" style="28" customWidth="1"/>
    <col min="2" max="2" width="55.6640625" style="28" customWidth="1"/>
    <col min="3" max="3" width="18.6640625" style="49" customWidth="1"/>
    <col min="4" max="4" width="15.6640625" style="50" customWidth="1"/>
    <col min="5" max="5" width="27.44140625" style="27" customWidth="1"/>
    <col min="6" max="16384" width="8.6640625" style="28"/>
  </cols>
  <sheetData>
    <row r="1" spans="1:5" s="19" customFormat="1" ht="18.75" customHeight="1" x14ac:dyDescent="0.25">
      <c r="A1" s="218" t="s">
        <v>1</v>
      </c>
      <c r="B1" s="218" t="s">
        <v>2</v>
      </c>
      <c r="C1" s="220" t="s">
        <v>540</v>
      </c>
      <c r="D1" s="222" t="s">
        <v>541</v>
      </c>
      <c r="E1" s="18"/>
    </row>
    <row r="2" spans="1:5" s="20" customFormat="1" ht="18.75" customHeight="1" x14ac:dyDescent="0.25">
      <c r="A2" s="219"/>
      <c r="B2" s="219"/>
      <c r="C2" s="221"/>
      <c r="D2" s="223"/>
      <c r="E2" s="18"/>
    </row>
    <row r="3" spans="1:5" s="23" customFormat="1" ht="14.25" customHeight="1" x14ac:dyDescent="0.25">
      <c r="A3" s="53"/>
      <c r="C3" s="54"/>
      <c r="D3" s="21"/>
      <c r="E3" s="22"/>
    </row>
    <row r="4" spans="1:5" s="23" customFormat="1" ht="14.25" customHeight="1" x14ac:dyDescent="0.25">
      <c r="A4" s="55"/>
      <c r="C4" s="56"/>
      <c r="D4" s="24"/>
      <c r="E4" s="22"/>
    </row>
    <row r="5" spans="1:5" s="23" customFormat="1" ht="14.25" customHeight="1" x14ac:dyDescent="0.25">
      <c r="A5" s="55"/>
      <c r="B5" s="57" t="s">
        <v>542</v>
      </c>
      <c r="C5" s="56"/>
      <c r="D5" s="25"/>
      <c r="E5" s="22"/>
    </row>
    <row r="6" spans="1:5" s="23" customFormat="1" ht="14.25" customHeight="1" x14ac:dyDescent="0.25">
      <c r="A6" s="55"/>
      <c r="B6" s="58"/>
      <c r="C6" s="56"/>
      <c r="D6" s="25"/>
      <c r="E6" s="22"/>
    </row>
    <row r="7" spans="1:5" s="23" customFormat="1" ht="14.25" customHeight="1" x14ac:dyDescent="0.25">
      <c r="A7" s="55"/>
      <c r="B7" s="58"/>
      <c r="C7" s="56"/>
      <c r="D7" s="25"/>
      <c r="E7" s="22"/>
    </row>
    <row r="8" spans="1:5" s="23" customFormat="1" ht="14.25" customHeight="1" x14ac:dyDescent="0.25">
      <c r="A8" s="55"/>
      <c r="B8" s="58" t="s">
        <v>8</v>
      </c>
      <c r="C8" s="30" t="s">
        <v>543</v>
      </c>
      <c r="D8" s="26">
        <f>'Bill 5 Sitework'!F618</f>
        <v>13202526.73</v>
      </c>
      <c r="E8" s="22"/>
    </row>
    <row r="9" spans="1:5" s="23" customFormat="1" ht="14.25" customHeight="1" x14ac:dyDescent="0.25">
      <c r="A9" s="55"/>
      <c r="B9" s="58"/>
      <c r="C9" s="56"/>
      <c r="D9" s="26"/>
      <c r="E9" s="22"/>
    </row>
    <row r="10" spans="1:5" s="23" customFormat="1" ht="14.25" customHeight="1" x14ac:dyDescent="0.25">
      <c r="A10" s="55"/>
      <c r="B10" s="58"/>
      <c r="C10" s="56"/>
      <c r="D10" s="26"/>
      <c r="E10" s="22"/>
    </row>
    <row r="11" spans="1:5" s="23" customFormat="1" ht="14.25" customHeight="1" x14ac:dyDescent="0.25">
      <c r="A11" s="55"/>
      <c r="B11" s="59" t="s">
        <v>227</v>
      </c>
      <c r="C11" s="30" t="s">
        <v>544</v>
      </c>
      <c r="D11" s="26">
        <f>'Bill 5 Concrete Work'!F144</f>
        <v>354039.54999999993</v>
      </c>
      <c r="E11" s="22"/>
    </row>
    <row r="12" spans="1:5" s="23" customFormat="1" ht="14.25" customHeight="1" x14ac:dyDescent="0.25">
      <c r="A12" s="55"/>
      <c r="B12" s="59"/>
      <c r="C12" s="30"/>
      <c r="D12" s="26"/>
      <c r="E12" s="22"/>
    </row>
    <row r="13" spans="1:5" s="23" customFormat="1" ht="14.25" customHeight="1" x14ac:dyDescent="0.25">
      <c r="A13" s="55"/>
      <c r="B13" s="59"/>
      <c r="C13" s="30"/>
      <c r="D13" s="26"/>
      <c r="E13" s="22"/>
    </row>
    <row r="14" spans="1:5" s="23" customFormat="1" ht="14.25" customHeight="1" x14ac:dyDescent="0.25">
      <c r="A14" s="55"/>
      <c r="B14" s="59" t="s">
        <v>255</v>
      </c>
      <c r="C14" s="30" t="s">
        <v>545</v>
      </c>
      <c r="D14" s="26">
        <f>'Bill 5 Thermal and Moisture'!F139</f>
        <v>30683.1</v>
      </c>
      <c r="E14" s="22"/>
    </row>
    <row r="15" spans="1:5" s="23" customFormat="1" ht="14.25" customHeight="1" x14ac:dyDescent="0.25">
      <c r="A15" s="55"/>
      <c r="B15" s="59"/>
      <c r="C15" s="30"/>
      <c r="D15" s="26"/>
      <c r="E15" s="22"/>
    </row>
    <row r="16" spans="1:5" s="23" customFormat="1" ht="14.25" customHeight="1" x14ac:dyDescent="0.25">
      <c r="A16" s="55"/>
      <c r="B16" s="59"/>
      <c r="C16" s="30"/>
      <c r="D16" s="26"/>
      <c r="E16" s="22"/>
    </row>
    <row r="17" spans="1:5" s="23" customFormat="1" ht="14.25" customHeight="1" x14ac:dyDescent="0.25">
      <c r="A17" s="55"/>
      <c r="B17" s="59" t="s">
        <v>271</v>
      </c>
      <c r="C17" s="30" t="s">
        <v>546</v>
      </c>
      <c r="D17" s="26">
        <f>'Bill 5 Finishes'!F142</f>
        <v>315752.38</v>
      </c>
      <c r="E17" s="22"/>
    </row>
    <row r="18" spans="1:5" ht="14.25" customHeight="1" x14ac:dyDescent="0.25">
      <c r="A18" s="29"/>
      <c r="B18" s="59"/>
      <c r="C18" s="30"/>
      <c r="D18" s="26"/>
    </row>
    <row r="19" spans="1:5" ht="14.25" customHeight="1" x14ac:dyDescent="0.25">
      <c r="A19" s="29"/>
      <c r="B19" s="59"/>
      <c r="C19" s="30"/>
      <c r="D19" s="26"/>
    </row>
    <row r="20" spans="1:5" s="23" customFormat="1" ht="14.25" customHeight="1" x14ac:dyDescent="0.25">
      <c r="A20" s="55"/>
      <c r="B20" s="59" t="s">
        <v>286</v>
      </c>
      <c r="C20" s="30" t="s">
        <v>547</v>
      </c>
      <c r="D20" s="26">
        <f>'Bill 5 Accessories'!F216</f>
        <v>2944626.83</v>
      </c>
      <c r="E20" s="22"/>
    </row>
    <row r="21" spans="1:5" ht="14.25" customHeight="1" x14ac:dyDescent="0.25">
      <c r="A21" s="29"/>
      <c r="B21" s="59"/>
      <c r="C21" s="30"/>
      <c r="D21" s="26"/>
    </row>
    <row r="22" spans="1:5" ht="14.25" customHeight="1" x14ac:dyDescent="0.25">
      <c r="A22" s="29"/>
      <c r="B22" s="59"/>
      <c r="C22" s="30"/>
      <c r="D22" s="26"/>
    </row>
    <row r="23" spans="1:5" ht="14.25" customHeight="1" x14ac:dyDescent="0.25">
      <c r="A23" s="29"/>
      <c r="B23" s="59" t="s">
        <v>309</v>
      </c>
      <c r="C23" s="30" t="s">
        <v>548</v>
      </c>
      <c r="D23" s="26">
        <f>'Bill 5 Furnishings'!F143</f>
        <v>1893150.2699999998</v>
      </c>
    </row>
    <row r="24" spans="1:5" ht="14.25" customHeight="1" x14ac:dyDescent="0.25">
      <c r="A24" s="29"/>
      <c r="B24" s="59"/>
      <c r="C24" s="30"/>
      <c r="D24" s="26"/>
    </row>
    <row r="25" spans="1:5" ht="14.25" customHeight="1" x14ac:dyDescent="0.25">
      <c r="A25" s="29"/>
      <c r="B25" s="59"/>
      <c r="C25" s="30"/>
      <c r="D25" s="26"/>
    </row>
    <row r="26" spans="1:5" ht="14.25" customHeight="1" x14ac:dyDescent="0.25">
      <c r="A26" s="29"/>
      <c r="B26" s="59" t="s">
        <v>335</v>
      </c>
      <c r="C26" s="30" t="s">
        <v>549</v>
      </c>
      <c r="D26" s="26">
        <f>'Bill 5 - Mech'!F319</f>
        <v>836154.44</v>
      </c>
    </row>
    <row r="27" spans="1:5" ht="14.25" customHeight="1" x14ac:dyDescent="0.25">
      <c r="A27" s="29"/>
      <c r="B27" s="59"/>
      <c r="C27" s="30"/>
      <c r="D27" s="26"/>
    </row>
    <row r="28" spans="1:5" ht="14.25" customHeight="1" x14ac:dyDescent="0.25">
      <c r="A28" s="29"/>
      <c r="B28" s="59"/>
      <c r="C28" s="30"/>
      <c r="D28" s="26"/>
    </row>
    <row r="29" spans="1:5" ht="14.25" customHeight="1" x14ac:dyDescent="0.25">
      <c r="A29" s="29"/>
      <c r="B29" s="59" t="s">
        <v>425</v>
      </c>
      <c r="C29" s="30" t="s">
        <v>550</v>
      </c>
      <c r="D29" s="26">
        <f>'Bill 5 - Elec'!F408</f>
        <v>7998805.2700000014</v>
      </c>
    </row>
    <row r="30" spans="1:5" ht="14.25" customHeight="1" x14ac:dyDescent="0.25">
      <c r="A30" s="29"/>
      <c r="B30" s="59"/>
      <c r="C30" s="30"/>
      <c r="D30" s="26"/>
    </row>
    <row r="31" spans="1:5" s="27" customFormat="1" ht="14.25" customHeight="1" x14ac:dyDescent="0.25">
      <c r="A31" s="29"/>
      <c r="B31" s="59"/>
      <c r="C31" s="30"/>
      <c r="D31" s="26"/>
    </row>
    <row r="32" spans="1:5" s="27" customFormat="1" ht="14.25" customHeight="1" x14ac:dyDescent="0.25">
      <c r="A32" s="29"/>
      <c r="B32" s="59"/>
      <c r="C32" s="30"/>
      <c r="D32" s="26"/>
    </row>
    <row r="33" spans="1:12" s="27" customFormat="1" ht="14.25" customHeight="1" x14ac:dyDescent="0.25">
      <c r="A33" s="29"/>
      <c r="B33" s="59"/>
      <c r="C33" s="30"/>
      <c r="D33" s="26"/>
    </row>
    <row r="34" spans="1:12" s="27" customFormat="1" ht="14.25" customHeight="1" x14ac:dyDescent="0.25">
      <c r="A34" s="29"/>
      <c r="B34" s="59"/>
      <c r="C34" s="30"/>
      <c r="D34" s="26"/>
    </row>
    <row r="35" spans="1:12" s="27" customFormat="1" ht="14.25" customHeight="1" x14ac:dyDescent="0.25">
      <c r="A35" s="29"/>
      <c r="B35" s="59"/>
      <c r="C35" s="30"/>
      <c r="D35" s="26"/>
    </row>
    <row r="36" spans="1:12" s="27" customFormat="1" ht="14.25" customHeight="1" x14ac:dyDescent="0.25">
      <c r="A36" s="29"/>
      <c r="B36" s="59"/>
      <c r="C36" s="30"/>
      <c r="D36" s="26"/>
    </row>
    <row r="37" spans="1:12" s="27" customFormat="1" ht="14.25" customHeight="1" x14ac:dyDescent="0.25">
      <c r="A37" s="29"/>
      <c r="B37" s="59"/>
      <c r="C37" s="30"/>
      <c r="D37" s="26"/>
    </row>
    <row r="38" spans="1:12" s="27" customFormat="1" ht="14.25" customHeight="1" x14ac:dyDescent="0.25">
      <c r="A38" s="29"/>
      <c r="B38" s="59"/>
      <c r="C38" s="30"/>
      <c r="D38" s="26"/>
    </row>
    <row r="39" spans="1:12" s="27" customFormat="1" ht="14.25" customHeight="1" x14ac:dyDescent="0.25">
      <c r="A39" s="29"/>
      <c r="B39" s="59"/>
      <c r="C39" s="30"/>
      <c r="D39" s="26"/>
    </row>
    <row r="40" spans="1:12" s="27" customFormat="1" ht="14.25" customHeight="1" x14ac:dyDescent="0.25">
      <c r="A40" s="29"/>
      <c r="B40" s="59"/>
      <c r="C40" s="30"/>
      <c r="D40" s="26"/>
    </row>
    <row r="41" spans="1:12" s="27" customFormat="1" ht="14.25" customHeight="1" x14ac:dyDescent="0.25">
      <c r="A41" s="29"/>
      <c r="B41" s="59"/>
      <c r="C41" s="30"/>
      <c r="D41" s="26"/>
    </row>
    <row r="42" spans="1:12" s="27" customFormat="1" ht="14.25" customHeight="1" x14ac:dyDescent="0.25">
      <c r="A42" s="29"/>
      <c r="B42" s="59"/>
      <c r="C42" s="30"/>
      <c r="D42" s="26"/>
    </row>
    <row r="43" spans="1:12" s="27" customFormat="1" ht="14.25" customHeight="1" x14ac:dyDescent="0.25">
      <c r="A43" s="29"/>
      <c r="B43" s="59"/>
      <c r="C43" s="30"/>
      <c r="D43" s="26"/>
    </row>
    <row r="44" spans="1:12" s="27" customFormat="1" ht="14.25" customHeight="1" x14ac:dyDescent="0.25">
      <c r="A44" s="29"/>
      <c r="B44" s="59"/>
      <c r="C44" s="30"/>
      <c r="D44" s="26"/>
    </row>
    <row r="45" spans="1:12" s="51" customFormat="1" ht="14.4" x14ac:dyDescent="0.3">
      <c r="A45" s="29"/>
      <c r="B45" s="59"/>
      <c r="C45" s="30"/>
      <c r="D45" s="26"/>
      <c r="F45" s="52"/>
      <c r="G45" s="52"/>
      <c r="H45" s="52"/>
      <c r="I45" s="52"/>
      <c r="J45" s="52"/>
      <c r="K45" s="52"/>
      <c r="L45" s="52"/>
    </row>
    <row r="46" spans="1:12" s="51" customFormat="1" ht="14.4" x14ac:dyDescent="0.3">
      <c r="A46" s="29"/>
      <c r="B46" s="59"/>
      <c r="C46" s="30"/>
      <c r="D46" s="26"/>
      <c r="F46" s="52"/>
      <c r="G46" s="52"/>
      <c r="H46" s="52"/>
      <c r="I46" s="52"/>
      <c r="J46" s="52"/>
      <c r="K46" s="52"/>
      <c r="L46" s="52"/>
    </row>
    <row r="47" spans="1:12" s="51" customFormat="1" ht="14.4" x14ac:dyDescent="0.3">
      <c r="A47" s="29"/>
      <c r="B47" s="59"/>
      <c r="C47" s="30"/>
      <c r="D47" s="26"/>
    </row>
    <row r="48" spans="1:12" s="27" customFormat="1" ht="14.25" customHeight="1" x14ac:dyDescent="0.25">
      <c r="A48" s="29"/>
      <c r="B48" s="28"/>
      <c r="C48" s="30"/>
      <c r="D48" s="26"/>
    </row>
    <row r="49" spans="1:4" s="27" customFormat="1" ht="14.25" customHeight="1" x14ac:dyDescent="0.25">
      <c r="A49" s="31"/>
      <c r="B49" s="32"/>
      <c r="C49" s="33"/>
      <c r="D49" s="34"/>
    </row>
    <row r="50" spans="1:4" s="27" customFormat="1" x14ac:dyDescent="0.25">
      <c r="A50" s="28"/>
      <c r="B50" s="35" t="s">
        <v>551</v>
      </c>
      <c r="C50" s="36"/>
      <c r="D50" s="37"/>
    </row>
    <row r="51" spans="1:4" x14ac:dyDescent="0.25">
      <c r="A51" s="27"/>
      <c r="B51" s="38" t="s">
        <v>552</v>
      </c>
      <c r="C51" s="39" t="s">
        <v>7</v>
      </c>
      <c r="D51" s="37">
        <f>SUM(D4:D49)</f>
        <v>27575738.570000008</v>
      </c>
    </row>
    <row r="52" spans="1:4" ht="14.25" customHeight="1" x14ac:dyDescent="0.25">
      <c r="A52" s="27"/>
      <c r="B52" s="40"/>
      <c r="C52" s="39"/>
      <c r="D52" s="34"/>
    </row>
    <row r="54" spans="1:4" s="45" customFormat="1" ht="13.2" x14ac:dyDescent="0.25">
      <c r="A54" s="41"/>
      <c r="B54" s="42"/>
      <c r="C54" s="43"/>
      <c r="D54" s="44"/>
    </row>
    <row r="55" spans="1:4" s="45" customFormat="1" ht="13.2" x14ac:dyDescent="0.25">
      <c r="A55" s="46"/>
      <c r="B55" s="47"/>
      <c r="C55" s="43"/>
      <c r="D55" s="44"/>
    </row>
    <row r="56" spans="1:4" s="45" customFormat="1" ht="13.2" x14ac:dyDescent="0.25">
      <c r="A56" s="46"/>
      <c r="B56" s="47"/>
      <c r="C56" s="43"/>
      <c r="D56" s="44"/>
    </row>
    <row r="57" spans="1:4" s="45" customFormat="1" ht="13.2" x14ac:dyDescent="0.25">
      <c r="A57" s="46"/>
      <c r="B57" s="47"/>
      <c r="C57" s="43"/>
      <c r="D57" s="44"/>
    </row>
    <row r="58" spans="1:4" s="45" customFormat="1" ht="13.2" x14ac:dyDescent="0.25">
      <c r="A58" s="46"/>
      <c r="B58" s="47"/>
      <c r="C58" s="43"/>
      <c r="D58" s="44"/>
    </row>
    <row r="59" spans="1:4" s="45" customFormat="1" ht="13.2" x14ac:dyDescent="0.25">
      <c r="A59" s="46"/>
      <c r="B59" s="47"/>
      <c r="C59" s="43"/>
      <c r="D59" s="44"/>
    </row>
    <row r="60" spans="1:4" s="45" customFormat="1" ht="13.2" x14ac:dyDescent="0.25">
      <c r="A60" s="46"/>
      <c r="B60" s="47"/>
      <c r="C60" s="43"/>
      <c r="D60" s="44"/>
    </row>
    <row r="61" spans="1:4" s="45" customFormat="1" ht="13.2" x14ac:dyDescent="0.25">
      <c r="A61" s="46"/>
      <c r="B61" s="47"/>
      <c r="C61" s="43"/>
      <c r="D61" s="44"/>
    </row>
    <row r="62" spans="1:4" s="45" customFormat="1" ht="13.2" x14ac:dyDescent="0.25">
      <c r="A62" s="46"/>
      <c r="B62" s="47"/>
      <c r="C62" s="43"/>
      <c r="D62" s="44"/>
    </row>
    <row r="63" spans="1:4" s="45" customFormat="1" ht="13.2" x14ac:dyDescent="0.25">
      <c r="A63" s="46"/>
      <c r="B63" s="47"/>
      <c r="C63" s="43"/>
      <c r="D63" s="44"/>
    </row>
    <row r="64" spans="1:4" s="45" customFormat="1" ht="13.2" x14ac:dyDescent="0.25">
      <c r="A64" s="46"/>
      <c r="B64" s="47"/>
      <c r="C64" s="43"/>
      <c r="D64" s="44"/>
    </row>
    <row r="65" spans="1:4" s="45" customFormat="1" ht="13.2" x14ac:dyDescent="0.25">
      <c r="A65" s="46"/>
      <c r="B65" s="47"/>
      <c r="C65" s="43"/>
      <c r="D65" s="44"/>
    </row>
    <row r="66" spans="1:4" s="45" customFormat="1" ht="13.2" x14ac:dyDescent="0.25">
      <c r="A66" s="46"/>
      <c r="B66" s="47"/>
      <c r="C66" s="43"/>
      <c r="D66" s="44"/>
    </row>
    <row r="67" spans="1:4" s="45" customFormat="1" ht="13.2" x14ac:dyDescent="0.25">
      <c r="A67" s="46"/>
      <c r="B67" s="47"/>
      <c r="C67" s="43"/>
      <c r="D67" s="44"/>
    </row>
    <row r="68" spans="1:4" s="45" customFormat="1" ht="13.2" x14ac:dyDescent="0.25">
      <c r="A68" s="46"/>
      <c r="B68" s="47"/>
      <c r="C68" s="43"/>
      <c r="D68" s="44"/>
    </row>
    <row r="69" spans="1:4" s="45" customFormat="1" ht="13.2" x14ac:dyDescent="0.25">
      <c r="A69" s="46"/>
      <c r="B69" s="47"/>
      <c r="C69" s="43"/>
      <c r="D69" s="44"/>
    </row>
    <row r="70" spans="1:4" s="45" customFormat="1" ht="13.2" x14ac:dyDescent="0.25">
      <c r="A70" s="46"/>
      <c r="B70" s="47"/>
      <c r="C70" s="43"/>
      <c r="D70" s="44"/>
    </row>
    <row r="71" spans="1:4" s="45" customFormat="1" ht="13.2" x14ac:dyDescent="0.25">
      <c r="A71" s="46"/>
      <c r="B71" s="47"/>
      <c r="C71" s="43"/>
      <c r="D71" s="44"/>
    </row>
    <row r="72" spans="1:4" s="45" customFormat="1" ht="13.2" x14ac:dyDescent="0.25">
      <c r="A72" s="46"/>
      <c r="B72" s="47"/>
      <c r="C72" s="43"/>
      <c r="D72" s="44"/>
    </row>
    <row r="73" spans="1:4" s="45" customFormat="1" ht="13.2" x14ac:dyDescent="0.25">
      <c r="A73" s="46"/>
      <c r="B73" s="47"/>
      <c r="C73" s="43"/>
      <c r="D73" s="44"/>
    </row>
    <row r="74" spans="1:4" s="45" customFormat="1" ht="13.2" x14ac:dyDescent="0.25">
      <c r="A74" s="46"/>
      <c r="B74" s="47"/>
      <c r="C74" s="43"/>
      <c r="D74" s="44"/>
    </row>
    <row r="75" spans="1:4" s="45" customFormat="1" ht="13.2" x14ac:dyDescent="0.25">
      <c r="A75" s="46"/>
      <c r="B75" s="47"/>
      <c r="C75" s="43"/>
      <c r="D75" s="44"/>
    </row>
    <row r="76" spans="1:4" s="45" customFormat="1" ht="13.2" x14ac:dyDescent="0.25">
      <c r="A76" s="46"/>
      <c r="B76" s="47"/>
      <c r="C76" s="43"/>
      <c r="D76" s="44"/>
    </row>
    <row r="77" spans="1:4" s="45" customFormat="1" ht="13.2" x14ac:dyDescent="0.25">
      <c r="A77" s="48"/>
      <c r="B77" s="47"/>
      <c r="C77" s="43"/>
      <c r="D77" s="44"/>
    </row>
    <row r="78" spans="1:4" s="45" customFormat="1" ht="13.2" x14ac:dyDescent="0.25">
      <c r="A78" s="48"/>
      <c r="B78" s="47"/>
      <c r="C78" s="43"/>
      <c r="D78" s="44"/>
    </row>
    <row r="79" spans="1:4" s="45" customFormat="1" ht="13.2" x14ac:dyDescent="0.25">
      <c r="A79" s="48"/>
      <c r="B79" s="47"/>
      <c r="C79" s="43"/>
      <c r="D79" s="44"/>
    </row>
    <row r="80" spans="1:4" s="45" customFormat="1" ht="13.2" x14ac:dyDescent="0.25">
      <c r="A80" s="48"/>
      <c r="B80" s="47"/>
      <c r="C80" s="43"/>
      <c r="D80" s="44"/>
    </row>
    <row r="81" spans="1:4" s="45" customFormat="1" ht="13.2" x14ac:dyDescent="0.25">
      <c r="A81" s="48"/>
      <c r="B81" s="47"/>
      <c r="C81" s="43"/>
      <c r="D81" s="44"/>
    </row>
    <row r="82" spans="1:4" s="45" customFormat="1" ht="13.2" x14ac:dyDescent="0.25">
      <c r="A82" s="46"/>
      <c r="B82" s="47"/>
      <c r="C82" s="43"/>
      <c r="D82" s="44"/>
    </row>
    <row r="83" spans="1:4" s="45" customFormat="1" ht="13.2" x14ac:dyDescent="0.25">
      <c r="A83" s="46"/>
      <c r="B83" s="47"/>
      <c r="C83" s="43"/>
      <c r="D83" s="44"/>
    </row>
    <row r="84" spans="1:4" s="45" customFormat="1" ht="13.2" x14ac:dyDescent="0.25">
      <c r="A84" s="46"/>
      <c r="B84" s="47"/>
      <c r="C84" s="43"/>
      <c r="D84" s="44"/>
    </row>
    <row r="85" spans="1:4" s="45" customFormat="1" ht="13.2" x14ac:dyDescent="0.25">
      <c r="A85" s="46"/>
      <c r="B85" s="47"/>
      <c r="C85" s="43"/>
      <c r="D85" s="44"/>
    </row>
    <row r="86" spans="1:4" s="45" customFormat="1" ht="13.2" x14ac:dyDescent="0.25">
      <c r="A86" s="46"/>
      <c r="B86" s="47"/>
      <c r="C86" s="43"/>
      <c r="D86" s="44"/>
    </row>
    <row r="87" spans="1:4" s="45" customFormat="1" ht="13.2" x14ac:dyDescent="0.25">
      <c r="A87" s="46"/>
      <c r="B87" s="47"/>
      <c r="C87" s="43"/>
      <c r="D87" s="44"/>
    </row>
    <row r="88" spans="1:4" s="45" customFormat="1" ht="13.2" x14ac:dyDescent="0.25">
      <c r="A88" s="46"/>
      <c r="B88" s="47"/>
      <c r="C88" s="43"/>
      <c r="D88" s="44"/>
    </row>
    <row r="89" spans="1:4" s="45" customFormat="1" ht="13.2" x14ac:dyDescent="0.25">
      <c r="A89" s="46"/>
      <c r="B89" s="47"/>
      <c r="C89" s="43"/>
      <c r="D89" s="44"/>
    </row>
    <row r="90" spans="1:4" s="45" customFormat="1" ht="13.2" x14ac:dyDescent="0.25">
      <c r="A90" s="46"/>
      <c r="B90" s="47"/>
      <c r="C90" s="43"/>
      <c r="D90" s="44"/>
    </row>
    <row r="91" spans="1:4" s="45" customFormat="1" ht="13.2" x14ac:dyDescent="0.25">
      <c r="A91" s="46"/>
      <c r="B91" s="47"/>
      <c r="C91" s="43"/>
      <c r="D91" s="44"/>
    </row>
    <row r="92" spans="1:4" s="45" customFormat="1" ht="13.2" x14ac:dyDescent="0.25">
      <c r="A92" s="46"/>
      <c r="B92" s="47"/>
      <c r="C92" s="43"/>
      <c r="D92" s="44"/>
    </row>
    <row r="93" spans="1:4" s="45" customFormat="1" ht="13.2" x14ac:dyDescent="0.25">
      <c r="A93" s="46"/>
      <c r="B93" s="47"/>
      <c r="C93" s="43"/>
      <c r="D93" s="44"/>
    </row>
    <row r="94" spans="1:4" s="45" customFormat="1" ht="13.2" x14ac:dyDescent="0.25">
      <c r="A94" s="46"/>
      <c r="B94" s="47"/>
      <c r="C94" s="43"/>
      <c r="D94" s="44"/>
    </row>
    <row r="95" spans="1:4" s="45" customFormat="1" ht="13.2" x14ac:dyDescent="0.25">
      <c r="A95" s="46"/>
      <c r="B95" s="47"/>
      <c r="C95" s="43"/>
      <c r="D95" s="44"/>
    </row>
    <row r="96" spans="1:4" s="45" customFormat="1" ht="13.2" x14ac:dyDescent="0.25">
      <c r="A96" s="46"/>
      <c r="B96" s="47"/>
      <c r="C96" s="43"/>
      <c r="D96" s="44"/>
    </row>
    <row r="97" spans="1:4" s="45" customFormat="1" ht="13.2" x14ac:dyDescent="0.25">
      <c r="A97" s="46"/>
      <c r="B97" s="47"/>
      <c r="C97" s="43"/>
      <c r="D97" s="44"/>
    </row>
    <row r="98" spans="1:4" s="45" customFormat="1" ht="13.2" x14ac:dyDescent="0.25">
      <c r="C98" s="43"/>
      <c r="D98" s="44"/>
    </row>
    <row r="102" spans="1:4" s="27" customFormat="1" x14ac:dyDescent="0.25">
      <c r="A102" s="28"/>
      <c r="B102" s="28"/>
      <c r="C102" s="49"/>
      <c r="D102" s="50"/>
    </row>
  </sheetData>
  <mergeCells count="4">
    <mergeCell ref="A1:A2"/>
    <mergeCell ref="B1:B2"/>
    <mergeCell ref="C1:C2"/>
    <mergeCell ref="D1:D2"/>
  </mergeCells>
  <pageMargins left="0.66929133858267698" right="0.196850393700787" top="0.82677165354330695" bottom="0.47" header="0.196850393700787" footer="0.24"/>
  <pageSetup paperSize="9" orientation="portrait" r:id="rId1"/>
  <headerFooter>
    <oddHeader>&amp;R&amp;U
&amp;11BILL NO. 5 - EXTERNAL WORKS
AL KHAIL MALL REFURBISHMENT</oddHeader>
    <oddFooter>&amp;L&amp;8DMS 148704 BOQ - Nakheel Mall Al Khail&amp;CB/5</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A64C98-91A5-47FB-BB41-1FDA365AA44B}"/>
</file>

<file path=customXml/itemProps2.xml><?xml version="1.0" encoding="utf-8"?>
<ds:datastoreItem xmlns:ds="http://schemas.openxmlformats.org/officeDocument/2006/customXml" ds:itemID="{ECCDFFE2-CBE2-4450-AD2C-0DA4838AC59C}"/>
</file>

<file path=customXml/itemProps3.xml><?xml version="1.0" encoding="utf-8"?>
<ds:datastoreItem xmlns:ds="http://schemas.openxmlformats.org/officeDocument/2006/customXml" ds:itemID="{44B7E063-B41A-43B8-8632-38AEA09512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Fly-Bill 5</vt:lpstr>
      <vt:lpstr>Bill 5 Sitework</vt:lpstr>
      <vt:lpstr>Bill 5 Concrete Work</vt:lpstr>
      <vt:lpstr>Bill 5 Thermal and Moisture</vt:lpstr>
      <vt:lpstr>Bill 5 Finishes</vt:lpstr>
      <vt:lpstr>Bill 5 Accessories</vt:lpstr>
      <vt:lpstr>Bill 5 Furnishings</vt:lpstr>
      <vt:lpstr>Bill 5 - Mech</vt:lpstr>
      <vt:lpstr>Bill 5 - Elec</vt:lpstr>
      <vt:lpstr>Bill 5-Sum</vt:lpstr>
      <vt:lpstr>'Bill 5 - Elec'!Print_Area</vt:lpstr>
      <vt:lpstr>'Bill 5 - Mech'!Print_Area</vt:lpstr>
      <vt:lpstr>'Bill 5 Accessories'!Print_Area</vt:lpstr>
      <vt:lpstr>'Bill 5 Concrete Work'!Print_Area</vt:lpstr>
      <vt:lpstr>'Bill 5 Finishes'!Print_Area</vt:lpstr>
      <vt:lpstr>'Bill 5 Furnishings'!Print_Area</vt:lpstr>
      <vt:lpstr>'Bill 5 Sitework'!Print_Area</vt:lpstr>
      <vt:lpstr>'Bill 5 Thermal and Moisture'!Print_Area</vt:lpstr>
      <vt:lpstr>'Bill 5-Sum'!Print_Area</vt:lpstr>
      <vt:lpstr>'Fly-Bill 5'!Print_Area</vt:lpstr>
      <vt:lpstr>'Bill 5 - Elec'!Print_Titles</vt:lpstr>
      <vt:lpstr>'Bill 5 - Mech'!Print_Titles</vt:lpstr>
      <vt:lpstr>'Bill 5 Accessories'!Print_Titles</vt:lpstr>
      <vt:lpstr>'Bill 5 Concrete Work'!Print_Titles</vt:lpstr>
      <vt:lpstr>'Bill 5 Finishes'!Print_Titles</vt:lpstr>
      <vt:lpstr>'Bill 5 Furnishings'!Print_Titles</vt:lpstr>
      <vt:lpstr>'Bill 5 Sitework'!Print_Titles</vt:lpstr>
      <vt:lpstr>'Bill 5 Thermal and Moisture'!Print_Titles</vt:lpstr>
      <vt:lpstr>'Bill 5-Sum'!Print_Titles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Mendoza</dc:creator>
  <cp:keywords/>
  <dc:description/>
  <cp:lastModifiedBy>Monvi Carlo Osorio</cp:lastModifiedBy>
  <cp:revision/>
  <cp:lastPrinted>2024-02-21T10:28:39Z</cp:lastPrinted>
  <dcterms:created xsi:type="dcterms:W3CDTF">2021-12-10T06:42:14Z</dcterms:created>
  <dcterms:modified xsi:type="dcterms:W3CDTF">2024-02-21T10:28:45Z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