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24226"/>
  <mc:AlternateContent xmlns:mc="http://schemas.openxmlformats.org/markup-compatibility/2006">
    <mc:Choice Requires="x15">
      <x15ac:absPath xmlns:x15ac="http://schemas.microsoft.com/office/spreadsheetml/2010/11/ac" url="\\Sp-v-dbb-fs01\dbbcgest\COMMON\Tender\2022\BLDG\T061-22 NKHL RFQ700887 Modification&amp;Redev Wrks Nakheel Mall-Al Khail\2. COMM\4. Sub.&amp;PTC\24.02.21 - Final BoQ - Amended\"/>
    </mc:Choice>
  </mc:AlternateContent>
  <xr:revisionPtr revIDLastSave="0" documentId="13_ncr:1_{E2509ECA-692A-438E-8E52-968B2E8C327F}" xr6:coauthVersionLast="47" xr6:coauthVersionMax="47" xr10:uidLastSave="{00000000-0000-0000-0000-000000000000}"/>
  <bookViews>
    <workbookView xWindow="-28920" yWindow="-1755" windowWidth="29040" windowHeight="15840" tabRatio="797" xr2:uid="{00000000-000D-0000-FFFF-FFFF00000000}"/>
  </bookViews>
  <sheets>
    <sheet name="Fly-Bill 6" sheetId="20" r:id="rId1"/>
    <sheet name="B6_PS" sheetId="25" r:id="rId2"/>
  </sheets>
  <definedNames>
    <definedName name="\z">#REF!</definedName>
    <definedName name="__123Graph_A" hidden="1">#REF!</definedName>
    <definedName name="__123Graph_ACHART1" hidden="1">#REF!</definedName>
    <definedName name="__123Graph_ACURRENT" hidden="1">#REF!</definedName>
    <definedName name="__123Graph_X" hidden="1">#REF!</definedName>
    <definedName name="__123Graph_XCHART1" hidden="1">#REF!</definedName>
    <definedName name="__123Graph_XCURRENT" hidden="1">#REF!</definedName>
    <definedName name="__IntlFixup" hidden="1">TRUE</definedName>
    <definedName name="_01">#REF!</definedName>
    <definedName name="_02">#REF!</definedName>
    <definedName name="_03">#REF!</definedName>
    <definedName name="_04">#REF!</definedName>
    <definedName name="_05">#REF!</definedName>
    <definedName name="_06">#REF!</definedName>
    <definedName name="_07">#REF!</definedName>
    <definedName name="_08">#REF!</definedName>
    <definedName name="_09">#REF!</definedName>
    <definedName name="_1">#REF!</definedName>
    <definedName name="_1__123Graph_ACHART_12" hidden="1">#REF!</definedName>
    <definedName name="_10">#REF!</definedName>
    <definedName name="_10__123Graph_ACHART_18" hidden="1">#REF!</definedName>
    <definedName name="_10__123Graph_BCHART_16" hidden="1">#REF!</definedName>
    <definedName name="_11">#REF!</definedName>
    <definedName name="_11__123Graph_BCHART_17" hidden="1">#REF!</definedName>
    <definedName name="_12">#REF!</definedName>
    <definedName name="_12__123Graph_ACHART_19" hidden="1">#REF!</definedName>
    <definedName name="_12__123Graph_BCHART_22" hidden="1">#REF!</definedName>
    <definedName name="_13">#REF!</definedName>
    <definedName name="_13__123Graph_CCHART_15" hidden="1">#REF!</definedName>
    <definedName name="_14">#REF!</definedName>
    <definedName name="_14__123Graph_ACHART_21" hidden="1">#REF!</definedName>
    <definedName name="_14__123Graph_CCHART_16" hidden="1">#REF!</definedName>
    <definedName name="_15">#REF!</definedName>
    <definedName name="_15__123Graph_CCHART_17" hidden="1">#REF!</definedName>
    <definedName name="_16">#REF!</definedName>
    <definedName name="_16__123Graph_ASEG_PIE" hidden="1">#REF!</definedName>
    <definedName name="_16__123Graph_CCHART_22" hidden="1">#REF!</definedName>
    <definedName name="_17">#REF!</definedName>
    <definedName name="_17__123Graph_CSEG_PIE" hidden="1">#REF!</definedName>
    <definedName name="_18">#REF!</definedName>
    <definedName name="_18__123Graph_BCHART_15" hidden="1">#REF!</definedName>
    <definedName name="_18__123Graph_DCHART_15" hidden="1">#REF!</definedName>
    <definedName name="_19">#REF!</definedName>
    <definedName name="_19__123Graph_DCHART_16" hidden="1">#REF!</definedName>
    <definedName name="_2">#REF!</definedName>
    <definedName name="_2__123Graph_ACHART_12" hidden="1">#REF!</definedName>
    <definedName name="_2__123Graph_ACHART_15" hidden="1">#REF!</definedName>
    <definedName name="_20">#REF!</definedName>
    <definedName name="_20__123Graph_BCHART_16" hidden="1">#REF!</definedName>
    <definedName name="_20__123Graph_DCHART_17" hidden="1">#REF!</definedName>
    <definedName name="_21">#REF!</definedName>
    <definedName name="_21__123Graph_DCHART_22" hidden="1">#REF!</definedName>
    <definedName name="_22">#REF!</definedName>
    <definedName name="_22__123Graph_BCHART_17" hidden="1">#REF!</definedName>
    <definedName name="_22__123Graph_ECHART_15" hidden="1">#REF!</definedName>
    <definedName name="_23">#REF!</definedName>
    <definedName name="_23__123Graph_ECHART_16" hidden="1">#REF!</definedName>
    <definedName name="_24">#REF!</definedName>
    <definedName name="_24__123Graph_BCHART_22" hidden="1">#REF!</definedName>
    <definedName name="_24__123Graph_ECHART_17" hidden="1">#REF!</definedName>
    <definedName name="_25">#REF!</definedName>
    <definedName name="_25__123Graph_ECHART_22" hidden="1">#REF!</definedName>
    <definedName name="_26">#REF!</definedName>
    <definedName name="_26__123Graph_CCHART_15" hidden="1">#REF!</definedName>
    <definedName name="_26__123Graph_FCHART_15" hidden="1">#REF!</definedName>
    <definedName name="_27">#REF!</definedName>
    <definedName name="_27__123Graph_FCHART_16" hidden="1">#REF!</definedName>
    <definedName name="_28">#REF!</definedName>
    <definedName name="_28__123Graph_CCHART_16" hidden="1">#REF!</definedName>
    <definedName name="_28__123Graph_FCHART_17" hidden="1">#REF!</definedName>
    <definedName name="_29">#REF!</definedName>
    <definedName name="_29__123Graph_FCHART_22" hidden="1">#REF!</definedName>
    <definedName name="_3">#REF!</definedName>
    <definedName name="_3__123Graph_ACHART_16" hidden="1">#REF!</definedName>
    <definedName name="_30__123Graph_CCHART_17" hidden="1">#REF!</definedName>
    <definedName name="_30__123Graph_XCHART_15" hidden="1">#REF!</definedName>
    <definedName name="_31__123Graph_XCHART_16" hidden="1">#REF!</definedName>
    <definedName name="_32__123Graph_CCHART_22" hidden="1">#REF!</definedName>
    <definedName name="_32__123Graph_XCHART_17" hidden="1">#REF!</definedName>
    <definedName name="_33__123Graph_XCHART_18" hidden="1">#REF!</definedName>
    <definedName name="_34__123Graph_CSEG_PIE" hidden="1">#REF!</definedName>
    <definedName name="_34__123Graph_XCHART_19" hidden="1">#REF!</definedName>
    <definedName name="_35__123Graph_XCHART_22" hidden="1">#REF!</definedName>
    <definedName name="_36__123Graph_DCHART_15" hidden="1">#REF!</definedName>
    <definedName name="_36__123Graph_XSEG_PIE" hidden="1">#REF!</definedName>
    <definedName name="_38__123Graph_DCHART_16" hidden="1">#REF!</definedName>
    <definedName name="_4">#REF!</definedName>
    <definedName name="_4__123Graph_ACHART_15" hidden="1">#REF!</definedName>
    <definedName name="_4__123Graph_ACHART_17" hidden="1">#REF!</definedName>
    <definedName name="_40__123Graph_DCHART_17" hidden="1">#REF!</definedName>
    <definedName name="_42__123Graph_DCHART_22" hidden="1">#REF!</definedName>
    <definedName name="_44__123Graph_ECHART_15" hidden="1">#REF!</definedName>
    <definedName name="_46__123Graph_ECHART_16" hidden="1">#REF!</definedName>
    <definedName name="_48__123Graph_ECHART_17" hidden="1">#REF!</definedName>
    <definedName name="_5">#REF!</definedName>
    <definedName name="_5__123Graph_ACHART_18" hidden="1">#REF!</definedName>
    <definedName name="_50__123Graph_ECHART_22" hidden="1">#REF!</definedName>
    <definedName name="_52__123Graph_FCHART_15" hidden="1">#REF!</definedName>
    <definedName name="_54__123Graph_FCHART_16" hidden="1">#REF!</definedName>
    <definedName name="_56__123Graph_FCHART_17" hidden="1">#REF!</definedName>
    <definedName name="_58__123Graph_FCHART_22" hidden="1">#REF!</definedName>
    <definedName name="_6">#REF!</definedName>
    <definedName name="_6__123Graph_ACHART_16" hidden="1">#REF!</definedName>
    <definedName name="_6__123Graph_ACHART_19" hidden="1">#REF!</definedName>
    <definedName name="_60__123Graph_XCHART_15" hidden="1">#REF!</definedName>
    <definedName name="_62__123Graph_XCHART_16" hidden="1">#REF!</definedName>
    <definedName name="_64__123Graph_XCHART_17" hidden="1">#REF!</definedName>
    <definedName name="_66__123Graph_XCHART_18" hidden="1">#REF!</definedName>
    <definedName name="_68__123Graph_XCHART_19" hidden="1">#REF!</definedName>
    <definedName name="_7__123Graph_ACHART_21" hidden="1">#REF!</definedName>
    <definedName name="_70__123Graph_XCHART_22" hidden="1">#REF!</definedName>
    <definedName name="_72__123Graph_XSEG_PIE" hidden="1">#REF!</definedName>
    <definedName name="_8__123Graph_ACHART_17" hidden="1">#REF!</definedName>
    <definedName name="_8__123Graph_ASEG_PIE" hidden="1">#REF!</definedName>
    <definedName name="_9__123Graph_BCHART_15" hidden="1">#REF!</definedName>
    <definedName name="_blk4">#REF!</definedName>
    <definedName name="_ewk4">#REF!</definedName>
    <definedName name="_Fill" hidden="1">#REF!</definedName>
    <definedName name="_ice4">#REF!</definedName>
    <definedName name="_Key1" hidden="1">#REF!</definedName>
    <definedName name="_Order1" hidden="1">255</definedName>
    <definedName name="_Order2" hidden="1">255</definedName>
    <definedName name="_pl4">#REF!</definedName>
    <definedName name="_pls4">#REF!</definedName>
    <definedName name="_ps4">#REF!</definedName>
    <definedName name="_Sort" hidden="1">#REF!</definedName>
    <definedName name="_Sum1">#REF!</definedName>
    <definedName name="_sw4">#REF!</definedName>
    <definedName name="A">#REF!</definedName>
    <definedName name="A___0">#REF!</definedName>
    <definedName name="A___18">#REF!</definedName>
    <definedName name="A_2000_Concrete">#REF!</definedName>
    <definedName name="A_2500_Concrete">#REF!</definedName>
    <definedName name="A_4">#REF!</definedName>
    <definedName name="A_5">#REF!</definedName>
    <definedName name="A_6">#REF!</definedName>
    <definedName name="A_Angle_Screed">#REF!</definedName>
    <definedName name="A_Concrete_Ang.Connection">#REF!</definedName>
    <definedName name="A_Drain_Length">#REF!</definedName>
    <definedName name="A_Hor.Screed">#REF!</definedName>
    <definedName name="A_Raft_Edge_Length">#REF!</definedName>
    <definedName name="A_raft_ver.Concrete">#REF!</definedName>
    <definedName name="A_Side_FW">#REF!</definedName>
    <definedName name="A_SStrip_L">#REF!</definedName>
    <definedName name="A_Sstrip_Side_Area">#REF!</definedName>
    <definedName name="A_T12RF">#REF!</definedName>
    <definedName name="A_T16RF">#REF!</definedName>
    <definedName name="A_T25RF">#REF!</definedName>
    <definedName name="A_T32RF">#REF!</definedName>
    <definedName name="A_Waterproofing_Ver">#REF!</definedName>
    <definedName name="AA">#REF!</definedName>
    <definedName name="AAA">#REF!</definedName>
    <definedName name="aaaaa">#REF!</definedName>
    <definedName name="abc">#REF!</definedName>
    <definedName name="AccessDatabase" hidden="1">"C:\AA-MEDIUM PROJECTS\Khaleej Times - GO 14017\Submittals Status.mdb"</definedName>
    <definedName name="accumulateamt">#REF!</definedName>
    <definedName name="AddwkAmt">#REF!</definedName>
    <definedName name="ag">#REF!</definedName>
    <definedName name="ahgd">#REF!</definedName>
    <definedName name="al">#REF!</definedName>
    <definedName name="allocation">#REF!</definedName>
    <definedName name="AmtDue">#REF!</definedName>
    <definedName name="Angle_Screed">#REF!</definedName>
    <definedName name="apart">#REF!</definedName>
    <definedName name="AREA">#REF!</definedName>
    <definedName name="areas">#REF!</definedName>
    <definedName name="aruna">#REF!</definedName>
    <definedName name="as">#REF!</definedName>
    <definedName name="ASSET">#REF!</definedName>
    <definedName name="at">#REF!</definedName>
    <definedName name="b" hidden="1">{"'Break down'!$A$4"}</definedName>
    <definedName name="BASEAREAS">#REF!</definedName>
    <definedName name="BB">#REF!</definedName>
    <definedName name="bbb">#REF!</definedName>
    <definedName name="bcis">#REF!</definedName>
    <definedName name="Bill">#REF!</definedName>
    <definedName name="BIN">#REF!</definedName>
    <definedName name="blk">#REF!</definedName>
    <definedName name="Bottom_T32_RF_Factor">#REF!</definedName>
    <definedName name="BUS">#REF!</definedName>
    <definedName name="bw">#REF!</definedName>
    <definedName name="bw4_">#REF!</definedName>
    <definedName name="bw4a">#REF!</definedName>
    <definedName name="CC">#REF!</definedName>
    <definedName name="Cell_Length_X">#REF!</definedName>
    <definedName name="Cell_length_Y">#REF!</definedName>
    <definedName name="cf">#REF!</definedName>
    <definedName name="Concrete_Ang.Connection">#REF!</definedName>
    <definedName name="Concrete_V_Connection">#REF!</definedName>
    <definedName name="cost">#REF!</definedName>
    <definedName name="coststage">#REF!</definedName>
    <definedName name="cp">#REF!</definedName>
    <definedName name="_xlnm.Criteria">#REF!</definedName>
    <definedName name="CRITERIA1">#REF!</definedName>
    <definedName name="CURRENCY">#REF!</definedName>
    <definedName name="CWAmt">#REF!</definedName>
    <definedName name="D">#REF!</definedName>
    <definedName name="dad" hidden="1">#REF!</definedName>
    <definedName name="_xlnm.Database">#REF!</definedName>
    <definedName name="dcf">#REF!</definedName>
    <definedName name="DD">#REF!</definedName>
    <definedName name="Ddt_H_Screed">#REF!</definedName>
    <definedName name="Ddt_H_Screed_AC">#REF!</definedName>
    <definedName name="dfsdfs">#REF!</definedName>
    <definedName name="DIRECT">#REF!</definedName>
    <definedName name="dk">#REF!</definedName>
    <definedName name="dk4_">#REF!</definedName>
    <definedName name="Drain_Length">#REF!</definedName>
    <definedName name="dw">#REF!</definedName>
    <definedName name="DWAmt">#REF!</definedName>
    <definedName name="E">#REF!</definedName>
    <definedName name="EE">#REF!</definedName>
    <definedName name="ELEC" hidden="1">#REF!</definedName>
    <definedName name="element">#REF!</definedName>
    <definedName name="eth" hidden="1">#REF!</definedName>
    <definedName name="ev">#REF!</definedName>
    <definedName name="ew">#REF!</definedName>
    <definedName name="ew4_">#REF!</definedName>
    <definedName name="ew4a">#REF!</definedName>
    <definedName name="ewk">#REF!</definedName>
    <definedName name="Excel_BuiltIn__FilterDatabase_1">#REF!</definedName>
    <definedName name="Excel_BuiltIn_Database_0">#REF!</definedName>
    <definedName name="External_Waterstops">#REF!</definedName>
    <definedName name="_xlnm.Extract">#REF!</definedName>
    <definedName name="F">#REF!</definedName>
    <definedName name="fc">#REF!</definedName>
    <definedName name="fdf">#REF!</definedName>
    <definedName name="FF">#REF!</definedName>
    <definedName name="fgh">#REF!</definedName>
    <definedName name="fi">#REF!</definedName>
    <definedName name="fi4_">#REF!</definedName>
    <definedName name="fi4a">#REF!</definedName>
    <definedName name="fini">#REF!</definedName>
    <definedName name="fini4">#REF!</definedName>
    <definedName name="FOHBOH">#REF!</definedName>
    <definedName name="FUNCTION">#REF!</definedName>
    <definedName name="G">#REF!</definedName>
    <definedName name="gajkbgsf">#REF!</definedName>
    <definedName name="gb">#REF!</definedName>
    <definedName name="ge">#REF!</definedName>
    <definedName name="GENERAL">#REF!</definedName>
    <definedName name="gg">#REF!</definedName>
    <definedName name="ggg">#REF!</definedName>
    <definedName name="GH">#REF!</definedName>
    <definedName name="GONGGA">#REF!</definedName>
    <definedName name="GONGJANG">#REF!</definedName>
    <definedName name="guest">#REF!</definedName>
    <definedName name="GYS">#REF!</definedName>
    <definedName name="H">#REF!</definedName>
    <definedName name="hae">#REF!</definedName>
    <definedName name="HH">#REF!</definedName>
    <definedName name="hjhjhjhkljh">#REF!</definedName>
    <definedName name="hjjjj">#REF!</definedName>
    <definedName name="hkhkhkj">#REF!</definedName>
    <definedName name="HKKILJI">#REF!</definedName>
    <definedName name="hom">#REF!</definedName>
    <definedName name="homer">#REF!</definedName>
    <definedName name="homerun">#REF!</definedName>
    <definedName name="HTML_CodePage" hidden="1">9</definedName>
    <definedName name="HTML_Control" hidden="1">{"'Break down'!$A$4"}</definedName>
    <definedName name="HTML_Description" hidden="1">""</definedName>
    <definedName name="HTML_Email" hidden="1">""</definedName>
    <definedName name="HTML_Header" hidden="1">"Break down"</definedName>
    <definedName name="HTML_LastUpdate" hidden="1">"6/7/98"</definedName>
    <definedName name="HTML_LineAfter" hidden="1">FALSE</definedName>
    <definedName name="HTML_LineBefore" hidden="1">FALSE</definedName>
    <definedName name="HTML_Name" hidden="1">"PAUL MATHEW"</definedName>
    <definedName name="HTML_OBDlg2" hidden="1">TRUE</definedName>
    <definedName name="HTML_OBDlg4" hidden="1">TRUE</definedName>
    <definedName name="HTML_OS" hidden="1">0</definedName>
    <definedName name="HTML_PathFile" hidden="1">"C:\WINDOWS\MSAPPS\MyHTML.htm"</definedName>
    <definedName name="HTML_Title" hidden="1">"Break_down"</definedName>
    <definedName name="HYTH">#REF!</definedName>
    <definedName name="ice">#REF!</definedName>
    <definedName name="ILGA">#REF!</definedName>
    <definedName name="intext">#REF!</definedName>
    <definedName name="J">#REF!</definedName>
    <definedName name="K">#REF!</definedName>
    <definedName name="KAJLJ">#REF!</definedName>
    <definedName name="KAJLJ1">#REF!</definedName>
    <definedName name="KD">#REF!</definedName>
    <definedName name="KL">#REF!</definedName>
    <definedName name="L">#REF!</definedName>
    <definedName name="LABOR">#REF!</definedName>
    <definedName name="Length_of_the_cell__X_direction__m">#REF!</definedName>
    <definedName name="Length_Vertical_Raft">#REF!</definedName>
    <definedName name="LIB">#REF!</definedName>
    <definedName name="LL">#REF!</definedName>
    <definedName name="LLL">#REF!</definedName>
    <definedName name="M">#REF!</definedName>
    <definedName name="M_Angle_Screed">#REF!</definedName>
    <definedName name="mep">#REF!</definedName>
    <definedName name="MONTHS">#REF!</definedName>
    <definedName name="mr">#REF!</definedName>
    <definedName name="mt">#REF!</definedName>
    <definedName name="MUP">#REF!</definedName>
    <definedName name="N">#REF!</definedName>
    <definedName name="NewPrintArea">#REF!</definedName>
    <definedName name="NewPrintAreaMi">#REF!</definedName>
    <definedName name="NRM">#REF!</definedName>
    <definedName name="nsc이익금">#REF!</definedName>
    <definedName name="P">#REF!</definedName>
    <definedName name="p4s">#REF!</definedName>
    <definedName name="page">#REF!</definedName>
    <definedName name="page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1">#REF!</definedName>
    <definedName name="page12">#REF!</definedName>
    <definedName name="page13">#REF!</definedName>
    <definedName name="page14">#REF!</definedName>
    <definedName name="page15">#REF!</definedName>
    <definedName name="page16">#REF!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2">#REF!</definedName>
    <definedName name="page20">#REF!</definedName>
    <definedName name="page21">#REF!</definedName>
    <definedName name="page22">#REF!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#REF!</definedName>
    <definedName name="page30">#REF!</definedName>
    <definedName name="page31">#REF!</definedName>
    <definedName name="page32">#REF!</definedName>
    <definedName name="page33">#REF!</definedName>
    <definedName name="page34">#REF!</definedName>
    <definedName name="page35">#REF!</definedName>
    <definedName name="page36">#REF!</definedName>
    <definedName name="page37">#REF!</definedName>
    <definedName name="page38">#REF!</definedName>
    <definedName name="page39">#REF!</definedName>
    <definedName name="page4">#REF!</definedName>
    <definedName name="page40">#REF!</definedName>
    <definedName name="page41">#REF!</definedName>
    <definedName name="page42">#REF!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5">#REF!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1">#REF!</definedName>
    <definedName name="page82">#REF!</definedName>
    <definedName name="page83">#REF!</definedName>
    <definedName name="page84">#REF!</definedName>
    <definedName name="page85">#REF!</definedName>
    <definedName name="page86">#REF!</definedName>
    <definedName name="page87">#REF!</definedName>
    <definedName name="page88">#REF!</definedName>
    <definedName name="page89">#REF!</definedName>
    <definedName name="page9">#REF!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rt_no">#REF!</definedName>
    <definedName name="pc">#REF!</definedName>
    <definedName name="pg">#REF!</definedName>
    <definedName name="Piles">#REF!</definedName>
    <definedName name="Pit_2000_Concrete">#REF!</definedName>
    <definedName name="Pit_2500_Concrete">#REF!</definedName>
    <definedName name="Pit_Ddt_H_Screed">#REF!</definedName>
    <definedName name="Pit_FW">#REF!</definedName>
    <definedName name="Pit_Sloping_Screed">#REF!</definedName>
    <definedName name="Pit_T25_RF">#REF!</definedName>
    <definedName name="Pit_T32_Concrete">#REF!</definedName>
    <definedName name="pl">#REF!</definedName>
    <definedName name="pl4a">#REF!</definedName>
    <definedName name="plst">#REF!</definedName>
    <definedName name="poc">#REF!</definedName>
    <definedName name="podareas">#REF!</definedName>
    <definedName name="postt">#REF!</definedName>
    <definedName name="Prefab">#REF!</definedName>
    <definedName name="_xlnm.Print_Area" localSheetId="1">B6_PS!$A$1:$D$178</definedName>
    <definedName name="_xlnm.Print_Area" localSheetId="0">'Fly-Bill 6'!$A$1:$J$50</definedName>
    <definedName name="_xlnm.Print_Area">#REF!</definedName>
    <definedName name="PRINT_AREA_MI">#REF!</definedName>
    <definedName name="PRINT_AREA_MI1">#REF!</definedName>
    <definedName name="print_chart">#REF!</definedName>
    <definedName name="PRINT_ENGR">#REF!</definedName>
    <definedName name="print_input">#REF!</definedName>
    <definedName name="PRINT_TITLE">#REF!</definedName>
    <definedName name="_xlnm.Print_Titles" localSheetId="1">B6_PS!$1:$1</definedName>
    <definedName name="Print_Titles_MI">#REF!</definedName>
    <definedName name="Print_Titles_MI___0">#REF!</definedName>
    <definedName name="Print_Titles_MI___18">#REF!</definedName>
    <definedName name="Proc_Form">#REF!</definedName>
    <definedName name="PROCESS_ACT">#REF!</definedName>
    <definedName name="PROCESS_PLAN">#REF!</definedName>
    <definedName name="ps">#REF!</definedName>
    <definedName name="Q">#REF!</definedName>
    <definedName name="Raft_Edge_A_2000">#REF!</definedName>
    <definedName name="Raft_Edge_A_2500">#REF!</definedName>
    <definedName name="Raft_Edge_L_2000">#REF!</definedName>
    <definedName name="Raft_Edge_L_2500">#REF!</definedName>
    <definedName name="rate">#REF!</definedName>
    <definedName name="rebar">#REF!</definedName>
    <definedName name="RiskAutoStopPercChange">1.5</definedName>
    <definedName name="RiskCollectDistributionSamples">2</definedName>
    <definedName name="RiskExcelReportsGoInNewWorkbook">TRUE</definedName>
    <definedName name="RiskExcelReportsToGenerate">33</definedName>
    <definedName name="RiskFixedSeed">1</definedName>
    <definedName name="RiskGenerateExcelReportsAtEndOfSimulation">FALSE</definedName>
    <definedName name="RiskHasSettings">TRUE</definedName>
    <definedName name="RiskMinimizeOnStart">FALSE</definedName>
    <definedName name="RiskMonitorConvergence">TRUE</definedName>
    <definedName name="RiskNumIterations">10000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0</definedName>
    <definedName name="RiskStatFunctionsUpdateFreq">1</definedName>
    <definedName name="RiskTemplateSheetName">"myTemplate"</definedName>
    <definedName name="RiskUpdateDisplay">TRUE</definedName>
    <definedName name="RiskUpdateStatFunctions">TRUE</definedName>
    <definedName name="RiskUseDifferentSeedForEachSim">FALSE</definedName>
    <definedName name="RiskUseFixedSeed">FALSE</definedName>
    <definedName name="RiskUseMultipleCPUs">FALSE</definedName>
    <definedName name="S">#REF!</definedName>
    <definedName name="saeed">#REF!</definedName>
    <definedName name="SALARY">#REF!</definedName>
    <definedName name="sc">#REF!</definedName>
    <definedName name="sector">#REF!</definedName>
    <definedName name="sfdf">#REF!</definedName>
    <definedName name="SHEET">#REF!</definedName>
    <definedName name="SideFW_Ang.Connection">#REF!</definedName>
    <definedName name="SideFW_V_Connection">#REF!</definedName>
    <definedName name="Slab_Area_2000">#REF!</definedName>
    <definedName name="Slab_Area_2500">#REF!</definedName>
    <definedName name="SlabArea">#REF!</definedName>
    <definedName name="ss">#REF!</definedName>
    <definedName name="sssss">#REF!</definedName>
    <definedName name="SStrip_2000_Concrete">#REF!</definedName>
    <definedName name="SStrip_2500_Concrete">#REF!</definedName>
    <definedName name="SStrip_A">#REF!</definedName>
    <definedName name="SStrip_Area_2000">#REF!</definedName>
    <definedName name="SStrip_Area_2500">#REF!</definedName>
    <definedName name="SStrip_L">#REF!</definedName>
    <definedName name="SSttip_Area">#REF!</definedName>
    <definedName name="STAFF">#REF!</definedName>
    <definedName name="stage">#REF!</definedName>
    <definedName name="stl">#REF!</definedName>
    <definedName name="stop" hidden="1">#REF!</definedName>
    <definedName name="sub">#REF!</definedName>
    <definedName name="subs">#REF!</definedName>
    <definedName name="subs4">#REF!</definedName>
    <definedName name="subs4a">#REF!</definedName>
    <definedName name="SUM" hidden="1">{"'Sheet1 (2)'!$A$1:$C$61"}</definedName>
    <definedName name="Summary">#REF!</definedName>
    <definedName name="sup">#REF!</definedName>
    <definedName name="sups">#REF!</definedName>
    <definedName name="sups4">#REF!</definedName>
    <definedName name="sups4a">#REF!</definedName>
    <definedName name="sw">#REF!</definedName>
    <definedName name="sw4a">#REF!</definedName>
    <definedName name="SWE">#REF!</definedName>
    <definedName name="T">#REF!</definedName>
    <definedName name="T12_Add_RF">#REF!</definedName>
    <definedName name="T16_Add_RF">#REF!</definedName>
    <definedName name="T25_Add_RF">#REF!</definedName>
    <definedName name="T25_Ang.Connection">#REF!</definedName>
    <definedName name="T25_Ver_Connection">#REF!</definedName>
    <definedName name="T32_Add_RF">#REF!</definedName>
    <definedName name="T32_Ver_Connection">#REF!</definedName>
    <definedName name="TABLE">#REF!</definedName>
    <definedName name="temp" hidden="1">{"'Break down'!$A$4"}</definedName>
    <definedName name="Top_T25_RF_factor">#REF!</definedName>
    <definedName name="Total_Area">#REF!</definedName>
    <definedName name="total_bill1">#REF!</definedName>
    <definedName name="total_bill3">#REF!</definedName>
    <definedName name="total_bill4">#REF!</definedName>
    <definedName name="total_bill5">#REF!</definedName>
    <definedName name="total_bill6">#REF!</definedName>
    <definedName name="total_bill7">#REF!</definedName>
    <definedName name="total_fluctuation">#REF!</definedName>
    <definedName name="total_mos">#REF!</definedName>
    <definedName name="ttt">#REF!</definedName>
    <definedName name="type">#REF!</definedName>
    <definedName name="U">#REF!</definedName>
    <definedName name="ubaid" hidden="1">{#N/A,#N/A,FALSE,"VCR"}</definedName>
    <definedName name="Ubaide" hidden="1">{#N/A,#N/A,FALSE,"VCR"}</definedName>
    <definedName name="use">#REF!</definedName>
    <definedName name="UY">#REF!</definedName>
    <definedName name="V">#REF!</definedName>
    <definedName name="V_waterproofing">#REF!</definedName>
    <definedName name="V_Waterproofing_Area">#REF!</definedName>
    <definedName name="w">#REF!</definedName>
    <definedName name="WAGE">#REF!</definedName>
    <definedName name="Waterstops_Compartmantalization">#REF!</definedName>
    <definedName name="Width_of_the_cell_Y_direction__m">#REF!</definedName>
    <definedName name="wp">#REF!</definedName>
    <definedName name="wrn.Chandana." hidden="1">{#N/A,#N/A,FALSE,"VCR"}</definedName>
    <definedName name="wrn.PRINT._.REPORT." hidden="1">{#N/A,#N/A,FALSE,"summary";#N/A,#N/A,FALSE,"preliminy";#N/A,#N/A,FALSE,"bill 3";#N/A,#N/A,FALSE,"bill 4"}</definedName>
    <definedName name="X">#REF!</definedName>
    <definedName name="xvxc">#REF!</definedName>
    <definedName name="Y">#REF!</definedName>
    <definedName name="yjhyj">#REF!</definedName>
    <definedName name="Z">#REF!</definedName>
    <definedName name="자금수지이자">#REF!</definedName>
    <definedName name="직접공사비계">#REF!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93" i="25" l="1"/>
  <c r="D92" i="25"/>
  <c r="D86" i="25"/>
  <c r="D82" i="25"/>
  <c r="D85" i="25" l="1"/>
  <c r="D81" i="25"/>
  <c r="D120" i="25" s="1"/>
  <c r="D130" i="25" s="1"/>
  <c r="D46" i="25" l="1"/>
  <c r="D67" i="25" l="1"/>
  <c r="D68" i="25"/>
  <c r="D64" i="25" l="1"/>
  <c r="D63" i="25" l="1"/>
  <c r="D60" i="25"/>
  <c r="D56" i="25"/>
  <c r="D52" i="25"/>
  <c r="D48" i="25"/>
  <c r="D44" i="25"/>
  <c r="D40" i="25" l="1"/>
  <c r="D25" i="25"/>
  <c r="D21" i="25"/>
  <c r="D17" i="25"/>
  <c r="D59" i="25" l="1"/>
  <c r="D47" i="25" l="1"/>
  <c r="D39" i="25" l="1"/>
  <c r="D55" i="25"/>
  <c r="D51" i="25"/>
  <c r="D43" i="25"/>
  <c r="D76" i="25" l="1"/>
  <c r="D24" i="25"/>
  <c r="D20" i="25"/>
  <c r="D16" i="25"/>
  <c r="D34" i="25" l="1"/>
  <c r="D126" i="25" s="1"/>
  <c r="D128" i="25" l="1"/>
  <c r="D177" i="25" l="1"/>
</calcChain>
</file>

<file path=xl/sharedStrings.xml><?xml version="1.0" encoding="utf-8"?>
<sst xmlns="http://schemas.openxmlformats.org/spreadsheetml/2006/main" count="92" uniqueCount="44">
  <si>
    <t>Description</t>
  </si>
  <si>
    <t>Item</t>
  </si>
  <si>
    <t>Unit</t>
  </si>
  <si>
    <t>AED</t>
  </si>
  <si>
    <t>BILL NO. 6</t>
  </si>
  <si>
    <t>Stripping out of parking floors/reinstatement</t>
  </si>
  <si>
    <t>Amount
AED</t>
  </si>
  <si>
    <t>To Collection   AED</t>
  </si>
  <si>
    <t>COLLECTION</t>
  </si>
  <si>
    <t>Page 6/PS/1</t>
  </si>
  <si>
    <t>TOTAL FOR BILL NO. 6 - PROVISIONAL SUMS</t>
  </si>
  <si>
    <t>PROVISIONAL SUMS</t>
  </si>
  <si>
    <t>Generally</t>
  </si>
  <si>
    <t>The work to be done and/or Plant to be provided which is covered by the following Provisional Sums form part of the Works and shall be completed within the applicable Time for Completion.</t>
  </si>
  <si>
    <t>Items of Work to be Tendered</t>
  </si>
  <si>
    <t xml:space="preserve">Vehicular parking guidance system updates </t>
  </si>
  <si>
    <t>Sum</t>
  </si>
  <si>
    <t>Provisional Sums below shall be deducted from the Contract Sum and the value of work done and / or Plant provided to which such Provisional Sums relate shall be determined by Competitive Tendering by the Contractor with approval from the Employer in accordance with the Particular Conditions of Contract and the Provisional Sums Joint Procurement Procedure</t>
  </si>
  <si>
    <r>
      <t>The Employer shall ascertain and determine by measurement the value of work done and/or Plant provided to which the following Provisional Sums relate in accordance with Sub-</t>
    </r>
    <r>
      <rPr>
        <u/>
        <sz val="11"/>
        <rFont val="Arial"/>
        <family val="2"/>
      </rPr>
      <t>Clause 13.5</t>
    </r>
    <r>
      <rPr>
        <i/>
        <u/>
        <sz val="11"/>
        <rFont val="Arial"/>
        <family val="2"/>
      </rPr>
      <t xml:space="preserve"> [Provisional Sums]</t>
    </r>
    <r>
      <rPr>
        <u/>
        <sz val="11"/>
        <rFont val="Arial"/>
        <family val="2"/>
      </rPr>
      <t xml:space="preserve"> of the Conditions of Contract, which shall be subject to or 'Equivalent' for each trade by the Employer</t>
    </r>
  </si>
  <si>
    <t xml:space="preserve">Overhead &amp; Profit </t>
  </si>
  <si>
    <t>A</t>
  </si>
  <si>
    <t>Page 6/PS/2</t>
  </si>
  <si>
    <t>B</t>
  </si>
  <si>
    <t>C</t>
  </si>
  <si>
    <t>Tenant's Hoarding</t>
  </si>
  <si>
    <t>Installation (Only) of hanging sculpture (to be supplied by others)</t>
  </si>
  <si>
    <t>Relocation / protecting of any existing services which may hinder stormwater tank construction works.</t>
  </si>
  <si>
    <t>D</t>
  </si>
  <si>
    <t>Builders work &amp; Attendance ____% [to be inserted by the Tenderer]</t>
  </si>
  <si>
    <t>East façade enhancement  to the front Al Khail Road elevation, excluding the media screen (by others), including necessary components and accessories; structural supports including sub-frames, steel supports, flashing, expansion joints, fixing, finishes, power and data from the electrical rooms to the media screen including conduiting, cabling and wiring; coordination; and all ancillary works as necessary.</t>
  </si>
  <si>
    <t>E</t>
  </si>
  <si>
    <t>F</t>
  </si>
  <si>
    <t>Fire Rate Glass Partition Walls to the Lift / Escalator Lobbies as per PTC 26</t>
  </si>
  <si>
    <t>Changes due to leasing requirements</t>
  </si>
  <si>
    <t>G</t>
  </si>
  <si>
    <t>Internal finishes, FF&amp;E and Services; to Offices</t>
  </si>
  <si>
    <t>H</t>
  </si>
  <si>
    <t>Builders work associated with Empower connection</t>
  </si>
  <si>
    <t>Supply and installation of 1 no. replacement glass panel to main skylight roof. To the best of the Contractors ability the glass is to match the existing specification including colour. The Contractor shall provide samples if necessary for the Employers approval. In the interim until the glass is replaced the Contractor shall install temporary measures to seal the building and make it weather tight</t>
  </si>
  <si>
    <t>Page 6/PS/3</t>
  </si>
  <si>
    <t>Filling or closing any existing as built voids which are not required in the final redevelopment design.</t>
  </si>
  <si>
    <t>Allow for dismantling / relocation of existing services at tenant
shopfront; and all ancillary works as necessary; design and build
by Contractor (new construction of fire rated steel support and fire rated cladding by others)</t>
  </si>
  <si>
    <t>Dutco Proposed Provisional Sum</t>
  </si>
  <si>
    <t xml:space="preserve">Proposed Provisional Sum for additional costs following DEWA Sub Pack documents issued through PTC35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</si>
</sst>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 #,##0.0000_);_(* \(#,##0.0000\);_(* &quot;-&quot;????_);_(@_)"/>
    <numFmt numFmtId="166" formatCode="_(* #,##0.000_);_(* \(#,##0.000\);_(* &quot;-&quot;???_);_(@_)"/>
  </numFmts>
  <fonts count="24"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Calibri"/>
      <family val="2"/>
      <scheme val="minor"/>
    </font>
    <font>
      <sz val="11"/>
      <color theme="1"/>
      <name val="Arial"/>
      <family val="2"/>
    </font>
    <font>
      <sz val="11"/>
      <color indexed="8"/>
      <name val="Arial"/>
      <family val="2"/>
    </font>
    <font>
      <u/>
      <sz val="11"/>
      <color indexed="8"/>
      <name val="Arial"/>
      <family val="2"/>
    </font>
    <font>
      <u/>
      <sz val="11"/>
      <color rgb="FF000000"/>
      <name val="Arial"/>
      <family val="2"/>
    </font>
    <font>
      <sz val="11"/>
      <color rgb="FF000000"/>
      <name val="Arial"/>
      <family val="2"/>
    </font>
    <font>
      <sz val="1"/>
      <color rgb="FF000000"/>
      <name val="Arial"/>
      <family val="2"/>
    </font>
    <font>
      <i/>
      <sz val="11"/>
      <color rgb="FF000000"/>
      <name val="Arial"/>
      <family val="2"/>
    </font>
    <font>
      <u/>
      <sz val="11"/>
      <color theme="1"/>
      <name val="Arial"/>
      <family val="2"/>
    </font>
    <font>
      <b/>
      <sz val="11"/>
      <color theme="1"/>
      <name val="Arial"/>
      <family val="2"/>
    </font>
    <font>
      <u/>
      <sz val="11"/>
      <name val="Arial"/>
      <family val="2"/>
    </font>
    <font>
      <i/>
      <u/>
      <sz val="11"/>
      <name val="Arial"/>
      <family val="2"/>
    </font>
    <font>
      <sz val="10"/>
      <name val="Arial"/>
      <family val="2"/>
    </font>
    <font>
      <sz val="11"/>
      <name val="Arial"/>
      <family val="2"/>
    </font>
    <font>
      <sz val="8"/>
      <name val="Arial"/>
      <family val="2"/>
    </font>
    <font>
      <b/>
      <sz val="10"/>
      <color rgb="FFFF0000"/>
      <name val="Arial"/>
      <family val="2"/>
    </font>
    <font>
      <sz val="10"/>
      <name val="Arial"/>
      <family val="2"/>
    </font>
    <font>
      <b/>
      <sz val="11"/>
      <color rgb="FF000000"/>
      <name val="Arial"/>
      <family val="2"/>
    </font>
    <font>
      <b/>
      <u/>
      <sz val="11"/>
      <color rgb="FFFF0000"/>
      <name val="Arial"/>
      <family val="2"/>
    </font>
  </fonts>
  <fills count="3">
    <fill>
      <patternFill patternType="none"/>
    </fill>
    <fill>
      <patternFill patternType="gray125"/>
    </fill>
    <fill>
      <patternFill patternType="solid">
        <fgColor rgb="FFFFFFFF"/>
        <bgColor indexed="64"/>
      </patternFill>
    </fill>
  </fills>
  <borders count="15">
    <border>
      <left/>
      <right/>
      <top/>
      <bottom/>
      <diagonal/>
    </border>
    <border>
      <left style="thin">
        <color auto="1"/>
      </left>
      <right style="thin">
        <color auto="1"/>
      </right>
      <top/>
      <bottom/>
      <diagonal/>
    </border>
    <border>
      <left style="thin">
        <color auto="1"/>
      </left>
      <right style="double">
        <color auto="1"/>
      </right>
      <top/>
      <bottom/>
      <diagonal/>
    </border>
    <border>
      <left style="double">
        <color auto="1"/>
      </left>
      <right style="thin">
        <color auto="1"/>
      </right>
      <top/>
      <bottom/>
      <diagonal/>
    </border>
    <border>
      <left style="thin">
        <color indexed="64"/>
      </left>
      <right style="thin">
        <color indexed="64"/>
      </right>
      <top style="thin">
        <color indexed="64"/>
      </top>
      <bottom/>
      <diagonal/>
    </border>
    <border>
      <left style="thin">
        <color auto="1"/>
      </left>
      <right style="thin">
        <color auto="1"/>
      </right>
      <top/>
      <bottom style="thin">
        <color auto="1"/>
      </bottom>
      <diagonal/>
    </border>
    <border>
      <left style="double">
        <color auto="1"/>
      </left>
      <right style="thin">
        <color auto="1"/>
      </right>
      <top/>
      <bottom style="thin">
        <color auto="1"/>
      </bottom>
      <diagonal/>
    </border>
    <border>
      <left/>
      <right style="thin">
        <color auto="1"/>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s>
  <cellStyleXfs count="38">
    <xf numFmtId="0" fontId="0" fillId="0" borderId="0"/>
    <xf numFmtId="0" fontId="5" fillId="0" borderId="0"/>
    <xf numFmtId="164" fontId="4" fillId="0" borderId="0" applyFont="0" applyFill="0" applyBorder="0" applyAlignment="0" applyProtection="0"/>
    <xf numFmtId="164" fontId="5" fillId="0" borderId="0" applyFont="0" applyFill="0" applyBorder="0" applyAlignment="0" applyProtection="0"/>
    <xf numFmtId="0" fontId="3" fillId="0" borderId="0"/>
    <xf numFmtId="0" fontId="4" fillId="0" borderId="0"/>
    <xf numFmtId="43" fontId="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4" fillId="0" borderId="0"/>
    <xf numFmtId="0" fontId="4" fillId="0" borderId="0"/>
    <xf numFmtId="0" fontId="4" fillId="0" borderId="0"/>
    <xf numFmtId="0" fontId="9" fillId="2" borderId="0">
      <alignment horizontal="center" vertical="center"/>
    </xf>
    <xf numFmtId="0" fontId="9" fillId="2" borderId="0">
      <alignment horizontal="left" vertical="center"/>
    </xf>
    <xf numFmtId="0" fontId="10" fillId="2" borderId="0">
      <alignment horizontal="center" vertical="top"/>
    </xf>
    <xf numFmtId="0" fontId="10" fillId="2" borderId="0">
      <alignment horizontal="left" vertical="top"/>
    </xf>
    <xf numFmtId="0" fontId="10" fillId="2" borderId="0">
      <alignment horizontal="center"/>
    </xf>
    <xf numFmtId="0" fontId="9" fillId="2" borderId="0">
      <alignment horizontal="left" vertical="top"/>
    </xf>
    <xf numFmtId="0" fontId="10" fillId="2" borderId="0">
      <alignment horizontal="center" vertical="top"/>
    </xf>
    <xf numFmtId="0" fontId="10" fillId="2" borderId="0">
      <alignment horizontal="center"/>
    </xf>
    <xf numFmtId="0" fontId="11" fillId="2" borderId="0">
      <alignment horizontal="left" vertical="top"/>
    </xf>
    <xf numFmtId="0" fontId="10" fillId="2" borderId="0">
      <alignment horizontal="center" vertical="center"/>
    </xf>
    <xf numFmtId="0" fontId="10" fillId="2" borderId="0">
      <alignment horizontal="center" vertical="center"/>
    </xf>
    <xf numFmtId="0" fontId="10" fillId="2" borderId="0">
      <alignment horizontal="center" vertical="center"/>
    </xf>
    <xf numFmtId="0" fontId="4" fillId="0" borderId="0"/>
    <xf numFmtId="0" fontId="11" fillId="2" borderId="0">
      <alignment horizontal="left" vertical="top"/>
    </xf>
    <xf numFmtId="0" fontId="9" fillId="2" borderId="0">
      <alignment horizontal="center" vertical="center"/>
    </xf>
    <xf numFmtId="0" fontId="9" fillId="2" borderId="0">
      <alignment horizontal="left" vertical="center"/>
    </xf>
    <xf numFmtId="0" fontId="10" fillId="2" borderId="0">
      <alignment horizontal="center" vertical="top"/>
    </xf>
    <xf numFmtId="0" fontId="12" fillId="2" borderId="0">
      <alignment horizontal="left" vertical="top"/>
    </xf>
    <xf numFmtId="0" fontId="10" fillId="2" borderId="0">
      <alignment horizontal="left" vertical="top"/>
    </xf>
    <xf numFmtId="43" fontId="17" fillId="0" borderId="0" applyFont="0" applyFill="0" applyBorder="0" applyAlignment="0" applyProtection="0"/>
    <xf numFmtId="0" fontId="1" fillId="0" borderId="0"/>
    <xf numFmtId="9" fontId="21" fillId="0" borderId="0" applyFont="0" applyFill="0" applyBorder="0" applyAlignment="0" applyProtection="0"/>
    <xf numFmtId="0" fontId="10" fillId="2" borderId="0">
      <alignment horizontal="center" vertical="top"/>
    </xf>
    <xf numFmtId="0" fontId="10" fillId="2" borderId="0">
      <alignment horizontal="left" vertical="top"/>
    </xf>
    <xf numFmtId="0" fontId="11" fillId="2" borderId="0">
      <alignment horizontal="left" vertical="top"/>
    </xf>
    <xf numFmtId="0" fontId="12" fillId="2" borderId="0">
      <alignment horizontal="left" vertical="top"/>
    </xf>
  </cellStyleXfs>
  <cellXfs count="99">
    <xf numFmtId="0" fontId="0" fillId="0" borderId="0" xfId="0"/>
    <xf numFmtId="0" fontId="8" fillId="0" borderId="0" xfId="4" applyFont="1" applyAlignment="1">
      <alignment vertical="top"/>
    </xf>
    <xf numFmtId="0" fontId="3" fillId="0" borderId="0" xfId="4"/>
    <xf numFmtId="0" fontId="8" fillId="0" borderId="0" xfId="4" applyFont="1" applyAlignment="1">
      <alignment horizontal="center" vertical="top"/>
    </xf>
    <xf numFmtId="0" fontId="8" fillId="0" borderId="0" xfId="4" applyFont="1" applyAlignment="1">
      <alignment vertical="top" wrapText="1"/>
    </xf>
    <xf numFmtId="4" fontId="8" fillId="0" borderId="0" xfId="4" applyNumberFormat="1" applyFont="1"/>
    <xf numFmtId="0" fontId="7" fillId="0" borderId="0" xfId="4" applyFont="1" applyAlignment="1">
      <alignment horizontal="center" vertical="top"/>
    </xf>
    <xf numFmtId="0" fontId="7" fillId="0" borderId="0" xfId="4" applyFont="1" applyAlignment="1">
      <alignment vertical="top" wrapText="1"/>
    </xf>
    <xf numFmtId="3" fontId="7" fillId="0" borderId="0" xfId="4" applyNumberFormat="1" applyFont="1" applyAlignment="1">
      <alignment horizontal="right"/>
    </xf>
    <xf numFmtId="3" fontId="7" fillId="0" borderId="0" xfId="4" applyNumberFormat="1" applyFont="1" applyAlignment="1">
      <alignment horizontal="center"/>
    </xf>
    <xf numFmtId="4" fontId="7" fillId="0" borderId="0" xfId="4" applyNumberFormat="1" applyFont="1" applyAlignment="1">
      <alignment horizontal="right"/>
    </xf>
    <xf numFmtId="0" fontId="8" fillId="0" borderId="0" xfId="4" applyFont="1" applyAlignment="1">
      <alignment horizontal="center" vertical="top" wrapText="1"/>
    </xf>
    <xf numFmtId="0" fontId="10" fillId="0" borderId="3" xfId="20" applyFont="1" applyFill="1" applyBorder="1" applyAlignment="1" applyProtection="1">
      <alignment vertical="top" wrapText="1"/>
      <protection locked="0"/>
    </xf>
    <xf numFmtId="164" fontId="10" fillId="0" borderId="1" xfId="2" applyFont="1" applyBorder="1" applyAlignment="1" applyProtection="1">
      <alignment vertical="top" wrapText="1"/>
      <protection locked="0"/>
    </xf>
    <xf numFmtId="0" fontId="6" fillId="0" borderId="13" xfId="24" applyFont="1" applyBorder="1" applyAlignment="1" applyProtection="1">
      <alignment horizontal="center" vertical="top" wrapText="1"/>
      <protection locked="0"/>
    </xf>
    <xf numFmtId="0" fontId="6" fillId="0" borderId="13" xfId="24" applyFont="1" applyBorder="1" applyAlignment="1" applyProtection="1">
      <alignment wrapText="1"/>
      <protection locked="0"/>
    </xf>
    <xf numFmtId="0" fontId="10" fillId="0" borderId="6" xfId="20" applyFont="1" applyFill="1" applyBorder="1" applyAlignment="1" applyProtection="1">
      <alignment vertical="top" wrapText="1"/>
      <protection locked="0"/>
    </xf>
    <xf numFmtId="164" fontId="10" fillId="0" borderId="5" xfId="2" applyFont="1" applyBorder="1" applyAlignment="1" applyProtection="1">
      <alignment vertical="top" wrapText="1"/>
      <protection locked="0"/>
    </xf>
    <xf numFmtId="0" fontId="6" fillId="0" borderId="0" xfId="24" applyFont="1" applyAlignment="1" applyProtection="1">
      <alignment wrapText="1"/>
      <protection locked="0"/>
    </xf>
    <xf numFmtId="164" fontId="6" fillId="0" borderId="0" xfId="2" applyFont="1" applyAlignment="1" applyProtection="1">
      <alignment wrapText="1"/>
      <protection locked="0"/>
    </xf>
    <xf numFmtId="0" fontId="10" fillId="0" borderId="10" xfId="21" applyFill="1" applyBorder="1" applyAlignment="1">
      <alignment horizontal="center" vertical="center" wrapText="1"/>
    </xf>
    <xf numFmtId="0" fontId="10" fillId="0" borderId="10" xfId="22" applyFill="1" applyBorder="1" applyAlignment="1">
      <alignment horizontal="center" vertical="center" wrapText="1"/>
    </xf>
    <xf numFmtId="0" fontId="10" fillId="0" borderId="13" xfId="25" applyFont="1" applyFill="1" applyBorder="1" applyAlignment="1">
      <alignment horizontal="center" vertical="top" wrapText="1"/>
    </xf>
    <xf numFmtId="0" fontId="10" fillId="0" borderId="13" xfId="25" applyFont="1" applyFill="1" applyBorder="1" applyAlignment="1">
      <alignment horizontal="left" vertical="top" wrapText="1"/>
    </xf>
    <xf numFmtId="0" fontId="6" fillId="0" borderId="13" xfId="24" applyFont="1" applyBorder="1" applyAlignment="1">
      <alignment horizontal="center" vertical="top" wrapText="1"/>
    </xf>
    <xf numFmtId="0" fontId="9" fillId="0" borderId="1" xfId="26" applyFill="1" applyBorder="1" applyAlignment="1">
      <alignment horizontal="center" vertical="center" wrapText="1"/>
    </xf>
    <xf numFmtId="0" fontId="9" fillId="0" borderId="1" xfId="26" applyFill="1" applyBorder="1" applyAlignment="1">
      <alignment vertical="center" wrapText="1"/>
    </xf>
    <xf numFmtId="0" fontId="9" fillId="0" borderId="1" xfId="27" applyFill="1" applyBorder="1" applyAlignment="1">
      <alignment vertical="center" wrapText="1"/>
    </xf>
    <xf numFmtId="0" fontId="10" fillId="0" borderId="13" xfId="28" applyFill="1" applyBorder="1" applyAlignment="1">
      <alignment horizontal="center" vertical="top" wrapText="1"/>
    </xf>
    <xf numFmtId="0" fontId="10" fillId="0" borderId="13" xfId="29" applyFont="1" applyFill="1" applyBorder="1" applyAlignment="1">
      <alignment horizontal="left" vertical="top" wrapText="1"/>
    </xf>
    <xf numFmtId="0" fontId="6" fillId="0" borderId="13" xfId="24" applyFont="1" applyBorder="1" applyAlignment="1">
      <alignment wrapText="1"/>
    </xf>
    <xf numFmtId="0" fontId="9" fillId="0" borderId="13" xfId="29" applyFont="1" applyFill="1" applyBorder="1" applyAlignment="1">
      <alignment horizontal="left" vertical="top" wrapText="1"/>
    </xf>
    <xf numFmtId="0" fontId="10" fillId="0" borderId="8" xfId="28" applyFill="1" applyBorder="1" applyAlignment="1">
      <alignment horizontal="center" vertical="top" wrapText="1"/>
    </xf>
    <xf numFmtId="0" fontId="10" fillId="0" borderId="8" xfId="30" applyFill="1" applyBorder="1" applyAlignment="1">
      <alignment horizontal="left" vertical="top" wrapText="1"/>
    </xf>
    <xf numFmtId="0" fontId="10" fillId="0" borderId="0" xfId="28" applyFill="1" applyAlignment="1">
      <alignment horizontal="center" vertical="top" wrapText="1"/>
    </xf>
    <xf numFmtId="0" fontId="10" fillId="0" borderId="0" xfId="30" applyFill="1" applyAlignment="1">
      <alignment horizontal="left" vertical="top" wrapText="1"/>
    </xf>
    <xf numFmtId="0" fontId="10" fillId="0" borderId="13" xfId="30" applyFill="1" applyBorder="1" applyAlignment="1">
      <alignment horizontal="left" vertical="top" wrapText="1"/>
    </xf>
    <xf numFmtId="0" fontId="10" fillId="0" borderId="2" xfId="30" applyFill="1" applyBorder="1" applyAlignment="1">
      <alignment horizontal="left" vertical="top" wrapText="1"/>
    </xf>
    <xf numFmtId="0" fontId="13" fillId="0" borderId="2" xfId="24" applyFont="1" applyBorder="1" applyAlignment="1">
      <alignment horizontal="center"/>
    </xf>
    <xf numFmtId="0" fontId="6" fillId="0" borderId="2" xfId="24" applyFont="1" applyBorder="1" applyAlignment="1">
      <alignment horizontal="center"/>
    </xf>
    <xf numFmtId="0" fontId="6" fillId="0" borderId="8" xfId="24" applyFont="1" applyBorder="1" applyAlignment="1">
      <alignment horizontal="center"/>
    </xf>
    <xf numFmtId="0" fontId="6" fillId="0" borderId="8" xfId="24" applyFont="1" applyBorder="1" applyAlignment="1">
      <alignment horizontal="left" vertical="top" wrapText="1"/>
    </xf>
    <xf numFmtId="0" fontId="14" fillId="0" borderId="0" xfId="24" applyFont="1" applyAlignment="1">
      <alignment horizontal="center"/>
    </xf>
    <xf numFmtId="0" fontId="6" fillId="0" borderId="0" xfId="24" applyFont="1" applyAlignment="1">
      <alignment horizontal="center"/>
    </xf>
    <xf numFmtId="0" fontId="10" fillId="0" borderId="11" xfId="23" applyFill="1" applyBorder="1" applyAlignment="1" applyProtection="1">
      <alignment horizontal="center" vertical="center" wrapText="1"/>
      <protection locked="0"/>
    </xf>
    <xf numFmtId="164" fontId="10" fillId="0" borderId="12" xfId="2" applyFont="1" applyBorder="1" applyAlignment="1" applyProtection="1">
      <alignment horizontal="center" vertical="center" wrapText="1"/>
      <protection locked="0"/>
    </xf>
    <xf numFmtId="0" fontId="10" fillId="0" borderId="13" xfId="20" applyFont="1" applyFill="1" applyBorder="1" applyAlignment="1" applyProtection="1">
      <alignment horizontal="center" vertical="center" wrapText="1"/>
      <protection locked="0"/>
    </xf>
    <xf numFmtId="0" fontId="6" fillId="0" borderId="0" xfId="24" applyFont="1" applyAlignment="1" applyProtection="1">
      <alignment horizontal="center" vertical="center" wrapText="1"/>
      <protection locked="0"/>
    </xf>
    <xf numFmtId="164" fontId="6" fillId="0" borderId="0" xfId="2" applyFont="1" applyAlignment="1" applyProtection="1">
      <alignment horizontal="center" vertical="center" wrapText="1"/>
      <protection locked="0"/>
    </xf>
    <xf numFmtId="0" fontId="10" fillId="0" borderId="13" xfId="20" applyFont="1" applyFill="1" applyBorder="1" applyAlignment="1" applyProtection="1">
      <alignment vertical="top" wrapText="1"/>
      <protection locked="0"/>
    </xf>
    <xf numFmtId="0" fontId="10" fillId="0" borderId="3" xfId="20" applyFont="1" applyFill="1" applyBorder="1" applyAlignment="1" applyProtection="1">
      <alignment wrapText="1"/>
      <protection locked="0"/>
    </xf>
    <xf numFmtId="164" fontId="10" fillId="0" borderId="1" xfId="2" applyFont="1" applyBorder="1" applyAlignment="1" applyProtection="1">
      <alignment wrapText="1"/>
      <protection locked="0"/>
    </xf>
    <xf numFmtId="0" fontId="10" fillId="0" borderId="3" xfId="20" applyFont="1" applyFill="1" applyBorder="1" applyAlignment="1" applyProtection="1">
      <alignment horizontal="center" wrapText="1"/>
      <protection locked="0"/>
    </xf>
    <xf numFmtId="10" fontId="10" fillId="0" borderId="3" xfId="20" applyNumberFormat="1" applyFont="1" applyFill="1" applyBorder="1" applyAlignment="1" applyProtection="1">
      <alignment horizontal="center" vertical="center" wrapText="1"/>
      <protection locked="0"/>
    </xf>
    <xf numFmtId="164" fontId="10" fillId="0" borderId="1" xfId="2" applyFont="1" applyBorder="1" applyAlignment="1" applyProtection="1">
      <alignment vertical="center" wrapText="1"/>
      <protection locked="0"/>
    </xf>
    <xf numFmtId="0" fontId="0" fillId="0" borderId="0" xfId="0" applyAlignment="1" applyProtection="1">
      <alignment vertical="center"/>
      <protection locked="0"/>
    </xf>
    <xf numFmtId="43" fontId="10" fillId="0" borderId="1" xfId="2" applyNumberFormat="1" applyFont="1" applyBorder="1" applyAlignment="1" applyProtection="1">
      <alignment vertical="center" wrapText="1"/>
      <protection locked="0"/>
    </xf>
    <xf numFmtId="0" fontId="10" fillId="0" borderId="3" xfId="20" applyFont="1" applyFill="1" applyBorder="1" applyAlignment="1" applyProtection="1">
      <alignment horizontal="center" vertical="center" wrapText="1"/>
      <protection locked="0"/>
    </xf>
    <xf numFmtId="0" fontId="10" fillId="0" borderId="9" xfId="20" applyFont="1" applyFill="1" applyBorder="1" applyAlignment="1" applyProtection="1">
      <alignment vertical="top" wrapText="1"/>
      <protection locked="0"/>
    </xf>
    <xf numFmtId="164" fontId="10" fillId="0" borderId="4" xfId="2" applyFont="1" applyBorder="1" applyAlignment="1" applyProtection="1">
      <alignment vertical="top" wrapText="1"/>
      <protection locked="0"/>
    </xf>
    <xf numFmtId="0" fontId="10" fillId="0" borderId="7" xfId="20" applyFont="1" applyFill="1" applyBorder="1" applyAlignment="1" applyProtection="1">
      <alignment horizontal="right" vertical="top"/>
      <protection locked="0"/>
    </xf>
    <xf numFmtId="0" fontId="10" fillId="0" borderId="7" xfId="20" applyFont="1" applyFill="1" applyBorder="1" applyAlignment="1" applyProtection="1">
      <alignment vertical="top" wrapText="1"/>
      <protection locked="0"/>
    </xf>
    <xf numFmtId="0" fontId="6" fillId="0" borderId="0" xfId="24" applyFont="1" applyAlignment="1" applyProtection="1">
      <alignment horizontal="right"/>
      <protection locked="0"/>
    </xf>
    <xf numFmtId="0" fontId="6" fillId="0" borderId="0" xfId="24" applyFont="1" applyProtection="1">
      <protection locked="0"/>
    </xf>
    <xf numFmtId="4" fontId="6" fillId="0" borderId="9" xfId="24" applyNumberFormat="1" applyFont="1" applyBorder="1" applyAlignment="1" applyProtection="1">
      <alignment horizontal="center"/>
      <protection locked="0"/>
    </xf>
    <xf numFmtId="4" fontId="6" fillId="0" borderId="4" xfId="24" applyNumberFormat="1" applyFont="1" applyBorder="1" applyAlignment="1" applyProtection="1">
      <alignment horizontal="right"/>
      <protection locked="0"/>
    </xf>
    <xf numFmtId="0" fontId="6" fillId="0" borderId="7" xfId="24" applyFont="1" applyBorder="1" applyAlignment="1" applyProtection="1">
      <alignment horizontal="center"/>
      <protection locked="0"/>
    </xf>
    <xf numFmtId="4" fontId="14" fillId="0" borderId="1" xfId="24" applyNumberFormat="1" applyFont="1" applyBorder="1" applyAlignment="1" applyProtection="1">
      <alignment horizontal="right"/>
      <protection locked="0"/>
    </xf>
    <xf numFmtId="4" fontId="14" fillId="0" borderId="0" xfId="24" applyNumberFormat="1" applyFont="1" applyAlignment="1" applyProtection="1">
      <alignment horizontal="center"/>
      <protection locked="0"/>
    </xf>
    <xf numFmtId="4" fontId="6" fillId="0" borderId="5" xfId="24" applyNumberFormat="1" applyFont="1" applyBorder="1" applyAlignment="1" applyProtection="1">
      <alignment horizontal="right"/>
      <protection locked="0"/>
    </xf>
    <xf numFmtId="0" fontId="18" fillId="0" borderId="13" xfId="29" applyFont="1" applyFill="1" applyBorder="1" applyAlignment="1">
      <alignment horizontal="left" vertical="center" wrapText="1"/>
    </xf>
    <xf numFmtId="0" fontId="6" fillId="0" borderId="13" xfId="24" applyFont="1" applyBorder="1" applyAlignment="1">
      <alignment horizontal="center" vertical="center" wrapText="1"/>
    </xf>
    <xf numFmtId="0" fontId="10" fillId="0" borderId="13" xfId="29" applyFont="1" applyFill="1" applyBorder="1" applyAlignment="1">
      <alignment horizontal="left" vertical="center" wrapText="1"/>
    </xf>
    <xf numFmtId="0" fontId="10" fillId="0" borderId="14" xfId="28" applyFill="1" applyBorder="1" applyAlignment="1">
      <alignment horizontal="center" vertical="top" wrapText="1"/>
    </xf>
    <xf numFmtId="0" fontId="10" fillId="0" borderId="14" xfId="30" applyFill="1" applyBorder="1" applyAlignment="1">
      <alignment horizontal="left" vertical="top" wrapText="1"/>
    </xf>
    <xf numFmtId="164" fontId="10" fillId="0" borderId="1" xfId="2" applyFont="1" applyFill="1" applyBorder="1" applyAlignment="1" applyProtection="1">
      <alignment vertical="center" wrapText="1"/>
      <protection locked="0"/>
    </xf>
    <xf numFmtId="164" fontId="10" fillId="0" borderId="1" xfId="2" applyFont="1" applyFill="1" applyBorder="1" applyAlignment="1" applyProtection="1">
      <alignment horizontal="right" wrapText="1"/>
      <protection locked="0"/>
    </xf>
    <xf numFmtId="164" fontId="6" fillId="0" borderId="0" xfId="2" applyFont="1" applyFill="1" applyAlignment="1" applyProtection="1">
      <alignment wrapText="1"/>
      <protection locked="0"/>
    </xf>
    <xf numFmtId="43" fontId="10" fillId="0" borderId="1" xfId="2" applyNumberFormat="1" applyFont="1" applyFill="1" applyBorder="1" applyAlignment="1" applyProtection="1">
      <alignment vertical="center" wrapText="1"/>
      <protection locked="0"/>
    </xf>
    <xf numFmtId="164" fontId="10" fillId="0" borderId="1" xfId="2" applyFont="1" applyFill="1" applyBorder="1" applyAlignment="1" applyProtection="1">
      <alignment vertical="top" wrapText="1"/>
      <protection locked="0"/>
    </xf>
    <xf numFmtId="0" fontId="20" fillId="0" borderId="13" xfId="30" applyFont="1" applyFill="1" applyBorder="1" applyAlignment="1">
      <alignment horizontal="left" vertical="top" wrapText="1"/>
    </xf>
    <xf numFmtId="0" fontId="10" fillId="0" borderId="0" xfId="20" applyFont="1" applyFill="1" applyAlignment="1" applyProtection="1">
      <alignment vertical="top" wrapText="1"/>
      <protection locked="0"/>
    </xf>
    <xf numFmtId="165" fontId="0" fillId="0" borderId="0" xfId="0" applyNumberFormat="1" applyAlignment="1" applyProtection="1">
      <alignment vertical="center"/>
      <protection locked="0"/>
    </xf>
    <xf numFmtId="164" fontId="6" fillId="0" borderId="0" xfId="24" applyNumberFormat="1" applyFont="1" applyAlignment="1" applyProtection="1">
      <alignment wrapText="1"/>
      <protection locked="0"/>
    </xf>
    <xf numFmtId="166" fontId="0" fillId="0" borderId="0" xfId="0" applyNumberFormat="1" applyAlignment="1" applyProtection="1">
      <alignment vertical="center"/>
      <protection locked="0"/>
    </xf>
    <xf numFmtId="0" fontId="10" fillId="0" borderId="13" xfId="34" applyFill="1" applyBorder="1" applyAlignment="1">
      <alignment horizontal="center" vertical="center" wrapText="1"/>
    </xf>
    <xf numFmtId="0" fontId="10" fillId="0" borderId="3" xfId="36" applyFont="1" applyFill="1" applyBorder="1" applyAlignment="1" applyProtection="1">
      <alignment vertical="center" wrapText="1"/>
      <protection locked="0"/>
    </xf>
    <xf numFmtId="0" fontId="10" fillId="0" borderId="13" xfId="35" applyFill="1" applyBorder="1" applyAlignment="1">
      <alignment horizontal="left" vertical="center" wrapText="1"/>
    </xf>
    <xf numFmtId="0" fontId="10" fillId="0" borderId="3" xfId="36" applyFont="1" applyFill="1" applyBorder="1" applyAlignment="1" applyProtection="1">
      <alignment horizontal="center" vertical="center" wrapText="1"/>
      <protection locked="0"/>
    </xf>
    <xf numFmtId="164" fontId="10" fillId="0" borderId="1" xfId="2" applyFont="1" applyFill="1" applyBorder="1" applyAlignment="1" applyProtection="1">
      <alignment horizontal="right" vertical="center" wrapText="1"/>
      <protection locked="0"/>
    </xf>
    <xf numFmtId="0" fontId="10" fillId="0" borderId="13" xfId="37" applyFont="1" applyFill="1" applyBorder="1" applyAlignment="1">
      <alignment horizontal="left" vertical="center" wrapText="1"/>
    </xf>
    <xf numFmtId="10" fontId="10" fillId="0" borderId="3" xfId="36" applyNumberFormat="1" applyFont="1" applyFill="1" applyBorder="1" applyAlignment="1" applyProtection="1">
      <alignment horizontal="center" vertical="center" wrapText="1"/>
      <protection locked="0"/>
    </xf>
    <xf numFmtId="0" fontId="22" fillId="0" borderId="13" xfId="37" applyFont="1" applyFill="1" applyBorder="1" applyAlignment="1">
      <alignment horizontal="left" vertical="center" wrapText="1"/>
    </xf>
    <xf numFmtId="0" fontId="22" fillId="0" borderId="3" xfId="36" applyFont="1" applyFill="1" applyBorder="1" applyAlignment="1" applyProtection="1">
      <alignment vertical="center" wrapText="1"/>
      <protection locked="0"/>
    </xf>
    <xf numFmtId="164" fontId="22" fillId="0" borderId="1" xfId="2" applyFont="1" applyBorder="1" applyAlignment="1" applyProtection="1">
      <alignment vertical="center" wrapText="1"/>
      <protection locked="0"/>
    </xf>
    <xf numFmtId="9" fontId="10" fillId="0" borderId="3" xfId="33" applyFont="1" applyFill="1" applyBorder="1" applyAlignment="1" applyProtection="1">
      <alignment horizontal="center" vertical="center" wrapText="1"/>
      <protection locked="0"/>
    </xf>
    <xf numFmtId="0" fontId="23" fillId="0" borderId="13" xfId="35" applyFont="1" applyFill="1" applyBorder="1" applyAlignment="1">
      <alignment horizontal="left" vertical="center" wrapText="1"/>
    </xf>
    <xf numFmtId="43" fontId="10" fillId="0" borderId="1" xfId="31" applyFont="1" applyFill="1" applyBorder="1" applyAlignment="1" applyProtection="1">
      <alignment horizontal="right" wrapText="1"/>
      <protection locked="0"/>
    </xf>
    <xf numFmtId="0" fontId="8" fillId="0" borderId="0" xfId="4" applyFont="1" applyAlignment="1">
      <alignment horizontal="center" vertical="top" wrapText="1"/>
    </xf>
  </cellXfs>
  <cellStyles count="38">
    <cellStyle name="Comma" xfId="31" builtinId="3"/>
    <cellStyle name="Comma 2" xfId="3" xr:uid="{9C1CE4B5-736F-488E-9190-69946E416BEF}"/>
    <cellStyle name="Comma 3" xfId="6" xr:uid="{0964C275-693B-45D9-930D-B0B6CA6D2227}"/>
    <cellStyle name="Comma 3 4 2" xfId="7" xr:uid="{EEE54344-5F7C-4C31-B00E-AFCF8061C0D2}"/>
    <cellStyle name="Comma 4" xfId="2" xr:uid="{9767EF44-2F48-4FFF-8187-AB1A10C1DEDF}"/>
    <cellStyle name="Comma 8" xfId="8" xr:uid="{B5E891AB-A4C0-4CF1-A16A-A2AB7676F69F}"/>
    <cellStyle name="Normal" xfId="0" builtinId="0"/>
    <cellStyle name="Normal 10" xfId="10" xr:uid="{4C5E2F10-25A3-4CD8-AF92-8B72B5701FFD}"/>
    <cellStyle name="Normal 10 2 2" xfId="24" xr:uid="{3387C548-2E7A-4526-B825-C070D3DD39F6}"/>
    <cellStyle name="Normal 2" xfId="1" xr:uid="{38CC561F-389E-47C8-84CF-FD57F51E001A}"/>
    <cellStyle name="Normal 3" xfId="4" xr:uid="{5DC4DB59-0803-40AF-B6C2-ECA63432D50A}"/>
    <cellStyle name="Normal 3 2 2" xfId="11" xr:uid="{95ED1FB5-89F2-4657-9A54-9CC08F10E0A1}"/>
    <cellStyle name="Normal 3 3" xfId="5" xr:uid="{19CC8511-B21C-49DD-B4C1-F12F3F42A50C}"/>
    <cellStyle name="Normal 4" xfId="9" xr:uid="{097AA3C1-C4A0-4E49-A0DE-48AE16728481}"/>
    <cellStyle name="Normal 5" xfId="32" xr:uid="{2584A7E2-71B3-4AA0-A037-7F9F30F87C16}"/>
    <cellStyle name="Percent" xfId="33" builtinId="5"/>
    <cellStyle name="S0" xfId="20" xr:uid="{69128C00-4AE0-478C-A187-3C058E3F130E}"/>
    <cellStyle name="S0 2" xfId="36" xr:uid="{5FFBA4DD-A768-40B6-8320-2967CC60AF20}"/>
    <cellStyle name="S10" xfId="18" xr:uid="{3E54056C-0E93-420B-B98A-84B25FC9045C}"/>
    <cellStyle name="S10 2" xfId="28" xr:uid="{CC7FA780-6D8E-488B-B8C8-CAE3766B3FCB}"/>
    <cellStyle name="S10 2 2" xfId="34" xr:uid="{BF70A904-A0C8-4D13-9410-7F63AB052454}"/>
    <cellStyle name="S11" xfId="14" xr:uid="{60CD8397-E6DC-4928-A7DF-D3FE894E07EC}"/>
    <cellStyle name="S11 2" xfId="29" xr:uid="{E862AEB3-783C-41D0-9F30-8E36446CA30F}"/>
    <cellStyle name="S11 2 2" xfId="37" xr:uid="{CA0B5F75-80D3-405F-8074-E30F258FB137}"/>
    <cellStyle name="S12" xfId="15" xr:uid="{EFFE06F0-1A6F-4FE5-9F3C-ACDAF554F326}"/>
    <cellStyle name="S12 2" xfId="30" xr:uid="{2E8584A3-55CE-4B32-9FD8-9F4B015B1723}"/>
    <cellStyle name="S12 2 2" xfId="35" xr:uid="{8AEDE104-C21A-42F3-98BE-81C10C1226D0}"/>
    <cellStyle name="S13" xfId="17" xr:uid="{A1A56BCE-3BEA-40E5-ACA2-C6FFB02D573F}"/>
    <cellStyle name="S2" xfId="25" xr:uid="{46ED1B97-4E22-4F41-94BB-F596DF3F8C0E}"/>
    <cellStyle name="S3 2" xfId="21" xr:uid="{25BC109B-EC54-4448-916D-71365B3FECF4}"/>
    <cellStyle name="S4" xfId="23" xr:uid="{687C7FE3-B2B6-4CE7-9FD6-EA378B3809E0}"/>
    <cellStyle name="S5 2" xfId="22" xr:uid="{6A55707F-A8D7-45DF-91E5-D21C3D14302E}"/>
    <cellStyle name="S6" xfId="12" xr:uid="{0C165EBF-857B-4D3E-A83C-87ACA73EC9E7}"/>
    <cellStyle name="S6 2" xfId="26" xr:uid="{8112B8E8-4564-4E30-8C78-3075E684E89E}"/>
    <cellStyle name="S7" xfId="13" xr:uid="{1006E85D-DCA0-48FA-914C-A12AB3D04815}"/>
    <cellStyle name="S7 2" xfId="27" xr:uid="{F1C67184-49CC-4EEE-BB07-863D24C3B5E6}"/>
    <cellStyle name="S8" xfId="16" xr:uid="{2111EA60-EDA4-4B0F-9B54-FFB02EBE932F}"/>
    <cellStyle name="S9" xfId="19" xr:uid="{D15C826D-A85A-46EC-BA24-880AD23DBE8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0812-0458-4DB3-8754-2173B795A728}">
  <dimension ref="A1:J50"/>
  <sheetViews>
    <sheetView tabSelected="1" view="pageBreakPreview" zoomScale="70" zoomScaleNormal="100" zoomScaleSheetLayoutView="70" workbookViewId="0">
      <selection activeCell="O61" sqref="O61"/>
    </sheetView>
  </sheetViews>
  <sheetFormatPr defaultColWidth="8.7109375" defaultRowHeight="15" x14ac:dyDescent="0.25"/>
  <cols>
    <col min="1" max="16384" width="8.7109375" style="2"/>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x14ac:dyDescent="0.25">
      <c r="A3" s="1"/>
      <c r="B3" s="1"/>
      <c r="C3" s="1"/>
      <c r="D3" s="1"/>
      <c r="E3" s="1"/>
      <c r="F3" s="1"/>
      <c r="G3" s="1"/>
      <c r="H3" s="1"/>
      <c r="I3" s="1"/>
      <c r="J3" s="1"/>
    </row>
    <row r="4" spans="1:10" x14ac:dyDescent="0.25">
      <c r="A4" s="1"/>
      <c r="B4" s="1"/>
      <c r="C4" s="1"/>
      <c r="D4" s="1"/>
      <c r="E4" s="1"/>
      <c r="F4" s="1"/>
      <c r="G4" s="1"/>
      <c r="H4" s="1"/>
      <c r="I4" s="1"/>
      <c r="J4" s="1"/>
    </row>
    <row r="5" spans="1:10" x14ac:dyDescent="0.25">
      <c r="A5" s="1"/>
      <c r="B5" s="1"/>
      <c r="C5" s="1"/>
      <c r="D5" s="1"/>
      <c r="E5" s="1"/>
      <c r="F5" s="1"/>
      <c r="G5" s="1"/>
      <c r="H5" s="1"/>
      <c r="I5" s="1"/>
      <c r="J5" s="1"/>
    </row>
    <row r="6" spans="1:10" x14ac:dyDescent="0.25">
      <c r="A6" s="1"/>
      <c r="B6" s="1"/>
      <c r="C6" s="1"/>
      <c r="D6" s="1"/>
      <c r="E6" s="1"/>
      <c r="F6" s="1"/>
      <c r="G6" s="1"/>
      <c r="H6" s="1"/>
      <c r="I6" s="1"/>
      <c r="J6" s="1"/>
    </row>
    <row r="7" spans="1:10" x14ac:dyDescent="0.25">
      <c r="A7" s="1"/>
      <c r="B7" s="1"/>
      <c r="C7" s="1"/>
      <c r="D7" s="1"/>
      <c r="E7" s="1"/>
      <c r="F7" s="1"/>
      <c r="G7" s="1"/>
      <c r="H7" s="1"/>
      <c r="I7" s="1"/>
      <c r="J7" s="1"/>
    </row>
    <row r="8" spans="1:10" x14ac:dyDescent="0.25">
      <c r="A8" s="1"/>
      <c r="B8" s="1"/>
      <c r="C8" s="1"/>
      <c r="D8" s="1"/>
      <c r="E8" s="1"/>
      <c r="F8" s="1"/>
      <c r="G8" s="1"/>
      <c r="H8" s="1"/>
      <c r="I8" s="1"/>
      <c r="J8" s="1"/>
    </row>
    <row r="9" spans="1:10" x14ac:dyDescent="0.25">
      <c r="A9" s="1"/>
      <c r="B9" s="1"/>
      <c r="C9" s="1"/>
      <c r="D9" s="1"/>
      <c r="E9" s="1"/>
      <c r="F9" s="1"/>
      <c r="G9" s="1"/>
      <c r="H9" s="1"/>
      <c r="I9" s="1"/>
      <c r="J9" s="1"/>
    </row>
    <row r="10" spans="1:10" x14ac:dyDescent="0.25">
      <c r="A10" s="1"/>
      <c r="B10" s="1"/>
      <c r="C10" s="1"/>
      <c r="D10" s="1"/>
      <c r="E10" s="1"/>
      <c r="F10" s="1"/>
      <c r="G10" s="1"/>
      <c r="H10" s="1"/>
      <c r="I10" s="1"/>
      <c r="J10" s="1"/>
    </row>
    <row r="11" spans="1:10" x14ac:dyDescent="0.25">
      <c r="A11" s="1"/>
      <c r="B11" s="1"/>
      <c r="C11" s="1"/>
      <c r="D11" s="1"/>
      <c r="E11" s="1"/>
      <c r="F11" s="1"/>
      <c r="G11" s="1"/>
      <c r="H11" s="1"/>
      <c r="I11" s="1"/>
      <c r="J11" s="1"/>
    </row>
    <row r="12" spans="1:10" x14ac:dyDescent="0.25">
      <c r="A12" s="1"/>
      <c r="B12" s="1"/>
      <c r="C12" s="1"/>
      <c r="D12" s="1"/>
      <c r="E12" s="1"/>
      <c r="F12" s="1"/>
      <c r="G12" s="1"/>
      <c r="H12" s="1"/>
      <c r="I12" s="1"/>
      <c r="J12" s="1"/>
    </row>
    <row r="13" spans="1:10" x14ac:dyDescent="0.25">
      <c r="A13" s="1"/>
      <c r="B13" s="1"/>
      <c r="C13" s="1"/>
      <c r="D13" s="1"/>
      <c r="E13" s="1"/>
      <c r="F13" s="1"/>
      <c r="G13" s="1"/>
      <c r="H13" s="1"/>
      <c r="I13" s="1"/>
      <c r="J13" s="1"/>
    </row>
    <row r="14" spans="1:10" x14ac:dyDescent="0.25">
      <c r="A14" s="3"/>
      <c r="B14" s="3"/>
      <c r="C14" s="3"/>
      <c r="D14" s="3"/>
      <c r="E14" s="3"/>
      <c r="F14" s="3"/>
      <c r="G14" s="3"/>
      <c r="H14" s="3"/>
      <c r="I14" s="3"/>
      <c r="J14" s="3"/>
    </row>
    <row r="15" spans="1:10" x14ac:dyDescent="0.25">
      <c r="A15" s="3"/>
      <c r="B15" s="3"/>
      <c r="C15" s="3"/>
      <c r="D15" s="3"/>
      <c r="E15" s="3"/>
      <c r="F15" s="3"/>
      <c r="G15" s="3"/>
      <c r="H15" s="3"/>
      <c r="I15" s="3"/>
      <c r="J15" s="3"/>
    </row>
    <row r="16" spans="1:10" x14ac:dyDescent="0.25">
      <c r="A16" s="1"/>
      <c r="B16" s="1"/>
      <c r="C16" s="1"/>
      <c r="D16" s="1"/>
      <c r="E16" s="1"/>
      <c r="F16" s="1"/>
      <c r="G16" s="1"/>
      <c r="H16" s="1"/>
      <c r="I16" s="1"/>
      <c r="J16" s="1"/>
    </row>
    <row r="17" spans="1:10" x14ac:dyDescent="0.25">
      <c r="A17" s="1"/>
      <c r="B17" s="1"/>
      <c r="C17" s="1"/>
      <c r="D17" s="1"/>
      <c r="E17" s="1"/>
      <c r="F17" s="1"/>
      <c r="G17" s="1"/>
      <c r="H17" s="1"/>
      <c r="I17" s="1"/>
      <c r="J17" s="1"/>
    </row>
    <row r="18" spans="1:10" x14ac:dyDescent="0.25">
      <c r="A18" s="1"/>
      <c r="B18" s="1"/>
      <c r="C18" s="1"/>
      <c r="D18" s="1"/>
      <c r="E18" s="1"/>
      <c r="F18" s="1"/>
      <c r="G18" s="1"/>
      <c r="H18" s="1"/>
      <c r="I18" s="1"/>
      <c r="J18" s="1"/>
    </row>
    <row r="19" spans="1:10" x14ac:dyDescent="0.25">
      <c r="A19" s="1"/>
      <c r="B19" s="1"/>
      <c r="C19" s="1"/>
      <c r="D19" s="1"/>
      <c r="E19" s="1"/>
      <c r="F19" s="1"/>
      <c r="G19" s="1"/>
      <c r="H19" s="1"/>
      <c r="I19" s="1"/>
      <c r="J19" s="1"/>
    </row>
    <row r="20" spans="1:10" x14ac:dyDescent="0.25">
      <c r="A20" s="1"/>
      <c r="B20" s="1"/>
      <c r="C20" s="1"/>
      <c r="D20" s="1"/>
      <c r="E20" s="1"/>
      <c r="F20" s="1"/>
      <c r="G20" s="1"/>
      <c r="H20" s="1"/>
      <c r="I20" s="1"/>
      <c r="J20" s="1"/>
    </row>
    <row r="21" spans="1:10" x14ac:dyDescent="0.25">
      <c r="A21" s="1"/>
      <c r="B21" s="1"/>
      <c r="C21" s="1"/>
      <c r="D21" s="1"/>
      <c r="E21" s="1"/>
      <c r="F21" s="1"/>
      <c r="G21" s="1"/>
      <c r="H21" s="1"/>
      <c r="I21" s="1"/>
      <c r="J21" s="1"/>
    </row>
    <row r="22" spans="1:10" x14ac:dyDescent="0.25">
      <c r="A22" s="98" t="s">
        <v>4</v>
      </c>
      <c r="B22" s="98"/>
      <c r="C22" s="98"/>
      <c r="D22" s="98"/>
      <c r="E22" s="98"/>
      <c r="F22" s="98"/>
      <c r="G22" s="98"/>
      <c r="H22" s="98"/>
      <c r="I22" s="98"/>
      <c r="J22" s="98"/>
    </row>
    <row r="23" spans="1:10" x14ac:dyDescent="0.25">
      <c r="A23" s="4"/>
      <c r="B23" s="4"/>
      <c r="C23" s="4"/>
      <c r="D23" s="4"/>
      <c r="E23" s="4"/>
      <c r="F23" s="4"/>
      <c r="G23" s="4"/>
      <c r="H23" s="4"/>
      <c r="I23" s="4"/>
      <c r="J23" s="4"/>
    </row>
    <row r="24" spans="1:10" ht="15" customHeight="1" x14ac:dyDescent="0.25">
      <c r="A24" s="98" t="s">
        <v>11</v>
      </c>
      <c r="B24" s="98"/>
      <c r="C24" s="98"/>
      <c r="D24" s="98"/>
      <c r="E24" s="98"/>
      <c r="F24" s="98"/>
      <c r="G24" s="98"/>
      <c r="H24" s="98"/>
      <c r="I24" s="98"/>
      <c r="J24" s="98"/>
    </row>
    <row r="25" spans="1:10" x14ac:dyDescent="0.25">
      <c r="A25" s="4"/>
      <c r="B25" s="4"/>
      <c r="C25" s="4"/>
      <c r="D25" s="4"/>
      <c r="E25" s="4"/>
      <c r="F25" s="4"/>
      <c r="G25" s="4"/>
      <c r="H25" s="4"/>
      <c r="I25" s="4"/>
      <c r="J25" s="4"/>
    </row>
    <row r="26" spans="1:10" x14ac:dyDescent="0.25">
      <c r="A26" s="4"/>
      <c r="B26" s="4"/>
      <c r="C26" s="4"/>
      <c r="D26" s="4"/>
      <c r="E26" s="4"/>
      <c r="F26" s="4"/>
      <c r="G26" s="4"/>
      <c r="H26" s="4"/>
      <c r="I26" s="4"/>
      <c r="J26" s="4"/>
    </row>
    <row r="27" spans="1:10" x14ac:dyDescent="0.25">
      <c r="A27" s="5"/>
      <c r="B27" s="5"/>
      <c r="C27" s="5"/>
      <c r="D27" s="5"/>
      <c r="E27" s="5"/>
      <c r="F27" s="5"/>
      <c r="G27" s="5"/>
      <c r="H27" s="5"/>
      <c r="I27" s="5"/>
      <c r="J27" s="5"/>
    </row>
    <row r="28" spans="1:10" x14ac:dyDescent="0.25">
      <c r="A28" s="4"/>
      <c r="B28" s="4"/>
      <c r="C28" s="4"/>
      <c r="D28" s="4"/>
      <c r="E28" s="4"/>
      <c r="F28" s="4"/>
      <c r="G28" s="4"/>
      <c r="H28" s="4"/>
      <c r="I28" s="4"/>
      <c r="J28" s="4"/>
    </row>
    <row r="29" spans="1:10" x14ac:dyDescent="0.25">
      <c r="A29" s="4"/>
      <c r="B29" s="4"/>
      <c r="C29" s="4"/>
      <c r="D29" s="4"/>
      <c r="E29" s="4"/>
      <c r="F29" s="4"/>
      <c r="G29" s="4"/>
      <c r="H29" s="4"/>
      <c r="I29" s="4"/>
      <c r="J29" s="4"/>
    </row>
    <row r="30" spans="1:10" x14ac:dyDescent="0.25">
      <c r="A30" s="4"/>
      <c r="B30" s="4"/>
      <c r="C30" s="4"/>
      <c r="D30" s="4"/>
      <c r="E30" s="4"/>
      <c r="F30" s="4"/>
      <c r="G30" s="4"/>
      <c r="H30" s="4"/>
      <c r="I30" s="4"/>
      <c r="J30" s="4"/>
    </row>
    <row r="31" spans="1:10" x14ac:dyDescent="0.25">
      <c r="A31" s="11"/>
      <c r="B31" s="11"/>
      <c r="C31" s="11"/>
      <c r="D31" s="11"/>
      <c r="E31" s="11"/>
      <c r="F31" s="11"/>
      <c r="G31" s="11"/>
      <c r="H31" s="11"/>
      <c r="I31" s="11"/>
      <c r="J31" s="11"/>
    </row>
    <row r="32" spans="1:10" x14ac:dyDescent="0.25">
      <c r="A32" s="11"/>
      <c r="B32" s="11"/>
      <c r="C32" s="11"/>
      <c r="D32" s="11"/>
      <c r="E32" s="11"/>
      <c r="F32" s="11"/>
      <c r="G32" s="11"/>
      <c r="H32" s="11"/>
      <c r="I32" s="11"/>
      <c r="J32" s="11"/>
    </row>
    <row r="33" spans="1:10" x14ac:dyDescent="0.25">
      <c r="A33" s="4"/>
      <c r="B33" s="4"/>
      <c r="C33" s="4"/>
      <c r="D33" s="4"/>
      <c r="E33" s="4"/>
      <c r="F33" s="4"/>
      <c r="G33" s="4"/>
      <c r="H33" s="4"/>
      <c r="I33" s="4"/>
      <c r="J33" s="4"/>
    </row>
    <row r="34" spans="1:10" x14ac:dyDescent="0.25">
      <c r="A34" s="4"/>
      <c r="B34" s="4"/>
      <c r="C34" s="4"/>
      <c r="D34" s="4"/>
      <c r="E34" s="4"/>
      <c r="F34" s="4"/>
      <c r="G34" s="4"/>
      <c r="H34" s="4"/>
      <c r="I34" s="4"/>
      <c r="J34" s="4"/>
    </row>
    <row r="35" spans="1:10" x14ac:dyDescent="0.25">
      <c r="A35" s="4"/>
      <c r="B35" s="4"/>
      <c r="C35" s="4"/>
      <c r="D35" s="4"/>
      <c r="E35" s="4"/>
      <c r="F35" s="4"/>
      <c r="G35" s="4"/>
      <c r="H35" s="4"/>
      <c r="I35" s="4"/>
      <c r="J35" s="4"/>
    </row>
    <row r="36" spans="1:10" x14ac:dyDescent="0.25">
      <c r="A36" s="4"/>
      <c r="B36" s="4"/>
      <c r="C36" s="4"/>
      <c r="D36" s="4"/>
      <c r="E36" s="4"/>
      <c r="F36" s="4"/>
      <c r="G36" s="4"/>
      <c r="H36" s="4"/>
      <c r="I36" s="4"/>
      <c r="J36" s="4"/>
    </row>
    <row r="37" spans="1:10" x14ac:dyDescent="0.25">
      <c r="A37" s="4"/>
      <c r="B37" s="4"/>
      <c r="C37" s="4"/>
      <c r="D37" s="4"/>
      <c r="E37" s="4"/>
      <c r="F37" s="4"/>
      <c r="G37" s="4"/>
      <c r="H37" s="4"/>
      <c r="I37" s="4"/>
      <c r="J37" s="4"/>
    </row>
    <row r="38" spans="1:10" x14ac:dyDescent="0.25">
      <c r="A38" s="4"/>
      <c r="B38" s="4"/>
      <c r="C38" s="4"/>
      <c r="D38" s="4"/>
      <c r="E38" s="4"/>
      <c r="F38" s="4"/>
      <c r="G38" s="4"/>
      <c r="H38" s="4"/>
      <c r="I38" s="4"/>
      <c r="J38" s="4"/>
    </row>
    <row r="39" spans="1:10" x14ac:dyDescent="0.25">
      <c r="A39" s="4"/>
      <c r="B39" s="4"/>
      <c r="C39" s="4"/>
      <c r="D39" s="4"/>
      <c r="E39" s="4"/>
      <c r="F39" s="4"/>
      <c r="G39" s="4"/>
      <c r="H39" s="4"/>
      <c r="I39" s="4"/>
      <c r="J39" s="4"/>
    </row>
    <row r="40" spans="1:10" x14ac:dyDescent="0.25">
      <c r="A40" s="4"/>
      <c r="B40" s="4"/>
      <c r="C40" s="4"/>
      <c r="D40" s="4"/>
      <c r="E40" s="4"/>
      <c r="F40" s="4"/>
      <c r="G40" s="4"/>
      <c r="H40" s="4"/>
      <c r="I40" s="4"/>
      <c r="J40" s="4"/>
    </row>
    <row r="41" spans="1:10" x14ac:dyDescent="0.25">
      <c r="A41" s="4"/>
      <c r="B41" s="4"/>
      <c r="C41" s="4"/>
      <c r="D41" s="4"/>
      <c r="E41" s="4"/>
      <c r="F41" s="4"/>
      <c r="G41" s="4"/>
      <c r="H41" s="4"/>
      <c r="I41" s="4"/>
      <c r="J41" s="4"/>
    </row>
    <row r="42" spans="1:10" x14ac:dyDescent="0.25">
      <c r="A42" s="6"/>
      <c r="B42" s="7"/>
      <c r="C42" s="8"/>
      <c r="D42" s="9"/>
      <c r="E42" s="10"/>
      <c r="F42" s="10"/>
    </row>
    <row r="43" spans="1:10" x14ac:dyDescent="0.25">
      <c r="A43" s="6"/>
      <c r="B43" s="7"/>
      <c r="C43" s="8"/>
      <c r="D43" s="9"/>
      <c r="E43" s="10"/>
      <c r="F43" s="10"/>
    </row>
    <row r="44" spans="1:10" x14ac:dyDescent="0.25">
      <c r="A44" s="6"/>
      <c r="B44" s="7"/>
      <c r="C44" s="8"/>
      <c r="D44" s="9"/>
      <c r="E44" s="10"/>
      <c r="F44" s="10"/>
    </row>
    <row r="45" spans="1:10" x14ac:dyDescent="0.25">
      <c r="A45" s="6"/>
      <c r="B45" s="7"/>
      <c r="C45" s="8"/>
      <c r="D45" s="9"/>
      <c r="E45" s="10"/>
      <c r="F45" s="10"/>
    </row>
    <row r="46" spans="1:10" x14ac:dyDescent="0.25">
      <c r="A46" s="6"/>
      <c r="B46" s="7"/>
      <c r="C46" s="8"/>
      <c r="D46" s="9"/>
      <c r="E46" s="10"/>
      <c r="F46" s="10"/>
    </row>
    <row r="47" spans="1:10" x14ac:dyDescent="0.25">
      <c r="A47" s="6"/>
      <c r="B47" s="7"/>
      <c r="C47" s="8"/>
      <c r="D47" s="9"/>
      <c r="E47" s="10"/>
      <c r="F47" s="10"/>
    </row>
    <row r="48" spans="1:10" x14ac:dyDescent="0.25">
      <c r="A48" s="6"/>
      <c r="B48" s="7"/>
      <c r="C48" s="8"/>
      <c r="D48" s="9"/>
      <c r="E48" s="10"/>
      <c r="F48" s="10"/>
    </row>
    <row r="49" spans="1:6" x14ac:dyDescent="0.25">
      <c r="A49" s="6"/>
      <c r="B49" s="7"/>
      <c r="C49" s="8"/>
      <c r="D49" s="9"/>
      <c r="E49" s="10"/>
      <c r="F49" s="10"/>
    </row>
    <row r="50" spans="1:6" x14ac:dyDescent="0.25">
      <c r="A50" s="6"/>
      <c r="B50" s="7"/>
      <c r="C50" s="8"/>
      <c r="D50" s="9"/>
      <c r="E50" s="10"/>
      <c r="F50" s="10"/>
    </row>
  </sheetData>
  <mergeCells count="2">
    <mergeCell ref="A22:J22"/>
    <mergeCell ref="A24:J24"/>
  </mergeCells>
  <printOptions horizontalCentered="1"/>
  <pageMargins left="0.66929133858267698" right="0.196850393700787" top="0.82677165354330695" bottom="0.47" header="0.196850393700787" footer="0.2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E1755-E4A7-47B5-98C9-E42D9F367319}">
  <dimension ref="A1:L178"/>
  <sheetViews>
    <sheetView tabSelected="1" view="pageBreakPreview" topLeftCell="A134" zoomScale="70" zoomScaleNormal="85" zoomScaleSheetLayoutView="70" workbookViewId="0">
      <selection activeCell="O61" sqref="O61"/>
    </sheetView>
  </sheetViews>
  <sheetFormatPr defaultColWidth="8.7109375" defaultRowHeight="14.25" x14ac:dyDescent="0.2"/>
  <cols>
    <col min="1" max="1" width="5.7109375" style="14" customWidth="1"/>
    <col min="2" max="2" width="60.28515625" style="15" customWidth="1"/>
    <col min="3" max="3" width="9.28515625" style="18" customWidth="1"/>
    <col min="4" max="4" width="17.85546875" style="19" customWidth="1"/>
    <col min="5" max="5" width="5.5703125" style="18" customWidth="1"/>
    <col min="6" max="6" width="46.7109375" style="18" customWidth="1"/>
    <col min="7" max="7" width="3.28515625" style="18" customWidth="1"/>
    <col min="8" max="12" width="15.7109375" style="19" customWidth="1"/>
    <col min="13" max="13" width="14.5703125" style="18" customWidth="1"/>
    <col min="14" max="15" width="12.7109375" style="18" customWidth="1"/>
    <col min="16" max="253" width="3.28515625" style="18" customWidth="1"/>
    <col min="254" max="16384" width="8.7109375" style="18"/>
  </cols>
  <sheetData>
    <row r="1" spans="1:12" s="47" customFormat="1" ht="28.5" x14ac:dyDescent="0.2">
      <c r="A1" s="20" t="s">
        <v>1</v>
      </c>
      <c r="B1" s="21" t="s">
        <v>0</v>
      </c>
      <c r="C1" s="44" t="s">
        <v>2</v>
      </c>
      <c r="D1" s="45" t="s">
        <v>6</v>
      </c>
      <c r="E1" s="46"/>
      <c r="H1" s="48"/>
      <c r="I1" s="48"/>
      <c r="J1" s="48"/>
      <c r="K1" s="48"/>
      <c r="L1" s="48"/>
    </row>
    <row r="2" spans="1:12" x14ac:dyDescent="0.2">
      <c r="A2" s="22"/>
      <c r="B2" s="23"/>
      <c r="C2" s="12"/>
      <c r="D2" s="13"/>
      <c r="E2" s="49"/>
    </row>
    <row r="3" spans="1:12" x14ac:dyDescent="0.2">
      <c r="A3" s="24"/>
      <c r="B3" s="25" t="s">
        <v>11</v>
      </c>
      <c r="C3" s="12"/>
      <c r="D3" s="13"/>
      <c r="E3" s="49"/>
    </row>
    <row r="4" spans="1:12" x14ac:dyDescent="0.2">
      <c r="A4" s="24"/>
      <c r="B4" s="26"/>
      <c r="C4" s="12"/>
      <c r="D4" s="13"/>
      <c r="E4" s="49"/>
    </row>
    <row r="5" spans="1:12" x14ac:dyDescent="0.2">
      <c r="A5" s="24"/>
      <c r="B5" s="27" t="s">
        <v>12</v>
      </c>
      <c r="C5" s="12"/>
      <c r="D5" s="13"/>
      <c r="E5" s="49"/>
    </row>
    <row r="6" spans="1:12" x14ac:dyDescent="0.2">
      <c r="A6" s="24"/>
      <c r="B6" s="27"/>
      <c r="C6" s="12"/>
      <c r="D6" s="13"/>
      <c r="E6" s="49"/>
    </row>
    <row r="7" spans="1:12" ht="45.6" customHeight="1" x14ac:dyDescent="0.2">
      <c r="A7" s="28"/>
      <c r="B7" s="29" t="s">
        <v>13</v>
      </c>
      <c r="C7" s="12"/>
      <c r="D7" s="13"/>
      <c r="E7" s="49"/>
    </row>
    <row r="8" spans="1:12" x14ac:dyDescent="0.2">
      <c r="A8" s="24"/>
      <c r="B8" s="30"/>
      <c r="C8" s="12"/>
      <c r="D8" s="13"/>
      <c r="E8" s="49"/>
    </row>
    <row r="9" spans="1:12" ht="99.75" x14ac:dyDescent="0.2">
      <c r="A9" s="28"/>
      <c r="B9" s="70" t="s">
        <v>17</v>
      </c>
      <c r="C9" s="50"/>
      <c r="D9" s="51"/>
      <c r="E9" s="49"/>
    </row>
    <row r="10" spans="1:12" x14ac:dyDescent="0.2">
      <c r="A10" s="24"/>
      <c r="B10" s="29"/>
      <c r="C10" s="12"/>
      <c r="D10" s="13"/>
      <c r="E10" s="49"/>
    </row>
    <row r="11" spans="1:12" x14ac:dyDescent="0.2">
      <c r="A11" s="24"/>
      <c r="B11" s="31" t="s">
        <v>14</v>
      </c>
      <c r="C11" s="12"/>
      <c r="D11" s="13"/>
      <c r="E11" s="49"/>
    </row>
    <row r="12" spans="1:12" x14ac:dyDescent="0.2">
      <c r="A12" s="28"/>
      <c r="B12" s="29"/>
      <c r="C12" s="50"/>
      <c r="D12" s="51"/>
      <c r="E12" s="49"/>
    </row>
    <row r="13" spans="1:12" ht="85.5" x14ac:dyDescent="0.2">
      <c r="A13" s="24"/>
      <c r="B13" s="31" t="s">
        <v>18</v>
      </c>
      <c r="C13" s="12"/>
      <c r="D13" s="13"/>
      <c r="E13" s="49"/>
    </row>
    <row r="14" spans="1:12" x14ac:dyDescent="0.2">
      <c r="A14" s="28"/>
      <c r="B14" s="29"/>
      <c r="C14" s="50"/>
      <c r="D14" s="51"/>
      <c r="E14" s="49"/>
    </row>
    <row r="15" spans="1:12" x14ac:dyDescent="0.2">
      <c r="A15" s="24" t="s">
        <v>20</v>
      </c>
      <c r="B15" s="29" t="s">
        <v>15</v>
      </c>
      <c r="C15" s="52" t="s">
        <v>16</v>
      </c>
      <c r="D15" s="51">
        <v>3000000</v>
      </c>
      <c r="E15" s="49"/>
    </row>
    <row r="16" spans="1:12" s="55" customFormat="1" ht="19.899999999999999" customHeight="1" x14ac:dyDescent="0.2">
      <c r="A16" s="71"/>
      <c r="B16" s="72" t="s">
        <v>19</v>
      </c>
      <c r="C16" s="53">
        <v>0.05</v>
      </c>
      <c r="D16" s="54">
        <f>+D15*C16</f>
        <v>150000</v>
      </c>
    </row>
    <row r="17" spans="1:6" s="55" customFormat="1" ht="28.5" x14ac:dyDescent="0.2">
      <c r="A17" s="71"/>
      <c r="B17" s="72" t="s">
        <v>28</v>
      </c>
      <c r="C17" s="53">
        <v>2.5000000000000001E-2</v>
      </c>
      <c r="D17" s="56">
        <f>C17*D15</f>
        <v>75000</v>
      </c>
      <c r="F17" s="82"/>
    </row>
    <row r="18" spans="1:6" x14ac:dyDescent="0.2">
      <c r="A18" s="28"/>
      <c r="B18" s="29"/>
      <c r="C18" s="50"/>
      <c r="D18" s="51"/>
      <c r="E18" s="49"/>
    </row>
    <row r="19" spans="1:6" x14ac:dyDescent="0.2">
      <c r="A19" s="24" t="s">
        <v>22</v>
      </c>
      <c r="B19" s="29" t="s">
        <v>5</v>
      </c>
      <c r="C19" s="52" t="s">
        <v>16</v>
      </c>
      <c r="D19" s="51">
        <v>7000000</v>
      </c>
      <c r="E19" s="49"/>
    </row>
    <row r="20" spans="1:6" s="55" customFormat="1" ht="19.899999999999999" customHeight="1" x14ac:dyDescent="0.2">
      <c r="A20" s="71"/>
      <c r="B20" s="72" t="s">
        <v>19</v>
      </c>
      <c r="C20" s="53">
        <v>0.05</v>
      </c>
      <c r="D20" s="54">
        <f>+D19*C20</f>
        <v>350000</v>
      </c>
    </row>
    <row r="21" spans="1:6" s="55" customFormat="1" ht="28.5" x14ac:dyDescent="0.2">
      <c r="A21" s="71"/>
      <c r="B21" s="72" t="s">
        <v>28</v>
      </c>
      <c r="C21" s="53">
        <v>2.5000000000000001E-2</v>
      </c>
      <c r="D21" s="56">
        <f>C21*D19</f>
        <v>175000</v>
      </c>
      <c r="F21" s="82"/>
    </row>
    <row r="22" spans="1:6" x14ac:dyDescent="0.2">
      <c r="A22" s="28"/>
      <c r="B22" s="31"/>
      <c r="C22" s="12"/>
      <c r="D22" s="13"/>
      <c r="E22" s="49"/>
    </row>
    <row r="23" spans="1:6" ht="105" customHeight="1" x14ac:dyDescent="0.2">
      <c r="A23" s="28" t="s">
        <v>23</v>
      </c>
      <c r="B23" s="36" t="s">
        <v>29</v>
      </c>
      <c r="C23" s="52" t="s">
        <v>16</v>
      </c>
      <c r="D23" s="97">
        <v>14000000</v>
      </c>
      <c r="E23" s="49"/>
    </row>
    <row r="24" spans="1:6" s="55" customFormat="1" ht="19.899999999999999" customHeight="1" x14ac:dyDescent="0.2">
      <c r="A24" s="71"/>
      <c r="B24" s="72" t="s">
        <v>19</v>
      </c>
      <c r="C24" s="53">
        <v>0.05</v>
      </c>
      <c r="D24" s="75">
        <f>+D23*C24</f>
        <v>700000</v>
      </c>
    </row>
    <row r="25" spans="1:6" s="55" customFormat="1" ht="28.5" x14ac:dyDescent="0.2">
      <c r="A25" s="71"/>
      <c r="B25" s="72" t="s">
        <v>28</v>
      </c>
      <c r="C25" s="53">
        <v>2.5000000000000001E-2</v>
      </c>
      <c r="D25" s="56">
        <f>C25*D23</f>
        <v>350000</v>
      </c>
      <c r="F25" s="82"/>
    </row>
    <row r="26" spans="1:6" x14ac:dyDescent="0.2">
      <c r="A26" s="28"/>
      <c r="B26" s="29"/>
      <c r="C26" s="12"/>
      <c r="D26" s="13"/>
      <c r="E26" s="49"/>
    </row>
    <row r="27" spans="1:6" x14ac:dyDescent="0.2">
      <c r="A27" s="28"/>
      <c r="B27" s="29"/>
      <c r="C27" s="12"/>
      <c r="D27" s="13"/>
      <c r="E27" s="81"/>
    </row>
    <row r="28" spans="1:6" x14ac:dyDescent="0.2">
      <c r="A28" s="28"/>
      <c r="B28" s="29"/>
      <c r="C28" s="12"/>
      <c r="D28" s="13"/>
      <c r="E28" s="81"/>
    </row>
    <row r="29" spans="1:6" s="55" customFormat="1" x14ac:dyDescent="0.2">
      <c r="A29" s="71"/>
      <c r="B29" s="72"/>
      <c r="C29" s="57"/>
      <c r="D29" s="54"/>
    </row>
    <row r="30" spans="1:6" s="55" customFormat="1" x14ac:dyDescent="0.2">
      <c r="A30" s="71"/>
      <c r="B30" s="72"/>
      <c r="C30" s="57"/>
      <c r="D30" s="54"/>
    </row>
    <row r="31" spans="1:6" x14ac:dyDescent="0.2">
      <c r="A31" s="28"/>
      <c r="B31" s="36"/>
      <c r="C31" s="12"/>
      <c r="D31" s="13"/>
      <c r="E31" s="49"/>
    </row>
    <row r="32" spans="1:6" x14ac:dyDescent="0.2">
      <c r="A32" s="73"/>
      <c r="B32" s="74"/>
      <c r="C32" s="16"/>
      <c r="D32" s="17"/>
      <c r="E32" s="49"/>
    </row>
    <row r="33" spans="1:12" x14ac:dyDescent="0.2">
      <c r="A33" s="32"/>
      <c r="B33" s="33"/>
      <c r="C33" s="58"/>
      <c r="D33" s="59"/>
      <c r="E33" s="49"/>
    </row>
    <row r="34" spans="1:12" x14ac:dyDescent="0.2">
      <c r="A34" s="34"/>
      <c r="B34" s="35"/>
      <c r="C34" s="60" t="s">
        <v>7</v>
      </c>
      <c r="D34" s="13">
        <f>SUM(D2:D32)</f>
        <v>25800000</v>
      </c>
      <c r="E34" s="49"/>
    </row>
    <row r="35" spans="1:12" x14ac:dyDescent="0.2">
      <c r="A35" s="34"/>
      <c r="B35" s="35"/>
      <c r="C35" s="61"/>
      <c r="D35" s="17"/>
      <c r="E35" s="49"/>
    </row>
    <row r="36" spans="1:12" x14ac:dyDescent="0.2">
      <c r="A36" s="28"/>
      <c r="B36" s="36"/>
      <c r="C36" s="12"/>
      <c r="D36" s="13"/>
      <c r="E36" s="49"/>
    </row>
    <row r="37" spans="1:12" x14ac:dyDescent="0.2">
      <c r="A37" s="28"/>
      <c r="B37" s="36"/>
      <c r="C37" s="12"/>
      <c r="D37" s="13"/>
      <c r="E37" s="49"/>
    </row>
    <row r="38" spans="1:12" ht="61.15" customHeight="1" x14ac:dyDescent="0.2">
      <c r="A38" s="28" t="s">
        <v>20</v>
      </c>
      <c r="B38" s="36" t="s">
        <v>41</v>
      </c>
      <c r="C38" s="52" t="s">
        <v>16</v>
      </c>
      <c r="D38" s="76">
        <v>1000000</v>
      </c>
      <c r="E38" s="49"/>
    </row>
    <row r="39" spans="1:12" x14ac:dyDescent="0.2">
      <c r="A39" s="71"/>
      <c r="B39" s="72" t="s">
        <v>19</v>
      </c>
      <c r="C39" s="53">
        <v>0.05</v>
      </c>
      <c r="D39" s="75">
        <f>+D38*C39</f>
        <v>50000</v>
      </c>
      <c r="E39" s="49"/>
      <c r="H39" s="77"/>
      <c r="I39" s="77"/>
      <c r="J39" s="77"/>
      <c r="K39" s="77"/>
      <c r="L39" s="77"/>
    </row>
    <row r="40" spans="1:12" s="55" customFormat="1" ht="28.15" customHeight="1" x14ac:dyDescent="0.2">
      <c r="A40" s="71"/>
      <c r="B40" s="72" t="s">
        <v>28</v>
      </c>
      <c r="C40" s="53">
        <v>2.5000000000000001E-2</v>
      </c>
      <c r="D40" s="56">
        <f>C40*D38</f>
        <v>25000</v>
      </c>
      <c r="F40" s="82"/>
    </row>
    <row r="41" spans="1:12" s="55" customFormat="1" x14ac:dyDescent="0.2">
      <c r="A41" s="71"/>
      <c r="B41" s="80"/>
      <c r="C41" s="53"/>
      <c r="D41" s="78"/>
    </row>
    <row r="42" spans="1:12" ht="16.149999999999999" customHeight="1" x14ac:dyDescent="0.2">
      <c r="A42" s="28" t="s">
        <v>22</v>
      </c>
      <c r="B42" s="36" t="s">
        <v>24</v>
      </c>
      <c r="C42" s="52" t="s">
        <v>16</v>
      </c>
      <c r="D42" s="97">
        <v>1390000</v>
      </c>
      <c r="E42" s="49"/>
    </row>
    <row r="43" spans="1:12" s="55" customFormat="1" ht="19.899999999999999" customHeight="1" x14ac:dyDescent="0.2">
      <c r="A43" s="71"/>
      <c r="B43" s="72" t="s">
        <v>19</v>
      </c>
      <c r="C43" s="53">
        <v>0.05</v>
      </c>
      <c r="D43" s="75">
        <f>+D42*C43</f>
        <v>69500</v>
      </c>
    </row>
    <row r="44" spans="1:12" s="55" customFormat="1" ht="28.5" x14ac:dyDescent="0.2">
      <c r="A44" s="71"/>
      <c r="B44" s="72" t="s">
        <v>28</v>
      </c>
      <c r="C44" s="53">
        <v>2.5000000000000001E-2</v>
      </c>
      <c r="D44" s="56">
        <f>C44*D42</f>
        <v>34750</v>
      </c>
      <c r="F44" s="82"/>
    </row>
    <row r="45" spans="1:12" x14ac:dyDescent="0.2">
      <c r="A45" s="28"/>
      <c r="B45" s="36"/>
      <c r="C45" s="12"/>
      <c r="D45" s="13"/>
      <c r="E45" s="49"/>
    </row>
    <row r="46" spans="1:12" ht="28.5" x14ac:dyDescent="0.2">
      <c r="A46" s="28" t="s">
        <v>23</v>
      </c>
      <c r="B46" s="36" t="s">
        <v>32</v>
      </c>
      <c r="C46" s="52" t="s">
        <v>16</v>
      </c>
      <c r="D46" s="76">
        <f>6122000-145533.95</f>
        <v>5976466.0499999998</v>
      </c>
      <c r="E46" s="49"/>
    </row>
    <row r="47" spans="1:12" x14ac:dyDescent="0.2">
      <c r="A47" s="71"/>
      <c r="B47" s="72" t="s">
        <v>19</v>
      </c>
      <c r="C47" s="53">
        <v>0.05</v>
      </c>
      <c r="D47" s="75">
        <f>+D46*C47</f>
        <v>298823.30249999999</v>
      </c>
      <c r="E47" s="49"/>
    </row>
    <row r="48" spans="1:12" ht="28.5" x14ac:dyDescent="0.2">
      <c r="A48" s="71"/>
      <c r="B48" s="72" t="s">
        <v>28</v>
      </c>
      <c r="C48" s="53">
        <v>2.5000000000000001E-2</v>
      </c>
      <c r="D48" s="56">
        <f>C48*D46</f>
        <v>149411.65125</v>
      </c>
      <c r="E48" s="49"/>
      <c r="F48" s="82"/>
    </row>
    <row r="49" spans="1:12" x14ac:dyDescent="0.2">
      <c r="A49" s="28"/>
      <c r="B49" s="36"/>
      <c r="C49" s="12"/>
      <c r="D49" s="13"/>
      <c r="E49" s="49"/>
    </row>
    <row r="50" spans="1:12" ht="28.5" x14ac:dyDescent="0.2">
      <c r="A50" s="28" t="s">
        <v>27</v>
      </c>
      <c r="B50" s="36" t="s">
        <v>25</v>
      </c>
      <c r="C50" s="52" t="s">
        <v>16</v>
      </c>
      <c r="D50" s="76">
        <v>47000</v>
      </c>
      <c r="E50" s="49"/>
      <c r="H50" s="77"/>
      <c r="I50" s="77"/>
      <c r="J50" s="77"/>
      <c r="K50" s="77"/>
      <c r="L50" s="77"/>
    </row>
    <row r="51" spans="1:12" s="55" customFormat="1" ht="19.899999999999999" customHeight="1" x14ac:dyDescent="0.2">
      <c r="A51" s="71"/>
      <c r="B51" s="72" t="s">
        <v>19</v>
      </c>
      <c r="C51" s="53">
        <v>0.05</v>
      </c>
      <c r="D51" s="75">
        <f>+D50*C51</f>
        <v>2350</v>
      </c>
    </row>
    <row r="52" spans="1:12" s="55" customFormat="1" ht="28.5" x14ac:dyDescent="0.2">
      <c r="A52" s="71"/>
      <c r="B52" s="72" t="s">
        <v>28</v>
      </c>
      <c r="C52" s="53">
        <v>2.5000000000000001E-2</v>
      </c>
      <c r="D52" s="56">
        <f>C52*D50</f>
        <v>1175</v>
      </c>
      <c r="F52" s="82"/>
    </row>
    <row r="53" spans="1:12" x14ac:dyDescent="0.2">
      <c r="A53" s="28"/>
      <c r="B53" s="36"/>
      <c r="C53" s="12"/>
      <c r="D53" s="13"/>
      <c r="E53" s="49"/>
    </row>
    <row r="54" spans="1:12" ht="28.5" x14ac:dyDescent="0.2">
      <c r="A54" s="28" t="s">
        <v>30</v>
      </c>
      <c r="B54" s="36" t="s">
        <v>26</v>
      </c>
      <c r="C54" s="52" t="s">
        <v>16</v>
      </c>
      <c r="D54" s="76">
        <v>139600</v>
      </c>
      <c r="E54" s="49"/>
      <c r="H54" s="77"/>
      <c r="I54" s="77"/>
      <c r="J54" s="77"/>
      <c r="K54" s="77"/>
      <c r="L54" s="77"/>
    </row>
    <row r="55" spans="1:12" s="55" customFormat="1" ht="19.899999999999999" customHeight="1" x14ac:dyDescent="0.2">
      <c r="A55" s="71"/>
      <c r="B55" s="72" t="s">
        <v>19</v>
      </c>
      <c r="C55" s="53">
        <v>0.05</v>
      </c>
      <c r="D55" s="75">
        <f>+D54*C55</f>
        <v>6980</v>
      </c>
    </row>
    <row r="56" spans="1:12" s="55" customFormat="1" ht="28.5" x14ac:dyDescent="0.2">
      <c r="A56" s="71"/>
      <c r="B56" s="72" t="s">
        <v>28</v>
      </c>
      <c r="C56" s="53">
        <v>2.5000000000000001E-2</v>
      </c>
      <c r="D56" s="56">
        <f>C56*D54</f>
        <v>3490</v>
      </c>
      <c r="F56" s="82"/>
    </row>
    <row r="57" spans="1:12" x14ac:dyDescent="0.2">
      <c r="A57" s="28"/>
      <c r="B57" s="36"/>
      <c r="C57" s="52"/>
      <c r="D57" s="76"/>
      <c r="E57" s="49"/>
    </row>
    <row r="58" spans="1:12" x14ac:dyDescent="0.2">
      <c r="A58" s="28" t="s">
        <v>31</v>
      </c>
      <c r="B58" s="36" t="s">
        <v>37</v>
      </c>
      <c r="C58" s="52" t="s">
        <v>16</v>
      </c>
      <c r="D58" s="76">
        <v>2790000</v>
      </c>
      <c r="E58" s="49"/>
      <c r="H58" s="77"/>
      <c r="I58" s="77"/>
      <c r="J58" s="77"/>
      <c r="K58" s="77"/>
      <c r="L58" s="77"/>
    </row>
    <row r="59" spans="1:12" s="55" customFormat="1" ht="19.899999999999999" customHeight="1" x14ac:dyDescent="0.2">
      <c r="A59" s="71"/>
      <c r="B59" s="72" t="s">
        <v>19</v>
      </c>
      <c r="C59" s="53">
        <v>0.05</v>
      </c>
      <c r="D59" s="75">
        <f>+D58*C59</f>
        <v>139500</v>
      </c>
    </row>
    <row r="60" spans="1:12" s="55" customFormat="1" ht="28.5" x14ac:dyDescent="0.2">
      <c r="A60" s="71"/>
      <c r="B60" s="72" t="s">
        <v>28</v>
      </c>
      <c r="C60" s="53">
        <v>2.5000000000000001E-2</v>
      </c>
      <c r="D60" s="56">
        <f>C60*D58</f>
        <v>69750</v>
      </c>
      <c r="F60" s="82"/>
    </row>
    <row r="61" spans="1:12" x14ac:dyDescent="0.2">
      <c r="A61" s="28"/>
      <c r="B61" s="36"/>
      <c r="C61" s="52"/>
      <c r="D61" s="76"/>
      <c r="E61" s="49"/>
      <c r="H61" s="77"/>
      <c r="I61" s="77"/>
      <c r="J61" s="77"/>
      <c r="K61" s="77"/>
      <c r="L61" s="77"/>
    </row>
    <row r="62" spans="1:12" x14ac:dyDescent="0.2">
      <c r="A62" s="28" t="s">
        <v>34</v>
      </c>
      <c r="B62" s="36" t="s">
        <v>33</v>
      </c>
      <c r="C62" s="52" t="s">
        <v>16</v>
      </c>
      <c r="D62" s="76">
        <v>1860000</v>
      </c>
      <c r="E62" s="81"/>
      <c r="H62" s="77"/>
      <c r="I62" s="77"/>
      <c r="J62" s="77"/>
      <c r="K62" s="77"/>
      <c r="L62" s="77"/>
    </row>
    <row r="63" spans="1:12" x14ac:dyDescent="0.2">
      <c r="A63" s="71"/>
      <c r="B63" s="72" t="s">
        <v>19</v>
      </c>
      <c r="C63" s="53">
        <v>0.05</v>
      </c>
      <c r="D63" s="75">
        <f>+D62*C63</f>
        <v>93000</v>
      </c>
      <c r="E63" s="81"/>
      <c r="H63" s="77"/>
      <c r="I63" s="77"/>
      <c r="J63" s="77"/>
      <c r="K63" s="77"/>
      <c r="L63" s="77"/>
    </row>
    <row r="64" spans="1:12" ht="28.5" x14ac:dyDescent="0.2">
      <c r="A64" s="71"/>
      <c r="B64" s="72" t="s">
        <v>28</v>
      </c>
      <c r="C64" s="53">
        <v>2.5000000000000001E-2</v>
      </c>
      <c r="D64" s="56">
        <f>C64*D62</f>
        <v>46500</v>
      </c>
      <c r="E64" s="81"/>
      <c r="F64" s="82"/>
      <c r="H64" s="77"/>
      <c r="I64" s="77"/>
      <c r="J64" s="77"/>
      <c r="K64" s="77"/>
      <c r="L64" s="77"/>
    </row>
    <row r="65" spans="1:12" x14ac:dyDescent="0.2">
      <c r="A65" s="71"/>
      <c r="B65" s="72"/>
      <c r="C65" s="53"/>
      <c r="D65" s="75"/>
      <c r="E65" s="81"/>
      <c r="H65" s="77"/>
      <c r="I65" s="77"/>
      <c r="J65" s="77"/>
      <c r="K65" s="77"/>
      <c r="L65" s="77"/>
    </row>
    <row r="66" spans="1:12" x14ac:dyDescent="0.2">
      <c r="A66" s="71" t="s">
        <v>36</v>
      </c>
      <c r="B66" s="72" t="s">
        <v>35</v>
      </c>
      <c r="C66" s="53" t="s">
        <v>16</v>
      </c>
      <c r="D66" s="75">
        <v>1979000</v>
      </c>
      <c r="E66" s="81"/>
      <c r="H66" s="77"/>
      <c r="I66" s="77"/>
      <c r="J66" s="77"/>
      <c r="K66" s="77"/>
      <c r="L66" s="77"/>
    </row>
    <row r="67" spans="1:12" x14ac:dyDescent="0.2">
      <c r="A67" s="71"/>
      <c r="B67" s="72" t="s">
        <v>19</v>
      </c>
      <c r="C67" s="53">
        <v>0.05</v>
      </c>
      <c r="D67" s="75">
        <f>+D66*C67</f>
        <v>98950</v>
      </c>
      <c r="E67" s="81"/>
      <c r="H67" s="77"/>
      <c r="I67" s="77"/>
      <c r="J67" s="77"/>
      <c r="K67" s="77"/>
      <c r="L67" s="77"/>
    </row>
    <row r="68" spans="1:12" ht="28.5" x14ac:dyDescent="0.2">
      <c r="A68" s="71"/>
      <c r="B68" s="72" t="s">
        <v>28</v>
      </c>
      <c r="C68" s="53">
        <v>2.5000000000000001E-2</v>
      </c>
      <c r="D68" s="56">
        <f>C68*D66</f>
        <v>49475</v>
      </c>
      <c r="E68" s="81"/>
      <c r="F68" s="82"/>
      <c r="H68" s="77"/>
      <c r="I68" s="77"/>
      <c r="J68" s="77"/>
      <c r="K68" s="77"/>
      <c r="L68" s="77"/>
    </row>
    <row r="69" spans="1:12" x14ac:dyDescent="0.2">
      <c r="A69" s="71"/>
      <c r="B69" s="72"/>
      <c r="C69" s="53"/>
      <c r="D69" s="75"/>
      <c r="E69" s="81"/>
      <c r="H69" s="77"/>
      <c r="I69" s="77"/>
      <c r="J69" s="77"/>
      <c r="K69" s="77"/>
      <c r="L69" s="77"/>
    </row>
    <row r="70" spans="1:12" x14ac:dyDescent="0.2">
      <c r="A70" s="71"/>
      <c r="B70" s="72"/>
      <c r="C70" s="53"/>
      <c r="D70" s="75"/>
      <c r="E70" s="81"/>
      <c r="H70" s="77"/>
      <c r="I70" s="77"/>
      <c r="J70" s="77"/>
      <c r="K70" s="77"/>
      <c r="L70" s="77"/>
    </row>
    <row r="71" spans="1:12" x14ac:dyDescent="0.2">
      <c r="A71" s="71"/>
      <c r="B71" s="72"/>
      <c r="C71" s="53"/>
      <c r="D71" s="75"/>
      <c r="E71" s="81"/>
      <c r="H71" s="77"/>
      <c r="I71" s="77"/>
      <c r="J71" s="77"/>
      <c r="K71" s="77"/>
      <c r="L71" s="77"/>
    </row>
    <row r="72" spans="1:12" s="55" customFormat="1" ht="12" customHeight="1" x14ac:dyDescent="0.2">
      <c r="A72" s="71"/>
      <c r="B72" s="72"/>
      <c r="C72" s="53"/>
      <c r="D72" s="78"/>
    </row>
    <row r="73" spans="1:12" s="55" customFormat="1" x14ac:dyDescent="0.2">
      <c r="A73" s="71"/>
      <c r="B73" s="72"/>
      <c r="C73" s="53"/>
      <c r="D73" s="78"/>
    </row>
    <row r="74" spans="1:12" x14ac:dyDescent="0.2">
      <c r="A74" s="73"/>
      <c r="B74" s="74"/>
      <c r="C74" s="16"/>
      <c r="D74" s="17"/>
      <c r="E74" s="49"/>
    </row>
    <row r="75" spans="1:12" x14ac:dyDescent="0.2">
      <c r="A75" s="32"/>
      <c r="B75" s="33"/>
      <c r="C75" s="58"/>
      <c r="D75" s="59"/>
      <c r="E75" s="49"/>
    </row>
    <row r="76" spans="1:12" x14ac:dyDescent="0.2">
      <c r="A76" s="34"/>
      <c r="B76" s="35"/>
      <c r="C76" s="60" t="s">
        <v>7</v>
      </c>
      <c r="D76" s="13">
        <f>SUM(D36:D74)</f>
        <v>16320721.00375</v>
      </c>
      <c r="E76" s="49"/>
    </row>
    <row r="77" spans="1:12" x14ac:dyDescent="0.2">
      <c r="A77" s="34"/>
      <c r="B77" s="35"/>
      <c r="C77" s="61"/>
      <c r="D77" s="17"/>
      <c r="E77" s="49"/>
    </row>
    <row r="78" spans="1:12" x14ac:dyDescent="0.2">
      <c r="A78" s="28"/>
      <c r="B78" s="36"/>
      <c r="C78" s="12"/>
      <c r="D78" s="13"/>
      <c r="E78" s="49"/>
    </row>
    <row r="79" spans="1:12" x14ac:dyDescent="0.2">
      <c r="A79" s="28"/>
      <c r="B79" s="36"/>
      <c r="C79" s="12"/>
      <c r="D79" s="13"/>
      <c r="E79" s="49"/>
    </row>
    <row r="80" spans="1:12" ht="99.75" x14ac:dyDescent="0.2">
      <c r="A80" s="28" t="s">
        <v>20</v>
      </c>
      <c r="B80" s="36" t="s">
        <v>38</v>
      </c>
      <c r="C80" s="52" t="s">
        <v>16</v>
      </c>
      <c r="D80" s="76">
        <v>50000</v>
      </c>
      <c r="E80" s="49"/>
    </row>
    <row r="81" spans="1:12" x14ac:dyDescent="0.2">
      <c r="A81" s="71"/>
      <c r="B81" s="72" t="s">
        <v>19</v>
      </c>
      <c r="C81" s="53">
        <v>0.05</v>
      </c>
      <c r="D81" s="75">
        <f>+D80*C81</f>
        <v>2500</v>
      </c>
      <c r="E81" s="49"/>
      <c r="H81" s="77"/>
      <c r="I81" s="77"/>
      <c r="J81" s="77"/>
      <c r="K81" s="77"/>
      <c r="L81" s="77"/>
    </row>
    <row r="82" spans="1:12" s="55" customFormat="1" ht="28.15" customHeight="1" x14ac:dyDescent="0.2">
      <c r="A82" s="71"/>
      <c r="B82" s="72" t="s">
        <v>28</v>
      </c>
      <c r="C82" s="53">
        <v>2.5000000000000001E-2</v>
      </c>
      <c r="D82" s="56">
        <f>C82*D80</f>
        <v>1250</v>
      </c>
      <c r="F82" s="83"/>
    </row>
    <row r="83" spans="1:12" s="55" customFormat="1" x14ac:dyDescent="0.2">
      <c r="A83" s="71"/>
      <c r="B83" s="80"/>
      <c r="C83" s="53"/>
      <c r="D83" s="78"/>
    </row>
    <row r="84" spans="1:12" ht="31.9" customHeight="1" x14ac:dyDescent="0.2">
      <c r="A84" s="28" t="s">
        <v>22</v>
      </c>
      <c r="B84" s="36" t="s">
        <v>40</v>
      </c>
      <c r="C84" s="52" t="s">
        <v>16</v>
      </c>
      <c r="D84" s="76">
        <v>186000</v>
      </c>
      <c r="E84" s="49"/>
    </row>
    <row r="85" spans="1:12" s="55" customFormat="1" ht="19.899999999999999" customHeight="1" x14ac:dyDescent="0.2">
      <c r="A85" s="71"/>
      <c r="B85" s="72" t="s">
        <v>19</v>
      </c>
      <c r="C85" s="53">
        <v>0.05</v>
      </c>
      <c r="D85" s="75">
        <f>+D84*C85</f>
        <v>9300</v>
      </c>
      <c r="E85" s="49"/>
      <c r="F85" s="18"/>
    </row>
    <row r="86" spans="1:12" s="55" customFormat="1" ht="28.5" x14ac:dyDescent="0.2">
      <c r="A86" s="71"/>
      <c r="B86" s="72" t="s">
        <v>28</v>
      </c>
      <c r="C86" s="53">
        <v>2.5000000000000001E-2</v>
      </c>
      <c r="D86" s="56">
        <f>C86*D84</f>
        <v>4650</v>
      </c>
      <c r="F86" s="83"/>
    </row>
    <row r="87" spans="1:12" x14ac:dyDescent="0.2">
      <c r="A87" s="28"/>
      <c r="B87" s="36"/>
      <c r="C87" s="12"/>
      <c r="D87" s="79"/>
      <c r="E87" s="49"/>
    </row>
    <row r="88" spans="1:12" x14ac:dyDescent="0.2">
      <c r="A88" s="28"/>
      <c r="B88" s="36"/>
      <c r="C88" s="52"/>
      <c r="D88" s="76"/>
      <c r="E88" s="49"/>
    </row>
    <row r="89" spans="1:12" x14ac:dyDescent="0.2">
      <c r="A89" s="71"/>
      <c r="B89" s="72"/>
      <c r="C89" s="53"/>
      <c r="D89" s="75"/>
      <c r="E89" s="49"/>
    </row>
    <row r="90" spans="1:12" ht="15" x14ac:dyDescent="0.2">
      <c r="A90" s="85"/>
      <c r="B90" s="96" t="s">
        <v>42</v>
      </c>
      <c r="C90" s="86"/>
      <c r="D90" s="75"/>
      <c r="E90" s="49"/>
    </row>
    <row r="91" spans="1:12" ht="28.5" x14ac:dyDescent="0.2">
      <c r="A91" s="85" t="s">
        <v>23</v>
      </c>
      <c r="B91" s="87" t="s">
        <v>43</v>
      </c>
      <c r="C91" s="88" t="s">
        <v>16</v>
      </c>
      <c r="D91" s="89">
        <v>2000000</v>
      </c>
      <c r="E91" s="49"/>
    </row>
    <row r="92" spans="1:12" x14ac:dyDescent="0.2">
      <c r="A92" s="71"/>
      <c r="B92" s="90" t="s">
        <v>19</v>
      </c>
      <c r="C92" s="91">
        <v>0.05</v>
      </c>
      <c r="D92" s="75">
        <f>+D91*C92</f>
        <v>100000</v>
      </c>
      <c r="E92" s="49"/>
      <c r="H92" s="77"/>
      <c r="I92" s="77"/>
      <c r="J92" s="77"/>
      <c r="K92" s="77"/>
      <c r="L92" s="77"/>
    </row>
    <row r="93" spans="1:12" s="55" customFormat="1" ht="34.9" customHeight="1" x14ac:dyDescent="0.2">
      <c r="A93" s="71"/>
      <c r="B93" s="90" t="s">
        <v>28</v>
      </c>
      <c r="C93" s="91">
        <v>2.5000000000000001E-2</v>
      </c>
      <c r="D93" s="75">
        <f>+D91*C93</f>
        <v>50000</v>
      </c>
    </row>
    <row r="94" spans="1:12" s="55" customFormat="1" ht="15" x14ac:dyDescent="0.2">
      <c r="A94" s="71"/>
      <c r="B94" s="92"/>
      <c r="C94" s="93"/>
      <c r="D94" s="94"/>
    </row>
    <row r="95" spans="1:12" x14ac:dyDescent="0.2">
      <c r="A95" s="85"/>
      <c r="B95" s="87"/>
      <c r="C95" s="88"/>
      <c r="D95" s="89"/>
      <c r="E95" s="49"/>
    </row>
    <row r="96" spans="1:12" x14ac:dyDescent="0.2">
      <c r="A96" s="71"/>
      <c r="B96" s="87"/>
      <c r="C96" s="91"/>
      <c r="D96" s="75"/>
      <c r="E96" s="49"/>
      <c r="H96" s="77"/>
      <c r="I96" s="77"/>
      <c r="J96" s="77"/>
      <c r="K96" s="77"/>
      <c r="L96" s="77"/>
    </row>
    <row r="97" spans="1:12" s="55" customFormat="1" ht="19.899999999999999" customHeight="1" x14ac:dyDescent="0.2">
      <c r="A97" s="71"/>
      <c r="B97" s="90"/>
      <c r="C97" s="91"/>
      <c r="D97" s="75"/>
    </row>
    <row r="98" spans="1:12" s="55" customFormat="1" x14ac:dyDescent="0.2">
      <c r="A98" s="85"/>
      <c r="B98" s="90"/>
      <c r="C98" s="95"/>
      <c r="D98" s="75"/>
    </row>
    <row r="99" spans="1:12" ht="15" x14ac:dyDescent="0.2">
      <c r="A99" s="85"/>
      <c r="B99" s="92"/>
      <c r="C99" s="88"/>
      <c r="D99" s="94"/>
      <c r="E99" s="49"/>
    </row>
    <row r="100" spans="1:12" x14ac:dyDescent="0.2">
      <c r="A100" s="28"/>
      <c r="B100" s="36"/>
      <c r="C100" s="52"/>
      <c r="D100" s="76"/>
      <c r="E100" s="49"/>
      <c r="H100" s="77"/>
      <c r="I100" s="77"/>
      <c r="J100" s="77"/>
      <c r="K100" s="77"/>
      <c r="L100" s="77"/>
    </row>
    <row r="101" spans="1:12" s="55" customFormat="1" ht="19.899999999999999" customHeight="1" x14ac:dyDescent="0.2">
      <c r="A101" s="71"/>
      <c r="B101" s="72"/>
      <c r="C101" s="53"/>
      <c r="D101" s="75"/>
    </row>
    <row r="102" spans="1:12" s="55" customFormat="1" x14ac:dyDescent="0.2">
      <c r="A102" s="71"/>
      <c r="B102" s="72"/>
      <c r="C102" s="53"/>
      <c r="D102" s="78"/>
      <c r="F102" s="84"/>
    </row>
    <row r="103" spans="1:12" s="55" customFormat="1" x14ac:dyDescent="0.2">
      <c r="A103" s="71"/>
      <c r="B103" s="72"/>
      <c r="C103" s="53"/>
      <c r="D103" s="78"/>
      <c r="F103" s="84"/>
    </row>
    <row r="104" spans="1:12" s="55" customFormat="1" x14ac:dyDescent="0.2">
      <c r="A104" s="71"/>
      <c r="B104" s="72"/>
      <c r="C104" s="53"/>
      <c r="D104" s="78"/>
      <c r="F104" s="84"/>
    </row>
    <row r="105" spans="1:12" s="55" customFormat="1" x14ac:dyDescent="0.2">
      <c r="A105" s="71"/>
      <c r="B105" s="72"/>
      <c r="C105" s="53"/>
      <c r="D105" s="78"/>
      <c r="F105" s="84"/>
    </row>
    <row r="106" spans="1:12" s="55" customFormat="1" x14ac:dyDescent="0.2">
      <c r="A106" s="71"/>
      <c r="B106" s="72"/>
      <c r="C106" s="53"/>
      <c r="D106" s="78"/>
      <c r="F106" s="84"/>
    </row>
    <row r="107" spans="1:12" s="55" customFormat="1" x14ac:dyDescent="0.2">
      <c r="A107" s="71"/>
      <c r="B107" s="72"/>
      <c r="C107" s="53"/>
      <c r="D107" s="78"/>
      <c r="F107" s="84"/>
    </row>
    <row r="108" spans="1:12" s="55" customFormat="1" x14ac:dyDescent="0.2">
      <c r="A108" s="71"/>
      <c r="B108" s="72"/>
      <c r="C108" s="53"/>
      <c r="D108" s="78"/>
      <c r="F108" s="84"/>
    </row>
    <row r="109" spans="1:12" s="55" customFormat="1" x14ac:dyDescent="0.2">
      <c r="A109" s="71"/>
      <c r="B109" s="72"/>
      <c r="C109" s="53"/>
      <c r="D109" s="78"/>
      <c r="F109" s="84"/>
    </row>
    <row r="110" spans="1:12" s="55" customFormat="1" x14ac:dyDescent="0.2">
      <c r="A110" s="71"/>
      <c r="B110" s="72"/>
      <c r="C110" s="53"/>
      <c r="D110" s="78"/>
      <c r="F110" s="84"/>
    </row>
    <row r="111" spans="1:12" s="55" customFormat="1" x14ac:dyDescent="0.2">
      <c r="A111" s="71"/>
      <c r="B111" s="72"/>
      <c r="C111" s="53"/>
      <c r="D111" s="78"/>
      <c r="F111" s="84"/>
    </row>
    <row r="112" spans="1:12" s="55" customFormat="1" x14ac:dyDescent="0.2">
      <c r="A112" s="71"/>
      <c r="B112" s="72"/>
      <c r="C112" s="53"/>
      <c r="D112" s="78"/>
      <c r="F112" s="84"/>
    </row>
    <row r="113" spans="1:12" x14ac:dyDescent="0.2">
      <c r="A113" s="28"/>
      <c r="B113" s="36"/>
      <c r="C113" s="52"/>
      <c r="D113" s="76"/>
      <c r="E113" s="49"/>
      <c r="H113" s="77"/>
      <c r="I113" s="77"/>
      <c r="J113" s="77"/>
      <c r="K113" s="77"/>
      <c r="L113" s="77"/>
    </row>
    <row r="114" spans="1:12" x14ac:dyDescent="0.2">
      <c r="A114" s="71"/>
      <c r="B114" s="72"/>
      <c r="C114" s="53"/>
      <c r="D114" s="78"/>
      <c r="E114" s="81"/>
      <c r="F114" s="84"/>
      <c r="H114" s="77"/>
      <c r="I114" s="77"/>
      <c r="J114" s="77"/>
      <c r="K114" s="77"/>
      <c r="L114" s="77"/>
    </row>
    <row r="115" spans="1:12" x14ac:dyDescent="0.2">
      <c r="A115" s="71"/>
      <c r="B115" s="72"/>
      <c r="C115" s="53"/>
      <c r="D115" s="75"/>
      <c r="E115" s="81"/>
      <c r="H115" s="77"/>
      <c r="I115" s="77"/>
      <c r="J115" s="77"/>
      <c r="K115" s="77"/>
      <c r="L115" s="77"/>
    </row>
    <row r="116" spans="1:12" x14ac:dyDescent="0.2">
      <c r="A116" s="71"/>
      <c r="B116" s="72"/>
      <c r="C116" s="53"/>
      <c r="D116" s="75"/>
      <c r="E116" s="81"/>
      <c r="H116" s="77"/>
      <c r="I116" s="77"/>
      <c r="J116" s="77"/>
      <c r="K116" s="77"/>
      <c r="L116" s="77"/>
    </row>
    <row r="117" spans="1:12" x14ac:dyDescent="0.2">
      <c r="A117" s="71"/>
      <c r="B117" s="72"/>
      <c r="C117" s="53"/>
      <c r="D117" s="75"/>
      <c r="E117" s="81"/>
      <c r="H117" s="77"/>
      <c r="I117" s="77"/>
      <c r="J117" s="77"/>
      <c r="K117" s="77"/>
      <c r="L117" s="77"/>
    </row>
    <row r="118" spans="1:12" x14ac:dyDescent="0.2">
      <c r="A118" s="73"/>
      <c r="B118" s="74"/>
      <c r="C118" s="16"/>
      <c r="D118" s="17"/>
      <c r="E118" s="49"/>
    </row>
    <row r="119" spans="1:12" x14ac:dyDescent="0.2">
      <c r="A119" s="32"/>
      <c r="B119" s="33"/>
      <c r="C119" s="58"/>
      <c r="D119" s="59"/>
      <c r="E119" s="49"/>
    </row>
    <row r="120" spans="1:12" x14ac:dyDescent="0.2">
      <c r="A120" s="34"/>
      <c r="B120" s="35"/>
      <c r="C120" s="60" t="s">
        <v>7</v>
      </c>
      <c r="D120" s="13">
        <f>SUM(D78:D118)</f>
        <v>2403700</v>
      </c>
      <c r="E120" s="49"/>
    </row>
    <row r="121" spans="1:12" x14ac:dyDescent="0.2">
      <c r="A121" s="34"/>
      <c r="B121" s="35"/>
      <c r="C121" s="61"/>
      <c r="D121" s="17"/>
      <c r="E121" s="49"/>
    </row>
    <row r="122" spans="1:12" x14ac:dyDescent="0.2">
      <c r="A122" s="28"/>
      <c r="B122" s="36"/>
      <c r="C122" s="12"/>
      <c r="D122" s="13"/>
      <c r="E122" s="49"/>
    </row>
    <row r="123" spans="1:12" x14ac:dyDescent="0.2">
      <c r="A123" s="28"/>
      <c r="B123" s="37"/>
      <c r="C123" s="12"/>
      <c r="D123" s="13"/>
      <c r="E123" s="49"/>
    </row>
    <row r="124" spans="1:12" x14ac:dyDescent="0.2">
      <c r="A124" s="28"/>
      <c r="B124" s="38" t="s">
        <v>8</v>
      </c>
      <c r="C124" s="12"/>
      <c r="D124" s="13"/>
      <c r="E124" s="49"/>
    </row>
    <row r="125" spans="1:12" x14ac:dyDescent="0.2">
      <c r="A125" s="28"/>
      <c r="B125" s="39"/>
      <c r="C125" s="12"/>
      <c r="D125" s="13"/>
      <c r="E125" s="49"/>
    </row>
    <row r="126" spans="1:12" x14ac:dyDescent="0.2">
      <c r="A126" s="28"/>
      <c r="B126" s="39" t="s">
        <v>9</v>
      </c>
      <c r="C126" s="12"/>
      <c r="D126" s="13">
        <f>D34</f>
        <v>25800000</v>
      </c>
      <c r="E126" s="49"/>
    </row>
    <row r="127" spans="1:12" x14ac:dyDescent="0.2">
      <c r="A127" s="28"/>
      <c r="B127" s="37"/>
      <c r="C127" s="12"/>
      <c r="D127" s="13"/>
      <c r="E127" s="49"/>
    </row>
    <row r="128" spans="1:12" x14ac:dyDescent="0.2">
      <c r="A128" s="28"/>
      <c r="B128" s="39" t="s">
        <v>21</v>
      </c>
      <c r="C128" s="12"/>
      <c r="D128" s="13">
        <f>D76</f>
        <v>16320721.00375</v>
      </c>
      <c r="E128" s="49"/>
    </row>
    <row r="129" spans="1:5" x14ac:dyDescent="0.2">
      <c r="A129" s="28"/>
      <c r="B129" s="39"/>
      <c r="C129" s="12"/>
      <c r="D129" s="13"/>
      <c r="E129" s="49"/>
    </row>
    <row r="130" spans="1:5" x14ac:dyDescent="0.2">
      <c r="A130" s="28"/>
      <c r="B130" s="39" t="s">
        <v>39</v>
      </c>
      <c r="C130" s="12"/>
      <c r="D130" s="13">
        <f>D120</f>
        <v>2403700</v>
      </c>
      <c r="E130" s="49"/>
    </row>
    <row r="131" spans="1:5" x14ac:dyDescent="0.2">
      <c r="A131" s="28"/>
      <c r="B131" s="36"/>
      <c r="C131" s="12"/>
      <c r="D131" s="13"/>
      <c r="E131" s="49"/>
    </row>
    <row r="132" spans="1:5" x14ac:dyDescent="0.2">
      <c r="A132" s="28"/>
      <c r="B132" s="39"/>
      <c r="C132" s="12"/>
      <c r="D132" s="13"/>
      <c r="E132" s="49"/>
    </row>
    <row r="133" spans="1:5" x14ac:dyDescent="0.2">
      <c r="A133" s="28"/>
      <c r="B133" s="36"/>
      <c r="C133" s="12"/>
      <c r="D133" s="13"/>
      <c r="E133" s="49"/>
    </row>
    <row r="134" spans="1:5" x14ac:dyDescent="0.2">
      <c r="A134" s="28"/>
      <c r="B134" s="36"/>
      <c r="C134" s="12"/>
      <c r="D134" s="13"/>
      <c r="E134" s="49"/>
    </row>
    <row r="135" spans="1:5" x14ac:dyDescent="0.2">
      <c r="A135" s="28"/>
      <c r="B135" s="36"/>
      <c r="C135" s="12"/>
      <c r="D135" s="13"/>
      <c r="E135" s="49"/>
    </row>
    <row r="136" spans="1:5" x14ac:dyDescent="0.2">
      <c r="A136" s="28"/>
      <c r="B136" s="36"/>
      <c r="C136" s="12"/>
      <c r="D136" s="13"/>
      <c r="E136" s="49"/>
    </row>
    <row r="137" spans="1:5" x14ac:dyDescent="0.2">
      <c r="A137" s="28"/>
      <c r="B137" s="36"/>
      <c r="C137" s="12"/>
      <c r="D137" s="13"/>
      <c r="E137" s="49"/>
    </row>
    <row r="138" spans="1:5" x14ac:dyDescent="0.2">
      <c r="A138" s="28"/>
      <c r="B138" s="36"/>
      <c r="C138" s="12"/>
      <c r="D138" s="13"/>
      <c r="E138" s="49"/>
    </row>
    <row r="139" spans="1:5" x14ac:dyDescent="0.2">
      <c r="A139" s="28"/>
      <c r="B139" s="36"/>
      <c r="C139" s="12"/>
      <c r="D139" s="13"/>
      <c r="E139" s="49"/>
    </row>
    <row r="140" spans="1:5" x14ac:dyDescent="0.2">
      <c r="A140" s="28"/>
      <c r="B140" s="36"/>
      <c r="C140" s="12"/>
      <c r="D140" s="13"/>
      <c r="E140" s="49"/>
    </row>
    <row r="141" spans="1:5" x14ac:dyDescent="0.2">
      <c r="A141" s="28"/>
      <c r="B141" s="36"/>
      <c r="C141" s="12"/>
      <c r="D141" s="13"/>
      <c r="E141" s="49"/>
    </row>
    <row r="142" spans="1:5" x14ac:dyDescent="0.2">
      <c r="A142" s="28"/>
      <c r="B142" s="36"/>
      <c r="C142" s="12"/>
      <c r="D142" s="13"/>
      <c r="E142" s="49"/>
    </row>
    <row r="143" spans="1:5" x14ac:dyDescent="0.2">
      <c r="A143" s="28"/>
      <c r="B143" s="36"/>
      <c r="C143" s="12"/>
      <c r="D143" s="13"/>
      <c r="E143" s="49"/>
    </row>
    <row r="144" spans="1:5" x14ac:dyDescent="0.2">
      <c r="A144" s="28"/>
      <c r="B144" s="36"/>
      <c r="C144" s="12"/>
      <c r="D144" s="13"/>
      <c r="E144" s="49"/>
    </row>
    <row r="145" spans="1:5" x14ac:dyDescent="0.2">
      <c r="A145" s="28"/>
      <c r="B145" s="36"/>
      <c r="C145" s="12"/>
      <c r="D145" s="13"/>
      <c r="E145" s="49"/>
    </row>
    <row r="146" spans="1:5" x14ac:dyDescent="0.2">
      <c r="A146" s="28"/>
      <c r="B146" s="36"/>
      <c r="C146" s="12"/>
      <c r="D146" s="13"/>
      <c r="E146" s="49"/>
    </row>
    <row r="147" spans="1:5" x14ac:dyDescent="0.2">
      <c r="A147" s="28"/>
      <c r="B147" s="36"/>
      <c r="C147" s="12"/>
      <c r="D147" s="13"/>
      <c r="E147" s="49"/>
    </row>
    <row r="148" spans="1:5" x14ac:dyDescent="0.2">
      <c r="A148" s="28"/>
      <c r="B148" s="36"/>
      <c r="C148" s="12"/>
      <c r="D148" s="13"/>
      <c r="E148" s="49"/>
    </row>
    <row r="149" spans="1:5" x14ac:dyDescent="0.2">
      <c r="A149" s="28"/>
      <c r="B149" s="36"/>
      <c r="C149" s="12"/>
      <c r="D149" s="13"/>
      <c r="E149" s="49"/>
    </row>
    <row r="150" spans="1:5" x14ac:dyDescent="0.2">
      <c r="A150" s="28"/>
      <c r="B150" s="36"/>
      <c r="C150" s="12"/>
      <c r="D150" s="13"/>
      <c r="E150" s="49"/>
    </row>
    <row r="151" spans="1:5" x14ac:dyDescent="0.2">
      <c r="A151" s="28"/>
      <c r="B151" s="36"/>
      <c r="C151" s="12"/>
      <c r="D151" s="13"/>
      <c r="E151" s="49"/>
    </row>
    <row r="152" spans="1:5" x14ac:dyDescent="0.2">
      <c r="A152" s="28"/>
      <c r="B152" s="36"/>
      <c r="C152" s="12"/>
      <c r="D152" s="13"/>
      <c r="E152" s="49"/>
    </row>
    <row r="153" spans="1:5" x14ac:dyDescent="0.2">
      <c r="A153" s="28"/>
      <c r="B153" s="36"/>
      <c r="C153" s="12"/>
      <c r="D153" s="13"/>
      <c r="E153" s="49"/>
    </row>
    <row r="154" spans="1:5" x14ac:dyDescent="0.2">
      <c r="A154" s="28"/>
      <c r="B154" s="36"/>
      <c r="C154" s="12"/>
      <c r="D154" s="13"/>
      <c r="E154" s="49"/>
    </row>
    <row r="155" spans="1:5" x14ac:dyDescent="0.2">
      <c r="A155" s="28"/>
      <c r="B155" s="36"/>
      <c r="C155" s="12"/>
      <c r="D155" s="13"/>
      <c r="E155" s="49"/>
    </row>
    <row r="156" spans="1:5" x14ac:dyDescent="0.2">
      <c r="A156" s="28"/>
      <c r="B156" s="36"/>
      <c r="C156" s="12"/>
      <c r="D156" s="13"/>
      <c r="E156" s="49"/>
    </row>
    <row r="157" spans="1:5" x14ac:dyDescent="0.2">
      <c r="A157" s="28"/>
      <c r="B157" s="36"/>
      <c r="C157" s="12"/>
      <c r="D157" s="13"/>
      <c r="E157" s="49"/>
    </row>
    <row r="158" spans="1:5" x14ac:dyDescent="0.2">
      <c r="A158" s="28"/>
      <c r="B158" s="36"/>
      <c r="C158" s="12"/>
      <c r="D158" s="13"/>
      <c r="E158" s="49"/>
    </row>
    <row r="159" spans="1:5" x14ac:dyDescent="0.2">
      <c r="A159" s="28"/>
      <c r="B159" s="36"/>
      <c r="C159" s="12"/>
      <c r="D159" s="13"/>
      <c r="E159" s="49"/>
    </row>
    <row r="160" spans="1:5" x14ac:dyDescent="0.2">
      <c r="A160" s="28"/>
      <c r="B160" s="36"/>
      <c r="C160" s="12"/>
      <c r="D160" s="13"/>
      <c r="E160" s="49"/>
    </row>
    <row r="161" spans="1:5" x14ac:dyDescent="0.2">
      <c r="A161" s="28"/>
      <c r="B161" s="36"/>
      <c r="C161" s="12"/>
      <c r="D161" s="13"/>
      <c r="E161" s="49"/>
    </row>
    <row r="162" spans="1:5" x14ac:dyDescent="0.2">
      <c r="A162" s="28"/>
      <c r="B162" s="36"/>
      <c r="C162" s="12"/>
      <c r="D162" s="13"/>
      <c r="E162" s="49"/>
    </row>
    <row r="163" spans="1:5" x14ac:dyDescent="0.2">
      <c r="A163" s="28"/>
      <c r="B163" s="36"/>
      <c r="C163" s="12"/>
      <c r="D163" s="13"/>
      <c r="E163" s="49"/>
    </row>
    <row r="164" spans="1:5" s="63" customFormat="1" x14ac:dyDescent="0.2">
      <c r="A164" s="28"/>
      <c r="B164" s="36"/>
      <c r="C164" s="12"/>
      <c r="D164" s="13"/>
      <c r="E164" s="62"/>
    </row>
    <row r="165" spans="1:5" s="63" customFormat="1" x14ac:dyDescent="0.2">
      <c r="A165" s="28"/>
      <c r="B165" s="36"/>
      <c r="C165" s="12"/>
      <c r="D165" s="13"/>
      <c r="E165" s="62"/>
    </row>
    <row r="166" spans="1:5" s="63" customFormat="1" x14ac:dyDescent="0.2">
      <c r="A166" s="28"/>
      <c r="B166" s="36"/>
      <c r="C166" s="12"/>
      <c r="D166" s="13"/>
      <c r="E166" s="62"/>
    </row>
    <row r="167" spans="1:5" s="63" customFormat="1" x14ac:dyDescent="0.2">
      <c r="A167" s="28"/>
      <c r="B167" s="36"/>
      <c r="C167" s="12"/>
      <c r="D167" s="13"/>
      <c r="E167" s="62"/>
    </row>
    <row r="168" spans="1:5" s="63" customFormat="1" x14ac:dyDescent="0.2">
      <c r="A168" s="28"/>
      <c r="B168" s="36"/>
      <c r="C168" s="12"/>
      <c r="D168" s="13"/>
      <c r="E168" s="62"/>
    </row>
    <row r="169" spans="1:5" s="63" customFormat="1" x14ac:dyDescent="0.2">
      <c r="A169" s="28"/>
      <c r="B169" s="36"/>
      <c r="C169" s="12"/>
      <c r="D169" s="13"/>
      <c r="E169" s="62"/>
    </row>
    <row r="170" spans="1:5" s="63" customFormat="1" x14ac:dyDescent="0.2">
      <c r="A170" s="28"/>
      <c r="B170" s="36"/>
      <c r="C170" s="12"/>
      <c r="D170" s="13"/>
      <c r="E170" s="62"/>
    </row>
    <row r="171" spans="1:5" s="63" customFormat="1" x14ac:dyDescent="0.2">
      <c r="A171" s="28"/>
      <c r="B171" s="36"/>
      <c r="C171" s="12"/>
      <c r="D171" s="13"/>
      <c r="E171" s="62"/>
    </row>
    <row r="172" spans="1:5" s="63" customFormat="1" x14ac:dyDescent="0.2">
      <c r="A172" s="28"/>
      <c r="B172" s="36"/>
      <c r="C172" s="12"/>
      <c r="D172" s="13"/>
      <c r="E172" s="62"/>
    </row>
    <row r="173" spans="1:5" s="63" customFormat="1" x14ac:dyDescent="0.2">
      <c r="A173" s="28"/>
      <c r="B173" s="36"/>
      <c r="C173" s="12"/>
      <c r="D173" s="13"/>
      <c r="E173" s="62"/>
    </row>
    <row r="174" spans="1:5" s="63" customFormat="1" x14ac:dyDescent="0.2">
      <c r="A174" s="28"/>
      <c r="B174" s="36"/>
      <c r="C174" s="12"/>
      <c r="D174" s="13"/>
      <c r="E174" s="62"/>
    </row>
    <row r="175" spans="1:5" s="63" customFormat="1" x14ac:dyDescent="0.2">
      <c r="A175" s="28"/>
      <c r="B175" s="36"/>
      <c r="C175" s="12"/>
      <c r="D175" s="13"/>
      <c r="E175" s="62"/>
    </row>
    <row r="176" spans="1:5" s="63" customFormat="1" x14ac:dyDescent="0.2">
      <c r="A176" s="40"/>
      <c r="B176" s="41" t="s">
        <v>10</v>
      </c>
      <c r="C176" s="64"/>
      <c r="D176" s="65"/>
      <c r="E176" s="62"/>
    </row>
    <row r="177" spans="1:5" s="63" customFormat="1" ht="15" x14ac:dyDescent="0.25">
      <c r="A177" s="42"/>
      <c r="B177" s="43"/>
      <c r="C177" s="66" t="s">
        <v>3</v>
      </c>
      <c r="D177" s="67">
        <f>SUM(D122:D175)</f>
        <v>44524421.003749996</v>
      </c>
      <c r="E177" s="62"/>
    </row>
    <row r="178" spans="1:5" s="63" customFormat="1" ht="15" x14ac:dyDescent="0.25">
      <c r="A178" s="43"/>
      <c r="B178" s="43"/>
      <c r="C178" s="68"/>
      <c r="D178" s="69"/>
      <c r="E178" s="62"/>
    </row>
  </sheetData>
  <phoneticPr fontId="19" type="noConversion"/>
  <printOptions horizontalCentered="1"/>
  <pageMargins left="0.70866141732283505" right="0.70866141732283505" top="0.74803149606299202" bottom="0.74803149606299202" header="0.31496062992126" footer="0.31496062992126"/>
  <pageSetup paperSize="9" scale="86" orientation="portrait" r:id="rId1"/>
  <headerFooter>
    <oddHeader>&amp;R&amp;UBILL NO. 6
PROVISIONAL SUMS</oddHeader>
    <oddFooter>&amp;L&amp;9DMS 148704 BOQ - Nakheel Mall Al Khail PTC 37&amp;C&amp;9 6/PS/&amp;P</oddFooter>
  </headerFooter>
  <rowBreaks count="3" manualBreakCount="3">
    <brk id="35" max="3" man="1"/>
    <brk id="77" max="3" man="1"/>
    <brk id="121" max="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3EF1AB537AC9E47B3E67E62C11EDC34" ma:contentTypeVersion="6" ma:contentTypeDescription="Create a new document." ma:contentTypeScope="" ma:versionID="2393c6d2fbf1c3b1fcf0524f3ce13afe">
  <xsd:schema xmlns:xsd="http://www.w3.org/2001/XMLSchema" xmlns:xs="http://www.w3.org/2001/XMLSchema" xmlns:p="http://schemas.microsoft.com/office/2006/metadata/properties" xmlns:ns2="29343c2e-0cc4-4aa9-a004-66d03d634282" xmlns:ns3="303d1388-59d5-4b44-81d6-4cb28e15e614" targetNamespace="http://schemas.microsoft.com/office/2006/metadata/properties" ma:root="true" ma:fieldsID="42acea1767e65b62021b29439736a286" ns2:_="" ns3:_="">
    <xsd:import namespace="29343c2e-0cc4-4aa9-a004-66d03d634282"/>
    <xsd:import namespace="303d1388-59d5-4b44-81d6-4cb28e15e61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343c2e-0cc4-4aa9-a004-66d03d63428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03d1388-59d5-4b44-81d6-4cb28e15e61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B56D55F-4F94-44A2-AE6F-D09198E0691D}"/>
</file>

<file path=customXml/itemProps2.xml><?xml version="1.0" encoding="utf-8"?>
<ds:datastoreItem xmlns:ds="http://schemas.openxmlformats.org/officeDocument/2006/customXml" ds:itemID="{EF573300-8CFD-4D38-9856-2AE17D2F7736}"/>
</file>

<file path=customXml/itemProps3.xml><?xml version="1.0" encoding="utf-8"?>
<ds:datastoreItem xmlns:ds="http://schemas.openxmlformats.org/officeDocument/2006/customXml" ds:itemID="{D4E6A3F5-E2C2-4276-ABAA-9BC4CE6837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Fly-Bill 6</vt:lpstr>
      <vt:lpstr>B6_PS</vt:lpstr>
      <vt:lpstr>B6_PS!Print_Area</vt:lpstr>
      <vt:lpstr>'Fly-Bill 6'!Print_Area</vt:lpstr>
      <vt:lpstr>B6_PS!Print_Titles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Mendoza</dc:creator>
  <cp:lastModifiedBy>Vipan Kumar</cp:lastModifiedBy>
  <cp:lastPrinted>2023-11-02T08:44:33Z</cp:lastPrinted>
  <dcterms:created xsi:type="dcterms:W3CDTF">2021-12-10T06:42:14Z</dcterms:created>
  <dcterms:modified xsi:type="dcterms:W3CDTF">2024-02-21T11:04:14Z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0x010100D3EF1AB537AC9E47B3E67E62C11EDC34</vt:lpwstr>
  </property>
</Properties>
</file>