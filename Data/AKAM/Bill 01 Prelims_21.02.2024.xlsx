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heckCompatibility="1" defaultThemeVersion="166925"/>
  <mc:AlternateContent xmlns:mc="http://schemas.openxmlformats.org/markup-compatibility/2006">
    <mc:Choice Requires="x15">
      <x15ac:absPath xmlns:x15ac="http://schemas.microsoft.com/office/spreadsheetml/2010/11/ac" url="N:\Tender\2022\BLDG\T061-22 NKHL RFQ700887 Modification&amp;Redev Wrks Nakheel Mall-Al Khail\2. COMM\4. Sub.&amp;PTC\24.02.21 - Final BoQ - Amended\"/>
    </mc:Choice>
  </mc:AlternateContent>
  <xr:revisionPtr revIDLastSave="0" documentId="13_ncr:1_{93495901-B9D5-4E9E-8416-E72A9A069FF8}" xr6:coauthVersionLast="47" xr6:coauthVersionMax="47" xr10:uidLastSave="{00000000-0000-0000-0000-000000000000}"/>
  <bookViews>
    <workbookView xWindow="-108" yWindow="-108" windowWidth="23256" windowHeight="12456" firstSheet="2" activeTab="2" xr2:uid="{00000000-000D-0000-FFFF-FFFF00000000}"/>
  </bookViews>
  <sheets>
    <sheet name="FLY" sheetId="3" r:id="rId1"/>
    <sheet name="Bill 1_TA" sheetId="4" r:id="rId2"/>
    <sheet name="Sum 1" sheetId="2" r:id="rId3"/>
  </sheets>
  <definedNames>
    <definedName name="_xlnm._FilterDatabase" localSheetId="1" hidden="1">'Bill 1_TA'!$A$1:$F$773</definedName>
    <definedName name="_xlnm._FilterDatabase" localSheetId="2" hidden="1">'Sum 1'!$A$1:$D$2</definedName>
    <definedName name="_xlnm.Print_Area" localSheetId="1">'Bill 1_TA'!$A$1:$G$776</definedName>
    <definedName name="_xlnm.Print_Area" localSheetId="0">FLY!$A$1:$I$59</definedName>
    <definedName name="_xlnm.Print_Titles" localSheetId="1">'Bill 1_TA'!$1:$2</definedName>
    <definedName name="_xlnm.Print_Titles" localSheetId="2">'Sum 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14" i="4" l="1"/>
  <c r="F682" i="4"/>
  <c r="F77" i="4"/>
  <c r="F718" i="4" l="1"/>
  <c r="F170" i="4" l="1"/>
  <c r="F729" i="4" s="1"/>
  <c r="F125" i="4" l="1"/>
  <c r="F727" i="4" s="1"/>
  <c r="F763" i="4"/>
  <c r="F761" i="4"/>
  <c r="F637" i="4"/>
  <c r="F759" i="4" s="1"/>
  <c r="F588" i="4"/>
  <c r="F757" i="4" s="1"/>
  <c r="F555" i="4"/>
  <c r="F755" i="4" s="1"/>
  <c r="F507" i="4"/>
  <c r="F751" i="4" s="1"/>
  <c r="F526" i="4"/>
  <c r="F753" i="4" s="1"/>
  <c r="F470" i="4"/>
  <c r="F749" i="4" s="1"/>
  <c r="F434" i="4"/>
  <c r="F747" i="4" s="1"/>
  <c r="F397" i="4"/>
  <c r="F745" i="4" s="1"/>
  <c r="F363" i="4"/>
  <c r="F743" i="4" s="1"/>
  <c r="F340" i="4"/>
  <c r="F741" i="4" s="1"/>
  <c r="F303" i="4"/>
  <c r="F739" i="4" s="1"/>
  <c r="F274" i="4"/>
  <c r="F737" i="4" s="1"/>
  <c r="F254" i="4"/>
  <c r="F735" i="4" s="1"/>
  <c r="F226" i="4"/>
  <c r="F733" i="4" s="1"/>
  <c r="F195" i="4"/>
  <c r="F731" i="4" s="1"/>
  <c r="F725" i="4"/>
  <c r="F49" i="4"/>
  <c r="F723" i="4" s="1"/>
  <c r="C580" i="4"/>
  <c r="F775" i="4" l="1"/>
  <c r="D6" i="2" l="1"/>
  <c r="D51" i="2" s="1"/>
</calcChain>
</file>

<file path=xl/sharedStrings.xml><?xml version="1.0" encoding="utf-8"?>
<sst xmlns="http://schemas.openxmlformats.org/spreadsheetml/2006/main" count="779" uniqueCount="301">
  <si>
    <t>BILL NO. 1</t>
  </si>
  <si>
    <t>GENERAL REQUIREMENTS FOR THE WHOLE OF THE WORKS</t>
  </si>
  <si>
    <t>Item</t>
  </si>
  <si>
    <t>Description</t>
  </si>
  <si>
    <t>Quantity</t>
  </si>
  <si>
    <t>Unit</t>
  </si>
  <si>
    <t>Rate AED</t>
  </si>
  <si>
    <t>Amount AED</t>
  </si>
  <si>
    <t>VE Ref.</t>
  </si>
  <si>
    <t>GENERAL REQUIREMENTS FOR THE</t>
  </si>
  <si>
    <t>General Notes</t>
  </si>
  <si>
    <t>These Preliminaries are applicable to the whole of the Works. Each item, clause or sub-clause must be individually priced. The Tenderer shall not enter any lump sum covering more than one or all items, clauses or sub-clauses.  Where any item, clause or sub-clause of the Preliminaries has not been priced, it will be deemed that the value of such item, clause or sub-clause is included in the rates for measured items elsewhere in the Bills of Quantities.</t>
  </si>
  <si>
    <t>Noted</t>
  </si>
  <si>
    <t>To Collection AED</t>
  </si>
  <si>
    <t>Pricing Generally</t>
  </si>
  <si>
    <t>The Contractor shall satisfy himself to the meaning of every item in the Bills of Quantities, and the rates and prices inserted by him will be deemed to cover all obligations under the Contract and all matters and things necessary for the proper construction, and completion of the Works including, but not by way of limitation, all temporary work required (including any that may be required by sub-contractors).  The prices shall include for all materials and labour and for the provision and use of all plant - whether mechanical or non-mechanical - required for the expeditious carrying out of the Works in their proper sequence - for shifting, altering and adapting such temporary work and plant as may be required during the progress of the works and removing at completion and making good any surfaces disturbed; and if not included in any prices inserted against the Conditions of Contract Clauses; for the guarantees, insurances and bonds required; for the costs of preparing a tender; for the work in connection with measurements and the final account; for profit; and for all other establishment charges and on costs of whatever nature.  No claim for additional payment will be allowed for any error or misunderstanding by the Contractor in these respects. The selected Contractor will be required to provide the Engineer with a full and detailed Tender breakdown and is to show the actual calculations of the Preliminaries, the labour, plant and material costs of the works, the build-up of measured rates with on-costs and overheads and other allowances used to arrive at the Tender Sum</t>
  </si>
  <si>
    <t>Conditions of Contract</t>
  </si>
  <si>
    <t>A</t>
  </si>
  <si>
    <t>General Obligations</t>
  </si>
  <si>
    <t>Included</t>
  </si>
  <si>
    <t>B</t>
  </si>
  <si>
    <t>Performance Security</t>
  </si>
  <si>
    <t>B1</t>
  </si>
  <si>
    <t>Performance Security -Extra-Over for Complying to Authority Comments</t>
  </si>
  <si>
    <t>C</t>
  </si>
  <si>
    <t>Advance Payment Guarantee</t>
  </si>
  <si>
    <t>C1</t>
  </si>
  <si>
    <t>Advance Payment Guarantee -  Extra-Over for Complying to Authority Comments</t>
  </si>
  <si>
    <t>D</t>
  </si>
  <si>
    <t>Programme</t>
  </si>
  <si>
    <t>E</t>
  </si>
  <si>
    <t>Insurances</t>
  </si>
  <si>
    <t>E1</t>
  </si>
  <si>
    <t>Insurances  -  Extra-Over for Complying to Authority Comments</t>
  </si>
  <si>
    <t>F</t>
  </si>
  <si>
    <t xml:space="preserve">Schedule of Milestones and Tenant Access Milestones </t>
  </si>
  <si>
    <t>G</t>
  </si>
  <si>
    <t>Provisional Sum Package Works - Procurement Procedure</t>
  </si>
  <si>
    <t>Labour</t>
  </si>
  <si>
    <t>Contractor's Employee's</t>
  </si>
  <si>
    <t>Form of Tender (Including Appendices)</t>
  </si>
  <si>
    <t xml:space="preserve">The Contractor shall describe and list below and price herein any obligation contained in the Form of Tender and Appendices for which he has not allowed elsewhere and wishes to price separately </t>
  </si>
  <si>
    <t>.................................................</t>
  </si>
  <si>
    <t>Instructions to Tenderers</t>
  </si>
  <si>
    <t>The Contractor shall describe and list below and price herein any obligation contained in the Instructions to Tenderers for which he has not allowed elsewhere and wishes to price separately</t>
  </si>
  <si>
    <t>Form of Agreement</t>
  </si>
  <si>
    <t>The Contractor shall describe and list below and price herein any obligation contained in the Form of Agreement for which he has not allowed elsewhere and wishes to price separately</t>
  </si>
  <si>
    <t>General Conditions of Contract and Particular Conditions of Contract</t>
  </si>
  <si>
    <t>The Contractor shall describe and list below and price herein any obligation contained in the Conditions of Contract and the Conditions of Particular Application for which he has not allowed elsewhere and wishes to price separately</t>
  </si>
  <si>
    <t>Drawings</t>
  </si>
  <si>
    <t>The Contractor shall describe and list below and price herein any obligation contained in the Drawings for which he has not allowed elsewhere and wishes to price separately</t>
  </si>
  <si>
    <t>Specification</t>
  </si>
  <si>
    <t>Allow for compliance in all respects with the particulars detailed in the Specifications in so far as they relate to the Preliminaries contained herein</t>
  </si>
  <si>
    <t>Contractor's Design Portion</t>
  </si>
  <si>
    <t>Allow for compliance in all respects with the particulars detailed in the Specifications in relation to items that require Contractor's Design</t>
  </si>
  <si>
    <t>Restrictions</t>
  </si>
  <si>
    <t>Location</t>
  </si>
  <si>
    <t>The Contractor shall be responsible for and make due allowance to ensure there is no or minimal disturbance to the operation of the surrounding properties and roads during the period of construction which shall include but is not limited to the protection of the surrounding buildings, roads and public footpaths, ensuring the surrounding roads and footpaths are kept free of dust and debris and prevention of noise in accordance with statutory regulations</t>
  </si>
  <si>
    <t>The Contractor will be held responsible for any damage or nuisance caused to the surrounding properties and roads and must make good all such damage and settle any claims for compensation at his own expense.  Where the Contractor does not settle claims, the Engineer will settle the claim and deduct monies from the Contractor's Account</t>
  </si>
  <si>
    <t>Access to the Site</t>
  </si>
  <si>
    <t>The Contractor shall allow for all costs in connection with accessing the site in accordance with the criteria set out defined in the Contract Documentation</t>
  </si>
  <si>
    <t>The Contractor shall, at all times, access the Site exercising such care and in such a manner so as not to disrupt existing traffic flow and shall maintain all existing access passages in a clean and proper condition to the satisfaction of the Engineer and in accordance with Municipality regulations in force.</t>
  </si>
  <si>
    <t>The Contractor shall submit details of all proposed site access locations for labour, materials and plant to the Engineer for his review and approval. The Contractor shall be responsible for forming access points, maintaining such in a clean condition, reinstating on completion and for making good all surrounding surfaces to the satisfaction of the Engineer</t>
  </si>
  <si>
    <t>The Contractor will be held responsible for any nuisance caused by his workmen to grounds surrounding the Site and adjoining buildings and within the building, etc., and must make good all such damage and settle any claims for compensation at his own expense.</t>
  </si>
  <si>
    <t>Use of the Site</t>
  </si>
  <si>
    <t>The Contractor shall require to undertake the Works within the project work area as described in the Contract Documentation and as indicated on the Drawings. The Contractor shall be fully responsible for keeping his workmen strictly within these designated limits.</t>
  </si>
  <si>
    <t>Limitations on working space</t>
  </si>
  <si>
    <t xml:space="preserve">All operations are to be confined within the site boundary. It is solely the Contractor's responsibility to arrange for the occupation and use of additional areas of land with the owners of such land, and / or with the relevant Authorities and pay all charges, costs, etc. in connection therewith. </t>
  </si>
  <si>
    <t>Limitations on working hours</t>
  </si>
  <si>
    <t>There will be no restrictions on working hours imposed by the Engineer. The Contractor shall however fully comply with all regulations imposed by local authorities in connection with hours of working.</t>
  </si>
  <si>
    <t>The Contractor shall, at his own expense, supply all necessary and additional labour for night work and overtime as may be required to complete the works in the Contract time.</t>
  </si>
  <si>
    <t>The Contractor shall, at all times, ensure that relevant labour laws and regulations are strictly observed. The Contractor shall consider the effects of his working hours upon all surrounding areas, and shall constantly ensure that minimal nuisance is caused.</t>
  </si>
  <si>
    <t xml:space="preserve">Maintenance of existing services on, under, or over the Site </t>
  </si>
  <si>
    <t>The Contractor shall exercise the greatest care during the progress of work to avoid damage to or interference with any utility services within the limits of the Site unless stated elsewhere in this document and shall be responsible for any such damage caused by him</t>
  </si>
  <si>
    <t>Completion of the Works in Sections and/or Phases</t>
  </si>
  <si>
    <t>The Contractor shall comply with the requirements in respect of completion of the works in sections phases or milestones and allow for all costs in connection with compliance.</t>
  </si>
  <si>
    <t>Contract Administrative Arrangements</t>
  </si>
  <si>
    <t>The Contractor shall be fully responsible for supervising and coordinating his own work and that of his Subcontractors. The Contractor shall provide staff suitably qualified to supervise each section of the works or works of other parties to ensure full compliance with the Specifications.</t>
  </si>
  <si>
    <t>The Contractor shall submit a resume, for the Engineer's approval, for each member of staff to be employed on the site for supervision of the Works or of the work of other parties and shall allow for all costs in connection with organizing and attending Tender interviews with the Employer and the Engineer for key site staff proposed.</t>
  </si>
  <si>
    <t>The Contractor shall ensure that an efficient organization is maintained at all times so that all instructions issued by the Engineer are communicated immediately to the site and to all Subcontractors and Suppliers.</t>
  </si>
  <si>
    <t>The Contractor, in the execution of the Works shall keep all plant, materials and all things connected with the works in good order, neatly trimmed and stacked, and shall remove any items no longer required from the site or surrounding areas.</t>
  </si>
  <si>
    <t>The Contractor shall comply with all requirements in respect of the Programming of the Works and shall allow for all costs in connection with compliance.</t>
  </si>
  <si>
    <t>The Contractor will be responsible for the safe custody of all materials delivered to the site including any materials delivered by Subcontractors. The Subcontractor shall be required to reinstate, at his own expense, any material or article damaged by careless handling or storage or inferior workmanship by his workmen.</t>
  </si>
  <si>
    <t>Contract Administrative Arrangements (Cont'd)</t>
  </si>
  <si>
    <t>The Contractor shall comply with the Project Procedures Manual and all requirements in respect of the following management procedures and requirements as described required by the Contract in respect of Project Management, Cost Management, Meetings and Quality Control and Method Statements and shall allow for all costs in connection with compliance.</t>
  </si>
  <si>
    <t>The Contractor shall provide sufficient staff and equipment to perform the administrative duties involved in executing the Contract. Such staff shall be properly qualified to perform their respective duties and shall not be removed from the site or replaced without the prior permission of the Engineer. The whole of the works shall be under the full time supervision of the Contractor. The Contractor's supervisory staff appointed for the works shall be fully qualified and experienced in the type of work to be carried out and shall be able to speak, read and write English.</t>
  </si>
  <si>
    <t>EM-05
EM-06
EM-07
EM-08</t>
  </si>
  <si>
    <t>Extra-Over for Complying to Authority Comments: The Contractor shall provide sufficient staff and equipment to perform the administrative duties involved in executing the Contract. Such staff shall be properly qualified to perform their respective duties and shall not be removed from the site or replaced without the prior permission of the Engineer. The whole of the works shall be under the full time supervision of the Contractor. The Contractor's supervisory staff appointed for the works shall be fully qualified and experienced in the type of work to be carried out and shall be able to speak, read and write English.</t>
  </si>
  <si>
    <t>The Contractor shall keep the Engineer fully informed of the sequence of all operations comprising the works, and shall not delegate such responsibility to any Subcontractor or to any other agent without the written permission of the Engineer.</t>
  </si>
  <si>
    <t>The Contractor shall attend site meetings as directed by the Engineer. The Contractor shall submit at these meetings a full and detailed report of progress, information requirements, delivery schedules and Drawings approvals, and other such items required by or from the Engineer. The Contractor shall constantly monitor the progress of design work and working drawings of all Subcontractors and Suppliers. The Contractor shall make visits as deemed necessary to the yards and workplaces of Subcontractors and Suppliers to inspect quality, progress and delivery and report regularly to the Engineer.</t>
  </si>
  <si>
    <t>The Contractor shall allow for providing and implementing an approved QA / QC system to international standards.</t>
  </si>
  <si>
    <t>** VE Reference "EM-" denotes items raised by Client in the VE Schedule</t>
  </si>
  <si>
    <t>Security of the Works</t>
  </si>
  <si>
    <t>The Contractor shall be responsible for the control and management of his own work areas as described in the Contract Documentation.</t>
  </si>
  <si>
    <t>The Contractor shall control his labour force and ensure that they do not cause a nuisance or trespass on adjacent work areas or property.</t>
  </si>
  <si>
    <t>The Contractor shall rigidly enforce a complete No Smoking Policy to all areas of the site, excluding site offices. Such policy to extend to all Subcontractors and Suppliers.</t>
  </si>
  <si>
    <t>Safety, health and welfare of work people</t>
  </si>
  <si>
    <t>The Contractor is responsible for the safety of all persons engaged in the execution of the works and shall comply with the Health, Safety and Environmental Manual and shall allow for all costs in connection with compliance.</t>
  </si>
  <si>
    <t>D1</t>
  </si>
  <si>
    <t>Extra-Over for Complying to Authority Comments: The Contractor is responsible for the safety of all persons engaged in the execution of the works and shall comply with the Health, Safety and Environmental Manual and shall allow for all costs in connection with compliance.</t>
  </si>
  <si>
    <t>The Contractor and all persons employed by him on the site in or about the execution of the works shall comply in all respects with the provisions of all Acts, Orders, Laws and Regulations concerning the safety, health and welfare of persons working on the site. In particular, adequate and proper precautions must be taken for works involving welding, cutting, grinding and works on hot surfaces.</t>
  </si>
  <si>
    <t>The Contractor shall provide and enforce the wearing of efficient safety helmets and site footwear, and where necessary, face masks, eye goggles, ear protectors, safety harnesses and other personal protection equipment for all personnel.</t>
  </si>
  <si>
    <t>Approved copies of emergency procedures and safety regulations are to be produced by the Contractor and distributed and displayed at each place of work and as decided by the Engineer together with any other documents, posters, notice boards or the like.</t>
  </si>
  <si>
    <t>H</t>
  </si>
  <si>
    <t>The Engineer may require the immediate removal from the works of any person who, in the opinion of the Engineer, fails properly to observe the provisions of this clause.</t>
  </si>
  <si>
    <t>The Contractor shall report to the Engineer, within 24 Hours, any accident whatsoever and he shall make all necessary arrangements to obtain medical help and transport to a hospital. A full statement,  giving details of the accident and statements of witnesses shall be submitted to the Engineer and the relevant Authorities in accordance with regulations in force, immediately following. If any claims is made by any one against the Contractor, the Contractor shall promptly report the facts in writing to the Engineer giving full details of the claim.</t>
  </si>
  <si>
    <t>The Contractor shall provide and maintain welfare facilities within his Project work area.</t>
  </si>
  <si>
    <t>The Contractor shall remove on completion of the Works welfare facilities within his Project work area.</t>
  </si>
  <si>
    <t>The Contractor shall provide transportation of labour to and from site and pay all costs in connection therewith. No Labour camp shall be permitted on the Development.</t>
  </si>
  <si>
    <t>Extra-Over for Complying to Authority Comments: The Contractor shall provide transportation of labour to and from site and pay all costs in connection therewith. No Labour camp shall be permitted on the Development.</t>
  </si>
  <si>
    <t>Constructional Plant</t>
  </si>
  <si>
    <t>The contractor shall provide all necessary construction plant, equipment, transport and services required for proper execution of the Works.  The facilities shall include the provision of protective clothing and safety equipment</t>
  </si>
  <si>
    <t>Small plant and tools</t>
  </si>
  <si>
    <t>Small plant and tools - Extra-Over for Complying to Authority Comments</t>
  </si>
  <si>
    <t>Scaffolding, platforms and other access equipment</t>
  </si>
  <si>
    <t>F1</t>
  </si>
  <si>
    <t>Scaffolding, platforms and other access equipment - Extra-Over for Complying to Authority Comments</t>
  </si>
  <si>
    <t>Cranes and lifting equipment</t>
  </si>
  <si>
    <t>G1</t>
  </si>
  <si>
    <t>Cranes and lifting equipment - Extra-Over for Complying to Authority Comments</t>
  </si>
  <si>
    <t>Other plant or equipment; listed separately</t>
  </si>
  <si>
    <t>Constructional Plant (Cont'd)</t>
  </si>
  <si>
    <t>The Contractor shall be responsible for delivery to the site, via the designated access areas of all constructional plant required to carry out the Works. Such responsibility shall include shipment, customs clearance, off-loading, handling, erection, dismantling and removal on completion of the works. Only modern properly maintained equipment of the appropriate capacity and suitability for the duty required shall be used for the Works. All lifting equipment  shall be kept fully test certified for the duties required and certificates shall be produced to the Engineer on demand. The validity of such certification is to be maintained throughout the duration of the works. All cranes with a lifting capacity of one tonne or over are to be fitted with an approved safe load indicator.</t>
  </si>
  <si>
    <t>The Contractor shall immediately replace, at his own cost, all items or equipment that become defective for the required duties and shall ensure that there is a standby item of plant immediately available. The maintenance of all plant shall be undertaken outside normal working hours and the Contractor shall provide sufficient reserve plant of all kinds to ensure that the work is not interrupted by breakdown of any single unit.</t>
  </si>
  <si>
    <t>Employer's Facilities</t>
  </si>
  <si>
    <t>Maintenance of new site offices for the Employer and Employer's Consultants</t>
  </si>
  <si>
    <t>Generally the Contractor is to provide services including construction, modifications and renovations of new site offices as per Employer/Engineer requirements and approvals, supply of water, electricity, internet services, new air conditioning, supply and installation of furniture and sewerage network etc. from the Commencement Date;</t>
  </si>
  <si>
    <t>EM-01
EM-03</t>
  </si>
  <si>
    <t>Extra-Over for Complying to Authority Comments: Generally the Contractor is to provide services including construction, modifications and renovations of new site offices as per Employer/Engineer requirements and approvals, supply of water, electricity, internet services, new air conditioning, supply and installation of furniture and sewerage network etc. from the Commencement Date;</t>
  </si>
  <si>
    <t>The Contractor shall provide maintenance for the new site offices.</t>
  </si>
  <si>
    <t>The Contractor shall allow for supply / modification / renovation of the new site offices including all supply and installation of required partitions, doors, windows, services and other other items as required to complete to the satisfaction and approval of the Engineer.</t>
  </si>
  <si>
    <t>Employer's Facilities (Cont'd)</t>
  </si>
  <si>
    <t>The Contractor shall provide the supply and installation of new furniture to the satisfaction and approval of the Engineer.</t>
  </si>
  <si>
    <t>The Contractor shall provide pantry / toilet items and consumables (Drinking water, kitchen, toilet and cleaning items etc.) for the duration of the works.</t>
  </si>
  <si>
    <t xml:space="preserve">The Contractor shall provide office supplies, stationary and consumables etc. for the duration of the works. </t>
  </si>
  <si>
    <t xml:space="preserve">The Contractor shall provide office attendance (Office boys, cleaners, receptionists etc.) for the duration of the works. </t>
  </si>
  <si>
    <t>The Contractor shall provide new IT services including high speed internet, connections, computers, servers, all associated software licenses inclusive of renewals and support services, telephones, TV's, portable hard drives and USBs, cables etc. and maintenance of the above, all as per specifications.</t>
  </si>
  <si>
    <t>The Contractor shall provide for the supply and maintenance of photo copier / printers inducing toner.</t>
  </si>
  <si>
    <t>The Contractor shall remove on completion of the Contract all temporary buildings for the Employer and the Employer's Consultants and provide any plot hoarding and access roads in accordance with the tender document.</t>
  </si>
  <si>
    <t xml:space="preserve">The Contractor shall be liable for, and shall promptly pay, all fees and charges arising in connection with temporary site offices. </t>
  </si>
  <si>
    <t>Utilities</t>
  </si>
  <si>
    <t>J</t>
  </si>
  <si>
    <t>The Contractor shall allow for complying with the requirements in respect of the provision for an appropriate sewerage network / general wastage removal, disposal, cleaning etc. for the Employers and the Employer's Consultant's new site offices.</t>
  </si>
  <si>
    <t>Utilities (Cont'd)</t>
  </si>
  <si>
    <t>The Contractor shall allow for complying with the requirements in respect of the provision of temporary water supplies for the Employers and the Employers Consultant's new site offices.</t>
  </si>
  <si>
    <t xml:space="preserve">The Contractor shall allow for complying with the requirements in respect of the provision of temporary electrical supplies (including any requirements for generators, diesel and maintenance) for the Employers and the Employers Consultant's new site offices. </t>
  </si>
  <si>
    <t>The Contractor shall allow for complying with the requirements in respect of the provision of permanent electrical supplies for Commissioning of the Works.</t>
  </si>
  <si>
    <t>Signboard</t>
  </si>
  <si>
    <t xml:space="preserve">The Contractor shall allow for providing the refurbishment of existing signage structure and retrofitting for purpose. </t>
  </si>
  <si>
    <t>Contractor's Facilities</t>
  </si>
  <si>
    <t>Accommodation and buildings</t>
  </si>
  <si>
    <t>The Contractor shall provide, maintain and subsequently remove on completion of the Contract all Contractor's temporary buildings required for the proper execution of the Works.</t>
  </si>
  <si>
    <t>Extra-Over for Complying to Authority Comments: The Contractor shall provide, maintain and subsequently remove on completion of the Contract all Contractor's temporary buildings required for the proper execution of the Works.</t>
  </si>
  <si>
    <t>The Contractor shall provide, maintain and subsequently remove on completion of the Contract hoarding and access roads necessary for the proper execution of the Works.</t>
  </si>
  <si>
    <t>The location, positioning, standard of construction, servicing, furnishing, decoration and maintenance of all temporary facilities shall be to the complete shall be to the complete and approval of the Engineer.</t>
  </si>
  <si>
    <t>The Contractor shall prepare and submit a detailed report for review by the Engineer regarding his proposal for site accommodation generally.</t>
  </si>
  <si>
    <t>Contractor's Facilities (Cont'd)</t>
  </si>
  <si>
    <t xml:space="preserve">The Contractor may be requested by the Engineer to relocate the position of the site buildings at any time. All costs of such relocations will be borne by the Contractor. </t>
  </si>
  <si>
    <t>The Contractor's site office shall remain open at all reasonable hours to receive instructions and other communications.</t>
  </si>
  <si>
    <t>The Contractor shall be liable for, and shall promptly pay, all fees and charges arising in connection with temporary site offices.</t>
  </si>
  <si>
    <t>Should the Contractor use land outside the Site for Site offices, storage areas and the like the Employer shall in no way be responsible for seeking approvals for the use of such land, or the associated costs, all of which shall be the obligation of the
Contractor.</t>
  </si>
  <si>
    <t>Deleted</t>
  </si>
  <si>
    <t>The Contractor shall allow for complying with the requirements in respect of the provision of temporary water supplies for the Works.</t>
  </si>
  <si>
    <t>Extra-Over for Complying to Authority Comments: The Contractor shall allow for complying with the requirements in respect of the provision of temporary water supplies for the Works.</t>
  </si>
  <si>
    <t>The Contractor shall allow for complying with the requirements in respect of the provision of permanent water supplies for Commissioning of the Works.</t>
  </si>
  <si>
    <t>The Contractor shall allow for complying with the requirements in respect of the provision of temporary electrical supplies for the Works.</t>
  </si>
  <si>
    <t>Extra-Over for Complying to Authority Comments: The Contractor shall allow for complying with the requirements in respect of the provision of temporary electrical supplies for the Works.</t>
  </si>
  <si>
    <t xml:space="preserve"> The Contractor shall divert any existing utility services as required to execute the Works. This includes all temporary works and NOC’s / permits required to protect existing utility services.</t>
  </si>
  <si>
    <t>K</t>
  </si>
  <si>
    <t>Compliance with Clause 4.6 [Co-operation] of the General Conditions.</t>
  </si>
  <si>
    <t>Employer's General Requirements</t>
  </si>
  <si>
    <t>The Contractor shall allow for complying with all the obligations set out in the General Requirements</t>
  </si>
  <si>
    <t>The Contractor shall provide the attendances as defined by this document and the Contract to allow Tenants to fit-out the retail units in tandem with the Works.</t>
  </si>
  <si>
    <t>The Contractor shall provide a 12-month establishment period for the landscaping and irrigation works procured through the approved landscaping Subcontractor and commencing from the date of the Taking-Over Certificate for the whole of the Works.</t>
  </si>
  <si>
    <t>The Contractor shall allow access to the following areas for temporary occupation in advance of the Taking-Over Certificate:</t>
  </si>
  <si>
    <t>Supermarket management offices. (As per the Tenant Access Milestones).</t>
  </si>
  <si>
    <t>Mall management &amp; facilities management offices, workshops &amp; stores (3 months from Mall opening)</t>
  </si>
  <si>
    <t>Security Room (2 months from Mall opening)</t>
  </si>
  <si>
    <t>Loading docks and suitable working space around the docks for Tenant deliveries (As per the Tenant Access Milestones)</t>
  </si>
  <si>
    <t>Designated service lifts (protected internally) for use by Tenants (As per the Tenant Access Milestones)</t>
  </si>
  <si>
    <t>Independent Commissioning Agent and Manager</t>
  </si>
  <si>
    <t>The Engineer shall appoint an independent commissioning agent company to oversee the entire commissioning process on behalf of the Engineer and the Employer. This organisation will be well qualified in similar work on similar projects and the Contractor mus co-operate fully with this company to allow proper execution of their scope of services.</t>
  </si>
  <si>
    <t>Refer to Bill Page 1/A/21 Item F.4</t>
  </si>
  <si>
    <t>The Contractor shall appoint an independent commissioning company to oversee the entire commissioning process on behalf of the Contractor. This orgainisation will be well qualified in similar work on similar projects and the Contractor must co-operate fully with this company to allow proper execution of their scope of services in conjunction with the Engineer and the independent commissioning agent.</t>
  </si>
  <si>
    <t>The independent commissioning manager shall be independent of the MEP Subcontractors testing and balancing (TAB) agency, to provide a commissioning strategy, commissioning plan, manage pre-commissioning, commissioning and performance testing and handover for all asset categories incluidng the system &amp; BMS, verify the installation of the MEP, BMS and other specialist Systems, up-load commissioning documentation onto Aconex and/or the approved software system to be procured by the Contractor, develop of commissioning network flow diagram, provide reporting on all commissioning related issues, monitor and document commissioning activities from pre-commissioning to handover, review commissioning method statements, issue detailed commissioning reports, and lead systems integration test (black building/doomsday, cause and effect and BMS).</t>
  </si>
  <si>
    <t>The independent commisioning manager employed by the Contracttor shall implement a cloud based online software system for management and reporting of the testing and commissioning process. The independent commissioning manager, and their software system, are to be approved by the Engineer and all training is to be proved to the Engineer and independent commissioning agent at the Contractors cost.</t>
  </si>
  <si>
    <t>The building management system (BMS) will be fully commissioned and integrated with all relevant 3rd party systems and be fully functional &amp; operational prior to the Taking-Over Certificate being issued by the Engineer by the independent commissioning manager and witnessed by the independent commissioning agent.</t>
  </si>
  <si>
    <t>Independent Commissioning Agent and Manager (Cont'd)</t>
  </si>
  <si>
    <t>The independent commissioning manager scope shall furthermore include all MEP systems pre-commissioning and commissioning activities in accordance with the Specifications. The independent commissioning manager shall be proactive and liaise with the Engineer and independent commissioning agent on a regular basis.</t>
  </si>
  <si>
    <t>The independent commissioning manager shall share in open book manner all testing and commissioning results obtained from site with the Engineer and independent commissioning agent.</t>
  </si>
  <si>
    <t>Turn Style Access Control &amp; Security Pass System</t>
  </si>
  <si>
    <t>The Contractor shall use turn style access control system with smart card ID passes, with photograph, to control personnel access to Site. This system shall be operational within 28 days the Contract Award Date.</t>
  </si>
  <si>
    <t>Deleted - Refer to Client VE Item - 02</t>
  </si>
  <si>
    <t>EM-02</t>
  </si>
  <si>
    <t>The Contractor shall ensure that adequate numbers of turn style locations are provided to ensure the efficient movement of the general workforce and management staff to avoid delays in entering and exiting the Site and to avoid disruption to public highways.</t>
  </si>
  <si>
    <t>Management staff from all parties shall have a dedicated turn style located in close proximity to the Site Office.</t>
  </si>
  <si>
    <t>A security pass system shall be provided by the Contractor to work in tandem with the turn style access control system for all persons wishing to gain entry to the Site.</t>
  </si>
  <si>
    <t>The Contractor shall free issue security passes to Tenants and Tenant contractors.</t>
  </si>
  <si>
    <t>Daily turn style records shall be issued to the Engineer with the Contractors daily reports. These turn style reports shall clearly identify each person entering and exiting site and be structured such that each company is easiliy identified. Reports shall be to the satisfaction of the Engineer.</t>
  </si>
  <si>
    <t>The Engineer shall instruct the Contractor to implement the temporary power for Tenant fit-out on a unit by unit basis in a timely manner such that the Contractor can implement the provisions ahead of the Tenant Access Milestone.</t>
  </si>
  <si>
    <t>The Contractor shall supply, install, maintain and pay all costs for the following temporary electricity supplies in each unit. Were the relevant units have a plantroom or other space away from the retail unit itself the Contractor shall also provide the same supply at that location if requested by the Tenant and at the Contractors cost:</t>
  </si>
  <si>
    <t>Line unit &amp; kiosks-1 no. 16A 110V, 1 no. 32A 240v</t>
  </si>
  <si>
    <t>Rate Only</t>
  </si>
  <si>
    <t>F&amp;B units-1 no. 32A 110V,1 no. 63A 400V, 1 no. 63A 240v</t>
  </si>
  <si>
    <t>Hypermarket -1 no.32A 110V, 1 no. 200A 400V, 1 no. 200A 240v</t>
  </si>
  <si>
    <t>Anchor unit -1 no. 32A 110V, 1no. 200A 400V, 1 no. 200A 240v</t>
  </si>
  <si>
    <t>Cinema/FEC-1 no.32 A 110 V, 1 no. 400 A 32A 400V &amp; 1 no. 400A 240v</t>
  </si>
  <si>
    <t xml:space="preserve">Flagship unit-1 no. 32A 110V, 1 no. 63A 400V, 1 no. 63A 240v </t>
  </si>
  <si>
    <t>The Contractor shall install every 30 metres a temporary isolation valve controlled stand-pipe and faucet, on each floor, for common use by the Tenants to allow the uninterrupted commencement and completion of the Tenant fit-out works, including specifically wet works. The Contractor shall closely manage these installations to avoid accidental flooding. In addition to the above Contractor to provide 1 no. 40 dia temporary water connection complete with isolation valve and meter in the following tenancies.</t>
  </si>
  <si>
    <t>Cinema</t>
  </si>
  <si>
    <t>Anchor units</t>
  </si>
  <si>
    <t>Hypermarkets / Supermarkets</t>
  </si>
  <si>
    <t>Welfare Facilities</t>
  </si>
  <si>
    <t>Security</t>
  </si>
  <si>
    <t>Project Software</t>
  </si>
  <si>
    <t>Quality Assurance &amp; Control</t>
  </si>
  <si>
    <t>Coordination with Other Contractors</t>
  </si>
  <si>
    <t>Tenant Fit-Out Works</t>
  </si>
  <si>
    <t>Defects Liability Period</t>
  </si>
  <si>
    <t>The Contractor shall describe and list below and price herein any obligation contained in the Employer's General Requirement for which he has not allowed elsewhere and wishes to price separately.</t>
  </si>
  <si>
    <t>Temporary Works</t>
  </si>
  <si>
    <t>Generally</t>
  </si>
  <si>
    <t>The Contractor is responsible for the design, construction, maintenance and removal of all temporary works. The Engineer's approval will in no way relieve the Contractor of his responsibility for the safety of the Works, and compliance with appropriate regulations and Codes of Practice.</t>
  </si>
  <si>
    <t>Sundry Items</t>
  </si>
  <si>
    <t>Hoarding</t>
  </si>
  <si>
    <t>The Contractor shall allow for hoarding to the site.</t>
  </si>
  <si>
    <t>The Contractor shall allow for tenant hoarding.</t>
  </si>
  <si>
    <t xml:space="preserve">Refer to Bill No. 6 Provisional Sum </t>
  </si>
  <si>
    <t>Testing of Materials</t>
  </si>
  <si>
    <t>The Contractor shall allow for all testing of materials required by the Specifications.</t>
  </si>
  <si>
    <t>Testing &amp; Commissioning of the Works</t>
  </si>
  <si>
    <t>The Contractor shall allow for all final testing of completed installations of the Contractor's Works that may be required by the Engineer or any relevant Authority, including all costs of carrying out the tests, notwithstanding successful or not, and all other costs and expenses.</t>
  </si>
  <si>
    <t>Protection of the Works</t>
  </si>
  <si>
    <t>The Contractor shall allow for complying with the requirements in respect of the Protection of the Works.</t>
  </si>
  <si>
    <t>Clearing Away Rubbish</t>
  </si>
  <si>
    <t>The Contractor shall allow for clearing away rubbish at regular intervals during the progress of the Work.</t>
  </si>
  <si>
    <t>Extra-Over for Complying to Authority Comments: The Contractor shall allow for clearing away rubbish at regular intervals during the progress of the Work.</t>
  </si>
  <si>
    <t>Project Close Out</t>
  </si>
  <si>
    <t>Final Clean</t>
  </si>
  <si>
    <t>As Built Drawings</t>
  </si>
  <si>
    <t>Operation and Maintenance Manuals</t>
  </si>
  <si>
    <t>Contract Spares</t>
  </si>
  <si>
    <t>Statutory Obligations</t>
  </si>
  <si>
    <t>L</t>
  </si>
  <si>
    <t>The Contractor shall allow for complying in full with the rules, regulations and requirements of any relevant Authority having jurisdiction over the
Works.</t>
  </si>
  <si>
    <t>Warranties</t>
  </si>
  <si>
    <t>The Contractor shall allow for providing all warranties required by the Specifications and shall allow for providing other warranties required in the Employer's Requirements and elsewhere in the Contract Documents.</t>
  </si>
  <si>
    <t>The Contractor shall allow for providing a warranty for the substructure and superstructure waterproofing required by the Specification for the existing works completed. This is to be countersigned by the Contractor and Sub-Contractor that has installed the system.</t>
  </si>
  <si>
    <t xml:space="preserve">The Contractor shall allow for providing documentation required by the Specification verifying that the existing structural system has been inspected and the existing warranty remains in effect following the completion of any demolition, alteration, rectification, making good and remaining works. Notifications to the existing warrantor shall be provided accordingly. </t>
  </si>
  <si>
    <t>Please refer to Annexure A - Qualifications Master Tracker Items 1.1 and 1.2</t>
  </si>
  <si>
    <t>Other Obligations</t>
  </si>
  <si>
    <t>Tenderer to carry out the necessary survey(s)
of the existing works completed by the previous
Contractor and assume full liability for works completed to date.</t>
  </si>
  <si>
    <t>Tenderer during their pre-tender visit to the Site have to carry out a survey of the goods/assets/equipment/scrap of previous contractor for dismantling/removal/shifting from the Site to the Employer designated area for the safe storage.</t>
  </si>
  <si>
    <t>Others</t>
  </si>
  <si>
    <t>The Contractor shall describe and list below and price herein any items not contained / mentioned within Preliminaries document for which he has not allowed elsewhere and wishes to price separately.</t>
  </si>
  <si>
    <t>See below:</t>
  </si>
  <si>
    <t>F.1</t>
  </si>
  <si>
    <t>Site office running costs - others (communications and supplies)</t>
  </si>
  <si>
    <t>F.11</t>
  </si>
  <si>
    <t>Site office running costs - others (communications and supplies) - Extra-Over for Complying to Authority Comments</t>
  </si>
  <si>
    <t>F.2</t>
  </si>
  <si>
    <t>Site levelling and Surveying</t>
  </si>
  <si>
    <t>F.3</t>
  </si>
  <si>
    <t>Compliance with Empower Guidelines (BTU meters)</t>
  </si>
  <si>
    <t>EM-43
EM-44</t>
  </si>
  <si>
    <t>F.4</t>
  </si>
  <si>
    <t>The Contractor will self-perform the duties of the independent commissioning management company using in-house management and discipline engineers. All commissioning reports will be submitted to Client / Mace for sign off.</t>
  </si>
  <si>
    <t>EM-09</t>
  </si>
  <si>
    <t>F.5</t>
  </si>
  <si>
    <t>CFD Analysis</t>
  </si>
  <si>
    <t>F.6</t>
  </si>
  <si>
    <t>Supervision to Landscaping Works</t>
  </si>
  <si>
    <t>item</t>
  </si>
  <si>
    <t>COLLECTION</t>
  </si>
  <si>
    <t>Page 1/A/1</t>
  </si>
  <si>
    <t>Page 1/A/2</t>
  </si>
  <si>
    <t>Page 1/A/3</t>
  </si>
  <si>
    <t>Page 1/A/4</t>
  </si>
  <si>
    <t>Page 1/A/5</t>
  </si>
  <si>
    <t>Page 1/A/6</t>
  </si>
  <si>
    <t>Page 1/A/7</t>
  </si>
  <si>
    <t>Page 1/A/8</t>
  </si>
  <si>
    <t>Page 1/A/9</t>
  </si>
  <si>
    <t>Page 1/A/10</t>
  </si>
  <si>
    <t>Page 1/A/11</t>
  </si>
  <si>
    <t>Page 1/A/12</t>
  </si>
  <si>
    <t>Page 1/A/13</t>
  </si>
  <si>
    <t>Page 1/A/14</t>
  </si>
  <si>
    <t>Page 1/A/15</t>
  </si>
  <si>
    <t>Page 1/A/16</t>
  </si>
  <si>
    <t>Page 1/A/17</t>
  </si>
  <si>
    <t>Page 1/A/18</t>
  </si>
  <si>
    <t>Page 1/A/19</t>
  </si>
  <si>
    <t>Page 1/A/20</t>
  </si>
  <si>
    <t>Page 1/A/21</t>
  </si>
  <si>
    <t>Carried To Summary AED</t>
  </si>
  <si>
    <t xml:space="preserve">Page Nr. </t>
  </si>
  <si>
    <t>SUMMARY</t>
  </si>
  <si>
    <t>1/A/1 - 1/A/22</t>
  </si>
  <si>
    <t>TOTAL FOR BILL NO. 1 GENERAL REQUIREMENTS FOR THE WHOLE OF THE WORKS</t>
  </si>
  <si>
    <t>TO MAIN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</si>
</sst>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20">
    <font>
      <sz val="10"/>
      <name val="Arial"/>
    </font>
    <font>
      <sz val="10"/>
      <name val="Arial"/>
      <family val="2"/>
    </font>
    <font>
      <sz val="11"/>
      <name val="Arial"/>
      <family val="2"/>
    </font>
    <font>
      <sz val="10"/>
      <name val="Arial"/>
      <family val="2"/>
    </font>
    <font>
      <u/>
      <sz val="11"/>
      <name val="Arial"/>
      <family val="2"/>
    </font>
    <font>
      <sz val="11"/>
      <color theme="1"/>
      <name val="Arial"/>
      <family val="2"/>
    </font>
    <font>
      <sz val="11"/>
      <color rgb="FF000000"/>
      <name val="Arial"/>
      <family val="2"/>
    </font>
    <font>
      <sz val="1"/>
      <color rgb="FF000000"/>
      <name val="Arial"/>
      <family val="2"/>
    </font>
    <font>
      <u/>
      <sz val="11"/>
      <color rgb="FF000000"/>
      <name val="Arial"/>
      <family val="2"/>
    </font>
    <font>
      <sz val="10"/>
      <color theme="1"/>
      <name val="Arial"/>
      <family val="2"/>
    </font>
    <font>
      <u/>
      <sz val="10"/>
      <name val="Arial"/>
      <family val="2"/>
    </font>
    <font>
      <sz val="10"/>
      <color rgb="FF000000"/>
      <name val="Arial"/>
      <family val="2"/>
    </font>
    <font>
      <sz val="8"/>
      <name val="Arial"/>
      <family val="2"/>
    </font>
    <font>
      <sz val="10"/>
      <name val="Arial"/>
      <family val="2"/>
    </font>
    <font>
      <sz val="10"/>
      <color rgb="FFFF0000"/>
      <name val="Arial"/>
      <family val="2"/>
    </font>
    <font>
      <b/>
      <sz val="10"/>
      <color rgb="FFFF0000"/>
      <name val="Arial"/>
      <family val="2"/>
    </font>
    <font>
      <strike/>
      <sz val="10"/>
      <name val="Arial"/>
      <family val="2"/>
    </font>
    <font>
      <strike/>
      <u/>
      <sz val="10"/>
      <name val="Arial"/>
      <family val="2"/>
    </font>
    <font>
      <i/>
      <sz val="10"/>
      <color rgb="FFFF0000"/>
      <name val="Arial"/>
      <family val="2"/>
    </font>
    <font>
      <sz val="10"/>
      <color rgb="FF002060"/>
      <name val="Arial"/>
      <family val="2"/>
    </font>
  </fonts>
  <fills count="3">
    <fill>
      <patternFill patternType="none"/>
    </fill>
    <fill>
      <patternFill patternType="gray125"/>
    </fill>
    <fill>
      <patternFill patternType="solid">
        <fgColor rgb="FFFFFFFF"/>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thin">
        <color auto="1"/>
      </left>
      <right style="double">
        <color auto="1"/>
      </right>
      <top style="thin">
        <color indexed="64"/>
      </top>
      <bottom/>
      <diagonal/>
    </border>
    <border>
      <left style="thin">
        <color auto="1"/>
      </left>
      <right style="double">
        <color auto="1"/>
      </right>
      <top/>
      <bottom style="thin">
        <color indexed="64"/>
      </bottom>
      <diagonal/>
    </border>
    <border>
      <left style="thin">
        <color auto="1"/>
      </left>
      <right style="double">
        <color auto="1"/>
      </right>
      <top/>
      <bottom/>
      <diagonal/>
    </border>
    <border>
      <left style="double">
        <color auto="1"/>
      </left>
      <right style="thin">
        <color indexed="64"/>
      </right>
      <top/>
      <bottom style="thin">
        <color auto="1"/>
      </bottom>
      <diagonal/>
    </border>
  </borders>
  <cellStyleXfs count="9">
    <xf numFmtId="0" fontId="0" fillId="0" borderId="0" applyNumberFormat="0" applyFont="0" applyFill="0" applyBorder="0" applyAlignment="0" applyProtection="0">
      <alignment vertical="top"/>
    </xf>
    <xf numFmtId="0" fontId="6" fillId="2" borderId="0">
      <alignment horizontal="center" vertical="center"/>
    </xf>
    <xf numFmtId="0" fontId="7" fillId="2" borderId="0">
      <alignment horizontal="left" vertical="top"/>
    </xf>
    <xf numFmtId="0" fontId="6" fillId="2" borderId="0">
      <alignment horizontal="center" vertical="top"/>
    </xf>
    <xf numFmtId="43" fontId="3" fillId="0" borderId="0" applyFont="0" applyFill="0" applyBorder="0" applyAlignment="0" applyProtection="0"/>
    <xf numFmtId="0" fontId="8" fillId="2" borderId="0">
      <alignment horizontal="left" vertical="top"/>
    </xf>
    <xf numFmtId="0" fontId="6" fillId="2" borderId="0">
      <alignment horizontal="center"/>
    </xf>
    <xf numFmtId="0" fontId="6" fillId="2" borderId="0">
      <alignment horizontal="left" vertical="top"/>
    </xf>
    <xf numFmtId="164" fontId="13" fillId="0" borderId="0" applyFont="0" applyFill="0" applyBorder="0" applyAlignment="0" applyProtection="0"/>
  </cellStyleXfs>
  <cellXfs count="101">
    <xf numFmtId="0" fontId="1" fillId="0" borderId="0" xfId="0" applyNumberFormat="1" applyFont="1" applyFill="1" applyBorder="1" applyAlignment="1" applyProtection="1">
      <alignment vertical="top"/>
    </xf>
    <xf numFmtId="43" fontId="2" fillId="0" borderId="2" xfId="4" applyFont="1" applyFill="1" applyBorder="1" applyAlignment="1" applyProtection="1">
      <alignment horizontal="right" wrapText="1"/>
      <protection locked="0"/>
    </xf>
    <xf numFmtId="0" fontId="0" fillId="0" borderId="1" xfId="0" applyBorder="1" applyAlignment="1" applyProtection="1">
      <alignment horizontal="right" wrapText="1"/>
      <protection locked="0"/>
    </xf>
    <xf numFmtId="0" fontId="0" fillId="0" borderId="3" xfId="0" applyBorder="1" applyAlignment="1" applyProtection="1">
      <alignment horizontal="right" wrapText="1"/>
      <protection locked="0"/>
    </xf>
    <xf numFmtId="43" fontId="2" fillId="0" borderId="2" xfId="4" applyFont="1" applyFill="1" applyBorder="1" applyAlignment="1" applyProtection="1">
      <alignment horizontal="right"/>
      <protection locked="0"/>
    </xf>
    <xf numFmtId="0" fontId="1" fillId="0" borderId="0" xfId="0" applyNumberFormat="1" applyFont="1" applyFill="1" applyBorder="1" applyAlignment="1" applyProtection="1">
      <alignment vertical="top"/>
      <protection locked="0"/>
    </xf>
    <xf numFmtId="0" fontId="1" fillId="0" borderId="0" xfId="0" applyNumberFormat="1" applyFont="1" applyFill="1" applyBorder="1" applyAlignment="1" applyProtection="1">
      <alignment vertical="top" wrapText="1"/>
      <protection locked="0"/>
    </xf>
    <xf numFmtId="0" fontId="6" fillId="0" borderId="8" xfId="3" applyFill="1" applyBorder="1" applyAlignment="1">
      <alignment horizontal="center" vertical="top" wrapText="1"/>
    </xf>
    <xf numFmtId="0" fontId="2" fillId="0" borderId="8" xfId="0" applyFont="1" applyBorder="1" applyAlignment="1" applyProtection="1">
      <alignment horizontal="left" vertical="top" wrapText="1"/>
    </xf>
    <xf numFmtId="0" fontId="6" fillId="0" borderId="8" xfId="3" applyFill="1" applyBorder="1">
      <alignment horizontal="center" vertical="top"/>
    </xf>
    <xf numFmtId="3" fontId="2" fillId="0" borderId="8" xfId="0" applyNumberFormat="1" applyFont="1" applyBorder="1" applyAlignment="1" applyProtection="1">
      <alignment horizontal="center" wrapText="1"/>
    </xf>
    <xf numFmtId="0" fontId="2" fillId="0" borderId="8" xfId="0" applyFont="1" applyBorder="1" applyAlignment="1" applyProtection="1">
      <alignment horizontal="right" vertical="top" wrapText="1"/>
    </xf>
    <xf numFmtId="3" fontId="2" fillId="0" borderId="8" xfId="0" applyNumberFormat="1" applyFont="1" applyBorder="1" applyAlignment="1" applyProtection="1">
      <alignment horizontal="center"/>
    </xf>
    <xf numFmtId="0" fontId="4" fillId="0" borderId="8" xfId="0" applyFont="1" applyBorder="1" applyAlignment="1" applyProtection="1">
      <alignment horizontal="center" vertical="top" wrapText="1"/>
    </xf>
    <xf numFmtId="0" fontId="11" fillId="0" borderId="9" xfId="2" applyFont="1" applyFill="1" applyBorder="1" applyAlignment="1" applyProtection="1">
      <alignment vertical="top" wrapText="1"/>
      <protection locked="0"/>
    </xf>
    <xf numFmtId="0" fontId="11" fillId="0" borderId="14" xfId="2" applyFont="1" applyFill="1" applyBorder="1" applyAlignment="1" applyProtection="1">
      <alignment vertical="top" wrapText="1"/>
      <protection locked="0"/>
    </xf>
    <xf numFmtId="0" fontId="1" fillId="0" borderId="9" xfId="4" applyNumberFormat="1" applyFont="1" applyFill="1" applyBorder="1" applyAlignment="1" applyProtection="1">
      <alignment horizontal="center" wrapText="1"/>
      <protection locked="0"/>
    </xf>
    <xf numFmtId="0" fontId="1" fillId="0" borderId="9" xfId="4" applyNumberFormat="1" applyFont="1" applyFill="1" applyBorder="1" applyAlignment="1" applyProtection="1">
      <alignment horizontal="center"/>
      <protection locked="0"/>
    </xf>
    <xf numFmtId="0" fontId="1" fillId="0" borderId="14" xfId="4" applyNumberFormat="1" applyFont="1" applyFill="1" applyBorder="1" applyAlignment="1" applyProtection="1">
      <alignment horizontal="center" wrapText="1"/>
      <protection locked="0"/>
    </xf>
    <xf numFmtId="0" fontId="1" fillId="0" borderId="2" xfId="0" applyFont="1" applyFill="1" applyBorder="1" applyAlignment="1" applyProtection="1">
      <alignment horizontal="left" vertical="top" wrapText="1"/>
    </xf>
    <xf numFmtId="0" fontId="10" fillId="0" borderId="2" xfId="0" applyFont="1" applyFill="1" applyBorder="1" applyAlignment="1" applyProtection="1">
      <alignment horizontal="left" vertical="top" wrapText="1"/>
    </xf>
    <xf numFmtId="0" fontId="11" fillId="0" borderId="8" xfId="3" applyFont="1" applyFill="1" applyBorder="1" applyAlignment="1">
      <alignment horizontal="center" vertical="top" wrapText="1"/>
    </xf>
    <xf numFmtId="0" fontId="11" fillId="0" borderId="8" xfId="3" applyFont="1" applyFill="1" applyBorder="1">
      <alignment horizontal="center" vertical="top"/>
    </xf>
    <xf numFmtId="0" fontId="2" fillId="0" borderId="10" xfId="0" applyFont="1" applyBorder="1" applyAlignment="1" applyProtection="1">
      <alignment horizontal="left" vertical="top"/>
    </xf>
    <xf numFmtId="0" fontId="2" fillId="0" borderId="10" xfId="0" applyFont="1" applyBorder="1" applyAlignment="1" applyProtection="1">
      <alignment horizontal="left" vertical="top" wrapText="1"/>
    </xf>
    <xf numFmtId="3" fontId="2" fillId="0" borderId="10" xfId="0" applyNumberFormat="1" applyFont="1" applyBorder="1" applyAlignment="1" applyProtection="1">
      <alignment horizontal="center" wrapText="1"/>
    </xf>
    <xf numFmtId="0" fontId="2" fillId="0" borderId="0" xfId="0" applyFont="1" applyBorder="1" applyAlignment="1" applyProtection="1">
      <alignment horizontal="center" vertical="top" wrapText="1"/>
    </xf>
    <xf numFmtId="0" fontId="2" fillId="0" borderId="0" xfId="0" applyFont="1" applyBorder="1" applyAlignment="1" applyProtection="1">
      <alignment horizontal="left" vertical="top" wrapText="1"/>
    </xf>
    <xf numFmtId="3" fontId="2" fillId="0" borderId="0" xfId="0" applyNumberFormat="1" applyFont="1" applyBorder="1" applyAlignment="1" applyProtection="1">
      <alignment horizontal="left"/>
    </xf>
    <xf numFmtId="3" fontId="2" fillId="0" borderId="0" xfId="0" applyNumberFormat="1" applyFont="1" applyBorder="1" applyAlignment="1" applyProtection="1">
      <alignment horizontal="center" wrapText="1"/>
    </xf>
    <xf numFmtId="0" fontId="1" fillId="0" borderId="2" xfId="0" applyFont="1" applyFill="1" applyBorder="1" applyAlignment="1" applyProtection="1">
      <alignment horizontal="center" vertical="top" wrapText="1"/>
    </xf>
    <xf numFmtId="3" fontId="1" fillId="0" borderId="8" xfId="0" applyNumberFormat="1" applyFont="1" applyFill="1" applyBorder="1" applyAlignment="1" applyProtection="1">
      <alignment horizontal="center" wrapText="1"/>
    </xf>
    <xf numFmtId="0" fontId="1" fillId="0" borderId="13" xfId="0" applyFont="1" applyFill="1" applyBorder="1" applyAlignment="1" applyProtection="1">
      <alignment horizontal="center" wrapText="1"/>
    </xf>
    <xf numFmtId="0" fontId="10" fillId="0" borderId="2" xfId="0" applyFont="1" applyFill="1" applyBorder="1" applyAlignment="1" applyProtection="1">
      <alignment horizontal="center" vertical="top" wrapText="1"/>
    </xf>
    <xf numFmtId="0" fontId="1" fillId="0" borderId="10" xfId="0" applyFont="1" applyFill="1" applyBorder="1" applyAlignment="1" applyProtection="1">
      <alignment horizontal="center" vertical="top" wrapText="1"/>
    </xf>
    <xf numFmtId="0" fontId="1" fillId="0" borderId="10" xfId="0" applyFont="1" applyFill="1" applyBorder="1" applyAlignment="1" applyProtection="1">
      <alignment horizontal="left" vertical="top" wrapText="1"/>
    </xf>
    <xf numFmtId="3" fontId="1" fillId="0" borderId="10" xfId="0" applyNumberFormat="1" applyFont="1" applyFill="1" applyBorder="1" applyAlignment="1" applyProtection="1">
      <alignment horizontal="center" wrapText="1"/>
    </xf>
    <xf numFmtId="0" fontId="1" fillId="0" borderId="10" xfId="0" applyFont="1" applyFill="1" applyBorder="1" applyAlignment="1" applyProtection="1">
      <alignment horizontal="center" wrapText="1"/>
    </xf>
    <xf numFmtId="0" fontId="1" fillId="0" borderId="0" xfId="0" applyFont="1" applyFill="1" applyBorder="1" applyAlignment="1" applyProtection="1">
      <alignment horizontal="center" vertical="top" wrapText="1"/>
    </xf>
    <xf numFmtId="0" fontId="1" fillId="0" borderId="0" xfId="0" applyFont="1" applyFill="1" applyBorder="1" applyAlignment="1" applyProtection="1">
      <alignment horizontal="left" vertical="top" wrapText="1"/>
    </xf>
    <xf numFmtId="3" fontId="1" fillId="0" borderId="0" xfId="0" applyNumberFormat="1" applyFont="1" applyFill="1" applyBorder="1" applyAlignment="1" applyProtection="1">
      <alignment horizontal="left"/>
    </xf>
    <xf numFmtId="0" fontId="1" fillId="0" borderId="0" xfId="0" applyFont="1" applyFill="1" applyBorder="1" applyAlignment="1" applyProtection="1">
      <alignment horizontal="center" wrapText="1"/>
    </xf>
    <xf numFmtId="3" fontId="1" fillId="0" borderId="0" xfId="0" applyNumberFormat="1" applyFont="1" applyFill="1" applyBorder="1" applyAlignment="1" applyProtection="1">
      <alignment horizontal="center" wrapText="1"/>
    </xf>
    <xf numFmtId="0" fontId="1" fillId="0" borderId="8" xfId="0" applyFont="1" applyFill="1" applyBorder="1" applyAlignment="1" applyProtection="1">
      <alignment horizontal="center" vertical="top" wrapText="1"/>
    </xf>
    <xf numFmtId="0" fontId="1" fillId="0" borderId="8" xfId="0" applyFont="1" applyFill="1" applyBorder="1" applyAlignment="1" applyProtection="1">
      <alignment horizontal="left" vertical="top" wrapText="1"/>
    </xf>
    <xf numFmtId="0" fontId="10" fillId="0" borderId="8" xfId="0" applyFont="1" applyFill="1" applyBorder="1" applyAlignment="1" applyProtection="1">
      <alignment horizontal="right" vertical="top" wrapText="1"/>
    </xf>
    <xf numFmtId="0" fontId="1" fillId="0" borderId="8" xfId="0" applyFont="1" applyFill="1" applyBorder="1" applyAlignment="1" applyProtection="1">
      <alignment horizontal="right" vertical="top" wrapText="1"/>
    </xf>
    <xf numFmtId="3" fontId="1" fillId="0" borderId="8" xfId="0" applyNumberFormat="1" applyFont="1" applyFill="1" applyBorder="1" applyAlignment="1" applyProtection="1">
      <alignment horizontal="center"/>
    </xf>
    <xf numFmtId="0" fontId="1" fillId="0" borderId="13" xfId="0" applyFont="1" applyFill="1" applyBorder="1" applyAlignment="1" applyProtection="1">
      <alignment horizontal="center"/>
    </xf>
    <xf numFmtId="164" fontId="11" fillId="0" borderId="9" xfId="8" applyFont="1" applyFill="1" applyBorder="1" applyAlignment="1" applyProtection="1">
      <alignment vertical="top" wrapText="1"/>
      <protection locked="0"/>
    </xf>
    <xf numFmtId="164" fontId="1" fillId="0" borderId="2" xfId="8" applyFont="1" applyBorder="1" applyAlignment="1" applyProtection="1">
      <alignment horizontal="right" wrapText="1"/>
      <protection locked="0"/>
    </xf>
    <xf numFmtId="164" fontId="1" fillId="0" borderId="2" xfId="8" applyFont="1" applyBorder="1" applyAlignment="1" applyProtection="1">
      <alignment horizontal="right" vertical="top" wrapText="1"/>
      <protection locked="0"/>
    </xf>
    <xf numFmtId="164" fontId="1" fillId="0" borderId="3" xfId="8" applyFont="1" applyBorder="1" applyAlignment="1" applyProtection="1">
      <alignment horizontal="right" wrapText="1"/>
      <protection locked="0"/>
    </xf>
    <xf numFmtId="164" fontId="1" fillId="0" borderId="1" xfId="8" applyFont="1" applyBorder="1" applyAlignment="1" applyProtection="1">
      <alignment horizontal="right" wrapText="1"/>
      <protection locked="0"/>
    </xf>
    <xf numFmtId="164" fontId="1" fillId="0" borderId="2" xfId="8" applyFont="1" applyFill="1" applyBorder="1" applyAlignment="1" applyProtection="1">
      <alignment horizontal="right" wrapText="1"/>
      <protection locked="0"/>
    </xf>
    <xf numFmtId="164" fontId="1" fillId="0" borderId="2" xfId="8" applyFont="1" applyFill="1" applyBorder="1" applyAlignment="1" applyProtection="1">
      <alignment horizontal="center" wrapText="1"/>
      <protection locked="0"/>
    </xf>
    <xf numFmtId="164" fontId="1" fillId="0" borderId="2" xfId="8" applyFont="1" applyFill="1" applyBorder="1" applyAlignment="1" applyProtection="1">
      <alignment horizontal="right"/>
      <protection locked="0"/>
    </xf>
    <xf numFmtId="164" fontId="1" fillId="0" borderId="0" xfId="8" applyFont="1" applyFill="1" applyBorder="1" applyAlignment="1" applyProtection="1">
      <alignment vertical="top"/>
      <protection locked="0"/>
    </xf>
    <xf numFmtId="43" fontId="0" fillId="0" borderId="2" xfId="0" applyNumberFormat="1" applyBorder="1" applyAlignment="1" applyProtection="1">
      <alignment horizontal="right" wrapText="1"/>
      <protection locked="0"/>
    </xf>
    <xf numFmtId="164" fontId="14" fillId="0" borderId="2" xfId="8" applyFont="1" applyBorder="1" applyAlignment="1" applyProtection="1">
      <alignment horizontal="right" wrapText="1"/>
      <protection locked="0"/>
    </xf>
    <xf numFmtId="0" fontId="17" fillId="0" borderId="2" xfId="0" applyFont="1" applyFill="1" applyBorder="1" applyAlignment="1" applyProtection="1">
      <alignment horizontal="left" vertical="top" wrapText="1"/>
    </xf>
    <xf numFmtId="0" fontId="16" fillId="0" borderId="2" xfId="0" applyFont="1" applyFill="1" applyBorder="1" applyAlignment="1" applyProtection="1">
      <alignment horizontal="left" vertical="top" wrapText="1"/>
    </xf>
    <xf numFmtId="0" fontId="15" fillId="0" borderId="0" xfId="0" applyNumberFormat="1" applyFont="1" applyFill="1" applyBorder="1" applyAlignment="1" applyProtection="1">
      <alignment vertical="top"/>
    </xf>
    <xf numFmtId="164" fontId="14" fillId="0" borderId="2" xfId="8" applyFont="1" applyFill="1" applyBorder="1" applyAlignment="1" applyProtection="1">
      <alignment horizontal="right" wrapText="1"/>
      <protection locked="0"/>
    </xf>
    <xf numFmtId="164" fontId="14" fillId="0" borderId="2" xfId="8" applyFont="1" applyBorder="1" applyAlignment="1" applyProtection="1">
      <alignment horizontal="right" vertical="top" wrapText="1"/>
      <protection locked="0"/>
    </xf>
    <xf numFmtId="164" fontId="14" fillId="0" borderId="3" xfId="8" applyFont="1" applyBorder="1" applyAlignment="1" applyProtection="1">
      <alignment horizontal="right" wrapText="1"/>
      <protection locked="0"/>
    </xf>
    <xf numFmtId="0" fontId="18" fillId="0" borderId="2" xfId="0" applyFont="1" applyFill="1" applyBorder="1" applyAlignment="1" applyProtection="1">
      <alignment horizontal="left" vertical="top" wrapText="1"/>
    </xf>
    <xf numFmtId="0" fontId="18" fillId="0" borderId="8" xfId="0" applyFont="1" applyFill="1" applyBorder="1" applyAlignment="1" applyProtection="1">
      <alignment horizontal="left" vertical="top" wrapText="1"/>
    </xf>
    <xf numFmtId="164" fontId="14" fillId="0" borderId="1" xfId="8" applyFont="1" applyBorder="1" applyAlignment="1" applyProtection="1">
      <alignment horizontal="right" wrapText="1"/>
      <protection locked="0"/>
    </xf>
    <xf numFmtId="164" fontId="14" fillId="0" borderId="2" xfId="8" applyFont="1" applyFill="1" applyBorder="1" applyAlignment="1" applyProtection="1">
      <alignment horizontal="center" wrapText="1"/>
      <protection locked="0"/>
    </xf>
    <xf numFmtId="164" fontId="14" fillId="0" borderId="2" xfId="8" applyFont="1" applyFill="1" applyBorder="1" applyAlignment="1" applyProtection="1">
      <alignment horizontal="right"/>
      <protection locked="0"/>
    </xf>
    <xf numFmtId="164" fontId="14" fillId="0" borderId="0" xfId="8" applyFont="1" applyFill="1" applyBorder="1" applyAlignment="1" applyProtection="1">
      <alignment vertical="top"/>
      <protection locked="0"/>
    </xf>
    <xf numFmtId="0" fontId="1" fillId="0" borderId="9" xfId="2" applyFont="1" applyFill="1" applyBorder="1" applyAlignment="1" applyProtection="1">
      <alignment vertical="top" wrapText="1"/>
      <protection locked="0"/>
    </xf>
    <xf numFmtId="0" fontId="19" fillId="0" borderId="2" xfId="0" applyFont="1" applyFill="1" applyBorder="1" applyAlignment="1" applyProtection="1">
      <alignment horizontal="center" vertical="top" wrapText="1"/>
    </xf>
    <xf numFmtId="0" fontId="19" fillId="0" borderId="2" xfId="0" applyFont="1" applyFill="1" applyBorder="1" applyAlignment="1" applyProtection="1">
      <alignment horizontal="left" vertical="top" wrapText="1"/>
    </xf>
    <xf numFmtId="3" fontId="19" fillId="0" borderId="8" xfId="0" applyNumberFormat="1" applyFont="1" applyFill="1" applyBorder="1" applyAlignment="1" applyProtection="1">
      <alignment horizontal="center" wrapText="1"/>
    </xf>
    <xf numFmtId="0" fontId="19" fillId="0" borderId="13" xfId="0" applyFont="1" applyFill="1" applyBorder="1" applyAlignment="1" applyProtection="1">
      <alignment horizontal="center" wrapText="1"/>
    </xf>
    <xf numFmtId="0" fontId="19" fillId="0" borderId="9" xfId="2" applyFont="1" applyFill="1" applyBorder="1" applyAlignment="1" applyProtection="1">
      <alignment vertical="top" wrapText="1"/>
      <protection locked="0"/>
    </xf>
    <xf numFmtId="164" fontId="19" fillId="0" borderId="2" xfId="8" applyFont="1" applyBorder="1" applyAlignment="1" applyProtection="1">
      <alignment horizontal="right" wrapText="1"/>
      <protection locked="0"/>
    </xf>
    <xf numFmtId="0" fontId="19" fillId="0" borderId="0" xfId="0" applyNumberFormat="1" applyFont="1" applyFill="1" applyBorder="1" applyAlignment="1" applyProtection="1">
      <alignment vertical="top"/>
    </xf>
    <xf numFmtId="164" fontId="19" fillId="0" borderId="2" xfId="8" applyFont="1" applyFill="1" applyBorder="1" applyAlignment="1" applyProtection="1">
      <alignment horizontal="right" wrapText="1"/>
      <protection locked="0"/>
    </xf>
    <xf numFmtId="0" fontId="5" fillId="0" borderId="1" xfId="0" applyFont="1" applyBorder="1" applyAlignment="1" applyProtection="1">
      <alignment horizontal="center" vertical="center" wrapText="1"/>
    </xf>
    <xf numFmtId="0" fontId="5" fillId="0" borderId="3" xfId="0" applyFont="1" applyBorder="1" applyAlignment="1" applyProtection="1">
      <alignment horizontal="center" vertical="center" wrapText="1"/>
    </xf>
    <xf numFmtId="0" fontId="5" fillId="0" borderId="4" xfId="0" applyFont="1" applyBorder="1" applyAlignment="1" applyProtection="1">
      <alignment horizontal="center" vertical="center" wrapText="1"/>
    </xf>
    <xf numFmtId="0" fontId="5" fillId="0" borderId="6" xfId="0" applyFont="1" applyBorder="1" applyAlignment="1" applyProtection="1">
      <alignment horizontal="center" vertical="center" wrapText="1"/>
    </xf>
    <xf numFmtId="0" fontId="6" fillId="0" borderId="1" xfId="1" applyFill="1" applyBorder="1" applyAlignment="1" applyProtection="1">
      <alignment horizontal="center" vertical="center" wrapText="1"/>
      <protection locked="0"/>
    </xf>
    <xf numFmtId="0" fontId="0" fillId="0" borderId="0" xfId="0" applyNumberFormat="1" applyFont="1" applyFill="1" applyBorder="1" applyAlignment="1" applyProtection="1">
      <alignment horizontal="center" vertical="top"/>
    </xf>
    <xf numFmtId="0" fontId="1" fillId="0" borderId="0" xfId="0" applyNumberFormat="1" applyFont="1" applyFill="1" applyBorder="1" applyAlignment="1" applyProtection="1">
      <alignment horizontal="center" vertical="top"/>
    </xf>
    <xf numFmtId="164" fontId="15" fillId="0" borderId="1" xfId="8" applyFont="1" applyFill="1" applyBorder="1" applyAlignment="1" applyProtection="1">
      <alignment horizontal="center" vertical="center" wrapText="1"/>
      <protection locked="0"/>
    </xf>
    <xf numFmtId="164" fontId="15" fillId="0" borderId="3" xfId="8" applyFont="1" applyFill="1" applyBorder="1" applyAlignment="1" applyProtection="1">
      <alignment horizontal="center" vertical="center" wrapText="1"/>
      <protection locked="0"/>
    </xf>
    <xf numFmtId="164" fontId="11" fillId="0" borderId="1" xfId="8" applyFont="1" applyFill="1" applyBorder="1" applyAlignment="1" applyProtection="1">
      <alignment horizontal="center" vertical="center" wrapText="1"/>
      <protection locked="0"/>
    </xf>
    <xf numFmtId="164" fontId="11" fillId="0" borderId="3" xfId="8" applyFont="1" applyFill="1" applyBorder="1" applyAlignment="1" applyProtection="1">
      <alignment horizontal="center" vertical="center"/>
      <protection locked="0"/>
    </xf>
    <xf numFmtId="0" fontId="9" fillId="0" borderId="1" xfId="0" applyFont="1" applyFill="1" applyBorder="1" applyAlignment="1" applyProtection="1">
      <alignment horizontal="center" vertical="center" wrapText="1"/>
    </xf>
    <xf numFmtId="0" fontId="9" fillId="0" borderId="3" xfId="0" applyFont="1" applyFill="1" applyBorder="1" applyAlignment="1" applyProtection="1">
      <alignment horizontal="center" vertical="center" wrapText="1"/>
    </xf>
    <xf numFmtId="3" fontId="9" fillId="0" borderId="4" xfId="0" applyNumberFormat="1" applyFont="1" applyFill="1" applyBorder="1" applyAlignment="1" applyProtection="1">
      <alignment horizontal="center" vertical="center" wrapText="1"/>
    </xf>
    <xf numFmtId="3" fontId="9" fillId="0" borderId="6" xfId="0" applyNumberFormat="1" applyFont="1" applyFill="1" applyBorder="1" applyAlignment="1" applyProtection="1">
      <alignment horizontal="center" vertical="center" wrapText="1"/>
    </xf>
    <xf numFmtId="0" fontId="1" fillId="0" borderId="11" xfId="0" applyFont="1" applyFill="1" applyBorder="1" applyAlignment="1" applyProtection="1">
      <alignment horizontal="center" vertical="center" wrapText="1"/>
    </xf>
    <xf numFmtId="0" fontId="1" fillId="0" borderId="12" xfId="0" applyFont="1" applyFill="1" applyBorder="1" applyAlignment="1" applyProtection="1">
      <alignment horizontal="center" vertical="center"/>
    </xf>
    <xf numFmtId="0" fontId="11" fillId="0" borderId="5" xfId="1" applyFont="1" applyFill="1" applyBorder="1" applyAlignment="1" applyProtection="1">
      <alignment horizontal="center" vertical="center" wrapText="1"/>
      <protection locked="0"/>
    </xf>
    <xf numFmtId="0" fontId="11" fillId="0" borderId="7" xfId="1" applyFont="1" applyFill="1" applyBorder="1" applyAlignment="1" applyProtection="1">
      <alignment horizontal="center" vertical="center" wrapText="1"/>
      <protection locked="0"/>
    </xf>
    <xf numFmtId="0" fontId="6" fillId="0" borderId="3" xfId="1" applyFill="1" applyBorder="1" applyAlignment="1" applyProtection="1">
      <alignment horizontal="center" vertical="center"/>
      <protection locked="0"/>
    </xf>
  </cellXfs>
  <cellStyles count="9">
    <cellStyle name="Comma" xfId="8" builtinId="3"/>
    <cellStyle name="Comma 10" xfId="4" xr:uid="{00000000-0005-0000-0000-000000000000}"/>
    <cellStyle name="Normal" xfId="0" builtinId="0"/>
    <cellStyle name="S0" xfId="2" xr:uid="{00000000-0005-0000-0000-000002000000}"/>
    <cellStyle name="S10" xfId="3" xr:uid="{00000000-0005-0000-0000-000003000000}"/>
    <cellStyle name="S12" xfId="5" xr:uid="{00000000-0005-0000-0000-000004000000}"/>
    <cellStyle name="S13" xfId="7" xr:uid="{00000000-0005-0000-0000-000005000000}"/>
    <cellStyle name="S4" xfId="1" xr:uid="{00000000-0005-0000-0000-000006000000}"/>
    <cellStyle name="S8" xfId="6"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8ADC7-1BD4-4574-9D9D-AA8989DDEA58}">
  <dimension ref="A22:I24"/>
  <sheetViews>
    <sheetView view="pageBreakPreview" zoomScaleNormal="100" zoomScaleSheetLayoutView="100" workbookViewId="0">
      <selection activeCell="K28" sqref="K28"/>
    </sheetView>
  </sheetViews>
  <sheetFormatPr defaultRowHeight="13.15"/>
  <cols>
    <col min="2" max="2" width="7" customWidth="1"/>
  </cols>
  <sheetData>
    <row r="22" spans="1:9">
      <c r="A22" s="86" t="s">
        <v>0</v>
      </c>
      <c r="B22" s="87"/>
      <c r="C22" s="87"/>
      <c r="D22" s="87"/>
      <c r="E22" s="87"/>
      <c r="F22" s="87"/>
      <c r="G22" s="87"/>
      <c r="H22" s="87"/>
      <c r="I22" s="87"/>
    </row>
    <row r="24" spans="1:9">
      <c r="A24" s="86" t="s">
        <v>1</v>
      </c>
      <c r="B24" s="87"/>
      <c r="C24" s="87"/>
      <c r="D24" s="87"/>
      <c r="E24" s="87"/>
      <c r="F24" s="87"/>
      <c r="G24" s="87"/>
      <c r="H24" s="87"/>
      <c r="I24" s="87"/>
    </row>
  </sheetData>
  <mergeCells count="2">
    <mergeCell ref="A22:I22"/>
    <mergeCell ref="A24:I2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F07F4-6EFA-48BB-AAC0-0444E17D587A}">
  <dimension ref="A1:G776"/>
  <sheetViews>
    <sheetView view="pageBreakPreview" zoomScale="90" zoomScaleNormal="90" zoomScaleSheetLayoutView="90" workbookViewId="0">
      <pane xSplit="6" ySplit="2" topLeftCell="G755" activePane="bottomRight" state="frozen"/>
      <selection pane="bottomRight" activeCell="F755" sqref="F755"/>
      <selection pane="bottomLeft" activeCell="A3" sqref="A3"/>
      <selection pane="topRight" activeCell="G1" sqref="G1"/>
    </sheetView>
  </sheetViews>
  <sheetFormatPr defaultRowHeight="13.15"/>
  <cols>
    <col min="1" max="1" width="5.7109375" style="5" customWidth="1"/>
    <col min="2" max="2" width="47" style="6" customWidth="1"/>
    <col min="3" max="3" width="8.7109375" style="5" customWidth="1"/>
    <col min="4" max="4" width="6.28515625" style="5" customWidth="1"/>
    <col min="5" max="5" width="11.5703125" style="5" customWidth="1"/>
    <col min="6" max="6" width="17.140625" style="57" customWidth="1"/>
    <col min="7" max="7" width="8.42578125" style="71" customWidth="1"/>
  </cols>
  <sheetData>
    <row r="1" spans="1:7">
      <c r="A1" s="92" t="s">
        <v>2</v>
      </c>
      <c r="B1" s="92" t="s">
        <v>3</v>
      </c>
      <c r="C1" s="94" t="s">
        <v>4</v>
      </c>
      <c r="D1" s="96" t="s">
        <v>5</v>
      </c>
      <c r="E1" s="98" t="s">
        <v>6</v>
      </c>
      <c r="F1" s="90" t="s">
        <v>7</v>
      </c>
      <c r="G1" s="88" t="s">
        <v>8</v>
      </c>
    </row>
    <row r="2" spans="1:7">
      <c r="A2" s="93"/>
      <c r="B2" s="93" t="s">
        <v>9</v>
      </c>
      <c r="C2" s="95"/>
      <c r="D2" s="97"/>
      <c r="E2" s="99"/>
      <c r="F2" s="91"/>
      <c r="G2" s="89"/>
    </row>
    <row r="3" spans="1:7">
      <c r="A3" s="30"/>
      <c r="B3" s="19"/>
      <c r="C3" s="31"/>
      <c r="D3" s="32"/>
      <c r="E3" s="14"/>
      <c r="F3" s="50"/>
      <c r="G3" s="59"/>
    </row>
    <row r="4" spans="1:7" ht="26.45">
      <c r="A4" s="30"/>
      <c r="B4" s="33" t="s">
        <v>1</v>
      </c>
      <c r="C4" s="31"/>
      <c r="D4" s="32"/>
      <c r="E4" s="14"/>
      <c r="F4" s="50"/>
      <c r="G4" s="59"/>
    </row>
    <row r="5" spans="1:7">
      <c r="A5" s="30"/>
      <c r="B5" s="20"/>
      <c r="C5" s="31"/>
      <c r="D5" s="32"/>
      <c r="E5" s="14"/>
      <c r="F5" s="50"/>
      <c r="G5" s="59"/>
    </row>
    <row r="6" spans="1:7">
      <c r="A6" s="30"/>
      <c r="B6" s="20" t="s">
        <v>10</v>
      </c>
      <c r="C6" s="31"/>
      <c r="D6" s="32"/>
      <c r="E6" s="14"/>
      <c r="F6" s="50"/>
      <c r="G6" s="59"/>
    </row>
    <row r="7" spans="1:7">
      <c r="A7" s="30"/>
      <c r="B7" s="20"/>
      <c r="C7" s="31"/>
      <c r="D7" s="32"/>
      <c r="E7" s="14"/>
      <c r="F7" s="50"/>
      <c r="G7" s="59"/>
    </row>
    <row r="8" spans="1:7" ht="118.9">
      <c r="A8" s="30"/>
      <c r="B8" s="19" t="s">
        <v>11</v>
      </c>
      <c r="C8" s="31"/>
      <c r="D8" s="32"/>
      <c r="E8" s="14"/>
      <c r="F8" s="51" t="s">
        <v>12</v>
      </c>
      <c r="G8" s="64"/>
    </row>
    <row r="9" spans="1:7">
      <c r="A9" s="30"/>
      <c r="B9" s="19"/>
      <c r="C9" s="31"/>
      <c r="D9" s="32"/>
      <c r="E9" s="14"/>
      <c r="F9" s="50"/>
      <c r="G9" s="59"/>
    </row>
    <row r="10" spans="1:7">
      <c r="A10" s="30"/>
      <c r="B10" s="19"/>
      <c r="C10" s="31"/>
      <c r="D10" s="32"/>
      <c r="E10" s="14"/>
      <c r="F10" s="50"/>
      <c r="G10" s="59"/>
    </row>
    <row r="11" spans="1:7">
      <c r="A11" s="30"/>
      <c r="B11" s="19"/>
      <c r="C11" s="31"/>
      <c r="D11" s="32"/>
      <c r="E11" s="14"/>
      <c r="F11" s="50"/>
      <c r="G11" s="59"/>
    </row>
    <row r="12" spans="1:7">
      <c r="A12" s="30"/>
      <c r="B12" s="19"/>
      <c r="C12" s="31"/>
      <c r="D12" s="32"/>
      <c r="E12" s="14"/>
      <c r="F12" s="50"/>
      <c r="G12" s="59"/>
    </row>
    <row r="13" spans="1:7">
      <c r="A13" s="30"/>
      <c r="B13" s="19"/>
      <c r="C13" s="31"/>
      <c r="D13" s="32"/>
      <c r="E13" s="14"/>
      <c r="F13" s="50"/>
      <c r="G13" s="59"/>
    </row>
    <row r="14" spans="1:7">
      <c r="A14" s="30"/>
      <c r="B14" s="19"/>
      <c r="C14" s="31"/>
      <c r="D14" s="32"/>
      <c r="E14" s="14"/>
      <c r="F14" s="50"/>
      <c r="G14" s="59"/>
    </row>
    <row r="15" spans="1:7">
      <c r="A15" s="30"/>
      <c r="B15" s="19"/>
      <c r="C15" s="31"/>
      <c r="D15" s="32"/>
      <c r="E15" s="14"/>
      <c r="F15" s="50"/>
      <c r="G15" s="59"/>
    </row>
    <row r="16" spans="1:7">
      <c r="A16" s="30"/>
      <c r="B16" s="19"/>
      <c r="C16" s="31"/>
      <c r="D16" s="32"/>
      <c r="E16" s="14"/>
      <c r="F16" s="50"/>
      <c r="G16" s="59"/>
    </row>
    <row r="17" spans="1:7">
      <c r="A17" s="30"/>
      <c r="B17" s="19"/>
      <c r="C17" s="31"/>
      <c r="D17" s="32"/>
      <c r="E17" s="14"/>
      <c r="F17" s="50"/>
      <c r="G17" s="59"/>
    </row>
    <row r="18" spans="1:7">
      <c r="A18" s="30"/>
      <c r="B18" s="19"/>
      <c r="C18" s="31"/>
      <c r="D18" s="32"/>
      <c r="E18" s="14"/>
      <c r="F18" s="50"/>
      <c r="G18" s="59"/>
    </row>
    <row r="19" spans="1:7">
      <c r="A19" s="30"/>
      <c r="B19" s="19"/>
      <c r="C19" s="31"/>
      <c r="D19" s="32"/>
      <c r="E19" s="14"/>
      <c r="F19" s="50"/>
      <c r="G19" s="59"/>
    </row>
    <row r="20" spans="1:7">
      <c r="A20" s="30"/>
      <c r="B20" s="19"/>
      <c r="C20" s="31"/>
      <c r="D20" s="32"/>
      <c r="E20" s="14"/>
      <c r="F20" s="50"/>
      <c r="G20" s="59"/>
    </row>
    <row r="21" spans="1:7">
      <c r="A21" s="30"/>
      <c r="B21" s="19"/>
      <c r="C21" s="31"/>
      <c r="D21" s="32"/>
      <c r="E21" s="14"/>
      <c r="F21" s="50"/>
      <c r="G21" s="59"/>
    </row>
    <row r="22" spans="1:7">
      <c r="A22" s="30"/>
      <c r="B22" s="19"/>
      <c r="C22" s="31"/>
      <c r="D22" s="32"/>
      <c r="E22" s="14"/>
      <c r="F22" s="50"/>
      <c r="G22" s="59"/>
    </row>
    <row r="23" spans="1:7">
      <c r="A23" s="30"/>
      <c r="B23" s="19"/>
      <c r="C23" s="31"/>
      <c r="D23" s="32"/>
      <c r="E23" s="14"/>
      <c r="F23" s="50"/>
      <c r="G23" s="59"/>
    </row>
    <row r="24" spans="1:7">
      <c r="A24" s="30"/>
      <c r="B24" s="19"/>
      <c r="C24" s="31"/>
      <c r="D24" s="32"/>
      <c r="E24" s="14"/>
      <c r="F24" s="50"/>
      <c r="G24" s="59"/>
    </row>
    <row r="25" spans="1:7">
      <c r="A25" s="30"/>
      <c r="B25" s="19"/>
      <c r="C25" s="31"/>
      <c r="D25" s="32"/>
      <c r="E25" s="14"/>
      <c r="F25" s="50"/>
      <c r="G25" s="59"/>
    </row>
    <row r="26" spans="1:7">
      <c r="A26" s="30"/>
      <c r="B26" s="19"/>
      <c r="C26" s="31"/>
      <c r="D26" s="32"/>
      <c r="E26" s="14"/>
      <c r="F26" s="50"/>
      <c r="G26" s="59"/>
    </row>
    <row r="27" spans="1:7">
      <c r="A27" s="30"/>
      <c r="B27" s="19"/>
      <c r="C27" s="31"/>
      <c r="D27" s="32"/>
      <c r="E27" s="14"/>
      <c r="F27" s="50"/>
      <c r="G27" s="59"/>
    </row>
    <row r="28" spans="1:7">
      <c r="A28" s="30"/>
      <c r="B28" s="19"/>
      <c r="C28" s="31"/>
      <c r="D28" s="32"/>
      <c r="E28" s="14"/>
      <c r="F28" s="50"/>
      <c r="G28" s="59"/>
    </row>
    <row r="29" spans="1:7">
      <c r="A29" s="30"/>
      <c r="B29" s="19"/>
      <c r="C29" s="31"/>
      <c r="D29" s="32"/>
      <c r="E29" s="14"/>
      <c r="F29" s="50"/>
      <c r="G29" s="59"/>
    </row>
    <row r="30" spans="1:7">
      <c r="A30" s="30"/>
      <c r="B30" s="19"/>
      <c r="C30" s="31"/>
      <c r="D30" s="32"/>
      <c r="E30" s="14"/>
      <c r="F30" s="50"/>
      <c r="G30" s="59"/>
    </row>
    <row r="31" spans="1:7">
      <c r="A31" s="30"/>
      <c r="B31" s="19"/>
      <c r="C31" s="31"/>
      <c r="D31" s="32"/>
      <c r="E31" s="14"/>
      <c r="F31" s="50"/>
      <c r="G31" s="59"/>
    </row>
    <row r="32" spans="1:7">
      <c r="A32" s="30"/>
      <c r="B32" s="19"/>
      <c r="C32" s="31"/>
      <c r="D32" s="32"/>
      <c r="E32" s="14"/>
      <c r="F32" s="50"/>
      <c r="G32" s="59"/>
    </row>
    <row r="33" spans="1:7">
      <c r="A33" s="30"/>
      <c r="B33" s="19"/>
      <c r="C33" s="31"/>
      <c r="D33" s="32"/>
      <c r="E33" s="14"/>
      <c r="F33" s="50"/>
      <c r="G33" s="59"/>
    </row>
    <row r="34" spans="1:7">
      <c r="A34" s="30"/>
      <c r="B34" s="19"/>
      <c r="C34" s="31"/>
      <c r="D34" s="32"/>
      <c r="E34" s="14"/>
      <c r="F34" s="50"/>
      <c r="G34" s="59"/>
    </row>
    <row r="35" spans="1:7">
      <c r="A35" s="30"/>
      <c r="B35" s="19"/>
      <c r="C35" s="31"/>
      <c r="D35" s="32"/>
      <c r="E35" s="14"/>
      <c r="F35" s="50"/>
      <c r="G35" s="59"/>
    </row>
    <row r="36" spans="1:7">
      <c r="A36" s="30"/>
      <c r="B36" s="19"/>
      <c r="C36" s="31"/>
      <c r="D36" s="32"/>
      <c r="E36" s="14"/>
      <c r="F36" s="50"/>
      <c r="G36" s="59"/>
    </row>
    <row r="37" spans="1:7">
      <c r="A37" s="30"/>
      <c r="B37" s="19"/>
      <c r="C37" s="31"/>
      <c r="D37" s="32"/>
      <c r="E37" s="14"/>
      <c r="F37" s="50"/>
      <c r="G37" s="59"/>
    </row>
    <row r="38" spans="1:7">
      <c r="A38" s="30"/>
      <c r="B38" s="19"/>
      <c r="C38" s="31"/>
      <c r="D38" s="32"/>
      <c r="E38" s="14"/>
      <c r="F38" s="50"/>
      <c r="G38" s="59"/>
    </row>
    <row r="39" spans="1:7">
      <c r="A39" s="30"/>
      <c r="B39" s="19"/>
      <c r="C39" s="31"/>
      <c r="D39" s="32"/>
      <c r="E39" s="14"/>
      <c r="F39" s="50"/>
      <c r="G39" s="59"/>
    </row>
    <row r="40" spans="1:7">
      <c r="A40" s="30"/>
      <c r="B40" s="19"/>
      <c r="C40" s="31"/>
      <c r="D40" s="32"/>
      <c r="E40" s="14"/>
      <c r="F40" s="50"/>
      <c r="G40" s="59"/>
    </row>
    <row r="41" spans="1:7">
      <c r="A41" s="30"/>
      <c r="B41" s="19"/>
      <c r="C41" s="31"/>
      <c r="D41" s="32"/>
      <c r="E41" s="14"/>
      <c r="F41" s="50"/>
      <c r="G41" s="59"/>
    </row>
    <row r="42" spans="1:7">
      <c r="A42" s="30"/>
      <c r="B42" s="19"/>
      <c r="C42" s="31"/>
      <c r="D42" s="32"/>
      <c r="E42" s="14"/>
      <c r="F42" s="50"/>
      <c r="G42" s="59"/>
    </row>
    <row r="43" spans="1:7">
      <c r="A43" s="30"/>
      <c r="B43" s="19"/>
      <c r="C43" s="31"/>
      <c r="D43" s="32"/>
      <c r="E43" s="14"/>
      <c r="F43" s="50"/>
      <c r="G43" s="59"/>
    </row>
    <row r="44" spans="1:7">
      <c r="A44" s="30"/>
      <c r="B44" s="19"/>
      <c r="C44" s="31"/>
      <c r="D44" s="32"/>
      <c r="E44" s="14"/>
      <c r="F44" s="50"/>
      <c r="G44" s="59"/>
    </row>
    <row r="45" spans="1:7">
      <c r="A45" s="30"/>
      <c r="B45" s="19"/>
      <c r="C45" s="31"/>
      <c r="D45" s="32"/>
      <c r="E45" s="14"/>
      <c r="F45" s="50"/>
      <c r="G45" s="59"/>
    </row>
    <row r="46" spans="1:7">
      <c r="A46" s="30"/>
      <c r="B46" s="19"/>
      <c r="C46" s="31"/>
      <c r="D46" s="32"/>
      <c r="E46" s="14"/>
      <c r="F46" s="50"/>
      <c r="G46" s="59"/>
    </row>
    <row r="47" spans="1:7">
      <c r="A47" s="30"/>
      <c r="B47" s="19"/>
      <c r="C47" s="31"/>
      <c r="D47" s="32"/>
      <c r="E47" s="15"/>
      <c r="F47" s="52"/>
      <c r="G47" s="65"/>
    </row>
    <row r="48" spans="1:7">
      <c r="A48" s="34"/>
      <c r="B48" s="35"/>
      <c r="C48" s="36"/>
      <c r="D48" s="37"/>
      <c r="E48" s="14"/>
      <c r="F48" s="53"/>
      <c r="G48" s="68"/>
    </row>
    <row r="49" spans="1:7">
      <c r="A49" s="38"/>
      <c r="B49" s="39"/>
      <c r="C49" s="40" t="s">
        <v>13</v>
      </c>
      <c r="D49" s="41"/>
      <c r="E49" s="14"/>
      <c r="F49" s="50">
        <f>SUM(F4:F47)</f>
        <v>0</v>
      </c>
      <c r="G49" s="59"/>
    </row>
    <row r="50" spans="1:7">
      <c r="A50" s="38"/>
      <c r="B50" s="39"/>
      <c r="C50" s="42"/>
      <c r="D50" s="41"/>
      <c r="E50" s="14"/>
      <c r="F50" s="52"/>
      <c r="G50" s="65"/>
    </row>
    <row r="51" spans="1:7">
      <c r="A51" s="30"/>
      <c r="B51" s="19"/>
      <c r="C51" s="31"/>
      <c r="D51" s="32"/>
      <c r="E51" s="14"/>
      <c r="F51" s="50"/>
      <c r="G51" s="59"/>
    </row>
    <row r="52" spans="1:7">
      <c r="A52" s="30"/>
      <c r="B52" s="20" t="s">
        <v>14</v>
      </c>
      <c r="C52" s="31"/>
      <c r="D52" s="32"/>
      <c r="E52" s="14"/>
      <c r="F52" s="50"/>
      <c r="G52" s="59"/>
    </row>
    <row r="53" spans="1:7">
      <c r="A53" s="30"/>
      <c r="B53" s="20"/>
      <c r="C53" s="31"/>
      <c r="D53" s="32"/>
      <c r="E53" s="14"/>
      <c r="F53" s="50"/>
      <c r="G53" s="59"/>
    </row>
    <row r="54" spans="1:7" ht="396">
      <c r="A54" s="30"/>
      <c r="B54" s="19" t="s">
        <v>15</v>
      </c>
      <c r="C54" s="31"/>
      <c r="D54" s="32"/>
      <c r="E54" s="14"/>
      <c r="F54" s="50"/>
      <c r="G54" s="59"/>
    </row>
    <row r="55" spans="1:7">
      <c r="A55" s="30"/>
      <c r="B55" s="20" t="s">
        <v>16</v>
      </c>
      <c r="C55" s="31"/>
      <c r="D55" s="32"/>
      <c r="E55" s="14"/>
      <c r="F55" s="50"/>
      <c r="G55" s="59"/>
    </row>
    <row r="56" spans="1:7">
      <c r="A56" s="30"/>
      <c r="B56" s="20"/>
      <c r="C56" s="31"/>
      <c r="D56" s="32"/>
      <c r="E56" s="14"/>
      <c r="F56" s="50"/>
      <c r="G56" s="59"/>
    </row>
    <row r="57" spans="1:7">
      <c r="A57" s="30" t="s">
        <v>17</v>
      </c>
      <c r="B57" s="19" t="s">
        <v>18</v>
      </c>
      <c r="C57" s="31">
        <v>1</v>
      </c>
      <c r="D57" s="32" t="s">
        <v>2</v>
      </c>
      <c r="E57" s="14"/>
      <c r="F57" s="50" t="s">
        <v>19</v>
      </c>
      <c r="G57" s="59"/>
    </row>
    <row r="58" spans="1:7">
      <c r="A58" s="30"/>
      <c r="B58" s="19"/>
      <c r="C58" s="31"/>
      <c r="D58" s="32"/>
      <c r="E58" s="14"/>
      <c r="F58" s="50"/>
      <c r="G58" s="59"/>
    </row>
    <row r="59" spans="1:7">
      <c r="A59" s="30" t="s">
        <v>20</v>
      </c>
      <c r="B59" s="19" t="s">
        <v>21</v>
      </c>
      <c r="C59" s="31">
        <v>1</v>
      </c>
      <c r="D59" s="32" t="s">
        <v>2</v>
      </c>
      <c r="E59" s="14"/>
      <c r="F59" s="50">
        <v>732319.2</v>
      </c>
      <c r="G59" s="59"/>
    </row>
    <row r="60" spans="1:7" s="79" customFormat="1" ht="26.45">
      <c r="A60" s="73" t="s">
        <v>22</v>
      </c>
      <c r="B60" s="74" t="s">
        <v>23</v>
      </c>
      <c r="C60" s="75">
        <v>1</v>
      </c>
      <c r="D60" s="76" t="s">
        <v>2</v>
      </c>
      <c r="E60" s="77"/>
      <c r="F60" s="78">
        <v>19287</v>
      </c>
      <c r="G60" s="78"/>
    </row>
    <row r="61" spans="1:7">
      <c r="A61" s="30"/>
      <c r="B61" s="19"/>
      <c r="C61" s="31"/>
      <c r="D61" s="32"/>
      <c r="E61" s="14"/>
      <c r="F61" s="50"/>
      <c r="G61" s="59"/>
    </row>
    <row r="62" spans="1:7">
      <c r="A62" s="30" t="s">
        <v>24</v>
      </c>
      <c r="B62" s="19" t="s">
        <v>25</v>
      </c>
      <c r="C62" s="31">
        <v>1</v>
      </c>
      <c r="D62" s="32" t="s">
        <v>2</v>
      </c>
      <c r="E62" s="14"/>
      <c r="F62" s="50">
        <v>473853.6</v>
      </c>
      <c r="G62" s="59"/>
    </row>
    <row r="63" spans="1:7" s="79" customFormat="1" ht="26.45">
      <c r="A63" s="73" t="s">
        <v>26</v>
      </c>
      <c r="B63" s="74" t="s">
        <v>27</v>
      </c>
      <c r="C63" s="75">
        <v>1</v>
      </c>
      <c r="D63" s="76" t="s">
        <v>2</v>
      </c>
      <c r="E63" s="77"/>
      <c r="F63" s="78">
        <v>3857</v>
      </c>
      <c r="G63" s="78"/>
    </row>
    <row r="64" spans="1:7">
      <c r="A64" s="30"/>
      <c r="B64" s="19"/>
      <c r="C64" s="31"/>
      <c r="D64" s="32"/>
      <c r="E64" s="14"/>
      <c r="F64" s="50"/>
      <c r="G64" s="59"/>
    </row>
    <row r="65" spans="1:7">
      <c r="A65" s="30" t="s">
        <v>28</v>
      </c>
      <c r="B65" s="19" t="s">
        <v>29</v>
      </c>
      <c r="C65" s="31">
        <v>1</v>
      </c>
      <c r="D65" s="32" t="s">
        <v>2</v>
      </c>
      <c r="E65" s="14"/>
      <c r="F65" s="50" t="s">
        <v>19</v>
      </c>
      <c r="G65" s="59"/>
    </row>
    <row r="66" spans="1:7">
      <c r="A66" s="30"/>
      <c r="B66" s="19"/>
      <c r="C66" s="31"/>
      <c r="D66" s="32"/>
      <c r="E66" s="14"/>
      <c r="F66" s="50"/>
      <c r="G66" s="59"/>
    </row>
    <row r="67" spans="1:7">
      <c r="A67" s="30" t="s">
        <v>30</v>
      </c>
      <c r="B67" s="19" t="s">
        <v>31</v>
      </c>
      <c r="C67" s="31">
        <v>1</v>
      </c>
      <c r="D67" s="32" t="s">
        <v>2</v>
      </c>
      <c r="E67" s="14"/>
      <c r="F67" s="50">
        <v>354044.03</v>
      </c>
      <c r="G67" s="59"/>
    </row>
    <row r="68" spans="1:7" s="79" customFormat="1" ht="26.45">
      <c r="A68" s="73" t="s">
        <v>32</v>
      </c>
      <c r="B68" s="74" t="s">
        <v>33</v>
      </c>
      <c r="C68" s="75">
        <v>1</v>
      </c>
      <c r="D68" s="76" t="s">
        <v>2</v>
      </c>
      <c r="E68" s="77"/>
      <c r="F68" s="78">
        <v>77148</v>
      </c>
      <c r="G68" s="78"/>
    </row>
    <row r="69" spans="1:7">
      <c r="A69" s="30"/>
      <c r="B69" s="19"/>
      <c r="C69" s="31"/>
      <c r="D69" s="32"/>
      <c r="E69" s="14"/>
      <c r="F69" s="50"/>
      <c r="G69" s="59"/>
    </row>
    <row r="70" spans="1:7">
      <c r="A70" s="30" t="s">
        <v>34</v>
      </c>
      <c r="B70" s="19" t="s">
        <v>35</v>
      </c>
      <c r="C70" s="31">
        <v>1</v>
      </c>
      <c r="D70" s="32" t="s">
        <v>2</v>
      </c>
      <c r="E70" s="14"/>
      <c r="F70" s="50" t="s">
        <v>19</v>
      </c>
      <c r="G70" s="59"/>
    </row>
    <row r="71" spans="1:7">
      <c r="A71" s="30"/>
      <c r="B71" s="19"/>
      <c r="C71" s="31"/>
      <c r="D71" s="32"/>
      <c r="E71" s="14"/>
      <c r="F71" s="50"/>
      <c r="G71" s="59"/>
    </row>
    <row r="72" spans="1:7" ht="26.45">
      <c r="A72" s="30" t="s">
        <v>36</v>
      </c>
      <c r="B72" s="19" t="s">
        <v>37</v>
      </c>
      <c r="C72" s="31">
        <v>1</v>
      </c>
      <c r="D72" s="32" t="s">
        <v>2</v>
      </c>
      <c r="E72" s="14"/>
      <c r="F72" s="50" t="s">
        <v>19</v>
      </c>
      <c r="G72" s="59"/>
    </row>
    <row r="73" spans="1:7">
      <c r="A73" s="30"/>
      <c r="B73" s="19"/>
      <c r="C73" s="31"/>
      <c r="D73" s="32"/>
      <c r="E73" s="14"/>
      <c r="F73" s="50"/>
      <c r="G73" s="59"/>
    </row>
    <row r="74" spans="1:7">
      <c r="A74" s="30"/>
      <c r="B74" s="19"/>
      <c r="C74" s="31"/>
      <c r="D74" s="32"/>
      <c r="E74" s="14"/>
      <c r="F74" s="50"/>
      <c r="G74" s="59"/>
    </row>
    <row r="75" spans="1:7">
      <c r="A75" s="30"/>
      <c r="B75" s="19"/>
      <c r="C75" s="31"/>
      <c r="D75" s="32"/>
      <c r="E75" s="15"/>
      <c r="F75" s="52"/>
      <c r="G75" s="65"/>
    </row>
    <row r="76" spans="1:7">
      <c r="A76" s="34"/>
      <c r="B76" s="35"/>
      <c r="C76" s="36"/>
      <c r="D76" s="37"/>
      <c r="E76" s="14"/>
      <c r="F76" s="53"/>
      <c r="G76" s="68"/>
    </row>
    <row r="77" spans="1:7">
      <c r="A77" s="38"/>
      <c r="B77" s="39"/>
      <c r="C77" s="40" t="s">
        <v>13</v>
      </c>
      <c r="D77" s="41"/>
      <c r="E77" s="14"/>
      <c r="F77" s="50">
        <f>SUM(F54:F75)</f>
        <v>1660508.8299999998</v>
      </c>
      <c r="G77" s="59"/>
    </row>
    <row r="78" spans="1:7">
      <c r="A78" s="38"/>
      <c r="B78" s="39"/>
      <c r="C78" s="42"/>
      <c r="D78" s="41"/>
      <c r="E78" s="14"/>
      <c r="F78" s="52"/>
      <c r="G78" s="65"/>
    </row>
    <row r="79" spans="1:7">
      <c r="A79" s="30"/>
      <c r="B79" s="19"/>
      <c r="C79" s="31"/>
      <c r="D79" s="32"/>
      <c r="E79" s="14"/>
      <c r="F79" s="50"/>
      <c r="G79" s="59"/>
    </row>
    <row r="80" spans="1:7">
      <c r="A80" s="30"/>
      <c r="B80" s="20" t="s">
        <v>38</v>
      </c>
      <c r="C80" s="31"/>
      <c r="D80" s="32"/>
      <c r="E80" s="14"/>
      <c r="F80" s="50"/>
      <c r="G80" s="59"/>
    </row>
    <row r="81" spans="1:7">
      <c r="A81" s="30"/>
      <c r="B81" s="20"/>
      <c r="C81" s="31"/>
      <c r="D81" s="32"/>
      <c r="E81" s="14"/>
      <c r="F81" s="50"/>
      <c r="G81" s="59"/>
    </row>
    <row r="82" spans="1:7">
      <c r="A82" s="30" t="s">
        <v>17</v>
      </c>
      <c r="B82" s="19" t="s">
        <v>39</v>
      </c>
      <c r="C82" s="31">
        <v>1</v>
      </c>
      <c r="D82" s="32" t="s">
        <v>2</v>
      </c>
      <c r="E82" s="14"/>
      <c r="F82" s="54" t="s">
        <v>19</v>
      </c>
      <c r="G82" s="63"/>
    </row>
    <row r="83" spans="1:7">
      <c r="A83" s="30"/>
      <c r="B83" s="19"/>
      <c r="C83" s="31"/>
      <c r="D83" s="32"/>
      <c r="E83" s="14"/>
      <c r="F83" s="50"/>
      <c r="G83" s="59"/>
    </row>
    <row r="84" spans="1:7">
      <c r="A84" s="30"/>
      <c r="B84" s="20" t="s">
        <v>40</v>
      </c>
      <c r="C84" s="31"/>
      <c r="D84" s="32"/>
      <c r="E84" s="14"/>
      <c r="F84" s="50"/>
      <c r="G84" s="59"/>
    </row>
    <row r="85" spans="1:7">
      <c r="A85" s="30"/>
      <c r="B85" s="20"/>
      <c r="C85" s="31"/>
      <c r="D85" s="32"/>
      <c r="E85" s="14"/>
      <c r="F85" s="50"/>
      <c r="G85" s="59"/>
    </row>
    <row r="86" spans="1:7" ht="52.9">
      <c r="A86" s="30" t="s">
        <v>20</v>
      </c>
      <c r="B86" s="19" t="s">
        <v>41</v>
      </c>
      <c r="C86" s="31">
        <v>1</v>
      </c>
      <c r="D86" s="32" t="s">
        <v>2</v>
      </c>
      <c r="E86" s="14"/>
      <c r="F86" s="50"/>
      <c r="G86" s="59"/>
    </row>
    <row r="87" spans="1:7">
      <c r="A87" s="30"/>
      <c r="B87" s="19" t="s">
        <v>42</v>
      </c>
      <c r="C87" s="31"/>
      <c r="D87" s="32"/>
      <c r="E87" s="14"/>
      <c r="F87" s="50" t="s">
        <v>19</v>
      </c>
      <c r="G87" s="59"/>
    </row>
    <row r="88" spans="1:7">
      <c r="A88" s="30"/>
      <c r="B88" s="19" t="s">
        <v>42</v>
      </c>
      <c r="C88" s="31"/>
      <c r="D88" s="32"/>
      <c r="E88" s="14"/>
      <c r="F88" s="50"/>
      <c r="G88" s="59"/>
    </row>
    <row r="89" spans="1:7">
      <c r="A89" s="30"/>
      <c r="B89" s="19" t="s">
        <v>42</v>
      </c>
      <c r="C89" s="31"/>
      <c r="D89" s="32"/>
      <c r="E89" s="14"/>
      <c r="F89" s="50"/>
      <c r="G89" s="59"/>
    </row>
    <row r="90" spans="1:7">
      <c r="A90" s="30"/>
      <c r="B90" s="19" t="s">
        <v>42</v>
      </c>
      <c r="C90" s="31"/>
      <c r="D90" s="32"/>
      <c r="E90" s="14"/>
      <c r="F90" s="50"/>
      <c r="G90" s="59"/>
    </row>
    <row r="91" spans="1:7">
      <c r="A91" s="30"/>
      <c r="B91" s="19"/>
      <c r="C91" s="31"/>
      <c r="D91" s="32"/>
      <c r="E91" s="14"/>
      <c r="F91" s="50"/>
      <c r="G91" s="59"/>
    </row>
    <row r="92" spans="1:7">
      <c r="A92" s="30"/>
      <c r="B92" s="20" t="s">
        <v>43</v>
      </c>
      <c r="C92" s="31"/>
      <c r="D92" s="32"/>
      <c r="E92" s="14"/>
      <c r="F92" s="50" t="s">
        <v>19</v>
      </c>
      <c r="G92" s="59"/>
    </row>
    <row r="93" spans="1:7">
      <c r="A93" s="30"/>
      <c r="B93" s="20"/>
      <c r="C93" s="31"/>
      <c r="D93" s="32"/>
      <c r="E93" s="14"/>
      <c r="F93" s="50"/>
      <c r="G93" s="59"/>
    </row>
    <row r="94" spans="1:7" ht="52.9">
      <c r="A94" s="30" t="s">
        <v>24</v>
      </c>
      <c r="B94" s="19" t="s">
        <v>44</v>
      </c>
      <c r="C94" s="31">
        <v>1</v>
      </c>
      <c r="D94" s="32" t="s">
        <v>2</v>
      </c>
      <c r="E94" s="14"/>
      <c r="F94" s="50" t="s">
        <v>19</v>
      </c>
      <c r="G94" s="59"/>
    </row>
    <row r="95" spans="1:7">
      <c r="A95" s="30"/>
      <c r="B95" s="19" t="s">
        <v>42</v>
      </c>
      <c r="C95" s="31"/>
      <c r="D95" s="32"/>
      <c r="E95" s="14"/>
      <c r="F95" s="50"/>
      <c r="G95" s="59"/>
    </row>
    <row r="96" spans="1:7">
      <c r="A96" s="30"/>
      <c r="B96" s="19" t="s">
        <v>42</v>
      </c>
      <c r="C96" s="31"/>
      <c r="D96" s="32"/>
      <c r="E96" s="14"/>
      <c r="F96" s="50"/>
      <c r="G96" s="59"/>
    </row>
    <row r="97" spans="1:7">
      <c r="A97" s="30"/>
      <c r="B97" s="19" t="s">
        <v>42</v>
      </c>
      <c r="C97" s="31"/>
      <c r="D97" s="32"/>
      <c r="E97" s="14"/>
      <c r="F97" s="50"/>
      <c r="G97" s="59"/>
    </row>
    <row r="98" spans="1:7">
      <c r="A98" s="30"/>
      <c r="B98" s="19" t="s">
        <v>42</v>
      </c>
      <c r="C98" s="31"/>
      <c r="D98" s="32"/>
      <c r="E98" s="14"/>
      <c r="F98" s="50"/>
      <c r="G98" s="59"/>
    </row>
    <row r="99" spans="1:7">
      <c r="A99" s="30"/>
      <c r="B99" s="19"/>
      <c r="C99" s="31"/>
      <c r="D99" s="32"/>
      <c r="E99" s="14"/>
      <c r="F99" s="50"/>
      <c r="G99" s="59"/>
    </row>
    <row r="100" spans="1:7">
      <c r="A100" s="30"/>
      <c r="B100" s="20" t="s">
        <v>45</v>
      </c>
      <c r="C100" s="31"/>
      <c r="D100" s="32"/>
      <c r="E100" s="14"/>
      <c r="F100" s="50"/>
      <c r="G100" s="59"/>
    </row>
    <row r="101" spans="1:7">
      <c r="A101" s="30"/>
      <c r="B101" s="19"/>
      <c r="C101" s="31"/>
      <c r="D101" s="32"/>
      <c r="E101" s="14"/>
      <c r="F101" s="50"/>
      <c r="G101" s="59"/>
    </row>
    <row r="102" spans="1:7" ht="52.9">
      <c r="A102" s="30" t="s">
        <v>28</v>
      </c>
      <c r="B102" s="19" t="s">
        <v>46</v>
      </c>
      <c r="C102" s="31">
        <v>1</v>
      </c>
      <c r="D102" s="32" t="s">
        <v>2</v>
      </c>
      <c r="E102" s="14"/>
      <c r="F102" s="50" t="s">
        <v>19</v>
      </c>
      <c r="G102" s="59"/>
    </row>
    <row r="103" spans="1:7">
      <c r="A103" s="30"/>
      <c r="B103" s="19" t="s">
        <v>42</v>
      </c>
      <c r="C103" s="31"/>
      <c r="D103" s="32"/>
      <c r="E103" s="14"/>
      <c r="F103" s="50"/>
      <c r="G103" s="59"/>
    </row>
    <row r="104" spans="1:7">
      <c r="A104" s="30"/>
      <c r="B104" s="19" t="s">
        <v>42</v>
      </c>
      <c r="C104" s="31"/>
      <c r="D104" s="32"/>
      <c r="E104" s="14"/>
      <c r="F104" s="50"/>
      <c r="G104" s="59"/>
    </row>
    <row r="105" spans="1:7">
      <c r="A105" s="30"/>
      <c r="B105" s="19" t="s">
        <v>42</v>
      </c>
      <c r="C105" s="31"/>
      <c r="D105" s="32"/>
      <c r="E105" s="14"/>
      <c r="F105" s="50"/>
      <c r="G105" s="59"/>
    </row>
    <row r="106" spans="1:7">
      <c r="A106" s="30"/>
      <c r="B106" s="19" t="s">
        <v>42</v>
      </c>
      <c r="C106" s="31"/>
      <c r="D106" s="32"/>
      <c r="E106" s="14"/>
      <c r="F106" s="50"/>
      <c r="G106" s="59"/>
    </row>
    <row r="107" spans="1:7">
      <c r="A107" s="30"/>
      <c r="B107" s="19"/>
      <c r="C107" s="31"/>
      <c r="D107" s="32"/>
      <c r="E107" s="14"/>
      <c r="F107" s="50"/>
      <c r="G107" s="59"/>
    </row>
    <row r="108" spans="1:7">
      <c r="A108" s="30"/>
      <c r="B108" s="19"/>
      <c r="C108" s="31"/>
      <c r="D108" s="32"/>
      <c r="E108" s="14"/>
      <c r="F108" s="50"/>
      <c r="G108" s="59"/>
    </row>
    <row r="109" spans="1:7">
      <c r="A109" s="30"/>
      <c r="B109" s="19"/>
      <c r="C109" s="31"/>
      <c r="D109" s="32"/>
      <c r="E109" s="14"/>
      <c r="F109" s="50"/>
      <c r="G109" s="59"/>
    </row>
    <row r="110" spans="1:7">
      <c r="A110" s="30"/>
      <c r="B110" s="19"/>
      <c r="C110" s="31"/>
      <c r="D110" s="32"/>
      <c r="E110" s="14"/>
      <c r="F110" s="50"/>
      <c r="G110" s="59"/>
    </row>
    <row r="111" spans="1:7">
      <c r="A111" s="30"/>
      <c r="B111" s="19"/>
      <c r="C111" s="31"/>
      <c r="D111" s="32"/>
      <c r="E111" s="14"/>
      <c r="F111" s="50"/>
      <c r="G111" s="59"/>
    </row>
    <row r="112" spans="1:7">
      <c r="A112" s="30"/>
      <c r="B112" s="19"/>
      <c r="C112" s="31"/>
      <c r="D112" s="32"/>
      <c r="E112" s="14"/>
      <c r="F112" s="50"/>
      <c r="G112" s="59"/>
    </row>
    <row r="113" spans="1:7">
      <c r="A113" s="30"/>
      <c r="B113" s="19"/>
      <c r="C113" s="31"/>
      <c r="D113" s="32"/>
      <c r="E113" s="14"/>
      <c r="F113" s="50"/>
      <c r="G113" s="59"/>
    </row>
    <row r="114" spans="1:7">
      <c r="A114" s="30"/>
      <c r="B114" s="19"/>
      <c r="C114" s="31"/>
      <c r="D114" s="32"/>
      <c r="E114" s="14"/>
      <c r="F114" s="50"/>
      <c r="G114" s="59"/>
    </row>
    <row r="115" spans="1:7">
      <c r="A115" s="30"/>
      <c r="B115" s="19"/>
      <c r="C115" s="31"/>
      <c r="D115" s="32"/>
      <c r="E115" s="14"/>
      <c r="F115" s="50"/>
      <c r="G115" s="59"/>
    </row>
    <row r="116" spans="1:7">
      <c r="A116" s="30"/>
      <c r="B116" s="19"/>
      <c r="C116" s="31"/>
      <c r="D116" s="32"/>
      <c r="E116" s="14"/>
      <c r="F116" s="50"/>
      <c r="G116" s="59"/>
    </row>
    <row r="117" spans="1:7">
      <c r="A117" s="30"/>
      <c r="B117" s="19"/>
      <c r="C117" s="31"/>
      <c r="D117" s="32"/>
      <c r="E117" s="14"/>
      <c r="F117" s="50"/>
      <c r="G117" s="59"/>
    </row>
    <row r="118" spans="1:7">
      <c r="A118" s="30"/>
      <c r="B118" s="19"/>
      <c r="C118" s="31"/>
      <c r="D118" s="32"/>
      <c r="E118" s="14"/>
      <c r="F118" s="50"/>
      <c r="G118" s="59"/>
    </row>
    <row r="119" spans="1:7">
      <c r="A119" s="30"/>
      <c r="B119" s="19"/>
      <c r="C119" s="31"/>
      <c r="D119" s="32"/>
      <c r="E119" s="14"/>
      <c r="F119" s="50"/>
      <c r="G119" s="59"/>
    </row>
    <row r="120" spans="1:7">
      <c r="A120" s="30"/>
      <c r="B120" s="19"/>
      <c r="C120" s="31"/>
      <c r="D120" s="32"/>
      <c r="E120" s="14"/>
      <c r="F120" s="50"/>
      <c r="G120" s="59"/>
    </row>
    <row r="121" spans="1:7">
      <c r="A121" s="30"/>
      <c r="B121" s="19"/>
      <c r="C121" s="31"/>
      <c r="D121" s="32"/>
      <c r="E121" s="14"/>
      <c r="F121" s="50"/>
      <c r="G121" s="59"/>
    </row>
    <row r="122" spans="1:7">
      <c r="A122" s="30"/>
      <c r="B122" s="19"/>
      <c r="C122" s="31"/>
      <c r="D122" s="32"/>
      <c r="E122" s="14"/>
      <c r="F122" s="50"/>
      <c r="G122" s="59"/>
    </row>
    <row r="123" spans="1:7">
      <c r="A123" s="30"/>
      <c r="B123" s="19"/>
      <c r="C123" s="31"/>
      <c r="D123" s="32"/>
      <c r="E123" s="15"/>
      <c r="F123" s="52"/>
      <c r="G123" s="65"/>
    </row>
    <row r="124" spans="1:7">
      <c r="A124" s="34"/>
      <c r="B124" s="35"/>
      <c r="C124" s="36"/>
      <c r="D124" s="37"/>
      <c r="E124" s="14"/>
      <c r="F124" s="53"/>
      <c r="G124" s="68"/>
    </row>
    <row r="125" spans="1:7">
      <c r="A125" s="38"/>
      <c r="B125" s="39"/>
      <c r="C125" s="40" t="s">
        <v>13</v>
      </c>
      <c r="D125" s="41"/>
      <c r="E125" s="14"/>
      <c r="F125" s="50">
        <f>SUM(F80:F123)</f>
        <v>0</v>
      </c>
      <c r="G125" s="59"/>
    </row>
    <row r="126" spans="1:7">
      <c r="A126" s="38"/>
      <c r="B126" s="39"/>
      <c r="C126" s="42"/>
      <c r="D126" s="41"/>
      <c r="E126" s="14"/>
      <c r="F126" s="52"/>
      <c r="G126" s="65"/>
    </row>
    <row r="127" spans="1:7">
      <c r="A127" s="30"/>
      <c r="B127" s="19"/>
      <c r="C127" s="31"/>
      <c r="D127" s="32"/>
      <c r="E127" s="14"/>
      <c r="F127" s="50"/>
      <c r="G127" s="59"/>
    </row>
    <row r="128" spans="1:7" ht="26.45">
      <c r="A128" s="30"/>
      <c r="B128" s="20" t="s">
        <v>47</v>
      </c>
      <c r="C128" s="31"/>
      <c r="D128" s="32"/>
      <c r="E128" s="14"/>
      <c r="F128" s="50"/>
      <c r="G128" s="59"/>
    </row>
    <row r="129" spans="1:7">
      <c r="A129" s="30"/>
      <c r="B129" s="19"/>
      <c r="C129" s="31"/>
      <c r="D129" s="32"/>
      <c r="E129" s="14"/>
      <c r="F129" s="50"/>
      <c r="G129" s="59"/>
    </row>
    <row r="130" spans="1:7" ht="66">
      <c r="A130" s="30" t="s">
        <v>17</v>
      </c>
      <c r="B130" s="19" t="s">
        <v>48</v>
      </c>
      <c r="C130" s="31">
        <v>1</v>
      </c>
      <c r="D130" s="32" t="s">
        <v>2</v>
      </c>
      <c r="E130" s="14"/>
      <c r="F130" s="50" t="s">
        <v>19</v>
      </c>
      <c r="G130" s="59"/>
    </row>
    <row r="131" spans="1:7">
      <c r="A131" s="30"/>
      <c r="B131" s="19" t="s">
        <v>42</v>
      </c>
      <c r="C131" s="31"/>
      <c r="D131" s="32"/>
      <c r="E131" s="14"/>
      <c r="F131" s="50"/>
      <c r="G131" s="59"/>
    </row>
    <row r="132" spans="1:7">
      <c r="A132" s="30"/>
      <c r="B132" s="19" t="s">
        <v>42</v>
      </c>
      <c r="C132" s="31"/>
      <c r="D132" s="32"/>
      <c r="E132" s="14"/>
      <c r="F132" s="50"/>
      <c r="G132" s="59"/>
    </row>
    <row r="133" spans="1:7">
      <c r="A133" s="30"/>
      <c r="B133" s="19" t="s">
        <v>42</v>
      </c>
      <c r="C133" s="31"/>
      <c r="D133" s="32"/>
      <c r="E133" s="14"/>
      <c r="F133" s="50"/>
      <c r="G133" s="59"/>
    </row>
    <row r="134" spans="1:7">
      <c r="A134" s="30"/>
      <c r="B134" s="19" t="s">
        <v>42</v>
      </c>
      <c r="C134" s="31"/>
      <c r="D134" s="32"/>
      <c r="E134" s="14"/>
      <c r="F134" s="50"/>
      <c r="G134" s="59"/>
    </row>
    <row r="135" spans="1:7">
      <c r="A135" s="30"/>
      <c r="B135" s="19"/>
      <c r="C135" s="31"/>
      <c r="D135" s="32"/>
      <c r="E135" s="14"/>
      <c r="F135" s="50"/>
      <c r="G135" s="59"/>
    </row>
    <row r="136" spans="1:7">
      <c r="A136" s="30"/>
      <c r="B136" s="20" t="s">
        <v>49</v>
      </c>
      <c r="C136" s="31"/>
      <c r="D136" s="32"/>
      <c r="E136" s="14"/>
      <c r="F136" s="50"/>
      <c r="G136" s="59"/>
    </row>
    <row r="137" spans="1:7">
      <c r="A137" s="30"/>
      <c r="B137" s="19"/>
      <c r="C137" s="31"/>
      <c r="D137" s="32"/>
      <c r="E137" s="14"/>
      <c r="F137" s="50"/>
      <c r="G137" s="59"/>
    </row>
    <row r="138" spans="1:7" ht="52.9">
      <c r="A138" s="30" t="s">
        <v>20</v>
      </c>
      <c r="B138" s="19" t="s">
        <v>50</v>
      </c>
      <c r="C138" s="31">
        <v>1</v>
      </c>
      <c r="D138" s="32" t="s">
        <v>2</v>
      </c>
      <c r="E138" s="14"/>
      <c r="F138" s="50" t="s">
        <v>19</v>
      </c>
      <c r="G138" s="59"/>
    </row>
    <row r="139" spans="1:7">
      <c r="A139" s="30"/>
      <c r="B139" s="19" t="s">
        <v>42</v>
      </c>
      <c r="C139" s="31"/>
      <c r="D139" s="32"/>
      <c r="E139" s="14"/>
      <c r="F139" s="50"/>
      <c r="G139" s="59"/>
    </row>
    <row r="140" spans="1:7">
      <c r="A140" s="30"/>
      <c r="B140" s="19" t="s">
        <v>42</v>
      </c>
      <c r="C140" s="31"/>
      <c r="D140" s="32"/>
      <c r="E140" s="14"/>
      <c r="F140" s="50"/>
      <c r="G140" s="59"/>
    </row>
    <row r="141" spans="1:7">
      <c r="A141" s="30"/>
      <c r="B141" s="19" t="s">
        <v>42</v>
      </c>
      <c r="C141" s="31"/>
      <c r="D141" s="32"/>
      <c r="E141" s="14"/>
      <c r="F141" s="50"/>
      <c r="G141" s="59"/>
    </row>
    <row r="142" spans="1:7">
      <c r="A142" s="30"/>
      <c r="B142" s="19" t="s">
        <v>42</v>
      </c>
      <c r="C142" s="31"/>
      <c r="D142" s="32"/>
      <c r="E142" s="14"/>
      <c r="F142" s="50"/>
      <c r="G142" s="59"/>
    </row>
    <row r="143" spans="1:7">
      <c r="A143" s="30"/>
      <c r="B143" s="19"/>
      <c r="C143" s="31"/>
      <c r="D143" s="32"/>
      <c r="E143" s="14"/>
      <c r="F143" s="50"/>
      <c r="G143" s="59"/>
    </row>
    <row r="144" spans="1:7">
      <c r="A144" s="30"/>
      <c r="B144" s="20" t="s">
        <v>51</v>
      </c>
      <c r="C144" s="31"/>
      <c r="D144" s="32"/>
      <c r="E144" s="14"/>
      <c r="F144" s="50"/>
      <c r="G144" s="59"/>
    </row>
    <row r="145" spans="1:7">
      <c r="A145" s="30"/>
      <c r="B145" s="20"/>
      <c r="C145" s="31"/>
      <c r="D145" s="32"/>
      <c r="E145" s="14"/>
      <c r="F145" s="50"/>
      <c r="G145" s="59"/>
    </row>
    <row r="146" spans="1:7" ht="39.6">
      <c r="A146" s="30" t="s">
        <v>24</v>
      </c>
      <c r="B146" s="19" t="s">
        <v>52</v>
      </c>
      <c r="C146" s="31">
        <v>1</v>
      </c>
      <c r="D146" s="32" t="s">
        <v>2</v>
      </c>
      <c r="E146" s="14"/>
      <c r="F146" s="50" t="s">
        <v>19</v>
      </c>
      <c r="G146" s="59"/>
    </row>
    <row r="147" spans="1:7">
      <c r="A147" s="30"/>
      <c r="B147" s="19"/>
      <c r="C147" s="31"/>
      <c r="D147" s="32"/>
      <c r="E147" s="14"/>
      <c r="F147" s="50"/>
      <c r="G147" s="59"/>
    </row>
    <row r="148" spans="1:7">
      <c r="A148" s="30"/>
      <c r="B148" s="20" t="s">
        <v>53</v>
      </c>
      <c r="C148" s="31"/>
      <c r="D148" s="32"/>
      <c r="E148" s="14"/>
      <c r="F148" s="50"/>
      <c r="G148" s="59"/>
    </row>
    <row r="149" spans="1:7">
      <c r="A149" s="30"/>
      <c r="B149" s="20"/>
      <c r="C149" s="31"/>
      <c r="D149" s="32"/>
      <c r="E149" s="14"/>
      <c r="F149" s="50"/>
      <c r="G149" s="59"/>
    </row>
    <row r="150" spans="1:7" ht="39.6">
      <c r="A150" s="30" t="s">
        <v>28</v>
      </c>
      <c r="B150" s="19" t="s">
        <v>54</v>
      </c>
      <c r="C150" s="31">
        <v>1</v>
      </c>
      <c r="D150" s="32" t="s">
        <v>2</v>
      </c>
      <c r="E150" s="14"/>
      <c r="F150" s="50" t="s">
        <v>19</v>
      </c>
      <c r="G150" s="59"/>
    </row>
    <row r="151" spans="1:7">
      <c r="A151" s="30"/>
      <c r="B151" s="19"/>
      <c r="C151" s="31"/>
      <c r="D151" s="32"/>
      <c r="E151" s="14"/>
      <c r="F151" s="50"/>
      <c r="G151" s="59"/>
    </row>
    <row r="152" spans="1:7">
      <c r="A152" s="30"/>
      <c r="B152" s="19"/>
      <c r="C152" s="31"/>
      <c r="D152" s="32"/>
      <c r="E152" s="14"/>
      <c r="F152" s="50"/>
      <c r="G152" s="59"/>
    </row>
    <row r="153" spans="1:7">
      <c r="A153" s="30"/>
      <c r="B153" s="19"/>
      <c r="C153" s="31"/>
      <c r="D153" s="32"/>
      <c r="E153" s="14"/>
      <c r="F153" s="50"/>
      <c r="G153" s="59"/>
    </row>
    <row r="154" spans="1:7">
      <c r="A154" s="30"/>
      <c r="B154" s="19"/>
      <c r="C154" s="31"/>
      <c r="D154" s="32"/>
      <c r="E154" s="14"/>
      <c r="F154" s="50"/>
      <c r="G154" s="59"/>
    </row>
    <row r="155" spans="1:7">
      <c r="A155" s="30"/>
      <c r="B155" s="19"/>
      <c r="C155" s="31"/>
      <c r="D155" s="32"/>
      <c r="E155" s="14"/>
      <c r="F155" s="50"/>
      <c r="G155" s="59"/>
    </row>
    <row r="156" spans="1:7">
      <c r="A156" s="30"/>
      <c r="B156" s="19"/>
      <c r="C156" s="31"/>
      <c r="D156" s="32"/>
      <c r="E156" s="14"/>
      <c r="F156" s="50"/>
      <c r="G156" s="59"/>
    </row>
    <row r="157" spans="1:7">
      <c r="A157" s="30"/>
      <c r="B157" s="19"/>
      <c r="C157" s="31"/>
      <c r="D157" s="32"/>
      <c r="E157" s="14"/>
      <c r="F157" s="50"/>
      <c r="G157" s="59"/>
    </row>
    <row r="158" spans="1:7">
      <c r="A158" s="30"/>
      <c r="B158" s="19"/>
      <c r="C158" s="31"/>
      <c r="D158" s="32"/>
      <c r="E158" s="14"/>
      <c r="F158" s="50"/>
      <c r="G158" s="59"/>
    </row>
    <row r="159" spans="1:7">
      <c r="A159" s="30"/>
      <c r="B159" s="19"/>
      <c r="C159" s="31"/>
      <c r="D159" s="32"/>
      <c r="E159" s="14"/>
      <c r="F159" s="50"/>
      <c r="G159" s="59"/>
    </row>
    <row r="160" spans="1:7">
      <c r="A160" s="30"/>
      <c r="B160" s="19"/>
      <c r="C160" s="31"/>
      <c r="D160" s="32"/>
      <c r="E160" s="14"/>
      <c r="F160" s="50"/>
      <c r="G160" s="59"/>
    </row>
    <row r="161" spans="1:7">
      <c r="A161" s="30"/>
      <c r="B161" s="19"/>
      <c r="C161" s="31"/>
      <c r="D161" s="32"/>
      <c r="E161" s="14"/>
      <c r="F161" s="50"/>
      <c r="G161" s="59"/>
    </row>
    <row r="162" spans="1:7">
      <c r="A162" s="30"/>
      <c r="B162" s="19"/>
      <c r="C162" s="31"/>
      <c r="D162" s="32"/>
      <c r="E162" s="14"/>
      <c r="F162" s="50"/>
      <c r="G162" s="59"/>
    </row>
    <row r="163" spans="1:7">
      <c r="A163" s="30"/>
      <c r="B163" s="19"/>
      <c r="C163" s="31"/>
      <c r="D163" s="32"/>
      <c r="E163" s="14"/>
      <c r="F163" s="50"/>
      <c r="G163" s="59"/>
    </row>
    <row r="164" spans="1:7">
      <c r="A164" s="30"/>
      <c r="B164" s="19"/>
      <c r="C164" s="31"/>
      <c r="D164" s="32"/>
      <c r="E164" s="14"/>
      <c r="F164" s="50"/>
      <c r="G164" s="59"/>
    </row>
    <row r="165" spans="1:7">
      <c r="A165" s="30"/>
      <c r="B165" s="19"/>
      <c r="C165" s="31"/>
      <c r="D165" s="32"/>
      <c r="E165" s="14"/>
      <c r="F165" s="50"/>
      <c r="G165" s="59"/>
    </row>
    <row r="166" spans="1:7">
      <c r="A166" s="30"/>
      <c r="B166" s="19"/>
      <c r="C166" s="31"/>
      <c r="D166" s="32"/>
      <c r="E166" s="14"/>
      <c r="F166" s="50"/>
      <c r="G166" s="59"/>
    </row>
    <row r="167" spans="1:7">
      <c r="A167" s="30"/>
      <c r="B167" s="19"/>
      <c r="C167" s="31"/>
      <c r="D167" s="32"/>
      <c r="E167" s="14"/>
      <c r="F167" s="50"/>
      <c r="G167" s="59"/>
    </row>
    <row r="168" spans="1:7">
      <c r="A168" s="30"/>
      <c r="B168" s="19"/>
      <c r="C168" s="31"/>
      <c r="D168" s="32"/>
      <c r="E168" s="15"/>
      <c r="F168" s="52"/>
      <c r="G168" s="65"/>
    </row>
    <row r="169" spans="1:7">
      <c r="A169" s="34"/>
      <c r="B169" s="35"/>
      <c r="C169" s="36"/>
      <c r="D169" s="37"/>
      <c r="E169" s="14"/>
      <c r="F169" s="53"/>
      <c r="G169" s="68"/>
    </row>
    <row r="170" spans="1:7">
      <c r="A170" s="38"/>
      <c r="B170" s="39"/>
      <c r="C170" s="40" t="s">
        <v>13</v>
      </c>
      <c r="D170" s="41"/>
      <c r="E170" s="14"/>
      <c r="F170" s="50">
        <f>SUM(F128:F168)</f>
        <v>0</v>
      </c>
      <c r="G170" s="59"/>
    </row>
    <row r="171" spans="1:7">
      <c r="A171" s="38"/>
      <c r="B171" s="39"/>
      <c r="C171" s="42"/>
      <c r="D171" s="41"/>
      <c r="E171" s="14"/>
      <c r="F171" s="52"/>
      <c r="G171" s="65"/>
    </row>
    <row r="172" spans="1:7">
      <c r="A172" s="30"/>
      <c r="B172" s="19"/>
      <c r="C172" s="31"/>
      <c r="D172" s="32"/>
      <c r="E172" s="14"/>
      <c r="F172" s="50"/>
      <c r="G172" s="59"/>
    </row>
    <row r="173" spans="1:7">
      <c r="A173" s="30"/>
      <c r="B173" s="20" t="s">
        <v>55</v>
      </c>
      <c r="C173" s="31"/>
      <c r="D173" s="32"/>
      <c r="E173" s="14"/>
      <c r="F173" s="50"/>
      <c r="G173" s="59"/>
    </row>
    <row r="174" spans="1:7">
      <c r="A174" s="30"/>
      <c r="B174" s="20"/>
      <c r="C174" s="31"/>
      <c r="D174" s="32"/>
      <c r="E174" s="14"/>
      <c r="F174" s="50"/>
      <c r="G174" s="59"/>
    </row>
    <row r="175" spans="1:7">
      <c r="A175" s="30"/>
      <c r="B175" s="20" t="s">
        <v>56</v>
      </c>
      <c r="C175" s="31"/>
      <c r="D175" s="32"/>
      <c r="E175" s="14"/>
      <c r="F175" s="50"/>
      <c r="G175" s="59"/>
    </row>
    <row r="176" spans="1:7">
      <c r="A176" s="30"/>
      <c r="B176" s="19"/>
      <c r="C176" s="31"/>
      <c r="D176" s="32"/>
      <c r="E176" s="14"/>
      <c r="F176" s="50"/>
      <c r="G176" s="59"/>
    </row>
    <row r="177" spans="1:7" ht="118.9">
      <c r="A177" s="30" t="s">
        <v>17</v>
      </c>
      <c r="B177" s="19" t="s">
        <v>57</v>
      </c>
      <c r="C177" s="31">
        <v>1</v>
      </c>
      <c r="D177" s="32" t="s">
        <v>2</v>
      </c>
      <c r="E177" s="14"/>
      <c r="F177" s="50" t="s">
        <v>19</v>
      </c>
      <c r="G177" s="59"/>
    </row>
    <row r="178" spans="1:7">
      <c r="A178" s="30"/>
      <c r="B178" s="19"/>
      <c r="C178" s="31"/>
      <c r="D178" s="32"/>
      <c r="E178" s="14"/>
      <c r="F178" s="50"/>
      <c r="G178" s="59"/>
    </row>
    <row r="179" spans="1:7" ht="92.45">
      <c r="A179" s="30" t="s">
        <v>20</v>
      </c>
      <c r="B179" s="19" t="s">
        <v>58</v>
      </c>
      <c r="C179" s="31">
        <v>1</v>
      </c>
      <c r="D179" s="32" t="s">
        <v>2</v>
      </c>
      <c r="E179" s="14"/>
      <c r="F179" s="50" t="s">
        <v>19</v>
      </c>
      <c r="G179" s="59"/>
    </row>
    <row r="180" spans="1:7">
      <c r="A180" s="30"/>
      <c r="B180" s="19"/>
      <c r="C180" s="31"/>
      <c r="D180" s="32"/>
      <c r="E180" s="14"/>
      <c r="F180" s="50"/>
      <c r="G180" s="59"/>
    </row>
    <row r="181" spans="1:7">
      <c r="A181" s="30"/>
      <c r="B181" s="20" t="s">
        <v>59</v>
      </c>
      <c r="C181" s="31"/>
      <c r="D181" s="32"/>
      <c r="E181" s="14"/>
      <c r="F181" s="50"/>
      <c r="G181" s="59"/>
    </row>
    <row r="182" spans="1:7">
      <c r="A182" s="30"/>
      <c r="B182" s="19"/>
      <c r="C182" s="31"/>
      <c r="D182" s="32"/>
      <c r="E182" s="14"/>
      <c r="F182" s="50"/>
      <c r="G182" s="59"/>
    </row>
    <row r="183" spans="1:7" ht="39.6">
      <c r="A183" s="30" t="s">
        <v>24</v>
      </c>
      <c r="B183" s="19" t="s">
        <v>60</v>
      </c>
      <c r="C183" s="31">
        <v>1</v>
      </c>
      <c r="D183" s="32" t="s">
        <v>2</v>
      </c>
      <c r="E183" s="14"/>
      <c r="F183" s="50">
        <v>118513.24</v>
      </c>
      <c r="G183" s="59"/>
    </row>
    <row r="184" spans="1:7">
      <c r="A184" s="30"/>
      <c r="B184" s="19"/>
      <c r="C184" s="31"/>
      <c r="D184" s="32"/>
      <c r="E184" s="14"/>
      <c r="F184" s="50"/>
      <c r="G184" s="59"/>
    </row>
    <row r="185" spans="1:7" ht="79.150000000000006">
      <c r="A185" s="30" t="s">
        <v>28</v>
      </c>
      <c r="B185" s="19" t="s">
        <v>61</v>
      </c>
      <c r="C185" s="31">
        <v>1</v>
      </c>
      <c r="D185" s="32" t="s">
        <v>2</v>
      </c>
      <c r="E185" s="14"/>
      <c r="F185" s="50" t="s">
        <v>19</v>
      </c>
      <c r="G185" s="59"/>
    </row>
    <row r="186" spans="1:7">
      <c r="A186" s="30"/>
      <c r="B186" s="19"/>
      <c r="C186" s="31"/>
      <c r="D186" s="32"/>
      <c r="E186" s="14"/>
      <c r="F186" s="50"/>
      <c r="G186" s="59"/>
    </row>
    <row r="187" spans="1:7" ht="92.45">
      <c r="A187" s="30" t="s">
        <v>30</v>
      </c>
      <c r="B187" s="19" t="s">
        <v>62</v>
      </c>
      <c r="C187" s="31">
        <v>1</v>
      </c>
      <c r="D187" s="32" t="s">
        <v>2</v>
      </c>
      <c r="E187" s="14"/>
      <c r="F187" s="50" t="s">
        <v>19</v>
      </c>
      <c r="G187" s="59"/>
    </row>
    <row r="188" spans="1:7">
      <c r="A188" s="30"/>
      <c r="B188" s="19"/>
      <c r="C188" s="31"/>
      <c r="D188" s="32"/>
      <c r="E188" s="14"/>
      <c r="F188" s="50"/>
      <c r="G188" s="59"/>
    </row>
    <row r="189" spans="1:7" ht="79.150000000000006">
      <c r="A189" s="30" t="s">
        <v>34</v>
      </c>
      <c r="B189" s="19" t="s">
        <v>63</v>
      </c>
      <c r="C189" s="31">
        <v>1</v>
      </c>
      <c r="D189" s="32" t="s">
        <v>2</v>
      </c>
      <c r="E189" s="14"/>
      <c r="F189" s="50" t="s">
        <v>19</v>
      </c>
      <c r="G189" s="59"/>
    </row>
    <row r="190" spans="1:7">
      <c r="A190" s="30"/>
      <c r="B190" s="19"/>
      <c r="C190" s="31"/>
      <c r="D190" s="32"/>
      <c r="E190" s="14"/>
      <c r="F190" s="50"/>
      <c r="G190" s="59"/>
    </row>
    <row r="191" spans="1:7">
      <c r="A191" s="30"/>
      <c r="B191" s="19"/>
      <c r="C191" s="31"/>
      <c r="D191" s="32"/>
      <c r="E191" s="14"/>
      <c r="F191" s="50"/>
      <c r="G191" s="59"/>
    </row>
    <row r="192" spans="1:7">
      <c r="A192" s="30"/>
      <c r="B192" s="19"/>
      <c r="C192" s="31"/>
      <c r="D192" s="32"/>
      <c r="E192" s="14"/>
      <c r="F192" s="50"/>
      <c r="G192" s="59"/>
    </row>
    <row r="193" spans="1:7">
      <c r="A193" s="30"/>
      <c r="B193" s="19"/>
      <c r="C193" s="31"/>
      <c r="D193" s="32"/>
      <c r="E193" s="15"/>
      <c r="F193" s="52"/>
      <c r="G193" s="65"/>
    </row>
    <row r="194" spans="1:7">
      <c r="A194" s="34"/>
      <c r="B194" s="35"/>
      <c r="C194" s="36"/>
      <c r="D194" s="37"/>
      <c r="E194" s="14"/>
      <c r="F194" s="53"/>
      <c r="G194" s="68"/>
    </row>
    <row r="195" spans="1:7">
      <c r="A195" s="38"/>
      <c r="B195" s="39"/>
      <c r="C195" s="40" t="s">
        <v>13</v>
      </c>
      <c r="D195" s="41"/>
      <c r="E195" s="14"/>
      <c r="F195" s="50">
        <f>SUM(F174:F193)</f>
        <v>118513.24</v>
      </c>
      <c r="G195" s="59"/>
    </row>
    <row r="196" spans="1:7">
      <c r="A196" s="38"/>
      <c r="B196" s="39"/>
      <c r="C196" s="42"/>
      <c r="D196" s="41"/>
      <c r="E196" s="14"/>
      <c r="F196" s="52"/>
      <c r="G196" s="65"/>
    </row>
    <row r="197" spans="1:7">
      <c r="A197" s="30"/>
      <c r="B197" s="19"/>
      <c r="C197" s="31"/>
      <c r="D197" s="32"/>
      <c r="E197" s="14"/>
      <c r="F197" s="50"/>
      <c r="G197" s="59"/>
    </row>
    <row r="198" spans="1:7">
      <c r="A198" s="30"/>
      <c r="B198" s="20" t="s">
        <v>64</v>
      </c>
      <c r="C198" s="31"/>
      <c r="D198" s="32"/>
      <c r="E198" s="14"/>
      <c r="F198" s="50"/>
      <c r="G198" s="59"/>
    </row>
    <row r="199" spans="1:7">
      <c r="A199" s="30"/>
      <c r="B199" s="19"/>
      <c r="C199" s="31"/>
      <c r="D199" s="32"/>
      <c r="E199" s="14"/>
      <c r="F199" s="50"/>
      <c r="G199" s="59"/>
    </row>
    <row r="200" spans="1:7" ht="79.150000000000006">
      <c r="A200" s="30" t="s">
        <v>17</v>
      </c>
      <c r="B200" s="19" t="s">
        <v>65</v>
      </c>
      <c r="C200" s="31">
        <v>1</v>
      </c>
      <c r="D200" s="32" t="s">
        <v>2</v>
      </c>
      <c r="E200" s="14"/>
      <c r="F200" s="50" t="s">
        <v>19</v>
      </c>
      <c r="G200" s="59"/>
    </row>
    <row r="201" spans="1:7">
      <c r="A201" s="30"/>
      <c r="B201" s="20" t="s">
        <v>66</v>
      </c>
      <c r="C201" s="31"/>
      <c r="D201" s="32"/>
      <c r="E201" s="14"/>
      <c r="F201" s="50"/>
      <c r="G201" s="59"/>
    </row>
    <row r="202" spans="1:7">
      <c r="A202" s="30"/>
      <c r="B202" s="19"/>
      <c r="C202" s="31"/>
      <c r="D202" s="32"/>
      <c r="E202" s="14"/>
      <c r="F202" s="50"/>
      <c r="G202" s="59"/>
    </row>
    <row r="203" spans="1:7" ht="79.150000000000006">
      <c r="A203" s="30" t="s">
        <v>20</v>
      </c>
      <c r="B203" s="19" t="s">
        <v>67</v>
      </c>
      <c r="C203" s="31">
        <v>1</v>
      </c>
      <c r="D203" s="32" t="s">
        <v>2</v>
      </c>
      <c r="E203" s="14"/>
      <c r="F203" s="50" t="s">
        <v>19</v>
      </c>
      <c r="G203" s="59"/>
    </row>
    <row r="204" spans="1:7">
      <c r="A204" s="30"/>
      <c r="B204" s="19"/>
      <c r="C204" s="31"/>
      <c r="D204" s="32"/>
      <c r="E204" s="14"/>
      <c r="F204" s="50"/>
      <c r="G204" s="59"/>
    </row>
    <row r="205" spans="1:7">
      <c r="A205" s="30"/>
      <c r="B205" s="20" t="s">
        <v>68</v>
      </c>
      <c r="C205" s="31"/>
      <c r="D205" s="32"/>
      <c r="E205" s="14"/>
      <c r="F205" s="50"/>
      <c r="G205" s="59"/>
    </row>
    <row r="206" spans="1:7">
      <c r="A206" s="30"/>
      <c r="B206" s="19"/>
      <c r="C206" s="31"/>
      <c r="D206" s="32"/>
      <c r="E206" s="14"/>
      <c r="F206" s="50"/>
      <c r="G206" s="59"/>
    </row>
    <row r="207" spans="1:7" ht="52.9">
      <c r="A207" s="30" t="s">
        <v>24</v>
      </c>
      <c r="B207" s="19" t="s">
        <v>69</v>
      </c>
      <c r="C207" s="31">
        <v>1</v>
      </c>
      <c r="D207" s="32" t="s">
        <v>2</v>
      </c>
      <c r="E207" s="14"/>
      <c r="F207" s="50" t="s">
        <v>19</v>
      </c>
      <c r="G207" s="59"/>
    </row>
    <row r="208" spans="1:7">
      <c r="A208" s="30"/>
      <c r="B208" s="19"/>
      <c r="C208" s="31"/>
      <c r="D208" s="32"/>
      <c r="E208" s="14"/>
      <c r="F208" s="50"/>
      <c r="G208" s="59"/>
    </row>
    <row r="209" spans="1:7" ht="52.9">
      <c r="A209" s="30" t="s">
        <v>28</v>
      </c>
      <c r="B209" s="19" t="s">
        <v>70</v>
      </c>
      <c r="C209" s="31">
        <v>1</v>
      </c>
      <c r="D209" s="32" t="s">
        <v>2</v>
      </c>
      <c r="E209" s="14"/>
      <c r="F209" s="50" t="s">
        <v>19</v>
      </c>
      <c r="G209" s="59"/>
    </row>
    <row r="210" spans="1:7">
      <c r="A210" s="30"/>
      <c r="B210" s="19"/>
      <c r="C210" s="31"/>
      <c r="D210" s="32"/>
      <c r="E210" s="14"/>
      <c r="F210" s="50"/>
      <c r="G210" s="59"/>
    </row>
    <row r="211" spans="1:7" ht="66">
      <c r="A211" s="30" t="s">
        <v>30</v>
      </c>
      <c r="B211" s="19" t="s">
        <v>71</v>
      </c>
      <c r="C211" s="31">
        <v>1</v>
      </c>
      <c r="D211" s="32" t="s">
        <v>2</v>
      </c>
      <c r="E211" s="14"/>
      <c r="F211" s="50" t="s">
        <v>19</v>
      </c>
      <c r="G211" s="59"/>
    </row>
    <row r="212" spans="1:7">
      <c r="A212" s="30"/>
      <c r="B212" s="19"/>
      <c r="C212" s="31"/>
      <c r="D212" s="32"/>
      <c r="E212" s="14"/>
      <c r="F212" s="50"/>
      <c r="G212" s="59"/>
    </row>
    <row r="213" spans="1:7" ht="26.45">
      <c r="A213" s="30"/>
      <c r="B213" s="20" t="s">
        <v>72</v>
      </c>
      <c r="C213" s="31"/>
      <c r="D213" s="32"/>
      <c r="E213" s="14"/>
      <c r="F213" s="50"/>
      <c r="G213" s="59"/>
    </row>
    <row r="214" spans="1:7">
      <c r="A214" s="30"/>
      <c r="B214" s="19"/>
      <c r="C214" s="31"/>
      <c r="D214" s="32"/>
      <c r="E214" s="14"/>
      <c r="F214" s="50"/>
      <c r="G214" s="59"/>
    </row>
    <row r="215" spans="1:7" ht="66">
      <c r="A215" s="30" t="s">
        <v>34</v>
      </c>
      <c r="B215" s="19" t="s">
        <v>73</v>
      </c>
      <c r="C215" s="31">
        <v>1</v>
      </c>
      <c r="D215" s="32" t="s">
        <v>2</v>
      </c>
      <c r="E215" s="14"/>
      <c r="F215" s="50" t="s">
        <v>19</v>
      </c>
      <c r="G215" s="59"/>
    </row>
    <row r="216" spans="1:7">
      <c r="A216" s="30"/>
      <c r="B216" s="19"/>
      <c r="C216" s="31"/>
      <c r="D216" s="32"/>
      <c r="E216" s="14"/>
      <c r="F216" s="50"/>
      <c r="G216" s="59"/>
    </row>
    <row r="217" spans="1:7">
      <c r="A217" s="30"/>
      <c r="B217" s="19"/>
      <c r="C217" s="31"/>
      <c r="D217" s="32"/>
      <c r="E217" s="14"/>
      <c r="F217" s="50"/>
      <c r="G217" s="59"/>
    </row>
    <row r="218" spans="1:7">
      <c r="A218" s="30"/>
      <c r="B218" s="19"/>
      <c r="C218" s="31"/>
      <c r="D218" s="32"/>
      <c r="E218" s="14"/>
      <c r="F218" s="50"/>
      <c r="G218" s="59"/>
    </row>
    <row r="219" spans="1:7">
      <c r="A219" s="30"/>
      <c r="B219" s="19"/>
      <c r="C219" s="31"/>
      <c r="D219" s="32"/>
      <c r="E219" s="14"/>
      <c r="F219" s="50"/>
      <c r="G219" s="59"/>
    </row>
    <row r="220" spans="1:7">
      <c r="A220" s="30"/>
      <c r="B220" s="19"/>
      <c r="C220" s="31"/>
      <c r="D220" s="32"/>
      <c r="E220" s="14"/>
      <c r="F220" s="50"/>
      <c r="G220" s="59"/>
    </row>
    <row r="221" spans="1:7">
      <c r="A221" s="30"/>
      <c r="B221" s="19"/>
      <c r="C221" s="31"/>
      <c r="D221" s="32"/>
      <c r="E221" s="14"/>
      <c r="F221" s="50"/>
      <c r="G221" s="59"/>
    </row>
    <row r="222" spans="1:7">
      <c r="A222" s="30"/>
      <c r="B222" s="19"/>
      <c r="C222" s="31"/>
      <c r="D222" s="32"/>
      <c r="E222" s="14"/>
      <c r="F222" s="50"/>
      <c r="G222" s="59"/>
    </row>
    <row r="223" spans="1:7">
      <c r="A223" s="30"/>
      <c r="B223" s="19"/>
      <c r="C223" s="31"/>
      <c r="D223" s="32"/>
      <c r="E223" s="14"/>
      <c r="F223" s="50"/>
      <c r="G223" s="59"/>
    </row>
    <row r="224" spans="1:7">
      <c r="A224" s="30"/>
      <c r="B224" s="19"/>
      <c r="C224" s="31"/>
      <c r="D224" s="32"/>
      <c r="E224" s="15"/>
      <c r="F224" s="52"/>
      <c r="G224" s="65"/>
    </row>
    <row r="225" spans="1:7">
      <c r="A225" s="34"/>
      <c r="B225" s="35"/>
      <c r="C225" s="36"/>
      <c r="D225" s="37"/>
      <c r="E225" s="14"/>
      <c r="F225" s="53"/>
      <c r="G225" s="68"/>
    </row>
    <row r="226" spans="1:7">
      <c r="A226" s="38"/>
      <c r="B226" s="39"/>
      <c r="C226" s="40" t="s">
        <v>13</v>
      </c>
      <c r="D226" s="41"/>
      <c r="E226" s="14"/>
      <c r="F226" s="50">
        <f>SUM(F197:F224)</f>
        <v>0</v>
      </c>
      <c r="G226" s="59"/>
    </row>
    <row r="227" spans="1:7">
      <c r="A227" s="38"/>
      <c r="B227" s="39"/>
      <c r="C227" s="42"/>
      <c r="D227" s="41"/>
      <c r="E227" s="14"/>
      <c r="F227" s="52"/>
      <c r="G227" s="65"/>
    </row>
    <row r="228" spans="1:7">
      <c r="A228" s="30"/>
      <c r="B228" s="19"/>
      <c r="C228" s="31"/>
      <c r="D228" s="32"/>
      <c r="E228" s="14"/>
      <c r="F228" s="50"/>
      <c r="G228" s="59"/>
    </row>
    <row r="229" spans="1:7">
      <c r="A229" s="30"/>
      <c r="B229" s="20" t="s">
        <v>74</v>
      </c>
      <c r="C229" s="31"/>
      <c r="D229" s="32"/>
      <c r="E229" s="14"/>
      <c r="F229" s="50"/>
      <c r="G229" s="59"/>
    </row>
    <row r="230" spans="1:7">
      <c r="A230" s="30"/>
      <c r="B230" s="19"/>
      <c r="C230" s="31"/>
      <c r="D230" s="32"/>
      <c r="E230" s="14"/>
      <c r="F230" s="50"/>
      <c r="G230" s="59"/>
    </row>
    <row r="231" spans="1:7" ht="52.9">
      <c r="A231" s="30" t="s">
        <v>17</v>
      </c>
      <c r="B231" s="19" t="s">
        <v>75</v>
      </c>
      <c r="C231" s="31">
        <v>1</v>
      </c>
      <c r="D231" s="32" t="s">
        <v>2</v>
      </c>
      <c r="E231" s="14"/>
      <c r="F231" s="50" t="s">
        <v>19</v>
      </c>
      <c r="G231" s="59"/>
    </row>
    <row r="232" spans="1:7">
      <c r="A232" s="30"/>
      <c r="B232" s="19"/>
      <c r="C232" s="31"/>
      <c r="D232" s="32"/>
      <c r="E232" s="14"/>
      <c r="F232" s="50"/>
      <c r="G232" s="59"/>
    </row>
    <row r="233" spans="1:7">
      <c r="A233" s="30"/>
      <c r="B233" s="20" t="s">
        <v>76</v>
      </c>
      <c r="C233" s="31"/>
      <c r="D233" s="32"/>
      <c r="E233" s="14"/>
      <c r="F233" s="50"/>
      <c r="G233" s="59"/>
    </row>
    <row r="234" spans="1:7">
      <c r="A234" s="30"/>
      <c r="B234" s="19"/>
      <c r="C234" s="31"/>
      <c r="D234" s="32"/>
      <c r="E234" s="14"/>
      <c r="F234" s="50"/>
      <c r="G234" s="59"/>
    </row>
    <row r="235" spans="1:7" ht="79.150000000000006">
      <c r="A235" s="30" t="s">
        <v>20</v>
      </c>
      <c r="B235" s="19" t="s">
        <v>77</v>
      </c>
      <c r="C235" s="31">
        <v>1</v>
      </c>
      <c r="D235" s="32" t="s">
        <v>2</v>
      </c>
      <c r="E235" s="14"/>
      <c r="F235" s="50" t="s">
        <v>19</v>
      </c>
      <c r="G235" s="59"/>
    </row>
    <row r="236" spans="1:7">
      <c r="A236" s="30"/>
      <c r="B236" s="19"/>
      <c r="C236" s="31"/>
      <c r="D236" s="32"/>
      <c r="E236" s="14"/>
      <c r="F236" s="50"/>
      <c r="G236" s="59"/>
    </row>
    <row r="237" spans="1:7" ht="92.45">
      <c r="A237" s="30" t="s">
        <v>24</v>
      </c>
      <c r="B237" s="19" t="s">
        <v>78</v>
      </c>
      <c r="C237" s="31">
        <v>1</v>
      </c>
      <c r="D237" s="32" t="s">
        <v>2</v>
      </c>
      <c r="E237" s="14"/>
      <c r="F237" s="50" t="s">
        <v>19</v>
      </c>
      <c r="G237" s="59"/>
    </row>
    <row r="238" spans="1:7">
      <c r="A238" s="30"/>
      <c r="B238" s="19"/>
      <c r="C238" s="31"/>
      <c r="D238" s="32"/>
      <c r="E238" s="14"/>
      <c r="F238" s="50"/>
      <c r="G238" s="59"/>
    </row>
    <row r="239" spans="1:7" ht="53.25" customHeight="1">
      <c r="A239" s="30" t="s">
        <v>28</v>
      </c>
      <c r="B239" s="19" t="s">
        <v>79</v>
      </c>
      <c r="C239" s="31">
        <v>1</v>
      </c>
      <c r="D239" s="32" t="s">
        <v>2</v>
      </c>
      <c r="E239" s="14"/>
      <c r="F239" s="50" t="s">
        <v>19</v>
      </c>
      <c r="G239" s="59"/>
    </row>
    <row r="240" spans="1:7">
      <c r="A240" s="30"/>
      <c r="B240" s="19"/>
      <c r="C240" s="31"/>
      <c r="D240" s="32"/>
      <c r="E240" s="14"/>
      <c r="F240" s="50"/>
      <c r="G240" s="59"/>
    </row>
    <row r="241" spans="1:7" ht="66">
      <c r="A241" s="30" t="s">
        <v>30</v>
      </c>
      <c r="B241" s="19" t="s">
        <v>80</v>
      </c>
      <c r="C241" s="31">
        <v>1</v>
      </c>
      <c r="D241" s="32" t="s">
        <v>2</v>
      </c>
      <c r="E241" s="14"/>
      <c r="F241" s="50" t="s">
        <v>19</v>
      </c>
      <c r="G241" s="59"/>
    </row>
    <row r="242" spans="1:7">
      <c r="A242" s="30"/>
      <c r="B242" s="19"/>
      <c r="C242" s="31"/>
      <c r="D242" s="32"/>
      <c r="E242" s="14"/>
      <c r="F242" s="50"/>
      <c r="G242" s="59"/>
    </row>
    <row r="243" spans="1:7" ht="39.6">
      <c r="A243" s="30" t="s">
        <v>34</v>
      </c>
      <c r="B243" s="19" t="s">
        <v>81</v>
      </c>
      <c r="C243" s="31">
        <v>1</v>
      </c>
      <c r="D243" s="32" t="s">
        <v>2</v>
      </c>
      <c r="E243" s="14"/>
      <c r="F243" s="50" t="s">
        <v>19</v>
      </c>
      <c r="G243" s="59"/>
    </row>
    <row r="244" spans="1:7">
      <c r="A244" s="30"/>
      <c r="B244" s="19"/>
      <c r="C244" s="31"/>
      <c r="D244" s="32"/>
      <c r="E244" s="14"/>
      <c r="F244" s="50"/>
      <c r="G244" s="59"/>
    </row>
    <row r="245" spans="1:7" ht="92.45">
      <c r="A245" s="30" t="s">
        <v>36</v>
      </c>
      <c r="B245" s="19" t="s">
        <v>82</v>
      </c>
      <c r="C245" s="31">
        <v>1</v>
      </c>
      <c r="D245" s="32" t="s">
        <v>2</v>
      </c>
      <c r="E245" s="14"/>
      <c r="F245" s="50">
        <v>49614.69</v>
      </c>
      <c r="G245" s="59"/>
    </row>
    <row r="246" spans="1:7">
      <c r="A246" s="30"/>
      <c r="B246" s="19"/>
      <c r="C246" s="31"/>
      <c r="D246" s="32"/>
      <c r="E246" s="14"/>
      <c r="F246" s="50"/>
      <c r="G246" s="59"/>
    </row>
    <row r="247" spans="1:7">
      <c r="A247" s="30"/>
      <c r="B247" s="19"/>
      <c r="C247" s="31"/>
      <c r="D247" s="32"/>
      <c r="E247" s="14"/>
      <c r="F247" s="50"/>
      <c r="G247" s="59"/>
    </row>
    <row r="248" spans="1:7">
      <c r="A248" s="30"/>
      <c r="B248" s="19"/>
      <c r="C248" s="31"/>
      <c r="D248" s="32"/>
      <c r="E248" s="14"/>
      <c r="F248" s="50"/>
      <c r="G248" s="59"/>
    </row>
    <row r="249" spans="1:7">
      <c r="A249" s="30"/>
      <c r="B249" s="19"/>
      <c r="C249" s="31"/>
      <c r="D249" s="32"/>
      <c r="E249" s="14"/>
      <c r="F249" s="50"/>
      <c r="G249" s="59"/>
    </row>
    <row r="250" spans="1:7">
      <c r="A250" s="30"/>
      <c r="B250" s="19"/>
      <c r="C250" s="31"/>
      <c r="D250" s="32"/>
      <c r="E250" s="14"/>
      <c r="F250" s="50"/>
      <c r="G250" s="59"/>
    </row>
    <row r="251" spans="1:7">
      <c r="A251" s="30"/>
      <c r="B251" s="19"/>
      <c r="C251" s="31"/>
      <c r="D251" s="32"/>
      <c r="E251" s="14"/>
      <c r="F251" s="50"/>
      <c r="G251" s="59"/>
    </row>
    <row r="252" spans="1:7">
      <c r="A252" s="30"/>
      <c r="B252" s="19"/>
      <c r="C252" s="31"/>
      <c r="D252" s="32"/>
      <c r="E252" s="15"/>
      <c r="F252" s="52"/>
      <c r="G252" s="65"/>
    </row>
    <row r="253" spans="1:7">
      <c r="A253" s="34"/>
      <c r="B253" s="35"/>
      <c r="C253" s="36"/>
      <c r="D253" s="37"/>
      <c r="E253" s="14"/>
      <c r="F253" s="53"/>
      <c r="G253" s="68"/>
    </row>
    <row r="254" spans="1:7">
      <c r="A254" s="38"/>
      <c r="B254" s="39"/>
      <c r="C254" s="40" t="s">
        <v>13</v>
      </c>
      <c r="D254" s="41"/>
      <c r="E254" s="14"/>
      <c r="F254" s="50">
        <f>SUM(F230:F252)</f>
        <v>49614.69</v>
      </c>
      <c r="G254" s="59"/>
    </row>
    <row r="255" spans="1:7">
      <c r="A255" s="38"/>
      <c r="B255" s="39"/>
      <c r="C255" s="42"/>
      <c r="D255" s="41"/>
      <c r="E255" s="14"/>
      <c r="F255" s="52"/>
      <c r="G255" s="65"/>
    </row>
    <row r="256" spans="1:7">
      <c r="A256" s="30"/>
      <c r="B256" s="19"/>
      <c r="C256" s="31"/>
      <c r="D256" s="32"/>
      <c r="E256" s="14"/>
      <c r="F256" s="50"/>
      <c r="G256" s="59"/>
    </row>
    <row r="257" spans="1:7">
      <c r="A257" s="30"/>
      <c r="B257" s="19"/>
      <c r="C257" s="31"/>
      <c r="D257" s="32"/>
      <c r="E257" s="14"/>
      <c r="F257" s="50"/>
      <c r="G257" s="59"/>
    </row>
    <row r="258" spans="1:7">
      <c r="A258" s="30"/>
      <c r="B258" s="20" t="s">
        <v>83</v>
      </c>
      <c r="C258" s="31"/>
      <c r="D258" s="32"/>
      <c r="E258" s="14"/>
      <c r="F258" s="50"/>
      <c r="G258" s="59"/>
    </row>
    <row r="259" spans="1:7">
      <c r="A259" s="30"/>
      <c r="B259" s="19"/>
      <c r="C259" s="31"/>
      <c r="D259" s="32"/>
      <c r="E259" s="14"/>
      <c r="F259" s="50"/>
      <c r="G259" s="59"/>
    </row>
    <row r="260" spans="1:7" ht="105.6">
      <c r="A260" s="30" t="s">
        <v>17</v>
      </c>
      <c r="B260" s="19" t="s">
        <v>84</v>
      </c>
      <c r="C260" s="31">
        <v>1</v>
      </c>
      <c r="D260" s="32" t="s">
        <v>2</v>
      </c>
      <c r="E260" s="14"/>
      <c r="F260" s="50" t="s">
        <v>19</v>
      </c>
      <c r="G260" s="59"/>
    </row>
    <row r="261" spans="1:7">
      <c r="A261" s="30"/>
      <c r="B261" s="19"/>
      <c r="C261" s="31"/>
      <c r="D261" s="32"/>
      <c r="E261" s="14"/>
      <c r="F261" s="50"/>
      <c r="G261" s="59"/>
    </row>
    <row r="262" spans="1:7" ht="160.9" customHeight="1">
      <c r="A262" s="30" t="s">
        <v>20</v>
      </c>
      <c r="B262" s="19" t="s">
        <v>85</v>
      </c>
      <c r="C262" s="31">
        <v>1</v>
      </c>
      <c r="D262" s="32" t="s">
        <v>2</v>
      </c>
      <c r="E262" s="14"/>
      <c r="F262" s="50">
        <v>30178179.629999999</v>
      </c>
      <c r="G262" s="59" t="s">
        <v>86</v>
      </c>
    </row>
    <row r="263" spans="1:7" s="79" customFormat="1" ht="164.45" customHeight="1">
      <c r="A263" s="73" t="s">
        <v>22</v>
      </c>
      <c r="B263" s="74" t="s">
        <v>87</v>
      </c>
      <c r="C263" s="75">
        <v>1</v>
      </c>
      <c r="D263" s="76" t="s">
        <v>2</v>
      </c>
      <c r="E263" s="77"/>
      <c r="F263" s="78">
        <v>4940936.1100000003</v>
      </c>
      <c r="G263" s="78"/>
    </row>
    <row r="264" spans="1:7">
      <c r="A264" s="30"/>
      <c r="B264" s="19"/>
      <c r="C264" s="31"/>
      <c r="D264" s="32"/>
      <c r="E264" s="14"/>
      <c r="F264" s="50"/>
      <c r="G264" s="59"/>
    </row>
    <row r="265" spans="1:7" ht="66">
      <c r="A265" s="30" t="s">
        <v>24</v>
      </c>
      <c r="B265" s="19" t="s">
        <v>88</v>
      </c>
      <c r="C265" s="31">
        <v>1</v>
      </c>
      <c r="D265" s="32" t="s">
        <v>2</v>
      </c>
      <c r="E265" s="14"/>
      <c r="F265" s="50" t="s">
        <v>19</v>
      </c>
      <c r="G265" s="59"/>
    </row>
    <row r="266" spans="1:7">
      <c r="A266" s="30"/>
      <c r="B266" s="19"/>
      <c r="C266" s="31"/>
      <c r="D266" s="32"/>
      <c r="E266" s="14"/>
      <c r="F266" s="50"/>
      <c r="G266" s="59"/>
    </row>
    <row r="267" spans="1:7" ht="164.25" customHeight="1">
      <c r="A267" s="30" t="s">
        <v>28</v>
      </c>
      <c r="B267" s="19" t="s">
        <v>89</v>
      </c>
      <c r="C267" s="31">
        <v>1</v>
      </c>
      <c r="D267" s="32" t="s">
        <v>2</v>
      </c>
      <c r="E267" s="14"/>
      <c r="F267" s="50" t="s">
        <v>19</v>
      </c>
      <c r="G267" s="59"/>
    </row>
    <row r="268" spans="1:7">
      <c r="A268" s="30"/>
      <c r="B268" s="19"/>
      <c r="C268" s="31"/>
      <c r="D268" s="32"/>
      <c r="E268" s="14"/>
      <c r="F268" s="50"/>
      <c r="G268" s="59"/>
    </row>
    <row r="269" spans="1:7" ht="39.6">
      <c r="A269" s="30" t="s">
        <v>30</v>
      </c>
      <c r="B269" s="19" t="s">
        <v>90</v>
      </c>
      <c r="C269" s="31">
        <v>1</v>
      </c>
      <c r="D269" s="32" t="s">
        <v>2</v>
      </c>
      <c r="E269" s="14"/>
      <c r="F269" s="50" t="s">
        <v>19</v>
      </c>
      <c r="G269" s="59"/>
    </row>
    <row r="270" spans="1:7">
      <c r="A270" s="30"/>
      <c r="B270" s="19"/>
      <c r="C270" s="31"/>
      <c r="D270" s="32"/>
      <c r="E270" s="14"/>
      <c r="F270" s="50"/>
      <c r="G270" s="59"/>
    </row>
    <row r="271" spans="1:7" ht="26.45">
      <c r="A271" s="30"/>
      <c r="B271" s="66" t="s">
        <v>91</v>
      </c>
      <c r="C271" s="31"/>
      <c r="D271" s="32"/>
      <c r="E271" s="14"/>
      <c r="F271" s="50"/>
      <c r="G271" s="59"/>
    </row>
    <row r="272" spans="1:7">
      <c r="A272" s="30"/>
      <c r="B272" s="19"/>
      <c r="C272" s="31"/>
      <c r="D272" s="32"/>
      <c r="E272" s="15"/>
      <c r="F272" s="52"/>
      <c r="G272" s="65"/>
    </row>
    <row r="273" spans="1:7">
      <c r="A273" s="34"/>
      <c r="B273" s="35"/>
      <c r="C273" s="36"/>
      <c r="D273" s="37"/>
      <c r="E273" s="14"/>
      <c r="F273" s="53"/>
      <c r="G273" s="68"/>
    </row>
    <row r="274" spans="1:7">
      <c r="A274" s="38"/>
      <c r="B274" s="39"/>
      <c r="C274" s="40" t="s">
        <v>13</v>
      </c>
      <c r="D274" s="41"/>
      <c r="E274" s="14"/>
      <c r="F274" s="50">
        <f>SUM(F258:F272)</f>
        <v>35119115.740000002</v>
      </c>
      <c r="G274" s="59"/>
    </row>
    <row r="275" spans="1:7">
      <c r="A275" s="38"/>
      <c r="B275" s="39"/>
      <c r="C275" s="42"/>
      <c r="D275" s="41"/>
      <c r="E275" s="14"/>
      <c r="F275" s="52"/>
      <c r="G275" s="65"/>
    </row>
    <row r="276" spans="1:7">
      <c r="A276" s="30"/>
      <c r="B276" s="19"/>
      <c r="C276" s="31"/>
      <c r="D276" s="32"/>
      <c r="E276" s="14"/>
      <c r="F276" s="50"/>
      <c r="G276" s="59"/>
    </row>
    <row r="277" spans="1:7">
      <c r="A277" s="30"/>
      <c r="B277" s="20" t="s">
        <v>92</v>
      </c>
      <c r="C277" s="31"/>
      <c r="D277" s="32"/>
      <c r="E277" s="14"/>
      <c r="F277" s="50"/>
      <c r="G277" s="59"/>
    </row>
    <row r="278" spans="1:7">
      <c r="A278" s="30"/>
      <c r="B278" s="19"/>
      <c r="C278" s="31"/>
      <c r="D278" s="32"/>
      <c r="E278" s="14"/>
      <c r="F278" s="50"/>
      <c r="G278" s="59"/>
    </row>
    <row r="279" spans="1:7" ht="39.6">
      <c r="A279" s="30" t="s">
        <v>17</v>
      </c>
      <c r="B279" s="19" t="s">
        <v>93</v>
      </c>
      <c r="C279" s="31">
        <v>1</v>
      </c>
      <c r="D279" s="32" t="s">
        <v>2</v>
      </c>
      <c r="E279" s="14"/>
      <c r="F279" s="50">
        <v>397658.16</v>
      </c>
      <c r="G279" s="59"/>
    </row>
    <row r="280" spans="1:7">
      <c r="A280" s="30"/>
      <c r="B280" s="19"/>
      <c r="C280" s="31"/>
      <c r="D280" s="32"/>
      <c r="E280" s="14"/>
      <c r="F280" s="50"/>
      <c r="G280" s="59"/>
    </row>
    <row r="281" spans="1:7" ht="39.6">
      <c r="A281" s="30" t="s">
        <v>20</v>
      </c>
      <c r="B281" s="19" t="s">
        <v>94</v>
      </c>
      <c r="C281" s="31">
        <v>1</v>
      </c>
      <c r="D281" s="32" t="s">
        <v>2</v>
      </c>
      <c r="E281" s="14"/>
      <c r="F281" s="50" t="s">
        <v>19</v>
      </c>
      <c r="G281" s="59"/>
    </row>
    <row r="282" spans="1:7">
      <c r="A282" s="30"/>
      <c r="B282" s="19"/>
      <c r="C282" s="31"/>
      <c r="D282" s="32"/>
      <c r="E282" s="14"/>
      <c r="F282" s="50"/>
      <c r="G282" s="59"/>
    </row>
    <row r="283" spans="1:7" ht="52.9">
      <c r="A283" s="30" t="s">
        <v>24</v>
      </c>
      <c r="B283" s="19" t="s">
        <v>95</v>
      </c>
      <c r="C283" s="31">
        <v>1</v>
      </c>
      <c r="D283" s="32" t="s">
        <v>2</v>
      </c>
      <c r="E283" s="14"/>
      <c r="F283" s="50" t="s">
        <v>19</v>
      </c>
      <c r="G283" s="59"/>
    </row>
    <row r="284" spans="1:7">
      <c r="A284" s="30"/>
      <c r="B284" s="19"/>
      <c r="C284" s="31"/>
      <c r="D284" s="32"/>
      <c r="E284" s="14"/>
      <c r="F284" s="50"/>
      <c r="G284" s="59"/>
    </row>
    <row r="285" spans="1:7">
      <c r="A285" s="30"/>
      <c r="B285" s="20" t="s">
        <v>96</v>
      </c>
      <c r="C285" s="31"/>
      <c r="D285" s="32"/>
      <c r="E285" s="14"/>
      <c r="F285" s="50"/>
      <c r="G285" s="59"/>
    </row>
    <row r="286" spans="1:7">
      <c r="A286" s="30"/>
      <c r="B286" s="19"/>
      <c r="C286" s="31"/>
      <c r="D286" s="32"/>
      <c r="E286" s="14"/>
      <c r="F286" s="50"/>
      <c r="G286" s="59"/>
    </row>
    <row r="287" spans="1:7" ht="66">
      <c r="A287" s="30" t="s">
        <v>28</v>
      </c>
      <c r="B287" s="19" t="s">
        <v>97</v>
      </c>
      <c r="C287" s="31">
        <v>1</v>
      </c>
      <c r="D287" s="32" t="s">
        <v>2</v>
      </c>
      <c r="E287" s="14"/>
      <c r="F287" s="50">
        <v>22698.27</v>
      </c>
      <c r="G287" s="59"/>
    </row>
    <row r="288" spans="1:7" s="79" customFormat="1" ht="66">
      <c r="A288" s="73" t="s">
        <v>98</v>
      </c>
      <c r="B288" s="74" t="s">
        <v>99</v>
      </c>
      <c r="C288" s="75">
        <v>1</v>
      </c>
      <c r="D288" s="76" t="s">
        <v>2</v>
      </c>
      <c r="E288" s="77"/>
      <c r="F288" s="78">
        <v>3703</v>
      </c>
      <c r="G288" s="78"/>
    </row>
    <row r="289" spans="1:7">
      <c r="A289" s="30"/>
      <c r="B289" s="19"/>
      <c r="C289" s="31"/>
      <c r="D289" s="32"/>
      <c r="E289" s="14"/>
      <c r="F289" s="50"/>
      <c r="G289" s="59"/>
    </row>
    <row r="290" spans="1:7" ht="105.6">
      <c r="A290" s="30" t="s">
        <v>30</v>
      </c>
      <c r="B290" s="19" t="s">
        <v>100</v>
      </c>
      <c r="C290" s="31">
        <v>1</v>
      </c>
      <c r="D290" s="32" t="s">
        <v>2</v>
      </c>
      <c r="E290" s="14"/>
      <c r="F290" s="50" t="s">
        <v>19</v>
      </c>
      <c r="G290" s="59"/>
    </row>
    <row r="291" spans="1:7">
      <c r="A291" s="30"/>
      <c r="B291" s="19"/>
      <c r="C291" s="31"/>
      <c r="D291" s="32"/>
      <c r="E291" s="14"/>
      <c r="F291" s="50"/>
      <c r="G291" s="59"/>
    </row>
    <row r="292" spans="1:7" ht="66">
      <c r="A292" s="30" t="s">
        <v>34</v>
      </c>
      <c r="B292" s="19" t="s">
        <v>101</v>
      </c>
      <c r="C292" s="31">
        <v>1</v>
      </c>
      <c r="D292" s="32" t="s">
        <v>2</v>
      </c>
      <c r="E292" s="14"/>
      <c r="F292" s="50">
        <v>37295.449999999997</v>
      </c>
      <c r="G292" s="59"/>
    </row>
    <row r="293" spans="1:7">
      <c r="A293" s="30"/>
      <c r="B293" s="19"/>
      <c r="C293" s="31"/>
      <c r="D293" s="32"/>
      <c r="E293" s="14"/>
      <c r="F293" s="50"/>
      <c r="G293" s="59"/>
    </row>
    <row r="294" spans="1:7" ht="66">
      <c r="A294" s="30" t="s">
        <v>36</v>
      </c>
      <c r="B294" s="19" t="s">
        <v>102</v>
      </c>
      <c r="C294" s="31">
        <v>1</v>
      </c>
      <c r="D294" s="32" t="s">
        <v>2</v>
      </c>
      <c r="E294" s="14"/>
      <c r="F294" s="50" t="s">
        <v>19</v>
      </c>
      <c r="G294" s="59"/>
    </row>
    <row r="295" spans="1:7">
      <c r="A295" s="30"/>
      <c r="B295" s="19"/>
      <c r="C295" s="31"/>
      <c r="D295" s="32"/>
      <c r="E295" s="14"/>
      <c r="F295" s="50"/>
      <c r="G295" s="59"/>
    </row>
    <row r="296" spans="1:7" ht="52.9">
      <c r="A296" s="30" t="s">
        <v>103</v>
      </c>
      <c r="B296" s="19" t="s">
        <v>104</v>
      </c>
      <c r="C296" s="31">
        <v>1</v>
      </c>
      <c r="D296" s="32" t="s">
        <v>2</v>
      </c>
      <c r="E296" s="14"/>
      <c r="F296" s="50" t="s">
        <v>19</v>
      </c>
      <c r="G296" s="59"/>
    </row>
    <row r="297" spans="1:7">
      <c r="A297" s="30"/>
      <c r="B297" s="19"/>
      <c r="C297" s="31"/>
      <c r="D297" s="32"/>
      <c r="E297" s="14"/>
      <c r="F297" s="50"/>
      <c r="G297" s="59"/>
    </row>
    <row r="298" spans="1:7">
      <c r="A298" s="30"/>
      <c r="B298" s="19"/>
      <c r="C298" s="31"/>
      <c r="D298" s="32"/>
      <c r="E298" s="14"/>
      <c r="F298" s="50"/>
      <c r="G298" s="59"/>
    </row>
    <row r="299" spans="1:7">
      <c r="A299" s="30"/>
      <c r="B299" s="19"/>
      <c r="C299" s="31"/>
      <c r="D299" s="32"/>
      <c r="E299" s="14"/>
      <c r="F299" s="50"/>
      <c r="G299" s="59"/>
    </row>
    <row r="300" spans="1:7">
      <c r="A300" s="30"/>
      <c r="B300" s="19"/>
      <c r="C300" s="31"/>
      <c r="D300" s="32"/>
      <c r="E300" s="14"/>
      <c r="F300" s="50"/>
      <c r="G300" s="59"/>
    </row>
    <row r="301" spans="1:7">
      <c r="A301" s="30"/>
      <c r="B301" s="19"/>
      <c r="C301" s="31"/>
      <c r="D301" s="32"/>
      <c r="E301" s="15"/>
      <c r="F301" s="52"/>
      <c r="G301" s="65"/>
    </row>
    <row r="302" spans="1:7">
      <c r="A302" s="34"/>
      <c r="B302" s="35"/>
      <c r="C302" s="36"/>
      <c r="D302" s="37"/>
      <c r="E302" s="14"/>
      <c r="F302" s="53"/>
      <c r="G302" s="68"/>
    </row>
    <row r="303" spans="1:7">
      <c r="A303" s="38"/>
      <c r="B303" s="39"/>
      <c r="C303" s="40" t="s">
        <v>13</v>
      </c>
      <c r="D303" s="41"/>
      <c r="E303" s="14"/>
      <c r="F303" s="50">
        <f>SUM(F277:F301)</f>
        <v>461354.88</v>
      </c>
      <c r="G303" s="59"/>
    </row>
    <row r="304" spans="1:7">
      <c r="A304" s="38"/>
      <c r="B304" s="39"/>
      <c r="C304" s="42"/>
      <c r="D304" s="41"/>
      <c r="E304" s="14"/>
      <c r="F304" s="52"/>
      <c r="G304" s="65"/>
    </row>
    <row r="305" spans="1:7">
      <c r="A305" s="30"/>
      <c r="B305" s="19"/>
      <c r="C305" s="31"/>
      <c r="D305" s="32"/>
      <c r="E305" s="14"/>
      <c r="F305" s="50"/>
      <c r="G305" s="59"/>
    </row>
    <row r="306" spans="1:7">
      <c r="A306" s="30"/>
      <c r="B306" s="20" t="s">
        <v>96</v>
      </c>
      <c r="C306" s="31"/>
      <c r="D306" s="32"/>
      <c r="E306" s="14"/>
      <c r="F306" s="50"/>
      <c r="G306" s="59"/>
    </row>
    <row r="307" spans="1:7">
      <c r="A307" s="30"/>
      <c r="B307" s="19"/>
      <c r="C307" s="31"/>
      <c r="D307" s="32"/>
      <c r="E307" s="14"/>
      <c r="F307" s="50"/>
      <c r="G307" s="59"/>
    </row>
    <row r="308" spans="1:7" ht="134.25" customHeight="1">
      <c r="A308" s="30" t="s">
        <v>17</v>
      </c>
      <c r="B308" s="19" t="s">
        <v>105</v>
      </c>
      <c r="C308" s="31">
        <v>1</v>
      </c>
      <c r="D308" s="32" t="s">
        <v>2</v>
      </c>
      <c r="E308" s="14"/>
      <c r="F308" s="50" t="s">
        <v>19</v>
      </c>
      <c r="G308" s="59"/>
    </row>
    <row r="309" spans="1:7">
      <c r="A309" s="30"/>
      <c r="B309" s="19"/>
      <c r="C309" s="31"/>
      <c r="D309" s="32"/>
      <c r="E309" s="14"/>
      <c r="F309" s="50"/>
      <c r="G309" s="59"/>
    </row>
    <row r="310" spans="1:7" ht="26.45">
      <c r="A310" s="30" t="s">
        <v>20</v>
      </c>
      <c r="B310" s="19" t="s">
        <v>106</v>
      </c>
      <c r="C310" s="31">
        <v>1</v>
      </c>
      <c r="D310" s="32" t="s">
        <v>2</v>
      </c>
      <c r="E310" s="14"/>
      <c r="F310" s="50">
        <v>353974.54</v>
      </c>
      <c r="G310" s="59"/>
    </row>
    <row r="311" spans="1:7">
      <c r="A311" s="30"/>
      <c r="B311" s="19"/>
      <c r="C311" s="31"/>
      <c r="D311" s="32"/>
      <c r="E311" s="14"/>
      <c r="F311" s="50"/>
      <c r="G311" s="59"/>
    </row>
    <row r="312" spans="1:7" ht="26.45">
      <c r="A312" s="30" t="s">
        <v>24</v>
      </c>
      <c r="B312" s="19" t="s">
        <v>107</v>
      </c>
      <c r="C312" s="31">
        <v>1</v>
      </c>
      <c r="D312" s="32" t="s">
        <v>2</v>
      </c>
      <c r="E312" s="14"/>
      <c r="F312" s="50" t="s">
        <v>19</v>
      </c>
      <c r="G312" s="59"/>
    </row>
    <row r="313" spans="1:7">
      <c r="A313" s="30"/>
      <c r="B313" s="19"/>
      <c r="C313" s="31"/>
      <c r="D313" s="32"/>
      <c r="E313" s="14"/>
      <c r="F313" s="50"/>
      <c r="G313" s="59"/>
    </row>
    <row r="314" spans="1:7" ht="52.9">
      <c r="A314" s="30" t="s">
        <v>28</v>
      </c>
      <c r="B314" s="19" t="s">
        <v>108</v>
      </c>
      <c r="C314" s="31">
        <v>1</v>
      </c>
      <c r="D314" s="32" t="s">
        <v>2</v>
      </c>
      <c r="E314" s="14"/>
      <c r="F314" s="54">
        <v>791553.16</v>
      </c>
      <c r="G314" s="63"/>
    </row>
    <row r="315" spans="1:7" s="79" customFormat="1" ht="52.9">
      <c r="A315" s="73" t="s">
        <v>98</v>
      </c>
      <c r="B315" s="74" t="s">
        <v>109</v>
      </c>
      <c r="C315" s="75">
        <v>1</v>
      </c>
      <c r="D315" s="76" t="s">
        <v>2</v>
      </c>
      <c r="E315" s="77"/>
      <c r="F315" s="80">
        <v>62721</v>
      </c>
      <c r="G315" s="80"/>
    </row>
    <row r="316" spans="1:7">
      <c r="A316" s="30"/>
      <c r="B316" s="20" t="s">
        <v>110</v>
      </c>
      <c r="C316" s="31"/>
      <c r="D316" s="32"/>
      <c r="E316" s="14"/>
      <c r="F316" s="50"/>
      <c r="G316" s="59"/>
    </row>
    <row r="317" spans="1:7">
      <c r="A317" s="30"/>
      <c r="B317" s="19"/>
      <c r="C317" s="31"/>
      <c r="D317" s="32"/>
      <c r="E317" s="14"/>
      <c r="F317" s="50"/>
      <c r="G317" s="59"/>
    </row>
    <row r="318" spans="1:7" ht="66">
      <c r="A318" s="30"/>
      <c r="B318" s="20" t="s">
        <v>111</v>
      </c>
      <c r="C318" s="31"/>
      <c r="D318" s="32"/>
      <c r="E318" s="14"/>
      <c r="F318" s="50"/>
      <c r="G318" s="59"/>
    </row>
    <row r="319" spans="1:7">
      <c r="A319" s="30" t="s">
        <v>30</v>
      </c>
      <c r="B319" s="19" t="s">
        <v>112</v>
      </c>
      <c r="C319" s="31">
        <v>1</v>
      </c>
      <c r="D319" s="32" t="s">
        <v>2</v>
      </c>
      <c r="E319" s="14"/>
      <c r="F319" s="50">
        <v>156952.76999999999</v>
      </c>
      <c r="G319" s="59"/>
    </row>
    <row r="320" spans="1:7" s="79" customFormat="1" ht="26.45">
      <c r="A320" s="73" t="s">
        <v>32</v>
      </c>
      <c r="B320" s="74" t="s">
        <v>113</v>
      </c>
      <c r="C320" s="75">
        <v>1</v>
      </c>
      <c r="D320" s="76" t="s">
        <v>2</v>
      </c>
      <c r="E320" s="77"/>
      <c r="F320" s="78">
        <v>15507</v>
      </c>
      <c r="G320" s="78"/>
    </row>
    <row r="321" spans="1:7">
      <c r="A321" s="30"/>
      <c r="B321" s="19"/>
      <c r="C321" s="31"/>
      <c r="D321" s="32"/>
      <c r="E321" s="14"/>
      <c r="F321" s="50"/>
      <c r="G321" s="59"/>
    </row>
    <row r="322" spans="1:7">
      <c r="A322" s="30" t="s">
        <v>34</v>
      </c>
      <c r="B322" s="19" t="s">
        <v>114</v>
      </c>
      <c r="C322" s="31">
        <v>1</v>
      </c>
      <c r="D322" s="32" t="s">
        <v>2</v>
      </c>
      <c r="E322" s="14"/>
      <c r="F322" s="50">
        <v>14770248.279999999</v>
      </c>
      <c r="G322" s="59"/>
    </row>
    <row r="323" spans="1:7" s="79" customFormat="1" ht="26.45">
      <c r="A323" s="73" t="s">
        <v>115</v>
      </c>
      <c r="B323" s="74" t="s">
        <v>116</v>
      </c>
      <c r="C323" s="75">
        <v>1</v>
      </c>
      <c r="D323" s="76" t="s">
        <v>2</v>
      </c>
      <c r="E323" s="77"/>
      <c r="F323" s="78">
        <v>108362</v>
      </c>
      <c r="G323" s="78"/>
    </row>
    <row r="324" spans="1:7">
      <c r="A324" s="30"/>
      <c r="B324" s="19"/>
      <c r="C324" s="31"/>
      <c r="D324" s="32"/>
      <c r="E324" s="14"/>
      <c r="F324" s="50"/>
      <c r="G324" s="59"/>
    </row>
    <row r="325" spans="1:7">
      <c r="A325" s="30" t="s">
        <v>36</v>
      </c>
      <c r="B325" s="19" t="s">
        <v>117</v>
      </c>
      <c r="C325" s="31">
        <v>1</v>
      </c>
      <c r="D325" s="32" t="s">
        <v>2</v>
      </c>
      <c r="E325" s="14"/>
      <c r="F325" s="50">
        <v>4760694.3600000003</v>
      </c>
      <c r="G325" s="59"/>
    </row>
    <row r="326" spans="1:7" s="79" customFormat="1" ht="26.45">
      <c r="A326" s="73" t="s">
        <v>118</v>
      </c>
      <c r="B326" s="74" t="s">
        <v>119</v>
      </c>
      <c r="C326" s="75">
        <v>1</v>
      </c>
      <c r="D326" s="76" t="s">
        <v>2</v>
      </c>
      <c r="E326" s="77"/>
      <c r="F326" s="78">
        <v>254249</v>
      </c>
      <c r="G326" s="78"/>
    </row>
    <row r="327" spans="1:7">
      <c r="A327" s="30"/>
      <c r="B327" s="19"/>
      <c r="C327" s="31"/>
      <c r="D327" s="32"/>
      <c r="E327" s="14"/>
      <c r="F327" s="50"/>
      <c r="G327" s="59"/>
    </row>
    <row r="328" spans="1:7">
      <c r="A328" s="30" t="s">
        <v>103</v>
      </c>
      <c r="B328" s="19" t="s">
        <v>120</v>
      </c>
      <c r="C328" s="31">
        <v>1</v>
      </c>
      <c r="D328" s="32" t="s">
        <v>2</v>
      </c>
      <c r="E328" s="14"/>
      <c r="F328" s="54">
        <v>2122144.38</v>
      </c>
      <c r="G328" s="63"/>
    </row>
    <row r="329" spans="1:7">
      <c r="A329" s="30"/>
      <c r="B329" s="19"/>
      <c r="C329" s="31"/>
      <c r="D329" s="32"/>
      <c r="E329" s="14"/>
      <c r="F329" s="50"/>
      <c r="G329" s="59"/>
    </row>
    <row r="330" spans="1:7">
      <c r="A330" s="30"/>
      <c r="B330" s="19"/>
      <c r="C330" s="31"/>
      <c r="D330" s="32"/>
      <c r="E330" s="14"/>
      <c r="F330" s="50"/>
      <c r="G330" s="59"/>
    </row>
    <row r="331" spans="1:7">
      <c r="A331" s="30"/>
      <c r="B331" s="19"/>
      <c r="C331" s="31"/>
      <c r="D331" s="32"/>
      <c r="E331" s="14"/>
      <c r="F331" s="50"/>
      <c r="G331" s="59"/>
    </row>
    <row r="332" spans="1:7">
      <c r="A332" s="30"/>
      <c r="B332" s="19"/>
      <c r="C332" s="31"/>
      <c r="D332" s="32"/>
      <c r="E332" s="14"/>
      <c r="F332" s="50"/>
      <c r="G332" s="59"/>
    </row>
    <row r="333" spans="1:7">
      <c r="A333" s="30"/>
      <c r="B333" s="19"/>
      <c r="C333" s="31"/>
      <c r="D333" s="32"/>
      <c r="E333" s="14"/>
      <c r="F333" s="50"/>
      <c r="G333" s="59"/>
    </row>
    <row r="334" spans="1:7">
      <c r="A334" s="30"/>
      <c r="B334" s="19"/>
      <c r="C334" s="31"/>
      <c r="D334" s="32"/>
      <c r="E334" s="14"/>
      <c r="F334" s="50"/>
      <c r="G334" s="59"/>
    </row>
    <row r="335" spans="1:7">
      <c r="A335" s="30"/>
      <c r="B335" s="19"/>
      <c r="C335" s="31"/>
      <c r="D335" s="32"/>
      <c r="E335" s="14"/>
      <c r="F335" s="50"/>
      <c r="G335" s="59"/>
    </row>
    <row r="336" spans="1:7">
      <c r="A336" s="30"/>
      <c r="B336" s="19"/>
      <c r="C336" s="31"/>
      <c r="D336" s="32"/>
      <c r="E336" s="14"/>
      <c r="F336" s="50"/>
      <c r="G336" s="59"/>
    </row>
    <row r="337" spans="1:7">
      <c r="A337" s="30"/>
      <c r="B337" s="19"/>
      <c r="C337" s="31"/>
      <c r="D337" s="32"/>
      <c r="E337" s="14"/>
      <c r="F337" s="50"/>
      <c r="G337" s="59"/>
    </row>
    <row r="338" spans="1:7">
      <c r="A338" s="30"/>
      <c r="B338" s="19"/>
      <c r="C338" s="31"/>
      <c r="D338" s="32"/>
      <c r="E338" s="15"/>
      <c r="F338" s="52"/>
      <c r="G338" s="65"/>
    </row>
    <row r="339" spans="1:7">
      <c r="A339" s="34"/>
      <c r="B339" s="35"/>
      <c r="C339" s="36"/>
      <c r="D339" s="37"/>
      <c r="E339" s="14"/>
      <c r="F339" s="53"/>
      <c r="G339" s="68"/>
    </row>
    <row r="340" spans="1:7">
      <c r="A340" s="38"/>
      <c r="B340" s="39"/>
      <c r="C340" s="40" t="s">
        <v>13</v>
      </c>
      <c r="D340" s="41"/>
      <c r="E340" s="14"/>
      <c r="F340" s="50">
        <f>SUM(F308:F338)</f>
        <v>23396406.489999998</v>
      </c>
      <c r="G340" s="59"/>
    </row>
    <row r="341" spans="1:7">
      <c r="A341" s="38"/>
      <c r="B341" s="39"/>
      <c r="C341" s="42"/>
      <c r="D341" s="41"/>
      <c r="E341" s="14"/>
      <c r="F341" s="52"/>
      <c r="G341" s="65"/>
    </row>
    <row r="342" spans="1:7">
      <c r="A342" s="30"/>
      <c r="B342" s="19"/>
      <c r="C342" s="31"/>
      <c r="D342" s="32"/>
      <c r="E342" s="14"/>
      <c r="F342" s="50"/>
      <c r="G342" s="59"/>
    </row>
    <row r="343" spans="1:7">
      <c r="A343" s="30"/>
      <c r="B343" s="20" t="s">
        <v>121</v>
      </c>
      <c r="C343" s="31"/>
      <c r="D343" s="32"/>
      <c r="E343" s="14"/>
      <c r="F343" s="50"/>
      <c r="G343" s="59"/>
    </row>
    <row r="344" spans="1:7">
      <c r="A344" s="30"/>
      <c r="B344" s="19"/>
      <c r="C344" s="31"/>
      <c r="D344" s="32"/>
      <c r="E344" s="14"/>
      <c r="F344" s="50"/>
      <c r="G344" s="59"/>
    </row>
    <row r="345" spans="1:7" ht="205.9" customHeight="1">
      <c r="A345" s="30" t="s">
        <v>17</v>
      </c>
      <c r="B345" s="19" t="s">
        <v>122</v>
      </c>
      <c r="C345" s="31">
        <v>1</v>
      </c>
      <c r="D345" s="32" t="s">
        <v>2</v>
      </c>
      <c r="E345" s="14"/>
      <c r="F345" s="50" t="s">
        <v>19</v>
      </c>
      <c r="G345" s="59"/>
    </row>
    <row r="346" spans="1:7">
      <c r="A346" s="30"/>
      <c r="B346" s="19"/>
      <c r="C346" s="31"/>
      <c r="D346" s="32"/>
      <c r="E346" s="14"/>
      <c r="F346" s="50"/>
      <c r="G346" s="59"/>
    </row>
    <row r="347" spans="1:7" ht="107.25" customHeight="1">
      <c r="A347" s="30" t="s">
        <v>20</v>
      </c>
      <c r="B347" s="19" t="s">
        <v>123</v>
      </c>
      <c r="C347" s="31">
        <v>1</v>
      </c>
      <c r="D347" s="32" t="s">
        <v>2</v>
      </c>
      <c r="E347" s="14"/>
      <c r="F347" s="50" t="s">
        <v>19</v>
      </c>
      <c r="G347" s="59"/>
    </row>
    <row r="348" spans="1:7">
      <c r="A348" s="30"/>
      <c r="B348" s="19"/>
      <c r="C348" s="31"/>
      <c r="D348" s="32"/>
      <c r="E348" s="14"/>
      <c r="F348" s="50"/>
      <c r="G348" s="59"/>
    </row>
    <row r="349" spans="1:7">
      <c r="A349" s="30"/>
      <c r="B349" s="20" t="s">
        <v>124</v>
      </c>
      <c r="C349" s="31"/>
      <c r="D349" s="32"/>
      <c r="E349" s="14"/>
      <c r="F349" s="50"/>
      <c r="G349" s="59"/>
    </row>
    <row r="350" spans="1:7">
      <c r="A350" s="30"/>
      <c r="B350" s="19"/>
      <c r="C350" s="31"/>
      <c r="D350" s="32"/>
      <c r="E350" s="14"/>
      <c r="F350" s="50"/>
      <c r="G350" s="59"/>
    </row>
    <row r="351" spans="1:7" ht="26.45">
      <c r="A351" s="30"/>
      <c r="B351" s="20" t="s">
        <v>125</v>
      </c>
      <c r="C351" s="31"/>
      <c r="D351" s="32"/>
      <c r="E351" s="14"/>
      <c r="F351" s="50"/>
      <c r="G351" s="59"/>
    </row>
    <row r="352" spans="1:7">
      <c r="A352" s="30"/>
      <c r="B352" s="19"/>
      <c r="C352" s="31"/>
      <c r="D352" s="32"/>
      <c r="E352" s="14"/>
      <c r="F352" s="50"/>
      <c r="G352" s="59"/>
    </row>
    <row r="353" spans="1:7" ht="98.45" customHeight="1">
      <c r="A353" s="30" t="s">
        <v>24</v>
      </c>
      <c r="B353" s="19" t="s">
        <v>126</v>
      </c>
      <c r="C353" s="31">
        <v>1</v>
      </c>
      <c r="D353" s="32" t="s">
        <v>2</v>
      </c>
      <c r="E353" s="14"/>
      <c r="F353" s="54">
        <v>3899676.32</v>
      </c>
      <c r="G353" s="63" t="s">
        <v>127</v>
      </c>
    </row>
    <row r="354" spans="1:7" s="79" customFormat="1" ht="113.45" customHeight="1">
      <c r="A354" s="73" t="s">
        <v>26</v>
      </c>
      <c r="B354" s="74" t="s">
        <v>128</v>
      </c>
      <c r="C354" s="75">
        <v>1</v>
      </c>
      <c r="D354" s="76" t="s">
        <v>2</v>
      </c>
      <c r="E354" s="77"/>
      <c r="F354" s="80">
        <v>129099</v>
      </c>
      <c r="G354" s="80"/>
    </row>
    <row r="355" spans="1:7">
      <c r="A355" s="30"/>
      <c r="B355" s="19"/>
      <c r="C355" s="31"/>
      <c r="D355" s="32"/>
      <c r="E355" s="14"/>
      <c r="F355" s="50"/>
      <c r="G355" s="59"/>
    </row>
    <row r="356" spans="1:7" ht="26.45">
      <c r="A356" s="30" t="s">
        <v>28</v>
      </c>
      <c r="B356" s="19" t="s">
        <v>129</v>
      </c>
      <c r="C356" s="31">
        <v>1</v>
      </c>
      <c r="D356" s="32" t="s">
        <v>2</v>
      </c>
      <c r="E356" s="14"/>
      <c r="F356" s="50" t="s">
        <v>19</v>
      </c>
      <c r="G356" s="59"/>
    </row>
    <row r="357" spans="1:7">
      <c r="A357" s="30"/>
      <c r="B357" s="19"/>
      <c r="C357" s="31"/>
      <c r="D357" s="32"/>
      <c r="E357" s="14"/>
      <c r="F357" s="50"/>
      <c r="G357" s="59"/>
    </row>
    <row r="358" spans="1:7" ht="70.150000000000006" customHeight="1">
      <c r="A358" s="30" t="s">
        <v>30</v>
      </c>
      <c r="B358" s="19" t="s">
        <v>130</v>
      </c>
      <c r="C358" s="31">
        <v>1</v>
      </c>
      <c r="D358" s="32" t="s">
        <v>2</v>
      </c>
      <c r="E358" s="14"/>
      <c r="F358" s="50" t="s">
        <v>19</v>
      </c>
      <c r="G358" s="59"/>
    </row>
    <row r="359" spans="1:7">
      <c r="A359" s="30"/>
      <c r="B359" s="19"/>
      <c r="C359" s="31"/>
      <c r="D359" s="32"/>
      <c r="E359" s="14"/>
      <c r="F359" s="50"/>
      <c r="G359" s="59"/>
    </row>
    <row r="360" spans="1:7" ht="26.45">
      <c r="A360" s="30"/>
      <c r="B360" s="66" t="s">
        <v>91</v>
      </c>
      <c r="C360" s="31"/>
      <c r="D360" s="32"/>
      <c r="E360" s="14"/>
      <c r="F360" s="50"/>
      <c r="G360" s="59"/>
    </row>
    <row r="361" spans="1:7">
      <c r="A361" s="30"/>
      <c r="B361" s="19"/>
      <c r="C361" s="31"/>
      <c r="D361" s="32"/>
      <c r="E361" s="15"/>
      <c r="F361" s="52"/>
      <c r="G361" s="65"/>
    </row>
    <row r="362" spans="1:7">
      <c r="A362" s="34"/>
      <c r="B362" s="35"/>
      <c r="C362" s="36"/>
      <c r="D362" s="37"/>
      <c r="E362" s="14"/>
      <c r="F362" s="53"/>
      <c r="G362" s="68"/>
    </row>
    <row r="363" spans="1:7">
      <c r="A363" s="38"/>
      <c r="B363" s="39"/>
      <c r="C363" s="40" t="s">
        <v>13</v>
      </c>
      <c r="D363" s="41"/>
      <c r="E363" s="14"/>
      <c r="F363" s="50">
        <f>SUM(F345:F361)</f>
        <v>4028775.32</v>
      </c>
      <c r="G363" s="59"/>
    </row>
    <row r="364" spans="1:7">
      <c r="A364" s="38"/>
      <c r="B364" s="39"/>
      <c r="C364" s="42"/>
      <c r="D364" s="41"/>
      <c r="E364" s="14"/>
      <c r="F364" s="52"/>
      <c r="G364" s="65"/>
    </row>
    <row r="365" spans="1:7">
      <c r="A365" s="30"/>
      <c r="B365" s="19"/>
      <c r="C365" s="31"/>
      <c r="D365" s="32"/>
      <c r="E365" s="14"/>
      <c r="F365" s="50"/>
      <c r="G365" s="59"/>
    </row>
    <row r="366" spans="1:7">
      <c r="A366" s="30"/>
      <c r="B366" s="20" t="s">
        <v>131</v>
      </c>
      <c r="C366" s="31"/>
      <c r="D366" s="32"/>
      <c r="E366" s="14"/>
      <c r="F366" s="50"/>
      <c r="G366" s="59"/>
    </row>
    <row r="367" spans="1:7">
      <c r="A367" s="30"/>
      <c r="B367" s="19"/>
      <c r="C367" s="31"/>
      <c r="D367" s="32"/>
      <c r="E367" s="14"/>
      <c r="F367" s="50"/>
      <c r="G367" s="59"/>
    </row>
    <row r="368" spans="1:7" ht="39.6">
      <c r="A368" s="30" t="s">
        <v>17</v>
      </c>
      <c r="B368" s="19" t="s">
        <v>132</v>
      </c>
      <c r="C368" s="31">
        <v>1</v>
      </c>
      <c r="D368" s="32" t="s">
        <v>2</v>
      </c>
      <c r="E368" s="14"/>
      <c r="F368" s="50" t="s">
        <v>19</v>
      </c>
      <c r="G368" s="59"/>
    </row>
    <row r="369" spans="1:7">
      <c r="A369" s="30"/>
      <c r="B369" s="19"/>
      <c r="C369" s="31"/>
      <c r="D369" s="32"/>
      <c r="E369" s="14"/>
      <c r="F369" s="50"/>
      <c r="G369" s="59"/>
    </row>
    <row r="370" spans="1:7" ht="39.6">
      <c r="A370" s="30" t="s">
        <v>20</v>
      </c>
      <c r="B370" s="19" t="s">
        <v>133</v>
      </c>
      <c r="C370" s="31">
        <v>1</v>
      </c>
      <c r="D370" s="32" t="s">
        <v>2</v>
      </c>
      <c r="E370" s="14"/>
      <c r="F370" s="50" t="s">
        <v>19</v>
      </c>
      <c r="G370" s="59"/>
    </row>
    <row r="371" spans="1:7">
      <c r="A371" s="30"/>
      <c r="B371" s="19"/>
      <c r="C371" s="31"/>
      <c r="D371" s="32"/>
      <c r="E371" s="14"/>
      <c r="F371" s="50"/>
      <c r="G371" s="59"/>
    </row>
    <row r="372" spans="1:7" ht="26.45">
      <c r="A372" s="30" t="s">
        <v>24</v>
      </c>
      <c r="B372" s="19" t="s">
        <v>134</v>
      </c>
      <c r="C372" s="31">
        <v>1</v>
      </c>
      <c r="D372" s="32" t="s">
        <v>2</v>
      </c>
      <c r="E372" s="14"/>
      <c r="F372" s="50" t="s">
        <v>19</v>
      </c>
      <c r="G372" s="59"/>
    </row>
    <row r="373" spans="1:7">
      <c r="A373" s="30"/>
      <c r="B373" s="19"/>
      <c r="C373" s="31"/>
      <c r="D373" s="32"/>
      <c r="E373" s="14"/>
      <c r="F373" s="50"/>
      <c r="G373" s="59"/>
    </row>
    <row r="374" spans="1:7" ht="39.6">
      <c r="A374" s="30" t="s">
        <v>28</v>
      </c>
      <c r="B374" s="19" t="s">
        <v>135</v>
      </c>
      <c r="C374" s="31">
        <v>1</v>
      </c>
      <c r="D374" s="32" t="s">
        <v>2</v>
      </c>
      <c r="E374" s="14"/>
      <c r="F374" s="50" t="s">
        <v>19</v>
      </c>
      <c r="G374" s="59"/>
    </row>
    <row r="375" spans="1:7">
      <c r="A375" s="30"/>
      <c r="B375" s="19"/>
      <c r="C375" s="31"/>
      <c r="D375" s="32"/>
      <c r="E375" s="14"/>
      <c r="F375" s="50"/>
      <c r="G375" s="59"/>
    </row>
    <row r="376" spans="1:7" ht="79.150000000000006">
      <c r="A376" s="30" t="s">
        <v>30</v>
      </c>
      <c r="B376" s="19" t="s">
        <v>136</v>
      </c>
      <c r="C376" s="31">
        <v>1</v>
      </c>
      <c r="D376" s="32" t="s">
        <v>2</v>
      </c>
      <c r="E376" s="14"/>
      <c r="F376" s="50" t="s">
        <v>19</v>
      </c>
      <c r="G376" s="59"/>
    </row>
    <row r="377" spans="1:7">
      <c r="A377" s="30"/>
      <c r="B377" s="19"/>
      <c r="C377" s="31"/>
      <c r="D377" s="32"/>
      <c r="E377" s="14"/>
      <c r="F377" s="50"/>
      <c r="G377" s="59"/>
    </row>
    <row r="378" spans="1:7" ht="26.45">
      <c r="A378" s="30" t="s">
        <v>34</v>
      </c>
      <c r="B378" s="19" t="s">
        <v>137</v>
      </c>
      <c r="C378" s="31">
        <v>1</v>
      </c>
      <c r="D378" s="32" t="s">
        <v>2</v>
      </c>
      <c r="E378" s="14"/>
      <c r="F378" s="50" t="s">
        <v>19</v>
      </c>
      <c r="G378" s="59"/>
    </row>
    <row r="379" spans="1:7">
      <c r="A379" s="30"/>
      <c r="B379" s="19"/>
      <c r="C379" s="31"/>
      <c r="D379" s="32"/>
      <c r="E379" s="14"/>
      <c r="F379" s="50"/>
      <c r="G379" s="59"/>
    </row>
    <row r="380" spans="1:7" ht="66">
      <c r="A380" s="30" t="s">
        <v>36</v>
      </c>
      <c r="B380" s="19" t="s">
        <v>138</v>
      </c>
      <c r="C380" s="31">
        <v>1</v>
      </c>
      <c r="D380" s="32" t="s">
        <v>2</v>
      </c>
      <c r="E380" s="14"/>
      <c r="F380" s="50" t="s">
        <v>19</v>
      </c>
      <c r="G380" s="59"/>
    </row>
    <row r="381" spans="1:7">
      <c r="A381" s="30"/>
      <c r="B381" s="19"/>
      <c r="C381" s="31"/>
      <c r="D381" s="32"/>
      <c r="E381" s="14"/>
      <c r="F381" s="50"/>
      <c r="G381" s="59"/>
    </row>
    <row r="382" spans="1:7" ht="39.6">
      <c r="A382" s="30" t="s">
        <v>103</v>
      </c>
      <c r="B382" s="19" t="s">
        <v>139</v>
      </c>
      <c r="C382" s="31">
        <v>1</v>
      </c>
      <c r="D382" s="32" t="s">
        <v>2</v>
      </c>
      <c r="E382" s="14"/>
      <c r="F382" s="50" t="s">
        <v>19</v>
      </c>
      <c r="G382" s="59"/>
    </row>
    <row r="383" spans="1:7">
      <c r="A383" s="30"/>
      <c r="B383" s="19"/>
      <c r="C383" s="31"/>
      <c r="D383" s="32"/>
      <c r="E383" s="14"/>
      <c r="F383" s="50"/>
      <c r="G383" s="59"/>
    </row>
    <row r="384" spans="1:7">
      <c r="A384" s="30"/>
      <c r="B384" s="20" t="s">
        <v>140</v>
      </c>
      <c r="C384" s="31"/>
      <c r="D384" s="32"/>
      <c r="E384" s="14"/>
      <c r="F384" s="50"/>
      <c r="G384" s="59"/>
    </row>
    <row r="385" spans="1:7">
      <c r="A385" s="30"/>
      <c r="B385" s="19"/>
      <c r="C385" s="31"/>
      <c r="D385" s="32"/>
      <c r="E385" s="14"/>
      <c r="F385" s="50"/>
      <c r="G385" s="59"/>
    </row>
    <row r="386" spans="1:7" ht="66">
      <c r="A386" s="30" t="s">
        <v>141</v>
      </c>
      <c r="B386" s="19" t="s">
        <v>142</v>
      </c>
      <c r="C386" s="31">
        <v>1</v>
      </c>
      <c r="D386" s="32" t="s">
        <v>2</v>
      </c>
      <c r="E386" s="14"/>
      <c r="F386" s="50" t="s">
        <v>19</v>
      </c>
      <c r="G386" s="59"/>
    </row>
    <row r="387" spans="1:7">
      <c r="A387" s="30"/>
      <c r="B387" s="19"/>
      <c r="C387" s="31"/>
      <c r="D387" s="32"/>
      <c r="E387" s="14"/>
      <c r="F387" s="50"/>
      <c r="G387" s="59"/>
    </row>
    <row r="388" spans="1:7">
      <c r="A388" s="30"/>
      <c r="B388" s="19"/>
      <c r="C388" s="31"/>
      <c r="D388" s="32"/>
      <c r="E388" s="14"/>
      <c r="F388" s="50"/>
      <c r="G388" s="59"/>
    </row>
    <row r="389" spans="1:7">
      <c r="A389" s="30"/>
      <c r="B389" s="19"/>
      <c r="C389" s="31"/>
      <c r="D389" s="32"/>
      <c r="E389" s="14"/>
      <c r="F389" s="50"/>
      <c r="G389" s="59"/>
    </row>
    <row r="390" spans="1:7">
      <c r="A390" s="30"/>
      <c r="B390" s="19"/>
      <c r="C390" s="31"/>
      <c r="D390" s="32"/>
      <c r="E390" s="14"/>
      <c r="F390" s="50"/>
      <c r="G390" s="59"/>
    </row>
    <row r="391" spans="1:7">
      <c r="A391" s="30"/>
      <c r="B391" s="19"/>
      <c r="C391" s="31"/>
      <c r="D391" s="32"/>
      <c r="E391" s="14"/>
      <c r="F391" s="50"/>
      <c r="G391" s="59"/>
    </row>
    <row r="392" spans="1:7">
      <c r="A392" s="30"/>
      <c r="B392" s="19"/>
      <c r="C392" s="31"/>
      <c r="D392" s="32"/>
      <c r="E392" s="14"/>
      <c r="F392" s="50"/>
      <c r="G392" s="59"/>
    </row>
    <row r="393" spans="1:7">
      <c r="A393" s="30"/>
      <c r="B393" s="19"/>
      <c r="C393" s="31"/>
      <c r="D393" s="32"/>
      <c r="E393" s="14"/>
      <c r="F393" s="50"/>
      <c r="G393" s="59"/>
    </row>
    <row r="394" spans="1:7">
      <c r="A394" s="30"/>
      <c r="B394" s="19"/>
      <c r="C394" s="31"/>
      <c r="D394" s="32"/>
      <c r="E394" s="14"/>
      <c r="F394" s="50"/>
      <c r="G394" s="59"/>
    </row>
    <row r="395" spans="1:7">
      <c r="A395" s="30"/>
      <c r="B395" s="19"/>
      <c r="C395" s="31"/>
      <c r="D395" s="32"/>
      <c r="E395" s="15"/>
      <c r="F395" s="52"/>
      <c r="G395" s="65"/>
    </row>
    <row r="396" spans="1:7">
      <c r="A396" s="34"/>
      <c r="B396" s="35"/>
      <c r="C396" s="36"/>
      <c r="D396" s="37"/>
      <c r="E396" s="14"/>
      <c r="F396" s="53"/>
      <c r="G396" s="68"/>
    </row>
    <row r="397" spans="1:7">
      <c r="A397" s="38"/>
      <c r="B397" s="39"/>
      <c r="C397" s="40" t="s">
        <v>13</v>
      </c>
      <c r="D397" s="41"/>
      <c r="E397" s="14"/>
      <c r="F397" s="50">
        <f>SUM(F367:F395)</f>
        <v>0</v>
      </c>
      <c r="G397" s="59"/>
    </row>
    <row r="398" spans="1:7">
      <c r="A398" s="38"/>
      <c r="B398" s="39"/>
      <c r="C398" s="42"/>
      <c r="D398" s="41"/>
      <c r="E398" s="14"/>
      <c r="F398" s="52"/>
      <c r="G398" s="65"/>
    </row>
    <row r="399" spans="1:7">
      <c r="A399" s="30"/>
      <c r="B399" s="19"/>
      <c r="C399" s="31"/>
      <c r="D399" s="32"/>
      <c r="E399" s="14"/>
      <c r="F399" s="50"/>
      <c r="G399" s="59"/>
    </row>
    <row r="400" spans="1:7">
      <c r="A400" s="30"/>
      <c r="B400" s="20" t="s">
        <v>143</v>
      </c>
      <c r="C400" s="31"/>
      <c r="D400" s="32"/>
      <c r="E400" s="14"/>
      <c r="F400" s="50"/>
      <c r="G400" s="59"/>
    </row>
    <row r="401" spans="1:7">
      <c r="A401" s="30"/>
      <c r="B401" s="19"/>
      <c r="C401" s="31"/>
      <c r="D401" s="32"/>
      <c r="E401" s="14"/>
      <c r="F401" s="50"/>
      <c r="G401" s="59"/>
    </row>
    <row r="402" spans="1:7" ht="52.9">
      <c r="A402" s="30" t="s">
        <v>17</v>
      </c>
      <c r="B402" s="19" t="s">
        <v>144</v>
      </c>
      <c r="C402" s="31">
        <v>1</v>
      </c>
      <c r="D402" s="32" t="s">
        <v>2</v>
      </c>
      <c r="E402" s="14"/>
      <c r="F402" s="50" t="s">
        <v>19</v>
      </c>
      <c r="G402" s="59"/>
    </row>
    <row r="403" spans="1:7">
      <c r="A403" s="30"/>
      <c r="B403" s="19"/>
      <c r="C403" s="31"/>
      <c r="D403" s="32"/>
      <c r="E403" s="14"/>
      <c r="F403" s="50"/>
      <c r="G403" s="59"/>
    </row>
    <row r="404" spans="1:7" ht="64.5" customHeight="1">
      <c r="A404" s="30" t="s">
        <v>20</v>
      </c>
      <c r="B404" s="19" t="s">
        <v>145</v>
      </c>
      <c r="C404" s="31">
        <v>1</v>
      </c>
      <c r="D404" s="32" t="s">
        <v>2</v>
      </c>
      <c r="E404" s="14"/>
      <c r="F404" s="50" t="s">
        <v>19</v>
      </c>
      <c r="G404" s="59"/>
    </row>
    <row r="405" spans="1:7">
      <c r="A405" s="30"/>
      <c r="B405" s="19"/>
      <c r="C405" s="31"/>
      <c r="D405" s="32"/>
      <c r="E405" s="14"/>
      <c r="F405" s="50"/>
      <c r="G405" s="59"/>
    </row>
    <row r="406" spans="1:7" ht="39.6">
      <c r="A406" s="30" t="s">
        <v>24</v>
      </c>
      <c r="B406" s="19" t="s">
        <v>146</v>
      </c>
      <c r="C406" s="31">
        <v>1</v>
      </c>
      <c r="D406" s="32" t="s">
        <v>2</v>
      </c>
      <c r="E406" s="14"/>
      <c r="F406" s="50" t="s">
        <v>19</v>
      </c>
      <c r="G406" s="59"/>
    </row>
    <row r="407" spans="1:7">
      <c r="A407" s="30"/>
      <c r="B407" s="19"/>
      <c r="C407" s="31"/>
      <c r="D407" s="32"/>
      <c r="E407" s="14"/>
      <c r="F407" s="50"/>
      <c r="G407" s="59"/>
    </row>
    <row r="408" spans="1:7">
      <c r="A408" s="30"/>
      <c r="B408" s="20" t="s">
        <v>147</v>
      </c>
      <c r="C408" s="31"/>
      <c r="D408" s="32"/>
      <c r="E408" s="14"/>
      <c r="F408" s="50"/>
      <c r="G408" s="59"/>
    </row>
    <row r="409" spans="1:7">
      <c r="A409" s="30"/>
      <c r="B409" s="19"/>
      <c r="C409" s="31"/>
      <c r="D409" s="32"/>
      <c r="E409" s="14"/>
      <c r="F409" s="50"/>
      <c r="G409" s="59"/>
    </row>
    <row r="410" spans="1:7" ht="27" customHeight="1">
      <c r="A410" s="30" t="s">
        <v>28</v>
      </c>
      <c r="B410" s="19" t="s">
        <v>148</v>
      </c>
      <c r="C410" s="31">
        <v>1</v>
      </c>
      <c r="D410" s="32" t="s">
        <v>2</v>
      </c>
      <c r="E410" s="14"/>
      <c r="F410" s="50" t="s">
        <v>19</v>
      </c>
      <c r="G410" s="59"/>
    </row>
    <row r="411" spans="1:7">
      <c r="A411" s="30"/>
      <c r="B411" s="19"/>
      <c r="C411" s="31"/>
      <c r="D411" s="32"/>
      <c r="E411" s="14"/>
      <c r="F411" s="50"/>
      <c r="G411" s="59"/>
    </row>
    <row r="412" spans="1:7">
      <c r="A412" s="30"/>
      <c r="B412" s="20" t="s">
        <v>149</v>
      </c>
      <c r="C412" s="31"/>
      <c r="D412" s="32"/>
      <c r="E412" s="14"/>
      <c r="F412" s="50"/>
      <c r="G412" s="59"/>
    </row>
    <row r="413" spans="1:7">
      <c r="A413" s="30"/>
      <c r="B413" s="20"/>
      <c r="C413" s="31"/>
      <c r="D413" s="32"/>
      <c r="E413" s="14"/>
      <c r="F413" s="50"/>
      <c r="G413" s="59"/>
    </row>
    <row r="414" spans="1:7">
      <c r="A414" s="30"/>
      <c r="B414" s="20" t="s">
        <v>150</v>
      </c>
      <c r="C414" s="31"/>
      <c r="D414" s="32"/>
      <c r="E414" s="14"/>
      <c r="F414" s="50"/>
      <c r="G414" s="59"/>
    </row>
    <row r="415" spans="1:7">
      <c r="A415" s="30"/>
      <c r="B415" s="20"/>
      <c r="C415" s="31"/>
      <c r="D415" s="32"/>
      <c r="E415" s="14"/>
      <c r="F415" s="50"/>
      <c r="G415" s="59"/>
    </row>
    <row r="416" spans="1:7" ht="52.9">
      <c r="A416" s="30" t="s">
        <v>30</v>
      </c>
      <c r="B416" s="19" t="s">
        <v>151</v>
      </c>
      <c r="C416" s="31">
        <v>1</v>
      </c>
      <c r="D416" s="32" t="s">
        <v>2</v>
      </c>
      <c r="E416" s="14"/>
      <c r="F416" s="54">
        <v>509840.51</v>
      </c>
      <c r="G416" s="63"/>
    </row>
    <row r="417" spans="1:7" s="79" customFormat="1" ht="66">
      <c r="A417" s="73" t="s">
        <v>32</v>
      </c>
      <c r="B417" s="74" t="s">
        <v>152</v>
      </c>
      <c r="C417" s="75">
        <v>1</v>
      </c>
      <c r="D417" s="76" t="s">
        <v>2</v>
      </c>
      <c r="E417" s="77"/>
      <c r="F417" s="80">
        <v>215506</v>
      </c>
      <c r="G417" s="80"/>
    </row>
    <row r="418" spans="1:7">
      <c r="A418" s="30"/>
      <c r="B418" s="19"/>
      <c r="C418" s="31"/>
      <c r="D418" s="32"/>
      <c r="E418" s="14"/>
      <c r="F418" s="50"/>
      <c r="G418" s="59"/>
    </row>
    <row r="419" spans="1:7" ht="52.9">
      <c r="A419" s="30" t="s">
        <v>34</v>
      </c>
      <c r="B419" s="19" t="s">
        <v>153</v>
      </c>
      <c r="C419" s="31">
        <v>1</v>
      </c>
      <c r="D419" s="32" t="s">
        <v>2</v>
      </c>
      <c r="E419" s="14"/>
      <c r="F419" s="50" t="s">
        <v>19</v>
      </c>
      <c r="G419" s="59"/>
    </row>
    <row r="420" spans="1:7">
      <c r="A420" s="30"/>
      <c r="B420" s="19"/>
      <c r="C420" s="31"/>
      <c r="D420" s="32"/>
      <c r="E420" s="14"/>
      <c r="F420" s="50"/>
      <c r="G420" s="59"/>
    </row>
    <row r="421" spans="1:7" ht="52.9">
      <c r="A421" s="30" t="s">
        <v>36</v>
      </c>
      <c r="B421" s="19" t="s">
        <v>154</v>
      </c>
      <c r="C421" s="31">
        <v>1</v>
      </c>
      <c r="D421" s="32" t="s">
        <v>2</v>
      </c>
      <c r="E421" s="14"/>
      <c r="F421" s="50" t="s">
        <v>19</v>
      </c>
      <c r="G421" s="59"/>
    </row>
    <row r="422" spans="1:7">
      <c r="A422" s="30"/>
      <c r="B422" s="19"/>
      <c r="C422" s="31"/>
      <c r="D422" s="32"/>
      <c r="E422" s="14"/>
      <c r="F422" s="50"/>
      <c r="G422" s="59"/>
    </row>
    <row r="423" spans="1:7" ht="39.6">
      <c r="A423" s="30" t="s">
        <v>103</v>
      </c>
      <c r="B423" s="19" t="s">
        <v>155</v>
      </c>
      <c r="C423" s="31">
        <v>1</v>
      </c>
      <c r="D423" s="32" t="s">
        <v>2</v>
      </c>
      <c r="E423" s="14"/>
      <c r="F423" s="50" t="s">
        <v>19</v>
      </c>
      <c r="G423" s="59"/>
    </row>
    <row r="424" spans="1:7">
      <c r="A424" s="30"/>
      <c r="B424" s="19"/>
      <c r="C424" s="31"/>
      <c r="D424" s="32"/>
      <c r="E424" s="14"/>
      <c r="F424" s="50"/>
      <c r="G424" s="59"/>
    </row>
    <row r="425" spans="1:7">
      <c r="A425" s="30"/>
      <c r="B425" s="19"/>
      <c r="C425" s="31"/>
      <c r="D425" s="32"/>
      <c r="E425" s="14"/>
      <c r="F425" s="50"/>
      <c r="G425" s="59"/>
    </row>
    <row r="426" spans="1:7">
      <c r="A426" s="30"/>
      <c r="B426" s="19"/>
      <c r="C426" s="31"/>
      <c r="D426" s="32"/>
      <c r="E426" s="14"/>
      <c r="F426" s="50"/>
      <c r="G426" s="59"/>
    </row>
    <row r="427" spans="1:7">
      <c r="A427" s="30"/>
      <c r="B427" s="19"/>
      <c r="C427" s="31"/>
      <c r="D427" s="32"/>
      <c r="E427" s="14"/>
      <c r="F427" s="50"/>
      <c r="G427" s="59"/>
    </row>
    <row r="428" spans="1:7">
      <c r="A428" s="30"/>
      <c r="B428" s="19"/>
      <c r="C428" s="31"/>
      <c r="D428" s="32"/>
      <c r="E428" s="14"/>
      <c r="F428" s="50"/>
      <c r="G428" s="59"/>
    </row>
    <row r="429" spans="1:7">
      <c r="A429" s="30"/>
      <c r="B429" s="19"/>
      <c r="C429" s="31"/>
      <c r="D429" s="32"/>
      <c r="E429" s="14"/>
      <c r="F429" s="50"/>
      <c r="G429" s="59"/>
    </row>
    <row r="430" spans="1:7">
      <c r="A430" s="30"/>
      <c r="B430" s="19"/>
      <c r="C430" s="31"/>
      <c r="D430" s="32"/>
      <c r="E430" s="14"/>
      <c r="F430" s="50"/>
      <c r="G430" s="59"/>
    </row>
    <row r="431" spans="1:7">
      <c r="A431" s="30"/>
      <c r="B431" s="19"/>
      <c r="C431" s="31"/>
      <c r="D431" s="32"/>
      <c r="E431" s="14"/>
      <c r="F431" s="50"/>
      <c r="G431" s="59"/>
    </row>
    <row r="432" spans="1:7">
      <c r="A432" s="30"/>
      <c r="B432" s="19"/>
      <c r="C432" s="31"/>
      <c r="D432" s="32"/>
      <c r="E432" s="15"/>
      <c r="F432" s="52"/>
      <c r="G432" s="65"/>
    </row>
    <row r="433" spans="1:7">
      <c r="A433" s="34"/>
      <c r="B433" s="35"/>
      <c r="C433" s="36"/>
      <c r="D433" s="37"/>
      <c r="E433" s="14"/>
      <c r="F433" s="53"/>
      <c r="G433" s="68"/>
    </row>
    <row r="434" spans="1:7">
      <c r="A434" s="38"/>
      <c r="B434" s="39"/>
      <c r="C434" s="40" t="s">
        <v>13</v>
      </c>
      <c r="D434" s="41"/>
      <c r="E434" s="14"/>
      <c r="F434" s="50">
        <f>SUM(F401:F432)</f>
        <v>725346.51</v>
      </c>
      <c r="G434" s="59"/>
    </row>
    <row r="435" spans="1:7">
      <c r="A435" s="38"/>
      <c r="B435" s="39"/>
      <c r="C435" s="42"/>
      <c r="D435" s="41"/>
      <c r="E435" s="14"/>
      <c r="F435" s="52"/>
      <c r="G435" s="65"/>
    </row>
    <row r="436" spans="1:7">
      <c r="A436" s="30"/>
      <c r="B436" s="19"/>
      <c r="C436" s="31"/>
      <c r="D436" s="32"/>
      <c r="E436" s="14"/>
      <c r="F436" s="50"/>
      <c r="G436" s="59"/>
    </row>
    <row r="437" spans="1:7">
      <c r="A437" s="30"/>
      <c r="B437" s="20" t="s">
        <v>156</v>
      </c>
      <c r="C437" s="31"/>
      <c r="D437" s="32"/>
      <c r="E437" s="14"/>
      <c r="F437" s="50"/>
      <c r="G437" s="59"/>
    </row>
    <row r="438" spans="1:7">
      <c r="A438" s="30"/>
      <c r="B438" s="20"/>
      <c r="C438" s="31"/>
      <c r="D438" s="32"/>
      <c r="E438" s="14"/>
      <c r="F438" s="50"/>
      <c r="G438" s="59"/>
    </row>
    <row r="439" spans="1:7" ht="39.75" customHeight="1">
      <c r="A439" s="30" t="s">
        <v>17</v>
      </c>
      <c r="B439" s="19" t="s">
        <v>157</v>
      </c>
      <c r="C439" s="31">
        <v>1</v>
      </c>
      <c r="D439" s="32" t="s">
        <v>2</v>
      </c>
      <c r="E439" s="14"/>
      <c r="F439" s="50" t="s">
        <v>19</v>
      </c>
      <c r="G439" s="59"/>
    </row>
    <row r="440" spans="1:7">
      <c r="A440" s="30"/>
      <c r="B440" s="19"/>
      <c r="C440" s="31"/>
      <c r="D440" s="32"/>
      <c r="E440" s="14"/>
      <c r="F440" s="50"/>
      <c r="G440" s="59"/>
    </row>
    <row r="441" spans="1:7" ht="38.25" customHeight="1">
      <c r="A441" s="30" t="s">
        <v>20</v>
      </c>
      <c r="B441" s="19" t="s">
        <v>158</v>
      </c>
      <c r="C441" s="31">
        <v>1</v>
      </c>
      <c r="D441" s="32" t="s">
        <v>2</v>
      </c>
      <c r="E441" s="14"/>
      <c r="F441" s="50" t="s">
        <v>19</v>
      </c>
      <c r="G441" s="59"/>
    </row>
    <row r="442" spans="1:7">
      <c r="A442" s="30"/>
      <c r="B442" s="19"/>
      <c r="C442" s="31"/>
      <c r="D442" s="32"/>
      <c r="E442" s="14"/>
      <c r="F442" s="50"/>
      <c r="G442" s="59"/>
    </row>
    <row r="443" spans="1:7" ht="39.6">
      <c r="A443" s="30" t="s">
        <v>24</v>
      </c>
      <c r="B443" s="19" t="s">
        <v>159</v>
      </c>
      <c r="C443" s="31">
        <v>1</v>
      </c>
      <c r="D443" s="32" t="s">
        <v>2</v>
      </c>
      <c r="E443" s="14"/>
      <c r="F443" s="50" t="s">
        <v>19</v>
      </c>
      <c r="G443" s="59"/>
    </row>
    <row r="444" spans="1:7">
      <c r="A444" s="30"/>
      <c r="B444" s="19"/>
      <c r="C444" s="31"/>
      <c r="D444" s="32"/>
      <c r="E444" s="14"/>
      <c r="F444" s="50"/>
      <c r="G444" s="59"/>
    </row>
    <row r="445" spans="1:7" ht="79.150000000000006">
      <c r="A445" s="30" t="s">
        <v>28</v>
      </c>
      <c r="B445" s="19" t="s">
        <v>160</v>
      </c>
      <c r="C445" s="31">
        <v>1</v>
      </c>
      <c r="D445" s="32" t="s">
        <v>2</v>
      </c>
      <c r="E445" s="14"/>
      <c r="F445" s="50" t="s">
        <v>161</v>
      </c>
      <c r="G445" s="59"/>
    </row>
    <row r="446" spans="1:7">
      <c r="A446" s="30"/>
      <c r="B446" s="19"/>
      <c r="C446" s="31"/>
      <c r="D446" s="32"/>
      <c r="E446" s="14"/>
      <c r="F446" s="50"/>
      <c r="G446" s="59"/>
    </row>
    <row r="447" spans="1:7">
      <c r="A447" s="30"/>
      <c r="B447" s="20" t="s">
        <v>140</v>
      </c>
      <c r="C447" s="31"/>
      <c r="D447" s="32"/>
      <c r="E447" s="14"/>
      <c r="F447" s="50"/>
      <c r="G447" s="59"/>
    </row>
    <row r="448" spans="1:7">
      <c r="A448" s="30"/>
      <c r="B448" s="19"/>
      <c r="C448" s="31"/>
      <c r="D448" s="32"/>
      <c r="E448" s="14"/>
      <c r="F448" s="50"/>
      <c r="G448" s="59"/>
    </row>
    <row r="449" spans="1:7" ht="39.6">
      <c r="A449" s="30" t="s">
        <v>30</v>
      </c>
      <c r="B449" s="19" t="s">
        <v>162</v>
      </c>
      <c r="C449" s="31">
        <v>1</v>
      </c>
      <c r="D449" s="32" t="s">
        <v>2</v>
      </c>
      <c r="E449" s="14"/>
      <c r="F449" s="50">
        <v>858659.55</v>
      </c>
      <c r="G449" s="59"/>
    </row>
    <row r="450" spans="1:7" s="79" customFormat="1" ht="52.9">
      <c r="A450" s="73" t="s">
        <v>32</v>
      </c>
      <c r="B450" s="74" t="s">
        <v>163</v>
      </c>
      <c r="C450" s="75">
        <v>1</v>
      </c>
      <c r="D450" s="76" t="s">
        <v>2</v>
      </c>
      <c r="E450" s="77"/>
      <c r="F450" s="78">
        <v>99135</v>
      </c>
      <c r="G450" s="78"/>
    </row>
    <row r="451" spans="1:7">
      <c r="A451" s="30"/>
      <c r="B451" s="19"/>
      <c r="C451" s="31"/>
      <c r="D451" s="32"/>
      <c r="E451" s="14"/>
      <c r="F451" s="50"/>
      <c r="G451" s="59"/>
    </row>
    <row r="452" spans="1:7" ht="39.6">
      <c r="A452" s="30" t="s">
        <v>34</v>
      </c>
      <c r="B452" s="19" t="s">
        <v>164</v>
      </c>
      <c r="C452" s="31">
        <v>1</v>
      </c>
      <c r="D452" s="32" t="s">
        <v>2</v>
      </c>
      <c r="E452" s="14"/>
      <c r="F452" s="50" t="s">
        <v>19</v>
      </c>
      <c r="G452" s="59"/>
    </row>
    <row r="453" spans="1:7">
      <c r="A453" s="30"/>
      <c r="B453" s="19"/>
      <c r="C453" s="31"/>
      <c r="D453" s="32"/>
      <c r="E453" s="14"/>
      <c r="F453" s="50"/>
      <c r="G453" s="59"/>
    </row>
    <row r="454" spans="1:7" ht="39.6">
      <c r="A454" s="30" t="s">
        <v>36</v>
      </c>
      <c r="B454" s="19" t="s">
        <v>165</v>
      </c>
      <c r="C454" s="31">
        <v>1</v>
      </c>
      <c r="D454" s="32" t="s">
        <v>2</v>
      </c>
      <c r="E454" s="14"/>
      <c r="F454" s="54">
        <v>4380643.3</v>
      </c>
      <c r="G454" s="63"/>
    </row>
    <row r="455" spans="1:7" s="79" customFormat="1" ht="52.9">
      <c r="A455" s="73" t="s">
        <v>118</v>
      </c>
      <c r="B455" s="74" t="s">
        <v>166</v>
      </c>
      <c r="C455" s="75">
        <v>1</v>
      </c>
      <c r="D455" s="76" t="s">
        <v>2</v>
      </c>
      <c r="E455" s="77"/>
      <c r="F455" s="80">
        <v>40998</v>
      </c>
      <c r="G455" s="80"/>
    </row>
    <row r="456" spans="1:7">
      <c r="A456" s="30"/>
      <c r="B456" s="19"/>
      <c r="C456" s="31"/>
      <c r="D456" s="32"/>
      <c r="E456" s="14"/>
      <c r="F456" s="50"/>
      <c r="G456" s="59"/>
    </row>
    <row r="457" spans="1:7" ht="39.6">
      <c r="A457" s="30" t="s">
        <v>103</v>
      </c>
      <c r="B457" s="19" t="s">
        <v>146</v>
      </c>
      <c r="C457" s="31">
        <v>1</v>
      </c>
      <c r="D457" s="32" t="s">
        <v>2</v>
      </c>
      <c r="E457" s="14"/>
      <c r="F457" s="50" t="s">
        <v>19</v>
      </c>
      <c r="G457" s="59"/>
    </row>
    <row r="458" spans="1:7">
      <c r="A458" s="30"/>
      <c r="B458" s="19"/>
      <c r="C458" s="31"/>
      <c r="D458" s="32"/>
      <c r="E458" s="14"/>
      <c r="F458" s="50"/>
      <c r="G458" s="59"/>
    </row>
    <row r="459" spans="1:7" ht="52.9">
      <c r="A459" s="30" t="s">
        <v>141</v>
      </c>
      <c r="B459" s="19" t="s">
        <v>167</v>
      </c>
      <c r="C459" s="31">
        <v>1</v>
      </c>
      <c r="D459" s="32" t="s">
        <v>2</v>
      </c>
      <c r="E459" s="14"/>
      <c r="F459" s="50" t="s">
        <v>19</v>
      </c>
      <c r="G459" s="59"/>
    </row>
    <row r="460" spans="1:7">
      <c r="A460" s="30"/>
      <c r="B460" s="19"/>
      <c r="C460" s="31"/>
      <c r="D460" s="32"/>
      <c r="E460" s="14"/>
      <c r="F460" s="50"/>
      <c r="G460" s="59"/>
    </row>
    <row r="461" spans="1:7" ht="26.45">
      <c r="A461" s="30" t="s">
        <v>168</v>
      </c>
      <c r="B461" s="19" t="s">
        <v>169</v>
      </c>
      <c r="C461" s="31">
        <v>1</v>
      </c>
      <c r="D461" s="32" t="s">
        <v>2</v>
      </c>
      <c r="E461" s="14"/>
      <c r="F461" s="50" t="s">
        <v>19</v>
      </c>
      <c r="G461" s="59"/>
    </row>
    <row r="462" spans="1:7">
      <c r="A462" s="30"/>
      <c r="B462" s="19"/>
      <c r="C462" s="31"/>
      <c r="D462" s="32"/>
      <c r="E462" s="14"/>
      <c r="F462" s="50"/>
      <c r="G462" s="59"/>
    </row>
    <row r="463" spans="1:7">
      <c r="A463" s="30"/>
      <c r="B463" s="19"/>
      <c r="C463" s="31"/>
      <c r="D463" s="32"/>
      <c r="E463" s="14"/>
      <c r="F463" s="50"/>
      <c r="G463" s="59"/>
    </row>
    <row r="464" spans="1:7">
      <c r="A464" s="30"/>
      <c r="B464" s="19"/>
      <c r="C464" s="31"/>
      <c r="D464" s="32"/>
      <c r="E464" s="14"/>
      <c r="F464" s="50"/>
      <c r="G464" s="59"/>
    </row>
    <row r="465" spans="1:7">
      <c r="A465" s="30"/>
      <c r="B465" s="19"/>
      <c r="C465" s="31"/>
      <c r="D465" s="32"/>
      <c r="E465" s="14"/>
      <c r="F465" s="50"/>
      <c r="G465" s="59"/>
    </row>
    <row r="466" spans="1:7">
      <c r="A466" s="30"/>
      <c r="B466" s="19"/>
      <c r="C466" s="31"/>
      <c r="D466" s="32"/>
      <c r="E466" s="14"/>
      <c r="F466" s="50"/>
      <c r="G466" s="59"/>
    </row>
    <row r="467" spans="1:7">
      <c r="A467" s="30"/>
      <c r="B467" s="19"/>
      <c r="C467" s="31"/>
      <c r="D467" s="32"/>
      <c r="E467" s="14"/>
      <c r="F467" s="50"/>
      <c r="G467" s="59"/>
    </row>
    <row r="468" spans="1:7">
      <c r="A468" s="30"/>
      <c r="B468" s="19"/>
      <c r="C468" s="31"/>
      <c r="D468" s="32"/>
      <c r="E468" s="15"/>
      <c r="F468" s="52"/>
      <c r="G468" s="65"/>
    </row>
    <row r="469" spans="1:7">
      <c r="A469" s="34"/>
      <c r="B469" s="35"/>
      <c r="C469" s="36"/>
      <c r="D469" s="37"/>
      <c r="E469" s="14"/>
      <c r="F469" s="53"/>
      <c r="G469" s="68"/>
    </row>
    <row r="470" spans="1:7">
      <c r="A470" s="38"/>
      <c r="B470" s="39"/>
      <c r="C470" s="40" t="s">
        <v>13</v>
      </c>
      <c r="D470" s="41"/>
      <c r="E470" s="14"/>
      <c r="F470" s="50">
        <f>SUM(F439:F468)</f>
        <v>5379435.8499999996</v>
      </c>
      <c r="G470" s="59"/>
    </row>
    <row r="471" spans="1:7">
      <c r="A471" s="38"/>
      <c r="B471" s="39"/>
      <c r="C471" s="42"/>
      <c r="D471" s="41"/>
      <c r="E471" s="14"/>
      <c r="F471" s="52"/>
      <c r="G471" s="65"/>
    </row>
    <row r="472" spans="1:7">
      <c r="A472" s="30"/>
      <c r="B472" s="19"/>
      <c r="C472" s="31"/>
      <c r="D472" s="32"/>
      <c r="E472" s="14"/>
      <c r="F472" s="50"/>
      <c r="G472" s="59"/>
    </row>
    <row r="473" spans="1:7">
      <c r="A473" s="30"/>
      <c r="B473" s="20" t="s">
        <v>170</v>
      </c>
      <c r="C473" s="31"/>
      <c r="D473" s="32"/>
      <c r="E473" s="14"/>
      <c r="F473" s="50"/>
      <c r="G473" s="59"/>
    </row>
    <row r="474" spans="1:7">
      <c r="A474" s="30"/>
      <c r="B474" s="19"/>
      <c r="C474" s="31"/>
      <c r="D474" s="32"/>
      <c r="E474" s="14"/>
      <c r="F474" s="50"/>
      <c r="G474" s="59"/>
    </row>
    <row r="475" spans="1:7" ht="26.45">
      <c r="A475" s="30" t="s">
        <v>17</v>
      </c>
      <c r="B475" s="19" t="s">
        <v>171</v>
      </c>
      <c r="C475" s="31">
        <v>1</v>
      </c>
      <c r="D475" s="32" t="s">
        <v>2</v>
      </c>
      <c r="E475" s="14"/>
      <c r="F475" s="50" t="s">
        <v>19</v>
      </c>
      <c r="G475" s="59"/>
    </row>
    <row r="476" spans="1:7">
      <c r="A476" s="30"/>
      <c r="B476" s="19"/>
      <c r="C476" s="31"/>
      <c r="D476" s="32"/>
      <c r="E476" s="14"/>
      <c r="F476" s="50"/>
      <c r="G476" s="59"/>
    </row>
    <row r="477" spans="1:7" ht="39" customHeight="1">
      <c r="A477" s="30" t="s">
        <v>20</v>
      </c>
      <c r="B477" s="19" t="s">
        <v>172</v>
      </c>
      <c r="C477" s="31">
        <v>1</v>
      </c>
      <c r="D477" s="32" t="s">
        <v>2</v>
      </c>
      <c r="E477" s="14"/>
      <c r="F477" s="50" t="s">
        <v>19</v>
      </c>
      <c r="G477" s="59"/>
    </row>
    <row r="478" spans="1:7">
      <c r="A478" s="30"/>
      <c r="B478" s="19"/>
      <c r="C478" s="31"/>
      <c r="D478" s="32"/>
      <c r="E478" s="14"/>
      <c r="F478" s="50"/>
      <c r="G478" s="59"/>
    </row>
    <row r="479" spans="1:7" ht="66">
      <c r="A479" s="30" t="s">
        <v>24</v>
      </c>
      <c r="B479" s="19" t="s">
        <v>173</v>
      </c>
      <c r="C479" s="31">
        <v>1</v>
      </c>
      <c r="D479" s="32" t="s">
        <v>2</v>
      </c>
      <c r="E479" s="14"/>
      <c r="F479" s="54">
        <v>413853.2</v>
      </c>
      <c r="G479" s="63"/>
    </row>
    <row r="480" spans="1:7">
      <c r="A480" s="30"/>
      <c r="B480" s="19"/>
      <c r="C480" s="31"/>
      <c r="D480" s="32"/>
      <c r="E480" s="14"/>
      <c r="F480" s="50"/>
      <c r="G480" s="59"/>
    </row>
    <row r="481" spans="1:7" ht="39.6">
      <c r="A481" s="30"/>
      <c r="B481" s="20" t="s">
        <v>174</v>
      </c>
      <c r="C481" s="31"/>
      <c r="D481" s="32"/>
      <c r="E481" s="14"/>
      <c r="F481" s="50"/>
      <c r="G481" s="59"/>
    </row>
    <row r="482" spans="1:7">
      <c r="A482" s="30"/>
      <c r="B482" s="19"/>
      <c r="C482" s="31"/>
      <c r="D482" s="32"/>
      <c r="E482" s="14"/>
      <c r="F482" s="50"/>
      <c r="G482" s="59"/>
    </row>
    <row r="483" spans="1:7" ht="26.45">
      <c r="A483" s="30" t="s">
        <v>28</v>
      </c>
      <c r="B483" s="19" t="s">
        <v>175</v>
      </c>
      <c r="C483" s="31">
        <v>1</v>
      </c>
      <c r="D483" s="32" t="s">
        <v>2</v>
      </c>
      <c r="E483" s="14"/>
      <c r="F483" s="50" t="s">
        <v>19</v>
      </c>
      <c r="G483" s="59"/>
    </row>
    <row r="484" spans="1:7">
      <c r="A484" s="30"/>
      <c r="B484" s="19"/>
      <c r="C484" s="31"/>
      <c r="D484" s="32"/>
      <c r="E484" s="14"/>
      <c r="F484" s="50"/>
      <c r="G484" s="59"/>
    </row>
    <row r="485" spans="1:7" ht="26.45">
      <c r="A485" s="30" t="s">
        <v>30</v>
      </c>
      <c r="B485" s="19" t="s">
        <v>176</v>
      </c>
      <c r="C485" s="31">
        <v>1</v>
      </c>
      <c r="D485" s="32" t="s">
        <v>2</v>
      </c>
      <c r="E485" s="14"/>
      <c r="F485" s="50" t="s">
        <v>19</v>
      </c>
      <c r="G485" s="59"/>
    </row>
    <row r="486" spans="1:7">
      <c r="A486" s="30"/>
      <c r="B486" s="19"/>
      <c r="C486" s="31"/>
      <c r="D486" s="32"/>
      <c r="E486" s="14"/>
      <c r="F486" s="50"/>
      <c r="G486" s="59"/>
    </row>
    <row r="487" spans="1:7">
      <c r="A487" s="30" t="s">
        <v>34</v>
      </c>
      <c r="B487" s="19" t="s">
        <v>177</v>
      </c>
      <c r="C487" s="31">
        <v>1</v>
      </c>
      <c r="D487" s="32" t="s">
        <v>2</v>
      </c>
      <c r="E487" s="14"/>
      <c r="F487" s="50" t="s">
        <v>19</v>
      </c>
      <c r="G487" s="59"/>
    </row>
    <row r="488" spans="1:7">
      <c r="A488" s="30"/>
      <c r="B488" s="19"/>
      <c r="C488" s="31"/>
      <c r="D488" s="32"/>
      <c r="E488" s="14"/>
      <c r="F488" s="50"/>
      <c r="G488" s="59"/>
    </row>
    <row r="489" spans="1:7" ht="39.6">
      <c r="A489" s="30" t="s">
        <v>36</v>
      </c>
      <c r="B489" s="19" t="s">
        <v>178</v>
      </c>
      <c r="C489" s="31">
        <v>1</v>
      </c>
      <c r="D489" s="32" t="s">
        <v>2</v>
      </c>
      <c r="E489" s="14"/>
      <c r="F489" s="50" t="s">
        <v>19</v>
      </c>
      <c r="G489" s="59"/>
    </row>
    <row r="490" spans="1:7">
      <c r="A490" s="30"/>
      <c r="B490" s="19"/>
      <c r="C490" s="31"/>
      <c r="D490" s="32"/>
      <c r="E490" s="14"/>
      <c r="F490" s="50"/>
      <c r="G490" s="59"/>
    </row>
    <row r="491" spans="1:7" ht="26.45">
      <c r="A491" s="30" t="s">
        <v>103</v>
      </c>
      <c r="B491" s="19" t="s">
        <v>179</v>
      </c>
      <c r="C491" s="31">
        <v>1</v>
      </c>
      <c r="D491" s="32" t="s">
        <v>2</v>
      </c>
      <c r="E491" s="14"/>
      <c r="F491" s="50" t="s">
        <v>19</v>
      </c>
      <c r="G491" s="59"/>
    </row>
    <row r="492" spans="1:7">
      <c r="A492" s="30"/>
      <c r="B492" s="19"/>
      <c r="C492" s="31"/>
      <c r="D492" s="32"/>
      <c r="E492" s="14"/>
      <c r="F492" s="50"/>
      <c r="G492" s="59"/>
    </row>
    <row r="493" spans="1:7">
      <c r="A493" s="30"/>
      <c r="B493" s="60" t="s">
        <v>180</v>
      </c>
      <c r="C493" s="31"/>
      <c r="D493" s="32"/>
      <c r="E493" s="14"/>
      <c r="F493" s="50"/>
      <c r="G493" s="59"/>
    </row>
    <row r="494" spans="1:7">
      <c r="A494" s="30"/>
      <c r="B494" s="61"/>
      <c r="C494" s="31"/>
      <c r="D494" s="32"/>
      <c r="E494" s="14"/>
      <c r="F494" s="50"/>
      <c r="G494" s="59"/>
    </row>
    <row r="495" spans="1:7" ht="92.45">
      <c r="A495" s="30" t="s">
        <v>141</v>
      </c>
      <c r="B495" s="61" t="s">
        <v>181</v>
      </c>
      <c r="C495" s="31">
        <v>1</v>
      </c>
      <c r="D495" s="32" t="s">
        <v>2</v>
      </c>
      <c r="E495" s="14"/>
      <c r="F495" s="59" t="s">
        <v>182</v>
      </c>
      <c r="G495" s="59"/>
    </row>
    <row r="496" spans="1:7">
      <c r="A496" s="30"/>
      <c r="B496" s="19"/>
      <c r="C496" s="31"/>
      <c r="D496" s="32"/>
      <c r="E496" s="14"/>
      <c r="F496" s="50"/>
      <c r="G496" s="59"/>
    </row>
    <row r="497" spans="1:7">
      <c r="A497" s="30"/>
      <c r="B497" s="19"/>
      <c r="C497" s="31"/>
      <c r="D497" s="32"/>
      <c r="E497" s="14"/>
      <c r="F497" s="50"/>
      <c r="G497" s="59"/>
    </row>
    <row r="498" spans="1:7">
      <c r="A498" s="30"/>
      <c r="B498" s="19"/>
      <c r="C498" s="31"/>
      <c r="D498" s="32"/>
      <c r="E498" s="14"/>
      <c r="F498" s="50"/>
      <c r="G498" s="59"/>
    </row>
    <row r="499" spans="1:7">
      <c r="A499" s="30"/>
      <c r="B499" s="19"/>
      <c r="C499" s="31"/>
      <c r="D499" s="32"/>
      <c r="E499" s="14"/>
      <c r="F499" s="50"/>
      <c r="G499" s="59"/>
    </row>
    <row r="500" spans="1:7">
      <c r="A500" s="30"/>
      <c r="B500" s="19"/>
      <c r="C500" s="31"/>
      <c r="D500" s="32"/>
      <c r="E500" s="14"/>
      <c r="F500" s="50"/>
      <c r="G500" s="59"/>
    </row>
    <row r="501" spans="1:7">
      <c r="A501" s="30"/>
      <c r="B501" s="19"/>
      <c r="C501" s="31"/>
      <c r="D501" s="32"/>
      <c r="E501" s="14"/>
      <c r="F501" s="50"/>
      <c r="G501" s="59"/>
    </row>
    <row r="502" spans="1:7">
      <c r="A502" s="30"/>
      <c r="B502" s="19"/>
      <c r="C502" s="31"/>
      <c r="D502" s="32"/>
      <c r="E502" s="14"/>
      <c r="F502" s="50"/>
      <c r="G502" s="59"/>
    </row>
    <row r="503" spans="1:7">
      <c r="A503" s="30"/>
      <c r="B503" s="19"/>
      <c r="C503" s="31"/>
      <c r="D503" s="32"/>
      <c r="E503" s="14"/>
      <c r="F503" s="50"/>
      <c r="G503" s="59"/>
    </row>
    <row r="504" spans="1:7">
      <c r="A504" s="30"/>
      <c r="B504" s="19"/>
      <c r="C504" s="31"/>
      <c r="D504" s="32"/>
      <c r="E504" s="14"/>
      <c r="F504" s="50"/>
      <c r="G504" s="59"/>
    </row>
    <row r="505" spans="1:7">
      <c r="A505" s="30"/>
      <c r="B505" s="19"/>
      <c r="C505" s="31"/>
      <c r="D505" s="32"/>
      <c r="E505" s="15"/>
      <c r="F505" s="52"/>
      <c r="G505" s="65"/>
    </row>
    <row r="506" spans="1:7">
      <c r="A506" s="34"/>
      <c r="B506" s="35"/>
      <c r="C506" s="36"/>
      <c r="D506" s="37"/>
      <c r="E506" s="14"/>
      <c r="F506" s="53"/>
      <c r="G506" s="68"/>
    </row>
    <row r="507" spans="1:7">
      <c r="A507" s="38"/>
      <c r="B507" s="39"/>
      <c r="C507" s="40" t="s">
        <v>13</v>
      </c>
      <c r="D507" s="41"/>
      <c r="E507" s="14"/>
      <c r="F507" s="50">
        <f>SUM(F473:F505)</f>
        <v>413853.2</v>
      </c>
      <c r="G507" s="59"/>
    </row>
    <row r="508" spans="1:7">
      <c r="A508" s="38"/>
      <c r="B508" s="39"/>
      <c r="C508" s="42"/>
      <c r="D508" s="41"/>
      <c r="E508" s="14"/>
      <c r="F508" s="52"/>
      <c r="G508" s="65"/>
    </row>
    <row r="509" spans="1:7">
      <c r="A509" s="30"/>
      <c r="B509" s="19"/>
      <c r="C509" s="31"/>
      <c r="D509" s="32"/>
      <c r="E509" s="14"/>
      <c r="F509" s="50"/>
      <c r="G509" s="59"/>
    </row>
    <row r="510" spans="1:7">
      <c r="A510" s="30"/>
      <c r="B510" s="60" t="s">
        <v>180</v>
      </c>
      <c r="C510" s="31"/>
      <c r="D510" s="32"/>
      <c r="E510" s="14"/>
      <c r="F510" s="50"/>
      <c r="G510" s="59"/>
    </row>
    <row r="511" spans="1:7">
      <c r="A511" s="30"/>
      <c r="B511" s="61"/>
      <c r="C511" s="31"/>
      <c r="D511" s="32"/>
      <c r="E511" s="14"/>
      <c r="F511" s="50"/>
      <c r="G511" s="59"/>
    </row>
    <row r="512" spans="1:7" ht="113.45" customHeight="1">
      <c r="A512" s="30" t="s">
        <v>17</v>
      </c>
      <c r="B512" s="61" t="s">
        <v>183</v>
      </c>
      <c r="C512" s="31">
        <v>1</v>
      </c>
      <c r="D512" s="32" t="s">
        <v>2</v>
      </c>
      <c r="E512" s="14"/>
      <c r="F512" s="59" t="s">
        <v>182</v>
      </c>
      <c r="G512" s="59"/>
    </row>
    <row r="513" spans="1:7">
      <c r="A513" s="30"/>
      <c r="B513" s="61"/>
      <c r="C513" s="31"/>
      <c r="D513" s="32"/>
      <c r="E513" s="14"/>
      <c r="F513" s="54"/>
      <c r="G513" s="63"/>
    </row>
    <row r="514" spans="1:7" ht="237.6">
      <c r="A514" s="30" t="s">
        <v>20</v>
      </c>
      <c r="B514" s="61" t="s">
        <v>184</v>
      </c>
      <c r="C514" s="31">
        <v>1</v>
      </c>
      <c r="D514" s="32" t="s">
        <v>2</v>
      </c>
      <c r="E514" s="14"/>
      <c r="F514" s="59" t="s">
        <v>182</v>
      </c>
      <c r="G514" s="59"/>
    </row>
    <row r="515" spans="1:7">
      <c r="A515" s="30"/>
      <c r="B515" s="61"/>
      <c r="C515" s="31"/>
      <c r="D515" s="32"/>
      <c r="E515" s="14"/>
      <c r="F515" s="50"/>
      <c r="G515" s="59"/>
    </row>
    <row r="516" spans="1:7" ht="105.6">
      <c r="A516" s="30" t="s">
        <v>24</v>
      </c>
      <c r="B516" s="61" t="s">
        <v>185</v>
      </c>
      <c r="C516" s="31">
        <v>1</v>
      </c>
      <c r="D516" s="32" t="s">
        <v>2</v>
      </c>
      <c r="E516" s="14"/>
      <c r="F516" s="59" t="s">
        <v>182</v>
      </c>
      <c r="G516" s="59"/>
    </row>
    <row r="517" spans="1:7">
      <c r="A517" s="30"/>
      <c r="B517" s="61"/>
      <c r="C517" s="31"/>
      <c r="D517" s="32"/>
      <c r="E517" s="14"/>
      <c r="F517" s="54"/>
      <c r="G517" s="63"/>
    </row>
    <row r="518" spans="1:7" ht="92.45">
      <c r="A518" s="30" t="s">
        <v>28</v>
      </c>
      <c r="B518" s="61" t="s">
        <v>186</v>
      </c>
      <c r="C518" s="31">
        <v>1</v>
      </c>
      <c r="D518" s="32" t="s">
        <v>2</v>
      </c>
      <c r="E518" s="14"/>
      <c r="F518" s="59" t="s">
        <v>182</v>
      </c>
      <c r="G518" s="59"/>
    </row>
    <row r="519" spans="1:7">
      <c r="A519" s="30"/>
      <c r="B519" s="19"/>
      <c r="C519" s="31"/>
      <c r="D519" s="32"/>
      <c r="E519" s="14"/>
      <c r="F519" s="50"/>
      <c r="G519" s="59"/>
    </row>
    <row r="520" spans="1:7">
      <c r="A520" s="30"/>
      <c r="B520" s="19"/>
      <c r="C520" s="31"/>
      <c r="D520" s="32"/>
      <c r="E520" s="14"/>
      <c r="F520" s="50"/>
      <c r="G520" s="59"/>
    </row>
    <row r="521" spans="1:7">
      <c r="A521" s="30"/>
      <c r="B521" s="19"/>
      <c r="C521" s="31"/>
      <c r="D521" s="32"/>
      <c r="E521" s="14"/>
      <c r="F521" s="50"/>
      <c r="G521" s="59"/>
    </row>
    <row r="522" spans="1:7">
      <c r="A522" s="30"/>
      <c r="B522" s="19"/>
      <c r="C522" s="31"/>
      <c r="D522" s="32"/>
      <c r="E522" s="14"/>
      <c r="F522" s="50"/>
      <c r="G522" s="59"/>
    </row>
    <row r="523" spans="1:7">
      <c r="A523" s="30"/>
      <c r="B523" s="19"/>
      <c r="C523" s="31"/>
      <c r="D523" s="32"/>
      <c r="E523" s="14"/>
      <c r="F523" s="50"/>
      <c r="G523" s="59"/>
    </row>
    <row r="524" spans="1:7">
      <c r="A524" s="30"/>
      <c r="B524" s="19"/>
      <c r="C524" s="31"/>
      <c r="D524" s="32"/>
      <c r="E524" s="15"/>
      <c r="F524" s="52"/>
      <c r="G524" s="65"/>
    </row>
    <row r="525" spans="1:7">
      <c r="A525" s="34"/>
      <c r="B525" s="35"/>
      <c r="C525" s="36"/>
      <c r="D525" s="37"/>
      <c r="E525" s="14"/>
      <c r="F525" s="53"/>
      <c r="G525" s="68"/>
    </row>
    <row r="526" spans="1:7">
      <c r="A526" s="38"/>
      <c r="B526" s="39"/>
      <c r="C526" s="40" t="s">
        <v>13</v>
      </c>
      <c r="D526" s="41"/>
      <c r="E526" s="14"/>
      <c r="F526" s="50">
        <f>SUM(F512:F524)</f>
        <v>0</v>
      </c>
      <c r="G526" s="59"/>
    </row>
    <row r="527" spans="1:7">
      <c r="A527" s="38"/>
      <c r="B527" s="39"/>
      <c r="C527" s="42"/>
      <c r="D527" s="41"/>
      <c r="E527" s="14"/>
      <c r="F527" s="52"/>
      <c r="G527" s="65"/>
    </row>
    <row r="528" spans="1:7">
      <c r="A528" s="30"/>
      <c r="B528" s="19"/>
      <c r="C528" s="31"/>
      <c r="D528" s="32"/>
      <c r="E528" s="14"/>
      <c r="F528" s="50"/>
      <c r="G528" s="59"/>
    </row>
    <row r="529" spans="1:7" ht="14.45" customHeight="1">
      <c r="A529" s="30"/>
      <c r="B529" s="60" t="s">
        <v>187</v>
      </c>
      <c r="C529" s="31"/>
      <c r="D529" s="32"/>
      <c r="E529" s="14"/>
      <c r="F529" s="50"/>
      <c r="G529" s="59"/>
    </row>
    <row r="530" spans="1:7">
      <c r="A530" s="30"/>
      <c r="B530" s="61"/>
      <c r="C530" s="31"/>
      <c r="D530" s="32"/>
      <c r="E530" s="14"/>
      <c r="F530" s="50"/>
      <c r="G530" s="59"/>
    </row>
    <row r="531" spans="1:7" ht="92.45">
      <c r="A531" s="30" t="s">
        <v>17</v>
      </c>
      <c r="B531" s="61" t="s">
        <v>188</v>
      </c>
      <c r="C531" s="31">
        <v>1</v>
      </c>
      <c r="D531" s="32" t="s">
        <v>2</v>
      </c>
      <c r="E531" s="14"/>
      <c r="F531" s="59" t="s">
        <v>182</v>
      </c>
      <c r="G531" s="59"/>
    </row>
    <row r="532" spans="1:7">
      <c r="A532" s="30"/>
      <c r="B532" s="61"/>
      <c r="C532" s="31"/>
      <c r="D532" s="32"/>
      <c r="E532" s="14"/>
      <c r="F532" s="54"/>
      <c r="G532" s="63"/>
    </row>
    <row r="533" spans="1:7" ht="52.9">
      <c r="A533" s="30" t="s">
        <v>20</v>
      </c>
      <c r="B533" s="61" t="s">
        <v>189</v>
      </c>
      <c r="C533" s="31">
        <v>1</v>
      </c>
      <c r="D533" s="32" t="s">
        <v>2</v>
      </c>
      <c r="E533" s="14"/>
      <c r="F533" s="59" t="s">
        <v>182</v>
      </c>
      <c r="G533" s="59"/>
    </row>
    <row r="534" spans="1:7">
      <c r="A534" s="30"/>
      <c r="B534" s="19"/>
      <c r="C534" s="31"/>
      <c r="D534" s="32"/>
      <c r="E534" s="14"/>
      <c r="F534" s="54"/>
      <c r="G534" s="63"/>
    </row>
    <row r="535" spans="1:7">
      <c r="A535" s="30"/>
      <c r="B535" s="20" t="s">
        <v>190</v>
      </c>
      <c r="C535" s="31"/>
      <c r="D535" s="32"/>
      <c r="E535" s="14"/>
      <c r="F535" s="50"/>
      <c r="G535" s="59"/>
    </row>
    <row r="536" spans="1:7">
      <c r="A536" s="30"/>
      <c r="B536" s="19"/>
      <c r="C536" s="31"/>
      <c r="D536" s="32"/>
      <c r="E536" s="14"/>
      <c r="F536" s="54"/>
      <c r="G536" s="63"/>
    </row>
    <row r="537" spans="1:7" ht="52.9">
      <c r="A537" s="30" t="s">
        <v>24</v>
      </c>
      <c r="B537" s="19" t="s">
        <v>191</v>
      </c>
      <c r="C537" s="31">
        <v>1</v>
      </c>
      <c r="D537" s="32" t="s">
        <v>2</v>
      </c>
      <c r="E537" s="14"/>
      <c r="F537" s="63" t="s">
        <v>192</v>
      </c>
      <c r="G537" s="63" t="s">
        <v>193</v>
      </c>
    </row>
    <row r="538" spans="1:7">
      <c r="A538" s="30"/>
      <c r="B538" s="19"/>
      <c r="C538" s="31"/>
      <c r="D538" s="32"/>
      <c r="E538" s="14"/>
      <c r="F538" s="54"/>
      <c r="G538" s="63"/>
    </row>
    <row r="539" spans="1:7" ht="66">
      <c r="A539" s="30" t="s">
        <v>28</v>
      </c>
      <c r="B539" s="19" t="s">
        <v>194</v>
      </c>
      <c r="C539" s="31">
        <v>1</v>
      </c>
      <c r="D539" s="32" t="s">
        <v>2</v>
      </c>
      <c r="E539" s="14"/>
      <c r="F539" s="63" t="s">
        <v>192</v>
      </c>
      <c r="G539" s="63" t="s">
        <v>193</v>
      </c>
    </row>
    <row r="540" spans="1:7">
      <c r="A540" s="30"/>
      <c r="B540" s="19"/>
      <c r="C540" s="31"/>
      <c r="D540" s="32"/>
      <c r="E540" s="14"/>
      <c r="F540" s="54"/>
      <c r="G540" s="63"/>
    </row>
    <row r="541" spans="1:7" ht="39.6">
      <c r="A541" s="30" t="s">
        <v>30</v>
      </c>
      <c r="B541" s="19" t="s">
        <v>195</v>
      </c>
      <c r="C541" s="31">
        <v>1</v>
      </c>
      <c r="D541" s="32" t="s">
        <v>2</v>
      </c>
      <c r="E541" s="14"/>
      <c r="F541" s="63" t="s">
        <v>192</v>
      </c>
      <c r="G541" s="63" t="s">
        <v>193</v>
      </c>
    </row>
    <row r="542" spans="1:7">
      <c r="A542" s="30"/>
      <c r="B542" s="19"/>
      <c r="C542" s="31"/>
      <c r="D542" s="32"/>
      <c r="E542" s="14"/>
      <c r="F542" s="54"/>
      <c r="G542" s="63"/>
    </row>
    <row r="543" spans="1:7" ht="52.9">
      <c r="A543" s="30" t="s">
        <v>34</v>
      </c>
      <c r="B543" s="19" t="s">
        <v>196</v>
      </c>
      <c r="C543" s="31">
        <v>1</v>
      </c>
      <c r="D543" s="32" t="s">
        <v>2</v>
      </c>
      <c r="E543" s="14"/>
      <c r="F543" s="63" t="s">
        <v>192</v>
      </c>
      <c r="G543" s="63" t="s">
        <v>193</v>
      </c>
    </row>
    <row r="544" spans="1:7">
      <c r="A544" s="30"/>
      <c r="B544" s="19"/>
      <c r="C544" s="31"/>
      <c r="D544" s="32"/>
      <c r="E544" s="14"/>
      <c r="F544" s="54"/>
      <c r="G544" s="63"/>
    </row>
    <row r="545" spans="1:7" ht="26.45">
      <c r="A545" s="30" t="s">
        <v>36</v>
      </c>
      <c r="B545" s="19" t="s">
        <v>197</v>
      </c>
      <c r="C545" s="31">
        <v>1</v>
      </c>
      <c r="D545" s="32" t="s">
        <v>2</v>
      </c>
      <c r="E545" s="14"/>
      <c r="F545" s="63" t="s">
        <v>192</v>
      </c>
      <c r="G545" s="63" t="s">
        <v>193</v>
      </c>
    </row>
    <row r="546" spans="1:7">
      <c r="A546" s="30"/>
      <c r="B546" s="19"/>
      <c r="C546" s="31"/>
      <c r="D546" s="32"/>
      <c r="E546" s="14"/>
      <c r="F546" s="54"/>
      <c r="G546" s="63"/>
    </row>
    <row r="547" spans="1:7" ht="79.150000000000006">
      <c r="A547" s="30" t="s">
        <v>103</v>
      </c>
      <c r="B547" s="19" t="s">
        <v>198</v>
      </c>
      <c r="C547" s="31">
        <v>1</v>
      </c>
      <c r="D547" s="32" t="s">
        <v>2</v>
      </c>
      <c r="E547" s="14"/>
      <c r="F547" s="63" t="s">
        <v>192</v>
      </c>
      <c r="G547" s="63" t="s">
        <v>193</v>
      </c>
    </row>
    <row r="548" spans="1:7">
      <c r="A548" s="30"/>
      <c r="B548" s="19"/>
      <c r="C548" s="31"/>
      <c r="D548" s="32"/>
      <c r="E548" s="14"/>
      <c r="F548" s="50"/>
      <c r="G548" s="59"/>
    </row>
    <row r="549" spans="1:7">
      <c r="A549" s="30"/>
      <c r="B549" s="19"/>
      <c r="C549" s="31"/>
      <c r="D549" s="32"/>
      <c r="E549" s="14"/>
      <c r="F549" s="50"/>
      <c r="G549" s="59"/>
    </row>
    <row r="550" spans="1:7" ht="26.45">
      <c r="A550" s="30"/>
      <c r="B550" s="66" t="s">
        <v>91</v>
      </c>
      <c r="C550" s="31"/>
      <c r="D550" s="32"/>
      <c r="E550" s="14"/>
      <c r="F550" s="50"/>
      <c r="G550" s="59"/>
    </row>
    <row r="551" spans="1:7">
      <c r="A551" s="30"/>
      <c r="B551" s="19"/>
      <c r="C551" s="31"/>
      <c r="D551" s="32"/>
      <c r="E551" s="14"/>
      <c r="F551" s="50"/>
      <c r="G551" s="59"/>
    </row>
    <row r="552" spans="1:7">
      <c r="A552" s="30"/>
      <c r="B552" s="19"/>
      <c r="C552" s="31"/>
      <c r="D552" s="32"/>
      <c r="E552" s="14"/>
      <c r="F552" s="50"/>
      <c r="G552" s="59"/>
    </row>
    <row r="553" spans="1:7">
      <c r="A553" s="30"/>
      <c r="B553" s="19"/>
      <c r="C553" s="31"/>
      <c r="D553" s="32"/>
      <c r="E553" s="15"/>
      <c r="F553" s="52"/>
      <c r="G553" s="65"/>
    </row>
    <row r="554" spans="1:7">
      <c r="A554" s="34"/>
      <c r="B554" s="35"/>
      <c r="C554" s="36"/>
      <c r="D554" s="37"/>
      <c r="E554" s="14"/>
      <c r="F554" s="53"/>
      <c r="G554" s="68"/>
    </row>
    <row r="555" spans="1:7">
      <c r="A555" s="38"/>
      <c r="B555" s="39"/>
      <c r="C555" s="40" t="s">
        <v>13</v>
      </c>
      <c r="D555" s="41"/>
      <c r="E555" s="14"/>
      <c r="F555" s="50">
        <f>SUM(F531:F553)</f>
        <v>0</v>
      </c>
      <c r="G555" s="59"/>
    </row>
    <row r="556" spans="1:7">
      <c r="A556" s="38"/>
      <c r="B556" s="39"/>
      <c r="C556" s="42"/>
      <c r="D556" s="41"/>
      <c r="E556" s="14"/>
      <c r="F556" s="52"/>
      <c r="G556" s="65"/>
    </row>
    <row r="557" spans="1:7">
      <c r="A557" s="30"/>
      <c r="B557" s="19"/>
      <c r="C557" s="31"/>
      <c r="D557" s="32"/>
      <c r="E557" s="14"/>
      <c r="F557" s="50"/>
      <c r="G557" s="59"/>
    </row>
    <row r="558" spans="1:7">
      <c r="A558" s="30"/>
      <c r="B558" s="20" t="s">
        <v>170</v>
      </c>
      <c r="C558" s="31"/>
      <c r="D558" s="32"/>
      <c r="E558" s="14"/>
      <c r="F558" s="54"/>
      <c r="G558" s="63"/>
    </row>
    <row r="559" spans="1:7">
      <c r="A559" s="30"/>
      <c r="B559" s="19"/>
      <c r="C559" s="31"/>
      <c r="D559" s="32"/>
      <c r="E559" s="14"/>
      <c r="F559" s="54"/>
      <c r="G559" s="63"/>
    </row>
    <row r="560" spans="1:7" ht="66">
      <c r="A560" s="30" t="s">
        <v>17</v>
      </c>
      <c r="B560" s="19" t="s">
        <v>199</v>
      </c>
      <c r="C560" s="31"/>
      <c r="D560" s="32"/>
      <c r="E560" s="14"/>
      <c r="F560" s="54"/>
      <c r="G560" s="63"/>
    </row>
    <row r="561" spans="1:7">
      <c r="A561" s="30"/>
      <c r="B561" s="19"/>
      <c r="C561" s="31"/>
      <c r="D561" s="32"/>
      <c r="E561" s="14"/>
      <c r="F561" s="54"/>
      <c r="G561" s="63"/>
    </row>
    <row r="562" spans="1:7" ht="78.75" customHeight="1">
      <c r="A562" s="30"/>
      <c r="B562" s="20" t="s">
        <v>200</v>
      </c>
      <c r="C562" s="31"/>
      <c r="D562" s="32"/>
      <c r="E562" s="14"/>
      <c r="F562" s="54"/>
      <c r="G562" s="63"/>
    </row>
    <row r="563" spans="1:7">
      <c r="A563" s="30"/>
      <c r="B563" s="20"/>
      <c r="C563" s="31"/>
      <c r="D563" s="32"/>
      <c r="E563" s="14"/>
      <c r="F563" s="54"/>
      <c r="G563" s="63"/>
    </row>
    <row r="564" spans="1:7" ht="16.5" customHeight="1">
      <c r="A564" s="30" t="s">
        <v>20</v>
      </c>
      <c r="B564" s="19" t="s">
        <v>201</v>
      </c>
      <c r="C564" s="31">
        <v>1</v>
      </c>
      <c r="D564" s="32" t="s">
        <v>2</v>
      </c>
      <c r="E564" s="49">
        <v>774729.1</v>
      </c>
      <c r="F564" s="55" t="s">
        <v>202</v>
      </c>
      <c r="G564" s="69"/>
    </row>
    <row r="565" spans="1:7">
      <c r="A565" s="30"/>
      <c r="B565" s="19"/>
      <c r="C565" s="31"/>
      <c r="D565" s="32"/>
      <c r="E565" s="49"/>
      <c r="F565" s="55"/>
      <c r="G565" s="69"/>
    </row>
    <row r="566" spans="1:7" ht="26.45">
      <c r="A566" s="30" t="s">
        <v>24</v>
      </c>
      <c r="B566" s="19" t="s">
        <v>203</v>
      </c>
      <c r="C566" s="31">
        <v>1</v>
      </c>
      <c r="D566" s="32" t="s">
        <v>2</v>
      </c>
      <c r="E566" s="49">
        <v>190338.38</v>
      </c>
      <c r="F566" s="55" t="s">
        <v>202</v>
      </c>
      <c r="G566" s="69"/>
    </row>
    <row r="567" spans="1:7">
      <c r="A567" s="30"/>
      <c r="B567" s="19"/>
      <c r="C567" s="31"/>
      <c r="D567" s="32"/>
      <c r="E567" s="49"/>
      <c r="F567" s="55"/>
      <c r="G567" s="69"/>
    </row>
    <row r="568" spans="1:7" ht="26.45">
      <c r="A568" s="30" t="s">
        <v>28</v>
      </c>
      <c r="B568" s="19" t="s">
        <v>204</v>
      </c>
      <c r="C568" s="31">
        <v>1</v>
      </c>
      <c r="D568" s="32" t="s">
        <v>2</v>
      </c>
      <c r="E568" s="49">
        <v>29809.7</v>
      </c>
      <c r="F568" s="55" t="s">
        <v>202</v>
      </c>
      <c r="G568" s="69"/>
    </row>
    <row r="569" spans="1:7">
      <c r="A569" s="30"/>
      <c r="B569" s="19"/>
      <c r="C569" s="31"/>
      <c r="D569" s="32"/>
      <c r="E569" s="49"/>
      <c r="F569" s="55"/>
      <c r="G569" s="69"/>
    </row>
    <row r="570" spans="1:7" ht="26.45">
      <c r="A570" s="30" t="s">
        <v>30</v>
      </c>
      <c r="B570" s="19" t="s">
        <v>205</v>
      </c>
      <c r="C570" s="31">
        <v>1</v>
      </c>
      <c r="D570" s="32" t="s">
        <v>2</v>
      </c>
      <c r="E570" s="49">
        <v>102610.84</v>
      </c>
      <c r="F570" s="55" t="s">
        <v>202</v>
      </c>
      <c r="G570" s="69"/>
    </row>
    <row r="571" spans="1:7">
      <c r="A571" s="30"/>
      <c r="B571" s="19"/>
      <c r="C571" s="31"/>
      <c r="D571" s="32"/>
      <c r="E571" s="49"/>
      <c r="F571" s="55"/>
      <c r="G571" s="69"/>
    </row>
    <row r="572" spans="1:7" ht="26.45">
      <c r="A572" s="30" t="s">
        <v>34</v>
      </c>
      <c r="B572" s="19" t="s">
        <v>206</v>
      </c>
      <c r="C572" s="31">
        <v>1</v>
      </c>
      <c r="D572" s="32" t="s">
        <v>2</v>
      </c>
      <c r="E572" s="49">
        <v>74179.63</v>
      </c>
      <c r="F572" s="55" t="s">
        <v>202</v>
      </c>
      <c r="G572" s="69"/>
    </row>
    <row r="573" spans="1:7">
      <c r="A573" s="30"/>
      <c r="B573" s="19"/>
      <c r="C573" s="31"/>
      <c r="D573" s="32"/>
      <c r="E573" s="49"/>
      <c r="F573" s="55"/>
      <c r="G573" s="69"/>
    </row>
    <row r="574" spans="1:7" ht="26.45">
      <c r="A574" s="30" t="s">
        <v>36</v>
      </c>
      <c r="B574" s="19" t="s">
        <v>207</v>
      </c>
      <c r="C574" s="31">
        <v>1</v>
      </c>
      <c r="D574" s="32" t="s">
        <v>2</v>
      </c>
      <c r="E574" s="49">
        <v>40579.1</v>
      </c>
      <c r="F574" s="55" t="s">
        <v>202</v>
      </c>
      <c r="G574" s="69"/>
    </row>
    <row r="575" spans="1:7">
      <c r="A575" s="30"/>
      <c r="B575" s="19"/>
      <c r="C575" s="31"/>
      <c r="D575" s="32"/>
      <c r="E575" s="14"/>
      <c r="F575" s="50"/>
      <c r="G575" s="59"/>
    </row>
    <row r="576" spans="1:7" ht="132.75" customHeight="1">
      <c r="A576" s="30"/>
      <c r="B576" s="20" t="s">
        <v>208</v>
      </c>
      <c r="C576" s="31"/>
      <c r="D576" s="32"/>
      <c r="E576" s="14"/>
      <c r="F576" s="50"/>
      <c r="G576" s="59"/>
    </row>
    <row r="577" spans="1:7">
      <c r="A577" s="30"/>
      <c r="B577" s="19"/>
      <c r="C577" s="31"/>
      <c r="D577" s="32"/>
      <c r="E577" s="14"/>
      <c r="F577" s="50"/>
      <c r="G577" s="59"/>
    </row>
    <row r="578" spans="1:7">
      <c r="A578" s="30" t="s">
        <v>103</v>
      </c>
      <c r="B578" s="19" t="s">
        <v>209</v>
      </c>
      <c r="C578" s="31">
        <v>1</v>
      </c>
      <c r="D578" s="32" t="s">
        <v>2</v>
      </c>
      <c r="E578" s="14"/>
      <c r="F578" s="50" t="s">
        <v>19</v>
      </c>
      <c r="G578" s="59"/>
    </row>
    <row r="579" spans="1:7">
      <c r="A579" s="30"/>
      <c r="B579" s="19"/>
      <c r="C579" s="31"/>
      <c r="D579" s="32"/>
      <c r="E579" s="14"/>
      <c r="F579" s="50"/>
      <c r="G579" s="59"/>
    </row>
    <row r="580" spans="1:7">
      <c r="A580" s="30" t="s">
        <v>141</v>
      </c>
      <c r="B580" s="19" t="s">
        <v>210</v>
      </c>
      <c r="C580" s="31">
        <f>C570</f>
        <v>1</v>
      </c>
      <c r="D580" s="32" t="s">
        <v>2</v>
      </c>
      <c r="E580" s="14"/>
      <c r="F580" s="50" t="s">
        <v>19</v>
      </c>
      <c r="G580" s="59"/>
    </row>
    <row r="581" spans="1:7">
      <c r="A581" s="30"/>
      <c r="B581" s="19"/>
      <c r="C581" s="31"/>
      <c r="D581" s="32"/>
      <c r="E581" s="14"/>
      <c r="F581" s="50"/>
      <c r="G581" s="59"/>
    </row>
    <row r="582" spans="1:7">
      <c r="A582" s="30" t="s">
        <v>168</v>
      </c>
      <c r="B582" s="19" t="s">
        <v>211</v>
      </c>
      <c r="C582" s="31">
        <v>1</v>
      </c>
      <c r="D582" s="32" t="s">
        <v>2</v>
      </c>
      <c r="E582" s="14"/>
      <c r="F582" s="50" t="s">
        <v>19</v>
      </c>
      <c r="G582" s="59"/>
    </row>
    <row r="583" spans="1:7">
      <c r="A583" s="30"/>
      <c r="B583" s="19"/>
      <c r="C583" s="31"/>
      <c r="D583" s="32"/>
      <c r="E583" s="14"/>
      <c r="F583" s="50"/>
      <c r="G583" s="59"/>
    </row>
    <row r="584" spans="1:7">
      <c r="A584" s="30"/>
      <c r="B584" s="19"/>
      <c r="C584" s="31"/>
      <c r="D584" s="32"/>
      <c r="E584" s="14"/>
      <c r="F584" s="50"/>
      <c r="G584" s="59"/>
    </row>
    <row r="585" spans="1:7">
      <c r="A585" s="30"/>
      <c r="B585" s="19"/>
      <c r="C585" s="31"/>
      <c r="D585" s="32"/>
      <c r="E585" s="14"/>
      <c r="F585" s="50"/>
      <c r="G585" s="59"/>
    </row>
    <row r="586" spans="1:7">
      <c r="A586" s="30"/>
      <c r="B586" s="19"/>
      <c r="C586" s="31"/>
      <c r="D586" s="32"/>
      <c r="E586" s="15"/>
      <c r="F586" s="52"/>
      <c r="G586" s="65"/>
    </row>
    <row r="587" spans="1:7">
      <c r="A587" s="34"/>
      <c r="B587" s="35"/>
      <c r="C587" s="36"/>
      <c r="D587" s="37"/>
      <c r="E587" s="14"/>
      <c r="F587" s="53"/>
      <c r="G587" s="68"/>
    </row>
    <row r="588" spans="1:7">
      <c r="A588" s="38"/>
      <c r="B588" s="39"/>
      <c r="C588" s="40" t="s">
        <v>13</v>
      </c>
      <c r="D588" s="41"/>
      <c r="E588" s="14"/>
      <c r="F588" s="50">
        <f>SUM(F560:F586)</f>
        <v>0</v>
      </c>
      <c r="G588" s="59"/>
    </row>
    <row r="589" spans="1:7">
      <c r="A589" s="38"/>
      <c r="B589" s="39"/>
      <c r="C589" s="42"/>
      <c r="D589" s="41"/>
      <c r="E589" s="14"/>
      <c r="F589" s="52"/>
      <c r="G589" s="65"/>
    </row>
    <row r="590" spans="1:7">
      <c r="A590" s="30"/>
      <c r="B590" s="19"/>
      <c r="C590" s="31"/>
      <c r="D590" s="32"/>
      <c r="E590" s="14"/>
      <c r="F590" s="50"/>
      <c r="G590" s="59"/>
    </row>
    <row r="591" spans="1:7">
      <c r="A591" s="30"/>
      <c r="B591" s="20" t="s">
        <v>170</v>
      </c>
      <c r="C591" s="31"/>
      <c r="D591" s="32"/>
      <c r="E591" s="14"/>
      <c r="F591" s="50"/>
      <c r="G591" s="59"/>
    </row>
    <row r="592" spans="1:7">
      <c r="A592" s="30"/>
      <c r="B592" s="20"/>
      <c r="C592" s="31"/>
      <c r="D592" s="32"/>
      <c r="E592" s="14"/>
      <c r="F592" s="50"/>
      <c r="G592" s="59"/>
    </row>
    <row r="593" spans="1:7">
      <c r="A593" s="30" t="s">
        <v>17</v>
      </c>
      <c r="B593" s="19" t="s">
        <v>212</v>
      </c>
      <c r="C593" s="31">
        <v>1</v>
      </c>
      <c r="D593" s="32" t="s">
        <v>2</v>
      </c>
      <c r="E593" s="14"/>
      <c r="F593" s="50" t="s">
        <v>19</v>
      </c>
      <c r="G593" s="59"/>
    </row>
    <row r="594" spans="1:7">
      <c r="A594" s="30"/>
      <c r="B594" s="19"/>
      <c r="C594" s="31"/>
      <c r="D594" s="32"/>
      <c r="E594" s="14"/>
      <c r="F594" s="50"/>
      <c r="G594" s="59"/>
    </row>
    <row r="595" spans="1:7">
      <c r="A595" s="30" t="s">
        <v>20</v>
      </c>
      <c r="B595" s="19" t="s">
        <v>213</v>
      </c>
      <c r="C595" s="31">
        <v>1</v>
      </c>
      <c r="D595" s="32" t="s">
        <v>2</v>
      </c>
      <c r="E595" s="14"/>
      <c r="F595" s="50" t="s">
        <v>19</v>
      </c>
      <c r="G595" s="59"/>
    </row>
    <row r="596" spans="1:7">
      <c r="A596" s="30"/>
      <c r="B596" s="19"/>
      <c r="C596" s="31"/>
      <c r="D596" s="32"/>
      <c r="E596" s="14"/>
      <c r="F596" s="50"/>
      <c r="G596" s="59"/>
    </row>
    <row r="597" spans="1:7">
      <c r="A597" s="30" t="s">
        <v>24</v>
      </c>
      <c r="B597" s="19" t="s">
        <v>214</v>
      </c>
      <c r="C597" s="31">
        <v>1</v>
      </c>
      <c r="D597" s="32" t="s">
        <v>2</v>
      </c>
      <c r="E597" s="14"/>
      <c r="F597" s="50" t="s">
        <v>19</v>
      </c>
      <c r="G597" s="59"/>
    </row>
    <row r="598" spans="1:7">
      <c r="A598" s="30"/>
      <c r="B598" s="19"/>
      <c r="C598" s="31"/>
      <c r="D598" s="32"/>
      <c r="E598" s="14"/>
      <c r="F598" s="50"/>
      <c r="G598" s="59"/>
    </row>
    <row r="599" spans="1:7">
      <c r="A599" s="30" t="s">
        <v>28</v>
      </c>
      <c r="B599" s="19" t="s">
        <v>215</v>
      </c>
      <c r="C599" s="31">
        <v>1</v>
      </c>
      <c r="D599" s="32" t="s">
        <v>2</v>
      </c>
      <c r="E599" s="14"/>
      <c r="F599" s="50" t="s">
        <v>19</v>
      </c>
      <c r="G599" s="59"/>
    </row>
    <row r="600" spans="1:7">
      <c r="A600" s="30"/>
      <c r="B600" s="19"/>
      <c r="C600" s="31"/>
      <c r="D600" s="32"/>
      <c r="E600" s="14"/>
      <c r="F600" s="50"/>
      <c r="G600" s="59"/>
    </row>
    <row r="601" spans="1:7">
      <c r="A601" s="30" t="s">
        <v>30</v>
      </c>
      <c r="B601" s="19" t="s">
        <v>216</v>
      </c>
      <c r="C601" s="31">
        <v>1</v>
      </c>
      <c r="D601" s="32" t="s">
        <v>2</v>
      </c>
      <c r="E601" s="14"/>
      <c r="F601" s="50" t="s">
        <v>19</v>
      </c>
      <c r="G601" s="59"/>
    </row>
    <row r="602" spans="1:7">
      <c r="A602" s="30"/>
      <c r="B602" s="19"/>
      <c r="C602" s="31"/>
      <c r="D602" s="32"/>
      <c r="E602" s="14"/>
      <c r="F602" s="50"/>
      <c r="G602" s="59"/>
    </row>
    <row r="603" spans="1:7">
      <c r="A603" s="30" t="s">
        <v>34</v>
      </c>
      <c r="B603" s="19" t="s">
        <v>217</v>
      </c>
      <c r="C603" s="31">
        <v>1</v>
      </c>
      <c r="D603" s="32" t="s">
        <v>2</v>
      </c>
      <c r="E603" s="14"/>
      <c r="F603" s="50" t="s">
        <v>19</v>
      </c>
      <c r="G603" s="59"/>
    </row>
    <row r="604" spans="1:7">
      <c r="A604" s="30"/>
      <c r="B604" s="19"/>
      <c r="C604" s="31"/>
      <c r="D604" s="32"/>
      <c r="E604" s="14"/>
      <c r="F604" s="50"/>
      <c r="G604" s="59"/>
    </row>
    <row r="605" spans="1:7">
      <c r="A605" s="30" t="s">
        <v>36</v>
      </c>
      <c r="B605" s="19" t="s">
        <v>218</v>
      </c>
      <c r="C605" s="31">
        <v>1</v>
      </c>
      <c r="D605" s="32" t="s">
        <v>2</v>
      </c>
      <c r="E605" s="14"/>
      <c r="F605" s="50" t="s">
        <v>19</v>
      </c>
      <c r="G605" s="59"/>
    </row>
    <row r="606" spans="1:7">
      <c r="A606" s="30"/>
      <c r="B606" s="19"/>
      <c r="C606" s="31"/>
      <c r="D606" s="32"/>
      <c r="E606" s="14"/>
      <c r="F606" s="50"/>
      <c r="G606" s="59"/>
    </row>
    <row r="607" spans="1:7" ht="52.9">
      <c r="A607" s="30" t="s">
        <v>103</v>
      </c>
      <c r="B607" s="19" t="s">
        <v>219</v>
      </c>
      <c r="C607" s="31">
        <v>1</v>
      </c>
      <c r="D607" s="32" t="s">
        <v>2</v>
      </c>
      <c r="E607" s="14"/>
      <c r="F607" s="50" t="s">
        <v>19</v>
      </c>
      <c r="G607" s="59"/>
    </row>
    <row r="608" spans="1:7">
      <c r="A608" s="30"/>
      <c r="B608" s="19" t="s">
        <v>42</v>
      </c>
      <c r="C608" s="31"/>
      <c r="D608" s="32"/>
      <c r="E608" s="14"/>
      <c r="F608" s="50"/>
      <c r="G608" s="59"/>
    </row>
    <row r="609" spans="1:7">
      <c r="A609" s="30"/>
      <c r="B609" s="19" t="s">
        <v>42</v>
      </c>
      <c r="C609" s="31"/>
      <c r="D609" s="32"/>
      <c r="E609" s="14"/>
      <c r="F609" s="50"/>
      <c r="G609" s="59"/>
    </row>
    <row r="610" spans="1:7">
      <c r="A610" s="30"/>
      <c r="B610" s="19" t="s">
        <v>42</v>
      </c>
      <c r="C610" s="31"/>
      <c r="D610" s="32"/>
      <c r="E610" s="14"/>
      <c r="F610" s="50"/>
      <c r="G610" s="59"/>
    </row>
    <row r="611" spans="1:7">
      <c r="A611" s="30"/>
      <c r="B611" s="19" t="s">
        <v>42</v>
      </c>
      <c r="C611" s="31"/>
      <c r="D611" s="32"/>
      <c r="E611" s="14"/>
      <c r="F611" s="50"/>
      <c r="G611" s="59"/>
    </row>
    <row r="612" spans="1:7">
      <c r="A612" s="30"/>
      <c r="B612" s="19"/>
      <c r="C612" s="31"/>
      <c r="D612" s="32"/>
      <c r="E612" s="14"/>
      <c r="F612" s="50"/>
      <c r="G612" s="59"/>
    </row>
    <row r="613" spans="1:7">
      <c r="A613" s="30"/>
      <c r="B613" s="20" t="s">
        <v>220</v>
      </c>
      <c r="C613" s="31"/>
      <c r="D613" s="32"/>
      <c r="E613" s="14"/>
      <c r="F613" s="50"/>
      <c r="G613" s="59"/>
    </row>
    <row r="614" spans="1:7">
      <c r="A614" s="30"/>
      <c r="B614" s="20"/>
      <c r="C614" s="31"/>
      <c r="D614" s="32"/>
      <c r="E614" s="14"/>
      <c r="F614" s="50"/>
      <c r="G614" s="59"/>
    </row>
    <row r="615" spans="1:7">
      <c r="A615" s="30"/>
      <c r="B615" s="19" t="s">
        <v>221</v>
      </c>
      <c r="C615" s="31"/>
      <c r="D615" s="32"/>
      <c r="E615" s="14"/>
      <c r="F615" s="50"/>
      <c r="G615" s="59"/>
    </row>
    <row r="616" spans="1:7">
      <c r="A616" s="30"/>
      <c r="B616" s="19"/>
      <c r="C616" s="31"/>
      <c r="D616" s="32"/>
      <c r="E616" s="14"/>
      <c r="F616" s="50"/>
      <c r="G616" s="59"/>
    </row>
    <row r="617" spans="1:7" ht="79.150000000000006">
      <c r="A617" s="30" t="s">
        <v>141</v>
      </c>
      <c r="B617" s="19" t="s">
        <v>222</v>
      </c>
      <c r="C617" s="31">
        <v>1</v>
      </c>
      <c r="D617" s="32" t="s">
        <v>2</v>
      </c>
      <c r="E617" s="14"/>
      <c r="F617" s="50" t="s">
        <v>19</v>
      </c>
      <c r="G617" s="59"/>
    </row>
    <row r="618" spans="1:7">
      <c r="A618" s="30"/>
      <c r="B618" s="19"/>
      <c r="C618" s="31"/>
      <c r="D618" s="32"/>
      <c r="E618" s="14"/>
      <c r="F618" s="50"/>
      <c r="G618" s="59"/>
    </row>
    <row r="619" spans="1:7">
      <c r="A619" s="30"/>
      <c r="B619" s="19"/>
      <c r="C619" s="31"/>
      <c r="D619" s="32"/>
      <c r="E619" s="14"/>
      <c r="F619" s="50"/>
      <c r="G619" s="59"/>
    </row>
    <row r="620" spans="1:7">
      <c r="A620" s="30"/>
      <c r="B620" s="19"/>
      <c r="C620" s="31"/>
      <c r="D620" s="32"/>
      <c r="E620" s="14"/>
      <c r="F620" s="50"/>
      <c r="G620" s="59"/>
    </row>
    <row r="621" spans="1:7">
      <c r="A621" s="30"/>
      <c r="B621" s="19"/>
      <c r="C621" s="31"/>
      <c r="D621" s="32"/>
      <c r="E621" s="14"/>
      <c r="F621" s="50"/>
      <c r="G621" s="59"/>
    </row>
    <row r="622" spans="1:7">
      <c r="A622" s="30"/>
      <c r="B622" s="19"/>
      <c r="C622" s="31"/>
      <c r="D622" s="32"/>
      <c r="E622" s="14"/>
      <c r="F622" s="50"/>
      <c r="G622" s="59"/>
    </row>
    <row r="623" spans="1:7">
      <c r="A623" s="30"/>
      <c r="B623" s="19"/>
      <c r="C623" s="31"/>
      <c r="D623" s="32"/>
      <c r="E623" s="14"/>
      <c r="F623" s="50"/>
      <c r="G623" s="59"/>
    </row>
    <row r="624" spans="1:7">
      <c r="A624" s="30"/>
      <c r="B624" s="19"/>
      <c r="C624" s="31"/>
      <c r="D624" s="32"/>
      <c r="E624" s="14"/>
      <c r="F624" s="50"/>
      <c r="G624" s="59"/>
    </row>
    <row r="625" spans="1:7">
      <c r="A625" s="30"/>
      <c r="B625" s="19"/>
      <c r="C625" s="31"/>
      <c r="D625" s="32"/>
      <c r="E625" s="14"/>
      <c r="F625" s="50"/>
      <c r="G625" s="59"/>
    </row>
    <row r="626" spans="1:7">
      <c r="A626" s="30"/>
      <c r="B626" s="19"/>
      <c r="C626" s="31"/>
      <c r="D626" s="32"/>
      <c r="E626" s="14"/>
      <c r="F626" s="50"/>
      <c r="G626" s="59"/>
    </row>
    <row r="627" spans="1:7">
      <c r="A627" s="30"/>
      <c r="B627" s="19"/>
      <c r="C627" s="31"/>
      <c r="D627" s="32"/>
      <c r="E627" s="14"/>
      <c r="F627" s="50"/>
      <c r="G627" s="59"/>
    </row>
    <row r="628" spans="1:7">
      <c r="A628" s="30"/>
      <c r="B628" s="19"/>
      <c r="C628" s="31"/>
      <c r="D628" s="32"/>
      <c r="E628" s="14"/>
      <c r="F628" s="50"/>
      <c r="G628" s="59"/>
    </row>
    <row r="629" spans="1:7">
      <c r="A629" s="30"/>
      <c r="B629" s="19"/>
      <c r="C629" s="31"/>
      <c r="D629" s="32"/>
      <c r="E629" s="14"/>
      <c r="F629" s="50"/>
      <c r="G629" s="59"/>
    </row>
    <row r="630" spans="1:7">
      <c r="A630" s="30"/>
      <c r="B630" s="19"/>
      <c r="C630" s="31"/>
      <c r="D630" s="32"/>
      <c r="E630" s="14"/>
      <c r="F630" s="50"/>
      <c r="G630" s="59"/>
    </row>
    <row r="631" spans="1:7">
      <c r="A631" s="30"/>
      <c r="B631" s="19"/>
      <c r="C631" s="31"/>
      <c r="D631" s="32"/>
      <c r="E631" s="14"/>
      <c r="F631" s="50"/>
      <c r="G631" s="59"/>
    </row>
    <row r="632" spans="1:7">
      <c r="A632" s="30"/>
      <c r="B632" s="19"/>
      <c r="C632" s="31"/>
      <c r="D632" s="32"/>
      <c r="E632" s="14"/>
      <c r="F632" s="50"/>
      <c r="G632" s="59"/>
    </row>
    <row r="633" spans="1:7">
      <c r="A633" s="30"/>
      <c r="B633" s="19"/>
      <c r="C633" s="31"/>
      <c r="D633" s="32"/>
      <c r="E633" s="14"/>
      <c r="F633" s="50"/>
      <c r="G633" s="59"/>
    </row>
    <row r="634" spans="1:7">
      <c r="A634" s="30"/>
      <c r="B634" s="19"/>
      <c r="C634" s="31"/>
      <c r="D634" s="32"/>
      <c r="E634" s="14"/>
      <c r="F634" s="50"/>
      <c r="G634" s="59"/>
    </row>
    <row r="635" spans="1:7">
      <c r="A635" s="30"/>
      <c r="B635" s="19"/>
      <c r="C635" s="31"/>
      <c r="D635" s="32"/>
      <c r="E635" s="15"/>
      <c r="F635" s="52"/>
      <c r="G635" s="65"/>
    </row>
    <row r="636" spans="1:7">
      <c r="A636" s="34"/>
      <c r="B636" s="35"/>
      <c r="C636" s="36"/>
      <c r="D636" s="37"/>
      <c r="E636" s="14"/>
      <c r="F636" s="53"/>
      <c r="G636" s="68"/>
    </row>
    <row r="637" spans="1:7">
      <c r="A637" s="38"/>
      <c r="B637" s="39"/>
      <c r="C637" s="40" t="s">
        <v>13</v>
      </c>
      <c r="D637" s="41"/>
      <c r="E637" s="14"/>
      <c r="F637" s="50">
        <f>SUM(F591:F635)</f>
        <v>0</v>
      </c>
      <c r="G637" s="59"/>
    </row>
    <row r="638" spans="1:7">
      <c r="A638" s="38"/>
      <c r="B638" s="39"/>
      <c r="C638" s="42"/>
      <c r="D638" s="41"/>
      <c r="E638" s="14"/>
      <c r="F638" s="52"/>
      <c r="G638" s="65"/>
    </row>
    <row r="639" spans="1:7">
      <c r="A639" s="30"/>
      <c r="B639" s="19"/>
      <c r="C639" s="31"/>
      <c r="D639" s="32"/>
      <c r="E639" s="14"/>
      <c r="F639" s="50"/>
      <c r="G639" s="59"/>
    </row>
    <row r="640" spans="1:7">
      <c r="A640" s="30"/>
      <c r="B640" s="20" t="s">
        <v>223</v>
      </c>
      <c r="C640" s="31"/>
      <c r="D640" s="32"/>
      <c r="E640" s="14"/>
      <c r="F640" s="50"/>
      <c r="G640" s="59"/>
    </row>
    <row r="641" spans="1:7">
      <c r="A641" s="30"/>
      <c r="B641" s="20"/>
      <c r="C641" s="31"/>
      <c r="D641" s="32"/>
      <c r="E641" s="14"/>
      <c r="F641" s="50"/>
      <c r="G641" s="59"/>
    </row>
    <row r="642" spans="1:7">
      <c r="A642" s="30"/>
      <c r="B642" s="20" t="s">
        <v>224</v>
      </c>
      <c r="C642" s="31"/>
      <c r="D642" s="32"/>
      <c r="E642" s="14"/>
      <c r="F642" s="50"/>
      <c r="G642" s="59"/>
    </row>
    <row r="643" spans="1:7">
      <c r="A643" s="30"/>
      <c r="B643" s="20"/>
      <c r="C643" s="31"/>
      <c r="D643" s="32"/>
      <c r="E643" s="14"/>
      <c r="F643" s="50"/>
      <c r="G643" s="59"/>
    </row>
    <row r="644" spans="1:7">
      <c r="A644" s="30" t="s">
        <v>17</v>
      </c>
      <c r="B644" s="19" t="s">
        <v>225</v>
      </c>
      <c r="C644" s="31">
        <v>1</v>
      </c>
      <c r="D644" s="32" t="s">
        <v>2</v>
      </c>
      <c r="E644" s="14"/>
      <c r="F644" s="50">
        <v>709783.1</v>
      </c>
      <c r="G644" s="59"/>
    </row>
    <row r="645" spans="1:7">
      <c r="A645" s="30"/>
      <c r="B645" s="19"/>
      <c r="C645" s="31"/>
      <c r="D645" s="32"/>
      <c r="E645" s="14"/>
      <c r="F645" s="50"/>
      <c r="G645" s="59"/>
    </row>
    <row r="646" spans="1:7" ht="26.45">
      <c r="A646" s="30" t="s">
        <v>20</v>
      </c>
      <c r="B646" s="19" t="s">
        <v>226</v>
      </c>
      <c r="C646" s="31">
        <v>1</v>
      </c>
      <c r="D646" s="32" t="s">
        <v>2</v>
      </c>
      <c r="E646" s="14"/>
      <c r="F646" s="63" t="s">
        <v>227</v>
      </c>
      <c r="G646" s="63"/>
    </row>
    <row r="647" spans="1:7">
      <c r="A647" s="30"/>
      <c r="B647" s="19"/>
      <c r="C647" s="31"/>
      <c r="D647" s="32"/>
      <c r="E647" s="14"/>
      <c r="F647" s="50"/>
      <c r="G647" s="59"/>
    </row>
    <row r="648" spans="1:7">
      <c r="A648" s="30"/>
      <c r="B648" s="20" t="s">
        <v>228</v>
      </c>
      <c r="C648" s="31"/>
      <c r="D648" s="32"/>
      <c r="E648" s="14"/>
      <c r="F648" s="50"/>
      <c r="G648" s="59"/>
    </row>
    <row r="649" spans="1:7">
      <c r="A649" s="30"/>
      <c r="B649" s="19"/>
      <c r="C649" s="31"/>
      <c r="D649" s="32"/>
      <c r="E649" s="14"/>
      <c r="F649" s="50"/>
      <c r="G649" s="59"/>
    </row>
    <row r="650" spans="1:7" ht="26.45">
      <c r="A650" s="30" t="s">
        <v>24</v>
      </c>
      <c r="B650" s="19" t="s">
        <v>229</v>
      </c>
      <c r="C650" s="31">
        <v>1</v>
      </c>
      <c r="D650" s="32" t="s">
        <v>2</v>
      </c>
      <c r="E650" s="14"/>
      <c r="F650" s="50">
        <v>58359.21</v>
      </c>
      <c r="G650" s="59"/>
    </row>
    <row r="651" spans="1:7">
      <c r="A651" s="30"/>
      <c r="B651" s="19"/>
      <c r="C651" s="31"/>
      <c r="D651" s="32"/>
      <c r="E651" s="14"/>
      <c r="F651" s="50"/>
      <c r="G651" s="59"/>
    </row>
    <row r="652" spans="1:7">
      <c r="A652" s="30"/>
      <c r="B652" s="20" t="s">
        <v>230</v>
      </c>
      <c r="C652" s="31"/>
      <c r="D652" s="32"/>
      <c r="E652" s="14"/>
      <c r="F652" s="50"/>
      <c r="G652" s="59"/>
    </row>
    <row r="653" spans="1:7">
      <c r="A653" s="30"/>
      <c r="B653" s="19"/>
      <c r="C653" s="31"/>
      <c r="D653" s="32"/>
      <c r="E653" s="14"/>
      <c r="F653" s="50"/>
      <c r="G653" s="59"/>
    </row>
    <row r="654" spans="1:7" ht="79.150000000000006">
      <c r="A654" s="30" t="s">
        <v>28</v>
      </c>
      <c r="B654" s="19" t="s">
        <v>231</v>
      </c>
      <c r="C654" s="31">
        <v>1</v>
      </c>
      <c r="D654" s="32" t="s">
        <v>2</v>
      </c>
      <c r="E654" s="14"/>
      <c r="F654" s="54" t="s">
        <v>19</v>
      </c>
      <c r="G654" s="63"/>
    </row>
    <row r="655" spans="1:7">
      <c r="A655" s="30"/>
      <c r="B655" s="19"/>
      <c r="C655" s="31"/>
      <c r="D655" s="32"/>
      <c r="E655" s="14"/>
      <c r="F655" s="50"/>
      <c r="G655" s="59"/>
    </row>
    <row r="656" spans="1:7">
      <c r="A656" s="30"/>
      <c r="B656" s="20" t="s">
        <v>232</v>
      </c>
      <c r="C656" s="31"/>
      <c r="D656" s="32"/>
      <c r="E656" s="14"/>
      <c r="F656" s="50"/>
      <c r="G656" s="59"/>
    </row>
    <row r="657" spans="1:7">
      <c r="A657" s="30"/>
      <c r="B657" s="20"/>
      <c r="C657" s="31"/>
      <c r="D657" s="32"/>
      <c r="E657" s="14"/>
      <c r="F657" s="50"/>
      <c r="G657" s="59"/>
    </row>
    <row r="658" spans="1:7" ht="24.75" customHeight="1">
      <c r="A658" s="30" t="s">
        <v>30</v>
      </c>
      <c r="B658" s="19" t="s">
        <v>233</v>
      </c>
      <c r="C658" s="31">
        <v>1</v>
      </c>
      <c r="D658" s="32" t="s">
        <v>2</v>
      </c>
      <c r="E658" s="14"/>
      <c r="F658" s="50">
        <v>495607.71</v>
      </c>
      <c r="G658" s="59"/>
    </row>
    <row r="659" spans="1:7">
      <c r="A659" s="30"/>
      <c r="B659" s="19"/>
      <c r="C659" s="31"/>
      <c r="D659" s="32"/>
      <c r="E659" s="14"/>
      <c r="F659" s="50"/>
      <c r="G659" s="59"/>
    </row>
    <row r="660" spans="1:7">
      <c r="A660" s="30"/>
      <c r="B660" s="20" t="s">
        <v>234</v>
      </c>
      <c r="C660" s="31"/>
      <c r="D660" s="32"/>
      <c r="E660" s="14"/>
      <c r="F660" s="50"/>
      <c r="G660" s="59"/>
    </row>
    <row r="661" spans="1:7">
      <c r="A661" s="30"/>
      <c r="B661" s="20"/>
      <c r="C661" s="31"/>
      <c r="D661" s="32"/>
      <c r="E661" s="14"/>
      <c r="F661" s="50"/>
      <c r="G661" s="59"/>
    </row>
    <row r="662" spans="1:7" ht="26.45">
      <c r="A662" s="30" t="s">
        <v>34</v>
      </c>
      <c r="B662" s="19" t="s">
        <v>235</v>
      </c>
      <c r="C662" s="31">
        <v>1</v>
      </c>
      <c r="D662" s="32" t="s">
        <v>2</v>
      </c>
      <c r="E662" s="14"/>
      <c r="F662" s="50">
        <v>1653865.82</v>
      </c>
      <c r="G662" s="59"/>
    </row>
    <row r="663" spans="1:7" s="79" customFormat="1" ht="39.6">
      <c r="A663" s="73" t="s">
        <v>115</v>
      </c>
      <c r="B663" s="74" t="s">
        <v>236</v>
      </c>
      <c r="C663" s="75">
        <v>1</v>
      </c>
      <c r="D663" s="76" t="s">
        <v>2</v>
      </c>
      <c r="E663" s="77"/>
      <c r="F663" s="78">
        <v>140718</v>
      </c>
      <c r="G663" s="78"/>
    </row>
    <row r="664" spans="1:7">
      <c r="A664" s="30"/>
      <c r="B664" s="19"/>
      <c r="C664" s="31"/>
      <c r="D664" s="32"/>
      <c r="E664" s="14"/>
      <c r="F664" s="50"/>
      <c r="G664" s="59"/>
    </row>
    <row r="665" spans="1:7">
      <c r="A665" s="30"/>
      <c r="B665" s="20" t="s">
        <v>237</v>
      </c>
      <c r="C665" s="31"/>
      <c r="D665" s="32"/>
      <c r="E665" s="14"/>
      <c r="F665" s="50"/>
      <c r="G665" s="59"/>
    </row>
    <row r="666" spans="1:7">
      <c r="A666" s="30"/>
      <c r="B666" s="20"/>
      <c r="C666" s="31"/>
      <c r="D666" s="32"/>
      <c r="E666" s="14"/>
      <c r="F666" s="50"/>
      <c r="G666" s="59"/>
    </row>
    <row r="667" spans="1:7">
      <c r="A667" s="30" t="s">
        <v>36</v>
      </c>
      <c r="B667" s="19" t="s">
        <v>238</v>
      </c>
      <c r="C667" s="31">
        <v>1</v>
      </c>
      <c r="D667" s="32" t="s">
        <v>2</v>
      </c>
      <c r="E667" s="14"/>
      <c r="F667" s="50" t="s">
        <v>19</v>
      </c>
      <c r="G667" s="59"/>
    </row>
    <row r="668" spans="1:7">
      <c r="A668" s="30"/>
      <c r="B668" s="19"/>
      <c r="C668" s="31"/>
      <c r="D668" s="32"/>
      <c r="E668" s="14"/>
      <c r="F668" s="50"/>
      <c r="G668" s="59"/>
    </row>
    <row r="669" spans="1:7">
      <c r="A669" s="30" t="s">
        <v>103</v>
      </c>
      <c r="B669" s="19" t="s">
        <v>239</v>
      </c>
      <c r="C669" s="31">
        <v>1</v>
      </c>
      <c r="D669" s="32" t="s">
        <v>2</v>
      </c>
      <c r="E669" s="14"/>
      <c r="F669" s="50" t="s">
        <v>19</v>
      </c>
      <c r="G669" s="59"/>
    </row>
    <row r="670" spans="1:7">
      <c r="A670" s="30"/>
      <c r="B670" s="19"/>
      <c r="C670" s="31"/>
      <c r="D670" s="32"/>
      <c r="E670" s="14"/>
      <c r="F670" s="50"/>
      <c r="G670" s="59"/>
    </row>
    <row r="671" spans="1:7">
      <c r="A671" s="30" t="s">
        <v>141</v>
      </c>
      <c r="B671" s="19" t="s">
        <v>240</v>
      </c>
      <c r="C671" s="31">
        <v>1</v>
      </c>
      <c r="D671" s="32" t="s">
        <v>2</v>
      </c>
      <c r="E671" s="14"/>
      <c r="F671" s="50" t="s">
        <v>19</v>
      </c>
      <c r="G671" s="59"/>
    </row>
    <row r="672" spans="1:7">
      <c r="A672" s="30"/>
      <c r="B672" s="19"/>
      <c r="C672" s="31"/>
      <c r="D672" s="32"/>
      <c r="E672" s="14"/>
      <c r="F672" s="50"/>
      <c r="G672" s="59"/>
    </row>
    <row r="673" spans="1:7">
      <c r="A673" s="30" t="s">
        <v>168</v>
      </c>
      <c r="B673" s="19" t="s">
        <v>241</v>
      </c>
      <c r="C673" s="31">
        <v>1</v>
      </c>
      <c r="D673" s="32" t="s">
        <v>2</v>
      </c>
      <c r="E673" s="14"/>
      <c r="F673" s="50" t="s">
        <v>19</v>
      </c>
      <c r="G673" s="59"/>
    </row>
    <row r="674" spans="1:7">
      <c r="A674" s="30"/>
      <c r="B674" s="19"/>
      <c r="C674" s="31"/>
      <c r="D674" s="32"/>
      <c r="E674" s="14"/>
      <c r="F674" s="50"/>
      <c r="G674" s="59"/>
    </row>
    <row r="675" spans="1:7">
      <c r="A675" s="30"/>
      <c r="B675" s="20" t="s">
        <v>242</v>
      </c>
      <c r="C675" s="31"/>
      <c r="D675" s="32"/>
      <c r="E675" s="14"/>
      <c r="F675" s="50"/>
      <c r="G675" s="59"/>
    </row>
    <row r="676" spans="1:7">
      <c r="A676" s="30"/>
      <c r="B676" s="20"/>
      <c r="C676" s="31"/>
      <c r="D676" s="32"/>
      <c r="E676" s="14"/>
      <c r="F676" s="50"/>
      <c r="G676" s="59"/>
    </row>
    <row r="677" spans="1:7" ht="52.9">
      <c r="A677" s="30" t="s">
        <v>243</v>
      </c>
      <c r="B677" s="19" t="s">
        <v>244</v>
      </c>
      <c r="C677" s="31">
        <v>1</v>
      </c>
      <c r="D677" s="32" t="s">
        <v>2</v>
      </c>
      <c r="E677" s="14"/>
      <c r="F677" s="50" t="s">
        <v>19</v>
      </c>
      <c r="G677" s="59"/>
    </row>
    <row r="678" spans="1:7">
      <c r="A678" s="30"/>
      <c r="B678" s="19"/>
      <c r="C678" s="31"/>
      <c r="D678" s="32"/>
      <c r="E678" s="14"/>
      <c r="F678" s="50"/>
      <c r="G678" s="59"/>
    </row>
    <row r="679" spans="1:7" ht="26.45">
      <c r="A679" s="30"/>
      <c r="B679" s="66" t="s">
        <v>91</v>
      </c>
      <c r="C679" s="31"/>
      <c r="D679" s="32"/>
      <c r="E679" s="14"/>
      <c r="F679" s="50"/>
      <c r="G679" s="59"/>
    </row>
    <row r="680" spans="1:7">
      <c r="A680" s="30"/>
      <c r="B680" s="19"/>
      <c r="C680" s="31"/>
      <c r="D680" s="32"/>
      <c r="E680" s="15"/>
      <c r="F680" s="52"/>
      <c r="G680" s="65"/>
    </row>
    <row r="681" spans="1:7">
      <c r="A681" s="34"/>
      <c r="B681" s="35"/>
      <c r="C681" s="36"/>
      <c r="D681" s="37"/>
      <c r="E681" s="14"/>
      <c r="F681" s="53"/>
      <c r="G681" s="68"/>
    </row>
    <row r="682" spans="1:7">
      <c r="A682" s="38"/>
      <c r="B682" s="39"/>
      <c r="C682" s="40" t="s">
        <v>13</v>
      </c>
      <c r="D682" s="41"/>
      <c r="E682" s="14"/>
      <c r="F682" s="50">
        <f>SUM(F641:F680)</f>
        <v>3058333.84</v>
      </c>
      <c r="G682" s="59"/>
    </row>
    <row r="683" spans="1:7">
      <c r="A683" s="38"/>
      <c r="B683" s="39"/>
      <c r="C683" s="42"/>
      <c r="D683" s="41"/>
      <c r="E683" s="14"/>
      <c r="F683" s="52"/>
      <c r="G683" s="65"/>
    </row>
    <row r="684" spans="1:7" ht="11.45" customHeight="1">
      <c r="A684" s="30"/>
      <c r="B684" s="19"/>
      <c r="C684" s="31"/>
      <c r="D684" s="32"/>
      <c r="E684" s="14"/>
      <c r="F684" s="50"/>
      <c r="G684" s="59"/>
    </row>
    <row r="685" spans="1:7">
      <c r="A685" s="30"/>
      <c r="B685" s="20" t="s">
        <v>245</v>
      </c>
      <c r="C685" s="31"/>
      <c r="D685" s="32"/>
      <c r="E685" s="14"/>
      <c r="F685" s="50"/>
      <c r="G685" s="59"/>
    </row>
    <row r="686" spans="1:7" ht="7.9" customHeight="1">
      <c r="A686" s="30"/>
      <c r="B686" s="20"/>
      <c r="C686" s="31"/>
      <c r="D686" s="32"/>
      <c r="E686" s="14"/>
      <c r="F686" s="50"/>
      <c r="G686" s="59"/>
    </row>
    <row r="687" spans="1:7" ht="66">
      <c r="A687" s="30" t="s">
        <v>17</v>
      </c>
      <c r="B687" s="19" t="s">
        <v>246</v>
      </c>
      <c r="C687" s="31">
        <v>1</v>
      </c>
      <c r="D687" s="32" t="s">
        <v>2</v>
      </c>
      <c r="E687" s="14"/>
      <c r="F687" s="50" t="s">
        <v>19</v>
      </c>
      <c r="G687" s="59"/>
    </row>
    <row r="688" spans="1:7">
      <c r="A688" s="30"/>
      <c r="B688" s="19"/>
      <c r="C688" s="31"/>
      <c r="D688" s="32"/>
      <c r="E688" s="14"/>
      <c r="F688" s="50"/>
      <c r="G688" s="59"/>
    </row>
    <row r="689" spans="1:7" ht="64.5" customHeight="1">
      <c r="A689" s="30" t="s">
        <v>20</v>
      </c>
      <c r="B689" s="19" t="s">
        <v>247</v>
      </c>
      <c r="C689" s="31">
        <v>1</v>
      </c>
      <c r="D689" s="32" t="s">
        <v>2</v>
      </c>
      <c r="E689" s="14"/>
      <c r="F689" s="50" t="s">
        <v>19</v>
      </c>
      <c r="G689" s="59"/>
    </row>
    <row r="690" spans="1:7">
      <c r="A690" s="30"/>
      <c r="B690" s="19"/>
      <c r="C690" s="31"/>
      <c r="D690" s="32"/>
      <c r="E690" s="14"/>
      <c r="F690" s="50"/>
      <c r="G690" s="59"/>
    </row>
    <row r="691" spans="1:7" ht="92.45">
      <c r="A691" s="30" t="s">
        <v>24</v>
      </c>
      <c r="B691" s="19" t="s">
        <v>248</v>
      </c>
      <c r="C691" s="31">
        <v>1</v>
      </c>
      <c r="D691" s="32" t="s">
        <v>2</v>
      </c>
      <c r="E691" s="14"/>
      <c r="F691" s="59" t="s">
        <v>249</v>
      </c>
      <c r="G691" s="59"/>
    </row>
    <row r="692" spans="1:7">
      <c r="A692" s="30"/>
      <c r="B692" s="19"/>
      <c r="C692" s="31"/>
      <c r="D692" s="32"/>
      <c r="E692" s="14"/>
      <c r="F692" s="50"/>
      <c r="G692" s="59"/>
    </row>
    <row r="693" spans="1:7">
      <c r="A693" s="30"/>
      <c r="B693" s="20" t="s">
        <v>250</v>
      </c>
      <c r="C693" s="31"/>
      <c r="D693" s="32"/>
      <c r="E693" s="14"/>
      <c r="F693" s="50"/>
      <c r="G693" s="59"/>
    </row>
    <row r="694" spans="1:7">
      <c r="A694" s="30"/>
      <c r="B694" s="20"/>
      <c r="C694" s="31"/>
      <c r="D694" s="32"/>
      <c r="E694" s="14"/>
      <c r="F694" s="50"/>
      <c r="G694" s="59"/>
    </row>
    <row r="695" spans="1:7" ht="52.9">
      <c r="A695" s="30" t="s">
        <v>28</v>
      </c>
      <c r="B695" s="19" t="s">
        <v>251</v>
      </c>
      <c r="C695" s="31">
        <v>1</v>
      </c>
      <c r="D695" s="32" t="s">
        <v>2</v>
      </c>
      <c r="E695" s="14"/>
      <c r="F695" s="54">
        <v>183079.8</v>
      </c>
      <c r="G695" s="63"/>
    </row>
    <row r="696" spans="1:7">
      <c r="A696" s="30"/>
      <c r="B696" s="19"/>
      <c r="C696" s="31"/>
      <c r="D696" s="32"/>
      <c r="E696" s="14"/>
      <c r="F696" s="50"/>
      <c r="G696" s="59"/>
    </row>
    <row r="697" spans="1:7" ht="65.25" customHeight="1">
      <c r="A697" s="30" t="s">
        <v>30</v>
      </c>
      <c r="B697" s="19" t="s">
        <v>252</v>
      </c>
      <c r="C697" s="31">
        <v>1</v>
      </c>
      <c r="D697" s="32" t="s">
        <v>2</v>
      </c>
      <c r="E697" s="14"/>
      <c r="F697" s="50" t="s">
        <v>19</v>
      </c>
      <c r="G697" s="59"/>
    </row>
    <row r="698" spans="1:7">
      <c r="A698" s="30"/>
      <c r="B698" s="19"/>
      <c r="C698" s="31"/>
      <c r="D698" s="32"/>
      <c r="E698" s="14"/>
      <c r="F698" s="50"/>
      <c r="G698" s="59"/>
    </row>
    <row r="699" spans="1:7">
      <c r="A699" s="30"/>
      <c r="B699" s="20" t="s">
        <v>253</v>
      </c>
      <c r="C699" s="31"/>
      <c r="D699" s="32"/>
      <c r="E699" s="14"/>
      <c r="F699" s="50"/>
      <c r="G699" s="59"/>
    </row>
    <row r="700" spans="1:7">
      <c r="A700" s="30"/>
      <c r="B700" s="20"/>
      <c r="C700" s="31"/>
      <c r="D700" s="32"/>
      <c r="E700" s="14"/>
      <c r="F700" s="50"/>
      <c r="G700" s="59"/>
    </row>
    <row r="701" spans="1:7" ht="52.9">
      <c r="A701" s="30" t="s">
        <v>34</v>
      </c>
      <c r="B701" s="19" t="s">
        <v>254</v>
      </c>
      <c r="C701" s="31">
        <v>1</v>
      </c>
      <c r="D701" s="32" t="s">
        <v>2</v>
      </c>
      <c r="E701" s="14"/>
      <c r="F701" s="50" t="s">
        <v>255</v>
      </c>
      <c r="G701" s="59"/>
    </row>
    <row r="702" spans="1:7">
      <c r="A702" s="30"/>
      <c r="B702" s="19"/>
      <c r="C702" s="31"/>
      <c r="D702" s="32"/>
      <c r="E702" s="14"/>
      <c r="F702" s="50"/>
      <c r="G702" s="59"/>
    </row>
    <row r="703" spans="1:7" ht="26.45">
      <c r="A703" s="30" t="s">
        <v>256</v>
      </c>
      <c r="B703" s="19" t="s">
        <v>257</v>
      </c>
      <c r="C703" s="31">
        <v>1</v>
      </c>
      <c r="D703" s="32" t="s">
        <v>2</v>
      </c>
      <c r="E703" s="14"/>
      <c r="F703" s="50">
        <v>614685.04</v>
      </c>
      <c r="G703" s="59"/>
    </row>
    <row r="704" spans="1:7" s="79" customFormat="1" ht="39.6">
      <c r="A704" s="73" t="s">
        <v>258</v>
      </c>
      <c r="B704" s="74" t="s">
        <v>259</v>
      </c>
      <c r="C704" s="75">
        <v>1</v>
      </c>
      <c r="D704" s="76" t="s">
        <v>2</v>
      </c>
      <c r="E704" s="77"/>
      <c r="F704" s="78">
        <v>44669.81</v>
      </c>
      <c r="G704" s="78"/>
    </row>
    <row r="705" spans="1:7">
      <c r="A705" s="30"/>
      <c r="B705" s="19"/>
      <c r="C705" s="31"/>
      <c r="D705" s="32"/>
      <c r="E705" s="14"/>
      <c r="F705" s="50"/>
      <c r="G705" s="59"/>
    </row>
    <row r="706" spans="1:7">
      <c r="A706" s="30" t="s">
        <v>260</v>
      </c>
      <c r="B706" s="19" t="s">
        <v>261</v>
      </c>
      <c r="C706" s="31">
        <v>1</v>
      </c>
      <c r="D706" s="32" t="s">
        <v>2</v>
      </c>
      <c r="E706" s="14"/>
      <c r="F706" s="50">
        <v>49162.31</v>
      </c>
      <c r="G706" s="59"/>
    </row>
    <row r="707" spans="1:7">
      <c r="A707" s="30"/>
      <c r="B707" s="19"/>
      <c r="C707" s="31"/>
      <c r="D707" s="32"/>
      <c r="E707" s="14"/>
      <c r="F707" s="50"/>
      <c r="G707" s="59"/>
    </row>
    <row r="708" spans="1:7" ht="26.45">
      <c r="A708" s="30" t="s">
        <v>262</v>
      </c>
      <c r="B708" s="19" t="s">
        <v>263</v>
      </c>
      <c r="C708" s="31">
        <v>1</v>
      </c>
      <c r="D708" s="32" t="s">
        <v>2</v>
      </c>
      <c r="E708" s="14"/>
      <c r="F708" s="50">
        <v>1944429.89</v>
      </c>
      <c r="G708" s="59" t="s">
        <v>264</v>
      </c>
    </row>
    <row r="709" spans="1:7">
      <c r="A709" s="30"/>
      <c r="B709" s="19"/>
      <c r="C709" s="31"/>
      <c r="D709" s="32"/>
      <c r="E709" s="14"/>
      <c r="F709" s="54"/>
      <c r="G709" s="63"/>
    </row>
    <row r="710" spans="1:7" s="62" customFormat="1" ht="66">
      <c r="A710" s="30" t="s">
        <v>265</v>
      </c>
      <c r="B710" s="19" t="s">
        <v>266</v>
      </c>
      <c r="C710" s="31">
        <v>1</v>
      </c>
      <c r="D710" s="32" t="s">
        <v>2</v>
      </c>
      <c r="E710" s="72"/>
      <c r="F710" s="54">
        <v>1221193.3299999998</v>
      </c>
      <c r="G710" s="63" t="s">
        <v>267</v>
      </c>
    </row>
    <row r="711" spans="1:7" ht="7.15" customHeight="1">
      <c r="A711" s="30"/>
      <c r="B711" s="19"/>
      <c r="C711" s="31"/>
      <c r="D711" s="32"/>
      <c r="E711" s="14"/>
      <c r="F711" s="50"/>
      <c r="G711" s="59"/>
    </row>
    <row r="712" spans="1:7">
      <c r="A712" s="43" t="s">
        <v>268</v>
      </c>
      <c r="B712" s="44" t="s">
        <v>269</v>
      </c>
      <c r="C712" s="31">
        <v>1</v>
      </c>
      <c r="D712" s="32" t="s">
        <v>2</v>
      </c>
      <c r="E712" s="14"/>
      <c r="F712" s="50">
        <v>150175.5</v>
      </c>
      <c r="G712" s="59"/>
    </row>
    <row r="713" spans="1:7" ht="8.4499999999999993" customHeight="1">
      <c r="A713" s="43"/>
      <c r="B713" s="44"/>
      <c r="C713" s="31"/>
      <c r="D713" s="32"/>
      <c r="E713" s="14"/>
      <c r="F713" s="50"/>
      <c r="G713" s="59"/>
    </row>
    <row r="714" spans="1:7">
      <c r="A714" s="43" t="s">
        <v>270</v>
      </c>
      <c r="B714" s="44" t="s">
        <v>271</v>
      </c>
      <c r="C714" s="31">
        <v>1</v>
      </c>
      <c r="D714" s="32" t="s">
        <v>272</v>
      </c>
      <c r="E714" s="14"/>
      <c r="F714" s="50">
        <f>1286943.3+0.12+0.11</f>
        <v>1286943.5300000003</v>
      </c>
      <c r="G714" s="59"/>
    </row>
    <row r="715" spans="1:7" ht="8.4499999999999993" customHeight="1">
      <c r="A715" s="21"/>
      <c r="B715" s="44"/>
      <c r="C715" s="31"/>
      <c r="D715" s="32"/>
      <c r="E715" s="16"/>
      <c r="F715" s="54"/>
      <c r="G715" s="63"/>
    </row>
    <row r="716" spans="1:7" ht="26.45">
      <c r="A716" s="21"/>
      <c r="B716" s="67" t="s">
        <v>91</v>
      </c>
      <c r="C716" s="31"/>
      <c r="D716" s="32"/>
      <c r="E716" s="18"/>
      <c r="F716" s="54"/>
      <c r="G716" s="63"/>
    </row>
    <row r="717" spans="1:7">
      <c r="A717" s="34"/>
      <c r="B717" s="35"/>
      <c r="C717" s="36"/>
      <c r="D717" s="37"/>
      <c r="E717" s="14"/>
      <c r="F717" s="53"/>
      <c r="G717" s="68"/>
    </row>
    <row r="718" spans="1:7">
      <c r="A718" s="38"/>
      <c r="B718" s="39"/>
      <c r="C718" s="40" t="s">
        <v>13</v>
      </c>
      <c r="D718" s="41"/>
      <c r="E718" s="14"/>
      <c r="F718" s="50">
        <f>SUM(F685:F716)</f>
        <v>5494339.21</v>
      </c>
      <c r="G718" s="59"/>
    </row>
    <row r="719" spans="1:7">
      <c r="A719" s="38"/>
      <c r="B719" s="39"/>
      <c r="C719" s="42"/>
      <c r="D719" s="41"/>
      <c r="E719" s="14"/>
      <c r="F719" s="52"/>
      <c r="G719" s="65"/>
    </row>
    <row r="720" spans="1:7">
      <c r="A720" s="21"/>
      <c r="B720" s="44"/>
      <c r="C720" s="31"/>
      <c r="D720" s="32"/>
      <c r="E720" s="16"/>
      <c r="F720" s="54"/>
      <c r="G720" s="63"/>
    </row>
    <row r="721" spans="1:7">
      <c r="A721" s="21"/>
      <c r="B721" s="45" t="s">
        <v>273</v>
      </c>
      <c r="C721" s="31"/>
      <c r="D721" s="32"/>
      <c r="E721" s="16"/>
      <c r="F721" s="54"/>
      <c r="G721" s="63"/>
    </row>
    <row r="722" spans="1:7">
      <c r="A722" s="21"/>
      <c r="B722" s="44"/>
      <c r="C722" s="31"/>
      <c r="D722" s="32"/>
      <c r="E722" s="16"/>
      <c r="F722" s="54"/>
      <c r="G722" s="63"/>
    </row>
    <row r="723" spans="1:7">
      <c r="A723" s="21"/>
      <c r="B723" s="46" t="s">
        <v>274</v>
      </c>
      <c r="C723" s="31"/>
      <c r="D723" s="32"/>
      <c r="E723" s="16"/>
      <c r="F723" s="54">
        <f>+F49</f>
        <v>0</v>
      </c>
      <c r="G723" s="63"/>
    </row>
    <row r="724" spans="1:7">
      <c r="A724" s="21"/>
      <c r="B724" s="46"/>
      <c r="C724" s="31"/>
      <c r="D724" s="32"/>
      <c r="E724" s="16"/>
      <c r="F724" s="54"/>
      <c r="G724" s="63"/>
    </row>
    <row r="725" spans="1:7">
      <c r="A725" s="22"/>
      <c r="B725" s="46" t="s">
        <v>275</v>
      </c>
      <c r="C725" s="47"/>
      <c r="D725" s="48"/>
      <c r="E725" s="17"/>
      <c r="F725" s="56">
        <f>+F77</f>
        <v>1660508.8299999998</v>
      </c>
      <c r="G725" s="70"/>
    </row>
    <row r="726" spans="1:7">
      <c r="A726" s="21"/>
      <c r="B726" s="46"/>
      <c r="C726" s="31"/>
      <c r="D726" s="32"/>
      <c r="E726" s="16"/>
      <c r="F726" s="54"/>
      <c r="G726" s="63"/>
    </row>
    <row r="727" spans="1:7">
      <c r="A727" s="21"/>
      <c r="B727" s="46" t="s">
        <v>276</v>
      </c>
      <c r="C727" s="31"/>
      <c r="D727" s="32"/>
      <c r="E727" s="16"/>
      <c r="F727" s="54">
        <f>+F125</f>
        <v>0</v>
      </c>
      <c r="G727" s="63"/>
    </row>
    <row r="728" spans="1:7">
      <c r="A728" s="21"/>
      <c r="B728" s="46"/>
      <c r="C728" s="31"/>
      <c r="D728" s="32"/>
      <c r="E728" s="16"/>
      <c r="F728" s="54"/>
      <c r="G728" s="63"/>
    </row>
    <row r="729" spans="1:7">
      <c r="A729" s="21"/>
      <c r="B729" s="46" t="s">
        <v>277</v>
      </c>
      <c r="C729" s="31"/>
      <c r="D729" s="32"/>
      <c r="E729" s="16"/>
      <c r="F729" s="54">
        <f>+F170</f>
        <v>0</v>
      </c>
      <c r="G729" s="63"/>
    </row>
    <row r="730" spans="1:7">
      <c r="A730" s="21"/>
      <c r="B730" s="46"/>
      <c r="C730" s="31"/>
      <c r="D730" s="32"/>
      <c r="E730" s="16"/>
      <c r="F730" s="54"/>
      <c r="G730" s="63"/>
    </row>
    <row r="731" spans="1:7">
      <c r="A731" s="21"/>
      <c r="B731" s="46" t="s">
        <v>278</v>
      </c>
      <c r="C731" s="31"/>
      <c r="D731" s="32"/>
      <c r="E731" s="16"/>
      <c r="F731" s="54">
        <f>+F195</f>
        <v>118513.24</v>
      </c>
      <c r="G731" s="63"/>
    </row>
    <row r="732" spans="1:7">
      <c r="A732" s="21"/>
      <c r="B732" s="46"/>
      <c r="C732" s="31"/>
      <c r="D732" s="32"/>
      <c r="E732" s="16"/>
      <c r="F732" s="54"/>
      <c r="G732" s="63"/>
    </row>
    <row r="733" spans="1:7">
      <c r="A733" s="21"/>
      <c r="B733" s="46" t="s">
        <v>279</v>
      </c>
      <c r="C733" s="31"/>
      <c r="D733" s="32"/>
      <c r="E733" s="16"/>
      <c r="F733" s="54">
        <f>+F226</f>
        <v>0</v>
      </c>
      <c r="G733" s="63"/>
    </row>
    <row r="734" spans="1:7">
      <c r="A734" s="21"/>
      <c r="B734" s="46"/>
      <c r="C734" s="31"/>
      <c r="D734" s="32"/>
      <c r="E734" s="16"/>
      <c r="F734" s="54"/>
      <c r="G734" s="63"/>
    </row>
    <row r="735" spans="1:7">
      <c r="A735" s="21"/>
      <c r="B735" s="46" t="s">
        <v>280</v>
      </c>
      <c r="C735" s="31"/>
      <c r="D735" s="32"/>
      <c r="E735" s="16"/>
      <c r="F735" s="54">
        <f>+F254</f>
        <v>49614.69</v>
      </c>
      <c r="G735" s="63"/>
    </row>
    <row r="736" spans="1:7">
      <c r="A736" s="21"/>
      <c r="B736" s="46"/>
      <c r="C736" s="31"/>
      <c r="D736" s="32"/>
      <c r="E736" s="16"/>
      <c r="F736" s="54"/>
      <c r="G736" s="63"/>
    </row>
    <row r="737" spans="1:7">
      <c r="A737" s="21"/>
      <c r="B737" s="46" t="s">
        <v>281</v>
      </c>
      <c r="C737" s="31"/>
      <c r="D737" s="32"/>
      <c r="E737" s="16"/>
      <c r="F737" s="54">
        <f>+F274</f>
        <v>35119115.740000002</v>
      </c>
      <c r="G737" s="63"/>
    </row>
    <row r="738" spans="1:7">
      <c r="A738" s="21"/>
      <c r="B738" s="46"/>
      <c r="C738" s="31"/>
      <c r="D738" s="32"/>
      <c r="E738" s="16"/>
      <c r="F738" s="54"/>
      <c r="G738" s="63"/>
    </row>
    <row r="739" spans="1:7">
      <c r="A739" s="21"/>
      <c r="B739" s="46" t="s">
        <v>282</v>
      </c>
      <c r="C739" s="31"/>
      <c r="D739" s="32"/>
      <c r="E739" s="16"/>
      <c r="F739" s="54">
        <f>+F303</f>
        <v>461354.88</v>
      </c>
      <c r="G739" s="63"/>
    </row>
    <row r="740" spans="1:7">
      <c r="A740" s="21"/>
      <c r="B740" s="46"/>
      <c r="C740" s="31"/>
      <c r="D740" s="32"/>
      <c r="E740" s="16"/>
      <c r="F740" s="54"/>
      <c r="G740" s="63"/>
    </row>
    <row r="741" spans="1:7">
      <c r="A741" s="21"/>
      <c r="B741" s="46" t="s">
        <v>283</v>
      </c>
      <c r="C741" s="31"/>
      <c r="D741" s="32"/>
      <c r="E741" s="16"/>
      <c r="F741" s="54">
        <f>+F340</f>
        <v>23396406.489999998</v>
      </c>
      <c r="G741" s="63"/>
    </row>
    <row r="742" spans="1:7">
      <c r="A742" s="21"/>
      <c r="B742" s="46"/>
      <c r="C742" s="31"/>
      <c r="D742" s="32"/>
      <c r="E742" s="16"/>
      <c r="F742" s="54"/>
      <c r="G742" s="63"/>
    </row>
    <row r="743" spans="1:7">
      <c r="A743" s="21"/>
      <c r="B743" s="46" t="s">
        <v>284</v>
      </c>
      <c r="C743" s="31"/>
      <c r="D743" s="32"/>
      <c r="E743" s="16"/>
      <c r="F743" s="54">
        <f>+F363</f>
        <v>4028775.32</v>
      </c>
      <c r="G743" s="63"/>
    </row>
    <row r="744" spans="1:7">
      <c r="A744" s="21"/>
      <c r="B744" s="46"/>
      <c r="C744" s="31"/>
      <c r="D744" s="32"/>
      <c r="E744" s="16"/>
      <c r="F744" s="54"/>
      <c r="G744" s="63"/>
    </row>
    <row r="745" spans="1:7">
      <c r="A745" s="21"/>
      <c r="B745" s="46" t="s">
        <v>285</v>
      </c>
      <c r="C745" s="31"/>
      <c r="D745" s="32"/>
      <c r="E745" s="16"/>
      <c r="F745" s="54">
        <f>+F397</f>
        <v>0</v>
      </c>
      <c r="G745" s="63"/>
    </row>
    <row r="746" spans="1:7">
      <c r="A746" s="21"/>
      <c r="B746" s="46"/>
      <c r="C746" s="31"/>
      <c r="D746" s="32"/>
      <c r="E746" s="16"/>
      <c r="F746" s="54"/>
      <c r="G746" s="63"/>
    </row>
    <row r="747" spans="1:7">
      <c r="A747" s="21"/>
      <c r="B747" s="46" t="s">
        <v>286</v>
      </c>
      <c r="C747" s="31"/>
      <c r="D747" s="32"/>
      <c r="E747" s="16"/>
      <c r="F747" s="54">
        <f>+F434</f>
        <v>725346.51</v>
      </c>
      <c r="G747" s="63"/>
    </row>
    <row r="748" spans="1:7">
      <c r="A748" s="21"/>
      <c r="B748" s="46"/>
      <c r="C748" s="31"/>
      <c r="D748" s="32"/>
      <c r="E748" s="16"/>
      <c r="F748" s="54"/>
      <c r="G748" s="63"/>
    </row>
    <row r="749" spans="1:7">
      <c r="A749" s="21"/>
      <c r="B749" s="46" t="s">
        <v>287</v>
      </c>
      <c r="C749" s="31"/>
      <c r="D749" s="32"/>
      <c r="E749" s="16"/>
      <c r="F749" s="54">
        <f>+F470</f>
        <v>5379435.8499999996</v>
      </c>
      <c r="G749" s="63"/>
    </row>
    <row r="750" spans="1:7">
      <c r="A750" s="21"/>
      <c r="B750" s="46"/>
      <c r="C750" s="31"/>
      <c r="D750" s="32"/>
      <c r="E750" s="16"/>
      <c r="F750" s="54"/>
      <c r="G750" s="63"/>
    </row>
    <row r="751" spans="1:7">
      <c r="A751" s="21"/>
      <c r="B751" s="46" t="s">
        <v>288</v>
      </c>
      <c r="C751" s="31"/>
      <c r="D751" s="32"/>
      <c r="E751" s="16"/>
      <c r="F751" s="54">
        <f>+F507</f>
        <v>413853.2</v>
      </c>
      <c r="G751" s="63"/>
    </row>
    <row r="752" spans="1:7">
      <c r="A752" s="21"/>
      <c r="B752" s="44"/>
      <c r="C752" s="31"/>
      <c r="D752" s="32"/>
      <c r="E752" s="16"/>
      <c r="F752" s="54"/>
      <c r="G752" s="63"/>
    </row>
    <row r="753" spans="1:7">
      <c r="A753" s="21"/>
      <c r="B753" s="46" t="s">
        <v>289</v>
      </c>
      <c r="C753" s="31"/>
      <c r="D753" s="32"/>
      <c r="E753" s="16"/>
      <c r="F753" s="54">
        <f>+F526</f>
        <v>0</v>
      </c>
      <c r="G753" s="63"/>
    </row>
    <row r="754" spans="1:7">
      <c r="A754" s="21"/>
      <c r="B754" s="44"/>
      <c r="C754" s="31"/>
      <c r="D754" s="32"/>
      <c r="E754" s="16"/>
      <c r="F754" s="54"/>
      <c r="G754" s="63"/>
    </row>
    <row r="755" spans="1:7">
      <c r="A755" s="21"/>
      <c r="B755" s="46" t="s">
        <v>290</v>
      </c>
      <c r="C755" s="31"/>
      <c r="D755" s="32"/>
      <c r="E755" s="16"/>
      <c r="F755" s="54">
        <f>+F555</f>
        <v>0</v>
      </c>
      <c r="G755" s="63"/>
    </row>
    <row r="756" spans="1:7">
      <c r="A756" s="21"/>
      <c r="B756" s="44"/>
      <c r="C756" s="31"/>
      <c r="D756" s="32"/>
      <c r="E756" s="16"/>
      <c r="F756" s="54"/>
      <c r="G756" s="63"/>
    </row>
    <row r="757" spans="1:7">
      <c r="A757" s="21"/>
      <c r="B757" s="46" t="s">
        <v>291</v>
      </c>
      <c r="C757" s="31"/>
      <c r="D757" s="32"/>
      <c r="E757" s="16"/>
      <c r="F757" s="54">
        <f>+F588</f>
        <v>0</v>
      </c>
      <c r="G757" s="63"/>
    </row>
    <row r="758" spans="1:7">
      <c r="A758" s="21"/>
      <c r="B758" s="44"/>
      <c r="C758" s="31"/>
      <c r="D758" s="32"/>
      <c r="E758" s="16"/>
      <c r="F758" s="54"/>
      <c r="G758" s="63"/>
    </row>
    <row r="759" spans="1:7">
      <c r="A759" s="21"/>
      <c r="B759" s="46" t="s">
        <v>292</v>
      </c>
      <c r="C759" s="31"/>
      <c r="D759" s="32"/>
      <c r="E759" s="16"/>
      <c r="F759" s="54">
        <f>+F637</f>
        <v>0</v>
      </c>
      <c r="G759" s="63"/>
    </row>
    <row r="760" spans="1:7">
      <c r="A760" s="21"/>
      <c r="B760" s="44"/>
      <c r="C760" s="31"/>
      <c r="D760" s="32"/>
      <c r="E760" s="16"/>
      <c r="F760" s="54"/>
      <c r="G760" s="63"/>
    </row>
    <row r="761" spans="1:7">
      <c r="A761" s="21"/>
      <c r="B761" s="46" t="s">
        <v>293</v>
      </c>
      <c r="C761" s="31"/>
      <c r="D761" s="32"/>
      <c r="E761" s="16"/>
      <c r="F761" s="54">
        <f>+F682</f>
        <v>3058333.84</v>
      </c>
      <c r="G761" s="63"/>
    </row>
    <row r="762" spans="1:7">
      <c r="A762" s="21"/>
      <c r="B762" s="44"/>
      <c r="C762" s="31"/>
      <c r="D762" s="32"/>
      <c r="E762" s="16"/>
      <c r="F762" s="54"/>
      <c r="G762" s="63"/>
    </row>
    <row r="763" spans="1:7">
      <c r="A763" s="21"/>
      <c r="B763" s="46" t="s">
        <v>294</v>
      </c>
      <c r="C763" s="31"/>
      <c r="D763" s="32"/>
      <c r="E763" s="16"/>
      <c r="F763" s="54">
        <f>+F718</f>
        <v>5494339.21</v>
      </c>
      <c r="G763" s="63"/>
    </row>
    <row r="764" spans="1:7">
      <c r="A764" s="21"/>
      <c r="B764" s="44"/>
      <c r="C764" s="31"/>
      <c r="D764" s="32"/>
      <c r="E764" s="16"/>
      <c r="F764" s="54"/>
      <c r="G764" s="63"/>
    </row>
    <row r="765" spans="1:7">
      <c r="A765" s="21"/>
      <c r="B765" s="44"/>
      <c r="C765" s="31"/>
      <c r="D765" s="32"/>
      <c r="E765" s="16"/>
      <c r="F765" s="54"/>
      <c r="G765" s="63"/>
    </row>
    <row r="766" spans="1:7">
      <c r="A766" s="21"/>
      <c r="B766" s="44"/>
      <c r="C766" s="31"/>
      <c r="D766" s="32"/>
      <c r="E766" s="16"/>
      <c r="F766" s="54"/>
      <c r="G766" s="63"/>
    </row>
    <row r="767" spans="1:7">
      <c r="A767" s="21"/>
      <c r="B767" s="44"/>
      <c r="C767" s="31"/>
      <c r="D767" s="32"/>
      <c r="E767" s="16"/>
      <c r="F767" s="54"/>
      <c r="G767" s="63"/>
    </row>
    <row r="768" spans="1:7">
      <c r="A768" s="21"/>
      <c r="B768" s="44"/>
      <c r="C768" s="31"/>
      <c r="D768" s="32"/>
      <c r="E768" s="16"/>
      <c r="F768" s="54"/>
      <c r="G768" s="63"/>
    </row>
    <row r="769" spans="1:7">
      <c r="A769" s="21"/>
      <c r="B769" s="44"/>
      <c r="C769" s="31"/>
      <c r="D769" s="32"/>
      <c r="E769" s="16"/>
      <c r="F769" s="54"/>
      <c r="G769" s="63"/>
    </row>
    <row r="770" spans="1:7">
      <c r="A770" s="21"/>
      <c r="B770" s="44"/>
      <c r="C770" s="31"/>
      <c r="D770" s="32"/>
      <c r="E770" s="16"/>
      <c r="F770" s="54"/>
      <c r="G770" s="63"/>
    </row>
    <row r="771" spans="1:7">
      <c r="A771" s="21"/>
      <c r="B771" s="44"/>
      <c r="C771" s="31"/>
      <c r="D771" s="32"/>
      <c r="E771" s="16"/>
      <c r="F771" s="54"/>
      <c r="G771" s="63"/>
    </row>
    <row r="772" spans="1:7">
      <c r="A772" s="21"/>
      <c r="B772" s="44"/>
      <c r="C772" s="31"/>
      <c r="D772" s="32"/>
      <c r="E772" s="16"/>
      <c r="F772" s="54"/>
      <c r="G772" s="63"/>
    </row>
    <row r="773" spans="1:7">
      <c r="A773" s="21"/>
      <c r="B773" s="44"/>
      <c r="C773" s="31"/>
      <c r="D773" s="32"/>
      <c r="E773" s="18"/>
      <c r="F773" s="54"/>
      <c r="G773" s="63"/>
    </row>
    <row r="774" spans="1:7">
      <c r="A774" s="34"/>
      <c r="B774" s="35"/>
      <c r="C774" s="36"/>
      <c r="D774" s="37"/>
      <c r="E774" s="14"/>
      <c r="F774" s="53"/>
      <c r="G774" s="68"/>
    </row>
    <row r="775" spans="1:7">
      <c r="A775" s="38"/>
      <c r="B775" s="39"/>
      <c r="C775" s="40" t="s">
        <v>295</v>
      </c>
      <c r="D775" s="41"/>
      <c r="E775" s="14"/>
      <c r="F775" s="50">
        <f>SUM(F721:F773)</f>
        <v>79905597.799999997</v>
      </c>
      <c r="G775" s="59"/>
    </row>
    <row r="776" spans="1:7">
      <c r="A776" s="38"/>
      <c r="B776" s="39"/>
      <c r="C776" s="42"/>
      <c r="D776" s="41"/>
      <c r="E776" s="14"/>
      <c r="F776" s="52"/>
      <c r="G776" s="65"/>
    </row>
  </sheetData>
  <autoFilter ref="A1:F773" xr:uid="{D99F07F4-6EFA-48BB-AAC0-0444E17D587A}"/>
  <mergeCells count="7">
    <mergeCell ref="G1:G2"/>
    <mergeCell ref="F1:F2"/>
    <mergeCell ref="A1:A2"/>
    <mergeCell ref="B1:B2"/>
    <mergeCell ref="C1:C2"/>
    <mergeCell ref="D1:D2"/>
    <mergeCell ref="E1:E2"/>
  </mergeCells>
  <phoneticPr fontId="12" type="noConversion"/>
  <pageMargins left="0.6692913385826772" right="0.35433070866141736" top="0.82677165354330717" bottom="0.6692913385826772" header="0.47244094488188981" footer="0.39370078740157483"/>
  <pageSetup paperSize="9" scale="83" orientation="portrait" useFirstPageNumber="1" r:id="rId1"/>
  <headerFooter>
    <oddHeader>&amp;R&amp;UBILL NO. 1
GENERAL REQUIREMENTS FOR THE WHOLE OF THE WORKS</oddHeader>
    <oddFooter>&amp;L&amp;8DMS 148704 BOQ - Nakheel Mall Al Khail&amp;C1/A/&amp;P</oddFooter>
  </headerFooter>
  <rowBreaks count="21" manualBreakCount="21">
    <brk id="50" max="16383" man="1"/>
    <brk id="78" max="16383" man="1"/>
    <brk id="126" max="16383" man="1"/>
    <brk id="171" max="16383" man="1"/>
    <brk id="196" max="16383" man="1"/>
    <brk id="227" max="16383" man="1"/>
    <brk id="255" max="16383" man="1"/>
    <brk id="275" max="16383" man="1"/>
    <brk id="304" max="16383" man="1"/>
    <brk id="341" max="16383" man="1"/>
    <brk id="364" max="16383" man="1"/>
    <brk id="398" max="16383" man="1"/>
    <brk id="435" max="16383" man="1"/>
    <brk id="471" max="16383" man="1"/>
    <brk id="508" max="16383" man="1"/>
    <brk id="527" max="16383" man="1"/>
    <brk id="556" max="16383" man="1"/>
    <brk id="589" max="16383" man="1"/>
    <brk id="638" max="16383" man="1"/>
    <brk id="683" max="16383" man="1"/>
    <brk id="719"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2"/>
  <sheetViews>
    <sheetView tabSelected="1" view="pageBreakPreview" zoomScaleNormal="100" zoomScaleSheetLayoutView="100" workbookViewId="0">
      <selection activeCell="F14" sqref="F14"/>
    </sheetView>
  </sheetViews>
  <sheetFormatPr defaultRowHeight="13.15"/>
  <cols>
    <col min="1" max="1" width="5.7109375" style="5" customWidth="1"/>
    <col min="2" max="2" width="51.7109375" style="6" customWidth="1"/>
    <col min="3" max="3" width="20.28515625" style="5" bestFit="1" customWidth="1"/>
    <col min="4" max="4" width="16.28515625" style="5" customWidth="1"/>
  </cols>
  <sheetData>
    <row r="1" spans="1:4" ht="12.75" customHeight="1">
      <c r="A1" s="81" t="s">
        <v>2</v>
      </c>
      <c r="B1" s="83" t="s">
        <v>3</v>
      </c>
      <c r="C1" s="81" t="s">
        <v>296</v>
      </c>
      <c r="D1" s="85" t="s">
        <v>7</v>
      </c>
    </row>
    <row r="2" spans="1:4" ht="12.75" customHeight="1">
      <c r="A2" s="82"/>
      <c r="B2" s="84"/>
      <c r="C2" s="82"/>
      <c r="D2" s="100"/>
    </row>
    <row r="3" spans="1:4" ht="13.9">
      <c r="A3" s="7"/>
      <c r="B3" s="8"/>
      <c r="C3" s="10"/>
      <c r="D3" s="1"/>
    </row>
    <row r="4" spans="1:4" ht="13.9">
      <c r="A4" s="7"/>
      <c r="B4" s="13" t="s">
        <v>297</v>
      </c>
      <c r="C4" s="10"/>
      <c r="D4" s="1"/>
    </row>
    <row r="5" spans="1:4" ht="13.9">
      <c r="A5" s="7"/>
      <c r="B5" s="8"/>
      <c r="C5" s="10"/>
      <c r="D5" s="1"/>
    </row>
    <row r="6" spans="1:4" ht="27.6">
      <c r="A6" s="7"/>
      <c r="B6" s="8" t="s">
        <v>1</v>
      </c>
      <c r="C6" s="10" t="s">
        <v>298</v>
      </c>
      <c r="D6" s="1">
        <f>+'Bill 1_TA'!F775</f>
        <v>79905597.799999997</v>
      </c>
    </row>
    <row r="7" spans="1:4" ht="13.9">
      <c r="A7" s="7"/>
      <c r="B7" s="11"/>
      <c r="C7" s="10"/>
      <c r="D7" s="1"/>
    </row>
    <row r="8" spans="1:4" ht="13.9">
      <c r="A8" s="9"/>
      <c r="B8" s="11"/>
      <c r="C8" s="12"/>
      <c r="D8" s="4"/>
    </row>
    <row r="9" spans="1:4" ht="13.9">
      <c r="A9" s="7"/>
      <c r="B9" s="11"/>
      <c r="C9" s="10"/>
      <c r="D9" s="1"/>
    </row>
    <row r="10" spans="1:4" ht="13.9">
      <c r="A10" s="7"/>
      <c r="B10" s="11"/>
      <c r="C10" s="10"/>
      <c r="D10" s="1"/>
    </row>
    <row r="11" spans="1:4" ht="13.9">
      <c r="A11" s="7"/>
      <c r="B11" s="11"/>
      <c r="C11" s="10"/>
      <c r="D11" s="1"/>
    </row>
    <row r="12" spans="1:4" ht="13.9">
      <c r="A12" s="7"/>
      <c r="B12" s="11"/>
      <c r="C12" s="10"/>
      <c r="D12" s="1"/>
    </row>
    <row r="13" spans="1:4" ht="13.9">
      <c r="A13" s="7"/>
      <c r="B13" s="11"/>
      <c r="C13" s="10"/>
      <c r="D13" s="1"/>
    </row>
    <row r="14" spans="1:4" ht="13.9">
      <c r="A14" s="7"/>
      <c r="B14" s="11"/>
      <c r="C14" s="10"/>
      <c r="D14" s="1"/>
    </row>
    <row r="15" spans="1:4" ht="13.9">
      <c r="A15" s="7"/>
      <c r="B15" s="11"/>
      <c r="C15" s="10"/>
      <c r="D15" s="1"/>
    </row>
    <row r="16" spans="1:4" ht="13.9">
      <c r="A16" s="7"/>
      <c r="B16" s="11"/>
      <c r="C16" s="10"/>
      <c r="D16" s="1"/>
    </row>
    <row r="17" spans="1:4" ht="13.9">
      <c r="A17" s="7"/>
      <c r="B17" s="11"/>
      <c r="C17" s="10"/>
      <c r="D17" s="1"/>
    </row>
    <row r="18" spans="1:4" ht="13.9">
      <c r="A18" s="7"/>
      <c r="B18" s="11"/>
      <c r="C18" s="10"/>
      <c r="D18" s="1"/>
    </row>
    <row r="19" spans="1:4" ht="13.9">
      <c r="A19" s="7"/>
      <c r="B19" s="11"/>
      <c r="C19" s="10"/>
      <c r="D19" s="1"/>
    </row>
    <row r="20" spans="1:4" ht="13.9">
      <c r="A20" s="7"/>
      <c r="B20" s="11"/>
      <c r="C20" s="10"/>
      <c r="D20" s="1"/>
    </row>
    <row r="21" spans="1:4" ht="13.9">
      <c r="A21" s="7"/>
      <c r="B21" s="8"/>
      <c r="C21" s="10"/>
      <c r="D21" s="1"/>
    </row>
    <row r="22" spans="1:4" ht="13.9">
      <c r="A22" s="7"/>
      <c r="B22" s="8"/>
      <c r="C22" s="10"/>
      <c r="D22" s="1"/>
    </row>
    <row r="23" spans="1:4" ht="13.9">
      <c r="A23" s="7"/>
      <c r="B23" s="8"/>
      <c r="C23" s="10"/>
      <c r="D23" s="1"/>
    </row>
    <row r="24" spans="1:4" ht="13.9">
      <c r="A24" s="7"/>
      <c r="B24" s="8"/>
      <c r="C24" s="10"/>
      <c r="D24" s="1"/>
    </row>
    <row r="25" spans="1:4" ht="13.9">
      <c r="A25" s="7"/>
      <c r="B25" s="8"/>
      <c r="C25" s="10"/>
      <c r="D25" s="1"/>
    </row>
    <row r="26" spans="1:4" ht="13.9">
      <c r="A26" s="7"/>
      <c r="B26" s="8"/>
      <c r="C26" s="10"/>
      <c r="D26" s="1"/>
    </row>
    <row r="27" spans="1:4" ht="13.9">
      <c r="A27" s="7"/>
      <c r="B27" s="8"/>
      <c r="C27" s="10"/>
      <c r="D27" s="1"/>
    </row>
    <row r="28" spans="1:4" ht="13.9">
      <c r="A28" s="7"/>
      <c r="B28" s="8"/>
      <c r="C28" s="10"/>
      <c r="D28" s="1"/>
    </row>
    <row r="29" spans="1:4" ht="13.9">
      <c r="A29" s="7"/>
      <c r="B29" s="8"/>
      <c r="C29" s="10"/>
      <c r="D29" s="1"/>
    </row>
    <row r="30" spans="1:4" ht="13.9">
      <c r="A30" s="7"/>
      <c r="B30" s="8"/>
      <c r="C30" s="10"/>
      <c r="D30" s="1"/>
    </row>
    <row r="31" spans="1:4" ht="13.9">
      <c r="A31" s="7"/>
      <c r="B31" s="8"/>
      <c r="C31" s="10"/>
      <c r="D31" s="1"/>
    </row>
    <row r="32" spans="1:4" ht="13.9">
      <c r="A32" s="7"/>
      <c r="B32" s="8"/>
      <c r="C32" s="10"/>
      <c r="D32" s="1"/>
    </row>
    <row r="33" spans="1:4" ht="13.9">
      <c r="A33" s="7"/>
      <c r="B33" s="8"/>
      <c r="C33" s="10"/>
      <c r="D33" s="1"/>
    </row>
    <row r="34" spans="1:4" ht="13.9">
      <c r="A34" s="7"/>
      <c r="B34" s="8"/>
      <c r="C34" s="10"/>
      <c r="D34" s="1"/>
    </row>
    <row r="35" spans="1:4" ht="13.9">
      <c r="A35" s="7"/>
      <c r="B35" s="8"/>
      <c r="C35" s="10"/>
      <c r="D35" s="1"/>
    </row>
    <row r="36" spans="1:4" ht="13.9">
      <c r="A36" s="7"/>
      <c r="B36" s="8"/>
      <c r="C36" s="10"/>
      <c r="D36" s="1"/>
    </row>
    <row r="37" spans="1:4" ht="13.9">
      <c r="A37" s="7"/>
      <c r="B37" s="8"/>
      <c r="C37" s="10"/>
      <c r="D37" s="1"/>
    </row>
    <row r="38" spans="1:4" ht="13.9">
      <c r="A38" s="7"/>
      <c r="B38" s="8"/>
      <c r="C38" s="10"/>
      <c r="D38" s="1"/>
    </row>
    <row r="39" spans="1:4" ht="13.9">
      <c r="A39" s="7"/>
      <c r="B39" s="8"/>
      <c r="C39" s="10"/>
      <c r="D39" s="1"/>
    </row>
    <row r="40" spans="1:4" ht="13.9">
      <c r="A40" s="7"/>
      <c r="B40" s="8"/>
      <c r="C40" s="10"/>
      <c r="D40" s="1"/>
    </row>
    <row r="41" spans="1:4" ht="13.9">
      <c r="A41" s="7"/>
      <c r="B41" s="8"/>
      <c r="C41" s="10"/>
      <c r="D41" s="1"/>
    </row>
    <row r="42" spans="1:4" ht="13.9">
      <c r="A42" s="7"/>
      <c r="B42" s="8"/>
      <c r="C42" s="10"/>
      <c r="D42" s="1"/>
    </row>
    <row r="43" spans="1:4" ht="13.9">
      <c r="A43" s="7"/>
      <c r="B43" s="8"/>
      <c r="C43" s="10"/>
      <c r="D43" s="1"/>
    </row>
    <row r="44" spans="1:4" ht="13.9">
      <c r="A44" s="7"/>
      <c r="B44" s="8"/>
      <c r="C44" s="10"/>
      <c r="D44" s="1"/>
    </row>
    <row r="45" spans="1:4" ht="13.9">
      <c r="A45" s="7"/>
      <c r="B45" s="8"/>
      <c r="C45" s="10"/>
      <c r="D45" s="1"/>
    </row>
    <row r="46" spans="1:4" ht="13.9">
      <c r="A46" s="7"/>
      <c r="B46" s="8"/>
      <c r="C46" s="10"/>
      <c r="D46" s="1"/>
    </row>
    <row r="47" spans="1:4" ht="13.9">
      <c r="A47" s="7"/>
      <c r="B47" s="8"/>
      <c r="C47" s="10"/>
      <c r="D47" s="1"/>
    </row>
    <row r="48" spans="1:4" ht="13.9">
      <c r="A48" s="7"/>
      <c r="B48" s="8"/>
      <c r="C48" s="10"/>
      <c r="D48" s="1"/>
    </row>
    <row r="49" spans="1:4" ht="13.9">
      <c r="A49" s="7"/>
      <c r="B49" s="8"/>
      <c r="C49" s="10"/>
      <c r="D49" s="1"/>
    </row>
    <row r="50" spans="1:4" ht="13.9">
      <c r="A50" s="23" t="s">
        <v>299</v>
      </c>
      <c r="B50" s="24"/>
      <c r="C50" s="25"/>
      <c r="D50" s="2"/>
    </row>
    <row r="51" spans="1:4" ht="13.9">
      <c r="A51" s="26"/>
      <c r="B51" s="27"/>
      <c r="C51" s="28" t="s">
        <v>300</v>
      </c>
      <c r="D51" s="58">
        <f>SUM(D4:D49)</f>
        <v>79905597.799999997</v>
      </c>
    </row>
    <row r="52" spans="1:4" ht="13.9">
      <c r="A52" s="26"/>
      <c r="B52" s="27"/>
      <c r="C52" s="29"/>
      <c r="D52" s="3"/>
    </row>
  </sheetData>
  <mergeCells count="4">
    <mergeCell ref="A1:A2"/>
    <mergeCell ref="B1:B2"/>
    <mergeCell ref="C1:C2"/>
    <mergeCell ref="D1:D2"/>
  </mergeCells>
  <pageMargins left="0.6692913385826772" right="0.35433070866141736" top="0.82677165354330717" bottom="0.6692913385826772" header="0.47244094488188981" footer="0.39370078740157483"/>
  <pageSetup paperSize="9" orientation="portrait" useFirstPageNumber="1" r:id="rId1"/>
  <headerFooter>
    <oddHeader>&amp;R&amp;UBILL NO. 1
GENERAL REQUIREMENTS FOR THE WHOLE OF THE WORKS AL KHAIL MALL REFURBISHMENT</oddHeader>
    <oddFooter>&amp;L&amp;8DMS 148704 BOQ - Nakheel Mall Al Khail&amp;C1 / SUM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EF1AB537AC9E47B3E67E62C11EDC34" ma:contentTypeVersion="6" ma:contentTypeDescription="Create a new document." ma:contentTypeScope="" ma:versionID="2393c6d2fbf1c3b1fcf0524f3ce13afe">
  <xsd:schema xmlns:xsd="http://www.w3.org/2001/XMLSchema" xmlns:xs="http://www.w3.org/2001/XMLSchema" xmlns:p="http://schemas.microsoft.com/office/2006/metadata/properties" xmlns:ns2="29343c2e-0cc4-4aa9-a004-66d03d634282" xmlns:ns3="303d1388-59d5-4b44-81d6-4cb28e15e614" targetNamespace="http://schemas.microsoft.com/office/2006/metadata/properties" ma:root="true" ma:fieldsID="42acea1767e65b62021b29439736a286" ns2:_="" ns3:_="">
    <xsd:import namespace="29343c2e-0cc4-4aa9-a004-66d03d634282"/>
    <xsd:import namespace="303d1388-59d5-4b44-81d6-4cb28e15e61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343c2e-0cc4-4aa9-a004-66d03d63428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03d1388-59d5-4b44-81d6-4cb28e15e61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FBE924-04EF-4E9A-B118-0008E6177F98}"/>
</file>

<file path=customXml/itemProps2.xml><?xml version="1.0" encoding="utf-8"?>
<ds:datastoreItem xmlns:ds="http://schemas.openxmlformats.org/officeDocument/2006/customXml" ds:itemID="{9CD9FD35-0B2D-476C-858A-508FFECB4052}"/>
</file>

<file path=customXml/itemProps3.xml><?xml version="1.0" encoding="utf-8"?>
<ds:datastoreItem xmlns:ds="http://schemas.openxmlformats.org/officeDocument/2006/customXml" ds:itemID="{57F758D6-5B94-4A37-8819-0E28D3D52E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 Geron</dc:creator>
  <cp:keywords/>
  <dc:description/>
  <cp:lastModifiedBy>Taj - Innovaite</cp:lastModifiedBy>
  <cp:revision/>
  <dcterms:created xsi:type="dcterms:W3CDTF">2022-05-19T07:18:26Z</dcterms:created>
  <dcterms:modified xsi:type="dcterms:W3CDTF">2026-03-11T15:33:01Z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0x010100D3EF1AB537AC9E47B3E67E62C11EDC34</vt:lpwstr>
  </property>
</Properties>
</file>